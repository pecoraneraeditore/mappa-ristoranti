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8A7674D-38E4-44A6-9AA3-C60A6347429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golose'!$A$7:$Q$498</definedName>
    <definedName name="_xlnm.Print_Area" localSheetId="0">'Tavole e pause golose'!$D$7:$I$185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1" i="6" l="1"/>
  <c r="AE111" i="6"/>
  <c r="AF111" i="6"/>
  <c r="AG111" i="6"/>
  <c r="AH111" i="6"/>
  <c r="AI111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S111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2" i="6"/>
  <c r="S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5" i="6" s="1"/>
  <c r="T111" i="6" l="1"/>
  <c r="T203" i="6"/>
  <c r="T201" i="6"/>
  <c r="T202" i="6"/>
  <c r="T200" i="6"/>
  <c r="T171" i="6"/>
  <c r="T170" i="6"/>
  <c r="T169" i="6"/>
  <c r="T168" i="6"/>
  <c r="T167" i="6"/>
  <c r="T16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108" i="6"/>
  <c r="T125" i="6"/>
  <c r="T133" i="6"/>
  <c r="T101" i="6"/>
  <c r="T118" i="6"/>
  <c r="T142" i="6"/>
  <c r="T146" i="6"/>
  <c r="T110" i="6"/>
  <c r="T130" i="6"/>
  <c r="T162" i="6"/>
  <c r="T103" i="6"/>
  <c r="T120" i="6"/>
  <c r="T138" i="6"/>
  <c r="T113" i="6"/>
  <c r="T127" i="6"/>
  <c r="T135" i="6"/>
  <c r="T105" i="6"/>
  <c r="T122" i="6"/>
  <c r="T141" i="6"/>
  <c r="T145" i="6"/>
  <c r="T149" i="6"/>
  <c r="T153" i="6"/>
  <c r="T157" i="6"/>
  <c r="T161" i="6"/>
  <c r="T98" i="6"/>
  <c r="T115" i="6"/>
  <c r="T132" i="6"/>
  <c r="T107" i="6"/>
  <c r="T124" i="6"/>
  <c r="T100" i="6"/>
  <c r="T117" i="6"/>
  <c r="T129" i="6"/>
  <c r="T137" i="6"/>
  <c r="T109" i="6"/>
  <c r="T140" i="6"/>
  <c r="T144" i="6"/>
  <c r="T148" i="6"/>
  <c r="T152" i="6"/>
  <c r="T156" i="6"/>
  <c r="T160" i="6"/>
  <c r="T102" i="6"/>
  <c r="T119" i="6"/>
  <c r="T126" i="6"/>
  <c r="T134" i="6"/>
  <c r="T112" i="6"/>
  <c r="T104" i="6"/>
  <c r="T121" i="6"/>
  <c r="T131" i="6"/>
  <c r="T164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114" i="6"/>
  <c r="T143" i="6"/>
  <c r="T147" i="6"/>
  <c r="T151" i="6"/>
  <c r="T155" i="6"/>
  <c r="T159" i="6"/>
  <c r="T106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116" i="6"/>
  <c r="T123" i="6"/>
  <c r="T136" i="6"/>
  <c r="T163" i="6"/>
  <c r="T128" i="6"/>
  <c r="T139" i="6"/>
  <c r="T99" i="6"/>
  <c r="T15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154" i="6"/>
  <c r="T150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375" i="6"/>
  <c r="T374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419" i="6"/>
  <c r="T418" i="6"/>
  <c r="T9" i="6"/>
  <c r="T11" i="6"/>
  <c r="U7" i="6"/>
  <c r="U11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65" i="6" l="1"/>
  <c r="U166" i="6"/>
  <c r="U167" i="6"/>
  <c r="U168" i="6"/>
  <c r="U169" i="6"/>
  <c r="U170" i="6"/>
  <c r="U171" i="6"/>
  <c r="U203" i="6"/>
  <c r="U200" i="6"/>
  <c r="U201" i="6"/>
  <c r="U202" i="6"/>
  <c r="U13" i="6"/>
  <c r="U14" i="6"/>
  <c r="U15" i="6"/>
  <c r="U16" i="6"/>
  <c r="U17" i="6"/>
  <c r="U18" i="6"/>
  <c r="U19" i="6"/>
  <c r="U20" i="6"/>
  <c r="U21" i="6"/>
  <c r="U22" i="6"/>
  <c r="U52" i="6"/>
  <c r="U60" i="6"/>
  <c r="U68" i="6"/>
  <c r="U76" i="6"/>
  <c r="U84" i="6"/>
  <c r="U44" i="6"/>
  <c r="U96" i="6"/>
  <c r="U49" i="6"/>
  <c r="U57" i="6"/>
  <c r="U65" i="6"/>
  <c r="U73" i="6"/>
  <c r="U81" i="6"/>
  <c r="U89" i="6"/>
  <c r="U95" i="6"/>
  <c r="U46" i="6"/>
  <c r="U54" i="6"/>
  <c r="U62" i="6"/>
  <c r="U70" i="6"/>
  <c r="U78" i="6"/>
  <c r="U86" i="6"/>
  <c r="U94" i="6"/>
  <c r="U51" i="6"/>
  <c r="U59" i="6"/>
  <c r="U67" i="6"/>
  <c r="U75" i="6"/>
  <c r="U83" i="6"/>
  <c r="U23" i="6"/>
  <c r="U25" i="6"/>
  <c r="U27" i="6"/>
  <c r="U29" i="6"/>
  <c r="U31" i="6"/>
  <c r="U33" i="6"/>
  <c r="U35" i="6"/>
  <c r="U37" i="6"/>
  <c r="U39" i="6"/>
  <c r="U41" i="6"/>
  <c r="U93" i="6"/>
  <c r="U43" i="6"/>
  <c r="U48" i="6"/>
  <c r="U56" i="6"/>
  <c r="U64" i="6"/>
  <c r="U72" i="6"/>
  <c r="U80" i="6"/>
  <c r="U88" i="6"/>
  <c r="U92" i="6"/>
  <c r="U45" i="6"/>
  <c r="U53" i="6"/>
  <c r="U61" i="6"/>
  <c r="U69" i="6"/>
  <c r="U77" i="6"/>
  <c r="U85" i="6"/>
  <c r="U91" i="6"/>
  <c r="U50" i="6"/>
  <c r="U58" i="6"/>
  <c r="U66" i="6"/>
  <c r="U74" i="6"/>
  <c r="U82" i="6"/>
  <c r="U90" i="6"/>
  <c r="U87" i="6"/>
  <c r="U99" i="6"/>
  <c r="U116" i="6"/>
  <c r="U163" i="6"/>
  <c r="U108" i="6"/>
  <c r="U125" i="6"/>
  <c r="U133" i="6"/>
  <c r="U101" i="6"/>
  <c r="U118" i="6"/>
  <c r="U142" i="6"/>
  <c r="U146" i="6"/>
  <c r="U150" i="6"/>
  <c r="U154" i="6"/>
  <c r="U158" i="6"/>
  <c r="U110" i="6"/>
  <c r="U130" i="6"/>
  <c r="U162" i="6"/>
  <c r="U55" i="6"/>
  <c r="U103" i="6"/>
  <c r="U120" i="6"/>
  <c r="U138" i="6"/>
  <c r="U42" i="6"/>
  <c r="U79" i="6"/>
  <c r="U113" i="6"/>
  <c r="U127" i="6"/>
  <c r="U135" i="6"/>
  <c r="U40" i="6"/>
  <c r="U105" i="6"/>
  <c r="U122" i="6"/>
  <c r="U141" i="6"/>
  <c r="U145" i="6"/>
  <c r="U149" i="6"/>
  <c r="U153" i="6"/>
  <c r="U157" i="6"/>
  <c r="U161" i="6"/>
  <c r="U38" i="6"/>
  <c r="U98" i="6"/>
  <c r="U115" i="6"/>
  <c r="U132" i="6"/>
  <c r="U36" i="6"/>
  <c r="U107" i="6"/>
  <c r="U124" i="6"/>
  <c r="U34" i="6"/>
  <c r="U47" i="6"/>
  <c r="U100" i="6"/>
  <c r="U117" i="6"/>
  <c r="U129" i="6"/>
  <c r="U137" i="6"/>
  <c r="U32" i="6"/>
  <c r="U71" i="6"/>
  <c r="U109" i="6"/>
  <c r="U140" i="6"/>
  <c r="U144" i="6"/>
  <c r="U148" i="6"/>
  <c r="U152" i="6"/>
  <c r="U156" i="6"/>
  <c r="U160" i="6"/>
  <c r="U30" i="6"/>
  <c r="U102" i="6"/>
  <c r="U119" i="6"/>
  <c r="U126" i="6"/>
  <c r="U134" i="6"/>
  <c r="U28" i="6"/>
  <c r="U112" i="6"/>
  <c r="U26" i="6"/>
  <c r="U104" i="6"/>
  <c r="U121" i="6"/>
  <c r="U131" i="6"/>
  <c r="U164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63" i="6"/>
  <c r="U106" i="6"/>
  <c r="U238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6" i="6"/>
  <c r="U297" i="6"/>
  <c r="U114" i="6"/>
  <c r="U123" i="6"/>
  <c r="U136" i="6"/>
  <c r="U147" i="6"/>
  <c r="U151" i="6"/>
  <c r="U155" i="6"/>
  <c r="U159" i="6"/>
  <c r="U143" i="6"/>
  <c r="U128" i="6"/>
  <c r="U139" i="6"/>
  <c r="U24" i="6"/>
  <c r="U298" i="6"/>
  <c r="U299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97" i="6"/>
  <c r="U355" i="6"/>
  <c r="U371" i="6"/>
  <c r="U360" i="6"/>
  <c r="U365" i="6"/>
  <c r="U370" i="6"/>
  <c r="U351" i="6"/>
  <c r="U359" i="6"/>
  <c r="U354" i="6"/>
  <c r="U364" i="6"/>
  <c r="U369" i="6"/>
  <c r="U366" i="6"/>
  <c r="U358" i="6"/>
  <c r="U36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350" i="6"/>
  <c r="U368" i="6"/>
  <c r="U353" i="6"/>
  <c r="U357" i="6"/>
  <c r="U373" i="6"/>
  <c r="U362" i="6"/>
  <c r="U367" i="6"/>
  <c r="U356" i="6"/>
  <c r="U372" i="6"/>
  <c r="U361" i="6"/>
  <c r="U352" i="6"/>
  <c r="U483" i="6"/>
  <c r="U487" i="6"/>
  <c r="U489" i="6"/>
  <c r="U491" i="6"/>
  <c r="U493" i="6"/>
  <c r="U494" i="6"/>
  <c r="U495" i="6"/>
  <c r="U49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4" i="6"/>
  <c r="U485" i="6"/>
  <c r="U486" i="6"/>
  <c r="U488" i="6"/>
  <c r="U490" i="6"/>
  <c r="U492" i="6"/>
  <c r="U496" i="6"/>
  <c r="U498" i="6"/>
  <c r="V7" i="6"/>
  <c r="V111" i="6" s="1"/>
  <c r="U9" i="6"/>
  <c r="U11" i="6"/>
  <c r="U10" i="6"/>
  <c r="U8" i="6"/>
  <c r="U12" i="6"/>
  <c r="F5" i="6"/>
  <c r="G5" i="6"/>
  <c r="E5" i="6"/>
  <c r="H4" i="6"/>
  <c r="H3" i="6"/>
  <c r="T5" i="6"/>
  <c r="V165" i="6" l="1"/>
  <c r="V166" i="6"/>
  <c r="V167" i="6"/>
  <c r="V168" i="6"/>
  <c r="V169" i="6"/>
  <c r="V170" i="6"/>
  <c r="V171" i="6"/>
  <c r="V200" i="6"/>
  <c r="V201" i="6"/>
  <c r="V202" i="6"/>
  <c r="V203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96" i="6"/>
  <c r="V95" i="6"/>
  <c r="V94" i="6"/>
  <c r="V93" i="6"/>
  <c r="V92" i="6"/>
  <c r="V91" i="6"/>
  <c r="V162" i="6"/>
  <c r="V90" i="6"/>
  <c r="V161" i="6"/>
  <c r="V233" i="6"/>
  <c r="V179" i="6"/>
  <c r="V187" i="6"/>
  <c r="V195" i="6"/>
  <c r="V204" i="6"/>
  <c r="V212" i="6"/>
  <c r="V220" i="6"/>
  <c r="V176" i="6"/>
  <c r="V184" i="6"/>
  <c r="V192" i="6"/>
  <c r="V209" i="6"/>
  <c r="V217" i="6"/>
  <c r="V225" i="6"/>
  <c r="V232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28" i="6"/>
  <c r="V237" i="6"/>
  <c r="V173" i="6"/>
  <c r="V181" i="6"/>
  <c r="V189" i="6"/>
  <c r="V197" i="6"/>
  <c r="V206" i="6"/>
  <c r="V214" i="6"/>
  <c r="V163" i="6"/>
  <c r="V178" i="6"/>
  <c r="V186" i="6"/>
  <c r="V194" i="6"/>
  <c r="V211" i="6"/>
  <c r="V219" i="6"/>
  <c r="V231" i="6"/>
  <c r="V236" i="6"/>
  <c r="V175" i="6"/>
  <c r="V183" i="6"/>
  <c r="V191" i="6"/>
  <c r="V199" i="6"/>
  <c r="V208" i="6"/>
  <c r="V216" i="6"/>
  <c r="V224" i="6"/>
  <c r="V227" i="6"/>
  <c r="V235" i="6"/>
  <c r="V172" i="6"/>
  <c r="V180" i="6"/>
  <c r="V188" i="6"/>
  <c r="V196" i="6"/>
  <c r="V205" i="6"/>
  <c r="V213" i="6"/>
  <c r="V221" i="6"/>
  <c r="V230" i="6"/>
  <c r="V177" i="6"/>
  <c r="V185" i="6"/>
  <c r="V193" i="6"/>
  <c r="V226" i="6"/>
  <c r="V174" i="6"/>
  <c r="V229" i="6"/>
  <c r="V293" i="6"/>
  <c r="V290" i="6"/>
  <c r="V296" i="6"/>
  <c r="V223" i="6"/>
  <c r="V287" i="6"/>
  <c r="V190" i="6"/>
  <c r="V215" i="6"/>
  <c r="V295" i="6"/>
  <c r="V289" i="6"/>
  <c r="V207" i="6"/>
  <c r="V234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182" i="6"/>
  <c r="V222" i="6"/>
  <c r="V218" i="6"/>
  <c r="V291" i="6"/>
  <c r="V294" i="6"/>
  <c r="V297" i="6"/>
  <c r="V198" i="6"/>
  <c r="V210" i="6"/>
  <c r="V292" i="6"/>
  <c r="V288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164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12" i="6"/>
  <c r="V9" i="6"/>
  <c r="W7" i="6"/>
  <c r="W111" i="6" s="1"/>
  <c r="V10" i="6"/>
  <c r="V11" i="6"/>
  <c r="V8" i="6"/>
  <c r="U5" i="6"/>
  <c r="H5" i="6"/>
  <c r="W165" i="6" l="1"/>
  <c r="W166" i="6"/>
  <c r="W167" i="6"/>
  <c r="W168" i="6"/>
  <c r="W169" i="6"/>
  <c r="W170" i="6"/>
  <c r="W171" i="6"/>
  <c r="W200" i="6"/>
  <c r="W201" i="6"/>
  <c r="W202" i="6"/>
  <c r="W203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89" i="6"/>
  <c r="W96" i="6"/>
  <c r="W95" i="6"/>
  <c r="W94" i="6"/>
  <c r="W93" i="6"/>
  <c r="W92" i="6"/>
  <c r="W91" i="6"/>
  <c r="W90" i="6"/>
  <c r="W174" i="6"/>
  <c r="W182" i="6"/>
  <c r="W190" i="6"/>
  <c r="W198" i="6"/>
  <c r="W207" i="6"/>
  <c r="W215" i="6"/>
  <c r="W223" i="6"/>
  <c r="W229" i="6"/>
  <c r="W233" i="6"/>
  <c r="W179" i="6"/>
  <c r="W187" i="6"/>
  <c r="W195" i="6"/>
  <c r="W204" i="6"/>
  <c r="W212" i="6"/>
  <c r="W220" i="6"/>
  <c r="W176" i="6"/>
  <c r="W184" i="6"/>
  <c r="W192" i="6"/>
  <c r="W209" i="6"/>
  <c r="W217" i="6"/>
  <c r="W225" i="6"/>
  <c r="W232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173" i="6"/>
  <c r="W181" i="6"/>
  <c r="W189" i="6"/>
  <c r="W197" i="6"/>
  <c r="W206" i="6"/>
  <c r="W214" i="6"/>
  <c r="W222" i="6"/>
  <c r="W178" i="6"/>
  <c r="W186" i="6"/>
  <c r="W194" i="6"/>
  <c r="W211" i="6"/>
  <c r="W219" i="6"/>
  <c r="W231" i="6"/>
  <c r="W236" i="6"/>
  <c r="W175" i="6"/>
  <c r="W183" i="6"/>
  <c r="W191" i="6"/>
  <c r="W199" i="6"/>
  <c r="W208" i="6"/>
  <c r="W216" i="6"/>
  <c r="W224" i="6"/>
  <c r="W227" i="6"/>
  <c r="W235" i="6"/>
  <c r="W172" i="6"/>
  <c r="W180" i="6"/>
  <c r="W188" i="6"/>
  <c r="W196" i="6"/>
  <c r="W205" i="6"/>
  <c r="W213" i="6"/>
  <c r="W221" i="6"/>
  <c r="W230" i="6"/>
  <c r="W177" i="6"/>
  <c r="W185" i="6"/>
  <c r="W193" i="6"/>
  <c r="W210" i="6"/>
  <c r="W218" i="6"/>
  <c r="W234" i="6"/>
  <c r="W237" i="6"/>
  <c r="W293" i="6"/>
  <c r="W296" i="6"/>
  <c r="W292" i="6"/>
  <c r="W295" i="6"/>
  <c r="W228" i="6"/>
  <c r="W226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294" i="6"/>
  <c r="W352" i="6"/>
  <c r="W366" i="6"/>
  <c r="W355" i="6"/>
  <c r="W371" i="6"/>
  <c r="W360" i="6"/>
  <c r="W365" i="6"/>
  <c r="W370" i="6"/>
  <c r="W351" i="6"/>
  <c r="W359" i="6"/>
  <c r="W354" i="6"/>
  <c r="W364" i="6"/>
  <c r="W369" i="6"/>
  <c r="W297" i="6"/>
  <c r="W358" i="6"/>
  <c r="W363" i="6"/>
  <c r="W350" i="6"/>
  <c r="W368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353" i="6"/>
  <c r="W357" i="6"/>
  <c r="W373" i="6"/>
  <c r="W362" i="6"/>
  <c r="W367" i="6"/>
  <c r="W356" i="6"/>
  <c r="W372" i="6"/>
  <c r="W361" i="6"/>
  <c r="W483" i="6"/>
  <c r="W486" i="6"/>
  <c r="W488" i="6"/>
  <c r="W490" i="6"/>
  <c r="W491" i="6"/>
  <c r="W493" i="6"/>
  <c r="W495" i="6"/>
  <c r="W496" i="6"/>
  <c r="W498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4" i="6"/>
  <c r="W485" i="6"/>
  <c r="W487" i="6"/>
  <c r="W489" i="6"/>
  <c r="W492" i="6"/>
  <c r="W494" i="6"/>
  <c r="W497" i="6"/>
  <c r="W12" i="6"/>
  <c r="W8" i="6"/>
  <c r="V5" i="6"/>
  <c r="X7" i="6"/>
  <c r="X111" i="6" s="1"/>
  <c r="W10" i="6"/>
  <c r="W9" i="6"/>
  <c r="W11" i="6"/>
  <c r="X165" i="6" l="1"/>
  <c r="X166" i="6"/>
  <c r="X167" i="6"/>
  <c r="X168" i="6"/>
  <c r="X169" i="6"/>
  <c r="X170" i="6"/>
  <c r="X171" i="6"/>
  <c r="X200" i="6"/>
  <c r="X201" i="6"/>
  <c r="X202" i="6"/>
  <c r="X203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96" i="6"/>
  <c r="X95" i="6"/>
  <c r="X94" i="6"/>
  <c r="X93" i="6"/>
  <c r="X92" i="6"/>
  <c r="X91" i="6"/>
  <c r="X128" i="6"/>
  <c r="X136" i="6"/>
  <c r="X139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125" i="6"/>
  <c r="X133" i="6"/>
  <c r="X163" i="6"/>
  <c r="X142" i="6"/>
  <c r="X146" i="6"/>
  <c r="X150" i="6"/>
  <c r="X154" i="6"/>
  <c r="X158" i="6"/>
  <c r="X130" i="6"/>
  <c r="X138" i="6"/>
  <c r="X162" i="6"/>
  <c r="X127" i="6"/>
  <c r="X135" i="6"/>
  <c r="X141" i="6"/>
  <c r="X145" i="6"/>
  <c r="X149" i="6"/>
  <c r="X153" i="6"/>
  <c r="X157" i="6"/>
  <c r="X132" i="6"/>
  <c r="X161" i="6"/>
  <c r="X129" i="6"/>
  <c r="X137" i="6"/>
  <c r="X140" i="6"/>
  <c r="X144" i="6"/>
  <c r="X148" i="6"/>
  <c r="X152" i="6"/>
  <c r="X156" i="6"/>
  <c r="X160" i="6"/>
  <c r="X126" i="6"/>
  <c r="X134" i="6"/>
  <c r="X131" i="6"/>
  <c r="X164" i="6"/>
  <c r="X226" i="6"/>
  <c r="X229" i="6"/>
  <c r="X233" i="6"/>
  <c r="X228" i="6"/>
  <c r="X237" i="6"/>
  <c r="X147" i="6"/>
  <c r="X151" i="6"/>
  <c r="X155" i="6"/>
  <c r="X159" i="6"/>
  <c r="X231" i="6"/>
  <c r="X236" i="6"/>
  <c r="X143" i="6"/>
  <c r="X227" i="6"/>
  <c r="X235" i="6"/>
  <c r="X22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90" i="6"/>
  <c r="X293" i="6"/>
  <c r="X296" i="6"/>
  <c r="X287" i="6"/>
  <c r="X292" i="6"/>
  <c r="X230" i="6"/>
  <c r="X232" i="6"/>
  <c r="X289" i="6"/>
  <c r="X295" i="6"/>
  <c r="X234" i="6"/>
  <c r="X238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291" i="6"/>
  <c r="X288" i="6"/>
  <c r="X297" i="6"/>
  <c r="X361" i="6"/>
  <c r="X366" i="6"/>
  <c r="X294" i="6"/>
  <c r="X355" i="6"/>
  <c r="X371" i="6"/>
  <c r="X360" i="6"/>
  <c r="X365" i="6"/>
  <c r="X370" i="6"/>
  <c r="X359" i="6"/>
  <c r="X364" i="6"/>
  <c r="X369" i="6"/>
  <c r="X358" i="6"/>
  <c r="X363" i="6"/>
  <c r="X368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357" i="6"/>
  <c r="X373" i="6"/>
  <c r="X362" i="6"/>
  <c r="X367" i="6"/>
  <c r="X356" i="6"/>
  <c r="X372" i="6"/>
  <c r="X496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7" i="6"/>
  <c r="X498" i="6"/>
  <c r="W5" i="6"/>
  <c r="X10" i="6"/>
  <c r="Y7" i="6"/>
  <c r="Y111" i="6" s="1"/>
  <c r="X9" i="6"/>
  <c r="X11" i="6"/>
  <c r="X12" i="6"/>
  <c r="X8" i="6"/>
  <c r="Y165" i="6" l="1"/>
  <c r="Y166" i="6"/>
  <c r="Y167" i="6"/>
  <c r="Y168" i="6"/>
  <c r="Y169" i="6"/>
  <c r="Y170" i="6"/>
  <c r="Y171" i="6"/>
  <c r="Y200" i="6"/>
  <c r="Y201" i="6"/>
  <c r="Y202" i="6"/>
  <c r="Y203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0" i="6"/>
  <c r="Y68" i="6"/>
  <c r="Y76" i="6"/>
  <c r="Y84" i="6"/>
  <c r="Y90" i="6"/>
  <c r="Y44" i="6"/>
  <c r="Y49" i="6"/>
  <c r="Y57" i="6"/>
  <c r="Y65" i="6"/>
  <c r="Y73" i="6"/>
  <c r="Y81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89" i="6"/>
  <c r="Y46" i="6"/>
  <c r="Y54" i="6"/>
  <c r="Y62" i="6"/>
  <c r="Y70" i="6"/>
  <c r="Y78" i="6"/>
  <c r="Y86" i="6"/>
  <c r="Y96" i="6"/>
  <c r="Y51" i="6"/>
  <c r="Y59" i="6"/>
  <c r="Y67" i="6"/>
  <c r="Y75" i="6"/>
  <c r="Y83" i="6"/>
  <c r="Y95" i="6"/>
  <c r="Y43" i="6"/>
  <c r="Y48" i="6"/>
  <c r="Y56" i="6"/>
  <c r="Y64" i="6"/>
  <c r="Y72" i="6"/>
  <c r="Y80" i="6"/>
  <c r="Y88" i="6"/>
  <c r="Y94" i="6"/>
  <c r="Y45" i="6"/>
  <c r="Y53" i="6"/>
  <c r="Y61" i="6"/>
  <c r="Y69" i="6"/>
  <c r="Y77" i="6"/>
  <c r="Y85" i="6"/>
  <c r="Y93" i="6"/>
  <c r="Y50" i="6"/>
  <c r="Y58" i="6"/>
  <c r="Y66" i="6"/>
  <c r="Y74" i="6"/>
  <c r="Y82" i="6"/>
  <c r="Y92" i="6"/>
  <c r="Y63" i="6"/>
  <c r="Y143" i="6"/>
  <c r="Y147" i="6"/>
  <c r="Y151" i="6"/>
  <c r="Y155" i="6"/>
  <c r="Y159" i="6"/>
  <c r="Y164" i="6"/>
  <c r="Y87" i="6"/>
  <c r="Y91" i="6"/>
  <c r="Y163" i="6"/>
  <c r="Y142" i="6"/>
  <c r="Y146" i="6"/>
  <c r="Y150" i="6"/>
  <c r="Y154" i="6"/>
  <c r="Y158" i="6"/>
  <c r="Y55" i="6"/>
  <c r="Y79" i="6"/>
  <c r="Y162" i="6"/>
  <c r="Y141" i="6"/>
  <c r="Y145" i="6"/>
  <c r="Y149" i="6"/>
  <c r="Y153" i="6"/>
  <c r="Y157" i="6"/>
  <c r="Y161" i="6"/>
  <c r="Y47" i="6"/>
  <c r="Y71" i="6"/>
  <c r="Y140" i="6"/>
  <c r="Y144" i="6"/>
  <c r="Y148" i="6"/>
  <c r="Y152" i="6"/>
  <c r="Y156" i="6"/>
  <c r="Y160" i="6"/>
  <c r="Y234" i="6"/>
  <c r="Y174" i="6"/>
  <c r="Y182" i="6"/>
  <c r="Y190" i="6"/>
  <c r="Y198" i="6"/>
  <c r="Y207" i="6"/>
  <c r="Y215" i="6"/>
  <c r="Y223" i="6"/>
  <c r="Y226" i="6"/>
  <c r="Y229" i="6"/>
  <c r="Y179" i="6"/>
  <c r="Y187" i="6"/>
  <c r="Y195" i="6"/>
  <c r="Y204" i="6"/>
  <c r="Y212" i="6"/>
  <c r="Y220" i="6"/>
  <c r="Y233" i="6"/>
  <c r="Y176" i="6"/>
  <c r="Y184" i="6"/>
  <c r="Y192" i="6"/>
  <c r="Y209" i="6"/>
  <c r="Y225" i="6"/>
  <c r="Y232" i="6"/>
  <c r="Y238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173" i="6"/>
  <c r="Y181" i="6"/>
  <c r="Y189" i="6"/>
  <c r="Y197" i="6"/>
  <c r="Y206" i="6"/>
  <c r="Y214" i="6"/>
  <c r="Y222" i="6"/>
  <c r="Y228" i="6"/>
  <c r="Y237" i="6"/>
  <c r="Y178" i="6"/>
  <c r="Y186" i="6"/>
  <c r="Y194" i="6"/>
  <c r="Y211" i="6"/>
  <c r="Y219" i="6"/>
  <c r="Y231" i="6"/>
  <c r="Y236" i="6"/>
  <c r="Y175" i="6"/>
  <c r="Y183" i="6"/>
  <c r="Y191" i="6"/>
  <c r="Y199" i="6"/>
  <c r="Y208" i="6"/>
  <c r="Y216" i="6"/>
  <c r="Y224" i="6"/>
  <c r="Y227" i="6"/>
  <c r="Y172" i="6"/>
  <c r="Y180" i="6"/>
  <c r="Y188" i="6"/>
  <c r="Y196" i="6"/>
  <c r="Y205" i="6"/>
  <c r="Y230" i="6"/>
  <c r="Y185" i="6"/>
  <c r="Y235" i="6"/>
  <c r="Y221" i="6"/>
  <c r="Y217" i="6"/>
  <c r="Y213" i="6"/>
  <c r="Y177" i="6"/>
  <c r="Y193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218" i="6"/>
  <c r="Y210" i="6"/>
  <c r="Y356" i="6"/>
  <c r="Y372" i="6"/>
  <c r="Y361" i="6"/>
  <c r="Y366" i="6"/>
  <c r="Y367" i="6"/>
  <c r="Y355" i="6"/>
  <c r="Y371" i="6"/>
  <c r="Y360" i="6"/>
  <c r="Y365" i="6"/>
  <c r="Y370" i="6"/>
  <c r="Y359" i="6"/>
  <c r="Y364" i="6"/>
  <c r="Y369" i="6"/>
  <c r="Y358" i="6"/>
  <c r="Y363" i="6"/>
  <c r="Y368" i="6"/>
  <c r="Y374" i="6"/>
  <c r="Y375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357" i="6"/>
  <c r="Y373" i="6"/>
  <c r="Y362" i="6"/>
  <c r="Y418" i="6"/>
  <c r="Y419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12" i="6"/>
  <c r="Y9" i="6"/>
  <c r="Y8" i="6"/>
  <c r="Y10" i="6"/>
  <c r="Y11" i="6"/>
  <c r="Z7" i="6"/>
  <c r="Z111" i="6" s="1"/>
  <c r="X5" i="6"/>
  <c r="Z165" i="6" l="1"/>
  <c r="Z166" i="6"/>
  <c r="Z167" i="6"/>
  <c r="Z168" i="6"/>
  <c r="Z169" i="6"/>
  <c r="Z170" i="6"/>
  <c r="Z171" i="6"/>
  <c r="Z200" i="6"/>
  <c r="Z201" i="6"/>
  <c r="Z202" i="6"/>
  <c r="Z203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1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96" i="6"/>
  <c r="Z95" i="6"/>
  <c r="Z94" i="6"/>
  <c r="Z93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92" i="6"/>
  <c r="Z234" i="6"/>
  <c r="Z229" i="6"/>
  <c r="Z233" i="6"/>
  <c r="Z232" i="6"/>
  <c r="Z238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37" i="6"/>
  <c r="Z231" i="6"/>
  <c r="Z236" i="6"/>
  <c r="Z235" i="6"/>
  <c r="Z285" i="6"/>
  <c r="Z290" i="6"/>
  <c r="Z293" i="6"/>
  <c r="Z296" i="6"/>
  <c r="Z292" i="6"/>
  <c r="Z230" i="6"/>
  <c r="Z289" i="6"/>
  <c r="Z295" i="6"/>
  <c r="Z286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294" i="6"/>
  <c r="Z367" i="6"/>
  <c r="Z362" i="6"/>
  <c r="Z352" i="6"/>
  <c r="Z356" i="6"/>
  <c r="Z372" i="6"/>
  <c r="Z361" i="6"/>
  <c r="Z366" i="6"/>
  <c r="Z355" i="6"/>
  <c r="Z371" i="6"/>
  <c r="Z288" i="6"/>
  <c r="Z360" i="6"/>
  <c r="Z351" i="6"/>
  <c r="Z365" i="6"/>
  <c r="Z406" i="6"/>
  <c r="Z354" i="6"/>
  <c r="Z370" i="6"/>
  <c r="Z409" i="6"/>
  <c r="Z359" i="6"/>
  <c r="Z404" i="6"/>
  <c r="Z297" i="6"/>
  <c r="Z364" i="6"/>
  <c r="Z407" i="6"/>
  <c r="Z369" i="6"/>
  <c r="Z403" i="6"/>
  <c r="Z291" i="6"/>
  <c r="Z350" i="6"/>
  <c r="Z358" i="6"/>
  <c r="Z400" i="6"/>
  <c r="Z287" i="6"/>
  <c r="Z353" i="6"/>
  <c r="Z363" i="6"/>
  <c r="Z401" i="6"/>
  <c r="Z368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2" i="6"/>
  <c r="Z405" i="6"/>
  <c r="Z408" i="6"/>
  <c r="Z410" i="6"/>
  <c r="Z411" i="6"/>
  <c r="Z412" i="6"/>
  <c r="Z413" i="6"/>
  <c r="Z414" i="6"/>
  <c r="Z415" i="6"/>
  <c r="Z416" i="6"/>
  <c r="Z417" i="6"/>
  <c r="Z357" i="6"/>
  <c r="Z373" i="6"/>
  <c r="Z418" i="6"/>
  <c r="Z419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12" i="6"/>
  <c r="Z8" i="6"/>
  <c r="Y5" i="6"/>
  <c r="AA7" i="6"/>
  <c r="AA111" i="6" s="1"/>
  <c r="Z10" i="6"/>
  <c r="Z9" i="6"/>
  <c r="Z11" i="6"/>
  <c r="AA165" i="6" l="1"/>
  <c r="AA166" i="6"/>
  <c r="AA167" i="6"/>
  <c r="AA168" i="6"/>
  <c r="AA169" i="6"/>
  <c r="AA170" i="6"/>
  <c r="AA171" i="6"/>
  <c r="AA200" i="6"/>
  <c r="AA201" i="6"/>
  <c r="AA202" i="6"/>
  <c r="AA203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5" i="6"/>
  <c r="AA63" i="6"/>
  <c r="AA71" i="6"/>
  <c r="AA79" i="6"/>
  <c r="AA87" i="6"/>
  <c r="AA91" i="6"/>
  <c r="AA52" i="6"/>
  <c r="AA60" i="6"/>
  <c r="AA68" i="6"/>
  <c r="AA76" i="6"/>
  <c r="AA84" i="6"/>
  <c r="AA90" i="6"/>
  <c r="AA49" i="6"/>
  <c r="AA57" i="6"/>
  <c r="AA65" i="6"/>
  <c r="AA73" i="6"/>
  <c r="AA81" i="6"/>
  <c r="AA89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46" i="6"/>
  <c r="AA54" i="6"/>
  <c r="AA62" i="6"/>
  <c r="AA70" i="6"/>
  <c r="AA78" i="6"/>
  <c r="AA86" i="6"/>
  <c r="AA96" i="6"/>
  <c r="AA51" i="6"/>
  <c r="AA59" i="6"/>
  <c r="AA67" i="6"/>
  <c r="AA75" i="6"/>
  <c r="AA83" i="6"/>
  <c r="AA95" i="6"/>
  <c r="AA48" i="6"/>
  <c r="AA56" i="6"/>
  <c r="AA64" i="6"/>
  <c r="AA72" i="6"/>
  <c r="AA80" i="6"/>
  <c r="AA88" i="6"/>
  <c r="AA94" i="6"/>
  <c r="AA45" i="6"/>
  <c r="AA53" i="6"/>
  <c r="AA61" i="6"/>
  <c r="AA69" i="6"/>
  <c r="AA77" i="6"/>
  <c r="AA85" i="6"/>
  <c r="AA93" i="6"/>
  <c r="AA50" i="6"/>
  <c r="AA74" i="6"/>
  <c r="AA139" i="6"/>
  <c r="AA143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163" i="6"/>
  <c r="AA142" i="6"/>
  <c r="AA146" i="6"/>
  <c r="AA150" i="6"/>
  <c r="AA154" i="6"/>
  <c r="AA158" i="6"/>
  <c r="AA66" i="6"/>
  <c r="AA138" i="6"/>
  <c r="AA162" i="6"/>
  <c r="AA141" i="6"/>
  <c r="AA145" i="6"/>
  <c r="AA149" i="6"/>
  <c r="AA153" i="6"/>
  <c r="AA157" i="6"/>
  <c r="AA92" i="6"/>
  <c r="AA161" i="6"/>
  <c r="AA58" i="6"/>
  <c r="AA137" i="6"/>
  <c r="AA82" i="6"/>
  <c r="AA140" i="6"/>
  <c r="AA144" i="6"/>
  <c r="AA148" i="6"/>
  <c r="AA152" i="6"/>
  <c r="AA156" i="6"/>
  <c r="AA160" i="6"/>
  <c r="AA164" i="6"/>
  <c r="AA234" i="6"/>
  <c r="AA232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147" i="6"/>
  <c r="AA151" i="6"/>
  <c r="AA155" i="6"/>
  <c r="AA159" i="6"/>
  <c r="AA237" i="6"/>
  <c r="AA236" i="6"/>
  <c r="AA233" i="6"/>
  <c r="AA235" i="6"/>
  <c r="AA362" i="6"/>
  <c r="AA298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29" i="6"/>
  <c r="AA331" i="6"/>
  <c r="AA333" i="6"/>
  <c r="AA335" i="6"/>
  <c r="AA337" i="6"/>
  <c r="AA339" i="6"/>
  <c r="AA341" i="6"/>
  <c r="AA343" i="6"/>
  <c r="AA345" i="6"/>
  <c r="AA347" i="6"/>
  <c r="AA349" i="6"/>
  <c r="AA367" i="6"/>
  <c r="AA352" i="6"/>
  <c r="AA356" i="6"/>
  <c r="AA372" i="6"/>
  <c r="AA361" i="6"/>
  <c r="AA366" i="6"/>
  <c r="AA355" i="6"/>
  <c r="AA371" i="6"/>
  <c r="AA360" i="6"/>
  <c r="AA357" i="6"/>
  <c r="AA373" i="6"/>
  <c r="AA351" i="6"/>
  <c r="AA365" i="6"/>
  <c r="AA354" i="6"/>
  <c r="AA370" i="6"/>
  <c r="AA299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30" i="6"/>
  <c r="AA332" i="6"/>
  <c r="AA334" i="6"/>
  <c r="AA336" i="6"/>
  <c r="AA338" i="6"/>
  <c r="AA340" i="6"/>
  <c r="AA342" i="6"/>
  <c r="AA344" i="6"/>
  <c r="AA346" i="6"/>
  <c r="AA348" i="6"/>
  <c r="AA359" i="6"/>
  <c r="AA364" i="6"/>
  <c r="AA369" i="6"/>
  <c r="AA350" i="6"/>
  <c r="AA358" i="6"/>
  <c r="AA353" i="6"/>
  <c r="AA363" i="6"/>
  <c r="AA368" i="6"/>
  <c r="AA374" i="6"/>
  <c r="AA375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82" i="6"/>
  <c r="AA486" i="6"/>
  <c r="AA490" i="6"/>
  <c r="AA492" i="6"/>
  <c r="AA494" i="6"/>
  <c r="AA496" i="6"/>
  <c r="AA498" i="6"/>
  <c r="AA483" i="6"/>
  <c r="AA487" i="6"/>
  <c r="AA489" i="6"/>
  <c r="AA491" i="6"/>
  <c r="AA493" i="6"/>
  <c r="AA49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4" i="6"/>
  <c r="AA485" i="6"/>
  <c r="AA488" i="6"/>
  <c r="AA495" i="6"/>
  <c r="AA11" i="6"/>
  <c r="Z5" i="6"/>
  <c r="AA8" i="6"/>
  <c r="AA10" i="6"/>
  <c r="AA12" i="6"/>
  <c r="AA9" i="6"/>
  <c r="AB7" i="6"/>
  <c r="AB111" i="6" s="1"/>
  <c r="AB165" i="6" l="1"/>
  <c r="AB166" i="6"/>
  <c r="AB167" i="6"/>
  <c r="AB168" i="6"/>
  <c r="AB169" i="6"/>
  <c r="AB170" i="6"/>
  <c r="AB171" i="6"/>
  <c r="AB200" i="6"/>
  <c r="AB201" i="6"/>
  <c r="AB202" i="6"/>
  <c r="AB203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80" i="6"/>
  <c r="AB387" i="6"/>
  <c r="AB392" i="6"/>
  <c r="AB396" i="6"/>
  <c r="AB400" i="6"/>
  <c r="AB404" i="6"/>
  <c r="AB409" i="6"/>
  <c r="AB414" i="6"/>
  <c r="AB417" i="6"/>
  <c r="AB385" i="6"/>
  <c r="AB411" i="6"/>
  <c r="AB376" i="6"/>
  <c r="AB379" i="6"/>
  <c r="AB382" i="6"/>
  <c r="AB384" i="6"/>
  <c r="AB388" i="6"/>
  <c r="AB393" i="6"/>
  <c r="AB397" i="6"/>
  <c r="AB401" i="6"/>
  <c r="AB405" i="6"/>
  <c r="AB410" i="6"/>
  <c r="AB415" i="6"/>
  <c r="AB377" i="6"/>
  <c r="AB395" i="6"/>
  <c r="AB403" i="6"/>
  <c r="AB407" i="6"/>
  <c r="AB412" i="6"/>
  <c r="AB375" i="6"/>
  <c r="AB391" i="6"/>
  <c r="AB399" i="6"/>
  <c r="AB406" i="6"/>
  <c r="AB413" i="6"/>
  <c r="AB389" i="6"/>
  <c r="AB374" i="6"/>
  <c r="AB378" i="6"/>
  <c r="AB381" i="6"/>
  <c r="AB383" i="6"/>
  <c r="AB386" i="6"/>
  <c r="AB390" i="6"/>
  <c r="AB394" i="6"/>
  <c r="AB398" i="6"/>
  <c r="AB402" i="6"/>
  <c r="AB408" i="6"/>
  <c r="AB416" i="6"/>
  <c r="AB492" i="6"/>
  <c r="AB496" i="6"/>
  <c r="AB490" i="6"/>
  <c r="AB494" i="6"/>
  <c r="AB497" i="6"/>
  <c r="AB498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1" i="6"/>
  <c r="AB493" i="6"/>
  <c r="AB495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<sst xmlns="http://schemas.openxmlformats.org/spreadsheetml/2006/main" count="4782" uniqueCount="2099">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</sst>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7"/>
  <sheetViews>
    <sheetView tabSelected="1" topLeftCell="B1" zoomScaleNormal="100" workbookViewId="0">
      <pane ySplit="7" topLeftCell="A107" activePane="bottomLeft" state="frozen"/>
      <selection pane="bottomLeft" activeCell="N123" sqref="N12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125</v>
      </c>
      <c r="F3" s="5">
        <f>+AD6</f>
        <v>119</v>
      </c>
      <c r="G3" s="5">
        <f>+AF6</f>
        <v>114</v>
      </c>
      <c r="H3" s="5">
        <f>+E3-G3</f>
        <v>11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327</v>
      </c>
      <c r="F4" s="7">
        <f>+AE6</f>
        <v>233</v>
      </c>
      <c r="G4" s="7">
        <f>+AG6</f>
        <v>207</v>
      </c>
      <c r="H4" s="5">
        <f>+E4-G4</f>
        <v>120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452</v>
      </c>
      <c r="F5" s="8">
        <f>+F3+F4</f>
        <v>352</v>
      </c>
      <c r="G5" s="8">
        <f>+G3+G4</f>
        <v>321</v>
      </c>
      <c r="H5" s="8">
        <f>+H3+H4</f>
        <v>131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SUM(S8:S2440)</f>
        <v>58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SUM(AD8:AD1709)</f>
        <v>119</v>
      </c>
      <c r="AE6" s="1">
        <f t="shared" si="1"/>
        <v>233</v>
      </c>
      <c r="AF6" s="1">
        <f t="shared" si="1"/>
        <v>114</v>
      </c>
      <c r="AG6" s="1">
        <f t="shared" si="1"/>
        <v>207</v>
      </c>
      <c r="AH6" s="1">
        <f t="shared" si="1"/>
        <v>125</v>
      </c>
      <c r="AI6" s="1">
        <f t="shared" si="1"/>
        <v>327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0" si="23">IF(J17=$S$7,1,0)</f>
        <v>0</v>
      </c>
      <c r="T17" s="1">
        <f t="shared" ref="T17:T80" si="24">IF(J17=$T$7,1,0)</f>
        <v>0</v>
      </c>
      <c r="U17" s="1">
        <f t="shared" ref="U17:U80" si="25">IF(J17=$U$7,1,0)</f>
        <v>0</v>
      </c>
      <c r="V17" s="1">
        <f t="shared" ref="V17:V80" si="26">IF(J17=$V$7,1,0)</f>
        <v>0</v>
      </c>
      <c r="W17" s="1">
        <f t="shared" ref="W17:W80" si="27">IF(J17=$W$7,1,0)</f>
        <v>0</v>
      </c>
      <c r="X17" s="1">
        <f t="shared" ref="X17:X80" si="28">IF(J17=$X$7,1,0)</f>
        <v>0</v>
      </c>
      <c r="Y17" s="1">
        <f t="shared" ref="Y17:Y80" si="29">IF(J17=$Y$7,1,0)</f>
        <v>0</v>
      </c>
      <c r="Z17" s="1">
        <f t="shared" ref="Z17:Z80" si="30">IF(J17=$Z$7,1,0)</f>
        <v>0</v>
      </c>
      <c r="AA17" s="1">
        <f t="shared" ref="AA17:AA80" si="31">IF(J17=$AA$7,1,0)</f>
        <v>0</v>
      </c>
      <c r="AB17" s="1">
        <f t="shared" ref="AB17:AB80" si="32">IF(J17=$AB$7,1,0)</f>
        <v>0</v>
      </c>
      <c r="AD17" s="1">
        <f t="shared" ref="AD17:AD80" si="33">+O17*P17</f>
        <v>0</v>
      </c>
      <c r="AE17" s="1">
        <f t="shared" ref="AE17:AE80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1674</v>
      </c>
      <c r="M40" s="47" t="s">
        <v>1354</v>
      </c>
      <c r="N40" s="47" t="s">
        <v>1711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1613</v>
      </c>
      <c r="E55" s="32" t="s">
        <v>174</v>
      </c>
      <c r="F55" s="32" t="s">
        <v>1639</v>
      </c>
      <c r="G55" s="32" t="s">
        <v>1640</v>
      </c>
      <c r="H55" s="32" t="s">
        <v>352</v>
      </c>
      <c r="I55" s="31" t="s">
        <v>1453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1729</v>
      </c>
      <c r="O55" s="35">
        <v>1</v>
      </c>
      <c r="P55" s="35"/>
      <c r="Q55" s="32" t="s">
        <v>2022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643</v>
      </c>
      <c r="E56" s="32" t="s">
        <v>174</v>
      </c>
      <c r="F56" s="32" t="s">
        <v>598</v>
      </c>
      <c r="G56" s="32" t="s">
        <v>591</v>
      </c>
      <c r="H56" s="32" t="s">
        <v>352</v>
      </c>
      <c r="I56" s="31" t="s">
        <v>673</v>
      </c>
      <c r="J56" s="31">
        <v>1</v>
      </c>
      <c r="K56" s="33" t="s">
        <v>698</v>
      </c>
      <c r="L56" s="33" t="s">
        <v>1674</v>
      </c>
      <c r="M56" s="34" t="s">
        <v>1362</v>
      </c>
      <c r="N56" s="34" t="s">
        <v>1717</v>
      </c>
      <c r="O56" s="35">
        <v>1</v>
      </c>
      <c r="P56" s="35"/>
      <c r="Q56" s="32"/>
      <c r="S56" s="1">
        <f t="shared" si="23"/>
        <v>1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1</v>
      </c>
      <c r="AF56" s="1">
        <f t="shared" si="19"/>
        <v>0</v>
      </c>
      <c r="AG56" s="1">
        <f t="shared" si="20"/>
        <v>1</v>
      </c>
      <c r="AH56" s="1">
        <f t="shared" si="21"/>
        <v>0</v>
      </c>
      <c r="AI56" s="1">
        <f t="shared" si="22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1171</v>
      </c>
      <c r="E57" s="16" t="s">
        <v>173</v>
      </c>
      <c r="F57" s="16" t="s">
        <v>1172</v>
      </c>
      <c r="G57" s="16" t="s">
        <v>39</v>
      </c>
      <c r="H57" s="16" t="s">
        <v>1174</v>
      </c>
      <c r="I57" s="15" t="s">
        <v>1173</v>
      </c>
      <c r="J57" s="15">
        <v>17</v>
      </c>
      <c r="K57" s="10" t="s">
        <v>699</v>
      </c>
      <c r="L57" s="10" t="s">
        <v>1363</v>
      </c>
      <c r="M57" s="19" t="s">
        <v>1364</v>
      </c>
      <c r="N57" s="17"/>
      <c r="Q57" s="16" t="s">
        <v>1860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0</v>
      </c>
      <c r="AF57" s="1">
        <f t="shared" si="19"/>
        <v>0</v>
      </c>
      <c r="AG57" s="1">
        <f t="shared" si="20"/>
        <v>0</v>
      </c>
      <c r="AH57" s="1">
        <f t="shared" si="21"/>
        <v>0</v>
      </c>
      <c r="AI57" s="1">
        <f t="shared" si="22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1182</v>
      </c>
      <c r="E58" s="16" t="s">
        <v>173</v>
      </c>
      <c r="F58" s="16" t="s">
        <v>1183</v>
      </c>
      <c r="G58" s="16" t="s">
        <v>39</v>
      </c>
      <c r="H58" s="16" t="s">
        <v>1184</v>
      </c>
      <c r="I58" s="15" t="s">
        <v>1185</v>
      </c>
      <c r="J58" s="15">
        <v>18</v>
      </c>
      <c r="K58" s="10" t="s">
        <v>944</v>
      </c>
      <c r="L58" s="10" t="s">
        <v>691</v>
      </c>
      <c r="M58" s="19" t="s">
        <v>957</v>
      </c>
      <c r="N58" s="17"/>
      <c r="Q58" s="16" t="s">
        <v>1859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1016</v>
      </c>
      <c r="E59" s="16" t="s">
        <v>174</v>
      </c>
      <c r="F59" s="16" t="s">
        <v>1018</v>
      </c>
      <c r="G59" s="16" t="s">
        <v>39</v>
      </c>
      <c r="H59" s="16" t="s">
        <v>363</v>
      </c>
      <c r="I59" s="15" t="s">
        <v>1017</v>
      </c>
      <c r="J59" s="15">
        <v>18</v>
      </c>
      <c r="K59" s="10" t="s">
        <v>698</v>
      </c>
      <c r="L59" s="10" t="s">
        <v>1125</v>
      </c>
      <c r="M59" s="19" t="s">
        <v>687</v>
      </c>
      <c r="N59" s="17"/>
      <c r="Q59" s="16"/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1566</v>
      </c>
      <c r="E60" s="32" t="s">
        <v>174</v>
      </c>
      <c r="F60" s="32" t="s">
        <v>1567</v>
      </c>
      <c r="G60" s="32" t="s">
        <v>1568</v>
      </c>
      <c r="H60" s="32" t="s">
        <v>352</v>
      </c>
      <c r="I60" s="31" t="s">
        <v>1462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1701</v>
      </c>
      <c r="O60" s="35">
        <v>1</v>
      </c>
      <c r="P60" s="35">
        <v>1</v>
      </c>
      <c r="Q60" s="32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1594</v>
      </c>
      <c r="E61" s="32" t="s">
        <v>169</v>
      </c>
      <c r="F61" s="32" t="s">
        <v>1595</v>
      </c>
      <c r="G61" s="32" t="s">
        <v>39</v>
      </c>
      <c r="H61" s="32" t="s">
        <v>353</v>
      </c>
      <c r="I61" s="31" t="s">
        <v>1596</v>
      </c>
      <c r="J61" s="31">
        <v>11</v>
      </c>
      <c r="K61" s="33" t="s">
        <v>944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6" t="s">
        <v>1879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1591</v>
      </c>
      <c r="E62" s="32" t="s">
        <v>173</v>
      </c>
      <c r="F62" s="32" t="s">
        <v>1592</v>
      </c>
      <c r="G62" s="32" t="s">
        <v>1458</v>
      </c>
      <c r="H62" s="32" t="s">
        <v>352</v>
      </c>
      <c r="I62" s="31" t="s">
        <v>1593</v>
      </c>
      <c r="J62" s="31">
        <v>99</v>
      </c>
      <c r="K62" s="33" t="s">
        <v>949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943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790</v>
      </c>
      <c r="E64" s="32" t="s">
        <v>173</v>
      </c>
      <c r="F64" s="32" t="s">
        <v>792</v>
      </c>
      <c r="G64" s="32" t="s">
        <v>39</v>
      </c>
      <c r="H64" s="32" t="s">
        <v>791</v>
      </c>
      <c r="I64" s="31" t="s">
        <v>793</v>
      </c>
      <c r="J64" s="31">
        <v>14</v>
      </c>
      <c r="K64" s="33" t="s">
        <v>951</v>
      </c>
      <c r="L64" s="33" t="s">
        <v>1680</v>
      </c>
      <c r="M64" s="34" t="s">
        <v>1356</v>
      </c>
      <c r="N64" s="34" t="s">
        <v>1723</v>
      </c>
      <c r="O64" s="35">
        <v>1</v>
      </c>
      <c r="P64" s="35"/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0</v>
      </c>
      <c r="AE64" s="1">
        <f t="shared" si="34"/>
        <v>1</v>
      </c>
      <c r="AF64" s="1">
        <f t="shared" si="19"/>
        <v>0</v>
      </c>
      <c r="AG64" s="1">
        <f t="shared" si="20"/>
        <v>1</v>
      </c>
      <c r="AH64" s="1">
        <f t="shared" si="21"/>
        <v>0</v>
      </c>
      <c r="AI64" s="1">
        <f t="shared" si="22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1302</v>
      </c>
      <c r="E65" s="16" t="s">
        <v>174</v>
      </c>
      <c r="F65" s="16" t="s">
        <v>1326</v>
      </c>
      <c r="G65" s="16" t="s">
        <v>39</v>
      </c>
      <c r="H65" s="16" t="s">
        <v>361</v>
      </c>
      <c r="I65" s="15" t="s">
        <v>1126</v>
      </c>
      <c r="J65" s="15">
        <v>14</v>
      </c>
      <c r="K65" s="10" t="s">
        <v>718</v>
      </c>
      <c r="L65" s="10" t="s">
        <v>1673</v>
      </c>
      <c r="M65" s="19" t="s">
        <v>959</v>
      </c>
      <c r="N65" s="17"/>
      <c r="Q65" s="16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1490</v>
      </c>
      <c r="E66" s="45" t="s">
        <v>169</v>
      </c>
      <c r="F66" s="45" t="s">
        <v>1492</v>
      </c>
      <c r="G66" s="45" t="s">
        <v>1149</v>
      </c>
      <c r="H66" s="45" t="s">
        <v>352</v>
      </c>
      <c r="I66" s="44" t="s">
        <v>1491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1783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1121</v>
      </c>
      <c r="E67" s="32" t="s">
        <v>174</v>
      </c>
      <c r="F67" s="32" t="s">
        <v>1124</v>
      </c>
      <c r="G67" s="32" t="s">
        <v>39</v>
      </c>
      <c r="H67" s="32" t="s">
        <v>1122</v>
      </c>
      <c r="I67" s="31" t="s">
        <v>1123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1723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2061</v>
      </c>
      <c r="G68" s="32" t="s">
        <v>2062</v>
      </c>
      <c r="H68" s="32" t="s">
        <v>352</v>
      </c>
      <c r="I68" s="31"/>
      <c r="J68" s="31">
        <v>1</v>
      </c>
      <c r="K68" s="33" t="s">
        <v>947</v>
      </c>
      <c r="L68" s="33" t="s">
        <v>39</v>
      </c>
      <c r="M68" s="34" t="s">
        <v>39</v>
      </c>
      <c r="N68" s="34" t="s">
        <v>1707</v>
      </c>
      <c r="O68" s="35">
        <v>1</v>
      </c>
      <c r="P68" s="35">
        <v>1</v>
      </c>
      <c r="Q68" s="32" t="s">
        <v>2063</v>
      </c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1</v>
      </c>
      <c r="AE68" s="1">
        <f t="shared" si="34"/>
        <v>0</v>
      </c>
      <c r="AF68" s="1">
        <f t="shared" si="19"/>
        <v>1</v>
      </c>
      <c r="AG68" s="1">
        <f t="shared" si="20"/>
        <v>0</v>
      </c>
      <c r="AH68" s="1">
        <f t="shared" si="21"/>
        <v>1</v>
      </c>
      <c r="AI68" s="1">
        <f t="shared" si="22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1422</v>
      </c>
      <c r="E69" s="32" t="s">
        <v>174</v>
      </c>
      <c r="F69" s="32" t="s">
        <v>1419</v>
      </c>
      <c r="G69" s="32" t="s">
        <v>39</v>
      </c>
      <c r="H69" s="32" t="s">
        <v>352</v>
      </c>
      <c r="I69" s="31" t="s">
        <v>1420</v>
      </c>
      <c r="J69" s="31">
        <v>99</v>
      </c>
      <c r="K69" s="33" t="s">
        <v>698</v>
      </c>
      <c r="L69" s="33" t="s">
        <v>685</v>
      </c>
      <c r="M69" s="34" t="s">
        <v>1421</v>
      </c>
      <c r="N69" s="34" t="s">
        <v>1701</v>
      </c>
      <c r="O69" s="35">
        <v>1</v>
      </c>
      <c r="P69" s="35">
        <v>1</v>
      </c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806</v>
      </c>
      <c r="E70" s="39" t="s">
        <v>174</v>
      </c>
      <c r="F70" s="39" t="s">
        <v>924</v>
      </c>
      <c r="G70" s="39" t="s">
        <v>212</v>
      </c>
      <c r="H70" s="39" t="s">
        <v>352</v>
      </c>
      <c r="I70" s="38" t="s">
        <v>807</v>
      </c>
      <c r="J70" s="38">
        <v>1</v>
      </c>
      <c r="K70" s="40" t="s">
        <v>943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1303</v>
      </c>
      <c r="E71" s="32" t="s">
        <v>174</v>
      </c>
      <c r="F71" s="32" t="s">
        <v>1113</v>
      </c>
      <c r="G71" s="32" t="s">
        <v>39</v>
      </c>
      <c r="H71" s="32" t="s">
        <v>1112</v>
      </c>
      <c r="I71" s="31" t="s">
        <v>1111</v>
      </c>
      <c r="J71" s="31">
        <v>15</v>
      </c>
      <c r="K71" s="33" t="s">
        <v>944</v>
      </c>
      <c r="L71" s="33">
        <v>75</v>
      </c>
      <c r="M71" s="34" t="s">
        <v>1365</v>
      </c>
      <c r="N71" s="34" t="s">
        <v>1707</v>
      </c>
      <c r="O71" s="35">
        <v>1</v>
      </c>
      <c r="P71" s="35">
        <v>1</v>
      </c>
      <c r="Q71" s="32" t="s">
        <v>1957</v>
      </c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19"/>
        <v>1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1034</v>
      </c>
      <c r="E72" s="32" t="s">
        <v>173</v>
      </c>
      <c r="F72" s="32" t="s">
        <v>1035</v>
      </c>
      <c r="G72" s="32" t="s">
        <v>624</v>
      </c>
      <c r="H72" s="32" t="s">
        <v>352</v>
      </c>
      <c r="I72" s="31" t="s">
        <v>1036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1707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2027</v>
      </c>
      <c r="E73" s="32" t="s">
        <v>1953</v>
      </c>
      <c r="F73" s="32" t="s">
        <v>2028</v>
      </c>
      <c r="G73" s="32" t="s">
        <v>283</v>
      </c>
      <c r="H73" s="32" t="s">
        <v>352</v>
      </c>
      <c r="I73" s="31" t="s">
        <v>2029</v>
      </c>
      <c r="J73" s="31">
        <v>10</v>
      </c>
      <c r="K73" s="33" t="s">
        <v>699</v>
      </c>
      <c r="L73" s="33"/>
      <c r="M73" s="34"/>
      <c r="N73" s="34" t="s">
        <v>1707</v>
      </c>
      <c r="O73" s="35">
        <v>1</v>
      </c>
      <c r="P73" s="35">
        <v>1</v>
      </c>
      <c r="Q73" s="36" t="s">
        <v>2030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1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1983</v>
      </c>
      <c r="E74" s="32" t="s">
        <v>174</v>
      </c>
      <c r="F74" s="36" t="s">
        <v>1984</v>
      </c>
      <c r="G74" s="36" t="s">
        <v>219</v>
      </c>
      <c r="H74" s="36" t="s">
        <v>352</v>
      </c>
      <c r="I74" s="37" t="s">
        <v>1985</v>
      </c>
      <c r="J74" s="31">
        <v>8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1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947</v>
      </c>
      <c r="L75" s="46" t="s">
        <v>1686</v>
      </c>
      <c r="M75" s="47" t="s">
        <v>1356</v>
      </c>
      <c r="N75" s="47" t="s">
        <v>1712</v>
      </c>
      <c r="O75" s="48"/>
      <c r="P75" s="48"/>
      <c r="Q75" s="4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1816</v>
      </c>
      <c r="E76" s="32" t="s">
        <v>173</v>
      </c>
      <c r="F76" s="32" t="s">
        <v>1817</v>
      </c>
      <c r="G76" s="32"/>
      <c r="H76" s="32" t="s">
        <v>1818</v>
      </c>
      <c r="I76" s="31" t="s">
        <v>1819</v>
      </c>
      <c r="J76" s="31">
        <v>14</v>
      </c>
      <c r="K76" s="33" t="s">
        <v>699</v>
      </c>
      <c r="L76" s="33">
        <v>75</v>
      </c>
      <c r="M76" s="34" t="s">
        <v>958</v>
      </c>
      <c r="N76" s="34" t="s">
        <v>1717</v>
      </c>
      <c r="O76" s="35">
        <v>1</v>
      </c>
      <c r="P76" s="35"/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1698</v>
      </c>
      <c r="E77" s="32" t="s">
        <v>174</v>
      </c>
      <c r="F77" s="36" t="s">
        <v>1699</v>
      </c>
      <c r="G77" s="36" t="s">
        <v>206</v>
      </c>
      <c r="H77" s="36" t="s">
        <v>352</v>
      </c>
      <c r="I77" s="37" t="s">
        <v>1700</v>
      </c>
      <c r="J77" s="31">
        <v>99</v>
      </c>
      <c r="K77" s="33" t="s">
        <v>699</v>
      </c>
      <c r="L77" s="33"/>
      <c r="M77" s="34"/>
      <c r="N77" s="34" t="s">
        <v>1701</v>
      </c>
      <c r="O77" s="35">
        <v>1</v>
      </c>
      <c r="P77" s="35">
        <v>1</v>
      </c>
      <c r="Q77" s="36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ref="AF77:AF141" si="35">+O77*P77*(1-A77)</f>
        <v>1</v>
      </c>
      <c r="AG77" s="1">
        <f t="shared" ref="AG77:AG141" si="36">O77*(1-P77)*(1-A77)</f>
        <v>0</v>
      </c>
      <c r="AH77" s="1">
        <f t="shared" ref="AH77:AH141" si="37">+P77*(1-A77)</f>
        <v>1</v>
      </c>
      <c r="AI77" s="1">
        <f t="shared" ref="AI77:AI141" si="38">+(1-A77)*(1-P77)</f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1045</v>
      </c>
      <c r="E78" s="32" t="s">
        <v>174</v>
      </c>
      <c r="F78" s="36" t="s">
        <v>1084</v>
      </c>
      <c r="G78" s="36" t="s">
        <v>39</v>
      </c>
      <c r="H78" s="36" t="s">
        <v>1046</v>
      </c>
      <c r="I78" s="37" t="s">
        <v>1145</v>
      </c>
      <c r="J78" s="31">
        <v>13</v>
      </c>
      <c r="K78" s="33" t="s">
        <v>698</v>
      </c>
      <c r="L78" s="33" t="s">
        <v>685</v>
      </c>
      <c r="M78" s="34" t="s">
        <v>1416</v>
      </c>
      <c r="N78" s="34" t="s">
        <v>1723</v>
      </c>
      <c r="O78" s="35">
        <v>1</v>
      </c>
      <c r="P78" s="35"/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1569</v>
      </c>
      <c r="E79" s="32" t="s">
        <v>174</v>
      </c>
      <c r="F79" s="36" t="s">
        <v>1570</v>
      </c>
      <c r="G79" s="36" t="s">
        <v>234</v>
      </c>
      <c r="H79" s="36" t="s">
        <v>352</v>
      </c>
      <c r="I79" s="37" t="s">
        <v>1571</v>
      </c>
      <c r="J79" s="31">
        <v>99</v>
      </c>
      <c r="K79" s="33" t="s">
        <v>943</v>
      </c>
      <c r="L79" s="33">
        <v>45</v>
      </c>
      <c r="M79" s="34" t="s">
        <v>39</v>
      </c>
      <c r="N79" s="34" t="s">
        <v>1763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1305</v>
      </c>
      <c r="E80" s="32" t="s">
        <v>173</v>
      </c>
      <c r="F80" s="36" t="s">
        <v>1248</v>
      </c>
      <c r="G80" s="36" t="s">
        <v>206</v>
      </c>
      <c r="H80" s="36" t="s">
        <v>352</v>
      </c>
      <c r="I80" s="37" t="s">
        <v>1249</v>
      </c>
      <c r="J80" s="31">
        <v>99</v>
      </c>
      <c r="K80" s="33" t="s">
        <v>949</v>
      </c>
      <c r="L80" s="33" t="s">
        <v>39</v>
      </c>
      <c r="M80" s="34" t="s">
        <v>39</v>
      </c>
      <c r="N80" s="34" t="s">
        <v>1701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1773</v>
      </c>
      <c r="E81" s="32" t="s">
        <v>169</v>
      </c>
      <c r="F81" s="36" t="s">
        <v>1771</v>
      </c>
      <c r="G81" s="36" t="s">
        <v>231</v>
      </c>
      <c r="H81" s="36" t="s">
        <v>352</v>
      </c>
      <c r="I81" s="37" t="s">
        <v>1772</v>
      </c>
      <c r="J81" s="31">
        <v>99</v>
      </c>
      <c r="K81" s="33" t="s">
        <v>699</v>
      </c>
      <c r="L81" s="33"/>
      <c r="M81" s="34"/>
      <c r="N81" s="34" t="s">
        <v>1701</v>
      </c>
      <c r="O81" s="35">
        <v>1</v>
      </c>
      <c r="P81" s="35">
        <v>1</v>
      </c>
      <c r="Q81" s="36"/>
      <c r="S81" s="1">
        <f t="shared" ref="S81:S145" si="39">IF(J81=$S$7,1,0)</f>
        <v>0</v>
      </c>
      <c r="T81" s="1">
        <f t="shared" ref="T81:T145" si="40">IF(J81=$T$7,1,0)</f>
        <v>0</v>
      </c>
      <c r="U81" s="1">
        <f t="shared" ref="U81:U145" si="41">IF(J81=$U$7,1,0)</f>
        <v>0</v>
      </c>
      <c r="V81" s="1">
        <f t="shared" ref="V81:V145" si="42">IF(J81=$V$7,1,0)</f>
        <v>0</v>
      </c>
      <c r="W81" s="1">
        <f t="shared" ref="W81:W145" si="43">IF(J81=$W$7,1,0)</f>
        <v>0</v>
      </c>
      <c r="X81" s="1">
        <f t="shared" ref="X81:X145" si="44">IF(J81=$X$7,1,0)</f>
        <v>0</v>
      </c>
      <c r="Y81" s="1">
        <f t="shared" ref="Y81:Y145" si="45">IF(J81=$Y$7,1,0)</f>
        <v>0</v>
      </c>
      <c r="Z81" s="1">
        <f t="shared" ref="Z81:Z145" si="46">IF(J81=$Z$7,1,0)</f>
        <v>0</v>
      </c>
      <c r="AA81" s="1">
        <f t="shared" ref="AA81:AA145" si="47">IF(J81=$AA$7,1,0)</f>
        <v>0</v>
      </c>
      <c r="AB81" s="1">
        <f t="shared" ref="AB81:AB145" si="48">IF(J81=$AB$7,1,0)</f>
        <v>0</v>
      </c>
      <c r="AD81" s="1">
        <f t="shared" ref="AD81:AD145" si="49">+O81*P81</f>
        <v>1</v>
      </c>
      <c r="AE81" s="1">
        <f t="shared" ref="AE81:AE145" si="50">O81*(1-P81)</f>
        <v>0</v>
      </c>
      <c r="AF81" s="1">
        <f t="shared" si="35"/>
        <v>1</v>
      </c>
      <c r="AG81" s="1">
        <f t="shared" si="36"/>
        <v>0</v>
      </c>
      <c r="AH81" s="1">
        <f t="shared" si="37"/>
        <v>1</v>
      </c>
      <c r="AI81" s="1">
        <f t="shared" si="38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1142</v>
      </c>
      <c r="E82" s="32" t="s">
        <v>169</v>
      </c>
      <c r="F82" s="36" t="s">
        <v>1143</v>
      </c>
      <c r="G82" s="36" t="s">
        <v>39</v>
      </c>
      <c r="H82" s="36" t="s">
        <v>1337</v>
      </c>
      <c r="I82" s="37" t="s">
        <v>1144</v>
      </c>
      <c r="J82" s="31">
        <v>11</v>
      </c>
      <c r="K82" s="33" t="s">
        <v>698</v>
      </c>
      <c r="L82" s="33" t="s">
        <v>1673</v>
      </c>
      <c r="M82" s="34" t="s">
        <v>1366</v>
      </c>
      <c r="N82" s="34" t="s">
        <v>1723</v>
      </c>
      <c r="O82" s="35">
        <v>1</v>
      </c>
      <c r="P82" s="35"/>
      <c r="Q82" s="36"/>
      <c r="S82" s="1">
        <f t="shared" si="39"/>
        <v>0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D82" s="1">
        <f t="shared" si="49"/>
        <v>0</v>
      </c>
      <c r="AE82" s="1">
        <f t="shared" si="50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1799</v>
      </c>
      <c r="O83" s="35">
        <v>1</v>
      </c>
      <c r="P83" s="35"/>
      <c r="Q83" s="36" t="s">
        <v>1856</v>
      </c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997</v>
      </c>
      <c r="E84" s="32" t="s">
        <v>171</v>
      </c>
      <c r="F84" s="36" t="s">
        <v>998</v>
      </c>
      <c r="G84" s="36" t="s">
        <v>999</v>
      </c>
      <c r="H84" s="36" t="s">
        <v>352</v>
      </c>
      <c r="I84" s="37" t="s">
        <v>1000</v>
      </c>
      <c r="J84" s="31">
        <v>99</v>
      </c>
      <c r="K84" s="33" t="s">
        <v>943</v>
      </c>
      <c r="L84" s="33" t="s">
        <v>39</v>
      </c>
      <c r="M84" s="34" t="s">
        <v>39</v>
      </c>
      <c r="N84" s="34" t="s">
        <v>1707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944</v>
      </c>
      <c r="L85" s="33" t="s">
        <v>683</v>
      </c>
      <c r="M85" s="34" t="s">
        <v>687</v>
      </c>
      <c r="N85" s="34" t="s">
        <v>1717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1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2080</v>
      </c>
      <c r="E86" s="32" t="s">
        <v>169</v>
      </c>
      <c r="F86" s="36" t="s">
        <v>2081</v>
      </c>
      <c r="G86" s="36" t="s">
        <v>206</v>
      </c>
      <c r="H86" s="36" t="s">
        <v>352</v>
      </c>
      <c r="I86" s="37" t="s">
        <v>2082</v>
      </c>
      <c r="J86" s="31">
        <v>99</v>
      </c>
      <c r="K86" s="33" t="s">
        <v>699</v>
      </c>
      <c r="L86" s="33"/>
      <c r="M86" s="34"/>
      <c r="N86" s="34" t="s">
        <v>1707</v>
      </c>
      <c r="O86" s="35">
        <v>1</v>
      </c>
      <c r="P86" s="35">
        <v>1</v>
      </c>
      <c r="Q86" s="36" t="s">
        <v>2083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35"/>
        <v>1</v>
      </c>
      <c r="AG86" s="1">
        <f t="shared" si="36"/>
        <v>0</v>
      </c>
      <c r="AH86" s="1">
        <f t="shared" si="37"/>
        <v>1</v>
      </c>
      <c r="AI86" s="1">
        <f t="shared" si="38"/>
        <v>0</v>
      </c>
    </row>
    <row r="87" spans="1:35" ht="14.25" customHeight="1" x14ac:dyDescent="0.25">
      <c r="A87" s="15">
        <v>0</v>
      </c>
      <c r="B87" s="15">
        <v>1</v>
      </c>
      <c r="C87" s="15">
        <v>3</v>
      </c>
      <c r="D87" s="16" t="s">
        <v>1760</v>
      </c>
      <c r="E87" s="16" t="s">
        <v>171</v>
      </c>
      <c r="F87" s="16" t="s">
        <v>1762</v>
      </c>
      <c r="G87" s="16"/>
      <c r="H87" s="16" t="s">
        <v>362</v>
      </c>
      <c r="I87" s="15" t="s">
        <v>1761</v>
      </c>
      <c r="J87" s="15">
        <v>17</v>
      </c>
      <c r="K87" s="10" t="s">
        <v>699</v>
      </c>
      <c r="L87" s="10" t="s">
        <v>1716</v>
      </c>
      <c r="M87" s="19" t="s">
        <v>687</v>
      </c>
      <c r="N87" s="17"/>
      <c r="Q87" s="20" t="s">
        <v>1888</v>
      </c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0</v>
      </c>
      <c r="AF87" s="1">
        <f t="shared" si="35"/>
        <v>0</v>
      </c>
      <c r="AG87" s="1">
        <f t="shared" si="36"/>
        <v>0</v>
      </c>
      <c r="AH87" s="1">
        <f t="shared" si="37"/>
        <v>0</v>
      </c>
      <c r="AI87" s="1">
        <f t="shared" si="38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2" t="s">
        <v>1784</v>
      </c>
      <c r="E88" s="32" t="s">
        <v>171</v>
      </c>
      <c r="F88" s="32" t="s">
        <v>1785</v>
      </c>
      <c r="G88" s="32" t="s">
        <v>1786</v>
      </c>
      <c r="H88" s="32" t="s">
        <v>352</v>
      </c>
      <c r="I88" s="31" t="s">
        <v>1787</v>
      </c>
      <c r="J88" s="31">
        <v>1</v>
      </c>
      <c r="K88" s="33" t="s">
        <v>699</v>
      </c>
      <c r="L88" s="33">
        <v>60</v>
      </c>
      <c r="M88" s="34" t="s">
        <v>1788</v>
      </c>
      <c r="N88" s="34" t="s">
        <v>1823</v>
      </c>
      <c r="O88" s="35">
        <v>1</v>
      </c>
      <c r="P88" s="35"/>
      <c r="Q88" s="32"/>
      <c r="S88" s="1">
        <f t="shared" si="39"/>
        <v>1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1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2037</v>
      </c>
      <c r="E89" s="36" t="s">
        <v>175</v>
      </c>
      <c r="F89" s="36" t="s">
        <v>2035</v>
      </c>
      <c r="G89" s="36" t="s">
        <v>219</v>
      </c>
      <c r="H89" s="36" t="s">
        <v>352</v>
      </c>
      <c r="I89" s="37" t="s">
        <v>2036</v>
      </c>
      <c r="J89" s="31">
        <v>8</v>
      </c>
      <c r="K89" s="33" t="s">
        <v>699</v>
      </c>
      <c r="L89" s="33"/>
      <c r="M89" s="34"/>
      <c r="N89" s="34" t="s">
        <v>1707</v>
      </c>
      <c r="O89" s="35">
        <v>1</v>
      </c>
      <c r="P89" s="35">
        <v>1</v>
      </c>
      <c r="Q89" s="36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1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35"/>
        <v>1</v>
      </c>
      <c r="AG89" s="1">
        <f t="shared" si="36"/>
        <v>0</v>
      </c>
      <c r="AH89" s="1">
        <f t="shared" si="37"/>
        <v>1</v>
      </c>
      <c r="AI89" s="1">
        <f t="shared" si="38"/>
        <v>0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1572</v>
      </c>
      <c r="E90" s="32" t="s">
        <v>174</v>
      </c>
      <c r="F90" s="36" t="s">
        <v>317</v>
      </c>
      <c r="G90" s="36" t="s">
        <v>268</v>
      </c>
      <c r="H90" s="36" t="s">
        <v>352</v>
      </c>
      <c r="I90" s="37" t="s">
        <v>463</v>
      </c>
      <c r="J90" s="31">
        <v>8</v>
      </c>
      <c r="K90" s="33" t="s">
        <v>698</v>
      </c>
      <c r="L90" s="33" t="s">
        <v>685</v>
      </c>
      <c r="M90" s="34" t="s">
        <v>687</v>
      </c>
      <c r="N90" s="34" t="s">
        <v>1729</v>
      </c>
      <c r="O90" s="35">
        <v>1</v>
      </c>
      <c r="P90" s="35"/>
      <c r="Q90" s="36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1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35"/>
        <v>0</v>
      </c>
      <c r="AG90" s="1">
        <f t="shared" si="36"/>
        <v>1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8">
        <v>0</v>
      </c>
      <c r="B91" s="38">
        <v>1</v>
      </c>
      <c r="C91" s="38">
        <v>3</v>
      </c>
      <c r="D91" s="39" t="s">
        <v>135</v>
      </c>
      <c r="E91" s="39" t="s">
        <v>171</v>
      </c>
      <c r="F91" s="54" t="s">
        <v>1854</v>
      </c>
      <c r="G91" s="39" t="s">
        <v>239</v>
      </c>
      <c r="H91" s="39" t="s">
        <v>352</v>
      </c>
      <c r="I91" s="38" t="s">
        <v>481</v>
      </c>
      <c r="J91" s="38">
        <v>1</v>
      </c>
      <c r="K91" s="40" t="s">
        <v>943</v>
      </c>
      <c r="L91" s="40" t="s">
        <v>685</v>
      </c>
      <c r="M91" s="41" t="s">
        <v>687</v>
      </c>
      <c r="N91" s="42"/>
      <c r="O91" s="43"/>
      <c r="P91" s="43">
        <v>1</v>
      </c>
      <c r="Q91" s="39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0</v>
      </c>
      <c r="AF91" s="1">
        <f t="shared" si="35"/>
        <v>0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781</v>
      </c>
      <c r="E92" s="45" t="s">
        <v>606</v>
      </c>
      <c r="F92" s="45" t="s">
        <v>783</v>
      </c>
      <c r="G92" s="45" t="s">
        <v>213</v>
      </c>
      <c r="H92" s="45" t="s">
        <v>352</v>
      </c>
      <c r="I92" s="44" t="s">
        <v>782</v>
      </c>
      <c r="J92" s="44">
        <v>99</v>
      </c>
      <c r="K92" s="46" t="s">
        <v>718</v>
      </c>
      <c r="L92" s="46" t="s">
        <v>1673</v>
      </c>
      <c r="M92" s="47" t="s">
        <v>1367</v>
      </c>
      <c r="N92" s="47" t="s">
        <v>1721</v>
      </c>
      <c r="O92" s="48"/>
      <c r="P92" s="48"/>
      <c r="Q92" s="45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0</v>
      </c>
      <c r="AF92" s="1">
        <f t="shared" si="35"/>
        <v>0</v>
      </c>
      <c r="AG92" s="1">
        <f t="shared" si="36"/>
        <v>0</v>
      </c>
      <c r="AH92" s="1">
        <f t="shared" si="37"/>
        <v>0</v>
      </c>
      <c r="AI92" s="1">
        <f t="shared" si="38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2" t="s">
        <v>77</v>
      </c>
      <c r="E93" s="32" t="s">
        <v>171</v>
      </c>
      <c r="F93" s="32" t="s">
        <v>266</v>
      </c>
      <c r="G93" s="32" t="s">
        <v>262</v>
      </c>
      <c r="H93" s="32" t="s">
        <v>352</v>
      </c>
      <c r="I93" s="31" t="s">
        <v>422</v>
      </c>
      <c r="J93" s="31">
        <v>1</v>
      </c>
      <c r="K93" s="33" t="s">
        <v>943</v>
      </c>
      <c r="L93" s="33" t="s">
        <v>1673</v>
      </c>
      <c r="M93" s="34" t="s">
        <v>957</v>
      </c>
      <c r="N93" s="34" t="s">
        <v>1717</v>
      </c>
      <c r="O93" s="35">
        <v>1</v>
      </c>
      <c r="P93" s="35"/>
      <c r="Q93" s="32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35"/>
        <v>0</v>
      </c>
      <c r="AG93" s="1">
        <f t="shared" si="36"/>
        <v>1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20" t="s">
        <v>1925</v>
      </c>
      <c r="E94" s="20" t="s">
        <v>1953</v>
      </c>
      <c r="F94" s="20" t="s">
        <v>1954</v>
      </c>
      <c r="G94" s="20"/>
      <c r="H94" s="20" t="s">
        <v>1952</v>
      </c>
      <c r="I94" s="21" t="s">
        <v>1955</v>
      </c>
      <c r="J94" s="15">
        <v>18</v>
      </c>
      <c r="K94" s="10" t="s">
        <v>699</v>
      </c>
      <c r="L94" s="10" t="s">
        <v>1716</v>
      </c>
      <c r="M94" s="19" t="s">
        <v>958</v>
      </c>
      <c r="N94" s="17"/>
      <c r="Q94" s="20" t="s">
        <v>1956</v>
      </c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1499</v>
      </c>
      <c r="E95" s="32" t="s">
        <v>175</v>
      </c>
      <c r="F95" s="36" t="s">
        <v>1500</v>
      </c>
      <c r="G95" s="36" t="s">
        <v>39</v>
      </c>
      <c r="H95" s="36" t="s">
        <v>895</v>
      </c>
      <c r="I95" s="37" t="s">
        <v>1501</v>
      </c>
      <c r="J95" s="31">
        <v>11</v>
      </c>
      <c r="K95" s="33" t="s">
        <v>951</v>
      </c>
      <c r="L95" s="33" t="s">
        <v>39</v>
      </c>
      <c r="M95" s="34" t="s">
        <v>39</v>
      </c>
      <c r="N95" s="34" t="s">
        <v>1707</v>
      </c>
      <c r="O95" s="35">
        <v>1</v>
      </c>
      <c r="P95" s="35">
        <v>1</v>
      </c>
      <c r="Q95" s="3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1828</v>
      </c>
      <c r="E96" s="36" t="s">
        <v>171</v>
      </c>
      <c r="F96" s="36" t="s">
        <v>1829</v>
      </c>
      <c r="G96" s="36"/>
      <c r="H96" s="36" t="s">
        <v>1830</v>
      </c>
      <c r="I96" s="37" t="s">
        <v>1831</v>
      </c>
      <c r="J96" s="31">
        <v>15</v>
      </c>
      <c r="K96" s="33" t="s">
        <v>699</v>
      </c>
      <c r="L96" s="33"/>
      <c r="M96" s="34"/>
      <c r="N96" s="34" t="s">
        <v>1707</v>
      </c>
      <c r="O96" s="35">
        <v>1</v>
      </c>
      <c r="P96" s="35">
        <v>1</v>
      </c>
      <c r="Q96" s="36" t="s">
        <v>1866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1</v>
      </c>
      <c r="AE96" s="1">
        <f t="shared" si="50"/>
        <v>0</v>
      </c>
      <c r="AF96" s="1">
        <f t="shared" si="35"/>
        <v>1</v>
      </c>
      <c r="AG96" s="1">
        <f t="shared" si="36"/>
        <v>0</v>
      </c>
      <c r="AH96" s="1">
        <f t="shared" si="37"/>
        <v>1</v>
      </c>
      <c r="AI96" s="1">
        <f t="shared" si="38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732</v>
      </c>
      <c r="E97" s="32" t="s">
        <v>1311</v>
      </c>
      <c r="F97" s="32" t="s">
        <v>1632</v>
      </c>
      <c r="G97" s="32" t="s">
        <v>39</v>
      </c>
      <c r="H97" s="32" t="s">
        <v>733</v>
      </c>
      <c r="I97" s="31" t="s">
        <v>734</v>
      </c>
      <c r="J97" s="31">
        <v>18</v>
      </c>
      <c r="K97" s="33" t="s">
        <v>698</v>
      </c>
      <c r="L97" s="33" t="s">
        <v>684</v>
      </c>
      <c r="M97" s="34" t="s">
        <v>957</v>
      </c>
      <c r="N97" s="34" t="s">
        <v>1823</v>
      </c>
      <c r="O97" s="35">
        <v>1</v>
      </c>
      <c r="P97" s="35"/>
      <c r="Q97" s="32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1</v>
      </c>
      <c r="AF97" s="1">
        <f t="shared" si="35"/>
        <v>0</v>
      </c>
      <c r="AG97" s="1">
        <f t="shared" si="36"/>
        <v>1</v>
      </c>
      <c r="AH97" s="1">
        <f t="shared" si="37"/>
        <v>0</v>
      </c>
      <c r="AI97" s="1">
        <f t="shared" si="38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1520</v>
      </c>
      <c r="E98" s="32" t="s">
        <v>171</v>
      </c>
      <c r="F98" s="32" t="s">
        <v>1521</v>
      </c>
      <c r="G98" s="32" t="s">
        <v>39</v>
      </c>
      <c r="H98" s="32" t="s">
        <v>362</v>
      </c>
      <c r="I98" s="31" t="s">
        <v>1522</v>
      </c>
      <c r="J98" s="31">
        <v>17</v>
      </c>
      <c r="K98" s="33" t="s">
        <v>718</v>
      </c>
      <c r="L98" s="33" t="s">
        <v>684</v>
      </c>
      <c r="M98" s="34" t="s">
        <v>39</v>
      </c>
      <c r="N98" s="34" t="s">
        <v>1701</v>
      </c>
      <c r="O98" s="35">
        <v>1</v>
      </c>
      <c r="P98" s="35">
        <v>1</v>
      </c>
      <c r="Q98" s="36" t="s">
        <v>1890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35"/>
        <v>1</v>
      </c>
      <c r="AG98" s="1">
        <f t="shared" si="36"/>
        <v>0</v>
      </c>
      <c r="AH98" s="1">
        <f t="shared" si="37"/>
        <v>1</v>
      </c>
      <c r="AI98" s="1">
        <f t="shared" si="38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118</v>
      </c>
      <c r="E99" s="32" t="s">
        <v>171</v>
      </c>
      <c r="F99" s="36" t="s">
        <v>318</v>
      </c>
      <c r="G99" s="36" t="s">
        <v>39</v>
      </c>
      <c r="H99" s="36" t="s">
        <v>368</v>
      </c>
      <c r="I99" s="37" t="s">
        <v>464</v>
      </c>
      <c r="J99" s="31">
        <v>14</v>
      </c>
      <c r="K99" s="33" t="s">
        <v>943</v>
      </c>
      <c r="L99" s="33" t="s">
        <v>690</v>
      </c>
      <c r="M99" s="34" t="s">
        <v>687</v>
      </c>
      <c r="N99" s="34" t="s">
        <v>1722</v>
      </c>
      <c r="O99" s="35">
        <v>1</v>
      </c>
      <c r="P99" s="35"/>
      <c r="Q99" s="36" t="s">
        <v>1863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1</v>
      </c>
      <c r="AH99" s="1">
        <f t="shared" si="37"/>
        <v>0</v>
      </c>
      <c r="AI99" s="1">
        <f t="shared" si="38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114</v>
      </c>
      <c r="E100" s="32" t="s">
        <v>169</v>
      </c>
      <c r="F100" s="36" t="s">
        <v>324</v>
      </c>
      <c r="G100" s="36" t="s">
        <v>229</v>
      </c>
      <c r="H100" s="36" t="s">
        <v>352</v>
      </c>
      <c r="I100" s="37" t="s">
        <v>471</v>
      </c>
      <c r="J100" s="31">
        <v>7</v>
      </c>
      <c r="K100" s="33" t="s">
        <v>698</v>
      </c>
      <c r="L100" s="33" t="s">
        <v>39</v>
      </c>
      <c r="M100" s="34" t="s">
        <v>39</v>
      </c>
      <c r="N100" s="34" t="s">
        <v>1707</v>
      </c>
      <c r="O100" s="35">
        <v>1</v>
      </c>
      <c r="P100" s="35">
        <v>1</v>
      </c>
      <c r="Q100" s="36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1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1906</v>
      </c>
      <c r="E101" s="32" t="s">
        <v>1907</v>
      </c>
      <c r="F101" s="36" t="s">
        <v>1908</v>
      </c>
      <c r="G101" s="36"/>
      <c r="H101" s="36" t="s">
        <v>364</v>
      </c>
      <c r="I101" s="37" t="s">
        <v>1910</v>
      </c>
      <c r="J101" s="31">
        <v>18</v>
      </c>
      <c r="K101" s="33" t="s">
        <v>699</v>
      </c>
      <c r="L101" s="33"/>
      <c r="M101" s="34"/>
      <c r="N101" s="34" t="s">
        <v>1707</v>
      </c>
      <c r="O101" s="35">
        <v>1</v>
      </c>
      <c r="P101" s="35">
        <v>1</v>
      </c>
      <c r="Q101" s="36" t="s">
        <v>1909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35"/>
        <v>1</v>
      </c>
      <c r="AG101" s="1">
        <f t="shared" si="36"/>
        <v>0</v>
      </c>
      <c r="AH101" s="1">
        <f t="shared" si="37"/>
        <v>1</v>
      </c>
      <c r="AI101" s="1">
        <f t="shared" si="38"/>
        <v>0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1188</v>
      </c>
      <c r="E102" s="45" t="s">
        <v>174</v>
      </c>
      <c r="F102" s="45" t="s">
        <v>1319</v>
      </c>
      <c r="G102" s="45" t="s">
        <v>39</v>
      </c>
      <c r="H102" s="45" t="s">
        <v>607</v>
      </c>
      <c r="I102" s="44" t="s">
        <v>1189</v>
      </c>
      <c r="J102" s="44">
        <v>14</v>
      </c>
      <c r="K102" s="46" t="s">
        <v>943</v>
      </c>
      <c r="L102" s="46" t="s">
        <v>1673</v>
      </c>
      <c r="M102" s="47" t="s">
        <v>1368</v>
      </c>
      <c r="N102" s="47" t="s">
        <v>1776</v>
      </c>
      <c r="O102" s="48"/>
      <c r="P102" s="48"/>
      <c r="Q102" s="4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812</v>
      </c>
      <c r="E103" s="32" t="s">
        <v>175</v>
      </c>
      <c r="F103" s="36" t="s">
        <v>916</v>
      </c>
      <c r="G103" s="36" t="s">
        <v>39</v>
      </c>
      <c r="H103" s="36" t="s">
        <v>370</v>
      </c>
      <c r="I103" s="37" t="s">
        <v>813</v>
      </c>
      <c r="J103" s="31">
        <v>16</v>
      </c>
      <c r="K103" s="33" t="s">
        <v>944</v>
      </c>
      <c r="L103" s="33" t="s">
        <v>684</v>
      </c>
      <c r="M103" s="34" t="s">
        <v>957</v>
      </c>
      <c r="N103" s="34" t="s">
        <v>1701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35"/>
        <v>1</v>
      </c>
      <c r="AG103" s="1">
        <f t="shared" si="36"/>
        <v>0</v>
      </c>
      <c r="AH103" s="1">
        <f t="shared" si="37"/>
        <v>1</v>
      </c>
      <c r="AI103" s="1">
        <f t="shared" si="38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2" t="s">
        <v>103</v>
      </c>
      <c r="E104" s="32" t="s">
        <v>169</v>
      </c>
      <c r="F104" s="32" t="s">
        <v>301</v>
      </c>
      <c r="G104" s="32" t="s">
        <v>39</v>
      </c>
      <c r="H104" s="32" t="s">
        <v>355</v>
      </c>
      <c r="I104" s="31" t="s">
        <v>448</v>
      </c>
      <c r="J104" s="31">
        <v>18</v>
      </c>
      <c r="K104" s="33" t="s">
        <v>698</v>
      </c>
      <c r="L104" s="33" t="s">
        <v>684</v>
      </c>
      <c r="M104" s="34" t="s">
        <v>687</v>
      </c>
      <c r="N104" s="34" t="s">
        <v>1717</v>
      </c>
      <c r="O104" s="35">
        <v>1</v>
      </c>
      <c r="P104" s="35"/>
      <c r="Q104" s="32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512</v>
      </c>
      <c r="E105" s="45" t="s">
        <v>169</v>
      </c>
      <c r="F105" s="45" t="s">
        <v>513</v>
      </c>
      <c r="G105" s="45" t="s">
        <v>500</v>
      </c>
      <c r="H105" s="45" t="s">
        <v>352</v>
      </c>
      <c r="I105" s="44" t="s">
        <v>514</v>
      </c>
      <c r="J105" s="44">
        <v>99</v>
      </c>
      <c r="K105" s="46" t="s">
        <v>943</v>
      </c>
      <c r="L105" s="46" t="s">
        <v>690</v>
      </c>
      <c r="M105" s="47" t="s">
        <v>687</v>
      </c>
      <c r="N105" s="47" t="s">
        <v>1721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35"/>
        <v>0</v>
      </c>
      <c r="AG105" s="1">
        <f t="shared" si="36"/>
        <v>0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1619</v>
      </c>
      <c r="E106" s="16" t="s">
        <v>1074</v>
      </c>
      <c r="F106" s="16" t="s">
        <v>1200</v>
      </c>
      <c r="G106" s="16" t="s">
        <v>39</v>
      </c>
      <c r="H106" s="16" t="s">
        <v>1201</v>
      </c>
      <c r="I106" s="15" t="s">
        <v>1202</v>
      </c>
      <c r="J106" s="15">
        <v>18</v>
      </c>
      <c r="K106" s="10" t="s">
        <v>945</v>
      </c>
      <c r="L106" s="10" t="s">
        <v>684</v>
      </c>
      <c r="M106" s="19" t="s">
        <v>957</v>
      </c>
      <c r="N106" s="17"/>
      <c r="Q106" s="16" t="s">
        <v>1858</v>
      </c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0</v>
      </c>
      <c r="AF106" s="1">
        <f t="shared" si="35"/>
        <v>0</v>
      </c>
      <c r="AG106" s="1">
        <f t="shared" si="36"/>
        <v>0</v>
      </c>
      <c r="AH106" s="1">
        <f t="shared" si="37"/>
        <v>0</v>
      </c>
      <c r="AI106" s="1">
        <f t="shared" si="38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1532</v>
      </c>
      <c r="E107" s="32" t="s">
        <v>169</v>
      </c>
      <c r="F107" s="32" t="s">
        <v>1651</v>
      </c>
      <c r="G107" s="32" t="s">
        <v>39</v>
      </c>
      <c r="H107" s="32" t="s">
        <v>355</v>
      </c>
      <c r="I107" s="31" t="s">
        <v>1533</v>
      </c>
      <c r="J107" s="31">
        <v>18</v>
      </c>
      <c r="K107" s="33" t="s">
        <v>718</v>
      </c>
      <c r="L107" s="33" t="s">
        <v>684</v>
      </c>
      <c r="M107" s="34" t="s">
        <v>687</v>
      </c>
      <c r="N107" s="34" t="s">
        <v>1717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1299</v>
      </c>
      <c r="E108" s="32" t="s">
        <v>174</v>
      </c>
      <c r="F108" s="32" t="s">
        <v>1320</v>
      </c>
      <c r="G108" s="32" t="s">
        <v>39</v>
      </c>
      <c r="H108" s="32" t="s">
        <v>352</v>
      </c>
      <c r="I108" s="31" t="s">
        <v>1120</v>
      </c>
      <c r="J108" s="31">
        <v>99</v>
      </c>
      <c r="K108" s="33" t="s">
        <v>698</v>
      </c>
      <c r="L108" s="33" t="s">
        <v>1673</v>
      </c>
      <c r="M108" s="34" t="s">
        <v>1369</v>
      </c>
      <c r="N108" s="34" t="s">
        <v>1723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1243</v>
      </c>
      <c r="E109" s="32" t="s">
        <v>169</v>
      </c>
      <c r="F109" s="32" t="s">
        <v>1321</v>
      </c>
      <c r="G109" s="32" t="s">
        <v>1175</v>
      </c>
      <c r="H109" s="32" t="s">
        <v>352</v>
      </c>
      <c r="I109" s="31" t="s">
        <v>1176</v>
      </c>
      <c r="J109" s="31">
        <v>99</v>
      </c>
      <c r="K109" s="33" t="s">
        <v>718</v>
      </c>
      <c r="L109" s="33">
        <v>50</v>
      </c>
      <c r="M109" s="34" t="s">
        <v>39</v>
      </c>
      <c r="N109" s="34" t="s">
        <v>1775</v>
      </c>
      <c r="O109" s="35">
        <v>1</v>
      </c>
      <c r="P109" s="35"/>
      <c r="Q109" s="32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35"/>
        <v>0</v>
      </c>
      <c r="AG109" s="1">
        <f t="shared" si="36"/>
        <v>1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1006</v>
      </c>
      <c r="E110" s="32" t="s">
        <v>606</v>
      </c>
      <c r="F110" s="32" t="s">
        <v>1007</v>
      </c>
      <c r="G110" s="32" t="s">
        <v>1008</v>
      </c>
      <c r="H110" s="32" t="s">
        <v>352</v>
      </c>
      <c r="I110" s="31" t="s">
        <v>1009</v>
      </c>
      <c r="J110" s="31">
        <v>99</v>
      </c>
      <c r="K110" s="33" t="s">
        <v>943</v>
      </c>
      <c r="L110" s="33" t="s">
        <v>39</v>
      </c>
      <c r="M110" s="34" t="s">
        <v>39</v>
      </c>
      <c r="N110" s="34" t="s">
        <v>1707</v>
      </c>
      <c r="O110" s="35">
        <v>1</v>
      </c>
      <c r="P110" s="35">
        <v>1</v>
      </c>
      <c r="Q110" s="32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2093</v>
      </c>
      <c r="E111" s="16" t="s">
        <v>171</v>
      </c>
      <c r="F111" s="16" t="s">
        <v>2094</v>
      </c>
      <c r="G111" s="16"/>
      <c r="H111" s="16" t="s">
        <v>2095</v>
      </c>
      <c r="I111" s="15" t="s">
        <v>2096</v>
      </c>
      <c r="J111" s="15">
        <v>12</v>
      </c>
      <c r="K111" s="10" t="s">
        <v>699</v>
      </c>
      <c r="L111" s="10">
        <v>40</v>
      </c>
      <c r="M111" s="19" t="s">
        <v>1370</v>
      </c>
      <c r="N111" s="17"/>
      <c r="Q111" s="20" t="s">
        <v>2097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ref="AD111:AD113" si="51">+O111*P111</f>
        <v>0</v>
      </c>
      <c r="AE111" s="1">
        <f t="shared" ref="AE111:AE113" si="52">O111*(1-P111)</f>
        <v>0</v>
      </c>
      <c r="AF111" s="1">
        <f t="shared" ref="AF111:AF113" si="53">+O111*P111*(1-A111)</f>
        <v>0</v>
      </c>
      <c r="AG111" s="1">
        <f t="shared" ref="AG111:AG113" si="54">O111*(1-P111)*(1-A111)</f>
        <v>0</v>
      </c>
      <c r="AH111" s="1">
        <f t="shared" ref="AH111:AH113" si="55">+P111*(1-A111)</f>
        <v>0</v>
      </c>
      <c r="AI111" s="1">
        <f t="shared" ref="AI111:AI113" si="56">+(1-A111)*(1-P111)</f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140</v>
      </c>
      <c r="E112" s="32" t="s">
        <v>174</v>
      </c>
      <c r="F112" s="32" t="s">
        <v>340</v>
      </c>
      <c r="G112" s="32" t="s">
        <v>39</v>
      </c>
      <c r="H112" s="32" t="s">
        <v>374</v>
      </c>
      <c r="I112" s="31" t="s">
        <v>486</v>
      </c>
      <c r="J112" s="31">
        <v>16</v>
      </c>
      <c r="K112" s="33" t="s">
        <v>698</v>
      </c>
      <c r="L112" s="33" t="s">
        <v>684</v>
      </c>
      <c r="M112" s="34" t="s">
        <v>1370</v>
      </c>
      <c r="N112" s="34" t="s">
        <v>1722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51"/>
        <v>0</v>
      </c>
      <c r="AE112" s="1">
        <f t="shared" si="52"/>
        <v>1</v>
      </c>
      <c r="AF112" s="1">
        <f t="shared" si="53"/>
        <v>0</v>
      </c>
      <c r="AG112" s="1">
        <f t="shared" si="54"/>
        <v>1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808</v>
      </c>
      <c r="E113" s="32" t="s">
        <v>171</v>
      </c>
      <c r="F113" s="32" t="s">
        <v>809</v>
      </c>
      <c r="G113" s="32" t="s">
        <v>39</v>
      </c>
      <c r="H113" s="32" t="s">
        <v>810</v>
      </c>
      <c r="I113" s="31" t="s">
        <v>811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1701</v>
      </c>
      <c r="O113" s="35">
        <v>1</v>
      </c>
      <c r="P113" s="35">
        <v>1</v>
      </c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51"/>
        <v>1</v>
      </c>
      <c r="AE113" s="1">
        <f t="shared" si="52"/>
        <v>0</v>
      </c>
      <c r="AF113" s="1">
        <f t="shared" si="53"/>
        <v>1</v>
      </c>
      <c r="AG113" s="1">
        <f t="shared" si="54"/>
        <v>0</v>
      </c>
      <c r="AH113" s="1">
        <f t="shared" si="55"/>
        <v>1</v>
      </c>
      <c r="AI113" s="1">
        <f t="shared" si="56"/>
        <v>0</v>
      </c>
    </row>
    <row r="114" spans="1:35" ht="14.25" customHeight="1" x14ac:dyDescent="0.25">
      <c r="A114" s="15">
        <v>0</v>
      </c>
      <c r="B114" s="15">
        <v>1</v>
      </c>
      <c r="C114" s="15">
        <v>3</v>
      </c>
      <c r="D114" s="16" t="s">
        <v>107</v>
      </c>
      <c r="E114" s="16" t="s">
        <v>169</v>
      </c>
      <c r="F114" s="16" t="s">
        <v>304</v>
      </c>
      <c r="G114" s="16" t="s">
        <v>39</v>
      </c>
      <c r="H114" s="16" t="s">
        <v>359</v>
      </c>
      <c r="I114" s="15" t="s">
        <v>452</v>
      </c>
      <c r="J114" s="15">
        <v>18</v>
      </c>
      <c r="K114" s="10" t="s">
        <v>699</v>
      </c>
      <c r="L114" s="10" t="s">
        <v>684</v>
      </c>
      <c r="M114" s="19" t="s">
        <v>687</v>
      </c>
      <c r="N114" s="17"/>
      <c r="Q114" s="20" t="s">
        <v>1857</v>
      </c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0</v>
      </c>
      <c r="AF114" s="1">
        <f t="shared" si="35"/>
        <v>0</v>
      </c>
      <c r="AG114" s="1">
        <f t="shared" si="36"/>
        <v>0</v>
      </c>
      <c r="AH114" s="1">
        <f t="shared" si="37"/>
        <v>0</v>
      </c>
      <c r="AI114" s="1">
        <f t="shared" si="3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1480</v>
      </c>
      <c r="E115" s="32" t="s">
        <v>169</v>
      </c>
      <c r="F115" s="32" t="s">
        <v>1481</v>
      </c>
      <c r="G115" s="32" t="s">
        <v>39</v>
      </c>
      <c r="H115" s="32" t="s">
        <v>372</v>
      </c>
      <c r="I115" s="31" t="s">
        <v>1482</v>
      </c>
      <c r="J115" s="31">
        <v>11</v>
      </c>
      <c r="K115" s="33" t="s">
        <v>718</v>
      </c>
      <c r="L115" s="33">
        <v>50</v>
      </c>
      <c r="M115" s="34" t="s">
        <v>39</v>
      </c>
      <c r="N115" s="34" t="s">
        <v>1723</v>
      </c>
      <c r="O115" s="35">
        <v>1</v>
      </c>
      <c r="P115" s="35"/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35"/>
        <v>0</v>
      </c>
      <c r="AG115" s="1">
        <f t="shared" si="36"/>
        <v>1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4">
        <v>0</v>
      </c>
      <c r="B116" s="44">
        <v>1</v>
      </c>
      <c r="C116" s="44">
        <v>3</v>
      </c>
      <c r="D116" s="45" t="s">
        <v>106</v>
      </c>
      <c r="E116" s="45" t="s">
        <v>169</v>
      </c>
      <c r="F116" s="45" t="s">
        <v>303</v>
      </c>
      <c r="G116" s="45" t="s">
        <v>39</v>
      </c>
      <c r="H116" s="45" t="s">
        <v>358</v>
      </c>
      <c r="I116" s="44" t="s">
        <v>451</v>
      </c>
      <c r="J116" s="44">
        <v>18</v>
      </c>
      <c r="K116" s="46" t="s">
        <v>698</v>
      </c>
      <c r="L116" s="46">
        <v>55</v>
      </c>
      <c r="M116" s="47" t="s">
        <v>687</v>
      </c>
      <c r="N116" s="47" t="s">
        <v>1708</v>
      </c>
      <c r="O116" s="48"/>
      <c r="P116" s="48"/>
      <c r="Q116" s="4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127</v>
      </c>
      <c r="E117" s="32" t="s">
        <v>174</v>
      </c>
      <c r="F117" s="32" t="s">
        <v>327</v>
      </c>
      <c r="G117" s="32" t="s">
        <v>39</v>
      </c>
      <c r="H117" s="32" t="s">
        <v>373</v>
      </c>
      <c r="I117" s="31" t="s">
        <v>474</v>
      </c>
      <c r="J117" s="31">
        <v>12</v>
      </c>
      <c r="K117" s="33" t="s">
        <v>698</v>
      </c>
      <c r="L117" s="33">
        <v>35</v>
      </c>
      <c r="M117" s="34" t="s">
        <v>687</v>
      </c>
      <c r="N117" s="34" t="s">
        <v>1723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35"/>
        <v>0</v>
      </c>
      <c r="AG117" s="1">
        <f t="shared" si="36"/>
        <v>1</v>
      </c>
      <c r="AH117" s="1">
        <f t="shared" si="37"/>
        <v>0</v>
      </c>
      <c r="AI117" s="1">
        <f t="shared" si="38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981</v>
      </c>
      <c r="E118" s="32" t="s">
        <v>169</v>
      </c>
      <c r="F118" s="32" t="s">
        <v>1080</v>
      </c>
      <c r="G118" s="32" t="s">
        <v>231</v>
      </c>
      <c r="H118" s="32" t="s">
        <v>352</v>
      </c>
      <c r="I118" s="31" t="s">
        <v>982</v>
      </c>
      <c r="J118" s="31">
        <v>99</v>
      </c>
      <c r="K118" s="33" t="s">
        <v>943</v>
      </c>
      <c r="L118" s="33">
        <v>40</v>
      </c>
      <c r="M118" s="34" t="s">
        <v>39</v>
      </c>
      <c r="N118" s="34" t="s">
        <v>1920</v>
      </c>
      <c r="O118" s="35">
        <v>1</v>
      </c>
      <c r="P118" s="35"/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1</v>
      </c>
      <c r="AF118" s="1">
        <f t="shared" si="35"/>
        <v>0</v>
      </c>
      <c r="AG118" s="1">
        <f t="shared" si="36"/>
        <v>1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128</v>
      </c>
      <c r="E119" s="32" t="s">
        <v>169</v>
      </c>
      <c r="F119" s="32" t="s">
        <v>328</v>
      </c>
      <c r="G119" s="32" t="s">
        <v>39</v>
      </c>
      <c r="H119" s="32" t="s">
        <v>369</v>
      </c>
      <c r="I119" s="31" t="s">
        <v>475</v>
      </c>
      <c r="J119" s="31">
        <v>11</v>
      </c>
      <c r="K119" s="33" t="s">
        <v>698</v>
      </c>
      <c r="L119" s="33" t="s">
        <v>39</v>
      </c>
      <c r="M119" s="34" t="s">
        <v>39</v>
      </c>
      <c r="N119" s="34" t="s">
        <v>1701</v>
      </c>
      <c r="O119" s="35">
        <v>1</v>
      </c>
      <c r="P119" s="35">
        <v>1</v>
      </c>
      <c r="Q119" s="32" t="s">
        <v>2010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1300</v>
      </c>
      <c r="E120" s="32" t="s">
        <v>171</v>
      </c>
      <c r="F120" s="32" t="s">
        <v>1323</v>
      </c>
      <c r="G120" s="32" t="s">
        <v>39</v>
      </c>
      <c r="H120" s="32" t="s">
        <v>975</v>
      </c>
      <c r="I120" s="31" t="s">
        <v>976</v>
      </c>
      <c r="J120" s="31">
        <v>14</v>
      </c>
      <c r="K120" s="33" t="s">
        <v>699</v>
      </c>
      <c r="L120" s="33">
        <v>30</v>
      </c>
      <c r="M120" s="34" t="s">
        <v>958</v>
      </c>
      <c r="N120" s="34" t="s">
        <v>1717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35"/>
        <v>0</v>
      </c>
      <c r="AG120" s="1">
        <f t="shared" si="36"/>
        <v>1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695</v>
      </c>
      <c r="E121" s="32" t="s">
        <v>174</v>
      </c>
      <c r="F121" s="32" t="s">
        <v>696</v>
      </c>
      <c r="G121" s="32" t="s">
        <v>39</v>
      </c>
      <c r="H121" s="32" t="s">
        <v>697</v>
      </c>
      <c r="I121" s="31" t="s">
        <v>1102</v>
      </c>
      <c r="J121" s="31">
        <v>13</v>
      </c>
      <c r="K121" s="33" t="s">
        <v>698</v>
      </c>
      <c r="L121" s="33" t="s">
        <v>1673</v>
      </c>
      <c r="M121" s="34" t="s">
        <v>957</v>
      </c>
      <c r="N121" s="34" t="s">
        <v>1799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1495</v>
      </c>
      <c r="E122" s="32" t="s">
        <v>169</v>
      </c>
      <c r="F122" s="32" t="s">
        <v>1641</v>
      </c>
      <c r="G122" s="32" t="s">
        <v>39</v>
      </c>
      <c r="H122" s="32" t="s">
        <v>1496</v>
      </c>
      <c r="I122" s="31" t="s">
        <v>1497</v>
      </c>
      <c r="J122" s="31">
        <v>11</v>
      </c>
      <c r="K122" s="33" t="s">
        <v>718</v>
      </c>
      <c r="L122" s="33">
        <v>40</v>
      </c>
      <c r="M122" s="34" t="s">
        <v>39</v>
      </c>
      <c r="N122" s="34" t="s">
        <v>1701</v>
      </c>
      <c r="O122" s="35">
        <v>1</v>
      </c>
      <c r="P122" s="35">
        <v>1</v>
      </c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1</v>
      </c>
      <c r="AE122" s="1">
        <f t="shared" si="50"/>
        <v>0</v>
      </c>
      <c r="AF122" s="1">
        <f t="shared" si="35"/>
        <v>1</v>
      </c>
      <c r="AG122" s="1">
        <f t="shared" si="36"/>
        <v>0</v>
      </c>
      <c r="AH122" s="1">
        <f t="shared" si="37"/>
        <v>1</v>
      </c>
      <c r="AI122" s="1">
        <f t="shared" si="38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145</v>
      </c>
      <c r="E123" s="16" t="s">
        <v>171</v>
      </c>
      <c r="F123" s="16" t="s">
        <v>346</v>
      </c>
      <c r="G123" s="16" t="s">
        <v>39</v>
      </c>
      <c r="H123" s="16" t="s">
        <v>365</v>
      </c>
      <c r="I123" s="15" t="s">
        <v>490</v>
      </c>
      <c r="J123" s="15">
        <v>18</v>
      </c>
      <c r="K123" s="10" t="s">
        <v>943</v>
      </c>
      <c r="L123" s="10" t="s">
        <v>693</v>
      </c>
      <c r="M123" s="19" t="s">
        <v>957</v>
      </c>
      <c r="N123" s="17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35"/>
        <v>0</v>
      </c>
      <c r="AG123" s="1">
        <f t="shared" si="36"/>
        <v>0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20" t="s">
        <v>1951</v>
      </c>
      <c r="E124" s="20" t="s">
        <v>171</v>
      </c>
      <c r="F124" s="20" t="s">
        <v>1948</v>
      </c>
      <c r="G124" s="20"/>
      <c r="H124" s="20" t="s">
        <v>1949</v>
      </c>
      <c r="I124" s="21" t="s">
        <v>1947</v>
      </c>
      <c r="J124" s="15">
        <v>17</v>
      </c>
      <c r="K124" s="10" t="s">
        <v>699</v>
      </c>
      <c r="L124" s="10" t="s">
        <v>1716</v>
      </c>
      <c r="M124" s="19" t="s">
        <v>958</v>
      </c>
      <c r="N124" s="17"/>
      <c r="Q124" s="20" t="s">
        <v>1950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44">
        <v>0</v>
      </c>
      <c r="B125" s="44">
        <v>1</v>
      </c>
      <c r="C125" s="44">
        <v>3</v>
      </c>
      <c r="D125" s="45" t="s">
        <v>987</v>
      </c>
      <c r="E125" s="45" t="s">
        <v>171</v>
      </c>
      <c r="F125" s="64" t="s">
        <v>1841</v>
      </c>
      <c r="G125" s="45" t="s">
        <v>39</v>
      </c>
      <c r="H125" s="45" t="s">
        <v>988</v>
      </c>
      <c r="I125" s="44" t="s">
        <v>1103</v>
      </c>
      <c r="J125" s="44">
        <v>16</v>
      </c>
      <c r="K125" s="46" t="s">
        <v>718</v>
      </c>
      <c r="L125" s="46" t="s">
        <v>1716</v>
      </c>
      <c r="M125" s="47" t="s">
        <v>1371</v>
      </c>
      <c r="N125" s="47" t="s">
        <v>1776</v>
      </c>
      <c r="O125" s="48"/>
      <c r="P125" s="48"/>
      <c r="Q125" s="64" t="s">
        <v>1864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s="1" customFormat="1" ht="14.25" customHeight="1" x14ac:dyDescent="0.25">
      <c r="A126" s="31">
        <v>0</v>
      </c>
      <c r="B126" s="31">
        <v>1</v>
      </c>
      <c r="C126" s="31">
        <v>3</v>
      </c>
      <c r="D126" s="32" t="s">
        <v>1114</v>
      </c>
      <c r="E126" s="32" t="s">
        <v>171</v>
      </c>
      <c r="F126" s="32" t="s">
        <v>1324</v>
      </c>
      <c r="G126" s="32" t="s">
        <v>39</v>
      </c>
      <c r="H126" s="32" t="s">
        <v>1116</v>
      </c>
      <c r="I126" s="31" t="s">
        <v>1115</v>
      </c>
      <c r="J126" s="31">
        <v>14</v>
      </c>
      <c r="K126" s="33" t="s">
        <v>945</v>
      </c>
      <c r="L126" s="33" t="s">
        <v>1673</v>
      </c>
      <c r="M126" s="34" t="s">
        <v>1372</v>
      </c>
      <c r="N126" s="34" t="s">
        <v>1701</v>
      </c>
      <c r="O126" s="35">
        <v>1</v>
      </c>
      <c r="P126" s="35">
        <v>1</v>
      </c>
      <c r="Q126" s="32" t="s">
        <v>2098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1</v>
      </c>
      <c r="AE126" s="1">
        <f t="shared" si="50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2" t="s">
        <v>1065</v>
      </c>
      <c r="E127" s="32" t="s">
        <v>171</v>
      </c>
      <c r="F127" s="32" t="s">
        <v>1027</v>
      </c>
      <c r="G127" s="32" t="s">
        <v>1091</v>
      </c>
      <c r="H127" s="32" t="s">
        <v>352</v>
      </c>
      <c r="I127" s="31" t="s">
        <v>1028</v>
      </c>
      <c r="J127" s="31">
        <v>1</v>
      </c>
      <c r="K127" s="33" t="s">
        <v>945</v>
      </c>
      <c r="L127" s="33" t="s">
        <v>683</v>
      </c>
      <c r="M127" s="34" t="s">
        <v>958</v>
      </c>
      <c r="N127" s="34" t="s">
        <v>1729</v>
      </c>
      <c r="O127" s="35">
        <v>1</v>
      </c>
      <c r="P127" s="35"/>
      <c r="Q127" s="32"/>
      <c r="S127" s="1">
        <f t="shared" si="39"/>
        <v>1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35"/>
        <v>0</v>
      </c>
      <c r="AG127" s="1">
        <f t="shared" si="36"/>
        <v>1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6" t="s">
        <v>2068</v>
      </c>
      <c r="E128" s="36" t="s">
        <v>171</v>
      </c>
      <c r="F128" s="36" t="s">
        <v>2069</v>
      </c>
      <c r="G128" s="32"/>
      <c r="H128" s="36" t="s">
        <v>2070</v>
      </c>
      <c r="I128" s="37" t="s">
        <v>2071</v>
      </c>
      <c r="J128" s="31">
        <v>14</v>
      </c>
      <c r="K128" s="33" t="s">
        <v>699</v>
      </c>
      <c r="L128" s="33"/>
      <c r="M128" s="34"/>
      <c r="N128" s="34" t="s">
        <v>1707</v>
      </c>
      <c r="O128" s="35">
        <v>1</v>
      </c>
      <c r="P128" s="35">
        <v>1</v>
      </c>
      <c r="Q128" s="36" t="s">
        <v>2072</v>
      </c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35"/>
        <v>1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1603</v>
      </c>
      <c r="E129" s="32" t="s">
        <v>1074</v>
      </c>
      <c r="F129" s="32" t="s">
        <v>1604</v>
      </c>
      <c r="G129" s="32" t="s">
        <v>39</v>
      </c>
      <c r="H129" s="32" t="s">
        <v>1605</v>
      </c>
      <c r="I129" s="31" t="s">
        <v>1606</v>
      </c>
      <c r="J129" s="31">
        <v>15</v>
      </c>
      <c r="K129" s="33" t="s">
        <v>945</v>
      </c>
      <c r="L129" s="33" t="s">
        <v>39</v>
      </c>
      <c r="M129" s="34" t="s">
        <v>39</v>
      </c>
      <c r="N129" s="34" t="s">
        <v>1722</v>
      </c>
      <c r="O129" s="35">
        <v>1</v>
      </c>
      <c r="P129" s="35"/>
      <c r="Q129" s="36" t="s">
        <v>1869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1</v>
      </c>
      <c r="AF129" s="1">
        <f t="shared" si="35"/>
        <v>0</v>
      </c>
      <c r="AG129" s="1">
        <f t="shared" si="36"/>
        <v>1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609</v>
      </c>
      <c r="E130" s="16" t="s">
        <v>169</v>
      </c>
      <c r="F130" s="16" t="s">
        <v>610</v>
      </c>
      <c r="G130" s="16" t="s">
        <v>39</v>
      </c>
      <c r="H130" s="16" t="s">
        <v>364</v>
      </c>
      <c r="I130" s="15" t="s">
        <v>611</v>
      </c>
      <c r="J130" s="15">
        <v>18</v>
      </c>
      <c r="K130" s="10" t="s">
        <v>718</v>
      </c>
      <c r="L130" s="10" t="s">
        <v>1716</v>
      </c>
      <c r="M130" s="19" t="s">
        <v>39</v>
      </c>
      <c r="N130" s="17"/>
      <c r="Q130" s="1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2075</v>
      </c>
      <c r="E131" s="20" t="s">
        <v>865</v>
      </c>
      <c r="F131" s="20" t="s">
        <v>2076</v>
      </c>
      <c r="G131" s="16"/>
      <c r="H131" s="20" t="s">
        <v>2077</v>
      </c>
      <c r="I131" s="21" t="s">
        <v>2078</v>
      </c>
      <c r="J131" s="15">
        <v>16</v>
      </c>
      <c r="K131" s="10" t="s">
        <v>699</v>
      </c>
      <c r="L131" s="10" t="s">
        <v>684</v>
      </c>
      <c r="M131" s="19" t="s">
        <v>958</v>
      </c>
      <c r="N131" s="17"/>
      <c r="Q131" s="16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1924</v>
      </c>
      <c r="E132" s="20" t="s">
        <v>171</v>
      </c>
      <c r="F132" s="20" t="s">
        <v>1944</v>
      </c>
      <c r="G132" s="20"/>
      <c r="H132" s="20" t="s">
        <v>1943</v>
      </c>
      <c r="I132" s="21" t="s">
        <v>1945</v>
      </c>
      <c r="J132" s="15">
        <v>15</v>
      </c>
      <c r="K132" s="10" t="s">
        <v>699</v>
      </c>
      <c r="L132" s="10" t="s">
        <v>1716</v>
      </c>
      <c r="M132" s="19" t="s">
        <v>958</v>
      </c>
      <c r="N132" s="17"/>
      <c r="Q132" s="20" t="s">
        <v>1946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0</v>
      </c>
      <c r="AF132" s="1">
        <f t="shared" si="35"/>
        <v>0</v>
      </c>
      <c r="AG132" s="1">
        <f t="shared" si="36"/>
        <v>0</v>
      </c>
      <c r="AH132" s="1">
        <f t="shared" si="37"/>
        <v>0</v>
      </c>
      <c r="AI132" s="1">
        <f t="shared" si="38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909</v>
      </c>
      <c r="E133" s="32" t="s">
        <v>171</v>
      </c>
      <c r="F133" s="32" t="s">
        <v>1141</v>
      </c>
      <c r="G133" s="32" t="s">
        <v>39</v>
      </c>
      <c r="H133" s="32" t="s">
        <v>361</v>
      </c>
      <c r="I133" s="31" t="s">
        <v>880</v>
      </c>
      <c r="J133" s="31">
        <v>14</v>
      </c>
      <c r="K133" s="33" t="s">
        <v>944</v>
      </c>
      <c r="L133" s="33" t="s">
        <v>39</v>
      </c>
      <c r="M133" s="34" t="s">
        <v>39</v>
      </c>
      <c r="N133" s="34" t="s">
        <v>1707</v>
      </c>
      <c r="O133" s="35">
        <v>1</v>
      </c>
      <c r="P133" s="35">
        <v>1</v>
      </c>
      <c r="Q133" s="36"/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44">
        <v>0</v>
      </c>
      <c r="B134" s="44">
        <v>1</v>
      </c>
      <c r="C134" s="44">
        <v>3</v>
      </c>
      <c r="D134" s="45" t="s">
        <v>104</v>
      </c>
      <c r="E134" s="45" t="s">
        <v>171</v>
      </c>
      <c r="F134" s="45" t="s">
        <v>920</v>
      </c>
      <c r="G134" s="45" t="s">
        <v>39</v>
      </c>
      <c r="H134" s="45" t="s">
        <v>356</v>
      </c>
      <c r="I134" s="44" t="s">
        <v>449</v>
      </c>
      <c r="J134" s="44">
        <v>18</v>
      </c>
      <c r="K134" s="46" t="s">
        <v>943</v>
      </c>
      <c r="L134" s="46" t="s">
        <v>693</v>
      </c>
      <c r="M134" s="47" t="s">
        <v>687</v>
      </c>
      <c r="N134" s="47" t="s">
        <v>1709</v>
      </c>
      <c r="O134" s="48"/>
      <c r="P134" s="48"/>
      <c r="Q134" s="45" t="s">
        <v>1862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0</v>
      </c>
      <c r="AF134" s="1">
        <f t="shared" si="35"/>
        <v>0</v>
      </c>
      <c r="AG134" s="1">
        <f t="shared" si="36"/>
        <v>0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1483</v>
      </c>
      <c r="E135" s="32" t="s">
        <v>1626</v>
      </c>
      <c r="F135" s="32" t="s">
        <v>1485</v>
      </c>
      <c r="G135" s="32" t="s">
        <v>39</v>
      </c>
      <c r="H135" s="32" t="s">
        <v>1486</v>
      </c>
      <c r="I135" s="31" t="s">
        <v>1484</v>
      </c>
      <c r="J135" s="31">
        <v>14</v>
      </c>
      <c r="K135" s="33" t="s">
        <v>949</v>
      </c>
      <c r="L135" s="33" t="s">
        <v>683</v>
      </c>
      <c r="M135" s="34" t="s">
        <v>1373</v>
      </c>
      <c r="N135" s="34" t="s">
        <v>1701</v>
      </c>
      <c r="O135" s="35">
        <v>1</v>
      </c>
      <c r="P135" s="35">
        <v>1</v>
      </c>
      <c r="Q135" s="3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1</v>
      </c>
      <c r="AE135" s="1">
        <f t="shared" si="50"/>
        <v>0</v>
      </c>
      <c r="AF135" s="1">
        <f t="shared" si="35"/>
        <v>1</v>
      </c>
      <c r="AG135" s="1">
        <f t="shared" si="36"/>
        <v>0</v>
      </c>
      <c r="AH135" s="1">
        <f t="shared" si="37"/>
        <v>1</v>
      </c>
      <c r="AI135" s="1">
        <f t="shared" si="38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1237</v>
      </c>
      <c r="E136" s="32" t="s">
        <v>171</v>
      </c>
      <c r="F136" s="32" t="s">
        <v>1238</v>
      </c>
      <c r="G136" s="32" t="s">
        <v>1240</v>
      </c>
      <c r="H136" s="32" t="s">
        <v>352</v>
      </c>
      <c r="I136" s="31" t="s">
        <v>1239</v>
      </c>
      <c r="J136" s="31">
        <v>99</v>
      </c>
      <c r="K136" s="33" t="s">
        <v>945</v>
      </c>
      <c r="L136" s="33" t="s">
        <v>689</v>
      </c>
      <c r="M136" s="34" t="s">
        <v>958</v>
      </c>
      <c r="N136" s="34" t="s">
        <v>1799</v>
      </c>
      <c r="O136" s="35">
        <v>1</v>
      </c>
      <c r="P136" s="35"/>
      <c r="Q136" s="3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35"/>
        <v>0</v>
      </c>
      <c r="AG136" s="1">
        <f t="shared" si="36"/>
        <v>1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1477</v>
      </c>
      <c r="E137" s="32" t="s">
        <v>171</v>
      </c>
      <c r="F137" s="32" t="s">
        <v>1478</v>
      </c>
      <c r="G137" s="32" t="s">
        <v>39</v>
      </c>
      <c r="H137" s="32" t="s">
        <v>363</v>
      </c>
      <c r="I137" s="31" t="s">
        <v>1479</v>
      </c>
      <c r="J137" s="31">
        <v>18</v>
      </c>
      <c r="K137" s="33" t="s">
        <v>943</v>
      </c>
      <c r="L137" s="33" t="s">
        <v>1716</v>
      </c>
      <c r="M137" s="34" t="s">
        <v>39</v>
      </c>
      <c r="N137" s="34" t="s">
        <v>1722</v>
      </c>
      <c r="O137" s="35">
        <v>1</v>
      </c>
      <c r="P137" s="35"/>
      <c r="Q137" s="32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35"/>
        <v>0</v>
      </c>
      <c r="AG137" s="1">
        <f t="shared" si="36"/>
        <v>1</v>
      </c>
      <c r="AH137" s="1">
        <f t="shared" si="37"/>
        <v>0</v>
      </c>
      <c r="AI137" s="1">
        <f t="shared" si="38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16" t="s">
        <v>1597</v>
      </c>
      <c r="E138" s="16" t="s">
        <v>171</v>
      </c>
      <c r="F138" s="16" t="s">
        <v>1600</v>
      </c>
      <c r="G138" s="16" t="s">
        <v>39</v>
      </c>
      <c r="H138" s="16" t="s">
        <v>1598</v>
      </c>
      <c r="I138" s="15" t="s">
        <v>1599</v>
      </c>
      <c r="J138" s="15">
        <v>15</v>
      </c>
      <c r="K138" s="10" t="s">
        <v>718</v>
      </c>
      <c r="L138" s="10" t="s">
        <v>39</v>
      </c>
      <c r="M138" s="19" t="s">
        <v>39</v>
      </c>
      <c r="N138" s="17"/>
      <c r="Q138" s="16"/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35"/>
        <v>0</v>
      </c>
      <c r="AG138" s="1">
        <f t="shared" si="36"/>
        <v>0</v>
      </c>
      <c r="AH138" s="1">
        <f t="shared" si="37"/>
        <v>0</v>
      </c>
      <c r="AI138" s="1">
        <f t="shared" si="38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1225</v>
      </c>
      <c r="E139" s="32" t="s">
        <v>1227</v>
      </c>
      <c r="F139" s="32" t="s">
        <v>1228</v>
      </c>
      <c r="G139" s="32" t="s">
        <v>39</v>
      </c>
      <c r="H139" s="32" t="s">
        <v>367</v>
      </c>
      <c r="I139" s="31" t="s">
        <v>1226</v>
      </c>
      <c r="J139" s="31">
        <v>14</v>
      </c>
      <c r="K139" s="33" t="s">
        <v>945</v>
      </c>
      <c r="L139" s="33" t="s">
        <v>683</v>
      </c>
      <c r="M139" s="34" t="s">
        <v>1373</v>
      </c>
      <c r="N139" s="34" t="s">
        <v>1707</v>
      </c>
      <c r="O139" s="35">
        <v>1</v>
      </c>
      <c r="P139" s="35">
        <v>1</v>
      </c>
      <c r="Q139" s="32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129</v>
      </c>
      <c r="E140" s="32" t="s">
        <v>175</v>
      </c>
      <c r="F140" s="32" t="s">
        <v>329</v>
      </c>
      <c r="G140" s="32" t="s">
        <v>181</v>
      </c>
      <c r="H140" s="32" t="s">
        <v>352</v>
      </c>
      <c r="I140" s="31" t="s">
        <v>476</v>
      </c>
      <c r="J140" s="31">
        <v>99</v>
      </c>
      <c r="K140" s="33" t="s">
        <v>944</v>
      </c>
      <c r="L140" s="33" t="s">
        <v>39</v>
      </c>
      <c r="M140" s="34" t="s">
        <v>39</v>
      </c>
      <c r="N140" s="34" t="s">
        <v>1707</v>
      </c>
      <c r="O140" s="35">
        <v>1</v>
      </c>
      <c r="P140" s="35">
        <v>1</v>
      </c>
      <c r="Q140" s="32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910</v>
      </c>
      <c r="E141" s="32" t="s">
        <v>171</v>
      </c>
      <c r="F141" s="32" t="s">
        <v>922</v>
      </c>
      <c r="G141" s="32" t="s">
        <v>234</v>
      </c>
      <c r="H141" s="32" t="s">
        <v>352</v>
      </c>
      <c r="I141" s="31" t="s">
        <v>935</v>
      </c>
      <c r="J141" s="31">
        <v>99</v>
      </c>
      <c r="K141" s="33" t="s">
        <v>718</v>
      </c>
      <c r="L141" s="33">
        <v>45</v>
      </c>
      <c r="M141" s="34" t="s">
        <v>39</v>
      </c>
      <c r="N141" s="34" t="s">
        <v>1775</v>
      </c>
      <c r="O141" s="35">
        <v>1</v>
      </c>
      <c r="P141" s="35"/>
      <c r="Q141" s="32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35"/>
        <v>0</v>
      </c>
      <c r="AG141" s="1">
        <f t="shared" si="36"/>
        <v>1</v>
      </c>
      <c r="AH141" s="1">
        <f t="shared" si="37"/>
        <v>0</v>
      </c>
      <c r="AI141" s="1">
        <f t="shared" si="38"/>
        <v>1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78</v>
      </c>
      <c r="E142" s="45" t="s">
        <v>606</v>
      </c>
      <c r="F142" s="45" t="s">
        <v>306</v>
      </c>
      <c r="G142" s="45" t="s">
        <v>39</v>
      </c>
      <c r="H142" s="45" t="s">
        <v>360</v>
      </c>
      <c r="I142" s="44" t="s">
        <v>454</v>
      </c>
      <c r="J142" s="44">
        <v>12</v>
      </c>
      <c r="K142" s="46" t="s">
        <v>699</v>
      </c>
      <c r="L142" s="46">
        <v>40</v>
      </c>
      <c r="M142" s="47" t="s">
        <v>958</v>
      </c>
      <c r="N142" s="47" t="s">
        <v>1776</v>
      </c>
      <c r="O142" s="48"/>
      <c r="P142" s="48"/>
      <c r="Q142" s="45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0</v>
      </c>
      <c r="AF142" s="1">
        <f t="shared" ref="AF142:AF207" si="57">+O142*P142*(1-A142)</f>
        <v>0</v>
      </c>
      <c r="AG142" s="1">
        <f t="shared" ref="AG142:AG207" si="58">O142*(1-P142)*(1-A142)</f>
        <v>0</v>
      </c>
      <c r="AH142" s="1">
        <f t="shared" ref="AH142:AH207" si="59">+P142*(1-A142)</f>
        <v>0</v>
      </c>
      <c r="AI142" s="1">
        <f t="shared" ref="AI142:AI207" si="60">+(1-A142)*(1-P142)</f>
        <v>1</v>
      </c>
    </row>
    <row r="143" spans="1:35" ht="14.25" customHeight="1" x14ac:dyDescent="0.25">
      <c r="A143" s="15">
        <v>0</v>
      </c>
      <c r="B143" s="15">
        <v>1</v>
      </c>
      <c r="C143" s="15">
        <v>3</v>
      </c>
      <c r="D143" s="16" t="s">
        <v>1556</v>
      </c>
      <c r="E143" s="16" t="s">
        <v>169</v>
      </c>
      <c r="F143" s="16" t="s">
        <v>1558</v>
      </c>
      <c r="G143" s="16"/>
      <c r="H143" s="16" t="s">
        <v>363</v>
      </c>
      <c r="I143" s="15" t="s">
        <v>1557</v>
      </c>
      <c r="J143" s="15">
        <v>18</v>
      </c>
      <c r="K143" s="10" t="s">
        <v>699</v>
      </c>
      <c r="L143" s="10" t="s">
        <v>684</v>
      </c>
      <c r="M143" s="19" t="s">
        <v>958</v>
      </c>
      <c r="N143" s="17"/>
      <c r="Q143" s="1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0</v>
      </c>
      <c r="AF143" s="1">
        <f t="shared" si="57"/>
        <v>0</v>
      </c>
      <c r="AG143" s="1">
        <f t="shared" si="58"/>
        <v>0</v>
      </c>
      <c r="AH143" s="1">
        <f t="shared" si="59"/>
        <v>0</v>
      </c>
      <c r="AI143" s="1">
        <f t="shared" si="6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1267</v>
      </c>
      <c r="E144" s="32" t="s">
        <v>171</v>
      </c>
      <c r="F144" s="32" t="s">
        <v>1268</v>
      </c>
      <c r="G144" s="32" t="s">
        <v>237</v>
      </c>
      <c r="H144" s="32" t="s">
        <v>352</v>
      </c>
      <c r="I144" s="31" t="s">
        <v>1269</v>
      </c>
      <c r="J144" s="31">
        <v>4</v>
      </c>
      <c r="K144" s="33" t="s">
        <v>944</v>
      </c>
      <c r="L144" s="33" t="s">
        <v>39</v>
      </c>
      <c r="M144" s="34" t="s">
        <v>39</v>
      </c>
      <c r="N144" s="34" t="s">
        <v>1701</v>
      </c>
      <c r="O144" s="35">
        <v>1</v>
      </c>
      <c r="P144" s="35">
        <v>1</v>
      </c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1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1</v>
      </c>
      <c r="AE144" s="1">
        <f t="shared" si="50"/>
        <v>0</v>
      </c>
      <c r="AF144" s="1">
        <f t="shared" si="57"/>
        <v>1</v>
      </c>
      <c r="AG144" s="1">
        <f t="shared" si="58"/>
        <v>0</v>
      </c>
      <c r="AH144" s="1">
        <f t="shared" si="59"/>
        <v>1</v>
      </c>
      <c r="AI144" s="1">
        <f t="shared" si="6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644</v>
      </c>
      <c r="E145" s="32" t="s">
        <v>171</v>
      </c>
      <c r="F145" s="32" t="s">
        <v>653</v>
      </c>
      <c r="G145" s="32" t="s">
        <v>231</v>
      </c>
      <c r="H145" s="32" t="s">
        <v>352</v>
      </c>
      <c r="I145" s="31" t="s">
        <v>608</v>
      </c>
      <c r="J145" s="31">
        <v>99</v>
      </c>
      <c r="K145" s="33" t="s">
        <v>698</v>
      </c>
      <c r="L145" s="33" t="s">
        <v>39</v>
      </c>
      <c r="M145" s="34" t="s">
        <v>39</v>
      </c>
      <c r="N145" s="34" t="s">
        <v>1707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7"/>
        <v>1</v>
      </c>
      <c r="AG145" s="1">
        <f t="shared" si="58"/>
        <v>0</v>
      </c>
      <c r="AH145" s="1">
        <f t="shared" si="59"/>
        <v>1</v>
      </c>
      <c r="AI145" s="1">
        <f t="shared" si="60"/>
        <v>0</v>
      </c>
    </row>
    <row r="146" spans="1:35" ht="14.25" customHeight="1" x14ac:dyDescent="0.25">
      <c r="A146" s="38">
        <v>0</v>
      </c>
      <c r="B146" s="38">
        <v>1</v>
      </c>
      <c r="C146" s="38">
        <v>3</v>
      </c>
      <c r="D146" s="39" t="s">
        <v>864</v>
      </c>
      <c r="E146" s="39" t="s">
        <v>865</v>
      </c>
      <c r="F146" s="39" t="s">
        <v>866</v>
      </c>
      <c r="G146" s="39" t="s">
        <v>39</v>
      </c>
      <c r="H146" s="39" t="s">
        <v>364</v>
      </c>
      <c r="I146" s="38" t="s">
        <v>867</v>
      </c>
      <c r="J146" s="38">
        <v>18</v>
      </c>
      <c r="K146" s="40" t="s">
        <v>943</v>
      </c>
      <c r="L146" s="40" t="s">
        <v>39</v>
      </c>
      <c r="M146" s="41" t="s">
        <v>39</v>
      </c>
      <c r="N146" s="42"/>
      <c r="O146" s="43"/>
      <c r="P146" s="43">
        <v>1</v>
      </c>
      <c r="Q146" s="39"/>
      <c r="S146" s="1">
        <f t="shared" ref="S146:S211" si="61">IF(J146=$S$7,1,0)</f>
        <v>0</v>
      </c>
      <c r="T146" s="1">
        <f t="shared" ref="T146:T211" si="62">IF(J146=$T$7,1,0)</f>
        <v>0</v>
      </c>
      <c r="U146" s="1">
        <f t="shared" ref="U146:U211" si="63">IF(J146=$U$7,1,0)</f>
        <v>0</v>
      </c>
      <c r="V146" s="1">
        <f t="shared" ref="V146:V211" si="64">IF(J146=$V$7,1,0)</f>
        <v>0</v>
      </c>
      <c r="W146" s="1">
        <f t="shared" ref="W146:W211" si="65">IF(J146=$W$7,1,0)</f>
        <v>0</v>
      </c>
      <c r="X146" s="1">
        <f t="shared" ref="X146:X211" si="66">IF(J146=$X$7,1,0)</f>
        <v>0</v>
      </c>
      <c r="Y146" s="1">
        <f t="shared" ref="Y146:Y211" si="67">IF(J146=$Y$7,1,0)</f>
        <v>0</v>
      </c>
      <c r="Z146" s="1">
        <f t="shared" ref="Z146:Z211" si="68">IF(J146=$Z$7,1,0)</f>
        <v>0</v>
      </c>
      <c r="AA146" s="1">
        <f t="shared" ref="AA146:AA211" si="69">IF(J146=$AA$7,1,0)</f>
        <v>0</v>
      </c>
      <c r="AB146" s="1">
        <f t="shared" ref="AB146:AB211" si="70">IF(J146=$AB$7,1,0)</f>
        <v>0</v>
      </c>
      <c r="AD146" s="1">
        <f t="shared" ref="AD146:AD211" si="71">+O146*P146</f>
        <v>0</v>
      </c>
      <c r="AE146" s="1">
        <f t="shared" ref="AE146:AE211" si="72">O146*(1-P146)</f>
        <v>0</v>
      </c>
      <c r="AF146" s="1">
        <f t="shared" si="57"/>
        <v>0</v>
      </c>
      <c r="AG146" s="1">
        <f t="shared" si="58"/>
        <v>0</v>
      </c>
      <c r="AH146" s="1">
        <f t="shared" si="59"/>
        <v>1</v>
      </c>
      <c r="AI146" s="1">
        <f t="shared" si="60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1287</v>
      </c>
      <c r="E147" s="32" t="s">
        <v>171</v>
      </c>
      <c r="F147" s="32" t="s">
        <v>1288</v>
      </c>
      <c r="G147" s="32" t="s">
        <v>207</v>
      </c>
      <c r="H147" s="32" t="s">
        <v>352</v>
      </c>
      <c r="I147" s="31" t="s">
        <v>1289</v>
      </c>
      <c r="J147" s="31">
        <v>3</v>
      </c>
      <c r="K147" s="33" t="s">
        <v>943</v>
      </c>
      <c r="L147" s="33" t="s">
        <v>39</v>
      </c>
      <c r="M147" s="34" t="s">
        <v>39</v>
      </c>
      <c r="N147" s="34" t="s">
        <v>1707</v>
      </c>
      <c r="O147" s="35">
        <v>1</v>
      </c>
      <c r="P147" s="35">
        <v>1</v>
      </c>
      <c r="Q147" s="32"/>
      <c r="S147" s="1">
        <f t="shared" si="61"/>
        <v>0</v>
      </c>
      <c r="T147" s="1">
        <f t="shared" si="62"/>
        <v>0</v>
      </c>
      <c r="U147" s="1">
        <f t="shared" si="63"/>
        <v>1</v>
      </c>
      <c r="V147" s="1">
        <f t="shared" si="64"/>
        <v>0</v>
      </c>
      <c r="W147" s="1">
        <f t="shared" si="65"/>
        <v>0</v>
      </c>
      <c r="X147" s="1">
        <f t="shared" si="66"/>
        <v>0</v>
      </c>
      <c r="Y147" s="1">
        <f t="shared" si="67"/>
        <v>0</v>
      </c>
      <c r="Z147" s="1">
        <f t="shared" si="68"/>
        <v>0</v>
      </c>
      <c r="AA147" s="1">
        <f t="shared" si="69"/>
        <v>0</v>
      </c>
      <c r="AB147" s="1">
        <f t="shared" si="70"/>
        <v>0</v>
      </c>
      <c r="AD147" s="1">
        <f t="shared" si="71"/>
        <v>1</v>
      </c>
      <c r="AE147" s="1">
        <f t="shared" si="72"/>
        <v>0</v>
      </c>
      <c r="AF147" s="1">
        <f t="shared" si="57"/>
        <v>1</v>
      </c>
      <c r="AG147" s="1">
        <f t="shared" si="58"/>
        <v>0</v>
      </c>
      <c r="AH147" s="1">
        <f t="shared" si="59"/>
        <v>1</v>
      </c>
      <c r="AI147" s="1">
        <f t="shared" si="6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858</v>
      </c>
      <c r="E148" s="32" t="s">
        <v>169</v>
      </c>
      <c r="F148" s="32" t="s">
        <v>859</v>
      </c>
      <c r="G148" s="32" t="s">
        <v>39</v>
      </c>
      <c r="H148" s="32" t="s">
        <v>860</v>
      </c>
      <c r="I148" s="31" t="s">
        <v>936</v>
      </c>
      <c r="J148" s="31">
        <v>11</v>
      </c>
      <c r="K148" s="33" t="s">
        <v>698</v>
      </c>
      <c r="L148" s="33" t="s">
        <v>685</v>
      </c>
      <c r="M148" s="34" t="s">
        <v>958</v>
      </c>
      <c r="N148" s="34" t="s">
        <v>1729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si="57"/>
        <v>0</v>
      </c>
      <c r="AG148" s="1">
        <f t="shared" si="58"/>
        <v>1</v>
      </c>
      <c r="AH148" s="1">
        <f t="shared" si="59"/>
        <v>0</v>
      </c>
      <c r="AI148" s="1">
        <f t="shared" si="60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6" t="s">
        <v>502</v>
      </c>
      <c r="E149" s="36" t="s">
        <v>169</v>
      </c>
      <c r="F149" s="36" t="s">
        <v>503</v>
      </c>
      <c r="G149" s="36" t="s">
        <v>500</v>
      </c>
      <c r="H149" s="36" t="s">
        <v>352</v>
      </c>
      <c r="I149" s="37" t="s">
        <v>504</v>
      </c>
      <c r="J149" s="31">
        <v>99</v>
      </c>
      <c r="K149" s="33" t="s">
        <v>699</v>
      </c>
      <c r="L149" s="33">
        <v>40</v>
      </c>
      <c r="M149" s="34" t="s">
        <v>958</v>
      </c>
      <c r="N149" s="34" t="s">
        <v>1920</v>
      </c>
      <c r="O149" s="35">
        <v>1</v>
      </c>
      <c r="P149" s="35"/>
      <c r="Q149" s="36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57"/>
        <v>0</v>
      </c>
      <c r="AG149" s="1">
        <f t="shared" si="58"/>
        <v>1</v>
      </c>
      <c r="AH149" s="1">
        <f t="shared" si="59"/>
        <v>0</v>
      </c>
      <c r="AI149" s="1">
        <f t="shared" si="6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1766</v>
      </c>
      <c r="E150" s="36" t="s">
        <v>1767</v>
      </c>
      <c r="F150" s="36" t="s">
        <v>1768</v>
      </c>
      <c r="G150" s="36" t="s">
        <v>1769</v>
      </c>
      <c r="H150" s="36" t="s">
        <v>352</v>
      </c>
      <c r="I150" s="37" t="s">
        <v>1770</v>
      </c>
      <c r="J150" s="31">
        <v>99</v>
      </c>
      <c r="K150" s="33" t="s">
        <v>699</v>
      </c>
      <c r="L150" s="33"/>
      <c r="M150" s="34"/>
      <c r="N150" s="34" t="s">
        <v>1707</v>
      </c>
      <c r="O150" s="35">
        <v>1</v>
      </c>
      <c r="P150" s="35">
        <v>1</v>
      </c>
      <c r="Q150" s="3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1</v>
      </c>
      <c r="AE150" s="1">
        <f t="shared" si="72"/>
        <v>0</v>
      </c>
      <c r="AF150" s="1">
        <f t="shared" si="57"/>
        <v>1</v>
      </c>
      <c r="AG150" s="1">
        <f t="shared" si="58"/>
        <v>0</v>
      </c>
      <c r="AH150" s="1">
        <f t="shared" si="59"/>
        <v>1</v>
      </c>
      <c r="AI150" s="1">
        <f t="shared" si="6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525</v>
      </c>
      <c r="E151" s="32" t="s">
        <v>169</v>
      </c>
      <c r="F151" s="32" t="s">
        <v>654</v>
      </c>
      <c r="G151" s="32" t="s">
        <v>39</v>
      </c>
      <c r="H151" s="32" t="s">
        <v>526</v>
      </c>
      <c r="I151" s="31" t="s">
        <v>527</v>
      </c>
      <c r="J151" s="31">
        <v>18</v>
      </c>
      <c r="K151" s="33" t="s">
        <v>943</v>
      </c>
      <c r="L151" s="33" t="s">
        <v>1716</v>
      </c>
      <c r="M151" s="34" t="s">
        <v>957</v>
      </c>
      <c r="N151" s="34" t="s">
        <v>1707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0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57"/>
        <v>1</v>
      </c>
      <c r="AG151" s="1">
        <f t="shared" si="58"/>
        <v>0</v>
      </c>
      <c r="AH151" s="1">
        <f t="shared" si="59"/>
        <v>1</v>
      </c>
      <c r="AI151" s="1">
        <f t="shared" si="6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962</v>
      </c>
      <c r="E152" s="32" t="s">
        <v>174</v>
      </c>
      <c r="F152" s="32" t="s">
        <v>796</v>
      </c>
      <c r="G152" s="32" t="s">
        <v>39</v>
      </c>
      <c r="H152" s="32" t="s">
        <v>797</v>
      </c>
      <c r="I152" s="31" t="s">
        <v>798</v>
      </c>
      <c r="J152" s="31">
        <v>16</v>
      </c>
      <c r="K152" s="33" t="s">
        <v>944</v>
      </c>
      <c r="L152" s="33" t="s">
        <v>1125</v>
      </c>
      <c r="M152" s="34" t="s">
        <v>957</v>
      </c>
      <c r="N152" s="34" t="s">
        <v>1722</v>
      </c>
      <c r="O152" s="35">
        <v>1</v>
      </c>
      <c r="P152" s="35"/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0</v>
      </c>
      <c r="AE152" s="1">
        <f t="shared" si="72"/>
        <v>1</v>
      </c>
      <c r="AF152" s="1">
        <f t="shared" si="57"/>
        <v>0</v>
      </c>
      <c r="AG152" s="1">
        <f t="shared" si="58"/>
        <v>1</v>
      </c>
      <c r="AH152" s="1">
        <f t="shared" si="59"/>
        <v>0</v>
      </c>
      <c r="AI152" s="1">
        <f t="shared" si="60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1179</v>
      </c>
      <c r="E153" s="32" t="s">
        <v>171</v>
      </c>
      <c r="F153" s="32" t="s">
        <v>1180</v>
      </c>
      <c r="G153" s="32" t="s">
        <v>237</v>
      </c>
      <c r="H153" s="32" t="s">
        <v>352</v>
      </c>
      <c r="I153" s="31" t="s">
        <v>1181</v>
      </c>
      <c r="J153" s="31">
        <v>4</v>
      </c>
      <c r="K153" s="33" t="s">
        <v>950</v>
      </c>
      <c r="L153" s="33" t="s">
        <v>1673</v>
      </c>
      <c r="M153" s="34" t="s">
        <v>1578</v>
      </c>
      <c r="N153" s="34" t="s">
        <v>1701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1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si="71"/>
        <v>1</v>
      </c>
      <c r="AE153" s="1">
        <f t="shared" si="72"/>
        <v>0</v>
      </c>
      <c r="AF153" s="1">
        <f t="shared" si="57"/>
        <v>1</v>
      </c>
      <c r="AG153" s="1">
        <f t="shared" si="58"/>
        <v>0</v>
      </c>
      <c r="AH153" s="1">
        <f t="shared" si="59"/>
        <v>1</v>
      </c>
      <c r="AI153" s="1">
        <f t="shared" si="6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1615</v>
      </c>
      <c r="E154" s="32" t="s">
        <v>169</v>
      </c>
      <c r="F154" s="32" t="s">
        <v>1451</v>
      </c>
      <c r="G154" s="32" t="s">
        <v>1643</v>
      </c>
      <c r="H154" s="32" t="s">
        <v>352</v>
      </c>
      <c r="I154" s="31" t="s">
        <v>1450</v>
      </c>
      <c r="J154" s="31">
        <v>99</v>
      </c>
      <c r="K154" s="33" t="s">
        <v>698</v>
      </c>
      <c r="L154" s="33" t="s">
        <v>1678</v>
      </c>
      <c r="M154" s="34" t="s">
        <v>1452</v>
      </c>
      <c r="N154" s="34" t="s">
        <v>1723</v>
      </c>
      <c r="O154" s="35">
        <v>1</v>
      </c>
      <c r="P154" s="35"/>
      <c r="Q154" s="32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1"/>
        <v>0</v>
      </c>
      <c r="AE154" s="1">
        <f t="shared" si="72"/>
        <v>1</v>
      </c>
      <c r="AF154" s="1">
        <f t="shared" si="57"/>
        <v>0</v>
      </c>
      <c r="AG154" s="1">
        <f t="shared" si="58"/>
        <v>1</v>
      </c>
      <c r="AH154" s="1">
        <f t="shared" si="59"/>
        <v>0</v>
      </c>
      <c r="AI154" s="1">
        <f t="shared" si="60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6" t="s">
        <v>2049</v>
      </c>
      <c r="E155" s="36" t="s">
        <v>171</v>
      </c>
      <c r="F155" s="36" t="s">
        <v>2050</v>
      </c>
      <c r="G155" s="32"/>
      <c r="H155" s="36" t="s">
        <v>607</v>
      </c>
      <c r="I155" s="37" t="s">
        <v>2051</v>
      </c>
      <c r="J155" s="31">
        <v>14</v>
      </c>
      <c r="K155" s="33" t="s">
        <v>699</v>
      </c>
      <c r="L155" s="33"/>
      <c r="M155" s="34"/>
      <c r="N155" s="34" t="s">
        <v>1707</v>
      </c>
      <c r="O155" s="35">
        <v>1</v>
      </c>
      <c r="P155" s="35">
        <v>1</v>
      </c>
      <c r="Q155" s="32" t="s">
        <v>2052</v>
      </c>
      <c r="S155" s="1">
        <f t="shared" si="61"/>
        <v>0</v>
      </c>
      <c r="T155" s="1">
        <f t="shared" si="62"/>
        <v>0</v>
      </c>
      <c r="U155" s="1">
        <f t="shared" si="63"/>
        <v>0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1"/>
        <v>1</v>
      </c>
      <c r="AE155" s="1">
        <f t="shared" si="72"/>
        <v>0</v>
      </c>
      <c r="AF155" s="1">
        <f t="shared" si="57"/>
        <v>1</v>
      </c>
      <c r="AG155" s="1">
        <f t="shared" si="58"/>
        <v>0</v>
      </c>
      <c r="AH155" s="1">
        <f t="shared" si="59"/>
        <v>1</v>
      </c>
      <c r="AI155" s="1">
        <f t="shared" si="60"/>
        <v>0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20" t="s">
        <v>1922</v>
      </c>
      <c r="E156" s="20" t="s">
        <v>171</v>
      </c>
      <c r="F156" s="20" t="s">
        <v>1937</v>
      </c>
      <c r="G156" s="20"/>
      <c r="H156" s="20" t="s">
        <v>1936</v>
      </c>
      <c r="I156" s="21" t="s">
        <v>1935</v>
      </c>
      <c r="J156" s="15">
        <v>14</v>
      </c>
      <c r="K156" s="10" t="s">
        <v>699</v>
      </c>
      <c r="L156" s="10" t="s">
        <v>693</v>
      </c>
      <c r="M156" s="19" t="s">
        <v>958</v>
      </c>
      <c r="N156" s="17"/>
      <c r="Q156" s="20" t="s">
        <v>1938</v>
      </c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0</v>
      </c>
      <c r="AF156" s="1">
        <f t="shared" si="57"/>
        <v>0</v>
      </c>
      <c r="AG156" s="1">
        <f t="shared" si="58"/>
        <v>0</v>
      </c>
      <c r="AH156" s="1">
        <f t="shared" si="59"/>
        <v>0</v>
      </c>
      <c r="AI156" s="1">
        <f t="shared" si="6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144</v>
      </c>
      <c r="E157" s="32" t="s">
        <v>171</v>
      </c>
      <c r="F157" s="32" t="s">
        <v>345</v>
      </c>
      <c r="G157" s="32" t="s">
        <v>39</v>
      </c>
      <c r="H157" s="32" t="s">
        <v>376</v>
      </c>
      <c r="I157" s="31" t="s">
        <v>1340</v>
      </c>
      <c r="J157" s="31">
        <v>14</v>
      </c>
      <c r="K157" s="33" t="s">
        <v>943</v>
      </c>
      <c r="L157" s="33" t="s">
        <v>685</v>
      </c>
      <c r="M157" s="34" t="s">
        <v>687</v>
      </c>
      <c r="N157" s="34" t="s">
        <v>1722</v>
      </c>
      <c r="O157" s="35">
        <v>1</v>
      </c>
      <c r="P157" s="35"/>
      <c r="Q157" s="32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1</v>
      </c>
      <c r="AF157" s="1">
        <f t="shared" si="57"/>
        <v>0</v>
      </c>
      <c r="AG157" s="1">
        <f t="shared" si="58"/>
        <v>1</v>
      </c>
      <c r="AH157" s="1">
        <f t="shared" si="59"/>
        <v>0</v>
      </c>
      <c r="AI157" s="1">
        <f t="shared" si="60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1541</v>
      </c>
      <c r="E158" s="32" t="s">
        <v>171</v>
      </c>
      <c r="F158" s="32" t="s">
        <v>1542</v>
      </c>
      <c r="G158" s="32" t="s">
        <v>39</v>
      </c>
      <c r="H158" s="32" t="s">
        <v>1543</v>
      </c>
      <c r="I158" s="31" t="s">
        <v>1544</v>
      </c>
      <c r="J158" s="31">
        <v>17</v>
      </c>
      <c r="K158" s="33" t="s">
        <v>718</v>
      </c>
      <c r="L158" s="33" t="s">
        <v>39</v>
      </c>
      <c r="M158" s="34" t="s">
        <v>39</v>
      </c>
      <c r="N158" s="34" t="s">
        <v>1707</v>
      </c>
      <c r="O158" s="35">
        <v>1</v>
      </c>
      <c r="P158" s="35">
        <v>1</v>
      </c>
      <c r="Q158" s="32" t="s">
        <v>1887</v>
      </c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57"/>
        <v>1</v>
      </c>
      <c r="AG158" s="1">
        <f t="shared" si="58"/>
        <v>0</v>
      </c>
      <c r="AH158" s="1">
        <f t="shared" si="59"/>
        <v>1</v>
      </c>
      <c r="AI158" s="1">
        <f t="shared" si="6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152</v>
      </c>
      <c r="E159" s="32" t="s">
        <v>171</v>
      </c>
      <c r="F159" s="32" t="s">
        <v>351</v>
      </c>
      <c r="G159" s="32" t="s">
        <v>39</v>
      </c>
      <c r="H159" s="32" t="s">
        <v>1843</v>
      </c>
      <c r="I159" s="31" t="s">
        <v>497</v>
      </c>
      <c r="J159" s="31">
        <v>14</v>
      </c>
      <c r="K159" s="33" t="s">
        <v>698</v>
      </c>
      <c r="L159" s="33" t="s">
        <v>685</v>
      </c>
      <c r="M159" s="34" t="s">
        <v>957</v>
      </c>
      <c r="N159" s="34" t="s">
        <v>1722</v>
      </c>
      <c r="O159" s="35">
        <v>1</v>
      </c>
      <c r="P159" s="35"/>
      <c r="Q159" s="32" t="s">
        <v>1870</v>
      </c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0</v>
      </c>
      <c r="AE159" s="1">
        <f t="shared" si="72"/>
        <v>1</v>
      </c>
      <c r="AF159" s="1">
        <f t="shared" si="57"/>
        <v>0</v>
      </c>
      <c r="AG159" s="1">
        <f t="shared" si="58"/>
        <v>1</v>
      </c>
      <c r="AH159" s="1">
        <f t="shared" si="59"/>
        <v>0</v>
      </c>
      <c r="AI159" s="1">
        <f t="shared" si="6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735</v>
      </c>
      <c r="E160" s="16" t="s">
        <v>171</v>
      </c>
      <c r="F160" s="16" t="s">
        <v>736</v>
      </c>
      <c r="G160" s="16" t="s">
        <v>39</v>
      </c>
      <c r="H160" s="16" t="s">
        <v>737</v>
      </c>
      <c r="I160" s="15" t="s">
        <v>738</v>
      </c>
      <c r="J160" s="15">
        <v>17</v>
      </c>
      <c r="K160" s="10" t="s">
        <v>718</v>
      </c>
      <c r="L160" s="10" t="s">
        <v>693</v>
      </c>
      <c r="M160" s="19" t="s">
        <v>687</v>
      </c>
      <c r="N160" s="17"/>
      <c r="Q160" s="16" t="s">
        <v>1861</v>
      </c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0</v>
      </c>
      <c r="AF160" s="1">
        <f t="shared" si="57"/>
        <v>0</v>
      </c>
      <c r="AG160" s="1">
        <f t="shared" si="58"/>
        <v>0</v>
      </c>
      <c r="AH160" s="1">
        <f t="shared" si="59"/>
        <v>0</v>
      </c>
      <c r="AI160" s="1">
        <f t="shared" si="6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893</v>
      </c>
      <c r="E161" s="45" t="s">
        <v>171</v>
      </c>
      <c r="F161" s="45" t="s">
        <v>1083</v>
      </c>
      <c r="G161" s="45" t="s">
        <v>39</v>
      </c>
      <c r="H161" s="45" t="s">
        <v>895</v>
      </c>
      <c r="I161" s="44" t="s">
        <v>894</v>
      </c>
      <c r="J161" s="44">
        <v>11</v>
      </c>
      <c r="K161" s="46" t="s">
        <v>944</v>
      </c>
      <c r="L161" s="46">
        <v>60</v>
      </c>
      <c r="M161" s="47" t="s">
        <v>39</v>
      </c>
      <c r="N161" s="47" t="s">
        <v>1713</v>
      </c>
      <c r="O161" s="48"/>
      <c r="P161" s="48"/>
      <c r="Q161" s="45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0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0</v>
      </c>
      <c r="AE161" s="1">
        <f t="shared" si="72"/>
        <v>0</v>
      </c>
      <c r="AF161" s="1">
        <f t="shared" si="57"/>
        <v>0</v>
      </c>
      <c r="AG161" s="1">
        <f t="shared" si="58"/>
        <v>0</v>
      </c>
      <c r="AH161" s="1">
        <f t="shared" si="59"/>
        <v>0</v>
      </c>
      <c r="AI161" s="1">
        <f t="shared" si="6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122</v>
      </c>
      <c r="E162" s="32" t="s">
        <v>174</v>
      </c>
      <c r="F162" s="32" t="s">
        <v>322</v>
      </c>
      <c r="G162" s="32" t="s">
        <v>39</v>
      </c>
      <c r="H162" s="32" t="s">
        <v>361</v>
      </c>
      <c r="I162" s="31" t="s">
        <v>467</v>
      </c>
      <c r="J162" s="31">
        <v>14</v>
      </c>
      <c r="K162" s="33" t="s">
        <v>718</v>
      </c>
      <c r="L162" s="33" t="s">
        <v>689</v>
      </c>
      <c r="M162" s="34" t="s">
        <v>1356</v>
      </c>
      <c r="N162" s="34" t="s">
        <v>1823</v>
      </c>
      <c r="O162" s="35">
        <v>1</v>
      </c>
      <c r="P162" s="35"/>
      <c r="Q162" s="36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57"/>
        <v>0</v>
      </c>
      <c r="AG162" s="1">
        <f t="shared" si="58"/>
        <v>1</v>
      </c>
      <c r="AH162" s="1">
        <f t="shared" si="59"/>
        <v>0</v>
      </c>
      <c r="AI162" s="1">
        <f t="shared" si="6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1153</v>
      </c>
      <c r="E163" s="32" t="s">
        <v>171</v>
      </c>
      <c r="F163" s="32" t="s">
        <v>1155</v>
      </c>
      <c r="G163" s="32" t="s">
        <v>758</v>
      </c>
      <c r="H163" s="32" t="s">
        <v>352</v>
      </c>
      <c r="I163" s="31" t="s">
        <v>1154</v>
      </c>
      <c r="J163" s="31">
        <v>99</v>
      </c>
      <c r="K163" s="33" t="s">
        <v>699</v>
      </c>
      <c r="L163" s="33">
        <v>30</v>
      </c>
      <c r="M163" s="34" t="s">
        <v>957</v>
      </c>
      <c r="N163" s="34" t="s">
        <v>1799</v>
      </c>
      <c r="O163" s="35">
        <v>1</v>
      </c>
      <c r="P163" s="35"/>
      <c r="Q163" s="36"/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0</v>
      </c>
      <c r="AE163" s="1">
        <f t="shared" si="72"/>
        <v>1</v>
      </c>
      <c r="AF163" s="1">
        <f t="shared" si="57"/>
        <v>0</v>
      </c>
      <c r="AG163" s="1">
        <f t="shared" si="58"/>
        <v>1</v>
      </c>
      <c r="AH163" s="1">
        <f t="shared" si="59"/>
        <v>0</v>
      </c>
      <c r="AI163" s="1">
        <f t="shared" si="6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2011</v>
      </c>
      <c r="E164" s="32" t="s">
        <v>171</v>
      </c>
      <c r="F164" s="32" t="s">
        <v>2012</v>
      </c>
      <c r="G164" s="32"/>
      <c r="H164" s="32" t="s">
        <v>352</v>
      </c>
      <c r="I164" s="31" t="s">
        <v>2013</v>
      </c>
      <c r="J164" s="31">
        <v>18</v>
      </c>
      <c r="K164" s="33" t="s">
        <v>699</v>
      </c>
      <c r="L164" s="33"/>
      <c r="M164" s="34"/>
      <c r="N164" s="34" t="s">
        <v>1707</v>
      </c>
      <c r="O164" s="35">
        <v>1</v>
      </c>
      <c r="P164" s="35">
        <v>1</v>
      </c>
      <c r="Q164" s="36" t="s">
        <v>2014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1</v>
      </c>
      <c r="AE164" s="1">
        <f t="shared" si="72"/>
        <v>0</v>
      </c>
      <c r="AF164" s="1">
        <f t="shared" si="57"/>
        <v>1</v>
      </c>
      <c r="AG164" s="1">
        <f t="shared" si="58"/>
        <v>0</v>
      </c>
      <c r="AH164" s="1">
        <f t="shared" si="59"/>
        <v>1</v>
      </c>
      <c r="AI164" s="1">
        <f t="shared" si="60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739</v>
      </c>
      <c r="E165" s="16" t="s">
        <v>169</v>
      </c>
      <c r="F165" s="16" t="s">
        <v>740</v>
      </c>
      <c r="G165" s="16" t="s">
        <v>39</v>
      </c>
      <c r="H165" s="16" t="s">
        <v>741</v>
      </c>
      <c r="I165" s="15" t="s">
        <v>742</v>
      </c>
      <c r="J165" s="15">
        <v>17</v>
      </c>
      <c r="K165" s="10" t="s">
        <v>699</v>
      </c>
      <c r="L165" s="10" t="s">
        <v>693</v>
      </c>
      <c r="M165" s="19" t="s">
        <v>958</v>
      </c>
      <c r="N165" s="17"/>
      <c r="Q165" s="16"/>
      <c r="S165" s="1">
        <f t="shared" ref="S165:S171" si="73">IF(J165=$S$7,1,0)</f>
        <v>0</v>
      </c>
      <c r="T165" s="1">
        <f t="shared" ref="T165:T171" si="74">IF(J165=$T$7,1,0)</f>
        <v>0</v>
      </c>
      <c r="U165" s="1">
        <f t="shared" ref="U165:U171" si="75">IF(J165=$U$7,1,0)</f>
        <v>0</v>
      </c>
      <c r="V165" s="1">
        <f t="shared" ref="V165:V171" si="76">IF(J165=$V$7,1,0)</f>
        <v>0</v>
      </c>
      <c r="W165" s="1">
        <f t="shared" ref="W165:W171" si="77">IF(J165=$W$7,1,0)</f>
        <v>0</v>
      </c>
      <c r="X165" s="1">
        <f t="shared" ref="X165:X171" si="78">IF(J165=$X$7,1,0)</f>
        <v>0</v>
      </c>
      <c r="Y165" s="1">
        <f t="shared" ref="Y165:Y171" si="79">IF(J165=$Y$7,1,0)</f>
        <v>0</v>
      </c>
      <c r="Z165" s="1">
        <f t="shared" ref="Z165:Z171" si="80">IF(J165=$Z$7,1,0)</f>
        <v>0</v>
      </c>
      <c r="AA165" s="1">
        <f t="shared" ref="AA165:AA171" si="81">IF(J165=$AA$7,1,0)</f>
        <v>0</v>
      </c>
      <c r="AB165" s="1">
        <f t="shared" ref="AB165:AB171" si="82">IF(J165=$AB$7,1,0)</f>
        <v>0</v>
      </c>
      <c r="AD165" s="1">
        <f t="shared" ref="AD165:AD171" si="83">+O165*P165</f>
        <v>0</v>
      </c>
      <c r="AE165" s="1">
        <f t="shared" ref="AE165:AE171" si="84">O165*(1-P165)</f>
        <v>0</v>
      </c>
      <c r="AF165" s="1">
        <f t="shared" ref="AF165:AF171" si="85">+O165*P165*(1-A165)</f>
        <v>0</v>
      </c>
      <c r="AG165" s="1">
        <f t="shared" ref="AG165:AG171" si="86">O165*(1-P165)*(1-A165)</f>
        <v>0</v>
      </c>
      <c r="AH165" s="1">
        <f t="shared" ref="AH165:AH171" si="87">+P165*(1-A165)</f>
        <v>0</v>
      </c>
      <c r="AI165" s="1">
        <f t="shared" ref="AI165:AI171" si="88">+(1-A165)*(1-P165)</f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20" t="s">
        <v>1921</v>
      </c>
      <c r="E166" s="20" t="s">
        <v>171</v>
      </c>
      <c r="F166" s="20" t="s">
        <v>1931</v>
      </c>
      <c r="G166" s="20"/>
      <c r="H166" s="20" t="s">
        <v>1932</v>
      </c>
      <c r="I166" s="21" t="s">
        <v>1933</v>
      </c>
      <c r="J166" s="15">
        <v>16</v>
      </c>
      <c r="K166" s="10" t="s">
        <v>699</v>
      </c>
      <c r="L166" s="10" t="s">
        <v>693</v>
      </c>
      <c r="M166" s="19" t="s">
        <v>958</v>
      </c>
      <c r="N166" s="17"/>
      <c r="Q166" s="20" t="s">
        <v>1930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0</v>
      </c>
      <c r="AE166" s="1">
        <f t="shared" si="84"/>
        <v>0</v>
      </c>
      <c r="AF166" s="1">
        <f t="shared" si="85"/>
        <v>0</v>
      </c>
      <c r="AG166" s="1">
        <f t="shared" si="86"/>
        <v>0</v>
      </c>
      <c r="AH166" s="1">
        <f t="shared" si="87"/>
        <v>0</v>
      </c>
      <c r="AI166" s="1">
        <f t="shared" si="88"/>
        <v>1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825</v>
      </c>
      <c r="E167" s="45" t="s">
        <v>903</v>
      </c>
      <c r="F167" s="45" t="s">
        <v>826</v>
      </c>
      <c r="G167" s="45" t="s">
        <v>207</v>
      </c>
      <c r="H167" s="45" t="s">
        <v>352</v>
      </c>
      <c r="I167" s="44" t="s">
        <v>827</v>
      </c>
      <c r="J167" s="44">
        <v>3</v>
      </c>
      <c r="K167" s="46" t="s">
        <v>718</v>
      </c>
      <c r="L167" s="46" t="s">
        <v>689</v>
      </c>
      <c r="M167" s="47" t="s">
        <v>694</v>
      </c>
      <c r="N167" s="47" t="s">
        <v>1714</v>
      </c>
      <c r="O167" s="48"/>
      <c r="P167" s="48"/>
      <c r="Q167" s="45"/>
      <c r="S167" s="1">
        <f t="shared" si="73"/>
        <v>0</v>
      </c>
      <c r="T167" s="1">
        <f t="shared" si="74"/>
        <v>0</v>
      </c>
      <c r="U167" s="1">
        <f t="shared" si="75"/>
        <v>1</v>
      </c>
      <c r="V167" s="1">
        <f t="shared" si="76"/>
        <v>0</v>
      </c>
      <c r="W167" s="1">
        <f t="shared" si="77"/>
        <v>0</v>
      </c>
      <c r="X167" s="1">
        <f t="shared" si="78"/>
        <v>0</v>
      </c>
      <c r="Y167" s="1">
        <f t="shared" si="79"/>
        <v>0</v>
      </c>
      <c r="Z167" s="1">
        <f t="shared" si="80"/>
        <v>0</v>
      </c>
      <c r="AA167" s="1">
        <f t="shared" si="81"/>
        <v>0</v>
      </c>
      <c r="AB167" s="1">
        <f t="shared" si="82"/>
        <v>0</v>
      </c>
      <c r="AD167" s="1">
        <f t="shared" si="83"/>
        <v>0</v>
      </c>
      <c r="AE167" s="1">
        <f t="shared" si="84"/>
        <v>0</v>
      </c>
      <c r="AF167" s="1">
        <f t="shared" si="85"/>
        <v>0</v>
      </c>
      <c r="AG167" s="1">
        <f t="shared" si="86"/>
        <v>0</v>
      </c>
      <c r="AH167" s="1">
        <f t="shared" si="87"/>
        <v>0</v>
      </c>
      <c r="AI167" s="1">
        <f t="shared" si="88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2088</v>
      </c>
      <c r="E168" s="32" t="s">
        <v>174</v>
      </c>
      <c r="F168" s="32" t="s">
        <v>2089</v>
      </c>
      <c r="G168" s="32"/>
      <c r="H168" s="32" t="s">
        <v>2090</v>
      </c>
      <c r="I168" s="37" t="s">
        <v>2091</v>
      </c>
      <c r="J168" s="31">
        <v>16</v>
      </c>
      <c r="K168" s="33" t="s">
        <v>699</v>
      </c>
      <c r="L168" s="33"/>
      <c r="M168" s="34"/>
      <c r="N168" s="34" t="s">
        <v>1701</v>
      </c>
      <c r="O168" s="35">
        <v>1</v>
      </c>
      <c r="P168" s="35">
        <v>1</v>
      </c>
      <c r="Q168" s="36" t="s">
        <v>2092</v>
      </c>
      <c r="S168" s="1">
        <f t="shared" si="73"/>
        <v>0</v>
      </c>
      <c r="T168" s="1">
        <f t="shared" si="74"/>
        <v>0</v>
      </c>
      <c r="U168" s="1">
        <f t="shared" si="75"/>
        <v>0</v>
      </c>
      <c r="V168" s="1">
        <f t="shared" si="76"/>
        <v>0</v>
      </c>
      <c r="W168" s="1">
        <f t="shared" si="77"/>
        <v>0</v>
      </c>
      <c r="X168" s="1">
        <f t="shared" si="78"/>
        <v>0</v>
      </c>
      <c r="Y168" s="1">
        <f t="shared" si="79"/>
        <v>0</v>
      </c>
      <c r="Z168" s="1">
        <f t="shared" si="80"/>
        <v>0</v>
      </c>
      <c r="AA168" s="1">
        <f t="shared" si="81"/>
        <v>0</v>
      </c>
      <c r="AB168" s="1">
        <f t="shared" si="82"/>
        <v>0</v>
      </c>
      <c r="AD168" s="1">
        <f t="shared" si="83"/>
        <v>1</v>
      </c>
      <c r="AE168" s="1">
        <f t="shared" si="84"/>
        <v>0</v>
      </c>
      <c r="AF168" s="1">
        <f t="shared" si="85"/>
        <v>1</v>
      </c>
      <c r="AG168" s="1">
        <f t="shared" si="86"/>
        <v>0</v>
      </c>
      <c r="AH168" s="1">
        <f t="shared" si="87"/>
        <v>1</v>
      </c>
      <c r="AI168" s="1">
        <f t="shared" si="88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20" t="s">
        <v>1926</v>
      </c>
      <c r="E169" s="20" t="s">
        <v>171</v>
      </c>
      <c r="F169" s="20" t="s">
        <v>1928</v>
      </c>
      <c r="G169" s="20"/>
      <c r="H169" s="20" t="s">
        <v>1929</v>
      </c>
      <c r="I169" s="21" t="s">
        <v>1927</v>
      </c>
      <c r="J169" s="15">
        <v>16</v>
      </c>
      <c r="K169" s="10" t="s">
        <v>699</v>
      </c>
      <c r="L169" s="10" t="s">
        <v>693</v>
      </c>
      <c r="M169" s="19" t="s">
        <v>958</v>
      </c>
      <c r="N169" s="17"/>
      <c r="Q169" s="20" t="s">
        <v>1934</v>
      </c>
      <c r="S169" s="1">
        <f t="shared" si="73"/>
        <v>0</v>
      </c>
      <c r="T169" s="1">
        <f t="shared" si="74"/>
        <v>0</v>
      </c>
      <c r="U169" s="1">
        <f t="shared" si="75"/>
        <v>0</v>
      </c>
      <c r="V169" s="1">
        <f t="shared" si="76"/>
        <v>0</v>
      </c>
      <c r="W169" s="1">
        <f t="shared" si="77"/>
        <v>0</v>
      </c>
      <c r="X169" s="1">
        <f t="shared" si="78"/>
        <v>0</v>
      </c>
      <c r="Y169" s="1">
        <f t="shared" si="79"/>
        <v>0</v>
      </c>
      <c r="Z169" s="1">
        <f t="shared" si="80"/>
        <v>0</v>
      </c>
      <c r="AA169" s="1">
        <f t="shared" si="81"/>
        <v>0</v>
      </c>
      <c r="AB169" s="1">
        <f t="shared" si="82"/>
        <v>0</v>
      </c>
      <c r="AD169" s="1">
        <f t="shared" si="83"/>
        <v>0</v>
      </c>
      <c r="AE169" s="1">
        <f t="shared" si="84"/>
        <v>0</v>
      </c>
      <c r="AF169" s="1">
        <f t="shared" si="85"/>
        <v>0</v>
      </c>
      <c r="AG169" s="1">
        <f t="shared" si="86"/>
        <v>0</v>
      </c>
      <c r="AH169" s="1">
        <f t="shared" si="87"/>
        <v>0</v>
      </c>
      <c r="AI169" s="1">
        <f t="shared" si="88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1190</v>
      </c>
      <c r="E170" s="32" t="s">
        <v>171</v>
      </c>
      <c r="F170" s="32" t="s">
        <v>1192</v>
      </c>
      <c r="G170" s="32" t="s">
        <v>184</v>
      </c>
      <c r="H170" s="32" t="s">
        <v>352</v>
      </c>
      <c r="I170" s="31" t="s">
        <v>1191</v>
      </c>
      <c r="J170" s="31">
        <v>99</v>
      </c>
      <c r="K170" s="33" t="s">
        <v>945</v>
      </c>
      <c r="L170" s="33" t="s">
        <v>685</v>
      </c>
      <c r="M170" s="34" t="s">
        <v>958</v>
      </c>
      <c r="N170" s="34" t="s">
        <v>1723</v>
      </c>
      <c r="O170" s="35">
        <v>1</v>
      </c>
      <c r="P170" s="35"/>
      <c r="Q170" s="32"/>
      <c r="S170" s="1">
        <f t="shared" si="73"/>
        <v>0</v>
      </c>
      <c r="T170" s="1">
        <f t="shared" si="74"/>
        <v>0</v>
      </c>
      <c r="U170" s="1">
        <f t="shared" si="75"/>
        <v>0</v>
      </c>
      <c r="V170" s="1">
        <f t="shared" si="76"/>
        <v>0</v>
      </c>
      <c r="W170" s="1">
        <f t="shared" si="77"/>
        <v>0</v>
      </c>
      <c r="X170" s="1">
        <f t="shared" si="78"/>
        <v>0</v>
      </c>
      <c r="Y170" s="1">
        <f t="shared" si="79"/>
        <v>0</v>
      </c>
      <c r="Z170" s="1">
        <f t="shared" si="80"/>
        <v>0</v>
      </c>
      <c r="AA170" s="1">
        <f t="shared" si="81"/>
        <v>0</v>
      </c>
      <c r="AB170" s="1">
        <f t="shared" si="82"/>
        <v>0</v>
      </c>
      <c r="AD170" s="1">
        <f t="shared" si="83"/>
        <v>0</v>
      </c>
      <c r="AE170" s="1">
        <f t="shared" si="84"/>
        <v>1</v>
      </c>
      <c r="AF170" s="1">
        <f t="shared" si="85"/>
        <v>0</v>
      </c>
      <c r="AG170" s="1">
        <f t="shared" si="86"/>
        <v>1</v>
      </c>
      <c r="AH170" s="1">
        <f t="shared" si="87"/>
        <v>0</v>
      </c>
      <c r="AI170" s="1">
        <f t="shared" si="88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628</v>
      </c>
      <c r="E171" s="32" t="s">
        <v>169</v>
      </c>
      <c r="F171" s="32" t="s">
        <v>629</v>
      </c>
      <c r="G171" s="32" t="s">
        <v>193</v>
      </c>
      <c r="H171" s="32" t="s">
        <v>352</v>
      </c>
      <c r="I171" s="31" t="s">
        <v>630</v>
      </c>
      <c r="J171" s="31">
        <v>9</v>
      </c>
      <c r="K171" s="33" t="s">
        <v>944</v>
      </c>
      <c r="L171" s="33" t="s">
        <v>1673</v>
      </c>
      <c r="M171" s="34" t="s">
        <v>957</v>
      </c>
      <c r="N171" s="34" t="s">
        <v>1701</v>
      </c>
      <c r="O171" s="35">
        <v>1</v>
      </c>
      <c r="P171" s="35">
        <v>1</v>
      </c>
      <c r="Q171" s="32"/>
      <c r="S171" s="1">
        <f t="shared" si="73"/>
        <v>0</v>
      </c>
      <c r="T171" s="1">
        <f t="shared" si="74"/>
        <v>0</v>
      </c>
      <c r="U171" s="1">
        <f t="shared" si="75"/>
        <v>0</v>
      </c>
      <c r="V171" s="1">
        <f t="shared" si="76"/>
        <v>0</v>
      </c>
      <c r="W171" s="1">
        <f t="shared" si="77"/>
        <v>0</v>
      </c>
      <c r="X171" s="1">
        <f t="shared" si="78"/>
        <v>0</v>
      </c>
      <c r="Y171" s="1">
        <f t="shared" si="79"/>
        <v>0</v>
      </c>
      <c r="Z171" s="1">
        <f t="shared" si="80"/>
        <v>0</v>
      </c>
      <c r="AA171" s="1">
        <f t="shared" si="81"/>
        <v>1</v>
      </c>
      <c r="AB171" s="1">
        <f t="shared" si="82"/>
        <v>0</v>
      </c>
      <c r="AD171" s="1">
        <f t="shared" si="83"/>
        <v>1</v>
      </c>
      <c r="AE171" s="1">
        <f t="shared" si="84"/>
        <v>0</v>
      </c>
      <c r="AF171" s="1">
        <f t="shared" si="85"/>
        <v>1</v>
      </c>
      <c r="AG171" s="1">
        <f t="shared" si="86"/>
        <v>0</v>
      </c>
      <c r="AH171" s="1">
        <f t="shared" si="87"/>
        <v>1</v>
      </c>
      <c r="AI171" s="1">
        <f t="shared" si="88"/>
        <v>0</v>
      </c>
    </row>
    <row r="172" spans="1:35" ht="14.25" customHeight="1" x14ac:dyDescent="0.25">
      <c r="A172" s="44">
        <v>0</v>
      </c>
      <c r="B172" s="44">
        <v>1</v>
      </c>
      <c r="C172" s="44">
        <v>3</v>
      </c>
      <c r="D172" s="45" t="s">
        <v>131</v>
      </c>
      <c r="E172" s="45" t="s">
        <v>679</v>
      </c>
      <c r="F172" s="45" t="s">
        <v>332</v>
      </c>
      <c r="G172" s="45" t="s">
        <v>39</v>
      </c>
      <c r="H172" s="45" t="s">
        <v>360</v>
      </c>
      <c r="I172" s="44" t="s">
        <v>478</v>
      </c>
      <c r="J172" s="44">
        <v>12</v>
      </c>
      <c r="K172" s="46" t="s">
        <v>718</v>
      </c>
      <c r="L172" s="46">
        <v>35</v>
      </c>
      <c r="M172" s="47" t="s">
        <v>39</v>
      </c>
      <c r="N172" s="47" t="s">
        <v>1776</v>
      </c>
      <c r="O172" s="48"/>
      <c r="P172" s="48"/>
      <c r="Q172" s="45"/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0</v>
      </c>
      <c r="AE172" s="1">
        <f t="shared" si="72"/>
        <v>0</v>
      </c>
      <c r="AF172" s="1">
        <f t="shared" si="57"/>
        <v>0</v>
      </c>
      <c r="AG172" s="1">
        <f t="shared" si="58"/>
        <v>0</v>
      </c>
      <c r="AH172" s="1">
        <f t="shared" si="59"/>
        <v>0</v>
      </c>
      <c r="AI172" s="1">
        <f t="shared" si="6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817</v>
      </c>
      <c r="E173" s="16" t="s">
        <v>171</v>
      </c>
      <c r="F173" s="16" t="s">
        <v>818</v>
      </c>
      <c r="G173" s="16" t="s">
        <v>39</v>
      </c>
      <c r="H173" s="16" t="s">
        <v>373</v>
      </c>
      <c r="I173" s="15" t="s">
        <v>816</v>
      </c>
      <c r="J173" s="15">
        <v>12</v>
      </c>
      <c r="K173" s="10" t="s">
        <v>699</v>
      </c>
      <c r="L173" s="10">
        <v>40</v>
      </c>
      <c r="M173" s="19" t="s">
        <v>957</v>
      </c>
      <c r="N173" s="19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57"/>
        <v>0</v>
      </c>
      <c r="AG173" s="1">
        <f t="shared" si="58"/>
        <v>0</v>
      </c>
      <c r="AH173" s="1">
        <f t="shared" si="59"/>
        <v>0</v>
      </c>
      <c r="AI173" s="1">
        <f t="shared" si="6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141</v>
      </c>
      <c r="E174" s="32" t="s">
        <v>171</v>
      </c>
      <c r="F174" s="32" t="s">
        <v>341</v>
      </c>
      <c r="G174" s="32" t="s">
        <v>39</v>
      </c>
      <c r="H174" s="32" t="s">
        <v>375</v>
      </c>
      <c r="I174" s="31" t="s">
        <v>487</v>
      </c>
      <c r="J174" s="31">
        <v>15</v>
      </c>
      <c r="K174" s="33" t="s">
        <v>698</v>
      </c>
      <c r="L174" s="33" t="s">
        <v>688</v>
      </c>
      <c r="M174" s="34" t="s">
        <v>687</v>
      </c>
      <c r="N174" s="34" t="s">
        <v>1707</v>
      </c>
      <c r="O174" s="35">
        <v>1</v>
      </c>
      <c r="P174" s="35">
        <v>1</v>
      </c>
      <c r="Q174" s="36" t="s">
        <v>1865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si="71"/>
        <v>1</v>
      </c>
      <c r="AE174" s="1">
        <f t="shared" si="72"/>
        <v>0</v>
      </c>
      <c r="AF174" s="1">
        <f t="shared" si="57"/>
        <v>1</v>
      </c>
      <c r="AG174" s="1">
        <f t="shared" si="58"/>
        <v>0</v>
      </c>
      <c r="AH174" s="1">
        <f t="shared" si="59"/>
        <v>1</v>
      </c>
      <c r="AI174" s="1">
        <f t="shared" si="6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743</v>
      </c>
      <c r="E175" s="32" t="s">
        <v>606</v>
      </c>
      <c r="F175" s="32" t="s">
        <v>744</v>
      </c>
      <c r="G175" s="32" t="s">
        <v>39</v>
      </c>
      <c r="H175" s="32" t="s">
        <v>745</v>
      </c>
      <c r="I175" s="31" t="s">
        <v>746</v>
      </c>
      <c r="J175" s="31">
        <v>18</v>
      </c>
      <c r="K175" s="33" t="s">
        <v>699</v>
      </c>
      <c r="L175" s="33" t="s">
        <v>693</v>
      </c>
      <c r="M175" s="34" t="s">
        <v>687</v>
      </c>
      <c r="N175" s="34" t="s">
        <v>1823</v>
      </c>
      <c r="O175" s="35">
        <v>1</v>
      </c>
      <c r="P175" s="35"/>
      <c r="Q175" s="36"/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71"/>
        <v>0</v>
      </c>
      <c r="AE175" s="1">
        <f t="shared" si="72"/>
        <v>1</v>
      </c>
      <c r="AF175" s="1">
        <f t="shared" si="57"/>
        <v>0</v>
      </c>
      <c r="AG175" s="1">
        <f t="shared" si="58"/>
        <v>1</v>
      </c>
      <c r="AH175" s="1">
        <f t="shared" si="59"/>
        <v>0</v>
      </c>
      <c r="AI175" s="1">
        <f t="shared" si="6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6" t="s">
        <v>1815</v>
      </c>
      <c r="E176" s="32" t="s">
        <v>1074</v>
      </c>
      <c r="F176" s="32" t="s">
        <v>1800</v>
      </c>
      <c r="G176" s="32"/>
      <c r="H176" s="32" t="s">
        <v>370</v>
      </c>
      <c r="I176" s="31" t="s">
        <v>1801</v>
      </c>
      <c r="J176" s="31">
        <v>16</v>
      </c>
      <c r="K176" s="33" t="s">
        <v>699</v>
      </c>
      <c r="L176" s="33"/>
      <c r="M176" s="34"/>
      <c r="N176" s="34" t="s">
        <v>1701</v>
      </c>
      <c r="O176" s="35">
        <v>1</v>
      </c>
      <c r="P176" s="35">
        <v>1</v>
      </c>
      <c r="Q176" s="32"/>
      <c r="S176" s="1">
        <f t="shared" si="61"/>
        <v>0</v>
      </c>
      <c r="T176" s="1">
        <f t="shared" si="62"/>
        <v>0</v>
      </c>
      <c r="U176" s="1">
        <f t="shared" si="63"/>
        <v>0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71"/>
        <v>1</v>
      </c>
      <c r="AE176" s="1">
        <f t="shared" si="72"/>
        <v>0</v>
      </c>
      <c r="AF176" s="1">
        <f t="shared" si="57"/>
        <v>1</v>
      </c>
      <c r="AG176" s="1">
        <f t="shared" si="58"/>
        <v>0</v>
      </c>
      <c r="AH176" s="1">
        <f t="shared" si="59"/>
        <v>1</v>
      </c>
      <c r="AI176" s="1">
        <f t="shared" si="60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966</v>
      </c>
      <c r="E177" s="32" t="s">
        <v>606</v>
      </c>
      <c r="F177" s="32" t="s">
        <v>967</v>
      </c>
      <c r="G177" s="32" t="s">
        <v>202</v>
      </c>
      <c r="H177" s="32" t="s">
        <v>352</v>
      </c>
      <c r="I177" s="31" t="s">
        <v>968</v>
      </c>
      <c r="J177" s="31">
        <v>99</v>
      </c>
      <c r="K177" s="33" t="s">
        <v>943</v>
      </c>
      <c r="L177" s="33" t="s">
        <v>39</v>
      </c>
      <c r="M177" s="34" t="s">
        <v>39</v>
      </c>
      <c r="N177" s="34" t="s">
        <v>1701</v>
      </c>
      <c r="O177" s="35">
        <v>1</v>
      </c>
      <c r="P177" s="35">
        <v>1</v>
      </c>
      <c r="Q177" s="32"/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57"/>
        <v>1</v>
      </c>
      <c r="AG177" s="1">
        <f t="shared" si="58"/>
        <v>0</v>
      </c>
      <c r="AH177" s="1">
        <f t="shared" si="59"/>
        <v>1</v>
      </c>
      <c r="AI177" s="1">
        <f t="shared" si="6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148</v>
      </c>
      <c r="E178" s="32" t="s">
        <v>171</v>
      </c>
      <c r="F178" s="32" t="s">
        <v>348</v>
      </c>
      <c r="G178" s="32" t="s">
        <v>39</v>
      </c>
      <c r="H178" s="32" t="s">
        <v>378</v>
      </c>
      <c r="I178" s="31" t="s">
        <v>493</v>
      </c>
      <c r="J178" s="31">
        <v>14</v>
      </c>
      <c r="K178" s="33" t="s">
        <v>951</v>
      </c>
      <c r="L178" s="33" t="s">
        <v>39</v>
      </c>
      <c r="M178" s="34" t="s">
        <v>39</v>
      </c>
      <c r="N178" s="34" t="s">
        <v>1707</v>
      </c>
      <c r="O178" s="35">
        <v>1</v>
      </c>
      <c r="P178" s="35">
        <v>1</v>
      </c>
      <c r="Q178" s="32"/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1</v>
      </c>
      <c r="AE178" s="1">
        <f t="shared" si="72"/>
        <v>0</v>
      </c>
      <c r="AF178" s="1">
        <f t="shared" si="57"/>
        <v>1</v>
      </c>
      <c r="AG178" s="1">
        <f t="shared" si="58"/>
        <v>0</v>
      </c>
      <c r="AH178" s="1">
        <f t="shared" si="59"/>
        <v>1</v>
      </c>
      <c r="AI178" s="1">
        <f t="shared" si="6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1959</v>
      </c>
      <c r="E179" s="32" t="s">
        <v>1960</v>
      </c>
      <c r="F179" s="32" t="s">
        <v>1961</v>
      </c>
      <c r="G179" s="32" t="s">
        <v>531</v>
      </c>
      <c r="H179" s="32" t="s">
        <v>352</v>
      </c>
      <c r="I179" s="31" t="s">
        <v>1962</v>
      </c>
      <c r="J179" s="31"/>
      <c r="K179" s="33" t="s">
        <v>699</v>
      </c>
      <c r="L179" s="33"/>
      <c r="M179" s="34"/>
      <c r="N179" s="34" t="s">
        <v>1707</v>
      </c>
      <c r="O179" s="35">
        <v>1</v>
      </c>
      <c r="P179" s="35">
        <v>1</v>
      </c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1</v>
      </c>
      <c r="AE179" s="1">
        <f t="shared" si="72"/>
        <v>0</v>
      </c>
      <c r="AF179" s="1">
        <f t="shared" si="57"/>
        <v>1</v>
      </c>
      <c r="AG179" s="1">
        <f t="shared" si="58"/>
        <v>0</v>
      </c>
      <c r="AH179" s="1">
        <f t="shared" si="59"/>
        <v>1</v>
      </c>
      <c r="AI179" s="1">
        <f t="shared" si="60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631</v>
      </c>
      <c r="E180" s="32" t="s">
        <v>171</v>
      </c>
      <c r="F180" s="32" t="s">
        <v>633</v>
      </c>
      <c r="G180" s="32" t="s">
        <v>237</v>
      </c>
      <c r="H180" s="32" t="s">
        <v>352</v>
      </c>
      <c r="I180" s="31" t="s">
        <v>632</v>
      </c>
      <c r="J180" s="31">
        <v>4</v>
      </c>
      <c r="K180" s="33" t="s">
        <v>943</v>
      </c>
      <c r="L180" s="33" t="s">
        <v>39</v>
      </c>
      <c r="M180" s="34" t="s">
        <v>39</v>
      </c>
      <c r="N180" s="34" t="s">
        <v>1707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1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0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57"/>
        <v>1</v>
      </c>
      <c r="AG180" s="1">
        <f t="shared" si="58"/>
        <v>0</v>
      </c>
      <c r="AH180" s="1">
        <f t="shared" si="59"/>
        <v>1</v>
      </c>
      <c r="AI180" s="1">
        <f t="shared" si="60"/>
        <v>0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1502</v>
      </c>
      <c r="E181" s="16" t="s">
        <v>1074</v>
      </c>
      <c r="F181" s="16" t="s">
        <v>1503</v>
      </c>
      <c r="G181" s="16" t="s">
        <v>217</v>
      </c>
      <c r="H181" s="16" t="s">
        <v>352</v>
      </c>
      <c r="I181" s="15" t="s">
        <v>1504</v>
      </c>
      <c r="J181" s="15">
        <v>99</v>
      </c>
      <c r="K181" s="10" t="s">
        <v>699</v>
      </c>
      <c r="L181" s="10">
        <v>40</v>
      </c>
      <c r="M181" s="19" t="s">
        <v>957</v>
      </c>
      <c r="N181" s="19"/>
      <c r="Q181" s="16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0</v>
      </c>
      <c r="AF181" s="1">
        <f t="shared" si="57"/>
        <v>0</v>
      </c>
      <c r="AG181" s="1">
        <f t="shared" si="58"/>
        <v>0</v>
      </c>
      <c r="AH181" s="1">
        <f t="shared" si="59"/>
        <v>0</v>
      </c>
      <c r="AI181" s="1">
        <f t="shared" si="60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101</v>
      </c>
      <c r="E182" s="32" t="s">
        <v>171</v>
      </c>
      <c r="F182" s="32" t="s">
        <v>297</v>
      </c>
      <c r="G182" s="32" t="s">
        <v>298</v>
      </c>
      <c r="H182" s="32" t="s">
        <v>352</v>
      </c>
      <c r="I182" s="31" t="s">
        <v>446</v>
      </c>
      <c r="J182" s="31">
        <v>99</v>
      </c>
      <c r="K182" s="33" t="s">
        <v>945</v>
      </c>
      <c r="L182" s="33" t="s">
        <v>689</v>
      </c>
      <c r="M182" s="34" t="s">
        <v>687</v>
      </c>
      <c r="N182" s="34" t="s">
        <v>1717</v>
      </c>
      <c r="O182" s="35">
        <v>1</v>
      </c>
      <c r="P182" s="35"/>
      <c r="Q182" s="32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1</v>
      </c>
      <c r="AF182" s="1">
        <f t="shared" si="57"/>
        <v>0</v>
      </c>
      <c r="AG182" s="1">
        <f t="shared" si="58"/>
        <v>1</v>
      </c>
      <c r="AH182" s="1">
        <f t="shared" si="59"/>
        <v>0</v>
      </c>
      <c r="AI182" s="1">
        <f t="shared" si="60"/>
        <v>1</v>
      </c>
    </row>
    <row r="183" spans="1:35" ht="14.25" customHeight="1" x14ac:dyDescent="0.25">
      <c r="A183" s="44">
        <v>0</v>
      </c>
      <c r="B183" s="44">
        <v>1</v>
      </c>
      <c r="C183" s="44">
        <v>3</v>
      </c>
      <c r="D183" s="45" t="s">
        <v>977</v>
      </c>
      <c r="E183" s="45" t="s">
        <v>171</v>
      </c>
      <c r="F183" s="45" t="s">
        <v>980</v>
      </c>
      <c r="G183" s="45" t="s">
        <v>39</v>
      </c>
      <c r="H183" s="45" t="s">
        <v>979</v>
      </c>
      <c r="I183" s="44" t="s">
        <v>978</v>
      </c>
      <c r="J183" s="44">
        <v>14</v>
      </c>
      <c r="K183" s="46" t="s">
        <v>718</v>
      </c>
      <c r="L183" s="46" t="s">
        <v>690</v>
      </c>
      <c r="M183" s="47" t="s">
        <v>958</v>
      </c>
      <c r="N183" s="47" t="s">
        <v>1709</v>
      </c>
      <c r="O183" s="48"/>
      <c r="P183" s="48"/>
      <c r="Q183" s="45"/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0</v>
      </c>
      <c r="AE183" s="1">
        <f t="shared" si="72"/>
        <v>0</v>
      </c>
      <c r="AF183" s="1">
        <f t="shared" si="57"/>
        <v>0</v>
      </c>
      <c r="AG183" s="1">
        <f t="shared" si="58"/>
        <v>0</v>
      </c>
      <c r="AH183" s="1">
        <f t="shared" si="59"/>
        <v>0</v>
      </c>
      <c r="AI183" s="1">
        <f t="shared" si="60"/>
        <v>1</v>
      </c>
    </row>
    <row r="184" spans="1:35" ht="14.25" customHeight="1" x14ac:dyDescent="0.25">
      <c r="A184" s="57">
        <v>0</v>
      </c>
      <c r="B184" s="57">
        <v>1</v>
      </c>
      <c r="C184" s="57">
        <v>3</v>
      </c>
      <c r="D184" s="58" t="s">
        <v>1618</v>
      </c>
      <c r="E184" s="58" t="s">
        <v>171</v>
      </c>
      <c r="F184" s="58" t="s">
        <v>764</v>
      </c>
      <c r="G184" s="58" t="s">
        <v>39</v>
      </c>
      <c r="H184" s="58" t="s">
        <v>365</v>
      </c>
      <c r="I184" s="57" t="s">
        <v>772</v>
      </c>
      <c r="J184" s="57">
        <v>18</v>
      </c>
      <c r="K184" s="59" t="s">
        <v>1671</v>
      </c>
      <c r="L184" s="59" t="s">
        <v>39</v>
      </c>
      <c r="M184" s="60" t="s">
        <v>765</v>
      </c>
      <c r="N184" s="61"/>
      <c r="O184" s="62"/>
      <c r="P184" s="62"/>
      <c r="Q184" s="58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0</v>
      </c>
      <c r="AE184" s="1">
        <f t="shared" si="72"/>
        <v>0</v>
      </c>
      <c r="AF184" s="1">
        <f t="shared" si="57"/>
        <v>0</v>
      </c>
      <c r="AG184" s="1">
        <f t="shared" si="58"/>
        <v>0</v>
      </c>
      <c r="AH184" s="1">
        <f t="shared" si="59"/>
        <v>0</v>
      </c>
      <c r="AI184" s="1">
        <f t="shared" si="60"/>
        <v>1</v>
      </c>
    </row>
    <row r="185" spans="1:35" ht="14.25" customHeight="1" x14ac:dyDescent="0.25">
      <c r="A185" s="49">
        <v>0</v>
      </c>
      <c r="B185" s="49">
        <v>1</v>
      </c>
      <c r="C185" s="49">
        <v>3</v>
      </c>
      <c r="D185" s="50" t="s">
        <v>134</v>
      </c>
      <c r="E185" s="50" t="s">
        <v>171</v>
      </c>
      <c r="F185" s="50" t="s">
        <v>655</v>
      </c>
      <c r="G185" s="50" t="s">
        <v>256</v>
      </c>
      <c r="H185" s="50" t="s">
        <v>352</v>
      </c>
      <c r="I185" s="49" t="s">
        <v>1667</v>
      </c>
      <c r="J185" s="49">
        <v>99</v>
      </c>
      <c r="K185" s="51" t="s">
        <v>718</v>
      </c>
      <c r="L185" s="51" t="s">
        <v>683</v>
      </c>
      <c r="M185" s="52" t="s">
        <v>1374</v>
      </c>
      <c r="N185" s="52" t="s">
        <v>1717</v>
      </c>
      <c r="O185" s="53">
        <v>1</v>
      </c>
      <c r="P185" s="53"/>
      <c r="Q185" s="50" t="s">
        <v>1904</v>
      </c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0</v>
      </c>
      <c r="AE185" s="1">
        <f t="shared" si="72"/>
        <v>1</v>
      </c>
      <c r="AF185" s="1">
        <f t="shared" si="57"/>
        <v>0</v>
      </c>
      <c r="AG185" s="1">
        <f t="shared" si="58"/>
        <v>1</v>
      </c>
      <c r="AH185" s="1">
        <f t="shared" si="59"/>
        <v>0</v>
      </c>
      <c r="AI185" s="1">
        <f t="shared" si="60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912</v>
      </c>
      <c r="E186" s="32" t="s">
        <v>169</v>
      </c>
      <c r="F186" s="32" t="s">
        <v>928</v>
      </c>
      <c r="G186" s="32" t="s">
        <v>39</v>
      </c>
      <c r="H186" s="32" t="s">
        <v>363</v>
      </c>
      <c r="I186" s="31" t="s">
        <v>874</v>
      </c>
      <c r="J186" s="31">
        <v>18</v>
      </c>
      <c r="K186" s="33" t="s">
        <v>698</v>
      </c>
      <c r="L186" s="33" t="s">
        <v>693</v>
      </c>
      <c r="M186" s="34" t="s">
        <v>958</v>
      </c>
      <c r="N186" s="34" t="s">
        <v>1722</v>
      </c>
      <c r="O186" s="35">
        <v>1</v>
      </c>
      <c r="P186" s="35"/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0</v>
      </c>
      <c r="AE186" s="1">
        <f t="shared" si="72"/>
        <v>1</v>
      </c>
      <c r="AF186" s="1">
        <f t="shared" si="57"/>
        <v>0</v>
      </c>
      <c r="AG186" s="1">
        <f t="shared" si="58"/>
        <v>1</v>
      </c>
      <c r="AH186" s="1">
        <f t="shared" si="59"/>
        <v>0</v>
      </c>
      <c r="AI186" s="1">
        <f t="shared" si="6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1241</v>
      </c>
      <c r="E187" s="32" t="s">
        <v>169</v>
      </c>
      <c r="F187" s="32" t="s">
        <v>1650</v>
      </c>
      <c r="G187" s="32" t="s">
        <v>39</v>
      </c>
      <c r="H187" s="32" t="s">
        <v>762</v>
      </c>
      <c r="I187" s="31" t="s">
        <v>1242</v>
      </c>
      <c r="J187" s="31">
        <v>11</v>
      </c>
      <c r="K187" s="33" t="s">
        <v>718</v>
      </c>
      <c r="L187" s="33" t="s">
        <v>685</v>
      </c>
      <c r="M187" s="34" t="s">
        <v>1375</v>
      </c>
      <c r="N187" s="34" t="s">
        <v>1723</v>
      </c>
      <c r="O187" s="35">
        <v>1</v>
      </c>
      <c r="P187" s="35"/>
      <c r="Q187" s="32"/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si="71"/>
        <v>0</v>
      </c>
      <c r="AE187" s="1">
        <f t="shared" si="72"/>
        <v>1</v>
      </c>
      <c r="AF187" s="1">
        <f t="shared" si="57"/>
        <v>0</v>
      </c>
      <c r="AG187" s="1">
        <f t="shared" si="58"/>
        <v>1</v>
      </c>
      <c r="AH187" s="1">
        <f t="shared" si="59"/>
        <v>0</v>
      </c>
      <c r="AI187" s="1">
        <f t="shared" si="60"/>
        <v>1</v>
      </c>
    </row>
    <row r="188" spans="1:35" ht="14.25" customHeight="1" x14ac:dyDescent="0.25">
      <c r="A188" s="31">
        <v>0</v>
      </c>
      <c r="B188" s="31">
        <v>1</v>
      </c>
      <c r="C188" s="31">
        <v>4</v>
      </c>
      <c r="D188" s="32" t="s">
        <v>983</v>
      </c>
      <c r="E188" s="32" t="s">
        <v>763</v>
      </c>
      <c r="F188" s="32" t="s">
        <v>1081</v>
      </c>
      <c r="G188" s="32" t="s">
        <v>199</v>
      </c>
      <c r="H188" s="32" t="s">
        <v>352</v>
      </c>
      <c r="I188" s="31" t="s">
        <v>984</v>
      </c>
      <c r="J188" s="31">
        <v>2</v>
      </c>
      <c r="K188" s="33" t="s">
        <v>943</v>
      </c>
      <c r="L188" s="33" t="s">
        <v>689</v>
      </c>
      <c r="M188" s="34" t="s">
        <v>1376</v>
      </c>
      <c r="N188" s="34" t="s">
        <v>1701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1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71"/>
        <v>1</v>
      </c>
      <c r="AE188" s="1">
        <f t="shared" si="72"/>
        <v>0</v>
      </c>
      <c r="AF188" s="1">
        <f t="shared" si="57"/>
        <v>1</v>
      </c>
      <c r="AG188" s="1">
        <f t="shared" si="58"/>
        <v>0</v>
      </c>
      <c r="AH188" s="1">
        <f t="shared" si="59"/>
        <v>1</v>
      </c>
      <c r="AI188" s="1">
        <f t="shared" si="60"/>
        <v>0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50</v>
      </c>
      <c r="E189" s="32" t="s">
        <v>763</v>
      </c>
      <c r="F189" s="32" t="s">
        <v>192</v>
      </c>
      <c r="G189" s="32" t="s">
        <v>193</v>
      </c>
      <c r="H189" s="32" t="s">
        <v>352</v>
      </c>
      <c r="I189" s="31" t="s">
        <v>385</v>
      </c>
      <c r="J189" s="31">
        <v>9</v>
      </c>
      <c r="K189" s="33" t="s">
        <v>943</v>
      </c>
      <c r="L189" s="33" t="s">
        <v>690</v>
      </c>
      <c r="M189" s="34" t="s">
        <v>956</v>
      </c>
      <c r="N189" s="34" t="s">
        <v>1775</v>
      </c>
      <c r="O189" s="35">
        <v>1</v>
      </c>
      <c r="P189" s="35"/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0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1</v>
      </c>
      <c r="AB189" s="1">
        <f t="shared" si="70"/>
        <v>0</v>
      </c>
      <c r="AD189" s="1">
        <f t="shared" si="71"/>
        <v>0</v>
      </c>
      <c r="AE189" s="1">
        <f t="shared" si="72"/>
        <v>1</v>
      </c>
      <c r="AF189" s="1">
        <f t="shared" si="57"/>
        <v>0</v>
      </c>
      <c r="AG189" s="1">
        <f t="shared" si="58"/>
        <v>1</v>
      </c>
      <c r="AH189" s="1">
        <f t="shared" si="59"/>
        <v>0</v>
      </c>
      <c r="AI189" s="1">
        <f t="shared" si="60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6" t="s">
        <v>2053</v>
      </c>
      <c r="E190" s="32" t="s">
        <v>763</v>
      </c>
      <c r="F190" s="36" t="s">
        <v>2054</v>
      </c>
      <c r="G190" s="36" t="s">
        <v>212</v>
      </c>
      <c r="H190" s="36" t="s">
        <v>352</v>
      </c>
      <c r="I190" s="37" t="s">
        <v>2055</v>
      </c>
      <c r="J190" s="31">
        <v>1</v>
      </c>
      <c r="K190" s="33" t="s">
        <v>699</v>
      </c>
      <c r="L190" s="33"/>
      <c r="M190" s="34"/>
      <c r="N190" s="34" t="s">
        <v>1707</v>
      </c>
      <c r="O190" s="35">
        <v>1</v>
      </c>
      <c r="P190" s="35">
        <v>1</v>
      </c>
      <c r="Q190" s="32" t="s">
        <v>2056</v>
      </c>
      <c r="S190" s="1">
        <f t="shared" si="61"/>
        <v>1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1</v>
      </c>
      <c r="AE190" s="1">
        <f t="shared" si="72"/>
        <v>0</v>
      </c>
      <c r="AF190" s="1">
        <f t="shared" si="57"/>
        <v>1</v>
      </c>
      <c r="AG190" s="1">
        <f t="shared" si="58"/>
        <v>0</v>
      </c>
      <c r="AH190" s="1">
        <f t="shared" si="59"/>
        <v>1</v>
      </c>
      <c r="AI190" s="1">
        <f t="shared" si="60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133</v>
      </c>
      <c r="E191" s="32" t="s">
        <v>176</v>
      </c>
      <c r="F191" s="32" t="s">
        <v>334</v>
      </c>
      <c r="G191" s="32" t="s">
        <v>212</v>
      </c>
      <c r="H191" s="32" t="s">
        <v>352</v>
      </c>
      <c r="I191" s="31" t="s">
        <v>480</v>
      </c>
      <c r="J191" s="31">
        <v>1</v>
      </c>
      <c r="K191" s="33" t="s">
        <v>943</v>
      </c>
      <c r="L191" s="33" t="s">
        <v>685</v>
      </c>
      <c r="M191" s="34" t="s">
        <v>687</v>
      </c>
      <c r="N191" s="34" t="s">
        <v>1717</v>
      </c>
      <c r="O191" s="35">
        <v>1</v>
      </c>
      <c r="P191" s="35"/>
      <c r="Q191" s="32"/>
      <c r="S191" s="1">
        <f t="shared" si="61"/>
        <v>1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57"/>
        <v>0</v>
      </c>
      <c r="AG191" s="1">
        <f t="shared" si="58"/>
        <v>1</v>
      </c>
      <c r="AH191" s="1">
        <f t="shared" si="59"/>
        <v>0</v>
      </c>
      <c r="AI191" s="1">
        <f t="shared" si="60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125</v>
      </c>
      <c r="E192" s="32" t="s">
        <v>522</v>
      </c>
      <c r="F192" s="32" t="s">
        <v>325</v>
      </c>
      <c r="G192" s="32" t="s">
        <v>298</v>
      </c>
      <c r="H192" s="32" t="s">
        <v>352</v>
      </c>
      <c r="I192" s="31" t="s">
        <v>472</v>
      </c>
      <c r="J192" s="31">
        <v>99</v>
      </c>
      <c r="K192" s="33" t="s">
        <v>698</v>
      </c>
      <c r="L192" s="33" t="s">
        <v>685</v>
      </c>
      <c r="M192" s="34" t="s">
        <v>957</v>
      </c>
      <c r="N192" s="34" t="s">
        <v>1717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57"/>
        <v>0</v>
      </c>
      <c r="AG192" s="1">
        <f t="shared" si="58"/>
        <v>1</v>
      </c>
      <c r="AH192" s="1">
        <f t="shared" si="59"/>
        <v>0</v>
      </c>
      <c r="AI192" s="1">
        <f t="shared" si="6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1703</v>
      </c>
      <c r="E193" s="32" t="s">
        <v>165</v>
      </c>
      <c r="F193" s="32" t="s">
        <v>1704</v>
      </c>
      <c r="G193" s="32" t="s">
        <v>1705</v>
      </c>
      <c r="H193" s="32" t="s">
        <v>352</v>
      </c>
      <c r="I193" s="31" t="s">
        <v>1706</v>
      </c>
      <c r="J193" s="31">
        <v>2</v>
      </c>
      <c r="K193" s="33" t="s">
        <v>699</v>
      </c>
      <c r="L193" s="33"/>
      <c r="M193" s="34"/>
      <c r="N193" s="34" t="s">
        <v>1707</v>
      </c>
      <c r="O193" s="35">
        <v>1</v>
      </c>
      <c r="P193" s="35">
        <v>1</v>
      </c>
      <c r="Q193" s="32"/>
      <c r="S193" s="1">
        <f t="shared" si="61"/>
        <v>0</v>
      </c>
      <c r="T193" s="1">
        <f t="shared" si="62"/>
        <v>1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1</v>
      </c>
      <c r="AE193" s="1">
        <f t="shared" si="72"/>
        <v>0</v>
      </c>
      <c r="AF193" s="1">
        <f t="shared" si="57"/>
        <v>1</v>
      </c>
      <c r="AG193" s="1">
        <f t="shared" si="58"/>
        <v>0</v>
      </c>
      <c r="AH193" s="1">
        <f t="shared" si="59"/>
        <v>1</v>
      </c>
      <c r="AI193" s="1">
        <f t="shared" si="6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87</v>
      </c>
      <c r="E194" s="32" t="s">
        <v>165</v>
      </c>
      <c r="F194" s="32" t="s">
        <v>573</v>
      </c>
      <c r="G194" s="32" t="s">
        <v>193</v>
      </c>
      <c r="H194" s="32" t="s">
        <v>352</v>
      </c>
      <c r="I194" s="31" t="s">
        <v>434</v>
      </c>
      <c r="J194" s="31">
        <v>9</v>
      </c>
      <c r="K194" s="33" t="s">
        <v>943</v>
      </c>
      <c r="L194" s="33" t="s">
        <v>692</v>
      </c>
      <c r="M194" s="34" t="s">
        <v>687</v>
      </c>
      <c r="N194" s="34" t="s">
        <v>1717</v>
      </c>
      <c r="O194" s="35">
        <v>1</v>
      </c>
      <c r="P194" s="35"/>
      <c r="Q194" s="32"/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1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57"/>
        <v>0</v>
      </c>
      <c r="AG194" s="1">
        <f t="shared" si="58"/>
        <v>1</v>
      </c>
      <c r="AH194" s="1">
        <f t="shared" si="59"/>
        <v>0</v>
      </c>
      <c r="AI194" s="1">
        <f t="shared" si="60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1966</v>
      </c>
      <c r="E195" s="32" t="s">
        <v>165</v>
      </c>
      <c r="F195" s="32" t="s">
        <v>1967</v>
      </c>
      <c r="G195" s="32" t="s">
        <v>1970</v>
      </c>
      <c r="H195" s="32" t="s">
        <v>352</v>
      </c>
      <c r="I195" s="31" t="s">
        <v>1968</v>
      </c>
      <c r="J195" s="31">
        <v>99</v>
      </c>
      <c r="K195" s="33" t="s">
        <v>699</v>
      </c>
      <c r="L195" s="33">
        <v>25</v>
      </c>
      <c r="M195" s="34" t="s">
        <v>687</v>
      </c>
      <c r="N195" s="34" t="s">
        <v>1717</v>
      </c>
      <c r="O195" s="35">
        <v>1</v>
      </c>
      <c r="P195" s="35"/>
      <c r="Q195" s="32" t="s">
        <v>1969</v>
      </c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57"/>
        <v>0</v>
      </c>
      <c r="AG195" s="1">
        <f t="shared" si="58"/>
        <v>1</v>
      </c>
      <c r="AH195" s="1">
        <f t="shared" si="59"/>
        <v>0</v>
      </c>
      <c r="AI195" s="1">
        <f t="shared" si="60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126</v>
      </c>
      <c r="E196" s="32" t="s">
        <v>165</v>
      </c>
      <c r="F196" s="32" t="s">
        <v>326</v>
      </c>
      <c r="G196" s="32" t="s">
        <v>179</v>
      </c>
      <c r="H196" s="32" t="s">
        <v>352</v>
      </c>
      <c r="I196" s="31" t="s">
        <v>473</v>
      </c>
      <c r="J196" s="31">
        <v>10</v>
      </c>
      <c r="K196" s="33" t="s">
        <v>945</v>
      </c>
      <c r="L196" s="33" t="s">
        <v>690</v>
      </c>
      <c r="M196" s="34" t="s">
        <v>687</v>
      </c>
      <c r="N196" s="34" t="s">
        <v>1763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1</v>
      </c>
      <c r="AD196" s="1">
        <f t="shared" si="71"/>
        <v>0</v>
      </c>
      <c r="AE196" s="1">
        <f t="shared" si="72"/>
        <v>1</v>
      </c>
      <c r="AF196" s="1">
        <f t="shared" si="57"/>
        <v>0</v>
      </c>
      <c r="AG196" s="1">
        <f t="shared" si="58"/>
        <v>1</v>
      </c>
      <c r="AH196" s="1">
        <f t="shared" si="59"/>
        <v>0</v>
      </c>
      <c r="AI196" s="1">
        <f t="shared" si="6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136</v>
      </c>
      <c r="E197" s="32" t="s">
        <v>165</v>
      </c>
      <c r="F197" s="32" t="s">
        <v>544</v>
      </c>
      <c r="G197" s="32" t="s">
        <v>219</v>
      </c>
      <c r="H197" s="32" t="s">
        <v>352</v>
      </c>
      <c r="I197" s="31" t="s">
        <v>536</v>
      </c>
      <c r="J197" s="31">
        <v>8</v>
      </c>
      <c r="K197" s="33" t="s">
        <v>943</v>
      </c>
      <c r="L197" s="33" t="s">
        <v>690</v>
      </c>
      <c r="M197" s="34" t="s">
        <v>687</v>
      </c>
      <c r="N197" s="34" t="s">
        <v>1717</v>
      </c>
      <c r="O197" s="35">
        <v>1</v>
      </c>
      <c r="P197" s="35"/>
      <c r="Q197" s="32"/>
      <c r="S197" s="1">
        <f t="shared" si="61"/>
        <v>0</v>
      </c>
      <c r="T197" s="1">
        <f t="shared" si="62"/>
        <v>0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1</v>
      </c>
      <c r="AA197" s="1">
        <f t="shared" si="69"/>
        <v>0</v>
      </c>
      <c r="AB197" s="1">
        <f t="shared" si="70"/>
        <v>0</v>
      </c>
      <c r="AD197" s="1">
        <f t="shared" si="71"/>
        <v>0</v>
      </c>
      <c r="AE197" s="1">
        <f t="shared" si="72"/>
        <v>1</v>
      </c>
      <c r="AF197" s="1">
        <f t="shared" si="57"/>
        <v>0</v>
      </c>
      <c r="AG197" s="1">
        <f t="shared" si="58"/>
        <v>1</v>
      </c>
      <c r="AH197" s="1">
        <f t="shared" si="59"/>
        <v>0</v>
      </c>
      <c r="AI197" s="1">
        <f t="shared" si="60"/>
        <v>1</v>
      </c>
    </row>
    <row r="198" spans="1:35" ht="14.25" customHeight="1" x14ac:dyDescent="0.25">
      <c r="A198" s="31">
        <v>1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335</v>
      </c>
      <c r="G198" s="32" t="s">
        <v>336</v>
      </c>
      <c r="H198" s="32" t="s">
        <v>352</v>
      </c>
      <c r="I198" s="31" t="s">
        <v>482</v>
      </c>
      <c r="J198" s="31">
        <v>10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0</v>
      </c>
      <c r="AB198" s="1">
        <f t="shared" si="70"/>
        <v>1</v>
      </c>
      <c r="AD198" s="1">
        <f t="shared" si="71"/>
        <v>0</v>
      </c>
      <c r="AE198" s="1">
        <f t="shared" si="72"/>
        <v>1</v>
      </c>
      <c r="AF198" s="1">
        <f t="shared" si="57"/>
        <v>0</v>
      </c>
      <c r="AG198" s="1">
        <f t="shared" si="58"/>
        <v>0</v>
      </c>
      <c r="AH198" s="1">
        <f t="shared" si="59"/>
        <v>0</v>
      </c>
      <c r="AI198" s="1">
        <f t="shared" si="6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1611</v>
      </c>
      <c r="E199" s="32" t="s">
        <v>165</v>
      </c>
      <c r="F199" s="32" t="s">
        <v>856</v>
      </c>
      <c r="G199" s="32" t="s">
        <v>1638</v>
      </c>
      <c r="H199" s="32" t="s">
        <v>352</v>
      </c>
      <c r="I199" s="31" t="s">
        <v>857</v>
      </c>
      <c r="J199" s="31">
        <v>1</v>
      </c>
      <c r="K199" s="33" t="s">
        <v>718</v>
      </c>
      <c r="L199" s="33" t="s">
        <v>1681</v>
      </c>
      <c r="M199" s="34" t="s">
        <v>1377</v>
      </c>
      <c r="N199" s="34" t="s">
        <v>1717</v>
      </c>
      <c r="O199" s="35">
        <v>1</v>
      </c>
      <c r="P199" s="35"/>
      <c r="Q199" s="32"/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0</v>
      </c>
      <c r="AE199" s="1">
        <f t="shared" si="72"/>
        <v>1</v>
      </c>
      <c r="AF199" s="1">
        <f t="shared" si="57"/>
        <v>0</v>
      </c>
      <c r="AG199" s="1">
        <f t="shared" si="58"/>
        <v>1</v>
      </c>
      <c r="AH199" s="1">
        <f t="shared" si="59"/>
        <v>0</v>
      </c>
      <c r="AI199" s="1">
        <f t="shared" si="60"/>
        <v>1</v>
      </c>
    </row>
    <row r="200" spans="1:35" ht="14.25" customHeight="1" x14ac:dyDescent="0.25">
      <c r="A200" s="38">
        <v>0</v>
      </c>
      <c r="B200" s="38">
        <v>1</v>
      </c>
      <c r="C200" s="38">
        <v>5</v>
      </c>
      <c r="D200" s="39" t="s">
        <v>2084</v>
      </c>
      <c r="E200" s="39" t="s">
        <v>165</v>
      </c>
      <c r="F200" s="39" t="s">
        <v>2085</v>
      </c>
      <c r="G200" s="39" t="s">
        <v>193</v>
      </c>
      <c r="H200" s="39" t="s">
        <v>352</v>
      </c>
      <c r="I200" s="38" t="s">
        <v>2086</v>
      </c>
      <c r="J200" s="38">
        <v>9</v>
      </c>
      <c r="K200" s="40" t="s">
        <v>699</v>
      </c>
      <c r="L200" s="40"/>
      <c r="M200" s="41"/>
      <c r="N200" s="42"/>
      <c r="O200" s="43"/>
      <c r="P200" s="43"/>
      <c r="Q200" s="54" t="s">
        <v>2087</v>
      </c>
      <c r="S200" s="1">
        <f t="shared" ref="S200:S203" si="89">IF(J200=$S$7,1,0)</f>
        <v>0</v>
      </c>
      <c r="T200" s="1">
        <f t="shared" ref="T200:T203" si="90">IF(J200=$T$7,1,0)</f>
        <v>0</v>
      </c>
      <c r="U200" s="1">
        <f t="shared" ref="U200:U203" si="91">IF(J200=$U$7,1,0)</f>
        <v>0</v>
      </c>
      <c r="V200" s="1">
        <f t="shared" ref="V200:V203" si="92">IF(J200=$V$7,1,0)</f>
        <v>0</v>
      </c>
      <c r="W200" s="1">
        <f t="shared" ref="W200:W203" si="93">IF(J200=$W$7,1,0)</f>
        <v>0</v>
      </c>
      <c r="X200" s="1">
        <f t="shared" ref="X200:X203" si="94">IF(J200=$X$7,1,0)</f>
        <v>0</v>
      </c>
      <c r="Y200" s="1">
        <f t="shared" ref="Y200:Y203" si="95">IF(J200=$Y$7,1,0)</f>
        <v>0</v>
      </c>
      <c r="Z200" s="1">
        <f t="shared" ref="Z200:Z203" si="96">IF(J200=$Z$7,1,0)</f>
        <v>0</v>
      </c>
      <c r="AA200" s="1">
        <f t="shared" ref="AA200:AA203" si="97">IF(J200=$AA$7,1,0)</f>
        <v>1</v>
      </c>
      <c r="AB200" s="1">
        <f t="shared" ref="AB200:AB203" si="98">IF(J200=$AB$7,1,0)</f>
        <v>0</v>
      </c>
      <c r="AD200" s="1">
        <f t="shared" ref="AD200:AD203" si="99">+O200*P200</f>
        <v>0</v>
      </c>
      <c r="AE200" s="1">
        <f t="shared" ref="AE200:AE203" si="100">O200*(1-P200)</f>
        <v>0</v>
      </c>
      <c r="AF200" s="1">
        <f t="shared" ref="AF200:AF203" si="101">+O200*P200*(1-A200)</f>
        <v>0</v>
      </c>
      <c r="AG200" s="1">
        <f t="shared" ref="AG200:AG203" si="102">O200*(1-P200)*(1-A200)</f>
        <v>0</v>
      </c>
      <c r="AH200" s="1">
        <f t="shared" ref="AH200:AH203" si="103">+P200*(1-A200)</f>
        <v>0</v>
      </c>
      <c r="AI200" s="1">
        <f t="shared" ref="AI200:AI203" si="104">+(1-A200)*(1-P200)</f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20" t="s">
        <v>1923</v>
      </c>
      <c r="E201" s="20" t="s">
        <v>882</v>
      </c>
      <c r="F201" s="20" t="s">
        <v>1940</v>
      </c>
      <c r="G201" s="20"/>
      <c r="H201" s="20" t="s">
        <v>1941</v>
      </c>
      <c r="I201" s="21" t="s">
        <v>1939</v>
      </c>
      <c r="J201" s="15">
        <v>15</v>
      </c>
      <c r="K201" s="10" t="s">
        <v>699</v>
      </c>
      <c r="L201" s="10" t="s">
        <v>693</v>
      </c>
      <c r="M201" s="19" t="s">
        <v>958</v>
      </c>
      <c r="N201" s="17"/>
      <c r="Q201" s="20" t="s">
        <v>1942</v>
      </c>
      <c r="S201" s="1">
        <f t="shared" si="89"/>
        <v>0</v>
      </c>
      <c r="T201" s="1">
        <f t="shared" si="90"/>
        <v>0</v>
      </c>
      <c r="U201" s="1">
        <f t="shared" si="91"/>
        <v>0</v>
      </c>
      <c r="V201" s="1">
        <f t="shared" si="92"/>
        <v>0</v>
      </c>
      <c r="W201" s="1">
        <f t="shared" si="93"/>
        <v>0</v>
      </c>
      <c r="X201" s="1">
        <f t="shared" si="94"/>
        <v>0</v>
      </c>
      <c r="Y201" s="1">
        <f t="shared" si="95"/>
        <v>0</v>
      </c>
      <c r="Z201" s="1">
        <f t="shared" si="96"/>
        <v>0</v>
      </c>
      <c r="AA201" s="1">
        <f t="shared" si="97"/>
        <v>0</v>
      </c>
      <c r="AB201" s="1">
        <f t="shared" si="98"/>
        <v>0</v>
      </c>
      <c r="AD201" s="1">
        <f t="shared" si="99"/>
        <v>0</v>
      </c>
      <c r="AE201" s="1">
        <f t="shared" si="100"/>
        <v>0</v>
      </c>
      <c r="AF201" s="1">
        <f t="shared" si="101"/>
        <v>0</v>
      </c>
      <c r="AG201" s="1">
        <f t="shared" si="102"/>
        <v>0</v>
      </c>
      <c r="AH201" s="1">
        <f t="shared" si="103"/>
        <v>0</v>
      </c>
      <c r="AI201" s="1">
        <f t="shared" si="104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876</v>
      </c>
      <c r="E202" s="32" t="s">
        <v>877</v>
      </c>
      <c r="F202" s="32" t="s">
        <v>1079</v>
      </c>
      <c r="G202" s="32" t="s">
        <v>39</v>
      </c>
      <c r="H202" s="32" t="s">
        <v>878</v>
      </c>
      <c r="I202" s="31" t="s">
        <v>879</v>
      </c>
      <c r="J202" s="31">
        <v>16</v>
      </c>
      <c r="K202" s="33" t="s">
        <v>699</v>
      </c>
      <c r="L202" s="33" t="s">
        <v>688</v>
      </c>
      <c r="M202" s="34" t="s">
        <v>957</v>
      </c>
      <c r="N202" s="34" t="s">
        <v>1707</v>
      </c>
      <c r="O202" s="35">
        <v>1</v>
      </c>
      <c r="P202" s="35">
        <v>1</v>
      </c>
      <c r="Q202" s="36" t="s">
        <v>1868</v>
      </c>
      <c r="S202" s="1">
        <f t="shared" si="89"/>
        <v>0</v>
      </c>
      <c r="T202" s="1">
        <f t="shared" si="90"/>
        <v>0</v>
      </c>
      <c r="U202" s="1">
        <f t="shared" si="91"/>
        <v>0</v>
      </c>
      <c r="V202" s="1">
        <f t="shared" si="92"/>
        <v>0</v>
      </c>
      <c r="W202" s="1">
        <f t="shared" si="93"/>
        <v>0</v>
      </c>
      <c r="X202" s="1">
        <f t="shared" si="94"/>
        <v>0</v>
      </c>
      <c r="Y202" s="1">
        <f t="shared" si="95"/>
        <v>0</v>
      </c>
      <c r="Z202" s="1">
        <f t="shared" si="96"/>
        <v>0</v>
      </c>
      <c r="AA202" s="1">
        <f t="shared" si="97"/>
        <v>0</v>
      </c>
      <c r="AB202" s="1">
        <f t="shared" si="98"/>
        <v>0</v>
      </c>
      <c r="AD202" s="1">
        <f t="shared" si="99"/>
        <v>1</v>
      </c>
      <c r="AE202" s="1">
        <f t="shared" si="100"/>
        <v>0</v>
      </c>
      <c r="AF202" s="1">
        <f t="shared" si="101"/>
        <v>1</v>
      </c>
      <c r="AG202" s="1">
        <f t="shared" si="102"/>
        <v>0</v>
      </c>
      <c r="AH202" s="1">
        <f t="shared" si="103"/>
        <v>1</v>
      </c>
      <c r="AI202" s="1">
        <f t="shared" si="104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105</v>
      </c>
      <c r="E203" s="32" t="s">
        <v>172</v>
      </c>
      <c r="F203" s="32" t="s">
        <v>302</v>
      </c>
      <c r="G203" s="32" t="s">
        <v>39</v>
      </c>
      <c r="H203" s="32" t="s">
        <v>357</v>
      </c>
      <c r="I203" s="31" t="s">
        <v>450</v>
      </c>
      <c r="J203" s="31">
        <v>14</v>
      </c>
      <c r="K203" s="33" t="s">
        <v>943</v>
      </c>
      <c r="L203" s="33" t="s">
        <v>689</v>
      </c>
      <c r="M203" s="34" t="s">
        <v>957</v>
      </c>
      <c r="N203" s="34" t="s">
        <v>1717</v>
      </c>
      <c r="O203" s="35">
        <v>1</v>
      </c>
      <c r="P203" s="35"/>
      <c r="Q203" s="32"/>
      <c r="S203" s="1">
        <f t="shared" si="89"/>
        <v>0</v>
      </c>
      <c r="T203" s="1">
        <f t="shared" si="90"/>
        <v>0</v>
      </c>
      <c r="U203" s="1">
        <f t="shared" si="91"/>
        <v>0</v>
      </c>
      <c r="V203" s="1">
        <f t="shared" si="92"/>
        <v>0</v>
      </c>
      <c r="W203" s="1">
        <f t="shared" si="93"/>
        <v>0</v>
      </c>
      <c r="X203" s="1">
        <f t="shared" si="94"/>
        <v>0</v>
      </c>
      <c r="Y203" s="1">
        <f t="shared" si="95"/>
        <v>0</v>
      </c>
      <c r="Z203" s="1">
        <f t="shared" si="96"/>
        <v>0</v>
      </c>
      <c r="AA203" s="1">
        <f t="shared" si="97"/>
        <v>0</v>
      </c>
      <c r="AB203" s="1">
        <f t="shared" si="98"/>
        <v>0</v>
      </c>
      <c r="AD203" s="1">
        <f t="shared" si="99"/>
        <v>0</v>
      </c>
      <c r="AE203" s="1">
        <f t="shared" si="100"/>
        <v>1</v>
      </c>
      <c r="AF203" s="1">
        <f t="shared" si="101"/>
        <v>0</v>
      </c>
      <c r="AG203" s="1">
        <f t="shared" si="102"/>
        <v>1</v>
      </c>
      <c r="AH203" s="1">
        <f t="shared" si="103"/>
        <v>0</v>
      </c>
      <c r="AI203" s="1">
        <f t="shared" si="104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509</v>
      </c>
      <c r="E204" s="45" t="s">
        <v>171</v>
      </c>
      <c r="F204" s="45" t="s">
        <v>545</v>
      </c>
      <c r="G204" s="45" t="s">
        <v>39</v>
      </c>
      <c r="H204" s="45" t="s">
        <v>360</v>
      </c>
      <c r="I204" s="44" t="s">
        <v>1101</v>
      </c>
      <c r="J204" s="44">
        <v>12</v>
      </c>
      <c r="K204" s="46" t="s">
        <v>699</v>
      </c>
      <c r="L204" s="46">
        <v>35</v>
      </c>
      <c r="M204" s="47" t="s">
        <v>957</v>
      </c>
      <c r="N204" s="47" t="s">
        <v>1776</v>
      </c>
      <c r="O204" s="48"/>
      <c r="P204" s="48"/>
      <c r="Q204" s="45"/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0</v>
      </c>
      <c r="AB204" s="1">
        <f t="shared" si="70"/>
        <v>0</v>
      </c>
      <c r="AD204" s="1">
        <f t="shared" si="71"/>
        <v>0</v>
      </c>
      <c r="AE204" s="1">
        <f t="shared" si="72"/>
        <v>0</v>
      </c>
      <c r="AF204" s="1">
        <f t="shared" si="57"/>
        <v>0</v>
      </c>
      <c r="AG204" s="1">
        <f t="shared" si="58"/>
        <v>0</v>
      </c>
      <c r="AH204" s="1">
        <f t="shared" si="59"/>
        <v>0</v>
      </c>
      <c r="AI204" s="1">
        <f t="shared" si="6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150</v>
      </c>
      <c r="E205" s="32" t="s">
        <v>165</v>
      </c>
      <c r="F205" s="36" t="s">
        <v>1844</v>
      </c>
      <c r="G205" s="32" t="s">
        <v>196</v>
      </c>
      <c r="H205" s="32" t="s">
        <v>352</v>
      </c>
      <c r="I205" s="31" t="s">
        <v>495</v>
      </c>
      <c r="J205" s="31">
        <v>99</v>
      </c>
      <c r="K205" s="33" t="s">
        <v>943</v>
      </c>
      <c r="L205" s="33" t="s">
        <v>689</v>
      </c>
      <c r="M205" s="34" t="s">
        <v>957</v>
      </c>
      <c r="N205" s="34" t="s">
        <v>1722</v>
      </c>
      <c r="O205" s="35">
        <v>1</v>
      </c>
      <c r="P205" s="35"/>
      <c r="Q205" s="32"/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0</v>
      </c>
      <c r="AD205" s="1">
        <f t="shared" si="71"/>
        <v>0</v>
      </c>
      <c r="AE205" s="1">
        <f t="shared" si="72"/>
        <v>1</v>
      </c>
      <c r="AF205" s="1">
        <f t="shared" si="57"/>
        <v>0</v>
      </c>
      <c r="AG205" s="1">
        <f t="shared" si="58"/>
        <v>1</v>
      </c>
      <c r="AH205" s="1">
        <f t="shared" si="59"/>
        <v>0</v>
      </c>
      <c r="AI205" s="1">
        <f t="shared" si="6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645</v>
      </c>
      <c r="E206" s="32" t="s">
        <v>680</v>
      </c>
      <c r="F206" s="32" t="s">
        <v>641</v>
      </c>
      <c r="G206" s="32" t="s">
        <v>184</v>
      </c>
      <c r="H206" s="32" t="s">
        <v>352</v>
      </c>
      <c r="I206" s="31" t="s">
        <v>642</v>
      </c>
      <c r="J206" s="31">
        <v>99</v>
      </c>
      <c r="K206" s="33" t="s">
        <v>718</v>
      </c>
      <c r="L206" s="33" t="s">
        <v>689</v>
      </c>
      <c r="M206" s="34" t="s">
        <v>957</v>
      </c>
      <c r="N206" s="34" t="s">
        <v>1723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0</v>
      </c>
      <c r="AA206" s="1">
        <f t="shared" si="69"/>
        <v>0</v>
      </c>
      <c r="AB206" s="1">
        <f t="shared" si="70"/>
        <v>0</v>
      </c>
      <c r="AD206" s="1">
        <f t="shared" si="71"/>
        <v>0</v>
      </c>
      <c r="AE206" s="1">
        <f t="shared" si="72"/>
        <v>1</v>
      </c>
      <c r="AF206" s="1">
        <f t="shared" si="57"/>
        <v>0</v>
      </c>
      <c r="AG206" s="1">
        <f t="shared" si="58"/>
        <v>1</v>
      </c>
      <c r="AH206" s="1">
        <f t="shared" si="59"/>
        <v>0</v>
      </c>
      <c r="AI206" s="1">
        <f t="shared" si="6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1290</v>
      </c>
      <c r="E207" s="32" t="s">
        <v>165</v>
      </c>
      <c r="F207" s="32" t="s">
        <v>1291</v>
      </c>
      <c r="G207" s="32" t="s">
        <v>281</v>
      </c>
      <c r="H207" s="32" t="s">
        <v>352</v>
      </c>
      <c r="I207" s="31" t="s">
        <v>1292</v>
      </c>
      <c r="J207" s="31">
        <v>99</v>
      </c>
      <c r="K207" s="33" t="s">
        <v>698</v>
      </c>
      <c r="L207" s="33" t="s">
        <v>39</v>
      </c>
      <c r="M207" s="34" t="s">
        <v>39</v>
      </c>
      <c r="N207" s="34" t="s">
        <v>1707</v>
      </c>
      <c r="O207" s="35">
        <v>1</v>
      </c>
      <c r="P207" s="35">
        <v>1</v>
      </c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0</v>
      </c>
      <c r="AA207" s="1">
        <f t="shared" si="69"/>
        <v>0</v>
      </c>
      <c r="AB207" s="1">
        <f t="shared" si="70"/>
        <v>0</v>
      </c>
      <c r="AD207" s="1">
        <f t="shared" si="71"/>
        <v>1</v>
      </c>
      <c r="AE207" s="1">
        <f t="shared" si="72"/>
        <v>0</v>
      </c>
      <c r="AF207" s="1">
        <f t="shared" si="57"/>
        <v>1</v>
      </c>
      <c r="AG207" s="1">
        <f t="shared" si="58"/>
        <v>0</v>
      </c>
      <c r="AH207" s="1">
        <f t="shared" si="59"/>
        <v>1</v>
      </c>
      <c r="AI207" s="1">
        <f t="shared" si="60"/>
        <v>0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881</v>
      </c>
      <c r="E208" s="45" t="s">
        <v>882</v>
      </c>
      <c r="F208" s="45" t="s">
        <v>923</v>
      </c>
      <c r="G208" s="45" t="s">
        <v>39</v>
      </c>
      <c r="H208" s="45" t="s">
        <v>883</v>
      </c>
      <c r="I208" s="44" t="s">
        <v>884</v>
      </c>
      <c r="J208" s="44">
        <v>17</v>
      </c>
      <c r="K208" s="46" t="s">
        <v>699</v>
      </c>
      <c r="L208" s="46" t="s">
        <v>693</v>
      </c>
      <c r="M208" s="47" t="s">
        <v>957</v>
      </c>
      <c r="N208" s="47" t="s">
        <v>1715</v>
      </c>
      <c r="O208" s="48"/>
      <c r="P208" s="48"/>
      <c r="Q208" s="45"/>
      <c r="S208" s="1">
        <f t="shared" si="61"/>
        <v>0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0</v>
      </c>
      <c r="AD208" s="1">
        <f t="shared" si="71"/>
        <v>0</v>
      </c>
      <c r="AE208" s="1">
        <f t="shared" si="72"/>
        <v>0</v>
      </c>
      <c r="AF208" s="1">
        <f t="shared" ref="AF208:AF271" si="105">+O208*P208*(1-A208)</f>
        <v>0</v>
      </c>
      <c r="AG208" s="1">
        <f t="shared" ref="AG208:AG271" si="106">O208*(1-P208)*(1-A208)</f>
        <v>0</v>
      </c>
      <c r="AH208" s="1">
        <f t="shared" ref="AH208:AH271" si="107">+P208*(1-A208)</f>
        <v>0</v>
      </c>
      <c r="AI208" s="1">
        <f t="shared" ref="AI208:AI271" si="108">+(1-A208)*(1-P208)</f>
        <v>1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1915</v>
      </c>
      <c r="E209" s="16" t="s">
        <v>882</v>
      </c>
      <c r="F209" s="16" t="s">
        <v>1917</v>
      </c>
      <c r="G209" s="16"/>
      <c r="H209" s="16" t="s">
        <v>1916</v>
      </c>
      <c r="I209" s="15" t="s">
        <v>1918</v>
      </c>
      <c r="J209" s="15">
        <v>16</v>
      </c>
      <c r="K209" s="10" t="s">
        <v>699</v>
      </c>
      <c r="L209" s="10" t="s">
        <v>693</v>
      </c>
      <c r="M209" s="19" t="s">
        <v>957</v>
      </c>
      <c r="N209" s="17"/>
      <c r="Q209" s="20" t="s">
        <v>1919</v>
      </c>
      <c r="S209" s="1">
        <f t="shared" si="61"/>
        <v>0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0</v>
      </c>
      <c r="AB209" s="1">
        <f t="shared" si="70"/>
        <v>0</v>
      </c>
      <c r="AD209" s="1">
        <f t="shared" si="71"/>
        <v>0</v>
      </c>
      <c r="AE209" s="1">
        <f t="shared" si="72"/>
        <v>0</v>
      </c>
      <c r="AF209" s="1">
        <f t="shared" si="105"/>
        <v>0</v>
      </c>
      <c r="AG209" s="1">
        <f t="shared" si="106"/>
        <v>0</v>
      </c>
      <c r="AH209" s="1">
        <f t="shared" si="107"/>
        <v>0</v>
      </c>
      <c r="AI209" s="1">
        <f t="shared" si="108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130</v>
      </c>
      <c r="E210" s="45" t="s">
        <v>165</v>
      </c>
      <c r="F210" s="45" t="s">
        <v>330</v>
      </c>
      <c r="G210" s="45" t="s">
        <v>331</v>
      </c>
      <c r="H210" s="45" t="s">
        <v>352</v>
      </c>
      <c r="I210" s="44" t="s">
        <v>477</v>
      </c>
      <c r="J210" s="44">
        <v>99</v>
      </c>
      <c r="K210" s="46" t="s">
        <v>718</v>
      </c>
      <c r="L210" s="46" t="s">
        <v>690</v>
      </c>
      <c r="M210" s="47" t="s">
        <v>957</v>
      </c>
      <c r="N210" s="47" t="s">
        <v>1721</v>
      </c>
      <c r="O210" s="48"/>
      <c r="P210" s="48"/>
      <c r="Q210" s="45"/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0</v>
      </c>
      <c r="AB210" s="1">
        <f t="shared" si="70"/>
        <v>0</v>
      </c>
      <c r="AD210" s="1">
        <f t="shared" si="71"/>
        <v>0</v>
      </c>
      <c r="AE210" s="1">
        <f t="shared" si="72"/>
        <v>0</v>
      </c>
      <c r="AF210" s="1">
        <f t="shared" si="105"/>
        <v>0</v>
      </c>
      <c r="AG210" s="1">
        <f t="shared" si="106"/>
        <v>0</v>
      </c>
      <c r="AH210" s="1">
        <f t="shared" si="107"/>
        <v>0</v>
      </c>
      <c r="AI210" s="1">
        <f t="shared" si="108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108</v>
      </c>
      <c r="E211" s="32" t="s">
        <v>165</v>
      </c>
      <c r="F211" s="32" t="s">
        <v>305</v>
      </c>
      <c r="G211" s="32" t="s">
        <v>230</v>
      </c>
      <c r="H211" s="32" t="s">
        <v>352</v>
      </c>
      <c r="I211" s="31" t="s">
        <v>453</v>
      </c>
      <c r="J211" s="31">
        <v>99</v>
      </c>
      <c r="K211" s="33" t="s">
        <v>718</v>
      </c>
      <c r="L211" s="33" t="s">
        <v>692</v>
      </c>
      <c r="M211" s="34" t="s">
        <v>687</v>
      </c>
      <c r="N211" s="34" t="s">
        <v>1717</v>
      </c>
      <c r="O211" s="35">
        <v>1</v>
      </c>
      <c r="P211" s="35"/>
      <c r="Q211" s="32"/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0</v>
      </c>
      <c r="AE211" s="1">
        <f t="shared" si="72"/>
        <v>1</v>
      </c>
      <c r="AF211" s="1">
        <f t="shared" si="105"/>
        <v>0</v>
      </c>
      <c r="AG211" s="1">
        <f t="shared" si="106"/>
        <v>1</v>
      </c>
      <c r="AH211" s="1">
        <f t="shared" si="107"/>
        <v>0</v>
      </c>
      <c r="AI211" s="1">
        <f t="shared" si="10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110</v>
      </c>
      <c r="E212" s="32" t="s">
        <v>171</v>
      </c>
      <c r="F212" s="32" t="s">
        <v>308</v>
      </c>
      <c r="G212" s="32" t="s">
        <v>39</v>
      </c>
      <c r="H212" s="32" t="s">
        <v>362</v>
      </c>
      <c r="I212" s="31" t="s">
        <v>456</v>
      </c>
      <c r="J212" s="31">
        <v>17</v>
      </c>
      <c r="K212" s="33" t="s">
        <v>699</v>
      </c>
      <c r="L212" s="33" t="s">
        <v>693</v>
      </c>
      <c r="M212" s="34" t="s">
        <v>687</v>
      </c>
      <c r="N212" s="34" t="s">
        <v>1707</v>
      </c>
      <c r="O212" s="35">
        <v>1</v>
      </c>
      <c r="P212" s="35">
        <v>1</v>
      </c>
      <c r="Q212" s="32" t="s">
        <v>1889</v>
      </c>
      <c r="S212" s="1">
        <f t="shared" ref="S212:S275" si="109">IF(J212=$S$7,1,0)</f>
        <v>0</v>
      </c>
      <c r="T212" s="1">
        <f t="shared" ref="T212:T275" si="110">IF(J212=$T$7,1,0)</f>
        <v>0</v>
      </c>
      <c r="U212" s="1">
        <f t="shared" ref="U212:U275" si="111">IF(J212=$U$7,1,0)</f>
        <v>0</v>
      </c>
      <c r="V212" s="1">
        <f t="shared" ref="V212:V275" si="112">IF(J212=$V$7,1,0)</f>
        <v>0</v>
      </c>
      <c r="W212" s="1">
        <f t="shared" ref="W212:W275" si="113">IF(J212=$W$7,1,0)</f>
        <v>0</v>
      </c>
      <c r="X212" s="1">
        <f t="shared" ref="X212:X275" si="114">IF(J212=$X$7,1,0)</f>
        <v>0</v>
      </c>
      <c r="Y212" s="1">
        <f t="shared" ref="Y212:Y275" si="115">IF(J212=$Y$7,1,0)</f>
        <v>0</v>
      </c>
      <c r="Z212" s="1">
        <f t="shared" ref="Z212:Z275" si="116">IF(J212=$Z$7,1,0)</f>
        <v>0</v>
      </c>
      <c r="AA212" s="1">
        <f t="shared" ref="AA212:AA275" si="117">IF(J212=$AA$7,1,0)</f>
        <v>0</v>
      </c>
      <c r="AB212" s="1">
        <f t="shared" ref="AB212:AB275" si="118">IF(J212=$AB$7,1,0)</f>
        <v>0</v>
      </c>
      <c r="AD212" s="1">
        <f t="shared" ref="AD212:AD275" si="119">+O212*P212</f>
        <v>1</v>
      </c>
      <c r="AE212" s="1">
        <f t="shared" ref="AE212:AE275" si="120">O212*(1-P212)</f>
        <v>0</v>
      </c>
      <c r="AF212" s="1">
        <f t="shared" si="105"/>
        <v>1</v>
      </c>
      <c r="AG212" s="1">
        <f t="shared" si="106"/>
        <v>0</v>
      </c>
      <c r="AH212" s="1">
        <f t="shared" si="107"/>
        <v>1</v>
      </c>
      <c r="AI212" s="1">
        <f t="shared" si="108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521</v>
      </c>
      <c r="E213" s="32" t="s">
        <v>522</v>
      </c>
      <c r="F213" s="32" t="s">
        <v>523</v>
      </c>
      <c r="G213" s="32" t="s">
        <v>201</v>
      </c>
      <c r="H213" s="32" t="s">
        <v>352</v>
      </c>
      <c r="I213" s="31" t="s">
        <v>524</v>
      </c>
      <c r="J213" s="31">
        <v>10</v>
      </c>
      <c r="K213" s="33" t="s">
        <v>698</v>
      </c>
      <c r="L213" s="33" t="s">
        <v>689</v>
      </c>
      <c r="M213" s="34" t="s">
        <v>957</v>
      </c>
      <c r="N213" s="34" t="s">
        <v>1707</v>
      </c>
      <c r="O213" s="35">
        <v>1</v>
      </c>
      <c r="P213" s="35">
        <v>1</v>
      </c>
      <c r="Q213" s="32"/>
      <c r="S213" s="1">
        <f t="shared" si="109"/>
        <v>0</v>
      </c>
      <c r="T213" s="1">
        <f t="shared" si="110"/>
        <v>0</v>
      </c>
      <c r="U213" s="1">
        <f t="shared" si="111"/>
        <v>0</v>
      </c>
      <c r="V213" s="1">
        <f t="shared" si="112"/>
        <v>0</v>
      </c>
      <c r="W213" s="1">
        <f t="shared" si="113"/>
        <v>0</v>
      </c>
      <c r="X213" s="1">
        <f t="shared" si="114"/>
        <v>0</v>
      </c>
      <c r="Y213" s="1">
        <f t="shared" si="115"/>
        <v>0</v>
      </c>
      <c r="Z213" s="1">
        <f t="shared" si="116"/>
        <v>0</v>
      </c>
      <c r="AA213" s="1">
        <f t="shared" si="117"/>
        <v>0</v>
      </c>
      <c r="AB213" s="1">
        <f t="shared" si="118"/>
        <v>1</v>
      </c>
      <c r="AD213" s="1">
        <f t="shared" si="119"/>
        <v>1</v>
      </c>
      <c r="AE213" s="1">
        <f t="shared" si="120"/>
        <v>0</v>
      </c>
      <c r="AF213" s="1">
        <f t="shared" si="105"/>
        <v>1</v>
      </c>
      <c r="AG213" s="1">
        <f t="shared" si="106"/>
        <v>0</v>
      </c>
      <c r="AH213" s="1">
        <f t="shared" si="107"/>
        <v>1</v>
      </c>
      <c r="AI213" s="1">
        <f t="shared" si="10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1474</v>
      </c>
      <c r="E214" s="32" t="s">
        <v>165</v>
      </c>
      <c r="F214" s="32" t="s">
        <v>1475</v>
      </c>
      <c r="G214" s="32" t="s">
        <v>179</v>
      </c>
      <c r="H214" s="32" t="s">
        <v>352</v>
      </c>
      <c r="I214" s="31" t="s">
        <v>1476</v>
      </c>
      <c r="J214" s="31">
        <v>10</v>
      </c>
      <c r="K214" s="33" t="s">
        <v>943</v>
      </c>
      <c r="L214" s="33" t="s">
        <v>689</v>
      </c>
      <c r="M214" s="34" t="s">
        <v>957</v>
      </c>
      <c r="N214" s="34" t="s">
        <v>1701</v>
      </c>
      <c r="O214" s="35">
        <v>1</v>
      </c>
      <c r="P214" s="35">
        <v>1</v>
      </c>
      <c r="Q214" s="32"/>
      <c r="S214" s="1">
        <f t="shared" si="109"/>
        <v>0</v>
      </c>
      <c r="T214" s="1">
        <f t="shared" si="110"/>
        <v>0</v>
      </c>
      <c r="U214" s="1">
        <f t="shared" si="111"/>
        <v>0</v>
      </c>
      <c r="V214" s="1">
        <f t="shared" si="112"/>
        <v>0</v>
      </c>
      <c r="W214" s="1">
        <f t="shared" si="113"/>
        <v>0</v>
      </c>
      <c r="X214" s="1">
        <f t="shared" si="114"/>
        <v>0</v>
      </c>
      <c r="Y214" s="1">
        <f t="shared" si="115"/>
        <v>0</v>
      </c>
      <c r="Z214" s="1">
        <f t="shared" si="116"/>
        <v>0</v>
      </c>
      <c r="AA214" s="1">
        <f t="shared" si="117"/>
        <v>0</v>
      </c>
      <c r="AB214" s="1">
        <f t="shared" si="118"/>
        <v>1</v>
      </c>
      <c r="AD214" s="1">
        <f t="shared" si="119"/>
        <v>1</v>
      </c>
      <c r="AE214" s="1">
        <f t="shared" si="120"/>
        <v>0</v>
      </c>
      <c r="AF214" s="1">
        <f t="shared" si="105"/>
        <v>1</v>
      </c>
      <c r="AG214" s="1">
        <f t="shared" si="106"/>
        <v>0</v>
      </c>
      <c r="AH214" s="1">
        <f t="shared" si="107"/>
        <v>1</v>
      </c>
      <c r="AI214" s="1">
        <f t="shared" si="108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1731</v>
      </c>
      <c r="E215" s="32" t="s">
        <v>165</v>
      </c>
      <c r="F215" s="32" t="s">
        <v>1732</v>
      </c>
      <c r="G215" s="32" t="s">
        <v>1733</v>
      </c>
      <c r="H215" s="32" t="s">
        <v>352</v>
      </c>
      <c r="I215" s="31" t="s">
        <v>1734</v>
      </c>
      <c r="J215" s="31">
        <v>1</v>
      </c>
      <c r="K215" s="33" t="s">
        <v>699</v>
      </c>
      <c r="L215" s="33"/>
      <c r="M215" s="34"/>
      <c r="N215" s="34" t="s">
        <v>1722</v>
      </c>
      <c r="O215" s="35">
        <v>1</v>
      </c>
      <c r="P215" s="35"/>
      <c r="Q215" s="32"/>
      <c r="S215" s="1">
        <f t="shared" si="109"/>
        <v>1</v>
      </c>
      <c r="T215" s="1">
        <f t="shared" si="110"/>
        <v>0</v>
      </c>
      <c r="U215" s="1">
        <f t="shared" si="111"/>
        <v>0</v>
      </c>
      <c r="V215" s="1">
        <f t="shared" si="112"/>
        <v>0</v>
      </c>
      <c r="W215" s="1">
        <f t="shared" si="113"/>
        <v>0</v>
      </c>
      <c r="X215" s="1">
        <f t="shared" si="114"/>
        <v>0</v>
      </c>
      <c r="Y215" s="1">
        <f t="shared" si="115"/>
        <v>0</v>
      </c>
      <c r="Z215" s="1">
        <f t="shared" si="116"/>
        <v>0</v>
      </c>
      <c r="AA215" s="1">
        <f t="shared" si="117"/>
        <v>0</v>
      </c>
      <c r="AB215" s="1">
        <f t="shared" si="118"/>
        <v>0</v>
      </c>
      <c r="AD215" s="1">
        <f t="shared" si="119"/>
        <v>0</v>
      </c>
      <c r="AE215" s="1">
        <f t="shared" si="120"/>
        <v>1</v>
      </c>
      <c r="AF215" s="1">
        <f t="shared" si="105"/>
        <v>0</v>
      </c>
      <c r="AG215" s="1">
        <f t="shared" si="106"/>
        <v>1</v>
      </c>
      <c r="AH215" s="1">
        <f t="shared" si="107"/>
        <v>0</v>
      </c>
      <c r="AI215" s="1">
        <f t="shared" si="108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1013</v>
      </c>
      <c r="E216" s="45" t="s">
        <v>1074</v>
      </c>
      <c r="F216" s="45" t="s">
        <v>1014</v>
      </c>
      <c r="G216" s="45" t="s">
        <v>193</v>
      </c>
      <c r="H216" s="45" t="s">
        <v>352</v>
      </c>
      <c r="I216" s="44" t="s">
        <v>1015</v>
      </c>
      <c r="J216" s="44">
        <v>9</v>
      </c>
      <c r="K216" s="46" t="s">
        <v>718</v>
      </c>
      <c r="L216" s="46" t="s">
        <v>1678</v>
      </c>
      <c r="M216" s="47" t="s">
        <v>1578</v>
      </c>
      <c r="N216" s="47" t="s">
        <v>1709</v>
      </c>
      <c r="O216" s="48"/>
      <c r="P216" s="48"/>
      <c r="Q216" s="45"/>
      <c r="S216" s="1">
        <f t="shared" si="109"/>
        <v>0</v>
      </c>
      <c r="T216" s="1">
        <f t="shared" si="110"/>
        <v>0</v>
      </c>
      <c r="U216" s="1">
        <f t="shared" si="111"/>
        <v>0</v>
      </c>
      <c r="V216" s="1">
        <f t="shared" si="112"/>
        <v>0</v>
      </c>
      <c r="W216" s="1">
        <f t="shared" si="113"/>
        <v>0</v>
      </c>
      <c r="X216" s="1">
        <f t="shared" si="114"/>
        <v>0</v>
      </c>
      <c r="Y216" s="1">
        <f t="shared" si="115"/>
        <v>0</v>
      </c>
      <c r="Z216" s="1">
        <f t="shared" si="116"/>
        <v>0</v>
      </c>
      <c r="AA216" s="1">
        <f t="shared" si="117"/>
        <v>1</v>
      </c>
      <c r="AB216" s="1">
        <f t="shared" si="118"/>
        <v>0</v>
      </c>
      <c r="AD216" s="1">
        <f t="shared" si="119"/>
        <v>0</v>
      </c>
      <c r="AE216" s="1">
        <f t="shared" si="120"/>
        <v>0</v>
      </c>
      <c r="AF216" s="1">
        <f t="shared" si="105"/>
        <v>0</v>
      </c>
      <c r="AG216" s="1">
        <f t="shared" si="106"/>
        <v>0</v>
      </c>
      <c r="AH216" s="1">
        <f t="shared" si="107"/>
        <v>0</v>
      </c>
      <c r="AI216" s="1">
        <f t="shared" si="108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1588</v>
      </c>
      <c r="E217" s="45" t="s">
        <v>165</v>
      </c>
      <c r="F217" s="45" t="s">
        <v>1589</v>
      </c>
      <c r="G217" s="45" t="s">
        <v>212</v>
      </c>
      <c r="H217" s="45" t="s">
        <v>352</v>
      </c>
      <c r="I217" s="44" t="s">
        <v>1590</v>
      </c>
      <c r="J217" s="44">
        <v>1</v>
      </c>
      <c r="K217" s="46" t="s">
        <v>718</v>
      </c>
      <c r="L217" s="46" t="s">
        <v>690</v>
      </c>
      <c r="M217" s="47" t="s">
        <v>957</v>
      </c>
      <c r="N217" s="47" t="s">
        <v>1710</v>
      </c>
      <c r="O217" s="48"/>
      <c r="P217" s="48"/>
      <c r="Q217" s="45"/>
      <c r="S217" s="1">
        <f t="shared" si="109"/>
        <v>1</v>
      </c>
      <c r="T217" s="1">
        <f t="shared" si="110"/>
        <v>0</v>
      </c>
      <c r="U217" s="1">
        <f t="shared" si="111"/>
        <v>0</v>
      </c>
      <c r="V217" s="1">
        <f t="shared" si="112"/>
        <v>0</v>
      </c>
      <c r="W217" s="1">
        <f t="shared" si="113"/>
        <v>0</v>
      </c>
      <c r="X217" s="1">
        <f t="shared" si="114"/>
        <v>0</v>
      </c>
      <c r="Y217" s="1">
        <f t="shared" si="115"/>
        <v>0</v>
      </c>
      <c r="Z217" s="1">
        <f t="shared" si="116"/>
        <v>0</v>
      </c>
      <c r="AA217" s="1">
        <f t="shared" si="117"/>
        <v>0</v>
      </c>
      <c r="AB217" s="1">
        <f t="shared" si="118"/>
        <v>0</v>
      </c>
      <c r="AD217" s="1">
        <f t="shared" si="119"/>
        <v>0</v>
      </c>
      <c r="AE217" s="1">
        <f t="shared" si="120"/>
        <v>0</v>
      </c>
      <c r="AF217" s="1">
        <f t="shared" si="105"/>
        <v>0</v>
      </c>
      <c r="AG217" s="1">
        <f t="shared" si="106"/>
        <v>0</v>
      </c>
      <c r="AH217" s="1">
        <f t="shared" si="107"/>
        <v>0</v>
      </c>
      <c r="AI217" s="1">
        <f t="shared" si="10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146</v>
      </c>
      <c r="E218" s="32" t="s">
        <v>541</v>
      </c>
      <c r="F218" s="32" t="s">
        <v>1573</v>
      </c>
      <c r="G218" s="32" t="s">
        <v>1647</v>
      </c>
      <c r="H218" s="32" t="s">
        <v>352</v>
      </c>
      <c r="I218" s="31" t="s">
        <v>491</v>
      </c>
      <c r="J218" s="31">
        <v>99</v>
      </c>
      <c r="K218" s="33" t="s">
        <v>698</v>
      </c>
      <c r="L218" s="33" t="s">
        <v>685</v>
      </c>
      <c r="M218" s="34" t="s">
        <v>957</v>
      </c>
      <c r="N218" s="34" t="s">
        <v>1799</v>
      </c>
      <c r="O218" s="35">
        <v>1</v>
      </c>
      <c r="P218" s="35"/>
      <c r="Q218" s="32"/>
      <c r="S218" s="1">
        <f t="shared" si="109"/>
        <v>0</v>
      </c>
      <c r="T218" s="1">
        <f t="shared" si="110"/>
        <v>0</v>
      </c>
      <c r="U218" s="1">
        <f t="shared" si="111"/>
        <v>0</v>
      </c>
      <c r="V218" s="1">
        <f t="shared" si="112"/>
        <v>0</v>
      </c>
      <c r="W218" s="1">
        <f t="shared" si="113"/>
        <v>0</v>
      </c>
      <c r="X218" s="1">
        <f t="shared" si="114"/>
        <v>0</v>
      </c>
      <c r="Y218" s="1">
        <f t="shared" si="115"/>
        <v>0</v>
      </c>
      <c r="Z218" s="1">
        <f t="shared" si="116"/>
        <v>0</v>
      </c>
      <c r="AA218" s="1">
        <f t="shared" si="117"/>
        <v>0</v>
      </c>
      <c r="AB218" s="1">
        <f t="shared" si="118"/>
        <v>0</v>
      </c>
      <c r="AD218" s="1">
        <f t="shared" si="119"/>
        <v>0</v>
      </c>
      <c r="AE218" s="1">
        <f t="shared" si="120"/>
        <v>1</v>
      </c>
      <c r="AF218" s="1">
        <f t="shared" si="105"/>
        <v>0</v>
      </c>
      <c r="AG218" s="1">
        <f t="shared" si="106"/>
        <v>1</v>
      </c>
      <c r="AH218" s="1">
        <f t="shared" si="107"/>
        <v>0</v>
      </c>
      <c r="AI218" s="1">
        <f t="shared" si="108"/>
        <v>1</v>
      </c>
    </row>
    <row r="219" spans="1:35" ht="14.25" customHeight="1" x14ac:dyDescent="0.25">
      <c r="A219" s="15">
        <v>0</v>
      </c>
      <c r="B219" s="15">
        <v>1</v>
      </c>
      <c r="C219" s="15">
        <v>5</v>
      </c>
      <c r="D219" s="16" t="s">
        <v>1193</v>
      </c>
      <c r="E219" s="16" t="s">
        <v>165</v>
      </c>
      <c r="F219" s="16" t="s">
        <v>1194</v>
      </c>
      <c r="G219" s="16" t="s">
        <v>1195</v>
      </c>
      <c r="H219" s="16" t="s">
        <v>352</v>
      </c>
      <c r="I219" s="15" t="s">
        <v>1196</v>
      </c>
      <c r="J219" s="15">
        <v>99</v>
      </c>
      <c r="K219" s="10" t="s">
        <v>699</v>
      </c>
      <c r="L219" s="10">
        <v>30</v>
      </c>
      <c r="M219" s="19" t="s">
        <v>957</v>
      </c>
      <c r="N219" s="19"/>
      <c r="Q219" s="16"/>
      <c r="S219" s="1">
        <f t="shared" si="109"/>
        <v>0</v>
      </c>
      <c r="T219" s="1">
        <f t="shared" si="110"/>
        <v>0</v>
      </c>
      <c r="U219" s="1">
        <f t="shared" si="111"/>
        <v>0</v>
      </c>
      <c r="V219" s="1">
        <f t="shared" si="112"/>
        <v>0</v>
      </c>
      <c r="W219" s="1">
        <f t="shared" si="113"/>
        <v>0</v>
      </c>
      <c r="X219" s="1">
        <f t="shared" si="114"/>
        <v>0</v>
      </c>
      <c r="Y219" s="1">
        <f t="shared" si="115"/>
        <v>0</v>
      </c>
      <c r="Z219" s="1">
        <f t="shared" si="116"/>
        <v>0</v>
      </c>
      <c r="AA219" s="1">
        <f t="shared" si="117"/>
        <v>0</v>
      </c>
      <c r="AB219" s="1">
        <f t="shared" si="118"/>
        <v>0</v>
      </c>
      <c r="AD219" s="1">
        <f t="shared" si="119"/>
        <v>0</v>
      </c>
      <c r="AE219" s="1">
        <f t="shared" si="120"/>
        <v>0</v>
      </c>
      <c r="AF219" s="1">
        <f t="shared" si="105"/>
        <v>0</v>
      </c>
      <c r="AG219" s="1">
        <f t="shared" si="106"/>
        <v>0</v>
      </c>
      <c r="AH219" s="1">
        <f t="shared" si="107"/>
        <v>0</v>
      </c>
      <c r="AI219" s="1">
        <f t="shared" si="108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1574</v>
      </c>
      <c r="E220" s="32" t="s">
        <v>171</v>
      </c>
      <c r="F220" s="32" t="s">
        <v>799</v>
      </c>
      <c r="G220" s="32" t="s">
        <v>39</v>
      </c>
      <c r="H220" s="32" t="s">
        <v>800</v>
      </c>
      <c r="I220" s="31" t="s">
        <v>801</v>
      </c>
      <c r="J220" s="31">
        <v>16</v>
      </c>
      <c r="K220" s="33" t="s">
        <v>944</v>
      </c>
      <c r="L220" s="33" t="s">
        <v>1716</v>
      </c>
      <c r="M220" s="34" t="s">
        <v>957</v>
      </c>
      <c r="N220" s="34" t="s">
        <v>1722</v>
      </c>
      <c r="O220" s="35">
        <v>1</v>
      </c>
      <c r="P220" s="35"/>
      <c r="Q220" s="32"/>
      <c r="S220" s="1">
        <f t="shared" si="109"/>
        <v>0</v>
      </c>
      <c r="T220" s="1">
        <f t="shared" si="110"/>
        <v>0</v>
      </c>
      <c r="U220" s="1">
        <f t="shared" si="111"/>
        <v>0</v>
      </c>
      <c r="V220" s="1">
        <f t="shared" si="112"/>
        <v>0</v>
      </c>
      <c r="W220" s="1">
        <f t="shared" si="113"/>
        <v>0</v>
      </c>
      <c r="X220" s="1">
        <f t="shared" si="114"/>
        <v>0</v>
      </c>
      <c r="Y220" s="1">
        <f t="shared" si="115"/>
        <v>0</v>
      </c>
      <c r="Z220" s="1">
        <f t="shared" si="116"/>
        <v>0</v>
      </c>
      <c r="AA220" s="1">
        <f t="shared" si="117"/>
        <v>0</v>
      </c>
      <c r="AB220" s="1">
        <f t="shared" si="118"/>
        <v>0</v>
      </c>
      <c r="AD220" s="1">
        <f t="shared" si="119"/>
        <v>0</v>
      </c>
      <c r="AE220" s="1">
        <f t="shared" si="120"/>
        <v>1</v>
      </c>
      <c r="AF220" s="1">
        <f t="shared" si="105"/>
        <v>0</v>
      </c>
      <c r="AG220" s="1">
        <f t="shared" si="106"/>
        <v>1</v>
      </c>
      <c r="AH220" s="1">
        <f t="shared" si="107"/>
        <v>0</v>
      </c>
      <c r="AI220" s="1">
        <f t="shared" si="108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498</v>
      </c>
      <c r="E221" s="32" t="s">
        <v>165</v>
      </c>
      <c r="F221" s="32" t="s">
        <v>499</v>
      </c>
      <c r="G221" s="32" t="s">
        <v>500</v>
      </c>
      <c r="H221" s="32" t="s">
        <v>352</v>
      </c>
      <c r="I221" s="31" t="s">
        <v>501</v>
      </c>
      <c r="J221" s="31">
        <v>99</v>
      </c>
      <c r="K221" s="33" t="s">
        <v>944</v>
      </c>
      <c r="L221" s="33" t="s">
        <v>690</v>
      </c>
      <c r="M221" s="34" t="s">
        <v>687</v>
      </c>
      <c r="N221" s="34" t="s">
        <v>1701</v>
      </c>
      <c r="O221" s="35">
        <v>1</v>
      </c>
      <c r="P221" s="35">
        <v>1</v>
      </c>
      <c r="Q221" s="32"/>
      <c r="S221" s="1">
        <f t="shared" si="109"/>
        <v>0</v>
      </c>
      <c r="T221" s="1">
        <f t="shared" si="110"/>
        <v>0</v>
      </c>
      <c r="U221" s="1">
        <f t="shared" si="111"/>
        <v>0</v>
      </c>
      <c r="V221" s="1">
        <f t="shared" si="112"/>
        <v>0</v>
      </c>
      <c r="W221" s="1">
        <f t="shared" si="113"/>
        <v>0</v>
      </c>
      <c r="X221" s="1">
        <f t="shared" si="114"/>
        <v>0</v>
      </c>
      <c r="Y221" s="1">
        <f t="shared" si="115"/>
        <v>0</v>
      </c>
      <c r="Z221" s="1">
        <f t="shared" si="116"/>
        <v>0</v>
      </c>
      <c r="AA221" s="1">
        <f t="shared" si="117"/>
        <v>0</v>
      </c>
      <c r="AB221" s="1">
        <f t="shared" si="118"/>
        <v>0</v>
      </c>
      <c r="AD221" s="1">
        <f t="shared" si="119"/>
        <v>1</v>
      </c>
      <c r="AE221" s="1">
        <f t="shared" si="120"/>
        <v>0</v>
      </c>
      <c r="AF221" s="1">
        <f t="shared" si="105"/>
        <v>1</v>
      </c>
      <c r="AG221" s="1">
        <f t="shared" si="106"/>
        <v>0</v>
      </c>
      <c r="AH221" s="1">
        <f t="shared" si="107"/>
        <v>1</v>
      </c>
      <c r="AI221" s="1">
        <f t="shared" si="10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1425</v>
      </c>
      <c r="E222" s="32" t="s">
        <v>166</v>
      </c>
      <c r="F222" s="32" t="s">
        <v>1426</v>
      </c>
      <c r="G222" s="32" t="s">
        <v>178</v>
      </c>
      <c r="H222" s="32" t="s">
        <v>352</v>
      </c>
      <c r="I222" s="31" t="s">
        <v>1427</v>
      </c>
      <c r="J222" s="31">
        <v>99</v>
      </c>
      <c r="K222" s="33" t="s">
        <v>943</v>
      </c>
      <c r="L222" s="33" t="s">
        <v>692</v>
      </c>
      <c r="M222" s="34" t="s">
        <v>1428</v>
      </c>
      <c r="N222" s="34" t="s">
        <v>1723</v>
      </c>
      <c r="O222" s="35">
        <v>1</v>
      </c>
      <c r="P222" s="35"/>
      <c r="Q222" s="36"/>
      <c r="S222" s="1">
        <f t="shared" si="109"/>
        <v>0</v>
      </c>
      <c r="T222" s="1">
        <f t="shared" si="110"/>
        <v>0</v>
      </c>
      <c r="U222" s="1">
        <f t="shared" si="111"/>
        <v>0</v>
      </c>
      <c r="V222" s="1">
        <f t="shared" si="112"/>
        <v>0</v>
      </c>
      <c r="W222" s="1">
        <f t="shared" si="113"/>
        <v>0</v>
      </c>
      <c r="X222" s="1">
        <f t="shared" si="114"/>
        <v>0</v>
      </c>
      <c r="Y222" s="1">
        <f t="shared" si="115"/>
        <v>0</v>
      </c>
      <c r="Z222" s="1">
        <f t="shared" si="116"/>
        <v>0</v>
      </c>
      <c r="AA222" s="1">
        <f t="shared" si="117"/>
        <v>0</v>
      </c>
      <c r="AB222" s="1">
        <f t="shared" si="118"/>
        <v>0</v>
      </c>
      <c r="AD222" s="1">
        <f t="shared" si="119"/>
        <v>0</v>
      </c>
      <c r="AE222" s="1">
        <f t="shared" si="120"/>
        <v>1</v>
      </c>
      <c r="AF222" s="1">
        <f t="shared" si="105"/>
        <v>0</v>
      </c>
      <c r="AG222" s="1">
        <f t="shared" si="106"/>
        <v>1</v>
      </c>
      <c r="AH222" s="1">
        <f t="shared" si="107"/>
        <v>0</v>
      </c>
      <c r="AI222" s="1">
        <f t="shared" si="108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1167</v>
      </c>
      <c r="E223" s="32" t="s">
        <v>1170</v>
      </c>
      <c r="F223" s="32" t="s">
        <v>1168</v>
      </c>
      <c r="G223" s="32" t="s">
        <v>39</v>
      </c>
      <c r="H223" s="32" t="s">
        <v>352</v>
      </c>
      <c r="I223" s="31" t="s">
        <v>1169</v>
      </c>
      <c r="J223" s="31">
        <v>99</v>
      </c>
      <c r="K223" s="33" t="s">
        <v>949</v>
      </c>
      <c r="L223" s="33" t="s">
        <v>39</v>
      </c>
      <c r="M223" s="34" t="s">
        <v>39</v>
      </c>
      <c r="N223" s="34" t="s">
        <v>1707</v>
      </c>
      <c r="O223" s="35">
        <v>1</v>
      </c>
      <c r="P223" s="35">
        <v>1</v>
      </c>
      <c r="Q223" s="36" t="s">
        <v>1882</v>
      </c>
      <c r="S223" s="1">
        <f t="shared" si="109"/>
        <v>0</v>
      </c>
      <c r="T223" s="1">
        <f t="shared" si="110"/>
        <v>0</v>
      </c>
      <c r="U223" s="1">
        <f t="shared" si="111"/>
        <v>0</v>
      </c>
      <c r="V223" s="1">
        <f t="shared" si="112"/>
        <v>0</v>
      </c>
      <c r="W223" s="1">
        <f t="shared" si="113"/>
        <v>0</v>
      </c>
      <c r="X223" s="1">
        <f t="shared" si="114"/>
        <v>0</v>
      </c>
      <c r="Y223" s="1">
        <f t="shared" si="115"/>
        <v>0</v>
      </c>
      <c r="Z223" s="1">
        <f t="shared" si="116"/>
        <v>0</v>
      </c>
      <c r="AA223" s="1">
        <f t="shared" si="117"/>
        <v>0</v>
      </c>
      <c r="AB223" s="1">
        <f t="shared" si="118"/>
        <v>0</v>
      </c>
      <c r="AD223" s="1">
        <f t="shared" si="119"/>
        <v>1</v>
      </c>
      <c r="AE223" s="1">
        <f t="shared" si="120"/>
        <v>0</v>
      </c>
      <c r="AF223" s="1">
        <f t="shared" si="105"/>
        <v>1</v>
      </c>
      <c r="AG223" s="1">
        <f t="shared" si="106"/>
        <v>0</v>
      </c>
      <c r="AH223" s="1">
        <f t="shared" si="107"/>
        <v>1</v>
      </c>
      <c r="AI223" s="1">
        <f t="shared" si="108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1622</v>
      </c>
      <c r="E224" s="32" t="s">
        <v>1630</v>
      </c>
      <c r="F224" s="32" t="s">
        <v>1657</v>
      </c>
      <c r="G224" s="32" t="s">
        <v>1658</v>
      </c>
      <c r="H224" s="32" t="s">
        <v>352</v>
      </c>
      <c r="I224" s="31" t="s">
        <v>1670</v>
      </c>
      <c r="J224" s="31">
        <v>1</v>
      </c>
      <c r="K224" s="33" t="s">
        <v>945</v>
      </c>
      <c r="L224" s="33" t="s">
        <v>39</v>
      </c>
      <c r="M224" s="34" t="s">
        <v>39</v>
      </c>
      <c r="N224" s="34" t="s">
        <v>1701</v>
      </c>
      <c r="O224" s="35">
        <v>1</v>
      </c>
      <c r="P224" s="35">
        <v>1</v>
      </c>
      <c r="Q224" s="32"/>
      <c r="S224" s="1">
        <f t="shared" si="109"/>
        <v>1</v>
      </c>
      <c r="T224" s="1">
        <f t="shared" si="110"/>
        <v>0</v>
      </c>
      <c r="U224" s="1">
        <f t="shared" si="111"/>
        <v>0</v>
      </c>
      <c r="V224" s="1">
        <f t="shared" si="112"/>
        <v>0</v>
      </c>
      <c r="W224" s="1">
        <f t="shared" si="113"/>
        <v>0</v>
      </c>
      <c r="X224" s="1">
        <f t="shared" si="114"/>
        <v>0</v>
      </c>
      <c r="Y224" s="1">
        <f t="shared" si="115"/>
        <v>0</v>
      </c>
      <c r="Z224" s="1">
        <f t="shared" si="116"/>
        <v>0</v>
      </c>
      <c r="AA224" s="1">
        <f t="shared" si="117"/>
        <v>0</v>
      </c>
      <c r="AB224" s="1">
        <f t="shared" si="118"/>
        <v>0</v>
      </c>
      <c r="AD224" s="1">
        <f t="shared" si="119"/>
        <v>1</v>
      </c>
      <c r="AE224" s="1">
        <f t="shared" si="120"/>
        <v>0</v>
      </c>
      <c r="AF224" s="1">
        <f t="shared" si="105"/>
        <v>1</v>
      </c>
      <c r="AG224" s="1">
        <f t="shared" si="106"/>
        <v>0</v>
      </c>
      <c r="AH224" s="1">
        <f t="shared" si="107"/>
        <v>1</v>
      </c>
      <c r="AI224" s="1">
        <f t="shared" si="108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89</v>
      </c>
      <c r="E225" s="32" t="s">
        <v>167</v>
      </c>
      <c r="F225" s="32" t="s">
        <v>282</v>
      </c>
      <c r="G225" s="32" t="s">
        <v>229</v>
      </c>
      <c r="H225" s="32" t="s">
        <v>352</v>
      </c>
      <c r="I225" s="31" t="s">
        <v>435</v>
      </c>
      <c r="J225" s="31">
        <v>7</v>
      </c>
      <c r="K225" s="33" t="s">
        <v>718</v>
      </c>
      <c r="L225" s="33">
        <v>40</v>
      </c>
      <c r="M225" s="34" t="s">
        <v>39</v>
      </c>
      <c r="N225" s="34" t="s">
        <v>1722</v>
      </c>
      <c r="O225" s="35">
        <v>1</v>
      </c>
      <c r="P225" s="35"/>
      <c r="Q225" s="32"/>
      <c r="S225" s="1">
        <f t="shared" si="109"/>
        <v>0</v>
      </c>
      <c r="T225" s="1">
        <f t="shared" si="110"/>
        <v>0</v>
      </c>
      <c r="U225" s="1">
        <f t="shared" si="111"/>
        <v>0</v>
      </c>
      <c r="V225" s="1">
        <f t="shared" si="112"/>
        <v>0</v>
      </c>
      <c r="W225" s="1">
        <f t="shared" si="113"/>
        <v>0</v>
      </c>
      <c r="X225" s="1">
        <f t="shared" si="114"/>
        <v>0</v>
      </c>
      <c r="Y225" s="1">
        <f t="shared" si="115"/>
        <v>1</v>
      </c>
      <c r="Z225" s="1">
        <f t="shared" si="116"/>
        <v>0</v>
      </c>
      <c r="AA225" s="1">
        <f t="shared" si="117"/>
        <v>0</v>
      </c>
      <c r="AB225" s="1">
        <f t="shared" si="118"/>
        <v>0</v>
      </c>
      <c r="AD225" s="1">
        <f t="shared" si="119"/>
        <v>0</v>
      </c>
      <c r="AE225" s="1">
        <f t="shared" si="120"/>
        <v>1</v>
      </c>
      <c r="AF225" s="1">
        <f t="shared" si="105"/>
        <v>0</v>
      </c>
      <c r="AG225" s="1">
        <f t="shared" si="106"/>
        <v>1</v>
      </c>
      <c r="AH225" s="1">
        <f t="shared" si="107"/>
        <v>0</v>
      </c>
      <c r="AI225" s="1">
        <f t="shared" si="10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90</v>
      </c>
      <c r="E226" s="32" t="s">
        <v>164</v>
      </c>
      <c r="F226" s="36" t="s">
        <v>1845</v>
      </c>
      <c r="G226" s="32" t="s">
        <v>239</v>
      </c>
      <c r="H226" s="32" t="s">
        <v>352</v>
      </c>
      <c r="I226" s="31" t="s">
        <v>436</v>
      </c>
      <c r="J226" s="31">
        <v>1</v>
      </c>
      <c r="K226" s="33" t="s">
        <v>951</v>
      </c>
      <c r="L226" s="33" t="s">
        <v>39</v>
      </c>
      <c r="M226" s="34" t="s">
        <v>39</v>
      </c>
      <c r="N226" s="34" t="s">
        <v>1701</v>
      </c>
      <c r="O226" s="35">
        <v>1</v>
      </c>
      <c r="P226" s="35">
        <v>1</v>
      </c>
      <c r="Q226" s="32"/>
      <c r="S226" s="1">
        <f t="shared" si="109"/>
        <v>1</v>
      </c>
      <c r="T226" s="1">
        <f t="shared" si="110"/>
        <v>0</v>
      </c>
      <c r="U226" s="1">
        <f t="shared" si="111"/>
        <v>0</v>
      </c>
      <c r="V226" s="1">
        <f t="shared" si="112"/>
        <v>0</v>
      </c>
      <c r="W226" s="1">
        <f t="shared" si="113"/>
        <v>0</v>
      </c>
      <c r="X226" s="1">
        <f t="shared" si="114"/>
        <v>0</v>
      </c>
      <c r="Y226" s="1">
        <f t="shared" si="115"/>
        <v>0</v>
      </c>
      <c r="Z226" s="1">
        <f t="shared" si="116"/>
        <v>0</v>
      </c>
      <c r="AA226" s="1">
        <f t="shared" si="117"/>
        <v>0</v>
      </c>
      <c r="AB226" s="1">
        <f t="shared" si="118"/>
        <v>0</v>
      </c>
      <c r="AD226" s="1">
        <f t="shared" si="119"/>
        <v>1</v>
      </c>
      <c r="AE226" s="1">
        <f t="shared" si="120"/>
        <v>0</v>
      </c>
      <c r="AF226" s="1">
        <f t="shared" si="105"/>
        <v>1</v>
      </c>
      <c r="AG226" s="1">
        <f t="shared" si="106"/>
        <v>0</v>
      </c>
      <c r="AH226" s="1">
        <f t="shared" si="107"/>
        <v>1</v>
      </c>
      <c r="AI226" s="1">
        <f t="shared" si="108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91</v>
      </c>
      <c r="E227" s="32" t="s">
        <v>166</v>
      </c>
      <c r="F227" s="32" t="s">
        <v>284</v>
      </c>
      <c r="G227" s="32" t="s">
        <v>199</v>
      </c>
      <c r="H227" s="32" t="s">
        <v>352</v>
      </c>
      <c r="I227" s="31" t="s">
        <v>437</v>
      </c>
      <c r="J227" s="31">
        <v>2</v>
      </c>
      <c r="K227" s="33" t="s">
        <v>949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09"/>
        <v>0</v>
      </c>
      <c r="T227" s="1">
        <f t="shared" si="110"/>
        <v>1</v>
      </c>
      <c r="U227" s="1">
        <f t="shared" si="111"/>
        <v>0</v>
      </c>
      <c r="V227" s="1">
        <f t="shared" si="112"/>
        <v>0</v>
      </c>
      <c r="W227" s="1">
        <f t="shared" si="113"/>
        <v>0</v>
      </c>
      <c r="X227" s="1">
        <f t="shared" si="114"/>
        <v>0</v>
      </c>
      <c r="Y227" s="1">
        <f t="shared" si="115"/>
        <v>0</v>
      </c>
      <c r="Z227" s="1">
        <f t="shared" si="116"/>
        <v>0</v>
      </c>
      <c r="AA227" s="1">
        <f t="shared" si="117"/>
        <v>0</v>
      </c>
      <c r="AB227" s="1">
        <f t="shared" si="118"/>
        <v>0</v>
      </c>
      <c r="AD227" s="1">
        <f t="shared" si="119"/>
        <v>1</v>
      </c>
      <c r="AE227" s="1">
        <f t="shared" si="120"/>
        <v>0</v>
      </c>
      <c r="AF227" s="1">
        <f t="shared" si="105"/>
        <v>1</v>
      </c>
      <c r="AG227" s="1">
        <f t="shared" si="106"/>
        <v>0</v>
      </c>
      <c r="AH227" s="1">
        <f t="shared" si="107"/>
        <v>1</v>
      </c>
      <c r="AI227" s="1">
        <f t="shared" si="108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1256</v>
      </c>
      <c r="E228" s="32" t="s">
        <v>166</v>
      </c>
      <c r="F228" s="32" t="s">
        <v>1132</v>
      </c>
      <c r="G228" s="32" t="s">
        <v>1322</v>
      </c>
      <c r="H228" s="32" t="s">
        <v>352</v>
      </c>
      <c r="I228" s="31" t="s">
        <v>1133</v>
      </c>
      <c r="J228" s="31">
        <v>99</v>
      </c>
      <c r="K228" s="33" t="s">
        <v>698</v>
      </c>
      <c r="L228" s="33">
        <v>45</v>
      </c>
      <c r="M228" s="34" t="s">
        <v>39</v>
      </c>
      <c r="N228" s="34" t="s">
        <v>1717</v>
      </c>
      <c r="O228" s="35">
        <v>1</v>
      </c>
      <c r="P228" s="35"/>
      <c r="Q228" s="32"/>
      <c r="S228" s="1">
        <f t="shared" si="109"/>
        <v>0</v>
      </c>
      <c r="T228" s="1">
        <f t="shared" si="110"/>
        <v>0</v>
      </c>
      <c r="U228" s="1">
        <f t="shared" si="111"/>
        <v>0</v>
      </c>
      <c r="V228" s="1">
        <f t="shared" si="112"/>
        <v>0</v>
      </c>
      <c r="W228" s="1">
        <f t="shared" si="113"/>
        <v>0</v>
      </c>
      <c r="X228" s="1">
        <f t="shared" si="114"/>
        <v>0</v>
      </c>
      <c r="Y228" s="1">
        <f t="shared" si="115"/>
        <v>0</v>
      </c>
      <c r="Z228" s="1">
        <f t="shared" si="116"/>
        <v>0</v>
      </c>
      <c r="AA228" s="1">
        <f t="shared" si="117"/>
        <v>0</v>
      </c>
      <c r="AB228" s="1">
        <f t="shared" si="118"/>
        <v>0</v>
      </c>
      <c r="AD228" s="1">
        <f t="shared" si="119"/>
        <v>0</v>
      </c>
      <c r="AE228" s="1">
        <f t="shared" si="120"/>
        <v>1</v>
      </c>
      <c r="AF228" s="1">
        <f t="shared" si="105"/>
        <v>0</v>
      </c>
      <c r="AG228" s="1">
        <f t="shared" si="106"/>
        <v>1</v>
      </c>
      <c r="AH228" s="1">
        <f t="shared" si="107"/>
        <v>0</v>
      </c>
      <c r="AI228" s="1">
        <f t="shared" si="10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1765</v>
      </c>
      <c r="E229" s="32" t="s">
        <v>166</v>
      </c>
      <c r="F229" s="32" t="s">
        <v>1740</v>
      </c>
      <c r="G229" s="32"/>
      <c r="H229" s="32" t="s">
        <v>352</v>
      </c>
      <c r="I229" s="31" t="s">
        <v>1741</v>
      </c>
      <c r="J229" s="31"/>
      <c r="K229" s="33" t="s">
        <v>699</v>
      </c>
      <c r="L229" s="33"/>
      <c r="M229" s="34"/>
      <c r="N229" s="34" t="s">
        <v>1701</v>
      </c>
      <c r="O229" s="35">
        <v>1</v>
      </c>
      <c r="P229" s="35">
        <v>1</v>
      </c>
      <c r="Q229" s="32"/>
      <c r="S229" s="1">
        <f t="shared" si="109"/>
        <v>0</v>
      </c>
      <c r="T229" s="1">
        <f t="shared" si="110"/>
        <v>0</v>
      </c>
      <c r="U229" s="1">
        <f t="shared" si="111"/>
        <v>0</v>
      </c>
      <c r="V229" s="1">
        <f t="shared" si="112"/>
        <v>0</v>
      </c>
      <c r="W229" s="1">
        <f t="shared" si="113"/>
        <v>0</v>
      </c>
      <c r="X229" s="1">
        <f t="shared" si="114"/>
        <v>0</v>
      </c>
      <c r="Y229" s="1">
        <f t="shared" si="115"/>
        <v>0</v>
      </c>
      <c r="Z229" s="1">
        <f t="shared" si="116"/>
        <v>0</v>
      </c>
      <c r="AA229" s="1">
        <f t="shared" si="117"/>
        <v>0</v>
      </c>
      <c r="AB229" s="1">
        <f t="shared" si="118"/>
        <v>0</v>
      </c>
      <c r="AD229" s="1">
        <f t="shared" si="119"/>
        <v>1</v>
      </c>
      <c r="AE229" s="1">
        <f t="shared" si="120"/>
        <v>0</v>
      </c>
      <c r="AF229" s="1">
        <f t="shared" si="105"/>
        <v>1</v>
      </c>
      <c r="AG229" s="1">
        <f t="shared" si="106"/>
        <v>0</v>
      </c>
      <c r="AH229" s="1">
        <f t="shared" si="107"/>
        <v>1</v>
      </c>
      <c r="AI229" s="1">
        <f t="shared" si="108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1764</v>
      </c>
      <c r="E230" s="32" t="s">
        <v>166</v>
      </c>
      <c r="F230" s="32" t="s">
        <v>1742</v>
      </c>
      <c r="G230" s="32"/>
      <c r="H230" s="32" t="s">
        <v>352</v>
      </c>
      <c r="I230" s="31" t="s">
        <v>1743</v>
      </c>
      <c r="J230" s="31"/>
      <c r="K230" s="33" t="s">
        <v>699</v>
      </c>
      <c r="L230" s="33">
        <v>30</v>
      </c>
      <c r="M230" s="34" t="s">
        <v>1744</v>
      </c>
      <c r="N230" s="34" t="s">
        <v>1722</v>
      </c>
      <c r="O230" s="35">
        <v>1</v>
      </c>
      <c r="P230" s="35"/>
      <c r="Q230" s="32"/>
      <c r="S230" s="1">
        <f t="shared" si="109"/>
        <v>0</v>
      </c>
      <c r="T230" s="1">
        <f t="shared" si="110"/>
        <v>0</v>
      </c>
      <c r="U230" s="1">
        <f t="shared" si="111"/>
        <v>0</v>
      </c>
      <c r="V230" s="1">
        <f t="shared" si="112"/>
        <v>0</v>
      </c>
      <c r="W230" s="1">
        <f t="shared" si="113"/>
        <v>0</v>
      </c>
      <c r="X230" s="1">
        <f t="shared" si="114"/>
        <v>0</v>
      </c>
      <c r="Y230" s="1">
        <f t="shared" si="115"/>
        <v>0</v>
      </c>
      <c r="Z230" s="1">
        <f t="shared" si="116"/>
        <v>0</v>
      </c>
      <c r="AA230" s="1">
        <f t="shared" si="117"/>
        <v>0</v>
      </c>
      <c r="AB230" s="1">
        <f t="shared" si="118"/>
        <v>0</v>
      </c>
      <c r="AD230" s="1">
        <f t="shared" si="119"/>
        <v>0</v>
      </c>
      <c r="AE230" s="1">
        <f t="shared" si="120"/>
        <v>1</v>
      </c>
      <c r="AF230" s="1">
        <f t="shared" si="105"/>
        <v>0</v>
      </c>
      <c r="AG230" s="1">
        <f t="shared" si="106"/>
        <v>1</v>
      </c>
      <c r="AH230" s="1">
        <f t="shared" si="107"/>
        <v>0</v>
      </c>
      <c r="AI230" s="1">
        <f t="shared" si="108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1001</v>
      </c>
      <c r="E231" s="32" t="s">
        <v>166</v>
      </c>
      <c r="F231" s="32" t="s">
        <v>1002</v>
      </c>
      <c r="G231" s="32" t="s">
        <v>1090</v>
      </c>
      <c r="H231" s="32" t="s">
        <v>352</v>
      </c>
      <c r="I231" s="31" t="s">
        <v>1003</v>
      </c>
      <c r="J231" s="31">
        <v>99</v>
      </c>
      <c r="K231" s="33" t="s">
        <v>951</v>
      </c>
      <c r="L231" s="33" t="s">
        <v>39</v>
      </c>
      <c r="M231" s="34" t="s">
        <v>39</v>
      </c>
      <c r="N231" s="34" t="s">
        <v>1701</v>
      </c>
      <c r="O231" s="35">
        <v>1</v>
      </c>
      <c r="P231" s="35">
        <v>1</v>
      </c>
      <c r="Q231" s="32"/>
      <c r="S231" s="1">
        <f t="shared" si="109"/>
        <v>0</v>
      </c>
      <c r="T231" s="1">
        <f t="shared" si="110"/>
        <v>0</v>
      </c>
      <c r="U231" s="1">
        <f t="shared" si="111"/>
        <v>0</v>
      </c>
      <c r="V231" s="1">
        <f t="shared" si="112"/>
        <v>0</v>
      </c>
      <c r="W231" s="1">
        <f t="shared" si="113"/>
        <v>0</v>
      </c>
      <c r="X231" s="1">
        <f t="shared" si="114"/>
        <v>0</v>
      </c>
      <c r="Y231" s="1">
        <f t="shared" si="115"/>
        <v>0</v>
      </c>
      <c r="Z231" s="1">
        <f t="shared" si="116"/>
        <v>0</v>
      </c>
      <c r="AA231" s="1">
        <f t="shared" si="117"/>
        <v>0</v>
      </c>
      <c r="AB231" s="1">
        <f t="shared" si="118"/>
        <v>0</v>
      </c>
      <c r="AD231" s="1">
        <f t="shared" si="119"/>
        <v>1</v>
      </c>
      <c r="AE231" s="1">
        <f t="shared" si="120"/>
        <v>0</v>
      </c>
      <c r="AF231" s="1">
        <f t="shared" si="105"/>
        <v>1</v>
      </c>
      <c r="AG231" s="1">
        <f t="shared" si="106"/>
        <v>0</v>
      </c>
      <c r="AH231" s="1">
        <f t="shared" si="107"/>
        <v>1</v>
      </c>
      <c r="AI231" s="1">
        <f t="shared" si="108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93</v>
      </c>
      <c r="E232" s="32" t="s">
        <v>168</v>
      </c>
      <c r="F232" s="32" t="s">
        <v>287</v>
      </c>
      <c r="G232" s="32" t="s">
        <v>193</v>
      </c>
      <c r="H232" s="32" t="s">
        <v>352</v>
      </c>
      <c r="I232" s="31" t="s">
        <v>439</v>
      </c>
      <c r="J232" s="31">
        <v>9</v>
      </c>
      <c r="K232" s="33" t="s">
        <v>698</v>
      </c>
      <c r="L232" s="33" t="s">
        <v>690</v>
      </c>
      <c r="M232" s="34" t="s">
        <v>702</v>
      </c>
      <c r="N232" s="34" t="s">
        <v>1722</v>
      </c>
      <c r="O232" s="35">
        <v>1</v>
      </c>
      <c r="P232" s="35"/>
      <c r="Q232" s="32"/>
      <c r="S232" s="1">
        <f t="shared" si="109"/>
        <v>0</v>
      </c>
      <c r="T232" s="1">
        <f t="shared" si="110"/>
        <v>0</v>
      </c>
      <c r="U232" s="1">
        <f t="shared" si="111"/>
        <v>0</v>
      </c>
      <c r="V232" s="1">
        <f t="shared" si="112"/>
        <v>0</v>
      </c>
      <c r="W232" s="1">
        <f t="shared" si="113"/>
        <v>0</v>
      </c>
      <c r="X232" s="1">
        <f t="shared" si="114"/>
        <v>0</v>
      </c>
      <c r="Y232" s="1">
        <f t="shared" si="115"/>
        <v>0</v>
      </c>
      <c r="Z232" s="1">
        <f t="shared" si="116"/>
        <v>0</v>
      </c>
      <c r="AA232" s="1">
        <f t="shared" si="117"/>
        <v>1</v>
      </c>
      <c r="AB232" s="1">
        <f t="shared" si="118"/>
        <v>0</v>
      </c>
      <c r="AD232" s="1">
        <f t="shared" si="119"/>
        <v>0</v>
      </c>
      <c r="AE232" s="1">
        <f t="shared" si="120"/>
        <v>1</v>
      </c>
      <c r="AF232" s="1">
        <f t="shared" si="105"/>
        <v>0</v>
      </c>
      <c r="AG232" s="1">
        <f t="shared" si="106"/>
        <v>1</v>
      </c>
      <c r="AH232" s="1">
        <f t="shared" si="107"/>
        <v>0</v>
      </c>
      <c r="AI232" s="1">
        <f t="shared" si="108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54" t="s">
        <v>1583</v>
      </c>
      <c r="E233" s="39" t="s">
        <v>1584</v>
      </c>
      <c r="F233" s="39" t="s">
        <v>1585</v>
      </c>
      <c r="G233" s="39" t="s">
        <v>191</v>
      </c>
      <c r="H233" s="39" t="s">
        <v>352</v>
      </c>
      <c r="I233" s="38" t="s">
        <v>1586</v>
      </c>
      <c r="J233" s="38">
        <v>10</v>
      </c>
      <c r="K233" s="40" t="s">
        <v>943</v>
      </c>
      <c r="L233" s="40" t="s">
        <v>683</v>
      </c>
      <c r="M233" s="41" t="s">
        <v>1587</v>
      </c>
      <c r="N233" s="42"/>
      <c r="O233" s="43"/>
      <c r="P233" s="43">
        <v>1</v>
      </c>
      <c r="Q233" s="39"/>
      <c r="S233" s="1">
        <f t="shared" si="109"/>
        <v>0</v>
      </c>
      <c r="T233" s="1">
        <f t="shared" si="110"/>
        <v>0</v>
      </c>
      <c r="U233" s="1">
        <f t="shared" si="111"/>
        <v>0</v>
      </c>
      <c r="V233" s="1">
        <f t="shared" si="112"/>
        <v>0</v>
      </c>
      <c r="W233" s="1">
        <f t="shared" si="113"/>
        <v>0</v>
      </c>
      <c r="X233" s="1">
        <f t="shared" si="114"/>
        <v>0</v>
      </c>
      <c r="Y233" s="1">
        <f t="shared" si="115"/>
        <v>0</v>
      </c>
      <c r="Z233" s="1">
        <f t="shared" si="116"/>
        <v>0</v>
      </c>
      <c r="AA233" s="1">
        <f t="shared" si="117"/>
        <v>0</v>
      </c>
      <c r="AB233" s="1">
        <f t="shared" si="118"/>
        <v>1</v>
      </c>
      <c r="AD233" s="1">
        <f t="shared" si="119"/>
        <v>0</v>
      </c>
      <c r="AE233" s="1">
        <f t="shared" si="120"/>
        <v>0</v>
      </c>
      <c r="AF233" s="1">
        <f t="shared" si="105"/>
        <v>0</v>
      </c>
      <c r="AG233" s="1">
        <f t="shared" si="106"/>
        <v>0</v>
      </c>
      <c r="AH233" s="1">
        <f t="shared" si="107"/>
        <v>1</v>
      </c>
      <c r="AI233" s="1">
        <f t="shared" si="108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94</v>
      </c>
      <c r="E234" s="32" t="s">
        <v>164</v>
      </c>
      <c r="F234" s="32" t="s">
        <v>288</v>
      </c>
      <c r="G234" s="32" t="s">
        <v>289</v>
      </c>
      <c r="H234" s="32" t="s">
        <v>352</v>
      </c>
      <c r="I234" s="31" t="s">
        <v>440</v>
      </c>
      <c r="J234" s="31">
        <v>7</v>
      </c>
      <c r="K234" s="33" t="s">
        <v>698</v>
      </c>
      <c r="L234" s="33" t="s">
        <v>690</v>
      </c>
      <c r="M234" s="34" t="s">
        <v>694</v>
      </c>
      <c r="N234" s="34" t="s">
        <v>1723</v>
      </c>
      <c r="O234" s="35">
        <v>1</v>
      </c>
      <c r="P234" s="35"/>
      <c r="Q234" s="32"/>
      <c r="S234" s="1">
        <f t="shared" si="109"/>
        <v>0</v>
      </c>
      <c r="T234" s="1">
        <f t="shared" si="110"/>
        <v>0</v>
      </c>
      <c r="U234" s="1">
        <f t="shared" si="111"/>
        <v>0</v>
      </c>
      <c r="V234" s="1">
        <f t="shared" si="112"/>
        <v>0</v>
      </c>
      <c r="W234" s="1">
        <f t="shared" si="113"/>
        <v>0</v>
      </c>
      <c r="X234" s="1">
        <f t="shared" si="114"/>
        <v>0</v>
      </c>
      <c r="Y234" s="1">
        <f t="shared" si="115"/>
        <v>1</v>
      </c>
      <c r="Z234" s="1">
        <f t="shared" si="116"/>
        <v>0</v>
      </c>
      <c r="AA234" s="1">
        <f t="shared" si="117"/>
        <v>0</v>
      </c>
      <c r="AB234" s="1">
        <f t="shared" si="118"/>
        <v>0</v>
      </c>
      <c r="AD234" s="1">
        <f t="shared" si="119"/>
        <v>0</v>
      </c>
      <c r="AE234" s="1">
        <f t="shared" si="120"/>
        <v>1</v>
      </c>
      <c r="AF234" s="1">
        <f t="shared" si="105"/>
        <v>0</v>
      </c>
      <c r="AG234" s="1">
        <f t="shared" si="106"/>
        <v>1</v>
      </c>
      <c r="AH234" s="1">
        <f t="shared" si="107"/>
        <v>0</v>
      </c>
      <c r="AI234" s="1">
        <f t="shared" si="10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1072</v>
      </c>
      <c r="E235" s="32" t="s">
        <v>166</v>
      </c>
      <c r="F235" s="32" t="s">
        <v>656</v>
      </c>
      <c r="G235" s="32" t="s">
        <v>178</v>
      </c>
      <c r="H235" s="32" t="s">
        <v>352</v>
      </c>
      <c r="I235" s="31" t="s">
        <v>379</v>
      </c>
      <c r="J235" s="31">
        <v>10</v>
      </c>
      <c r="K235" s="33" t="s">
        <v>718</v>
      </c>
      <c r="L235" s="33" t="s">
        <v>700</v>
      </c>
      <c r="M235" s="34" t="s">
        <v>703</v>
      </c>
      <c r="N235" s="34" t="s">
        <v>1724</v>
      </c>
      <c r="O235" s="35">
        <v>1</v>
      </c>
      <c r="P235" s="35"/>
      <c r="Q235" s="32"/>
      <c r="R235" s="15"/>
      <c r="S235" s="1">
        <f t="shared" si="109"/>
        <v>0</v>
      </c>
      <c r="T235" s="1">
        <f t="shared" si="110"/>
        <v>0</v>
      </c>
      <c r="U235" s="1">
        <f t="shared" si="111"/>
        <v>0</v>
      </c>
      <c r="V235" s="1">
        <f t="shared" si="112"/>
        <v>0</v>
      </c>
      <c r="W235" s="1">
        <f t="shared" si="113"/>
        <v>0</v>
      </c>
      <c r="X235" s="1">
        <f t="shared" si="114"/>
        <v>0</v>
      </c>
      <c r="Y235" s="1">
        <f t="shared" si="115"/>
        <v>0</v>
      </c>
      <c r="Z235" s="1">
        <f t="shared" si="116"/>
        <v>0</v>
      </c>
      <c r="AA235" s="1">
        <f t="shared" si="117"/>
        <v>0</v>
      </c>
      <c r="AB235" s="1">
        <f t="shared" si="118"/>
        <v>1</v>
      </c>
      <c r="AD235" s="1">
        <f t="shared" si="119"/>
        <v>0</v>
      </c>
      <c r="AE235" s="1">
        <f t="shared" si="120"/>
        <v>1</v>
      </c>
      <c r="AF235" s="1">
        <f t="shared" si="105"/>
        <v>0</v>
      </c>
      <c r="AG235" s="1">
        <f t="shared" si="106"/>
        <v>1</v>
      </c>
      <c r="AH235" s="1">
        <f t="shared" si="107"/>
        <v>0</v>
      </c>
      <c r="AI235" s="1">
        <f t="shared" si="108"/>
        <v>1</v>
      </c>
      <c r="AJ235" s="15"/>
      <c r="AK235" s="15"/>
      <c r="AL235" s="16"/>
      <c r="AM235" s="16"/>
      <c r="AN235" s="16"/>
      <c r="AO235" s="16"/>
      <c r="AP235" s="16"/>
      <c r="AQ235" s="15"/>
      <c r="AR235" s="15"/>
      <c r="AS235" s="10"/>
      <c r="AT235" s="10"/>
      <c r="AU235" s="19"/>
      <c r="AV235" s="19"/>
      <c r="AY235" s="16"/>
      <c r="AZ235" s="15"/>
      <c r="BA235" s="15"/>
      <c r="BB235" s="15"/>
      <c r="BC235" s="16"/>
      <c r="BD235" s="16"/>
      <c r="BE235" s="16"/>
      <c r="BF235" s="16"/>
      <c r="BG235" s="16"/>
      <c r="BH235" s="15"/>
      <c r="BI235" s="15"/>
      <c r="BJ235" s="10"/>
      <c r="BK235" s="10"/>
      <c r="BL235" s="19"/>
      <c r="BM235" s="19"/>
      <c r="BP235" s="16"/>
      <c r="BQ235" s="15"/>
      <c r="BR235" s="15"/>
      <c r="BS235" s="15"/>
      <c r="BT235" s="16"/>
      <c r="BU235" s="16"/>
      <c r="BV235" s="16"/>
      <c r="BW235" s="16"/>
      <c r="BX235" s="16"/>
      <c r="BY235" s="15"/>
      <c r="BZ235" s="15"/>
      <c r="CA235" s="10"/>
      <c r="CB235" s="10"/>
      <c r="CC235" s="19"/>
      <c r="CD235" s="19"/>
      <c r="CG235" s="16"/>
      <c r="CH235" s="15"/>
      <c r="CI235" s="15"/>
      <c r="CJ235" s="15"/>
      <c r="CK235" s="16"/>
      <c r="CL235" s="16"/>
      <c r="CM235" s="16"/>
      <c r="CN235" s="16"/>
      <c r="CO235" s="16"/>
      <c r="CP235" s="15"/>
      <c r="CQ235" s="15"/>
      <c r="CR235" s="10"/>
      <c r="CS235" s="10"/>
      <c r="CT235" s="19"/>
      <c r="CU235" s="19"/>
      <c r="CX235" s="16"/>
      <c r="CY235" s="15"/>
      <c r="CZ235" s="15"/>
      <c r="DA235" s="15"/>
      <c r="DB235" s="16"/>
      <c r="DC235" s="16"/>
      <c r="DD235" s="16"/>
      <c r="DE235" s="16"/>
      <c r="DF235" s="16"/>
      <c r="DG235" s="15"/>
      <c r="DH235" s="15"/>
      <c r="DI235" s="10"/>
      <c r="DJ235" s="10"/>
      <c r="DK235" s="19"/>
      <c r="DL235" s="19"/>
      <c r="DO235" s="16"/>
      <c r="DP235" s="15"/>
      <c r="DQ235" s="15"/>
      <c r="DR235" s="15"/>
      <c r="DS235" s="16"/>
      <c r="DT235" s="16"/>
      <c r="DU235" s="16"/>
      <c r="DV235" s="16"/>
      <c r="DW235" s="16"/>
      <c r="DX235" s="15"/>
      <c r="DY235" s="15"/>
      <c r="DZ235" s="10"/>
      <c r="EA235" s="10"/>
      <c r="EB235" s="19"/>
      <c r="EC235" s="19"/>
      <c r="EF235" s="16"/>
      <c r="EG235" s="15"/>
      <c r="EH235" s="15"/>
      <c r="EI235" s="15"/>
      <c r="EJ235" s="16"/>
      <c r="EK235" s="16"/>
      <c r="EL235" s="16"/>
      <c r="EM235" s="16"/>
      <c r="EN235" s="16"/>
      <c r="EO235" s="15"/>
      <c r="EP235" s="15"/>
      <c r="EQ235" s="10"/>
      <c r="ER235" s="10"/>
      <c r="ES235" s="19"/>
      <c r="ET235" s="19"/>
      <c r="EW235" s="16"/>
      <c r="EX235" s="15"/>
      <c r="EY235" s="15"/>
      <c r="EZ235" s="15"/>
      <c r="FA235" s="16"/>
      <c r="FB235" s="16"/>
      <c r="FC235" s="16"/>
      <c r="FD235" s="16"/>
      <c r="FE235" s="16"/>
      <c r="FF235" s="15"/>
      <c r="FG235" s="15"/>
      <c r="FH235" s="10"/>
      <c r="FI235" s="10"/>
      <c r="FJ235" s="19"/>
      <c r="FK235" s="19"/>
      <c r="FN235" s="16"/>
      <c r="FO235" s="15"/>
      <c r="FP235" s="15"/>
      <c r="FQ235" s="15"/>
      <c r="FR235" s="16"/>
      <c r="FS235" s="16"/>
      <c r="FT235" s="16"/>
      <c r="FU235" s="16"/>
      <c r="FV235" s="16"/>
      <c r="FW235" s="15"/>
      <c r="FX235" s="15"/>
      <c r="FY235" s="10"/>
      <c r="FZ235" s="10"/>
      <c r="GA235" s="19"/>
      <c r="GB235" s="19"/>
      <c r="GE235" s="16"/>
      <c r="GF235" s="15"/>
      <c r="GG235" s="15"/>
      <c r="GH235" s="15"/>
      <c r="GI235" s="16"/>
      <c r="GJ235" s="16"/>
      <c r="GK235" s="16"/>
      <c r="GL235" s="16"/>
      <c r="GM235" s="16"/>
      <c r="GN235" s="15"/>
      <c r="GO235" s="15"/>
      <c r="GP235" s="10"/>
      <c r="GQ235" s="10"/>
      <c r="GR235" s="19"/>
      <c r="GS235" s="19"/>
      <c r="GV235" s="16"/>
      <c r="GW235" s="15"/>
      <c r="GX235" s="15"/>
      <c r="GY235" s="15"/>
      <c r="GZ235" s="16"/>
      <c r="HA235" s="16"/>
      <c r="HB235" s="16"/>
      <c r="HC235" s="16"/>
      <c r="HD235" s="16"/>
      <c r="HE235" s="15"/>
      <c r="HF235" s="15"/>
      <c r="HG235" s="10"/>
      <c r="HH235" s="10"/>
      <c r="HI235" s="19"/>
      <c r="HJ235" s="19"/>
      <c r="HM235" s="16"/>
      <c r="HN235" s="15"/>
      <c r="HO235" s="15"/>
      <c r="HP235" s="15"/>
      <c r="HQ235" s="16"/>
      <c r="HR235" s="16"/>
      <c r="HS235" s="16"/>
      <c r="HT235" s="16"/>
      <c r="HU235" s="16"/>
      <c r="HV235" s="15"/>
      <c r="HW235" s="15"/>
      <c r="HX235" s="10"/>
      <c r="HY235" s="10"/>
      <c r="HZ235" s="19"/>
      <c r="IA235" s="19"/>
      <c r="ID235" s="16"/>
      <c r="IE235" s="15"/>
      <c r="IF235" s="15"/>
      <c r="IG235" s="15"/>
      <c r="IH235" s="16"/>
      <c r="II235" s="16"/>
      <c r="IJ235" s="16"/>
      <c r="IK235" s="16"/>
      <c r="IL235" s="16"/>
      <c r="IM235" s="15"/>
      <c r="IN235" s="15"/>
      <c r="IO235" s="10"/>
      <c r="IP235" s="10"/>
      <c r="IQ235" s="19"/>
      <c r="IR235" s="19"/>
      <c r="IU235" s="16"/>
      <c r="IV235" s="15"/>
      <c r="IW235" s="15"/>
      <c r="IX235" s="15"/>
      <c r="IY235" s="16"/>
      <c r="IZ235" s="16"/>
      <c r="JA235" s="16"/>
      <c r="JB235" s="16"/>
      <c r="JC235" s="16"/>
      <c r="JD235" s="15"/>
      <c r="JE235" s="15"/>
      <c r="JF235" s="10"/>
      <c r="JG235" s="10"/>
      <c r="JH235" s="19"/>
      <c r="JI235" s="19"/>
      <c r="JL235" s="16"/>
      <c r="JM235" s="15"/>
      <c r="JN235" s="15"/>
      <c r="JO235" s="15"/>
      <c r="JP235" s="16"/>
      <c r="JQ235" s="16"/>
      <c r="JR235" s="16"/>
      <c r="JS235" s="16"/>
      <c r="JT235" s="16"/>
      <c r="JU235" s="15"/>
      <c r="JV235" s="15"/>
      <c r="JW235" s="10"/>
      <c r="JX235" s="10"/>
      <c r="JY235" s="19"/>
      <c r="JZ235" s="19"/>
      <c r="KC235" s="16"/>
      <c r="KD235" s="15"/>
      <c r="KE235" s="15"/>
      <c r="KF235" s="15"/>
      <c r="KG235" s="16"/>
      <c r="KH235" s="16"/>
      <c r="KI235" s="16"/>
      <c r="KJ235" s="16"/>
      <c r="KK235" s="16"/>
      <c r="KL235" s="15"/>
      <c r="KM235" s="15"/>
      <c r="KN235" s="10"/>
      <c r="KO235" s="10"/>
      <c r="KP235" s="19"/>
      <c r="KQ235" s="19"/>
      <c r="KT235" s="16"/>
      <c r="KU235" s="15"/>
      <c r="KV235" s="15"/>
      <c r="KW235" s="15"/>
      <c r="KX235" s="16"/>
      <c r="KY235" s="16"/>
      <c r="KZ235" s="16"/>
      <c r="LA235" s="16"/>
      <c r="LB235" s="16"/>
      <c r="LC235" s="15"/>
      <c r="LD235" s="15"/>
      <c r="LE235" s="10"/>
      <c r="LF235" s="10"/>
      <c r="LG235" s="19"/>
      <c r="LH235" s="19"/>
      <c r="LK235" s="16"/>
      <c r="LL235" s="15"/>
      <c r="LM235" s="15"/>
      <c r="LN235" s="15"/>
      <c r="LO235" s="16"/>
      <c r="LP235" s="16"/>
      <c r="LQ235" s="16"/>
      <c r="LR235" s="16"/>
      <c r="LS235" s="16"/>
      <c r="LT235" s="15"/>
      <c r="LU235" s="15"/>
      <c r="LV235" s="10"/>
      <c r="LW235" s="10"/>
      <c r="LX235" s="19"/>
      <c r="LY235" s="19"/>
      <c r="MB235" s="16"/>
      <c r="MC235" s="15"/>
      <c r="MD235" s="15"/>
      <c r="ME235" s="15"/>
      <c r="MF235" s="16"/>
      <c r="MG235" s="16"/>
      <c r="MH235" s="16"/>
      <c r="MI235" s="16"/>
      <c r="MJ235" s="16"/>
      <c r="MK235" s="15"/>
      <c r="ML235" s="15"/>
      <c r="MM235" s="10"/>
      <c r="MN235" s="10"/>
      <c r="MO235" s="19"/>
      <c r="MP235" s="19"/>
      <c r="MS235" s="16"/>
      <c r="MT235" s="15"/>
      <c r="MU235" s="15"/>
      <c r="MV235" s="15"/>
      <c r="MW235" s="16"/>
      <c r="MX235" s="16"/>
      <c r="MY235" s="16"/>
      <c r="MZ235" s="16"/>
      <c r="NA235" s="16"/>
      <c r="NB235" s="15"/>
      <c r="NC235" s="15"/>
      <c r="ND235" s="10"/>
      <c r="NE235" s="10"/>
      <c r="NF235" s="19"/>
      <c r="NG235" s="19"/>
      <c r="NJ235" s="16"/>
      <c r="NK235" s="15"/>
      <c r="NL235" s="15"/>
      <c r="NM235" s="15"/>
      <c r="NN235" s="16"/>
      <c r="NO235" s="16"/>
      <c r="NP235" s="16"/>
      <c r="NQ235" s="16"/>
      <c r="NR235" s="16"/>
      <c r="NS235" s="15"/>
      <c r="NT235" s="15"/>
      <c r="NU235" s="10"/>
      <c r="NV235" s="10"/>
      <c r="NW235" s="19"/>
      <c r="NX235" s="19"/>
      <c r="OA235" s="16"/>
      <c r="OB235" s="15"/>
      <c r="OC235" s="15"/>
      <c r="OD235" s="15"/>
      <c r="OE235" s="16"/>
      <c r="OF235" s="16"/>
      <c r="OG235" s="16"/>
      <c r="OH235" s="16"/>
      <c r="OI235" s="16"/>
      <c r="OJ235" s="15"/>
      <c r="OK235" s="15"/>
      <c r="OL235" s="10"/>
      <c r="OM235" s="10"/>
      <c r="ON235" s="19"/>
      <c r="OO235" s="19"/>
      <c r="OR235" s="16"/>
      <c r="OS235" s="15"/>
      <c r="OT235" s="15"/>
      <c r="OU235" s="15"/>
      <c r="OV235" s="16"/>
      <c r="OW235" s="16"/>
      <c r="OX235" s="16"/>
      <c r="OY235" s="16"/>
      <c r="OZ235" s="16"/>
      <c r="PA235" s="15"/>
      <c r="PB235" s="15"/>
      <c r="PC235" s="10"/>
      <c r="PD235" s="10"/>
      <c r="PE235" s="19"/>
      <c r="PF235" s="19"/>
      <c r="PI235" s="16"/>
      <c r="PJ235" s="15"/>
      <c r="PK235" s="15"/>
      <c r="PL235" s="15"/>
      <c r="PM235" s="16"/>
      <c r="PN235" s="16"/>
      <c r="PO235" s="16"/>
      <c r="PP235" s="16"/>
      <c r="PQ235" s="16"/>
      <c r="PR235" s="15"/>
      <c r="PS235" s="15"/>
      <c r="PT235" s="10"/>
      <c r="PU235" s="10"/>
      <c r="PV235" s="19"/>
      <c r="PW235" s="19"/>
      <c r="PZ235" s="16"/>
      <c r="QA235" s="15"/>
      <c r="QB235" s="15"/>
      <c r="QC235" s="15"/>
      <c r="QD235" s="16"/>
      <c r="QE235" s="16"/>
      <c r="QF235" s="16"/>
      <c r="QG235" s="16"/>
      <c r="QH235" s="16"/>
      <c r="QI235" s="15"/>
      <c r="QJ235" s="15"/>
      <c r="QK235" s="10"/>
      <c r="QL235" s="10"/>
      <c r="QM235" s="19"/>
      <c r="QN235" s="19"/>
      <c r="QQ235" s="16"/>
      <c r="QR235" s="15"/>
      <c r="QS235" s="15"/>
      <c r="QT235" s="15"/>
      <c r="QU235" s="16"/>
      <c r="QV235" s="16"/>
      <c r="QW235" s="16"/>
      <c r="QX235" s="16"/>
      <c r="QY235" s="16"/>
      <c r="QZ235" s="15"/>
      <c r="RA235" s="15"/>
      <c r="RB235" s="10"/>
      <c r="RC235" s="10"/>
      <c r="RD235" s="19"/>
      <c r="RE235" s="19"/>
      <c r="RH235" s="16"/>
      <c r="RI235" s="15"/>
      <c r="RJ235" s="15"/>
      <c r="RK235" s="15"/>
      <c r="RL235" s="16"/>
      <c r="RM235" s="16"/>
      <c r="RN235" s="16"/>
      <c r="RO235" s="16"/>
      <c r="RP235" s="16"/>
      <c r="RQ235" s="15"/>
      <c r="RR235" s="15"/>
      <c r="RS235" s="10"/>
      <c r="RT235" s="10"/>
      <c r="RU235" s="19"/>
      <c r="RV235" s="19"/>
      <c r="RY235" s="16"/>
      <c r="RZ235" s="15"/>
      <c r="SA235" s="15"/>
      <c r="SB235" s="15"/>
      <c r="SC235" s="16"/>
      <c r="SD235" s="16"/>
      <c r="SE235" s="16"/>
      <c r="SF235" s="16"/>
      <c r="SG235" s="16"/>
      <c r="SH235" s="15"/>
      <c r="SI235" s="15"/>
      <c r="SJ235" s="10"/>
      <c r="SK235" s="10"/>
      <c r="SL235" s="19"/>
      <c r="SM235" s="19"/>
      <c r="SP235" s="16"/>
      <c r="SQ235" s="15"/>
      <c r="SR235" s="15"/>
      <c r="SS235" s="15"/>
      <c r="ST235" s="16"/>
      <c r="SU235" s="16"/>
      <c r="SV235" s="16"/>
      <c r="SW235" s="16"/>
      <c r="SX235" s="16"/>
      <c r="SY235" s="15"/>
      <c r="SZ235" s="15"/>
      <c r="TA235" s="10"/>
      <c r="TB235" s="10"/>
      <c r="TC235" s="19"/>
      <c r="TD235" s="19"/>
      <c r="TG235" s="16"/>
      <c r="TH235" s="15"/>
      <c r="TI235" s="15"/>
      <c r="TJ235" s="15"/>
      <c r="TK235" s="16"/>
      <c r="TL235" s="16"/>
      <c r="TM235" s="16"/>
      <c r="TN235" s="16"/>
      <c r="TO235" s="16"/>
      <c r="TP235" s="15"/>
      <c r="TQ235" s="15"/>
      <c r="TR235" s="10"/>
      <c r="TS235" s="10"/>
      <c r="TT235" s="19"/>
      <c r="TU235" s="19"/>
      <c r="TX235" s="16"/>
      <c r="TY235" s="15"/>
      <c r="TZ235" s="15"/>
      <c r="UA235" s="15"/>
      <c r="UB235" s="16"/>
      <c r="UC235" s="16"/>
      <c r="UD235" s="16"/>
      <c r="UE235" s="16"/>
      <c r="UF235" s="16"/>
      <c r="UG235" s="15"/>
      <c r="UH235" s="15"/>
      <c r="UI235" s="10"/>
      <c r="UJ235" s="10"/>
      <c r="UK235" s="19"/>
      <c r="UL235" s="19"/>
      <c r="UO235" s="16"/>
      <c r="UP235" s="15"/>
      <c r="UQ235" s="15"/>
      <c r="UR235" s="15"/>
      <c r="US235" s="16"/>
      <c r="UT235" s="16"/>
      <c r="UU235" s="16"/>
      <c r="UV235" s="16"/>
      <c r="UW235" s="16"/>
      <c r="UX235" s="15"/>
      <c r="UY235" s="15"/>
      <c r="UZ235" s="10"/>
      <c r="VA235" s="10"/>
      <c r="VB235" s="19"/>
      <c r="VC235" s="19"/>
      <c r="VF235" s="16"/>
      <c r="VG235" s="15"/>
      <c r="VH235" s="15"/>
      <c r="VI235" s="15"/>
      <c r="VJ235" s="16"/>
      <c r="VK235" s="16"/>
      <c r="VL235" s="16"/>
      <c r="VM235" s="16"/>
      <c r="VN235" s="16"/>
      <c r="VO235" s="15"/>
      <c r="VP235" s="15"/>
      <c r="VQ235" s="10"/>
      <c r="VR235" s="10"/>
      <c r="VS235" s="19"/>
      <c r="VT235" s="19"/>
      <c r="VW235" s="16"/>
      <c r="VX235" s="15"/>
      <c r="VY235" s="15"/>
      <c r="VZ235" s="15"/>
      <c r="WA235" s="16"/>
      <c r="WB235" s="16"/>
      <c r="WC235" s="16"/>
      <c r="WD235" s="16"/>
      <c r="WE235" s="16"/>
      <c r="WF235" s="15"/>
      <c r="WG235" s="15"/>
      <c r="WH235" s="10"/>
      <c r="WI235" s="10"/>
      <c r="WJ235" s="19"/>
      <c r="WK235" s="19"/>
      <c r="WN235" s="16"/>
      <c r="WO235" s="15"/>
      <c r="WP235" s="15"/>
      <c r="WQ235" s="15"/>
      <c r="WR235" s="16"/>
      <c r="WS235" s="16"/>
      <c r="WT235" s="16"/>
      <c r="WU235" s="16"/>
      <c r="WV235" s="16"/>
      <c r="WW235" s="15"/>
      <c r="WX235" s="15"/>
      <c r="WY235" s="10"/>
      <c r="WZ235" s="10"/>
      <c r="XA235" s="19"/>
      <c r="XB235" s="19"/>
      <c r="XE235" s="16"/>
      <c r="XF235" s="15"/>
      <c r="XG235" s="15"/>
      <c r="XH235" s="15"/>
      <c r="XI235" s="16"/>
      <c r="XJ235" s="16"/>
      <c r="XK235" s="16"/>
      <c r="XL235" s="16"/>
      <c r="XM235" s="16"/>
      <c r="XN235" s="15"/>
      <c r="XO235" s="15"/>
      <c r="XP235" s="10"/>
      <c r="XQ235" s="10"/>
      <c r="XR235" s="19"/>
      <c r="XS235" s="19"/>
      <c r="XV235" s="16"/>
      <c r="XW235" s="15"/>
      <c r="XX235" s="15"/>
      <c r="XY235" s="15"/>
      <c r="XZ235" s="16"/>
      <c r="YA235" s="16"/>
      <c r="YB235" s="16"/>
      <c r="YC235" s="16"/>
      <c r="YD235" s="16"/>
      <c r="YE235" s="15"/>
      <c r="YF235" s="15"/>
      <c r="YG235" s="10"/>
      <c r="YH235" s="10"/>
      <c r="YI235" s="19"/>
      <c r="YJ235" s="19"/>
      <c r="YM235" s="16"/>
      <c r="YN235" s="15"/>
      <c r="YO235" s="15"/>
      <c r="YP235" s="15"/>
      <c r="YQ235" s="16"/>
      <c r="YR235" s="16"/>
      <c r="YS235" s="16"/>
      <c r="YT235" s="16"/>
      <c r="YU235" s="16"/>
      <c r="YV235" s="15"/>
      <c r="YW235" s="15"/>
      <c r="YX235" s="10"/>
      <c r="YY235" s="10"/>
      <c r="YZ235" s="19"/>
      <c r="ZA235" s="19"/>
      <c r="ZD235" s="16"/>
      <c r="ZE235" s="15"/>
      <c r="ZF235" s="15"/>
      <c r="ZG235" s="15"/>
      <c r="ZH235" s="16"/>
      <c r="ZI235" s="16"/>
      <c r="ZJ235" s="16"/>
      <c r="ZK235" s="16"/>
      <c r="ZL235" s="16"/>
      <c r="ZM235" s="15"/>
      <c r="ZN235" s="15"/>
      <c r="ZO235" s="10"/>
      <c r="ZP235" s="10"/>
      <c r="ZQ235" s="19"/>
      <c r="ZR235" s="19"/>
      <c r="ZU235" s="16"/>
      <c r="ZV235" s="15"/>
      <c r="ZW235" s="15"/>
      <c r="ZX235" s="15"/>
      <c r="ZY235" s="16"/>
      <c r="ZZ235" s="16"/>
      <c r="AAA235" s="16"/>
      <c r="AAB235" s="16"/>
      <c r="AAC235" s="16"/>
      <c r="AAD235" s="15"/>
      <c r="AAE235" s="15"/>
      <c r="AAF235" s="10"/>
      <c r="AAG235" s="10"/>
      <c r="AAH235" s="19"/>
      <c r="AAI235" s="19"/>
      <c r="AAL235" s="16"/>
      <c r="AAM235" s="15"/>
      <c r="AAN235" s="15"/>
      <c r="AAO235" s="15"/>
      <c r="AAP235" s="16"/>
      <c r="AAQ235" s="16"/>
      <c r="AAR235" s="16"/>
      <c r="AAS235" s="16"/>
      <c r="AAT235" s="16"/>
      <c r="AAU235" s="15"/>
      <c r="AAV235" s="15"/>
      <c r="AAW235" s="10"/>
      <c r="AAX235" s="10"/>
      <c r="AAY235" s="19"/>
      <c r="AAZ235" s="19"/>
      <c r="ABC235" s="16"/>
      <c r="ABD235" s="15"/>
      <c r="ABE235" s="15"/>
      <c r="ABF235" s="15"/>
      <c r="ABG235" s="16"/>
      <c r="ABH235" s="16"/>
      <c r="ABI235" s="16"/>
      <c r="ABJ235" s="16"/>
      <c r="ABK235" s="16"/>
      <c r="ABL235" s="15"/>
      <c r="ABM235" s="15"/>
      <c r="ABN235" s="10"/>
      <c r="ABO235" s="10"/>
      <c r="ABP235" s="19"/>
      <c r="ABQ235" s="19"/>
      <c r="ABT235" s="16"/>
      <c r="ABU235" s="15"/>
      <c r="ABV235" s="15"/>
      <c r="ABW235" s="15"/>
      <c r="ABX235" s="16"/>
      <c r="ABY235" s="16"/>
      <c r="ABZ235" s="16"/>
      <c r="ACA235" s="16"/>
      <c r="ACB235" s="16"/>
      <c r="ACC235" s="15"/>
      <c r="ACD235" s="15"/>
      <c r="ACE235" s="10"/>
      <c r="ACF235" s="10"/>
      <c r="ACG235" s="19"/>
      <c r="ACH235" s="19"/>
      <c r="ACK235" s="16"/>
      <c r="ACL235" s="15"/>
      <c r="ACM235" s="15"/>
      <c r="ACN235" s="15"/>
      <c r="ACO235" s="16"/>
      <c r="ACP235" s="16"/>
      <c r="ACQ235" s="16"/>
      <c r="ACR235" s="16"/>
      <c r="ACS235" s="16"/>
      <c r="ACT235" s="15"/>
      <c r="ACU235" s="15"/>
      <c r="ACV235" s="10"/>
      <c r="ACW235" s="10"/>
      <c r="ACX235" s="19"/>
      <c r="ACY235" s="19"/>
      <c r="ADB235" s="16"/>
      <c r="ADC235" s="15"/>
      <c r="ADD235" s="15"/>
      <c r="ADE235" s="15"/>
      <c r="ADF235" s="16"/>
      <c r="ADG235" s="16"/>
      <c r="ADH235" s="16"/>
      <c r="ADI235" s="16"/>
      <c r="ADJ235" s="16"/>
      <c r="ADK235" s="15"/>
      <c r="ADL235" s="15"/>
      <c r="ADM235" s="10"/>
      <c r="ADN235" s="10"/>
      <c r="ADO235" s="19"/>
      <c r="ADP235" s="19"/>
      <c r="ADS235" s="16"/>
      <c r="ADT235" s="15"/>
      <c r="ADU235" s="15"/>
      <c r="ADV235" s="15"/>
      <c r="ADW235" s="16"/>
      <c r="ADX235" s="16"/>
      <c r="ADY235" s="16"/>
      <c r="ADZ235" s="16"/>
      <c r="AEA235" s="16"/>
      <c r="AEB235" s="15"/>
      <c r="AEC235" s="15"/>
      <c r="AED235" s="10"/>
      <c r="AEE235" s="10"/>
      <c r="AEF235" s="19"/>
      <c r="AEG235" s="19"/>
      <c r="AEJ235" s="16"/>
      <c r="AEK235" s="15"/>
      <c r="AEL235" s="15"/>
      <c r="AEM235" s="15"/>
      <c r="AEN235" s="16"/>
      <c r="AEO235" s="16"/>
      <c r="AEP235" s="16"/>
      <c r="AEQ235" s="16"/>
      <c r="AER235" s="16"/>
      <c r="AES235" s="15"/>
      <c r="AET235" s="15"/>
      <c r="AEU235" s="10"/>
      <c r="AEV235" s="10"/>
      <c r="AEW235" s="19"/>
      <c r="AEX235" s="19"/>
      <c r="AFA235" s="16"/>
      <c r="AFB235" s="15"/>
      <c r="AFC235" s="15"/>
      <c r="AFD235" s="15"/>
      <c r="AFE235" s="16"/>
      <c r="AFF235" s="16"/>
      <c r="AFG235" s="16"/>
      <c r="AFH235" s="16"/>
      <c r="AFI235" s="16"/>
      <c r="AFJ235" s="15"/>
      <c r="AFK235" s="15"/>
      <c r="AFL235" s="10"/>
      <c r="AFM235" s="10"/>
      <c r="AFN235" s="19"/>
      <c r="AFO235" s="19"/>
      <c r="AFR235" s="16"/>
      <c r="AFS235" s="15"/>
      <c r="AFT235" s="15"/>
      <c r="AFU235" s="15"/>
      <c r="AFV235" s="16"/>
      <c r="AFW235" s="16"/>
      <c r="AFX235" s="16"/>
      <c r="AFY235" s="16"/>
      <c r="AFZ235" s="16"/>
      <c r="AGA235" s="15"/>
      <c r="AGB235" s="15"/>
      <c r="AGC235" s="10"/>
      <c r="AGD235" s="10"/>
      <c r="AGE235" s="19"/>
      <c r="AGF235" s="19"/>
      <c r="AGI235" s="16"/>
      <c r="AGJ235" s="15"/>
      <c r="AGK235" s="15"/>
      <c r="AGL235" s="15"/>
      <c r="AGM235" s="16"/>
      <c r="AGN235" s="16"/>
      <c r="AGO235" s="16"/>
      <c r="AGP235" s="16"/>
      <c r="AGQ235" s="16"/>
      <c r="AGR235" s="15"/>
      <c r="AGS235" s="15"/>
      <c r="AGT235" s="10"/>
      <c r="AGU235" s="10"/>
      <c r="AGV235" s="19"/>
      <c r="AGW235" s="19"/>
      <c r="AGZ235" s="16"/>
      <c r="AHA235" s="15"/>
      <c r="AHB235" s="15"/>
      <c r="AHC235" s="15"/>
      <c r="AHD235" s="16"/>
      <c r="AHE235" s="16"/>
      <c r="AHF235" s="16"/>
      <c r="AHG235" s="16"/>
      <c r="AHH235" s="16"/>
      <c r="AHI235" s="15"/>
      <c r="AHJ235" s="15"/>
      <c r="AHK235" s="10"/>
      <c r="AHL235" s="10"/>
      <c r="AHM235" s="19"/>
      <c r="AHN235" s="19"/>
      <c r="AHQ235" s="16"/>
      <c r="AHR235" s="15"/>
      <c r="AHS235" s="15"/>
      <c r="AHT235" s="15"/>
      <c r="AHU235" s="16"/>
      <c r="AHV235" s="16"/>
      <c r="AHW235" s="16"/>
      <c r="AHX235" s="16"/>
      <c r="AHY235" s="16"/>
      <c r="AHZ235" s="15"/>
      <c r="AIA235" s="15"/>
      <c r="AIB235" s="10"/>
      <c r="AIC235" s="10"/>
      <c r="AID235" s="19"/>
      <c r="AIE235" s="19"/>
      <c r="AIH235" s="16"/>
      <c r="AII235" s="15"/>
      <c r="AIJ235" s="15"/>
      <c r="AIK235" s="15"/>
      <c r="AIL235" s="16"/>
      <c r="AIM235" s="16"/>
      <c r="AIN235" s="16"/>
      <c r="AIO235" s="16"/>
      <c r="AIP235" s="16"/>
      <c r="AIQ235" s="15"/>
      <c r="AIR235" s="15"/>
      <c r="AIS235" s="10"/>
      <c r="AIT235" s="10"/>
      <c r="AIU235" s="19"/>
      <c r="AIV235" s="19"/>
      <c r="AIY235" s="16"/>
      <c r="AIZ235" s="15"/>
      <c r="AJA235" s="15"/>
      <c r="AJB235" s="15"/>
      <c r="AJC235" s="16"/>
      <c r="AJD235" s="16"/>
      <c r="AJE235" s="16"/>
      <c r="AJF235" s="16"/>
      <c r="AJG235" s="16"/>
      <c r="AJH235" s="15"/>
      <c r="AJI235" s="15"/>
      <c r="AJJ235" s="10"/>
      <c r="AJK235" s="10"/>
      <c r="AJL235" s="19"/>
      <c r="AJM235" s="19"/>
      <c r="AJP235" s="16"/>
      <c r="AJQ235" s="15"/>
      <c r="AJR235" s="15"/>
      <c r="AJS235" s="15"/>
      <c r="AJT235" s="16"/>
      <c r="AJU235" s="16"/>
      <c r="AJV235" s="16"/>
      <c r="AJW235" s="16"/>
      <c r="AJX235" s="16"/>
      <c r="AJY235" s="15"/>
      <c r="AJZ235" s="15"/>
      <c r="AKA235" s="10"/>
      <c r="AKB235" s="10"/>
      <c r="AKC235" s="19"/>
      <c r="AKD235" s="19"/>
      <c r="AKG235" s="16"/>
      <c r="AKH235" s="15"/>
      <c r="AKI235" s="15"/>
      <c r="AKJ235" s="15"/>
      <c r="AKK235" s="16"/>
      <c r="AKL235" s="16"/>
      <c r="AKM235" s="16"/>
      <c r="AKN235" s="16"/>
      <c r="AKO235" s="16"/>
      <c r="AKP235" s="15"/>
      <c r="AKQ235" s="15"/>
      <c r="AKR235" s="10"/>
      <c r="AKS235" s="10"/>
      <c r="AKT235" s="19"/>
      <c r="AKU235" s="19"/>
      <c r="AKX235" s="16"/>
      <c r="AKY235" s="15"/>
      <c r="AKZ235" s="15"/>
      <c r="ALA235" s="15"/>
      <c r="ALB235" s="16"/>
      <c r="ALC235" s="16"/>
      <c r="ALD235" s="16"/>
      <c r="ALE235" s="16"/>
      <c r="ALF235" s="16"/>
      <c r="ALG235" s="15"/>
      <c r="ALH235" s="15"/>
      <c r="ALI235" s="10"/>
      <c r="ALJ235" s="10"/>
      <c r="ALK235" s="19"/>
      <c r="ALL235" s="19"/>
      <c r="ALO235" s="16"/>
      <c r="ALP235" s="15"/>
      <c r="ALQ235" s="15"/>
      <c r="ALR235" s="15"/>
      <c r="ALS235" s="16"/>
      <c r="ALT235" s="16"/>
      <c r="ALU235" s="16"/>
      <c r="ALV235" s="16"/>
      <c r="ALW235" s="16"/>
      <c r="ALX235" s="15"/>
      <c r="ALY235" s="15"/>
      <c r="ALZ235" s="10"/>
      <c r="AMA235" s="10"/>
      <c r="AMB235" s="19"/>
      <c r="AMC235" s="19"/>
      <c r="AMF235" s="16"/>
      <c r="AMG235" s="15"/>
      <c r="AMH235" s="15"/>
      <c r="AMI235" s="15"/>
      <c r="AMJ235" s="16"/>
      <c r="AMK235" s="16"/>
      <c r="AML235" s="16"/>
      <c r="AMM235" s="16"/>
      <c r="AMN235" s="16"/>
      <c r="AMO235" s="15"/>
      <c r="AMP235" s="15"/>
      <c r="AMQ235" s="10"/>
      <c r="AMR235" s="10"/>
      <c r="AMS235" s="19"/>
      <c r="AMT235" s="19"/>
      <c r="AMW235" s="16"/>
      <c r="AMX235" s="15"/>
      <c r="AMY235" s="15"/>
      <c r="AMZ235" s="15"/>
      <c r="ANA235" s="16"/>
      <c r="ANB235" s="16"/>
      <c r="ANC235" s="16"/>
      <c r="AND235" s="16"/>
      <c r="ANE235" s="16"/>
      <c r="ANF235" s="15"/>
      <c r="ANG235" s="15"/>
      <c r="ANH235" s="10"/>
      <c r="ANI235" s="10"/>
      <c r="ANJ235" s="19"/>
      <c r="ANK235" s="19"/>
      <c r="ANN235" s="16"/>
      <c r="ANO235" s="15"/>
      <c r="ANP235" s="15"/>
      <c r="ANQ235" s="15"/>
      <c r="ANR235" s="16"/>
      <c r="ANS235" s="16"/>
      <c r="ANT235" s="16"/>
      <c r="ANU235" s="16"/>
      <c r="ANV235" s="16"/>
      <c r="ANW235" s="15"/>
      <c r="ANX235" s="15"/>
      <c r="ANY235" s="10"/>
      <c r="ANZ235" s="10"/>
      <c r="AOA235" s="19"/>
      <c r="AOB235" s="19"/>
      <c r="AOE235" s="16"/>
      <c r="AOF235" s="15"/>
      <c r="AOG235" s="15"/>
      <c r="AOH235" s="15"/>
      <c r="AOI235" s="16"/>
      <c r="AOJ235" s="16"/>
      <c r="AOK235" s="16"/>
      <c r="AOL235" s="16"/>
      <c r="AOM235" s="16"/>
      <c r="AON235" s="15"/>
      <c r="AOO235" s="15"/>
      <c r="AOP235" s="10"/>
      <c r="AOQ235" s="10"/>
      <c r="AOR235" s="19"/>
      <c r="AOS235" s="19"/>
      <c r="AOV235" s="16"/>
      <c r="AOW235" s="15"/>
      <c r="AOX235" s="15"/>
      <c r="AOY235" s="15"/>
      <c r="AOZ235" s="16"/>
      <c r="APA235" s="16"/>
      <c r="APB235" s="16"/>
      <c r="APC235" s="16"/>
      <c r="APD235" s="16"/>
      <c r="APE235" s="15"/>
      <c r="APF235" s="15"/>
      <c r="APG235" s="10"/>
      <c r="APH235" s="10"/>
      <c r="API235" s="19"/>
      <c r="APJ235" s="19"/>
      <c r="APM235" s="16"/>
      <c r="APN235" s="15"/>
      <c r="APO235" s="15"/>
      <c r="APP235" s="15"/>
      <c r="APQ235" s="16"/>
      <c r="APR235" s="16"/>
      <c r="APS235" s="16"/>
      <c r="APT235" s="16"/>
      <c r="APU235" s="16"/>
      <c r="APV235" s="15"/>
      <c r="APW235" s="15"/>
      <c r="APX235" s="10"/>
      <c r="APY235" s="10"/>
      <c r="APZ235" s="19"/>
      <c r="AQA235" s="19"/>
      <c r="AQD235" s="16"/>
      <c r="AQE235" s="15"/>
      <c r="AQF235" s="15"/>
      <c r="AQG235" s="15"/>
      <c r="AQH235" s="16"/>
      <c r="AQI235" s="16"/>
      <c r="AQJ235" s="16"/>
      <c r="AQK235" s="16"/>
      <c r="AQL235" s="16"/>
      <c r="AQM235" s="15"/>
      <c r="AQN235" s="15"/>
      <c r="AQO235" s="10"/>
      <c r="AQP235" s="10"/>
      <c r="AQQ235" s="19"/>
      <c r="AQR235" s="19"/>
      <c r="AQU235" s="16"/>
      <c r="AQV235" s="15"/>
      <c r="AQW235" s="15"/>
      <c r="AQX235" s="15"/>
      <c r="AQY235" s="16"/>
      <c r="AQZ235" s="16"/>
      <c r="ARA235" s="16"/>
      <c r="ARB235" s="16"/>
      <c r="ARC235" s="16"/>
      <c r="ARD235" s="15"/>
      <c r="ARE235" s="15"/>
      <c r="ARF235" s="10"/>
      <c r="ARG235" s="10"/>
      <c r="ARH235" s="19"/>
      <c r="ARI235" s="19"/>
      <c r="ARL235" s="16"/>
      <c r="ARM235" s="15"/>
      <c r="ARN235" s="15"/>
      <c r="ARO235" s="15"/>
      <c r="ARP235" s="16"/>
      <c r="ARQ235" s="16"/>
      <c r="ARR235" s="16"/>
      <c r="ARS235" s="16"/>
      <c r="ART235" s="16"/>
      <c r="ARU235" s="15"/>
      <c r="ARV235" s="15"/>
      <c r="ARW235" s="10"/>
      <c r="ARX235" s="10"/>
      <c r="ARY235" s="19"/>
      <c r="ARZ235" s="19"/>
      <c r="ASC235" s="16"/>
      <c r="ASD235" s="15"/>
      <c r="ASE235" s="15"/>
      <c r="ASF235" s="15"/>
      <c r="ASG235" s="16"/>
      <c r="ASH235" s="16"/>
      <c r="ASI235" s="16"/>
      <c r="ASJ235" s="16"/>
      <c r="ASK235" s="16"/>
      <c r="ASL235" s="15"/>
      <c r="ASM235" s="15"/>
      <c r="ASN235" s="10"/>
      <c r="ASO235" s="10"/>
      <c r="ASP235" s="19"/>
      <c r="ASQ235" s="19"/>
      <c r="AST235" s="16"/>
      <c r="ASU235" s="15"/>
      <c r="ASV235" s="15"/>
      <c r="ASW235" s="15"/>
      <c r="ASX235" s="16"/>
      <c r="ASY235" s="16"/>
      <c r="ASZ235" s="16"/>
      <c r="ATA235" s="16"/>
      <c r="ATB235" s="16"/>
      <c r="ATC235" s="15"/>
      <c r="ATD235" s="15"/>
      <c r="ATE235" s="10"/>
      <c r="ATF235" s="10"/>
      <c r="ATG235" s="19"/>
      <c r="ATH235" s="19"/>
      <c r="ATK235" s="16"/>
      <c r="ATL235" s="15"/>
      <c r="ATM235" s="15"/>
      <c r="ATN235" s="15"/>
      <c r="ATO235" s="16"/>
      <c r="ATP235" s="16"/>
      <c r="ATQ235" s="16"/>
      <c r="ATR235" s="16"/>
      <c r="ATS235" s="16"/>
      <c r="ATT235" s="15"/>
      <c r="ATU235" s="15"/>
      <c r="ATV235" s="10"/>
      <c r="ATW235" s="10"/>
      <c r="ATX235" s="19"/>
      <c r="ATY235" s="19"/>
      <c r="AUB235" s="16"/>
      <c r="AUC235" s="15"/>
      <c r="AUD235" s="15"/>
      <c r="AUE235" s="15"/>
      <c r="AUF235" s="16"/>
      <c r="AUG235" s="16"/>
      <c r="AUH235" s="16"/>
      <c r="AUI235" s="16"/>
      <c r="AUJ235" s="16"/>
      <c r="AUK235" s="15"/>
      <c r="AUL235" s="15"/>
      <c r="AUM235" s="10"/>
      <c r="AUN235" s="10"/>
      <c r="AUO235" s="19"/>
      <c r="AUP235" s="19"/>
      <c r="AUS235" s="16"/>
      <c r="AUT235" s="15"/>
      <c r="AUU235" s="15"/>
      <c r="AUV235" s="15"/>
      <c r="AUW235" s="16"/>
      <c r="AUX235" s="16"/>
      <c r="AUY235" s="16"/>
      <c r="AUZ235" s="16"/>
      <c r="AVA235" s="16"/>
      <c r="AVB235" s="15"/>
      <c r="AVC235" s="15"/>
      <c r="AVD235" s="10"/>
      <c r="AVE235" s="10"/>
      <c r="AVF235" s="19"/>
      <c r="AVG235" s="19"/>
      <c r="AVJ235" s="16"/>
      <c r="AVK235" s="15"/>
      <c r="AVL235" s="15"/>
      <c r="AVM235" s="15"/>
      <c r="AVN235" s="16"/>
      <c r="AVO235" s="16"/>
      <c r="AVP235" s="16"/>
      <c r="AVQ235" s="16"/>
      <c r="AVR235" s="16"/>
      <c r="AVS235" s="15"/>
      <c r="AVT235" s="15"/>
      <c r="AVU235" s="10"/>
      <c r="AVV235" s="10"/>
      <c r="AVW235" s="19"/>
      <c r="AVX235" s="19"/>
      <c r="AWA235" s="16"/>
      <c r="AWB235" s="15"/>
      <c r="AWC235" s="15"/>
      <c r="AWD235" s="15"/>
      <c r="AWE235" s="16"/>
      <c r="AWF235" s="16"/>
      <c r="AWG235" s="16"/>
      <c r="AWH235" s="16"/>
      <c r="AWI235" s="16"/>
      <c r="AWJ235" s="15"/>
      <c r="AWK235" s="15"/>
      <c r="AWL235" s="10"/>
      <c r="AWM235" s="10"/>
      <c r="AWN235" s="19"/>
      <c r="AWO235" s="19"/>
      <c r="AWR235" s="16"/>
      <c r="AWS235" s="15"/>
      <c r="AWT235" s="15"/>
      <c r="AWU235" s="15"/>
      <c r="AWV235" s="16"/>
      <c r="AWW235" s="16"/>
      <c r="AWX235" s="16"/>
      <c r="AWY235" s="16"/>
      <c r="AWZ235" s="16"/>
      <c r="AXA235" s="15"/>
      <c r="AXB235" s="15"/>
      <c r="AXC235" s="10"/>
      <c r="AXD235" s="10"/>
      <c r="AXE235" s="19"/>
      <c r="AXF235" s="19"/>
      <c r="AXI235" s="16"/>
      <c r="AXJ235" s="15"/>
      <c r="AXK235" s="15"/>
      <c r="AXL235" s="15"/>
      <c r="AXM235" s="16"/>
      <c r="AXN235" s="16"/>
      <c r="AXO235" s="16"/>
      <c r="AXP235" s="16"/>
      <c r="AXQ235" s="16"/>
      <c r="AXR235" s="15"/>
      <c r="AXS235" s="15"/>
      <c r="AXT235" s="10"/>
      <c r="AXU235" s="10"/>
      <c r="AXV235" s="19"/>
      <c r="AXW235" s="19"/>
      <c r="AXZ235" s="16"/>
      <c r="AYA235" s="15"/>
      <c r="AYB235" s="15"/>
      <c r="AYC235" s="15"/>
      <c r="AYD235" s="16"/>
      <c r="AYE235" s="16"/>
      <c r="AYF235" s="16"/>
      <c r="AYG235" s="16"/>
      <c r="AYH235" s="16"/>
      <c r="AYI235" s="15"/>
      <c r="AYJ235" s="15"/>
      <c r="AYK235" s="10"/>
      <c r="AYL235" s="10"/>
      <c r="AYM235" s="19"/>
      <c r="AYN235" s="19"/>
      <c r="AYQ235" s="16"/>
      <c r="AYR235" s="15"/>
      <c r="AYS235" s="15"/>
      <c r="AYT235" s="15"/>
      <c r="AYU235" s="16"/>
      <c r="AYV235" s="16"/>
      <c r="AYW235" s="16"/>
      <c r="AYX235" s="16"/>
      <c r="AYY235" s="16"/>
      <c r="AYZ235" s="15"/>
      <c r="AZA235" s="15"/>
      <c r="AZB235" s="10"/>
      <c r="AZC235" s="10"/>
      <c r="AZD235" s="19"/>
      <c r="AZE235" s="19"/>
      <c r="AZH235" s="16"/>
      <c r="AZI235" s="15"/>
      <c r="AZJ235" s="15"/>
      <c r="AZK235" s="15"/>
      <c r="AZL235" s="16"/>
      <c r="AZM235" s="16"/>
      <c r="AZN235" s="16"/>
      <c r="AZO235" s="16"/>
      <c r="AZP235" s="16"/>
      <c r="AZQ235" s="15"/>
      <c r="AZR235" s="15"/>
      <c r="AZS235" s="10"/>
      <c r="AZT235" s="10"/>
      <c r="AZU235" s="19"/>
      <c r="AZV235" s="19"/>
      <c r="AZY235" s="16"/>
      <c r="AZZ235" s="15"/>
      <c r="BAA235" s="15"/>
      <c r="BAB235" s="15"/>
      <c r="BAC235" s="16"/>
      <c r="BAD235" s="16"/>
      <c r="BAE235" s="16"/>
      <c r="BAF235" s="16"/>
      <c r="BAG235" s="16"/>
      <c r="BAH235" s="15"/>
      <c r="BAI235" s="15"/>
      <c r="BAJ235" s="10"/>
      <c r="BAK235" s="10"/>
      <c r="BAL235" s="19"/>
      <c r="BAM235" s="19"/>
      <c r="BAP235" s="16"/>
      <c r="BAQ235" s="15"/>
      <c r="BAR235" s="15"/>
      <c r="BAS235" s="15"/>
      <c r="BAT235" s="16"/>
      <c r="BAU235" s="16"/>
      <c r="BAV235" s="16"/>
      <c r="BAW235" s="16"/>
      <c r="BAX235" s="16"/>
      <c r="BAY235" s="15"/>
      <c r="BAZ235" s="15"/>
      <c r="BBA235" s="10"/>
      <c r="BBB235" s="10"/>
      <c r="BBC235" s="19"/>
      <c r="BBD235" s="19"/>
      <c r="BBG235" s="16"/>
      <c r="BBH235" s="15"/>
      <c r="BBI235" s="15"/>
      <c r="BBJ235" s="15"/>
      <c r="BBK235" s="16"/>
      <c r="BBL235" s="16"/>
      <c r="BBM235" s="16"/>
      <c r="BBN235" s="16"/>
      <c r="BBO235" s="16"/>
      <c r="BBP235" s="15"/>
      <c r="BBQ235" s="15"/>
      <c r="BBR235" s="10"/>
      <c r="BBS235" s="10"/>
      <c r="BBT235" s="19"/>
      <c r="BBU235" s="19"/>
      <c r="BBX235" s="16"/>
      <c r="BBY235" s="15"/>
      <c r="BBZ235" s="15"/>
      <c r="BCA235" s="15"/>
      <c r="BCB235" s="16"/>
      <c r="BCC235" s="16"/>
      <c r="BCD235" s="16"/>
      <c r="BCE235" s="16"/>
      <c r="BCF235" s="16"/>
      <c r="BCG235" s="15"/>
      <c r="BCH235" s="15"/>
      <c r="BCI235" s="10"/>
      <c r="BCJ235" s="10"/>
      <c r="BCK235" s="19"/>
      <c r="BCL235" s="19"/>
      <c r="BCO235" s="16"/>
      <c r="BCP235" s="15"/>
      <c r="BCQ235" s="15"/>
      <c r="BCR235" s="15"/>
      <c r="BCS235" s="16"/>
      <c r="BCT235" s="16"/>
      <c r="BCU235" s="16"/>
      <c r="BCV235" s="16"/>
      <c r="BCW235" s="16"/>
      <c r="BCX235" s="15"/>
      <c r="BCY235" s="15"/>
      <c r="BCZ235" s="10"/>
      <c r="BDA235" s="10"/>
      <c r="BDB235" s="19"/>
      <c r="BDC235" s="19"/>
      <c r="BDF235" s="16"/>
      <c r="BDG235" s="15"/>
      <c r="BDH235" s="15"/>
      <c r="BDI235" s="15"/>
      <c r="BDJ235" s="16"/>
      <c r="BDK235" s="16"/>
      <c r="BDL235" s="16"/>
      <c r="BDM235" s="16"/>
      <c r="BDN235" s="16"/>
      <c r="BDO235" s="15"/>
      <c r="BDP235" s="15"/>
      <c r="BDQ235" s="10"/>
      <c r="BDR235" s="10"/>
      <c r="BDS235" s="19"/>
      <c r="BDT235" s="19"/>
      <c r="BDW235" s="16"/>
      <c r="BDX235" s="15"/>
      <c r="BDY235" s="15"/>
      <c r="BDZ235" s="15"/>
      <c r="BEA235" s="16"/>
      <c r="BEB235" s="16"/>
      <c r="BEC235" s="16"/>
      <c r="BED235" s="16"/>
      <c r="BEE235" s="16"/>
      <c r="BEF235" s="15"/>
      <c r="BEG235" s="15"/>
      <c r="BEH235" s="10"/>
      <c r="BEI235" s="10"/>
      <c r="BEJ235" s="19"/>
      <c r="BEK235" s="19"/>
      <c r="BEN235" s="16"/>
      <c r="BEO235" s="15"/>
      <c r="BEP235" s="15"/>
      <c r="BEQ235" s="15"/>
      <c r="BER235" s="16"/>
      <c r="BES235" s="16"/>
      <c r="BET235" s="16"/>
      <c r="BEU235" s="16"/>
      <c r="BEV235" s="16"/>
      <c r="BEW235" s="15"/>
      <c r="BEX235" s="15"/>
      <c r="BEY235" s="10"/>
      <c r="BEZ235" s="10"/>
      <c r="BFA235" s="19"/>
      <c r="BFB235" s="19"/>
      <c r="BFE235" s="16"/>
      <c r="BFF235" s="15"/>
      <c r="BFG235" s="15"/>
      <c r="BFH235" s="15"/>
      <c r="BFI235" s="16"/>
      <c r="BFJ235" s="16"/>
      <c r="BFK235" s="16"/>
      <c r="BFL235" s="16"/>
      <c r="BFM235" s="16"/>
      <c r="BFN235" s="15"/>
      <c r="BFO235" s="15"/>
      <c r="BFP235" s="10"/>
      <c r="BFQ235" s="10"/>
      <c r="BFR235" s="19"/>
      <c r="BFS235" s="19"/>
      <c r="BFV235" s="16"/>
      <c r="BFW235" s="15"/>
      <c r="BFX235" s="15"/>
      <c r="BFY235" s="15"/>
      <c r="BFZ235" s="16"/>
      <c r="BGA235" s="16"/>
      <c r="BGB235" s="16"/>
      <c r="BGC235" s="16"/>
      <c r="BGD235" s="16"/>
      <c r="BGE235" s="15"/>
      <c r="BGF235" s="15"/>
      <c r="BGG235" s="10"/>
      <c r="BGH235" s="10"/>
      <c r="BGI235" s="19"/>
      <c r="BGJ235" s="19"/>
      <c r="BGM235" s="16"/>
      <c r="BGN235" s="15"/>
      <c r="BGO235" s="15"/>
      <c r="BGP235" s="15"/>
      <c r="BGQ235" s="16"/>
      <c r="BGR235" s="16"/>
      <c r="BGS235" s="16"/>
      <c r="BGT235" s="16"/>
      <c r="BGU235" s="16"/>
      <c r="BGV235" s="15"/>
      <c r="BGW235" s="15"/>
      <c r="BGX235" s="10"/>
      <c r="BGY235" s="10"/>
      <c r="BGZ235" s="19"/>
      <c r="BHA235" s="19"/>
      <c r="BHD235" s="16"/>
      <c r="BHE235" s="15"/>
      <c r="BHF235" s="15"/>
      <c r="BHG235" s="15"/>
      <c r="BHH235" s="16"/>
      <c r="BHI235" s="16"/>
      <c r="BHJ235" s="16"/>
      <c r="BHK235" s="16"/>
      <c r="BHL235" s="16"/>
      <c r="BHM235" s="15"/>
      <c r="BHN235" s="15"/>
      <c r="BHO235" s="10"/>
      <c r="BHP235" s="10"/>
      <c r="BHQ235" s="19"/>
      <c r="BHR235" s="19"/>
      <c r="BHU235" s="16"/>
      <c r="BHV235" s="15"/>
      <c r="BHW235" s="15"/>
      <c r="BHX235" s="15"/>
      <c r="BHY235" s="16"/>
      <c r="BHZ235" s="16"/>
      <c r="BIA235" s="16"/>
      <c r="BIB235" s="16"/>
      <c r="BIC235" s="16"/>
      <c r="BID235" s="15"/>
      <c r="BIE235" s="15"/>
      <c r="BIF235" s="10"/>
      <c r="BIG235" s="10"/>
      <c r="BIH235" s="19"/>
      <c r="BII235" s="19"/>
      <c r="BIL235" s="16"/>
      <c r="BIM235" s="15"/>
      <c r="BIN235" s="15"/>
      <c r="BIO235" s="15"/>
      <c r="BIP235" s="16"/>
      <c r="BIQ235" s="16"/>
      <c r="BIR235" s="16"/>
      <c r="BIS235" s="16"/>
      <c r="BIT235" s="16"/>
      <c r="BIU235" s="15"/>
      <c r="BIV235" s="15"/>
      <c r="BIW235" s="10"/>
      <c r="BIX235" s="10"/>
      <c r="BIY235" s="19"/>
      <c r="BIZ235" s="19"/>
      <c r="BJC235" s="16"/>
      <c r="BJD235" s="15"/>
      <c r="BJE235" s="15"/>
      <c r="BJF235" s="15"/>
      <c r="BJG235" s="16"/>
      <c r="BJH235" s="16"/>
      <c r="BJI235" s="16"/>
      <c r="BJJ235" s="16"/>
      <c r="BJK235" s="16"/>
      <c r="BJL235" s="15"/>
      <c r="BJM235" s="15"/>
      <c r="BJN235" s="10"/>
      <c r="BJO235" s="10"/>
      <c r="BJP235" s="19"/>
      <c r="BJQ235" s="19"/>
      <c r="BJT235" s="16"/>
      <c r="BJU235" s="15"/>
      <c r="BJV235" s="15"/>
      <c r="BJW235" s="15"/>
      <c r="BJX235" s="16"/>
      <c r="BJY235" s="16"/>
      <c r="BJZ235" s="16"/>
      <c r="BKA235" s="16"/>
      <c r="BKB235" s="16"/>
      <c r="BKC235" s="15"/>
      <c r="BKD235" s="15"/>
      <c r="BKE235" s="10"/>
      <c r="BKF235" s="10"/>
      <c r="BKG235" s="19"/>
      <c r="BKH235" s="19"/>
      <c r="BKK235" s="16"/>
      <c r="BKL235" s="15"/>
      <c r="BKM235" s="15"/>
      <c r="BKN235" s="15"/>
      <c r="BKO235" s="16"/>
      <c r="BKP235" s="16"/>
      <c r="BKQ235" s="16"/>
      <c r="BKR235" s="16"/>
      <c r="BKS235" s="16"/>
      <c r="BKT235" s="15"/>
      <c r="BKU235" s="15"/>
      <c r="BKV235" s="10"/>
      <c r="BKW235" s="10"/>
      <c r="BKX235" s="19"/>
      <c r="BKY235" s="19"/>
      <c r="BLB235" s="16"/>
      <c r="BLC235" s="15"/>
      <c r="BLD235" s="15"/>
      <c r="BLE235" s="15"/>
      <c r="BLF235" s="16"/>
      <c r="BLG235" s="16"/>
      <c r="BLH235" s="16"/>
      <c r="BLI235" s="16"/>
      <c r="BLJ235" s="16"/>
      <c r="BLK235" s="15"/>
      <c r="BLL235" s="15"/>
      <c r="BLM235" s="10"/>
      <c r="BLN235" s="10"/>
      <c r="BLO235" s="19"/>
      <c r="BLP235" s="19"/>
      <c r="BLS235" s="16"/>
      <c r="BLT235" s="15"/>
      <c r="BLU235" s="15"/>
      <c r="BLV235" s="15"/>
      <c r="BLW235" s="16"/>
      <c r="BLX235" s="16"/>
      <c r="BLY235" s="16"/>
      <c r="BLZ235" s="16"/>
      <c r="BMA235" s="16"/>
      <c r="BMB235" s="15"/>
      <c r="BMC235" s="15"/>
      <c r="BMD235" s="10"/>
      <c r="BME235" s="10"/>
      <c r="BMF235" s="19"/>
      <c r="BMG235" s="19"/>
      <c r="BMJ235" s="16"/>
      <c r="BMK235" s="15"/>
      <c r="BML235" s="15"/>
      <c r="BMM235" s="15"/>
      <c r="BMN235" s="16"/>
      <c r="BMO235" s="16"/>
      <c r="BMP235" s="16"/>
      <c r="BMQ235" s="16"/>
      <c r="BMR235" s="16"/>
      <c r="BMS235" s="15"/>
      <c r="BMT235" s="15"/>
      <c r="BMU235" s="10"/>
      <c r="BMV235" s="10"/>
      <c r="BMW235" s="19"/>
      <c r="BMX235" s="19"/>
      <c r="BNA235" s="16"/>
      <c r="BNB235" s="15"/>
      <c r="BNC235" s="15"/>
      <c r="BND235" s="15"/>
      <c r="BNE235" s="16"/>
      <c r="BNF235" s="16"/>
      <c r="BNG235" s="16"/>
      <c r="BNH235" s="16"/>
      <c r="BNI235" s="16"/>
      <c r="BNJ235" s="15"/>
      <c r="BNK235" s="15"/>
      <c r="BNL235" s="10"/>
      <c r="BNM235" s="10"/>
      <c r="BNN235" s="19"/>
      <c r="BNO235" s="19"/>
      <c r="BNR235" s="16"/>
      <c r="BNS235" s="15"/>
      <c r="BNT235" s="15"/>
      <c r="BNU235" s="15"/>
      <c r="BNV235" s="16"/>
      <c r="BNW235" s="16"/>
      <c r="BNX235" s="16"/>
      <c r="BNY235" s="16"/>
      <c r="BNZ235" s="16"/>
      <c r="BOA235" s="15"/>
      <c r="BOB235" s="15"/>
      <c r="BOC235" s="10"/>
      <c r="BOD235" s="10"/>
      <c r="BOE235" s="19"/>
      <c r="BOF235" s="19"/>
      <c r="BOI235" s="16"/>
      <c r="BOJ235" s="15"/>
      <c r="BOK235" s="15"/>
      <c r="BOL235" s="15"/>
      <c r="BOM235" s="16"/>
      <c r="BON235" s="16"/>
      <c r="BOO235" s="16"/>
      <c r="BOP235" s="16"/>
      <c r="BOQ235" s="16"/>
      <c r="BOR235" s="15"/>
      <c r="BOS235" s="15"/>
      <c r="BOT235" s="10"/>
      <c r="BOU235" s="10"/>
      <c r="BOV235" s="19"/>
      <c r="BOW235" s="19"/>
      <c r="BOZ235" s="16"/>
      <c r="BPA235" s="15"/>
      <c r="BPB235" s="15"/>
      <c r="BPC235" s="15"/>
      <c r="BPD235" s="16"/>
      <c r="BPE235" s="16"/>
      <c r="BPF235" s="16"/>
      <c r="BPG235" s="16"/>
      <c r="BPH235" s="16"/>
      <c r="BPI235" s="15"/>
      <c r="BPJ235" s="15"/>
      <c r="BPK235" s="10"/>
      <c r="BPL235" s="10"/>
      <c r="BPM235" s="19"/>
      <c r="BPN235" s="19"/>
      <c r="BPQ235" s="16"/>
      <c r="BPR235" s="15"/>
      <c r="BPS235" s="15"/>
      <c r="BPT235" s="15"/>
      <c r="BPU235" s="16"/>
      <c r="BPV235" s="16"/>
      <c r="BPW235" s="16"/>
      <c r="BPX235" s="16"/>
      <c r="BPY235" s="16"/>
      <c r="BPZ235" s="15"/>
      <c r="BQA235" s="15"/>
      <c r="BQB235" s="10"/>
      <c r="BQC235" s="10"/>
      <c r="BQD235" s="19"/>
      <c r="BQE235" s="19"/>
      <c r="BQH235" s="16"/>
      <c r="BQI235" s="15"/>
      <c r="BQJ235" s="15"/>
      <c r="BQK235" s="15"/>
      <c r="BQL235" s="16"/>
      <c r="BQM235" s="16"/>
      <c r="BQN235" s="16"/>
      <c r="BQO235" s="16"/>
      <c r="BQP235" s="16"/>
      <c r="BQQ235" s="15"/>
      <c r="BQR235" s="15"/>
      <c r="BQS235" s="10"/>
      <c r="BQT235" s="10"/>
      <c r="BQU235" s="19"/>
      <c r="BQV235" s="19"/>
      <c r="BQY235" s="16"/>
      <c r="BQZ235" s="15"/>
      <c r="BRA235" s="15"/>
      <c r="BRB235" s="15"/>
      <c r="BRC235" s="16"/>
      <c r="BRD235" s="16"/>
      <c r="BRE235" s="16"/>
      <c r="BRF235" s="16"/>
      <c r="BRG235" s="16"/>
      <c r="BRH235" s="15"/>
      <c r="BRI235" s="15"/>
      <c r="BRJ235" s="10"/>
      <c r="BRK235" s="10"/>
      <c r="BRL235" s="19"/>
      <c r="BRM235" s="19"/>
      <c r="BRP235" s="16"/>
      <c r="BRQ235" s="15"/>
      <c r="BRR235" s="15"/>
      <c r="BRS235" s="15"/>
      <c r="BRT235" s="16"/>
      <c r="BRU235" s="16"/>
      <c r="BRV235" s="16"/>
      <c r="BRW235" s="16"/>
      <c r="BRX235" s="16"/>
      <c r="BRY235" s="15"/>
      <c r="BRZ235" s="15"/>
      <c r="BSA235" s="10"/>
      <c r="BSB235" s="10"/>
      <c r="BSC235" s="19"/>
      <c r="BSD235" s="19"/>
      <c r="BSG235" s="16"/>
      <c r="BSH235" s="15"/>
      <c r="BSI235" s="15"/>
      <c r="BSJ235" s="15"/>
      <c r="BSK235" s="16"/>
      <c r="BSL235" s="16"/>
      <c r="BSM235" s="16"/>
      <c r="BSN235" s="16"/>
      <c r="BSO235" s="16"/>
      <c r="BSP235" s="15"/>
      <c r="BSQ235" s="15"/>
      <c r="BSR235" s="10"/>
      <c r="BSS235" s="10"/>
      <c r="BST235" s="19"/>
      <c r="BSU235" s="19"/>
      <c r="BSX235" s="16"/>
      <c r="BSY235" s="15"/>
      <c r="BSZ235" s="15"/>
      <c r="BTA235" s="15"/>
      <c r="BTB235" s="16"/>
      <c r="BTC235" s="16"/>
      <c r="BTD235" s="16"/>
      <c r="BTE235" s="16"/>
      <c r="BTF235" s="16"/>
      <c r="BTG235" s="15"/>
      <c r="BTH235" s="15"/>
      <c r="BTI235" s="10"/>
      <c r="BTJ235" s="10"/>
      <c r="BTK235" s="19"/>
      <c r="BTL235" s="19"/>
      <c r="BTO235" s="16"/>
      <c r="BTP235" s="15"/>
      <c r="BTQ235" s="15"/>
      <c r="BTR235" s="15"/>
      <c r="BTS235" s="16"/>
      <c r="BTT235" s="16"/>
      <c r="BTU235" s="16"/>
      <c r="BTV235" s="16"/>
      <c r="BTW235" s="16"/>
      <c r="BTX235" s="15"/>
      <c r="BTY235" s="15"/>
      <c r="BTZ235" s="10"/>
      <c r="BUA235" s="10"/>
      <c r="BUB235" s="19"/>
      <c r="BUC235" s="19"/>
      <c r="BUF235" s="16"/>
      <c r="BUG235" s="15"/>
      <c r="BUH235" s="15"/>
      <c r="BUI235" s="15"/>
      <c r="BUJ235" s="16"/>
      <c r="BUK235" s="16"/>
      <c r="BUL235" s="16"/>
      <c r="BUM235" s="16"/>
      <c r="BUN235" s="16"/>
      <c r="BUO235" s="15"/>
      <c r="BUP235" s="15"/>
      <c r="BUQ235" s="10"/>
      <c r="BUR235" s="10"/>
      <c r="BUS235" s="19"/>
      <c r="BUT235" s="19"/>
      <c r="BUW235" s="16"/>
      <c r="BUX235" s="15"/>
      <c r="BUY235" s="15"/>
      <c r="BUZ235" s="15"/>
      <c r="BVA235" s="16"/>
      <c r="BVB235" s="16"/>
      <c r="BVC235" s="16"/>
      <c r="BVD235" s="16"/>
      <c r="BVE235" s="16"/>
      <c r="BVF235" s="15"/>
      <c r="BVG235" s="15"/>
      <c r="BVH235" s="10"/>
      <c r="BVI235" s="10"/>
      <c r="BVJ235" s="19"/>
      <c r="BVK235" s="19"/>
      <c r="BVN235" s="16"/>
      <c r="BVO235" s="15"/>
      <c r="BVP235" s="15"/>
      <c r="BVQ235" s="15"/>
      <c r="BVR235" s="16"/>
      <c r="BVS235" s="16"/>
      <c r="BVT235" s="16"/>
      <c r="BVU235" s="16"/>
      <c r="BVV235" s="16"/>
      <c r="BVW235" s="15"/>
      <c r="BVX235" s="15"/>
      <c r="BVY235" s="10"/>
      <c r="BVZ235" s="10"/>
      <c r="BWA235" s="19"/>
      <c r="BWB235" s="19"/>
      <c r="BWE235" s="16"/>
      <c r="BWF235" s="15"/>
      <c r="BWG235" s="15"/>
      <c r="BWH235" s="15"/>
      <c r="BWI235" s="16"/>
      <c r="BWJ235" s="16"/>
      <c r="BWK235" s="16"/>
      <c r="BWL235" s="16"/>
      <c r="BWM235" s="16"/>
      <c r="BWN235" s="15"/>
      <c r="BWO235" s="15"/>
      <c r="BWP235" s="10"/>
      <c r="BWQ235" s="10"/>
      <c r="BWR235" s="19"/>
      <c r="BWS235" s="19"/>
      <c r="BWV235" s="16"/>
      <c r="BWW235" s="15"/>
      <c r="BWX235" s="15"/>
      <c r="BWY235" s="15"/>
      <c r="BWZ235" s="16"/>
      <c r="BXA235" s="16"/>
      <c r="BXB235" s="16"/>
      <c r="BXC235" s="16"/>
      <c r="BXD235" s="16"/>
      <c r="BXE235" s="15"/>
      <c r="BXF235" s="15"/>
      <c r="BXG235" s="10"/>
      <c r="BXH235" s="10"/>
      <c r="BXI235" s="19"/>
      <c r="BXJ235" s="19"/>
      <c r="BXM235" s="16"/>
      <c r="BXN235" s="15"/>
      <c r="BXO235" s="15"/>
      <c r="BXP235" s="15"/>
      <c r="BXQ235" s="16"/>
      <c r="BXR235" s="16"/>
      <c r="BXS235" s="16"/>
      <c r="BXT235" s="16"/>
      <c r="BXU235" s="16"/>
      <c r="BXV235" s="15"/>
      <c r="BXW235" s="15"/>
      <c r="BXX235" s="10"/>
      <c r="BXY235" s="10"/>
      <c r="BXZ235" s="19"/>
      <c r="BYA235" s="19"/>
      <c r="BYD235" s="16"/>
      <c r="BYE235" s="15"/>
      <c r="BYF235" s="15"/>
      <c r="BYG235" s="15"/>
      <c r="BYH235" s="16"/>
      <c r="BYI235" s="16"/>
      <c r="BYJ235" s="16"/>
      <c r="BYK235" s="16"/>
      <c r="BYL235" s="16"/>
      <c r="BYM235" s="15"/>
      <c r="BYN235" s="15"/>
      <c r="BYO235" s="10"/>
      <c r="BYP235" s="10"/>
      <c r="BYQ235" s="19"/>
      <c r="BYR235" s="19"/>
      <c r="BYU235" s="16"/>
      <c r="BYV235" s="15"/>
      <c r="BYW235" s="15"/>
      <c r="BYX235" s="15"/>
      <c r="BYY235" s="16"/>
      <c r="BYZ235" s="16"/>
      <c r="BZA235" s="16"/>
      <c r="BZB235" s="16"/>
      <c r="BZC235" s="16"/>
      <c r="BZD235" s="15"/>
      <c r="BZE235" s="15"/>
      <c r="BZF235" s="10"/>
      <c r="BZG235" s="10"/>
      <c r="BZH235" s="19"/>
      <c r="BZI235" s="19"/>
      <c r="BZL235" s="16"/>
      <c r="BZM235" s="15"/>
      <c r="BZN235" s="15"/>
      <c r="BZO235" s="15"/>
      <c r="BZP235" s="16"/>
      <c r="BZQ235" s="16"/>
      <c r="BZR235" s="16"/>
      <c r="BZS235" s="16"/>
      <c r="BZT235" s="16"/>
      <c r="BZU235" s="15"/>
      <c r="BZV235" s="15"/>
      <c r="BZW235" s="10"/>
      <c r="BZX235" s="10"/>
      <c r="BZY235" s="19"/>
      <c r="BZZ235" s="19"/>
      <c r="CAC235" s="16"/>
      <c r="CAD235" s="15"/>
      <c r="CAE235" s="15"/>
      <c r="CAF235" s="15"/>
      <c r="CAG235" s="16"/>
      <c r="CAH235" s="16"/>
      <c r="CAI235" s="16"/>
      <c r="CAJ235" s="16"/>
      <c r="CAK235" s="16"/>
      <c r="CAL235" s="15"/>
      <c r="CAM235" s="15"/>
      <c r="CAN235" s="10"/>
      <c r="CAO235" s="10"/>
      <c r="CAP235" s="19"/>
      <c r="CAQ235" s="19"/>
      <c r="CAT235" s="16"/>
      <c r="CAU235" s="15"/>
      <c r="CAV235" s="15"/>
      <c r="CAW235" s="15"/>
      <c r="CAX235" s="16"/>
      <c r="CAY235" s="16"/>
      <c r="CAZ235" s="16"/>
      <c r="CBA235" s="16"/>
      <c r="CBB235" s="16"/>
      <c r="CBC235" s="15"/>
      <c r="CBD235" s="15"/>
      <c r="CBE235" s="10"/>
      <c r="CBF235" s="10"/>
      <c r="CBG235" s="19"/>
      <c r="CBH235" s="19"/>
      <c r="CBK235" s="16"/>
      <c r="CBL235" s="15"/>
      <c r="CBM235" s="15"/>
      <c r="CBN235" s="15"/>
      <c r="CBO235" s="16"/>
      <c r="CBP235" s="16"/>
      <c r="CBQ235" s="16"/>
      <c r="CBR235" s="16"/>
      <c r="CBS235" s="16"/>
      <c r="CBT235" s="15"/>
      <c r="CBU235" s="15"/>
      <c r="CBV235" s="10"/>
      <c r="CBW235" s="10"/>
      <c r="CBX235" s="19"/>
      <c r="CBY235" s="19"/>
      <c r="CCB235" s="16"/>
      <c r="CCC235" s="15"/>
      <c r="CCD235" s="15"/>
      <c r="CCE235" s="15"/>
      <c r="CCF235" s="16"/>
      <c r="CCG235" s="16"/>
      <c r="CCH235" s="16"/>
      <c r="CCI235" s="16"/>
      <c r="CCJ235" s="16"/>
      <c r="CCK235" s="15"/>
      <c r="CCL235" s="15"/>
      <c r="CCM235" s="10"/>
      <c r="CCN235" s="10"/>
      <c r="CCO235" s="19"/>
      <c r="CCP235" s="19"/>
      <c r="CCS235" s="16"/>
      <c r="CCT235" s="15"/>
      <c r="CCU235" s="15"/>
      <c r="CCV235" s="15"/>
      <c r="CCW235" s="16"/>
      <c r="CCX235" s="16"/>
      <c r="CCY235" s="16"/>
      <c r="CCZ235" s="16"/>
      <c r="CDA235" s="16"/>
      <c r="CDB235" s="15"/>
      <c r="CDC235" s="15"/>
      <c r="CDD235" s="10"/>
      <c r="CDE235" s="10"/>
      <c r="CDF235" s="19"/>
      <c r="CDG235" s="19"/>
      <c r="CDJ235" s="16"/>
      <c r="CDK235" s="15"/>
      <c r="CDL235" s="15"/>
      <c r="CDM235" s="15"/>
      <c r="CDN235" s="16"/>
      <c r="CDO235" s="16"/>
      <c r="CDP235" s="16"/>
      <c r="CDQ235" s="16"/>
      <c r="CDR235" s="16"/>
      <c r="CDS235" s="15"/>
      <c r="CDT235" s="15"/>
      <c r="CDU235" s="10"/>
      <c r="CDV235" s="10"/>
      <c r="CDW235" s="19"/>
      <c r="CDX235" s="19"/>
      <c r="CEA235" s="16"/>
      <c r="CEB235" s="15"/>
      <c r="CEC235" s="15"/>
      <c r="CED235" s="15"/>
      <c r="CEE235" s="16"/>
      <c r="CEF235" s="16"/>
      <c r="CEG235" s="16"/>
      <c r="CEH235" s="16"/>
      <c r="CEI235" s="16"/>
      <c r="CEJ235" s="15"/>
      <c r="CEK235" s="15"/>
      <c r="CEL235" s="10"/>
      <c r="CEM235" s="10"/>
      <c r="CEN235" s="19"/>
      <c r="CEO235" s="19"/>
      <c r="CER235" s="16"/>
      <c r="CES235" s="15"/>
      <c r="CET235" s="15"/>
      <c r="CEU235" s="15"/>
      <c r="CEV235" s="16"/>
      <c r="CEW235" s="16"/>
      <c r="CEX235" s="16"/>
      <c r="CEY235" s="16"/>
      <c r="CEZ235" s="16"/>
      <c r="CFA235" s="15"/>
      <c r="CFB235" s="15"/>
      <c r="CFC235" s="10"/>
      <c r="CFD235" s="10"/>
      <c r="CFE235" s="19"/>
      <c r="CFF235" s="19"/>
      <c r="CFI235" s="16"/>
      <c r="CFJ235" s="15"/>
      <c r="CFK235" s="15"/>
      <c r="CFL235" s="15"/>
      <c r="CFM235" s="16"/>
      <c r="CFN235" s="16"/>
      <c r="CFO235" s="16"/>
      <c r="CFP235" s="16"/>
      <c r="CFQ235" s="16"/>
      <c r="CFR235" s="15"/>
      <c r="CFS235" s="15"/>
      <c r="CFT235" s="10"/>
      <c r="CFU235" s="10"/>
      <c r="CFV235" s="19"/>
      <c r="CFW235" s="19"/>
      <c r="CFZ235" s="16"/>
      <c r="CGA235" s="15"/>
      <c r="CGB235" s="15"/>
      <c r="CGC235" s="15"/>
      <c r="CGD235" s="16"/>
      <c r="CGE235" s="16"/>
      <c r="CGF235" s="16"/>
      <c r="CGG235" s="16"/>
      <c r="CGH235" s="16"/>
      <c r="CGI235" s="15"/>
      <c r="CGJ235" s="15"/>
      <c r="CGK235" s="10"/>
      <c r="CGL235" s="10"/>
      <c r="CGM235" s="19"/>
      <c r="CGN235" s="19"/>
      <c r="CGQ235" s="16"/>
      <c r="CGR235" s="15"/>
      <c r="CGS235" s="15"/>
      <c r="CGT235" s="15"/>
      <c r="CGU235" s="16"/>
      <c r="CGV235" s="16"/>
      <c r="CGW235" s="16"/>
      <c r="CGX235" s="16"/>
      <c r="CGY235" s="16"/>
      <c r="CGZ235" s="15"/>
      <c r="CHA235" s="15"/>
      <c r="CHB235" s="10"/>
      <c r="CHC235" s="10"/>
      <c r="CHD235" s="19"/>
      <c r="CHE235" s="19"/>
      <c r="CHH235" s="16"/>
      <c r="CHI235" s="15"/>
      <c r="CHJ235" s="15"/>
      <c r="CHK235" s="15"/>
      <c r="CHL235" s="16"/>
      <c r="CHM235" s="16"/>
      <c r="CHN235" s="16"/>
      <c r="CHO235" s="16"/>
      <c r="CHP235" s="16"/>
      <c r="CHQ235" s="15"/>
      <c r="CHR235" s="15"/>
      <c r="CHS235" s="10"/>
      <c r="CHT235" s="10"/>
      <c r="CHU235" s="19"/>
      <c r="CHV235" s="19"/>
      <c r="CHY235" s="16"/>
      <c r="CHZ235" s="15"/>
      <c r="CIA235" s="15"/>
      <c r="CIB235" s="15"/>
      <c r="CIC235" s="16"/>
      <c r="CID235" s="16"/>
      <c r="CIE235" s="16"/>
      <c r="CIF235" s="16"/>
      <c r="CIG235" s="16"/>
      <c r="CIH235" s="15"/>
      <c r="CII235" s="15"/>
      <c r="CIJ235" s="10"/>
      <c r="CIK235" s="10"/>
      <c r="CIL235" s="19"/>
      <c r="CIM235" s="19"/>
      <c r="CIP235" s="16"/>
      <c r="CIQ235" s="15"/>
      <c r="CIR235" s="15"/>
      <c r="CIS235" s="15"/>
      <c r="CIT235" s="16"/>
      <c r="CIU235" s="16"/>
      <c r="CIV235" s="16"/>
      <c r="CIW235" s="16"/>
      <c r="CIX235" s="16"/>
      <c r="CIY235" s="15"/>
      <c r="CIZ235" s="15"/>
      <c r="CJA235" s="10"/>
      <c r="CJB235" s="10"/>
      <c r="CJC235" s="19"/>
      <c r="CJD235" s="19"/>
      <c r="CJG235" s="16"/>
      <c r="CJH235" s="15"/>
      <c r="CJI235" s="15"/>
      <c r="CJJ235" s="15"/>
      <c r="CJK235" s="16"/>
      <c r="CJL235" s="16"/>
      <c r="CJM235" s="16"/>
      <c r="CJN235" s="16"/>
      <c r="CJO235" s="16"/>
      <c r="CJP235" s="15"/>
      <c r="CJQ235" s="15"/>
      <c r="CJR235" s="10"/>
      <c r="CJS235" s="10"/>
      <c r="CJT235" s="19"/>
      <c r="CJU235" s="19"/>
      <c r="CJX235" s="16"/>
      <c r="CJY235" s="15"/>
      <c r="CJZ235" s="15"/>
      <c r="CKA235" s="15"/>
      <c r="CKB235" s="16"/>
      <c r="CKC235" s="16"/>
      <c r="CKD235" s="16"/>
      <c r="CKE235" s="16"/>
      <c r="CKF235" s="16"/>
      <c r="CKG235" s="15"/>
      <c r="CKH235" s="15"/>
      <c r="CKI235" s="10"/>
      <c r="CKJ235" s="10"/>
      <c r="CKK235" s="19"/>
      <c r="CKL235" s="19"/>
      <c r="CKO235" s="16"/>
      <c r="CKP235" s="15"/>
      <c r="CKQ235" s="15"/>
      <c r="CKR235" s="15"/>
      <c r="CKS235" s="16"/>
      <c r="CKT235" s="16"/>
      <c r="CKU235" s="16"/>
      <c r="CKV235" s="16"/>
      <c r="CKW235" s="16"/>
      <c r="CKX235" s="15"/>
      <c r="CKY235" s="15"/>
      <c r="CKZ235" s="10"/>
      <c r="CLA235" s="10"/>
      <c r="CLB235" s="19"/>
      <c r="CLC235" s="19"/>
      <c r="CLF235" s="16"/>
      <c r="CLG235" s="15"/>
      <c r="CLH235" s="15"/>
      <c r="CLI235" s="15"/>
      <c r="CLJ235" s="16"/>
      <c r="CLK235" s="16"/>
      <c r="CLL235" s="16"/>
      <c r="CLM235" s="16"/>
      <c r="CLN235" s="16"/>
      <c r="CLO235" s="15"/>
      <c r="CLP235" s="15"/>
      <c r="CLQ235" s="10"/>
      <c r="CLR235" s="10"/>
      <c r="CLS235" s="19"/>
      <c r="CLT235" s="19"/>
      <c r="CLW235" s="16"/>
      <c r="CLX235" s="15"/>
      <c r="CLY235" s="15"/>
      <c r="CLZ235" s="15"/>
      <c r="CMA235" s="16"/>
      <c r="CMB235" s="16"/>
      <c r="CMC235" s="16"/>
      <c r="CMD235" s="16"/>
      <c r="CME235" s="16"/>
      <c r="CMF235" s="15"/>
      <c r="CMG235" s="15"/>
      <c r="CMH235" s="10"/>
      <c r="CMI235" s="10"/>
      <c r="CMJ235" s="19"/>
      <c r="CMK235" s="19"/>
      <c r="CMN235" s="16"/>
      <c r="CMO235" s="15"/>
      <c r="CMP235" s="15"/>
      <c r="CMQ235" s="15"/>
      <c r="CMR235" s="16"/>
      <c r="CMS235" s="16"/>
      <c r="CMT235" s="16"/>
      <c r="CMU235" s="16"/>
      <c r="CMV235" s="16"/>
      <c r="CMW235" s="15"/>
      <c r="CMX235" s="15"/>
      <c r="CMY235" s="10"/>
      <c r="CMZ235" s="10"/>
      <c r="CNA235" s="19"/>
      <c r="CNB235" s="19"/>
      <c r="CNE235" s="16"/>
      <c r="CNF235" s="15"/>
      <c r="CNG235" s="15"/>
      <c r="CNH235" s="15"/>
      <c r="CNI235" s="16"/>
      <c r="CNJ235" s="16"/>
      <c r="CNK235" s="16"/>
      <c r="CNL235" s="16"/>
      <c r="CNM235" s="16"/>
      <c r="CNN235" s="15"/>
      <c r="CNO235" s="15"/>
      <c r="CNP235" s="10"/>
      <c r="CNQ235" s="10"/>
      <c r="CNR235" s="19"/>
      <c r="CNS235" s="19"/>
      <c r="CNV235" s="16"/>
      <c r="CNW235" s="15"/>
      <c r="CNX235" s="15"/>
      <c r="CNY235" s="15"/>
      <c r="CNZ235" s="16"/>
      <c r="COA235" s="16"/>
      <c r="COB235" s="16"/>
      <c r="COC235" s="16"/>
      <c r="COD235" s="16"/>
      <c r="COE235" s="15"/>
      <c r="COF235" s="15"/>
      <c r="COG235" s="10"/>
      <c r="COH235" s="10"/>
      <c r="COI235" s="19"/>
      <c r="COJ235" s="19"/>
      <c r="COM235" s="16"/>
      <c r="CON235" s="15"/>
      <c r="COO235" s="15"/>
      <c r="COP235" s="15"/>
      <c r="COQ235" s="16"/>
      <c r="COR235" s="16"/>
      <c r="COS235" s="16"/>
      <c r="COT235" s="16"/>
      <c r="COU235" s="16"/>
      <c r="COV235" s="15"/>
      <c r="COW235" s="15"/>
      <c r="COX235" s="10"/>
      <c r="COY235" s="10"/>
      <c r="COZ235" s="19"/>
      <c r="CPA235" s="19"/>
      <c r="CPD235" s="16"/>
      <c r="CPE235" s="15"/>
      <c r="CPF235" s="15"/>
      <c r="CPG235" s="15"/>
      <c r="CPH235" s="16"/>
      <c r="CPI235" s="16"/>
      <c r="CPJ235" s="16"/>
      <c r="CPK235" s="16"/>
      <c r="CPL235" s="16"/>
      <c r="CPM235" s="15"/>
      <c r="CPN235" s="15"/>
      <c r="CPO235" s="10"/>
      <c r="CPP235" s="10"/>
      <c r="CPQ235" s="19"/>
      <c r="CPR235" s="19"/>
      <c r="CPU235" s="16"/>
      <c r="CPV235" s="15"/>
      <c r="CPW235" s="15"/>
      <c r="CPX235" s="15"/>
      <c r="CPY235" s="16"/>
      <c r="CPZ235" s="16"/>
      <c r="CQA235" s="16"/>
      <c r="CQB235" s="16"/>
      <c r="CQC235" s="16"/>
      <c r="CQD235" s="15"/>
      <c r="CQE235" s="15"/>
      <c r="CQF235" s="10"/>
      <c r="CQG235" s="10"/>
      <c r="CQH235" s="19"/>
      <c r="CQI235" s="19"/>
      <c r="CQL235" s="16"/>
      <c r="CQM235" s="15"/>
      <c r="CQN235" s="15"/>
      <c r="CQO235" s="15"/>
      <c r="CQP235" s="16"/>
      <c r="CQQ235" s="16"/>
      <c r="CQR235" s="16"/>
      <c r="CQS235" s="16"/>
      <c r="CQT235" s="16"/>
      <c r="CQU235" s="15"/>
      <c r="CQV235" s="15"/>
      <c r="CQW235" s="10"/>
      <c r="CQX235" s="10"/>
      <c r="CQY235" s="19"/>
      <c r="CQZ235" s="19"/>
      <c r="CRC235" s="16"/>
      <c r="CRD235" s="15"/>
      <c r="CRE235" s="15"/>
      <c r="CRF235" s="15"/>
      <c r="CRG235" s="16"/>
      <c r="CRH235" s="16"/>
      <c r="CRI235" s="16"/>
      <c r="CRJ235" s="16"/>
      <c r="CRK235" s="16"/>
      <c r="CRL235" s="15"/>
      <c r="CRM235" s="15"/>
      <c r="CRN235" s="10"/>
      <c r="CRO235" s="10"/>
      <c r="CRP235" s="19"/>
      <c r="CRQ235" s="19"/>
      <c r="CRT235" s="16"/>
      <c r="CRU235" s="15"/>
      <c r="CRV235" s="15"/>
      <c r="CRW235" s="15"/>
      <c r="CRX235" s="16"/>
      <c r="CRY235" s="16"/>
      <c r="CRZ235" s="16"/>
      <c r="CSA235" s="16"/>
      <c r="CSB235" s="16"/>
      <c r="CSC235" s="15"/>
      <c r="CSD235" s="15"/>
      <c r="CSE235" s="10"/>
      <c r="CSF235" s="10"/>
      <c r="CSG235" s="19"/>
      <c r="CSH235" s="19"/>
      <c r="CSK235" s="16"/>
      <c r="CSL235" s="15"/>
      <c r="CSM235" s="15"/>
      <c r="CSN235" s="15"/>
      <c r="CSO235" s="16"/>
      <c r="CSP235" s="16"/>
      <c r="CSQ235" s="16"/>
      <c r="CSR235" s="16"/>
      <c r="CSS235" s="16"/>
      <c r="CST235" s="15"/>
      <c r="CSU235" s="15"/>
      <c r="CSV235" s="10"/>
      <c r="CSW235" s="10"/>
      <c r="CSX235" s="19"/>
      <c r="CSY235" s="19"/>
      <c r="CTB235" s="16"/>
      <c r="CTC235" s="15"/>
      <c r="CTD235" s="15"/>
      <c r="CTE235" s="15"/>
      <c r="CTF235" s="16"/>
      <c r="CTG235" s="16"/>
      <c r="CTH235" s="16"/>
      <c r="CTI235" s="16"/>
      <c r="CTJ235" s="16"/>
      <c r="CTK235" s="15"/>
      <c r="CTL235" s="15"/>
      <c r="CTM235" s="10"/>
      <c r="CTN235" s="10"/>
      <c r="CTO235" s="19"/>
      <c r="CTP235" s="19"/>
      <c r="CTS235" s="16"/>
      <c r="CTT235" s="15"/>
      <c r="CTU235" s="15"/>
      <c r="CTV235" s="15"/>
      <c r="CTW235" s="16"/>
      <c r="CTX235" s="16"/>
      <c r="CTY235" s="16"/>
      <c r="CTZ235" s="16"/>
      <c r="CUA235" s="16"/>
      <c r="CUB235" s="15"/>
      <c r="CUC235" s="15"/>
      <c r="CUD235" s="10"/>
      <c r="CUE235" s="10"/>
      <c r="CUF235" s="19"/>
      <c r="CUG235" s="19"/>
      <c r="CUJ235" s="16"/>
      <c r="CUK235" s="15"/>
      <c r="CUL235" s="15"/>
      <c r="CUM235" s="15"/>
      <c r="CUN235" s="16"/>
      <c r="CUO235" s="16"/>
      <c r="CUP235" s="16"/>
      <c r="CUQ235" s="16"/>
      <c r="CUR235" s="16"/>
      <c r="CUS235" s="15"/>
      <c r="CUT235" s="15"/>
      <c r="CUU235" s="10"/>
      <c r="CUV235" s="10"/>
      <c r="CUW235" s="19"/>
      <c r="CUX235" s="19"/>
      <c r="CVA235" s="16"/>
      <c r="CVB235" s="15"/>
      <c r="CVC235" s="15"/>
      <c r="CVD235" s="15"/>
      <c r="CVE235" s="16"/>
      <c r="CVF235" s="16"/>
      <c r="CVG235" s="16"/>
      <c r="CVH235" s="16"/>
      <c r="CVI235" s="16"/>
      <c r="CVJ235" s="15"/>
      <c r="CVK235" s="15"/>
      <c r="CVL235" s="10"/>
      <c r="CVM235" s="10"/>
      <c r="CVN235" s="19"/>
      <c r="CVO235" s="19"/>
      <c r="CVR235" s="16"/>
      <c r="CVS235" s="15"/>
      <c r="CVT235" s="15"/>
      <c r="CVU235" s="15"/>
      <c r="CVV235" s="16"/>
      <c r="CVW235" s="16"/>
      <c r="CVX235" s="16"/>
      <c r="CVY235" s="16"/>
      <c r="CVZ235" s="16"/>
      <c r="CWA235" s="15"/>
      <c r="CWB235" s="15"/>
      <c r="CWC235" s="10"/>
      <c r="CWD235" s="10"/>
      <c r="CWE235" s="19"/>
      <c r="CWF235" s="19"/>
      <c r="CWI235" s="16"/>
      <c r="CWJ235" s="15"/>
      <c r="CWK235" s="15"/>
      <c r="CWL235" s="15"/>
      <c r="CWM235" s="16"/>
      <c r="CWN235" s="16"/>
      <c r="CWO235" s="16"/>
      <c r="CWP235" s="16"/>
      <c r="CWQ235" s="16"/>
      <c r="CWR235" s="15"/>
      <c r="CWS235" s="15"/>
      <c r="CWT235" s="10"/>
      <c r="CWU235" s="10"/>
      <c r="CWV235" s="19"/>
      <c r="CWW235" s="19"/>
      <c r="CWZ235" s="16"/>
      <c r="CXA235" s="15"/>
      <c r="CXB235" s="15"/>
      <c r="CXC235" s="15"/>
      <c r="CXD235" s="16"/>
      <c r="CXE235" s="16"/>
      <c r="CXF235" s="16"/>
      <c r="CXG235" s="16"/>
      <c r="CXH235" s="16"/>
      <c r="CXI235" s="15"/>
      <c r="CXJ235" s="15"/>
      <c r="CXK235" s="10"/>
      <c r="CXL235" s="10"/>
      <c r="CXM235" s="19"/>
      <c r="CXN235" s="19"/>
      <c r="CXQ235" s="16"/>
      <c r="CXR235" s="15"/>
      <c r="CXS235" s="15"/>
      <c r="CXT235" s="15"/>
      <c r="CXU235" s="16"/>
      <c r="CXV235" s="16"/>
      <c r="CXW235" s="16"/>
      <c r="CXX235" s="16"/>
      <c r="CXY235" s="16"/>
      <c r="CXZ235" s="15"/>
      <c r="CYA235" s="15"/>
      <c r="CYB235" s="10"/>
      <c r="CYC235" s="10"/>
      <c r="CYD235" s="19"/>
      <c r="CYE235" s="19"/>
      <c r="CYH235" s="16"/>
      <c r="CYI235" s="15"/>
      <c r="CYJ235" s="15"/>
      <c r="CYK235" s="15"/>
      <c r="CYL235" s="16"/>
      <c r="CYM235" s="16"/>
      <c r="CYN235" s="16"/>
      <c r="CYO235" s="16"/>
      <c r="CYP235" s="16"/>
      <c r="CYQ235" s="15"/>
      <c r="CYR235" s="15"/>
      <c r="CYS235" s="10"/>
      <c r="CYT235" s="10"/>
      <c r="CYU235" s="19"/>
      <c r="CYV235" s="19"/>
      <c r="CYY235" s="16"/>
      <c r="CYZ235" s="15"/>
      <c r="CZA235" s="15"/>
      <c r="CZB235" s="15"/>
      <c r="CZC235" s="16"/>
      <c r="CZD235" s="16"/>
      <c r="CZE235" s="16"/>
      <c r="CZF235" s="16"/>
      <c r="CZG235" s="16"/>
      <c r="CZH235" s="15"/>
      <c r="CZI235" s="15"/>
      <c r="CZJ235" s="10"/>
      <c r="CZK235" s="10"/>
      <c r="CZL235" s="19"/>
      <c r="CZM235" s="19"/>
      <c r="CZP235" s="16"/>
      <c r="CZQ235" s="15"/>
      <c r="CZR235" s="15"/>
      <c r="CZS235" s="15"/>
      <c r="CZT235" s="16"/>
      <c r="CZU235" s="16"/>
      <c r="CZV235" s="16"/>
      <c r="CZW235" s="16"/>
      <c r="CZX235" s="16"/>
      <c r="CZY235" s="15"/>
      <c r="CZZ235" s="15"/>
      <c r="DAA235" s="10"/>
      <c r="DAB235" s="10"/>
      <c r="DAC235" s="19"/>
      <c r="DAD235" s="19"/>
      <c r="DAG235" s="16"/>
      <c r="DAH235" s="15"/>
      <c r="DAI235" s="15"/>
      <c r="DAJ235" s="15"/>
      <c r="DAK235" s="16"/>
      <c r="DAL235" s="16"/>
      <c r="DAM235" s="16"/>
      <c r="DAN235" s="16"/>
      <c r="DAO235" s="16"/>
      <c r="DAP235" s="15"/>
      <c r="DAQ235" s="15"/>
      <c r="DAR235" s="10"/>
      <c r="DAS235" s="10"/>
      <c r="DAT235" s="19"/>
      <c r="DAU235" s="19"/>
      <c r="DAX235" s="16"/>
      <c r="DAY235" s="15"/>
      <c r="DAZ235" s="15"/>
      <c r="DBA235" s="15"/>
      <c r="DBB235" s="16"/>
      <c r="DBC235" s="16"/>
      <c r="DBD235" s="16"/>
      <c r="DBE235" s="16"/>
      <c r="DBF235" s="16"/>
      <c r="DBG235" s="15"/>
      <c r="DBH235" s="15"/>
      <c r="DBI235" s="10"/>
      <c r="DBJ235" s="10"/>
      <c r="DBK235" s="19"/>
      <c r="DBL235" s="19"/>
      <c r="DBO235" s="16"/>
      <c r="DBP235" s="15"/>
      <c r="DBQ235" s="15"/>
      <c r="DBR235" s="15"/>
      <c r="DBS235" s="16"/>
      <c r="DBT235" s="16"/>
      <c r="DBU235" s="16"/>
      <c r="DBV235" s="16"/>
      <c r="DBW235" s="16"/>
      <c r="DBX235" s="15"/>
      <c r="DBY235" s="15"/>
      <c r="DBZ235" s="10"/>
      <c r="DCA235" s="10"/>
      <c r="DCB235" s="19"/>
      <c r="DCC235" s="19"/>
      <c r="DCF235" s="16"/>
      <c r="DCG235" s="15"/>
      <c r="DCH235" s="15"/>
      <c r="DCI235" s="15"/>
      <c r="DCJ235" s="16"/>
      <c r="DCK235" s="16"/>
      <c r="DCL235" s="16"/>
      <c r="DCM235" s="16"/>
      <c r="DCN235" s="16"/>
      <c r="DCO235" s="15"/>
      <c r="DCP235" s="15"/>
      <c r="DCQ235" s="10"/>
      <c r="DCR235" s="10"/>
      <c r="DCS235" s="19"/>
      <c r="DCT235" s="19"/>
      <c r="DCW235" s="16"/>
      <c r="DCX235" s="15"/>
      <c r="DCY235" s="15"/>
      <c r="DCZ235" s="15"/>
      <c r="DDA235" s="16"/>
      <c r="DDB235" s="16"/>
      <c r="DDC235" s="16"/>
      <c r="DDD235" s="16"/>
      <c r="DDE235" s="16"/>
      <c r="DDF235" s="15"/>
      <c r="DDG235" s="15"/>
      <c r="DDH235" s="10"/>
      <c r="DDI235" s="10"/>
      <c r="DDJ235" s="19"/>
      <c r="DDK235" s="19"/>
      <c r="DDN235" s="16"/>
      <c r="DDO235" s="15"/>
      <c r="DDP235" s="15"/>
      <c r="DDQ235" s="15"/>
      <c r="DDR235" s="16"/>
      <c r="DDS235" s="16"/>
      <c r="DDT235" s="16"/>
      <c r="DDU235" s="16"/>
      <c r="DDV235" s="16"/>
      <c r="DDW235" s="15"/>
      <c r="DDX235" s="15"/>
      <c r="DDY235" s="10"/>
      <c r="DDZ235" s="10"/>
      <c r="DEA235" s="19"/>
      <c r="DEB235" s="19"/>
      <c r="DEE235" s="16"/>
      <c r="DEF235" s="15"/>
      <c r="DEG235" s="15"/>
      <c r="DEH235" s="15"/>
      <c r="DEI235" s="16"/>
      <c r="DEJ235" s="16"/>
      <c r="DEK235" s="16"/>
      <c r="DEL235" s="16"/>
      <c r="DEM235" s="16"/>
      <c r="DEN235" s="15"/>
      <c r="DEO235" s="15"/>
      <c r="DEP235" s="10"/>
      <c r="DEQ235" s="10"/>
      <c r="DER235" s="19"/>
      <c r="DES235" s="19"/>
      <c r="DEV235" s="16"/>
      <c r="DEW235" s="15"/>
      <c r="DEX235" s="15"/>
      <c r="DEY235" s="15"/>
      <c r="DEZ235" s="16"/>
      <c r="DFA235" s="16"/>
      <c r="DFB235" s="16"/>
      <c r="DFC235" s="16"/>
      <c r="DFD235" s="16"/>
      <c r="DFE235" s="15"/>
      <c r="DFF235" s="15"/>
      <c r="DFG235" s="10"/>
      <c r="DFH235" s="10"/>
      <c r="DFI235" s="19"/>
      <c r="DFJ235" s="19"/>
      <c r="DFM235" s="16"/>
      <c r="DFN235" s="15"/>
      <c r="DFO235" s="15"/>
      <c r="DFP235" s="15"/>
      <c r="DFQ235" s="16"/>
      <c r="DFR235" s="16"/>
      <c r="DFS235" s="16"/>
      <c r="DFT235" s="16"/>
      <c r="DFU235" s="16"/>
      <c r="DFV235" s="15"/>
      <c r="DFW235" s="15"/>
      <c r="DFX235" s="10"/>
      <c r="DFY235" s="10"/>
      <c r="DFZ235" s="19"/>
      <c r="DGA235" s="19"/>
      <c r="DGD235" s="16"/>
      <c r="DGE235" s="15"/>
      <c r="DGF235" s="15"/>
      <c r="DGG235" s="15"/>
      <c r="DGH235" s="16"/>
      <c r="DGI235" s="16"/>
      <c r="DGJ235" s="16"/>
      <c r="DGK235" s="16"/>
      <c r="DGL235" s="16"/>
      <c r="DGM235" s="15"/>
      <c r="DGN235" s="15"/>
      <c r="DGO235" s="10"/>
      <c r="DGP235" s="10"/>
      <c r="DGQ235" s="19"/>
      <c r="DGR235" s="19"/>
      <c r="DGU235" s="16"/>
      <c r="DGV235" s="15"/>
      <c r="DGW235" s="15"/>
      <c r="DGX235" s="15"/>
      <c r="DGY235" s="16"/>
      <c r="DGZ235" s="16"/>
      <c r="DHA235" s="16"/>
      <c r="DHB235" s="16"/>
      <c r="DHC235" s="16"/>
      <c r="DHD235" s="15"/>
      <c r="DHE235" s="15"/>
      <c r="DHF235" s="10"/>
      <c r="DHG235" s="10"/>
      <c r="DHH235" s="19"/>
      <c r="DHI235" s="19"/>
      <c r="DHL235" s="16"/>
      <c r="DHM235" s="15"/>
      <c r="DHN235" s="15"/>
      <c r="DHO235" s="15"/>
      <c r="DHP235" s="16"/>
      <c r="DHQ235" s="16"/>
      <c r="DHR235" s="16"/>
      <c r="DHS235" s="16"/>
      <c r="DHT235" s="16"/>
      <c r="DHU235" s="15"/>
      <c r="DHV235" s="15"/>
      <c r="DHW235" s="10"/>
      <c r="DHX235" s="10"/>
      <c r="DHY235" s="19"/>
      <c r="DHZ235" s="19"/>
      <c r="DIC235" s="16"/>
      <c r="DID235" s="15"/>
      <c r="DIE235" s="15"/>
      <c r="DIF235" s="15"/>
      <c r="DIG235" s="16"/>
      <c r="DIH235" s="16"/>
      <c r="DII235" s="16"/>
      <c r="DIJ235" s="16"/>
      <c r="DIK235" s="16"/>
      <c r="DIL235" s="15"/>
      <c r="DIM235" s="15"/>
      <c r="DIN235" s="10"/>
      <c r="DIO235" s="10"/>
      <c r="DIP235" s="19"/>
      <c r="DIQ235" s="19"/>
      <c r="DIT235" s="16"/>
      <c r="DIU235" s="15"/>
      <c r="DIV235" s="15"/>
      <c r="DIW235" s="15"/>
      <c r="DIX235" s="16"/>
      <c r="DIY235" s="16"/>
      <c r="DIZ235" s="16"/>
      <c r="DJA235" s="16"/>
      <c r="DJB235" s="16"/>
      <c r="DJC235" s="15"/>
      <c r="DJD235" s="15"/>
      <c r="DJE235" s="10"/>
      <c r="DJF235" s="10"/>
      <c r="DJG235" s="19"/>
      <c r="DJH235" s="19"/>
      <c r="DJK235" s="16"/>
      <c r="DJL235" s="15"/>
      <c r="DJM235" s="15"/>
      <c r="DJN235" s="15"/>
      <c r="DJO235" s="16"/>
      <c r="DJP235" s="16"/>
      <c r="DJQ235" s="16"/>
      <c r="DJR235" s="16"/>
      <c r="DJS235" s="16"/>
      <c r="DJT235" s="15"/>
      <c r="DJU235" s="15"/>
      <c r="DJV235" s="10"/>
      <c r="DJW235" s="10"/>
      <c r="DJX235" s="19"/>
      <c r="DJY235" s="19"/>
      <c r="DKB235" s="16"/>
      <c r="DKC235" s="15"/>
      <c r="DKD235" s="15"/>
      <c r="DKE235" s="15"/>
      <c r="DKF235" s="16"/>
      <c r="DKG235" s="16"/>
      <c r="DKH235" s="16"/>
      <c r="DKI235" s="16"/>
      <c r="DKJ235" s="16"/>
      <c r="DKK235" s="15"/>
      <c r="DKL235" s="15"/>
      <c r="DKM235" s="10"/>
      <c r="DKN235" s="10"/>
      <c r="DKO235" s="19"/>
      <c r="DKP235" s="19"/>
      <c r="DKS235" s="16"/>
      <c r="DKT235" s="15"/>
      <c r="DKU235" s="15"/>
      <c r="DKV235" s="15"/>
      <c r="DKW235" s="16"/>
      <c r="DKX235" s="16"/>
      <c r="DKY235" s="16"/>
      <c r="DKZ235" s="16"/>
      <c r="DLA235" s="16"/>
      <c r="DLB235" s="15"/>
      <c r="DLC235" s="15"/>
      <c r="DLD235" s="10"/>
      <c r="DLE235" s="10"/>
      <c r="DLF235" s="19"/>
      <c r="DLG235" s="19"/>
      <c r="DLJ235" s="16"/>
      <c r="DLK235" s="15"/>
      <c r="DLL235" s="15"/>
      <c r="DLM235" s="15"/>
      <c r="DLN235" s="16"/>
      <c r="DLO235" s="16"/>
      <c r="DLP235" s="16"/>
      <c r="DLQ235" s="16"/>
      <c r="DLR235" s="16"/>
      <c r="DLS235" s="15"/>
      <c r="DLT235" s="15"/>
      <c r="DLU235" s="10"/>
      <c r="DLV235" s="10"/>
      <c r="DLW235" s="19"/>
      <c r="DLX235" s="19"/>
      <c r="DMA235" s="16"/>
      <c r="DMB235" s="15"/>
      <c r="DMC235" s="15"/>
      <c r="DMD235" s="15"/>
      <c r="DME235" s="16"/>
      <c r="DMF235" s="16"/>
      <c r="DMG235" s="16"/>
      <c r="DMH235" s="16"/>
      <c r="DMI235" s="16"/>
      <c r="DMJ235" s="15"/>
      <c r="DMK235" s="15"/>
      <c r="DML235" s="10"/>
      <c r="DMM235" s="10"/>
      <c r="DMN235" s="19"/>
      <c r="DMO235" s="19"/>
      <c r="DMR235" s="16"/>
      <c r="DMS235" s="15"/>
      <c r="DMT235" s="15"/>
      <c r="DMU235" s="15"/>
      <c r="DMV235" s="16"/>
      <c r="DMW235" s="16"/>
      <c r="DMX235" s="16"/>
      <c r="DMY235" s="16"/>
      <c r="DMZ235" s="16"/>
      <c r="DNA235" s="15"/>
      <c r="DNB235" s="15"/>
      <c r="DNC235" s="10"/>
      <c r="DND235" s="10"/>
      <c r="DNE235" s="19"/>
      <c r="DNF235" s="19"/>
      <c r="DNI235" s="16"/>
      <c r="DNJ235" s="15"/>
      <c r="DNK235" s="15"/>
      <c r="DNL235" s="15"/>
      <c r="DNM235" s="16"/>
      <c r="DNN235" s="16"/>
      <c r="DNO235" s="16"/>
      <c r="DNP235" s="16"/>
      <c r="DNQ235" s="16"/>
      <c r="DNR235" s="15"/>
      <c r="DNS235" s="15"/>
      <c r="DNT235" s="10"/>
      <c r="DNU235" s="10"/>
      <c r="DNV235" s="19"/>
      <c r="DNW235" s="19"/>
      <c r="DNZ235" s="16"/>
      <c r="DOA235" s="15"/>
      <c r="DOB235" s="15"/>
      <c r="DOC235" s="15"/>
      <c r="DOD235" s="16"/>
      <c r="DOE235" s="16"/>
      <c r="DOF235" s="16"/>
      <c r="DOG235" s="16"/>
      <c r="DOH235" s="16"/>
      <c r="DOI235" s="15"/>
      <c r="DOJ235" s="15"/>
      <c r="DOK235" s="10"/>
      <c r="DOL235" s="10"/>
      <c r="DOM235" s="19"/>
      <c r="DON235" s="19"/>
      <c r="DOQ235" s="16"/>
      <c r="DOR235" s="15"/>
      <c r="DOS235" s="15"/>
      <c r="DOT235" s="15"/>
      <c r="DOU235" s="16"/>
      <c r="DOV235" s="16"/>
      <c r="DOW235" s="16"/>
      <c r="DOX235" s="16"/>
      <c r="DOY235" s="16"/>
      <c r="DOZ235" s="15"/>
      <c r="DPA235" s="15"/>
      <c r="DPB235" s="10"/>
      <c r="DPC235" s="10"/>
      <c r="DPD235" s="19"/>
      <c r="DPE235" s="19"/>
      <c r="DPH235" s="16"/>
      <c r="DPI235" s="15"/>
      <c r="DPJ235" s="15"/>
      <c r="DPK235" s="15"/>
      <c r="DPL235" s="16"/>
      <c r="DPM235" s="16"/>
      <c r="DPN235" s="16"/>
      <c r="DPO235" s="16"/>
      <c r="DPP235" s="16"/>
      <c r="DPQ235" s="15"/>
      <c r="DPR235" s="15"/>
      <c r="DPS235" s="10"/>
      <c r="DPT235" s="10"/>
      <c r="DPU235" s="19"/>
      <c r="DPV235" s="19"/>
      <c r="DPY235" s="16"/>
      <c r="DPZ235" s="15"/>
      <c r="DQA235" s="15"/>
      <c r="DQB235" s="15"/>
      <c r="DQC235" s="16"/>
      <c r="DQD235" s="16"/>
      <c r="DQE235" s="16"/>
      <c r="DQF235" s="16"/>
      <c r="DQG235" s="16"/>
      <c r="DQH235" s="15"/>
      <c r="DQI235" s="15"/>
      <c r="DQJ235" s="10"/>
      <c r="DQK235" s="10"/>
      <c r="DQL235" s="19"/>
      <c r="DQM235" s="19"/>
      <c r="DQP235" s="16"/>
      <c r="DQQ235" s="15"/>
      <c r="DQR235" s="15"/>
      <c r="DQS235" s="15"/>
      <c r="DQT235" s="16"/>
      <c r="DQU235" s="16"/>
      <c r="DQV235" s="16"/>
      <c r="DQW235" s="16"/>
      <c r="DQX235" s="16"/>
      <c r="DQY235" s="15"/>
      <c r="DQZ235" s="15"/>
      <c r="DRA235" s="10"/>
      <c r="DRB235" s="10"/>
      <c r="DRC235" s="19"/>
      <c r="DRD235" s="19"/>
      <c r="DRG235" s="16"/>
      <c r="DRH235" s="15"/>
      <c r="DRI235" s="15"/>
      <c r="DRJ235" s="15"/>
      <c r="DRK235" s="16"/>
      <c r="DRL235" s="16"/>
      <c r="DRM235" s="16"/>
      <c r="DRN235" s="16"/>
      <c r="DRO235" s="16"/>
      <c r="DRP235" s="15"/>
      <c r="DRQ235" s="15"/>
      <c r="DRR235" s="10"/>
      <c r="DRS235" s="10"/>
      <c r="DRT235" s="19"/>
      <c r="DRU235" s="19"/>
      <c r="DRX235" s="16"/>
      <c r="DRY235" s="15"/>
      <c r="DRZ235" s="15"/>
      <c r="DSA235" s="15"/>
      <c r="DSB235" s="16"/>
      <c r="DSC235" s="16"/>
      <c r="DSD235" s="16"/>
      <c r="DSE235" s="16"/>
      <c r="DSF235" s="16"/>
      <c r="DSG235" s="15"/>
      <c r="DSH235" s="15"/>
      <c r="DSI235" s="10"/>
      <c r="DSJ235" s="10"/>
      <c r="DSK235" s="19"/>
      <c r="DSL235" s="19"/>
      <c r="DSO235" s="16"/>
      <c r="DSP235" s="15"/>
      <c r="DSQ235" s="15"/>
      <c r="DSR235" s="15"/>
      <c r="DSS235" s="16"/>
      <c r="DST235" s="16"/>
      <c r="DSU235" s="16"/>
      <c r="DSV235" s="16"/>
      <c r="DSW235" s="16"/>
      <c r="DSX235" s="15"/>
      <c r="DSY235" s="15"/>
      <c r="DSZ235" s="10"/>
      <c r="DTA235" s="10"/>
      <c r="DTB235" s="19"/>
      <c r="DTC235" s="19"/>
      <c r="DTF235" s="16"/>
      <c r="DTG235" s="15"/>
      <c r="DTH235" s="15"/>
      <c r="DTI235" s="15"/>
      <c r="DTJ235" s="16"/>
      <c r="DTK235" s="16"/>
      <c r="DTL235" s="16"/>
      <c r="DTM235" s="16"/>
      <c r="DTN235" s="16"/>
      <c r="DTO235" s="15"/>
      <c r="DTP235" s="15"/>
      <c r="DTQ235" s="10"/>
      <c r="DTR235" s="10"/>
      <c r="DTS235" s="19"/>
      <c r="DTT235" s="19"/>
      <c r="DTW235" s="16"/>
      <c r="DTX235" s="15"/>
      <c r="DTY235" s="15"/>
      <c r="DTZ235" s="15"/>
      <c r="DUA235" s="16"/>
      <c r="DUB235" s="16"/>
      <c r="DUC235" s="16"/>
      <c r="DUD235" s="16"/>
      <c r="DUE235" s="16"/>
      <c r="DUF235" s="15"/>
      <c r="DUG235" s="15"/>
      <c r="DUH235" s="10"/>
      <c r="DUI235" s="10"/>
      <c r="DUJ235" s="19"/>
      <c r="DUK235" s="19"/>
      <c r="DUN235" s="16"/>
      <c r="DUO235" s="15"/>
      <c r="DUP235" s="15"/>
      <c r="DUQ235" s="15"/>
      <c r="DUR235" s="16"/>
      <c r="DUS235" s="16"/>
      <c r="DUT235" s="16"/>
      <c r="DUU235" s="16"/>
      <c r="DUV235" s="16"/>
      <c r="DUW235" s="15"/>
      <c r="DUX235" s="15"/>
      <c r="DUY235" s="10"/>
      <c r="DUZ235" s="10"/>
      <c r="DVA235" s="19"/>
      <c r="DVB235" s="19"/>
      <c r="DVE235" s="16"/>
      <c r="DVF235" s="15"/>
      <c r="DVG235" s="15"/>
      <c r="DVH235" s="15"/>
      <c r="DVI235" s="16"/>
      <c r="DVJ235" s="16"/>
      <c r="DVK235" s="16"/>
      <c r="DVL235" s="16"/>
      <c r="DVM235" s="16"/>
      <c r="DVN235" s="15"/>
      <c r="DVO235" s="15"/>
      <c r="DVP235" s="10"/>
      <c r="DVQ235" s="10"/>
      <c r="DVR235" s="19"/>
      <c r="DVS235" s="19"/>
      <c r="DVV235" s="16"/>
      <c r="DVW235" s="15"/>
      <c r="DVX235" s="15"/>
      <c r="DVY235" s="15"/>
      <c r="DVZ235" s="16"/>
      <c r="DWA235" s="16"/>
      <c r="DWB235" s="16"/>
      <c r="DWC235" s="16"/>
      <c r="DWD235" s="16"/>
      <c r="DWE235" s="15"/>
      <c r="DWF235" s="15"/>
      <c r="DWG235" s="10"/>
      <c r="DWH235" s="10"/>
      <c r="DWI235" s="19"/>
      <c r="DWJ235" s="19"/>
      <c r="DWM235" s="16"/>
      <c r="DWN235" s="15"/>
      <c r="DWO235" s="15"/>
      <c r="DWP235" s="15"/>
      <c r="DWQ235" s="16"/>
      <c r="DWR235" s="16"/>
      <c r="DWS235" s="16"/>
      <c r="DWT235" s="16"/>
      <c r="DWU235" s="16"/>
      <c r="DWV235" s="15"/>
      <c r="DWW235" s="15"/>
      <c r="DWX235" s="10"/>
      <c r="DWY235" s="10"/>
      <c r="DWZ235" s="19"/>
      <c r="DXA235" s="19"/>
      <c r="DXD235" s="16"/>
      <c r="DXE235" s="15"/>
      <c r="DXF235" s="15"/>
      <c r="DXG235" s="15"/>
      <c r="DXH235" s="16"/>
      <c r="DXI235" s="16"/>
      <c r="DXJ235" s="16"/>
      <c r="DXK235" s="16"/>
      <c r="DXL235" s="16"/>
      <c r="DXM235" s="15"/>
      <c r="DXN235" s="15"/>
      <c r="DXO235" s="10"/>
      <c r="DXP235" s="10"/>
      <c r="DXQ235" s="19"/>
      <c r="DXR235" s="19"/>
      <c r="DXU235" s="16"/>
      <c r="DXV235" s="15"/>
      <c r="DXW235" s="15"/>
      <c r="DXX235" s="15"/>
      <c r="DXY235" s="16"/>
      <c r="DXZ235" s="16"/>
      <c r="DYA235" s="16"/>
      <c r="DYB235" s="16"/>
      <c r="DYC235" s="16"/>
      <c r="DYD235" s="15"/>
      <c r="DYE235" s="15"/>
      <c r="DYF235" s="10"/>
      <c r="DYG235" s="10"/>
      <c r="DYH235" s="19"/>
      <c r="DYI235" s="19"/>
      <c r="DYL235" s="16"/>
      <c r="DYM235" s="15"/>
      <c r="DYN235" s="15"/>
      <c r="DYO235" s="15"/>
      <c r="DYP235" s="16"/>
      <c r="DYQ235" s="16"/>
      <c r="DYR235" s="16"/>
      <c r="DYS235" s="16"/>
      <c r="DYT235" s="16"/>
      <c r="DYU235" s="15"/>
      <c r="DYV235" s="15"/>
      <c r="DYW235" s="10"/>
      <c r="DYX235" s="10"/>
      <c r="DYY235" s="19"/>
      <c r="DYZ235" s="19"/>
      <c r="DZC235" s="16"/>
      <c r="DZD235" s="15"/>
      <c r="DZE235" s="15"/>
      <c r="DZF235" s="15"/>
      <c r="DZG235" s="16"/>
      <c r="DZH235" s="16"/>
      <c r="DZI235" s="16"/>
      <c r="DZJ235" s="16"/>
      <c r="DZK235" s="16"/>
      <c r="DZL235" s="15"/>
      <c r="DZM235" s="15"/>
      <c r="DZN235" s="10"/>
      <c r="DZO235" s="10"/>
      <c r="DZP235" s="19"/>
      <c r="DZQ235" s="19"/>
      <c r="DZT235" s="16"/>
      <c r="DZU235" s="15"/>
      <c r="DZV235" s="15"/>
      <c r="DZW235" s="15"/>
      <c r="DZX235" s="16"/>
      <c r="DZY235" s="16"/>
      <c r="DZZ235" s="16"/>
      <c r="EAA235" s="16"/>
      <c r="EAB235" s="16"/>
      <c r="EAC235" s="15"/>
      <c r="EAD235" s="15"/>
      <c r="EAE235" s="10"/>
      <c r="EAF235" s="10"/>
      <c r="EAG235" s="19"/>
      <c r="EAH235" s="19"/>
      <c r="EAK235" s="16"/>
      <c r="EAL235" s="15"/>
      <c r="EAM235" s="15"/>
      <c r="EAN235" s="15"/>
      <c r="EAO235" s="16"/>
      <c r="EAP235" s="16"/>
      <c r="EAQ235" s="16"/>
      <c r="EAR235" s="16"/>
      <c r="EAS235" s="16"/>
      <c r="EAT235" s="15"/>
      <c r="EAU235" s="15"/>
      <c r="EAV235" s="10"/>
      <c r="EAW235" s="10"/>
      <c r="EAX235" s="19"/>
      <c r="EAY235" s="19"/>
      <c r="EBB235" s="16"/>
      <c r="EBC235" s="15"/>
      <c r="EBD235" s="15"/>
      <c r="EBE235" s="15"/>
      <c r="EBF235" s="16"/>
      <c r="EBG235" s="16"/>
      <c r="EBH235" s="16"/>
      <c r="EBI235" s="16"/>
      <c r="EBJ235" s="16"/>
      <c r="EBK235" s="15"/>
      <c r="EBL235" s="15"/>
      <c r="EBM235" s="10"/>
      <c r="EBN235" s="10"/>
      <c r="EBO235" s="19"/>
      <c r="EBP235" s="19"/>
      <c r="EBS235" s="16"/>
      <c r="EBT235" s="15"/>
      <c r="EBU235" s="15"/>
      <c r="EBV235" s="15"/>
      <c r="EBW235" s="16"/>
      <c r="EBX235" s="16"/>
      <c r="EBY235" s="16"/>
      <c r="EBZ235" s="16"/>
      <c r="ECA235" s="16"/>
      <c r="ECB235" s="15"/>
      <c r="ECC235" s="15"/>
      <c r="ECD235" s="10"/>
      <c r="ECE235" s="10"/>
      <c r="ECF235" s="19"/>
      <c r="ECG235" s="19"/>
      <c r="ECJ235" s="16"/>
      <c r="ECK235" s="15"/>
      <c r="ECL235" s="15"/>
      <c r="ECM235" s="15"/>
      <c r="ECN235" s="16"/>
      <c r="ECO235" s="16"/>
      <c r="ECP235" s="16"/>
      <c r="ECQ235" s="16"/>
      <c r="ECR235" s="16"/>
      <c r="ECS235" s="15"/>
      <c r="ECT235" s="15"/>
      <c r="ECU235" s="10"/>
      <c r="ECV235" s="10"/>
      <c r="ECW235" s="19"/>
      <c r="ECX235" s="19"/>
      <c r="EDA235" s="16"/>
      <c r="EDB235" s="15"/>
      <c r="EDC235" s="15"/>
      <c r="EDD235" s="15"/>
      <c r="EDE235" s="16"/>
      <c r="EDF235" s="16"/>
      <c r="EDG235" s="16"/>
      <c r="EDH235" s="16"/>
      <c r="EDI235" s="16"/>
      <c r="EDJ235" s="15"/>
      <c r="EDK235" s="15"/>
      <c r="EDL235" s="10"/>
      <c r="EDM235" s="10"/>
      <c r="EDN235" s="19"/>
      <c r="EDO235" s="19"/>
      <c r="EDR235" s="16"/>
      <c r="EDS235" s="15"/>
      <c r="EDT235" s="15"/>
      <c r="EDU235" s="15"/>
      <c r="EDV235" s="16"/>
      <c r="EDW235" s="16"/>
      <c r="EDX235" s="16"/>
      <c r="EDY235" s="16"/>
      <c r="EDZ235" s="16"/>
      <c r="EEA235" s="15"/>
      <c r="EEB235" s="15"/>
      <c r="EEC235" s="10"/>
      <c r="EED235" s="10"/>
      <c r="EEE235" s="19"/>
      <c r="EEF235" s="19"/>
      <c r="EEI235" s="16"/>
      <c r="EEJ235" s="15"/>
      <c r="EEK235" s="15"/>
      <c r="EEL235" s="15"/>
      <c r="EEM235" s="16"/>
      <c r="EEN235" s="16"/>
      <c r="EEO235" s="16"/>
      <c r="EEP235" s="16"/>
      <c r="EEQ235" s="16"/>
      <c r="EER235" s="15"/>
      <c r="EES235" s="15"/>
      <c r="EET235" s="10"/>
      <c r="EEU235" s="10"/>
      <c r="EEV235" s="19"/>
      <c r="EEW235" s="19"/>
      <c r="EEZ235" s="16"/>
      <c r="EFA235" s="15"/>
      <c r="EFB235" s="15"/>
      <c r="EFC235" s="15"/>
      <c r="EFD235" s="16"/>
      <c r="EFE235" s="16"/>
      <c r="EFF235" s="16"/>
      <c r="EFG235" s="16"/>
      <c r="EFH235" s="16"/>
      <c r="EFI235" s="15"/>
      <c r="EFJ235" s="15"/>
      <c r="EFK235" s="10"/>
      <c r="EFL235" s="10"/>
      <c r="EFM235" s="19"/>
      <c r="EFN235" s="19"/>
      <c r="EFQ235" s="16"/>
      <c r="EFR235" s="15"/>
      <c r="EFS235" s="15"/>
      <c r="EFT235" s="15"/>
      <c r="EFU235" s="16"/>
      <c r="EFV235" s="16"/>
      <c r="EFW235" s="16"/>
      <c r="EFX235" s="16"/>
      <c r="EFY235" s="16"/>
      <c r="EFZ235" s="15"/>
      <c r="EGA235" s="15"/>
      <c r="EGB235" s="10"/>
      <c r="EGC235" s="10"/>
      <c r="EGD235" s="19"/>
      <c r="EGE235" s="19"/>
      <c r="EGH235" s="16"/>
      <c r="EGI235" s="15"/>
      <c r="EGJ235" s="15"/>
      <c r="EGK235" s="15"/>
      <c r="EGL235" s="16"/>
      <c r="EGM235" s="16"/>
      <c r="EGN235" s="16"/>
      <c r="EGO235" s="16"/>
      <c r="EGP235" s="16"/>
      <c r="EGQ235" s="15"/>
      <c r="EGR235" s="15"/>
      <c r="EGS235" s="10"/>
      <c r="EGT235" s="10"/>
      <c r="EGU235" s="19"/>
      <c r="EGV235" s="19"/>
      <c r="EGY235" s="16"/>
      <c r="EGZ235" s="15"/>
      <c r="EHA235" s="15"/>
      <c r="EHB235" s="15"/>
      <c r="EHC235" s="16"/>
      <c r="EHD235" s="16"/>
      <c r="EHE235" s="16"/>
      <c r="EHF235" s="16"/>
      <c r="EHG235" s="16"/>
      <c r="EHH235" s="15"/>
      <c r="EHI235" s="15"/>
      <c r="EHJ235" s="10"/>
      <c r="EHK235" s="10"/>
      <c r="EHL235" s="19"/>
      <c r="EHM235" s="19"/>
      <c r="EHP235" s="16"/>
      <c r="EHQ235" s="15"/>
      <c r="EHR235" s="15"/>
      <c r="EHS235" s="15"/>
      <c r="EHT235" s="16"/>
      <c r="EHU235" s="16"/>
      <c r="EHV235" s="16"/>
      <c r="EHW235" s="16"/>
      <c r="EHX235" s="16"/>
      <c r="EHY235" s="15"/>
      <c r="EHZ235" s="15"/>
      <c r="EIA235" s="10"/>
      <c r="EIB235" s="10"/>
      <c r="EIC235" s="19"/>
      <c r="EID235" s="19"/>
      <c r="EIG235" s="16"/>
      <c r="EIH235" s="15"/>
      <c r="EII235" s="15"/>
      <c r="EIJ235" s="15"/>
      <c r="EIK235" s="16"/>
      <c r="EIL235" s="16"/>
      <c r="EIM235" s="16"/>
      <c r="EIN235" s="16"/>
      <c r="EIO235" s="16"/>
      <c r="EIP235" s="15"/>
      <c r="EIQ235" s="15"/>
      <c r="EIR235" s="10"/>
      <c r="EIS235" s="10"/>
      <c r="EIT235" s="19"/>
      <c r="EIU235" s="19"/>
      <c r="EIX235" s="16"/>
      <c r="EIY235" s="15"/>
      <c r="EIZ235" s="15"/>
      <c r="EJA235" s="15"/>
      <c r="EJB235" s="16"/>
      <c r="EJC235" s="16"/>
      <c r="EJD235" s="16"/>
      <c r="EJE235" s="16"/>
      <c r="EJF235" s="16"/>
      <c r="EJG235" s="15"/>
      <c r="EJH235" s="15"/>
      <c r="EJI235" s="10"/>
      <c r="EJJ235" s="10"/>
      <c r="EJK235" s="19"/>
      <c r="EJL235" s="19"/>
      <c r="EJO235" s="16"/>
      <c r="EJP235" s="15"/>
      <c r="EJQ235" s="15"/>
      <c r="EJR235" s="15"/>
      <c r="EJS235" s="16"/>
      <c r="EJT235" s="16"/>
      <c r="EJU235" s="16"/>
      <c r="EJV235" s="16"/>
      <c r="EJW235" s="16"/>
      <c r="EJX235" s="15"/>
      <c r="EJY235" s="15"/>
      <c r="EJZ235" s="10"/>
      <c r="EKA235" s="10"/>
      <c r="EKB235" s="19"/>
      <c r="EKC235" s="19"/>
      <c r="EKF235" s="16"/>
      <c r="EKG235" s="15"/>
      <c r="EKH235" s="15"/>
      <c r="EKI235" s="15"/>
      <c r="EKJ235" s="16"/>
      <c r="EKK235" s="16"/>
      <c r="EKL235" s="16"/>
      <c r="EKM235" s="16"/>
      <c r="EKN235" s="16"/>
      <c r="EKO235" s="15"/>
      <c r="EKP235" s="15"/>
      <c r="EKQ235" s="10"/>
      <c r="EKR235" s="10"/>
      <c r="EKS235" s="19"/>
      <c r="EKT235" s="19"/>
      <c r="EKW235" s="16"/>
      <c r="EKX235" s="15"/>
      <c r="EKY235" s="15"/>
      <c r="EKZ235" s="15"/>
      <c r="ELA235" s="16"/>
      <c r="ELB235" s="16"/>
      <c r="ELC235" s="16"/>
      <c r="ELD235" s="16"/>
      <c r="ELE235" s="16"/>
      <c r="ELF235" s="15"/>
      <c r="ELG235" s="15"/>
      <c r="ELH235" s="10"/>
      <c r="ELI235" s="10"/>
      <c r="ELJ235" s="19"/>
      <c r="ELK235" s="19"/>
      <c r="ELN235" s="16"/>
      <c r="ELO235" s="15"/>
      <c r="ELP235" s="15"/>
      <c r="ELQ235" s="15"/>
      <c r="ELR235" s="16"/>
      <c r="ELS235" s="16"/>
      <c r="ELT235" s="16"/>
      <c r="ELU235" s="16"/>
      <c r="ELV235" s="16"/>
      <c r="ELW235" s="15"/>
      <c r="ELX235" s="15"/>
      <c r="ELY235" s="10"/>
      <c r="ELZ235" s="10"/>
      <c r="EMA235" s="19"/>
      <c r="EMB235" s="19"/>
      <c r="EME235" s="16"/>
      <c r="EMF235" s="15"/>
      <c r="EMG235" s="15"/>
      <c r="EMH235" s="15"/>
      <c r="EMI235" s="16"/>
      <c r="EMJ235" s="16"/>
      <c r="EMK235" s="16"/>
      <c r="EML235" s="16"/>
      <c r="EMM235" s="16"/>
      <c r="EMN235" s="15"/>
      <c r="EMO235" s="15"/>
      <c r="EMP235" s="10"/>
      <c r="EMQ235" s="10"/>
      <c r="EMR235" s="19"/>
      <c r="EMS235" s="19"/>
      <c r="EMV235" s="16"/>
      <c r="EMW235" s="15"/>
      <c r="EMX235" s="15"/>
      <c r="EMY235" s="15"/>
      <c r="EMZ235" s="16"/>
      <c r="ENA235" s="16"/>
      <c r="ENB235" s="16"/>
      <c r="ENC235" s="16"/>
      <c r="END235" s="16"/>
      <c r="ENE235" s="15"/>
      <c r="ENF235" s="15"/>
      <c r="ENG235" s="10"/>
      <c r="ENH235" s="10"/>
      <c r="ENI235" s="19"/>
      <c r="ENJ235" s="19"/>
      <c r="ENM235" s="16"/>
      <c r="ENN235" s="15"/>
      <c r="ENO235" s="15"/>
      <c r="ENP235" s="15"/>
      <c r="ENQ235" s="16"/>
      <c r="ENR235" s="16"/>
      <c r="ENS235" s="16"/>
      <c r="ENT235" s="16"/>
      <c r="ENU235" s="16"/>
      <c r="ENV235" s="15"/>
      <c r="ENW235" s="15"/>
      <c r="ENX235" s="10"/>
      <c r="ENY235" s="10"/>
      <c r="ENZ235" s="19"/>
      <c r="EOA235" s="19"/>
      <c r="EOD235" s="16"/>
      <c r="EOE235" s="15"/>
      <c r="EOF235" s="15"/>
      <c r="EOG235" s="15"/>
      <c r="EOH235" s="16"/>
      <c r="EOI235" s="16"/>
      <c r="EOJ235" s="16"/>
      <c r="EOK235" s="16"/>
      <c r="EOL235" s="16"/>
      <c r="EOM235" s="15"/>
      <c r="EON235" s="15"/>
      <c r="EOO235" s="10"/>
      <c r="EOP235" s="10"/>
      <c r="EOQ235" s="19"/>
      <c r="EOR235" s="19"/>
      <c r="EOU235" s="16"/>
      <c r="EOV235" s="15"/>
      <c r="EOW235" s="15"/>
      <c r="EOX235" s="15"/>
      <c r="EOY235" s="16"/>
      <c r="EOZ235" s="16"/>
      <c r="EPA235" s="16"/>
      <c r="EPB235" s="16"/>
      <c r="EPC235" s="16"/>
      <c r="EPD235" s="15"/>
      <c r="EPE235" s="15"/>
      <c r="EPF235" s="10"/>
      <c r="EPG235" s="10"/>
      <c r="EPH235" s="19"/>
      <c r="EPI235" s="19"/>
      <c r="EPL235" s="16"/>
      <c r="EPM235" s="15"/>
      <c r="EPN235" s="15"/>
      <c r="EPO235" s="15"/>
      <c r="EPP235" s="16"/>
      <c r="EPQ235" s="16"/>
      <c r="EPR235" s="16"/>
      <c r="EPS235" s="16"/>
      <c r="EPT235" s="16"/>
      <c r="EPU235" s="15"/>
      <c r="EPV235" s="15"/>
      <c r="EPW235" s="10"/>
      <c r="EPX235" s="10"/>
      <c r="EPY235" s="19"/>
      <c r="EPZ235" s="19"/>
      <c r="EQC235" s="16"/>
      <c r="EQD235" s="15"/>
      <c r="EQE235" s="15"/>
      <c r="EQF235" s="15"/>
      <c r="EQG235" s="16"/>
      <c r="EQH235" s="16"/>
      <c r="EQI235" s="16"/>
      <c r="EQJ235" s="16"/>
      <c r="EQK235" s="16"/>
      <c r="EQL235" s="15"/>
      <c r="EQM235" s="15"/>
      <c r="EQN235" s="10"/>
      <c r="EQO235" s="10"/>
      <c r="EQP235" s="19"/>
      <c r="EQQ235" s="19"/>
      <c r="EQT235" s="16"/>
      <c r="EQU235" s="15"/>
      <c r="EQV235" s="15"/>
      <c r="EQW235" s="15"/>
      <c r="EQX235" s="16"/>
      <c r="EQY235" s="16"/>
      <c r="EQZ235" s="16"/>
      <c r="ERA235" s="16"/>
      <c r="ERB235" s="16"/>
      <c r="ERC235" s="15"/>
      <c r="ERD235" s="15"/>
      <c r="ERE235" s="10"/>
      <c r="ERF235" s="10"/>
      <c r="ERG235" s="19"/>
      <c r="ERH235" s="19"/>
      <c r="ERK235" s="16"/>
      <c r="ERL235" s="15"/>
      <c r="ERM235" s="15"/>
      <c r="ERN235" s="15"/>
      <c r="ERO235" s="16"/>
      <c r="ERP235" s="16"/>
      <c r="ERQ235" s="16"/>
      <c r="ERR235" s="16"/>
      <c r="ERS235" s="16"/>
      <c r="ERT235" s="15"/>
      <c r="ERU235" s="15"/>
      <c r="ERV235" s="10"/>
      <c r="ERW235" s="10"/>
      <c r="ERX235" s="19"/>
      <c r="ERY235" s="19"/>
      <c r="ESB235" s="16"/>
      <c r="ESC235" s="15"/>
      <c r="ESD235" s="15"/>
      <c r="ESE235" s="15"/>
      <c r="ESF235" s="16"/>
      <c r="ESG235" s="16"/>
      <c r="ESH235" s="16"/>
      <c r="ESI235" s="16"/>
      <c r="ESJ235" s="16"/>
      <c r="ESK235" s="15"/>
      <c r="ESL235" s="15"/>
      <c r="ESM235" s="10"/>
      <c r="ESN235" s="10"/>
      <c r="ESO235" s="19"/>
      <c r="ESP235" s="19"/>
      <c r="ESS235" s="16"/>
      <c r="EST235" s="15"/>
      <c r="ESU235" s="15"/>
      <c r="ESV235" s="15"/>
      <c r="ESW235" s="16"/>
      <c r="ESX235" s="16"/>
      <c r="ESY235" s="16"/>
      <c r="ESZ235" s="16"/>
      <c r="ETA235" s="16"/>
      <c r="ETB235" s="15"/>
      <c r="ETC235" s="15"/>
      <c r="ETD235" s="10"/>
      <c r="ETE235" s="10"/>
      <c r="ETF235" s="19"/>
      <c r="ETG235" s="19"/>
      <c r="ETJ235" s="16"/>
      <c r="ETK235" s="15"/>
      <c r="ETL235" s="15"/>
      <c r="ETM235" s="15"/>
      <c r="ETN235" s="16"/>
      <c r="ETO235" s="16"/>
      <c r="ETP235" s="16"/>
      <c r="ETQ235" s="16"/>
      <c r="ETR235" s="16"/>
      <c r="ETS235" s="15"/>
      <c r="ETT235" s="15"/>
      <c r="ETU235" s="10"/>
      <c r="ETV235" s="10"/>
      <c r="ETW235" s="19"/>
      <c r="ETX235" s="19"/>
      <c r="EUA235" s="16"/>
      <c r="EUB235" s="15"/>
      <c r="EUC235" s="15"/>
      <c r="EUD235" s="15"/>
      <c r="EUE235" s="16"/>
      <c r="EUF235" s="16"/>
      <c r="EUG235" s="16"/>
      <c r="EUH235" s="16"/>
      <c r="EUI235" s="16"/>
      <c r="EUJ235" s="15"/>
      <c r="EUK235" s="15"/>
      <c r="EUL235" s="10"/>
      <c r="EUM235" s="10"/>
      <c r="EUN235" s="19"/>
      <c r="EUO235" s="19"/>
      <c r="EUR235" s="16"/>
      <c r="EUS235" s="15"/>
      <c r="EUT235" s="15"/>
      <c r="EUU235" s="15"/>
      <c r="EUV235" s="16"/>
      <c r="EUW235" s="16"/>
      <c r="EUX235" s="16"/>
      <c r="EUY235" s="16"/>
      <c r="EUZ235" s="16"/>
      <c r="EVA235" s="15"/>
      <c r="EVB235" s="15"/>
      <c r="EVC235" s="10"/>
      <c r="EVD235" s="10"/>
      <c r="EVE235" s="19"/>
      <c r="EVF235" s="19"/>
      <c r="EVI235" s="16"/>
      <c r="EVJ235" s="15"/>
      <c r="EVK235" s="15"/>
      <c r="EVL235" s="15"/>
      <c r="EVM235" s="16"/>
      <c r="EVN235" s="16"/>
      <c r="EVO235" s="16"/>
      <c r="EVP235" s="16"/>
      <c r="EVQ235" s="16"/>
      <c r="EVR235" s="15"/>
      <c r="EVS235" s="15"/>
      <c r="EVT235" s="10"/>
      <c r="EVU235" s="10"/>
      <c r="EVV235" s="19"/>
      <c r="EVW235" s="19"/>
      <c r="EVZ235" s="16"/>
      <c r="EWA235" s="15"/>
      <c r="EWB235" s="15"/>
      <c r="EWC235" s="15"/>
      <c r="EWD235" s="16"/>
      <c r="EWE235" s="16"/>
      <c r="EWF235" s="16"/>
      <c r="EWG235" s="16"/>
      <c r="EWH235" s="16"/>
      <c r="EWI235" s="15"/>
      <c r="EWJ235" s="15"/>
      <c r="EWK235" s="10"/>
      <c r="EWL235" s="10"/>
      <c r="EWM235" s="19"/>
      <c r="EWN235" s="19"/>
      <c r="EWQ235" s="16"/>
      <c r="EWR235" s="15"/>
      <c r="EWS235" s="15"/>
      <c r="EWT235" s="15"/>
      <c r="EWU235" s="16"/>
      <c r="EWV235" s="16"/>
      <c r="EWW235" s="16"/>
      <c r="EWX235" s="16"/>
      <c r="EWY235" s="16"/>
      <c r="EWZ235" s="15"/>
      <c r="EXA235" s="15"/>
      <c r="EXB235" s="10"/>
      <c r="EXC235" s="10"/>
      <c r="EXD235" s="19"/>
      <c r="EXE235" s="19"/>
      <c r="EXH235" s="16"/>
      <c r="EXI235" s="15"/>
      <c r="EXJ235" s="15"/>
      <c r="EXK235" s="15"/>
      <c r="EXL235" s="16"/>
      <c r="EXM235" s="16"/>
      <c r="EXN235" s="16"/>
      <c r="EXO235" s="16"/>
      <c r="EXP235" s="16"/>
      <c r="EXQ235" s="15"/>
      <c r="EXR235" s="15"/>
      <c r="EXS235" s="10"/>
      <c r="EXT235" s="10"/>
      <c r="EXU235" s="19"/>
      <c r="EXV235" s="19"/>
      <c r="EXY235" s="16"/>
      <c r="EXZ235" s="15"/>
      <c r="EYA235" s="15"/>
      <c r="EYB235" s="15"/>
      <c r="EYC235" s="16"/>
      <c r="EYD235" s="16"/>
      <c r="EYE235" s="16"/>
      <c r="EYF235" s="16"/>
      <c r="EYG235" s="16"/>
      <c r="EYH235" s="15"/>
      <c r="EYI235" s="15"/>
      <c r="EYJ235" s="10"/>
      <c r="EYK235" s="10"/>
      <c r="EYL235" s="19"/>
      <c r="EYM235" s="19"/>
      <c r="EYP235" s="16"/>
      <c r="EYQ235" s="15"/>
      <c r="EYR235" s="15"/>
      <c r="EYS235" s="15"/>
      <c r="EYT235" s="16"/>
      <c r="EYU235" s="16"/>
      <c r="EYV235" s="16"/>
      <c r="EYW235" s="16"/>
      <c r="EYX235" s="16"/>
      <c r="EYY235" s="15"/>
      <c r="EYZ235" s="15"/>
      <c r="EZA235" s="10"/>
      <c r="EZB235" s="10"/>
      <c r="EZC235" s="19"/>
      <c r="EZD235" s="19"/>
      <c r="EZG235" s="16"/>
      <c r="EZH235" s="15"/>
      <c r="EZI235" s="15"/>
      <c r="EZJ235" s="15"/>
      <c r="EZK235" s="16"/>
      <c r="EZL235" s="16"/>
      <c r="EZM235" s="16"/>
      <c r="EZN235" s="16"/>
      <c r="EZO235" s="16"/>
      <c r="EZP235" s="15"/>
      <c r="EZQ235" s="15"/>
      <c r="EZR235" s="10"/>
      <c r="EZS235" s="10"/>
      <c r="EZT235" s="19"/>
      <c r="EZU235" s="19"/>
      <c r="EZX235" s="16"/>
      <c r="EZY235" s="15"/>
      <c r="EZZ235" s="15"/>
      <c r="FAA235" s="15"/>
      <c r="FAB235" s="16"/>
      <c r="FAC235" s="16"/>
      <c r="FAD235" s="16"/>
      <c r="FAE235" s="16"/>
      <c r="FAF235" s="16"/>
      <c r="FAG235" s="15"/>
      <c r="FAH235" s="15"/>
      <c r="FAI235" s="10"/>
      <c r="FAJ235" s="10"/>
      <c r="FAK235" s="19"/>
      <c r="FAL235" s="19"/>
      <c r="FAO235" s="16"/>
      <c r="FAP235" s="15"/>
      <c r="FAQ235" s="15"/>
      <c r="FAR235" s="15"/>
      <c r="FAS235" s="16"/>
      <c r="FAT235" s="16"/>
      <c r="FAU235" s="16"/>
      <c r="FAV235" s="16"/>
      <c r="FAW235" s="16"/>
      <c r="FAX235" s="15"/>
      <c r="FAY235" s="15"/>
      <c r="FAZ235" s="10"/>
      <c r="FBA235" s="10"/>
      <c r="FBB235" s="19"/>
      <c r="FBC235" s="19"/>
      <c r="FBF235" s="16"/>
      <c r="FBG235" s="15"/>
      <c r="FBH235" s="15"/>
      <c r="FBI235" s="15"/>
      <c r="FBJ235" s="16"/>
      <c r="FBK235" s="16"/>
      <c r="FBL235" s="16"/>
      <c r="FBM235" s="16"/>
      <c r="FBN235" s="16"/>
      <c r="FBO235" s="15"/>
      <c r="FBP235" s="15"/>
      <c r="FBQ235" s="10"/>
      <c r="FBR235" s="10"/>
      <c r="FBS235" s="19"/>
      <c r="FBT235" s="19"/>
      <c r="FBW235" s="16"/>
      <c r="FBX235" s="15"/>
      <c r="FBY235" s="15"/>
      <c r="FBZ235" s="15"/>
      <c r="FCA235" s="16"/>
      <c r="FCB235" s="16"/>
      <c r="FCC235" s="16"/>
      <c r="FCD235" s="16"/>
      <c r="FCE235" s="16"/>
      <c r="FCF235" s="15"/>
      <c r="FCG235" s="15"/>
      <c r="FCH235" s="10"/>
      <c r="FCI235" s="10"/>
      <c r="FCJ235" s="19"/>
      <c r="FCK235" s="19"/>
      <c r="FCN235" s="16"/>
      <c r="FCO235" s="15"/>
      <c r="FCP235" s="15"/>
      <c r="FCQ235" s="15"/>
      <c r="FCR235" s="16"/>
      <c r="FCS235" s="16"/>
      <c r="FCT235" s="16"/>
      <c r="FCU235" s="16"/>
      <c r="FCV235" s="16"/>
      <c r="FCW235" s="15"/>
      <c r="FCX235" s="15"/>
      <c r="FCY235" s="10"/>
      <c r="FCZ235" s="10"/>
      <c r="FDA235" s="19"/>
      <c r="FDB235" s="19"/>
      <c r="FDE235" s="16"/>
      <c r="FDF235" s="15"/>
      <c r="FDG235" s="15"/>
      <c r="FDH235" s="15"/>
      <c r="FDI235" s="16"/>
      <c r="FDJ235" s="16"/>
      <c r="FDK235" s="16"/>
      <c r="FDL235" s="16"/>
      <c r="FDM235" s="16"/>
      <c r="FDN235" s="15"/>
      <c r="FDO235" s="15"/>
      <c r="FDP235" s="10"/>
      <c r="FDQ235" s="10"/>
      <c r="FDR235" s="19"/>
      <c r="FDS235" s="19"/>
      <c r="FDV235" s="16"/>
      <c r="FDW235" s="15"/>
      <c r="FDX235" s="15"/>
      <c r="FDY235" s="15"/>
      <c r="FDZ235" s="16"/>
      <c r="FEA235" s="16"/>
      <c r="FEB235" s="16"/>
      <c r="FEC235" s="16"/>
      <c r="FED235" s="16"/>
      <c r="FEE235" s="15"/>
      <c r="FEF235" s="15"/>
      <c r="FEG235" s="10"/>
      <c r="FEH235" s="10"/>
      <c r="FEI235" s="19"/>
      <c r="FEJ235" s="19"/>
      <c r="FEM235" s="16"/>
      <c r="FEN235" s="15"/>
      <c r="FEO235" s="15"/>
      <c r="FEP235" s="15"/>
      <c r="FEQ235" s="16"/>
      <c r="FER235" s="16"/>
      <c r="FES235" s="16"/>
      <c r="FET235" s="16"/>
      <c r="FEU235" s="16"/>
      <c r="FEV235" s="15"/>
      <c r="FEW235" s="15"/>
      <c r="FEX235" s="10"/>
      <c r="FEY235" s="10"/>
      <c r="FEZ235" s="19"/>
      <c r="FFA235" s="19"/>
      <c r="FFD235" s="16"/>
      <c r="FFE235" s="15"/>
      <c r="FFF235" s="15"/>
      <c r="FFG235" s="15"/>
      <c r="FFH235" s="16"/>
      <c r="FFI235" s="16"/>
      <c r="FFJ235" s="16"/>
      <c r="FFK235" s="16"/>
      <c r="FFL235" s="16"/>
      <c r="FFM235" s="15"/>
      <c r="FFN235" s="15"/>
      <c r="FFO235" s="10"/>
      <c r="FFP235" s="10"/>
      <c r="FFQ235" s="19"/>
      <c r="FFR235" s="19"/>
      <c r="FFU235" s="16"/>
      <c r="FFV235" s="15"/>
      <c r="FFW235" s="15"/>
      <c r="FFX235" s="15"/>
      <c r="FFY235" s="16"/>
      <c r="FFZ235" s="16"/>
      <c r="FGA235" s="16"/>
      <c r="FGB235" s="16"/>
      <c r="FGC235" s="16"/>
      <c r="FGD235" s="15"/>
      <c r="FGE235" s="15"/>
      <c r="FGF235" s="10"/>
      <c r="FGG235" s="10"/>
      <c r="FGH235" s="19"/>
      <c r="FGI235" s="19"/>
      <c r="FGL235" s="16"/>
      <c r="FGM235" s="15"/>
      <c r="FGN235" s="15"/>
      <c r="FGO235" s="15"/>
      <c r="FGP235" s="16"/>
      <c r="FGQ235" s="16"/>
      <c r="FGR235" s="16"/>
      <c r="FGS235" s="16"/>
      <c r="FGT235" s="16"/>
      <c r="FGU235" s="15"/>
      <c r="FGV235" s="15"/>
      <c r="FGW235" s="10"/>
      <c r="FGX235" s="10"/>
      <c r="FGY235" s="19"/>
      <c r="FGZ235" s="19"/>
      <c r="FHC235" s="16"/>
      <c r="FHD235" s="15"/>
      <c r="FHE235" s="15"/>
      <c r="FHF235" s="15"/>
      <c r="FHG235" s="16"/>
      <c r="FHH235" s="16"/>
      <c r="FHI235" s="16"/>
      <c r="FHJ235" s="16"/>
      <c r="FHK235" s="16"/>
      <c r="FHL235" s="15"/>
      <c r="FHM235" s="15"/>
      <c r="FHN235" s="10"/>
      <c r="FHO235" s="10"/>
      <c r="FHP235" s="19"/>
      <c r="FHQ235" s="19"/>
      <c r="FHT235" s="16"/>
      <c r="FHU235" s="15"/>
      <c r="FHV235" s="15"/>
      <c r="FHW235" s="15"/>
      <c r="FHX235" s="16"/>
      <c r="FHY235" s="16"/>
      <c r="FHZ235" s="16"/>
      <c r="FIA235" s="16"/>
      <c r="FIB235" s="16"/>
      <c r="FIC235" s="15"/>
      <c r="FID235" s="15"/>
      <c r="FIE235" s="10"/>
      <c r="FIF235" s="10"/>
      <c r="FIG235" s="19"/>
      <c r="FIH235" s="19"/>
      <c r="FIK235" s="16"/>
      <c r="FIL235" s="15"/>
      <c r="FIM235" s="15"/>
      <c r="FIN235" s="15"/>
      <c r="FIO235" s="16"/>
      <c r="FIP235" s="16"/>
      <c r="FIQ235" s="16"/>
      <c r="FIR235" s="16"/>
      <c r="FIS235" s="16"/>
      <c r="FIT235" s="15"/>
      <c r="FIU235" s="15"/>
      <c r="FIV235" s="10"/>
      <c r="FIW235" s="10"/>
      <c r="FIX235" s="19"/>
      <c r="FIY235" s="19"/>
      <c r="FJB235" s="16"/>
      <c r="FJC235" s="15"/>
      <c r="FJD235" s="15"/>
      <c r="FJE235" s="15"/>
      <c r="FJF235" s="16"/>
      <c r="FJG235" s="16"/>
      <c r="FJH235" s="16"/>
      <c r="FJI235" s="16"/>
      <c r="FJJ235" s="16"/>
      <c r="FJK235" s="15"/>
      <c r="FJL235" s="15"/>
      <c r="FJM235" s="10"/>
      <c r="FJN235" s="10"/>
      <c r="FJO235" s="19"/>
      <c r="FJP235" s="19"/>
      <c r="FJS235" s="16"/>
      <c r="FJT235" s="15"/>
      <c r="FJU235" s="15"/>
      <c r="FJV235" s="15"/>
      <c r="FJW235" s="16"/>
      <c r="FJX235" s="16"/>
      <c r="FJY235" s="16"/>
      <c r="FJZ235" s="16"/>
      <c r="FKA235" s="16"/>
      <c r="FKB235" s="15"/>
      <c r="FKC235" s="15"/>
      <c r="FKD235" s="10"/>
      <c r="FKE235" s="10"/>
      <c r="FKF235" s="19"/>
      <c r="FKG235" s="19"/>
      <c r="FKJ235" s="16"/>
      <c r="FKK235" s="15"/>
      <c r="FKL235" s="15"/>
      <c r="FKM235" s="15"/>
      <c r="FKN235" s="16"/>
      <c r="FKO235" s="16"/>
      <c r="FKP235" s="16"/>
      <c r="FKQ235" s="16"/>
      <c r="FKR235" s="16"/>
      <c r="FKS235" s="15"/>
      <c r="FKT235" s="15"/>
      <c r="FKU235" s="10"/>
      <c r="FKV235" s="10"/>
      <c r="FKW235" s="19"/>
      <c r="FKX235" s="19"/>
      <c r="FLA235" s="16"/>
      <c r="FLB235" s="15"/>
      <c r="FLC235" s="15"/>
      <c r="FLD235" s="15"/>
      <c r="FLE235" s="16"/>
      <c r="FLF235" s="16"/>
      <c r="FLG235" s="16"/>
      <c r="FLH235" s="16"/>
      <c r="FLI235" s="16"/>
      <c r="FLJ235" s="15"/>
      <c r="FLK235" s="15"/>
      <c r="FLL235" s="10"/>
      <c r="FLM235" s="10"/>
      <c r="FLN235" s="19"/>
      <c r="FLO235" s="19"/>
      <c r="FLR235" s="16"/>
      <c r="FLS235" s="15"/>
      <c r="FLT235" s="15"/>
      <c r="FLU235" s="15"/>
      <c r="FLV235" s="16"/>
      <c r="FLW235" s="16"/>
      <c r="FLX235" s="16"/>
      <c r="FLY235" s="16"/>
      <c r="FLZ235" s="16"/>
      <c r="FMA235" s="15"/>
      <c r="FMB235" s="15"/>
      <c r="FMC235" s="10"/>
      <c r="FMD235" s="10"/>
      <c r="FME235" s="19"/>
      <c r="FMF235" s="19"/>
      <c r="FMI235" s="16"/>
      <c r="FMJ235" s="15"/>
      <c r="FMK235" s="15"/>
      <c r="FML235" s="15"/>
      <c r="FMM235" s="16"/>
      <c r="FMN235" s="16"/>
      <c r="FMO235" s="16"/>
      <c r="FMP235" s="16"/>
      <c r="FMQ235" s="16"/>
      <c r="FMR235" s="15"/>
      <c r="FMS235" s="15"/>
      <c r="FMT235" s="10"/>
      <c r="FMU235" s="10"/>
      <c r="FMV235" s="19"/>
      <c r="FMW235" s="19"/>
      <c r="FMZ235" s="16"/>
      <c r="FNA235" s="15"/>
      <c r="FNB235" s="15"/>
      <c r="FNC235" s="15"/>
      <c r="FND235" s="16"/>
      <c r="FNE235" s="16"/>
      <c r="FNF235" s="16"/>
      <c r="FNG235" s="16"/>
      <c r="FNH235" s="16"/>
      <c r="FNI235" s="15"/>
      <c r="FNJ235" s="15"/>
      <c r="FNK235" s="10"/>
      <c r="FNL235" s="10"/>
      <c r="FNM235" s="19"/>
      <c r="FNN235" s="19"/>
      <c r="FNQ235" s="16"/>
      <c r="FNR235" s="15"/>
      <c r="FNS235" s="15"/>
      <c r="FNT235" s="15"/>
      <c r="FNU235" s="16"/>
      <c r="FNV235" s="16"/>
      <c r="FNW235" s="16"/>
      <c r="FNX235" s="16"/>
      <c r="FNY235" s="16"/>
      <c r="FNZ235" s="15"/>
      <c r="FOA235" s="15"/>
      <c r="FOB235" s="10"/>
      <c r="FOC235" s="10"/>
      <c r="FOD235" s="19"/>
      <c r="FOE235" s="19"/>
      <c r="FOH235" s="16"/>
      <c r="FOI235" s="15"/>
      <c r="FOJ235" s="15"/>
      <c r="FOK235" s="15"/>
      <c r="FOL235" s="16"/>
      <c r="FOM235" s="16"/>
      <c r="FON235" s="16"/>
      <c r="FOO235" s="16"/>
      <c r="FOP235" s="16"/>
      <c r="FOQ235" s="15"/>
      <c r="FOR235" s="15"/>
      <c r="FOS235" s="10"/>
      <c r="FOT235" s="10"/>
      <c r="FOU235" s="19"/>
      <c r="FOV235" s="19"/>
      <c r="FOY235" s="16"/>
      <c r="FOZ235" s="15"/>
      <c r="FPA235" s="15"/>
      <c r="FPB235" s="15"/>
      <c r="FPC235" s="16"/>
      <c r="FPD235" s="16"/>
      <c r="FPE235" s="16"/>
      <c r="FPF235" s="16"/>
      <c r="FPG235" s="16"/>
      <c r="FPH235" s="15"/>
      <c r="FPI235" s="15"/>
      <c r="FPJ235" s="10"/>
      <c r="FPK235" s="10"/>
      <c r="FPL235" s="19"/>
      <c r="FPM235" s="19"/>
      <c r="FPP235" s="16"/>
      <c r="FPQ235" s="15"/>
      <c r="FPR235" s="15"/>
      <c r="FPS235" s="15"/>
      <c r="FPT235" s="16"/>
      <c r="FPU235" s="16"/>
      <c r="FPV235" s="16"/>
      <c r="FPW235" s="16"/>
      <c r="FPX235" s="16"/>
      <c r="FPY235" s="15"/>
      <c r="FPZ235" s="15"/>
      <c r="FQA235" s="10"/>
      <c r="FQB235" s="10"/>
      <c r="FQC235" s="19"/>
      <c r="FQD235" s="19"/>
      <c r="FQG235" s="16"/>
      <c r="FQH235" s="15"/>
      <c r="FQI235" s="15"/>
      <c r="FQJ235" s="15"/>
      <c r="FQK235" s="16"/>
      <c r="FQL235" s="16"/>
      <c r="FQM235" s="16"/>
      <c r="FQN235" s="16"/>
      <c r="FQO235" s="16"/>
      <c r="FQP235" s="15"/>
      <c r="FQQ235" s="15"/>
      <c r="FQR235" s="10"/>
      <c r="FQS235" s="10"/>
      <c r="FQT235" s="19"/>
      <c r="FQU235" s="19"/>
      <c r="FQX235" s="16"/>
      <c r="FQY235" s="15"/>
      <c r="FQZ235" s="15"/>
      <c r="FRA235" s="15"/>
      <c r="FRB235" s="16"/>
      <c r="FRC235" s="16"/>
      <c r="FRD235" s="16"/>
      <c r="FRE235" s="16"/>
      <c r="FRF235" s="16"/>
      <c r="FRG235" s="15"/>
      <c r="FRH235" s="15"/>
      <c r="FRI235" s="10"/>
      <c r="FRJ235" s="10"/>
      <c r="FRK235" s="19"/>
      <c r="FRL235" s="19"/>
      <c r="FRO235" s="16"/>
      <c r="FRP235" s="15"/>
      <c r="FRQ235" s="15"/>
      <c r="FRR235" s="15"/>
      <c r="FRS235" s="16"/>
      <c r="FRT235" s="16"/>
      <c r="FRU235" s="16"/>
      <c r="FRV235" s="16"/>
      <c r="FRW235" s="16"/>
      <c r="FRX235" s="15"/>
      <c r="FRY235" s="15"/>
      <c r="FRZ235" s="10"/>
      <c r="FSA235" s="10"/>
      <c r="FSB235" s="19"/>
      <c r="FSC235" s="19"/>
      <c r="FSF235" s="16"/>
      <c r="FSG235" s="15"/>
      <c r="FSH235" s="15"/>
      <c r="FSI235" s="15"/>
      <c r="FSJ235" s="16"/>
      <c r="FSK235" s="16"/>
      <c r="FSL235" s="16"/>
      <c r="FSM235" s="16"/>
      <c r="FSN235" s="16"/>
      <c r="FSO235" s="15"/>
      <c r="FSP235" s="15"/>
      <c r="FSQ235" s="10"/>
      <c r="FSR235" s="10"/>
      <c r="FSS235" s="19"/>
      <c r="FST235" s="19"/>
      <c r="FSW235" s="16"/>
      <c r="FSX235" s="15"/>
      <c r="FSY235" s="15"/>
      <c r="FSZ235" s="15"/>
      <c r="FTA235" s="16"/>
      <c r="FTB235" s="16"/>
      <c r="FTC235" s="16"/>
      <c r="FTD235" s="16"/>
      <c r="FTE235" s="16"/>
      <c r="FTF235" s="15"/>
      <c r="FTG235" s="15"/>
      <c r="FTH235" s="10"/>
      <c r="FTI235" s="10"/>
      <c r="FTJ235" s="19"/>
      <c r="FTK235" s="19"/>
      <c r="FTN235" s="16"/>
      <c r="FTO235" s="15"/>
      <c r="FTP235" s="15"/>
      <c r="FTQ235" s="15"/>
      <c r="FTR235" s="16"/>
      <c r="FTS235" s="16"/>
      <c r="FTT235" s="16"/>
      <c r="FTU235" s="16"/>
      <c r="FTV235" s="16"/>
      <c r="FTW235" s="15"/>
      <c r="FTX235" s="15"/>
      <c r="FTY235" s="10"/>
      <c r="FTZ235" s="10"/>
      <c r="FUA235" s="19"/>
      <c r="FUB235" s="19"/>
      <c r="FUE235" s="16"/>
      <c r="FUF235" s="15"/>
      <c r="FUG235" s="15"/>
      <c r="FUH235" s="15"/>
      <c r="FUI235" s="16"/>
      <c r="FUJ235" s="16"/>
      <c r="FUK235" s="16"/>
      <c r="FUL235" s="16"/>
      <c r="FUM235" s="16"/>
      <c r="FUN235" s="15"/>
      <c r="FUO235" s="15"/>
      <c r="FUP235" s="10"/>
      <c r="FUQ235" s="10"/>
      <c r="FUR235" s="19"/>
      <c r="FUS235" s="19"/>
      <c r="FUV235" s="16"/>
      <c r="FUW235" s="15"/>
      <c r="FUX235" s="15"/>
      <c r="FUY235" s="15"/>
      <c r="FUZ235" s="16"/>
      <c r="FVA235" s="16"/>
      <c r="FVB235" s="16"/>
      <c r="FVC235" s="16"/>
      <c r="FVD235" s="16"/>
      <c r="FVE235" s="15"/>
      <c r="FVF235" s="15"/>
      <c r="FVG235" s="10"/>
      <c r="FVH235" s="10"/>
      <c r="FVI235" s="19"/>
      <c r="FVJ235" s="19"/>
      <c r="FVM235" s="16"/>
      <c r="FVN235" s="15"/>
      <c r="FVO235" s="15"/>
      <c r="FVP235" s="15"/>
      <c r="FVQ235" s="16"/>
      <c r="FVR235" s="16"/>
      <c r="FVS235" s="16"/>
      <c r="FVT235" s="16"/>
      <c r="FVU235" s="16"/>
      <c r="FVV235" s="15"/>
      <c r="FVW235" s="15"/>
      <c r="FVX235" s="10"/>
      <c r="FVY235" s="10"/>
      <c r="FVZ235" s="19"/>
      <c r="FWA235" s="19"/>
      <c r="FWD235" s="16"/>
      <c r="FWE235" s="15"/>
      <c r="FWF235" s="15"/>
      <c r="FWG235" s="15"/>
      <c r="FWH235" s="16"/>
      <c r="FWI235" s="16"/>
      <c r="FWJ235" s="16"/>
      <c r="FWK235" s="16"/>
      <c r="FWL235" s="16"/>
      <c r="FWM235" s="15"/>
      <c r="FWN235" s="15"/>
      <c r="FWO235" s="10"/>
      <c r="FWP235" s="10"/>
      <c r="FWQ235" s="19"/>
      <c r="FWR235" s="19"/>
      <c r="FWU235" s="16"/>
      <c r="FWV235" s="15"/>
      <c r="FWW235" s="15"/>
      <c r="FWX235" s="15"/>
      <c r="FWY235" s="16"/>
      <c r="FWZ235" s="16"/>
      <c r="FXA235" s="16"/>
      <c r="FXB235" s="16"/>
      <c r="FXC235" s="16"/>
      <c r="FXD235" s="15"/>
      <c r="FXE235" s="15"/>
      <c r="FXF235" s="10"/>
      <c r="FXG235" s="10"/>
      <c r="FXH235" s="19"/>
      <c r="FXI235" s="19"/>
      <c r="FXL235" s="16"/>
      <c r="FXM235" s="15"/>
      <c r="FXN235" s="15"/>
      <c r="FXO235" s="15"/>
      <c r="FXP235" s="16"/>
      <c r="FXQ235" s="16"/>
      <c r="FXR235" s="16"/>
      <c r="FXS235" s="16"/>
      <c r="FXT235" s="16"/>
      <c r="FXU235" s="15"/>
      <c r="FXV235" s="15"/>
      <c r="FXW235" s="10"/>
      <c r="FXX235" s="10"/>
      <c r="FXY235" s="19"/>
      <c r="FXZ235" s="19"/>
      <c r="FYC235" s="16"/>
      <c r="FYD235" s="15"/>
      <c r="FYE235" s="15"/>
      <c r="FYF235" s="15"/>
      <c r="FYG235" s="16"/>
      <c r="FYH235" s="16"/>
      <c r="FYI235" s="16"/>
      <c r="FYJ235" s="16"/>
      <c r="FYK235" s="16"/>
      <c r="FYL235" s="15"/>
      <c r="FYM235" s="15"/>
      <c r="FYN235" s="10"/>
      <c r="FYO235" s="10"/>
      <c r="FYP235" s="19"/>
      <c r="FYQ235" s="19"/>
      <c r="FYT235" s="16"/>
      <c r="FYU235" s="15"/>
      <c r="FYV235" s="15"/>
      <c r="FYW235" s="15"/>
      <c r="FYX235" s="16"/>
      <c r="FYY235" s="16"/>
      <c r="FYZ235" s="16"/>
      <c r="FZA235" s="16"/>
      <c r="FZB235" s="16"/>
      <c r="FZC235" s="15"/>
      <c r="FZD235" s="15"/>
      <c r="FZE235" s="10"/>
      <c r="FZF235" s="10"/>
      <c r="FZG235" s="19"/>
      <c r="FZH235" s="19"/>
      <c r="FZK235" s="16"/>
      <c r="FZL235" s="15"/>
      <c r="FZM235" s="15"/>
      <c r="FZN235" s="15"/>
      <c r="FZO235" s="16"/>
      <c r="FZP235" s="16"/>
      <c r="FZQ235" s="16"/>
      <c r="FZR235" s="16"/>
      <c r="FZS235" s="16"/>
      <c r="FZT235" s="15"/>
      <c r="FZU235" s="15"/>
      <c r="FZV235" s="10"/>
      <c r="FZW235" s="10"/>
      <c r="FZX235" s="19"/>
      <c r="FZY235" s="19"/>
      <c r="GAB235" s="16"/>
      <c r="GAC235" s="15"/>
      <c r="GAD235" s="15"/>
      <c r="GAE235" s="15"/>
      <c r="GAF235" s="16"/>
      <c r="GAG235" s="16"/>
      <c r="GAH235" s="16"/>
      <c r="GAI235" s="16"/>
      <c r="GAJ235" s="16"/>
      <c r="GAK235" s="15"/>
      <c r="GAL235" s="15"/>
      <c r="GAM235" s="10"/>
      <c r="GAN235" s="10"/>
      <c r="GAO235" s="19"/>
      <c r="GAP235" s="19"/>
      <c r="GAS235" s="16"/>
      <c r="GAT235" s="15"/>
      <c r="GAU235" s="15"/>
      <c r="GAV235" s="15"/>
      <c r="GAW235" s="16"/>
      <c r="GAX235" s="16"/>
      <c r="GAY235" s="16"/>
      <c r="GAZ235" s="16"/>
      <c r="GBA235" s="16"/>
      <c r="GBB235" s="15"/>
      <c r="GBC235" s="15"/>
      <c r="GBD235" s="10"/>
      <c r="GBE235" s="10"/>
      <c r="GBF235" s="19"/>
      <c r="GBG235" s="19"/>
      <c r="GBJ235" s="16"/>
      <c r="GBK235" s="15"/>
      <c r="GBL235" s="15"/>
      <c r="GBM235" s="15"/>
      <c r="GBN235" s="16"/>
      <c r="GBO235" s="16"/>
      <c r="GBP235" s="16"/>
      <c r="GBQ235" s="16"/>
      <c r="GBR235" s="16"/>
      <c r="GBS235" s="15"/>
      <c r="GBT235" s="15"/>
      <c r="GBU235" s="10"/>
      <c r="GBV235" s="10"/>
      <c r="GBW235" s="19"/>
      <c r="GBX235" s="19"/>
      <c r="GCA235" s="16"/>
      <c r="GCB235" s="15"/>
      <c r="GCC235" s="15"/>
      <c r="GCD235" s="15"/>
      <c r="GCE235" s="16"/>
      <c r="GCF235" s="16"/>
      <c r="GCG235" s="16"/>
      <c r="GCH235" s="16"/>
      <c r="GCI235" s="16"/>
      <c r="GCJ235" s="15"/>
      <c r="GCK235" s="15"/>
      <c r="GCL235" s="10"/>
      <c r="GCM235" s="10"/>
      <c r="GCN235" s="19"/>
      <c r="GCO235" s="19"/>
      <c r="GCR235" s="16"/>
      <c r="GCS235" s="15"/>
      <c r="GCT235" s="15"/>
      <c r="GCU235" s="15"/>
      <c r="GCV235" s="16"/>
      <c r="GCW235" s="16"/>
      <c r="GCX235" s="16"/>
      <c r="GCY235" s="16"/>
      <c r="GCZ235" s="16"/>
      <c r="GDA235" s="15"/>
      <c r="GDB235" s="15"/>
      <c r="GDC235" s="10"/>
      <c r="GDD235" s="10"/>
      <c r="GDE235" s="19"/>
      <c r="GDF235" s="19"/>
      <c r="GDI235" s="16"/>
      <c r="GDJ235" s="15"/>
      <c r="GDK235" s="15"/>
      <c r="GDL235" s="15"/>
      <c r="GDM235" s="16"/>
      <c r="GDN235" s="16"/>
      <c r="GDO235" s="16"/>
      <c r="GDP235" s="16"/>
      <c r="GDQ235" s="16"/>
      <c r="GDR235" s="15"/>
      <c r="GDS235" s="15"/>
      <c r="GDT235" s="10"/>
      <c r="GDU235" s="10"/>
      <c r="GDV235" s="19"/>
      <c r="GDW235" s="19"/>
      <c r="GDZ235" s="16"/>
      <c r="GEA235" s="15"/>
      <c r="GEB235" s="15"/>
      <c r="GEC235" s="15"/>
      <c r="GED235" s="16"/>
      <c r="GEE235" s="16"/>
      <c r="GEF235" s="16"/>
      <c r="GEG235" s="16"/>
      <c r="GEH235" s="16"/>
      <c r="GEI235" s="15"/>
      <c r="GEJ235" s="15"/>
      <c r="GEK235" s="10"/>
      <c r="GEL235" s="10"/>
      <c r="GEM235" s="19"/>
      <c r="GEN235" s="19"/>
      <c r="GEQ235" s="16"/>
      <c r="GER235" s="15"/>
      <c r="GES235" s="15"/>
      <c r="GET235" s="15"/>
      <c r="GEU235" s="16"/>
      <c r="GEV235" s="16"/>
      <c r="GEW235" s="16"/>
      <c r="GEX235" s="16"/>
      <c r="GEY235" s="16"/>
      <c r="GEZ235" s="15"/>
      <c r="GFA235" s="15"/>
      <c r="GFB235" s="10"/>
      <c r="GFC235" s="10"/>
      <c r="GFD235" s="19"/>
      <c r="GFE235" s="19"/>
      <c r="GFH235" s="16"/>
      <c r="GFI235" s="15"/>
      <c r="GFJ235" s="15"/>
      <c r="GFK235" s="15"/>
      <c r="GFL235" s="16"/>
      <c r="GFM235" s="16"/>
      <c r="GFN235" s="16"/>
      <c r="GFO235" s="16"/>
      <c r="GFP235" s="16"/>
      <c r="GFQ235" s="15"/>
      <c r="GFR235" s="15"/>
      <c r="GFS235" s="10"/>
      <c r="GFT235" s="10"/>
      <c r="GFU235" s="19"/>
      <c r="GFV235" s="19"/>
      <c r="GFY235" s="16"/>
      <c r="GFZ235" s="15"/>
      <c r="GGA235" s="15"/>
      <c r="GGB235" s="15"/>
      <c r="GGC235" s="16"/>
      <c r="GGD235" s="16"/>
      <c r="GGE235" s="16"/>
      <c r="GGF235" s="16"/>
      <c r="GGG235" s="16"/>
      <c r="GGH235" s="15"/>
      <c r="GGI235" s="15"/>
      <c r="GGJ235" s="10"/>
      <c r="GGK235" s="10"/>
      <c r="GGL235" s="19"/>
      <c r="GGM235" s="19"/>
      <c r="GGP235" s="16"/>
      <c r="GGQ235" s="15"/>
      <c r="GGR235" s="15"/>
      <c r="GGS235" s="15"/>
      <c r="GGT235" s="16"/>
      <c r="GGU235" s="16"/>
      <c r="GGV235" s="16"/>
      <c r="GGW235" s="16"/>
      <c r="GGX235" s="16"/>
      <c r="GGY235" s="15"/>
      <c r="GGZ235" s="15"/>
      <c r="GHA235" s="10"/>
      <c r="GHB235" s="10"/>
      <c r="GHC235" s="19"/>
      <c r="GHD235" s="19"/>
      <c r="GHG235" s="16"/>
      <c r="GHH235" s="15"/>
      <c r="GHI235" s="15"/>
      <c r="GHJ235" s="15"/>
      <c r="GHK235" s="16"/>
      <c r="GHL235" s="16"/>
      <c r="GHM235" s="16"/>
      <c r="GHN235" s="16"/>
      <c r="GHO235" s="16"/>
      <c r="GHP235" s="15"/>
      <c r="GHQ235" s="15"/>
      <c r="GHR235" s="10"/>
      <c r="GHS235" s="10"/>
      <c r="GHT235" s="19"/>
      <c r="GHU235" s="19"/>
      <c r="GHX235" s="16"/>
      <c r="GHY235" s="15"/>
      <c r="GHZ235" s="15"/>
      <c r="GIA235" s="15"/>
      <c r="GIB235" s="16"/>
      <c r="GIC235" s="16"/>
      <c r="GID235" s="16"/>
      <c r="GIE235" s="16"/>
      <c r="GIF235" s="16"/>
      <c r="GIG235" s="15"/>
      <c r="GIH235" s="15"/>
      <c r="GII235" s="10"/>
      <c r="GIJ235" s="10"/>
      <c r="GIK235" s="19"/>
      <c r="GIL235" s="19"/>
      <c r="GIO235" s="16"/>
      <c r="GIP235" s="15"/>
      <c r="GIQ235" s="15"/>
      <c r="GIR235" s="15"/>
      <c r="GIS235" s="16"/>
      <c r="GIT235" s="16"/>
      <c r="GIU235" s="16"/>
      <c r="GIV235" s="16"/>
      <c r="GIW235" s="16"/>
      <c r="GIX235" s="15"/>
      <c r="GIY235" s="15"/>
      <c r="GIZ235" s="10"/>
      <c r="GJA235" s="10"/>
      <c r="GJB235" s="19"/>
      <c r="GJC235" s="19"/>
      <c r="GJF235" s="16"/>
      <c r="GJG235" s="15"/>
      <c r="GJH235" s="15"/>
      <c r="GJI235" s="15"/>
      <c r="GJJ235" s="16"/>
      <c r="GJK235" s="16"/>
      <c r="GJL235" s="16"/>
      <c r="GJM235" s="16"/>
      <c r="GJN235" s="16"/>
      <c r="GJO235" s="15"/>
      <c r="GJP235" s="15"/>
      <c r="GJQ235" s="10"/>
      <c r="GJR235" s="10"/>
      <c r="GJS235" s="19"/>
      <c r="GJT235" s="19"/>
      <c r="GJW235" s="16"/>
      <c r="GJX235" s="15"/>
      <c r="GJY235" s="15"/>
      <c r="GJZ235" s="15"/>
      <c r="GKA235" s="16"/>
      <c r="GKB235" s="16"/>
      <c r="GKC235" s="16"/>
      <c r="GKD235" s="16"/>
      <c r="GKE235" s="16"/>
      <c r="GKF235" s="15"/>
      <c r="GKG235" s="15"/>
      <c r="GKH235" s="10"/>
      <c r="GKI235" s="10"/>
      <c r="GKJ235" s="19"/>
      <c r="GKK235" s="19"/>
      <c r="GKN235" s="16"/>
      <c r="GKO235" s="15"/>
      <c r="GKP235" s="15"/>
      <c r="GKQ235" s="15"/>
      <c r="GKR235" s="16"/>
      <c r="GKS235" s="16"/>
      <c r="GKT235" s="16"/>
      <c r="GKU235" s="16"/>
      <c r="GKV235" s="16"/>
      <c r="GKW235" s="15"/>
      <c r="GKX235" s="15"/>
      <c r="GKY235" s="10"/>
      <c r="GKZ235" s="10"/>
      <c r="GLA235" s="19"/>
      <c r="GLB235" s="19"/>
      <c r="GLE235" s="16"/>
      <c r="GLF235" s="15"/>
      <c r="GLG235" s="15"/>
      <c r="GLH235" s="15"/>
      <c r="GLI235" s="16"/>
      <c r="GLJ235" s="16"/>
      <c r="GLK235" s="16"/>
      <c r="GLL235" s="16"/>
      <c r="GLM235" s="16"/>
      <c r="GLN235" s="15"/>
      <c r="GLO235" s="15"/>
      <c r="GLP235" s="10"/>
      <c r="GLQ235" s="10"/>
      <c r="GLR235" s="19"/>
      <c r="GLS235" s="19"/>
      <c r="GLV235" s="16"/>
      <c r="GLW235" s="15"/>
      <c r="GLX235" s="15"/>
      <c r="GLY235" s="15"/>
      <c r="GLZ235" s="16"/>
      <c r="GMA235" s="16"/>
      <c r="GMB235" s="16"/>
      <c r="GMC235" s="16"/>
      <c r="GMD235" s="16"/>
      <c r="GME235" s="15"/>
      <c r="GMF235" s="15"/>
      <c r="GMG235" s="10"/>
      <c r="GMH235" s="10"/>
      <c r="GMI235" s="19"/>
      <c r="GMJ235" s="19"/>
      <c r="GMM235" s="16"/>
      <c r="GMN235" s="15"/>
      <c r="GMO235" s="15"/>
      <c r="GMP235" s="15"/>
      <c r="GMQ235" s="16"/>
      <c r="GMR235" s="16"/>
      <c r="GMS235" s="16"/>
      <c r="GMT235" s="16"/>
      <c r="GMU235" s="16"/>
      <c r="GMV235" s="15"/>
      <c r="GMW235" s="15"/>
      <c r="GMX235" s="10"/>
      <c r="GMY235" s="10"/>
      <c r="GMZ235" s="19"/>
      <c r="GNA235" s="19"/>
      <c r="GND235" s="16"/>
      <c r="GNE235" s="15"/>
      <c r="GNF235" s="15"/>
      <c r="GNG235" s="15"/>
      <c r="GNH235" s="16"/>
      <c r="GNI235" s="16"/>
      <c r="GNJ235" s="16"/>
      <c r="GNK235" s="16"/>
      <c r="GNL235" s="16"/>
      <c r="GNM235" s="15"/>
      <c r="GNN235" s="15"/>
      <c r="GNO235" s="10"/>
      <c r="GNP235" s="10"/>
      <c r="GNQ235" s="19"/>
      <c r="GNR235" s="19"/>
      <c r="GNU235" s="16"/>
      <c r="GNV235" s="15"/>
      <c r="GNW235" s="15"/>
      <c r="GNX235" s="15"/>
      <c r="GNY235" s="16"/>
      <c r="GNZ235" s="16"/>
      <c r="GOA235" s="16"/>
      <c r="GOB235" s="16"/>
      <c r="GOC235" s="16"/>
      <c r="GOD235" s="15"/>
      <c r="GOE235" s="15"/>
      <c r="GOF235" s="10"/>
      <c r="GOG235" s="10"/>
      <c r="GOH235" s="19"/>
      <c r="GOI235" s="19"/>
      <c r="GOL235" s="16"/>
      <c r="GOM235" s="15"/>
      <c r="GON235" s="15"/>
      <c r="GOO235" s="15"/>
      <c r="GOP235" s="16"/>
      <c r="GOQ235" s="16"/>
      <c r="GOR235" s="16"/>
      <c r="GOS235" s="16"/>
      <c r="GOT235" s="16"/>
      <c r="GOU235" s="15"/>
      <c r="GOV235" s="15"/>
      <c r="GOW235" s="10"/>
      <c r="GOX235" s="10"/>
      <c r="GOY235" s="19"/>
      <c r="GOZ235" s="19"/>
      <c r="GPC235" s="16"/>
      <c r="GPD235" s="15"/>
      <c r="GPE235" s="15"/>
      <c r="GPF235" s="15"/>
      <c r="GPG235" s="16"/>
      <c r="GPH235" s="16"/>
      <c r="GPI235" s="16"/>
      <c r="GPJ235" s="16"/>
      <c r="GPK235" s="16"/>
      <c r="GPL235" s="15"/>
      <c r="GPM235" s="15"/>
      <c r="GPN235" s="10"/>
      <c r="GPO235" s="10"/>
      <c r="GPP235" s="19"/>
      <c r="GPQ235" s="19"/>
      <c r="GPT235" s="16"/>
      <c r="GPU235" s="15"/>
      <c r="GPV235" s="15"/>
      <c r="GPW235" s="15"/>
      <c r="GPX235" s="16"/>
      <c r="GPY235" s="16"/>
      <c r="GPZ235" s="16"/>
      <c r="GQA235" s="16"/>
      <c r="GQB235" s="16"/>
      <c r="GQC235" s="15"/>
      <c r="GQD235" s="15"/>
      <c r="GQE235" s="10"/>
      <c r="GQF235" s="10"/>
      <c r="GQG235" s="19"/>
      <c r="GQH235" s="19"/>
      <c r="GQK235" s="16"/>
      <c r="GQL235" s="15"/>
      <c r="GQM235" s="15"/>
      <c r="GQN235" s="15"/>
      <c r="GQO235" s="16"/>
      <c r="GQP235" s="16"/>
      <c r="GQQ235" s="16"/>
      <c r="GQR235" s="16"/>
      <c r="GQS235" s="16"/>
      <c r="GQT235" s="15"/>
      <c r="GQU235" s="15"/>
      <c r="GQV235" s="10"/>
      <c r="GQW235" s="10"/>
      <c r="GQX235" s="19"/>
      <c r="GQY235" s="19"/>
      <c r="GRB235" s="16"/>
      <c r="GRC235" s="15"/>
      <c r="GRD235" s="15"/>
      <c r="GRE235" s="15"/>
      <c r="GRF235" s="16"/>
      <c r="GRG235" s="16"/>
      <c r="GRH235" s="16"/>
      <c r="GRI235" s="16"/>
      <c r="GRJ235" s="16"/>
      <c r="GRK235" s="15"/>
      <c r="GRL235" s="15"/>
      <c r="GRM235" s="10"/>
      <c r="GRN235" s="10"/>
      <c r="GRO235" s="19"/>
      <c r="GRP235" s="19"/>
      <c r="GRS235" s="16"/>
      <c r="GRT235" s="15"/>
      <c r="GRU235" s="15"/>
      <c r="GRV235" s="15"/>
      <c r="GRW235" s="16"/>
      <c r="GRX235" s="16"/>
      <c r="GRY235" s="16"/>
      <c r="GRZ235" s="16"/>
      <c r="GSA235" s="16"/>
      <c r="GSB235" s="15"/>
      <c r="GSC235" s="15"/>
      <c r="GSD235" s="10"/>
      <c r="GSE235" s="10"/>
      <c r="GSF235" s="19"/>
      <c r="GSG235" s="19"/>
      <c r="GSJ235" s="16"/>
      <c r="GSK235" s="15"/>
      <c r="GSL235" s="15"/>
      <c r="GSM235" s="15"/>
      <c r="GSN235" s="16"/>
      <c r="GSO235" s="16"/>
      <c r="GSP235" s="16"/>
      <c r="GSQ235" s="16"/>
      <c r="GSR235" s="16"/>
      <c r="GSS235" s="15"/>
      <c r="GST235" s="15"/>
      <c r="GSU235" s="10"/>
      <c r="GSV235" s="10"/>
      <c r="GSW235" s="19"/>
      <c r="GSX235" s="19"/>
      <c r="GTA235" s="16"/>
      <c r="GTB235" s="15"/>
      <c r="GTC235" s="15"/>
      <c r="GTD235" s="15"/>
      <c r="GTE235" s="16"/>
      <c r="GTF235" s="16"/>
      <c r="GTG235" s="16"/>
      <c r="GTH235" s="16"/>
      <c r="GTI235" s="16"/>
      <c r="GTJ235" s="15"/>
      <c r="GTK235" s="15"/>
      <c r="GTL235" s="10"/>
      <c r="GTM235" s="10"/>
      <c r="GTN235" s="19"/>
      <c r="GTO235" s="19"/>
      <c r="GTR235" s="16"/>
      <c r="GTS235" s="15"/>
      <c r="GTT235" s="15"/>
      <c r="GTU235" s="15"/>
      <c r="GTV235" s="16"/>
      <c r="GTW235" s="16"/>
      <c r="GTX235" s="16"/>
      <c r="GTY235" s="16"/>
      <c r="GTZ235" s="16"/>
      <c r="GUA235" s="15"/>
      <c r="GUB235" s="15"/>
      <c r="GUC235" s="10"/>
      <c r="GUD235" s="10"/>
      <c r="GUE235" s="19"/>
      <c r="GUF235" s="19"/>
      <c r="GUI235" s="16"/>
      <c r="GUJ235" s="15"/>
      <c r="GUK235" s="15"/>
      <c r="GUL235" s="15"/>
      <c r="GUM235" s="16"/>
      <c r="GUN235" s="16"/>
      <c r="GUO235" s="16"/>
      <c r="GUP235" s="16"/>
      <c r="GUQ235" s="16"/>
      <c r="GUR235" s="15"/>
      <c r="GUS235" s="15"/>
      <c r="GUT235" s="10"/>
      <c r="GUU235" s="10"/>
      <c r="GUV235" s="19"/>
      <c r="GUW235" s="19"/>
      <c r="GUZ235" s="16"/>
      <c r="GVA235" s="15"/>
      <c r="GVB235" s="15"/>
      <c r="GVC235" s="15"/>
      <c r="GVD235" s="16"/>
      <c r="GVE235" s="16"/>
      <c r="GVF235" s="16"/>
      <c r="GVG235" s="16"/>
      <c r="GVH235" s="16"/>
      <c r="GVI235" s="15"/>
      <c r="GVJ235" s="15"/>
      <c r="GVK235" s="10"/>
      <c r="GVL235" s="10"/>
      <c r="GVM235" s="19"/>
      <c r="GVN235" s="19"/>
      <c r="GVQ235" s="16"/>
      <c r="GVR235" s="15"/>
      <c r="GVS235" s="15"/>
      <c r="GVT235" s="15"/>
      <c r="GVU235" s="16"/>
      <c r="GVV235" s="16"/>
      <c r="GVW235" s="16"/>
      <c r="GVX235" s="16"/>
      <c r="GVY235" s="16"/>
      <c r="GVZ235" s="15"/>
      <c r="GWA235" s="15"/>
      <c r="GWB235" s="10"/>
      <c r="GWC235" s="10"/>
      <c r="GWD235" s="19"/>
      <c r="GWE235" s="19"/>
      <c r="GWH235" s="16"/>
      <c r="GWI235" s="15"/>
      <c r="GWJ235" s="15"/>
      <c r="GWK235" s="15"/>
      <c r="GWL235" s="16"/>
      <c r="GWM235" s="16"/>
      <c r="GWN235" s="16"/>
      <c r="GWO235" s="16"/>
      <c r="GWP235" s="16"/>
      <c r="GWQ235" s="15"/>
      <c r="GWR235" s="15"/>
      <c r="GWS235" s="10"/>
      <c r="GWT235" s="10"/>
      <c r="GWU235" s="19"/>
      <c r="GWV235" s="19"/>
      <c r="GWY235" s="16"/>
      <c r="GWZ235" s="15"/>
      <c r="GXA235" s="15"/>
      <c r="GXB235" s="15"/>
      <c r="GXC235" s="16"/>
      <c r="GXD235" s="16"/>
      <c r="GXE235" s="16"/>
      <c r="GXF235" s="16"/>
      <c r="GXG235" s="16"/>
      <c r="GXH235" s="15"/>
      <c r="GXI235" s="15"/>
      <c r="GXJ235" s="10"/>
      <c r="GXK235" s="10"/>
      <c r="GXL235" s="19"/>
      <c r="GXM235" s="19"/>
      <c r="GXP235" s="16"/>
      <c r="GXQ235" s="15"/>
      <c r="GXR235" s="15"/>
      <c r="GXS235" s="15"/>
      <c r="GXT235" s="16"/>
      <c r="GXU235" s="16"/>
      <c r="GXV235" s="16"/>
      <c r="GXW235" s="16"/>
      <c r="GXX235" s="16"/>
      <c r="GXY235" s="15"/>
      <c r="GXZ235" s="15"/>
      <c r="GYA235" s="10"/>
      <c r="GYB235" s="10"/>
      <c r="GYC235" s="19"/>
      <c r="GYD235" s="19"/>
      <c r="GYG235" s="16"/>
      <c r="GYH235" s="15"/>
      <c r="GYI235" s="15"/>
      <c r="GYJ235" s="15"/>
      <c r="GYK235" s="16"/>
      <c r="GYL235" s="16"/>
      <c r="GYM235" s="16"/>
      <c r="GYN235" s="16"/>
      <c r="GYO235" s="16"/>
      <c r="GYP235" s="15"/>
      <c r="GYQ235" s="15"/>
      <c r="GYR235" s="10"/>
      <c r="GYS235" s="10"/>
      <c r="GYT235" s="19"/>
      <c r="GYU235" s="19"/>
      <c r="GYX235" s="16"/>
      <c r="GYY235" s="15"/>
      <c r="GYZ235" s="15"/>
      <c r="GZA235" s="15"/>
      <c r="GZB235" s="16"/>
      <c r="GZC235" s="16"/>
      <c r="GZD235" s="16"/>
      <c r="GZE235" s="16"/>
      <c r="GZF235" s="16"/>
      <c r="GZG235" s="15"/>
      <c r="GZH235" s="15"/>
      <c r="GZI235" s="10"/>
      <c r="GZJ235" s="10"/>
      <c r="GZK235" s="19"/>
      <c r="GZL235" s="19"/>
      <c r="GZO235" s="16"/>
      <c r="GZP235" s="15"/>
      <c r="GZQ235" s="15"/>
      <c r="GZR235" s="15"/>
      <c r="GZS235" s="16"/>
      <c r="GZT235" s="16"/>
      <c r="GZU235" s="16"/>
      <c r="GZV235" s="16"/>
      <c r="GZW235" s="16"/>
      <c r="GZX235" s="15"/>
      <c r="GZY235" s="15"/>
      <c r="GZZ235" s="10"/>
      <c r="HAA235" s="10"/>
      <c r="HAB235" s="19"/>
      <c r="HAC235" s="19"/>
      <c r="HAF235" s="16"/>
      <c r="HAG235" s="15"/>
      <c r="HAH235" s="15"/>
      <c r="HAI235" s="15"/>
      <c r="HAJ235" s="16"/>
      <c r="HAK235" s="16"/>
      <c r="HAL235" s="16"/>
      <c r="HAM235" s="16"/>
      <c r="HAN235" s="16"/>
      <c r="HAO235" s="15"/>
      <c r="HAP235" s="15"/>
      <c r="HAQ235" s="10"/>
      <c r="HAR235" s="10"/>
      <c r="HAS235" s="19"/>
      <c r="HAT235" s="19"/>
      <c r="HAW235" s="16"/>
      <c r="HAX235" s="15"/>
      <c r="HAY235" s="15"/>
      <c r="HAZ235" s="15"/>
      <c r="HBA235" s="16"/>
      <c r="HBB235" s="16"/>
      <c r="HBC235" s="16"/>
      <c r="HBD235" s="16"/>
      <c r="HBE235" s="16"/>
      <c r="HBF235" s="15"/>
      <c r="HBG235" s="15"/>
      <c r="HBH235" s="10"/>
      <c r="HBI235" s="10"/>
      <c r="HBJ235" s="19"/>
      <c r="HBK235" s="19"/>
      <c r="HBN235" s="16"/>
      <c r="HBO235" s="15"/>
      <c r="HBP235" s="15"/>
      <c r="HBQ235" s="15"/>
      <c r="HBR235" s="16"/>
      <c r="HBS235" s="16"/>
      <c r="HBT235" s="16"/>
      <c r="HBU235" s="16"/>
      <c r="HBV235" s="16"/>
      <c r="HBW235" s="15"/>
      <c r="HBX235" s="15"/>
      <c r="HBY235" s="10"/>
      <c r="HBZ235" s="10"/>
      <c r="HCA235" s="19"/>
      <c r="HCB235" s="19"/>
      <c r="HCE235" s="16"/>
      <c r="HCF235" s="15"/>
      <c r="HCG235" s="15"/>
      <c r="HCH235" s="15"/>
      <c r="HCI235" s="16"/>
      <c r="HCJ235" s="16"/>
      <c r="HCK235" s="16"/>
      <c r="HCL235" s="16"/>
      <c r="HCM235" s="16"/>
      <c r="HCN235" s="15"/>
      <c r="HCO235" s="15"/>
      <c r="HCP235" s="10"/>
      <c r="HCQ235" s="10"/>
      <c r="HCR235" s="19"/>
      <c r="HCS235" s="19"/>
      <c r="HCV235" s="16"/>
      <c r="HCW235" s="15"/>
      <c r="HCX235" s="15"/>
      <c r="HCY235" s="15"/>
      <c r="HCZ235" s="16"/>
      <c r="HDA235" s="16"/>
      <c r="HDB235" s="16"/>
      <c r="HDC235" s="16"/>
      <c r="HDD235" s="16"/>
      <c r="HDE235" s="15"/>
      <c r="HDF235" s="15"/>
      <c r="HDG235" s="10"/>
      <c r="HDH235" s="10"/>
      <c r="HDI235" s="19"/>
      <c r="HDJ235" s="19"/>
      <c r="HDM235" s="16"/>
      <c r="HDN235" s="15"/>
      <c r="HDO235" s="15"/>
      <c r="HDP235" s="15"/>
      <c r="HDQ235" s="16"/>
      <c r="HDR235" s="16"/>
      <c r="HDS235" s="16"/>
      <c r="HDT235" s="16"/>
      <c r="HDU235" s="16"/>
      <c r="HDV235" s="15"/>
      <c r="HDW235" s="15"/>
      <c r="HDX235" s="10"/>
      <c r="HDY235" s="10"/>
      <c r="HDZ235" s="19"/>
      <c r="HEA235" s="19"/>
      <c r="HED235" s="16"/>
      <c r="HEE235" s="15"/>
      <c r="HEF235" s="15"/>
      <c r="HEG235" s="15"/>
      <c r="HEH235" s="16"/>
      <c r="HEI235" s="16"/>
      <c r="HEJ235" s="16"/>
      <c r="HEK235" s="16"/>
      <c r="HEL235" s="16"/>
      <c r="HEM235" s="15"/>
      <c r="HEN235" s="15"/>
      <c r="HEO235" s="10"/>
      <c r="HEP235" s="10"/>
      <c r="HEQ235" s="19"/>
      <c r="HER235" s="19"/>
      <c r="HEU235" s="16"/>
      <c r="HEV235" s="15"/>
      <c r="HEW235" s="15"/>
      <c r="HEX235" s="15"/>
      <c r="HEY235" s="16"/>
      <c r="HEZ235" s="16"/>
      <c r="HFA235" s="16"/>
      <c r="HFB235" s="16"/>
      <c r="HFC235" s="16"/>
      <c r="HFD235" s="15"/>
      <c r="HFE235" s="15"/>
      <c r="HFF235" s="10"/>
      <c r="HFG235" s="10"/>
      <c r="HFH235" s="19"/>
      <c r="HFI235" s="19"/>
      <c r="HFL235" s="16"/>
      <c r="HFM235" s="15"/>
      <c r="HFN235" s="15"/>
      <c r="HFO235" s="15"/>
      <c r="HFP235" s="16"/>
      <c r="HFQ235" s="16"/>
      <c r="HFR235" s="16"/>
      <c r="HFS235" s="16"/>
      <c r="HFT235" s="16"/>
      <c r="HFU235" s="15"/>
      <c r="HFV235" s="15"/>
      <c r="HFW235" s="10"/>
      <c r="HFX235" s="10"/>
      <c r="HFY235" s="19"/>
      <c r="HFZ235" s="19"/>
      <c r="HGC235" s="16"/>
      <c r="HGD235" s="15"/>
      <c r="HGE235" s="15"/>
      <c r="HGF235" s="15"/>
      <c r="HGG235" s="16"/>
      <c r="HGH235" s="16"/>
      <c r="HGI235" s="16"/>
      <c r="HGJ235" s="16"/>
      <c r="HGK235" s="16"/>
      <c r="HGL235" s="15"/>
      <c r="HGM235" s="15"/>
      <c r="HGN235" s="10"/>
      <c r="HGO235" s="10"/>
      <c r="HGP235" s="19"/>
      <c r="HGQ235" s="19"/>
      <c r="HGT235" s="16"/>
      <c r="HGU235" s="15"/>
      <c r="HGV235" s="15"/>
      <c r="HGW235" s="15"/>
      <c r="HGX235" s="16"/>
      <c r="HGY235" s="16"/>
      <c r="HGZ235" s="16"/>
      <c r="HHA235" s="16"/>
      <c r="HHB235" s="16"/>
      <c r="HHC235" s="15"/>
      <c r="HHD235" s="15"/>
      <c r="HHE235" s="10"/>
      <c r="HHF235" s="10"/>
      <c r="HHG235" s="19"/>
      <c r="HHH235" s="19"/>
      <c r="HHK235" s="16"/>
      <c r="HHL235" s="15"/>
      <c r="HHM235" s="15"/>
      <c r="HHN235" s="15"/>
      <c r="HHO235" s="16"/>
      <c r="HHP235" s="16"/>
      <c r="HHQ235" s="16"/>
      <c r="HHR235" s="16"/>
      <c r="HHS235" s="16"/>
      <c r="HHT235" s="15"/>
      <c r="HHU235" s="15"/>
      <c r="HHV235" s="10"/>
      <c r="HHW235" s="10"/>
      <c r="HHX235" s="19"/>
      <c r="HHY235" s="19"/>
      <c r="HIB235" s="16"/>
      <c r="HIC235" s="15"/>
      <c r="HID235" s="15"/>
      <c r="HIE235" s="15"/>
      <c r="HIF235" s="16"/>
      <c r="HIG235" s="16"/>
      <c r="HIH235" s="16"/>
      <c r="HII235" s="16"/>
      <c r="HIJ235" s="16"/>
      <c r="HIK235" s="15"/>
      <c r="HIL235" s="15"/>
      <c r="HIM235" s="10"/>
      <c r="HIN235" s="10"/>
      <c r="HIO235" s="19"/>
      <c r="HIP235" s="19"/>
      <c r="HIS235" s="16"/>
      <c r="HIT235" s="15"/>
      <c r="HIU235" s="15"/>
      <c r="HIV235" s="15"/>
      <c r="HIW235" s="16"/>
      <c r="HIX235" s="16"/>
      <c r="HIY235" s="16"/>
      <c r="HIZ235" s="16"/>
      <c r="HJA235" s="16"/>
      <c r="HJB235" s="15"/>
      <c r="HJC235" s="15"/>
      <c r="HJD235" s="10"/>
      <c r="HJE235" s="10"/>
      <c r="HJF235" s="19"/>
      <c r="HJG235" s="19"/>
      <c r="HJJ235" s="16"/>
      <c r="HJK235" s="15"/>
      <c r="HJL235" s="15"/>
      <c r="HJM235" s="15"/>
      <c r="HJN235" s="16"/>
      <c r="HJO235" s="16"/>
      <c r="HJP235" s="16"/>
      <c r="HJQ235" s="16"/>
      <c r="HJR235" s="16"/>
      <c r="HJS235" s="15"/>
      <c r="HJT235" s="15"/>
      <c r="HJU235" s="10"/>
      <c r="HJV235" s="10"/>
      <c r="HJW235" s="19"/>
      <c r="HJX235" s="19"/>
      <c r="HKA235" s="16"/>
      <c r="HKB235" s="15"/>
      <c r="HKC235" s="15"/>
      <c r="HKD235" s="15"/>
      <c r="HKE235" s="16"/>
      <c r="HKF235" s="16"/>
      <c r="HKG235" s="16"/>
      <c r="HKH235" s="16"/>
      <c r="HKI235" s="16"/>
      <c r="HKJ235" s="15"/>
      <c r="HKK235" s="15"/>
      <c r="HKL235" s="10"/>
      <c r="HKM235" s="10"/>
      <c r="HKN235" s="19"/>
      <c r="HKO235" s="19"/>
      <c r="HKR235" s="16"/>
      <c r="HKS235" s="15"/>
      <c r="HKT235" s="15"/>
      <c r="HKU235" s="15"/>
      <c r="HKV235" s="16"/>
      <c r="HKW235" s="16"/>
      <c r="HKX235" s="16"/>
      <c r="HKY235" s="16"/>
      <c r="HKZ235" s="16"/>
      <c r="HLA235" s="15"/>
      <c r="HLB235" s="15"/>
      <c r="HLC235" s="10"/>
      <c r="HLD235" s="10"/>
      <c r="HLE235" s="19"/>
      <c r="HLF235" s="19"/>
      <c r="HLI235" s="16"/>
      <c r="HLJ235" s="15"/>
      <c r="HLK235" s="15"/>
      <c r="HLL235" s="15"/>
      <c r="HLM235" s="16"/>
      <c r="HLN235" s="16"/>
      <c r="HLO235" s="16"/>
      <c r="HLP235" s="16"/>
      <c r="HLQ235" s="16"/>
      <c r="HLR235" s="15"/>
      <c r="HLS235" s="15"/>
      <c r="HLT235" s="10"/>
      <c r="HLU235" s="10"/>
      <c r="HLV235" s="19"/>
      <c r="HLW235" s="19"/>
      <c r="HLZ235" s="16"/>
      <c r="HMA235" s="15"/>
      <c r="HMB235" s="15"/>
      <c r="HMC235" s="15"/>
      <c r="HMD235" s="16"/>
      <c r="HME235" s="16"/>
      <c r="HMF235" s="16"/>
      <c r="HMG235" s="16"/>
      <c r="HMH235" s="16"/>
      <c r="HMI235" s="15"/>
      <c r="HMJ235" s="15"/>
      <c r="HMK235" s="10"/>
      <c r="HML235" s="10"/>
      <c r="HMM235" s="19"/>
      <c r="HMN235" s="19"/>
      <c r="HMQ235" s="16"/>
      <c r="HMR235" s="15"/>
      <c r="HMS235" s="15"/>
      <c r="HMT235" s="15"/>
      <c r="HMU235" s="16"/>
      <c r="HMV235" s="16"/>
      <c r="HMW235" s="16"/>
      <c r="HMX235" s="16"/>
      <c r="HMY235" s="16"/>
      <c r="HMZ235" s="15"/>
      <c r="HNA235" s="15"/>
      <c r="HNB235" s="10"/>
      <c r="HNC235" s="10"/>
      <c r="HND235" s="19"/>
      <c r="HNE235" s="19"/>
      <c r="HNH235" s="16"/>
      <c r="HNI235" s="15"/>
      <c r="HNJ235" s="15"/>
      <c r="HNK235" s="15"/>
      <c r="HNL235" s="16"/>
      <c r="HNM235" s="16"/>
      <c r="HNN235" s="16"/>
      <c r="HNO235" s="16"/>
      <c r="HNP235" s="16"/>
      <c r="HNQ235" s="15"/>
      <c r="HNR235" s="15"/>
      <c r="HNS235" s="10"/>
      <c r="HNT235" s="10"/>
      <c r="HNU235" s="19"/>
      <c r="HNV235" s="19"/>
      <c r="HNY235" s="16"/>
      <c r="HNZ235" s="15"/>
      <c r="HOA235" s="15"/>
      <c r="HOB235" s="15"/>
      <c r="HOC235" s="16"/>
      <c r="HOD235" s="16"/>
      <c r="HOE235" s="16"/>
      <c r="HOF235" s="16"/>
      <c r="HOG235" s="16"/>
      <c r="HOH235" s="15"/>
      <c r="HOI235" s="15"/>
      <c r="HOJ235" s="10"/>
      <c r="HOK235" s="10"/>
      <c r="HOL235" s="19"/>
      <c r="HOM235" s="19"/>
      <c r="HOP235" s="16"/>
      <c r="HOQ235" s="15"/>
      <c r="HOR235" s="15"/>
      <c r="HOS235" s="15"/>
      <c r="HOT235" s="16"/>
      <c r="HOU235" s="16"/>
      <c r="HOV235" s="16"/>
      <c r="HOW235" s="16"/>
      <c r="HOX235" s="16"/>
      <c r="HOY235" s="15"/>
      <c r="HOZ235" s="15"/>
      <c r="HPA235" s="10"/>
      <c r="HPB235" s="10"/>
      <c r="HPC235" s="19"/>
      <c r="HPD235" s="19"/>
      <c r="HPG235" s="16"/>
      <c r="HPH235" s="15"/>
      <c r="HPI235" s="15"/>
      <c r="HPJ235" s="15"/>
      <c r="HPK235" s="16"/>
      <c r="HPL235" s="16"/>
      <c r="HPM235" s="16"/>
      <c r="HPN235" s="16"/>
      <c r="HPO235" s="16"/>
      <c r="HPP235" s="15"/>
      <c r="HPQ235" s="15"/>
      <c r="HPR235" s="10"/>
      <c r="HPS235" s="10"/>
      <c r="HPT235" s="19"/>
      <c r="HPU235" s="19"/>
      <c r="HPX235" s="16"/>
      <c r="HPY235" s="15"/>
      <c r="HPZ235" s="15"/>
      <c r="HQA235" s="15"/>
      <c r="HQB235" s="16"/>
      <c r="HQC235" s="16"/>
      <c r="HQD235" s="16"/>
      <c r="HQE235" s="16"/>
      <c r="HQF235" s="16"/>
      <c r="HQG235" s="15"/>
      <c r="HQH235" s="15"/>
      <c r="HQI235" s="10"/>
      <c r="HQJ235" s="10"/>
      <c r="HQK235" s="19"/>
      <c r="HQL235" s="19"/>
      <c r="HQO235" s="16"/>
      <c r="HQP235" s="15"/>
      <c r="HQQ235" s="15"/>
      <c r="HQR235" s="15"/>
      <c r="HQS235" s="16"/>
      <c r="HQT235" s="16"/>
      <c r="HQU235" s="16"/>
      <c r="HQV235" s="16"/>
      <c r="HQW235" s="16"/>
      <c r="HQX235" s="15"/>
      <c r="HQY235" s="15"/>
      <c r="HQZ235" s="10"/>
      <c r="HRA235" s="10"/>
      <c r="HRB235" s="19"/>
      <c r="HRC235" s="19"/>
      <c r="HRF235" s="16"/>
      <c r="HRG235" s="15"/>
      <c r="HRH235" s="15"/>
      <c r="HRI235" s="15"/>
      <c r="HRJ235" s="16"/>
      <c r="HRK235" s="16"/>
      <c r="HRL235" s="16"/>
      <c r="HRM235" s="16"/>
      <c r="HRN235" s="16"/>
      <c r="HRO235" s="15"/>
      <c r="HRP235" s="15"/>
      <c r="HRQ235" s="10"/>
      <c r="HRR235" s="10"/>
      <c r="HRS235" s="19"/>
      <c r="HRT235" s="19"/>
      <c r="HRW235" s="16"/>
      <c r="HRX235" s="15"/>
      <c r="HRY235" s="15"/>
      <c r="HRZ235" s="15"/>
      <c r="HSA235" s="16"/>
      <c r="HSB235" s="16"/>
      <c r="HSC235" s="16"/>
      <c r="HSD235" s="16"/>
      <c r="HSE235" s="16"/>
      <c r="HSF235" s="15"/>
      <c r="HSG235" s="15"/>
      <c r="HSH235" s="10"/>
      <c r="HSI235" s="10"/>
      <c r="HSJ235" s="19"/>
      <c r="HSK235" s="19"/>
      <c r="HSN235" s="16"/>
      <c r="HSO235" s="15"/>
      <c r="HSP235" s="15"/>
      <c r="HSQ235" s="15"/>
      <c r="HSR235" s="16"/>
      <c r="HSS235" s="16"/>
      <c r="HST235" s="16"/>
      <c r="HSU235" s="16"/>
      <c r="HSV235" s="16"/>
      <c r="HSW235" s="15"/>
      <c r="HSX235" s="15"/>
      <c r="HSY235" s="10"/>
      <c r="HSZ235" s="10"/>
      <c r="HTA235" s="19"/>
      <c r="HTB235" s="19"/>
      <c r="HTE235" s="16"/>
      <c r="HTF235" s="15"/>
      <c r="HTG235" s="15"/>
      <c r="HTH235" s="15"/>
      <c r="HTI235" s="16"/>
      <c r="HTJ235" s="16"/>
      <c r="HTK235" s="16"/>
      <c r="HTL235" s="16"/>
      <c r="HTM235" s="16"/>
      <c r="HTN235" s="15"/>
      <c r="HTO235" s="15"/>
      <c r="HTP235" s="10"/>
      <c r="HTQ235" s="10"/>
      <c r="HTR235" s="19"/>
      <c r="HTS235" s="19"/>
      <c r="HTV235" s="16"/>
      <c r="HTW235" s="15"/>
      <c r="HTX235" s="15"/>
      <c r="HTY235" s="15"/>
      <c r="HTZ235" s="16"/>
      <c r="HUA235" s="16"/>
      <c r="HUB235" s="16"/>
      <c r="HUC235" s="16"/>
      <c r="HUD235" s="16"/>
      <c r="HUE235" s="15"/>
      <c r="HUF235" s="15"/>
      <c r="HUG235" s="10"/>
      <c r="HUH235" s="10"/>
      <c r="HUI235" s="19"/>
      <c r="HUJ235" s="19"/>
      <c r="HUM235" s="16"/>
      <c r="HUN235" s="15"/>
      <c r="HUO235" s="15"/>
      <c r="HUP235" s="15"/>
      <c r="HUQ235" s="16"/>
      <c r="HUR235" s="16"/>
      <c r="HUS235" s="16"/>
      <c r="HUT235" s="16"/>
      <c r="HUU235" s="16"/>
      <c r="HUV235" s="15"/>
      <c r="HUW235" s="15"/>
      <c r="HUX235" s="10"/>
      <c r="HUY235" s="10"/>
      <c r="HUZ235" s="19"/>
      <c r="HVA235" s="19"/>
      <c r="HVD235" s="16"/>
      <c r="HVE235" s="15"/>
      <c r="HVF235" s="15"/>
      <c r="HVG235" s="15"/>
      <c r="HVH235" s="16"/>
      <c r="HVI235" s="16"/>
      <c r="HVJ235" s="16"/>
      <c r="HVK235" s="16"/>
      <c r="HVL235" s="16"/>
      <c r="HVM235" s="15"/>
      <c r="HVN235" s="15"/>
      <c r="HVO235" s="10"/>
      <c r="HVP235" s="10"/>
      <c r="HVQ235" s="19"/>
      <c r="HVR235" s="19"/>
      <c r="HVU235" s="16"/>
      <c r="HVV235" s="15"/>
      <c r="HVW235" s="15"/>
      <c r="HVX235" s="15"/>
      <c r="HVY235" s="16"/>
      <c r="HVZ235" s="16"/>
      <c r="HWA235" s="16"/>
      <c r="HWB235" s="16"/>
      <c r="HWC235" s="16"/>
      <c r="HWD235" s="15"/>
      <c r="HWE235" s="15"/>
      <c r="HWF235" s="10"/>
      <c r="HWG235" s="10"/>
      <c r="HWH235" s="19"/>
      <c r="HWI235" s="19"/>
      <c r="HWL235" s="16"/>
      <c r="HWM235" s="15"/>
      <c r="HWN235" s="15"/>
      <c r="HWO235" s="15"/>
      <c r="HWP235" s="16"/>
      <c r="HWQ235" s="16"/>
      <c r="HWR235" s="16"/>
      <c r="HWS235" s="16"/>
      <c r="HWT235" s="16"/>
      <c r="HWU235" s="15"/>
      <c r="HWV235" s="15"/>
      <c r="HWW235" s="10"/>
      <c r="HWX235" s="10"/>
      <c r="HWY235" s="19"/>
      <c r="HWZ235" s="19"/>
      <c r="HXC235" s="16"/>
      <c r="HXD235" s="15"/>
      <c r="HXE235" s="15"/>
      <c r="HXF235" s="15"/>
      <c r="HXG235" s="16"/>
      <c r="HXH235" s="16"/>
      <c r="HXI235" s="16"/>
      <c r="HXJ235" s="16"/>
      <c r="HXK235" s="16"/>
      <c r="HXL235" s="15"/>
      <c r="HXM235" s="15"/>
      <c r="HXN235" s="10"/>
      <c r="HXO235" s="10"/>
      <c r="HXP235" s="19"/>
      <c r="HXQ235" s="19"/>
      <c r="HXT235" s="16"/>
      <c r="HXU235" s="15"/>
      <c r="HXV235" s="15"/>
      <c r="HXW235" s="15"/>
      <c r="HXX235" s="16"/>
      <c r="HXY235" s="16"/>
      <c r="HXZ235" s="16"/>
      <c r="HYA235" s="16"/>
      <c r="HYB235" s="16"/>
      <c r="HYC235" s="15"/>
      <c r="HYD235" s="15"/>
      <c r="HYE235" s="10"/>
      <c r="HYF235" s="10"/>
      <c r="HYG235" s="19"/>
      <c r="HYH235" s="19"/>
      <c r="HYK235" s="16"/>
      <c r="HYL235" s="15"/>
      <c r="HYM235" s="15"/>
      <c r="HYN235" s="15"/>
      <c r="HYO235" s="16"/>
      <c r="HYP235" s="16"/>
      <c r="HYQ235" s="16"/>
      <c r="HYR235" s="16"/>
      <c r="HYS235" s="16"/>
      <c r="HYT235" s="15"/>
      <c r="HYU235" s="15"/>
      <c r="HYV235" s="10"/>
      <c r="HYW235" s="10"/>
      <c r="HYX235" s="19"/>
      <c r="HYY235" s="19"/>
      <c r="HZB235" s="16"/>
      <c r="HZC235" s="15"/>
      <c r="HZD235" s="15"/>
      <c r="HZE235" s="15"/>
      <c r="HZF235" s="16"/>
      <c r="HZG235" s="16"/>
      <c r="HZH235" s="16"/>
      <c r="HZI235" s="16"/>
      <c r="HZJ235" s="16"/>
      <c r="HZK235" s="15"/>
      <c r="HZL235" s="15"/>
      <c r="HZM235" s="10"/>
      <c r="HZN235" s="10"/>
      <c r="HZO235" s="19"/>
      <c r="HZP235" s="19"/>
      <c r="HZS235" s="16"/>
      <c r="HZT235" s="15"/>
      <c r="HZU235" s="15"/>
      <c r="HZV235" s="15"/>
      <c r="HZW235" s="16"/>
      <c r="HZX235" s="16"/>
      <c r="HZY235" s="16"/>
      <c r="HZZ235" s="16"/>
      <c r="IAA235" s="16"/>
      <c r="IAB235" s="15"/>
      <c r="IAC235" s="15"/>
      <c r="IAD235" s="10"/>
      <c r="IAE235" s="10"/>
      <c r="IAF235" s="19"/>
      <c r="IAG235" s="19"/>
      <c r="IAJ235" s="16"/>
      <c r="IAK235" s="15"/>
      <c r="IAL235" s="15"/>
      <c r="IAM235" s="15"/>
      <c r="IAN235" s="16"/>
      <c r="IAO235" s="16"/>
      <c r="IAP235" s="16"/>
      <c r="IAQ235" s="16"/>
      <c r="IAR235" s="16"/>
      <c r="IAS235" s="15"/>
      <c r="IAT235" s="15"/>
      <c r="IAU235" s="10"/>
      <c r="IAV235" s="10"/>
      <c r="IAW235" s="19"/>
      <c r="IAX235" s="19"/>
      <c r="IBA235" s="16"/>
      <c r="IBB235" s="15"/>
      <c r="IBC235" s="15"/>
      <c r="IBD235" s="15"/>
      <c r="IBE235" s="16"/>
      <c r="IBF235" s="16"/>
      <c r="IBG235" s="16"/>
      <c r="IBH235" s="16"/>
      <c r="IBI235" s="16"/>
      <c r="IBJ235" s="15"/>
      <c r="IBK235" s="15"/>
      <c r="IBL235" s="10"/>
      <c r="IBM235" s="10"/>
      <c r="IBN235" s="19"/>
      <c r="IBO235" s="19"/>
      <c r="IBR235" s="16"/>
      <c r="IBS235" s="15"/>
      <c r="IBT235" s="15"/>
      <c r="IBU235" s="15"/>
      <c r="IBV235" s="16"/>
      <c r="IBW235" s="16"/>
      <c r="IBX235" s="16"/>
      <c r="IBY235" s="16"/>
      <c r="IBZ235" s="16"/>
      <c r="ICA235" s="15"/>
      <c r="ICB235" s="15"/>
      <c r="ICC235" s="10"/>
      <c r="ICD235" s="10"/>
      <c r="ICE235" s="19"/>
      <c r="ICF235" s="19"/>
      <c r="ICI235" s="16"/>
      <c r="ICJ235" s="15"/>
      <c r="ICK235" s="15"/>
      <c r="ICL235" s="15"/>
      <c r="ICM235" s="16"/>
      <c r="ICN235" s="16"/>
      <c r="ICO235" s="16"/>
      <c r="ICP235" s="16"/>
      <c r="ICQ235" s="16"/>
      <c r="ICR235" s="15"/>
      <c r="ICS235" s="15"/>
      <c r="ICT235" s="10"/>
      <c r="ICU235" s="10"/>
      <c r="ICV235" s="19"/>
      <c r="ICW235" s="19"/>
      <c r="ICZ235" s="16"/>
      <c r="IDA235" s="15"/>
      <c r="IDB235" s="15"/>
      <c r="IDC235" s="15"/>
      <c r="IDD235" s="16"/>
      <c r="IDE235" s="16"/>
      <c r="IDF235" s="16"/>
      <c r="IDG235" s="16"/>
      <c r="IDH235" s="16"/>
      <c r="IDI235" s="15"/>
      <c r="IDJ235" s="15"/>
      <c r="IDK235" s="10"/>
      <c r="IDL235" s="10"/>
      <c r="IDM235" s="19"/>
      <c r="IDN235" s="19"/>
      <c r="IDQ235" s="16"/>
      <c r="IDR235" s="15"/>
      <c r="IDS235" s="15"/>
      <c r="IDT235" s="15"/>
      <c r="IDU235" s="16"/>
      <c r="IDV235" s="16"/>
      <c r="IDW235" s="16"/>
      <c r="IDX235" s="16"/>
      <c r="IDY235" s="16"/>
      <c r="IDZ235" s="15"/>
      <c r="IEA235" s="15"/>
      <c r="IEB235" s="10"/>
      <c r="IEC235" s="10"/>
      <c r="IED235" s="19"/>
      <c r="IEE235" s="19"/>
      <c r="IEH235" s="16"/>
      <c r="IEI235" s="15"/>
      <c r="IEJ235" s="15"/>
      <c r="IEK235" s="15"/>
      <c r="IEL235" s="16"/>
      <c r="IEM235" s="16"/>
      <c r="IEN235" s="16"/>
      <c r="IEO235" s="16"/>
      <c r="IEP235" s="16"/>
      <c r="IEQ235" s="15"/>
      <c r="IER235" s="15"/>
      <c r="IES235" s="10"/>
      <c r="IET235" s="10"/>
      <c r="IEU235" s="19"/>
      <c r="IEV235" s="19"/>
      <c r="IEY235" s="16"/>
      <c r="IEZ235" s="15"/>
      <c r="IFA235" s="15"/>
      <c r="IFB235" s="15"/>
      <c r="IFC235" s="16"/>
      <c r="IFD235" s="16"/>
      <c r="IFE235" s="16"/>
      <c r="IFF235" s="16"/>
      <c r="IFG235" s="16"/>
      <c r="IFH235" s="15"/>
      <c r="IFI235" s="15"/>
      <c r="IFJ235" s="10"/>
      <c r="IFK235" s="10"/>
      <c r="IFL235" s="19"/>
      <c r="IFM235" s="19"/>
      <c r="IFP235" s="16"/>
      <c r="IFQ235" s="15"/>
      <c r="IFR235" s="15"/>
      <c r="IFS235" s="15"/>
      <c r="IFT235" s="16"/>
      <c r="IFU235" s="16"/>
      <c r="IFV235" s="16"/>
      <c r="IFW235" s="16"/>
      <c r="IFX235" s="16"/>
      <c r="IFY235" s="15"/>
      <c r="IFZ235" s="15"/>
      <c r="IGA235" s="10"/>
      <c r="IGB235" s="10"/>
      <c r="IGC235" s="19"/>
      <c r="IGD235" s="19"/>
      <c r="IGG235" s="16"/>
      <c r="IGH235" s="15"/>
      <c r="IGI235" s="15"/>
      <c r="IGJ235" s="15"/>
      <c r="IGK235" s="16"/>
      <c r="IGL235" s="16"/>
      <c r="IGM235" s="16"/>
      <c r="IGN235" s="16"/>
      <c r="IGO235" s="16"/>
      <c r="IGP235" s="15"/>
      <c r="IGQ235" s="15"/>
      <c r="IGR235" s="10"/>
      <c r="IGS235" s="10"/>
      <c r="IGT235" s="19"/>
      <c r="IGU235" s="19"/>
      <c r="IGX235" s="16"/>
      <c r="IGY235" s="15"/>
      <c r="IGZ235" s="15"/>
      <c r="IHA235" s="15"/>
      <c r="IHB235" s="16"/>
      <c r="IHC235" s="16"/>
      <c r="IHD235" s="16"/>
      <c r="IHE235" s="16"/>
      <c r="IHF235" s="16"/>
      <c r="IHG235" s="15"/>
      <c r="IHH235" s="15"/>
      <c r="IHI235" s="10"/>
      <c r="IHJ235" s="10"/>
      <c r="IHK235" s="19"/>
      <c r="IHL235" s="19"/>
      <c r="IHO235" s="16"/>
      <c r="IHP235" s="15"/>
      <c r="IHQ235" s="15"/>
      <c r="IHR235" s="15"/>
      <c r="IHS235" s="16"/>
      <c r="IHT235" s="16"/>
      <c r="IHU235" s="16"/>
      <c r="IHV235" s="16"/>
      <c r="IHW235" s="16"/>
      <c r="IHX235" s="15"/>
      <c r="IHY235" s="15"/>
      <c r="IHZ235" s="10"/>
      <c r="IIA235" s="10"/>
      <c r="IIB235" s="19"/>
      <c r="IIC235" s="19"/>
      <c r="IIF235" s="16"/>
      <c r="IIG235" s="15"/>
      <c r="IIH235" s="15"/>
      <c r="III235" s="15"/>
      <c r="IIJ235" s="16"/>
      <c r="IIK235" s="16"/>
      <c r="IIL235" s="16"/>
      <c r="IIM235" s="16"/>
      <c r="IIN235" s="16"/>
      <c r="IIO235" s="15"/>
      <c r="IIP235" s="15"/>
      <c r="IIQ235" s="10"/>
      <c r="IIR235" s="10"/>
      <c r="IIS235" s="19"/>
      <c r="IIT235" s="19"/>
      <c r="IIW235" s="16"/>
      <c r="IIX235" s="15"/>
      <c r="IIY235" s="15"/>
      <c r="IIZ235" s="15"/>
      <c r="IJA235" s="16"/>
      <c r="IJB235" s="16"/>
      <c r="IJC235" s="16"/>
      <c r="IJD235" s="16"/>
      <c r="IJE235" s="16"/>
      <c r="IJF235" s="15"/>
      <c r="IJG235" s="15"/>
      <c r="IJH235" s="10"/>
      <c r="IJI235" s="10"/>
      <c r="IJJ235" s="19"/>
      <c r="IJK235" s="19"/>
      <c r="IJN235" s="16"/>
      <c r="IJO235" s="15"/>
      <c r="IJP235" s="15"/>
      <c r="IJQ235" s="15"/>
      <c r="IJR235" s="16"/>
      <c r="IJS235" s="16"/>
      <c r="IJT235" s="16"/>
      <c r="IJU235" s="16"/>
      <c r="IJV235" s="16"/>
      <c r="IJW235" s="15"/>
      <c r="IJX235" s="15"/>
      <c r="IJY235" s="10"/>
      <c r="IJZ235" s="10"/>
      <c r="IKA235" s="19"/>
      <c r="IKB235" s="19"/>
      <c r="IKE235" s="16"/>
      <c r="IKF235" s="15"/>
      <c r="IKG235" s="15"/>
      <c r="IKH235" s="15"/>
      <c r="IKI235" s="16"/>
      <c r="IKJ235" s="16"/>
      <c r="IKK235" s="16"/>
      <c r="IKL235" s="16"/>
      <c r="IKM235" s="16"/>
      <c r="IKN235" s="15"/>
      <c r="IKO235" s="15"/>
      <c r="IKP235" s="10"/>
      <c r="IKQ235" s="10"/>
      <c r="IKR235" s="19"/>
      <c r="IKS235" s="19"/>
      <c r="IKV235" s="16"/>
      <c r="IKW235" s="15"/>
      <c r="IKX235" s="15"/>
      <c r="IKY235" s="15"/>
      <c r="IKZ235" s="16"/>
      <c r="ILA235" s="16"/>
      <c r="ILB235" s="16"/>
      <c r="ILC235" s="16"/>
      <c r="ILD235" s="16"/>
      <c r="ILE235" s="15"/>
      <c r="ILF235" s="15"/>
      <c r="ILG235" s="10"/>
      <c r="ILH235" s="10"/>
      <c r="ILI235" s="19"/>
      <c r="ILJ235" s="19"/>
      <c r="ILM235" s="16"/>
      <c r="ILN235" s="15"/>
      <c r="ILO235" s="15"/>
      <c r="ILP235" s="15"/>
      <c r="ILQ235" s="16"/>
      <c r="ILR235" s="16"/>
      <c r="ILS235" s="16"/>
      <c r="ILT235" s="16"/>
      <c r="ILU235" s="16"/>
      <c r="ILV235" s="15"/>
      <c r="ILW235" s="15"/>
      <c r="ILX235" s="10"/>
      <c r="ILY235" s="10"/>
      <c r="ILZ235" s="19"/>
      <c r="IMA235" s="19"/>
      <c r="IMD235" s="16"/>
      <c r="IME235" s="15"/>
      <c r="IMF235" s="15"/>
      <c r="IMG235" s="15"/>
      <c r="IMH235" s="16"/>
      <c r="IMI235" s="16"/>
      <c r="IMJ235" s="16"/>
      <c r="IMK235" s="16"/>
      <c r="IML235" s="16"/>
      <c r="IMM235" s="15"/>
      <c r="IMN235" s="15"/>
      <c r="IMO235" s="10"/>
      <c r="IMP235" s="10"/>
      <c r="IMQ235" s="19"/>
      <c r="IMR235" s="19"/>
      <c r="IMU235" s="16"/>
      <c r="IMV235" s="15"/>
      <c r="IMW235" s="15"/>
      <c r="IMX235" s="15"/>
      <c r="IMY235" s="16"/>
      <c r="IMZ235" s="16"/>
      <c r="INA235" s="16"/>
      <c r="INB235" s="16"/>
      <c r="INC235" s="16"/>
      <c r="IND235" s="15"/>
      <c r="INE235" s="15"/>
      <c r="INF235" s="10"/>
      <c r="ING235" s="10"/>
      <c r="INH235" s="19"/>
      <c r="INI235" s="19"/>
      <c r="INL235" s="16"/>
      <c r="INM235" s="15"/>
      <c r="INN235" s="15"/>
      <c r="INO235" s="15"/>
      <c r="INP235" s="16"/>
      <c r="INQ235" s="16"/>
      <c r="INR235" s="16"/>
      <c r="INS235" s="16"/>
      <c r="INT235" s="16"/>
      <c r="INU235" s="15"/>
      <c r="INV235" s="15"/>
      <c r="INW235" s="10"/>
      <c r="INX235" s="10"/>
      <c r="INY235" s="19"/>
      <c r="INZ235" s="19"/>
      <c r="IOC235" s="16"/>
      <c r="IOD235" s="15"/>
      <c r="IOE235" s="15"/>
      <c r="IOF235" s="15"/>
      <c r="IOG235" s="16"/>
      <c r="IOH235" s="16"/>
      <c r="IOI235" s="16"/>
      <c r="IOJ235" s="16"/>
      <c r="IOK235" s="16"/>
      <c r="IOL235" s="15"/>
      <c r="IOM235" s="15"/>
      <c r="ION235" s="10"/>
      <c r="IOO235" s="10"/>
      <c r="IOP235" s="19"/>
      <c r="IOQ235" s="19"/>
      <c r="IOT235" s="16"/>
      <c r="IOU235" s="15"/>
      <c r="IOV235" s="15"/>
      <c r="IOW235" s="15"/>
      <c r="IOX235" s="16"/>
      <c r="IOY235" s="16"/>
      <c r="IOZ235" s="16"/>
      <c r="IPA235" s="16"/>
      <c r="IPB235" s="16"/>
      <c r="IPC235" s="15"/>
      <c r="IPD235" s="15"/>
      <c r="IPE235" s="10"/>
      <c r="IPF235" s="10"/>
      <c r="IPG235" s="19"/>
      <c r="IPH235" s="19"/>
      <c r="IPK235" s="16"/>
      <c r="IPL235" s="15"/>
      <c r="IPM235" s="15"/>
      <c r="IPN235" s="15"/>
      <c r="IPO235" s="16"/>
      <c r="IPP235" s="16"/>
      <c r="IPQ235" s="16"/>
      <c r="IPR235" s="16"/>
      <c r="IPS235" s="16"/>
      <c r="IPT235" s="15"/>
      <c r="IPU235" s="15"/>
      <c r="IPV235" s="10"/>
      <c r="IPW235" s="10"/>
      <c r="IPX235" s="19"/>
      <c r="IPY235" s="19"/>
      <c r="IQB235" s="16"/>
      <c r="IQC235" s="15"/>
      <c r="IQD235" s="15"/>
      <c r="IQE235" s="15"/>
      <c r="IQF235" s="16"/>
      <c r="IQG235" s="16"/>
      <c r="IQH235" s="16"/>
      <c r="IQI235" s="16"/>
      <c r="IQJ235" s="16"/>
      <c r="IQK235" s="15"/>
      <c r="IQL235" s="15"/>
      <c r="IQM235" s="10"/>
      <c r="IQN235" s="10"/>
      <c r="IQO235" s="19"/>
      <c r="IQP235" s="19"/>
      <c r="IQS235" s="16"/>
      <c r="IQT235" s="15"/>
      <c r="IQU235" s="15"/>
      <c r="IQV235" s="15"/>
      <c r="IQW235" s="16"/>
      <c r="IQX235" s="16"/>
      <c r="IQY235" s="16"/>
      <c r="IQZ235" s="16"/>
      <c r="IRA235" s="16"/>
      <c r="IRB235" s="15"/>
      <c r="IRC235" s="15"/>
      <c r="IRD235" s="10"/>
      <c r="IRE235" s="10"/>
      <c r="IRF235" s="19"/>
      <c r="IRG235" s="19"/>
      <c r="IRJ235" s="16"/>
      <c r="IRK235" s="15"/>
      <c r="IRL235" s="15"/>
      <c r="IRM235" s="15"/>
      <c r="IRN235" s="16"/>
      <c r="IRO235" s="16"/>
      <c r="IRP235" s="16"/>
      <c r="IRQ235" s="16"/>
      <c r="IRR235" s="16"/>
      <c r="IRS235" s="15"/>
      <c r="IRT235" s="15"/>
      <c r="IRU235" s="10"/>
      <c r="IRV235" s="10"/>
      <c r="IRW235" s="19"/>
      <c r="IRX235" s="19"/>
      <c r="ISA235" s="16"/>
      <c r="ISB235" s="15"/>
      <c r="ISC235" s="15"/>
      <c r="ISD235" s="15"/>
      <c r="ISE235" s="16"/>
      <c r="ISF235" s="16"/>
      <c r="ISG235" s="16"/>
      <c r="ISH235" s="16"/>
      <c r="ISI235" s="16"/>
      <c r="ISJ235" s="15"/>
      <c r="ISK235" s="15"/>
      <c r="ISL235" s="10"/>
      <c r="ISM235" s="10"/>
      <c r="ISN235" s="19"/>
      <c r="ISO235" s="19"/>
      <c r="ISR235" s="16"/>
      <c r="ISS235" s="15"/>
      <c r="IST235" s="15"/>
      <c r="ISU235" s="15"/>
      <c r="ISV235" s="16"/>
      <c r="ISW235" s="16"/>
      <c r="ISX235" s="16"/>
      <c r="ISY235" s="16"/>
      <c r="ISZ235" s="16"/>
      <c r="ITA235" s="15"/>
      <c r="ITB235" s="15"/>
      <c r="ITC235" s="10"/>
      <c r="ITD235" s="10"/>
      <c r="ITE235" s="19"/>
      <c r="ITF235" s="19"/>
      <c r="ITI235" s="16"/>
      <c r="ITJ235" s="15"/>
      <c r="ITK235" s="15"/>
      <c r="ITL235" s="15"/>
      <c r="ITM235" s="16"/>
      <c r="ITN235" s="16"/>
      <c r="ITO235" s="16"/>
      <c r="ITP235" s="16"/>
      <c r="ITQ235" s="16"/>
      <c r="ITR235" s="15"/>
      <c r="ITS235" s="15"/>
      <c r="ITT235" s="10"/>
      <c r="ITU235" s="10"/>
      <c r="ITV235" s="19"/>
      <c r="ITW235" s="19"/>
      <c r="ITZ235" s="16"/>
      <c r="IUA235" s="15"/>
      <c r="IUB235" s="15"/>
      <c r="IUC235" s="15"/>
      <c r="IUD235" s="16"/>
      <c r="IUE235" s="16"/>
      <c r="IUF235" s="16"/>
      <c r="IUG235" s="16"/>
      <c r="IUH235" s="16"/>
      <c r="IUI235" s="15"/>
      <c r="IUJ235" s="15"/>
      <c r="IUK235" s="10"/>
      <c r="IUL235" s="10"/>
      <c r="IUM235" s="19"/>
      <c r="IUN235" s="19"/>
      <c r="IUQ235" s="16"/>
      <c r="IUR235" s="15"/>
      <c r="IUS235" s="15"/>
      <c r="IUT235" s="15"/>
      <c r="IUU235" s="16"/>
      <c r="IUV235" s="16"/>
      <c r="IUW235" s="16"/>
      <c r="IUX235" s="16"/>
      <c r="IUY235" s="16"/>
      <c r="IUZ235" s="15"/>
      <c r="IVA235" s="15"/>
      <c r="IVB235" s="10"/>
      <c r="IVC235" s="10"/>
      <c r="IVD235" s="19"/>
      <c r="IVE235" s="19"/>
      <c r="IVH235" s="16"/>
      <c r="IVI235" s="15"/>
      <c r="IVJ235" s="15"/>
      <c r="IVK235" s="15"/>
      <c r="IVL235" s="16"/>
      <c r="IVM235" s="16"/>
      <c r="IVN235" s="16"/>
      <c r="IVO235" s="16"/>
      <c r="IVP235" s="16"/>
      <c r="IVQ235" s="15"/>
      <c r="IVR235" s="15"/>
      <c r="IVS235" s="10"/>
      <c r="IVT235" s="10"/>
      <c r="IVU235" s="19"/>
      <c r="IVV235" s="19"/>
      <c r="IVY235" s="16"/>
      <c r="IVZ235" s="15"/>
      <c r="IWA235" s="15"/>
      <c r="IWB235" s="15"/>
      <c r="IWC235" s="16"/>
      <c r="IWD235" s="16"/>
      <c r="IWE235" s="16"/>
      <c r="IWF235" s="16"/>
      <c r="IWG235" s="16"/>
      <c r="IWH235" s="15"/>
      <c r="IWI235" s="15"/>
      <c r="IWJ235" s="10"/>
      <c r="IWK235" s="10"/>
      <c r="IWL235" s="19"/>
      <c r="IWM235" s="19"/>
      <c r="IWP235" s="16"/>
      <c r="IWQ235" s="15"/>
      <c r="IWR235" s="15"/>
      <c r="IWS235" s="15"/>
      <c r="IWT235" s="16"/>
      <c r="IWU235" s="16"/>
      <c r="IWV235" s="16"/>
      <c r="IWW235" s="16"/>
      <c r="IWX235" s="16"/>
      <c r="IWY235" s="15"/>
      <c r="IWZ235" s="15"/>
      <c r="IXA235" s="10"/>
      <c r="IXB235" s="10"/>
      <c r="IXC235" s="19"/>
      <c r="IXD235" s="19"/>
      <c r="IXG235" s="16"/>
      <c r="IXH235" s="15"/>
      <c r="IXI235" s="15"/>
      <c r="IXJ235" s="15"/>
      <c r="IXK235" s="16"/>
      <c r="IXL235" s="16"/>
      <c r="IXM235" s="16"/>
      <c r="IXN235" s="16"/>
      <c r="IXO235" s="16"/>
      <c r="IXP235" s="15"/>
      <c r="IXQ235" s="15"/>
      <c r="IXR235" s="10"/>
      <c r="IXS235" s="10"/>
      <c r="IXT235" s="19"/>
      <c r="IXU235" s="19"/>
      <c r="IXX235" s="16"/>
      <c r="IXY235" s="15"/>
      <c r="IXZ235" s="15"/>
      <c r="IYA235" s="15"/>
      <c r="IYB235" s="16"/>
      <c r="IYC235" s="16"/>
      <c r="IYD235" s="16"/>
      <c r="IYE235" s="16"/>
      <c r="IYF235" s="16"/>
      <c r="IYG235" s="15"/>
      <c r="IYH235" s="15"/>
      <c r="IYI235" s="10"/>
      <c r="IYJ235" s="10"/>
      <c r="IYK235" s="19"/>
      <c r="IYL235" s="19"/>
      <c r="IYO235" s="16"/>
      <c r="IYP235" s="15"/>
      <c r="IYQ235" s="15"/>
      <c r="IYR235" s="15"/>
      <c r="IYS235" s="16"/>
      <c r="IYT235" s="16"/>
      <c r="IYU235" s="16"/>
      <c r="IYV235" s="16"/>
      <c r="IYW235" s="16"/>
      <c r="IYX235" s="15"/>
      <c r="IYY235" s="15"/>
      <c r="IYZ235" s="10"/>
      <c r="IZA235" s="10"/>
      <c r="IZB235" s="19"/>
      <c r="IZC235" s="19"/>
      <c r="IZF235" s="16"/>
      <c r="IZG235" s="15"/>
      <c r="IZH235" s="15"/>
      <c r="IZI235" s="15"/>
      <c r="IZJ235" s="16"/>
      <c r="IZK235" s="16"/>
      <c r="IZL235" s="16"/>
      <c r="IZM235" s="16"/>
      <c r="IZN235" s="16"/>
      <c r="IZO235" s="15"/>
      <c r="IZP235" s="15"/>
      <c r="IZQ235" s="10"/>
      <c r="IZR235" s="10"/>
      <c r="IZS235" s="19"/>
      <c r="IZT235" s="19"/>
      <c r="IZW235" s="16"/>
      <c r="IZX235" s="15"/>
      <c r="IZY235" s="15"/>
      <c r="IZZ235" s="15"/>
      <c r="JAA235" s="16"/>
      <c r="JAB235" s="16"/>
      <c r="JAC235" s="16"/>
      <c r="JAD235" s="16"/>
      <c r="JAE235" s="16"/>
      <c r="JAF235" s="15"/>
      <c r="JAG235" s="15"/>
      <c r="JAH235" s="10"/>
      <c r="JAI235" s="10"/>
      <c r="JAJ235" s="19"/>
      <c r="JAK235" s="19"/>
      <c r="JAN235" s="16"/>
      <c r="JAO235" s="15"/>
      <c r="JAP235" s="15"/>
      <c r="JAQ235" s="15"/>
      <c r="JAR235" s="16"/>
      <c r="JAS235" s="16"/>
      <c r="JAT235" s="16"/>
      <c r="JAU235" s="16"/>
      <c r="JAV235" s="16"/>
      <c r="JAW235" s="15"/>
      <c r="JAX235" s="15"/>
      <c r="JAY235" s="10"/>
      <c r="JAZ235" s="10"/>
      <c r="JBA235" s="19"/>
      <c r="JBB235" s="19"/>
      <c r="JBE235" s="16"/>
      <c r="JBF235" s="15"/>
      <c r="JBG235" s="15"/>
      <c r="JBH235" s="15"/>
      <c r="JBI235" s="16"/>
      <c r="JBJ235" s="16"/>
      <c r="JBK235" s="16"/>
      <c r="JBL235" s="16"/>
      <c r="JBM235" s="16"/>
      <c r="JBN235" s="15"/>
      <c r="JBO235" s="15"/>
      <c r="JBP235" s="10"/>
      <c r="JBQ235" s="10"/>
      <c r="JBR235" s="19"/>
      <c r="JBS235" s="19"/>
      <c r="JBV235" s="16"/>
      <c r="JBW235" s="15"/>
      <c r="JBX235" s="15"/>
      <c r="JBY235" s="15"/>
      <c r="JBZ235" s="16"/>
      <c r="JCA235" s="16"/>
      <c r="JCB235" s="16"/>
      <c r="JCC235" s="16"/>
      <c r="JCD235" s="16"/>
      <c r="JCE235" s="15"/>
      <c r="JCF235" s="15"/>
      <c r="JCG235" s="10"/>
      <c r="JCH235" s="10"/>
      <c r="JCI235" s="19"/>
      <c r="JCJ235" s="19"/>
      <c r="JCM235" s="16"/>
      <c r="JCN235" s="15"/>
      <c r="JCO235" s="15"/>
      <c r="JCP235" s="15"/>
      <c r="JCQ235" s="16"/>
      <c r="JCR235" s="16"/>
      <c r="JCS235" s="16"/>
      <c r="JCT235" s="16"/>
      <c r="JCU235" s="16"/>
      <c r="JCV235" s="15"/>
      <c r="JCW235" s="15"/>
      <c r="JCX235" s="10"/>
      <c r="JCY235" s="10"/>
      <c r="JCZ235" s="19"/>
      <c r="JDA235" s="19"/>
      <c r="JDD235" s="16"/>
      <c r="JDE235" s="15"/>
      <c r="JDF235" s="15"/>
      <c r="JDG235" s="15"/>
      <c r="JDH235" s="16"/>
      <c r="JDI235" s="16"/>
      <c r="JDJ235" s="16"/>
      <c r="JDK235" s="16"/>
      <c r="JDL235" s="16"/>
      <c r="JDM235" s="15"/>
      <c r="JDN235" s="15"/>
      <c r="JDO235" s="10"/>
      <c r="JDP235" s="10"/>
      <c r="JDQ235" s="19"/>
      <c r="JDR235" s="19"/>
      <c r="JDU235" s="16"/>
      <c r="JDV235" s="15"/>
      <c r="JDW235" s="15"/>
      <c r="JDX235" s="15"/>
      <c r="JDY235" s="16"/>
      <c r="JDZ235" s="16"/>
      <c r="JEA235" s="16"/>
      <c r="JEB235" s="16"/>
      <c r="JEC235" s="16"/>
      <c r="JED235" s="15"/>
      <c r="JEE235" s="15"/>
      <c r="JEF235" s="10"/>
      <c r="JEG235" s="10"/>
      <c r="JEH235" s="19"/>
      <c r="JEI235" s="19"/>
      <c r="JEL235" s="16"/>
      <c r="JEM235" s="15"/>
      <c r="JEN235" s="15"/>
      <c r="JEO235" s="15"/>
      <c r="JEP235" s="16"/>
      <c r="JEQ235" s="16"/>
      <c r="JER235" s="16"/>
      <c r="JES235" s="16"/>
      <c r="JET235" s="16"/>
      <c r="JEU235" s="15"/>
      <c r="JEV235" s="15"/>
      <c r="JEW235" s="10"/>
      <c r="JEX235" s="10"/>
      <c r="JEY235" s="19"/>
      <c r="JEZ235" s="19"/>
      <c r="JFC235" s="16"/>
      <c r="JFD235" s="15"/>
      <c r="JFE235" s="15"/>
      <c r="JFF235" s="15"/>
      <c r="JFG235" s="16"/>
      <c r="JFH235" s="16"/>
      <c r="JFI235" s="16"/>
      <c r="JFJ235" s="16"/>
      <c r="JFK235" s="16"/>
      <c r="JFL235" s="15"/>
      <c r="JFM235" s="15"/>
      <c r="JFN235" s="10"/>
      <c r="JFO235" s="10"/>
      <c r="JFP235" s="19"/>
      <c r="JFQ235" s="19"/>
      <c r="JFT235" s="16"/>
      <c r="JFU235" s="15"/>
      <c r="JFV235" s="15"/>
      <c r="JFW235" s="15"/>
      <c r="JFX235" s="16"/>
      <c r="JFY235" s="16"/>
      <c r="JFZ235" s="16"/>
      <c r="JGA235" s="16"/>
      <c r="JGB235" s="16"/>
      <c r="JGC235" s="15"/>
      <c r="JGD235" s="15"/>
      <c r="JGE235" s="10"/>
      <c r="JGF235" s="10"/>
      <c r="JGG235" s="19"/>
      <c r="JGH235" s="19"/>
      <c r="JGK235" s="16"/>
      <c r="JGL235" s="15"/>
      <c r="JGM235" s="15"/>
      <c r="JGN235" s="15"/>
      <c r="JGO235" s="16"/>
      <c r="JGP235" s="16"/>
      <c r="JGQ235" s="16"/>
      <c r="JGR235" s="16"/>
      <c r="JGS235" s="16"/>
      <c r="JGT235" s="15"/>
      <c r="JGU235" s="15"/>
      <c r="JGV235" s="10"/>
      <c r="JGW235" s="10"/>
      <c r="JGX235" s="19"/>
      <c r="JGY235" s="19"/>
      <c r="JHB235" s="16"/>
      <c r="JHC235" s="15"/>
      <c r="JHD235" s="15"/>
      <c r="JHE235" s="15"/>
      <c r="JHF235" s="16"/>
      <c r="JHG235" s="16"/>
      <c r="JHH235" s="16"/>
      <c r="JHI235" s="16"/>
      <c r="JHJ235" s="16"/>
      <c r="JHK235" s="15"/>
      <c r="JHL235" s="15"/>
      <c r="JHM235" s="10"/>
      <c r="JHN235" s="10"/>
      <c r="JHO235" s="19"/>
      <c r="JHP235" s="19"/>
      <c r="JHS235" s="16"/>
      <c r="JHT235" s="15"/>
      <c r="JHU235" s="15"/>
      <c r="JHV235" s="15"/>
      <c r="JHW235" s="16"/>
      <c r="JHX235" s="16"/>
      <c r="JHY235" s="16"/>
      <c r="JHZ235" s="16"/>
      <c r="JIA235" s="16"/>
      <c r="JIB235" s="15"/>
      <c r="JIC235" s="15"/>
      <c r="JID235" s="10"/>
      <c r="JIE235" s="10"/>
      <c r="JIF235" s="19"/>
      <c r="JIG235" s="19"/>
      <c r="JIJ235" s="16"/>
      <c r="JIK235" s="15"/>
      <c r="JIL235" s="15"/>
      <c r="JIM235" s="15"/>
      <c r="JIN235" s="16"/>
      <c r="JIO235" s="16"/>
      <c r="JIP235" s="16"/>
      <c r="JIQ235" s="16"/>
      <c r="JIR235" s="16"/>
      <c r="JIS235" s="15"/>
      <c r="JIT235" s="15"/>
      <c r="JIU235" s="10"/>
      <c r="JIV235" s="10"/>
      <c r="JIW235" s="19"/>
      <c r="JIX235" s="19"/>
      <c r="JJA235" s="16"/>
      <c r="JJB235" s="15"/>
      <c r="JJC235" s="15"/>
      <c r="JJD235" s="15"/>
      <c r="JJE235" s="16"/>
      <c r="JJF235" s="16"/>
      <c r="JJG235" s="16"/>
      <c r="JJH235" s="16"/>
      <c r="JJI235" s="16"/>
      <c r="JJJ235" s="15"/>
      <c r="JJK235" s="15"/>
      <c r="JJL235" s="10"/>
      <c r="JJM235" s="10"/>
      <c r="JJN235" s="19"/>
      <c r="JJO235" s="19"/>
      <c r="JJR235" s="16"/>
      <c r="JJS235" s="15"/>
      <c r="JJT235" s="15"/>
      <c r="JJU235" s="15"/>
      <c r="JJV235" s="16"/>
      <c r="JJW235" s="16"/>
      <c r="JJX235" s="16"/>
      <c r="JJY235" s="16"/>
      <c r="JJZ235" s="16"/>
      <c r="JKA235" s="15"/>
      <c r="JKB235" s="15"/>
      <c r="JKC235" s="10"/>
      <c r="JKD235" s="10"/>
      <c r="JKE235" s="19"/>
      <c r="JKF235" s="19"/>
      <c r="JKI235" s="16"/>
      <c r="JKJ235" s="15"/>
      <c r="JKK235" s="15"/>
      <c r="JKL235" s="15"/>
      <c r="JKM235" s="16"/>
      <c r="JKN235" s="16"/>
      <c r="JKO235" s="16"/>
      <c r="JKP235" s="16"/>
      <c r="JKQ235" s="16"/>
      <c r="JKR235" s="15"/>
      <c r="JKS235" s="15"/>
      <c r="JKT235" s="10"/>
      <c r="JKU235" s="10"/>
      <c r="JKV235" s="19"/>
      <c r="JKW235" s="19"/>
      <c r="JKZ235" s="16"/>
      <c r="JLA235" s="15"/>
      <c r="JLB235" s="15"/>
      <c r="JLC235" s="15"/>
      <c r="JLD235" s="16"/>
      <c r="JLE235" s="16"/>
      <c r="JLF235" s="16"/>
      <c r="JLG235" s="16"/>
      <c r="JLH235" s="16"/>
      <c r="JLI235" s="15"/>
      <c r="JLJ235" s="15"/>
      <c r="JLK235" s="10"/>
      <c r="JLL235" s="10"/>
      <c r="JLM235" s="19"/>
      <c r="JLN235" s="19"/>
      <c r="JLQ235" s="16"/>
      <c r="JLR235" s="15"/>
      <c r="JLS235" s="15"/>
      <c r="JLT235" s="15"/>
      <c r="JLU235" s="16"/>
      <c r="JLV235" s="16"/>
      <c r="JLW235" s="16"/>
      <c r="JLX235" s="16"/>
      <c r="JLY235" s="16"/>
      <c r="JLZ235" s="15"/>
      <c r="JMA235" s="15"/>
      <c r="JMB235" s="10"/>
      <c r="JMC235" s="10"/>
      <c r="JMD235" s="19"/>
      <c r="JME235" s="19"/>
      <c r="JMH235" s="16"/>
      <c r="JMI235" s="15"/>
      <c r="JMJ235" s="15"/>
      <c r="JMK235" s="15"/>
      <c r="JML235" s="16"/>
      <c r="JMM235" s="16"/>
      <c r="JMN235" s="16"/>
      <c r="JMO235" s="16"/>
      <c r="JMP235" s="16"/>
      <c r="JMQ235" s="15"/>
      <c r="JMR235" s="15"/>
      <c r="JMS235" s="10"/>
      <c r="JMT235" s="10"/>
      <c r="JMU235" s="19"/>
      <c r="JMV235" s="19"/>
      <c r="JMY235" s="16"/>
      <c r="JMZ235" s="15"/>
      <c r="JNA235" s="15"/>
      <c r="JNB235" s="15"/>
      <c r="JNC235" s="16"/>
      <c r="JND235" s="16"/>
      <c r="JNE235" s="16"/>
      <c r="JNF235" s="16"/>
      <c r="JNG235" s="16"/>
      <c r="JNH235" s="15"/>
      <c r="JNI235" s="15"/>
      <c r="JNJ235" s="10"/>
      <c r="JNK235" s="10"/>
      <c r="JNL235" s="19"/>
      <c r="JNM235" s="19"/>
      <c r="JNP235" s="16"/>
      <c r="JNQ235" s="15"/>
      <c r="JNR235" s="15"/>
      <c r="JNS235" s="15"/>
      <c r="JNT235" s="16"/>
      <c r="JNU235" s="16"/>
      <c r="JNV235" s="16"/>
      <c r="JNW235" s="16"/>
      <c r="JNX235" s="16"/>
      <c r="JNY235" s="15"/>
      <c r="JNZ235" s="15"/>
      <c r="JOA235" s="10"/>
      <c r="JOB235" s="10"/>
      <c r="JOC235" s="19"/>
      <c r="JOD235" s="19"/>
      <c r="JOG235" s="16"/>
      <c r="JOH235" s="15"/>
      <c r="JOI235" s="15"/>
      <c r="JOJ235" s="15"/>
      <c r="JOK235" s="16"/>
      <c r="JOL235" s="16"/>
      <c r="JOM235" s="16"/>
      <c r="JON235" s="16"/>
      <c r="JOO235" s="16"/>
      <c r="JOP235" s="15"/>
      <c r="JOQ235" s="15"/>
      <c r="JOR235" s="10"/>
      <c r="JOS235" s="10"/>
      <c r="JOT235" s="19"/>
      <c r="JOU235" s="19"/>
      <c r="JOX235" s="16"/>
      <c r="JOY235" s="15"/>
      <c r="JOZ235" s="15"/>
      <c r="JPA235" s="15"/>
      <c r="JPB235" s="16"/>
      <c r="JPC235" s="16"/>
      <c r="JPD235" s="16"/>
      <c r="JPE235" s="16"/>
      <c r="JPF235" s="16"/>
      <c r="JPG235" s="15"/>
      <c r="JPH235" s="15"/>
      <c r="JPI235" s="10"/>
      <c r="JPJ235" s="10"/>
      <c r="JPK235" s="19"/>
      <c r="JPL235" s="19"/>
      <c r="JPO235" s="16"/>
      <c r="JPP235" s="15"/>
      <c r="JPQ235" s="15"/>
      <c r="JPR235" s="15"/>
      <c r="JPS235" s="16"/>
      <c r="JPT235" s="16"/>
      <c r="JPU235" s="16"/>
      <c r="JPV235" s="16"/>
      <c r="JPW235" s="16"/>
      <c r="JPX235" s="15"/>
      <c r="JPY235" s="15"/>
      <c r="JPZ235" s="10"/>
      <c r="JQA235" s="10"/>
      <c r="JQB235" s="19"/>
      <c r="JQC235" s="19"/>
      <c r="JQF235" s="16"/>
      <c r="JQG235" s="15"/>
      <c r="JQH235" s="15"/>
      <c r="JQI235" s="15"/>
      <c r="JQJ235" s="16"/>
      <c r="JQK235" s="16"/>
      <c r="JQL235" s="16"/>
      <c r="JQM235" s="16"/>
      <c r="JQN235" s="16"/>
      <c r="JQO235" s="15"/>
      <c r="JQP235" s="15"/>
      <c r="JQQ235" s="10"/>
      <c r="JQR235" s="10"/>
      <c r="JQS235" s="19"/>
      <c r="JQT235" s="19"/>
      <c r="JQW235" s="16"/>
      <c r="JQX235" s="15"/>
      <c r="JQY235" s="15"/>
      <c r="JQZ235" s="15"/>
      <c r="JRA235" s="16"/>
      <c r="JRB235" s="16"/>
      <c r="JRC235" s="16"/>
      <c r="JRD235" s="16"/>
      <c r="JRE235" s="16"/>
      <c r="JRF235" s="15"/>
      <c r="JRG235" s="15"/>
      <c r="JRH235" s="10"/>
      <c r="JRI235" s="10"/>
      <c r="JRJ235" s="19"/>
      <c r="JRK235" s="19"/>
      <c r="JRN235" s="16"/>
      <c r="JRO235" s="15"/>
      <c r="JRP235" s="15"/>
      <c r="JRQ235" s="15"/>
      <c r="JRR235" s="16"/>
      <c r="JRS235" s="16"/>
      <c r="JRT235" s="16"/>
      <c r="JRU235" s="16"/>
      <c r="JRV235" s="16"/>
      <c r="JRW235" s="15"/>
      <c r="JRX235" s="15"/>
      <c r="JRY235" s="10"/>
      <c r="JRZ235" s="10"/>
      <c r="JSA235" s="19"/>
      <c r="JSB235" s="19"/>
      <c r="JSE235" s="16"/>
      <c r="JSF235" s="15"/>
      <c r="JSG235" s="15"/>
      <c r="JSH235" s="15"/>
      <c r="JSI235" s="16"/>
      <c r="JSJ235" s="16"/>
      <c r="JSK235" s="16"/>
      <c r="JSL235" s="16"/>
      <c r="JSM235" s="16"/>
      <c r="JSN235" s="15"/>
      <c r="JSO235" s="15"/>
      <c r="JSP235" s="10"/>
      <c r="JSQ235" s="10"/>
      <c r="JSR235" s="19"/>
      <c r="JSS235" s="19"/>
      <c r="JSV235" s="16"/>
      <c r="JSW235" s="15"/>
      <c r="JSX235" s="15"/>
      <c r="JSY235" s="15"/>
      <c r="JSZ235" s="16"/>
      <c r="JTA235" s="16"/>
      <c r="JTB235" s="16"/>
      <c r="JTC235" s="16"/>
      <c r="JTD235" s="16"/>
      <c r="JTE235" s="15"/>
      <c r="JTF235" s="15"/>
      <c r="JTG235" s="10"/>
      <c r="JTH235" s="10"/>
      <c r="JTI235" s="19"/>
      <c r="JTJ235" s="19"/>
      <c r="JTM235" s="16"/>
      <c r="JTN235" s="15"/>
      <c r="JTO235" s="15"/>
      <c r="JTP235" s="15"/>
      <c r="JTQ235" s="16"/>
      <c r="JTR235" s="16"/>
      <c r="JTS235" s="16"/>
      <c r="JTT235" s="16"/>
      <c r="JTU235" s="16"/>
      <c r="JTV235" s="15"/>
      <c r="JTW235" s="15"/>
      <c r="JTX235" s="10"/>
      <c r="JTY235" s="10"/>
      <c r="JTZ235" s="19"/>
      <c r="JUA235" s="19"/>
      <c r="JUD235" s="16"/>
      <c r="JUE235" s="15"/>
      <c r="JUF235" s="15"/>
      <c r="JUG235" s="15"/>
      <c r="JUH235" s="16"/>
      <c r="JUI235" s="16"/>
      <c r="JUJ235" s="16"/>
      <c r="JUK235" s="16"/>
      <c r="JUL235" s="16"/>
      <c r="JUM235" s="15"/>
      <c r="JUN235" s="15"/>
      <c r="JUO235" s="10"/>
      <c r="JUP235" s="10"/>
      <c r="JUQ235" s="19"/>
      <c r="JUR235" s="19"/>
      <c r="JUU235" s="16"/>
      <c r="JUV235" s="15"/>
      <c r="JUW235" s="15"/>
      <c r="JUX235" s="15"/>
      <c r="JUY235" s="16"/>
      <c r="JUZ235" s="16"/>
      <c r="JVA235" s="16"/>
      <c r="JVB235" s="16"/>
      <c r="JVC235" s="16"/>
      <c r="JVD235" s="15"/>
      <c r="JVE235" s="15"/>
      <c r="JVF235" s="10"/>
      <c r="JVG235" s="10"/>
      <c r="JVH235" s="19"/>
      <c r="JVI235" s="19"/>
      <c r="JVL235" s="16"/>
      <c r="JVM235" s="15"/>
      <c r="JVN235" s="15"/>
      <c r="JVO235" s="15"/>
      <c r="JVP235" s="16"/>
      <c r="JVQ235" s="16"/>
      <c r="JVR235" s="16"/>
      <c r="JVS235" s="16"/>
      <c r="JVT235" s="16"/>
      <c r="JVU235" s="15"/>
      <c r="JVV235" s="15"/>
      <c r="JVW235" s="10"/>
      <c r="JVX235" s="10"/>
      <c r="JVY235" s="19"/>
      <c r="JVZ235" s="19"/>
      <c r="JWC235" s="16"/>
      <c r="JWD235" s="15"/>
      <c r="JWE235" s="15"/>
      <c r="JWF235" s="15"/>
      <c r="JWG235" s="16"/>
      <c r="JWH235" s="16"/>
      <c r="JWI235" s="16"/>
      <c r="JWJ235" s="16"/>
      <c r="JWK235" s="16"/>
      <c r="JWL235" s="15"/>
      <c r="JWM235" s="15"/>
      <c r="JWN235" s="10"/>
      <c r="JWO235" s="10"/>
      <c r="JWP235" s="19"/>
      <c r="JWQ235" s="19"/>
      <c r="JWT235" s="16"/>
      <c r="JWU235" s="15"/>
      <c r="JWV235" s="15"/>
      <c r="JWW235" s="15"/>
      <c r="JWX235" s="16"/>
      <c r="JWY235" s="16"/>
      <c r="JWZ235" s="16"/>
      <c r="JXA235" s="16"/>
      <c r="JXB235" s="16"/>
      <c r="JXC235" s="15"/>
      <c r="JXD235" s="15"/>
      <c r="JXE235" s="10"/>
      <c r="JXF235" s="10"/>
      <c r="JXG235" s="19"/>
      <c r="JXH235" s="19"/>
      <c r="JXK235" s="16"/>
      <c r="JXL235" s="15"/>
      <c r="JXM235" s="15"/>
      <c r="JXN235" s="15"/>
      <c r="JXO235" s="16"/>
      <c r="JXP235" s="16"/>
      <c r="JXQ235" s="16"/>
      <c r="JXR235" s="16"/>
      <c r="JXS235" s="16"/>
      <c r="JXT235" s="15"/>
      <c r="JXU235" s="15"/>
      <c r="JXV235" s="10"/>
      <c r="JXW235" s="10"/>
      <c r="JXX235" s="19"/>
      <c r="JXY235" s="19"/>
      <c r="JYB235" s="16"/>
      <c r="JYC235" s="15"/>
      <c r="JYD235" s="15"/>
      <c r="JYE235" s="15"/>
      <c r="JYF235" s="16"/>
      <c r="JYG235" s="16"/>
      <c r="JYH235" s="16"/>
      <c r="JYI235" s="16"/>
      <c r="JYJ235" s="16"/>
      <c r="JYK235" s="15"/>
      <c r="JYL235" s="15"/>
      <c r="JYM235" s="10"/>
      <c r="JYN235" s="10"/>
      <c r="JYO235" s="19"/>
      <c r="JYP235" s="19"/>
      <c r="JYS235" s="16"/>
      <c r="JYT235" s="15"/>
      <c r="JYU235" s="15"/>
      <c r="JYV235" s="15"/>
      <c r="JYW235" s="16"/>
      <c r="JYX235" s="16"/>
      <c r="JYY235" s="16"/>
      <c r="JYZ235" s="16"/>
      <c r="JZA235" s="16"/>
      <c r="JZB235" s="15"/>
      <c r="JZC235" s="15"/>
      <c r="JZD235" s="10"/>
      <c r="JZE235" s="10"/>
      <c r="JZF235" s="19"/>
      <c r="JZG235" s="19"/>
      <c r="JZJ235" s="16"/>
      <c r="JZK235" s="15"/>
      <c r="JZL235" s="15"/>
      <c r="JZM235" s="15"/>
      <c r="JZN235" s="16"/>
      <c r="JZO235" s="16"/>
      <c r="JZP235" s="16"/>
      <c r="JZQ235" s="16"/>
      <c r="JZR235" s="16"/>
      <c r="JZS235" s="15"/>
      <c r="JZT235" s="15"/>
      <c r="JZU235" s="10"/>
      <c r="JZV235" s="10"/>
      <c r="JZW235" s="19"/>
      <c r="JZX235" s="19"/>
      <c r="KAA235" s="16"/>
      <c r="KAB235" s="15"/>
      <c r="KAC235" s="15"/>
      <c r="KAD235" s="15"/>
      <c r="KAE235" s="16"/>
      <c r="KAF235" s="16"/>
      <c r="KAG235" s="16"/>
      <c r="KAH235" s="16"/>
      <c r="KAI235" s="16"/>
      <c r="KAJ235" s="15"/>
      <c r="KAK235" s="15"/>
      <c r="KAL235" s="10"/>
      <c r="KAM235" s="10"/>
      <c r="KAN235" s="19"/>
      <c r="KAO235" s="19"/>
      <c r="KAR235" s="16"/>
      <c r="KAS235" s="15"/>
      <c r="KAT235" s="15"/>
      <c r="KAU235" s="15"/>
      <c r="KAV235" s="16"/>
      <c r="KAW235" s="16"/>
      <c r="KAX235" s="16"/>
      <c r="KAY235" s="16"/>
      <c r="KAZ235" s="16"/>
      <c r="KBA235" s="15"/>
      <c r="KBB235" s="15"/>
      <c r="KBC235" s="10"/>
      <c r="KBD235" s="10"/>
      <c r="KBE235" s="19"/>
      <c r="KBF235" s="19"/>
      <c r="KBI235" s="16"/>
      <c r="KBJ235" s="15"/>
      <c r="KBK235" s="15"/>
      <c r="KBL235" s="15"/>
      <c r="KBM235" s="16"/>
      <c r="KBN235" s="16"/>
      <c r="KBO235" s="16"/>
      <c r="KBP235" s="16"/>
      <c r="KBQ235" s="16"/>
      <c r="KBR235" s="15"/>
      <c r="KBS235" s="15"/>
      <c r="KBT235" s="10"/>
      <c r="KBU235" s="10"/>
      <c r="KBV235" s="19"/>
      <c r="KBW235" s="19"/>
      <c r="KBZ235" s="16"/>
      <c r="KCA235" s="15"/>
      <c r="KCB235" s="15"/>
      <c r="KCC235" s="15"/>
      <c r="KCD235" s="16"/>
      <c r="KCE235" s="16"/>
      <c r="KCF235" s="16"/>
      <c r="KCG235" s="16"/>
      <c r="KCH235" s="16"/>
      <c r="KCI235" s="15"/>
      <c r="KCJ235" s="15"/>
      <c r="KCK235" s="10"/>
      <c r="KCL235" s="10"/>
      <c r="KCM235" s="19"/>
      <c r="KCN235" s="19"/>
      <c r="KCQ235" s="16"/>
      <c r="KCR235" s="15"/>
      <c r="KCS235" s="15"/>
      <c r="KCT235" s="15"/>
      <c r="KCU235" s="16"/>
      <c r="KCV235" s="16"/>
      <c r="KCW235" s="16"/>
      <c r="KCX235" s="16"/>
      <c r="KCY235" s="16"/>
      <c r="KCZ235" s="15"/>
      <c r="KDA235" s="15"/>
      <c r="KDB235" s="10"/>
      <c r="KDC235" s="10"/>
      <c r="KDD235" s="19"/>
      <c r="KDE235" s="19"/>
      <c r="KDH235" s="16"/>
      <c r="KDI235" s="15"/>
      <c r="KDJ235" s="15"/>
      <c r="KDK235" s="15"/>
      <c r="KDL235" s="16"/>
      <c r="KDM235" s="16"/>
      <c r="KDN235" s="16"/>
      <c r="KDO235" s="16"/>
      <c r="KDP235" s="16"/>
      <c r="KDQ235" s="15"/>
      <c r="KDR235" s="15"/>
      <c r="KDS235" s="10"/>
      <c r="KDT235" s="10"/>
      <c r="KDU235" s="19"/>
      <c r="KDV235" s="19"/>
      <c r="KDY235" s="16"/>
      <c r="KDZ235" s="15"/>
      <c r="KEA235" s="15"/>
      <c r="KEB235" s="15"/>
      <c r="KEC235" s="16"/>
      <c r="KED235" s="16"/>
      <c r="KEE235" s="16"/>
      <c r="KEF235" s="16"/>
      <c r="KEG235" s="16"/>
      <c r="KEH235" s="15"/>
      <c r="KEI235" s="15"/>
      <c r="KEJ235" s="10"/>
      <c r="KEK235" s="10"/>
      <c r="KEL235" s="19"/>
      <c r="KEM235" s="19"/>
      <c r="KEP235" s="16"/>
      <c r="KEQ235" s="15"/>
      <c r="KER235" s="15"/>
      <c r="KES235" s="15"/>
      <c r="KET235" s="16"/>
      <c r="KEU235" s="16"/>
      <c r="KEV235" s="16"/>
      <c r="KEW235" s="16"/>
      <c r="KEX235" s="16"/>
      <c r="KEY235" s="15"/>
      <c r="KEZ235" s="15"/>
      <c r="KFA235" s="10"/>
      <c r="KFB235" s="10"/>
      <c r="KFC235" s="19"/>
      <c r="KFD235" s="19"/>
      <c r="KFG235" s="16"/>
      <c r="KFH235" s="15"/>
      <c r="KFI235" s="15"/>
      <c r="KFJ235" s="15"/>
      <c r="KFK235" s="16"/>
      <c r="KFL235" s="16"/>
      <c r="KFM235" s="16"/>
      <c r="KFN235" s="16"/>
      <c r="KFO235" s="16"/>
      <c r="KFP235" s="15"/>
      <c r="KFQ235" s="15"/>
      <c r="KFR235" s="10"/>
      <c r="KFS235" s="10"/>
      <c r="KFT235" s="19"/>
      <c r="KFU235" s="19"/>
      <c r="KFX235" s="16"/>
      <c r="KFY235" s="15"/>
      <c r="KFZ235" s="15"/>
      <c r="KGA235" s="15"/>
      <c r="KGB235" s="16"/>
      <c r="KGC235" s="16"/>
      <c r="KGD235" s="16"/>
      <c r="KGE235" s="16"/>
      <c r="KGF235" s="16"/>
      <c r="KGG235" s="15"/>
      <c r="KGH235" s="15"/>
      <c r="KGI235" s="10"/>
      <c r="KGJ235" s="10"/>
      <c r="KGK235" s="19"/>
      <c r="KGL235" s="19"/>
      <c r="KGO235" s="16"/>
      <c r="KGP235" s="15"/>
      <c r="KGQ235" s="15"/>
      <c r="KGR235" s="15"/>
      <c r="KGS235" s="16"/>
      <c r="KGT235" s="16"/>
      <c r="KGU235" s="16"/>
      <c r="KGV235" s="16"/>
      <c r="KGW235" s="16"/>
      <c r="KGX235" s="15"/>
      <c r="KGY235" s="15"/>
      <c r="KGZ235" s="10"/>
      <c r="KHA235" s="10"/>
      <c r="KHB235" s="19"/>
      <c r="KHC235" s="19"/>
      <c r="KHF235" s="16"/>
      <c r="KHG235" s="15"/>
      <c r="KHH235" s="15"/>
      <c r="KHI235" s="15"/>
      <c r="KHJ235" s="16"/>
      <c r="KHK235" s="16"/>
      <c r="KHL235" s="16"/>
      <c r="KHM235" s="16"/>
      <c r="KHN235" s="16"/>
      <c r="KHO235" s="15"/>
      <c r="KHP235" s="15"/>
      <c r="KHQ235" s="10"/>
      <c r="KHR235" s="10"/>
      <c r="KHS235" s="19"/>
      <c r="KHT235" s="19"/>
      <c r="KHW235" s="16"/>
      <c r="KHX235" s="15"/>
      <c r="KHY235" s="15"/>
      <c r="KHZ235" s="15"/>
      <c r="KIA235" s="16"/>
      <c r="KIB235" s="16"/>
      <c r="KIC235" s="16"/>
      <c r="KID235" s="16"/>
      <c r="KIE235" s="16"/>
      <c r="KIF235" s="15"/>
      <c r="KIG235" s="15"/>
      <c r="KIH235" s="10"/>
      <c r="KII235" s="10"/>
      <c r="KIJ235" s="19"/>
      <c r="KIK235" s="19"/>
      <c r="KIN235" s="16"/>
      <c r="KIO235" s="15"/>
      <c r="KIP235" s="15"/>
      <c r="KIQ235" s="15"/>
      <c r="KIR235" s="16"/>
      <c r="KIS235" s="16"/>
      <c r="KIT235" s="16"/>
      <c r="KIU235" s="16"/>
      <c r="KIV235" s="16"/>
      <c r="KIW235" s="15"/>
      <c r="KIX235" s="15"/>
      <c r="KIY235" s="10"/>
      <c r="KIZ235" s="10"/>
      <c r="KJA235" s="19"/>
      <c r="KJB235" s="19"/>
      <c r="KJE235" s="16"/>
      <c r="KJF235" s="15"/>
      <c r="KJG235" s="15"/>
      <c r="KJH235" s="15"/>
      <c r="KJI235" s="16"/>
      <c r="KJJ235" s="16"/>
      <c r="KJK235" s="16"/>
      <c r="KJL235" s="16"/>
      <c r="KJM235" s="16"/>
      <c r="KJN235" s="15"/>
      <c r="KJO235" s="15"/>
      <c r="KJP235" s="10"/>
      <c r="KJQ235" s="10"/>
      <c r="KJR235" s="19"/>
      <c r="KJS235" s="19"/>
      <c r="KJV235" s="16"/>
      <c r="KJW235" s="15"/>
      <c r="KJX235" s="15"/>
      <c r="KJY235" s="15"/>
      <c r="KJZ235" s="16"/>
      <c r="KKA235" s="16"/>
      <c r="KKB235" s="16"/>
      <c r="KKC235" s="16"/>
      <c r="KKD235" s="16"/>
      <c r="KKE235" s="15"/>
      <c r="KKF235" s="15"/>
      <c r="KKG235" s="10"/>
      <c r="KKH235" s="10"/>
      <c r="KKI235" s="19"/>
      <c r="KKJ235" s="19"/>
      <c r="KKM235" s="16"/>
      <c r="KKN235" s="15"/>
      <c r="KKO235" s="15"/>
      <c r="KKP235" s="15"/>
      <c r="KKQ235" s="16"/>
      <c r="KKR235" s="16"/>
      <c r="KKS235" s="16"/>
      <c r="KKT235" s="16"/>
      <c r="KKU235" s="16"/>
      <c r="KKV235" s="15"/>
      <c r="KKW235" s="15"/>
      <c r="KKX235" s="10"/>
      <c r="KKY235" s="10"/>
      <c r="KKZ235" s="19"/>
      <c r="KLA235" s="19"/>
      <c r="KLD235" s="16"/>
      <c r="KLE235" s="15"/>
      <c r="KLF235" s="15"/>
      <c r="KLG235" s="15"/>
      <c r="KLH235" s="16"/>
      <c r="KLI235" s="16"/>
      <c r="KLJ235" s="16"/>
      <c r="KLK235" s="16"/>
      <c r="KLL235" s="16"/>
      <c r="KLM235" s="15"/>
      <c r="KLN235" s="15"/>
      <c r="KLO235" s="10"/>
      <c r="KLP235" s="10"/>
      <c r="KLQ235" s="19"/>
      <c r="KLR235" s="19"/>
      <c r="KLU235" s="16"/>
      <c r="KLV235" s="15"/>
      <c r="KLW235" s="15"/>
      <c r="KLX235" s="15"/>
      <c r="KLY235" s="16"/>
      <c r="KLZ235" s="16"/>
      <c r="KMA235" s="16"/>
      <c r="KMB235" s="16"/>
      <c r="KMC235" s="16"/>
      <c r="KMD235" s="15"/>
      <c r="KME235" s="15"/>
      <c r="KMF235" s="10"/>
      <c r="KMG235" s="10"/>
      <c r="KMH235" s="19"/>
      <c r="KMI235" s="19"/>
      <c r="KML235" s="16"/>
      <c r="KMM235" s="15"/>
      <c r="KMN235" s="15"/>
      <c r="KMO235" s="15"/>
      <c r="KMP235" s="16"/>
      <c r="KMQ235" s="16"/>
      <c r="KMR235" s="16"/>
      <c r="KMS235" s="16"/>
      <c r="KMT235" s="16"/>
      <c r="KMU235" s="15"/>
      <c r="KMV235" s="15"/>
      <c r="KMW235" s="10"/>
      <c r="KMX235" s="10"/>
      <c r="KMY235" s="19"/>
      <c r="KMZ235" s="19"/>
      <c r="KNC235" s="16"/>
      <c r="KND235" s="15"/>
      <c r="KNE235" s="15"/>
      <c r="KNF235" s="15"/>
      <c r="KNG235" s="16"/>
      <c r="KNH235" s="16"/>
      <c r="KNI235" s="16"/>
      <c r="KNJ235" s="16"/>
      <c r="KNK235" s="16"/>
      <c r="KNL235" s="15"/>
      <c r="KNM235" s="15"/>
      <c r="KNN235" s="10"/>
      <c r="KNO235" s="10"/>
      <c r="KNP235" s="19"/>
      <c r="KNQ235" s="19"/>
      <c r="KNT235" s="16"/>
      <c r="KNU235" s="15"/>
      <c r="KNV235" s="15"/>
      <c r="KNW235" s="15"/>
      <c r="KNX235" s="16"/>
      <c r="KNY235" s="16"/>
      <c r="KNZ235" s="16"/>
      <c r="KOA235" s="16"/>
      <c r="KOB235" s="16"/>
      <c r="KOC235" s="15"/>
      <c r="KOD235" s="15"/>
      <c r="KOE235" s="10"/>
      <c r="KOF235" s="10"/>
      <c r="KOG235" s="19"/>
      <c r="KOH235" s="19"/>
      <c r="KOK235" s="16"/>
      <c r="KOL235" s="15"/>
      <c r="KOM235" s="15"/>
      <c r="KON235" s="15"/>
      <c r="KOO235" s="16"/>
      <c r="KOP235" s="16"/>
      <c r="KOQ235" s="16"/>
      <c r="KOR235" s="16"/>
      <c r="KOS235" s="16"/>
      <c r="KOT235" s="15"/>
      <c r="KOU235" s="15"/>
      <c r="KOV235" s="10"/>
      <c r="KOW235" s="10"/>
      <c r="KOX235" s="19"/>
      <c r="KOY235" s="19"/>
      <c r="KPB235" s="16"/>
      <c r="KPC235" s="15"/>
      <c r="KPD235" s="15"/>
      <c r="KPE235" s="15"/>
      <c r="KPF235" s="16"/>
      <c r="KPG235" s="16"/>
      <c r="KPH235" s="16"/>
      <c r="KPI235" s="16"/>
      <c r="KPJ235" s="16"/>
      <c r="KPK235" s="15"/>
      <c r="KPL235" s="15"/>
      <c r="KPM235" s="10"/>
      <c r="KPN235" s="10"/>
      <c r="KPO235" s="19"/>
      <c r="KPP235" s="19"/>
      <c r="KPS235" s="16"/>
      <c r="KPT235" s="15"/>
      <c r="KPU235" s="15"/>
      <c r="KPV235" s="15"/>
      <c r="KPW235" s="16"/>
      <c r="KPX235" s="16"/>
      <c r="KPY235" s="16"/>
      <c r="KPZ235" s="16"/>
      <c r="KQA235" s="16"/>
      <c r="KQB235" s="15"/>
      <c r="KQC235" s="15"/>
      <c r="KQD235" s="10"/>
      <c r="KQE235" s="10"/>
      <c r="KQF235" s="19"/>
      <c r="KQG235" s="19"/>
      <c r="KQJ235" s="16"/>
      <c r="KQK235" s="15"/>
      <c r="KQL235" s="15"/>
      <c r="KQM235" s="15"/>
      <c r="KQN235" s="16"/>
      <c r="KQO235" s="16"/>
      <c r="KQP235" s="16"/>
      <c r="KQQ235" s="16"/>
      <c r="KQR235" s="16"/>
      <c r="KQS235" s="15"/>
      <c r="KQT235" s="15"/>
      <c r="KQU235" s="10"/>
      <c r="KQV235" s="10"/>
      <c r="KQW235" s="19"/>
      <c r="KQX235" s="19"/>
      <c r="KRA235" s="16"/>
      <c r="KRB235" s="15"/>
      <c r="KRC235" s="15"/>
      <c r="KRD235" s="15"/>
      <c r="KRE235" s="16"/>
      <c r="KRF235" s="16"/>
      <c r="KRG235" s="16"/>
      <c r="KRH235" s="16"/>
      <c r="KRI235" s="16"/>
      <c r="KRJ235" s="15"/>
      <c r="KRK235" s="15"/>
      <c r="KRL235" s="10"/>
      <c r="KRM235" s="10"/>
      <c r="KRN235" s="19"/>
      <c r="KRO235" s="19"/>
      <c r="KRR235" s="16"/>
      <c r="KRS235" s="15"/>
      <c r="KRT235" s="15"/>
      <c r="KRU235" s="15"/>
      <c r="KRV235" s="16"/>
      <c r="KRW235" s="16"/>
      <c r="KRX235" s="16"/>
      <c r="KRY235" s="16"/>
      <c r="KRZ235" s="16"/>
      <c r="KSA235" s="15"/>
      <c r="KSB235" s="15"/>
      <c r="KSC235" s="10"/>
      <c r="KSD235" s="10"/>
      <c r="KSE235" s="19"/>
      <c r="KSF235" s="19"/>
      <c r="KSI235" s="16"/>
      <c r="KSJ235" s="15"/>
      <c r="KSK235" s="15"/>
      <c r="KSL235" s="15"/>
      <c r="KSM235" s="16"/>
      <c r="KSN235" s="16"/>
      <c r="KSO235" s="16"/>
      <c r="KSP235" s="16"/>
      <c r="KSQ235" s="16"/>
      <c r="KSR235" s="15"/>
      <c r="KSS235" s="15"/>
      <c r="KST235" s="10"/>
      <c r="KSU235" s="10"/>
      <c r="KSV235" s="19"/>
      <c r="KSW235" s="19"/>
      <c r="KSZ235" s="16"/>
      <c r="KTA235" s="15"/>
      <c r="KTB235" s="15"/>
      <c r="KTC235" s="15"/>
      <c r="KTD235" s="16"/>
      <c r="KTE235" s="16"/>
      <c r="KTF235" s="16"/>
      <c r="KTG235" s="16"/>
      <c r="KTH235" s="16"/>
      <c r="KTI235" s="15"/>
      <c r="KTJ235" s="15"/>
      <c r="KTK235" s="10"/>
      <c r="KTL235" s="10"/>
      <c r="KTM235" s="19"/>
      <c r="KTN235" s="19"/>
      <c r="KTQ235" s="16"/>
      <c r="KTR235" s="15"/>
      <c r="KTS235" s="15"/>
      <c r="KTT235" s="15"/>
      <c r="KTU235" s="16"/>
      <c r="KTV235" s="16"/>
      <c r="KTW235" s="16"/>
      <c r="KTX235" s="16"/>
      <c r="KTY235" s="16"/>
      <c r="KTZ235" s="15"/>
      <c r="KUA235" s="15"/>
      <c r="KUB235" s="10"/>
      <c r="KUC235" s="10"/>
      <c r="KUD235" s="19"/>
      <c r="KUE235" s="19"/>
      <c r="KUH235" s="16"/>
      <c r="KUI235" s="15"/>
      <c r="KUJ235" s="15"/>
      <c r="KUK235" s="15"/>
      <c r="KUL235" s="16"/>
      <c r="KUM235" s="16"/>
      <c r="KUN235" s="16"/>
      <c r="KUO235" s="16"/>
      <c r="KUP235" s="16"/>
      <c r="KUQ235" s="15"/>
      <c r="KUR235" s="15"/>
      <c r="KUS235" s="10"/>
      <c r="KUT235" s="10"/>
      <c r="KUU235" s="19"/>
      <c r="KUV235" s="19"/>
      <c r="KUY235" s="16"/>
      <c r="KUZ235" s="15"/>
      <c r="KVA235" s="15"/>
      <c r="KVB235" s="15"/>
      <c r="KVC235" s="16"/>
      <c r="KVD235" s="16"/>
      <c r="KVE235" s="16"/>
      <c r="KVF235" s="16"/>
      <c r="KVG235" s="16"/>
      <c r="KVH235" s="15"/>
      <c r="KVI235" s="15"/>
      <c r="KVJ235" s="10"/>
      <c r="KVK235" s="10"/>
      <c r="KVL235" s="19"/>
      <c r="KVM235" s="19"/>
      <c r="KVP235" s="16"/>
      <c r="KVQ235" s="15"/>
      <c r="KVR235" s="15"/>
      <c r="KVS235" s="15"/>
      <c r="KVT235" s="16"/>
      <c r="KVU235" s="16"/>
      <c r="KVV235" s="16"/>
      <c r="KVW235" s="16"/>
      <c r="KVX235" s="16"/>
      <c r="KVY235" s="15"/>
      <c r="KVZ235" s="15"/>
      <c r="KWA235" s="10"/>
      <c r="KWB235" s="10"/>
      <c r="KWC235" s="19"/>
      <c r="KWD235" s="19"/>
      <c r="KWG235" s="16"/>
      <c r="KWH235" s="15"/>
      <c r="KWI235" s="15"/>
      <c r="KWJ235" s="15"/>
      <c r="KWK235" s="16"/>
      <c r="KWL235" s="16"/>
      <c r="KWM235" s="16"/>
      <c r="KWN235" s="16"/>
      <c r="KWO235" s="16"/>
      <c r="KWP235" s="15"/>
      <c r="KWQ235" s="15"/>
      <c r="KWR235" s="10"/>
      <c r="KWS235" s="10"/>
      <c r="KWT235" s="19"/>
      <c r="KWU235" s="19"/>
      <c r="KWX235" s="16"/>
      <c r="KWY235" s="15"/>
      <c r="KWZ235" s="15"/>
      <c r="KXA235" s="15"/>
      <c r="KXB235" s="16"/>
      <c r="KXC235" s="16"/>
      <c r="KXD235" s="16"/>
      <c r="KXE235" s="16"/>
      <c r="KXF235" s="16"/>
      <c r="KXG235" s="15"/>
      <c r="KXH235" s="15"/>
      <c r="KXI235" s="10"/>
      <c r="KXJ235" s="10"/>
      <c r="KXK235" s="19"/>
      <c r="KXL235" s="19"/>
      <c r="KXO235" s="16"/>
      <c r="KXP235" s="15"/>
      <c r="KXQ235" s="15"/>
      <c r="KXR235" s="15"/>
      <c r="KXS235" s="16"/>
      <c r="KXT235" s="16"/>
      <c r="KXU235" s="16"/>
      <c r="KXV235" s="16"/>
      <c r="KXW235" s="16"/>
      <c r="KXX235" s="15"/>
      <c r="KXY235" s="15"/>
      <c r="KXZ235" s="10"/>
      <c r="KYA235" s="10"/>
      <c r="KYB235" s="19"/>
      <c r="KYC235" s="19"/>
      <c r="KYF235" s="16"/>
      <c r="KYG235" s="15"/>
      <c r="KYH235" s="15"/>
      <c r="KYI235" s="15"/>
      <c r="KYJ235" s="16"/>
      <c r="KYK235" s="16"/>
      <c r="KYL235" s="16"/>
      <c r="KYM235" s="16"/>
      <c r="KYN235" s="16"/>
      <c r="KYO235" s="15"/>
      <c r="KYP235" s="15"/>
      <c r="KYQ235" s="10"/>
      <c r="KYR235" s="10"/>
      <c r="KYS235" s="19"/>
      <c r="KYT235" s="19"/>
      <c r="KYW235" s="16"/>
      <c r="KYX235" s="15"/>
      <c r="KYY235" s="15"/>
      <c r="KYZ235" s="15"/>
      <c r="KZA235" s="16"/>
      <c r="KZB235" s="16"/>
      <c r="KZC235" s="16"/>
      <c r="KZD235" s="16"/>
      <c r="KZE235" s="16"/>
      <c r="KZF235" s="15"/>
      <c r="KZG235" s="15"/>
      <c r="KZH235" s="10"/>
      <c r="KZI235" s="10"/>
      <c r="KZJ235" s="19"/>
      <c r="KZK235" s="19"/>
      <c r="KZN235" s="16"/>
      <c r="KZO235" s="15"/>
      <c r="KZP235" s="15"/>
      <c r="KZQ235" s="15"/>
      <c r="KZR235" s="16"/>
      <c r="KZS235" s="16"/>
      <c r="KZT235" s="16"/>
      <c r="KZU235" s="16"/>
      <c r="KZV235" s="16"/>
      <c r="KZW235" s="15"/>
      <c r="KZX235" s="15"/>
      <c r="KZY235" s="10"/>
      <c r="KZZ235" s="10"/>
      <c r="LAA235" s="19"/>
      <c r="LAB235" s="19"/>
      <c r="LAE235" s="16"/>
      <c r="LAF235" s="15"/>
      <c r="LAG235" s="15"/>
      <c r="LAH235" s="15"/>
      <c r="LAI235" s="16"/>
      <c r="LAJ235" s="16"/>
      <c r="LAK235" s="16"/>
      <c r="LAL235" s="16"/>
      <c r="LAM235" s="16"/>
      <c r="LAN235" s="15"/>
      <c r="LAO235" s="15"/>
      <c r="LAP235" s="10"/>
      <c r="LAQ235" s="10"/>
      <c r="LAR235" s="19"/>
      <c r="LAS235" s="19"/>
      <c r="LAV235" s="16"/>
      <c r="LAW235" s="15"/>
      <c r="LAX235" s="15"/>
      <c r="LAY235" s="15"/>
      <c r="LAZ235" s="16"/>
      <c r="LBA235" s="16"/>
      <c r="LBB235" s="16"/>
      <c r="LBC235" s="16"/>
      <c r="LBD235" s="16"/>
      <c r="LBE235" s="15"/>
      <c r="LBF235" s="15"/>
      <c r="LBG235" s="10"/>
      <c r="LBH235" s="10"/>
      <c r="LBI235" s="19"/>
      <c r="LBJ235" s="19"/>
      <c r="LBM235" s="16"/>
      <c r="LBN235" s="15"/>
      <c r="LBO235" s="15"/>
      <c r="LBP235" s="15"/>
      <c r="LBQ235" s="16"/>
      <c r="LBR235" s="16"/>
      <c r="LBS235" s="16"/>
      <c r="LBT235" s="16"/>
      <c r="LBU235" s="16"/>
      <c r="LBV235" s="15"/>
      <c r="LBW235" s="15"/>
      <c r="LBX235" s="10"/>
      <c r="LBY235" s="10"/>
      <c r="LBZ235" s="19"/>
      <c r="LCA235" s="19"/>
      <c r="LCD235" s="16"/>
      <c r="LCE235" s="15"/>
      <c r="LCF235" s="15"/>
      <c r="LCG235" s="15"/>
      <c r="LCH235" s="16"/>
      <c r="LCI235" s="16"/>
      <c r="LCJ235" s="16"/>
      <c r="LCK235" s="16"/>
      <c r="LCL235" s="16"/>
      <c r="LCM235" s="15"/>
      <c r="LCN235" s="15"/>
      <c r="LCO235" s="10"/>
      <c r="LCP235" s="10"/>
      <c r="LCQ235" s="19"/>
      <c r="LCR235" s="19"/>
      <c r="LCU235" s="16"/>
      <c r="LCV235" s="15"/>
      <c r="LCW235" s="15"/>
      <c r="LCX235" s="15"/>
      <c r="LCY235" s="16"/>
      <c r="LCZ235" s="16"/>
      <c r="LDA235" s="16"/>
      <c r="LDB235" s="16"/>
      <c r="LDC235" s="16"/>
      <c r="LDD235" s="15"/>
      <c r="LDE235" s="15"/>
      <c r="LDF235" s="10"/>
      <c r="LDG235" s="10"/>
      <c r="LDH235" s="19"/>
      <c r="LDI235" s="19"/>
      <c r="LDL235" s="16"/>
      <c r="LDM235" s="15"/>
      <c r="LDN235" s="15"/>
      <c r="LDO235" s="15"/>
      <c r="LDP235" s="16"/>
      <c r="LDQ235" s="16"/>
      <c r="LDR235" s="16"/>
      <c r="LDS235" s="16"/>
      <c r="LDT235" s="16"/>
      <c r="LDU235" s="15"/>
      <c r="LDV235" s="15"/>
      <c r="LDW235" s="10"/>
      <c r="LDX235" s="10"/>
      <c r="LDY235" s="19"/>
      <c r="LDZ235" s="19"/>
      <c r="LEC235" s="16"/>
      <c r="LED235" s="15"/>
      <c r="LEE235" s="15"/>
      <c r="LEF235" s="15"/>
      <c r="LEG235" s="16"/>
      <c r="LEH235" s="16"/>
      <c r="LEI235" s="16"/>
      <c r="LEJ235" s="16"/>
      <c r="LEK235" s="16"/>
      <c r="LEL235" s="15"/>
      <c r="LEM235" s="15"/>
      <c r="LEN235" s="10"/>
      <c r="LEO235" s="10"/>
      <c r="LEP235" s="19"/>
      <c r="LEQ235" s="19"/>
      <c r="LET235" s="16"/>
      <c r="LEU235" s="15"/>
      <c r="LEV235" s="15"/>
      <c r="LEW235" s="15"/>
      <c r="LEX235" s="16"/>
      <c r="LEY235" s="16"/>
      <c r="LEZ235" s="16"/>
      <c r="LFA235" s="16"/>
      <c r="LFB235" s="16"/>
      <c r="LFC235" s="15"/>
      <c r="LFD235" s="15"/>
      <c r="LFE235" s="10"/>
      <c r="LFF235" s="10"/>
      <c r="LFG235" s="19"/>
      <c r="LFH235" s="19"/>
      <c r="LFK235" s="16"/>
      <c r="LFL235" s="15"/>
      <c r="LFM235" s="15"/>
      <c r="LFN235" s="15"/>
      <c r="LFO235" s="16"/>
      <c r="LFP235" s="16"/>
      <c r="LFQ235" s="16"/>
      <c r="LFR235" s="16"/>
      <c r="LFS235" s="16"/>
      <c r="LFT235" s="15"/>
      <c r="LFU235" s="15"/>
      <c r="LFV235" s="10"/>
      <c r="LFW235" s="10"/>
      <c r="LFX235" s="19"/>
      <c r="LFY235" s="19"/>
      <c r="LGB235" s="16"/>
      <c r="LGC235" s="15"/>
      <c r="LGD235" s="15"/>
      <c r="LGE235" s="15"/>
      <c r="LGF235" s="16"/>
      <c r="LGG235" s="16"/>
      <c r="LGH235" s="16"/>
      <c r="LGI235" s="16"/>
      <c r="LGJ235" s="16"/>
      <c r="LGK235" s="15"/>
      <c r="LGL235" s="15"/>
      <c r="LGM235" s="10"/>
      <c r="LGN235" s="10"/>
      <c r="LGO235" s="19"/>
      <c r="LGP235" s="19"/>
      <c r="LGS235" s="16"/>
      <c r="LGT235" s="15"/>
      <c r="LGU235" s="15"/>
      <c r="LGV235" s="15"/>
      <c r="LGW235" s="16"/>
      <c r="LGX235" s="16"/>
      <c r="LGY235" s="16"/>
      <c r="LGZ235" s="16"/>
      <c r="LHA235" s="16"/>
      <c r="LHB235" s="15"/>
      <c r="LHC235" s="15"/>
      <c r="LHD235" s="10"/>
      <c r="LHE235" s="10"/>
      <c r="LHF235" s="19"/>
      <c r="LHG235" s="19"/>
      <c r="LHJ235" s="16"/>
      <c r="LHK235" s="15"/>
      <c r="LHL235" s="15"/>
      <c r="LHM235" s="15"/>
      <c r="LHN235" s="16"/>
      <c r="LHO235" s="16"/>
      <c r="LHP235" s="16"/>
      <c r="LHQ235" s="16"/>
      <c r="LHR235" s="16"/>
      <c r="LHS235" s="15"/>
      <c r="LHT235" s="15"/>
      <c r="LHU235" s="10"/>
      <c r="LHV235" s="10"/>
      <c r="LHW235" s="19"/>
      <c r="LHX235" s="19"/>
      <c r="LIA235" s="16"/>
      <c r="LIB235" s="15"/>
      <c r="LIC235" s="15"/>
      <c r="LID235" s="15"/>
      <c r="LIE235" s="16"/>
      <c r="LIF235" s="16"/>
      <c r="LIG235" s="16"/>
      <c r="LIH235" s="16"/>
      <c r="LII235" s="16"/>
      <c r="LIJ235" s="15"/>
      <c r="LIK235" s="15"/>
      <c r="LIL235" s="10"/>
      <c r="LIM235" s="10"/>
      <c r="LIN235" s="19"/>
      <c r="LIO235" s="19"/>
      <c r="LIR235" s="16"/>
      <c r="LIS235" s="15"/>
      <c r="LIT235" s="15"/>
      <c r="LIU235" s="15"/>
      <c r="LIV235" s="16"/>
      <c r="LIW235" s="16"/>
      <c r="LIX235" s="16"/>
      <c r="LIY235" s="16"/>
      <c r="LIZ235" s="16"/>
      <c r="LJA235" s="15"/>
      <c r="LJB235" s="15"/>
      <c r="LJC235" s="10"/>
      <c r="LJD235" s="10"/>
      <c r="LJE235" s="19"/>
      <c r="LJF235" s="19"/>
      <c r="LJI235" s="16"/>
      <c r="LJJ235" s="15"/>
      <c r="LJK235" s="15"/>
      <c r="LJL235" s="15"/>
      <c r="LJM235" s="16"/>
      <c r="LJN235" s="16"/>
      <c r="LJO235" s="16"/>
      <c r="LJP235" s="16"/>
      <c r="LJQ235" s="16"/>
      <c r="LJR235" s="15"/>
      <c r="LJS235" s="15"/>
      <c r="LJT235" s="10"/>
      <c r="LJU235" s="10"/>
      <c r="LJV235" s="19"/>
      <c r="LJW235" s="19"/>
      <c r="LJZ235" s="16"/>
      <c r="LKA235" s="15"/>
      <c r="LKB235" s="15"/>
      <c r="LKC235" s="15"/>
      <c r="LKD235" s="16"/>
      <c r="LKE235" s="16"/>
      <c r="LKF235" s="16"/>
      <c r="LKG235" s="16"/>
      <c r="LKH235" s="16"/>
      <c r="LKI235" s="15"/>
      <c r="LKJ235" s="15"/>
      <c r="LKK235" s="10"/>
      <c r="LKL235" s="10"/>
      <c r="LKM235" s="19"/>
      <c r="LKN235" s="19"/>
      <c r="LKQ235" s="16"/>
      <c r="LKR235" s="15"/>
      <c r="LKS235" s="15"/>
      <c r="LKT235" s="15"/>
      <c r="LKU235" s="16"/>
      <c r="LKV235" s="16"/>
      <c r="LKW235" s="16"/>
      <c r="LKX235" s="16"/>
      <c r="LKY235" s="16"/>
      <c r="LKZ235" s="15"/>
      <c r="LLA235" s="15"/>
      <c r="LLB235" s="10"/>
      <c r="LLC235" s="10"/>
      <c r="LLD235" s="19"/>
      <c r="LLE235" s="19"/>
      <c r="LLH235" s="16"/>
      <c r="LLI235" s="15"/>
      <c r="LLJ235" s="15"/>
      <c r="LLK235" s="15"/>
      <c r="LLL235" s="16"/>
      <c r="LLM235" s="16"/>
      <c r="LLN235" s="16"/>
      <c r="LLO235" s="16"/>
      <c r="LLP235" s="16"/>
      <c r="LLQ235" s="15"/>
      <c r="LLR235" s="15"/>
      <c r="LLS235" s="10"/>
      <c r="LLT235" s="10"/>
      <c r="LLU235" s="19"/>
      <c r="LLV235" s="19"/>
      <c r="LLY235" s="16"/>
      <c r="LLZ235" s="15"/>
      <c r="LMA235" s="15"/>
      <c r="LMB235" s="15"/>
      <c r="LMC235" s="16"/>
      <c r="LMD235" s="16"/>
      <c r="LME235" s="16"/>
      <c r="LMF235" s="16"/>
      <c r="LMG235" s="16"/>
      <c r="LMH235" s="15"/>
      <c r="LMI235" s="15"/>
      <c r="LMJ235" s="10"/>
      <c r="LMK235" s="10"/>
      <c r="LML235" s="19"/>
      <c r="LMM235" s="19"/>
      <c r="LMP235" s="16"/>
      <c r="LMQ235" s="15"/>
      <c r="LMR235" s="15"/>
      <c r="LMS235" s="15"/>
      <c r="LMT235" s="16"/>
      <c r="LMU235" s="16"/>
      <c r="LMV235" s="16"/>
      <c r="LMW235" s="16"/>
      <c r="LMX235" s="16"/>
      <c r="LMY235" s="15"/>
      <c r="LMZ235" s="15"/>
      <c r="LNA235" s="10"/>
      <c r="LNB235" s="10"/>
      <c r="LNC235" s="19"/>
      <c r="LND235" s="19"/>
      <c r="LNG235" s="16"/>
      <c r="LNH235" s="15"/>
      <c r="LNI235" s="15"/>
      <c r="LNJ235" s="15"/>
      <c r="LNK235" s="16"/>
      <c r="LNL235" s="16"/>
      <c r="LNM235" s="16"/>
      <c r="LNN235" s="16"/>
      <c r="LNO235" s="16"/>
      <c r="LNP235" s="15"/>
      <c r="LNQ235" s="15"/>
      <c r="LNR235" s="10"/>
      <c r="LNS235" s="10"/>
      <c r="LNT235" s="19"/>
      <c r="LNU235" s="19"/>
      <c r="LNX235" s="16"/>
      <c r="LNY235" s="15"/>
      <c r="LNZ235" s="15"/>
      <c r="LOA235" s="15"/>
      <c r="LOB235" s="16"/>
      <c r="LOC235" s="16"/>
      <c r="LOD235" s="16"/>
      <c r="LOE235" s="16"/>
      <c r="LOF235" s="16"/>
      <c r="LOG235" s="15"/>
      <c r="LOH235" s="15"/>
      <c r="LOI235" s="10"/>
      <c r="LOJ235" s="10"/>
      <c r="LOK235" s="19"/>
      <c r="LOL235" s="19"/>
      <c r="LOO235" s="16"/>
      <c r="LOP235" s="15"/>
      <c r="LOQ235" s="15"/>
      <c r="LOR235" s="15"/>
      <c r="LOS235" s="16"/>
      <c r="LOT235" s="16"/>
      <c r="LOU235" s="16"/>
      <c r="LOV235" s="16"/>
      <c r="LOW235" s="16"/>
      <c r="LOX235" s="15"/>
      <c r="LOY235" s="15"/>
      <c r="LOZ235" s="10"/>
      <c r="LPA235" s="10"/>
      <c r="LPB235" s="19"/>
      <c r="LPC235" s="19"/>
      <c r="LPF235" s="16"/>
      <c r="LPG235" s="15"/>
      <c r="LPH235" s="15"/>
      <c r="LPI235" s="15"/>
      <c r="LPJ235" s="16"/>
      <c r="LPK235" s="16"/>
      <c r="LPL235" s="16"/>
      <c r="LPM235" s="16"/>
      <c r="LPN235" s="16"/>
      <c r="LPO235" s="15"/>
      <c r="LPP235" s="15"/>
      <c r="LPQ235" s="10"/>
      <c r="LPR235" s="10"/>
      <c r="LPS235" s="19"/>
      <c r="LPT235" s="19"/>
      <c r="LPW235" s="16"/>
      <c r="LPX235" s="15"/>
      <c r="LPY235" s="15"/>
      <c r="LPZ235" s="15"/>
      <c r="LQA235" s="16"/>
      <c r="LQB235" s="16"/>
      <c r="LQC235" s="16"/>
      <c r="LQD235" s="16"/>
      <c r="LQE235" s="16"/>
      <c r="LQF235" s="15"/>
      <c r="LQG235" s="15"/>
      <c r="LQH235" s="10"/>
      <c r="LQI235" s="10"/>
      <c r="LQJ235" s="19"/>
      <c r="LQK235" s="19"/>
      <c r="LQN235" s="16"/>
      <c r="LQO235" s="15"/>
      <c r="LQP235" s="15"/>
      <c r="LQQ235" s="15"/>
      <c r="LQR235" s="16"/>
      <c r="LQS235" s="16"/>
      <c r="LQT235" s="16"/>
      <c r="LQU235" s="16"/>
      <c r="LQV235" s="16"/>
      <c r="LQW235" s="15"/>
      <c r="LQX235" s="15"/>
      <c r="LQY235" s="10"/>
      <c r="LQZ235" s="10"/>
      <c r="LRA235" s="19"/>
      <c r="LRB235" s="19"/>
      <c r="LRE235" s="16"/>
      <c r="LRF235" s="15"/>
      <c r="LRG235" s="15"/>
      <c r="LRH235" s="15"/>
      <c r="LRI235" s="16"/>
      <c r="LRJ235" s="16"/>
      <c r="LRK235" s="16"/>
      <c r="LRL235" s="16"/>
      <c r="LRM235" s="16"/>
      <c r="LRN235" s="15"/>
      <c r="LRO235" s="15"/>
      <c r="LRP235" s="10"/>
      <c r="LRQ235" s="10"/>
      <c r="LRR235" s="19"/>
      <c r="LRS235" s="19"/>
      <c r="LRV235" s="16"/>
      <c r="LRW235" s="15"/>
      <c r="LRX235" s="15"/>
      <c r="LRY235" s="15"/>
      <c r="LRZ235" s="16"/>
      <c r="LSA235" s="16"/>
      <c r="LSB235" s="16"/>
      <c r="LSC235" s="16"/>
      <c r="LSD235" s="16"/>
      <c r="LSE235" s="15"/>
      <c r="LSF235" s="15"/>
      <c r="LSG235" s="10"/>
      <c r="LSH235" s="10"/>
      <c r="LSI235" s="19"/>
      <c r="LSJ235" s="19"/>
      <c r="LSM235" s="16"/>
      <c r="LSN235" s="15"/>
      <c r="LSO235" s="15"/>
      <c r="LSP235" s="15"/>
      <c r="LSQ235" s="16"/>
      <c r="LSR235" s="16"/>
      <c r="LSS235" s="16"/>
      <c r="LST235" s="16"/>
      <c r="LSU235" s="16"/>
      <c r="LSV235" s="15"/>
      <c r="LSW235" s="15"/>
      <c r="LSX235" s="10"/>
      <c r="LSY235" s="10"/>
      <c r="LSZ235" s="19"/>
      <c r="LTA235" s="19"/>
      <c r="LTD235" s="16"/>
      <c r="LTE235" s="15"/>
      <c r="LTF235" s="15"/>
      <c r="LTG235" s="15"/>
      <c r="LTH235" s="16"/>
      <c r="LTI235" s="16"/>
      <c r="LTJ235" s="16"/>
      <c r="LTK235" s="16"/>
      <c r="LTL235" s="16"/>
      <c r="LTM235" s="15"/>
      <c r="LTN235" s="15"/>
      <c r="LTO235" s="10"/>
      <c r="LTP235" s="10"/>
      <c r="LTQ235" s="19"/>
      <c r="LTR235" s="19"/>
      <c r="LTU235" s="16"/>
      <c r="LTV235" s="15"/>
      <c r="LTW235" s="15"/>
      <c r="LTX235" s="15"/>
      <c r="LTY235" s="16"/>
      <c r="LTZ235" s="16"/>
      <c r="LUA235" s="16"/>
      <c r="LUB235" s="16"/>
      <c r="LUC235" s="16"/>
      <c r="LUD235" s="15"/>
      <c r="LUE235" s="15"/>
      <c r="LUF235" s="10"/>
      <c r="LUG235" s="10"/>
      <c r="LUH235" s="19"/>
      <c r="LUI235" s="19"/>
      <c r="LUL235" s="16"/>
      <c r="LUM235" s="15"/>
      <c r="LUN235" s="15"/>
      <c r="LUO235" s="15"/>
      <c r="LUP235" s="16"/>
      <c r="LUQ235" s="16"/>
      <c r="LUR235" s="16"/>
      <c r="LUS235" s="16"/>
      <c r="LUT235" s="16"/>
      <c r="LUU235" s="15"/>
      <c r="LUV235" s="15"/>
      <c r="LUW235" s="10"/>
      <c r="LUX235" s="10"/>
      <c r="LUY235" s="19"/>
      <c r="LUZ235" s="19"/>
      <c r="LVC235" s="16"/>
      <c r="LVD235" s="15"/>
      <c r="LVE235" s="15"/>
      <c r="LVF235" s="15"/>
      <c r="LVG235" s="16"/>
      <c r="LVH235" s="16"/>
      <c r="LVI235" s="16"/>
      <c r="LVJ235" s="16"/>
      <c r="LVK235" s="16"/>
      <c r="LVL235" s="15"/>
      <c r="LVM235" s="15"/>
      <c r="LVN235" s="10"/>
      <c r="LVO235" s="10"/>
      <c r="LVP235" s="19"/>
      <c r="LVQ235" s="19"/>
      <c r="LVT235" s="16"/>
      <c r="LVU235" s="15"/>
      <c r="LVV235" s="15"/>
      <c r="LVW235" s="15"/>
      <c r="LVX235" s="16"/>
      <c r="LVY235" s="16"/>
      <c r="LVZ235" s="16"/>
      <c r="LWA235" s="16"/>
      <c r="LWB235" s="16"/>
      <c r="LWC235" s="15"/>
      <c r="LWD235" s="15"/>
      <c r="LWE235" s="10"/>
      <c r="LWF235" s="10"/>
      <c r="LWG235" s="19"/>
      <c r="LWH235" s="19"/>
      <c r="LWK235" s="16"/>
      <c r="LWL235" s="15"/>
      <c r="LWM235" s="15"/>
      <c r="LWN235" s="15"/>
      <c r="LWO235" s="16"/>
      <c r="LWP235" s="16"/>
      <c r="LWQ235" s="16"/>
      <c r="LWR235" s="16"/>
      <c r="LWS235" s="16"/>
      <c r="LWT235" s="15"/>
      <c r="LWU235" s="15"/>
      <c r="LWV235" s="10"/>
      <c r="LWW235" s="10"/>
      <c r="LWX235" s="19"/>
      <c r="LWY235" s="19"/>
      <c r="LXB235" s="16"/>
      <c r="LXC235" s="15"/>
      <c r="LXD235" s="15"/>
      <c r="LXE235" s="15"/>
      <c r="LXF235" s="16"/>
      <c r="LXG235" s="16"/>
      <c r="LXH235" s="16"/>
      <c r="LXI235" s="16"/>
      <c r="LXJ235" s="16"/>
      <c r="LXK235" s="15"/>
      <c r="LXL235" s="15"/>
      <c r="LXM235" s="10"/>
      <c r="LXN235" s="10"/>
      <c r="LXO235" s="19"/>
      <c r="LXP235" s="19"/>
      <c r="LXS235" s="16"/>
      <c r="LXT235" s="15"/>
      <c r="LXU235" s="15"/>
      <c r="LXV235" s="15"/>
      <c r="LXW235" s="16"/>
      <c r="LXX235" s="16"/>
      <c r="LXY235" s="16"/>
      <c r="LXZ235" s="16"/>
      <c r="LYA235" s="16"/>
      <c r="LYB235" s="15"/>
      <c r="LYC235" s="15"/>
      <c r="LYD235" s="10"/>
      <c r="LYE235" s="10"/>
      <c r="LYF235" s="19"/>
      <c r="LYG235" s="19"/>
      <c r="LYJ235" s="16"/>
      <c r="LYK235" s="15"/>
      <c r="LYL235" s="15"/>
      <c r="LYM235" s="15"/>
      <c r="LYN235" s="16"/>
      <c r="LYO235" s="16"/>
      <c r="LYP235" s="16"/>
      <c r="LYQ235" s="16"/>
      <c r="LYR235" s="16"/>
      <c r="LYS235" s="15"/>
      <c r="LYT235" s="15"/>
      <c r="LYU235" s="10"/>
      <c r="LYV235" s="10"/>
      <c r="LYW235" s="19"/>
      <c r="LYX235" s="19"/>
      <c r="LZA235" s="16"/>
      <c r="LZB235" s="15"/>
      <c r="LZC235" s="15"/>
      <c r="LZD235" s="15"/>
      <c r="LZE235" s="16"/>
      <c r="LZF235" s="16"/>
      <c r="LZG235" s="16"/>
      <c r="LZH235" s="16"/>
      <c r="LZI235" s="16"/>
      <c r="LZJ235" s="15"/>
      <c r="LZK235" s="15"/>
      <c r="LZL235" s="10"/>
      <c r="LZM235" s="10"/>
      <c r="LZN235" s="19"/>
      <c r="LZO235" s="19"/>
      <c r="LZR235" s="16"/>
      <c r="LZS235" s="15"/>
      <c r="LZT235" s="15"/>
      <c r="LZU235" s="15"/>
      <c r="LZV235" s="16"/>
      <c r="LZW235" s="16"/>
      <c r="LZX235" s="16"/>
      <c r="LZY235" s="16"/>
      <c r="LZZ235" s="16"/>
      <c r="MAA235" s="15"/>
      <c r="MAB235" s="15"/>
      <c r="MAC235" s="10"/>
      <c r="MAD235" s="10"/>
      <c r="MAE235" s="19"/>
      <c r="MAF235" s="19"/>
      <c r="MAI235" s="16"/>
      <c r="MAJ235" s="15"/>
      <c r="MAK235" s="15"/>
      <c r="MAL235" s="15"/>
      <c r="MAM235" s="16"/>
      <c r="MAN235" s="16"/>
      <c r="MAO235" s="16"/>
      <c r="MAP235" s="16"/>
      <c r="MAQ235" s="16"/>
      <c r="MAR235" s="15"/>
      <c r="MAS235" s="15"/>
      <c r="MAT235" s="10"/>
      <c r="MAU235" s="10"/>
      <c r="MAV235" s="19"/>
      <c r="MAW235" s="19"/>
      <c r="MAZ235" s="16"/>
      <c r="MBA235" s="15"/>
      <c r="MBB235" s="15"/>
      <c r="MBC235" s="15"/>
      <c r="MBD235" s="16"/>
      <c r="MBE235" s="16"/>
      <c r="MBF235" s="16"/>
      <c r="MBG235" s="16"/>
      <c r="MBH235" s="16"/>
      <c r="MBI235" s="15"/>
      <c r="MBJ235" s="15"/>
      <c r="MBK235" s="10"/>
      <c r="MBL235" s="10"/>
      <c r="MBM235" s="19"/>
      <c r="MBN235" s="19"/>
      <c r="MBQ235" s="16"/>
      <c r="MBR235" s="15"/>
      <c r="MBS235" s="15"/>
      <c r="MBT235" s="15"/>
      <c r="MBU235" s="16"/>
      <c r="MBV235" s="16"/>
      <c r="MBW235" s="16"/>
      <c r="MBX235" s="16"/>
      <c r="MBY235" s="16"/>
      <c r="MBZ235" s="15"/>
      <c r="MCA235" s="15"/>
      <c r="MCB235" s="10"/>
      <c r="MCC235" s="10"/>
      <c r="MCD235" s="19"/>
      <c r="MCE235" s="19"/>
      <c r="MCH235" s="16"/>
      <c r="MCI235" s="15"/>
      <c r="MCJ235" s="15"/>
      <c r="MCK235" s="15"/>
      <c r="MCL235" s="16"/>
      <c r="MCM235" s="16"/>
      <c r="MCN235" s="16"/>
      <c r="MCO235" s="16"/>
      <c r="MCP235" s="16"/>
      <c r="MCQ235" s="15"/>
      <c r="MCR235" s="15"/>
      <c r="MCS235" s="10"/>
      <c r="MCT235" s="10"/>
      <c r="MCU235" s="19"/>
      <c r="MCV235" s="19"/>
      <c r="MCY235" s="16"/>
      <c r="MCZ235" s="15"/>
      <c r="MDA235" s="15"/>
      <c r="MDB235" s="15"/>
      <c r="MDC235" s="16"/>
      <c r="MDD235" s="16"/>
      <c r="MDE235" s="16"/>
      <c r="MDF235" s="16"/>
      <c r="MDG235" s="16"/>
      <c r="MDH235" s="15"/>
      <c r="MDI235" s="15"/>
      <c r="MDJ235" s="10"/>
      <c r="MDK235" s="10"/>
      <c r="MDL235" s="19"/>
      <c r="MDM235" s="19"/>
      <c r="MDP235" s="16"/>
      <c r="MDQ235" s="15"/>
      <c r="MDR235" s="15"/>
      <c r="MDS235" s="15"/>
      <c r="MDT235" s="16"/>
      <c r="MDU235" s="16"/>
      <c r="MDV235" s="16"/>
      <c r="MDW235" s="16"/>
      <c r="MDX235" s="16"/>
      <c r="MDY235" s="15"/>
      <c r="MDZ235" s="15"/>
      <c r="MEA235" s="10"/>
      <c r="MEB235" s="10"/>
      <c r="MEC235" s="19"/>
      <c r="MED235" s="19"/>
      <c r="MEG235" s="16"/>
      <c r="MEH235" s="15"/>
      <c r="MEI235" s="15"/>
      <c r="MEJ235" s="15"/>
      <c r="MEK235" s="16"/>
      <c r="MEL235" s="16"/>
      <c r="MEM235" s="16"/>
      <c r="MEN235" s="16"/>
      <c r="MEO235" s="16"/>
      <c r="MEP235" s="15"/>
      <c r="MEQ235" s="15"/>
      <c r="MER235" s="10"/>
      <c r="MES235" s="10"/>
      <c r="MET235" s="19"/>
      <c r="MEU235" s="19"/>
      <c r="MEX235" s="16"/>
      <c r="MEY235" s="15"/>
      <c r="MEZ235" s="15"/>
      <c r="MFA235" s="15"/>
      <c r="MFB235" s="16"/>
      <c r="MFC235" s="16"/>
      <c r="MFD235" s="16"/>
      <c r="MFE235" s="16"/>
      <c r="MFF235" s="16"/>
      <c r="MFG235" s="15"/>
      <c r="MFH235" s="15"/>
      <c r="MFI235" s="10"/>
      <c r="MFJ235" s="10"/>
      <c r="MFK235" s="19"/>
      <c r="MFL235" s="19"/>
      <c r="MFO235" s="16"/>
      <c r="MFP235" s="15"/>
      <c r="MFQ235" s="15"/>
      <c r="MFR235" s="15"/>
      <c r="MFS235" s="16"/>
      <c r="MFT235" s="16"/>
      <c r="MFU235" s="16"/>
      <c r="MFV235" s="16"/>
      <c r="MFW235" s="16"/>
      <c r="MFX235" s="15"/>
      <c r="MFY235" s="15"/>
      <c r="MFZ235" s="10"/>
      <c r="MGA235" s="10"/>
      <c r="MGB235" s="19"/>
      <c r="MGC235" s="19"/>
      <c r="MGF235" s="16"/>
      <c r="MGG235" s="15"/>
      <c r="MGH235" s="15"/>
      <c r="MGI235" s="15"/>
      <c r="MGJ235" s="16"/>
      <c r="MGK235" s="16"/>
      <c r="MGL235" s="16"/>
      <c r="MGM235" s="16"/>
      <c r="MGN235" s="16"/>
      <c r="MGO235" s="15"/>
      <c r="MGP235" s="15"/>
      <c r="MGQ235" s="10"/>
      <c r="MGR235" s="10"/>
      <c r="MGS235" s="19"/>
      <c r="MGT235" s="19"/>
      <c r="MGW235" s="16"/>
      <c r="MGX235" s="15"/>
      <c r="MGY235" s="15"/>
      <c r="MGZ235" s="15"/>
      <c r="MHA235" s="16"/>
      <c r="MHB235" s="16"/>
      <c r="MHC235" s="16"/>
      <c r="MHD235" s="16"/>
      <c r="MHE235" s="16"/>
      <c r="MHF235" s="15"/>
      <c r="MHG235" s="15"/>
      <c r="MHH235" s="10"/>
      <c r="MHI235" s="10"/>
      <c r="MHJ235" s="19"/>
      <c r="MHK235" s="19"/>
      <c r="MHN235" s="16"/>
      <c r="MHO235" s="15"/>
      <c r="MHP235" s="15"/>
      <c r="MHQ235" s="15"/>
      <c r="MHR235" s="16"/>
      <c r="MHS235" s="16"/>
      <c r="MHT235" s="16"/>
      <c r="MHU235" s="16"/>
      <c r="MHV235" s="16"/>
      <c r="MHW235" s="15"/>
      <c r="MHX235" s="15"/>
      <c r="MHY235" s="10"/>
      <c r="MHZ235" s="10"/>
      <c r="MIA235" s="19"/>
      <c r="MIB235" s="19"/>
      <c r="MIE235" s="16"/>
      <c r="MIF235" s="15"/>
      <c r="MIG235" s="15"/>
      <c r="MIH235" s="15"/>
      <c r="MII235" s="16"/>
      <c r="MIJ235" s="16"/>
      <c r="MIK235" s="16"/>
      <c r="MIL235" s="16"/>
      <c r="MIM235" s="16"/>
      <c r="MIN235" s="15"/>
      <c r="MIO235" s="15"/>
      <c r="MIP235" s="10"/>
      <c r="MIQ235" s="10"/>
      <c r="MIR235" s="19"/>
      <c r="MIS235" s="19"/>
      <c r="MIV235" s="16"/>
      <c r="MIW235" s="15"/>
      <c r="MIX235" s="15"/>
      <c r="MIY235" s="15"/>
      <c r="MIZ235" s="16"/>
      <c r="MJA235" s="16"/>
      <c r="MJB235" s="16"/>
      <c r="MJC235" s="16"/>
      <c r="MJD235" s="16"/>
      <c r="MJE235" s="15"/>
      <c r="MJF235" s="15"/>
      <c r="MJG235" s="10"/>
      <c r="MJH235" s="10"/>
      <c r="MJI235" s="19"/>
      <c r="MJJ235" s="19"/>
      <c r="MJM235" s="16"/>
      <c r="MJN235" s="15"/>
      <c r="MJO235" s="15"/>
      <c r="MJP235" s="15"/>
      <c r="MJQ235" s="16"/>
      <c r="MJR235" s="16"/>
      <c r="MJS235" s="16"/>
      <c r="MJT235" s="16"/>
      <c r="MJU235" s="16"/>
      <c r="MJV235" s="15"/>
      <c r="MJW235" s="15"/>
      <c r="MJX235" s="10"/>
      <c r="MJY235" s="10"/>
      <c r="MJZ235" s="19"/>
      <c r="MKA235" s="19"/>
      <c r="MKD235" s="16"/>
      <c r="MKE235" s="15"/>
      <c r="MKF235" s="15"/>
      <c r="MKG235" s="15"/>
      <c r="MKH235" s="16"/>
      <c r="MKI235" s="16"/>
      <c r="MKJ235" s="16"/>
      <c r="MKK235" s="16"/>
      <c r="MKL235" s="16"/>
      <c r="MKM235" s="15"/>
      <c r="MKN235" s="15"/>
      <c r="MKO235" s="10"/>
      <c r="MKP235" s="10"/>
      <c r="MKQ235" s="19"/>
      <c r="MKR235" s="19"/>
      <c r="MKU235" s="16"/>
      <c r="MKV235" s="15"/>
      <c r="MKW235" s="15"/>
      <c r="MKX235" s="15"/>
      <c r="MKY235" s="16"/>
      <c r="MKZ235" s="16"/>
      <c r="MLA235" s="16"/>
      <c r="MLB235" s="16"/>
      <c r="MLC235" s="16"/>
      <c r="MLD235" s="15"/>
      <c r="MLE235" s="15"/>
      <c r="MLF235" s="10"/>
      <c r="MLG235" s="10"/>
      <c r="MLH235" s="19"/>
      <c r="MLI235" s="19"/>
      <c r="MLL235" s="16"/>
      <c r="MLM235" s="15"/>
      <c r="MLN235" s="15"/>
      <c r="MLO235" s="15"/>
      <c r="MLP235" s="16"/>
      <c r="MLQ235" s="16"/>
      <c r="MLR235" s="16"/>
      <c r="MLS235" s="16"/>
      <c r="MLT235" s="16"/>
      <c r="MLU235" s="15"/>
      <c r="MLV235" s="15"/>
      <c r="MLW235" s="10"/>
      <c r="MLX235" s="10"/>
      <c r="MLY235" s="19"/>
      <c r="MLZ235" s="19"/>
      <c r="MMC235" s="16"/>
      <c r="MMD235" s="15"/>
      <c r="MME235" s="15"/>
      <c r="MMF235" s="15"/>
      <c r="MMG235" s="16"/>
      <c r="MMH235" s="16"/>
      <c r="MMI235" s="16"/>
      <c r="MMJ235" s="16"/>
      <c r="MMK235" s="16"/>
      <c r="MML235" s="15"/>
      <c r="MMM235" s="15"/>
      <c r="MMN235" s="10"/>
      <c r="MMO235" s="10"/>
      <c r="MMP235" s="19"/>
      <c r="MMQ235" s="19"/>
      <c r="MMT235" s="16"/>
      <c r="MMU235" s="15"/>
      <c r="MMV235" s="15"/>
      <c r="MMW235" s="15"/>
      <c r="MMX235" s="16"/>
      <c r="MMY235" s="16"/>
      <c r="MMZ235" s="16"/>
      <c r="MNA235" s="16"/>
      <c r="MNB235" s="16"/>
      <c r="MNC235" s="15"/>
      <c r="MND235" s="15"/>
      <c r="MNE235" s="10"/>
      <c r="MNF235" s="10"/>
      <c r="MNG235" s="19"/>
      <c r="MNH235" s="19"/>
      <c r="MNK235" s="16"/>
      <c r="MNL235" s="15"/>
      <c r="MNM235" s="15"/>
      <c r="MNN235" s="15"/>
      <c r="MNO235" s="16"/>
      <c r="MNP235" s="16"/>
      <c r="MNQ235" s="16"/>
      <c r="MNR235" s="16"/>
      <c r="MNS235" s="16"/>
      <c r="MNT235" s="15"/>
      <c r="MNU235" s="15"/>
      <c r="MNV235" s="10"/>
      <c r="MNW235" s="10"/>
      <c r="MNX235" s="19"/>
      <c r="MNY235" s="19"/>
      <c r="MOB235" s="16"/>
      <c r="MOC235" s="15"/>
      <c r="MOD235" s="15"/>
      <c r="MOE235" s="15"/>
      <c r="MOF235" s="16"/>
      <c r="MOG235" s="16"/>
      <c r="MOH235" s="16"/>
      <c r="MOI235" s="16"/>
      <c r="MOJ235" s="16"/>
      <c r="MOK235" s="15"/>
      <c r="MOL235" s="15"/>
      <c r="MOM235" s="10"/>
      <c r="MON235" s="10"/>
      <c r="MOO235" s="19"/>
      <c r="MOP235" s="19"/>
      <c r="MOS235" s="16"/>
      <c r="MOT235" s="15"/>
      <c r="MOU235" s="15"/>
      <c r="MOV235" s="15"/>
      <c r="MOW235" s="16"/>
      <c r="MOX235" s="16"/>
      <c r="MOY235" s="16"/>
      <c r="MOZ235" s="16"/>
      <c r="MPA235" s="16"/>
      <c r="MPB235" s="15"/>
      <c r="MPC235" s="15"/>
      <c r="MPD235" s="10"/>
      <c r="MPE235" s="10"/>
      <c r="MPF235" s="19"/>
      <c r="MPG235" s="19"/>
      <c r="MPJ235" s="16"/>
      <c r="MPK235" s="15"/>
      <c r="MPL235" s="15"/>
      <c r="MPM235" s="15"/>
      <c r="MPN235" s="16"/>
      <c r="MPO235" s="16"/>
      <c r="MPP235" s="16"/>
      <c r="MPQ235" s="16"/>
      <c r="MPR235" s="16"/>
      <c r="MPS235" s="15"/>
      <c r="MPT235" s="15"/>
      <c r="MPU235" s="10"/>
      <c r="MPV235" s="10"/>
      <c r="MPW235" s="19"/>
      <c r="MPX235" s="19"/>
      <c r="MQA235" s="16"/>
      <c r="MQB235" s="15"/>
      <c r="MQC235" s="15"/>
      <c r="MQD235" s="15"/>
      <c r="MQE235" s="16"/>
      <c r="MQF235" s="16"/>
      <c r="MQG235" s="16"/>
      <c r="MQH235" s="16"/>
      <c r="MQI235" s="16"/>
      <c r="MQJ235" s="15"/>
      <c r="MQK235" s="15"/>
      <c r="MQL235" s="10"/>
      <c r="MQM235" s="10"/>
      <c r="MQN235" s="19"/>
      <c r="MQO235" s="19"/>
      <c r="MQR235" s="16"/>
      <c r="MQS235" s="15"/>
      <c r="MQT235" s="15"/>
      <c r="MQU235" s="15"/>
      <c r="MQV235" s="16"/>
      <c r="MQW235" s="16"/>
      <c r="MQX235" s="16"/>
      <c r="MQY235" s="16"/>
      <c r="MQZ235" s="16"/>
      <c r="MRA235" s="15"/>
      <c r="MRB235" s="15"/>
      <c r="MRC235" s="10"/>
      <c r="MRD235" s="10"/>
      <c r="MRE235" s="19"/>
      <c r="MRF235" s="19"/>
      <c r="MRI235" s="16"/>
      <c r="MRJ235" s="15"/>
      <c r="MRK235" s="15"/>
      <c r="MRL235" s="15"/>
      <c r="MRM235" s="16"/>
      <c r="MRN235" s="16"/>
      <c r="MRO235" s="16"/>
      <c r="MRP235" s="16"/>
      <c r="MRQ235" s="16"/>
      <c r="MRR235" s="15"/>
      <c r="MRS235" s="15"/>
      <c r="MRT235" s="10"/>
      <c r="MRU235" s="10"/>
      <c r="MRV235" s="19"/>
      <c r="MRW235" s="19"/>
      <c r="MRZ235" s="16"/>
      <c r="MSA235" s="15"/>
      <c r="MSB235" s="15"/>
      <c r="MSC235" s="15"/>
      <c r="MSD235" s="16"/>
      <c r="MSE235" s="16"/>
      <c r="MSF235" s="16"/>
      <c r="MSG235" s="16"/>
      <c r="MSH235" s="16"/>
      <c r="MSI235" s="15"/>
      <c r="MSJ235" s="15"/>
      <c r="MSK235" s="10"/>
      <c r="MSL235" s="10"/>
      <c r="MSM235" s="19"/>
      <c r="MSN235" s="19"/>
      <c r="MSQ235" s="16"/>
      <c r="MSR235" s="15"/>
      <c r="MSS235" s="15"/>
      <c r="MST235" s="15"/>
      <c r="MSU235" s="16"/>
      <c r="MSV235" s="16"/>
      <c r="MSW235" s="16"/>
      <c r="MSX235" s="16"/>
      <c r="MSY235" s="16"/>
      <c r="MSZ235" s="15"/>
      <c r="MTA235" s="15"/>
      <c r="MTB235" s="10"/>
      <c r="MTC235" s="10"/>
      <c r="MTD235" s="19"/>
      <c r="MTE235" s="19"/>
      <c r="MTH235" s="16"/>
      <c r="MTI235" s="15"/>
      <c r="MTJ235" s="15"/>
      <c r="MTK235" s="15"/>
      <c r="MTL235" s="16"/>
      <c r="MTM235" s="16"/>
      <c r="MTN235" s="16"/>
      <c r="MTO235" s="16"/>
      <c r="MTP235" s="16"/>
      <c r="MTQ235" s="15"/>
      <c r="MTR235" s="15"/>
      <c r="MTS235" s="10"/>
      <c r="MTT235" s="10"/>
      <c r="MTU235" s="19"/>
      <c r="MTV235" s="19"/>
      <c r="MTY235" s="16"/>
      <c r="MTZ235" s="15"/>
      <c r="MUA235" s="15"/>
      <c r="MUB235" s="15"/>
      <c r="MUC235" s="16"/>
      <c r="MUD235" s="16"/>
      <c r="MUE235" s="16"/>
      <c r="MUF235" s="16"/>
      <c r="MUG235" s="16"/>
      <c r="MUH235" s="15"/>
      <c r="MUI235" s="15"/>
      <c r="MUJ235" s="10"/>
      <c r="MUK235" s="10"/>
      <c r="MUL235" s="19"/>
      <c r="MUM235" s="19"/>
      <c r="MUP235" s="16"/>
      <c r="MUQ235" s="15"/>
      <c r="MUR235" s="15"/>
      <c r="MUS235" s="15"/>
      <c r="MUT235" s="16"/>
      <c r="MUU235" s="16"/>
      <c r="MUV235" s="16"/>
      <c r="MUW235" s="16"/>
      <c r="MUX235" s="16"/>
      <c r="MUY235" s="15"/>
      <c r="MUZ235" s="15"/>
      <c r="MVA235" s="10"/>
      <c r="MVB235" s="10"/>
      <c r="MVC235" s="19"/>
      <c r="MVD235" s="19"/>
      <c r="MVG235" s="16"/>
      <c r="MVH235" s="15"/>
      <c r="MVI235" s="15"/>
      <c r="MVJ235" s="15"/>
      <c r="MVK235" s="16"/>
      <c r="MVL235" s="16"/>
      <c r="MVM235" s="16"/>
      <c r="MVN235" s="16"/>
      <c r="MVO235" s="16"/>
      <c r="MVP235" s="15"/>
      <c r="MVQ235" s="15"/>
      <c r="MVR235" s="10"/>
      <c r="MVS235" s="10"/>
      <c r="MVT235" s="19"/>
      <c r="MVU235" s="19"/>
      <c r="MVX235" s="16"/>
      <c r="MVY235" s="15"/>
      <c r="MVZ235" s="15"/>
      <c r="MWA235" s="15"/>
      <c r="MWB235" s="16"/>
      <c r="MWC235" s="16"/>
      <c r="MWD235" s="16"/>
      <c r="MWE235" s="16"/>
      <c r="MWF235" s="16"/>
      <c r="MWG235" s="15"/>
      <c r="MWH235" s="15"/>
      <c r="MWI235" s="10"/>
      <c r="MWJ235" s="10"/>
      <c r="MWK235" s="19"/>
      <c r="MWL235" s="19"/>
      <c r="MWO235" s="16"/>
      <c r="MWP235" s="15"/>
      <c r="MWQ235" s="15"/>
      <c r="MWR235" s="15"/>
      <c r="MWS235" s="16"/>
      <c r="MWT235" s="16"/>
      <c r="MWU235" s="16"/>
      <c r="MWV235" s="16"/>
      <c r="MWW235" s="16"/>
      <c r="MWX235" s="15"/>
      <c r="MWY235" s="15"/>
      <c r="MWZ235" s="10"/>
      <c r="MXA235" s="10"/>
      <c r="MXB235" s="19"/>
      <c r="MXC235" s="19"/>
      <c r="MXF235" s="16"/>
      <c r="MXG235" s="15"/>
      <c r="MXH235" s="15"/>
      <c r="MXI235" s="15"/>
      <c r="MXJ235" s="16"/>
      <c r="MXK235" s="16"/>
      <c r="MXL235" s="16"/>
      <c r="MXM235" s="16"/>
      <c r="MXN235" s="16"/>
      <c r="MXO235" s="15"/>
      <c r="MXP235" s="15"/>
      <c r="MXQ235" s="10"/>
      <c r="MXR235" s="10"/>
      <c r="MXS235" s="19"/>
      <c r="MXT235" s="19"/>
      <c r="MXW235" s="16"/>
      <c r="MXX235" s="15"/>
      <c r="MXY235" s="15"/>
      <c r="MXZ235" s="15"/>
      <c r="MYA235" s="16"/>
      <c r="MYB235" s="16"/>
      <c r="MYC235" s="16"/>
      <c r="MYD235" s="16"/>
      <c r="MYE235" s="16"/>
      <c r="MYF235" s="15"/>
      <c r="MYG235" s="15"/>
      <c r="MYH235" s="10"/>
      <c r="MYI235" s="10"/>
      <c r="MYJ235" s="19"/>
      <c r="MYK235" s="19"/>
      <c r="MYN235" s="16"/>
      <c r="MYO235" s="15"/>
      <c r="MYP235" s="15"/>
      <c r="MYQ235" s="15"/>
      <c r="MYR235" s="16"/>
      <c r="MYS235" s="16"/>
      <c r="MYT235" s="16"/>
      <c r="MYU235" s="16"/>
      <c r="MYV235" s="16"/>
      <c r="MYW235" s="15"/>
      <c r="MYX235" s="15"/>
      <c r="MYY235" s="10"/>
      <c r="MYZ235" s="10"/>
      <c r="MZA235" s="19"/>
      <c r="MZB235" s="19"/>
      <c r="MZE235" s="16"/>
      <c r="MZF235" s="15"/>
      <c r="MZG235" s="15"/>
      <c r="MZH235" s="15"/>
      <c r="MZI235" s="16"/>
      <c r="MZJ235" s="16"/>
      <c r="MZK235" s="16"/>
      <c r="MZL235" s="16"/>
      <c r="MZM235" s="16"/>
      <c r="MZN235" s="15"/>
      <c r="MZO235" s="15"/>
      <c r="MZP235" s="10"/>
      <c r="MZQ235" s="10"/>
      <c r="MZR235" s="19"/>
      <c r="MZS235" s="19"/>
      <c r="MZV235" s="16"/>
      <c r="MZW235" s="15"/>
      <c r="MZX235" s="15"/>
      <c r="MZY235" s="15"/>
      <c r="MZZ235" s="16"/>
      <c r="NAA235" s="16"/>
      <c r="NAB235" s="16"/>
      <c r="NAC235" s="16"/>
      <c r="NAD235" s="16"/>
      <c r="NAE235" s="15"/>
      <c r="NAF235" s="15"/>
      <c r="NAG235" s="10"/>
      <c r="NAH235" s="10"/>
      <c r="NAI235" s="19"/>
      <c r="NAJ235" s="19"/>
      <c r="NAM235" s="16"/>
      <c r="NAN235" s="15"/>
      <c r="NAO235" s="15"/>
      <c r="NAP235" s="15"/>
      <c r="NAQ235" s="16"/>
      <c r="NAR235" s="16"/>
      <c r="NAS235" s="16"/>
      <c r="NAT235" s="16"/>
      <c r="NAU235" s="16"/>
      <c r="NAV235" s="15"/>
      <c r="NAW235" s="15"/>
      <c r="NAX235" s="10"/>
      <c r="NAY235" s="10"/>
      <c r="NAZ235" s="19"/>
      <c r="NBA235" s="19"/>
      <c r="NBD235" s="16"/>
      <c r="NBE235" s="15"/>
      <c r="NBF235" s="15"/>
      <c r="NBG235" s="15"/>
      <c r="NBH235" s="16"/>
      <c r="NBI235" s="16"/>
      <c r="NBJ235" s="16"/>
      <c r="NBK235" s="16"/>
      <c r="NBL235" s="16"/>
      <c r="NBM235" s="15"/>
      <c r="NBN235" s="15"/>
      <c r="NBO235" s="10"/>
      <c r="NBP235" s="10"/>
      <c r="NBQ235" s="19"/>
      <c r="NBR235" s="19"/>
      <c r="NBU235" s="16"/>
      <c r="NBV235" s="15"/>
      <c r="NBW235" s="15"/>
      <c r="NBX235" s="15"/>
      <c r="NBY235" s="16"/>
      <c r="NBZ235" s="16"/>
      <c r="NCA235" s="16"/>
      <c r="NCB235" s="16"/>
      <c r="NCC235" s="16"/>
      <c r="NCD235" s="15"/>
      <c r="NCE235" s="15"/>
      <c r="NCF235" s="10"/>
      <c r="NCG235" s="10"/>
      <c r="NCH235" s="19"/>
      <c r="NCI235" s="19"/>
      <c r="NCL235" s="16"/>
      <c r="NCM235" s="15"/>
      <c r="NCN235" s="15"/>
      <c r="NCO235" s="15"/>
      <c r="NCP235" s="16"/>
      <c r="NCQ235" s="16"/>
      <c r="NCR235" s="16"/>
      <c r="NCS235" s="16"/>
      <c r="NCT235" s="16"/>
      <c r="NCU235" s="15"/>
      <c r="NCV235" s="15"/>
      <c r="NCW235" s="10"/>
      <c r="NCX235" s="10"/>
      <c r="NCY235" s="19"/>
      <c r="NCZ235" s="19"/>
      <c r="NDC235" s="16"/>
      <c r="NDD235" s="15"/>
      <c r="NDE235" s="15"/>
      <c r="NDF235" s="15"/>
      <c r="NDG235" s="16"/>
      <c r="NDH235" s="16"/>
      <c r="NDI235" s="16"/>
      <c r="NDJ235" s="16"/>
      <c r="NDK235" s="16"/>
      <c r="NDL235" s="15"/>
      <c r="NDM235" s="15"/>
      <c r="NDN235" s="10"/>
      <c r="NDO235" s="10"/>
      <c r="NDP235" s="19"/>
      <c r="NDQ235" s="19"/>
      <c r="NDT235" s="16"/>
      <c r="NDU235" s="15"/>
      <c r="NDV235" s="15"/>
      <c r="NDW235" s="15"/>
      <c r="NDX235" s="16"/>
      <c r="NDY235" s="16"/>
      <c r="NDZ235" s="16"/>
      <c r="NEA235" s="16"/>
      <c r="NEB235" s="16"/>
      <c r="NEC235" s="15"/>
      <c r="NED235" s="15"/>
      <c r="NEE235" s="10"/>
      <c r="NEF235" s="10"/>
      <c r="NEG235" s="19"/>
      <c r="NEH235" s="19"/>
      <c r="NEK235" s="16"/>
      <c r="NEL235" s="15"/>
      <c r="NEM235" s="15"/>
      <c r="NEN235" s="15"/>
      <c r="NEO235" s="16"/>
      <c r="NEP235" s="16"/>
      <c r="NEQ235" s="16"/>
      <c r="NER235" s="16"/>
      <c r="NES235" s="16"/>
      <c r="NET235" s="15"/>
      <c r="NEU235" s="15"/>
      <c r="NEV235" s="10"/>
      <c r="NEW235" s="10"/>
      <c r="NEX235" s="19"/>
      <c r="NEY235" s="19"/>
      <c r="NFB235" s="16"/>
      <c r="NFC235" s="15"/>
      <c r="NFD235" s="15"/>
      <c r="NFE235" s="15"/>
      <c r="NFF235" s="16"/>
      <c r="NFG235" s="16"/>
      <c r="NFH235" s="16"/>
      <c r="NFI235" s="16"/>
      <c r="NFJ235" s="16"/>
      <c r="NFK235" s="15"/>
      <c r="NFL235" s="15"/>
      <c r="NFM235" s="10"/>
      <c r="NFN235" s="10"/>
      <c r="NFO235" s="19"/>
      <c r="NFP235" s="19"/>
      <c r="NFS235" s="16"/>
      <c r="NFT235" s="15"/>
      <c r="NFU235" s="15"/>
      <c r="NFV235" s="15"/>
      <c r="NFW235" s="16"/>
      <c r="NFX235" s="16"/>
      <c r="NFY235" s="16"/>
      <c r="NFZ235" s="16"/>
      <c r="NGA235" s="16"/>
      <c r="NGB235" s="15"/>
      <c r="NGC235" s="15"/>
      <c r="NGD235" s="10"/>
      <c r="NGE235" s="10"/>
      <c r="NGF235" s="19"/>
      <c r="NGG235" s="19"/>
      <c r="NGJ235" s="16"/>
      <c r="NGK235" s="15"/>
      <c r="NGL235" s="15"/>
      <c r="NGM235" s="15"/>
      <c r="NGN235" s="16"/>
      <c r="NGO235" s="16"/>
      <c r="NGP235" s="16"/>
      <c r="NGQ235" s="16"/>
      <c r="NGR235" s="16"/>
      <c r="NGS235" s="15"/>
      <c r="NGT235" s="15"/>
      <c r="NGU235" s="10"/>
      <c r="NGV235" s="10"/>
      <c r="NGW235" s="19"/>
      <c r="NGX235" s="19"/>
      <c r="NHA235" s="16"/>
      <c r="NHB235" s="15"/>
      <c r="NHC235" s="15"/>
      <c r="NHD235" s="15"/>
      <c r="NHE235" s="16"/>
      <c r="NHF235" s="16"/>
      <c r="NHG235" s="16"/>
      <c r="NHH235" s="16"/>
      <c r="NHI235" s="16"/>
      <c r="NHJ235" s="15"/>
      <c r="NHK235" s="15"/>
      <c r="NHL235" s="10"/>
      <c r="NHM235" s="10"/>
      <c r="NHN235" s="19"/>
      <c r="NHO235" s="19"/>
      <c r="NHR235" s="16"/>
      <c r="NHS235" s="15"/>
      <c r="NHT235" s="15"/>
      <c r="NHU235" s="15"/>
      <c r="NHV235" s="16"/>
      <c r="NHW235" s="16"/>
      <c r="NHX235" s="16"/>
      <c r="NHY235" s="16"/>
      <c r="NHZ235" s="16"/>
      <c r="NIA235" s="15"/>
      <c r="NIB235" s="15"/>
      <c r="NIC235" s="10"/>
      <c r="NID235" s="10"/>
      <c r="NIE235" s="19"/>
      <c r="NIF235" s="19"/>
      <c r="NII235" s="16"/>
      <c r="NIJ235" s="15"/>
      <c r="NIK235" s="15"/>
      <c r="NIL235" s="15"/>
      <c r="NIM235" s="16"/>
      <c r="NIN235" s="16"/>
      <c r="NIO235" s="16"/>
      <c r="NIP235" s="16"/>
      <c r="NIQ235" s="16"/>
      <c r="NIR235" s="15"/>
      <c r="NIS235" s="15"/>
      <c r="NIT235" s="10"/>
      <c r="NIU235" s="10"/>
      <c r="NIV235" s="19"/>
      <c r="NIW235" s="19"/>
      <c r="NIZ235" s="16"/>
      <c r="NJA235" s="15"/>
      <c r="NJB235" s="15"/>
      <c r="NJC235" s="15"/>
      <c r="NJD235" s="16"/>
      <c r="NJE235" s="16"/>
      <c r="NJF235" s="16"/>
      <c r="NJG235" s="16"/>
      <c r="NJH235" s="16"/>
      <c r="NJI235" s="15"/>
      <c r="NJJ235" s="15"/>
      <c r="NJK235" s="10"/>
      <c r="NJL235" s="10"/>
      <c r="NJM235" s="19"/>
      <c r="NJN235" s="19"/>
      <c r="NJQ235" s="16"/>
      <c r="NJR235" s="15"/>
      <c r="NJS235" s="15"/>
      <c r="NJT235" s="15"/>
      <c r="NJU235" s="16"/>
      <c r="NJV235" s="16"/>
      <c r="NJW235" s="16"/>
      <c r="NJX235" s="16"/>
      <c r="NJY235" s="16"/>
      <c r="NJZ235" s="15"/>
      <c r="NKA235" s="15"/>
      <c r="NKB235" s="10"/>
      <c r="NKC235" s="10"/>
      <c r="NKD235" s="19"/>
      <c r="NKE235" s="19"/>
      <c r="NKH235" s="16"/>
      <c r="NKI235" s="15"/>
      <c r="NKJ235" s="15"/>
      <c r="NKK235" s="15"/>
      <c r="NKL235" s="16"/>
      <c r="NKM235" s="16"/>
      <c r="NKN235" s="16"/>
      <c r="NKO235" s="16"/>
      <c r="NKP235" s="16"/>
      <c r="NKQ235" s="15"/>
      <c r="NKR235" s="15"/>
      <c r="NKS235" s="10"/>
      <c r="NKT235" s="10"/>
      <c r="NKU235" s="19"/>
      <c r="NKV235" s="19"/>
      <c r="NKY235" s="16"/>
      <c r="NKZ235" s="15"/>
      <c r="NLA235" s="15"/>
      <c r="NLB235" s="15"/>
      <c r="NLC235" s="16"/>
      <c r="NLD235" s="16"/>
      <c r="NLE235" s="16"/>
      <c r="NLF235" s="16"/>
      <c r="NLG235" s="16"/>
      <c r="NLH235" s="15"/>
      <c r="NLI235" s="15"/>
      <c r="NLJ235" s="10"/>
      <c r="NLK235" s="10"/>
      <c r="NLL235" s="19"/>
      <c r="NLM235" s="19"/>
      <c r="NLP235" s="16"/>
      <c r="NLQ235" s="15"/>
      <c r="NLR235" s="15"/>
      <c r="NLS235" s="15"/>
      <c r="NLT235" s="16"/>
      <c r="NLU235" s="16"/>
      <c r="NLV235" s="16"/>
      <c r="NLW235" s="16"/>
      <c r="NLX235" s="16"/>
      <c r="NLY235" s="15"/>
      <c r="NLZ235" s="15"/>
      <c r="NMA235" s="10"/>
      <c r="NMB235" s="10"/>
      <c r="NMC235" s="19"/>
      <c r="NMD235" s="19"/>
      <c r="NMG235" s="16"/>
      <c r="NMH235" s="15"/>
      <c r="NMI235" s="15"/>
      <c r="NMJ235" s="15"/>
      <c r="NMK235" s="16"/>
      <c r="NML235" s="16"/>
      <c r="NMM235" s="16"/>
      <c r="NMN235" s="16"/>
      <c r="NMO235" s="16"/>
      <c r="NMP235" s="15"/>
      <c r="NMQ235" s="15"/>
      <c r="NMR235" s="10"/>
      <c r="NMS235" s="10"/>
      <c r="NMT235" s="19"/>
      <c r="NMU235" s="19"/>
      <c r="NMX235" s="16"/>
      <c r="NMY235" s="15"/>
      <c r="NMZ235" s="15"/>
      <c r="NNA235" s="15"/>
      <c r="NNB235" s="16"/>
      <c r="NNC235" s="16"/>
      <c r="NND235" s="16"/>
      <c r="NNE235" s="16"/>
      <c r="NNF235" s="16"/>
      <c r="NNG235" s="15"/>
      <c r="NNH235" s="15"/>
      <c r="NNI235" s="10"/>
      <c r="NNJ235" s="10"/>
      <c r="NNK235" s="19"/>
      <c r="NNL235" s="19"/>
      <c r="NNO235" s="16"/>
      <c r="NNP235" s="15"/>
      <c r="NNQ235" s="15"/>
      <c r="NNR235" s="15"/>
      <c r="NNS235" s="16"/>
      <c r="NNT235" s="16"/>
      <c r="NNU235" s="16"/>
      <c r="NNV235" s="16"/>
      <c r="NNW235" s="16"/>
      <c r="NNX235" s="15"/>
      <c r="NNY235" s="15"/>
      <c r="NNZ235" s="10"/>
      <c r="NOA235" s="10"/>
      <c r="NOB235" s="19"/>
      <c r="NOC235" s="19"/>
      <c r="NOF235" s="16"/>
      <c r="NOG235" s="15"/>
      <c r="NOH235" s="15"/>
      <c r="NOI235" s="15"/>
      <c r="NOJ235" s="16"/>
      <c r="NOK235" s="16"/>
      <c r="NOL235" s="16"/>
      <c r="NOM235" s="16"/>
      <c r="NON235" s="16"/>
      <c r="NOO235" s="15"/>
      <c r="NOP235" s="15"/>
      <c r="NOQ235" s="10"/>
      <c r="NOR235" s="10"/>
      <c r="NOS235" s="19"/>
      <c r="NOT235" s="19"/>
      <c r="NOW235" s="16"/>
      <c r="NOX235" s="15"/>
      <c r="NOY235" s="15"/>
      <c r="NOZ235" s="15"/>
      <c r="NPA235" s="16"/>
      <c r="NPB235" s="16"/>
      <c r="NPC235" s="16"/>
      <c r="NPD235" s="16"/>
      <c r="NPE235" s="16"/>
      <c r="NPF235" s="15"/>
      <c r="NPG235" s="15"/>
      <c r="NPH235" s="10"/>
      <c r="NPI235" s="10"/>
      <c r="NPJ235" s="19"/>
      <c r="NPK235" s="19"/>
      <c r="NPN235" s="16"/>
      <c r="NPO235" s="15"/>
      <c r="NPP235" s="15"/>
      <c r="NPQ235" s="15"/>
      <c r="NPR235" s="16"/>
      <c r="NPS235" s="16"/>
      <c r="NPT235" s="16"/>
      <c r="NPU235" s="16"/>
      <c r="NPV235" s="16"/>
      <c r="NPW235" s="15"/>
      <c r="NPX235" s="15"/>
      <c r="NPY235" s="10"/>
      <c r="NPZ235" s="10"/>
      <c r="NQA235" s="19"/>
      <c r="NQB235" s="19"/>
      <c r="NQE235" s="16"/>
      <c r="NQF235" s="15"/>
      <c r="NQG235" s="15"/>
      <c r="NQH235" s="15"/>
      <c r="NQI235" s="16"/>
      <c r="NQJ235" s="16"/>
      <c r="NQK235" s="16"/>
      <c r="NQL235" s="16"/>
      <c r="NQM235" s="16"/>
      <c r="NQN235" s="15"/>
      <c r="NQO235" s="15"/>
      <c r="NQP235" s="10"/>
      <c r="NQQ235" s="10"/>
      <c r="NQR235" s="19"/>
      <c r="NQS235" s="19"/>
      <c r="NQV235" s="16"/>
      <c r="NQW235" s="15"/>
      <c r="NQX235" s="15"/>
      <c r="NQY235" s="15"/>
      <c r="NQZ235" s="16"/>
      <c r="NRA235" s="16"/>
      <c r="NRB235" s="16"/>
      <c r="NRC235" s="16"/>
      <c r="NRD235" s="16"/>
      <c r="NRE235" s="15"/>
      <c r="NRF235" s="15"/>
      <c r="NRG235" s="10"/>
      <c r="NRH235" s="10"/>
      <c r="NRI235" s="19"/>
      <c r="NRJ235" s="19"/>
      <c r="NRM235" s="16"/>
      <c r="NRN235" s="15"/>
      <c r="NRO235" s="15"/>
      <c r="NRP235" s="15"/>
      <c r="NRQ235" s="16"/>
      <c r="NRR235" s="16"/>
      <c r="NRS235" s="16"/>
      <c r="NRT235" s="16"/>
      <c r="NRU235" s="16"/>
      <c r="NRV235" s="15"/>
      <c r="NRW235" s="15"/>
      <c r="NRX235" s="10"/>
      <c r="NRY235" s="10"/>
      <c r="NRZ235" s="19"/>
      <c r="NSA235" s="19"/>
      <c r="NSD235" s="16"/>
      <c r="NSE235" s="15"/>
      <c r="NSF235" s="15"/>
      <c r="NSG235" s="15"/>
      <c r="NSH235" s="16"/>
      <c r="NSI235" s="16"/>
      <c r="NSJ235" s="16"/>
      <c r="NSK235" s="16"/>
      <c r="NSL235" s="16"/>
      <c r="NSM235" s="15"/>
      <c r="NSN235" s="15"/>
      <c r="NSO235" s="10"/>
      <c r="NSP235" s="10"/>
      <c r="NSQ235" s="19"/>
      <c r="NSR235" s="19"/>
      <c r="NSU235" s="16"/>
      <c r="NSV235" s="15"/>
      <c r="NSW235" s="15"/>
      <c r="NSX235" s="15"/>
      <c r="NSY235" s="16"/>
      <c r="NSZ235" s="16"/>
      <c r="NTA235" s="16"/>
      <c r="NTB235" s="16"/>
      <c r="NTC235" s="16"/>
      <c r="NTD235" s="15"/>
      <c r="NTE235" s="15"/>
      <c r="NTF235" s="10"/>
      <c r="NTG235" s="10"/>
      <c r="NTH235" s="19"/>
      <c r="NTI235" s="19"/>
      <c r="NTL235" s="16"/>
      <c r="NTM235" s="15"/>
      <c r="NTN235" s="15"/>
      <c r="NTO235" s="15"/>
      <c r="NTP235" s="16"/>
      <c r="NTQ235" s="16"/>
      <c r="NTR235" s="16"/>
      <c r="NTS235" s="16"/>
      <c r="NTT235" s="16"/>
      <c r="NTU235" s="15"/>
      <c r="NTV235" s="15"/>
      <c r="NTW235" s="10"/>
      <c r="NTX235" s="10"/>
      <c r="NTY235" s="19"/>
      <c r="NTZ235" s="19"/>
      <c r="NUC235" s="16"/>
      <c r="NUD235" s="15"/>
      <c r="NUE235" s="15"/>
      <c r="NUF235" s="15"/>
      <c r="NUG235" s="16"/>
      <c r="NUH235" s="16"/>
      <c r="NUI235" s="16"/>
      <c r="NUJ235" s="16"/>
      <c r="NUK235" s="16"/>
      <c r="NUL235" s="15"/>
      <c r="NUM235" s="15"/>
      <c r="NUN235" s="10"/>
      <c r="NUO235" s="10"/>
      <c r="NUP235" s="19"/>
      <c r="NUQ235" s="19"/>
      <c r="NUT235" s="16"/>
      <c r="NUU235" s="15"/>
      <c r="NUV235" s="15"/>
      <c r="NUW235" s="15"/>
      <c r="NUX235" s="16"/>
      <c r="NUY235" s="16"/>
      <c r="NUZ235" s="16"/>
      <c r="NVA235" s="16"/>
      <c r="NVB235" s="16"/>
      <c r="NVC235" s="15"/>
      <c r="NVD235" s="15"/>
      <c r="NVE235" s="10"/>
      <c r="NVF235" s="10"/>
      <c r="NVG235" s="19"/>
      <c r="NVH235" s="19"/>
      <c r="NVK235" s="16"/>
      <c r="NVL235" s="15"/>
      <c r="NVM235" s="15"/>
      <c r="NVN235" s="15"/>
      <c r="NVO235" s="16"/>
      <c r="NVP235" s="16"/>
      <c r="NVQ235" s="16"/>
      <c r="NVR235" s="16"/>
      <c r="NVS235" s="16"/>
      <c r="NVT235" s="15"/>
      <c r="NVU235" s="15"/>
      <c r="NVV235" s="10"/>
      <c r="NVW235" s="10"/>
      <c r="NVX235" s="19"/>
      <c r="NVY235" s="19"/>
      <c r="NWB235" s="16"/>
      <c r="NWC235" s="15"/>
      <c r="NWD235" s="15"/>
      <c r="NWE235" s="15"/>
      <c r="NWF235" s="16"/>
      <c r="NWG235" s="16"/>
      <c r="NWH235" s="16"/>
      <c r="NWI235" s="16"/>
      <c r="NWJ235" s="16"/>
      <c r="NWK235" s="15"/>
      <c r="NWL235" s="15"/>
      <c r="NWM235" s="10"/>
      <c r="NWN235" s="10"/>
      <c r="NWO235" s="19"/>
      <c r="NWP235" s="19"/>
      <c r="NWS235" s="16"/>
      <c r="NWT235" s="15"/>
      <c r="NWU235" s="15"/>
      <c r="NWV235" s="15"/>
      <c r="NWW235" s="16"/>
      <c r="NWX235" s="16"/>
      <c r="NWY235" s="16"/>
      <c r="NWZ235" s="16"/>
      <c r="NXA235" s="16"/>
      <c r="NXB235" s="15"/>
      <c r="NXC235" s="15"/>
      <c r="NXD235" s="10"/>
      <c r="NXE235" s="10"/>
      <c r="NXF235" s="19"/>
      <c r="NXG235" s="19"/>
      <c r="NXJ235" s="16"/>
      <c r="NXK235" s="15"/>
      <c r="NXL235" s="15"/>
      <c r="NXM235" s="15"/>
      <c r="NXN235" s="16"/>
      <c r="NXO235" s="16"/>
      <c r="NXP235" s="16"/>
      <c r="NXQ235" s="16"/>
      <c r="NXR235" s="16"/>
      <c r="NXS235" s="15"/>
      <c r="NXT235" s="15"/>
      <c r="NXU235" s="10"/>
      <c r="NXV235" s="10"/>
      <c r="NXW235" s="19"/>
      <c r="NXX235" s="19"/>
      <c r="NYA235" s="16"/>
      <c r="NYB235" s="15"/>
      <c r="NYC235" s="15"/>
      <c r="NYD235" s="15"/>
      <c r="NYE235" s="16"/>
      <c r="NYF235" s="16"/>
      <c r="NYG235" s="16"/>
      <c r="NYH235" s="16"/>
      <c r="NYI235" s="16"/>
      <c r="NYJ235" s="15"/>
      <c r="NYK235" s="15"/>
      <c r="NYL235" s="10"/>
      <c r="NYM235" s="10"/>
      <c r="NYN235" s="19"/>
      <c r="NYO235" s="19"/>
      <c r="NYR235" s="16"/>
      <c r="NYS235" s="15"/>
      <c r="NYT235" s="15"/>
      <c r="NYU235" s="15"/>
      <c r="NYV235" s="16"/>
      <c r="NYW235" s="16"/>
      <c r="NYX235" s="16"/>
      <c r="NYY235" s="16"/>
      <c r="NYZ235" s="16"/>
      <c r="NZA235" s="15"/>
      <c r="NZB235" s="15"/>
      <c r="NZC235" s="10"/>
      <c r="NZD235" s="10"/>
      <c r="NZE235" s="19"/>
      <c r="NZF235" s="19"/>
      <c r="NZI235" s="16"/>
      <c r="NZJ235" s="15"/>
      <c r="NZK235" s="15"/>
      <c r="NZL235" s="15"/>
      <c r="NZM235" s="16"/>
      <c r="NZN235" s="16"/>
      <c r="NZO235" s="16"/>
      <c r="NZP235" s="16"/>
      <c r="NZQ235" s="16"/>
      <c r="NZR235" s="15"/>
      <c r="NZS235" s="15"/>
      <c r="NZT235" s="10"/>
      <c r="NZU235" s="10"/>
      <c r="NZV235" s="19"/>
      <c r="NZW235" s="19"/>
      <c r="NZZ235" s="16"/>
      <c r="OAA235" s="15"/>
      <c r="OAB235" s="15"/>
      <c r="OAC235" s="15"/>
      <c r="OAD235" s="16"/>
      <c r="OAE235" s="16"/>
      <c r="OAF235" s="16"/>
      <c r="OAG235" s="16"/>
      <c r="OAH235" s="16"/>
      <c r="OAI235" s="15"/>
      <c r="OAJ235" s="15"/>
      <c r="OAK235" s="10"/>
      <c r="OAL235" s="10"/>
      <c r="OAM235" s="19"/>
      <c r="OAN235" s="19"/>
      <c r="OAQ235" s="16"/>
      <c r="OAR235" s="15"/>
      <c r="OAS235" s="15"/>
      <c r="OAT235" s="15"/>
      <c r="OAU235" s="16"/>
      <c r="OAV235" s="16"/>
      <c r="OAW235" s="16"/>
      <c r="OAX235" s="16"/>
      <c r="OAY235" s="16"/>
      <c r="OAZ235" s="15"/>
      <c r="OBA235" s="15"/>
      <c r="OBB235" s="10"/>
      <c r="OBC235" s="10"/>
      <c r="OBD235" s="19"/>
      <c r="OBE235" s="19"/>
      <c r="OBH235" s="16"/>
      <c r="OBI235" s="15"/>
      <c r="OBJ235" s="15"/>
      <c r="OBK235" s="15"/>
      <c r="OBL235" s="16"/>
      <c r="OBM235" s="16"/>
      <c r="OBN235" s="16"/>
      <c r="OBO235" s="16"/>
      <c r="OBP235" s="16"/>
      <c r="OBQ235" s="15"/>
      <c r="OBR235" s="15"/>
      <c r="OBS235" s="10"/>
      <c r="OBT235" s="10"/>
      <c r="OBU235" s="19"/>
      <c r="OBV235" s="19"/>
      <c r="OBY235" s="16"/>
      <c r="OBZ235" s="15"/>
      <c r="OCA235" s="15"/>
      <c r="OCB235" s="15"/>
      <c r="OCC235" s="16"/>
      <c r="OCD235" s="16"/>
      <c r="OCE235" s="16"/>
      <c r="OCF235" s="16"/>
      <c r="OCG235" s="16"/>
      <c r="OCH235" s="15"/>
      <c r="OCI235" s="15"/>
      <c r="OCJ235" s="10"/>
      <c r="OCK235" s="10"/>
      <c r="OCL235" s="19"/>
      <c r="OCM235" s="19"/>
      <c r="OCP235" s="16"/>
      <c r="OCQ235" s="15"/>
      <c r="OCR235" s="15"/>
      <c r="OCS235" s="15"/>
      <c r="OCT235" s="16"/>
      <c r="OCU235" s="16"/>
      <c r="OCV235" s="16"/>
      <c r="OCW235" s="16"/>
      <c r="OCX235" s="16"/>
      <c r="OCY235" s="15"/>
      <c r="OCZ235" s="15"/>
      <c r="ODA235" s="10"/>
      <c r="ODB235" s="10"/>
      <c r="ODC235" s="19"/>
      <c r="ODD235" s="19"/>
      <c r="ODG235" s="16"/>
      <c r="ODH235" s="15"/>
      <c r="ODI235" s="15"/>
      <c r="ODJ235" s="15"/>
      <c r="ODK235" s="16"/>
      <c r="ODL235" s="16"/>
      <c r="ODM235" s="16"/>
      <c r="ODN235" s="16"/>
      <c r="ODO235" s="16"/>
      <c r="ODP235" s="15"/>
      <c r="ODQ235" s="15"/>
      <c r="ODR235" s="10"/>
      <c r="ODS235" s="10"/>
      <c r="ODT235" s="19"/>
      <c r="ODU235" s="19"/>
      <c r="ODX235" s="16"/>
      <c r="ODY235" s="15"/>
      <c r="ODZ235" s="15"/>
      <c r="OEA235" s="15"/>
      <c r="OEB235" s="16"/>
      <c r="OEC235" s="16"/>
      <c r="OED235" s="16"/>
      <c r="OEE235" s="16"/>
      <c r="OEF235" s="16"/>
      <c r="OEG235" s="15"/>
      <c r="OEH235" s="15"/>
      <c r="OEI235" s="10"/>
      <c r="OEJ235" s="10"/>
      <c r="OEK235" s="19"/>
      <c r="OEL235" s="19"/>
      <c r="OEO235" s="16"/>
      <c r="OEP235" s="15"/>
      <c r="OEQ235" s="15"/>
      <c r="OER235" s="15"/>
      <c r="OES235" s="16"/>
      <c r="OET235" s="16"/>
      <c r="OEU235" s="16"/>
      <c r="OEV235" s="16"/>
      <c r="OEW235" s="16"/>
      <c r="OEX235" s="15"/>
      <c r="OEY235" s="15"/>
      <c r="OEZ235" s="10"/>
      <c r="OFA235" s="10"/>
      <c r="OFB235" s="19"/>
      <c r="OFC235" s="19"/>
      <c r="OFF235" s="16"/>
      <c r="OFG235" s="15"/>
      <c r="OFH235" s="15"/>
      <c r="OFI235" s="15"/>
      <c r="OFJ235" s="16"/>
      <c r="OFK235" s="16"/>
      <c r="OFL235" s="16"/>
      <c r="OFM235" s="16"/>
      <c r="OFN235" s="16"/>
      <c r="OFO235" s="15"/>
      <c r="OFP235" s="15"/>
      <c r="OFQ235" s="10"/>
      <c r="OFR235" s="10"/>
      <c r="OFS235" s="19"/>
      <c r="OFT235" s="19"/>
      <c r="OFW235" s="16"/>
      <c r="OFX235" s="15"/>
      <c r="OFY235" s="15"/>
      <c r="OFZ235" s="15"/>
      <c r="OGA235" s="16"/>
      <c r="OGB235" s="16"/>
      <c r="OGC235" s="16"/>
      <c r="OGD235" s="16"/>
      <c r="OGE235" s="16"/>
      <c r="OGF235" s="15"/>
      <c r="OGG235" s="15"/>
      <c r="OGH235" s="10"/>
      <c r="OGI235" s="10"/>
      <c r="OGJ235" s="19"/>
      <c r="OGK235" s="19"/>
      <c r="OGN235" s="16"/>
      <c r="OGO235" s="15"/>
      <c r="OGP235" s="15"/>
      <c r="OGQ235" s="15"/>
      <c r="OGR235" s="16"/>
      <c r="OGS235" s="16"/>
      <c r="OGT235" s="16"/>
      <c r="OGU235" s="16"/>
      <c r="OGV235" s="16"/>
      <c r="OGW235" s="15"/>
      <c r="OGX235" s="15"/>
      <c r="OGY235" s="10"/>
      <c r="OGZ235" s="10"/>
      <c r="OHA235" s="19"/>
      <c r="OHB235" s="19"/>
      <c r="OHE235" s="16"/>
      <c r="OHF235" s="15"/>
      <c r="OHG235" s="15"/>
      <c r="OHH235" s="15"/>
      <c r="OHI235" s="16"/>
      <c r="OHJ235" s="16"/>
      <c r="OHK235" s="16"/>
      <c r="OHL235" s="16"/>
      <c r="OHM235" s="16"/>
      <c r="OHN235" s="15"/>
      <c r="OHO235" s="15"/>
      <c r="OHP235" s="10"/>
      <c r="OHQ235" s="10"/>
      <c r="OHR235" s="19"/>
      <c r="OHS235" s="19"/>
      <c r="OHV235" s="16"/>
      <c r="OHW235" s="15"/>
      <c r="OHX235" s="15"/>
      <c r="OHY235" s="15"/>
      <c r="OHZ235" s="16"/>
      <c r="OIA235" s="16"/>
      <c r="OIB235" s="16"/>
      <c r="OIC235" s="16"/>
      <c r="OID235" s="16"/>
      <c r="OIE235" s="15"/>
      <c r="OIF235" s="15"/>
      <c r="OIG235" s="10"/>
      <c r="OIH235" s="10"/>
      <c r="OII235" s="19"/>
      <c r="OIJ235" s="19"/>
      <c r="OIM235" s="16"/>
      <c r="OIN235" s="15"/>
      <c r="OIO235" s="15"/>
      <c r="OIP235" s="15"/>
      <c r="OIQ235" s="16"/>
      <c r="OIR235" s="16"/>
      <c r="OIS235" s="16"/>
      <c r="OIT235" s="16"/>
      <c r="OIU235" s="16"/>
      <c r="OIV235" s="15"/>
      <c r="OIW235" s="15"/>
      <c r="OIX235" s="10"/>
      <c r="OIY235" s="10"/>
      <c r="OIZ235" s="19"/>
      <c r="OJA235" s="19"/>
      <c r="OJD235" s="16"/>
      <c r="OJE235" s="15"/>
      <c r="OJF235" s="15"/>
      <c r="OJG235" s="15"/>
      <c r="OJH235" s="16"/>
      <c r="OJI235" s="16"/>
      <c r="OJJ235" s="16"/>
      <c r="OJK235" s="16"/>
      <c r="OJL235" s="16"/>
      <c r="OJM235" s="15"/>
      <c r="OJN235" s="15"/>
      <c r="OJO235" s="10"/>
      <c r="OJP235" s="10"/>
      <c r="OJQ235" s="19"/>
      <c r="OJR235" s="19"/>
      <c r="OJU235" s="16"/>
      <c r="OJV235" s="15"/>
      <c r="OJW235" s="15"/>
      <c r="OJX235" s="15"/>
      <c r="OJY235" s="16"/>
      <c r="OJZ235" s="16"/>
      <c r="OKA235" s="16"/>
      <c r="OKB235" s="16"/>
      <c r="OKC235" s="16"/>
      <c r="OKD235" s="15"/>
      <c r="OKE235" s="15"/>
      <c r="OKF235" s="10"/>
      <c r="OKG235" s="10"/>
      <c r="OKH235" s="19"/>
      <c r="OKI235" s="19"/>
      <c r="OKL235" s="16"/>
      <c r="OKM235" s="15"/>
      <c r="OKN235" s="15"/>
      <c r="OKO235" s="15"/>
      <c r="OKP235" s="16"/>
      <c r="OKQ235" s="16"/>
      <c r="OKR235" s="16"/>
      <c r="OKS235" s="16"/>
      <c r="OKT235" s="16"/>
      <c r="OKU235" s="15"/>
      <c r="OKV235" s="15"/>
      <c r="OKW235" s="10"/>
      <c r="OKX235" s="10"/>
      <c r="OKY235" s="19"/>
      <c r="OKZ235" s="19"/>
      <c r="OLC235" s="16"/>
      <c r="OLD235" s="15"/>
      <c r="OLE235" s="15"/>
      <c r="OLF235" s="15"/>
      <c r="OLG235" s="16"/>
      <c r="OLH235" s="16"/>
      <c r="OLI235" s="16"/>
      <c r="OLJ235" s="16"/>
      <c r="OLK235" s="16"/>
      <c r="OLL235" s="15"/>
      <c r="OLM235" s="15"/>
      <c r="OLN235" s="10"/>
      <c r="OLO235" s="10"/>
      <c r="OLP235" s="19"/>
      <c r="OLQ235" s="19"/>
      <c r="OLT235" s="16"/>
      <c r="OLU235" s="15"/>
      <c r="OLV235" s="15"/>
      <c r="OLW235" s="15"/>
      <c r="OLX235" s="16"/>
      <c r="OLY235" s="16"/>
      <c r="OLZ235" s="16"/>
      <c r="OMA235" s="16"/>
      <c r="OMB235" s="16"/>
      <c r="OMC235" s="15"/>
      <c r="OMD235" s="15"/>
      <c r="OME235" s="10"/>
      <c r="OMF235" s="10"/>
      <c r="OMG235" s="19"/>
      <c r="OMH235" s="19"/>
      <c r="OMK235" s="16"/>
      <c r="OML235" s="15"/>
      <c r="OMM235" s="15"/>
      <c r="OMN235" s="15"/>
      <c r="OMO235" s="16"/>
      <c r="OMP235" s="16"/>
      <c r="OMQ235" s="16"/>
      <c r="OMR235" s="16"/>
      <c r="OMS235" s="16"/>
      <c r="OMT235" s="15"/>
      <c r="OMU235" s="15"/>
      <c r="OMV235" s="10"/>
      <c r="OMW235" s="10"/>
      <c r="OMX235" s="19"/>
      <c r="OMY235" s="19"/>
      <c r="ONB235" s="16"/>
      <c r="ONC235" s="15"/>
      <c r="OND235" s="15"/>
      <c r="ONE235" s="15"/>
      <c r="ONF235" s="16"/>
      <c r="ONG235" s="16"/>
      <c r="ONH235" s="16"/>
      <c r="ONI235" s="16"/>
      <c r="ONJ235" s="16"/>
      <c r="ONK235" s="15"/>
      <c r="ONL235" s="15"/>
      <c r="ONM235" s="10"/>
      <c r="ONN235" s="10"/>
      <c r="ONO235" s="19"/>
      <c r="ONP235" s="19"/>
      <c r="ONS235" s="16"/>
      <c r="ONT235" s="15"/>
      <c r="ONU235" s="15"/>
      <c r="ONV235" s="15"/>
      <c r="ONW235" s="16"/>
      <c r="ONX235" s="16"/>
      <c r="ONY235" s="16"/>
      <c r="ONZ235" s="16"/>
      <c r="OOA235" s="16"/>
      <c r="OOB235" s="15"/>
      <c r="OOC235" s="15"/>
      <c r="OOD235" s="10"/>
      <c r="OOE235" s="10"/>
      <c r="OOF235" s="19"/>
      <c r="OOG235" s="19"/>
      <c r="OOJ235" s="16"/>
      <c r="OOK235" s="15"/>
      <c r="OOL235" s="15"/>
      <c r="OOM235" s="15"/>
      <c r="OON235" s="16"/>
      <c r="OOO235" s="16"/>
      <c r="OOP235" s="16"/>
      <c r="OOQ235" s="16"/>
      <c r="OOR235" s="16"/>
      <c r="OOS235" s="15"/>
      <c r="OOT235" s="15"/>
      <c r="OOU235" s="10"/>
      <c r="OOV235" s="10"/>
      <c r="OOW235" s="19"/>
      <c r="OOX235" s="19"/>
      <c r="OPA235" s="16"/>
      <c r="OPB235" s="15"/>
      <c r="OPC235" s="15"/>
      <c r="OPD235" s="15"/>
      <c r="OPE235" s="16"/>
      <c r="OPF235" s="16"/>
      <c r="OPG235" s="16"/>
      <c r="OPH235" s="16"/>
      <c r="OPI235" s="16"/>
      <c r="OPJ235" s="15"/>
      <c r="OPK235" s="15"/>
      <c r="OPL235" s="10"/>
      <c r="OPM235" s="10"/>
      <c r="OPN235" s="19"/>
      <c r="OPO235" s="19"/>
      <c r="OPR235" s="16"/>
      <c r="OPS235" s="15"/>
      <c r="OPT235" s="15"/>
      <c r="OPU235" s="15"/>
      <c r="OPV235" s="16"/>
      <c r="OPW235" s="16"/>
      <c r="OPX235" s="16"/>
      <c r="OPY235" s="16"/>
      <c r="OPZ235" s="16"/>
      <c r="OQA235" s="15"/>
      <c r="OQB235" s="15"/>
      <c r="OQC235" s="10"/>
      <c r="OQD235" s="10"/>
      <c r="OQE235" s="19"/>
      <c r="OQF235" s="19"/>
      <c r="OQI235" s="16"/>
      <c r="OQJ235" s="15"/>
      <c r="OQK235" s="15"/>
      <c r="OQL235" s="15"/>
      <c r="OQM235" s="16"/>
      <c r="OQN235" s="16"/>
      <c r="OQO235" s="16"/>
      <c r="OQP235" s="16"/>
      <c r="OQQ235" s="16"/>
      <c r="OQR235" s="15"/>
      <c r="OQS235" s="15"/>
      <c r="OQT235" s="10"/>
      <c r="OQU235" s="10"/>
      <c r="OQV235" s="19"/>
      <c r="OQW235" s="19"/>
      <c r="OQZ235" s="16"/>
      <c r="ORA235" s="15"/>
      <c r="ORB235" s="15"/>
      <c r="ORC235" s="15"/>
      <c r="ORD235" s="16"/>
      <c r="ORE235" s="16"/>
      <c r="ORF235" s="16"/>
      <c r="ORG235" s="16"/>
      <c r="ORH235" s="16"/>
      <c r="ORI235" s="15"/>
      <c r="ORJ235" s="15"/>
      <c r="ORK235" s="10"/>
      <c r="ORL235" s="10"/>
      <c r="ORM235" s="19"/>
      <c r="ORN235" s="19"/>
      <c r="ORQ235" s="16"/>
      <c r="ORR235" s="15"/>
      <c r="ORS235" s="15"/>
      <c r="ORT235" s="15"/>
      <c r="ORU235" s="16"/>
      <c r="ORV235" s="16"/>
      <c r="ORW235" s="16"/>
      <c r="ORX235" s="16"/>
      <c r="ORY235" s="16"/>
      <c r="ORZ235" s="15"/>
      <c r="OSA235" s="15"/>
      <c r="OSB235" s="10"/>
      <c r="OSC235" s="10"/>
      <c r="OSD235" s="19"/>
      <c r="OSE235" s="19"/>
      <c r="OSH235" s="16"/>
      <c r="OSI235" s="15"/>
      <c r="OSJ235" s="15"/>
      <c r="OSK235" s="15"/>
      <c r="OSL235" s="16"/>
      <c r="OSM235" s="16"/>
      <c r="OSN235" s="16"/>
      <c r="OSO235" s="16"/>
      <c r="OSP235" s="16"/>
      <c r="OSQ235" s="15"/>
      <c r="OSR235" s="15"/>
      <c r="OSS235" s="10"/>
      <c r="OST235" s="10"/>
      <c r="OSU235" s="19"/>
      <c r="OSV235" s="19"/>
      <c r="OSY235" s="16"/>
      <c r="OSZ235" s="15"/>
      <c r="OTA235" s="15"/>
      <c r="OTB235" s="15"/>
      <c r="OTC235" s="16"/>
      <c r="OTD235" s="16"/>
      <c r="OTE235" s="16"/>
      <c r="OTF235" s="16"/>
      <c r="OTG235" s="16"/>
      <c r="OTH235" s="15"/>
      <c r="OTI235" s="15"/>
      <c r="OTJ235" s="10"/>
      <c r="OTK235" s="10"/>
      <c r="OTL235" s="19"/>
      <c r="OTM235" s="19"/>
      <c r="OTP235" s="16"/>
      <c r="OTQ235" s="15"/>
      <c r="OTR235" s="15"/>
      <c r="OTS235" s="15"/>
      <c r="OTT235" s="16"/>
      <c r="OTU235" s="16"/>
      <c r="OTV235" s="16"/>
      <c r="OTW235" s="16"/>
      <c r="OTX235" s="16"/>
      <c r="OTY235" s="15"/>
      <c r="OTZ235" s="15"/>
      <c r="OUA235" s="10"/>
      <c r="OUB235" s="10"/>
      <c r="OUC235" s="19"/>
      <c r="OUD235" s="19"/>
      <c r="OUG235" s="16"/>
      <c r="OUH235" s="15"/>
      <c r="OUI235" s="15"/>
      <c r="OUJ235" s="15"/>
      <c r="OUK235" s="16"/>
      <c r="OUL235" s="16"/>
      <c r="OUM235" s="16"/>
      <c r="OUN235" s="16"/>
      <c r="OUO235" s="16"/>
      <c r="OUP235" s="15"/>
      <c r="OUQ235" s="15"/>
      <c r="OUR235" s="10"/>
      <c r="OUS235" s="10"/>
      <c r="OUT235" s="19"/>
      <c r="OUU235" s="19"/>
      <c r="OUX235" s="16"/>
      <c r="OUY235" s="15"/>
      <c r="OUZ235" s="15"/>
      <c r="OVA235" s="15"/>
      <c r="OVB235" s="16"/>
      <c r="OVC235" s="16"/>
      <c r="OVD235" s="16"/>
      <c r="OVE235" s="16"/>
      <c r="OVF235" s="16"/>
      <c r="OVG235" s="15"/>
      <c r="OVH235" s="15"/>
      <c r="OVI235" s="10"/>
      <c r="OVJ235" s="10"/>
      <c r="OVK235" s="19"/>
      <c r="OVL235" s="19"/>
      <c r="OVO235" s="16"/>
      <c r="OVP235" s="15"/>
      <c r="OVQ235" s="15"/>
      <c r="OVR235" s="15"/>
      <c r="OVS235" s="16"/>
      <c r="OVT235" s="16"/>
      <c r="OVU235" s="16"/>
      <c r="OVV235" s="16"/>
      <c r="OVW235" s="16"/>
      <c r="OVX235" s="15"/>
      <c r="OVY235" s="15"/>
      <c r="OVZ235" s="10"/>
      <c r="OWA235" s="10"/>
      <c r="OWB235" s="19"/>
      <c r="OWC235" s="19"/>
      <c r="OWF235" s="16"/>
      <c r="OWG235" s="15"/>
      <c r="OWH235" s="15"/>
      <c r="OWI235" s="15"/>
      <c r="OWJ235" s="16"/>
      <c r="OWK235" s="16"/>
      <c r="OWL235" s="16"/>
      <c r="OWM235" s="16"/>
      <c r="OWN235" s="16"/>
      <c r="OWO235" s="15"/>
      <c r="OWP235" s="15"/>
      <c r="OWQ235" s="10"/>
      <c r="OWR235" s="10"/>
      <c r="OWS235" s="19"/>
      <c r="OWT235" s="19"/>
      <c r="OWW235" s="16"/>
      <c r="OWX235" s="15"/>
      <c r="OWY235" s="15"/>
      <c r="OWZ235" s="15"/>
      <c r="OXA235" s="16"/>
      <c r="OXB235" s="16"/>
      <c r="OXC235" s="16"/>
      <c r="OXD235" s="16"/>
      <c r="OXE235" s="16"/>
      <c r="OXF235" s="15"/>
      <c r="OXG235" s="15"/>
      <c r="OXH235" s="10"/>
      <c r="OXI235" s="10"/>
      <c r="OXJ235" s="19"/>
      <c r="OXK235" s="19"/>
      <c r="OXN235" s="16"/>
      <c r="OXO235" s="15"/>
      <c r="OXP235" s="15"/>
      <c r="OXQ235" s="15"/>
      <c r="OXR235" s="16"/>
      <c r="OXS235" s="16"/>
      <c r="OXT235" s="16"/>
      <c r="OXU235" s="16"/>
      <c r="OXV235" s="16"/>
      <c r="OXW235" s="15"/>
      <c r="OXX235" s="15"/>
      <c r="OXY235" s="10"/>
      <c r="OXZ235" s="10"/>
      <c r="OYA235" s="19"/>
      <c r="OYB235" s="19"/>
      <c r="OYE235" s="16"/>
      <c r="OYF235" s="15"/>
      <c r="OYG235" s="15"/>
      <c r="OYH235" s="15"/>
      <c r="OYI235" s="16"/>
      <c r="OYJ235" s="16"/>
      <c r="OYK235" s="16"/>
      <c r="OYL235" s="16"/>
      <c r="OYM235" s="16"/>
      <c r="OYN235" s="15"/>
      <c r="OYO235" s="15"/>
      <c r="OYP235" s="10"/>
      <c r="OYQ235" s="10"/>
      <c r="OYR235" s="19"/>
      <c r="OYS235" s="19"/>
      <c r="OYV235" s="16"/>
      <c r="OYW235" s="15"/>
      <c r="OYX235" s="15"/>
      <c r="OYY235" s="15"/>
      <c r="OYZ235" s="16"/>
      <c r="OZA235" s="16"/>
      <c r="OZB235" s="16"/>
      <c r="OZC235" s="16"/>
      <c r="OZD235" s="16"/>
      <c r="OZE235" s="15"/>
      <c r="OZF235" s="15"/>
      <c r="OZG235" s="10"/>
      <c r="OZH235" s="10"/>
      <c r="OZI235" s="19"/>
      <c r="OZJ235" s="19"/>
      <c r="OZM235" s="16"/>
      <c r="OZN235" s="15"/>
      <c r="OZO235" s="15"/>
      <c r="OZP235" s="15"/>
      <c r="OZQ235" s="16"/>
      <c r="OZR235" s="16"/>
      <c r="OZS235" s="16"/>
      <c r="OZT235" s="16"/>
      <c r="OZU235" s="16"/>
      <c r="OZV235" s="15"/>
      <c r="OZW235" s="15"/>
      <c r="OZX235" s="10"/>
      <c r="OZY235" s="10"/>
      <c r="OZZ235" s="19"/>
      <c r="PAA235" s="19"/>
      <c r="PAD235" s="16"/>
      <c r="PAE235" s="15"/>
      <c r="PAF235" s="15"/>
      <c r="PAG235" s="15"/>
      <c r="PAH235" s="16"/>
      <c r="PAI235" s="16"/>
      <c r="PAJ235" s="16"/>
      <c r="PAK235" s="16"/>
      <c r="PAL235" s="16"/>
      <c r="PAM235" s="15"/>
      <c r="PAN235" s="15"/>
      <c r="PAO235" s="10"/>
      <c r="PAP235" s="10"/>
      <c r="PAQ235" s="19"/>
      <c r="PAR235" s="19"/>
      <c r="PAU235" s="16"/>
      <c r="PAV235" s="15"/>
      <c r="PAW235" s="15"/>
      <c r="PAX235" s="15"/>
      <c r="PAY235" s="16"/>
      <c r="PAZ235" s="16"/>
      <c r="PBA235" s="16"/>
      <c r="PBB235" s="16"/>
      <c r="PBC235" s="16"/>
      <c r="PBD235" s="15"/>
      <c r="PBE235" s="15"/>
      <c r="PBF235" s="10"/>
      <c r="PBG235" s="10"/>
      <c r="PBH235" s="19"/>
      <c r="PBI235" s="19"/>
      <c r="PBL235" s="16"/>
      <c r="PBM235" s="15"/>
      <c r="PBN235" s="15"/>
      <c r="PBO235" s="15"/>
      <c r="PBP235" s="16"/>
      <c r="PBQ235" s="16"/>
      <c r="PBR235" s="16"/>
      <c r="PBS235" s="16"/>
      <c r="PBT235" s="16"/>
      <c r="PBU235" s="15"/>
      <c r="PBV235" s="15"/>
      <c r="PBW235" s="10"/>
      <c r="PBX235" s="10"/>
      <c r="PBY235" s="19"/>
      <c r="PBZ235" s="19"/>
      <c r="PCC235" s="16"/>
      <c r="PCD235" s="15"/>
      <c r="PCE235" s="15"/>
      <c r="PCF235" s="15"/>
      <c r="PCG235" s="16"/>
      <c r="PCH235" s="16"/>
      <c r="PCI235" s="16"/>
      <c r="PCJ235" s="16"/>
      <c r="PCK235" s="16"/>
      <c r="PCL235" s="15"/>
      <c r="PCM235" s="15"/>
      <c r="PCN235" s="10"/>
      <c r="PCO235" s="10"/>
      <c r="PCP235" s="19"/>
      <c r="PCQ235" s="19"/>
      <c r="PCT235" s="16"/>
      <c r="PCU235" s="15"/>
      <c r="PCV235" s="15"/>
      <c r="PCW235" s="15"/>
      <c r="PCX235" s="16"/>
      <c r="PCY235" s="16"/>
      <c r="PCZ235" s="16"/>
      <c r="PDA235" s="16"/>
      <c r="PDB235" s="16"/>
      <c r="PDC235" s="15"/>
      <c r="PDD235" s="15"/>
      <c r="PDE235" s="10"/>
      <c r="PDF235" s="10"/>
      <c r="PDG235" s="19"/>
      <c r="PDH235" s="19"/>
      <c r="PDK235" s="16"/>
      <c r="PDL235" s="15"/>
      <c r="PDM235" s="15"/>
      <c r="PDN235" s="15"/>
      <c r="PDO235" s="16"/>
      <c r="PDP235" s="16"/>
      <c r="PDQ235" s="16"/>
      <c r="PDR235" s="16"/>
      <c r="PDS235" s="16"/>
      <c r="PDT235" s="15"/>
      <c r="PDU235" s="15"/>
      <c r="PDV235" s="10"/>
      <c r="PDW235" s="10"/>
      <c r="PDX235" s="19"/>
      <c r="PDY235" s="19"/>
      <c r="PEB235" s="16"/>
      <c r="PEC235" s="15"/>
      <c r="PED235" s="15"/>
      <c r="PEE235" s="15"/>
      <c r="PEF235" s="16"/>
      <c r="PEG235" s="16"/>
      <c r="PEH235" s="16"/>
      <c r="PEI235" s="16"/>
      <c r="PEJ235" s="16"/>
      <c r="PEK235" s="15"/>
      <c r="PEL235" s="15"/>
      <c r="PEM235" s="10"/>
      <c r="PEN235" s="10"/>
      <c r="PEO235" s="19"/>
      <c r="PEP235" s="19"/>
      <c r="PES235" s="16"/>
      <c r="PET235" s="15"/>
      <c r="PEU235" s="15"/>
      <c r="PEV235" s="15"/>
      <c r="PEW235" s="16"/>
      <c r="PEX235" s="16"/>
      <c r="PEY235" s="16"/>
      <c r="PEZ235" s="16"/>
      <c r="PFA235" s="16"/>
      <c r="PFB235" s="15"/>
      <c r="PFC235" s="15"/>
      <c r="PFD235" s="10"/>
      <c r="PFE235" s="10"/>
      <c r="PFF235" s="19"/>
      <c r="PFG235" s="19"/>
      <c r="PFJ235" s="16"/>
      <c r="PFK235" s="15"/>
      <c r="PFL235" s="15"/>
      <c r="PFM235" s="15"/>
      <c r="PFN235" s="16"/>
      <c r="PFO235" s="16"/>
      <c r="PFP235" s="16"/>
      <c r="PFQ235" s="16"/>
      <c r="PFR235" s="16"/>
      <c r="PFS235" s="15"/>
      <c r="PFT235" s="15"/>
      <c r="PFU235" s="10"/>
      <c r="PFV235" s="10"/>
      <c r="PFW235" s="19"/>
      <c r="PFX235" s="19"/>
      <c r="PGA235" s="16"/>
      <c r="PGB235" s="15"/>
      <c r="PGC235" s="15"/>
      <c r="PGD235" s="15"/>
      <c r="PGE235" s="16"/>
      <c r="PGF235" s="16"/>
      <c r="PGG235" s="16"/>
      <c r="PGH235" s="16"/>
      <c r="PGI235" s="16"/>
      <c r="PGJ235" s="15"/>
      <c r="PGK235" s="15"/>
      <c r="PGL235" s="10"/>
      <c r="PGM235" s="10"/>
      <c r="PGN235" s="19"/>
      <c r="PGO235" s="19"/>
      <c r="PGR235" s="16"/>
      <c r="PGS235" s="15"/>
      <c r="PGT235" s="15"/>
      <c r="PGU235" s="15"/>
      <c r="PGV235" s="16"/>
      <c r="PGW235" s="16"/>
      <c r="PGX235" s="16"/>
      <c r="PGY235" s="16"/>
      <c r="PGZ235" s="16"/>
      <c r="PHA235" s="15"/>
      <c r="PHB235" s="15"/>
      <c r="PHC235" s="10"/>
      <c r="PHD235" s="10"/>
      <c r="PHE235" s="19"/>
      <c r="PHF235" s="19"/>
      <c r="PHI235" s="16"/>
      <c r="PHJ235" s="15"/>
      <c r="PHK235" s="15"/>
      <c r="PHL235" s="15"/>
      <c r="PHM235" s="16"/>
      <c r="PHN235" s="16"/>
      <c r="PHO235" s="16"/>
      <c r="PHP235" s="16"/>
      <c r="PHQ235" s="16"/>
      <c r="PHR235" s="15"/>
      <c r="PHS235" s="15"/>
      <c r="PHT235" s="10"/>
      <c r="PHU235" s="10"/>
      <c r="PHV235" s="19"/>
      <c r="PHW235" s="19"/>
      <c r="PHZ235" s="16"/>
      <c r="PIA235" s="15"/>
      <c r="PIB235" s="15"/>
      <c r="PIC235" s="15"/>
      <c r="PID235" s="16"/>
      <c r="PIE235" s="16"/>
      <c r="PIF235" s="16"/>
      <c r="PIG235" s="16"/>
      <c r="PIH235" s="16"/>
      <c r="PII235" s="15"/>
      <c r="PIJ235" s="15"/>
      <c r="PIK235" s="10"/>
      <c r="PIL235" s="10"/>
      <c r="PIM235" s="19"/>
      <c r="PIN235" s="19"/>
      <c r="PIQ235" s="16"/>
      <c r="PIR235" s="15"/>
      <c r="PIS235" s="15"/>
      <c r="PIT235" s="15"/>
      <c r="PIU235" s="16"/>
      <c r="PIV235" s="16"/>
      <c r="PIW235" s="16"/>
      <c r="PIX235" s="16"/>
      <c r="PIY235" s="16"/>
      <c r="PIZ235" s="15"/>
      <c r="PJA235" s="15"/>
      <c r="PJB235" s="10"/>
      <c r="PJC235" s="10"/>
      <c r="PJD235" s="19"/>
      <c r="PJE235" s="19"/>
      <c r="PJH235" s="16"/>
      <c r="PJI235" s="15"/>
      <c r="PJJ235" s="15"/>
      <c r="PJK235" s="15"/>
      <c r="PJL235" s="16"/>
      <c r="PJM235" s="16"/>
      <c r="PJN235" s="16"/>
      <c r="PJO235" s="16"/>
      <c r="PJP235" s="16"/>
      <c r="PJQ235" s="15"/>
      <c r="PJR235" s="15"/>
      <c r="PJS235" s="10"/>
      <c r="PJT235" s="10"/>
      <c r="PJU235" s="19"/>
      <c r="PJV235" s="19"/>
      <c r="PJY235" s="16"/>
      <c r="PJZ235" s="15"/>
      <c r="PKA235" s="15"/>
      <c r="PKB235" s="15"/>
      <c r="PKC235" s="16"/>
      <c r="PKD235" s="16"/>
      <c r="PKE235" s="16"/>
      <c r="PKF235" s="16"/>
      <c r="PKG235" s="16"/>
      <c r="PKH235" s="15"/>
      <c r="PKI235" s="15"/>
      <c r="PKJ235" s="10"/>
      <c r="PKK235" s="10"/>
      <c r="PKL235" s="19"/>
      <c r="PKM235" s="19"/>
      <c r="PKP235" s="16"/>
      <c r="PKQ235" s="15"/>
      <c r="PKR235" s="15"/>
      <c r="PKS235" s="15"/>
      <c r="PKT235" s="16"/>
      <c r="PKU235" s="16"/>
      <c r="PKV235" s="16"/>
      <c r="PKW235" s="16"/>
      <c r="PKX235" s="16"/>
      <c r="PKY235" s="15"/>
      <c r="PKZ235" s="15"/>
      <c r="PLA235" s="10"/>
      <c r="PLB235" s="10"/>
      <c r="PLC235" s="19"/>
      <c r="PLD235" s="19"/>
      <c r="PLG235" s="16"/>
      <c r="PLH235" s="15"/>
      <c r="PLI235" s="15"/>
      <c r="PLJ235" s="15"/>
      <c r="PLK235" s="16"/>
      <c r="PLL235" s="16"/>
      <c r="PLM235" s="16"/>
      <c r="PLN235" s="16"/>
      <c r="PLO235" s="16"/>
      <c r="PLP235" s="15"/>
      <c r="PLQ235" s="15"/>
      <c r="PLR235" s="10"/>
      <c r="PLS235" s="10"/>
      <c r="PLT235" s="19"/>
      <c r="PLU235" s="19"/>
      <c r="PLX235" s="16"/>
      <c r="PLY235" s="15"/>
      <c r="PLZ235" s="15"/>
      <c r="PMA235" s="15"/>
      <c r="PMB235" s="16"/>
      <c r="PMC235" s="16"/>
      <c r="PMD235" s="16"/>
      <c r="PME235" s="16"/>
      <c r="PMF235" s="16"/>
      <c r="PMG235" s="15"/>
      <c r="PMH235" s="15"/>
      <c r="PMI235" s="10"/>
      <c r="PMJ235" s="10"/>
      <c r="PMK235" s="19"/>
      <c r="PML235" s="19"/>
      <c r="PMO235" s="16"/>
      <c r="PMP235" s="15"/>
      <c r="PMQ235" s="15"/>
      <c r="PMR235" s="15"/>
      <c r="PMS235" s="16"/>
      <c r="PMT235" s="16"/>
      <c r="PMU235" s="16"/>
      <c r="PMV235" s="16"/>
      <c r="PMW235" s="16"/>
      <c r="PMX235" s="15"/>
      <c r="PMY235" s="15"/>
      <c r="PMZ235" s="10"/>
      <c r="PNA235" s="10"/>
      <c r="PNB235" s="19"/>
      <c r="PNC235" s="19"/>
      <c r="PNF235" s="16"/>
      <c r="PNG235" s="15"/>
      <c r="PNH235" s="15"/>
      <c r="PNI235" s="15"/>
      <c r="PNJ235" s="16"/>
      <c r="PNK235" s="16"/>
      <c r="PNL235" s="16"/>
      <c r="PNM235" s="16"/>
      <c r="PNN235" s="16"/>
      <c r="PNO235" s="15"/>
      <c r="PNP235" s="15"/>
      <c r="PNQ235" s="10"/>
      <c r="PNR235" s="10"/>
      <c r="PNS235" s="19"/>
      <c r="PNT235" s="19"/>
      <c r="PNW235" s="16"/>
      <c r="PNX235" s="15"/>
      <c r="PNY235" s="15"/>
      <c r="PNZ235" s="15"/>
      <c r="POA235" s="16"/>
      <c r="POB235" s="16"/>
      <c r="POC235" s="16"/>
      <c r="POD235" s="16"/>
      <c r="POE235" s="16"/>
      <c r="POF235" s="15"/>
      <c r="POG235" s="15"/>
      <c r="POH235" s="10"/>
      <c r="POI235" s="10"/>
      <c r="POJ235" s="19"/>
      <c r="POK235" s="19"/>
      <c r="PON235" s="16"/>
      <c r="POO235" s="15"/>
      <c r="POP235" s="15"/>
      <c r="POQ235" s="15"/>
      <c r="POR235" s="16"/>
      <c r="POS235" s="16"/>
      <c r="POT235" s="16"/>
      <c r="POU235" s="16"/>
      <c r="POV235" s="16"/>
      <c r="POW235" s="15"/>
      <c r="POX235" s="15"/>
      <c r="POY235" s="10"/>
      <c r="POZ235" s="10"/>
      <c r="PPA235" s="19"/>
      <c r="PPB235" s="19"/>
      <c r="PPE235" s="16"/>
      <c r="PPF235" s="15"/>
      <c r="PPG235" s="15"/>
      <c r="PPH235" s="15"/>
      <c r="PPI235" s="16"/>
      <c r="PPJ235" s="16"/>
      <c r="PPK235" s="16"/>
      <c r="PPL235" s="16"/>
      <c r="PPM235" s="16"/>
      <c r="PPN235" s="15"/>
      <c r="PPO235" s="15"/>
      <c r="PPP235" s="10"/>
      <c r="PPQ235" s="10"/>
      <c r="PPR235" s="19"/>
      <c r="PPS235" s="19"/>
      <c r="PPV235" s="16"/>
      <c r="PPW235" s="15"/>
      <c r="PPX235" s="15"/>
      <c r="PPY235" s="15"/>
      <c r="PPZ235" s="16"/>
      <c r="PQA235" s="16"/>
      <c r="PQB235" s="16"/>
      <c r="PQC235" s="16"/>
      <c r="PQD235" s="16"/>
      <c r="PQE235" s="15"/>
      <c r="PQF235" s="15"/>
      <c r="PQG235" s="10"/>
      <c r="PQH235" s="10"/>
      <c r="PQI235" s="19"/>
      <c r="PQJ235" s="19"/>
      <c r="PQM235" s="16"/>
      <c r="PQN235" s="15"/>
      <c r="PQO235" s="15"/>
      <c r="PQP235" s="15"/>
      <c r="PQQ235" s="16"/>
      <c r="PQR235" s="16"/>
      <c r="PQS235" s="16"/>
      <c r="PQT235" s="16"/>
      <c r="PQU235" s="16"/>
      <c r="PQV235" s="15"/>
      <c r="PQW235" s="15"/>
      <c r="PQX235" s="10"/>
      <c r="PQY235" s="10"/>
      <c r="PQZ235" s="19"/>
      <c r="PRA235" s="19"/>
      <c r="PRD235" s="16"/>
      <c r="PRE235" s="15"/>
      <c r="PRF235" s="15"/>
      <c r="PRG235" s="15"/>
      <c r="PRH235" s="16"/>
      <c r="PRI235" s="16"/>
      <c r="PRJ235" s="16"/>
      <c r="PRK235" s="16"/>
      <c r="PRL235" s="16"/>
      <c r="PRM235" s="15"/>
      <c r="PRN235" s="15"/>
      <c r="PRO235" s="10"/>
      <c r="PRP235" s="10"/>
      <c r="PRQ235" s="19"/>
      <c r="PRR235" s="19"/>
      <c r="PRU235" s="16"/>
      <c r="PRV235" s="15"/>
      <c r="PRW235" s="15"/>
      <c r="PRX235" s="15"/>
      <c r="PRY235" s="16"/>
      <c r="PRZ235" s="16"/>
      <c r="PSA235" s="16"/>
      <c r="PSB235" s="16"/>
      <c r="PSC235" s="16"/>
      <c r="PSD235" s="15"/>
      <c r="PSE235" s="15"/>
      <c r="PSF235" s="10"/>
      <c r="PSG235" s="10"/>
      <c r="PSH235" s="19"/>
      <c r="PSI235" s="19"/>
      <c r="PSL235" s="16"/>
      <c r="PSM235" s="15"/>
      <c r="PSN235" s="15"/>
      <c r="PSO235" s="15"/>
      <c r="PSP235" s="16"/>
      <c r="PSQ235" s="16"/>
      <c r="PSR235" s="16"/>
      <c r="PSS235" s="16"/>
      <c r="PST235" s="16"/>
      <c r="PSU235" s="15"/>
      <c r="PSV235" s="15"/>
      <c r="PSW235" s="10"/>
      <c r="PSX235" s="10"/>
      <c r="PSY235" s="19"/>
      <c r="PSZ235" s="19"/>
      <c r="PTC235" s="16"/>
      <c r="PTD235" s="15"/>
      <c r="PTE235" s="15"/>
      <c r="PTF235" s="15"/>
      <c r="PTG235" s="16"/>
      <c r="PTH235" s="16"/>
      <c r="PTI235" s="16"/>
      <c r="PTJ235" s="16"/>
      <c r="PTK235" s="16"/>
      <c r="PTL235" s="15"/>
      <c r="PTM235" s="15"/>
      <c r="PTN235" s="10"/>
      <c r="PTO235" s="10"/>
      <c r="PTP235" s="19"/>
      <c r="PTQ235" s="19"/>
      <c r="PTT235" s="16"/>
      <c r="PTU235" s="15"/>
      <c r="PTV235" s="15"/>
      <c r="PTW235" s="15"/>
      <c r="PTX235" s="16"/>
      <c r="PTY235" s="16"/>
      <c r="PTZ235" s="16"/>
      <c r="PUA235" s="16"/>
      <c r="PUB235" s="16"/>
      <c r="PUC235" s="15"/>
      <c r="PUD235" s="15"/>
      <c r="PUE235" s="10"/>
      <c r="PUF235" s="10"/>
      <c r="PUG235" s="19"/>
      <c r="PUH235" s="19"/>
      <c r="PUK235" s="16"/>
      <c r="PUL235" s="15"/>
      <c r="PUM235" s="15"/>
      <c r="PUN235" s="15"/>
      <c r="PUO235" s="16"/>
      <c r="PUP235" s="16"/>
      <c r="PUQ235" s="16"/>
      <c r="PUR235" s="16"/>
      <c r="PUS235" s="16"/>
      <c r="PUT235" s="15"/>
      <c r="PUU235" s="15"/>
      <c r="PUV235" s="10"/>
      <c r="PUW235" s="10"/>
      <c r="PUX235" s="19"/>
      <c r="PUY235" s="19"/>
      <c r="PVB235" s="16"/>
      <c r="PVC235" s="15"/>
      <c r="PVD235" s="15"/>
      <c r="PVE235" s="15"/>
      <c r="PVF235" s="16"/>
      <c r="PVG235" s="16"/>
      <c r="PVH235" s="16"/>
      <c r="PVI235" s="16"/>
      <c r="PVJ235" s="16"/>
      <c r="PVK235" s="15"/>
      <c r="PVL235" s="15"/>
      <c r="PVM235" s="10"/>
      <c r="PVN235" s="10"/>
      <c r="PVO235" s="19"/>
      <c r="PVP235" s="19"/>
      <c r="PVS235" s="16"/>
      <c r="PVT235" s="15"/>
      <c r="PVU235" s="15"/>
      <c r="PVV235" s="15"/>
      <c r="PVW235" s="16"/>
      <c r="PVX235" s="16"/>
      <c r="PVY235" s="16"/>
      <c r="PVZ235" s="16"/>
      <c r="PWA235" s="16"/>
      <c r="PWB235" s="15"/>
      <c r="PWC235" s="15"/>
      <c r="PWD235" s="10"/>
      <c r="PWE235" s="10"/>
      <c r="PWF235" s="19"/>
      <c r="PWG235" s="19"/>
      <c r="PWJ235" s="16"/>
      <c r="PWK235" s="15"/>
      <c r="PWL235" s="15"/>
      <c r="PWM235" s="15"/>
      <c r="PWN235" s="16"/>
      <c r="PWO235" s="16"/>
      <c r="PWP235" s="16"/>
      <c r="PWQ235" s="16"/>
      <c r="PWR235" s="16"/>
      <c r="PWS235" s="15"/>
      <c r="PWT235" s="15"/>
      <c r="PWU235" s="10"/>
      <c r="PWV235" s="10"/>
      <c r="PWW235" s="19"/>
      <c r="PWX235" s="19"/>
      <c r="PXA235" s="16"/>
      <c r="PXB235" s="15"/>
      <c r="PXC235" s="15"/>
      <c r="PXD235" s="15"/>
      <c r="PXE235" s="16"/>
      <c r="PXF235" s="16"/>
      <c r="PXG235" s="16"/>
      <c r="PXH235" s="16"/>
      <c r="PXI235" s="16"/>
      <c r="PXJ235" s="15"/>
      <c r="PXK235" s="15"/>
      <c r="PXL235" s="10"/>
      <c r="PXM235" s="10"/>
      <c r="PXN235" s="19"/>
      <c r="PXO235" s="19"/>
      <c r="PXR235" s="16"/>
      <c r="PXS235" s="15"/>
      <c r="PXT235" s="15"/>
      <c r="PXU235" s="15"/>
      <c r="PXV235" s="16"/>
      <c r="PXW235" s="16"/>
      <c r="PXX235" s="16"/>
      <c r="PXY235" s="16"/>
      <c r="PXZ235" s="16"/>
      <c r="PYA235" s="15"/>
      <c r="PYB235" s="15"/>
      <c r="PYC235" s="10"/>
      <c r="PYD235" s="10"/>
      <c r="PYE235" s="19"/>
      <c r="PYF235" s="19"/>
      <c r="PYI235" s="16"/>
      <c r="PYJ235" s="15"/>
      <c r="PYK235" s="15"/>
      <c r="PYL235" s="15"/>
      <c r="PYM235" s="16"/>
      <c r="PYN235" s="16"/>
      <c r="PYO235" s="16"/>
      <c r="PYP235" s="16"/>
      <c r="PYQ235" s="16"/>
      <c r="PYR235" s="15"/>
      <c r="PYS235" s="15"/>
      <c r="PYT235" s="10"/>
      <c r="PYU235" s="10"/>
      <c r="PYV235" s="19"/>
      <c r="PYW235" s="19"/>
      <c r="PYZ235" s="16"/>
      <c r="PZA235" s="15"/>
      <c r="PZB235" s="15"/>
      <c r="PZC235" s="15"/>
      <c r="PZD235" s="16"/>
      <c r="PZE235" s="16"/>
      <c r="PZF235" s="16"/>
      <c r="PZG235" s="16"/>
      <c r="PZH235" s="16"/>
      <c r="PZI235" s="15"/>
      <c r="PZJ235" s="15"/>
      <c r="PZK235" s="10"/>
      <c r="PZL235" s="10"/>
      <c r="PZM235" s="19"/>
      <c r="PZN235" s="19"/>
      <c r="PZQ235" s="16"/>
      <c r="PZR235" s="15"/>
      <c r="PZS235" s="15"/>
      <c r="PZT235" s="15"/>
      <c r="PZU235" s="16"/>
      <c r="PZV235" s="16"/>
      <c r="PZW235" s="16"/>
      <c r="PZX235" s="16"/>
      <c r="PZY235" s="16"/>
      <c r="PZZ235" s="15"/>
      <c r="QAA235" s="15"/>
      <c r="QAB235" s="10"/>
      <c r="QAC235" s="10"/>
      <c r="QAD235" s="19"/>
      <c r="QAE235" s="19"/>
      <c r="QAH235" s="16"/>
      <c r="QAI235" s="15"/>
      <c r="QAJ235" s="15"/>
      <c r="QAK235" s="15"/>
      <c r="QAL235" s="16"/>
      <c r="QAM235" s="16"/>
      <c r="QAN235" s="16"/>
      <c r="QAO235" s="16"/>
      <c r="QAP235" s="16"/>
      <c r="QAQ235" s="15"/>
      <c r="QAR235" s="15"/>
      <c r="QAS235" s="10"/>
      <c r="QAT235" s="10"/>
      <c r="QAU235" s="19"/>
      <c r="QAV235" s="19"/>
      <c r="QAY235" s="16"/>
      <c r="QAZ235" s="15"/>
      <c r="QBA235" s="15"/>
      <c r="QBB235" s="15"/>
      <c r="QBC235" s="16"/>
      <c r="QBD235" s="16"/>
      <c r="QBE235" s="16"/>
      <c r="QBF235" s="16"/>
      <c r="QBG235" s="16"/>
      <c r="QBH235" s="15"/>
      <c r="QBI235" s="15"/>
      <c r="QBJ235" s="10"/>
      <c r="QBK235" s="10"/>
      <c r="QBL235" s="19"/>
      <c r="QBM235" s="19"/>
      <c r="QBP235" s="16"/>
      <c r="QBQ235" s="15"/>
      <c r="QBR235" s="15"/>
      <c r="QBS235" s="15"/>
      <c r="QBT235" s="16"/>
      <c r="QBU235" s="16"/>
      <c r="QBV235" s="16"/>
      <c r="QBW235" s="16"/>
      <c r="QBX235" s="16"/>
      <c r="QBY235" s="15"/>
      <c r="QBZ235" s="15"/>
      <c r="QCA235" s="10"/>
      <c r="QCB235" s="10"/>
      <c r="QCC235" s="19"/>
      <c r="QCD235" s="19"/>
      <c r="QCG235" s="16"/>
      <c r="QCH235" s="15"/>
      <c r="QCI235" s="15"/>
      <c r="QCJ235" s="15"/>
      <c r="QCK235" s="16"/>
      <c r="QCL235" s="16"/>
      <c r="QCM235" s="16"/>
      <c r="QCN235" s="16"/>
      <c r="QCO235" s="16"/>
      <c r="QCP235" s="15"/>
      <c r="QCQ235" s="15"/>
      <c r="QCR235" s="10"/>
      <c r="QCS235" s="10"/>
      <c r="QCT235" s="19"/>
      <c r="QCU235" s="19"/>
      <c r="QCX235" s="16"/>
      <c r="QCY235" s="15"/>
      <c r="QCZ235" s="15"/>
      <c r="QDA235" s="15"/>
      <c r="QDB235" s="16"/>
      <c r="QDC235" s="16"/>
      <c r="QDD235" s="16"/>
      <c r="QDE235" s="16"/>
      <c r="QDF235" s="16"/>
      <c r="QDG235" s="15"/>
      <c r="QDH235" s="15"/>
      <c r="QDI235" s="10"/>
      <c r="QDJ235" s="10"/>
      <c r="QDK235" s="19"/>
      <c r="QDL235" s="19"/>
      <c r="QDO235" s="16"/>
      <c r="QDP235" s="15"/>
      <c r="QDQ235" s="15"/>
      <c r="QDR235" s="15"/>
      <c r="QDS235" s="16"/>
      <c r="QDT235" s="16"/>
      <c r="QDU235" s="16"/>
      <c r="QDV235" s="16"/>
      <c r="QDW235" s="16"/>
      <c r="QDX235" s="15"/>
      <c r="QDY235" s="15"/>
      <c r="QDZ235" s="10"/>
      <c r="QEA235" s="10"/>
      <c r="QEB235" s="19"/>
      <c r="QEC235" s="19"/>
      <c r="QEF235" s="16"/>
      <c r="QEG235" s="15"/>
      <c r="QEH235" s="15"/>
      <c r="QEI235" s="15"/>
      <c r="QEJ235" s="16"/>
      <c r="QEK235" s="16"/>
      <c r="QEL235" s="16"/>
      <c r="QEM235" s="16"/>
      <c r="QEN235" s="16"/>
      <c r="QEO235" s="15"/>
      <c r="QEP235" s="15"/>
      <c r="QEQ235" s="10"/>
      <c r="QER235" s="10"/>
      <c r="QES235" s="19"/>
      <c r="QET235" s="19"/>
      <c r="QEW235" s="16"/>
      <c r="QEX235" s="15"/>
      <c r="QEY235" s="15"/>
      <c r="QEZ235" s="15"/>
      <c r="QFA235" s="16"/>
      <c r="QFB235" s="16"/>
      <c r="QFC235" s="16"/>
      <c r="QFD235" s="16"/>
      <c r="QFE235" s="16"/>
      <c r="QFF235" s="15"/>
      <c r="QFG235" s="15"/>
      <c r="QFH235" s="10"/>
      <c r="QFI235" s="10"/>
      <c r="QFJ235" s="19"/>
      <c r="QFK235" s="19"/>
      <c r="QFN235" s="16"/>
      <c r="QFO235" s="15"/>
      <c r="QFP235" s="15"/>
      <c r="QFQ235" s="15"/>
      <c r="QFR235" s="16"/>
      <c r="QFS235" s="16"/>
      <c r="QFT235" s="16"/>
      <c r="QFU235" s="16"/>
      <c r="QFV235" s="16"/>
      <c r="QFW235" s="15"/>
      <c r="QFX235" s="15"/>
      <c r="QFY235" s="10"/>
      <c r="QFZ235" s="10"/>
      <c r="QGA235" s="19"/>
      <c r="QGB235" s="19"/>
      <c r="QGE235" s="16"/>
      <c r="QGF235" s="15"/>
      <c r="QGG235" s="15"/>
      <c r="QGH235" s="15"/>
      <c r="QGI235" s="16"/>
      <c r="QGJ235" s="16"/>
      <c r="QGK235" s="16"/>
      <c r="QGL235" s="16"/>
      <c r="QGM235" s="16"/>
      <c r="QGN235" s="15"/>
      <c r="QGO235" s="15"/>
      <c r="QGP235" s="10"/>
      <c r="QGQ235" s="10"/>
      <c r="QGR235" s="19"/>
      <c r="QGS235" s="19"/>
      <c r="QGV235" s="16"/>
      <c r="QGW235" s="15"/>
      <c r="QGX235" s="15"/>
      <c r="QGY235" s="15"/>
      <c r="QGZ235" s="16"/>
      <c r="QHA235" s="16"/>
      <c r="QHB235" s="16"/>
      <c r="QHC235" s="16"/>
      <c r="QHD235" s="16"/>
      <c r="QHE235" s="15"/>
      <c r="QHF235" s="15"/>
      <c r="QHG235" s="10"/>
      <c r="QHH235" s="10"/>
      <c r="QHI235" s="19"/>
      <c r="QHJ235" s="19"/>
      <c r="QHM235" s="16"/>
      <c r="QHN235" s="15"/>
      <c r="QHO235" s="15"/>
      <c r="QHP235" s="15"/>
      <c r="QHQ235" s="16"/>
      <c r="QHR235" s="16"/>
      <c r="QHS235" s="16"/>
      <c r="QHT235" s="16"/>
      <c r="QHU235" s="16"/>
      <c r="QHV235" s="15"/>
      <c r="QHW235" s="15"/>
      <c r="QHX235" s="10"/>
      <c r="QHY235" s="10"/>
      <c r="QHZ235" s="19"/>
      <c r="QIA235" s="19"/>
      <c r="QID235" s="16"/>
      <c r="QIE235" s="15"/>
      <c r="QIF235" s="15"/>
      <c r="QIG235" s="15"/>
      <c r="QIH235" s="16"/>
      <c r="QII235" s="16"/>
      <c r="QIJ235" s="16"/>
      <c r="QIK235" s="16"/>
      <c r="QIL235" s="16"/>
      <c r="QIM235" s="15"/>
      <c r="QIN235" s="15"/>
      <c r="QIO235" s="10"/>
      <c r="QIP235" s="10"/>
      <c r="QIQ235" s="19"/>
      <c r="QIR235" s="19"/>
      <c r="QIU235" s="16"/>
      <c r="QIV235" s="15"/>
      <c r="QIW235" s="15"/>
      <c r="QIX235" s="15"/>
      <c r="QIY235" s="16"/>
      <c r="QIZ235" s="16"/>
      <c r="QJA235" s="16"/>
      <c r="QJB235" s="16"/>
      <c r="QJC235" s="16"/>
      <c r="QJD235" s="15"/>
      <c r="QJE235" s="15"/>
      <c r="QJF235" s="10"/>
      <c r="QJG235" s="10"/>
      <c r="QJH235" s="19"/>
      <c r="QJI235" s="19"/>
      <c r="QJL235" s="16"/>
      <c r="QJM235" s="15"/>
      <c r="QJN235" s="15"/>
      <c r="QJO235" s="15"/>
      <c r="QJP235" s="16"/>
      <c r="QJQ235" s="16"/>
      <c r="QJR235" s="16"/>
      <c r="QJS235" s="16"/>
      <c r="QJT235" s="16"/>
      <c r="QJU235" s="15"/>
      <c r="QJV235" s="15"/>
      <c r="QJW235" s="10"/>
      <c r="QJX235" s="10"/>
      <c r="QJY235" s="19"/>
      <c r="QJZ235" s="19"/>
      <c r="QKC235" s="16"/>
      <c r="QKD235" s="15"/>
      <c r="QKE235" s="15"/>
      <c r="QKF235" s="15"/>
      <c r="QKG235" s="16"/>
      <c r="QKH235" s="16"/>
      <c r="QKI235" s="16"/>
      <c r="QKJ235" s="16"/>
      <c r="QKK235" s="16"/>
      <c r="QKL235" s="15"/>
      <c r="QKM235" s="15"/>
      <c r="QKN235" s="10"/>
      <c r="QKO235" s="10"/>
      <c r="QKP235" s="19"/>
      <c r="QKQ235" s="19"/>
      <c r="QKT235" s="16"/>
      <c r="QKU235" s="15"/>
      <c r="QKV235" s="15"/>
      <c r="QKW235" s="15"/>
      <c r="QKX235" s="16"/>
      <c r="QKY235" s="16"/>
      <c r="QKZ235" s="16"/>
      <c r="QLA235" s="16"/>
      <c r="QLB235" s="16"/>
      <c r="QLC235" s="15"/>
      <c r="QLD235" s="15"/>
      <c r="QLE235" s="10"/>
      <c r="QLF235" s="10"/>
      <c r="QLG235" s="19"/>
      <c r="QLH235" s="19"/>
      <c r="QLK235" s="16"/>
      <c r="QLL235" s="15"/>
      <c r="QLM235" s="15"/>
      <c r="QLN235" s="15"/>
      <c r="QLO235" s="16"/>
      <c r="QLP235" s="16"/>
      <c r="QLQ235" s="16"/>
      <c r="QLR235" s="16"/>
      <c r="QLS235" s="16"/>
      <c r="QLT235" s="15"/>
      <c r="QLU235" s="15"/>
      <c r="QLV235" s="10"/>
      <c r="QLW235" s="10"/>
      <c r="QLX235" s="19"/>
      <c r="QLY235" s="19"/>
      <c r="QMB235" s="16"/>
      <c r="QMC235" s="15"/>
      <c r="QMD235" s="15"/>
      <c r="QME235" s="15"/>
      <c r="QMF235" s="16"/>
      <c r="QMG235" s="16"/>
      <c r="QMH235" s="16"/>
      <c r="QMI235" s="16"/>
      <c r="QMJ235" s="16"/>
      <c r="QMK235" s="15"/>
      <c r="QML235" s="15"/>
      <c r="QMM235" s="10"/>
      <c r="QMN235" s="10"/>
      <c r="QMO235" s="19"/>
      <c r="QMP235" s="19"/>
      <c r="QMS235" s="16"/>
      <c r="QMT235" s="15"/>
      <c r="QMU235" s="15"/>
      <c r="QMV235" s="15"/>
      <c r="QMW235" s="16"/>
      <c r="QMX235" s="16"/>
      <c r="QMY235" s="16"/>
      <c r="QMZ235" s="16"/>
      <c r="QNA235" s="16"/>
      <c r="QNB235" s="15"/>
      <c r="QNC235" s="15"/>
      <c r="QND235" s="10"/>
      <c r="QNE235" s="10"/>
      <c r="QNF235" s="19"/>
      <c r="QNG235" s="19"/>
      <c r="QNJ235" s="16"/>
      <c r="QNK235" s="15"/>
      <c r="QNL235" s="15"/>
      <c r="QNM235" s="15"/>
      <c r="QNN235" s="16"/>
      <c r="QNO235" s="16"/>
      <c r="QNP235" s="16"/>
      <c r="QNQ235" s="16"/>
      <c r="QNR235" s="16"/>
      <c r="QNS235" s="15"/>
      <c r="QNT235" s="15"/>
      <c r="QNU235" s="10"/>
      <c r="QNV235" s="10"/>
      <c r="QNW235" s="19"/>
      <c r="QNX235" s="19"/>
      <c r="QOA235" s="16"/>
      <c r="QOB235" s="15"/>
      <c r="QOC235" s="15"/>
      <c r="QOD235" s="15"/>
      <c r="QOE235" s="16"/>
      <c r="QOF235" s="16"/>
      <c r="QOG235" s="16"/>
      <c r="QOH235" s="16"/>
      <c r="QOI235" s="16"/>
      <c r="QOJ235" s="15"/>
      <c r="QOK235" s="15"/>
      <c r="QOL235" s="10"/>
      <c r="QOM235" s="10"/>
      <c r="QON235" s="19"/>
      <c r="QOO235" s="19"/>
      <c r="QOR235" s="16"/>
      <c r="QOS235" s="15"/>
      <c r="QOT235" s="15"/>
      <c r="QOU235" s="15"/>
      <c r="QOV235" s="16"/>
      <c r="QOW235" s="16"/>
      <c r="QOX235" s="16"/>
      <c r="QOY235" s="16"/>
      <c r="QOZ235" s="16"/>
      <c r="QPA235" s="15"/>
      <c r="QPB235" s="15"/>
      <c r="QPC235" s="10"/>
      <c r="QPD235" s="10"/>
      <c r="QPE235" s="19"/>
      <c r="QPF235" s="19"/>
      <c r="QPI235" s="16"/>
      <c r="QPJ235" s="15"/>
      <c r="QPK235" s="15"/>
      <c r="QPL235" s="15"/>
      <c r="QPM235" s="16"/>
      <c r="QPN235" s="16"/>
      <c r="QPO235" s="16"/>
      <c r="QPP235" s="16"/>
      <c r="QPQ235" s="16"/>
      <c r="QPR235" s="15"/>
      <c r="QPS235" s="15"/>
      <c r="QPT235" s="10"/>
      <c r="QPU235" s="10"/>
      <c r="QPV235" s="19"/>
      <c r="QPW235" s="19"/>
      <c r="QPZ235" s="16"/>
      <c r="QQA235" s="15"/>
      <c r="QQB235" s="15"/>
      <c r="QQC235" s="15"/>
      <c r="QQD235" s="16"/>
      <c r="QQE235" s="16"/>
      <c r="QQF235" s="16"/>
      <c r="QQG235" s="16"/>
      <c r="QQH235" s="16"/>
      <c r="QQI235" s="15"/>
      <c r="QQJ235" s="15"/>
      <c r="QQK235" s="10"/>
      <c r="QQL235" s="10"/>
      <c r="QQM235" s="19"/>
      <c r="QQN235" s="19"/>
      <c r="QQQ235" s="16"/>
      <c r="QQR235" s="15"/>
      <c r="QQS235" s="15"/>
      <c r="QQT235" s="15"/>
      <c r="QQU235" s="16"/>
      <c r="QQV235" s="16"/>
      <c r="QQW235" s="16"/>
      <c r="QQX235" s="16"/>
      <c r="QQY235" s="16"/>
      <c r="QQZ235" s="15"/>
      <c r="QRA235" s="15"/>
      <c r="QRB235" s="10"/>
      <c r="QRC235" s="10"/>
      <c r="QRD235" s="19"/>
      <c r="QRE235" s="19"/>
      <c r="QRH235" s="16"/>
      <c r="QRI235" s="15"/>
      <c r="QRJ235" s="15"/>
      <c r="QRK235" s="15"/>
      <c r="QRL235" s="16"/>
      <c r="QRM235" s="16"/>
      <c r="QRN235" s="16"/>
      <c r="QRO235" s="16"/>
      <c r="QRP235" s="16"/>
      <c r="QRQ235" s="15"/>
      <c r="QRR235" s="15"/>
      <c r="QRS235" s="10"/>
      <c r="QRT235" s="10"/>
      <c r="QRU235" s="19"/>
      <c r="QRV235" s="19"/>
      <c r="QRY235" s="16"/>
      <c r="QRZ235" s="15"/>
      <c r="QSA235" s="15"/>
      <c r="QSB235" s="15"/>
      <c r="QSC235" s="16"/>
      <c r="QSD235" s="16"/>
      <c r="QSE235" s="16"/>
      <c r="QSF235" s="16"/>
      <c r="QSG235" s="16"/>
      <c r="QSH235" s="15"/>
      <c r="QSI235" s="15"/>
      <c r="QSJ235" s="10"/>
      <c r="QSK235" s="10"/>
      <c r="QSL235" s="19"/>
      <c r="QSM235" s="19"/>
      <c r="QSP235" s="16"/>
      <c r="QSQ235" s="15"/>
      <c r="QSR235" s="15"/>
      <c r="QSS235" s="15"/>
      <c r="QST235" s="16"/>
      <c r="QSU235" s="16"/>
      <c r="QSV235" s="16"/>
      <c r="QSW235" s="16"/>
      <c r="QSX235" s="16"/>
      <c r="QSY235" s="15"/>
      <c r="QSZ235" s="15"/>
      <c r="QTA235" s="10"/>
      <c r="QTB235" s="10"/>
      <c r="QTC235" s="19"/>
      <c r="QTD235" s="19"/>
      <c r="QTG235" s="16"/>
      <c r="QTH235" s="15"/>
      <c r="QTI235" s="15"/>
      <c r="QTJ235" s="15"/>
      <c r="QTK235" s="16"/>
      <c r="QTL235" s="16"/>
      <c r="QTM235" s="16"/>
      <c r="QTN235" s="16"/>
      <c r="QTO235" s="16"/>
      <c r="QTP235" s="15"/>
      <c r="QTQ235" s="15"/>
      <c r="QTR235" s="10"/>
      <c r="QTS235" s="10"/>
      <c r="QTT235" s="19"/>
      <c r="QTU235" s="19"/>
      <c r="QTX235" s="16"/>
      <c r="QTY235" s="15"/>
      <c r="QTZ235" s="15"/>
      <c r="QUA235" s="15"/>
      <c r="QUB235" s="16"/>
      <c r="QUC235" s="16"/>
      <c r="QUD235" s="16"/>
      <c r="QUE235" s="16"/>
      <c r="QUF235" s="16"/>
      <c r="QUG235" s="15"/>
      <c r="QUH235" s="15"/>
      <c r="QUI235" s="10"/>
      <c r="QUJ235" s="10"/>
      <c r="QUK235" s="19"/>
      <c r="QUL235" s="19"/>
      <c r="QUO235" s="16"/>
      <c r="QUP235" s="15"/>
      <c r="QUQ235" s="15"/>
      <c r="QUR235" s="15"/>
      <c r="QUS235" s="16"/>
      <c r="QUT235" s="16"/>
      <c r="QUU235" s="16"/>
      <c r="QUV235" s="16"/>
      <c r="QUW235" s="16"/>
      <c r="QUX235" s="15"/>
      <c r="QUY235" s="15"/>
      <c r="QUZ235" s="10"/>
      <c r="QVA235" s="10"/>
      <c r="QVB235" s="19"/>
      <c r="QVC235" s="19"/>
      <c r="QVF235" s="16"/>
      <c r="QVG235" s="15"/>
      <c r="QVH235" s="15"/>
      <c r="QVI235" s="15"/>
      <c r="QVJ235" s="16"/>
      <c r="QVK235" s="16"/>
      <c r="QVL235" s="16"/>
      <c r="QVM235" s="16"/>
      <c r="QVN235" s="16"/>
      <c r="QVO235" s="15"/>
      <c r="QVP235" s="15"/>
      <c r="QVQ235" s="10"/>
      <c r="QVR235" s="10"/>
      <c r="QVS235" s="19"/>
      <c r="QVT235" s="19"/>
      <c r="QVW235" s="16"/>
      <c r="QVX235" s="15"/>
      <c r="QVY235" s="15"/>
      <c r="QVZ235" s="15"/>
      <c r="QWA235" s="16"/>
      <c r="QWB235" s="16"/>
      <c r="QWC235" s="16"/>
      <c r="QWD235" s="16"/>
      <c r="QWE235" s="16"/>
      <c r="QWF235" s="15"/>
      <c r="QWG235" s="15"/>
      <c r="QWH235" s="10"/>
      <c r="QWI235" s="10"/>
      <c r="QWJ235" s="19"/>
      <c r="QWK235" s="19"/>
      <c r="QWN235" s="16"/>
      <c r="QWO235" s="15"/>
      <c r="QWP235" s="15"/>
      <c r="QWQ235" s="15"/>
      <c r="QWR235" s="16"/>
      <c r="QWS235" s="16"/>
      <c r="QWT235" s="16"/>
      <c r="QWU235" s="16"/>
      <c r="QWV235" s="16"/>
      <c r="QWW235" s="15"/>
      <c r="QWX235" s="15"/>
      <c r="QWY235" s="10"/>
      <c r="QWZ235" s="10"/>
      <c r="QXA235" s="19"/>
      <c r="QXB235" s="19"/>
      <c r="QXE235" s="16"/>
      <c r="QXF235" s="15"/>
      <c r="QXG235" s="15"/>
      <c r="QXH235" s="15"/>
      <c r="QXI235" s="16"/>
      <c r="QXJ235" s="16"/>
      <c r="QXK235" s="16"/>
      <c r="QXL235" s="16"/>
      <c r="QXM235" s="16"/>
      <c r="QXN235" s="15"/>
      <c r="QXO235" s="15"/>
      <c r="QXP235" s="10"/>
      <c r="QXQ235" s="10"/>
      <c r="QXR235" s="19"/>
      <c r="QXS235" s="19"/>
      <c r="QXV235" s="16"/>
      <c r="QXW235" s="15"/>
      <c r="QXX235" s="15"/>
      <c r="QXY235" s="15"/>
      <c r="QXZ235" s="16"/>
      <c r="QYA235" s="16"/>
      <c r="QYB235" s="16"/>
      <c r="QYC235" s="16"/>
      <c r="QYD235" s="16"/>
      <c r="QYE235" s="15"/>
      <c r="QYF235" s="15"/>
      <c r="QYG235" s="10"/>
      <c r="QYH235" s="10"/>
      <c r="QYI235" s="19"/>
      <c r="QYJ235" s="19"/>
      <c r="QYM235" s="16"/>
      <c r="QYN235" s="15"/>
      <c r="QYO235" s="15"/>
      <c r="QYP235" s="15"/>
      <c r="QYQ235" s="16"/>
      <c r="QYR235" s="16"/>
      <c r="QYS235" s="16"/>
      <c r="QYT235" s="16"/>
      <c r="QYU235" s="16"/>
      <c r="QYV235" s="15"/>
      <c r="QYW235" s="15"/>
      <c r="QYX235" s="10"/>
      <c r="QYY235" s="10"/>
      <c r="QYZ235" s="19"/>
      <c r="QZA235" s="19"/>
      <c r="QZD235" s="16"/>
      <c r="QZE235" s="15"/>
      <c r="QZF235" s="15"/>
      <c r="QZG235" s="15"/>
      <c r="QZH235" s="16"/>
      <c r="QZI235" s="16"/>
      <c r="QZJ235" s="16"/>
      <c r="QZK235" s="16"/>
      <c r="QZL235" s="16"/>
      <c r="QZM235" s="15"/>
      <c r="QZN235" s="15"/>
      <c r="QZO235" s="10"/>
      <c r="QZP235" s="10"/>
      <c r="QZQ235" s="19"/>
      <c r="QZR235" s="19"/>
      <c r="QZU235" s="16"/>
      <c r="QZV235" s="15"/>
      <c r="QZW235" s="15"/>
      <c r="QZX235" s="15"/>
      <c r="QZY235" s="16"/>
      <c r="QZZ235" s="16"/>
      <c r="RAA235" s="16"/>
      <c r="RAB235" s="16"/>
      <c r="RAC235" s="16"/>
      <c r="RAD235" s="15"/>
      <c r="RAE235" s="15"/>
      <c r="RAF235" s="10"/>
      <c r="RAG235" s="10"/>
      <c r="RAH235" s="19"/>
      <c r="RAI235" s="19"/>
      <c r="RAL235" s="16"/>
      <c r="RAM235" s="15"/>
      <c r="RAN235" s="15"/>
      <c r="RAO235" s="15"/>
      <c r="RAP235" s="16"/>
      <c r="RAQ235" s="16"/>
      <c r="RAR235" s="16"/>
      <c r="RAS235" s="16"/>
      <c r="RAT235" s="16"/>
      <c r="RAU235" s="15"/>
      <c r="RAV235" s="15"/>
      <c r="RAW235" s="10"/>
      <c r="RAX235" s="10"/>
      <c r="RAY235" s="19"/>
      <c r="RAZ235" s="19"/>
      <c r="RBC235" s="16"/>
      <c r="RBD235" s="15"/>
      <c r="RBE235" s="15"/>
      <c r="RBF235" s="15"/>
      <c r="RBG235" s="16"/>
      <c r="RBH235" s="16"/>
      <c r="RBI235" s="16"/>
      <c r="RBJ235" s="16"/>
      <c r="RBK235" s="16"/>
      <c r="RBL235" s="15"/>
      <c r="RBM235" s="15"/>
      <c r="RBN235" s="10"/>
      <c r="RBO235" s="10"/>
      <c r="RBP235" s="19"/>
      <c r="RBQ235" s="19"/>
      <c r="RBT235" s="16"/>
      <c r="RBU235" s="15"/>
      <c r="RBV235" s="15"/>
      <c r="RBW235" s="15"/>
      <c r="RBX235" s="16"/>
      <c r="RBY235" s="16"/>
      <c r="RBZ235" s="16"/>
      <c r="RCA235" s="16"/>
      <c r="RCB235" s="16"/>
      <c r="RCC235" s="15"/>
      <c r="RCD235" s="15"/>
      <c r="RCE235" s="10"/>
      <c r="RCF235" s="10"/>
      <c r="RCG235" s="19"/>
      <c r="RCH235" s="19"/>
      <c r="RCK235" s="16"/>
      <c r="RCL235" s="15"/>
      <c r="RCM235" s="15"/>
      <c r="RCN235" s="15"/>
      <c r="RCO235" s="16"/>
      <c r="RCP235" s="16"/>
      <c r="RCQ235" s="16"/>
      <c r="RCR235" s="16"/>
      <c r="RCS235" s="16"/>
      <c r="RCT235" s="15"/>
      <c r="RCU235" s="15"/>
      <c r="RCV235" s="10"/>
      <c r="RCW235" s="10"/>
      <c r="RCX235" s="19"/>
      <c r="RCY235" s="19"/>
      <c r="RDB235" s="16"/>
      <c r="RDC235" s="15"/>
      <c r="RDD235" s="15"/>
      <c r="RDE235" s="15"/>
      <c r="RDF235" s="16"/>
      <c r="RDG235" s="16"/>
      <c r="RDH235" s="16"/>
      <c r="RDI235" s="16"/>
      <c r="RDJ235" s="16"/>
      <c r="RDK235" s="15"/>
      <c r="RDL235" s="15"/>
      <c r="RDM235" s="10"/>
      <c r="RDN235" s="10"/>
      <c r="RDO235" s="19"/>
      <c r="RDP235" s="19"/>
      <c r="RDS235" s="16"/>
      <c r="RDT235" s="15"/>
      <c r="RDU235" s="15"/>
      <c r="RDV235" s="15"/>
      <c r="RDW235" s="16"/>
      <c r="RDX235" s="16"/>
      <c r="RDY235" s="16"/>
      <c r="RDZ235" s="16"/>
      <c r="REA235" s="16"/>
      <c r="REB235" s="15"/>
      <c r="REC235" s="15"/>
      <c r="RED235" s="10"/>
      <c r="REE235" s="10"/>
      <c r="REF235" s="19"/>
      <c r="REG235" s="19"/>
      <c r="REJ235" s="16"/>
      <c r="REK235" s="15"/>
      <c r="REL235" s="15"/>
      <c r="REM235" s="15"/>
      <c r="REN235" s="16"/>
      <c r="REO235" s="16"/>
      <c r="REP235" s="16"/>
      <c r="REQ235" s="16"/>
      <c r="RER235" s="16"/>
      <c r="RES235" s="15"/>
      <c r="RET235" s="15"/>
      <c r="REU235" s="10"/>
      <c r="REV235" s="10"/>
      <c r="REW235" s="19"/>
      <c r="REX235" s="19"/>
      <c r="RFA235" s="16"/>
      <c r="RFB235" s="15"/>
      <c r="RFC235" s="15"/>
      <c r="RFD235" s="15"/>
      <c r="RFE235" s="16"/>
      <c r="RFF235" s="16"/>
      <c r="RFG235" s="16"/>
      <c r="RFH235" s="16"/>
      <c r="RFI235" s="16"/>
      <c r="RFJ235" s="15"/>
      <c r="RFK235" s="15"/>
      <c r="RFL235" s="10"/>
      <c r="RFM235" s="10"/>
      <c r="RFN235" s="19"/>
      <c r="RFO235" s="19"/>
      <c r="RFR235" s="16"/>
      <c r="RFS235" s="15"/>
      <c r="RFT235" s="15"/>
      <c r="RFU235" s="15"/>
      <c r="RFV235" s="16"/>
      <c r="RFW235" s="16"/>
      <c r="RFX235" s="16"/>
      <c r="RFY235" s="16"/>
      <c r="RFZ235" s="16"/>
      <c r="RGA235" s="15"/>
      <c r="RGB235" s="15"/>
      <c r="RGC235" s="10"/>
      <c r="RGD235" s="10"/>
      <c r="RGE235" s="19"/>
      <c r="RGF235" s="19"/>
      <c r="RGI235" s="16"/>
      <c r="RGJ235" s="15"/>
      <c r="RGK235" s="15"/>
      <c r="RGL235" s="15"/>
      <c r="RGM235" s="16"/>
      <c r="RGN235" s="16"/>
      <c r="RGO235" s="16"/>
      <c r="RGP235" s="16"/>
      <c r="RGQ235" s="16"/>
      <c r="RGR235" s="15"/>
      <c r="RGS235" s="15"/>
      <c r="RGT235" s="10"/>
      <c r="RGU235" s="10"/>
      <c r="RGV235" s="19"/>
      <c r="RGW235" s="19"/>
      <c r="RGZ235" s="16"/>
      <c r="RHA235" s="15"/>
      <c r="RHB235" s="15"/>
      <c r="RHC235" s="15"/>
      <c r="RHD235" s="16"/>
      <c r="RHE235" s="16"/>
      <c r="RHF235" s="16"/>
      <c r="RHG235" s="16"/>
      <c r="RHH235" s="16"/>
      <c r="RHI235" s="15"/>
      <c r="RHJ235" s="15"/>
      <c r="RHK235" s="10"/>
      <c r="RHL235" s="10"/>
      <c r="RHM235" s="19"/>
      <c r="RHN235" s="19"/>
      <c r="RHQ235" s="16"/>
      <c r="RHR235" s="15"/>
      <c r="RHS235" s="15"/>
      <c r="RHT235" s="15"/>
      <c r="RHU235" s="16"/>
      <c r="RHV235" s="16"/>
      <c r="RHW235" s="16"/>
      <c r="RHX235" s="16"/>
      <c r="RHY235" s="16"/>
      <c r="RHZ235" s="15"/>
      <c r="RIA235" s="15"/>
      <c r="RIB235" s="10"/>
      <c r="RIC235" s="10"/>
      <c r="RID235" s="19"/>
      <c r="RIE235" s="19"/>
      <c r="RIH235" s="16"/>
      <c r="RII235" s="15"/>
      <c r="RIJ235" s="15"/>
      <c r="RIK235" s="15"/>
      <c r="RIL235" s="16"/>
      <c r="RIM235" s="16"/>
      <c r="RIN235" s="16"/>
      <c r="RIO235" s="16"/>
      <c r="RIP235" s="16"/>
      <c r="RIQ235" s="15"/>
      <c r="RIR235" s="15"/>
      <c r="RIS235" s="10"/>
      <c r="RIT235" s="10"/>
      <c r="RIU235" s="19"/>
      <c r="RIV235" s="19"/>
      <c r="RIY235" s="16"/>
      <c r="RIZ235" s="15"/>
      <c r="RJA235" s="15"/>
      <c r="RJB235" s="15"/>
      <c r="RJC235" s="16"/>
      <c r="RJD235" s="16"/>
      <c r="RJE235" s="16"/>
      <c r="RJF235" s="16"/>
      <c r="RJG235" s="16"/>
      <c r="RJH235" s="15"/>
      <c r="RJI235" s="15"/>
      <c r="RJJ235" s="10"/>
      <c r="RJK235" s="10"/>
      <c r="RJL235" s="19"/>
      <c r="RJM235" s="19"/>
      <c r="RJP235" s="16"/>
      <c r="RJQ235" s="15"/>
      <c r="RJR235" s="15"/>
      <c r="RJS235" s="15"/>
      <c r="RJT235" s="16"/>
      <c r="RJU235" s="16"/>
      <c r="RJV235" s="16"/>
      <c r="RJW235" s="16"/>
      <c r="RJX235" s="16"/>
      <c r="RJY235" s="15"/>
      <c r="RJZ235" s="15"/>
      <c r="RKA235" s="10"/>
      <c r="RKB235" s="10"/>
      <c r="RKC235" s="19"/>
      <c r="RKD235" s="19"/>
      <c r="RKG235" s="16"/>
      <c r="RKH235" s="15"/>
      <c r="RKI235" s="15"/>
      <c r="RKJ235" s="15"/>
      <c r="RKK235" s="16"/>
      <c r="RKL235" s="16"/>
      <c r="RKM235" s="16"/>
      <c r="RKN235" s="16"/>
      <c r="RKO235" s="16"/>
      <c r="RKP235" s="15"/>
      <c r="RKQ235" s="15"/>
      <c r="RKR235" s="10"/>
      <c r="RKS235" s="10"/>
      <c r="RKT235" s="19"/>
      <c r="RKU235" s="19"/>
      <c r="RKX235" s="16"/>
      <c r="RKY235" s="15"/>
      <c r="RKZ235" s="15"/>
      <c r="RLA235" s="15"/>
      <c r="RLB235" s="16"/>
      <c r="RLC235" s="16"/>
      <c r="RLD235" s="16"/>
      <c r="RLE235" s="16"/>
      <c r="RLF235" s="16"/>
      <c r="RLG235" s="15"/>
      <c r="RLH235" s="15"/>
      <c r="RLI235" s="10"/>
      <c r="RLJ235" s="10"/>
      <c r="RLK235" s="19"/>
      <c r="RLL235" s="19"/>
      <c r="RLO235" s="16"/>
      <c r="RLP235" s="15"/>
      <c r="RLQ235" s="15"/>
      <c r="RLR235" s="15"/>
      <c r="RLS235" s="16"/>
      <c r="RLT235" s="16"/>
      <c r="RLU235" s="16"/>
      <c r="RLV235" s="16"/>
      <c r="RLW235" s="16"/>
      <c r="RLX235" s="15"/>
      <c r="RLY235" s="15"/>
      <c r="RLZ235" s="10"/>
      <c r="RMA235" s="10"/>
      <c r="RMB235" s="19"/>
      <c r="RMC235" s="19"/>
      <c r="RMF235" s="16"/>
      <c r="RMG235" s="15"/>
      <c r="RMH235" s="15"/>
      <c r="RMI235" s="15"/>
      <c r="RMJ235" s="16"/>
      <c r="RMK235" s="16"/>
      <c r="RML235" s="16"/>
      <c r="RMM235" s="16"/>
      <c r="RMN235" s="16"/>
      <c r="RMO235" s="15"/>
      <c r="RMP235" s="15"/>
      <c r="RMQ235" s="10"/>
      <c r="RMR235" s="10"/>
      <c r="RMS235" s="19"/>
      <c r="RMT235" s="19"/>
      <c r="RMW235" s="16"/>
      <c r="RMX235" s="15"/>
      <c r="RMY235" s="15"/>
      <c r="RMZ235" s="15"/>
      <c r="RNA235" s="16"/>
      <c r="RNB235" s="16"/>
      <c r="RNC235" s="16"/>
      <c r="RND235" s="16"/>
      <c r="RNE235" s="16"/>
      <c r="RNF235" s="15"/>
      <c r="RNG235" s="15"/>
      <c r="RNH235" s="10"/>
      <c r="RNI235" s="10"/>
      <c r="RNJ235" s="19"/>
      <c r="RNK235" s="19"/>
      <c r="RNN235" s="16"/>
      <c r="RNO235" s="15"/>
      <c r="RNP235" s="15"/>
      <c r="RNQ235" s="15"/>
      <c r="RNR235" s="16"/>
      <c r="RNS235" s="16"/>
      <c r="RNT235" s="16"/>
      <c r="RNU235" s="16"/>
      <c r="RNV235" s="16"/>
      <c r="RNW235" s="15"/>
      <c r="RNX235" s="15"/>
      <c r="RNY235" s="10"/>
      <c r="RNZ235" s="10"/>
      <c r="ROA235" s="19"/>
      <c r="ROB235" s="19"/>
      <c r="ROE235" s="16"/>
      <c r="ROF235" s="15"/>
      <c r="ROG235" s="15"/>
      <c r="ROH235" s="15"/>
      <c r="ROI235" s="16"/>
      <c r="ROJ235" s="16"/>
      <c r="ROK235" s="16"/>
      <c r="ROL235" s="16"/>
      <c r="ROM235" s="16"/>
      <c r="RON235" s="15"/>
      <c r="ROO235" s="15"/>
      <c r="ROP235" s="10"/>
      <c r="ROQ235" s="10"/>
      <c r="ROR235" s="19"/>
      <c r="ROS235" s="19"/>
      <c r="ROV235" s="16"/>
      <c r="ROW235" s="15"/>
      <c r="ROX235" s="15"/>
      <c r="ROY235" s="15"/>
      <c r="ROZ235" s="16"/>
      <c r="RPA235" s="16"/>
      <c r="RPB235" s="16"/>
      <c r="RPC235" s="16"/>
      <c r="RPD235" s="16"/>
      <c r="RPE235" s="15"/>
      <c r="RPF235" s="15"/>
      <c r="RPG235" s="10"/>
      <c r="RPH235" s="10"/>
      <c r="RPI235" s="19"/>
      <c r="RPJ235" s="19"/>
      <c r="RPM235" s="16"/>
      <c r="RPN235" s="15"/>
      <c r="RPO235" s="15"/>
      <c r="RPP235" s="15"/>
      <c r="RPQ235" s="16"/>
      <c r="RPR235" s="16"/>
      <c r="RPS235" s="16"/>
      <c r="RPT235" s="16"/>
      <c r="RPU235" s="16"/>
      <c r="RPV235" s="15"/>
      <c r="RPW235" s="15"/>
      <c r="RPX235" s="10"/>
      <c r="RPY235" s="10"/>
      <c r="RPZ235" s="19"/>
      <c r="RQA235" s="19"/>
      <c r="RQD235" s="16"/>
      <c r="RQE235" s="15"/>
      <c r="RQF235" s="15"/>
      <c r="RQG235" s="15"/>
      <c r="RQH235" s="16"/>
      <c r="RQI235" s="16"/>
      <c r="RQJ235" s="16"/>
      <c r="RQK235" s="16"/>
      <c r="RQL235" s="16"/>
      <c r="RQM235" s="15"/>
      <c r="RQN235" s="15"/>
      <c r="RQO235" s="10"/>
      <c r="RQP235" s="10"/>
      <c r="RQQ235" s="19"/>
      <c r="RQR235" s="19"/>
      <c r="RQU235" s="16"/>
      <c r="RQV235" s="15"/>
      <c r="RQW235" s="15"/>
      <c r="RQX235" s="15"/>
      <c r="RQY235" s="16"/>
      <c r="RQZ235" s="16"/>
      <c r="RRA235" s="16"/>
      <c r="RRB235" s="16"/>
      <c r="RRC235" s="16"/>
      <c r="RRD235" s="15"/>
      <c r="RRE235" s="15"/>
      <c r="RRF235" s="10"/>
      <c r="RRG235" s="10"/>
      <c r="RRH235" s="19"/>
      <c r="RRI235" s="19"/>
      <c r="RRL235" s="16"/>
      <c r="RRM235" s="15"/>
      <c r="RRN235" s="15"/>
      <c r="RRO235" s="15"/>
      <c r="RRP235" s="16"/>
      <c r="RRQ235" s="16"/>
      <c r="RRR235" s="16"/>
      <c r="RRS235" s="16"/>
      <c r="RRT235" s="16"/>
      <c r="RRU235" s="15"/>
      <c r="RRV235" s="15"/>
      <c r="RRW235" s="10"/>
      <c r="RRX235" s="10"/>
      <c r="RRY235" s="19"/>
      <c r="RRZ235" s="19"/>
      <c r="RSC235" s="16"/>
      <c r="RSD235" s="15"/>
      <c r="RSE235" s="15"/>
      <c r="RSF235" s="15"/>
      <c r="RSG235" s="16"/>
      <c r="RSH235" s="16"/>
      <c r="RSI235" s="16"/>
      <c r="RSJ235" s="16"/>
      <c r="RSK235" s="16"/>
      <c r="RSL235" s="15"/>
      <c r="RSM235" s="15"/>
      <c r="RSN235" s="10"/>
      <c r="RSO235" s="10"/>
      <c r="RSP235" s="19"/>
      <c r="RSQ235" s="19"/>
      <c r="RST235" s="16"/>
      <c r="RSU235" s="15"/>
      <c r="RSV235" s="15"/>
      <c r="RSW235" s="15"/>
      <c r="RSX235" s="16"/>
      <c r="RSY235" s="16"/>
      <c r="RSZ235" s="16"/>
      <c r="RTA235" s="16"/>
      <c r="RTB235" s="16"/>
      <c r="RTC235" s="15"/>
      <c r="RTD235" s="15"/>
      <c r="RTE235" s="10"/>
      <c r="RTF235" s="10"/>
      <c r="RTG235" s="19"/>
      <c r="RTH235" s="19"/>
      <c r="RTK235" s="16"/>
      <c r="RTL235" s="15"/>
      <c r="RTM235" s="15"/>
      <c r="RTN235" s="15"/>
      <c r="RTO235" s="16"/>
      <c r="RTP235" s="16"/>
      <c r="RTQ235" s="16"/>
      <c r="RTR235" s="16"/>
      <c r="RTS235" s="16"/>
      <c r="RTT235" s="15"/>
      <c r="RTU235" s="15"/>
      <c r="RTV235" s="10"/>
      <c r="RTW235" s="10"/>
      <c r="RTX235" s="19"/>
      <c r="RTY235" s="19"/>
      <c r="RUB235" s="16"/>
      <c r="RUC235" s="15"/>
      <c r="RUD235" s="15"/>
      <c r="RUE235" s="15"/>
      <c r="RUF235" s="16"/>
      <c r="RUG235" s="16"/>
      <c r="RUH235" s="16"/>
      <c r="RUI235" s="16"/>
      <c r="RUJ235" s="16"/>
      <c r="RUK235" s="15"/>
      <c r="RUL235" s="15"/>
      <c r="RUM235" s="10"/>
      <c r="RUN235" s="10"/>
      <c r="RUO235" s="19"/>
      <c r="RUP235" s="19"/>
      <c r="RUS235" s="16"/>
      <c r="RUT235" s="15"/>
      <c r="RUU235" s="15"/>
      <c r="RUV235" s="15"/>
      <c r="RUW235" s="16"/>
      <c r="RUX235" s="16"/>
      <c r="RUY235" s="16"/>
      <c r="RUZ235" s="16"/>
      <c r="RVA235" s="16"/>
      <c r="RVB235" s="15"/>
      <c r="RVC235" s="15"/>
      <c r="RVD235" s="10"/>
      <c r="RVE235" s="10"/>
      <c r="RVF235" s="19"/>
      <c r="RVG235" s="19"/>
      <c r="RVJ235" s="16"/>
      <c r="RVK235" s="15"/>
      <c r="RVL235" s="15"/>
      <c r="RVM235" s="15"/>
      <c r="RVN235" s="16"/>
      <c r="RVO235" s="16"/>
      <c r="RVP235" s="16"/>
      <c r="RVQ235" s="16"/>
      <c r="RVR235" s="16"/>
      <c r="RVS235" s="15"/>
      <c r="RVT235" s="15"/>
      <c r="RVU235" s="10"/>
      <c r="RVV235" s="10"/>
      <c r="RVW235" s="19"/>
      <c r="RVX235" s="19"/>
      <c r="RWA235" s="16"/>
      <c r="RWB235" s="15"/>
      <c r="RWC235" s="15"/>
      <c r="RWD235" s="15"/>
      <c r="RWE235" s="16"/>
      <c r="RWF235" s="16"/>
      <c r="RWG235" s="16"/>
      <c r="RWH235" s="16"/>
      <c r="RWI235" s="16"/>
      <c r="RWJ235" s="15"/>
      <c r="RWK235" s="15"/>
      <c r="RWL235" s="10"/>
      <c r="RWM235" s="10"/>
      <c r="RWN235" s="19"/>
      <c r="RWO235" s="19"/>
      <c r="RWR235" s="16"/>
      <c r="RWS235" s="15"/>
      <c r="RWT235" s="15"/>
      <c r="RWU235" s="15"/>
      <c r="RWV235" s="16"/>
      <c r="RWW235" s="16"/>
      <c r="RWX235" s="16"/>
      <c r="RWY235" s="16"/>
      <c r="RWZ235" s="16"/>
      <c r="RXA235" s="15"/>
      <c r="RXB235" s="15"/>
      <c r="RXC235" s="10"/>
      <c r="RXD235" s="10"/>
      <c r="RXE235" s="19"/>
      <c r="RXF235" s="19"/>
      <c r="RXI235" s="16"/>
      <c r="RXJ235" s="15"/>
      <c r="RXK235" s="15"/>
      <c r="RXL235" s="15"/>
      <c r="RXM235" s="16"/>
      <c r="RXN235" s="16"/>
      <c r="RXO235" s="16"/>
      <c r="RXP235" s="16"/>
      <c r="RXQ235" s="16"/>
      <c r="RXR235" s="15"/>
      <c r="RXS235" s="15"/>
      <c r="RXT235" s="10"/>
      <c r="RXU235" s="10"/>
      <c r="RXV235" s="19"/>
      <c r="RXW235" s="19"/>
      <c r="RXZ235" s="16"/>
      <c r="RYA235" s="15"/>
      <c r="RYB235" s="15"/>
      <c r="RYC235" s="15"/>
      <c r="RYD235" s="16"/>
      <c r="RYE235" s="16"/>
      <c r="RYF235" s="16"/>
      <c r="RYG235" s="16"/>
      <c r="RYH235" s="16"/>
      <c r="RYI235" s="15"/>
      <c r="RYJ235" s="15"/>
      <c r="RYK235" s="10"/>
      <c r="RYL235" s="10"/>
      <c r="RYM235" s="19"/>
      <c r="RYN235" s="19"/>
      <c r="RYQ235" s="16"/>
      <c r="RYR235" s="15"/>
      <c r="RYS235" s="15"/>
      <c r="RYT235" s="15"/>
      <c r="RYU235" s="16"/>
      <c r="RYV235" s="16"/>
      <c r="RYW235" s="16"/>
      <c r="RYX235" s="16"/>
      <c r="RYY235" s="16"/>
      <c r="RYZ235" s="15"/>
      <c r="RZA235" s="15"/>
      <c r="RZB235" s="10"/>
      <c r="RZC235" s="10"/>
      <c r="RZD235" s="19"/>
      <c r="RZE235" s="19"/>
      <c r="RZH235" s="16"/>
      <c r="RZI235" s="15"/>
      <c r="RZJ235" s="15"/>
      <c r="RZK235" s="15"/>
      <c r="RZL235" s="16"/>
      <c r="RZM235" s="16"/>
      <c r="RZN235" s="16"/>
      <c r="RZO235" s="16"/>
      <c r="RZP235" s="16"/>
      <c r="RZQ235" s="15"/>
      <c r="RZR235" s="15"/>
      <c r="RZS235" s="10"/>
      <c r="RZT235" s="10"/>
      <c r="RZU235" s="19"/>
      <c r="RZV235" s="19"/>
      <c r="RZY235" s="16"/>
      <c r="RZZ235" s="15"/>
      <c r="SAA235" s="15"/>
      <c r="SAB235" s="15"/>
      <c r="SAC235" s="16"/>
      <c r="SAD235" s="16"/>
      <c r="SAE235" s="16"/>
      <c r="SAF235" s="16"/>
      <c r="SAG235" s="16"/>
      <c r="SAH235" s="15"/>
      <c r="SAI235" s="15"/>
      <c r="SAJ235" s="10"/>
      <c r="SAK235" s="10"/>
      <c r="SAL235" s="19"/>
      <c r="SAM235" s="19"/>
      <c r="SAP235" s="16"/>
      <c r="SAQ235" s="15"/>
      <c r="SAR235" s="15"/>
      <c r="SAS235" s="15"/>
      <c r="SAT235" s="16"/>
      <c r="SAU235" s="16"/>
      <c r="SAV235" s="16"/>
      <c r="SAW235" s="16"/>
      <c r="SAX235" s="16"/>
      <c r="SAY235" s="15"/>
      <c r="SAZ235" s="15"/>
      <c r="SBA235" s="10"/>
      <c r="SBB235" s="10"/>
      <c r="SBC235" s="19"/>
      <c r="SBD235" s="19"/>
      <c r="SBG235" s="16"/>
      <c r="SBH235" s="15"/>
      <c r="SBI235" s="15"/>
      <c r="SBJ235" s="15"/>
      <c r="SBK235" s="16"/>
      <c r="SBL235" s="16"/>
      <c r="SBM235" s="16"/>
      <c r="SBN235" s="16"/>
      <c r="SBO235" s="16"/>
      <c r="SBP235" s="15"/>
      <c r="SBQ235" s="15"/>
      <c r="SBR235" s="10"/>
      <c r="SBS235" s="10"/>
      <c r="SBT235" s="19"/>
      <c r="SBU235" s="19"/>
      <c r="SBX235" s="16"/>
      <c r="SBY235" s="15"/>
      <c r="SBZ235" s="15"/>
      <c r="SCA235" s="15"/>
      <c r="SCB235" s="16"/>
      <c r="SCC235" s="16"/>
      <c r="SCD235" s="16"/>
      <c r="SCE235" s="16"/>
      <c r="SCF235" s="16"/>
      <c r="SCG235" s="15"/>
      <c r="SCH235" s="15"/>
      <c r="SCI235" s="10"/>
      <c r="SCJ235" s="10"/>
      <c r="SCK235" s="19"/>
      <c r="SCL235" s="19"/>
      <c r="SCO235" s="16"/>
      <c r="SCP235" s="15"/>
      <c r="SCQ235" s="15"/>
      <c r="SCR235" s="15"/>
      <c r="SCS235" s="16"/>
      <c r="SCT235" s="16"/>
      <c r="SCU235" s="16"/>
      <c r="SCV235" s="16"/>
      <c r="SCW235" s="16"/>
      <c r="SCX235" s="15"/>
      <c r="SCY235" s="15"/>
      <c r="SCZ235" s="10"/>
      <c r="SDA235" s="10"/>
      <c r="SDB235" s="19"/>
      <c r="SDC235" s="19"/>
      <c r="SDF235" s="16"/>
      <c r="SDG235" s="15"/>
      <c r="SDH235" s="15"/>
      <c r="SDI235" s="15"/>
      <c r="SDJ235" s="16"/>
      <c r="SDK235" s="16"/>
      <c r="SDL235" s="16"/>
      <c r="SDM235" s="16"/>
      <c r="SDN235" s="16"/>
      <c r="SDO235" s="15"/>
      <c r="SDP235" s="15"/>
      <c r="SDQ235" s="10"/>
      <c r="SDR235" s="10"/>
      <c r="SDS235" s="19"/>
      <c r="SDT235" s="19"/>
      <c r="SDW235" s="16"/>
      <c r="SDX235" s="15"/>
      <c r="SDY235" s="15"/>
      <c r="SDZ235" s="15"/>
      <c r="SEA235" s="16"/>
      <c r="SEB235" s="16"/>
      <c r="SEC235" s="16"/>
      <c r="SED235" s="16"/>
      <c r="SEE235" s="16"/>
      <c r="SEF235" s="15"/>
      <c r="SEG235" s="15"/>
      <c r="SEH235" s="10"/>
      <c r="SEI235" s="10"/>
      <c r="SEJ235" s="19"/>
      <c r="SEK235" s="19"/>
      <c r="SEN235" s="16"/>
      <c r="SEO235" s="15"/>
      <c r="SEP235" s="15"/>
      <c r="SEQ235" s="15"/>
      <c r="SER235" s="16"/>
      <c r="SES235" s="16"/>
      <c r="SET235" s="16"/>
      <c r="SEU235" s="16"/>
      <c r="SEV235" s="16"/>
      <c r="SEW235" s="15"/>
      <c r="SEX235" s="15"/>
      <c r="SEY235" s="10"/>
      <c r="SEZ235" s="10"/>
      <c r="SFA235" s="19"/>
      <c r="SFB235" s="19"/>
      <c r="SFE235" s="16"/>
      <c r="SFF235" s="15"/>
      <c r="SFG235" s="15"/>
      <c r="SFH235" s="15"/>
      <c r="SFI235" s="16"/>
      <c r="SFJ235" s="16"/>
      <c r="SFK235" s="16"/>
      <c r="SFL235" s="16"/>
      <c r="SFM235" s="16"/>
      <c r="SFN235" s="15"/>
      <c r="SFO235" s="15"/>
      <c r="SFP235" s="10"/>
      <c r="SFQ235" s="10"/>
      <c r="SFR235" s="19"/>
      <c r="SFS235" s="19"/>
      <c r="SFV235" s="16"/>
      <c r="SFW235" s="15"/>
      <c r="SFX235" s="15"/>
      <c r="SFY235" s="15"/>
      <c r="SFZ235" s="16"/>
      <c r="SGA235" s="16"/>
      <c r="SGB235" s="16"/>
      <c r="SGC235" s="16"/>
      <c r="SGD235" s="16"/>
      <c r="SGE235" s="15"/>
      <c r="SGF235" s="15"/>
      <c r="SGG235" s="10"/>
      <c r="SGH235" s="10"/>
      <c r="SGI235" s="19"/>
      <c r="SGJ235" s="19"/>
      <c r="SGM235" s="16"/>
      <c r="SGN235" s="15"/>
      <c r="SGO235" s="15"/>
      <c r="SGP235" s="15"/>
      <c r="SGQ235" s="16"/>
      <c r="SGR235" s="16"/>
      <c r="SGS235" s="16"/>
      <c r="SGT235" s="16"/>
      <c r="SGU235" s="16"/>
      <c r="SGV235" s="15"/>
      <c r="SGW235" s="15"/>
      <c r="SGX235" s="10"/>
      <c r="SGY235" s="10"/>
      <c r="SGZ235" s="19"/>
      <c r="SHA235" s="19"/>
      <c r="SHD235" s="16"/>
      <c r="SHE235" s="15"/>
      <c r="SHF235" s="15"/>
      <c r="SHG235" s="15"/>
      <c r="SHH235" s="16"/>
      <c r="SHI235" s="16"/>
      <c r="SHJ235" s="16"/>
      <c r="SHK235" s="16"/>
      <c r="SHL235" s="16"/>
      <c r="SHM235" s="15"/>
      <c r="SHN235" s="15"/>
      <c r="SHO235" s="10"/>
      <c r="SHP235" s="10"/>
      <c r="SHQ235" s="19"/>
      <c r="SHR235" s="19"/>
      <c r="SHU235" s="16"/>
      <c r="SHV235" s="15"/>
      <c r="SHW235" s="15"/>
      <c r="SHX235" s="15"/>
      <c r="SHY235" s="16"/>
      <c r="SHZ235" s="16"/>
      <c r="SIA235" s="16"/>
      <c r="SIB235" s="16"/>
      <c r="SIC235" s="16"/>
      <c r="SID235" s="15"/>
      <c r="SIE235" s="15"/>
      <c r="SIF235" s="10"/>
      <c r="SIG235" s="10"/>
      <c r="SIH235" s="19"/>
      <c r="SII235" s="19"/>
      <c r="SIL235" s="16"/>
      <c r="SIM235" s="15"/>
      <c r="SIN235" s="15"/>
      <c r="SIO235" s="15"/>
      <c r="SIP235" s="16"/>
      <c r="SIQ235" s="16"/>
      <c r="SIR235" s="16"/>
      <c r="SIS235" s="16"/>
      <c r="SIT235" s="16"/>
      <c r="SIU235" s="15"/>
      <c r="SIV235" s="15"/>
      <c r="SIW235" s="10"/>
      <c r="SIX235" s="10"/>
      <c r="SIY235" s="19"/>
      <c r="SIZ235" s="19"/>
      <c r="SJC235" s="16"/>
      <c r="SJD235" s="15"/>
      <c r="SJE235" s="15"/>
      <c r="SJF235" s="15"/>
      <c r="SJG235" s="16"/>
      <c r="SJH235" s="16"/>
      <c r="SJI235" s="16"/>
      <c r="SJJ235" s="16"/>
      <c r="SJK235" s="16"/>
      <c r="SJL235" s="15"/>
      <c r="SJM235" s="15"/>
      <c r="SJN235" s="10"/>
      <c r="SJO235" s="10"/>
      <c r="SJP235" s="19"/>
      <c r="SJQ235" s="19"/>
      <c r="SJT235" s="16"/>
      <c r="SJU235" s="15"/>
      <c r="SJV235" s="15"/>
      <c r="SJW235" s="15"/>
      <c r="SJX235" s="16"/>
      <c r="SJY235" s="16"/>
      <c r="SJZ235" s="16"/>
      <c r="SKA235" s="16"/>
      <c r="SKB235" s="16"/>
      <c r="SKC235" s="15"/>
      <c r="SKD235" s="15"/>
      <c r="SKE235" s="10"/>
      <c r="SKF235" s="10"/>
      <c r="SKG235" s="19"/>
      <c r="SKH235" s="19"/>
      <c r="SKK235" s="16"/>
      <c r="SKL235" s="15"/>
      <c r="SKM235" s="15"/>
      <c r="SKN235" s="15"/>
      <c r="SKO235" s="16"/>
      <c r="SKP235" s="16"/>
      <c r="SKQ235" s="16"/>
      <c r="SKR235" s="16"/>
      <c r="SKS235" s="16"/>
      <c r="SKT235" s="15"/>
      <c r="SKU235" s="15"/>
      <c r="SKV235" s="10"/>
      <c r="SKW235" s="10"/>
      <c r="SKX235" s="19"/>
      <c r="SKY235" s="19"/>
      <c r="SLB235" s="16"/>
      <c r="SLC235" s="15"/>
      <c r="SLD235" s="15"/>
      <c r="SLE235" s="15"/>
      <c r="SLF235" s="16"/>
      <c r="SLG235" s="16"/>
      <c r="SLH235" s="16"/>
      <c r="SLI235" s="16"/>
      <c r="SLJ235" s="16"/>
      <c r="SLK235" s="15"/>
      <c r="SLL235" s="15"/>
      <c r="SLM235" s="10"/>
      <c r="SLN235" s="10"/>
      <c r="SLO235" s="19"/>
      <c r="SLP235" s="19"/>
      <c r="SLS235" s="16"/>
      <c r="SLT235" s="15"/>
      <c r="SLU235" s="15"/>
      <c r="SLV235" s="15"/>
      <c r="SLW235" s="16"/>
      <c r="SLX235" s="16"/>
      <c r="SLY235" s="16"/>
      <c r="SLZ235" s="16"/>
      <c r="SMA235" s="16"/>
      <c r="SMB235" s="15"/>
      <c r="SMC235" s="15"/>
      <c r="SMD235" s="10"/>
      <c r="SME235" s="10"/>
      <c r="SMF235" s="19"/>
      <c r="SMG235" s="19"/>
      <c r="SMJ235" s="16"/>
      <c r="SMK235" s="15"/>
      <c r="SML235" s="15"/>
      <c r="SMM235" s="15"/>
      <c r="SMN235" s="16"/>
      <c r="SMO235" s="16"/>
      <c r="SMP235" s="16"/>
      <c r="SMQ235" s="16"/>
      <c r="SMR235" s="16"/>
      <c r="SMS235" s="15"/>
      <c r="SMT235" s="15"/>
      <c r="SMU235" s="10"/>
      <c r="SMV235" s="10"/>
      <c r="SMW235" s="19"/>
      <c r="SMX235" s="19"/>
      <c r="SNA235" s="16"/>
      <c r="SNB235" s="15"/>
      <c r="SNC235" s="15"/>
      <c r="SND235" s="15"/>
      <c r="SNE235" s="16"/>
      <c r="SNF235" s="16"/>
      <c r="SNG235" s="16"/>
      <c r="SNH235" s="16"/>
      <c r="SNI235" s="16"/>
      <c r="SNJ235" s="15"/>
      <c r="SNK235" s="15"/>
      <c r="SNL235" s="10"/>
      <c r="SNM235" s="10"/>
      <c r="SNN235" s="19"/>
      <c r="SNO235" s="19"/>
      <c r="SNR235" s="16"/>
      <c r="SNS235" s="15"/>
      <c r="SNT235" s="15"/>
      <c r="SNU235" s="15"/>
      <c r="SNV235" s="16"/>
      <c r="SNW235" s="16"/>
      <c r="SNX235" s="16"/>
      <c r="SNY235" s="16"/>
      <c r="SNZ235" s="16"/>
      <c r="SOA235" s="15"/>
      <c r="SOB235" s="15"/>
      <c r="SOC235" s="10"/>
      <c r="SOD235" s="10"/>
      <c r="SOE235" s="19"/>
      <c r="SOF235" s="19"/>
      <c r="SOI235" s="16"/>
      <c r="SOJ235" s="15"/>
      <c r="SOK235" s="15"/>
      <c r="SOL235" s="15"/>
      <c r="SOM235" s="16"/>
      <c r="SON235" s="16"/>
      <c r="SOO235" s="16"/>
      <c r="SOP235" s="16"/>
      <c r="SOQ235" s="16"/>
      <c r="SOR235" s="15"/>
      <c r="SOS235" s="15"/>
      <c r="SOT235" s="10"/>
      <c r="SOU235" s="10"/>
      <c r="SOV235" s="19"/>
      <c r="SOW235" s="19"/>
      <c r="SOZ235" s="16"/>
      <c r="SPA235" s="15"/>
      <c r="SPB235" s="15"/>
      <c r="SPC235" s="15"/>
      <c r="SPD235" s="16"/>
      <c r="SPE235" s="16"/>
      <c r="SPF235" s="16"/>
      <c r="SPG235" s="16"/>
      <c r="SPH235" s="16"/>
      <c r="SPI235" s="15"/>
      <c r="SPJ235" s="15"/>
      <c r="SPK235" s="10"/>
      <c r="SPL235" s="10"/>
      <c r="SPM235" s="19"/>
      <c r="SPN235" s="19"/>
      <c r="SPQ235" s="16"/>
      <c r="SPR235" s="15"/>
      <c r="SPS235" s="15"/>
      <c r="SPT235" s="15"/>
      <c r="SPU235" s="16"/>
      <c r="SPV235" s="16"/>
      <c r="SPW235" s="16"/>
      <c r="SPX235" s="16"/>
      <c r="SPY235" s="16"/>
      <c r="SPZ235" s="15"/>
      <c r="SQA235" s="15"/>
      <c r="SQB235" s="10"/>
      <c r="SQC235" s="10"/>
      <c r="SQD235" s="19"/>
      <c r="SQE235" s="19"/>
      <c r="SQH235" s="16"/>
      <c r="SQI235" s="15"/>
      <c r="SQJ235" s="15"/>
      <c r="SQK235" s="15"/>
      <c r="SQL235" s="16"/>
      <c r="SQM235" s="16"/>
      <c r="SQN235" s="16"/>
      <c r="SQO235" s="16"/>
      <c r="SQP235" s="16"/>
      <c r="SQQ235" s="15"/>
      <c r="SQR235" s="15"/>
      <c r="SQS235" s="10"/>
      <c r="SQT235" s="10"/>
      <c r="SQU235" s="19"/>
      <c r="SQV235" s="19"/>
      <c r="SQY235" s="16"/>
      <c r="SQZ235" s="15"/>
      <c r="SRA235" s="15"/>
      <c r="SRB235" s="15"/>
      <c r="SRC235" s="16"/>
      <c r="SRD235" s="16"/>
      <c r="SRE235" s="16"/>
      <c r="SRF235" s="16"/>
      <c r="SRG235" s="16"/>
      <c r="SRH235" s="15"/>
      <c r="SRI235" s="15"/>
      <c r="SRJ235" s="10"/>
      <c r="SRK235" s="10"/>
      <c r="SRL235" s="19"/>
      <c r="SRM235" s="19"/>
      <c r="SRP235" s="16"/>
      <c r="SRQ235" s="15"/>
      <c r="SRR235" s="15"/>
      <c r="SRS235" s="15"/>
      <c r="SRT235" s="16"/>
      <c r="SRU235" s="16"/>
      <c r="SRV235" s="16"/>
      <c r="SRW235" s="16"/>
      <c r="SRX235" s="16"/>
      <c r="SRY235" s="15"/>
      <c r="SRZ235" s="15"/>
      <c r="SSA235" s="10"/>
      <c r="SSB235" s="10"/>
      <c r="SSC235" s="19"/>
      <c r="SSD235" s="19"/>
      <c r="SSG235" s="16"/>
      <c r="SSH235" s="15"/>
      <c r="SSI235" s="15"/>
      <c r="SSJ235" s="15"/>
      <c r="SSK235" s="16"/>
      <c r="SSL235" s="16"/>
      <c r="SSM235" s="16"/>
      <c r="SSN235" s="16"/>
      <c r="SSO235" s="16"/>
      <c r="SSP235" s="15"/>
      <c r="SSQ235" s="15"/>
      <c r="SSR235" s="10"/>
      <c r="SSS235" s="10"/>
      <c r="SST235" s="19"/>
      <c r="SSU235" s="19"/>
      <c r="SSX235" s="16"/>
      <c r="SSY235" s="15"/>
      <c r="SSZ235" s="15"/>
      <c r="STA235" s="15"/>
      <c r="STB235" s="16"/>
      <c r="STC235" s="16"/>
      <c r="STD235" s="16"/>
      <c r="STE235" s="16"/>
      <c r="STF235" s="16"/>
      <c r="STG235" s="15"/>
      <c r="STH235" s="15"/>
      <c r="STI235" s="10"/>
      <c r="STJ235" s="10"/>
      <c r="STK235" s="19"/>
      <c r="STL235" s="19"/>
      <c r="STO235" s="16"/>
      <c r="STP235" s="15"/>
      <c r="STQ235" s="15"/>
      <c r="STR235" s="15"/>
      <c r="STS235" s="16"/>
      <c r="STT235" s="16"/>
      <c r="STU235" s="16"/>
      <c r="STV235" s="16"/>
      <c r="STW235" s="16"/>
      <c r="STX235" s="15"/>
      <c r="STY235" s="15"/>
      <c r="STZ235" s="10"/>
      <c r="SUA235" s="10"/>
      <c r="SUB235" s="19"/>
      <c r="SUC235" s="19"/>
      <c r="SUF235" s="16"/>
      <c r="SUG235" s="15"/>
      <c r="SUH235" s="15"/>
      <c r="SUI235" s="15"/>
      <c r="SUJ235" s="16"/>
      <c r="SUK235" s="16"/>
      <c r="SUL235" s="16"/>
      <c r="SUM235" s="16"/>
      <c r="SUN235" s="16"/>
      <c r="SUO235" s="15"/>
      <c r="SUP235" s="15"/>
      <c r="SUQ235" s="10"/>
      <c r="SUR235" s="10"/>
      <c r="SUS235" s="19"/>
      <c r="SUT235" s="19"/>
      <c r="SUW235" s="16"/>
      <c r="SUX235" s="15"/>
      <c r="SUY235" s="15"/>
      <c r="SUZ235" s="15"/>
      <c r="SVA235" s="16"/>
      <c r="SVB235" s="16"/>
      <c r="SVC235" s="16"/>
      <c r="SVD235" s="16"/>
      <c r="SVE235" s="16"/>
      <c r="SVF235" s="15"/>
      <c r="SVG235" s="15"/>
      <c r="SVH235" s="10"/>
      <c r="SVI235" s="10"/>
      <c r="SVJ235" s="19"/>
      <c r="SVK235" s="19"/>
      <c r="SVN235" s="16"/>
      <c r="SVO235" s="15"/>
      <c r="SVP235" s="15"/>
      <c r="SVQ235" s="15"/>
      <c r="SVR235" s="16"/>
      <c r="SVS235" s="16"/>
      <c r="SVT235" s="16"/>
      <c r="SVU235" s="16"/>
      <c r="SVV235" s="16"/>
      <c r="SVW235" s="15"/>
      <c r="SVX235" s="15"/>
      <c r="SVY235" s="10"/>
      <c r="SVZ235" s="10"/>
      <c r="SWA235" s="19"/>
      <c r="SWB235" s="19"/>
      <c r="SWE235" s="16"/>
      <c r="SWF235" s="15"/>
      <c r="SWG235" s="15"/>
      <c r="SWH235" s="15"/>
      <c r="SWI235" s="16"/>
      <c r="SWJ235" s="16"/>
      <c r="SWK235" s="16"/>
      <c r="SWL235" s="16"/>
      <c r="SWM235" s="16"/>
      <c r="SWN235" s="15"/>
      <c r="SWO235" s="15"/>
      <c r="SWP235" s="10"/>
      <c r="SWQ235" s="10"/>
      <c r="SWR235" s="19"/>
      <c r="SWS235" s="19"/>
      <c r="SWV235" s="16"/>
      <c r="SWW235" s="15"/>
      <c r="SWX235" s="15"/>
      <c r="SWY235" s="15"/>
      <c r="SWZ235" s="16"/>
      <c r="SXA235" s="16"/>
      <c r="SXB235" s="16"/>
      <c r="SXC235" s="16"/>
      <c r="SXD235" s="16"/>
      <c r="SXE235" s="15"/>
      <c r="SXF235" s="15"/>
      <c r="SXG235" s="10"/>
      <c r="SXH235" s="10"/>
      <c r="SXI235" s="19"/>
      <c r="SXJ235" s="19"/>
      <c r="SXM235" s="16"/>
      <c r="SXN235" s="15"/>
      <c r="SXO235" s="15"/>
      <c r="SXP235" s="15"/>
      <c r="SXQ235" s="16"/>
      <c r="SXR235" s="16"/>
      <c r="SXS235" s="16"/>
      <c r="SXT235" s="16"/>
      <c r="SXU235" s="16"/>
      <c r="SXV235" s="15"/>
      <c r="SXW235" s="15"/>
      <c r="SXX235" s="10"/>
      <c r="SXY235" s="10"/>
      <c r="SXZ235" s="19"/>
      <c r="SYA235" s="19"/>
      <c r="SYD235" s="16"/>
      <c r="SYE235" s="15"/>
      <c r="SYF235" s="15"/>
      <c r="SYG235" s="15"/>
      <c r="SYH235" s="16"/>
      <c r="SYI235" s="16"/>
      <c r="SYJ235" s="16"/>
      <c r="SYK235" s="16"/>
      <c r="SYL235" s="16"/>
      <c r="SYM235" s="15"/>
      <c r="SYN235" s="15"/>
      <c r="SYO235" s="10"/>
      <c r="SYP235" s="10"/>
      <c r="SYQ235" s="19"/>
      <c r="SYR235" s="19"/>
      <c r="SYU235" s="16"/>
      <c r="SYV235" s="15"/>
      <c r="SYW235" s="15"/>
      <c r="SYX235" s="15"/>
      <c r="SYY235" s="16"/>
      <c r="SYZ235" s="16"/>
      <c r="SZA235" s="16"/>
      <c r="SZB235" s="16"/>
      <c r="SZC235" s="16"/>
      <c r="SZD235" s="15"/>
      <c r="SZE235" s="15"/>
      <c r="SZF235" s="10"/>
      <c r="SZG235" s="10"/>
      <c r="SZH235" s="19"/>
      <c r="SZI235" s="19"/>
      <c r="SZL235" s="16"/>
      <c r="SZM235" s="15"/>
      <c r="SZN235" s="15"/>
      <c r="SZO235" s="15"/>
      <c r="SZP235" s="16"/>
      <c r="SZQ235" s="16"/>
      <c r="SZR235" s="16"/>
      <c r="SZS235" s="16"/>
      <c r="SZT235" s="16"/>
      <c r="SZU235" s="15"/>
      <c r="SZV235" s="15"/>
      <c r="SZW235" s="10"/>
      <c r="SZX235" s="10"/>
      <c r="SZY235" s="19"/>
      <c r="SZZ235" s="19"/>
      <c r="TAC235" s="16"/>
      <c r="TAD235" s="15"/>
      <c r="TAE235" s="15"/>
      <c r="TAF235" s="15"/>
      <c r="TAG235" s="16"/>
      <c r="TAH235" s="16"/>
      <c r="TAI235" s="16"/>
      <c r="TAJ235" s="16"/>
      <c r="TAK235" s="16"/>
      <c r="TAL235" s="15"/>
      <c r="TAM235" s="15"/>
      <c r="TAN235" s="10"/>
      <c r="TAO235" s="10"/>
      <c r="TAP235" s="19"/>
      <c r="TAQ235" s="19"/>
      <c r="TAT235" s="16"/>
      <c r="TAU235" s="15"/>
      <c r="TAV235" s="15"/>
      <c r="TAW235" s="15"/>
      <c r="TAX235" s="16"/>
      <c r="TAY235" s="16"/>
      <c r="TAZ235" s="16"/>
      <c r="TBA235" s="16"/>
      <c r="TBB235" s="16"/>
      <c r="TBC235" s="15"/>
      <c r="TBD235" s="15"/>
      <c r="TBE235" s="10"/>
      <c r="TBF235" s="10"/>
      <c r="TBG235" s="19"/>
      <c r="TBH235" s="19"/>
      <c r="TBK235" s="16"/>
      <c r="TBL235" s="15"/>
      <c r="TBM235" s="15"/>
      <c r="TBN235" s="15"/>
      <c r="TBO235" s="16"/>
      <c r="TBP235" s="16"/>
      <c r="TBQ235" s="16"/>
      <c r="TBR235" s="16"/>
      <c r="TBS235" s="16"/>
      <c r="TBT235" s="15"/>
      <c r="TBU235" s="15"/>
      <c r="TBV235" s="10"/>
      <c r="TBW235" s="10"/>
      <c r="TBX235" s="19"/>
      <c r="TBY235" s="19"/>
      <c r="TCB235" s="16"/>
      <c r="TCC235" s="15"/>
      <c r="TCD235" s="15"/>
      <c r="TCE235" s="15"/>
      <c r="TCF235" s="16"/>
      <c r="TCG235" s="16"/>
      <c r="TCH235" s="16"/>
      <c r="TCI235" s="16"/>
      <c r="TCJ235" s="16"/>
      <c r="TCK235" s="15"/>
      <c r="TCL235" s="15"/>
      <c r="TCM235" s="10"/>
      <c r="TCN235" s="10"/>
      <c r="TCO235" s="19"/>
      <c r="TCP235" s="19"/>
      <c r="TCS235" s="16"/>
      <c r="TCT235" s="15"/>
      <c r="TCU235" s="15"/>
      <c r="TCV235" s="15"/>
      <c r="TCW235" s="16"/>
      <c r="TCX235" s="16"/>
      <c r="TCY235" s="16"/>
      <c r="TCZ235" s="16"/>
      <c r="TDA235" s="16"/>
      <c r="TDB235" s="15"/>
      <c r="TDC235" s="15"/>
      <c r="TDD235" s="10"/>
      <c r="TDE235" s="10"/>
      <c r="TDF235" s="19"/>
      <c r="TDG235" s="19"/>
      <c r="TDJ235" s="16"/>
      <c r="TDK235" s="15"/>
      <c r="TDL235" s="15"/>
      <c r="TDM235" s="15"/>
      <c r="TDN235" s="16"/>
      <c r="TDO235" s="16"/>
      <c r="TDP235" s="16"/>
      <c r="TDQ235" s="16"/>
      <c r="TDR235" s="16"/>
      <c r="TDS235" s="15"/>
      <c r="TDT235" s="15"/>
      <c r="TDU235" s="10"/>
      <c r="TDV235" s="10"/>
      <c r="TDW235" s="19"/>
      <c r="TDX235" s="19"/>
      <c r="TEA235" s="16"/>
      <c r="TEB235" s="15"/>
      <c r="TEC235" s="15"/>
      <c r="TED235" s="15"/>
      <c r="TEE235" s="16"/>
      <c r="TEF235" s="16"/>
      <c r="TEG235" s="16"/>
      <c r="TEH235" s="16"/>
      <c r="TEI235" s="16"/>
      <c r="TEJ235" s="15"/>
      <c r="TEK235" s="15"/>
      <c r="TEL235" s="10"/>
      <c r="TEM235" s="10"/>
      <c r="TEN235" s="19"/>
      <c r="TEO235" s="19"/>
      <c r="TER235" s="16"/>
      <c r="TES235" s="15"/>
      <c r="TET235" s="15"/>
      <c r="TEU235" s="15"/>
      <c r="TEV235" s="16"/>
      <c r="TEW235" s="16"/>
      <c r="TEX235" s="16"/>
      <c r="TEY235" s="16"/>
      <c r="TEZ235" s="16"/>
      <c r="TFA235" s="15"/>
      <c r="TFB235" s="15"/>
      <c r="TFC235" s="10"/>
      <c r="TFD235" s="10"/>
      <c r="TFE235" s="19"/>
      <c r="TFF235" s="19"/>
      <c r="TFI235" s="16"/>
      <c r="TFJ235" s="15"/>
      <c r="TFK235" s="15"/>
      <c r="TFL235" s="15"/>
      <c r="TFM235" s="16"/>
      <c r="TFN235" s="16"/>
      <c r="TFO235" s="16"/>
      <c r="TFP235" s="16"/>
      <c r="TFQ235" s="16"/>
      <c r="TFR235" s="15"/>
      <c r="TFS235" s="15"/>
      <c r="TFT235" s="10"/>
      <c r="TFU235" s="10"/>
      <c r="TFV235" s="19"/>
      <c r="TFW235" s="19"/>
      <c r="TFZ235" s="16"/>
      <c r="TGA235" s="15"/>
      <c r="TGB235" s="15"/>
      <c r="TGC235" s="15"/>
      <c r="TGD235" s="16"/>
      <c r="TGE235" s="16"/>
      <c r="TGF235" s="16"/>
      <c r="TGG235" s="16"/>
      <c r="TGH235" s="16"/>
      <c r="TGI235" s="15"/>
      <c r="TGJ235" s="15"/>
      <c r="TGK235" s="10"/>
      <c r="TGL235" s="10"/>
      <c r="TGM235" s="19"/>
      <c r="TGN235" s="19"/>
      <c r="TGQ235" s="16"/>
      <c r="TGR235" s="15"/>
      <c r="TGS235" s="15"/>
      <c r="TGT235" s="15"/>
      <c r="TGU235" s="16"/>
      <c r="TGV235" s="16"/>
      <c r="TGW235" s="16"/>
      <c r="TGX235" s="16"/>
      <c r="TGY235" s="16"/>
      <c r="TGZ235" s="15"/>
      <c r="THA235" s="15"/>
      <c r="THB235" s="10"/>
      <c r="THC235" s="10"/>
      <c r="THD235" s="19"/>
      <c r="THE235" s="19"/>
      <c r="THH235" s="16"/>
      <c r="THI235" s="15"/>
      <c r="THJ235" s="15"/>
      <c r="THK235" s="15"/>
      <c r="THL235" s="16"/>
      <c r="THM235" s="16"/>
      <c r="THN235" s="16"/>
      <c r="THO235" s="16"/>
      <c r="THP235" s="16"/>
      <c r="THQ235" s="15"/>
      <c r="THR235" s="15"/>
      <c r="THS235" s="10"/>
      <c r="THT235" s="10"/>
      <c r="THU235" s="19"/>
      <c r="THV235" s="19"/>
      <c r="THY235" s="16"/>
      <c r="THZ235" s="15"/>
      <c r="TIA235" s="15"/>
      <c r="TIB235" s="15"/>
      <c r="TIC235" s="16"/>
      <c r="TID235" s="16"/>
      <c r="TIE235" s="16"/>
      <c r="TIF235" s="16"/>
      <c r="TIG235" s="16"/>
      <c r="TIH235" s="15"/>
      <c r="TII235" s="15"/>
      <c r="TIJ235" s="10"/>
      <c r="TIK235" s="10"/>
      <c r="TIL235" s="19"/>
      <c r="TIM235" s="19"/>
      <c r="TIP235" s="16"/>
      <c r="TIQ235" s="15"/>
      <c r="TIR235" s="15"/>
      <c r="TIS235" s="15"/>
      <c r="TIT235" s="16"/>
      <c r="TIU235" s="16"/>
      <c r="TIV235" s="16"/>
      <c r="TIW235" s="16"/>
      <c r="TIX235" s="16"/>
      <c r="TIY235" s="15"/>
      <c r="TIZ235" s="15"/>
      <c r="TJA235" s="10"/>
      <c r="TJB235" s="10"/>
      <c r="TJC235" s="19"/>
      <c r="TJD235" s="19"/>
      <c r="TJG235" s="16"/>
      <c r="TJH235" s="15"/>
      <c r="TJI235" s="15"/>
      <c r="TJJ235" s="15"/>
      <c r="TJK235" s="16"/>
      <c r="TJL235" s="16"/>
      <c r="TJM235" s="16"/>
      <c r="TJN235" s="16"/>
      <c r="TJO235" s="16"/>
      <c r="TJP235" s="15"/>
      <c r="TJQ235" s="15"/>
      <c r="TJR235" s="10"/>
      <c r="TJS235" s="10"/>
      <c r="TJT235" s="19"/>
      <c r="TJU235" s="19"/>
      <c r="TJX235" s="16"/>
      <c r="TJY235" s="15"/>
      <c r="TJZ235" s="15"/>
      <c r="TKA235" s="15"/>
      <c r="TKB235" s="16"/>
      <c r="TKC235" s="16"/>
      <c r="TKD235" s="16"/>
      <c r="TKE235" s="16"/>
      <c r="TKF235" s="16"/>
      <c r="TKG235" s="15"/>
      <c r="TKH235" s="15"/>
      <c r="TKI235" s="10"/>
      <c r="TKJ235" s="10"/>
      <c r="TKK235" s="19"/>
      <c r="TKL235" s="19"/>
      <c r="TKO235" s="16"/>
      <c r="TKP235" s="15"/>
      <c r="TKQ235" s="15"/>
      <c r="TKR235" s="15"/>
      <c r="TKS235" s="16"/>
      <c r="TKT235" s="16"/>
      <c r="TKU235" s="16"/>
      <c r="TKV235" s="16"/>
      <c r="TKW235" s="16"/>
      <c r="TKX235" s="15"/>
      <c r="TKY235" s="15"/>
      <c r="TKZ235" s="10"/>
      <c r="TLA235" s="10"/>
      <c r="TLB235" s="19"/>
      <c r="TLC235" s="19"/>
      <c r="TLF235" s="16"/>
      <c r="TLG235" s="15"/>
      <c r="TLH235" s="15"/>
      <c r="TLI235" s="15"/>
      <c r="TLJ235" s="16"/>
      <c r="TLK235" s="16"/>
      <c r="TLL235" s="16"/>
      <c r="TLM235" s="16"/>
      <c r="TLN235" s="16"/>
      <c r="TLO235" s="15"/>
      <c r="TLP235" s="15"/>
      <c r="TLQ235" s="10"/>
      <c r="TLR235" s="10"/>
      <c r="TLS235" s="19"/>
      <c r="TLT235" s="19"/>
      <c r="TLW235" s="16"/>
      <c r="TLX235" s="15"/>
      <c r="TLY235" s="15"/>
      <c r="TLZ235" s="15"/>
      <c r="TMA235" s="16"/>
      <c r="TMB235" s="16"/>
      <c r="TMC235" s="16"/>
      <c r="TMD235" s="16"/>
      <c r="TME235" s="16"/>
      <c r="TMF235" s="15"/>
      <c r="TMG235" s="15"/>
      <c r="TMH235" s="10"/>
      <c r="TMI235" s="10"/>
      <c r="TMJ235" s="19"/>
      <c r="TMK235" s="19"/>
      <c r="TMN235" s="16"/>
      <c r="TMO235" s="15"/>
      <c r="TMP235" s="15"/>
      <c r="TMQ235" s="15"/>
      <c r="TMR235" s="16"/>
      <c r="TMS235" s="16"/>
      <c r="TMT235" s="16"/>
      <c r="TMU235" s="16"/>
      <c r="TMV235" s="16"/>
      <c r="TMW235" s="15"/>
      <c r="TMX235" s="15"/>
      <c r="TMY235" s="10"/>
      <c r="TMZ235" s="10"/>
      <c r="TNA235" s="19"/>
      <c r="TNB235" s="19"/>
      <c r="TNE235" s="16"/>
      <c r="TNF235" s="15"/>
      <c r="TNG235" s="15"/>
      <c r="TNH235" s="15"/>
      <c r="TNI235" s="16"/>
      <c r="TNJ235" s="16"/>
      <c r="TNK235" s="16"/>
      <c r="TNL235" s="16"/>
      <c r="TNM235" s="16"/>
      <c r="TNN235" s="15"/>
      <c r="TNO235" s="15"/>
      <c r="TNP235" s="10"/>
      <c r="TNQ235" s="10"/>
      <c r="TNR235" s="19"/>
      <c r="TNS235" s="19"/>
      <c r="TNV235" s="16"/>
      <c r="TNW235" s="15"/>
      <c r="TNX235" s="15"/>
      <c r="TNY235" s="15"/>
      <c r="TNZ235" s="16"/>
      <c r="TOA235" s="16"/>
      <c r="TOB235" s="16"/>
      <c r="TOC235" s="16"/>
      <c r="TOD235" s="16"/>
      <c r="TOE235" s="15"/>
      <c r="TOF235" s="15"/>
      <c r="TOG235" s="10"/>
      <c r="TOH235" s="10"/>
      <c r="TOI235" s="19"/>
      <c r="TOJ235" s="19"/>
      <c r="TOM235" s="16"/>
      <c r="TON235" s="15"/>
      <c r="TOO235" s="15"/>
      <c r="TOP235" s="15"/>
      <c r="TOQ235" s="16"/>
      <c r="TOR235" s="16"/>
      <c r="TOS235" s="16"/>
      <c r="TOT235" s="16"/>
      <c r="TOU235" s="16"/>
      <c r="TOV235" s="15"/>
      <c r="TOW235" s="15"/>
      <c r="TOX235" s="10"/>
      <c r="TOY235" s="10"/>
      <c r="TOZ235" s="19"/>
      <c r="TPA235" s="19"/>
      <c r="TPD235" s="16"/>
      <c r="TPE235" s="15"/>
      <c r="TPF235" s="15"/>
      <c r="TPG235" s="15"/>
      <c r="TPH235" s="16"/>
      <c r="TPI235" s="16"/>
      <c r="TPJ235" s="16"/>
      <c r="TPK235" s="16"/>
      <c r="TPL235" s="16"/>
      <c r="TPM235" s="15"/>
      <c r="TPN235" s="15"/>
      <c r="TPO235" s="10"/>
      <c r="TPP235" s="10"/>
      <c r="TPQ235" s="19"/>
      <c r="TPR235" s="19"/>
      <c r="TPU235" s="16"/>
      <c r="TPV235" s="15"/>
      <c r="TPW235" s="15"/>
      <c r="TPX235" s="15"/>
      <c r="TPY235" s="16"/>
      <c r="TPZ235" s="16"/>
      <c r="TQA235" s="16"/>
      <c r="TQB235" s="16"/>
      <c r="TQC235" s="16"/>
      <c r="TQD235" s="15"/>
      <c r="TQE235" s="15"/>
      <c r="TQF235" s="10"/>
      <c r="TQG235" s="10"/>
      <c r="TQH235" s="19"/>
      <c r="TQI235" s="19"/>
      <c r="TQL235" s="16"/>
      <c r="TQM235" s="15"/>
      <c r="TQN235" s="15"/>
      <c r="TQO235" s="15"/>
      <c r="TQP235" s="16"/>
      <c r="TQQ235" s="16"/>
      <c r="TQR235" s="16"/>
      <c r="TQS235" s="16"/>
      <c r="TQT235" s="16"/>
      <c r="TQU235" s="15"/>
      <c r="TQV235" s="15"/>
      <c r="TQW235" s="10"/>
      <c r="TQX235" s="10"/>
      <c r="TQY235" s="19"/>
      <c r="TQZ235" s="19"/>
      <c r="TRC235" s="16"/>
      <c r="TRD235" s="15"/>
      <c r="TRE235" s="15"/>
      <c r="TRF235" s="15"/>
      <c r="TRG235" s="16"/>
      <c r="TRH235" s="16"/>
      <c r="TRI235" s="16"/>
      <c r="TRJ235" s="16"/>
      <c r="TRK235" s="16"/>
      <c r="TRL235" s="15"/>
      <c r="TRM235" s="15"/>
      <c r="TRN235" s="10"/>
      <c r="TRO235" s="10"/>
      <c r="TRP235" s="19"/>
      <c r="TRQ235" s="19"/>
      <c r="TRT235" s="16"/>
      <c r="TRU235" s="15"/>
      <c r="TRV235" s="15"/>
      <c r="TRW235" s="15"/>
      <c r="TRX235" s="16"/>
      <c r="TRY235" s="16"/>
      <c r="TRZ235" s="16"/>
      <c r="TSA235" s="16"/>
      <c r="TSB235" s="16"/>
      <c r="TSC235" s="15"/>
      <c r="TSD235" s="15"/>
      <c r="TSE235" s="10"/>
      <c r="TSF235" s="10"/>
      <c r="TSG235" s="19"/>
      <c r="TSH235" s="19"/>
      <c r="TSK235" s="16"/>
      <c r="TSL235" s="15"/>
      <c r="TSM235" s="15"/>
      <c r="TSN235" s="15"/>
      <c r="TSO235" s="16"/>
      <c r="TSP235" s="16"/>
      <c r="TSQ235" s="16"/>
      <c r="TSR235" s="16"/>
      <c r="TSS235" s="16"/>
      <c r="TST235" s="15"/>
      <c r="TSU235" s="15"/>
      <c r="TSV235" s="10"/>
      <c r="TSW235" s="10"/>
      <c r="TSX235" s="19"/>
      <c r="TSY235" s="19"/>
      <c r="TTB235" s="16"/>
      <c r="TTC235" s="15"/>
      <c r="TTD235" s="15"/>
      <c r="TTE235" s="15"/>
      <c r="TTF235" s="16"/>
      <c r="TTG235" s="16"/>
      <c r="TTH235" s="16"/>
      <c r="TTI235" s="16"/>
      <c r="TTJ235" s="16"/>
      <c r="TTK235" s="15"/>
      <c r="TTL235" s="15"/>
      <c r="TTM235" s="10"/>
      <c r="TTN235" s="10"/>
      <c r="TTO235" s="19"/>
      <c r="TTP235" s="19"/>
      <c r="TTS235" s="16"/>
      <c r="TTT235" s="15"/>
      <c r="TTU235" s="15"/>
      <c r="TTV235" s="15"/>
      <c r="TTW235" s="16"/>
      <c r="TTX235" s="16"/>
      <c r="TTY235" s="16"/>
      <c r="TTZ235" s="16"/>
      <c r="TUA235" s="16"/>
      <c r="TUB235" s="15"/>
      <c r="TUC235" s="15"/>
      <c r="TUD235" s="10"/>
      <c r="TUE235" s="10"/>
      <c r="TUF235" s="19"/>
      <c r="TUG235" s="19"/>
      <c r="TUJ235" s="16"/>
      <c r="TUK235" s="15"/>
      <c r="TUL235" s="15"/>
      <c r="TUM235" s="15"/>
      <c r="TUN235" s="16"/>
      <c r="TUO235" s="16"/>
      <c r="TUP235" s="16"/>
      <c r="TUQ235" s="16"/>
      <c r="TUR235" s="16"/>
      <c r="TUS235" s="15"/>
      <c r="TUT235" s="15"/>
      <c r="TUU235" s="10"/>
      <c r="TUV235" s="10"/>
      <c r="TUW235" s="19"/>
      <c r="TUX235" s="19"/>
      <c r="TVA235" s="16"/>
      <c r="TVB235" s="15"/>
      <c r="TVC235" s="15"/>
      <c r="TVD235" s="15"/>
      <c r="TVE235" s="16"/>
      <c r="TVF235" s="16"/>
      <c r="TVG235" s="16"/>
      <c r="TVH235" s="16"/>
      <c r="TVI235" s="16"/>
      <c r="TVJ235" s="15"/>
      <c r="TVK235" s="15"/>
      <c r="TVL235" s="10"/>
      <c r="TVM235" s="10"/>
      <c r="TVN235" s="19"/>
      <c r="TVO235" s="19"/>
      <c r="TVR235" s="16"/>
      <c r="TVS235" s="15"/>
      <c r="TVT235" s="15"/>
      <c r="TVU235" s="15"/>
      <c r="TVV235" s="16"/>
      <c r="TVW235" s="16"/>
      <c r="TVX235" s="16"/>
      <c r="TVY235" s="16"/>
      <c r="TVZ235" s="16"/>
      <c r="TWA235" s="15"/>
      <c r="TWB235" s="15"/>
      <c r="TWC235" s="10"/>
      <c r="TWD235" s="10"/>
      <c r="TWE235" s="19"/>
      <c r="TWF235" s="19"/>
      <c r="TWI235" s="16"/>
      <c r="TWJ235" s="15"/>
      <c r="TWK235" s="15"/>
      <c r="TWL235" s="15"/>
      <c r="TWM235" s="16"/>
      <c r="TWN235" s="16"/>
      <c r="TWO235" s="16"/>
      <c r="TWP235" s="16"/>
      <c r="TWQ235" s="16"/>
      <c r="TWR235" s="15"/>
      <c r="TWS235" s="15"/>
      <c r="TWT235" s="10"/>
      <c r="TWU235" s="10"/>
      <c r="TWV235" s="19"/>
      <c r="TWW235" s="19"/>
      <c r="TWZ235" s="16"/>
      <c r="TXA235" s="15"/>
      <c r="TXB235" s="15"/>
      <c r="TXC235" s="15"/>
      <c r="TXD235" s="16"/>
      <c r="TXE235" s="16"/>
      <c r="TXF235" s="16"/>
      <c r="TXG235" s="16"/>
      <c r="TXH235" s="16"/>
      <c r="TXI235" s="15"/>
      <c r="TXJ235" s="15"/>
      <c r="TXK235" s="10"/>
      <c r="TXL235" s="10"/>
      <c r="TXM235" s="19"/>
      <c r="TXN235" s="19"/>
      <c r="TXQ235" s="16"/>
      <c r="TXR235" s="15"/>
      <c r="TXS235" s="15"/>
      <c r="TXT235" s="15"/>
      <c r="TXU235" s="16"/>
      <c r="TXV235" s="16"/>
      <c r="TXW235" s="16"/>
      <c r="TXX235" s="16"/>
      <c r="TXY235" s="16"/>
      <c r="TXZ235" s="15"/>
      <c r="TYA235" s="15"/>
      <c r="TYB235" s="10"/>
      <c r="TYC235" s="10"/>
      <c r="TYD235" s="19"/>
      <c r="TYE235" s="19"/>
      <c r="TYH235" s="16"/>
      <c r="TYI235" s="15"/>
      <c r="TYJ235" s="15"/>
      <c r="TYK235" s="15"/>
      <c r="TYL235" s="16"/>
      <c r="TYM235" s="16"/>
      <c r="TYN235" s="16"/>
      <c r="TYO235" s="16"/>
      <c r="TYP235" s="16"/>
      <c r="TYQ235" s="15"/>
      <c r="TYR235" s="15"/>
      <c r="TYS235" s="10"/>
      <c r="TYT235" s="10"/>
      <c r="TYU235" s="19"/>
      <c r="TYV235" s="19"/>
      <c r="TYY235" s="16"/>
      <c r="TYZ235" s="15"/>
      <c r="TZA235" s="15"/>
      <c r="TZB235" s="15"/>
      <c r="TZC235" s="16"/>
      <c r="TZD235" s="16"/>
      <c r="TZE235" s="16"/>
      <c r="TZF235" s="16"/>
      <c r="TZG235" s="16"/>
      <c r="TZH235" s="15"/>
      <c r="TZI235" s="15"/>
      <c r="TZJ235" s="10"/>
      <c r="TZK235" s="10"/>
      <c r="TZL235" s="19"/>
      <c r="TZM235" s="19"/>
      <c r="TZP235" s="16"/>
      <c r="TZQ235" s="15"/>
      <c r="TZR235" s="15"/>
      <c r="TZS235" s="15"/>
      <c r="TZT235" s="16"/>
      <c r="TZU235" s="16"/>
      <c r="TZV235" s="16"/>
      <c r="TZW235" s="16"/>
      <c r="TZX235" s="16"/>
      <c r="TZY235" s="15"/>
      <c r="TZZ235" s="15"/>
      <c r="UAA235" s="10"/>
      <c r="UAB235" s="10"/>
      <c r="UAC235" s="19"/>
      <c r="UAD235" s="19"/>
      <c r="UAG235" s="16"/>
      <c r="UAH235" s="15"/>
      <c r="UAI235" s="15"/>
      <c r="UAJ235" s="15"/>
      <c r="UAK235" s="16"/>
      <c r="UAL235" s="16"/>
      <c r="UAM235" s="16"/>
      <c r="UAN235" s="16"/>
      <c r="UAO235" s="16"/>
      <c r="UAP235" s="15"/>
      <c r="UAQ235" s="15"/>
      <c r="UAR235" s="10"/>
      <c r="UAS235" s="10"/>
      <c r="UAT235" s="19"/>
      <c r="UAU235" s="19"/>
      <c r="UAX235" s="16"/>
      <c r="UAY235" s="15"/>
      <c r="UAZ235" s="15"/>
      <c r="UBA235" s="15"/>
      <c r="UBB235" s="16"/>
      <c r="UBC235" s="16"/>
      <c r="UBD235" s="16"/>
      <c r="UBE235" s="16"/>
      <c r="UBF235" s="16"/>
      <c r="UBG235" s="15"/>
      <c r="UBH235" s="15"/>
      <c r="UBI235" s="10"/>
      <c r="UBJ235" s="10"/>
      <c r="UBK235" s="19"/>
      <c r="UBL235" s="19"/>
      <c r="UBO235" s="16"/>
      <c r="UBP235" s="15"/>
      <c r="UBQ235" s="15"/>
      <c r="UBR235" s="15"/>
      <c r="UBS235" s="16"/>
      <c r="UBT235" s="16"/>
      <c r="UBU235" s="16"/>
      <c r="UBV235" s="16"/>
      <c r="UBW235" s="16"/>
      <c r="UBX235" s="15"/>
      <c r="UBY235" s="15"/>
      <c r="UBZ235" s="10"/>
      <c r="UCA235" s="10"/>
      <c r="UCB235" s="19"/>
      <c r="UCC235" s="19"/>
      <c r="UCF235" s="16"/>
      <c r="UCG235" s="15"/>
      <c r="UCH235" s="15"/>
      <c r="UCI235" s="15"/>
      <c r="UCJ235" s="16"/>
      <c r="UCK235" s="16"/>
      <c r="UCL235" s="16"/>
      <c r="UCM235" s="16"/>
      <c r="UCN235" s="16"/>
      <c r="UCO235" s="15"/>
      <c r="UCP235" s="15"/>
      <c r="UCQ235" s="10"/>
      <c r="UCR235" s="10"/>
      <c r="UCS235" s="19"/>
      <c r="UCT235" s="19"/>
      <c r="UCW235" s="16"/>
      <c r="UCX235" s="15"/>
      <c r="UCY235" s="15"/>
      <c r="UCZ235" s="15"/>
      <c r="UDA235" s="16"/>
      <c r="UDB235" s="16"/>
      <c r="UDC235" s="16"/>
      <c r="UDD235" s="16"/>
      <c r="UDE235" s="16"/>
      <c r="UDF235" s="15"/>
      <c r="UDG235" s="15"/>
      <c r="UDH235" s="10"/>
      <c r="UDI235" s="10"/>
      <c r="UDJ235" s="19"/>
      <c r="UDK235" s="19"/>
      <c r="UDN235" s="16"/>
      <c r="UDO235" s="15"/>
      <c r="UDP235" s="15"/>
      <c r="UDQ235" s="15"/>
      <c r="UDR235" s="16"/>
      <c r="UDS235" s="16"/>
      <c r="UDT235" s="16"/>
      <c r="UDU235" s="16"/>
      <c r="UDV235" s="16"/>
      <c r="UDW235" s="15"/>
      <c r="UDX235" s="15"/>
      <c r="UDY235" s="10"/>
      <c r="UDZ235" s="10"/>
      <c r="UEA235" s="19"/>
      <c r="UEB235" s="19"/>
      <c r="UEE235" s="16"/>
      <c r="UEF235" s="15"/>
      <c r="UEG235" s="15"/>
      <c r="UEH235" s="15"/>
      <c r="UEI235" s="16"/>
      <c r="UEJ235" s="16"/>
      <c r="UEK235" s="16"/>
      <c r="UEL235" s="16"/>
      <c r="UEM235" s="16"/>
      <c r="UEN235" s="15"/>
      <c r="UEO235" s="15"/>
      <c r="UEP235" s="10"/>
      <c r="UEQ235" s="10"/>
      <c r="UER235" s="19"/>
      <c r="UES235" s="19"/>
      <c r="UEV235" s="16"/>
      <c r="UEW235" s="15"/>
      <c r="UEX235" s="15"/>
      <c r="UEY235" s="15"/>
      <c r="UEZ235" s="16"/>
      <c r="UFA235" s="16"/>
      <c r="UFB235" s="16"/>
      <c r="UFC235" s="16"/>
      <c r="UFD235" s="16"/>
      <c r="UFE235" s="15"/>
      <c r="UFF235" s="15"/>
      <c r="UFG235" s="10"/>
      <c r="UFH235" s="10"/>
      <c r="UFI235" s="19"/>
      <c r="UFJ235" s="19"/>
      <c r="UFM235" s="16"/>
      <c r="UFN235" s="15"/>
      <c r="UFO235" s="15"/>
      <c r="UFP235" s="15"/>
      <c r="UFQ235" s="16"/>
      <c r="UFR235" s="16"/>
      <c r="UFS235" s="16"/>
      <c r="UFT235" s="16"/>
      <c r="UFU235" s="16"/>
      <c r="UFV235" s="15"/>
      <c r="UFW235" s="15"/>
      <c r="UFX235" s="10"/>
      <c r="UFY235" s="10"/>
      <c r="UFZ235" s="19"/>
      <c r="UGA235" s="19"/>
      <c r="UGD235" s="16"/>
      <c r="UGE235" s="15"/>
      <c r="UGF235" s="15"/>
      <c r="UGG235" s="15"/>
      <c r="UGH235" s="16"/>
      <c r="UGI235" s="16"/>
      <c r="UGJ235" s="16"/>
      <c r="UGK235" s="16"/>
      <c r="UGL235" s="16"/>
      <c r="UGM235" s="15"/>
      <c r="UGN235" s="15"/>
      <c r="UGO235" s="10"/>
      <c r="UGP235" s="10"/>
      <c r="UGQ235" s="19"/>
      <c r="UGR235" s="19"/>
      <c r="UGU235" s="16"/>
      <c r="UGV235" s="15"/>
      <c r="UGW235" s="15"/>
      <c r="UGX235" s="15"/>
      <c r="UGY235" s="16"/>
      <c r="UGZ235" s="16"/>
      <c r="UHA235" s="16"/>
      <c r="UHB235" s="16"/>
      <c r="UHC235" s="16"/>
      <c r="UHD235" s="15"/>
      <c r="UHE235" s="15"/>
      <c r="UHF235" s="10"/>
      <c r="UHG235" s="10"/>
      <c r="UHH235" s="19"/>
      <c r="UHI235" s="19"/>
      <c r="UHL235" s="16"/>
      <c r="UHM235" s="15"/>
      <c r="UHN235" s="15"/>
      <c r="UHO235" s="15"/>
      <c r="UHP235" s="16"/>
      <c r="UHQ235" s="16"/>
      <c r="UHR235" s="16"/>
      <c r="UHS235" s="16"/>
      <c r="UHT235" s="16"/>
      <c r="UHU235" s="15"/>
      <c r="UHV235" s="15"/>
      <c r="UHW235" s="10"/>
      <c r="UHX235" s="10"/>
      <c r="UHY235" s="19"/>
      <c r="UHZ235" s="19"/>
      <c r="UIC235" s="16"/>
      <c r="UID235" s="15"/>
      <c r="UIE235" s="15"/>
      <c r="UIF235" s="15"/>
      <c r="UIG235" s="16"/>
      <c r="UIH235" s="16"/>
      <c r="UII235" s="16"/>
      <c r="UIJ235" s="16"/>
      <c r="UIK235" s="16"/>
      <c r="UIL235" s="15"/>
      <c r="UIM235" s="15"/>
      <c r="UIN235" s="10"/>
      <c r="UIO235" s="10"/>
      <c r="UIP235" s="19"/>
      <c r="UIQ235" s="19"/>
      <c r="UIT235" s="16"/>
      <c r="UIU235" s="15"/>
      <c r="UIV235" s="15"/>
      <c r="UIW235" s="15"/>
      <c r="UIX235" s="16"/>
      <c r="UIY235" s="16"/>
      <c r="UIZ235" s="16"/>
      <c r="UJA235" s="16"/>
      <c r="UJB235" s="16"/>
      <c r="UJC235" s="15"/>
      <c r="UJD235" s="15"/>
      <c r="UJE235" s="10"/>
      <c r="UJF235" s="10"/>
      <c r="UJG235" s="19"/>
      <c r="UJH235" s="19"/>
      <c r="UJK235" s="16"/>
      <c r="UJL235" s="15"/>
      <c r="UJM235" s="15"/>
      <c r="UJN235" s="15"/>
      <c r="UJO235" s="16"/>
      <c r="UJP235" s="16"/>
      <c r="UJQ235" s="16"/>
      <c r="UJR235" s="16"/>
      <c r="UJS235" s="16"/>
      <c r="UJT235" s="15"/>
      <c r="UJU235" s="15"/>
      <c r="UJV235" s="10"/>
      <c r="UJW235" s="10"/>
      <c r="UJX235" s="19"/>
      <c r="UJY235" s="19"/>
      <c r="UKB235" s="16"/>
      <c r="UKC235" s="15"/>
      <c r="UKD235" s="15"/>
      <c r="UKE235" s="15"/>
      <c r="UKF235" s="16"/>
      <c r="UKG235" s="16"/>
      <c r="UKH235" s="16"/>
      <c r="UKI235" s="16"/>
      <c r="UKJ235" s="16"/>
      <c r="UKK235" s="15"/>
      <c r="UKL235" s="15"/>
      <c r="UKM235" s="10"/>
      <c r="UKN235" s="10"/>
      <c r="UKO235" s="19"/>
      <c r="UKP235" s="19"/>
      <c r="UKS235" s="16"/>
      <c r="UKT235" s="15"/>
      <c r="UKU235" s="15"/>
      <c r="UKV235" s="15"/>
      <c r="UKW235" s="16"/>
      <c r="UKX235" s="16"/>
      <c r="UKY235" s="16"/>
      <c r="UKZ235" s="16"/>
      <c r="ULA235" s="16"/>
      <c r="ULB235" s="15"/>
      <c r="ULC235" s="15"/>
      <c r="ULD235" s="10"/>
      <c r="ULE235" s="10"/>
      <c r="ULF235" s="19"/>
      <c r="ULG235" s="19"/>
      <c r="ULJ235" s="16"/>
      <c r="ULK235" s="15"/>
      <c r="ULL235" s="15"/>
      <c r="ULM235" s="15"/>
      <c r="ULN235" s="16"/>
      <c r="ULO235" s="16"/>
      <c r="ULP235" s="16"/>
      <c r="ULQ235" s="16"/>
      <c r="ULR235" s="16"/>
      <c r="ULS235" s="15"/>
      <c r="ULT235" s="15"/>
      <c r="ULU235" s="10"/>
      <c r="ULV235" s="10"/>
      <c r="ULW235" s="19"/>
      <c r="ULX235" s="19"/>
      <c r="UMA235" s="16"/>
      <c r="UMB235" s="15"/>
      <c r="UMC235" s="15"/>
      <c r="UMD235" s="15"/>
      <c r="UME235" s="16"/>
      <c r="UMF235" s="16"/>
      <c r="UMG235" s="16"/>
      <c r="UMH235" s="16"/>
      <c r="UMI235" s="16"/>
      <c r="UMJ235" s="15"/>
      <c r="UMK235" s="15"/>
      <c r="UML235" s="10"/>
      <c r="UMM235" s="10"/>
      <c r="UMN235" s="19"/>
      <c r="UMO235" s="19"/>
      <c r="UMR235" s="16"/>
      <c r="UMS235" s="15"/>
      <c r="UMT235" s="15"/>
      <c r="UMU235" s="15"/>
      <c r="UMV235" s="16"/>
      <c r="UMW235" s="16"/>
      <c r="UMX235" s="16"/>
      <c r="UMY235" s="16"/>
      <c r="UMZ235" s="16"/>
      <c r="UNA235" s="15"/>
      <c r="UNB235" s="15"/>
      <c r="UNC235" s="10"/>
      <c r="UND235" s="10"/>
      <c r="UNE235" s="19"/>
      <c r="UNF235" s="19"/>
      <c r="UNI235" s="16"/>
      <c r="UNJ235" s="15"/>
      <c r="UNK235" s="15"/>
      <c r="UNL235" s="15"/>
      <c r="UNM235" s="16"/>
      <c r="UNN235" s="16"/>
      <c r="UNO235" s="16"/>
      <c r="UNP235" s="16"/>
      <c r="UNQ235" s="16"/>
      <c r="UNR235" s="15"/>
      <c r="UNS235" s="15"/>
      <c r="UNT235" s="10"/>
      <c r="UNU235" s="10"/>
      <c r="UNV235" s="19"/>
      <c r="UNW235" s="19"/>
      <c r="UNZ235" s="16"/>
      <c r="UOA235" s="15"/>
      <c r="UOB235" s="15"/>
      <c r="UOC235" s="15"/>
      <c r="UOD235" s="16"/>
      <c r="UOE235" s="16"/>
      <c r="UOF235" s="16"/>
      <c r="UOG235" s="16"/>
      <c r="UOH235" s="16"/>
      <c r="UOI235" s="15"/>
      <c r="UOJ235" s="15"/>
      <c r="UOK235" s="10"/>
      <c r="UOL235" s="10"/>
      <c r="UOM235" s="19"/>
      <c r="UON235" s="19"/>
      <c r="UOQ235" s="16"/>
      <c r="UOR235" s="15"/>
      <c r="UOS235" s="15"/>
      <c r="UOT235" s="15"/>
      <c r="UOU235" s="16"/>
      <c r="UOV235" s="16"/>
      <c r="UOW235" s="16"/>
      <c r="UOX235" s="16"/>
      <c r="UOY235" s="16"/>
      <c r="UOZ235" s="15"/>
      <c r="UPA235" s="15"/>
      <c r="UPB235" s="10"/>
      <c r="UPC235" s="10"/>
      <c r="UPD235" s="19"/>
      <c r="UPE235" s="19"/>
      <c r="UPH235" s="16"/>
      <c r="UPI235" s="15"/>
      <c r="UPJ235" s="15"/>
      <c r="UPK235" s="15"/>
      <c r="UPL235" s="16"/>
      <c r="UPM235" s="16"/>
      <c r="UPN235" s="16"/>
      <c r="UPO235" s="16"/>
      <c r="UPP235" s="16"/>
      <c r="UPQ235" s="15"/>
      <c r="UPR235" s="15"/>
      <c r="UPS235" s="10"/>
      <c r="UPT235" s="10"/>
      <c r="UPU235" s="19"/>
      <c r="UPV235" s="19"/>
      <c r="UPY235" s="16"/>
      <c r="UPZ235" s="15"/>
      <c r="UQA235" s="15"/>
      <c r="UQB235" s="15"/>
      <c r="UQC235" s="16"/>
      <c r="UQD235" s="16"/>
      <c r="UQE235" s="16"/>
      <c r="UQF235" s="16"/>
      <c r="UQG235" s="16"/>
      <c r="UQH235" s="15"/>
      <c r="UQI235" s="15"/>
      <c r="UQJ235" s="10"/>
      <c r="UQK235" s="10"/>
      <c r="UQL235" s="19"/>
      <c r="UQM235" s="19"/>
      <c r="UQP235" s="16"/>
      <c r="UQQ235" s="15"/>
      <c r="UQR235" s="15"/>
      <c r="UQS235" s="15"/>
      <c r="UQT235" s="16"/>
      <c r="UQU235" s="16"/>
      <c r="UQV235" s="16"/>
      <c r="UQW235" s="16"/>
      <c r="UQX235" s="16"/>
      <c r="UQY235" s="15"/>
      <c r="UQZ235" s="15"/>
      <c r="URA235" s="10"/>
      <c r="URB235" s="10"/>
      <c r="URC235" s="19"/>
      <c r="URD235" s="19"/>
      <c r="URG235" s="16"/>
      <c r="URH235" s="15"/>
      <c r="URI235" s="15"/>
      <c r="URJ235" s="15"/>
      <c r="URK235" s="16"/>
      <c r="URL235" s="16"/>
      <c r="URM235" s="16"/>
      <c r="URN235" s="16"/>
      <c r="URO235" s="16"/>
      <c r="URP235" s="15"/>
      <c r="URQ235" s="15"/>
      <c r="URR235" s="10"/>
      <c r="URS235" s="10"/>
      <c r="URT235" s="19"/>
      <c r="URU235" s="19"/>
      <c r="URX235" s="16"/>
      <c r="URY235" s="15"/>
      <c r="URZ235" s="15"/>
      <c r="USA235" s="15"/>
      <c r="USB235" s="16"/>
      <c r="USC235" s="16"/>
      <c r="USD235" s="16"/>
      <c r="USE235" s="16"/>
      <c r="USF235" s="16"/>
      <c r="USG235" s="15"/>
      <c r="USH235" s="15"/>
      <c r="USI235" s="10"/>
      <c r="USJ235" s="10"/>
      <c r="USK235" s="19"/>
      <c r="USL235" s="19"/>
      <c r="USO235" s="16"/>
      <c r="USP235" s="15"/>
      <c r="USQ235" s="15"/>
      <c r="USR235" s="15"/>
      <c r="USS235" s="16"/>
      <c r="UST235" s="16"/>
      <c r="USU235" s="16"/>
      <c r="USV235" s="16"/>
      <c r="USW235" s="16"/>
      <c r="USX235" s="15"/>
      <c r="USY235" s="15"/>
      <c r="USZ235" s="10"/>
      <c r="UTA235" s="10"/>
      <c r="UTB235" s="19"/>
      <c r="UTC235" s="19"/>
      <c r="UTF235" s="16"/>
      <c r="UTG235" s="15"/>
      <c r="UTH235" s="15"/>
      <c r="UTI235" s="15"/>
      <c r="UTJ235" s="16"/>
      <c r="UTK235" s="16"/>
      <c r="UTL235" s="16"/>
      <c r="UTM235" s="16"/>
      <c r="UTN235" s="16"/>
      <c r="UTO235" s="15"/>
      <c r="UTP235" s="15"/>
      <c r="UTQ235" s="10"/>
      <c r="UTR235" s="10"/>
      <c r="UTS235" s="19"/>
      <c r="UTT235" s="19"/>
      <c r="UTW235" s="16"/>
      <c r="UTX235" s="15"/>
      <c r="UTY235" s="15"/>
      <c r="UTZ235" s="15"/>
      <c r="UUA235" s="16"/>
      <c r="UUB235" s="16"/>
      <c r="UUC235" s="16"/>
      <c r="UUD235" s="16"/>
      <c r="UUE235" s="16"/>
      <c r="UUF235" s="15"/>
      <c r="UUG235" s="15"/>
      <c r="UUH235" s="10"/>
      <c r="UUI235" s="10"/>
      <c r="UUJ235" s="19"/>
      <c r="UUK235" s="19"/>
      <c r="UUN235" s="16"/>
      <c r="UUO235" s="15"/>
      <c r="UUP235" s="15"/>
      <c r="UUQ235" s="15"/>
      <c r="UUR235" s="16"/>
      <c r="UUS235" s="16"/>
      <c r="UUT235" s="16"/>
      <c r="UUU235" s="16"/>
      <c r="UUV235" s="16"/>
      <c r="UUW235" s="15"/>
      <c r="UUX235" s="15"/>
      <c r="UUY235" s="10"/>
      <c r="UUZ235" s="10"/>
      <c r="UVA235" s="19"/>
      <c r="UVB235" s="19"/>
      <c r="UVE235" s="16"/>
      <c r="UVF235" s="15"/>
      <c r="UVG235" s="15"/>
      <c r="UVH235" s="15"/>
      <c r="UVI235" s="16"/>
      <c r="UVJ235" s="16"/>
      <c r="UVK235" s="16"/>
      <c r="UVL235" s="16"/>
      <c r="UVM235" s="16"/>
      <c r="UVN235" s="15"/>
      <c r="UVO235" s="15"/>
      <c r="UVP235" s="10"/>
      <c r="UVQ235" s="10"/>
      <c r="UVR235" s="19"/>
      <c r="UVS235" s="19"/>
      <c r="UVV235" s="16"/>
      <c r="UVW235" s="15"/>
      <c r="UVX235" s="15"/>
      <c r="UVY235" s="15"/>
      <c r="UVZ235" s="16"/>
      <c r="UWA235" s="16"/>
      <c r="UWB235" s="16"/>
      <c r="UWC235" s="16"/>
      <c r="UWD235" s="16"/>
      <c r="UWE235" s="15"/>
      <c r="UWF235" s="15"/>
      <c r="UWG235" s="10"/>
      <c r="UWH235" s="10"/>
      <c r="UWI235" s="19"/>
      <c r="UWJ235" s="19"/>
      <c r="UWM235" s="16"/>
      <c r="UWN235" s="15"/>
      <c r="UWO235" s="15"/>
      <c r="UWP235" s="15"/>
      <c r="UWQ235" s="16"/>
      <c r="UWR235" s="16"/>
      <c r="UWS235" s="16"/>
      <c r="UWT235" s="16"/>
      <c r="UWU235" s="16"/>
      <c r="UWV235" s="15"/>
      <c r="UWW235" s="15"/>
      <c r="UWX235" s="10"/>
      <c r="UWY235" s="10"/>
      <c r="UWZ235" s="19"/>
      <c r="UXA235" s="19"/>
      <c r="UXD235" s="16"/>
      <c r="UXE235" s="15"/>
      <c r="UXF235" s="15"/>
      <c r="UXG235" s="15"/>
      <c r="UXH235" s="16"/>
      <c r="UXI235" s="16"/>
      <c r="UXJ235" s="16"/>
      <c r="UXK235" s="16"/>
      <c r="UXL235" s="16"/>
      <c r="UXM235" s="15"/>
      <c r="UXN235" s="15"/>
      <c r="UXO235" s="10"/>
      <c r="UXP235" s="10"/>
      <c r="UXQ235" s="19"/>
      <c r="UXR235" s="19"/>
      <c r="UXU235" s="16"/>
      <c r="UXV235" s="15"/>
      <c r="UXW235" s="15"/>
      <c r="UXX235" s="15"/>
      <c r="UXY235" s="16"/>
      <c r="UXZ235" s="16"/>
      <c r="UYA235" s="16"/>
      <c r="UYB235" s="16"/>
      <c r="UYC235" s="16"/>
      <c r="UYD235" s="15"/>
      <c r="UYE235" s="15"/>
      <c r="UYF235" s="10"/>
      <c r="UYG235" s="10"/>
      <c r="UYH235" s="19"/>
      <c r="UYI235" s="19"/>
      <c r="UYL235" s="16"/>
      <c r="UYM235" s="15"/>
      <c r="UYN235" s="15"/>
      <c r="UYO235" s="15"/>
      <c r="UYP235" s="16"/>
      <c r="UYQ235" s="16"/>
      <c r="UYR235" s="16"/>
      <c r="UYS235" s="16"/>
      <c r="UYT235" s="16"/>
      <c r="UYU235" s="15"/>
      <c r="UYV235" s="15"/>
      <c r="UYW235" s="10"/>
      <c r="UYX235" s="10"/>
      <c r="UYY235" s="19"/>
      <c r="UYZ235" s="19"/>
      <c r="UZC235" s="16"/>
      <c r="UZD235" s="15"/>
      <c r="UZE235" s="15"/>
      <c r="UZF235" s="15"/>
      <c r="UZG235" s="16"/>
      <c r="UZH235" s="16"/>
      <c r="UZI235" s="16"/>
      <c r="UZJ235" s="16"/>
      <c r="UZK235" s="16"/>
      <c r="UZL235" s="15"/>
      <c r="UZM235" s="15"/>
      <c r="UZN235" s="10"/>
      <c r="UZO235" s="10"/>
      <c r="UZP235" s="19"/>
      <c r="UZQ235" s="19"/>
      <c r="UZT235" s="16"/>
      <c r="UZU235" s="15"/>
      <c r="UZV235" s="15"/>
      <c r="UZW235" s="15"/>
      <c r="UZX235" s="16"/>
      <c r="UZY235" s="16"/>
      <c r="UZZ235" s="16"/>
      <c r="VAA235" s="16"/>
      <c r="VAB235" s="16"/>
      <c r="VAC235" s="15"/>
      <c r="VAD235" s="15"/>
      <c r="VAE235" s="10"/>
      <c r="VAF235" s="10"/>
      <c r="VAG235" s="19"/>
      <c r="VAH235" s="19"/>
      <c r="VAK235" s="16"/>
      <c r="VAL235" s="15"/>
      <c r="VAM235" s="15"/>
      <c r="VAN235" s="15"/>
      <c r="VAO235" s="16"/>
      <c r="VAP235" s="16"/>
      <c r="VAQ235" s="16"/>
      <c r="VAR235" s="16"/>
      <c r="VAS235" s="16"/>
      <c r="VAT235" s="15"/>
      <c r="VAU235" s="15"/>
      <c r="VAV235" s="10"/>
      <c r="VAW235" s="10"/>
      <c r="VAX235" s="19"/>
      <c r="VAY235" s="19"/>
      <c r="VBB235" s="16"/>
      <c r="VBC235" s="15"/>
      <c r="VBD235" s="15"/>
      <c r="VBE235" s="15"/>
      <c r="VBF235" s="16"/>
      <c r="VBG235" s="16"/>
      <c r="VBH235" s="16"/>
      <c r="VBI235" s="16"/>
      <c r="VBJ235" s="16"/>
      <c r="VBK235" s="15"/>
      <c r="VBL235" s="15"/>
      <c r="VBM235" s="10"/>
      <c r="VBN235" s="10"/>
      <c r="VBO235" s="19"/>
      <c r="VBP235" s="19"/>
      <c r="VBS235" s="16"/>
      <c r="VBT235" s="15"/>
      <c r="VBU235" s="15"/>
      <c r="VBV235" s="15"/>
      <c r="VBW235" s="16"/>
      <c r="VBX235" s="16"/>
      <c r="VBY235" s="16"/>
      <c r="VBZ235" s="16"/>
      <c r="VCA235" s="16"/>
      <c r="VCB235" s="15"/>
      <c r="VCC235" s="15"/>
      <c r="VCD235" s="10"/>
      <c r="VCE235" s="10"/>
      <c r="VCF235" s="19"/>
      <c r="VCG235" s="19"/>
      <c r="VCJ235" s="16"/>
      <c r="VCK235" s="15"/>
      <c r="VCL235" s="15"/>
      <c r="VCM235" s="15"/>
      <c r="VCN235" s="16"/>
      <c r="VCO235" s="16"/>
      <c r="VCP235" s="16"/>
      <c r="VCQ235" s="16"/>
      <c r="VCR235" s="16"/>
      <c r="VCS235" s="15"/>
      <c r="VCT235" s="15"/>
      <c r="VCU235" s="10"/>
      <c r="VCV235" s="10"/>
      <c r="VCW235" s="19"/>
      <c r="VCX235" s="19"/>
      <c r="VDA235" s="16"/>
      <c r="VDB235" s="15"/>
      <c r="VDC235" s="15"/>
      <c r="VDD235" s="15"/>
      <c r="VDE235" s="16"/>
      <c r="VDF235" s="16"/>
      <c r="VDG235" s="16"/>
      <c r="VDH235" s="16"/>
      <c r="VDI235" s="16"/>
      <c r="VDJ235" s="15"/>
      <c r="VDK235" s="15"/>
      <c r="VDL235" s="10"/>
      <c r="VDM235" s="10"/>
      <c r="VDN235" s="19"/>
      <c r="VDO235" s="19"/>
      <c r="VDR235" s="16"/>
      <c r="VDS235" s="15"/>
      <c r="VDT235" s="15"/>
      <c r="VDU235" s="15"/>
      <c r="VDV235" s="16"/>
      <c r="VDW235" s="16"/>
      <c r="VDX235" s="16"/>
      <c r="VDY235" s="16"/>
      <c r="VDZ235" s="16"/>
      <c r="VEA235" s="15"/>
      <c r="VEB235" s="15"/>
      <c r="VEC235" s="10"/>
      <c r="VED235" s="10"/>
      <c r="VEE235" s="19"/>
      <c r="VEF235" s="19"/>
      <c r="VEI235" s="16"/>
      <c r="VEJ235" s="15"/>
      <c r="VEK235" s="15"/>
      <c r="VEL235" s="15"/>
      <c r="VEM235" s="16"/>
      <c r="VEN235" s="16"/>
      <c r="VEO235" s="16"/>
      <c r="VEP235" s="16"/>
      <c r="VEQ235" s="16"/>
      <c r="VER235" s="15"/>
      <c r="VES235" s="15"/>
      <c r="VET235" s="10"/>
      <c r="VEU235" s="10"/>
      <c r="VEV235" s="19"/>
      <c r="VEW235" s="19"/>
      <c r="VEZ235" s="16"/>
      <c r="VFA235" s="15"/>
      <c r="VFB235" s="15"/>
      <c r="VFC235" s="15"/>
      <c r="VFD235" s="16"/>
      <c r="VFE235" s="16"/>
      <c r="VFF235" s="16"/>
      <c r="VFG235" s="16"/>
      <c r="VFH235" s="16"/>
      <c r="VFI235" s="15"/>
      <c r="VFJ235" s="15"/>
      <c r="VFK235" s="10"/>
      <c r="VFL235" s="10"/>
      <c r="VFM235" s="19"/>
      <c r="VFN235" s="19"/>
      <c r="VFQ235" s="16"/>
      <c r="VFR235" s="15"/>
      <c r="VFS235" s="15"/>
      <c r="VFT235" s="15"/>
      <c r="VFU235" s="16"/>
      <c r="VFV235" s="16"/>
      <c r="VFW235" s="16"/>
      <c r="VFX235" s="16"/>
      <c r="VFY235" s="16"/>
      <c r="VFZ235" s="15"/>
      <c r="VGA235" s="15"/>
      <c r="VGB235" s="10"/>
      <c r="VGC235" s="10"/>
      <c r="VGD235" s="19"/>
      <c r="VGE235" s="19"/>
      <c r="VGH235" s="16"/>
      <c r="VGI235" s="15"/>
      <c r="VGJ235" s="15"/>
      <c r="VGK235" s="15"/>
      <c r="VGL235" s="16"/>
      <c r="VGM235" s="16"/>
      <c r="VGN235" s="16"/>
      <c r="VGO235" s="16"/>
      <c r="VGP235" s="16"/>
      <c r="VGQ235" s="15"/>
      <c r="VGR235" s="15"/>
      <c r="VGS235" s="10"/>
      <c r="VGT235" s="10"/>
      <c r="VGU235" s="19"/>
      <c r="VGV235" s="19"/>
      <c r="VGY235" s="16"/>
      <c r="VGZ235" s="15"/>
      <c r="VHA235" s="15"/>
      <c r="VHB235" s="15"/>
      <c r="VHC235" s="16"/>
      <c r="VHD235" s="16"/>
      <c r="VHE235" s="16"/>
      <c r="VHF235" s="16"/>
      <c r="VHG235" s="16"/>
      <c r="VHH235" s="15"/>
      <c r="VHI235" s="15"/>
      <c r="VHJ235" s="10"/>
      <c r="VHK235" s="10"/>
      <c r="VHL235" s="19"/>
      <c r="VHM235" s="19"/>
      <c r="VHP235" s="16"/>
      <c r="VHQ235" s="15"/>
      <c r="VHR235" s="15"/>
      <c r="VHS235" s="15"/>
      <c r="VHT235" s="16"/>
      <c r="VHU235" s="16"/>
      <c r="VHV235" s="16"/>
      <c r="VHW235" s="16"/>
      <c r="VHX235" s="16"/>
      <c r="VHY235" s="15"/>
      <c r="VHZ235" s="15"/>
      <c r="VIA235" s="10"/>
      <c r="VIB235" s="10"/>
      <c r="VIC235" s="19"/>
      <c r="VID235" s="19"/>
      <c r="VIG235" s="16"/>
      <c r="VIH235" s="15"/>
      <c r="VII235" s="15"/>
      <c r="VIJ235" s="15"/>
      <c r="VIK235" s="16"/>
      <c r="VIL235" s="16"/>
      <c r="VIM235" s="16"/>
      <c r="VIN235" s="16"/>
      <c r="VIO235" s="16"/>
      <c r="VIP235" s="15"/>
      <c r="VIQ235" s="15"/>
      <c r="VIR235" s="10"/>
      <c r="VIS235" s="10"/>
      <c r="VIT235" s="19"/>
      <c r="VIU235" s="19"/>
      <c r="VIX235" s="16"/>
      <c r="VIY235" s="15"/>
      <c r="VIZ235" s="15"/>
      <c r="VJA235" s="15"/>
      <c r="VJB235" s="16"/>
      <c r="VJC235" s="16"/>
      <c r="VJD235" s="16"/>
      <c r="VJE235" s="16"/>
      <c r="VJF235" s="16"/>
      <c r="VJG235" s="15"/>
      <c r="VJH235" s="15"/>
      <c r="VJI235" s="10"/>
      <c r="VJJ235" s="10"/>
      <c r="VJK235" s="19"/>
      <c r="VJL235" s="19"/>
      <c r="VJO235" s="16"/>
      <c r="VJP235" s="15"/>
      <c r="VJQ235" s="15"/>
      <c r="VJR235" s="15"/>
      <c r="VJS235" s="16"/>
      <c r="VJT235" s="16"/>
      <c r="VJU235" s="16"/>
      <c r="VJV235" s="16"/>
      <c r="VJW235" s="16"/>
      <c r="VJX235" s="15"/>
      <c r="VJY235" s="15"/>
      <c r="VJZ235" s="10"/>
      <c r="VKA235" s="10"/>
      <c r="VKB235" s="19"/>
      <c r="VKC235" s="19"/>
      <c r="VKF235" s="16"/>
      <c r="VKG235" s="15"/>
      <c r="VKH235" s="15"/>
      <c r="VKI235" s="15"/>
      <c r="VKJ235" s="16"/>
      <c r="VKK235" s="16"/>
      <c r="VKL235" s="16"/>
      <c r="VKM235" s="16"/>
      <c r="VKN235" s="16"/>
      <c r="VKO235" s="15"/>
      <c r="VKP235" s="15"/>
      <c r="VKQ235" s="10"/>
      <c r="VKR235" s="10"/>
      <c r="VKS235" s="19"/>
      <c r="VKT235" s="19"/>
      <c r="VKW235" s="16"/>
      <c r="VKX235" s="15"/>
      <c r="VKY235" s="15"/>
      <c r="VKZ235" s="15"/>
      <c r="VLA235" s="16"/>
      <c r="VLB235" s="16"/>
      <c r="VLC235" s="16"/>
      <c r="VLD235" s="16"/>
      <c r="VLE235" s="16"/>
      <c r="VLF235" s="15"/>
      <c r="VLG235" s="15"/>
      <c r="VLH235" s="10"/>
      <c r="VLI235" s="10"/>
      <c r="VLJ235" s="19"/>
      <c r="VLK235" s="19"/>
      <c r="VLN235" s="16"/>
      <c r="VLO235" s="15"/>
      <c r="VLP235" s="15"/>
      <c r="VLQ235" s="15"/>
      <c r="VLR235" s="16"/>
      <c r="VLS235" s="16"/>
      <c r="VLT235" s="16"/>
      <c r="VLU235" s="16"/>
      <c r="VLV235" s="16"/>
      <c r="VLW235" s="15"/>
      <c r="VLX235" s="15"/>
      <c r="VLY235" s="10"/>
      <c r="VLZ235" s="10"/>
      <c r="VMA235" s="19"/>
      <c r="VMB235" s="19"/>
      <c r="VME235" s="16"/>
      <c r="VMF235" s="15"/>
      <c r="VMG235" s="15"/>
      <c r="VMH235" s="15"/>
      <c r="VMI235" s="16"/>
      <c r="VMJ235" s="16"/>
      <c r="VMK235" s="16"/>
      <c r="VML235" s="16"/>
      <c r="VMM235" s="16"/>
      <c r="VMN235" s="15"/>
      <c r="VMO235" s="15"/>
      <c r="VMP235" s="10"/>
      <c r="VMQ235" s="10"/>
      <c r="VMR235" s="19"/>
      <c r="VMS235" s="19"/>
      <c r="VMV235" s="16"/>
      <c r="VMW235" s="15"/>
      <c r="VMX235" s="15"/>
      <c r="VMY235" s="15"/>
      <c r="VMZ235" s="16"/>
      <c r="VNA235" s="16"/>
      <c r="VNB235" s="16"/>
      <c r="VNC235" s="16"/>
      <c r="VND235" s="16"/>
      <c r="VNE235" s="15"/>
      <c r="VNF235" s="15"/>
      <c r="VNG235" s="10"/>
      <c r="VNH235" s="10"/>
      <c r="VNI235" s="19"/>
      <c r="VNJ235" s="19"/>
      <c r="VNM235" s="16"/>
      <c r="VNN235" s="15"/>
      <c r="VNO235" s="15"/>
      <c r="VNP235" s="15"/>
      <c r="VNQ235" s="16"/>
      <c r="VNR235" s="16"/>
      <c r="VNS235" s="16"/>
      <c r="VNT235" s="16"/>
      <c r="VNU235" s="16"/>
      <c r="VNV235" s="15"/>
      <c r="VNW235" s="15"/>
      <c r="VNX235" s="10"/>
      <c r="VNY235" s="10"/>
      <c r="VNZ235" s="19"/>
      <c r="VOA235" s="19"/>
      <c r="VOD235" s="16"/>
      <c r="VOE235" s="15"/>
      <c r="VOF235" s="15"/>
      <c r="VOG235" s="15"/>
      <c r="VOH235" s="16"/>
      <c r="VOI235" s="16"/>
      <c r="VOJ235" s="16"/>
      <c r="VOK235" s="16"/>
      <c r="VOL235" s="16"/>
      <c r="VOM235" s="15"/>
      <c r="VON235" s="15"/>
      <c r="VOO235" s="10"/>
      <c r="VOP235" s="10"/>
      <c r="VOQ235" s="19"/>
      <c r="VOR235" s="19"/>
      <c r="VOU235" s="16"/>
      <c r="VOV235" s="15"/>
      <c r="VOW235" s="15"/>
      <c r="VOX235" s="15"/>
      <c r="VOY235" s="16"/>
      <c r="VOZ235" s="16"/>
      <c r="VPA235" s="16"/>
      <c r="VPB235" s="16"/>
      <c r="VPC235" s="16"/>
      <c r="VPD235" s="15"/>
      <c r="VPE235" s="15"/>
      <c r="VPF235" s="10"/>
      <c r="VPG235" s="10"/>
      <c r="VPH235" s="19"/>
      <c r="VPI235" s="19"/>
      <c r="VPL235" s="16"/>
      <c r="VPM235" s="15"/>
      <c r="VPN235" s="15"/>
      <c r="VPO235" s="15"/>
      <c r="VPP235" s="16"/>
      <c r="VPQ235" s="16"/>
      <c r="VPR235" s="16"/>
      <c r="VPS235" s="16"/>
      <c r="VPT235" s="16"/>
      <c r="VPU235" s="15"/>
      <c r="VPV235" s="15"/>
      <c r="VPW235" s="10"/>
      <c r="VPX235" s="10"/>
      <c r="VPY235" s="19"/>
      <c r="VPZ235" s="19"/>
      <c r="VQC235" s="16"/>
      <c r="VQD235" s="15"/>
      <c r="VQE235" s="15"/>
      <c r="VQF235" s="15"/>
      <c r="VQG235" s="16"/>
      <c r="VQH235" s="16"/>
      <c r="VQI235" s="16"/>
      <c r="VQJ235" s="16"/>
      <c r="VQK235" s="16"/>
      <c r="VQL235" s="15"/>
      <c r="VQM235" s="15"/>
      <c r="VQN235" s="10"/>
      <c r="VQO235" s="10"/>
      <c r="VQP235" s="19"/>
      <c r="VQQ235" s="19"/>
      <c r="VQT235" s="16"/>
      <c r="VQU235" s="15"/>
      <c r="VQV235" s="15"/>
      <c r="VQW235" s="15"/>
      <c r="VQX235" s="16"/>
      <c r="VQY235" s="16"/>
      <c r="VQZ235" s="16"/>
      <c r="VRA235" s="16"/>
      <c r="VRB235" s="16"/>
      <c r="VRC235" s="15"/>
      <c r="VRD235" s="15"/>
      <c r="VRE235" s="10"/>
      <c r="VRF235" s="10"/>
      <c r="VRG235" s="19"/>
      <c r="VRH235" s="19"/>
      <c r="VRK235" s="16"/>
      <c r="VRL235" s="15"/>
      <c r="VRM235" s="15"/>
      <c r="VRN235" s="15"/>
      <c r="VRO235" s="16"/>
      <c r="VRP235" s="16"/>
      <c r="VRQ235" s="16"/>
      <c r="VRR235" s="16"/>
      <c r="VRS235" s="16"/>
      <c r="VRT235" s="15"/>
      <c r="VRU235" s="15"/>
      <c r="VRV235" s="10"/>
      <c r="VRW235" s="10"/>
      <c r="VRX235" s="19"/>
      <c r="VRY235" s="19"/>
      <c r="VSB235" s="16"/>
      <c r="VSC235" s="15"/>
      <c r="VSD235" s="15"/>
      <c r="VSE235" s="15"/>
      <c r="VSF235" s="16"/>
      <c r="VSG235" s="16"/>
      <c r="VSH235" s="16"/>
      <c r="VSI235" s="16"/>
      <c r="VSJ235" s="16"/>
      <c r="VSK235" s="15"/>
      <c r="VSL235" s="15"/>
      <c r="VSM235" s="10"/>
      <c r="VSN235" s="10"/>
      <c r="VSO235" s="19"/>
      <c r="VSP235" s="19"/>
      <c r="VSS235" s="16"/>
      <c r="VST235" s="15"/>
      <c r="VSU235" s="15"/>
      <c r="VSV235" s="15"/>
      <c r="VSW235" s="16"/>
      <c r="VSX235" s="16"/>
      <c r="VSY235" s="16"/>
      <c r="VSZ235" s="16"/>
      <c r="VTA235" s="16"/>
      <c r="VTB235" s="15"/>
      <c r="VTC235" s="15"/>
      <c r="VTD235" s="10"/>
      <c r="VTE235" s="10"/>
      <c r="VTF235" s="19"/>
      <c r="VTG235" s="19"/>
      <c r="VTJ235" s="16"/>
      <c r="VTK235" s="15"/>
      <c r="VTL235" s="15"/>
      <c r="VTM235" s="15"/>
      <c r="VTN235" s="16"/>
      <c r="VTO235" s="16"/>
      <c r="VTP235" s="16"/>
      <c r="VTQ235" s="16"/>
      <c r="VTR235" s="16"/>
      <c r="VTS235" s="15"/>
      <c r="VTT235" s="15"/>
      <c r="VTU235" s="10"/>
      <c r="VTV235" s="10"/>
      <c r="VTW235" s="19"/>
      <c r="VTX235" s="19"/>
      <c r="VUA235" s="16"/>
      <c r="VUB235" s="15"/>
      <c r="VUC235" s="15"/>
      <c r="VUD235" s="15"/>
      <c r="VUE235" s="16"/>
      <c r="VUF235" s="16"/>
      <c r="VUG235" s="16"/>
      <c r="VUH235" s="16"/>
      <c r="VUI235" s="16"/>
      <c r="VUJ235" s="15"/>
      <c r="VUK235" s="15"/>
      <c r="VUL235" s="10"/>
      <c r="VUM235" s="10"/>
      <c r="VUN235" s="19"/>
      <c r="VUO235" s="19"/>
      <c r="VUR235" s="16"/>
      <c r="VUS235" s="15"/>
      <c r="VUT235" s="15"/>
      <c r="VUU235" s="15"/>
      <c r="VUV235" s="16"/>
      <c r="VUW235" s="16"/>
      <c r="VUX235" s="16"/>
      <c r="VUY235" s="16"/>
      <c r="VUZ235" s="16"/>
      <c r="VVA235" s="15"/>
      <c r="VVB235" s="15"/>
      <c r="VVC235" s="10"/>
      <c r="VVD235" s="10"/>
      <c r="VVE235" s="19"/>
      <c r="VVF235" s="19"/>
      <c r="VVI235" s="16"/>
      <c r="VVJ235" s="15"/>
      <c r="VVK235" s="15"/>
      <c r="VVL235" s="15"/>
      <c r="VVM235" s="16"/>
      <c r="VVN235" s="16"/>
      <c r="VVO235" s="16"/>
      <c r="VVP235" s="16"/>
      <c r="VVQ235" s="16"/>
      <c r="VVR235" s="15"/>
      <c r="VVS235" s="15"/>
      <c r="VVT235" s="10"/>
      <c r="VVU235" s="10"/>
      <c r="VVV235" s="19"/>
      <c r="VVW235" s="19"/>
      <c r="VVZ235" s="16"/>
      <c r="VWA235" s="15"/>
      <c r="VWB235" s="15"/>
      <c r="VWC235" s="15"/>
      <c r="VWD235" s="16"/>
      <c r="VWE235" s="16"/>
      <c r="VWF235" s="16"/>
      <c r="VWG235" s="16"/>
      <c r="VWH235" s="16"/>
      <c r="VWI235" s="15"/>
      <c r="VWJ235" s="15"/>
      <c r="VWK235" s="10"/>
      <c r="VWL235" s="10"/>
      <c r="VWM235" s="19"/>
      <c r="VWN235" s="19"/>
      <c r="VWQ235" s="16"/>
      <c r="VWR235" s="15"/>
      <c r="VWS235" s="15"/>
      <c r="VWT235" s="15"/>
      <c r="VWU235" s="16"/>
      <c r="VWV235" s="16"/>
      <c r="VWW235" s="16"/>
      <c r="VWX235" s="16"/>
      <c r="VWY235" s="16"/>
      <c r="VWZ235" s="15"/>
      <c r="VXA235" s="15"/>
      <c r="VXB235" s="10"/>
      <c r="VXC235" s="10"/>
      <c r="VXD235" s="19"/>
      <c r="VXE235" s="19"/>
      <c r="VXH235" s="16"/>
      <c r="VXI235" s="15"/>
      <c r="VXJ235" s="15"/>
      <c r="VXK235" s="15"/>
      <c r="VXL235" s="16"/>
      <c r="VXM235" s="16"/>
      <c r="VXN235" s="16"/>
      <c r="VXO235" s="16"/>
      <c r="VXP235" s="16"/>
      <c r="VXQ235" s="15"/>
      <c r="VXR235" s="15"/>
      <c r="VXS235" s="10"/>
      <c r="VXT235" s="10"/>
      <c r="VXU235" s="19"/>
      <c r="VXV235" s="19"/>
      <c r="VXY235" s="16"/>
      <c r="VXZ235" s="15"/>
      <c r="VYA235" s="15"/>
      <c r="VYB235" s="15"/>
      <c r="VYC235" s="16"/>
      <c r="VYD235" s="16"/>
      <c r="VYE235" s="16"/>
      <c r="VYF235" s="16"/>
      <c r="VYG235" s="16"/>
      <c r="VYH235" s="15"/>
      <c r="VYI235" s="15"/>
      <c r="VYJ235" s="10"/>
      <c r="VYK235" s="10"/>
      <c r="VYL235" s="19"/>
      <c r="VYM235" s="19"/>
      <c r="VYP235" s="16"/>
      <c r="VYQ235" s="15"/>
      <c r="VYR235" s="15"/>
      <c r="VYS235" s="15"/>
      <c r="VYT235" s="16"/>
      <c r="VYU235" s="16"/>
      <c r="VYV235" s="16"/>
      <c r="VYW235" s="16"/>
      <c r="VYX235" s="16"/>
      <c r="VYY235" s="15"/>
      <c r="VYZ235" s="15"/>
      <c r="VZA235" s="10"/>
      <c r="VZB235" s="10"/>
      <c r="VZC235" s="19"/>
      <c r="VZD235" s="19"/>
      <c r="VZG235" s="16"/>
      <c r="VZH235" s="15"/>
      <c r="VZI235" s="15"/>
      <c r="VZJ235" s="15"/>
      <c r="VZK235" s="16"/>
      <c r="VZL235" s="16"/>
      <c r="VZM235" s="16"/>
      <c r="VZN235" s="16"/>
      <c r="VZO235" s="16"/>
      <c r="VZP235" s="15"/>
      <c r="VZQ235" s="15"/>
      <c r="VZR235" s="10"/>
      <c r="VZS235" s="10"/>
      <c r="VZT235" s="19"/>
      <c r="VZU235" s="19"/>
      <c r="VZX235" s="16"/>
      <c r="VZY235" s="15"/>
      <c r="VZZ235" s="15"/>
      <c r="WAA235" s="15"/>
      <c r="WAB235" s="16"/>
      <c r="WAC235" s="16"/>
      <c r="WAD235" s="16"/>
      <c r="WAE235" s="16"/>
      <c r="WAF235" s="16"/>
      <c r="WAG235" s="15"/>
      <c r="WAH235" s="15"/>
      <c r="WAI235" s="10"/>
      <c r="WAJ235" s="10"/>
      <c r="WAK235" s="19"/>
      <c r="WAL235" s="19"/>
      <c r="WAO235" s="16"/>
      <c r="WAP235" s="15"/>
      <c r="WAQ235" s="15"/>
      <c r="WAR235" s="15"/>
      <c r="WAS235" s="16"/>
      <c r="WAT235" s="16"/>
      <c r="WAU235" s="16"/>
      <c r="WAV235" s="16"/>
      <c r="WAW235" s="16"/>
      <c r="WAX235" s="15"/>
      <c r="WAY235" s="15"/>
      <c r="WAZ235" s="10"/>
      <c r="WBA235" s="10"/>
      <c r="WBB235" s="19"/>
      <c r="WBC235" s="19"/>
      <c r="WBF235" s="16"/>
      <c r="WBG235" s="15"/>
      <c r="WBH235" s="15"/>
      <c r="WBI235" s="15"/>
      <c r="WBJ235" s="16"/>
      <c r="WBK235" s="16"/>
      <c r="WBL235" s="16"/>
      <c r="WBM235" s="16"/>
      <c r="WBN235" s="16"/>
      <c r="WBO235" s="15"/>
      <c r="WBP235" s="15"/>
      <c r="WBQ235" s="10"/>
      <c r="WBR235" s="10"/>
      <c r="WBS235" s="19"/>
      <c r="WBT235" s="19"/>
      <c r="WBW235" s="16"/>
      <c r="WBX235" s="15"/>
      <c r="WBY235" s="15"/>
      <c r="WBZ235" s="15"/>
      <c r="WCA235" s="16"/>
      <c r="WCB235" s="16"/>
      <c r="WCC235" s="16"/>
      <c r="WCD235" s="16"/>
      <c r="WCE235" s="16"/>
      <c r="WCF235" s="15"/>
      <c r="WCG235" s="15"/>
      <c r="WCH235" s="10"/>
      <c r="WCI235" s="10"/>
      <c r="WCJ235" s="19"/>
      <c r="WCK235" s="19"/>
      <c r="WCN235" s="16"/>
      <c r="WCO235" s="15"/>
      <c r="WCP235" s="15"/>
      <c r="WCQ235" s="15"/>
      <c r="WCR235" s="16"/>
      <c r="WCS235" s="16"/>
      <c r="WCT235" s="16"/>
      <c r="WCU235" s="16"/>
      <c r="WCV235" s="16"/>
      <c r="WCW235" s="15"/>
      <c r="WCX235" s="15"/>
      <c r="WCY235" s="10"/>
      <c r="WCZ235" s="10"/>
      <c r="WDA235" s="19"/>
      <c r="WDB235" s="19"/>
      <c r="WDE235" s="16"/>
      <c r="WDF235" s="15"/>
      <c r="WDG235" s="15"/>
      <c r="WDH235" s="15"/>
      <c r="WDI235" s="16"/>
      <c r="WDJ235" s="16"/>
      <c r="WDK235" s="16"/>
      <c r="WDL235" s="16"/>
      <c r="WDM235" s="16"/>
      <c r="WDN235" s="15"/>
      <c r="WDO235" s="15"/>
      <c r="WDP235" s="10"/>
      <c r="WDQ235" s="10"/>
      <c r="WDR235" s="19"/>
      <c r="WDS235" s="19"/>
      <c r="WDV235" s="16"/>
      <c r="WDW235" s="15"/>
      <c r="WDX235" s="15"/>
      <c r="WDY235" s="15"/>
      <c r="WDZ235" s="16"/>
      <c r="WEA235" s="16"/>
      <c r="WEB235" s="16"/>
      <c r="WEC235" s="16"/>
      <c r="WED235" s="16"/>
      <c r="WEE235" s="15"/>
      <c r="WEF235" s="15"/>
      <c r="WEG235" s="10"/>
      <c r="WEH235" s="10"/>
      <c r="WEI235" s="19"/>
      <c r="WEJ235" s="19"/>
      <c r="WEM235" s="16"/>
      <c r="WEN235" s="15"/>
      <c r="WEO235" s="15"/>
      <c r="WEP235" s="15"/>
      <c r="WEQ235" s="16"/>
      <c r="WER235" s="16"/>
      <c r="WES235" s="16"/>
      <c r="WET235" s="16"/>
      <c r="WEU235" s="16"/>
      <c r="WEV235" s="15"/>
      <c r="WEW235" s="15"/>
      <c r="WEX235" s="10"/>
      <c r="WEY235" s="10"/>
      <c r="WEZ235" s="19"/>
      <c r="WFA235" s="19"/>
      <c r="WFD235" s="16"/>
      <c r="WFE235" s="15"/>
      <c r="WFF235" s="15"/>
      <c r="WFG235" s="15"/>
      <c r="WFH235" s="16"/>
      <c r="WFI235" s="16"/>
      <c r="WFJ235" s="16"/>
      <c r="WFK235" s="16"/>
      <c r="WFL235" s="16"/>
      <c r="WFM235" s="15"/>
      <c r="WFN235" s="15"/>
      <c r="WFO235" s="10"/>
      <c r="WFP235" s="10"/>
      <c r="WFQ235" s="19"/>
      <c r="WFR235" s="19"/>
      <c r="WFU235" s="16"/>
      <c r="WFV235" s="15"/>
      <c r="WFW235" s="15"/>
      <c r="WFX235" s="15"/>
      <c r="WFY235" s="16"/>
      <c r="WFZ235" s="16"/>
      <c r="WGA235" s="16"/>
      <c r="WGB235" s="16"/>
      <c r="WGC235" s="16"/>
      <c r="WGD235" s="15"/>
      <c r="WGE235" s="15"/>
      <c r="WGF235" s="10"/>
      <c r="WGG235" s="10"/>
      <c r="WGH235" s="19"/>
      <c r="WGI235" s="19"/>
      <c r="WGL235" s="16"/>
      <c r="WGM235" s="15"/>
      <c r="WGN235" s="15"/>
      <c r="WGO235" s="15"/>
      <c r="WGP235" s="16"/>
      <c r="WGQ235" s="16"/>
      <c r="WGR235" s="16"/>
      <c r="WGS235" s="16"/>
      <c r="WGT235" s="16"/>
      <c r="WGU235" s="15"/>
      <c r="WGV235" s="15"/>
      <c r="WGW235" s="10"/>
      <c r="WGX235" s="10"/>
      <c r="WGY235" s="19"/>
      <c r="WGZ235" s="19"/>
      <c r="WHC235" s="16"/>
      <c r="WHD235" s="15"/>
      <c r="WHE235" s="15"/>
      <c r="WHF235" s="15"/>
      <c r="WHG235" s="16"/>
      <c r="WHH235" s="16"/>
      <c r="WHI235" s="16"/>
      <c r="WHJ235" s="16"/>
      <c r="WHK235" s="16"/>
      <c r="WHL235" s="15"/>
      <c r="WHM235" s="15"/>
      <c r="WHN235" s="10"/>
      <c r="WHO235" s="10"/>
      <c r="WHP235" s="19"/>
      <c r="WHQ235" s="19"/>
      <c r="WHT235" s="16"/>
      <c r="WHU235" s="15"/>
      <c r="WHV235" s="15"/>
      <c r="WHW235" s="15"/>
      <c r="WHX235" s="16"/>
      <c r="WHY235" s="16"/>
      <c r="WHZ235" s="16"/>
      <c r="WIA235" s="16"/>
      <c r="WIB235" s="16"/>
      <c r="WIC235" s="15"/>
      <c r="WID235" s="15"/>
      <c r="WIE235" s="10"/>
      <c r="WIF235" s="10"/>
      <c r="WIG235" s="19"/>
      <c r="WIH235" s="19"/>
      <c r="WIK235" s="16"/>
      <c r="WIL235" s="15"/>
      <c r="WIM235" s="15"/>
      <c r="WIN235" s="15"/>
      <c r="WIO235" s="16"/>
      <c r="WIP235" s="16"/>
      <c r="WIQ235" s="16"/>
      <c r="WIR235" s="16"/>
      <c r="WIS235" s="16"/>
      <c r="WIT235" s="15"/>
      <c r="WIU235" s="15"/>
      <c r="WIV235" s="10"/>
      <c r="WIW235" s="10"/>
      <c r="WIX235" s="19"/>
      <c r="WIY235" s="19"/>
      <c r="WJB235" s="16"/>
      <c r="WJC235" s="15"/>
      <c r="WJD235" s="15"/>
      <c r="WJE235" s="15"/>
      <c r="WJF235" s="16"/>
      <c r="WJG235" s="16"/>
      <c r="WJH235" s="16"/>
      <c r="WJI235" s="16"/>
      <c r="WJJ235" s="16"/>
      <c r="WJK235" s="15"/>
      <c r="WJL235" s="15"/>
      <c r="WJM235" s="10"/>
      <c r="WJN235" s="10"/>
      <c r="WJO235" s="19"/>
      <c r="WJP235" s="19"/>
      <c r="WJS235" s="16"/>
      <c r="WJT235" s="15"/>
      <c r="WJU235" s="15"/>
      <c r="WJV235" s="15"/>
      <c r="WJW235" s="16"/>
      <c r="WJX235" s="16"/>
      <c r="WJY235" s="16"/>
      <c r="WJZ235" s="16"/>
      <c r="WKA235" s="16"/>
      <c r="WKB235" s="15"/>
      <c r="WKC235" s="15"/>
      <c r="WKD235" s="10"/>
      <c r="WKE235" s="10"/>
      <c r="WKF235" s="19"/>
      <c r="WKG235" s="19"/>
      <c r="WKJ235" s="16"/>
      <c r="WKK235" s="15"/>
      <c r="WKL235" s="15"/>
      <c r="WKM235" s="15"/>
      <c r="WKN235" s="16"/>
      <c r="WKO235" s="16"/>
      <c r="WKP235" s="16"/>
      <c r="WKQ235" s="16"/>
      <c r="WKR235" s="16"/>
      <c r="WKS235" s="15"/>
      <c r="WKT235" s="15"/>
      <c r="WKU235" s="10"/>
      <c r="WKV235" s="10"/>
      <c r="WKW235" s="19"/>
      <c r="WKX235" s="19"/>
      <c r="WLA235" s="16"/>
      <c r="WLB235" s="15"/>
      <c r="WLC235" s="15"/>
      <c r="WLD235" s="15"/>
      <c r="WLE235" s="16"/>
      <c r="WLF235" s="16"/>
      <c r="WLG235" s="16"/>
      <c r="WLH235" s="16"/>
      <c r="WLI235" s="16"/>
      <c r="WLJ235" s="15"/>
      <c r="WLK235" s="15"/>
      <c r="WLL235" s="10"/>
      <c r="WLM235" s="10"/>
      <c r="WLN235" s="19"/>
      <c r="WLO235" s="19"/>
      <c r="WLR235" s="16"/>
      <c r="WLS235" s="15"/>
      <c r="WLT235" s="15"/>
      <c r="WLU235" s="15"/>
      <c r="WLV235" s="16"/>
      <c r="WLW235" s="16"/>
      <c r="WLX235" s="16"/>
      <c r="WLY235" s="16"/>
      <c r="WLZ235" s="16"/>
      <c r="WMA235" s="15"/>
      <c r="WMB235" s="15"/>
      <c r="WMC235" s="10"/>
      <c r="WMD235" s="10"/>
      <c r="WME235" s="19"/>
      <c r="WMF235" s="19"/>
      <c r="WMI235" s="16"/>
      <c r="WMJ235" s="15"/>
      <c r="WMK235" s="15"/>
      <c r="WML235" s="15"/>
      <c r="WMM235" s="16"/>
      <c r="WMN235" s="16"/>
      <c r="WMO235" s="16"/>
      <c r="WMP235" s="16"/>
      <c r="WMQ235" s="16"/>
      <c r="WMR235" s="15"/>
      <c r="WMS235" s="15"/>
      <c r="WMT235" s="10"/>
      <c r="WMU235" s="10"/>
      <c r="WMV235" s="19"/>
      <c r="WMW235" s="19"/>
      <c r="WMZ235" s="16"/>
      <c r="WNA235" s="15"/>
      <c r="WNB235" s="15"/>
      <c r="WNC235" s="15"/>
      <c r="WND235" s="16"/>
      <c r="WNE235" s="16"/>
      <c r="WNF235" s="16"/>
      <c r="WNG235" s="16"/>
      <c r="WNH235" s="16"/>
      <c r="WNI235" s="15"/>
      <c r="WNJ235" s="15"/>
      <c r="WNK235" s="10"/>
      <c r="WNL235" s="10"/>
      <c r="WNM235" s="19"/>
      <c r="WNN235" s="19"/>
      <c r="WNQ235" s="16"/>
      <c r="WNR235" s="15"/>
      <c r="WNS235" s="15"/>
      <c r="WNT235" s="15"/>
      <c r="WNU235" s="16"/>
      <c r="WNV235" s="16"/>
      <c r="WNW235" s="16"/>
      <c r="WNX235" s="16"/>
      <c r="WNY235" s="16"/>
      <c r="WNZ235" s="15"/>
      <c r="WOA235" s="15"/>
      <c r="WOB235" s="10"/>
      <c r="WOC235" s="10"/>
      <c r="WOD235" s="19"/>
      <c r="WOE235" s="19"/>
      <c r="WOH235" s="16"/>
      <c r="WOI235" s="15"/>
      <c r="WOJ235" s="15"/>
      <c r="WOK235" s="15"/>
      <c r="WOL235" s="16"/>
      <c r="WOM235" s="16"/>
      <c r="WON235" s="16"/>
      <c r="WOO235" s="16"/>
      <c r="WOP235" s="16"/>
      <c r="WOQ235" s="15"/>
      <c r="WOR235" s="15"/>
      <c r="WOS235" s="10"/>
      <c r="WOT235" s="10"/>
      <c r="WOU235" s="19"/>
      <c r="WOV235" s="19"/>
      <c r="WOY235" s="16"/>
      <c r="WOZ235" s="15"/>
      <c r="WPA235" s="15"/>
      <c r="WPB235" s="15"/>
      <c r="WPC235" s="16"/>
      <c r="WPD235" s="16"/>
      <c r="WPE235" s="16"/>
      <c r="WPF235" s="16"/>
      <c r="WPG235" s="16"/>
      <c r="WPH235" s="15"/>
      <c r="WPI235" s="15"/>
      <c r="WPJ235" s="10"/>
      <c r="WPK235" s="10"/>
      <c r="WPL235" s="19"/>
      <c r="WPM235" s="19"/>
      <c r="WPP235" s="16"/>
      <c r="WPQ235" s="15"/>
      <c r="WPR235" s="15"/>
      <c r="WPS235" s="15"/>
      <c r="WPT235" s="16"/>
      <c r="WPU235" s="16"/>
      <c r="WPV235" s="16"/>
      <c r="WPW235" s="16"/>
      <c r="WPX235" s="16"/>
      <c r="WPY235" s="15"/>
      <c r="WPZ235" s="15"/>
      <c r="WQA235" s="10"/>
      <c r="WQB235" s="10"/>
      <c r="WQC235" s="19"/>
      <c r="WQD235" s="19"/>
      <c r="WQG235" s="16"/>
      <c r="WQH235" s="15"/>
      <c r="WQI235" s="15"/>
      <c r="WQJ235" s="15"/>
      <c r="WQK235" s="16"/>
      <c r="WQL235" s="16"/>
      <c r="WQM235" s="16"/>
      <c r="WQN235" s="16"/>
      <c r="WQO235" s="16"/>
      <c r="WQP235" s="15"/>
      <c r="WQQ235" s="15"/>
      <c r="WQR235" s="10"/>
      <c r="WQS235" s="10"/>
      <c r="WQT235" s="19"/>
      <c r="WQU235" s="19"/>
      <c r="WQX235" s="16"/>
      <c r="WQY235" s="15"/>
      <c r="WQZ235" s="15"/>
      <c r="WRA235" s="15"/>
      <c r="WRB235" s="16"/>
      <c r="WRC235" s="16"/>
      <c r="WRD235" s="16"/>
      <c r="WRE235" s="16"/>
      <c r="WRF235" s="16"/>
      <c r="WRG235" s="15"/>
      <c r="WRH235" s="15"/>
      <c r="WRI235" s="10"/>
      <c r="WRJ235" s="10"/>
      <c r="WRK235" s="19"/>
      <c r="WRL235" s="19"/>
      <c r="WRO235" s="16"/>
      <c r="WRP235" s="15"/>
      <c r="WRQ235" s="15"/>
      <c r="WRR235" s="15"/>
      <c r="WRS235" s="16"/>
      <c r="WRT235" s="16"/>
      <c r="WRU235" s="16"/>
      <c r="WRV235" s="16"/>
      <c r="WRW235" s="16"/>
      <c r="WRX235" s="15"/>
      <c r="WRY235" s="15"/>
      <c r="WRZ235" s="10"/>
      <c r="WSA235" s="10"/>
      <c r="WSB235" s="19"/>
      <c r="WSC235" s="19"/>
      <c r="WSF235" s="16"/>
      <c r="WSG235" s="15"/>
      <c r="WSH235" s="15"/>
      <c r="WSI235" s="15"/>
      <c r="WSJ235" s="16"/>
      <c r="WSK235" s="16"/>
      <c r="WSL235" s="16"/>
      <c r="WSM235" s="16"/>
      <c r="WSN235" s="16"/>
      <c r="WSO235" s="15"/>
      <c r="WSP235" s="15"/>
      <c r="WSQ235" s="10"/>
      <c r="WSR235" s="10"/>
      <c r="WSS235" s="19"/>
      <c r="WST235" s="19"/>
      <c r="WSW235" s="16"/>
      <c r="WSX235" s="15"/>
      <c r="WSY235" s="15"/>
      <c r="WSZ235" s="15"/>
      <c r="WTA235" s="16"/>
      <c r="WTB235" s="16"/>
      <c r="WTC235" s="16"/>
      <c r="WTD235" s="16"/>
      <c r="WTE235" s="16"/>
      <c r="WTF235" s="15"/>
      <c r="WTG235" s="15"/>
      <c r="WTH235" s="10"/>
      <c r="WTI235" s="10"/>
      <c r="WTJ235" s="19"/>
      <c r="WTK235" s="19"/>
      <c r="WTN235" s="16"/>
      <c r="WTO235" s="15"/>
      <c r="WTP235" s="15"/>
      <c r="WTQ235" s="15"/>
      <c r="WTR235" s="16"/>
      <c r="WTS235" s="16"/>
      <c r="WTT235" s="16"/>
      <c r="WTU235" s="16"/>
      <c r="WTV235" s="16"/>
      <c r="WTW235" s="15"/>
      <c r="WTX235" s="15"/>
      <c r="WTY235" s="10"/>
      <c r="WTZ235" s="10"/>
      <c r="WUA235" s="19"/>
      <c r="WUB235" s="19"/>
      <c r="WUE235" s="16"/>
      <c r="WUF235" s="15"/>
      <c r="WUG235" s="15"/>
      <c r="WUH235" s="15"/>
      <c r="WUI235" s="16"/>
      <c r="WUJ235" s="16"/>
      <c r="WUK235" s="16"/>
      <c r="WUL235" s="16"/>
      <c r="WUM235" s="16"/>
      <c r="WUN235" s="15"/>
      <c r="WUO235" s="15"/>
      <c r="WUP235" s="10"/>
      <c r="WUQ235" s="10"/>
      <c r="WUR235" s="19"/>
      <c r="WUS235" s="19"/>
      <c r="WUV235" s="16"/>
      <c r="WUW235" s="15"/>
      <c r="WUX235" s="15"/>
      <c r="WUY235" s="15"/>
      <c r="WUZ235" s="16"/>
      <c r="WVA235" s="16"/>
      <c r="WVB235" s="16"/>
      <c r="WVC235" s="16"/>
      <c r="WVD235" s="16"/>
      <c r="WVE235" s="15"/>
      <c r="WVF235" s="15"/>
      <c r="WVG235" s="10"/>
      <c r="WVH235" s="10"/>
      <c r="WVI235" s="19"/>
      <c r="WVJ235" s="19"/>
      <c r="WVM235" s="16"/>
      <c r="WVN235" s="15"/>
      <c r="WVO235" s="15"/>
      <c r="WVP235" s="15"/>
      <c r="WVQ235" s="16"/>
      <c r="WVR235" s="16"/>
      <c r="WVS235" s="16"/>
      <c r="WVT235" s="16"/>
      <c r="WVU235" s="16"/>
      <c r="WVV235" s="15"/>
      <c r="WVW235" s="15"/>
      <c r="WVX235" s="10"/>
      <c r="WVY235" s="10"/>
      <c r="WVZ235" s="19"/>
      <c r="WWA235" s="19"/>
      <c r="WWD235" s="16"/>
      <c r="WWE235" s="15"/>
      <c r="WWF235" s="15"/>
      <c r="WWG235" s="15"/>
      <c r="WWH235" s="16"/>
      <c r="WWI235" s="16"/>
      <c r="WWJ235" s="16"/>
      <c r="WWK235" s="16"/>
      <c r="WWL235" s="16"/>
      <c r="WWM235" s="15"/>
      <c r="WWN235" s="15"/>
      <c r="WWO235" s="10"/>
      <c r="WWP235" s="10"/>
      <c r="WWQ235" s="19"/>
      <c r="WWR235" s="19"/>
      <c r="WWU235" s="16"/>
      <c r="WWV235" s="15"/>
      <c r="WWW235" s="15"/>
      <c r="WWX235" s="15"/>
      <c r="WWY235" s="16"/>
      <c r="WWZ235" s="16"/>
      <c r="WXA235" s="16"/>
      <c r="WXB235" s="16"/>
      <c r="WXC235" s="16"/>
      <c r="WXD235" s="15"/>
      <c r="WXE235" s="15"/>
      <c r="WXF235" s="10"/>
      <c r="WXG235" s="10"/>
      <c r="WXH235" s="19"/>
      <c r="WXI235" s="19"/>
      <c r="WXL235" s="16"/>
      <c r="WXM235" s="15"/>
      <c r="WXN235" s="15"/>
      <c r="WXO235" s="15"/>
      <c r="WXP235" s="16"/>
      <c r="WXQ235" s="16"/>
      <c r="WXR235" s="16"/>
      <c r="WXS235" s="16"/>
      <c r="WXT235" s="16"/>
      <c r="WXU235" s="15"/>
      <c r="WXV235" s="15"/>
      <c r="WXW235" s="10"/>
      <c r="WXX235" s="10"/>
      <c r="WXY235" s="19"/>
      <c r="WXZ235" s="19"/>
      <c r="WYC235" s="16"/>
      <c r="WYD235" s="15"/>
      <c r="WYE235" s="15"/>
      <c r="WYF235" s="15"/>
      <c r="WYG235" s="16"/>
      <c r="WYH235" s="16"/>
      <c r="WYI235" s="16"/>
      <c r="WYJ235" s="16"/>
      <c r="WYK235" s="16"/>
      <c r="WYL235" s="15"/>
      <c r="WYM235" s="15"/>
      <c r="WYN235" s="10"/>
      <c r="WYO235" s="10"/>
      <c r="WYP235" s="19"/>
      <c r="WYQ235" s="19"/>
      <c r="WYT235" s="16"/>
      <c r="WYU235" s="15"/>
      <c r="WYV235" s="15"/>
      <c r="WYW235" s="15"/>
      <c r="WYX235" s="16"/>
      <c r="WYY235" s="16"/>
      <c r="WYZ235" s="16"/>
      <c r="WZA235" s="16"/>
      <c r="WZB235" s="16"/>
      <c r="WZC235" s="15"/>
      <c r="WZD235" s="15"/>
      <c r="WZE235" s="10"/>
      <c r="WZF235" s="10"/>
      <c r="WZG235" s="19"/>
      <c r="WZH235" s="19"/>
      <c r="WZK235" s="16"/>
      <c r="WZL235" s="15"/>
      <c r="WZM235" s="15"/>
      <c r="WZN235" s="15"/>
      <c r="WZO235" s="16"/>
      <c r="WZP235" s="16"/>
      <c r="WZQ235" s="16"/>
      <c r="WZR235" s="16"/>
      <c r="WZS235" s="16"/>
      <c r="WZT235" s="15"/>
      <c r="WZU235" s="15"/>
      <c r="WZV235" s="10"/>
      <c r="WZW235" s="10"/>
      <c r="WZX235" s="19"/>
      <c r="WZY235" s="19"/>
      <c r="XAB235" s="16"/>
      <c r="XAC235" s="15"/>
      <c r="XAD235" s="15"/>
      <c r="XAE235" s="15"/>
      <c r="XAF235" s="16"/>
      <c r="XAG235" s="16"/>
      <c r="XAH235" s="16"/>
      <c r="XAI235" s="16"/>
      <c r="XAJ235" s="16"/>
      <c r="XAK235" s="15"/>
      <c r="XAL235" s="15"/>
      <c r="XAM235" s="10"/>
      <c r="XAN235" s="10"/>
      <c r="XAO235" s="19"/>
      <c r="XAP235" s="19"/>
      <c r="XAS235" s="16"/>
      <c r="XAT235" s="15"/>
      <c r="XAU235" s="15"/>
      <c r="XAV235" s="15"/>
      <c r="XAW235" s="16"/>
      <c r="XAX235" s="16"/>
      <c r="XAY235" s="16"/>
      <c r="XAZ235" s="16"/>
      <c r="XBA235" s="16"/>
      <c r="XBB235" s="15"/>
      <c r="XBC235" s="15"/>
      <c r="XBD235" s="10"/>
      <c r="XBE235" s="10"/>
      <c r="XBF235" s="19"/>
      <c r="XBG235" s="19"/>
      <c r="XBJ235" s="16"/>
      <c r="XBK235" s="15"/>
      <c r="XBL235" s="15"/>
      <c r="XBM235" s="15"/>
      <c r="XBN235" s="16"/>
      <c r="XBO235" s="16"/>
      <c r="XBP235" s="16"/>
      <c r="XBQ235" s="16"/>
      <c r="XBR235" s="16"/>
      <c r="XBS235" s="15"/>
      <c r="XBT235" s="15"/>
      <c r="XBU235" s="10"/>
      <c r="XBV235" s="10"/>
      <c r="XBW235" s="19"/>
      <c r="XBX235" s="19"/>
      <c r="XCA235" s="16"/>
      <c r="XCB235" s="15"/>
      <c r="XCC235" s="15"/>
      <c r="XCD235" s="15"/>
      <c r="XCE235" s="16"/>
      <c r="XCF235" s="16"/>
      <c r="XCG235" s="16"/>
      <c r="XCH235" s="16"/>
      <c r="XCI235" s="16"/>
      <c r="XCJ235" s="15"/>
      <c r="XCK235" s="15"/>
      <c r="XCL235" s="10"/>
      <c r="XCM235" s="10"/>
      <c r="XCN235" s="19"/>
      <c r="XCO235" s="19"/>
      <c r="XCR235" s="16"/>
      <c r="XCS235" s="15"/>
      <c r="XCT235" s="15"/>
      <c r="XCU235" s="15"/>
      <c r="XCV235" s="16"/>
      <c r="XCW235" s="16"/>
      <c r="XCX235" s="16"/>
      <c r="XCY235" s="16"/>
      <c r="XCZ235" s="16"/>
      <c r="XDA235" s="15"/>
      <c r="XDB235" s="15"/>
      <c r="XDC235" s="10"/>
      <c r="XDD235" s="10"/>
      <c r="XDE235" s="19"/>
      <c r="XDF235" s="19"/>
      <c r="XDI235" s="16"/>
      <c r="XDJ235" s="15"/>
      <c r="XDK235" s="15"/>
      <c r="XDL235" s="15"/>
      <c r="XDM235" s="16"/>
      <c r="XDN235" s="16"/>
      <c r="XDO235" s="16"/>
      <c r="XDP235" s="16"/>
      <c r="XDQ235" s="16"/>
      <c r="XDR235" s="15"/>
      <c r="XDS235" s="15"/>
      <c r="XDT235" s="10"/>
      <c r="XDU235" s="10"/>
      <c r="XDV235" s="19"/>
      <c r="XDW235" s="19"/>
      <c r="XDZ235" s="16"/>
      <c r="XEA235" s="15"/>
      <c r="XEB235" s="15"/>
      <c r="XEC235" s="15"/>
      <c r="XED235" s="16"/>
      <c r="XEE235" s="16"/>
      <c r="XEF235" s="16"/>
      <c r="XEG235" s="16"/>
      <c r="XEH235" s="16"/>
      <c r="XEI235" s="15"/>
      <c r="XEJ235" s="15"/>
      <c r="XEK235" s="10"/>
      <c r="XEL235" s="10"/>
      <c r="XEM235" s="19"/>
      <c r="XEN235" s="19"/>
      <c r="XEQ235" s="16"/>
      <c r="XER235" s="15"/>
      <c r="XES235" s="15"/>
      <c r="XET235" s="15"/>
      <c r="XEU235" s="16"/>
      <c r="XEV235" s="16"/>
      <c r="XEW235" s="16"/>
      <c r="XEX235" s="16"/>
      <c r="XEY235" s="16"/>
      <c r="XEZ235" s="15"/>
      <c r="XFA235" s="15"/>
      <c r="XFB235" s="10"/>
      <c r="XFC235" s="10"/>
      <c r="XFD235" s="19"/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1210</v>
      </c>
      <c r="E236" s="32" t="s">
        <v>164</v>
      </c>
      <c r="F236" s="32" t="s">
        <v>1211</v>
      </c>
      <c r="G236" s="32" t="s">
        <v>1213</v>
      </c>
      <c r="H236" s="32" t="s">
        <v>352</v>
      </c>
      <c r="I236" s="31" t="s">
        <v>1212</v>
      </c>
      <c r="J236" s="31">
        <v>99</v>
      </c>
      <c r="K236" s="33" t="s">
        <v>718</v>
      </c>
      <c r="L236" s="33" t="s">
        <v>689</v>
      </c>
      <c r="M236" s="34" t="s">
        <v>1378</v>
      </c>
      <c r="N236" s="34" t="s">
        <v>1717</v>
      </c>
      <c r="O236" s="35">
        <v>1</v>
      </c>
      <c r="P236" s="35"/>
      <c r="Q236" s="32"/>
      <c r="S236" s="1">
        <f t="shared" si="109"/>
        <v>0</v>
      </c>
      <c r="T236" s="1">
        <f t="shared" si="110"/>
        <v>0</v>
      </c>
      <c r="U236" s="1">
        <f t="shared" si="111"/>
        <v>0</v>
      </c>
      <c r="V236" s="1">
        <f t="shared" si="112"/>
        <v>0</v>
      </c>
      <c r="W236" s="1">
        <f t="shared" si="113"/>
        <v>0</v>
      </c>
      <c r="X236" s="1">
        <f t="shared" si="114"/>
        <v>0</v>
      </c>
      <c r="Y236" s="1">
        <f t="shared" si="115"/>
        <v>0</v>
      </c>
      <c r="Z236" s="1">
        <f t="shared" si="116"/>
        <v>0</v>
      </c>
      <c r="AA236" s="1">
        <f t="shared" si="117"/>
        <v>0</v>
      </c>
      <c r="AB236" s="1">
        <f t="shared" si="118"/>
        <v>0</v>
      </c>
      <c r="AD236" s="1">
        <f t="shared" si="119"/>
        <v>0</v>
      </c>
      <c r="AE236" s="1">
        <f t="shared" si="120"/>
        <v>1</v>
      </c>
      <c r="AF236" s="1">
        <f t="shared" si="105"/>
        <v>0</v>
      </c>
      <c r="AG236" s="1">
        <f t="shared" si="106"/>
        <v>1</v>
      </c>
      <c r="AH236" s="1">
        <f t="shared" si="107"/>
        <v>0</v>
      </c>
      <c r="AI236" s="1">
        <f t="shared" si="108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965</v>
      </c>
      <c r="E237" s="32" t="s">
        <v>164</v>
      </c>
      <c r="F237" s="32" t="s">
        <v>963</v>
      </c>
      <c r="G237" s="32" t="s">
        <v>1092</v>
      </c>
      <c r="H237" s="32" t="s">
        <v>352</v>
      </c>
      <c r="I237" s="31" t="s">
        <v>964</v>
      </c>
      <c r="J237" s="31">
        <v>1</v>
      </c>
      <c r="K237" s="33" t="s">
        <v>943</v>
      </c>
      <c r="L237" s="33" t="s">
        <v>685</v>
      </c>
      <c r="M237" s="34" t="s">
        <v>1379</v>
      </c>
      <c r="N237" s="34" t="s">
        <v>1722</v>
      </c>
      <c r="O237" s="35">
        <v>1</v>
      </c>
      <c r="P237" s="35"/>
      <c r="Q237" s="32"/>
      <c r="R237" s="15"/>
      <c r="S237" s="1">
        <f t="shared" si="109"/>
        <v>1</v>
      </c>
      <c r="T237" s="1">
        <f t="shared" si="110"/>
        <v>0</v>
      </c>
      <c r="U237" s="1">
        <f t="shared" si="111"/>
        <v>0</v>
      </c>
      <c r="V237" s="1">
        <f t="shared" si="112"/>
        <v>0</v>
      </c>
      <c r="W237" s="1">
        <f t="shared" si="113"/>
        <v>0</v>
      </c>
      <c r="X237" s="1">
        <f t="shared" si="114"/>
        <v>0</v>
      </c>
      <c r="Y237" s="1">
        <f t="shared" si="115"/>
        <v>0</v>
      </c>
      <c r="Z237" s="1">
        <f t="shared" si="116"/>
        <v>0</v>
      </c>
      <c r="AA237" s="1">
        <f t="shared" si="117"/>
        <v>0</v>
      </c>
      <c r="AB237" s="1">
        <f t="shared" si="118"/>
        <v>0</v>
      </c>
      <c r="AD237" s="1">
        <f t="shared" si="119"/>
        <v>0</v>
      </c>
      <c r="AE237" s="1">
        <f t="shared" si="120"/>
        <v>1</v>
      </c>
      <c r="AF237" s="1">
        <f t="shared" si="105"/>
        <v>0</v>
      </c>
      <c r="AG237" s="1">
        <f t="shared" si="106"/>
        <v>1</v>
      </c>
      <c r="AH237" s="1">
        <f t="shared" si="107"/>
        <v>0</v>
      </c>
      <c r="AI237" s="1">
        <f t="shared" si="108"/>
        <v>1</v>
      </c>
      <c r="AJ237" s="15"/>
      <c r="AK237" s="15"/>
      <c r="AL237" s="15"/>
      <c r="AM237" s="15"/>
      <c r="AN237" s="15"/>
      <c r="AO237" s="15"/>
      <c r="AP237" s="15"/>
      <c r="AQ237" s="15"/>
      <c r="AR237" s="15"/>
      <c r="AS237" s="10"/>
      <c r="AT237" s="10"/>
      <c r="AU237" s="21"/>
      <c r="AV237" s="21"/>
      <c r="AY237" s="21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0"/>
      <c r="BK237" s="10"/>
      <c r="BL237" s="21"/>
      <c r="BM237" s="21"/>
      <c r="BP237" s="21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0"/>
      <c r="CB237" s="10"/>
      <c r="CC237" s="21"/>
      <c r="CD237" s="21"/>
      <c r="CG237" s="21"/>
      <c r="CH237" s="15"/>
      <c r="CI237" s="15"/>
      <c r="CJ237" s="15"/>
      <c r="CK237" s="15"/>
      <c r="CL237" s="15"/>
      <c r="CM237" s="15"/>
      <c r="CN237" s="15"/>
      <c r="CO237" s="15"/>
      <c r="CP237" s="15"/>
      <c r="CQ237" s="15"/>
      <c r="CR237" s="10"/>
      <c r="CS237" s="10"/>
      <c r="CT237" s="21"/>
      <c r="CU237" s="21"/>
      <c r="CX237" s="21"/>
      <c r="CY237" s="15"/>
      <c r="CZ237" s="15"/>
      <c r="DA237" s="15"/>
      <c r="DB237" s="15"/>
      <c r="DC237" s="15"/>
      <c r="DD237" s="15"/>
      <c r="DE237" s="15"/>
      <c r="DF237" s="15"/>
      <c r="DG237" s="15"/>
      <c r="DH237" s="15"/>
      <c r="DI237" s="10"/>
      <c r="DJ237" s="10"/>
      <c r="DK237" s="21"/>
      <c r="DL237" s="21"/>
      <c r="DO237" s="21"/>
      <c r="DP237" s="15"/>
      <c r="DQ237" s="15"/>
      <c r="DR237" s="15"/>
      <c r="DS237" s="15"/>
      <c r="DT237" s="15"/>
      <c r="DU237" s="15"/>
      <c r="DV237" s="15"/>
      <c r="DW237" s="15"/>
      <c r="DX237" s="15"/>
      <c r="DY237" s="15"/>
      <c r="DZ237" s="10"/>
      <c r="EA237" s="10"/>
      <c r="EB237" s="21"/>
      <c r="EC237" s="21"/>
      <c r="EF237" s="21"/>
      <c r="EG237" s="15"/>
      <c r="EH237" s="15"/>
      <c r="EI237" s="15"/>
      <c r="EJ237" s="15"/>
      <c r="EK237" s="15"/>
      <c r="EL237" s="15"/>
      <c r="EM237" s="15"/>
      <c r="EN237" s="15"/>
      <c r="EO237" s="15"/>
      <c r="EP237" s="15"/>
      <c r="EQ237" s="10"/>
      <c r="ER237" s="10"/>
      <c r="ES237" s="21"/>
      <c r="ET237" s="21"/>
      <c r="EW237" s="21"/>
      <c r="EX237" s="15"/>
      <c r="EY237" s="15"/>
      <c r="EZ237" s="15"/>
      <c r="FA237" s="15"/>
      <c r="FB237" s="15"/>
      <c r="FC237" s="15"/>
      <c r="FD237" s="15"/>
      <c r="FE237" s="15"/>
      <c r="FF237" s="15"/>
      <c r="FG237" s="15"/>
      <c r="FH237" s="10"/>
      <c r="FI237" s="10"/>
      <c r="FJ237" s="21"/>
      <c r="FK237" s="21"/>
      <c r="FN237" s="21"/>
      <c r="FO237" s="15"/>
      <c r="FP237" s="15"/>
      <c r="FQ237" s="15"/>
      <c r="FR237" s="15"/>
      <c r="FS237" s="15"/>
      <c r="FT237" s="15"/>
      <c r="FU237" s="15"/>
      <c r="FV237" s="15"/>
      <c r="FW237" s="15"/>
      <c r="FX237" s="15"/>
      <c r="FY237" s="10"/>
      <c r="FZ237" s="10"/>
      <c r="GA237" s="21"/>
      <c r="GB237" s="21"/>
      <c r="GE237" s="21"/>
      <c r="GF237" s="15"/>
      <c r="GG237" s="15"/>
      <c r="GH237" s="15"/>
      <c r="GI237" s="15"/>
      <c r="GJ237" s="15"/>
      <c r="GK237" s="15"/>
      <c r="GL237" s="15"/>
      <c r="GM237" s="15"/>
      <c r="GN237" s="15"/>
      <c r="GO237" s="15"/>
      <c r="GP237" s="10"/>
      <c r="GQ237" s="10"/>
      <c r="GR237" s="21"/>
      <c r="GS237" s="21"/>
      <c r="GV237" s="21"/>
      <c r="GW237" s="15"/>
      <c r="GX237" s="15"/>
      <c r="GY237" s="15"/>
      <c r="GZ237" s="15"/>
      <c r="HA237" s="15"/>
      <c r="HB237" s="15"/>
      <c r="HC237" s="15"/>
      <c r="HD237" s="15"/>
      <c r="HE237" s="15"/>
      <c r="HF237" s="15"/>
      <c r="HG237" s="10"/>
      <c r="HH237" s="10"/>
      <c r="HI237" s="21"/>
      <c r="HJ237" s="21"/>
      <c r="HM237" s="21"/>
      <c r="HN237" s="15"/>
      <c r="HO237" s="15"/>
      <c r="HP237" s="15"/>
      <c r="HQ237" s="15"/>
      <c r="HR237" s="15"/>
      <c r="HS237" s="15"/>
      <c r="HT237" s="15"/>
      <c r="HU237" s="15"/>
      <c r="HV237" s="15"/>
      <c r="HW237" s="15"/>
      <c r="HX237" s="10"/>
      <c r="HY237" s="10"/>
      <c r="HZ237" s="21"/>
      <c r="IA237" s="21"/>
      <c r="ID237" s="21"/>
      <c r="IE237" s="15"/>
      <c r="IF237" s="15"/>
      <c r="IG237" s="15"/>
      <c r="IH237" s="15"/>
      <c r="II237" s="15"/>
      <c r="IJ237" s="15"/>
      <c r="IK237" s="15"/>
      <c r="IL237" s="15"/>
      <c r="IM237" s="15"/>
      <c r="IN237" s="15"/>
      <c r="IO237" s="10"/>
      <c r="IP237" s="10"/>
      <c r="IQ237" s="21"/>
      <c r="IR237" s="21"/>
      <c r="IU237" s="21"/>
      <c r="IV237" s="15"/>
      <c r="IW237" s="15"/>
      <c r="IX237" s="15"/>
      <c r="IY237" s="15"/>
      <c r="IZ237" s="15"/>
      <c r="JA237" s="15"/>
      <c r="JB237" s="15"/>
      <c r="JC237" s="15"/>
      <c r="JD237" s="15"/>
      <c r="JE237" s="15"/>
      <c r="JF237" s="10"/>
      <c r="JG237" s="10"/>
      <c r="JH237" s="21"/>
      <c r="JI237" s="21"/>
      <c r="JL237" s="21"/>
      <c r="JM237" s="15"/>
      <c r="JN237" s="15"/>
      <c r="JO237" s="15"/>
      <c r="JP237" s="15"/>
      <c r="JQ237" s="15"/>
      <c r="JR237" s="15"/>
      <c r="JS237" s="15"/>
      <c r="JT237" s="15"/>
      <c r="JU237" s="15"/>
      <c r="JV237" s="15"/>
      <c r="JW237" s="10"/>
      <c r="JX237" s="10"/>
      <c r="JY237" s="21"/>
      <c r="JZ237" s="21"/>
      <c r="KC237" s="21"/>
      <c r="KD237" s="15"/>
      <c r="KE237" s="15"/>
      <c r="KF237" s="15"/>
      <c r="KG237" s="15"/>
      <c r="KH237" s="15"/>
      <c r="KI237" s="15"/>
      <c r="KJ237" s="15"/>
      <c r="KK237" s="15"/>
      <c r="KL237" s="15"/>
      <c r="KM237" s="15"/>
      <c r="KN237" s="10"/>
      <c r="KO237" s="10"/>
      <c r="KP237" s="21"/>
      <c r="KQ237" s="21"/>
      <c r="KT237" s="21"/>
      <c r="KU237" s="15"/>
      <c r="KV237" s="15"/>
      <c r="KW237" s="15"/>
      <c r="KX237" s="15"/>
      <c r="KY237" s="15"/>
      <c r="KZ237" s="15"/>
      <c r="LA237" s="15"/>
      <c r="LB237" s="15"/>
      <c r="LC237" s="15"/>
      <c r="LD237" s="15"/>
      <c r="LE237" s="10"/>
      <c r="LF237" s="10"/>
      <c r="LG237" s="21"/>
      <c r="LH237" s="21"/>
      <c r="LK237" s="21"/>
      <c r="LL237" s="15"/>
      <c r="LM237" s="15"/>
      <c r="LN237" s="15"/>
      <c r="LO237" s="15"/>
      <c r="LP237" s="15"/>
      <c r="LQ237" s="15"/>
      <c r="LR237" s="15"/>
      <c r="LS237" s="15"/>
      <c r="LT237" s="15"/>
      <c r="LU237" s="15"/>
      <c r="LV237" s="10"/>
      <c r="LW237" s="10"/>
      <c r="LX237" s="21"/>
      <c r="LY237" s="21"/>
      <c r="MB237" s="21"/>
      <c r="MC237" s="15"/>
      <c r="MD237" s="15"/>
      <c r="ME237" s="15"/>
      <c r="MF237" s="15"/>
      <c r="MG237" s="15"/>
      <c r="MH237" s="15"/>
      <c r="MI237" s="15"/>
      <c r="MJ237" s="15"/>
      <c r="MK237" s="15"/>
      <c r="ML237" s="15"/>
      <c r="MM237" s="10"/>
      <c r="MN237" s="10"/>
      <c r="MO237" s="21"/>
      <c r="MP237" s="21"/>
      <c r="MS237" s="21"/>
      <c r="MT237" s="15"/>
      <c r="MU237" s="15"/>
      <c r="MV237" s="15"/>
      <c r="MW237" s="15"/>
      <c r="MX237" s="15"/>
      <c r="MY237" s="15"/>
      <c r="MZ237" s="15"/>
      <c r="NA237" s="15"/>
      <c r="NB237" s="15"/>
      <c r="NC237" s="15"/>
      <c r="ND237" s="10"/>
      <c r="NE237" s="10"/>
      <c r="NF237" s="21"/>
      <c r="NG237" s="21"/>
      <c r="NJ237" s="21"/>
      <c r="NK237" s="15"/>
      <c r="NL237" s="15"/>
      <c r="NM237" s="15"/>
      <c r="NN237" s="15"/>
      <c r="NO237" s="15"/>
      <c r="NP237" s="15"/>
      <c r="NQ237" s="15"/>
      <c r="NR237" s="15"/>
      <c r="NS237" s="15"/>
      <c r="NT237" s="15"/>
      <c r="NU237" s="10"/>
      <c r="NV237" s="10"/>
      <c r="NW237" s="21"/>
      <c r="NX237" s="21"/>
      <c r="OA237" s="21"/>
      <c r="OB237" s="15"/>
      <c r="OC237" s="15"/>
      <c r="OD237" s="15"/>
      <c r="OE237" s="15"/>
      <c r="OF237" s="15"/>
      <c r="OG237" s="15"/>
      <c r="OH237" s="15"/>
      <c r="OI237" s="15"/>
      <c r="OJ237" s="15"/>
      <c r="OK237" s="15"/>
      <c r="OL237" s="10"/>
      <c r="OM237" s="10"/>
      <c r="ON237" s="21"/>
      <c r="OO237" s="21"/>
      <c r="OR237" s="21"/>
      <c r="OS237" s="15"/>
      <c r="OT237" s="15"/>
      <c r="OU237" s="15"/>
      <c r="OV237" s="15"/>
      <c r="OW237" s="15"/>
      <c r="OX237" s="15"/>
      <c r="OY237" s="15"/>
      <c r="OZ237" s="15"/>
      <c r="PA237" s="15"/>
      <c r="PB237" s="15"/>
      <c r="PC237" s="10"/>
      <c r="PD237" s="10"/>
      <c r="PE237" s="21"/>
      <c r="PF237" s="21"/>
      <c r="PI237" s="21"/>
      <c r="PJ237" s="15"/>
      <c r="PK237" s="15"/>
      <c r="PL237" s="15"/>
      <c r="PM237" s="15"/>
      <c r="PN237" s="15"/>
      <c r="PO237" s="15"/>
      <c r="PP237" s="15"/>
      <c r="PQ237" s="15"/>
      <c r="PR237" s="15"/>
      <c r="PS237" s="15"/>
      <c r="PT237" s="10"/>
      <c r="PU237" s="10"/>
      <c r="PV237" s="21"/>
      <c r="PW237" s="21"/>
      <c r="PZ237" s="21"/>
      <c r="QA237" s="15"/>
      <c r="QB237" s="15"/>
      <c r="QC237" s="15"/>
      <c r="QD237" s="15"/>
      <c r="QE237" s="15"/>
      <c r="QF237" s="15"/>
      <c r="QG237" s="15"/>
      <c r="QH237" s="15"/>
      <c r="QI237" s="15"/>
      <c r="QJ237" s="15"/>
      <c r="QK237" s="10"/>
      <c r="QL237" s="10"/>
      <c r="QM237" s="21"/>
      <c r="QN237" s="21"/>
      <c r="QQ237" s="21"/>
      <c r="QR237" s="15"/>
      <c r="QS237" s="15"/>
      <c r="QT237" s="15"/>
      <c r="QU237" s="15"/>
      <c r="QV237" s="15"/>
      <c r="QW237" s="15"/>
      <c r="QX237" s="15"/>
      <c r="QY237" s="15"/>
      <c r="QZ237" s="15"/>
      <c r="RA237" s="15"/>
      <c r="RB237" s="10"/>
      <c r="RC237" s="10"/>
      <c r="RD237" s="21"/>
      <c r="RE237" s="21"/>
      <c r="RH237" s="21"/>
      <c r="RI237" s="15"/>
      <c r="RJ237" s="15"/>
      <c r="RK237" s="15"/>
      <c r="RL237" s="15"/>
      <c r="RM237" s="15"/>
      <c r="RN237" s="15"/>
      <c r="RO237" s="15"/>
      <c r="RP237" s="15"/>
      <c r="RQ237" s="15"/>
      <c r="RR237" s="15"/>
      <c r="RS237" s="10"/>
      <c r="RT237" s="10"/>
      <c r="RU237" s="21"/>
      <c r="RV237" s="21"/>
      <c r="RY237" s="21"/>
      <c r="RZ237" s="15"/>
      <c r="SA237" s="15"/>
      <c r="SB237" s="15"/>
      <c r="SC237" s="15"/>
      <c r="SD237" s="15"/>
      <c r="SE237" s="15"/>
      <c r="SF237" s="15"/>
      <c r="SG237" s="15"/>
      <c r="SH237" s="15"/>
      <c r="SI237" s="15"/>
      <c r="SJ237" s="10"/>
      <c r="SK237" s="10"/>
      <c r="SL237" s="21"/>
      <c r="SM237" s="21"/>
      <c r="SP237" s="21"/>
      <c r="SQ237" s="15"/>
      <c r="SR237" s="15"/>
      <c r="SS237" s="15"/>
      <c r="ST237" s="15"/>
      <c r="SU237" s="15"/>
      <c r="SV237" s="15"/>
      <c r="SW237" s="15"/>
      <c r="SX237" s="15"/>
      <c r="SY237" s="15"/>
      <c r="SZ237" s="15"/>
      <c r="TA237" s="10"/>
      <c r="TB237" s="10"/>
      <c r="TC237" s="21"/>
      <c r="TD237" s="21"/>
      <c r="TG237" s="21"/>
      <c r="TH237" s="15"/>
      <c r="TI237" s="15"/>
      <c r="TJ237" s="15"/>
      <c r="TK237" s="15"/>
      <c r="TL237" s="15"/>
      <c r="TM237" s="15"/>
      <c r="TN237" s="15"/>
      <c r="TO237" s="15"/>
      <c r="TP237" s="15"/>
      <c r="TQ237" s="15"/>
      <c r="TR237" s="10"/>
      <c r="TS237" s="10"/>
      <c r="TT237" s="21"/>
      <c r="TU237" s="21"/>
      <c r="TX237" s="21"/>
      <c r="TY237" s="15"/>
      <c r="TZ237" s="15"/>
      <c r="UA237" s="15"/>
      <c r="UB237" s="15"/>
      <c r="UC237" s="15"/>
      <c r="UD237" s="15"/>
      <c r="UE237" s="15"/>
      <c r="UF237" s="15"/>
      <c r="UG237" s="15"/>
      <c r="UH237" s="15"/>
      <c r="UI237" s="10"/>
      <c r="UJ237" s="10"/>
      <c r="UK237" s="21"/>
      <c r="UL237" s="21"/>
      <c r="UO237" s="21"/>
      <c r="UP237" s="15"/>
      <c r="UQ237" s="15"/>
      <c r="UR237" s="15"/>
      <c r="US237" s="15"/>
      <c r="UT237" s="15"/>
      <c r="UU237" s="15"/>
      <c r="UV237" s="15"/>
      <c r="UW237" s="15"/>
      <c r="UX237" s="15"/>
      <c r="UY237" s="15"/>
      <c r="UZ237" s="10"/>
      <c r="VA237" s="10"/>
      <c r="VB237" s="21"/>
      <c r="VC237" s="21"/>
      <c r="VF237" s="21"/>
      <c r="VG237" s="15"/>
      <c r="VH237" s="15"/>
      <c r="VI237" s="15"/>
      <c r="VJ237" s="15"/>
      <c r="VK237" s="15"/>
      <c r="VL237" s="15"/>
      <c r="VM237" s="15"/>
      <c r="VN237" s="15"/>
      <c r="VO237" s="15"/>
      <c r="VP237" s="15"/>
      <c r="VQ237" s="10"/>
      <c r="VR237" s="10"/>
      <c r="VS237" s="21"/>
      <c r="VT237" s="21"/>
      <c r="VW237" s="21"/>
      <c r="VX237" s="15"/>
      <c r="VY237" s="15"/>
      <c r="VZ237" s="15"/>
      <c r="WA237" s="15"/>
      <c r="WB237" s="15"/>
      <c r="WC237" s="15"/>
      <c r="WD237" s="15"/>
      <c r="WE237" s="15"/>
      <c r="WF237" s="15"/>
      <c r="WG237" s="15"/>
      <c r="WH237" s="10"/>
      <c r="WI237" s="10"/>
      <c r="WJ237" s="21"/>
      <c r="WK237" s="21"/>
      <c r="WN237" s="21"/>
      <c r="WO237" s="15"/>
      <c r="WP237" s="15"/>
      <c r="WQ237" s="15"/>
      <c r="WR237" s="15"/>
      <c r="WS237" s="15"/>
      <c r="WT237" s="15"/>
      <c r="WU237" s="15"/>
      <c r="WV237" s="15"/>
      <c r="WW237" s="15"/>
      <c r="WX237" s="15"/>
      <c r="WY237" s="10"/>
      <c r="WZ237" s="10"/>
      <c r="XA237" s="21"/>
      <c r="XB237" s="21"/>
      <c r="XE237" s="21"/>
      <c r="XF237" s="15"/>
      <c r="XG237" s="15"/>
      <c r="XH237" s="15"/>
      <c r="XI237" s="15"/>
      <c r="XJ237" s="15"/>
      <c r="XK237" s="15"/>
      <c r="XL237" s="15"/>
      <c r="XM237" s="15"/>
      <c r="XN237" s="15"/>
      <c r="XO237" s="15"/>
      <c r="XP237" s="10"/>
      <c r="XQ237" s="10"/>
      <c r="XR237" s="21"/>
      <c r="XS237" s="21"/>
      <c r="XV237" s="21"/>
      <c r="XW237" s="15"/>
      <c r="XX237" s="15"/>
      <c r="XY237" s="15"/>
      <c r="XZ237" s="15"/>
      <c r="YA237" s="15"/>
      <c r="YB237" s="15"/>
      <c r="YC237" s="15"/>
      <c r="YD237" s="15"/>
      <c r="YE237" s="15"/>
      <c r="YF237" s="15"/>
      <c r="YG237" s="10"/>
      <c r="YH237" s="10"/>
      <c r="YI237" s="21"/>
      <c r="YJ237" s="21"/>
      <c r="YM237" s="21"/>
      <c r="YN237" s="15"/>
      <c r="YO237" s="15"/>
      <c r="YP237" s="15"/>
      <c r="YQ237" s="15"/>
      <c r="YR237" s="15"/>
      <c r="YS237" s="15"/>
      <c r="YT237" s="15"/>
      <c r="YU237" s="15"/>
      <c r="YV237" s="15"/>
      <c r="YW237" s="15"/>
      <c r="YX237" s="10"/>
      <c r="YY237" s="10"/>
      <c r="YZ237" s="21"/>
      <c r="ZA237" s="21"/>
      <c r="ZD237" s="21"/>
      <c r="ZE237" s="15"/>
      <c r="ZF237" s="15"/>
      <c r="ZG237" s="15"/>
      <c r="ZH237" s="15"/>
      <c r="ZI237" s="15"/>
      <c r="ZJ237" s="15"/>
      <c r="ZK237" s="15"/>
      <c r="ZL237" s="15"/>
      <c r="ZM237" s="15"/>
      <c r="ZN237" s="15"/>
      <c r="ZO237" s="10"/>
      <c r="ZP237" s="10"/>
      <c r="ZQ237" s="21"/>
      <c r="ZR237" s="21"/>
      <c r="ZU237" s="21"/>
      <c r="ZV237" s="15"/>
      <c r="ZW237" s="15"/>
      <c r="ZX237" s="15"/>
      <c r="ZY237" s="15"/>
      <c r="ZZ237" s="15"/>
      <c r="AAA237" s="15"/>
      <c r="AAB237" s="15"/>
      <c r="AAC237" s="15"/>
      <c r="AAD237" s="15"/>
      <c r="AAE237" s="15"/>
      <c r="AAF237" s="10"/>
      <c r="AAG237" s="10"/>
      <c r="AAH237" s="21"/>
      <c r="AAI237" s="21"/>
      <c r="AAL237" s="21"/>
      <c r="AAM237" s="15"/>
      <c r="AAN237" s="15"/>
      <c r="AAO237" s="15"/>
      <c r="AAP237" s="15"/>
      <c r="AAQ237" s="15"/>
      <c r="AAR237" s="15"/>
      <c r="AAS237" s="15"/>
      <c r="AAT237" s="15"/>
      <c r="AAU237" s="15"/>
      <c r="AAV237" s="15"/>
      <c r="AAW237" s="10"/>
      <c r="AAX237" s="10"/>
      <c r="AAY237" s="21"/>
      <c r="AAZ237" s="21"/>
      <c r="ABC237" s="21"/>
      <c r="ABD237" s="15"/>
      <c r="ABE237" s="15"/>
      <c r="ABF237" s="15"/>
      <c r="ABG237" s="15"/>
      <c r="ABH237" s="15"/>
      <c r="ABI237" s="15"/>
      <c r="ABJ237" s="15"/>
      <c r="ABK237" s="15"/>
      <c r="ABL237" s="15"/>
      <c r="ABM237" s="15"/>
      <c r="ABN237" s="10"/>
      <c r="ABO237" s="10"/>
      <c r="ABP237" s="21"/>
      <c r="ABQ237" s="21"/>
      <c r="ABT237" s="21"/>
      <c r="ABU237" s="15"/>
      <c r="ABV237" s="15"/>
      <c r="ABW237" s="15"/>
      <c r="ABX237" s="15"/>
      <c r="ABY237" s="15"/>
      <c r="ABZ237" s="15"/>
      <c r="ACA237" s="15"/>
      <c r="ACB237" s="15"/>
      <c r="ACC237" s="15"/>
      <c r="ACD237" s="15"/>
      <c r="ACE237" s="10"/>
      <c r="ACF237" s="10"/>
      <c r="ACG237" s="21"/>
      <c r="ACH237" s="21"/>
      <c r="ACK237" s="21"/>
      <c r="ACL237" s="15"/>
      <c r="ACM237" s="15"/>
      <c r="ACN237" s="15"/>
      <c r="ACO237" s="15"/>
      <c r="ACP237" s="15"/>
      <c r="ACQ237" s="15"/>
      <c r="ACR237" s="15"/>
      <c r="ACS237" s="15"/>
      <c r="ACT237" s="15"/>
      <c r="ACU237" s="15"/>
      <c r="ACV237" s="10"/>
      <c r="ACW237" s="10"/>
      <c r="ACX237" s="21"/>
      <c r="ACY237" s="21"/>
      <c r="ADB237" s="21"/>
      <c r="ADC237" s="15"/>
      <c r="ADD237" s="15"/>
      <c r="ADE237" s="15"/>
      <c r="ADF237" s="15"/>
      <c r="ADG237" s="15"/>
      <c r="ADH237" s="15"/>
      <c r="ADI237" s="15"/>
      <c r="ADJ237" s="15"/>
      <c r="ADK237" s="15"/>
      <c r="ADL237" s="15"/>
      <c r="ADM237" s="10"/>
      <c r="ADN237" s="10"/>
      <c r="ADO237" s="21"/>
      <c r="ADP237" s="21"/>
      <c r="ADS237" s="21"/>
      <c r="ADT237" s="15"/>
      <c r="ADU237" s="15"/>
      <c r="ADV237" s="15"/>
      <c r="ADW237" s="15"/>
      <c r="ADX237" s="15"/>
      <c r="ADY237" s="15"/>
      <c r="ADZ237" s="15"/>
      <c r="AEA237" s="15"/>
      <c r="AEB237" s="15"/>
      <c r="AEC237" s="15"/>
      <c r="AED237" s="10"/>
      <c r="AEE237" s="10"/>
      <c r="AEF237" s="21"/>
      <c r="AEG237" s="21"/>
      <c r="AEJ237" s="21"/>
      <c r="AEK237" s="15"/>
      <c r="AEL237" s="15"/>
      <c r="AEM237" s="15"/>
      <c r="AEN237" s="15"/>
      <c r="AEO237" s="15"/>
      <c r="AEP237" s="15"/>
      <c r="AEQ237" s="15"/>
      <c r="AER237" s="15"/>
      <c r="AES237" s="15"/>
      <c r="AET237" s="15"/>
      <c r="AEU237" s="10"/>
      <c r="AEV237" s="10"/>
      <c r="AEW237" s="21"/>
      <c r="AEX237" s="21"/>
      <c r="AFA237" s="21"/>
      <c r="AFB237" s="15"/>
      <c r="AFC237" s="15"/>
      <c r="AFD237" s="15"/>
      <c r="AFE237" s="15"/>
      <c r="AFF237" s="15"/>
      <c r="AFG237" s="15"/>
      <c r="AFH237" s="15"/>
      <c r="AFI237" s="15"/>
      <c r="AFJ237" s="15"/>
      <c r="AFK237" s="15"/>
      <c r="AFL237" s="10"/>
      <c r="AFM237" s="10"/>
      <c r="AFN237" s="21"/>
      <c r="AFO237" s="21"/>
      <c r="AFR237" s="21"/>
      <c r="AFS237" s="15"/>
      <c r="AFT237" s="15"/>
      <c r="AFU237" s="15"/>
      <c r="AFV237" s="15"/>
      <c r="AFW237" s="15"/>
      <c r="AFX237" s="15"/>
      <c r="AFY237" s="15"/>
      <c r="AFZ237" s="15"/>
      <c r="AGA237" s="15"/>
      <c r="AGB237" s="15"/>
      <c r="AGC237" s="10"/>
      <c r="AGD237" s="10"/>
      <c r="AGE237" s="21"/>
      <c r="AGF237" s="21"/>
      <c r="AGI237" s="21"/>
      <c r="AGJ237" s="15"/>
      <c r="AGK237" s="15"/>
      <c r="AGL237" s="15"/>
      <c r="AGM237" s="15"/>
      <c r="AGN237" s="15"/>
      <c r="AGO237" s="15"/>
      <c r="AGP237" s="15"/>
      <c r="AGQ237" s="15"/>
      <c r="AGR237" s="15"/>
      <c r="AGS237" s="15"/>
      <c r="AGT237" s="10"/>
      <c r="AGU237" s="10"/>
      <c r="AGV237" s="21"/>
      <c r="AGW237" s="21"/>
      <c r="AGZ237" s="21"/>
      <c r="AHA237" s="15"/>
      <c r="AHB237" s="15"/>
      <c r="AHC237" s="15"/>
      <c r="AHD237" s="15"/>
      <c r="AHE237" s="15"/>
      <c r="AHF237" s="15"/>
      <c r="AHG237" s="15"/>
      <c r="AHH237" s="15"/>
      <c r="AHI237" s="15"/>
      <c r="AHJ237" s="15"/>
      <c r="AHK237" s="10"/>
      <c r="AHL237" s="10"/>
      <c r="AHM237" s="21"/>
      <c r="AHN237" s="21"/>
      <c r="AHQ237" s="21"/>
      <c r="AHR237" s="15"/>
      <c r="AHS237" s="15"/>
      <c r="AHT237" s="15"/>
      <c r="AHU237" s="15"/>
      <c r="AHV237" s="15"/>
      <c r="AHW237" s="15"/>
      <c r="AHX237" s="15"/>
      <c r="AHY237" s="15"/>
      <c r="AHZ237" s="15"/>
      <c r="AIA237" s="15"/>
      <c r="AIB237" s="10"/>
      <c r="AIC237" s="10"/>
      <c r="AID237" s="21"/>
      <c r="AIE237" s="21"/>
      <c r="AIH237" s="21"/>
      <c r="AII237" s="15"/>
      <c r="AIJ237" s="15"/>
      <c r="AIK237" s="15"/>
      <c r="AIL237" s="15"/>
      <c r="AIM237" s="15"/>
      <c r="AIN237" s="15"/>
      <c r="AIO237" s="15"/>
      <c r="AIP237" s="15"/>
      <c r="AIQ237" s="15"/>
      <c r="AIR237" s="15"/>
      <c r="AIS237" s="10"/>
      <c r="AIT237" s="10"/>
      <c r="AIU237" s="21"/>
      <c r="AIV237" s="21"/>
      <c r="AIY237" s="21"/>
      <c r="AIZ237" s="15"/>
      <c r="AJA237" s="15"/>
      <c r="AJB237" s="15"/>
      <c r="AJC237" s="15"/>
      <c r="AJD237" s="15"/>
      <c r="AJE237" s="15"/>
      <c r="AJF237" s="15"/>
      <c r="AJG237" s="15"/>
      <c r="AJH237" s="15"/>
      <c r="AJI237" s="15"/>
      <c r="AJJ237" s="10"/>
      <c r="AJK237" s="10"/>
      <c r="AJL237" s="21"/>
      <c r="AJM237" s="21"/>
      <c r="AJP237" s="21"/>
      <c r="AJQ237" s="15"/>
      <c r="AJR237" s="15"/>
      <c r="AJS237" s="15"/>
      <c r="AJT237" s="15"/>
      <c r="AJU237" s="15"/>
      <c r="AJV237" s="15"/>
      <c r="AJW237" s="15"/>
      <c r="AJX237" s="15"/>
      <c r="AJY237" s="15"/>
      <c r="AJZ237" s="15"/>
      <c r="AKA237" s="10"/>
      <c r="AKB237" s="10"/>
      <c r="AKC237" s="21"/>
      <c r="AKD237" s="21"/>
      <c r="AKG237" s="21"/>
      <c r="AKH237" s="15"/>
      <c r="AKI237" s="15"/>
      <c r="AKJ237" s="15"/>
      <c r="AKK237" s="15"/>
      <c r="AKL237" s="15"/>
      <c r="AKM237" s="15"/>
      <c r="AKN237" s="15"/>
      <c r="AKO237" s="15"/>
      <c r="AKP237" s="15"/>
      <c r="AKQ237" s="15"/>
      <c r="AKR237" s="10"/>
      <c r="AKS237" s="10"/>
      <c r="AKT237" s="21"/>
      <c r="AKU237" s="21"/>
      <c r="AKX237" s="21"/>
      <c r="AKY237" s="15"/>
      <c r="AKZ237" s="15"/>
      <c r="ALA237" s="15"/>
      <c r="ALB237" s="15"/>
      <c r="ALC237" s="15"/>
      <c r="ALD237" s="15"/>
      <c r="ALE237" s="15"/>
      <c r="ALF237" s="15"/>
      <c r="ALG237" s="15"/>
      <c r="ALH237" s="15"/>
      <c r="ALI237" s="10"/>
      <c r="ALJ237" s="10"/>
      <c r="ALK237" s="21"/>
      <c r="ALL237" s="21"/>
      <c r="ALO237" s="21"/>
      <c r="ALP237" s="15"/>
      <c r="ALQ237" s="15"/>
      <c r="ALR237" s="15"/>
      <c r="ALS237" s="15"/>
      <c r="ALT237" s="15"/>
      <c r="ALU237" s="15"/>
      <c r="ALV237" s="15"/>
      <c r="ALW237" s="15"/>
      <c r="ALX237" s="15"/>
      <c r="ALY237" s="15"/>
      <c r="ALZ237" s="10"/>
      <c r="AMA237" s="10"/>
      <c r="AMB237" s="21"/>
      <c r="AMC237" s="21"/>
      <c r="AMF237" s="21"/>
      <c r="AMG237" s="15"/>
      <c r="AMH237" s="15"/>
      <c r="AMI237" s="15"/>
      <c r="AMJ237" s="15"/>
      <c r="AMK237" s="15"/>
      <c r="AML237" s="15"/>
      <c r="AMM237" s="15"/>
      <c r="AMN237" s="15"/>
      <c r="AMO237" s="15"/>
      <c r="AMP237" s="15"/>
      <c r="AMQ237" s="10"/>
      <c r="AMR237" s="10"/>
      <c r="AMS237" s="21"/>
      <c r="AMT237" s="21"/>
      <c r="AMW237" s="21"/>
      <c r="AMX237" s="15"/>
      <c r="AMY237" s="15"/>
      <c r="AMZ237" s="15"/>
      <c r="ANA237" s="15"/>
      <c r="ANB237" s="15"/>
      <c r="ANC237" s="15"/>
      <c r="AND237" s="15"/>
      <c r="ANE237" s="15"/>
      <c r="ANF237" s="15"/>
      <c r="ANG237" s="15"/>
      <c r="ANH237" s="10"/>
      <c r="ANI237" s="10"/>
      <c r="ANJ237" s="21"/>
      <c r="ANK237" s="21"/>
      <c r="ANN237" s="21"/>
      <c r="ANO237" s="15"/>
      <c r="ANP237" s="15"/>
      <c r="ANQ237" s="15"/>
      <c r="ANR237" s="15"/>
      <c r="ANS237" s="15"/>
      <c r="ANT237" s="15"/>
      <c r="ANU237" s="15"/>
      <c r="ANV237" s="15"/>
      <c r="ANW237" s="15"/>
      <c r="ANX237" s="15"/>
      <c r="ANY237" s="10"/>
      <c r="ANZ237" s="10"/>
      <c r="AOA237" s="21"/>
      <c r="AOB237" s="21"/>
      <c r="AOE237" s="21"/>
      <c r="AOF237" s="15"/>
      <c r="AOG237" s="15"/>
      <c r="AOH237" s="15"/>
      <c r="AOI237" s="15"/>
      <c r="AOJ237" s="15"/>
      <c r="AOK237" s="15"/>
      <c r="AOL237" s="15"/>
      <c r="AOM237" s="15"/>
      <c r="AON237" s="15"/>
      <c r="AOO237" s="15"/>
      <c r="AOP237" s="10"/>
      <c r="AOQ237" s="10"/>
      <c r="AOR237" s="21"/>
      <c r="AOS237" s="21"/>
      <c r="AOV237" s="21"/>
      <c r="AOW237" s="15"/>
      <c r="AOX237" s="15"/>
      <c r="AOY237" s="15"/>
      <c r="AOZ237" s="15"/>
      <c r="APA237" s="15"/>
      <c r="APB237" s="15"/>
      <c r="APC237" s="15"/>
      <c r="APD237" s="15"/>
      <c r="APE237" s="15"/>
      <c r="APF237" s="15"/>
      <c r="APG237" s="10"/>
      <c r="APH237" s="10"/>
      <c r="API237" s="21"/>
      <c r="APJ237" s="21"/>
      <c r="APM237" s="21"/>
      <c r="APN237" s="15"/>
      <c r="APO237" s="15"/>
      <c r="APP237" s="15"/>
      <c r="APQ237" s="15"/>
      <c r="APR237" s="15"/>
      <c r="APS237" s="15"/>
      <c r="APT237" s="15"/>
      <c r="APU237" s="15"/>
      <c r="APV237" s="15"/>
      <c r="APW237" s="15"/>
      <c r="APX237" s="10"/>
      <c r="APY237" s="10"/>
      <c r="APZ237" s="21"/>
      <c r="AQA237" s="21"/>
      <c r="AQD237" s="21"/>
      <c r="AQE237" s="15"/>
      <c r="AQF237" s="15"/>
      <c r="AQG237" s="15"/>
      <c r="AQH237" s="15"/>
      <c r="AQI237" s="15"/>
      <c r="AQJ237" s="15"/>
      <c r="AQK237" s="15"/>
      <c r="AQL237" s="15"/>
      <c r="AQM237" s="15"/>
      <c r="AQN237" s="15"/>
      <c r="AQO237" s="10"/>
      <c r="AQP237" s="10"/>
      <c r="AQQ237" s="21"/>
      <c r="AQR237" s="21"/>
      <c r="AQU237" s="21"/>
      <c r="AQV237" s="15"/>
      <c r="AQW237" s="15"/>
      <c r="AQX237" s="15"/>
      <c r="AQY237" s="15"/>
      <c r="AQZ237" s="15"/>
      <c r="ARA237" s="15"/>
      <c r="ARB237" s="15"/>
      <c r="ARC237" s="15"/>
      <c r="ARD237" s="15"/>
      <c r="ARE237" s="15"/>
      <c r="ARF237" s="10"/>
      <c r="ARG237" s="10"/>
      <c r="ARH237" s="21"/>
      <c r="ARI237" s="21"/>
      <c r="ARL237" s="21"/>
      <c r="ARM237" s="15"/>
      <c r="ARN237" s="15"/>
      <c r="ARO237" s="15"/>
      <c r="ARP237" s="15"/>
      <c r="ARQ237" s="15"/>
      <c r="ARR237" s="15"/>
      <c r="ARS237" s="15"/>
      <c r="ART237" s="15"/>
      <c r="ARU237" s="15"/>
      <c r="ARV237" s="15"/>
      <c r="ARW237" s="10"/>
      <c r="ARX237" s="10"/>
      <c r="ARY237" s="21"/>
      <c r="ARZ237" s="21"/>
      <c r="ASC237" s="21"/>
      <c r="ASD237" s="15"/>
      <c r="ASE237" s="15"/>
      <c r="ASF237" s="15"/>
      <c r="ASG237" s="15"/>
      <c r="ASH237" s="15"/>
      <c r="ASI237" s="15"/>
      <c r="ASJ237" s="15"/>
      <c r="ASK237" s="15"/>
      <c r="ASL237" s="15"/>
      <c r="ASM237" s="15"/>
      <c r="ASN237" s="10"/>
      <c r="ASO237" s="10"/>
      <c r="ASP237" s="21"/>
      <c r="ASQ237" s="21"/>
      <c r="AST237" s="21"/>
      <c r="ASU237" s="15"/>
      <c r="ASV237" s="15"/>
      <c r="ASW237" s="15"/>
      <c r="ASX237" s="15"/>
      <c r="ASY237" s="15"/>
      <c r="ASZ237" s="15"/>
      <c r="ATA237" s="15"/>
      <c r="ATB237" s="15"/>
      <c r="ATC237" s="15"/>
      <c r="ATD237" s="15"/>
      <c r="ATE237" s="10"/>
      <c r="ATF237" s="10"/>
      <c r="ATG237" s="21"/>
      <c r="ATH237" s="21"/>
      <c r="ATK237" s="21"/>
      <c r="ATL237" s="15"/>
      <c r="ATM237" s="15"/>
      <c r="ATN237" s="15"/>
      <c r="ATO237" s="15"/>
      <c r="ATP237" s="15"/>
      <c r="ATQ237" s="15"/>
      <c r="ATR237" s="15"/>
      <c r="ATS237" s="15"/>
      <c r="ATT237" s="15"/>
      <c r="ATU237" s="15"/>
      <c r="ATV237" s="10"/>
      <c r="ATW237" s="10"/>
      <c r="ATX237" s="21"/>
      <c r="ATY237" s="21"/>
      <c r="AUB237" s="21"/>
      <c r="AUC237" s="15"/>
      <c r="AUD237" s="15"/>
      <c r="AUE237" s="15"/>
      <c r="AUF237" s="15"/>
      <c r="AUG237" s="15"/>
      <c r="AUH237" s="15"/>
      <c r="AUI237" s="15"/>
      <c r="AUJ237" s="15"/>
      <c r="AUK237" s="15"/>
      <c r="AUL237" s="15"/>
      <c r="AUM237" s="10"/>
      <c r="AUN237" s="10"/>
      <c r="AUO237" s="21"/>
      <c r="AUP237" s="21"/>
      <c r="AUS237" s="21"/>
      <c r="AUT237" s="15"/>
      <c r="AUU237" s="15"/>
      <c r="AUV237" s="15"/>
      <c r="AUW237" s="15"/>
      <c r="AUX237" s="15"/>
      <c r="AUY237" s="15"/>
      <c r="AUZ237" s="15"/>
      <c r="AVA237" s="15"/>
      <c r="AVB237" s="15"/>
      <c r="AVC237" s="15"/>
      <c r="AVD237" s="10"/>
      <c r="AVE237" s="10"/>
      <c r="AVF237" s="21"/>
      <c r="AVG237" s="21"/>
      <c r="AVJ237" s="21"/>
      <c r="AVK237" s="15"/>
      <c r="AVL237" s="15"/>
      <c r="AVM237" s="15"/>
      <c r="AVN237" s="15"/>
      <c r="AVO237" s="15"/>
      <c r="AVP237" s="15"/>
      <c r="AVQ237" s="15"/>
      <c r="AVR237" s="15"/>
      <c r="AVS237" s="15"/>
      <c r="AVT237" s="15"/>
      <c r="AVU237" s="10"/>
      <c r="AVV237" s="10"/>
      <c r="AVW237" s="21"/>
      <c r="AVX237" s="21"/>
      <c r="AWA237" s="21"/>
      <c r="AWB237" s="15"/>
      <c r="AWC237" s="15"/>
      <c r="AWD237" s="15"/>
      <c r="AWE237" s="15"/>
      <c r="AWF237" s="15"/>
      <c r="AWG237" s="15"/>
      <c r="AWH237" s="15"/>
      <c r="AWI237" s="15"/>
      <c r="AWJ237" s="15"/>
      <c r="AWK237" s="15"/>
      <c r="AWL237" s="10"/>
      <c r="AWM237" s="10"/>
      <c r="AWN237" s="21"/>
      <c r="AWO237" s="21"/>
      <c r="AWR237" s="21"/>
      <c r="AWS237" s="15"/>
      <c r="AWT237" s="15"/>
      <c r="AWU237" s="15"/>
      <c r="AWV237" s="15"/>
      <c r="AWW237" s="15"/>
      <c r="AWX237" s="15"/>
      <c r="AWY237" s="15"/>
      <c r="AWZ237" s="15"/>
      <c r="AXA237" s="15"/>
      <c r="AXB237" s="15"/>
      <c r="AXC237" s="10"/>
      <c r="AXD237" s="10"/>
      <c r="AXE237" s="21"/>
      <c r="AXF237" s="21"/>
      <c r="AXI237" s="21"/>
      <c r="AXJ237" s="15"/>
      <c r="AXK237" s="15"/>
      <c r="AXL237" s="15"/>
      <c r="AXM237" s="15"/>
      <c r="AXN237" s="15"/>
      <c r="AXO237" s="15"/>
      <c r="AXP237" s="15"/>
      <c r="AXQ237" s="15"/>
      <c r="AXR237" s="15"/>
      <c r="AXS237" s="15"/>
      <c r="AXT237" s="10"/>
      <c r="AXU237" s="10"/>
      <c r="AXV237" s="21"/>
      <c r="AXW237" s="21"/>
      <c r="AXZ237" s="21"/>
      <c r="AYA237" s="15"/>
      <c r="AYB237" s="15"/>
      <c r="AYC237" s="15"/>
      <c r="AYD237" s="15"/>
      <c r="AYE237" s="15"/>
      <c r="AYF237" s="15"/>
      <c r="AYG237" s="15"/>
      <c r="AYH237" s="15"/>
      <c r="AYI237" s="15"/>
      <c r="AYJ237" s="15"/>
      <c r="AYK237" s="10"/>
      <c r="AYL237" s="10"/>
      <c r="AYM237" s="21"/>
      <c r="AYN237" s="21"/>
      <c r="AYQ237" s="21"/>
      <c r="AYR237" s="15"/>
      <c r="AYS237" s="15"/>
      <c r="AYT237" s="15"/>
      <c r="AYU237" s="15"/>
      <c r="AYV237" s="15"/>
      <c r="AYW237" s="15"/>
      <c r="AYX237" s="15"/>
      <c r="AYY237" s="15"/>
      <c r="AYZ237" s="15"/>
      <c r="AZA237" s="15"/>
      <c r="AZB237" s="10"/>
      <c r="AZC237" s="10"/>
      <c r="AZD237" s="21"/>
      <c r="AZE237" s="21"/>
      <c r="AZH237" s="21"/>
      <c r="AZI237" s="15"/>
      <c r="AZJ237" s="15"/>
      <c r="AZK237" s="15"/>
      <c r="AZL237" s="15"/>
      <c r="AZM237" s="15"/>
      <c r="AZN237" s="15"/>
      <c r="AZO237" s="15"/>
      <c r="AZP237" s="15"/>
      <c r="AZQ237" s="15"/>
      <c r="AZR237" s="15"/>
      <c r="AZS237" s="10"/>
      <c r="AZT237" s="10"/>
      <c r="AZU237" s="21"/>
      <c r="AZV237" s="21"/>
      <c r="AZY237" s="21"/>
      <c r="AZZ237" s="15"/>
      <c r="BAA237" s="15"/>
      <c r="BAB237" s="15"/>
      <c r="BAC237" s="15"/>
      <c r="BAD237" s="15"/>
      <c r="BAE237" s="15"/>
      <c r="BAF237" s="15"/>
      <c r="BAG237" s="15"/>
      <c r="BAH237" s="15"/>
      <c r="BAI237" s="15"/>
      <c r="BAJ237" s="10"/>
      <c r="BAK237" s="10"/>
      <c r="BAL237" s="21"/>
      <c r="BAM237" s="21"/>
      <c r="BAP237" s="21"/>
      <c r="BAQ237" s="15"/>
      <c r="BAR237" s="15"/>
      <c r="BAS237" s="15"/>
      <c r="BAT237" s="15"/>
      <c r="BAU237" s="15"/>
      <c r="BAV237" s="15"/>
      <c r="BAW237" s="15"/>
      <c r="BAX237" s="15"/>
      <c r="BAY237" s="15"/>
      <c r="BAZ237" s="15"/>
      <c r="BBA237" s="10"/>
      <c r="BBB237" s="10"/>
      <c r="BBC237" s="21"/>
      <c r="BBD237" s="21"/>
      <c r="BBG237" s="21"/>
      <c r="BBH237" s="15"/>
      <c r="BBI237" s="15"/>
      <c r="BBJ237" s="15"/>
      <c r="BBK237" s="15"/>
      <c r="BBL237" s="15"/>
      <c r="BBM237" s="15"/>
      <c r="BBN237" s="15"/>
      <c r="BBO237" s="15"/>
      <c r="BBP237" s="15"/>
      <c r="BBQ237" s="15"/>
      <c r="BBR237" s="10"/>
      <c r="BBS237" s="10"/>
      <c r="BBT237" s="21"/>
      <c r="BBU237" s="21"/>
      <c r="BBX237" s="21"/>
      <c r="BBY237" s="15"/>
      <c r="BBZ237" s="15"/>
      <c r="BCA237" s="15"/>
      <c r="BCB237" s="15"/>
      <c r="BCC237" s="15"/>
      <c r="BCD237" s="15"/>
      <c r="BCE237" s="15"/>
      <c r="BCF237" s="15"/>
      <c r="BCG237" s="15"/>
      <c r="BCH237" s="15"/>
      <c r="BCI237" s="10"/>
      <c r="BCJ237" s="10"/>
      <c r="BCK237" s="21"/>
      <c r="BCL237" s="21"/>
      <c r="BCO237" s="21"/>
      <c r="BCP237" s="15"/>
      <c r="BCQ237" s="15"/>
      <c r="BCR237" s="15"/>
      <c r="BCS237" s="15"/>
      <c r="BCT237" s="15"/>
      <c r="BCU237" s="15"/>
      <c r="BCV237" s="15"/>
      <c r="BCW237" s="15"/>
      <c r="BCX237" s="15"/>
      <c r="BCY237" s="15"/>
      <c r="BCZ237" s="10"/>
      <c r="BDA237" s="10"/>
      <c r="BDB237" s="21"/>
      <c r="BDC237" s="21"/>
      <c r="BDF237" s="21"/>
      <c r="BDG237" s="15"/>
      <c r="BDH237" s="15"/>
      <c r="BDI237" s="15"/>
      <c r="BDJ237" s="15"/>
      <c r="BDK237" s="15"/>
      <c r="BDL237" s="15"/>
      <c r="BDM237" s="15"/>
      <c r="BDN237" s="15"/>
      <c r="BDO237" s="15"/>
      <c r="BDP237" s="15"/>
      <c r="BDQ237" s="10"/>
      <c r="BDR237" s="10"/>
      <c r="BDS237" s="21"/>
      <c r="BDT237" s="21"/>
      <c r="BDW237" s="21"/>
      <c r="BDX237" s="15"/>
      <c r="BDY237" s="15"/>
      <c r="BDZ237" s="15"/>
      <c r="BEA237" s="15"/>
      <c r="BEB237" s="15"/>
      <c r="BEC237" s="15"/>
      <c r="BED237" s="15"/>
      <c r="BEE237" s="15"/>
      <c r="BEF237" s="15"/>
      <c r="BEG237" s="15"/>
      <c r="BEH237" s="10"/>
      <c r="BEI237" s="10"/>
      <c r="BEJ237" s="21"/>
      <c r="BEK237" s="21"/>
      <c r="BEN237" s="21"/>
      <c r="BEO237" s="15"/>
      <c r="BEP237" s="15"/>
      <c r="BEQ237" s="15"/>
      <c r="BER237" s="15"/>
      <c r="BES237" s="15"/>
      <c r="BET237" s="15"/>
      <c r="BEU237" s="15"/>
      <c r="BEV237" s="15"/>
      <c r="BEW237" s="15"/>
      <c r="BEX237" s="15"/>
      <c r="BEY237" s="10"/>
      <c r="BEZ237" s="10"/>
      <c r="BFA237" s="21"/>
      <c r="BFB237" s="21"/>
      <c r="BFE237" s="21"/>
      <c r="BFF237" s="15"/>
      <c r="BFG237" s="15"/>
      <c r="BFH237" s="15"/>
      <c r="BFI237" s="15"/>
      <c r="BFJ237" s="15"/>
      <c r="BFK237" s="15"/>
      <c r="BFL237" s="15"/>
      <c r="BFM237" s="15"/>
      <c r="BFN237" s="15"/>
      <c r="BFO237" s="15"/>
      <c r="BFP237" s="10"/>
      <c r="BFQ237" s="10"/>
      <c r="BFR237" s="21"/>
      <c r="BFS237" s="21"/>
      <c r="BFV237" s="21"/>
      <c r="BFW237" s="15"/>
      <c r="BFX237" s="15"/>
      <c r="BFY237" s="15"/>
      <c r="BFZ237" s="15"/>
      <c r="BGA237" s="15"/>
      <c r="BGB237" s="15"/>
      <c r="BGC237" s="15"/>
      <c r="BGD237" s="15"/>
      <c r="BGE237" s="15"/>
      <c r="BGF237" s="15"/>
      <c r="BGG237" s="10"/>
      <c r="BGH237" s="10"/>
      <c r="BGI237" s="21"/>
      <c r="BGJ237" s="21"/>
      <c r="BGM237" s="21"/>
      <c r="BGN237" s="15"/>
      <c r="BGO237" s="15"/>
      <c r="BGP237" s="15"/>
      <c r="BGQ237" s="15"/>
      <c r="BGR237" s="15"/>
      <c r="BGS237" s="15"/>
      <c r="BGT237" s="15"/>
      <c r="BGU237" s="15"/>
      <c r="BGV237" s="15"/>
      <c r="BGW237" s="15"/>
      <c r="BGX237" s="10"/>
      <c r="BGY237" s="10"/>
      <c r="BGZ237" s="21"/>
      <c r="BHA237" s="21"/>
      <c r="BHD237" s="21"/>
      <c r="BHE237" s="15"/>
      <c r="BHF237" s="15"/>
      <c r="BHG237" s="15"/>
      <c r="BHH237" s="15"/>
      <c r="BHI237" s="15"/>
      <c r="BHJ237" s="15"/>
      <c r="BHK237" s="15"/>
      <c r="BHL237" s="15"/>
      <c r="BHM237" s="15"/>
      <c r="BHN237" s="15"/>
      <c r="BHO237" s="10"/>
      <c r="BHP237" s="10"/>
      <c r="BHQ237" s="21"/>
      <c r="BHR237" s="21"/>
      <c r="BHU237" s="21"/>
      <c r="BHV237" s="15"/>
      <c r="BHW237" s="15"/>
      <c r="BHX237" s="15"/>
      <c r="BHY237" s="15"/>
      <c r="BHZ237" s="15"/>
      <c r="BIA237" s="15"/>
      <c r="BIB237" s="15"/>
      <c r="BIC237" s="15"/>
      <c r="BID237" s="15"/>
      <c r="BIE237" s="15"/>
      <c r="BIF237" s="10"/>
      <c r="BIG237" s="10"/>
      <c r="BIH237" s="21"/>
      <c r="BII237" s="21"/>
      <c r="BIL237" s="21"/>
      <c r="BIM237" s="15"/>
      <c r="BIN237" s="15"/>
      <c r="BIO237" s="15"/>
      <c r="BIP237" s="15"/>
      <c r="BIQ237" s="15"/>
      <c r="BIR237" s="15"/>
      <c r="BIS237" s="15"/>
      <c r="BIT237" s="15"/>
      <c r="BIU237" s="15"/>
      <c r="BIV237" s="15"/>
      <c r="BIW237" s="10"/>
      <c r="BIX237" s="10"/>
      <c r="BIY237" s="21"/>
      <c r="BIZ237" s="21"/>
      <c r="BJC237" s="21"/>
      <c r="BJD237" s="15"/>
      <c r="BJE237" s="15"/>
      <c r="BJF237" s="15"/>
      <c r="BJG237" s="15"/>
      <c r="BJH237" s="15"/>
      <c r="BJI237" s="15"/>
      <c r="BJJ237" s="15"/>
      <c r="BJK237" s="15"/>
      <c r="BJL237" s="15"/>
      <c r="BJM237" s="15"/>
      <c r="BJN237" s="10"/>
      <c r="BJO237" s="10"/>
      <c r="BJP237" s="21"/>
      <c r="BJQ237" s="21"/>
      <c r="BJT237" s="21"/>
      <c r="BJU237" s="15"/>
      <c r="BJV237" s="15"/>
      <c r="BJW237" s="15"/>
      <c r="BJX237" s="15"/>
      <c r="BJY237" s="15"/>
      <c r="BJZ237" s="15"/>
      <c r="BKA237" s="15"/>
      <c r="BKB237" s="15"/>
      <c r="BKC237" s="15"/>
      <c r="BKD237" s="15"/>
      <c r="BKE237" s="10"/>
      <c r="BKF237" s="10"/>
      <c r="BKG237" s="21"/>
      <c r="BKH237" s="21"/>
      <c r="BKK237" s="21"/>
      <c r="BKL237" s="15"/>
      <c r="BKM237" s="15"/>
      <c r="BKN237" s="15"/>
      <c r="BKO237" s="15"/>
      <c r="BKP237" s="15"/>
      <c r="BKQ237" s="15"/>
      <c r="BKR237" s="15"/>
      <c r="BKS237" s="15"/>
      <c r="BKT237" s="15"/>
      <c r="BKU237" s="15"/>
      <c r="BKV237" s="10"/>
      <c r="BKW237" s="10"/>
      <c r="BKX237" s="21"/>
      <c r="BKY237" s="21"/>
      <c r="BLB237" s="21"/>
      <c r="BLC237" s="15"/>
      <c r="BLD237" s="15"/>
      <c r="BLE237" s="15"/>
      <c r="BLF237" s="15"/>
      <c r="BLG237" s="15"/>
      <c r="BLH237" s="15"/>
      <c r="BLI237" s="15"/>
      <c r="BLJ237" s="15"/>
      <c r="BLK237" s="15"/>
      <c r="BLL237" s="15"/>
      <c r="BLM237" s="10"/>
      <c r="BLN237" s="10"/>
      <c r="BLO237" s="21"/>
      <c r="BLP237" s="21"/>
      <c r="BLS237" s="21"/>
      <c r="BLT237" s="15"/>
      <c r="BLU237" s="15"/>
      <c r="BLV237" s="15"/>
      <c r="BLW237" s="15"/>
      <c r="BLX237" s="15"/>
      <c r="BLY237" s="15"/>
      <c r="BLZ237" s="15"/>
      <c r="BMA237" s="15"/>
      <c r="BMB237" s="15"/>
      <c r="BMC237" s="15"/>
      <c r="BMD237" s="10"/>
      <c r="BME237" s="10"/>
      <c r="BMF237" s="21"/>
      <c r="BMG237" s="21"/>
      <c r="BMJ237" s="21"/>
      <c r="BMK237" s="15"/>
      <c r="BML237" s="15"/>
      <c r="BMM237" s="15"/>
      <c r="BMN237" s="15"/>
      <c r="BMO237" s="15"/>
      <c r="BMP237" s="15"/>
      <c r="BMQ237" s="15"/>
      <c r="BMR237" s="15"/>
      <c r="BMS237" s="15"/>
      <c r="BMT237" s="15"/>
      <c r="BMU237" s="10"/>
      <c r="BMV237" s="10"/>
      <c r="BMW237" s="21"/>
      <c r="BMX237" s="21"/>
      <c r="BNA237" s="21"/>
      <c r="BNB237" s="15"/>
      <c r="BNC237" s="15"/>
      <c r="BND237" s="15"/>
      <c r="BNE237" s="15"/>
      <c r="BNF237" s="15"/>
      <c r="BNG237" s="15"/>
      <c r="BNH237" s="15"/>
      <c r="BNI237" s="15"/>
      <c r="BNJ237" s="15"/>
      <c r="BNK237" s="15"/>
      <c r="BNL237" s="10"/>
      <c r="BNM237" s="10"/>
      <c r="BNN237" s="21"/>
      <c r="BNO237" s="21"/>
      <c r="BNR237" s="21"/>
      <c r="BNS237" s="15"/>
      <c r="BNT237" s="15"/>
      <c r="BNU237" s="15"/>
      <c r="BNV237" s="15"/>
      <c r="BNW237" s="15"/>
      <c r="BNX237" s="15"/>
      <c r="BNY237" s="15"/>
      <c r="BNZ237" s="15"/>
      <c r="BOA237" s="15"/>
      <c r="BOB237" s="15"/>
      <c r="BOC237" s="10"/>
      <c r="BOD237" s="10"/>
      <c r="BOE237" s="21"/>
      <c r="BOF237" s="21"/>
      <c r="BOI237" s="21"/>
      <c r="BOJ237" s="15"/>
      <c r="BOK237" s="15"/>
      <c r="BOL237" s="15"/>
      <c r="BOM237" s="15"/>
      <c r="BON237" s="15"/>
      <c r="BOO237" s="15"/>
      <c r="BOP237" s="15"/>
      <c r="BOQ237" s="15"/>
      <c r="BOR237" s="15"/>
      <c r="BOS237" s="15"/>
      <c r="BOT237" s="10"/>
      <c r="BOU237" s="10"/>
      <c r="BOV237" s="21"/>
      <c r="BOW237" s="21"/>
      <c r="BOZ237" s="21"/>
      <c r="BPA237" s="15"/>
      <c r="BPB237" s="15"/>
      <c r="BPC237" s="15"/>
      <c r="BPD237" s="15"/>
      <c r="BPE237" s="15"/>
      <c r="BPF237" s="15"/>
      <c r="BPG237" s="15"/>
      <c r="BPH237" s="15"/>
      <c r="BPI237" s="15"/>
      <c r="BPJ237" s="15"/>
      <c r="BPK237" s="10"/>
      <c r="BPL237" s="10"/>
      <c r="BPM237" s="21"/>
      <c r="BPN237" s="21"/>
      <c r="BPQ237" s="21"/>
      <c r="BPR237" s="15"/>
      <c r="BPS237" s="15"/>
      <c r="BPT237" s="15"/>
      <c r="BPU237" s="15"/>
      <c r="BPV237" s="15"/>
      <c r="BPW237" s="15"/>
      <c r="BPX237" s="15"/>
      <c r="BPY237" s="15"/>
      <c r="BPZ237" s="15"/>
      <c r="BQA237" s="15"/>
      <c r="BQB237" s="10"/>
      <c r="BQC237" s="10"/>
      <c r="BQD237" s="21"/>
      <c r="BQE237" s="21"/>
      <c r="BQH237" s="21"/>
      <c r="BQI237" s="15"/>
      <c r="BQJ237" s="15"/>
      <c r="BQK237" s="15"/>
      <c r="BQL237" s="15"/>
      <c r="BQM237" s="15"/>
      <c r="BQN237" s="15"/>
      <c r="BQO237" s="15"/>
      <c r="BQP237" s="15"/>
      <c r="BQQ237" s="15"/>
      <c r="BQR237" s="15"/>
      <c r="BQS237" s="10"/>
      <c r="BQT237" s="10"/>
      <c r="BQU237" s="21"/>
      <c r="BQV237" s="21"/>
      <c r="BQY237" s="21"/>
      <c r="BQZ237" s="15"/>
      <c r="BRA237" s="15"/>
      <c r="BRB237" s="15"/>
      <c r="BRC237" s="15"/>
      <c r="BRD237" s="15"/>
      <c r="BRE237" s="15"/>
      <c r="BRF237" s="15"/>
      <c r="BRG237" s="15"/>
      <c r="BRH237" s="15"/>
      <c r="BRI237" s="15"/>
      <c r="BRJ237" s="10"/>
      <c r="BRK237" s="10"/>
      <c r="BRL237" s="21"/>
      <c r="BRM237" s="21"/>
      <c r="BRP237" s="21"/>
      <c r="BRQ237" s="15"/>
      <c r="BRR237" s="15"/>
      <c r="BRS237" s="15"/>
      <c r="BRT237" s="15"/>
      <c r="BRU237" s="15"/>
      <c r="BRV237" s="15"/>
      <c r="BRW237" s="15"/>
      <c r="BRX237" s="15"/>
      <c r="BRY237" s="15"/>
      <c r="BRZ237" s="15"/>
      <c r="BSA237" s="10"/>
      <c r="BSB237" s="10"/>
      <c r="BSC237" s="21"/>
      <c r="BSD237" s="21"/>
      <c r="BSG237" s="21"/>
      <c r="BSH237" s="15"/>
      <c r="BSI237" s="15"/>
      <c r="BSJ237" s="15"/>
      <c r="BSK237" s="15"/>
      <c r="BSL237" s="15"/>
      <c r="BSM237" s="15"/>
      <c r="BSN237" s="15"/>
      <c r="BSO237" s="15"/>
      <c r="BSP237" s="15"/>
      <c r="BSQ237" s="15"/>
      <c r="BSR237" s="10"/>
      <c r="BSS237" s="10"/>
      <c r="BST237" s="21"/>
      <c r="BSU237" s="21"/>
      <c r="BSX237" s="21"/>
      <c r="BSY237" s="15"/>
      <c r="BSZ237" s="15"/>
      <c r="BTA237" s="15"/>
      <c r="BTB237" s="15"/>
      <c r="BTC237" s="15"/>
      <c r="BTD237" s="15"/>
      <c r="BTE237" s="15"/>
      <c r="BTF237" s="15"/>
      <c r="BTG237" s="15"/>
      <c r="BTH237" s="15"/>
      <c r="BTI237" s="10"/>
      <c r="BTJ237" s="10"/>
      <c r="BTK237" s="21"/>
      <c r="BTL237" s="21"/>
      <c r="BTO237" s="21"/>
      <c r="BTP237" s="15"/>
      <c r="BTQ237" s="15"/>
      <c r="BTR237" s="15"/>
      <c r="BTS237" s="15"/>
      <c r="BTT237" s="15"/>
      <c r="BTU237" s="15"/>
      <c r="BTV237" s="15"/>
      <c r="BTW237" s="15"/>
      <c r="BTX237" s="15"/>
      <c r="BTY237" s="15"/>
      <c r="BTZ237" s="10"/>
      <c r="BUA237" s="10"/>
      <c r="BUB237" s="21"/>
      <c r="BUC237" s="21"/>
      <c r="BUF237" s="21"/>
      <c r="BUG237" s="15"/>
      <c r="BUH237" s="15"/>
      <c r="BUI237" s="15"/>
      <c r="BUJ237" s="15"/>
      <c r="BUK237" s="15"/>
      <c r="BUL237" s="15"/>
      <c r="BUM237" s="15"/>
      <c r="BUN237" s="15"/>
      <c r="BUO237" s="15"/>
      <c r="BUP237" s="15"/>
      <c r="BUQ237" s="10"/>
      <c r="BUR237" s="10"/>
      <c r="BUS237" s="21"/>
      <c r="BUT237" s="21"/>
      <c r="BUW237" s="21"/>
      <c r="BUX237" s="15"/>
      <c r="BUY237" s="15"/>
      <c r="BUZ237" s="15"/>
      <c r="BVA237" s="15"/>
      <c r="BVB237" s="15"/>
      <c r="BVC237" s="15"/>
      <c r="BVD237" s="15"/>
      <c r="BVE237" s="15"/>
      <c r="BVF237" s="15"/>
      <c r="BVG237" s="15"/>
      <c r="BVH237" s="10"/>
      <c r="BVI237" s="10"/>
      <c r="BVJ237" s="21"/>
      <c r="BVK237" s="21"/>
      <c r="BVN237" s="21"/>
      <c r="BVO237" s="15"/>
      <c r="BVP237" s="15"/>
      <c r="BVQ237" s="15"/>
      <c r="BVR237" s="15"/>
      <c r="BVS237" s="15"/>
      <c r="BVT237" s="15"/>
      <c r="BVU237" s="15"/>
      <c r="BVV237" s="15"/>
      <c r="BVW237" s="15"/>
      <c r="BVX237" s="15"/>
      <c r="BVY237" s="10"/>
      <c r="BVZ237" s="10"/>
      <c r="BWA237" s="21"/>
      <c r="BWB237" s="21"/>
      <c r="BWE237" s="21"/>
      <c r="BWF237" s="15"/>
      <c r="BWG237" s="15"/>
      <c r="BWH237" s="15"/>
      <c r="BWI237" s="15"/>
      <c r="BWJ237" s="15"/>
      <c r="BWK237" s="15"/>
      <c r="BWL237" s="15"/>
      <c r="BWM237" s="15"/>
      <c r="BWN237" s="15"/>
      <c r="BWO237" s="15"/>
      <c r="BWP237" s="10"/>
      <c r="BWQ237" s="10"/>
      <c r="BWR237" s="21"/>
      <c r="BWS237" s="21"/>
      <c r="BWV237" s="21"/>
      <c r="BWW237" s="15"/>
      <c r="BWX237" s="15"/>
      <c r="BWY237" s="15"/>
      <c r="BWZ237" s="15"/>
      <c r="BXA237" s="15"/>
      <c r="BXB237" s="15"/>
      <c r="BXC237" s="15"/>
      <c r="BXD237" s="15"/>
      <c r="BXE237" s="15"/>
      <c r="BXF237" s="15"/>
      <c r="BXG237" s="10"/>
      <c r="BXH237" s="10"/>
      <c r="BXI237" s="21"/>
      <c r="BXJ237" s="21"/>
      <c r="BXM237" s="21"/>
      <c r="BXN237" s="15"/>
      <c r="BXO237" s="15"/>
      <c r="BXP237" s="15"/>
      <c r="BXQ237" s="15"/>
      <c r="BXR237" s="15"/>
      <c r="BXS237" s="15"/>
      <c r="BXT237" s="15"/>
      <c r="BXU237" s="15"/>
      <c r="BXV237" s="15"/>
      <c r="BXW237" s="15"/>
      <c r="BXX237" s="10"/>
      <c r="BXY237" s="10"/>
      <c r="BXZ237" s="21"/>
      <c r="BYA237" s="21"/>
      <c r="BYD237" s="21"/>
      <c r="BYE237" s="15"/>
      <c r="BYF237" s="15"/>
      <c r="BYG237" s="15"/>
      <c r="BYH237" s="15"/>
      <c r="BYI237" s="15"/>
      <c r="BYJ237" s="15"/>
      <c r="BYK237" s="15"/>
      <c r="BYL237" s="15"/>
      <c r="BYM237" s="15"/>
      <c r="BYN237" s="15"/>
      <c r="BYO237" s="10"/>
      <c r="BYP237" s="10"/>
      <c r="BYQ237" s="21"/>
      <c r="BYR237" s="21"/>
      <c r="BYU237" s="21"/>
      <c r="BYV237" s="15"/>
      <c r="BYW237" s="15"/>
      <c r="BYX237" s="15"/>
      <c r="BYY237" s="15"/>
      <c r="BYZ237" s="15"/>
      <c r="BZA237" s="15"/>
      <c r="BZB237" s="15"/>
      <c r="BZC237" s="15"/>
      <c r="BZD237" s="15"/>
      <c r="BZE237" s="15"/>
      <c r="BZF237" s="10"/>
      <c r="BZG237" s="10"/>
      <c r="BZH237" s="21"/>
      <c r="BZI237" s="21"/>
      <c r="BZL237" s="21"/>
      <c r="BZM237" s="15"/>
      <c r="BZN237" s="15"/>
      <c r="BZO237" s="15"/>
      <c r="BZP237" s="15"/>
      <c r="BZQ237" s="15"/>
      <c r="BZR237" s="15"/>
      <c r="BZS237" s="15"/>
      <c r="BZT237" s="15"/>
      <c r="BZU237" s="15"/>
      <c r="BZV237" s="15"/>
      <c r="BZW237" s="10"/>
      <c r="BZX237" s="10"/>
      <c r="BZY237" s="21"/>
      <c r="BZZ237" s="21"/>
      <c r="CAC237" s="21"/>
      <c r="CAD237" s="15"/>
      <c r="CAE237" s="15"/>
      <c r="CAF237" s="15"/>
      <c r="CAG237" s="15"/>
      <c r="CAH237" s="15"/>
      <c r="CAI237" s="15"/>
      <c r="CAJ237" s="15"/>
      <c r="CAK237" s="15"/>
      <c r="CAL237" s="15"/>
      <c r="CAM237" s="15"/>
      <c r="CAN237" s="10"/>
      <c r="CAO237" s="10"/>
      <c r="CAP237" s="21"/>
      <c r="CAQ237" s="21"/>
      <c r="CAT237" s="21"/>
      <c r="CAU237" s="15"/>
      <c r="CAV237" s="15"/>
      <c r="CAW237" s="15"/>
      <c r="CAX237" s="15"/>
      <c r="CAY237" s="15"/>
      <c r="CAZ237" s="15"/>
      <c r="CBA237" s="15"/>
      <c r="CBB237" s="15"/>
      <c r="CBC237" s="15"/>
      <c r="CBD237" s="15"/>
      <c r="CBE237" s="10"/>
      <c r="CBF237" s="10"/>
      <c r="CBG237" s="21"/>
      <c r="CBH237" s="21"/>
      <c r="CBK237" s="21"/>
      <c r="CBL237" s="15"/>
      <c r="CBM237" s="15"/>
      <c r="CBN237" s="15"/>
      <c r="CBO237" s="15"/>
      <c r="CBP237" s="15"/>
      <c r="CBQ237" s="15"/>
      <c r="CBR237" s="15"/>
      <c r="CBS237" s="15"/>
      <c r="CBT237" s="15"/>
      <c r="CBU237" s="15"/>
      <c r="CBV237" s="10"/>
      <c r="CBW237" s="10"/>
      <c r="CBX237" s="21"/>
      <c r="CBY237" s="21"/>
      <c r="CCB237" s="21"/>
      <c r="CCC237" s="15"/>
      <c r="CCD237" s="15"/>
      <c r="CCE237" s="15"/>
      <c r="CCF237" s="15"/>
      <c r="CCG237" s="15"/>
      <c r="CCH237" s="15"/>
      <c r="CCI237" s="15"/>
      <c r="CCJ237" s="15"/>
      <c r="CCK237" s="15"/>
      <c r="CCL237" s="15"/>
      <c r="CCM237" s="10"/>
      <c r="CCN237" s="10"/>
      <c r="CCO237" s="21"/>
      <c r="CCP237" s="21"/>
      <c r="CCS237" s="21"/>
      <c r="CCT237" s="15"/>
      <c r="CCU237" s="15"/>
      <c r="CCV237" s="15"/>
      <c r="CCW237" s="15"/>
      <c r="CCX237" s="15"/>
      <c r="CCY237" s="15"/>
      <c r="CCZ237" s="15"/>
      <c r="CDA237" s="15"/>
      <c r="CDB237" s="15"/>
      <c r="CDC237" s="15"/>
      <c r="CDD237" s="10"/>
      <c r="CDE237" s="10"/>
      <c r="CDF237" s="21"/>
      <c r="CDG237" s="21"/>
      <c r="CDJ237" s="21"/>
      <c r="CDK237" s="15"/>
      <c r="CDL237" s="15"/>
      <c r="CDM237" s="15"/>
      <c r="CDN237" s="15"/>
      <c r="CDO237" s="15"/>
      <c r="CDP237" s="15"/>
      <c r="CDQ237" s="15"/>
      <c r="CDR237" s="15"/>
      <c r="CDS237" s="15"/>
      <c r="CDT237" s="15"/>
      <c r="CDU237" s="10"/>
      <c r="CDV237" s="10"/>
      <c r="CDW237" s="21"/>
      <c r="CDX237" s="21"/>
      <c r="CEA237" s="21"/>
      <c r="CEB237" s="15"/>
      <c r="CEC237" s="15"/>
      <c r="CED237" s="15"/>
      <c r="CEE237" s="15"/>
      <c r="CEF237" s="15"/>
      <c r="CEG237" s="15"/>
      <c r="CEH237" s="15"/>
      <c r="CEI237" s="15"/>
      <c r="CEJ237" s="15"/>
      <c r="CEK237" s="15"/>
      <c r="CEL237" s="10"/>
      <c r="CEM237" s="10"/>
      <c r="CEN237" s="21"/>
      <c r="CEO237" s="21"/>
      <c r="CER237" s="21"/>
      <c r="CES237" s="15"/>
      <c r="CET237" s="15"/>
      <c r="CEU237" s="15"/>
      <c r="CEV237" s="15"/>
      <c r="CEW237" s="15"/>
      <c r="CEX237" s="15"/>
      <c r="CEY237" s="15"/>
      <c r="CEZ237" s="15"/>
      <c r="CFA237" s="15"/>
      <c r="CFB237" s="15"/>
      <c r="CFC237" s="10"/>
      <c r="CFD237" s="10"/>
      <c r="CFE237" s="21"/>
      <c r="CFF237" s="21"/>
      <c r="CFI237" s="21"/>
      <c r="CFJ237" s="15"/>
      <c r="CFK237" s="15"/>
      <c r="CFL237" s="15"/>
      <c r="CFM237" s="15"/>
      <c r="CFN237" s="15"/>
      <c r="CFO237" s="15"/>
      <c r="CFP237" s="15"/>
      <c r="CFQ237" s="15"/>
      <c r="CFR237" s="15"/>
      <c r="CFS237" s="15"/>
      <c r="CFT237" s="10"/>
      <c r="CFU237" s="10"/>
      <c r="CFV237" s="21"/>
      <c r="CFW237" s="21"/>
      <c r="CFZ237" s="21"/>
      <c r="CGA237" s="15"/>
      <c r="CGB237" s="15"/>
      <c r="CGC237" s="15"/>
      <c r="CGD237" s="15"/>
      <c r="CGE237" s="15"/>
      <c r="CGF237" s="15"/>
      <c r="CGG237" s="15"/>
      <c r="CGH237" s="15"/>
      <c r="CGI237" s="15"/>
      <c r="CGJ237" s="15"/>
      <c r="CGK237" s="10"/>
      <c r="CGL237" s="10"/>
      <c r="CGM237" s="21"/>
      <c r="CGN237" s="21"/>
      <c r="CGQ237" s="21"/>
      <c r="CGR237" s="15"/>
      <c r="CGS237" s="15"/>
      <c r="CGT237" s="15"/>
      <c r="CGU237" s="15"/>
      <c r="CGV237" s="15"/>
      <c r="CGW237" s="15"/>
      <c r="CGX237" s="15"/>
      <c r="CGY237" s="15"/>
      <c r="CGZ237" s="15"/>
      <c r="CHA237" s="15"/>
      <c r="CHB237" s="10"/>
      <c r="CHC237" s="10"/>
      <c r="CHD237" s="21"/>
      <c r="CHE237" s="21"/>
      <c r="CHH237" s="21"/>
      <c r="CHI237" s="15"/>
      <c r="CHJ237" s="15"/>
      <c r="CHK237" s="15"/>
      <c r="CHL237" s="15"/>
      <c r="CHM237" s="15"/>
      <c r="CHN237" s="15"/>
      <c r="CHO237" s="15"/>
      <c r="CHP237" s="15"/>
      <c r="CHQ237" s="15"/>
      <c r="CHR237" s="15"/>
      <c r="CHS237" s="10"/>
      <c r="CHT237" s="10"/>
      <c r="CHU237" s="21"/>
      <c r="CHV237" s="21"/>
      <c r="CHY237" s="21"/>
      <c r="CHZ237" s="15"/>
      <c r="CIA237" s="15"/>
      <c r="CIB237" s="15"/>
      <c r="CIC237" s="15"/>
      <c r="CID237" s="15"/>
      <c r="CIE237" s="15"/>
      <c r="CIF237" s="15"/>
      <c r="CIG237" s="15"/>
      <c r="CIH237" s="15"/>
      <c r="CII237" s="15"/>
      <c r="CIJ237" s="10"/>
      <c r="CIK237" s="10"/>
      <c r="CIL237" s="21"/>
      <c r="CIM237" s="21"/>
      <c r="CIP237" s="21"/>
      <c r="CIQ237" s="15"/>
      <c r="CIR237" s="15"/>
      <c r="CIS237" s="15"/>
      <c r="CIT237" s="15"/>
      <c r="CIU237" s="15"/>
      <c r="CIV237" s="15"/>
      <c r="CIW237" s="15"/>
      <c r="CIX237" s="15"/>
      <c r="CIY237" s="15"/>
      <c r="CIZ237" s="15"/>
      <c r="CJA237" s="10"/>
      <c r="CJB237" s="10"/>
      <c r="CJC237" s="21"/>
      <c r="CJD237" s="21"/>
      <c r="CJG237" s="21"/>
      <c r="CJH237" s="15"/>
      <c r="CJI237" s="15"/>
      <c r="CJJ237" s="15"/>
      <c r="CJK237" s="15"/>
      <c r="CJL237" s="15"/>
      <c r="CJM237" s="15"/>
      <c r="CJN237" s="15"/>
      <c r="CJO237" s="15"/>
      <c r="CJP237" s="15"/>
      <c r="CJQ237" s="15"/>
      <c r="CJR237" s="10"/>
      <c r="CJS237" s="10"/>
      <c r="CJT237" s="21"/>
      <c r="CJU237" s="21"/>
      <c r="CJX237" s="21"/>
      <c r="CJY237" s="15"/>
      <c r="CJZ237" s="15"/>
      <c r="CKA237" s="15"/>
      <c r="CKB237" s="15"/>
      <c r="CKC237" s="15"/>
      <c r="CKD237" s="15"/>
      <c r="CKE237" s="15"/>
      <c r="CKF237" s="15"/>
      <c r="CKG237" s="15"/>
      <c r="CKH237" s="15"/>
      <c r="CKI237" s="10"/>
      <c r="CKJ237" s="10"/>
      <c r="CKK237" s="21"/>
      <c r="CKL237" s="21"/>
      <c r="CKO237" s="21"/>
      <c r="CKP237" s="15"/>
      <c r="CKQ237" s="15"/>
      <c r="CKR237" s="15"/>
      <c r="CKS237" s="15"/>
      <c r="CKT237" s="15"/>
      <c r="CKU237" s="15"/>
      <c r="CKV237" s="15"/>
      <c r="CKW237" s="15"/>
      <c r="CKX237" s="15"/>
      <c r="CKY237" s="15"/>
      <c r="CKZ237" s="10"/>
      <c r="CLA237" s="10"/>
      <c r="CLB237" s="21"/>
      <c r="CLC237" s="21"/>
      <c r="CLF237" s="21"/>
      <c r="CLG237" s="15"/>
      <c r="CLH237" s="15"/>
      <c r="CLI237" s="15"/>
      <c r="CLJ237" s="15"/>
      <c r="CLK237" s="15"/>
      <c r="CLL237" s="15"/>
      <c r="CLM237" s="15"/>
      <c r="CLN237" s="15"/>
      <c r="CLO237" s="15"/>
      <c r="CLP237" s="15"/>
      <c r="CLQ237" s="10"/>
      <c r="CLR237" s="10"/>
      <c r="CLS237" s="21"/>
      <c r="CLT237" s="21"/>
      <c r="CLW237" s="21"/>
      <c r="CLX237" s="15"/>
      <c r="CLY237" s="15"/>
      <c r="CLZ237" s="15"/>
      <c r="CMA237" s="15"/>
      <c r="CMB237" s="15"/>
      <c r="CMC237" s="15"/>
      <c r="CMD237" s="15"/>
      <c r="CME237" s="15"/>
      <c r="CMF237" s="15"/>
      <c r="CMG237" s="15"/>
      <c r="CMH237" s="10"/>
      <c r="CMI237" s="10"/>
      <c r="CMJ237" s="21"/>
      <c r="CMK237" s="21"/>
      <c r="CMN237" s="21"/>
      <c r="CMO237" s="15"/>
      <c r="CMP237" s="15"/>
      <c r="CMQ237" s="15"/>
      <c r="CMR237" s="15"/>
      <c r="CMS237" s="15"/>
      <c r="CMT237" s="15"/>
      <c r="CMU237" s="15"/>
      <c r="CMV237" s="15"/>
      <c r="CMW237" s="15"/>
      <c r="CMX237" s="15"/>
      <c r="CMY237" s="10"/>
      <c r="CMZ237" s="10"/>
      <c r="CNA237" s="21"/>
      <c r="CNB237" s="21"/>
      <c r="CNE237" s="21"/>
      <c r="CNF237" s="15"/>
      <c r="CNG237" s="15"/>
      <c r="CNH237" s="15"/>
      <c r="CNI237" s="15"/>
      <c r="CNJ237" s="15"/>
      <c r="CNK237" s="15"/>
      <c r="CNL237" s="15"/>
      <c r="CNM237" s="15"/>
      <c r="CNN237" s="15"/>
      <c r="CNO237" s="15"/>
      <c r="CNP237" s="10"/>
      <c r="CNQ237" s="10"/>
      <c r="CNR237" s="21"/>
      <c r="CNS237" s="21"/>
      <c r="CNV237" s="21"/>
      <c r="CNW237" s="15"/>
      <c r="CNX237" s="15"/>
      <c r="CNY237" s="15"/>
      <c r="CNZ237" s="15"/>
      <c r="COA237" s="15"/>
      <c r="COB237" s="15"/>
      <c r="COC237" s="15"/>
      <c r="COD237" s="15"/>
      <c r="COE237" s="15"/>
      <c r="COF237" s="15"/>
      <c r="COG237" s="10"/>
      <c r="COH237" s="10"/>
      <c r="COI237" s="21"/>
      <c r="COJ237" s="21"/>
      <c r="COM237" s="21"/>
      <c r="CON237" s="15"/>
      <c r="COO237" s="15"/>
      <c r="COP237" s="15"/>
      <c r="COQ237" s="15"/>
      <c r="COR237" s="15"/>
      <c r="COS237" s="15"/>
      <c r="COT237" s="15"/>
      <c r="COU237" s="15"/>
      <c r="COV237" s="15"/>
      <c r="COW237" s="15"/>
      <c r="COX237" s="10"/>
      <c r="COY237" s="10"/>
      <c r="COZ237" s="21"/>
      <c r="CPA237" s="21"/>
      <c r="CPD237" s="21"/>
      <c r="CPE237" s="15"/>
      <c r="CPF237" s="15"/>
      <c r="CPG237" s="15"/>
      <c r="CPH237" s="15"/>
      <c r="CPI237" s="15"/>
      <c r="CPJ237" s="15"/>
      <c r="CPK237" s="15"/>
      <c r="CPL237" s="15"/>
      <c r="CPM237" s="15"/>
      <c r="CPN237" s="15"/>
      <c r="CPO237" s="10"/>
      <c r="CPP237" s="10"/>
      <c r="CPQ237" s="21"/>
      <c r="CPR237" s="21"/>
      <c r="CPU237" s="21"/>
      <c r="CPV237" s="15"/>
      <c r="CPW237" s="15"/>
      <c r="CPX237" s="15"/>
      <c r="CPY237" s="15"/>
      <c r="CPZ237" s="15"/>
      <c r="CQA237" s="15"/>
      <c r="CQB237" s="15"/>
      <c r="CQC237" s="15"/>
      <c r="CQD237" s="15"/>
      <c r="CQE237" s="15"/>
      <c r="CQF237" s="10"/>
      <c r="CQG237" s="10"/>
      <c r="CQH237" s="21"/>
      <c r="CQI237" s="21"/>
      <c r="CQL237" s="21"/>
      <c r="CQM237" s="15"/>
      <c r="CQN237" s="15"/>
      <c r="CQO237" s="15"/>
      <c r="CQP237" s="15"/>
      <c r="CQQ237" s="15"/>
      <c r="CQR237" s="15"/>
      <c r="CQS237" s="15"/>
      <c r="CQT237" s="15"/>
      <c r="CQU237" s="15"/>
      <c r="CQV237" s="15"/>
      <c r="CQW237" s="10"/>
      <c r="CQX237" s="10"/>
      <c r="CQY237" s="21"/>
      <c r="CQZ237" s="21"/>
      <c r="CRC237" s="21"/>
      <c r="CRD237" s="15"/>
      <c r="CRE237" s="15"/>
      <c r="CRF237" s="15"/>
      <c r="CRG237" s="15"/>
      <c r="CRH237" s="15"/>
      <c r="CRI237" s="15"/>
      <c r="CRJ237" s="15"/>
      <c r="CRK237" s="15"/>
      <c r="CRL237" s="15"/>
      <c r="CRM237" s="15"/>
      <c r="CRN237" s="10"/>
      <c r="CRO237" s="10"/>
      <c r="CRP237" s="21"/>
      <c r="CRQ237" s="21"/>
      <c r="CRT237" s="21"/>
      <c r="CRU237" s="15"/>
      <c r="CRV237" s="15"/>
      <c r="CRW237" s="15"/>
      <c r="CRX237" s="15"/>
      <c r="CRY237" s="15"/>
      <c r="CRZ237" s="15"/>
      <c r="CSA237" s="15"/>
      <c r="CSB237" s="15"/>
      <c r="CSC237" s="15"/>
      <c r="CSD237" s="15"/>
      <c r="CSE237" s="10"/>
      <c r="CSF237" s="10"/>
      <c r="CSG237" s="21"/>
      <c r="CSH237" s="21"/>
      <c r="CSK237" s="21"/>
      <c r="CSL237" s="15"/>
      <c r="CSM237" s="15"/>
      <c r="CSN237" s="15"/>
      <c r="CSO237" s="15"/>
      <c r="CSP237" s="15"/>
      <c r="CSQ237" s="15"/>
      <c r="CSR237" s="15"/>
      <c r="CSS237" s="15"/>
      <c r="CST237" s="15"/>
      <c r="CSU237" s="15"/>
      <c r="CSV237" s="10"/>
      <c r="CSW237" s="10"/>
      <c r="CSX237" s="21"/>
      <c r="CSY237" s="21"/>
      <c r="CTB237" s="21"/>
      <c r="CTC237" s="15"/>
      <c r="CTD237" s="15"/>
      <c r="CTE237" s="15"/>
      <c r="CTF237" s="15"/>
      <c r="CTG237" s="15"/>
      <c r="CTH237" s="15"/>
      <c r="CTI237" s="15"/>
      <c r="CTJ237" s="15"/>
      <c r="CTK237" s="15"/>
      <c r="CTL237" s="15"/>
      <c r="CTM237" s="10"/>
      <c r="CTN237" s="10"/>
      <c r="CTO237" s="21"/>
      <c r="CTP237" s="21"/>
      <c r="CTS237" s="21"/>
      <c r="CTT237" s="15"/>
      <c r="CTU237" s="15"/>
      <c r="CTV237" s="15"/>
      <c r="CTW237" s="15"/>
      <c r="CTX237" s="15"/>
      <c r="CTY237" s="15"/>
      <c r="CTZ237" s="15"/>
      <c r="CUA237" s="15"/>
      <c r="CUB237" s="15"/>
      <c r="CUC237" s="15"/>
      <c r="CUD237" s="10"/>
      <c r="CUE237" s="10"/>
      <c r="CUF237" s="21"/>
      <c r="CUG237" s="21"/>
      <c r="CUJ237" s="21"/>
      <c r="CUK237" s="15"/>
      <c r="CUL237" s="15"/>
      <c r="CUM237" s="15"/>
      <c r="CUN237" s="15"/>
      <c r="CUO237" s="15"/>
      <c r="CUP237" s="15"/>
      <c r="CUQ237" s="15"/>
      <c r="CUR237" s="15"/>
      <c r="CUS237" s="15"/>
      <c r="CUT237" s="15"/>
      <c r="CUU237" s="10"/>
      <c r="CUV237" s="10"/>
      <c r="CUW237" s="21"/>
      <c r="CUX237" s="21"/>
      <c r="CVA237" s="21"/>
      <c r="CVB237" s="15"/>
      <c r="CVC237" s="15"/>
      <c r="CVD237" s="15"/>
      <c r="CVE237" s="15"/>
      <c r="CVF237" s="15"/>
      <c r="CVG237" s="15"/>
      <c r="CVH237" s="15"/>
      <c r="CVI237" s="15"/>
      <c r="CVJ237" s="15"/>
      <c r="CVK237" s="15"/>
      <c r="CVL237" s="10"/>
      <c r="CVM237" s="10"/>
      <c r="CVN237" s="21"/>
      <c r="CVO237" s="21"/>
      <c r="CVR237" s="21"/>
      <c r="CVS237" s="15"/>
      <c r="CVT237" s="15"/>
      <c r="CVU237" s="15"/>
      <c r="CVV237" s="15"/>
      <c r="CVW237" s="15"/>
      <c r="CVX237" s="15"/>
      <c r="CVY237" s="15"/>
      <c r="CVZ237" s="15"/>
      <c r="CWA237" s="15"/>
      <c r="CWB237" s="15"/>
      <c r="CWC237" s="10"/>
      <c r="CWD237" s="10"/>
      <c r="CWE237" s="21"/>
      <c r="CWF237" s="21"/>
      <c r="CWI237" s="21"/>
      <c r="CWJ237" s="15"/>
      <c r="CWK237" s="15"/>
      <c r="CWL237" s="15"/>
      <c r="CWM237" s="15"/>
      <c r="CWN237" s="15"/>
      <c r="CWO237" s="15"/>
      <c r="CWP237" s="15"/>
      <c r="CWQ237" s="15"/>
      <c r="CWR237" s="15"/>
      <c r="CWS237" s="15"/>
      <c r="CWT237" s="10"/>
      <c r="CWU237" s="10"/>
      <c r="CWV237" s="21"/>
      <c r="CWW237" s="21"/>
      <c r="CWZ237" s="21"/>
      <c r="CXA237" s="15"/>
      <c r="CXB237" s="15"/>
      <c r="CXC237" s="15"/>
      <c r="CXD237" s="15"/>
      <c r="CXE237" s="15"/>
      <c r="CXF237" s="15"/>
      <c r="CXG237" s="15"/>
      <c r="CXH237" s="15"/>
      <c r="CXI237" s="15"/>
      <c r="CXJ237" s="15"/>
      <c r="CXK237" s="10"/>
      <c r="CXL237" s="10"/>
      <c r="CXM237" s="21"/>
      <c r="CXN237" s="21"/>
      <c r="CXQ237" s="21"/>
      <c r="CXR237" s="15"/>
      <c r="CXS237" s="15"/>
      <c r="CXT237" s="15"/>
      <c r="CXU237" s="15"/>
      <c r="CXV237" s="15"/>
      <c r="CXW237" s="15"/>
      <c r="CXX237" s="15"/>
      <c r="CXY237" s="15"/>
      <c r="CXZ237" s="15"/>
      <c r="CYA237" s="15"/>
      <c r="CYB237" s="10"/>
      <c r="CYC237" s="10"/>
      <c r="CYD237" s="21"/>
      <c r="CYE237" s="21"/>
      <c r="CYH237" s="21"/>
      <c r="CYI237" s="15"/>
      <c r="CYJ237" s="15"/>
      <c r="CYK237" s="15"/>
      <c r="CYL237" s="15"/>
      <c r="CYM237" s="15"/>
      <c r="CYN237" s="15"/>
      <c r="CYO237" s="15"/>
      <c r="CYP237" s="15"/>
      <c r="CYQ237" s="15"/>
      <c r="CYR237" s="15"/>
      <c r="CYS237" s="10"/>
      <c r="CYT237" s="10"/>
      <c r="CYU237" s="21"/>
      <c r="CYV237" s="21"/>
      <c r="CYY237" s="21"/>
      <c r="CYZ237" s="15"/>
      <c r="CZA237" s="15"/>
      <c r="CZB237" s="15"/>
      <c r="CZC237" s="15"/>
      <c r="CZD237" s="15"/>
      <c r="CZE237" s="15"/>
      <c r="CZF237" s="15"/>
      <c r="CZG237" s="15"/>
      <c r="CZH237" s="15"/>
      <c r="CZI237" s="15"/>
      <c r="CZJ237" s="10"/>
      <c r="CZK237" s="10"/>
      <c r="CZL237" s="21"/>
      <c r="CZM237" s="21"/>
      <c r="CZP237" s="21"/>
      <c r="CZQ237" s="15"/>
      <c r="CZR237" s="15"/>
      <c r="CZS237" s="15"/>
      <c r="CZT237" s="15"/>
      <c r="CZU237" s="15"/>
      <c r="CZV237" s="15"/>
      <c r="CZW237" s="15"/>
      <c r="CZX237" s="15"/>
      <c r="CZY237" s="15"/>
      <c r="CZZ237" s="15"/>
      <c r="DAA237" s="10"/>
      <c r="DAB237" s="10"/>
      <c r="DAC237" s="21"/>
      <c r="DAD237" s="21"/>
      <c r="DAG237" s="21"/>
      <c r="DAH237" s="15"/>
      <c r="DAI237" s="15"/>
      <c r="DAJ237" s="15"/>
      <c r="DAK237" s="15"/>
      <c r="DAL237" s="15"/>
      <c r="DAM237" s="15"/>
      <c r="DAN237" s="15"/>
      <c r="DAO237" s="15"/>
      <c r="DAP237" s="15"/>
      <c r="DAQ237" s="15"/>
      <c r="DAR237" s="10"/>
      <c r="DAS237" s="10"/>
      <c r="DAT237" s="21"/>
      <c r="DAU237" s="21"/>
      <c r="DAX237" s="21"/>
      <c r="DAY237" s="15"/>
      <c r="DAZ237" s="15"/>
      <c r="DBA237" s="15"/>
      <c r="DBB237" s="15"/>
      <c r="DBC237" s="15"/>
      <c r="DBD237" s="15"/>
      <c r="DBE237" s="15"/>
      <c r="DBF237" s="15"/>
      <c r="DBG237" s="15"/>
      <c r="DBH237" s="15"/>
      <c r="DBI237" s="10"/>
      <c r="DBJ237" s="10"/>
      <c r="DBK237" s="21"/>
      <c r="DBL237" s="21"/>
      <c r="DBO237" s="21"/>
      <c r="DBP237" s="15"/>
      <c r="DBQ237" s="15"/>
      <c r="DBR237" s="15"/>
      <c r="DBS237" s="15"/>
      <c r="DBT237" s="15"/>
      <c r="DBU237" s="15"/>
      <c r="DBV237" s="15"/>
      <c r="DBW237" s="15"/>
      <c r="DBX237" s="15"/>
      <c r="DBY237" s="15"/>
      <c r="DBZ237" s="10"/>
      <c r="DCA237" s="10"/>
      <c r="DCB237" s="21"/>
      <c r="DCC237" s="21"/>
      <c r="DCF237" s="21"/>
      <c r="DCG237" s="15"/>
      <c r="DCH237" s="15"/>
      <c r="DCI237" s="15"/>
      <c r="DCJ237" s="15"/>
      <c r="DCK237" s="15"/>
      <c r="DCL237" s="15"/>
      <c r="DCM237" s="15"/>
      <c r="DCN237" s="15"/>
      <c r="DCO237" s="15"/>
      <c r="DCP237" s="15"/>
      <c r="DCQ237" s="10"/>
      <c r="DCR237" s="10"/>
      <c r="DCS237" s="21"/>
      <c r="DCT237" s="21"/>
      <c r="DCW237" s="21"/>
      <c r="DCX237" s="15"/>
      <c r="DCY237" s="15"/>
      <c r="DCZ237" s="15"/>
      <c r="DDA237" s="15"/>
      <c r="DDB237" s="15"/>
      <c r="DDC237" s="15"/>
      <c r="DDD237" s="15"/>
      <c r="DDE237" s="15"/>
      <c r="DDF237" s="15"/>
      <c r="DDG237" s="15"/>
      <c r="DDH237" s="10"/>
      <c r="DDI237" s="10"/>
      <c r="DDJ237" s="21"/>
      <c r="DDK237" s="21"/>
      <c r="DDN237" s="21"/>
      <c r="DDO237" s="15"/>
      <c r="DDP237" s="15"/>
      <c r="DDQ237" s="15"/>
      <c r="DDR237" s="15"/>
      <c r="DDS237" s="15"/>
      <c r="DDT237" s="15"/>
      <c r="DDU237" s="15"/>
      <c r="DDV237" s="15"/>
      <c r="DDW237" s="15"/>
      <c r="DDX237" s="15"/>
      <c r="DDY237" s="10"/>
      <c r="DDZ237" s="10"/>
      <c r="DEA237" s="21"/>
      <c r="DEB237" s="21"/>
      <c r="DEE237" s="21"/>
      <c r="DEF237" s="15"/>
      <c r="DEG237" s="15"/>
      <c r="DEH237" s="15"/>
      <c r="DEI237" s="15"/>
      <c r="DEJ237" s="15"/>
      <c r="DEK237" s="15"/>
      <c r="DEL237" s="15"/>
      <c r="DEM237" s="15"/>
      <c r="DEN237" s="15"/>
      <c r="DEO237" s="15"/>
      <c r="DEP237" s="10"/>
      <c r="DEQ237" s="10"/>
      <c r="DER237" s="21"/>
      <c r="DES237" s="21"/>
      <c r="DEV237" s="21"/>
      <c r="DEW237" s="15"/>
      <c r="DEX237" s="15"/>
      <c r="DEY237" s="15"/>
      <c r="DEZ237" s="15"/>
      <c r="DFA237" s="15"/>
      <c r="DFB237" s="15"/>
      <c r="DFC237" s="15"/>
      <c r="DFD237" s="15"/>
      <c r="DFE237" s="15"/>
      <c r="DFF237" s="15"/>
      <c r="DFG237" s="10"/>
      <c r="DFH237" s="10"/>
      <c r="DFI237" s="21"/>
      <c r="DFJ237" s="21"/>
      <c r="DFM237" s="21"/>
      <c r="DFN237" s="15"/>
      <c r="DFO237" s="15"/>
      <c r="DFP237" s="15"/>
      <c r="DFQ237" s="15"/>
      <c r="DFR237" s="15"/>
      <c r="DFS237" s="15"/>
      <c r="DFT237" s="15"/>
      <c r="DFU237" s="15"/>
      <c r="DFV237" s="15"/>
      <c r="DFW237" s="15"/>
      <c r="DFX237" s="10"/>
      <c r="DFY237" s="10"/>
      <c r="DFZ237" s="21"/>
      <c r="DGA237" s="21"/>
      <c r="DGD237" s="21"/>
      <c r="DGE237" s="15"/>
      <c r="DGF237" s="15"/>
      <c r="DGG237" s="15"/>
      <c r="DGH237" s="15"/>
      <c r="DGI237" s="15"/>
      <c r="DGJ237" s="15"/>
      <c r="DGK237" s="15"/>
      <c r="DGL237" s="15"/>
      <c r="DGM237" s="15"/>
      <c r="DGN237" s="15"/>
      <c r="DGO237" s="10"/>
      <c r="DGP237" s="10"/>
      <c r="DGQ237" s="21"/>
      <c r="DGR237" s="21"/>
      <c r="DGU237" s="21"/>
      <c r="DGV237" s="15"/>
      <c r="DGW237" s="15"/>
      <c r="DGX237" s="15"/>
      <c r="DGY237" s="15"/>
      <c r="DGZ237" s="15"/>
      <c r="DHA237" s="15"/>
      <c r="DHB237" s="15"/>
      <c r="DHC237" s="15"/>
      <c r="DHD237" s="15"/>
      <c r="DHE237" s="15"/>
      <c r="DHF237" s="10"/>
      <c r="DHG237" s="10"/>
      <c r="DHH237" s="21"/>
      <c r="DHI237" s="21"/>
      <c r="DHL237" s="21"/>
      <c r="DHM237" s="15"/>
      <c r="DHN237" s="15"/>
      <c r="DHO237" s="15"/>
      <c r="DHP237" s="15"/>
      <c r="DHQ237" s="15"/>
      <c r="DHR237" s="15"/>
      <c r="DHS237" s="15"/>
      <c r="DHT237" s="15"/>
      <c r="DHU237" s="15"/>
      <c r="DHV237" s="15"/>
      <c r="DHW237" s="10"/>
      <c r="DHX237" s="10"/>
      <c r="DHY237" s="21"/>
      <c r="DHZ237" s="21"/>
      <c r="DIC237" s="21"/>
      <c r="DID237" s="15"/>
      <c r="DIE237" s="15"/>
      <c r="DIF237" s="15"/>
      <c r="DIG237" s="15"/>
      <c r="DIH237" s="15"/>
      <c r="DII237" s="15"/>
      <c r="DIJ237" s="15"/>
      <c r="DIK237" s="15"/>
      <c r="DIL237" s="15"/>
      <c r="DIM237" s="15"/>
      <c r="DIN237" s="10"/>
      <c r="DIO237" s="10"/>
      <c r="DIP237" s="21"/>
      <c r="DIQ237" s="21"/>
      <c r="DIT237" s="21"/>
      <c r="DIU237" s="15"/>
      <c r="DIV237" s="15"/>
      <c r="DIW237" s="15"/>
      <c r="DIX237" s="15"/>
      <c r="DIY237" s="15"/>
      <c r="DIZ237" s="15"/>
      <c r="DJA237" s="15"/>
      <c r="DJB237" s="15"/>
      <c r="DJC237" s="15"/>
      <c r="DJD237" s="15"/>
      <c r="DJE237" s="10"/>
      <c r="DJF237" s="10"/>
      <c r="DJG237" s="21"/>
      <c r="DJH237" s="21"/>
      <c r="DJK237" s="21"/>
      <c r="DJL237" s="15"/>
      <c r="DJM237" s="15"/>
      <c r="DJN237" s="15"/>
      <c r="DJO237" s="15"/>
      <c r="DJP237" s="15"/>
      <c r="DJQ237" s="15"/>
      <c r="DJR237" s="15"/>
      <c r="DJS237" s="15"/>
      <c r="DJT237" s="15"/>
      <c r="DJU237" s="15"/>
      <c r="DJV237" s="10"/>
      <c r="DJW237" s="10"/>
      <c r="DJX237" s="21"/>
      <c r="DJY237" s="21"/>
      <c r="DKB237" s="21"/>
      <c r="DKC237" s="15"/>
      <c r="DKD237" s="15"/>
      <c r="DKE237" s="15"/>
      <c r="DKF237" s="15"/>
      <c r="DKG237" s="15"/>
      <c r="DKH237" s="15"/>
      <c r="DKI237" s="15"/>
      <c r="DKJ237" s="15"/>
      <c r="DKK237" s="15"/>
      <c r="DKL237" s="15"/>
      <c r="DKM237" s="10"/>
      <c r="DKN237" s="10"/>
      <c r="DKO237" s="21"/>
      <c r="DKP237" s="21"/>
      <c r="DKS237" s="21"/>
      <c r="DKT237" s="15"/>
      <c r="DKU237" s="15"/>
      <c r="DKV237" s="15"/>
      <c r="DKW237" s="15"/>
      <c r="DKX237" s="15"/>
      <c r="DKY237" s="15"/>
      <c r="DKZ237" s="15"/>
      <c r="DLA237" s="15"/>
      <c r="DLB237" s="15"/>
      <c r="DLC237" s="15"/>
      <c r="DLD237" s="10"/>
      <c r="DLE237" s="10"/>
      <c r="DLF237" s="21"/>
      <c r="DLG237" s="21"/>
      <c r="DLJ237" s="21"/>
      <c r="DLK237" s="15"/>
      <c r="DLL237" s="15"/>
      <c r="DLM237" s="15"/>
      <c r="DLN237" s="15"/>
      <c r="DLO237" s="15"/>
      <c r="DLP237" s="15"/>
      <c r="DLQ237" s="15"/>
      <c r="DLR237" s="15"/>
      <c r="DLS237" s="15"/>
      <c r="DLT237" s="15"/>
      <c r="DLU237" s="10"/>
      <c r="DLV237" s="10"/>
      <c r="DLW237" s="21"/>
      <c r="DLX237" s="21"/>
      <c r="DMA237" s="21"/>
      <c r="DMB237" s="15"/>
      <c r="DMC237" s="15"/>
      <c r="DMD237" s="15"/>
      <c r="DME237" s="15"/>
      <c r="DMF237" s="15"/>
      <c r="DMG237" s="15"/>
      <c r="DMH237" s="15"/>
      <c r="DMI237" s="15"/>
      <c r="DMJ237" s="15"/>
      <c r="DMK237" s="15"/>
      <c r="DML237" s="10"/>
      <c r="DMM237" s="10"/>
      <c r="DMN237" s="21"/>
      <c r="DMO237" s="21"/>
      <c r="DMR237" s="21"/>
      <c r="DMS237" s="15"/>
      <c r="DMT237" s="15"/>
      <c r="DMU237" s="15"/>
      <c r="DMV237" s="15"/>
      <c r="DMW237" s="15"/>
      <c r="DMX237" s="15"/>
      <c r="DMY237" s="15"/>
      <c r="DMZ237" s="15"/>
      <c r="DNA237" s="15"/>
      <c r="DNB237" s="15"/>
      <c r="DNC237" s="10"/>
      <c r="DND237" s="10"/>
      <c r="DNE237" s="21"/>
      <c r="DNF237" s="21"/>
      <c r="DNI237" s="21"/>
      <c r="DNJ237" s="15"/>
      <c r="DNK237" s="15"/>
      <c r="DNL237" s="15"/>
      <c r="DNM237" s="15"/>
      <c r="DNN237" s="15"/>
      <c r="DNO237" s="15"/>
      <c r="DNP237" s="15"/>
      <c r="DNQ237" s="15"/>
      <c r="DNR237" s="15"/>
      <c r="DNS237" s="15"/>
      <c r="DNT237" s="10"/>
      <c r="DNU237" s="10"/>
      <c r="DNV237" s="21"/>
      <c r="DNW237" s="21"/>
      <c r="DNZ237" s="21"/>
      <c r="DOA237" s="15"/>
      <c r="DOB237" s="15"/>
      <c r="DOC237" s="15"/>
      <c r="DOD237" s="15"/>
      <c r="DOE237" s="15"/>
      <c r="DOF237" s="15"/>
      <c r="DOG237" s="15"/>
      <c r="DOH237" s="15"/>
      <c r="DOI237" s="15"/>
      <c r="DOJ237" s="15"/>
      <c r="DOK237" s="10"/>
      <c r="DOL237" s="10"/>
      <c r="DOM237" s="21"/>
      <c r="DON237" s="21"/>
      <c r="DOQ237" s="21"/>
      <c r="DOR237" s="15"/>
      <c r="DOS237" s="15"/>
      <c r="DOT237" s="15"/>
      <c r="DOU237" s="15"/>
      <c r="DOV237" s="15"/>
      <c r="DOW237" s="15"/>
      <c r="DOX237" s="15"/>
      <c r="DOY237" s="15"/>
      <c r="DOZ237" s="15"/>
      <c r="DPA237" s="15"/>
      <c r="DPB237" s="10"/>
      <c r="DPC237" s="10"/>
      <c r="DPD237" s="21"/>
      <c r="DPE237" s="21"/>
      <c r="DPH237" s="21"/>
      <c r="DPI237" s="15"/>
      <c r="DPJ237" s="15"/>
      <c r="DPK237" s="15"/>
      <c r="DPL237" s="15"/>
      <c r="DPM237" s="15"/>
      <c r="DPN237" s="15"/>
      <c r="DPO237" s="15"/>
      <c r="DPP237" s="15"/>
      <c r="DPQ237" s="15"/>
      <c r="DPR237" s="15"/>
      <c r="DPS237" s="10"/>
      <c r="DPT237" s="10"/>
      <c r="DPU237" s="21"/>
      <c r="DPV237" s="21"/>
      <c r="DPY237" s="21"/>
      <c r="DPZ237" s="15"/>
      <c r="DQA237" s="15"/>
      <c r="DQB237" s="15"/>
      <c r="DQC237" s="15"/>
      <c r="DQD237" s="15"/>
      <c r="DQE237" s="15"/>
      <c r="DQF237" s="15"/>
      <c r="DQG237" s="15"/>
      <c r="DQH237" s="15"/>
      <c r="DQI237" s="15"/>
      <c r="DQJ237" s="10"/>
      <c r="DQK237" s="10"/>
      <c r="DQL237" s="21"/>
      <c r="DQM237" s="21"/>
      <c r="DQP237" s="21"/>
      <c r="DQQ237" s="15"/>
      <c r="DQR237" s="15"/>
      <c r="DQS237" s="15"/>
      <c r="DQT237" s="15"/>
      <c r="DQU237" s="15"/>
      <c r="DQV237" s="15"/>
      <c r="DQW237" s="15"/>
      <c r="DQX237" s="15"/>
      <c r="DQY237" s="15"/>
      <c r="DQZ237" s="15"/>
      <c r="DRA237" s="10"/>
      <c r="DRB237" s="10"/>
      <c r="DRC237" s="21"/>
      <c r="DRD237" s="21"/>
      <c r="DRG237" s="21"/>
      <c r="DRH237" s="15"/>
      <c r="DRI237" s="15"/>
      <c r="DRJ237" s="15"/>
      <c r="DRK237" s="15"/>
      <c r="DRL237" s="15"/>
      <c r="DRM237" s="15"/>
      <c r="DRN237" s="15"/>
      <c r="DRO237" s="15"/>
      <c r="DRP237" s="15"/>
      <c r="DRQ237" s="15"/>
      <c r="DRR237" s="10"/>
      <c r="DRS237" s="10"/>
      <c r="DRT237" s="21"/>
      <c r="DRU237" s="21"/>
      <c r="DRX237" s="21"/>
      <c r="DRY237" s="15"/>
      <c r="DRZ237" s="15"/>
      <c r="DSA237" s="15"/>
      <c r="DSB237" s="15"/>
      <c r="DSC237" s="15"/>
      <c r="DSD237" s="15"/>
      <c r="DSE237" s="15"/>
      <c r="DSF237" s="15"/>
      <c r="DSG237" s="15"/>
      <c r="DSH237" s="15"/>
      <c r="DSI237" s="10"/>
      <c r="DSJ237" s="10"/>
      <c r="DSK237" s="21"/>
      <c r="DSL237" s="21"/>
      <c r="DSO237" s="21"/>
      <c r="DSP237" s="15"/>
      <c r="DSQ237" s="15"/>
      <c r="DSR237" s="15"/>
      <c r="DSS237" s="15"/>
      <c r="DST237" s="15"/>
      <c r="DSU237" s="15"/>
      <c r="DSV237" s="15"/>
      <c r="DSW237" s="15"/>
      <c r="DSX237" s="15"/>
      <c r="DSY237" s="15"/>
      <c r="DSZ237" s="10"/>
      <c r="DTA237" s="10"/>
      <c r="DTB237" s="21"/>
      <c r="DTC237" s="21"/>
      <c r="DTF237" s="21"/>
      <c r="DTG237" s="15"/>
      <c r="DTH237" s="15"/>
      <c r="DTI237" s="15"/>
      <c r="DTJ237" s="15"/>
      <c r="DTK237" s="15"/>
      <c r="DTL237" s="15"/>
      <c r="DTM237" s="15"/>
      <c r="DTN237" s="15"/>
      <c r="DTO237" s="15"/>
      <c r="DTP237" s="15"/>
      <c r="DTQ237" s="10"/>
      <c r="DTR237" s="10"/>
      <c r="DTS237" s="21"/>
      <c r="DTT237" s="21"/>
      <c r="DTW237" s="21"/>
      <c r="DTX237" s="15"/>
      <c r="DTY237" s="15"/>
      <c r="DTZ237" s="15"/>
      <c r="DUA237" s="15"/>
      <c r="DUB237" s="15"/>
      <c r="DUC237" s="15"/>
      <c r="DUD237" s="15"/>
      <c r="DUE237" s="15"/>
      <c r="DUF237" s="15"/>
      <c r="DUG237" s="15"/>
      <c r="DUH237" s="10"/>
      <c r="DUI237" s="10"/>
      <c r="DUJ237" s="21"/>
      <c r="DUK237" s="21"/>
      <c r="DUN237" s="21"/>
      <c r="DUO237" s="15"/>
      <c r="DUP237" s="15"/>
      <c r="DUQ237" s="15"/>
      <c r="DUR237" s="15"/>
      <c r="DUS237" s="15"/>
      <c r="DUT237" s="15"/>
      <c r="DUU237" s="15"/>
      <c r="DUV237" s="15"/>
      <c r="DUW237" s="15"/>
      <c r="DUX237" s="15"/>
      <c r="DUY237" s="10"/>
      <c r="DUZ237" s="10"/>
      <c r="DVA237" s="21"/>
      <c r="DVB237" s="21"/>
      <c r="DVE237" s="21"/>
      <c r="DVF237" s="15"/>
      <c r="DVG237" s="15"/>
      <c r="DVH237" s="15"/>
      <c r="DVI237" s="15"/>
      <c r="DVJ237" s="15"/>
      <c r="DVK237" s="15"/>
      <c r="DVL237" s="15"/>
      <c r="DVM237" s="15"/>
      <c r="DVN237" s="15"/>
      <c r="DVO237" s="15"/>
      <c r="DVP237" s="10"/>
      <c r="DVQ237" s="10"/>
      <c r="DVR237" s="21"/>
      <c r="DVS237" s="21"/>
      <c r="DVV237" s="21"/>
      <c r="DVW237" s="15"/>
      <c r="DVX237" s="15"/>
      <c r="DVY237" s="15"/>
      <c r="DVZ237" s="15"/>
      <c r="DWA237" s="15"/>
      <c r="DWB237" s="15"/>
      <c r="DWC237" s="15"/>
      <c r="DWD237" s="15"/>
      <c r="DWE237" s="15"/>
      <c r="DWF237" s="15"/>
      <c r="DWG237" s="10"/>
      <c r="DWH237" s="10"/>
      <c r="DWI237" s="21"/>
      <c r="DWJ237" s="21"/>
      <c r="DWM237" s="21"/>
      <c r="DWN237" s="15"/>
      <c r="DWO237" s="15"/>
      <c r="DWP237" s="15"/>
      <c r="DWQ237" s="15"/>
      <c r="DWR237" s="15"/>
      <c r="DWS237" s="15"/>
      <c r="DWT237" s="15"/>
      <c r="DWU237" s="15"/>
      <c r="DWV237" s="15"/>
      <c r="DWW237" s="15"/>
      <c r="DWX237" s="10"/>
      <c r="DWY237" s="10"/>
      <c r="DWZ237" s="21"/>
      <c r="DXA237" s="21"/>
      <c r="DXD237" s="21"/>
      <c r="DXE237" s="15"/>
      <c r="DXF237" s="15"/>
      <c r="DXG237" s="15"/>
      <c r="DXH237" s="15"/>
      <c r="DXI237" s="15"/>
      <c r="DXJ237" s="15"/>
      <c r="DXK237" s="15"/>
      <c r="DXL237" s="15"/>
      <c r="DXM237" s="15"/>
      <c r="DXN237" s="15"/>
      <c r="DXO237" s="10"/>
      <c r="DXP237" s="10"/>
      <c r="DXQ237" s="21"/>
      <c r="DXR237" s="21"/>
      <c r="DXU237" s="21"/>
      <c r="DXV237" s="15"/>
      <c r="DXW237" s="15"/>
      <c r="DXX237" s="15"/>
      <c r="DXY237" s="15"/>
      <c r="DXZ237" s="15"/>
      <c r="DYA237" s="15"/>
      <c r="DYB237" s="15"/>
      <c r="DYC237" s="15"/>
      <c r="DYD237" s="15"/>
      <c r="DYE237" s="15"/>
      <c r="DYF237" s="10"/>
      <c r="DYG237" s="10"/>
      <c r="DYH237" s="21"/>
      <c r="DYI237" s="21"/>
      <c r="DYL237" s="21"/>
      <c r="DYM237" s="15"/>
      <c r="DYN237" s="15"/>
      <c r="DYO237" s="15"/>
      <c r="DYP237" s="15"/>
      <c r="DYQ237" s="15"/>
      <c r="DYR237" s="15"/>
      <c r="DYS237" s="15"/>
      <c r="DYT237" s="15"/>
      <c r="DYU237" s="15"/>
      <c r="DYV237" s="15"/>
      <c r="DYW237" s="10"/>
      <c r="DYX237" s="10"/>
      <c r="DYY237" s="21"/>
      <c r="DYZ237" s="21"/>
      <c r="DZC237" s="21"/>
      <c r="DZD237" s="15"/>
      <c r="DZE237" s="15"/>
      <c r="DZF237" s="15"/>
      <c r="DZG237" s="15"/>
      <c r="DZH237" s="15"/>
      <c r="DZI237" s="15"/>
      <c r="DZJ237" s="15"/>
      <c r="DZK237" s="15"/>
      <c r="DZL237" s="15"/>
      <c r="DZM237" s="15"/>
      <c r="DZN237" s="10"/>
      <c r="DZO237" s="10"/>
      <c r="DZP237" s="21"/>
      <c r="DZQ237" s="21"/>
      <c r="DZT237" s="21"/>
      <c r="DZU237" s="15"/>
      <c r="DZV237" s="15"/>
      <c r="DZW237" s="15"/>
      <c r="DZX237" s="15"/>
      <c r="DZY237" s="15"/>
      <c r="DZZ237" s="15"/>
      <c r="EAA237" s="15"/>
      <c r="EAB237" s="15"/>
      <c r="EAC237" s="15"/>
      <c r="EAD237" s="15"/>
      <c r="EAE237" s="10"/>
      <c r="EAF237" s="10"/>
      <c r="EAG237" s="21"/>
      <c r="EAH237" s="21"/>
      <c r="EAK237" s="21"/>
      <c r="EAL237" s="15"/>
      <c r="EAM237" s="15"/>
      <c r="EAN237" s="15"/>
      <c r="EAO237" s="15"/>
      <c r="EAP237" s="15"/>
      <c r="EAQ237" s="15"/>
      <c r="EAR237" s="15"/>
      <c r="EAS237" s="15"/>
      <c r="EAT237" s="15"/>
      <c r="EAU237" s="15"/>
      <c r="EAV237" s="10"/>
      <c r="EAW237" s="10"/>
      <c r="EAX237" s="21"/>
      <c r="EAY237" s="21"/>
      <c r="EBB237" s="21"/>
      <c r="EBC237" s="15"/>
      <c r="EBD237" s="15"/>
      <c r="EBE237" s="15"/>
      <c r="EBF237" s="15"/>
      <c r="EBG237" s="15"/>
      <c r="EBH237" s="15"/>
      <c r="EBI237" s="15"/>
      <c r="EBJ237" s="15"/>
      <c r="EBK237" s="15"/>
      <c r="EBL237" s="15"/>
      <c r="EBM237" s="10"/>
      <c r="EBN237" s="10"/>
      <c r="EBO237" s="21"/>
      <c r="EBP237" s="21"/>
      <c r="EBS237" s="21"/>
      <c r="EBT237" s="15"/>
      <c r="EBU237" s="15"/>
      <c r="EBV237" s="15"/>
      <c r="EBW237" s="15"/>
      <c r="EBX237" s="15"/>
      <c r="EBY237" s="15"/>
      <c r="EBZ237" s="15"/>
      <c r="ECA237" s="15"/>
      <c r="ECB237" s="15"/>
      <c r="ECC237" s="15"/>
      <c r="ECD237" s="10"/>
      <c r="ECE237" s="10"/>
      <c r="ECF237" s="21"/>
      <c r="ECG237" s="21"/>
      <c r="ECJ237" s="21"/>
      <c r="ECK237" s="15"/>
      <c r="ECL237" s="15"/>
      <c r="ECM237" s="15"/>
      <c r="ECN237" s="15"/>
      <c r="ECO237" s="15"/>
      <c r="ECP237" s="15"/>
      <c r="ECQ237" s="15"/>
      <c r="ECR237" s="15"/>
      <c r="ECS237" s="15"/>
      <c r="ECT237" s="15"/>
      <c r="ECU237" s="10"/>
      <c r="ECV237" s="10"/>
      <c r="ECW237" s="21"/>
      <c r="ECX237" s="21"/>
      <c r="EDA237" s="21"/>
      <c r="EDB237" s="15"/>
      <c r="EDC237" s="15"/>
      <c r="EDD237" s="15"/>
      <c r="EDE237" s="15"/>
      <c r="EDF237" s="15"/>
      <c r="EDG237" s="15"/>
      <c r="EDH237" s="15"/>
      <c r="EDI237" s="15"/>
      <c r="EDJ237" s="15"/>
      <c r="EDK237" s="15"/>
      <c r="EDL237" s="10"/>
      <c r="EDM237" s="10"/>
      <c r="EDN237" s="21"/>
      <c r="EDO237" s="21"/>
      <c r="EDR237" s="21"/>
      <c r="EDS237" s="15"/>
      <c r="EDT237" s="15"/>
      <c r="EDU237" s="15"/>
      <c r="EDV237" s="15"/>
      <c r="EDW237" s="15"/>
      <c r="EDX237" s="15"/>
      <c r="EDY237" s="15"/>
      <c r="EDZ237" s="15"/>
      <c r="EEA237" s="15"/>
      <c r="EEB237" s="15"/>
      <c r="EEC237" s="10"/>
      <c r="EED237" s="10"/>
      <c r="EEE237" s="21"/>
      <c r="EEF237" s="21"/>
      <c r="EEI237" s="21"/>
      <c r="EEJ237" s="15"/>
      <c r="EEK237" s="15"/>
      <c r="EEL237" s="15"/>
      <c r="EEM237" s="15"/>
      <c r="EEN237" s="15"/>
      <c r="EEO237" s="15"/>
      <c r="EEP237" s="15"/>
      <c r="EEQ237" s="15"/>
      <c r="EER237" s="15"/>
      <c r="EES237" s="15"/>
      <c r="EET237" s="10"/>
      <c r="EEU237" s="10"/>
      <c r="EEV237" s="21"/>
      <c r="EEW237" s="21"/>
      <c r="EEZ237" s="21"/>
      <c r="EFA237" s="15"/>
      <c r="EFB237" s="15"/>
      <c r="EFC237" s="15"/>
      <c r="EFD237" s="15"/>
      <c r="EFE237" s="15"/>
      <c r="EFF237" s="15"/>
      <c r="EFG237" s="15"/>
      <c r="EFH237" s="15"/>
      <c r="EFI237" s="15"/>
      <c r="EFJ237" s="15"/>
      <c r="EFK237" s="10"/>
      <c r="EFL237" s="10"/>
      <c r="EFM237" s="21"/>
      <c r="EFN237" s="21"/>
      <c r="EFQ237" s="21"/>
      <c r="EFR237" s="15"/>
      <c r="EFS237" s="15"/>
      <c r="EFT237" s="15"/>
      <c r="EFU237" s="15"/>
      <c r="EFV237" s="15"/>
      <c r="EFW237" s="15"/>
      <c r="EFX237" s="15"/>
      <c r="EFY237" s="15"/>
      <c r="EFZ237" s="15"/>
      <c r="EGA237" s="15"/>
      <c r="EGB237" s="10"/>
      <c r="EGC237" s="10"/>
      <c r="EGD237" s="21"/>
      <c r="EGE237" s="21"/>
      <c r="EGH237" s="21"/>
      <c r="EGI237" s="15"/>
      <c r="EGJ237" s="15"/>
      <c r="EGK237" s="15"/>
      <c r="EGL237" s="15"/>
      <c r="EGM237" s="15"/>
      <c r="EGN237" s="15"/>
      <c r="EGO237" s="15"/>
      <c r="EGP237" s="15"/>
      <c r="EGQ237" s="15"/>
      <c r="EGR237" s="15"/>
      <c r="EGS237" s="10"/>
      <c r="EGT237" s="10"/>
      <c r="EGU237" s="21"/>
      <c r="EGV237" s="21"/>
      <c r="EGY237" s="21"/>
      <c r="EGZ237" s="15"/>
      <c r="EHA237" s="15"/>
      <c r="EHB237" s="15"/>
      <c r="EHC237" s="15"/>
      <c r="EHD237" s="15"/>
      <c r="EHE237" s="15"/>
      <c r="EHF237" s="15"/>
      <c r="EHG237" s="15"/>
      <c r="EHH237" s="15"/>
      <c r="EHI237" s="15"/>
      <c r="EHJ237" s="10"/>
      <c r="EHK237" s="10"/>
      <c r="EHL237" s="21"/>
      <c r="EHM237" s="21"/>
      <c r="EHP237" s="21"/>
      <c r="EHQ237" s="15"/>
      <c r="EHR237" s="15"/>
      <c r="EHS237" s="15"/>
      <c r="EHT237" s="15"/>
      <c r="EHU237" s="15"/>
      <c r="EHV237" s="15"/>
      <c r="EHW237" s="15"/>
      <c r="EHX237" s="15"/>
      <c r="EHY237" s="15"/>
      <c r="EHZ237" s="15"/>
      <c r="EIA237" s="10"/>
      <c r="EIB237" s="10"/>
      <c r="EIC237" s="21"/>
      <c r="EID237" s="21"/>
      <c r="EIG237" s="21"/>
      <c r="EIH237" s="15"/>
      <c r="EII237" s="15"/>
      <c r="EIJ237" s="15"/>
      <c r="EIK237" s="15"/>
      <c r="EIL237" s="15"/>
      <c r="EIM237" s="15"/>
      <c r="EIN237" s="15"/>
      <c r="EIO237" s="15"/>
      <c r="EIP237" s="15"/>
      <c r="EIQ237" s="15"/>
      <c r="EIR237" s="10"/>
      <c r="EIS237" s="10"/>
      <c r="EIT237" s="21"/>
      <c r="EIU237" s="21"/>
      <c r="EIX237" s="21"/>
      <c r="EIY237" s="15"/>
      <c r="EIZ237" s="15"/>
      <c r="EJA237" s="15"/>
      <c r="EJB237" s="15"/>
      <c r="EJC237" s="15"/>
      <c r="EJD237" s="15"/>
      <c r="EJE237" s="15"/>
      <c r="EJF237" s="15"/>
      <c r="EJG237" s="15"/>
      <c r="EJH237" s="15"/>
      <c r="EJI237" s="10"/>
      <c r="EJJ237" s="10"/>
      <c r="EJK237" s="21"/>
      <c r="EJL237" s="21"/>
      <c r="EJO237" s="21"/>
      <c r="EJP237" s="15"/>
      <c r="EJQ237" s="15"/>
      <c r="EJR237" s="15"/>
      <c r="EJS237" s="15"/>
      <c r="EJT237" s="15"/>
      <c r="EJU237" s="15"/>
      <c r="EJV237" s="15"/>
      <c r="EJW237" s="15"/>
      <c r="EJX237" s="15"/>
      <c r="EJY237" s="15"/>
      <c r="EJZ237" s="10"/>
      <c r="EKA237" s="10"/>
      <c r="EKB237" s="21"/>
      <c r="EKC237" s="21"/>
      <c r="EKF237" s="21"/>
      <c r="EKG237" s="15"/>
      <c r="EKH237" s="15"/>
      <c r="EKI237" s="15"/>
      <c r="EKJ237" s="15"/>
      <c r="EKK237" s="15"/>
      <c r="EKL237" s="15"/>
      <c r="EKM237" s="15"/>
      <c r="EKN237" s="15"/>
      <c r="EKO237" s="15"/>
      <c r="EKP237" s="15"/>
      <c r="EKQ237" s="10"/>
      <c r="EKR237" s="10"/>
      <c r="EKS237" s="21"/>
      <c r="EKT237" s="21"/>
      <c r="EKW237" s="21"/>
      <c r="EKX237" s="15"/>
      <c r="EKY237" s="15"/>
      <c r="EKZ237" s="15"/>
      <c r="ELA237" s="15"/>
      <c r="ELB237" s="15"/>
      <c r="ELC237" s="15"/>
      <c r="ELD237" s="15"/>
      <c r="ELE237" s="15"/>
      <c r="ELF237" s="15"/>
      <c r="ELG237" s="15"/>
      <c r="ELH237" s="10"/>
      <c r="ELI237" s="10"/>
      <c r="ELJ237" s="21"/>
      <c r="ELK237" s="21"/>
      <c r="ELN237" s="21"/>
      <c r="ELO237" s="15"/>
      <c r="ELP237" s="15"/>
      <c r="ELQ237" s="15"/>
      <c r="ELR237" s="15"/>
      <c r="ELS237" s="15"/>
      <c r="ELT237" s="15"/>
      <c r="ELU237" s="15"/>
      <c r="ELV237" s="15"/>
      <c r="ELW237" s="15"/>
      <c r="ELX237" s="15"/>
      <c r="ELY237" s="10"/>
      <c r="ELZ237" s="10"/>
      <c r="EMA237" s="21"/>
      <c r="EMB237" s="21"/>
      <c r="EME237" s="21"/>
      <c r="EMF237" s="15"/>
      <c r="EMG237" s="15"/>
      <c r="EMH237" s="15"/>
      <c r="EMI237" s="15"/>
      <c r="EMJ237" s="15"/>
      <c r="EMK237" s="15"/>
      <c r="EML237" s="15"/>
      <c r="EMM237" s="15"/>
      <c r="EMN237" s="15"/>
      <c r="EMO237" s="15"/>
      <c r="EMP237" s="10"/>
      <c r="EMQ237" s="10"/>
      <c r="EMR237" s="21"/>
      <c r="EMS237" s="21"/>
      <c r="EMV237" s="21"/>
      <c r="EMW237" s="15"/>
      <c r="EMX237" s="15"/>
      <c r="EMY237" s="15"/>
      <c r="EMZ237" s="15"/>
      <c r="ENA237" s="15"/>
      <c r="ENB237" s="15"/>
      <c r="ENC237" s="15"/>
      <c r="END237" s="15"/>
      <c r="ENE237" s="15"/>
      <c r="ENF237" s="15"/>
      <c r="ENG237" s="10"/>
      <c r="ENH237" s="10"/>
      <c r="ENI237" s="21"/>
      <c r="ENJ237" s="21"/>
      <c r="ENM237" s="21"/>
      <c r="ENN237" s="15"/>
      <c r="ENO237" s="15"/>
      <c r="ENP237" s="15"/>
      <c r="ENQ237" s="15"/>
      <c r="ENR237" s="15"/>
      <c r="ENS237" s="15"/>
      <c r="ENT237" s="15"/>
      <c r="ENU237" s="15"/>
      <c r="ENV237" s="15"/>
      <c r="ENW237" s="15"/>
      <c r="ENX237" s="10"/>
      <c r="ENY237" s="10"/>
      <c r="ENZ237" s="21"/>
      <c r="EOA237" s="21"/>
      <c r="EOD237" s="21"/>
      <c r="EOE237" s="15"/>
      <c r="EOF237" s="15"/>
      <c r="EOG237" s="15"/>
      <c r="EOH237" s="15"/>
      <c r="EOI237" s="15"/>
      <c r="EOJ237" s="15"/>
      <c r="EOK237" s="15"/>
      <c r="EOL237" s="15"/>
      <c r="EOM237" s="15"/>
      <c r="EON237" s="15"/>
      <c r="EOO237" s="10"/>
      <c r="EOP237" s="10"/>
      <c r="EOQ237" s="21"/>
      <c r="EOR237" s="21"/>
      <c r="EOU237" s="21"/>
      <c r="EOV237" s="15"/>
      <c r="EOW237" s="15"/>
      <c r="EOX237" s="15"/>
      <c r="EOY237" s="15"/>
      <c r="EOZ237" s="15"/>
      <c r="EPA237" s="15"/>
      <c r="EPB237" s="15"/>
      <c r="EPC237" s="15"/>
      <c r="EPD237" s="15"/>
      <c r="EPE237" s="15"/>
      <c r="EPF237" s="10"/>
      <c r="EPG237" s="10"/>
      <c r="EPH237" s="21"/>
      <c r="EPI237" s="21"/>
      <c r="EPL237" s="21"/>
      <c r="EPM237" s="15"/>
      <c r="EPN237" s="15"/>
      <c r="EPO237" s="15"/>
      <c r="EPP237" s="15"/>
      <c r="EPQ237" s="15"/>
      <c r="EPR237" s="15"/>
      <c r="EPS237" s="15"/>
      <c r="EPT237" s="15"/>
      <c r="EPU237" s="15"/>
      <c r="EPV237" s="15"/>
      <c r="EPW237" s="10"/>
      <c r="EPX237" s="10"/>
      <c r="EPY237" s="21"/>
      <c r="EPZ237" s="21"/>
      <c r="EQC237" s="21"/>
      <c r="EQD237" s="15"/>
      <c r="EQE237" s="15"/>
      <c r="EQF237" s="15"/>
      <c r="EQG237" s="15"/>
      <c r="EQH237" s="15"/>
      <c r="EQI237" s="15"/>
      <c r="EQJ237" s="15"/>
      <c r="EQK237" s="15"/>
      <c r="EQL237" s="15"/>
      <c r="EQM237" s="15"/>
      <c r="EQN237" s="10"/>
      <c r="EQO237" s="10"/>
      <c r="EQP237" s="21"/>
      <c r="EQQ237" s="21"/>
      <c r="EQT237" s="21"/>
      <c r="EQU237" s="15"/>
      <c r="EQV237" s="15"/>
      <c r="EQW237" s="15"/>
      <c r="EQX237" s="15"/>
      <c r="EQY237" s="15"/>
      <c r="EQZ237" s="15"/>
      <c r="ERA237" s="15"/>
      <c r="ERB237" s="15"/>
      <c r="ERC237" s="15"/>
      <c r="ERD237" s="15"/>
      <c r="ERE237" s="10"/>
      <c r="ERF237" s="10"/>
      <c r="ERG237" s="21"/>
      <c r="ERH237" s="21"/>
      <c r="ERK237" s="21"/>
      <c r="ERL237" s="15"/>
      <c r="ERM237" s="15"/>
      <c r="ERN237" s="15"/>
      <c r="ERO237" s="15"/>
      <c r="ERP237" s="15"/>
      <c r="ERQ237" s="15"/>
      <c r="ERR237" s="15"/>
      <c r="ERS237" s="15"/>
      <c r="ERT237" s="15"/>
      <c r="ERU237" s="15"/>
      <c r="ERV237" s="10"/>
      <c r="ERW237" s="10"/>
      <c r="ERX237" s="21"/>
      <c r="ERY237" s="21"/>
      <c r="ESB237" s="21"/>
      <c r="ESC237" s="15"/>
      <c r="ESD237" s="15"/>
      <c r="ESE237" s="15"/>
      <c r="ESF237" s="15"/>
      <c r="ESG237" s="15"/>
      <c r="ESH237" s="15"/>
      <c r="ESI237" s="15"/>
      <c r="ESJ237" s="15"/>
      <c r="ESK237" s="15"/>
      <c r="ESL237" s="15"/>
      <c r="ESM237" s="10"/>
      <c r="ESN237" s="10"/>
      <c r="ESO237" s="21"/>
      <c r="ESP237" s="21"/>
      <c r="ESS237" s="21"/>
      <c r="EST237" s="15"/>
      <c r="ESU237" s="15"/>
      <c r="ESV237" s="15"/>
      <c r="ESW237" s="15"/>
      <c r="ESX237" s="15"/>
      <c r="ESY237" s="15"/>
      <c r="ESZ237" s="15"/>
      <c r="ETA237" s="15"/>
      <c r="ETB237" s="15"/>
      <c r="ETC237" s="15"/>
      <c r="ETD237" s="10"/>
      <c r="ETE237" s="10"/>
      <c r="ETF237" s="21"/>
      <c r="ETG237" s="21"/>
      <c r="ETJ237" s="21"/>
      <c r="ETK237" s="15"/>
      <c r="ETL237" s="15"/>
      <c r="ETM237" s="15"/>
      <c r="ETN237" s="15"/>
      <c r="ETO237" s="15"/>
      <c r="ETP237" s="15"/>
      <c r="ETQ237" s="15"/>
      <c r="ETR237" s="15"/>
      <c r="ETS237" s="15"/>
      <c r="ETT237" s="15"/>
      <c r="ETU237" s="10"/>
      <c r="ETV237" s="10"/>
      <c r="ETW237" s="21"/>
      <c r="ETX237" s="21"/>
      <c r="EUA237" s="21"/>
      <c r="EUB237" s="15"/>
      <c r="EUC237" s="15"/>
      <c r="EUD237" s="15"/>
      <c r="EUE237" s="15"/>
      <c r="EUF237" s="15"/>
      <c r="EUG237" s="15"/>
      <c r="EUH237" s="15"/>
      <c r="EUI237" s="15"/>
      <c r="EUJ237" s="15"/>
      <c r="EUK237" s="15"/>
      <c r="EUL237" s="10"/>
      <c r="EUM237" s="10"/>
      <c r="EUN237" s="21"/>
      <c r="EUO237" s="21"/>
      <c r="EUR237" s="21"/>
      <c r="EUS237" s="15"/>
      <c r="EUT237" s="15"/>
      <c r="EUU237" s="15"/>
      <c r="EUV237" s="15"/>
      <c r="EUW237" s="15"/>
      <c r="EUX237" s="15"/>
      <c r="EUY237" s="15"/>
      <c r="EUZ237" s="15"/>
      <c r="EVA237" s="15"/>
      <c r="EVB237" s="15"/>
      <c r="EVC237" s="10"/>
      <c r="EVD237" s="10"/>
      <c r="EVE237" s="21"/>
      <c r="EVF237" s="21"/>
      <c r="EVI237" s="21"/>
      <c r="EVJ237" s="15"/>
      <c r="EVK237" s="15"/>
      <c r="EVL237" s="15"/>
      <c r="EVM237" s="15"/>
      <c r="EVN237" s="15"/>
      <c r="EVO237" s="15"/>
      <c r="EVP237" s="15"/>
      <c r="EVQ237" s="15"/>
      <c r="EVR237" s="15"/>
      <c r="EVS237" s="15"/>
      <c r="EVT237" s="10"/>
      <c r="EVU237" s="10"/>
      <c r="EVV237" s="21"/>
      <c r="EVW237" s="21"/>
      <c r="EVZ237" s="21"/>
      <c r="EWA237" s="15"/>
      <c r="EWB237" s="15"/>
      <c r="EWC237" s="15"/>
      <c r="EWD237" s="15"/>
      <c r="EWE237" s="15"/>
      <c r="EWF237" s="15"/>
      <c r="EWG237" s="15"/>
      <c r="EWH237" s="15"/>
      <c r="EWI237" s="15"/>
      <c r="EWJ237" s="15"/>
      <c r="EWK237" s="10"/>
      <c r="EWL237" s="10"/>
      <c r="EWM237" s="21"/>
      <c r="EWN237" s="21"/>
      <c r="EWQ237" s="21"/>
      <c r="EWR237" s="15"/>
      <c r="EWS237" s="15"/>
      <c r="EWT237" s="15"/>
      <c r="EWU237" s="15"/>
      <c r="EWV237" s="15"/>
      <c r="EWW237" s="15"/>
      <c r="EWX237" s="15"/>
      <c r="EWY237" s="15"/>
      <c r="EWZ237" s="15"/>
      <c r="EXA237" s="15"/>
      <c r="EXB237" s="10"/>
      <c r="EXC237" s="10"/>
      <c r="EXD237" s="21"/>
      <c r="EXE237" s="21"/>
      <c r="EXH237" s="21"/>
      <c r="EXI237" s="15"/>
      <c r="EXJ237" s="15"/>
      <c r="EXK237" s="15"/>
      <c r="EXL237" s="15"/>
      <c r="EXM237" s="15"/>
      <c r="EXN237" s="15"/>
      <c r="EXO237" s="15"/>
      <c r="EXP237" s="15"/>
      <c r="EXQ237" s="15"/>
      <c r="EXR237" s="15"/>
      <c r="EXS237" s="10"/>
      <c r="EXT237" s="10"/>
      <c r="EXU237" s="21"/>
      <c r="EXV237" s="21"/>
      <c r="EXY237" s="21"/>
      <c r="EXZ237" s="15"/>
      <c r="EYA237" s="15"/>
      <c r="EYB237" s="15"/>
      <c r="EYC237" s="15"/>
      <c r="EYD237" s="15"/>
      <c r="EYE237" s="15"/>
      <c r="EYF237" s="15"/>
      <c r="EYG237" s="15"/>
      <c r="EYH237" s="15"/>
      <c r="EYI237" s="15"/>
      <c r="EYJ237" s="10"/>
      <c r="EYK237" s="10"/>
      <c r="EYL237" s="21"/>
      <c r="EYM237" s="21"/>
      <c r="EYP237" s="21"/>
      <c r="EYQ237" s="15"/>
      <c r="EYR237" s="15"/>
      <c r="EYS237" s="15"/>
      <c r="EYT237" s="15"/>
      <c r="EYU237" s="15"/>
      <c r="EYV237" s="15"/>
      <c r="EYW237" s="15"/>
      <c r="EYX237" s="15"/>
      <c r="EYY237" s="15"/>
      <c r="EYZ237" s="15"/>
      <c r="EZA237" s="10"/>
      <c r="EZB237" s="10"/>
      <c r="EZC237" s="21"/>
      <c r="EZD237" s="21"/>
      <c r="EZG237" s="21"/>
      <c r="EZH237" s="15"/>
      <c r="EZI237" s="15"/>
      <c r="EZJ237" s="15"/>
      <c r="EZK237" s="15"/>
      <c r="EZL237" s="15"/>
      <c r="EZM237" s="15"/>
      <c r="EZN237" s="15"/>
      <c r="EZO237" s="15"/>
      <c r="EZP237" s="15"/>
      <c r="EZQ237" s="15"/>
      <c r="EZR237" s="10"/>
      <c r="EZS237" s="10"/>
      <c r="EZT237" s="21"/>
      <c r="EZU237" s="21"/>
      <c r="EZX237" s="21"/>
      <c r="EZY237" s="15"/>
      <c r="EZZ237" s="15"/>
      <c r="FAA237" s="15"/>
      <c r="FAB237" s="15"/>
      <c r="FAC237" s="15"/>
      <c r="FAD237" s="15"/>
      <c r="FAE237" s="15"/>
      <c r="FAF237" s="15"/>
      <c r="FAG237" s="15"/>
      <c r="FAH237" s="15"/>
      <c r="FAI237" s="10"/>
      <c r="FAJ237" s="10"/>
      <c r="FAK237" s="21"/>
      <c r="FAL237" s="21"/>
      <c r="FAO237" s="21"/>
      <c r="FAP237" s="15"/>
      <c r="FAQ237" s="15"/>
      <c r="FAR237" s="15"/>
      <c r="FAS237" s="15"/>
      <c r="FAT237" s="15"/>
      <c r="FAU237" s="15"/>
      <c r="FAV237" s="15"/>
      <c r="FAW237" s="15"/>
      <c r="FAX237" s="15"/>
      <c r="FAY237" s="15"/>
      <c r="FAZ237" s="10"/>
      <c r="FBA237" s="10"/>
      <c r="FBB237" s="21"/>
      <c r="FBC237" s="21"/>
      <c r="FBF237" s="21"/>
      <c r="FBG237" s="15"/>
      <c r="FBH237" s="15"/>
      <c r="FBI237" s="15"/>
      <c r="FBJ237" s="15"/>
      <c r="FBK237" s="15"/>
      <c r="FBL237" s="15"/>
      <c r="FBM237" s="15"/>
      <c r="FBN237" s="15"/>
      <c r="FBO237" s="15"/>
      <c r="FBP237" s="15"/>
      <c r="FBQ237" s="10"/>
      <c r="FBR237" s="10"/>
      <c r="FBS237" s="21"/>
      <c r="FBT237" s="21"/>
      <c r="FBW237" s="21"/>
      <c r="FBX237" s="15"/>
      <c r="FBY237" s="15"/>
      <c r="FBZ237" s="15"/>
      <c r="FCA237" s="15"/>
      <c r="FCB237" s="15"/>
      <c r="FCC237" s="15"/>
      <c r="FCD237" s="15"/>
      <c r="FCE237" s="15"/>
      <c r="FCF237" s="15"/>
      <c r="FCG237" s="15"/>
      <c r="FCH237" s="10"/>
      <c r="FCI237" s="10"/>
      <c r="FCJ237" s="21"/>
      <c r="FCK237" s="21"/>
      <c r="FCN237" s="21"/>
      <c r="FCO237" s="15"/>
      <c r="FCP237" s="15"/>
      <c r="FCQ237" s="15"/>
      <c r="FCR237" s="15"/>
      <c r="FCS237" s="15"/>
      <c r="FCT237" s="15"/>
      <c r="FCU237" s="15"/>
      <c r="FCV237" s="15"/>
      <c r="FCW237" s="15"/>
      <c r="FCX237" s="15"/>
      <c r="FCY237" s="10"/>
      <c r="FCZ237" s="10"/>
      <c r="FDA237" s="21"/>
      <c r="FDB237" s="21"/>
      <c r="FDE237" s="21"/>
      <c r="FDF237" s="15"/>
      <c r="FDG237" s="15"/>
      <c r="FDH237" s="15"/>
      <c r="FDI237" s="15"/>
      <c r="FDJ237" s="15"/>
      <c r="FDK237" s="15"/>
      <c r="FDL237" s="15"/>
      <c r="FDM237" s="15"/>
      <c r="FDN237" s="15"/>
      <c r="FDO237" s="15"/>
      <c r="FDP237" s="10"/>
      <c r="FDQ237" s="10"/>
      <c r="FDR237" s="21"/>
      <c r="FDS237" s="21"/>
      <c r="FDV237" s="21"/>
      <c r="FDW237" s="15"/>
      <c r="FDX237" s="15"/>
      <c r="FDY237" s="15"/>
      <c r="FDZ237" s="15"/>
      <c r="FEA237" s="15"/>
      <c r="FEB237" s="15"/>
      <c r="FEC237" s="15"/>
      <c r="FED237" s="15"/>
      <c r="FEE237" s="15"/>
      <c r="FEF237" s="15"/>
      <c r="FEG237" s="10"/>
      <c r="FEH237" s="10"/>
      <c r="FEI237" s="21"/>
      <c r="FEJ237" s="21"/>
      <c r="FEM237" s="21"/>
      <c r="FEN237" s="15"/>
      <c r="FEO237" s="15"/>
      <c r="FEP237" s="15"/>
      <c r="FEQ237" s="15"/>
      <c r="FER237" s="15"/>
      <c r="FES237" s="15"/>
      <c r="FET237" s="15"/>
      <c r="FEU237" s="15"/>
      <c r="FEV237" s="15"/>
      <c r="FEW237" s="15"/>
      <c r="FEX237" s="10"/>
      <c r="FEY237" s="10"/>
      <c r="FEZ237" s="21"/>
      <c r="FFA237" s="21"/>
      <c r="FFD237" s="21"/>
      <c r="FFE237" s="15"/>
      <c r="FFF237" s="15"/>
      <c r="FFG237" s="15"/>
      <c r="FFH237" s="15"/>
      <c r="FFI237" s="15"/>
      <c r="FFJ237" s="15"/>
      <c r="FFK237" s="15"/>
      <c r="FFL237" s="15"/>
      <c r="FFM237" s="15"/>
      <c r="FFN237" s="15"/>
      <c r="FFO237" s="10"/>
      <c r="FFP237" s="10"/>
      <c r="FFQ237" s="21"/>
      <c r="FFR237" s="21"/>
      <c r="FFU237" s="21"/>
      <c r="FFV237" s="15"/>
      <c r="FFW237" s="15"/>
      <c r="FFX237" s="15"/>
      <c r="FFY237" s="15"/>
      <c r="FFZ237" s="15"/>
      <c r="FGA237" s="15"/>
      <c r="FGB237" s="15"/>
      <c r="FGC237" s="15"/>
      <c r="FGD237" s="15"/>
      <c r="FGE237" s="15"/>
      <c r="FGF237" s="10"/>
      <c r="FGG237" s="10"/>
      <c r="FGH237" s="21"/>
      <c r="FGI237" s="21"/>
      <c r="FGL237" s="21"/>
      <c r="FGM237" s="15"/>
      <c r="FGN237" s="15"/>
      <c r="FGO237" s="15"/>
      <c r="FGP237" s="15"/>
      <c r="FGQ237" s="15"/>
      <c r="FGR237" s="15"/>
      <c r="FGS237" s="15"/>
      <c r="FGT237" s="15"/>
      <c r="FGU237" s="15"/>
      <c r="FGV237" s="15"/>
      <c r="FGW237" s="10"/>
      <c r="FGX237" s="10"/>
      <c r="FGY237" s="21"/>
      <c r="FGZ237" s="21"/>
      <c r="FHC237" s="21"/>
      <c r="FHD237" s="15"/>
      <c r="FHE237" s="15"/>
      <c r="FHF237" s="15"/>
      <c r="FHG237" s="15"/>
      <c r="FHH237" s="15"/>
      <c r="FHI237" s="15"/>
      <c r="FHJ237" s="15"/>
      <c r="FHK237" s="15"/>
      <c r="FHL237" s="15"/>
      <c r="FHM237" s="15"/>
      <c r="FHN237" s="10"/>
      <c r="FHO237" s="10"/>
      <c r="FHP237" s="21"/>
      <c r="FHQ237" s="21"/>
      <c r="FHT237" s="21"/>
      <c r="FHU237" s="15"/>
      <c r="FHV237" s="15"/>
      <c r="FHW237" s="15"/>
      <c r="FHX237" s="15"/>
      <c r="FHY237" s="15"/>
      <c r="FHZ237" s="15"/>
      <c r="FIA237" s="15"/>
      <c r="FIB237" s="15"/>
      <c r="FIC237" s="15"/>
      <c r="FID237" s="15"/>
      <c r="FIE237" s="10"/>
      <c r="FIF237" s="10"/>
      <c r="FIG237" s="21"/>
      <c r="FIH237" s="21"/>
      <c r="FIK237" s="21"/>
      <c r="FIL237" s="15"/>
      <c r="FIM237" s="15"/>
      <c r="FIN237" s="15"/>
      <c r="FIO237" s="15"/>
      <c r="FIP237" s="15"/>
      <c r="FIQ237" s="15"/>
      <c r="FIR237" s="15"/>
      <c r="FIS237" s="15"/>
      <c r="FIT237" s="15"/>
      <c r="FIU237" s="15"/>
      <c r="FIV237" s="10"/>
      <c r="FIW237" s="10"/>
      <c r="FIX237" s="21"/>
      <c r="FIY237" s="21"/>
      <c r="FJB237" s="21"/>
      <c r="FJC237" s="15"/>
      <c r="FJD237" s="15"/>
      <c r="FJE237" s="15"/>
      <c r="FJF237" s="15"/>
      <c r="FJG237" s="15"/>
      <c r="FJH237" s="15"/>
      <c r="FJI237" s="15"/>
      <c r="FJJ237" s="15"/>
      <c r="FJK237" s="15"/>
      <c r="FJL237" s="15"/>
      <c r="FJM237" s="10"/>
      <c r="FJN237" s="10"/>
      <c r="FJO237" s="21"/>
      <c r="FJP237" s="21"/>
      <c r="FJS237" s="21"/>
      <c r="FJT237" s="15"/>
      <c r="FJU237" s="15"/>
      <c r="FJV237" s="15"/>
      <c r="FJW237" s="15"/>
      <c r="FJX237" s="15"/>
      <c r="FJY237" s="15"/>
      <c r="FJZ237" s="15"/>
      <c r="FKA237" s="15"/>
      <c r="FKB237" s="15"/>
      <c r="FKC237" s="15"/>
      <c r="FKD237" s="10"/>
      <c r="FKE237" s="10"/>
      <c r="FKF237" s="21"/>
      <c r="FKG237" s="21"/>
      <c r="FKJ237" s="21"/>
      <c r="FKK237" s="15"/>
      <c r="FKL237" s="15"/>
      <c r="FKM237" s="15"/>
      <c r="FKN237" s="15"/>
      <c r="FKO237" s="15"/>
      <c r="FKP237" s="15"/>
      <c r="FKQ237" s="15"/>
      <c r="FKR237" s="15"/>
      <c r="FKS237" s="15"/>
      <c r="FKT237" s="15"/>
      <c r="FKU237" s="10"/>
      <c r="FKV237" s="10"/>
      <c r="FKW237" s="21"/>
      <c r="FKX237" s="21"/>
      <c r="FLA237" s="21"/>
      <c r="FLB237" s="15"/>
      <c r="FLC237" s="15"/>
      <c r="FLD237" s="15"/>
      <c r="FLE237" s="15"/>
      <c r="FLF237" s="15"/>
      <c r="FLG237" s="15"/>
      <c r="FLH237" s="15"/>
      <c r="FLI237" s="15"/>
      <c r="FLJ237" s="15"/>
      <c r="FLK237" s="15"/>
      <c r="FLL237" s="10"/>
      <c r="FLM237" s="10"/>
      <c r="FLN237" s="21"/>
      <c r="FLO237" s="21"/>
      <c r="FLR237" s="21"/>
      <c r="FLS237" s="15"/>
      <c r="FLT237" s="15"/>
      <c r="FLU237" s="15"/>
      <c r="FLV237" s="15"/>
      <c r="FLW237" s="15"/>
      <c r="FLX237" s="15"/>
      <c r="FLY237" s="15"/>
      <c r="FLZ237" s="15"/>
      <c r="FMA237" s="15"/>
      <c r="FMB237" s="15"/>
      <c r="FMC237" s="10"/>
      <c r="FMD237" s="10"/>
      <c r="FME237" s="21"/>
      <c r="FMF237" s="21"/>
      <c r="FMI237" s="21"/>
      <c r="FMJ237" s="15"/>
      <c r="FMK237" s="15"/>
      <c r="FML237" s="15"/>
      <c r="FMM237" s="15"/>
      <c r="FMN237" s="15"/>
      <c r="FMO237" s="15"/>
      <c r="FMP237" s="15"/>
      <c r="FMQ237" s="15"/>
      <c r="FMR237" s="15"/>
      <c r="FMS237" s="15"/>
      <c r="FMT237" s="10"/>
      <c r="FMU237" s="10"/>
      <c r="FMV237" s="21"/>
      <c r="FMW237" s="21"/>
      <c r="FMZ237" s="21"/>
      <c r="FNA237" s="15"/>
      <c r="FNB237" s="15"/>
      <c r="FNC237" s="15"/>
      <c r="FND237" s="15"/>
      <c r="FNE237" s="15"/>
      <c r="FNF237" s="15"/>
      <c r="FNG237" s="15"/>
      <c r="FNH237" s="15"/>
      <c r="FNI237" s="15"/>
      <c r="FNJ237" s="15"/>
      <c r="FNK237" s="10"/>
      <c r="FNL237" s="10"/>
      <c r="FNM237" s="21"/>
      <c r="FNN237" s="21"/>
      <c r="FNQ237" s="21"/>
      <c r="FNR237" s="15"/>
      <c r="FNS237" s="15"/>
      <c r="FNT237" s="15"/>
      <c r="FNU237" s="15"/>
      <c r="FNV237" s="15"/>
      <c r="FNW237" s="15"/>
      <c r="FNX237" s="15"/>
      <c r="FNY237" s="15"/>
      <c r="FNZ237" s="15"/>
      <c r="FOA237" s="15"/>
      <c r="FOB237" s="10"/>
      <c r="FOC237" s="10"/>
      <c r="FOD237" s="21"/>
      <c r="FOE237" s="21"/>
      <c r="FOH237" s="21"/>
      <c r="FOI237" s="15"/>
      <c r="FOJ237" s="15"/>
      <c r="FOK237" s="15"/>
      <c r="FOL237" s="15"/>
      <c r="FOM237" s="15"/>
      <c r="FON237" s="15"/>
      <c r="FOO237" s="15"/>
      <c r="FOP237" s="15"/>
      <c r="FOQ237" s="15"/>
      <c r="FOR237" s="15"/>
      <c r="FOS237" s="10"/>
      <c r="FOT237" s="10"/>
      <c r="FOU237" s="21"/>
      <c r="FOV237" s="21"/>
      <c r="FOY237" s="21"/>
      <c r="FOZ237" s="15"/>
      <c r="FPA237" s="15"/>
      <c r="FPB237" s="15"/>
      <c r="FPC237" s="15"/>
      <c r="FPD237" s="15"/>
      <c r="FPE237" s="15"/>
      <c r="FPF237" s="15"/>
      <c r="FPG237" s="15"/>
      <c r="FPH237" s="15"/>
      <c r="FPI237" s="15"/>
      <c r="FPJ237" s="10"/>
      <c r="FPK237" s="10"/>
      <c r="FPL237" s="21"/>
      <c r="FPM237" s="21"/>
      <c r="FPP237" s="21"/>
      <c r="FPQ237" s="15"/>
      <c r="FPR237" s="15"/>
      <c r="FPS237" s="15"/>
      <c r="FPT237" s="15"/>
      <c r="FPU237" s="15"/>
      <c r="FPV237" s="15"/>
      <c r="FPW237" s="15"/>
      <c r="FPX237" s="15"/>
      <c r="FPY237" s="15"/>
      <c r="FPZ237" s="15"/>
      <c r="FQA237" s="10"/>
      <c r="FQB237" s="10"/>
      <c r="FQC237" s="21"/>
      <c r="FQD237" s="21"/>
      <c r="FQG237" s="21"/>
      <c r="FQH237" s="15"/>
      <c r="FQI237" s="15"/>
      <c r="FQJ237" s="15"/>
      <c r="FQK237" s="15"/>
      <c r="FQL237" s="15"/>
      <c r="FQM237" s="15"/>
      <c r="FQN237" s="15"/>
      <c r="FQO237" s="15"/>
      <c r="FQP237" s="15"/>
      <c r="FQQ237" s="15"/>
      <c r="FQR237" s="10"/>
      <c r="FQS237" s="10"/>
      <c r="FQT237" s="21"/>
      <c r="FQU237" s="21"/>
      <c r="FQX237" s="21"/>
      <c r="FQY237" s="15"/>
      <c r="FQZ237" s="15"/>
      <c r="FRA237" s="15"/>
      <c r="FRB237" s="15"/>
      <c r="FRC237" s="15"/>
      <c r="FRD237" s="15"/>
      <c r="FRE237" s="15"/>
      <c r="FRF237" s="15"/>
      <c r="FRG237" s="15"/>
      <c r="FRH237" s="15"/>
      <c r="FRI237" s="10"/>
      <c r="FRJ237" s="10"/>
      <c r="FRK237" s="21"/>
      <c r="FRL237" s="21"/>
      <c r="FRO237" s="21"/>
      <c r="FRP237" s="15"/>
      <c r="FRQ237" s="15"/>
      <c r="FRR237" s="15"/>
      <c r="FRS237" s="15"/>
      <c r="FRT237" s="15"/>
      <c r="FRU237" s="15"/>
      <c r="FRV237" s="15"/>
      <c r="FRW237" s="15"/>
      <c r="FRX237" s="15"/>
      <c r="FRY237" s="15"/>
      <c r="FRZ237" s="10"/>
      <c r="FSA237" s="10"/>
      <c r="FSB237" s="21"/>
      <c r="FSC237" s="21"/>
      <c r="FSF237" s="21"/>
      <c r="FSG237" s="15"/>
      <c r="FSH237" s="15"/>
      <c r="FSI237" s="15"/>
      <c r="FSJ237" s="15"/>
      <c r="FSK237" s="15"/>
      <c r="FSL237" s="15"/>
      <c r="FSM237" s="15"/>
      <c r="FSN237" s="15"/>
      <c r="FSO237" s="15"/>
      <c r="FSP237" s="15"/>
      <c r="FSQ237" s="10"/>
      <c r="FSR237" s="10"/>
      <c r="FSS237" s="21"/>
      <c r="FST237" s="21"/>
      <c r="FSW237" s="21"/>
      <c r="FSX237" s="15"/>
      <c r="FSY237" s="15"/>
      <c r="FSZ237" s="15"/>
      <c r="FTA237" s="15"/>
      <c r="FTB237" s="15"/>
      <c r="FTC237" s="15"/>
      <c r="FTD237" s="15"/>
      <c r="FTE237" s="15"/>
      <c r="FTF237" s="15"/>
      <c r="FTG237" s="15"/>
      <c r="FTH237" s="10"/>
      <c r="FTI237" s="10"/>
      <c r="FTJ237" s="21"/>
      <c r="FTK237" s="21"/>
      <c r="FTN237" s="21"/>
      <c r="FTO237" s="15"/>
      <c r="FTP237" s="15"/>
      <c r="FTQ237" s="15"/>
      <c r="FTR237" s="15"/>
      <c r="FTS237" s="15"/>
      <c r="FTT237" s="15"/>
      <c r="FTU237" s="15"/>
      <c r="FTV237" s="15"/>
      <c r="FTW237" s="15"/>
      <c r="FTX237" s="15"/>
      <c r="FTY237" s="10"/>
      <c r="FTZ237" s="10"/>
      <c r="FUA237" s="21"/>
      <c r="FUB237" s="21"/>
      <c r="FUE237" s="21"/>
      <c r="FUF237" s="15"/>
      <c r="FUG237" s="15"/>
      <c r="FUH237" s="15"/>
      <c r="FUI237" s="15"/>
      <c r="FUJ237" s="15"/>
      <c r="FUK237" s="15"/>
      <c r="FUL237" s="15"/>
      <c r="FUM237" s="15"/>
      <c r="FUN237" s="15"/>
      <c r="FUO237" s="15"/>
      <c r="FUP237" s="10"/>
      <c r="FUQ237" s="10"/>
      <c r="FUR237" s="21"/>
      <c r="FUS237" s="21"/>
      <c r="FUV237" s="21"/>
      <c r="FUW237" s="15"/>
      <c r="FUX237" s="15"/>
      <c r="FUY237" s="15"/>
      <c r="FUZ237" s="15"/>
      <c r="FVA237" s="15"/>
      <c r="FVB237" s="15"/>
      <c r="FVC237" s="15"/>
      <c r="FVD237" s="15"/>
      <c r="FVE237" s="15"/>
      <c r="FVF237" s="15"/>
      <c r="FVG237" s="10"/>
      <c r="FVH237" s="10"/>
      <c r="FVI237" s="21"/>
      <c r="FVJ237" s="21"/>
      <c r="FVM237" s="21"/>
      <c r="FVN237" s="15"/>
      <c r="FVO237" s="15"/>
      <c r="FVP237" s="15"/>
      <c r="FVQ237" s="15"/>
      <c r="FVR237" s="15"/>
      <c r="FVS237" s="15"/>
      <c r="FVT237" s="15"/>
      <c r="FVU237" s="15"/>
      <c r="FVV237" s="15"/>
      <c r="FVW237" s="15"/>
      <c r="FVX237" s="10"/>
      <c r="FVY237" s="10"/>
      <c r="FVZ237" s="21"/>
      <c r="FWA237" s="21"/>
      <c r="FWD237" s="21"/>
      <c r="FWE237" s="15"/>
      <c r="FWF237" s="15"/>
      <c r="FWG237" s="15"/>
      <c r="FWH237" s="15"/>
      <c r="FWI237" s="15"/>
      <c r="FWJ237" s="15"/>
      <c r="FWK237" s="15"/>
      <c r="FWL237" s="15"/>
      <c r="FWM237" s="15"/>
      <c r="FWN237" s="15"/>
      <c r="FWO237" s="10"/>
      <c r="FWP237" s="10"/>
      <c r="FWQ237" s="21"/>
      <c r="FWR237" s="21"/>
      <c r="FWU237" s="21"/>
      <c r="FWV237" s="15"/>
      <c r="FWW237" s="15"/>
      <c r="FWX237" s="15"/>
      <c r="FWY237" s="15"/>
      <c r="FWZ237" s="15"/>
      <c r="FXA237" s="15"/>
      <c r="FXB237" s="15"/>
      <c r="FXC237" s="15"/>
      <c r="FXD237" s="15"/>
      <c r="FXE237" s="15"/>
      <c r="FXF237" s="10"/>
      <c r="FXG237" s="10"/>
      <c r="FXH237" s="21"/>
      <c r="FXI237" s="21"/>
      <c r="FXL237" s="21"/>
      <c r="FXM237" s="15"/>
      <c r="FXN237" s="15"/>
      <c r="FXO237" s="15"/>
      <c r="FXP237" s="15"/>
      <c r="FXQ237" s="15"/>
      <c r="FXR237" s="15"/>
      <c r="FXS237" s="15"/>
      <c r="FXT237" s="15"/>
      <c r="FXU237" s="15"/>
      <c r="FXV237" s="15"/>
      <c r="FXW237" s="10"/>
      <c r="FXX237" s="10"/>
      <c r="FXY237" s="21"/>
      <c r="FXZ237" s="21"/>
      <c r="FYC237" s="21"/>
      <c r="FYD237" s="15"/>
      <c r="FYE237" s="15"/>
      <c r="FYF237" s="15"/>
      <c r="FYG237" s="15"/>
      <c r="FYH237" s="15"/>
      <c r="FYI237" s="15"/>
      <c r="FYJ237" s="15"/>
      <c r="FYK237" s="15"/>
      <c r="FYL237" s="15"/>
      <c r="FYM237" s="15"/>
      <c r="FYN237" s="10"/>
      <c r="FYO237" s="10"/>
      <c r="FYP237" s="21"/>
      <c r="FYQ237" s="21"/>
      <c r="FYT237" s="21"/>
      <c r="FYU237" s="15"/>
      <c r="FYV237" s="15"/>
      <c r="FYW237" s="15"/>
      <c r="FYX237" s="15"/>
      <c r="FYY237" s="15"/>
      <c r="FYZ237" s="15"/>
      <c r="FZA237" s="15"/>
      <c r="FZB237" s="15"/>
      <c r="FZC237" s="15"/>
      <c r="FZD237" s="15"/>
      <c r="FZE237" s="10"/>
      <c r="FZF237" s="10"/>
      <c r="FZG237" s="21"/>
      <c r="FZH237" s="21"/>
      <c r="FZK237" s="21"/>
      <c r="FZL237" s="15"/>
      <c r="FZM237" s="15"/>
      <c r="FZN237" s="15"/>
      <c r="FZO237" s="15"/>
      <c r="FZP237" s="15"/>
      <c r="FZQ237" s="15"/>
      <c r="FZR237" s="15"/>
      <c r="FZS237" s="15"/>
      <c r="FZT237" s="15"/>
      <c r="FZU237" s="15"/>
      <c r="FZV237" s="10"/>
      <c r="FZW237" s="10"/>
      <c r="FZX237" s="21"/>
      <c r="FZY237" s="21"/>
      <c r="GAB237" s="21"/>
      <c r="GAC237" s="15"/>
      <c r="GAD237" s="15"/>
      <c r="GAE237" s="15"/>
      <c r="GAF237" s="15"/>
      <c r="GAG237" s="15"/>
      <c r="GAH237" s="15"/>
      <c r="GAI237" s="15"/>
      <c r="GAJ237" s="15"/>
      <c r="GAK237" s="15"/>
      <c r="GAL237" s="15"/>
      <c r="GAM237" s="10"/>
      <c r="GAN237" s="10"/>
      <c r="GAO237" s="21"/>
      <c r="GAP237" s="21"/>
      <c r="GAS237" s="21"/>
      <c r="GAT237" s="15"/>
      <c r="GAU237" s="15"/>
      <c r="GAV237" s="15"/>
      <c r="GAW237" s="15"/>
      <c r="GAX237" s="15"/>
      <c r="GAY237" s="15"/>
      <c r="GAZ237" s="15"/>
      <c r="GBA237" s="15"/>
      <c r="GBB237" s="15"/>
      <c r="GBC237" s="15"/>
      <c r="GBD237" s="10"/>
      <c r="GBE237" s="10"/>
      <c r="GBF237" s="21"/>
      <c r="GBG237" s="21"/>
      <c r="GBJ237" s="21"/>
      <c r="GBK237" s="15"/>
      <c r="GBL237" s="15"/>
      <c r="GBM237" s="15"/>
      <c r="GBN237" s="15"/>
      <c r="GBO237" s="15"/>
      <c r="GBP237" s="15"/>
      <c r="GBQ237" s="15"/>
      <c r="GBR237" s="15"/>
      <c r="GBS237" s="15"/>
      <c r="GBT237" s="15"/>
      <c r="GBU237" s="10"/>
      <c r="GBV237" s="10"/>
      <c r="GBW237" s="21"/>
      <c r="GBX237" s="21"/>
      <c r="GCA237" s="21"/>
      <c r="GCB237" s="15"/>
      <c r="GCC237" s="15"/>
      <c r="GCD237" s="15"/>
      <c r="GCE237" s="15"/>
      <c r="GCF237" s="15"/>
      <c r="GCG237" s="15"/>
      <c r="GCH237" s="15"/>
      <c r="GCI237" s="15"/>
      <c r="GCJ237" s="15"/>
      <c r="GCK237" s="15"/>
      <c r="GCL237" s="10"/>
      <c r="GCM237" s="10"/>
      <c r="GCN237" s="21"/>
      <c r="GCO237" s="21"/>
      <c r="GCR237" s="21"/>
      <c r="GCS237" s="15"/>
      <c r="GCT237" s="15"/>
      <c r="GCU237" s="15"/>
      <c r="GCV237" s="15"/>
      <c r="GCW237" s="15"/>
      <c r="GCX237" s="15"/>
      <c r="GCY237" s="15"/>
      <c r="GCZ237" s="15"/>
      <c r="GDA237" s="15"/>
      <c r="GDB237" s="15"/>
      <c r="GDC237" s="10"/>
      <c r="GDD237" s="10"/>
      <c r="GDE237" s="21"/>
      <c r="GDF237" s="21"/>
      <c r="GDI237" s="21"/>
      <c r="GDJ237" s="15"/>
      <c r="GDK237" s="15"/>
      <c r="GDL237" s="15"/>
      <c r="GDM237" s="15"/>
      <c r="GDN237" s="15"/>
      <c r="GDO237" s="15"/>
      <c r="GDP237" s="15"/>
      <c r="GDQ237" s="15"/>
      <c r="GDR237" s="15"/>
      <c r="GDS237" s="15"/>
      <c r="GDT237" s="10"/>
      <c r="GDU237" s="10"/>
      <c r="GDV237" s="21"/>
      <c r="GDW237" s="21"/>
      <c r="GDZ237" s="21"/>
      <c r="GEA237" s="15"/>
      <c r="GEB237" s="15"/>
      <c r="GEC237" s="15"/>
      <c r="GED237" s="15"/>
      <c r="GEE237" s="15"/>
      <c r="GEF237" s="15"/>
      <c r="GEG237" s="15"/>
      <c r="GEH237" s="15"/>
      <c r="GEI237" s="15"/>
      <c r="GEJ237" s="15"/>
      <c r="GEK237" s="10"/>
      <c r="GEL237" s="10"/>
      <c r="GEM237" s="21"/>
      <c r="GEN237" s="21"/>
      <c r="GEQ237" s="21"/>
      <c r="GER237" s="15"/>
      <c r="GES237" s="15"/>
      <c r="GET237" s="15"/>
      <c r="GEU237" s="15"/>
      <c r="GEV237" s="15"/>
      <c r="GEW237" s="15"/>
      <c r="GEX237" s="15"/>
      <c r="GEY237" s="15"/>
      <c r="GEZ237" s="15"/>
      <c r="GFA237" s="15"/>
      <c r="GFB237" s="10"/>
      <c r="GFC237" s="10"/>
      <c r="GFD237" s="21"/>
      <c r="GFE237" s="21"/>
      <c r="GFH237" s="21"/>
      <c r="GFI237" s="15"/>
      <c r="GFJ237" s="15"/>
      <c r="GFK237" s="15"/>
      <c r="GFL237" s="15"/>
      <c r="GFM237" s="15"/>
      <c r="GFN237" s="15"/>
      <c r="GFO237" s="15"/>
      <c r="GFP237" s="15"/>
      <c r="GFQ237" s="15"/>
      <c r="GFR237" s="15"/>
      <c r="GFS237" s="10"/>
      <c r="GFT237" s="10"/>
      <c r="GFU237" s="21"/>
      <c r="GFV237" s="21"/>
      <c r="GFY237" s="21"/>
      <c r="GFZ237" s="15"/>
      <c r="GGA237" s="15"/>
      <c r="GGB237" s="15"/>
      <c r="GGC237" s="15"/>
      <c r="GGD237" s="15"/>
      <c r="GGE237" s="15"/>
      <c r="GGF237" s="15"/>
      <c r="GGG237" s="15"/>
      <c r="GGH237" s="15"/>
      <c r="GGI237" s="15"/>
      <c r="GGJ237" s="10"/>
      <c r="GGK237" s="10"/>
      <c r="GGL237" s="21"/>
      <c r="GGM237" s="21"/>
      <c r="GGP237" s="21"/>
      <c r="GGQ237" s="15"/>
      <c r="GGR237" s="15"/>
      <c r="GGS237" s="15"/>
      <c r="GGT237" s="15"/>
      <c r="GGU237" s="15"/>
      <c r="GGV237" s="15"/>
      <c r="GGW237" s="15"/>
      <c r="GGX237" s="15"/>
      <c r="GGY237" s="15"/>
      <c r="GGZ237" s="15"/>
      <c r="GHA237" s="10"/>
      <c r="GHB237" s="10"/>
      <c r="GHC237" s="21"/>
      <c r="GHD237" s="21"/>
      <c r="GHG237" s="21"/>
      <c r="GHH237" s="15"/>
      <c r="GHI237" s="15"/>
      <c r="GHJ237" s="15"/>
      <c r="GHK237" s="15"/>
      <c r="GHL237" s="15"/>
      <c r="GHM237" s="15"/>
      <c r="GHN237" s="15"/>
      <c r="GHO237" s="15"/>
      <c r="GHP237" s="15"/>
      <c r="GHQ237" s="15"/>
      <c r="GHR237" s="10"/>
      <c r="GHS237" s="10"/>
      <c r="GHT237" s="21"/>
      <c r="GHU237" s="21"/>
      <c r="GHX237" s="21"/>
      <c r="GHY237" s="15"/>
      <c r="GHZ237" s="15"/>
      <c r="GIA237" s="15"/>
      <c r="GIB237" s="15"/>
      <c r="GIC237" s="15"/>
      <c r="GID237" s="15"/>
      <c r="GIE237" s="15"/>
      <c r="GIF237" s="15"/>
      <c r="GIG237" s="15"/>
      <c r="GIH237" s="15"/>
      <c r="GII237" s="10"/>
      <c r="GIJ237" s="10"/>
      <c r="GIK237" s="21"/>
      <c r="GIL237" s="21"/>
      <c r="GIO237" s="21"/>
      <c r="GIP237" s="15"/>
      <c r="GIQ237" s="15"/>
      <c r="GIR237" s="15"/>
      <c r="GIS237" s="15"/>
      <c r="GIT237" s="15"/>
      <c r="GIU237" s="15"/>
      <c r="GIV237" s="15"/>
      <c r="GIW237" s="15"/>
      <c r="GIX237" s="15"/>
      <c r="GIY237" s="15"/>
      <c r="GIZ237" s="10"/>
      <c r="GJA237" s="10"/>
      <c r="GJB237" s="21"/>
      <c r="GJC237" s="21"/>
      <c r="GJF237" s="21"/>
      <c r="GJG237" s="15"/>
      <c r="GJH237" s="15"/>
      <c r="GJI237" s="15"/>
      <c r="GJJ237" s="15"/>
      <c r="GJK237" s="15"/>
      <c r="GJL237" s="15"/>
      <c r="GJM237" s="15"/>
      <c r="GJN237" s="15"/>
      <c r="GJO237" s="15"/>
      <c r="GJP237" s="15"/>
      <c r="GJQ237" s="10"/>
      <c r="GJR237" s="10"/>
      <c r="GJS237" s="21"/>
      <c r="GJT237" s="21"/>
      <c r="GJW237" s="21"/>
      <c r="GJX237" s="15"/>
      <c r="GJY237" s="15"/>
      <c r="GJZ237" s="15"/>
      <c r="GKA237" s="15"/>
      <c r="GKB237" s="15"/>
      <c r="GKC237" s="15"/>
      <c r="GKD237" s="15"/>
      <c r="GKE237" s="15"/>
      <c r="GKF237" s="15"/>
      <c r="GKG237" s="15"/>
      <c r="GKH237" s="10"/>
      <c r="GKI237" s="10"/>
      <c r="GKJ237" s="21"/>
      <c r="GKK237" s="21"/>
      <c r="GKN237" s="21"/>
      <c r="GKO237" s="15"/>
      <c r="GKP237" s="15"/>
      <c r="GKQ237" s="15"/>
      <c r="GKR237" s="15"/>
      <c r="GKS237" s="15"/>
      <c r="GKT237" s="15"/>
      <c r="GKU237" s="15"/>
      <c r="GKV237" s="15"/>
      <c r="GKW237" s="15"/>
      <c r="GKX237" s="15"/>
      <c r="GKY237" s="10"/>
      <c r="GKZ237" s="10"/>
      <c r="GLA237" s="21"/>
      <c r="GLB237" s="21"/>
      <c r="GLE237" s="21"/>
      <c r="GLF237" s="15"/>
      <c r="GLG237" s="15"/>
      <c r="GLH237" s="15"/>
      <c r="GLI237" s="15"/>
      <c r="GLJ237" s="15"/>
      <c r="GLK237" s="15"/>
      <c r="GLL237" s="15"/>
      <c r="GLM237" s="15"/>
      <c r="GLN237" s="15"/>
      <c r="GLO237" s="15"/>
      <c r="GLP237" s="10"/>
      <c r="GLQ237" s="10"/>
      <c r="GLR237" s="21"/>
      <c r="GLS237" s="21"/>
      <c r="GLV237" s="21"/>
      <c r="GLW237" s="15"/>
      <c r="GLX237" s="15"/>
      <c r="GLY237" s="15"/>
      <c r="GLZ237" s="15"/>
      <c r="GMA237" s="15"/>
      <c r="GMB237" s="15"/>
      <c r="GMC237" s="15"/>
      <c r="GMD237" s="15"/>
      <c r="GME237" s="15"/>
      <c r="GMF237" s="15"/>
      <c r="GMG237" s="10"/>
      <c r="GMH237" s="10"/>
      <c r="GMI237" s="21"/>
      <c r="GMJ237" s="21"/>
      <c r="GMM237" s="21"/>
      <c r="GMN237" s="15"/>
      <c r="GMO237" s="15"/>
      <c r="GMP237" s="15"/>
      <c r="GMQ237" s="15"/>
      <c r="GMR237" s="15"/>
      <c r="GMS237" s="15"/>
      <c r="GMT237" s="15"/>
      <c r="GMU237" s="15"/>
      <c r="GMV237" s="15"/>
      <c r="GMW237" s="15"/>
      <c r="GMX237" s="10"/>
      <c r="GMY237" s="10"/>
      <c r="GMZ237" s="21"/>
      <c r="GNA237" s="21"/>
      <c r="GND237" s="21"/>
      <c r="GNE237" s="15"/>
      <c r="GNF237" s="15"/>
      <c r="GNG237" s="15"/>
      <c r="GNH237" s="15"/>
      <c r="GNI237" s="15"/>
      <c r="GNJ237" s="15"/>
      <c r="GNK237" s="15"/>
      <c r="GNL237" s="15"/>
      <c r="GNM237" s="15"/>
      <c r="GNN237" s="15"/>
      <c r="GNO237" s="10"/>
      <c r="GNP237" s="10"/>
      <c r="GNQ237" s="21"/>
      <c r="GNR237" s="21"/>
      <c r="GNU237" s="21"/>
      <c r="GNV237" s="15"/>
      <c r="GNW237" s="15"/>
      <c r="GNX237" s="15"/>
      <c r="GNY237" s="15"/>
      <c r="GNZ237" s="15"/>
      <c r="GOA237" s="15"/>
      <c r="GOB237" s="15"/>
      <c r="GOC237" s="15"/>
      <c r="GOD237" s="15"/>
      <c r="GOE237" s="15"/>
      <c r="GOF237" s="10"/>
      <c r="GOG237" s="10"/>
      <c r="GOH237" s="21"/>
      <c r="GOI237" s="21"/>
      <c r="GOL237" s="21"/>
      <c r="GOM237" s="15"/>
      <c r="GON237" s="15"/>
      <c r="GOO237" s="15"/>
      <c r="GOP237" s="15"/>
      <c r="GOQ237" s="15"/>
      <c r="GOR237" s="15"/>
      <c r="GOS237" s="15"/>
      <c r="GOT237" s="15"/>
      <c r="GOU237" s="15"/>
      <c r="GOV237" s="15"/>
      <c r="GOW237" s="10"/>
      <c r="GOX237" s="10"/>
      <c r="GOY237" s="21"/>
      <c r="GOZ237" s="21"/>
      <c r="GPC237" s="21"/>
      <c r="GPD237" s="15"/>
      <c r="GPE237" s="15"/>
      <c r="GPF237" s="15"/>
      <c r="GPG237" s="15"/>
      <c r="GPH237" s="15"/>
      <c r="GPI237" s="15"/>
      <c r="GPJ237" s="15"/>
      <c r="GPK237" s="15"/>
      <c r="GPL237" s="15"/>
      <c r="GPM237" s="15"/>
      <c r="GPN237" s="10"/>
      <c r="GPO237" s="10"/>
      <c r="GPP237" s="21"/>
      <c r="GPQ237" s="21"/>
      <c r="GPT237" s="21"/>
      <c r="GPU237" s="15"/>
      <c r="GPV237" s="15"/>
      <c r="GPW237" s="15"/>
      <c r="GPX237" s="15"/>
      <c r="GPY237" s="15"/>
      <c r="GPZ237" s="15"/>
      <c r="GQA237" s="15"/>
      <c r="GQB237" s="15"/>
      <c r="GQC237" s="15"/>
      <c r="GQD237" s="15"/>
      <c r="GQE237" s="10"/>
      <c r="GQF237" s="10"/>
      <c r="GQG237" s="21"/>
      <c r="GQH237" s="21"/>
      <c r="GQK237" s="21"/>
      <c r="GQL237" s="15"/>
      <c r="GQM237" s="15"/>
      <c r="GQN237" s="15"/>
      <c r="GQO237" s="15"/>
      <c r="GQP237" s="15"/>
      <c r="GQQ237" s="15"/>
      <c r="GQR237" s="15"/>
      <c r="GQS237" s="15"/>
      <c r="GQT237" s="15"/>
      <c r="GQU237" s="15"/>
      <c r="GQV237" s="10"/>
      <c r="GQW237" s="10"/>
      <c r="GQX237" s="21"/>
      <c r="GQY237" s="21"/>
      <c r="GRB237" s="21"/>
      <c r="GRC237" s="15"/>
      <c r="GRD237" s="15"/>
      <c r="GRE237" s="15"/>
      <c r="GRF237" s="15"/>
      <c r="GRG237" s="15"/>
      <c r="GRH237" s="15"/>
      <c r="GRI237" s="15"/>
      <c r="GRJ237" s="15"/>
      <c r="GRK237" s="15"/>
      <c r="GRL237" s="15"/>
      <c r="GRM237" s="10"/>
      <c r="GRN237" s="10"/>
      <c r="GRO237" s="21"/>
      <c r="GRP237" s="21"/>
      <c r="GRS237" s="21"/>
      <c r="GRT237" s="15"/>
      <c r="GRU237" s="15"/>
      <c r="GRV237" s="15"/>
      <c r="GRW237" s="15"/>
      <c r="GRX237" s="15"/>
      <c r="GRY237" s="15"/>
      <c r="GRZ237" s="15"/>
      <c r="GSA237" s="15"/>
      <c r="GSB237" s="15"/>
      <c r="GSC237" s="15"/>
      <c r="GSD237" s="10"/>
      <c r="GSE237" s="10"/>
      <c r="GSF237" s="21"/>
      <c r="GSG237" s="21"/>
      <c r="GSJ237" s="21"/>
      <c r="GSK237" s="15"/>
      <c r="GSL237" s="15"/>
      <c r="GSM237" s="15"/>
      <c r="GSN237" s="15"/>
      <c r="GSO237" s="15"/>
      <c r="GSP237" s="15"/>
      <c r="GSQ237" s="15"/>
      <c r="GSR237" s="15"/>
      <c r="GSS237" s="15"/>
      <c r="GST237" s="15"/>
      <c r="GSU237" s="10"/>
      <c r="GSV237" s="10"/>
      <c r="GSW237" s="21"/>
      <c r="GSX237" s="21"/>
      <c r="GTA237" s="21"/>
      <c r="GTB237" s="15"/>
      <c r="GTC237" s="15"/>
      <c r="GTD237" s="15"/>
      <c r="GTE237" s="15"/>
      <c r="GTF237" s="15"/>
      <c r="GTG237" s="15"/>
      <c r="GTH237" s="15"/>
      <c r="GTI237" s="15"/>
      <c r="GTJ237" s="15"/>
      <c r="GTK237" s="15"/>
      <c r="GTL237" s="10"/>
      <c r="GTM237" s="10"/>
      <c r="GTN237" s="21"/>
      <c r="GTO237" s="21"/>
      <c r="GTR237" s="21"/>
      <c r="GTS237" s="15"/>
      <c r="GTT237" s="15"/>
      <c r="GTU237" s="15"/>
      <c r="GTV237" s="15"/>
      <c r="GTW237" s="15"/>
      <c r="GTX237" s="15"/>
      <c r="GTY237" s="15"/>
      <c r="GTZ237" s="15"/>
      <c r="GUA237" s="15"/>
      <c r="GUB237" s="15"/>
      <c r="GUC237" s="10"/>
      <c r="GUD237" s="10"/>
      <c r="GUE237" s="21"/>
      <c r="GUF237" s="21"/>
      <c r="GUI237" s="21"/>
      <c r="GUJ237" s="15"/>
      <c r="GUK237" s="15"/>
      <c r="GUL237" s="15"/>
      <c r="GUM237" s="15"/>
      <c r="GUN237" s="15"/>
      <c r="GUO237" s="15"/>
      <c r="GUP237" s="15"/>
      <c r="GUQ237" s="15"/>
      <c r="GUR237" s="15"/>
      <c r="GUS237" s="15"/>
      <c r="GUT237" s="10"/>
      <c r="GUU237" s="10"/>
      <c r="GUV237" s="21"/>
      <c r="GUW237" s="21"/>
      <c r="GUZ237" s="21"/>
      <c r="GVA237" s="15"/>
      <c r="GVB237" s="15"/>
      <c r="GVC237" s="15"/>
      <c r="GVD237" s="15"/>
      <c r="GVE237" s="15"/>
      <c r="GVF237" s="15"/>
      <c r="GVG237" s="15"/>
      <c r="GVH237" s="15"/>
      <c r="GVI237" s="15"/>
      <c r="GVJ237" s="15"/>
      <c r="GVK237" s="10"/>
      <c r="GVL237" s="10"/>
      <c r="GVM237" s="21"/>
      <c r="GVN237" s="21"/>
      <c r="GVQ237" s="21"/>
      <c r="GVR237" s="15"/>
      <c r="GVS237" s="15"/>
      <c r="GVT237" s="15"/>
      <c r="GVU237" s="15"/>
      <c r="GVV237" s="15"/>
      <c r="GVW237" s="15"/>
      <c r="GVX237" s="15"/>
      <c r="GVY237" s="15"/>
      <c r="GVZ237" s="15"/>
      <c r="GWA237" s="15"/>
      <c r="GWB237" s="10"/>
      <c r="GWC237" s="10"/>
      <c r="GWD237" s="21"/>
      <c r="GWE237" s="21"/>
      <c r="GWH237" s="21"/>
      <c r="GWI237" s="15"/>
      <c r="GWJ237" s="15"/>
      <c r="GWK237" s="15"/>
      <c r="GWL237" s="15"/>
      <c r="GWM237" s="15"/>
      <c r="GWN237" s="15"/>
      <c r="GWO237" s="15"/>
      <c r="GWP237" s="15"/>
      <c r="GWQ237" s="15"/>
      <c r="GWR237" s="15"/>
      <c r="GWS237" s="10"/>
      <c r="GWT237" s="10"/>
      <c r="GWU237" s="21"/>
      <c r="GWV237" s="21"/>
      <c r="GWY237" s="21"/>
      <c r="GWZ237" s="15"/>
      <c r="GXA237" s="15"/>
      <c r="GXB237" s="15"/>
      <c r="GXC237" s="15"/>
      <c r="GXD237" s="15"/>
      <c r="GXE237" s="15"/>
      <c r="GXF237" s="15"/>
      <c r="GXG237" s="15"/>
      <c r="GXH237" s="15"/>
      <c r="GXI237" s="15"/>
      <c r="GXJ237" s="10"/>
      <c r="GXK237" s="10"/>
      <c r="GXL237" s="21"/>
      <c r="GXM237" s="21"/>
      <c r="GXP237" s="21"/>
      <c r="GXQ237" s="15"/>
      <c r="GXR237" s="15"/>
      <c r="GXS237" s="15"/>
      <c r="GXT237" s="15"/>
      <c r="GXU237" s="15"/>
      <c r="GXV237" s="15"/>
      <c r="GXW237" s="15"/>
      <c r="GXX237" s="15"/>
      <c r="GXY237" s="15"/>
      <c r="GXZ237" s="15"/>
      <c r="GYA237" s="10"/>
      <c r="GYB237" s="10"/>
      <c r="GYC237" s="21"/>
      <c r="GYD237" s="21"/>
      <c r="GYG237" s="21"/>
      <c r="GYH237" s="15"/>
      <c r="GYI237" s="15"/>
      <c r="GYJ237" s="15"/>
      <c r="GYK237" s="15"/>
      <c r="GYL237" s="15"/>
      <c r="GYM237" s="15"/>
      <c r="GYN237" s="15"/>
      <c r="GYO237" s="15"/>
      <c r="GYP237" s="15"/>
      <c r="GYQ237" s="15"/>
      <c r="GYR237" s="10"/>
      <c r="GYS237" s="10"/>
      <c r="GYT237" s="21"/>
      <c r="GYU237" s="21"/>
      <c r="GYX237" s="21"/>
      <c r="GYY237" s="15"/>
      <c r="GYZ237" s="15"/>
      <c r="GZA237" s="15"/>
      <c r="GZB237" s="15"/>
      <c r="GZC237" s="15"/>
      <c r="GZD237" s="15"/>
      <c r="GZE237" s="15"/>
      <c r="GZF237" s="15"/>
      <c r="GZG237" s="15"/>
      <c r="GZH237" s="15"/>
      <c r="GZI237" s="10"/>
      <c r="GZJ237" s="10"/>
      <c r="GZK237" s="21"/>
      <c r="GZL237" s="21"/>
      <c r="GZO237" s="21"/>
      <c r="GZP237" s="15"/>
      <c r="GZQ237" s="15"/>
      <c r="GZR237" s="15"/>
      <c r="GZS237" s="15"/>
      <c r="GZT237" s="15"/>
      <c r="GZU237" s="15"/>
      <c r="GZV237" s="15"/>
      <c r="GZW237" s="15"/>
      <c r="GZX237" s="15"/>
      <c r="GZY237" s="15"/>
      <c r="GZZ237" s="10"/>
      <c r="HAA237" s="10"/>
      <c r="HAB237" s="21"/>
      <c r="HAC237" s="21"/>
      <c r="HAF237" s="21"/>
      <c r="HAG237" s="15"/>
      <c r="HAH237" s="15"/>
      <c r="HAI237" s="15"/>
      <c r="HAJ237" s="15"/>
      <c r="HAK237" s="15"/>
      <c r="HAL237" s="15"/>
      <c r="HAM237" s="15"/>
      <c r="HAN237" s="15"/>
      <c r="HAO237" s="15"/>
      <c r="HAP237" s="15"/>
      <c r="HAQ237" s="10"/>
      <c r="HAR237" s="10"/>
      <c r="HAS237" s="21"/>
      <c r="HAT237" s="21"/>
      <c r="HAW237" s="21"/>
      <c r="HAX237" s="15"/>
      <c r="HAY237" s="15"/>
      <c r="HAZ237" s="15"/>
      <c r="HBA237" s="15"/>
      <c r="HBB237" s="15"/>
      <c r="HBC237" s="15"/>
      <c r="HBD237" s="15"/>
      <c r="HBE237" s="15"/>
      <c r="HBF237" s="15"/>
      <c r="HBG237" s="15"/>
      <c r="HBH237" s="10"/>
      <c r="HBI237" s="10"/>
      <c r="HBJ237" s="21"/>
      <c r="HBK237" s="21"/>
      <c r="HBN237" s="21"/>
      <c r="HBO237" s="15"/>
      <c r="HBP237" s="15"/>
      <c r="HBQ237" s="15"/>
      <c r="HBR237" s="15"/>
      <c r="HBS237" s="15"/>
      <c r="HBT237" s="15"/>
      <c r="HBU237" s="15"/>
      <c r="HBV237" s="15"/>
      <c r="HBW237" s="15"/>
      <c r="HBX237" s="15"/>
      <c r="HBY237" s="10"/>
      <c r="HBZ237" s="10"/>
      <c r="HCA237" s="21"/>
      <c r="HCB237" s="21"/>
      <c r="HCE237" s="21"/>
      <c r="HCF237" s="15"/>
      <c r="HCG237" s="15"/>
      <c r="HCH237" s="15"/>
      <c r="HCI237" s="15"/>
      <c r="HCJ237" s="15"/>
      <c r="HCK237" s="15"/>
      <c r="HCL237" s="15"/>
      <c r="HCM237" s="15"/>
      <c r="HCN237" s="15"/>
      <c r="HCO237" s="15"/>
      <c r="HCP237" s="10"/>
      <c r="HCQ237" s="10"/>
      <c r="HCR237" s="21"/>
      <c r="HCS237" s="21"/>
      <c r="HCV237" s="21"/>
      <c r="HCW237" s="15"/>
      <c r="HCX237" s="15"/>
      <c r="HCY237" s="15"/>
      <c r="HCZ237" s="15"/>
      <c r="HDA237" s="15"/>
      <c r="HDB237" s="15"/>
      <c r="HDC237" s="15"/>
      <c r="HDD237" s="15"/>
      <c r="HDE237" s="15"/>
      <c r="HDF237" s="15"/>
      <c r="HDG237" s="10"/>
      <c r="HDH237" s="10"/>
      <c r="HDI237" s="21"/>
      <c r="HDJ237" s="21"/>
      <c r="HDM237" s="21"/>
      <c r="HDN237" s="15"/>
      <c r="HDO237" s="15"/>
      <c r="HDP237" s="15"/>
      <c r="HDQ237" s="15"/>
      <c r="HDR237" s="15"/>
      <c r="HDS237" s="15"/>
      <c r="HDT237" s="15"/>
      <c r="HDU237" s="15"/>
      <c r="HDV237" s="15"/>
      <c r="HDW237" s="15"/>
      <c r="HDX237" s="10"/>
      <c r="HDY237" s="10"/>
      <c r="HDZ237" s="21"/>
      <c r="HEA237" s="21"/>
      <c r="HED237" s="21"/>
      <c r="HEE237" s="15"/>
      <c r="HEF237" s="15"/>
      <c r="HEG237" s="15"/>
      <c r="HEH237" s="15"/>
      <c r="HEI237" s="15"/>
      <c r="HEJ237" s="15"/>
      <c r="HEK237" s="15"/>
      <c r="HEL237" s="15"/>
      <c r="HEM237" s="15"/>
      <c r="HEN237" s="15"/>
      <c r="HEO237" s="10"/>
      <c r="HEP237" s="10"/>
      <c r="HEQ237" s="21"/>
      <c r="HER237" s="21"/>
      <c r="HEU237" s="21"/>
      <c r="HEV237" s="15"/>
      <c r="HEW237" s="15"/>
      <c r="HEX237" s="15"/>
      <c r="HEY237" s="15"/>
      <c r="HEZ237" s="15"/>
      <c r="HFA237" s="15"/>
      <c r="HFB237" s="15"/>
      <c r="HFC237" s="15"/>
      <c r="HFD237" s="15"/>
      <c r="HFE237" s="15"/>
      <c r="HFF237" s="10"/>
      <c r="HFG237" s="10"/>
      <c r="HFH237" s="21"/>
      <c r="HFI237" s="21"/>
      <c r="HFL237" s="21"/>
      <c r="HFM237" s="15"/>
      <c r="HFN237" s="15"/>
      <c r="HFO237" s="15"/>
      <c r="HFP237" s="15"/>
      <c r="HFQ237" s="15"/>
      <c r="HFR237" s="15"/>
      <c r="HFS237" s="15"/>
      <c r="HFT237" s="15"/>
      <c r="HFU237" s="15"/>
      <c r="HFV237" s="15"/>
      <c r="HFW237" s="10"/>
      <c r="HFX237" s="10"/>
      <c r="HFY237" s="21"/>
      <c r="HFZ237" s="21"/>
      <c r="HGC237" s="21"/>
      <c r="HGD237" s="15"/>
      <c r="HGE237" s="15"/>
      <c r="HGF237" s="15"/>
      <c r="HGG237" s="15"/>
      <c r="HGH237" s="15"/>
      <c r="HGI237" s="15"/>
      <c r="HGJ237" s="15"/>
      <c r="HGK237" s="15"/>
      <c r="HGL237" s="15"/>
      <c r="HGM237" s="15"/>
      <c r="HGN237" s="10"/>
      <c r="HGO237" s="10"/>
      <c r="HGP237" s="21"/>
      <c r="HGQ237" s="21"/>
      <c r="HGT237" s="21"/>
      <c r="HGU237" s="15"/>
      <c r="HGV237" s="15"/>
      <c r="HGW237" s="15"/>
      <c r="HGX237" s="15"/>
      <c r="HGY237" s="15"/>
      <c r="HGZ237" s="15"/>
      <c r="HHA237" s="15"/>
      <c r="HHB237" s="15"/>
      <c r="HHC237" s="15"/>
      <c r="HHD237" s="15"/>
      <c r="HHE237" s="10"/>
      <c r="HHF237" s="10"/>
      <c r="HHG237" s="21"/>
      <c r="HHH237" s="21"/>
      <c r="HHK237" s="21"/>
      <c r="HHL237" s="15"/>
      <c r="HHM237" s="15"/>
      <c r="HHN237" s="15"/>
      <c r="HHO237" s="15"/>
      <c r="HHP237" s="15"/>
      <c r="HHQ237" s="15"/>
      <c r="HHR237" s="15"/>
      <c r="HHS237" s="15"/>
      <c r="HHT237" s="15"/>
      <c r="HHU237" s="15"/>
      <c r="HHV237" s="10"/>
      <c r="HHW237" s="10"/>
      <c r="HHX237" s="21"/>
      <c r="HHY237" s="21"/>
      <c r="HIB237" s="21"/>
      <c r="HIC237" s="15"/>
      <c r="HID237" s="15"/>
      <c r="HIE237" s="15"/>
      <c r="HIF237" s="15"/>
      <c r="HIG237" s="15"/>
      <c r="HIH237" s="15"/>
      <c r="HII237" s="15"/>
      <c r="HIJ237" s="15"/>
      <c r="HIK237" s="15"/>
      <c r="HIL237" s="15"/>
      <c r="HIM237" s="10"/>
      <c r="HIN237" s="10"/>
      <c r="HIO237" s="21"/>
      <c r="HIP237" s="21"/>
      <c r="HIS237" s="21"/>
      <c r="HIT237" s="15"/>
      <c r="HIU237" s="15"/>
      <c r="HIV237" s="15"/>
      <c r="HIW237" s="15"/>
      <c r="HIX237" s="15"/>
      <c r="HIY237" s="15"/>
      <c r="HIZ237" s="15"/>
      <c r="HJA237" s="15"/>
      <c r="HJB237" s="15"/>
      <c r="HJC237" s="15"/>
      <c r="HJD237" s="10"/>
      <c r="HJE237" s="10"/>
      <c r="HJF237" s="21"/>
      <c r="HJG237" s="21"/>
      <c r="HJJ237" s="21"/>
      <c r="HJK237" s="15"/>
      <c r="HJL237" s="15"/>
      <c r="HJM237" s="15"/>
      <c r="HJN237" s="15"/>
      <c r="HJO237" s="15"/>
      <c r="HJP237" s="15"/>
      <c r="HJQ237" s="15"/>
      <c r="HJR237" s="15"/>
      <c r="HJS237" s="15"/>
      <c r="HJT237" s="15"/>
      <c r="HJU237" s="10"/>
      <c r="HJV237" s="10"/>
      <c r="HJW237" s="21"/>
      <c r="HJX237" s="21"/>
      <c r="HKA237" s="21"/>
      <c r="HKB237" s="15"/>
      <c r="HKC237" s="15"/>
      <c r="HKD237" s="15"/>
      <c r="HKE237" s="15"/>
      <c r="HKF237" s="15"/>
      <c r="HKG237" s="15"/>
      <c r="HKH237" s="15"/>
      <c r="HKI237" s="15"/>
      <c r="HKJ237" s="15"/>
      <c r="HKK237" s="15"/>
      <c r="HKL237" s="10"/>
      <c r="HKM237" s="10"/>
      <c r="HKN237" s="21"/>
      <c r="HKO237" s="21"/>
      <c r="HKR237" s="21"/>
      <c r="HKS237" s="15"/>
      <c r="HKT237" s="15"/>
      <c r="HKU237" s="15"/>
      <c r="HKV237" s="15"/>
      <c r="HKW237" s="15"/>
      <c r="HKX237" s="15"/>
      <c r="HKY237" s="15"/>
      <c r="HKZ237" s="15"/>
      <c r="HLA237" s="15"/>
      <c r="HLB237" s="15"/>
      <c r="HLC237" s="10"/>
      <c r="HLD237" s="10"/>
      <c r="HLE237" s="21"/>
      <c r="HLF237" s="21"/>
      <c r="HLI237" s="21"/>
      <c r="HLJ237" s="15"/>
      <c r="HLK237" s="15"/>
      <c r="HLL237" s="15"/>
      <c r="HLM237" s="15"/>
      <c r="HLN237" s="15"/>
      <c r="HLO237" s="15"/>
      <c r="HLP237" s="15"/>
      <c r="HLQ237" s="15"/>
      <c r="HLR237" s="15"/>
      <c r="HLS237" s="15"/>
      <c r="HLT237" s="10"/>
      <c r="HLU237" s="10"/>
      <c r="HLV237" s="21"/>
      <c r="HLW237" s="21"/>
      <c r="HLZ237" s="21"/>
      <c r="HMA237" s="15"/>
      <c r="HMB237" s="15"/>
      <c r="HMC237" s="15"/>
      <c r="HMD237" s="15"/>
      <c r="HME237" s="15"/>
      <c r="HMF237" s="15"/>
      <c r="HMG237" s="15"/>
      <c r="HMH237" s="15"/>
      <c r="HMI237" s="15"/>
      <c r="HMJ237" s="15"/>
      <c r="HMK237" s="10"/>
      <c r="HML237" s="10"/>
      <c r="HMM237" s="21"/>
      <c r="HMN237" s="21"/>
      <c r="HMQ237" s="21"/>
      <c r="HMR237" s="15"/>
      <c r="HMS237" s="15"/>
      <c r="HMT237" s="15"/>
      <c r="HMU237" s="15"/>
      <c r="HMV237" s="15"/>
      <c r="HMW237" s="15"/>
      <c r="HMX237" s="15"/>
      <c r="HMY237" s="15"/>
      <c r="HMZ237" s="15"/>
      <c r="HNA237" s="15"/>
      <c r="HNB237" s="10"/>
      <c r="HNC237" s="10"/>
      <c r="HND237" s="21"/>
      <c r="HNE237" s="21"/>
      <c r="HNH237" s="21"/>
      <c r="HNI237" s="15"/>
      <c r="HNJ237" s="15"/>
      <c r="HNK237" s="15"/>
      <c r="HNL237" s="15"/>
      <c r="HNM237" s="15"/>
      <c r="HNN237" s="15"/>
      <c r="HNO237" s="15"/>
      <c r="HNP237" s="15"/>
      <c r="HNQ237" s="15"/>
      <c r="HNR237" s="15"/>
      <c r="HNS237" s="10"/>
      <c r="HNT237" s="10"/>
      <c r="HNU237" s="21"/>
      <c r="HNV237" s="21"/>
      <c r="HNY237" s="21"/>
      <c r="HNZ237" s="15"/>
      <c r="HOA237" s="15"/>
      <c r="HOB237" s="15"/>
      <c r="HOC237" s="15"/>
      <c r="HOD237" s="15"/>
      <c r="HOE237" s="15"/>
      <c r="HOF237" s="15"/>
      <c r="HOG237" s="15"/>
      <c r="HOH237" s="15"/>
      <c r="HOI237" s="15"/>
      <c r="HOJ237" s="10"/>
      <c r="HOK237" s="10"/>
      <c r="HOL237" s="21"/>
      <c r="HOM237" s="21"/>
      <c r="HOP237" s="21"/>
      <c r="HOQ237" s="15"/>
      <c r="HOR237" s="15"/>
      <c r="HOS237" s="15"/>
      <c r="HOT237" s="15"/>
      <c r="HOU237" s="15"/>
      <c r="HOV237" s="15"/>
      <c r="HOW237" s="15"/>
      <c r="HOX237" s="15"/>
      <c r="HOY237" s="15"/>
      <c r="HOZ237" s="15"/>
      <c r="HPA237" s="10"/>
      <c r="HPB237" s="10"/>
      <c r="HPC237" s="21"/>
      <c r="HPD237" s="21"/>
      <c r="HPG237" s="21"/>
      <c r="HPH237" s="15"/>
      <c r="HPI237" s="15"/>
      <c r="HPJ237" s="15"/>
      <c r="HPK237" s="15"/>
      <c r="HPL237" s="15"/>
      <c r="HPM237" s="15"/>
      <c r="HPN237" s="15"/>
      <c r="HPO237" s="15"/>
      <c r="HPP237" s="15"/>
      <c r="HPQ237" s="15"/>
      <c r="HPR237" s="10"/>
      <c r="HPS237" s="10"/>
      <c r="HPT237" s="21"/>
      <c r="HPU237" s="21"/>
      <c r="HPX237" s="21"/>
      <c r="HPY237" s="15"/>
      <c r="HPZ237" s="15"/>
      <c r="HQA237" s="15"/>
      <c r="HQB237" s="15"/>
      <c r="HQC237" s="15"/>
      <c r="HQD237" s="15"/>
      <c r="HQE237" s="15"/>
      <c r="HQF237" s="15"/>
      <c r="HQG237" s="15"/>
      <c r="HQH237" s="15"/>
      <c r="HQI237" s="10"/>
      <c r="HQJ237" s="10"/>
      <c r="HQK237" s="21"/>
      <c r="HQL237" s="21"/>
      <c r="HQO237" s="21"/>
      <c r="HQP237" s="15"/>
      <c r="HQQ237" s="15"/>
      <c r="HQR237" s="15"/>
      <c r="HQS237" s="15"/>
      <c r="HQT237" s="15"/>
      <c r="HQU237" s="15"/>
      <c r="HQV237" s="15"/>
      <c r="HQW237" s="15"/>
      <c r="HQX237" s="15"/>
      <c r="HQY237" s="15"/>
      <c r="HQZ237" s="10"/>
      <c r="HRA237" s="10"/>
      <c r="HRB237" s="21"/>
      <c r="HRC237" s="21"/>
      <c r="HRF237" s="21"/>
      <c r="HRG237" s="15"/>
      <c r="HRH237" s="15"/>
      <c r="HRI237" s="15"/>
      <c r="HRJ237" s="15"/>
      <c r="HRK237" s="15"/>
      <c r="HRL237" s="15"/>
      <c r="HRM237" s="15"/>
      <c r="HRN237" s="15"/>
      <c r="HRO237" s="15"/>
      <c r="HRP237" s="15"/>
      <c r="HRQ237" s="10"/>
      <c r="HRR237" s="10"/>
      <c r="HRS237" s="21"/>
      <c r="HRT237" s="21"/>
      <c r="HRW237" s="21"/>
      <c r="HRX237" s="15"/>
      <c r="HRY237" s="15"/>
      <c r="HRZ237" s="15"/>
      <c r="HSA237" s="15"/>
      <c r="HSB237" s="15"/>
      <c r="HSC237" s="15"/>
      <c r="HSD237" s="15"/>
      <c r="HSE237" s="15"/>
      <c r="HSF237" s="15"/>
      <c r="HSG237" s="15"/>
      <c r="HSH237" s="10"/>
      <c r="HSI237" s="10"/>
      <c r="HSJ237" s="21"/>
      <c r="HSK237" s="21"/>
      <c r="HSN237" s="21"/>
      <c r="HSO237" s="15"/>
      <c r="HSP237" s="15"/>
      <c r="HSQ237" s="15"/>
      <c r="HSR237" s="15"/>
      <c r="HSS237" s="15"/>
      <c r="HST237" s="15"/>
      <c r="HSU237" s="15"/>
      <c r="HSV237" s="15"/>
      <c r="HSW237" s="15"/>
      <c r="HSX237" s="15"/>
      <c r="HSY237" s="10"/>
      <c r="HSZ237" s="10"/>
      <c r="HTA237" s="21"/>
      <c r="HTB237" s="21"/>
      <c r="HTE237" s="21"/>
      <c r="HTF237" s="15"/>
      <c r="HTG237" s="15"/>
      <c r="HTH237" s="15"/>
      <c r="HTI237" s="15"/>
      <c r="HTJ237" s="15"/>
      <c r="HTK237" s="15"/>
      <c r="HTL237" s="15"/>
      <c r="HTM237" s="15"/>
      <c r="HTN237" s="15"/>
      <c r="HTO237" s="15"/>
      <c r="HTP237" s="10"/>
      <c r="HTQ237" s="10"/>
      <c r="HTR237" s="21"/>
      <c r="HTS237" s="21"/>
      <c r="HTV237" s="21"/>
      <c r="HTW237" s="15"/>
      <c r="HTX237" s="15"/>
      <c r="HTY237" s="15"/>
      <c r="HTZ237" s="15"/>
      <c r="HUA237" s="15"/>
      <c r="HUB237" s="15"/>
      <c r="HUC237" s="15"/>
      <c r="HUD237" s="15"/>
      <c r="HUE237" s="15"/>
      <c r="HUF237" s="15"/>
      <c r="HUG237" s="10"/>
      <c r="HUH237" s="10"/>
      <c r="HUI237" s="21"/>
      <c r="HUJ237" s="21"/>
      <c r="HUM237" s="21"/>
      <c r="HUN237" s="15"/>
      <c r="HUO237" s="15"/>
      <c r="HUP237" s="15"/>
      <c r="HUQ237" s="15"/>
      <c r="HUR237" s="15"/>
      <c r="HUS237" s="15"/>
      <c r="HUT237" s="15"/>
      <c r="HUU237" s="15"/>
      <c r="HUV237" s="15"/>
      <c r="HUW237" s="15"/>
      <c r="HUX237" s="10"/>
      <c r="HUY237" s="10"/>
      <c r="HUZ237" s="21"/>
      <c r="HVA237" s="21"/>
      <c r="HVD237" s="21"/>
      <c r="HVE237" s="15"/>
      <c r="HVF237" s="15"/>
      <c r="HVG237" s="15"/>
      <c r="HVH237" s="15"/>
      <c r="HVI237" s="15"/>
      <c r="HVJ237" s="15"/>
      <c r="HVK237" s="15"/>
      <c r="HVL237" s="15"/>
      <c r="HVM237" s="15"/>
      <c r="HVN237" s="15"/>
      <c r="HVO237" s="10"/>
      <c r="HVP237" s="10"/>
      <c r="HVQ237" s="21"/>
      <c r="HVR237" s="21"/>
      <c r="HVU237" s="21"/>
      <c r="HVV237" s="15"/>
      <c r="HVW237" s="15"/>
      <c r="HVX237" s="15"/>
      <c r="HVY237" s="15"/>
      <c r="HVZ237" s="15"/>
      <c r="HWA237" s="15"/>
      <c r="HWB237" s="15"/>
      <c r="HWC237" s="15"/>
      <c r="HWD237" s="15"/>
      <c r="HWE237" s="15"/>
      <c r="HWF237" s="10"/>
      <c r="HWG237" s="10"/>
      <c r="HWH237" s="21"/>
      <c r="HWI237" s="21"/>
      <c r="HWL237" s="21"/>
      <c r="HWM237" s="15"/>
      <c r="HWN237" s="15"/>
      <c r="HWO237" s="15"/>
      <c r="HWP237" s="15"/>
      <c r="HWQ237" s="15"/>
      <c r="HWR237" s="15"/>
      <c r="HWS237" s="15"/>
      <c r="HWT237" s="15"/>
      <c r="HWU237" s="15"/>
      <c r="HWV237" s="15"/>
      <c r="HWW237" s="10"/>
      <c r="HWX237" s="10"/>
      <c r="HWY237" s="21"/>
      <c r="HWZ237" s="21"/>
      <c r="HXC237" s="21"/>
      <c r="HXD237" s="15"/>
      <c r="HXE237" s="15"/>
      <c r="HXF237" s="15"/>
      <c r="HXG237" s="15"/>
      <c r="HXH237" s="15"/>
      <c r="HXI237" s="15"/>
      <c r="HXJ237" s="15"/>
      <c r="HXK237" s="15"/>
      <c r="HXL237" s="15"/>
      <c r="HXM237" s="15"/>
      <c r="HXN237" s="10"/>
      <c r="HXO237" s="10"/>
      <c r="HXP237" s="21"/>
      <c r="HXQ237" s="21"/>
      <c r="HXT237" s="21"/>
      <c r="HXU237" s="15"/>
      <c r="HXV237" s="15"/>
      <c r="HXW237" s="15"/>
      <c r="HXX237" s="15"/>
      <c r="HXY237" s="15"/>
      <c r="HXZ237" s="15"/>
      <c r="HYA237" s="15"/>
      <c r="HYB237" s="15"/>
      <c r="HYC237" s="15"/>
      <c r="HYD237" s="15"/>
      <c r="HYE237" s="10"/>
      <c r="HYF237" s="10"/>
      <c r="HYG237" s="21"/>
      <c r="HYH237" s="21"/>
      <c r="HYK237" s="21"/>
      <c r="HYL237" s="15"/>
      <c r="HYM237" s="15"/>
      <c r="HYN237" s="15"/>
      <c r="HYO237" s="15"/>
      <c r="HYP237" s="15"/>
      <c r="HYQ237" s="15"/>
      <c r="HYR237" s="15"/>
      <c r="HYS237" s="15"/>
      <c r="HYT237" s="15"/>
      <c r="HYU237" s="15"/>
      <c r="HYV237" s="10"/>
      <c r="HYW237" s="10"/>
      <c r="HYX237" s="21"/>
      <c r="HYY237" s="21"/>
      <c r="HZB237" s="21"/>
      <c r="HZC237" s="15"/>
      <c r="HZD237" s="15"/>
      <c r="HZE237" s="15"/>
      <c r="HZF237" s="15"/>
      <c r="HZG237" s="15"/>
      <c r="HZH237" s="15"/>
      <c r="HZI237" s="15"/>
      <c r="HZJ237" s="15"/>
      <c r="HZK237" s="15"/>
      <c r="HZL237" s="15"/>
      <c r="HZM237" s="10"/>
      <c r="HZN237" s="10"/>
      <c r="HZO237" s="21"/>
      <c r="HZP237" s="21"/>
      <c r="HZS237" s="21"/>
      <c r="HZT237" s="15"/>
      <c r="HZU237" s="15"/>
      <c r="HZV237" s="15"/>
      <c r="HZW237" s="15"/>
      <c r="HZX237" s="15"/>
      <c r="HZY237" s="15"/>
      <c r="HZZ237" s="15"/>
      <c r="IAA237" s="15"/>
      <c r="IAB237" s="15"/>
      <c r="IAC237" s="15"/>
      <c r="IAD237" s="10"/>
      <c r="IAE237" s="10"/>
      <c r="IAF237" s="21"/>
      <c r="IAG237" s="21"/>
      <c r="IAJ237" s="21"/>
      <c r="IAK237" s="15"/>
      <c r="IAL237" s="15"/>
      <c r="IAM237" s="15"/>
      <c r="IAN237" s="15"/>
      <c r="IAO237" s="15"/>
      <c r="IAP237" s="15"/>
      <c r="IAQ237" s="15"/>
      <c r="IAR237" s="15"/>
      <c r="IAS237" s="15"/>
      <c r="IAT237" s="15"/>
      <c r="IAU237" s="10"/>
      <c r="IAV237" s="10"/>
      <c r="IAW237" s="21"/>
      <c r="IAX237" s="21"/>
      <c r="IBA237" s="21"/>
      <c r="IBB237" s="15"/>
      <c r="IBC237" s="15"/>
      <c r="IBD237" s="15"/>
      <c r="IBE237" s="15"/>
      <c r="IBF237" s="15"/>
      <c r="IBG237" s="15"/>
      <c r="IBH237" s="15"/>
      <c r="IBI237" s="15"/>
      <c r="IBJ237" s="15"/>
      <c r="IBK237" s="15"/>
      <c r="IBL237" s="10"/>
      <c r="IBM237" s="10"/>
      <c r="IBN237" s="21"/>
      <c r="IBO237" s="21"/>
      <c r="IBR237" s="21"/>
      <c r="IBS237" s="15"/>
      <c r="IBT237" s="15"/>
      <c r="IBU237" s="15"/>
      <c r="IBV237" s="15"/>
      <c r="IBW237" s="15"/>
      <c r="IBX237" s="15"/>
      <c r="IBY237" s="15"/>
      <c r="IBZ237" s="15"/>
      <c r="ICA237" s="15"/>
      <c r="ICB237" s="15"/>
      <c r="ICC237" s="10"/>
      <c r="ICD237" s="10"/>
      <c r="ICE237" s="21"/>
      <c r="ICF237" s="21"/>
      <c r="ICI237" s="21"/>
      <c r="ICJ237" s="15"/>
      <c r="ICK237" s="15"/>
      <c r="ICL237" s="15"/>
      <c r="ICM237" s="15"/>
      <c r="ICN237" s="15"/>
      <c r="ICO237" s="15"/>
      <c r="ICP237" s="15"/>
      <c r="ICQ237" s="15"/>
      <c r="ICR237" s="15"/>
      <c r="ICS237" s="15"/>
      <c r="ICT237" s="10"/>
      <c r="ICU237" s="10"/>
      <c r="ICV237" s="21"/>
      <c r="ICW237" s="21"/>
      <c r="ICZ237" s="21"/>
      <c r="IDA237" s="15"/>
      <c r="IDB237" s="15"/>
      <c r="IDC237" s="15"/>
      <c r="IDD237" s="15"/>
      <c r="IDE237" s="15"/>
      <c r="IDF237" s="15"/>
      <c r="IDG237" s="15"/>
      <c r="IDH237" s="15"/>
      <c r="IDI237" s="15"/>
      <c r="IDJ237" s="15"/>
      <c r="IDK237" s="10"/>
      <c r="IDL237" s="10"/>
      <c r="IDM237" s="21"/>
      <c r="IDN237" s="21"/>
      <c r="IDQ237" s="21"/>
      <c r="IDR237" s="15"/>
      <c r="IDS237" s="15"/>
      <c r="IDT237" s="15"/>
      <c r="IDU237" s="15"/>
      <c r="IDV237" s="15"/>
      <c r="IDW237" s="15"/>
      <c r="IDX237" s="15"/>
      <c r="IDY237" s="15"/>
      <c r="IDZ237" s="15"/>
      <c r="IEA237" s="15"/>
      <c r="IEB237" s="10"/>
      <c r="IEC237" s="10"/>
      <c r="IED237" s="21"/>
      <c r="IEE237" s="21"/>
      <c r="IEH237" s="21"/>
      <c r="IEI237" s="15"/>
      <c r="IEJ237" s="15"/>
      <c r="IEK237" s="15"/>
      <c r="IEL237" s="15"/>
      <c r="IEM237" s="15"/>
      <c r="IEN237" s="15"/>
      <c r="IEO237" s="15"/>
      <c r="IEP237" s="15"/>
      <c r="IEQ237" s="15"/>
      <c r="IER237" s="15"/>
      <c r="IES237" s="10"/>
      <c r="IET237" s="10"/>
      <c r="IEU237" s="21"/>
      <c r="IEV237" s="21"/>
      <c r="IEY237" s="21"/>
      <c r="IEZ237" s="15"/>
      <c r="IFA237" s="15"/>
      <c r="IFB237" s="15"/>
      <c r="IFC237" s="15"/>
      <c r="IFD237" s="15"/>
      <c r="IFE237" s="15"/>
      <c r="IFF237" s="15"/>
      <c r="IFG237" s="15"/>
      <c r="IFH237" s="15"/>
      <c r="IFI237" s="15"/>
      <c r="IFJ237" s="10"/>
      <c r="IFK237" s="10"/>
      <c r="IFL237" s="21"/>
      <c r="IFM237" s="21"/>
      <c r="IFP237" s="21"/>
      <c r="IFQ237" s="15"/>
      <c r="IFR237" s="15"/>
      <c r="IFS237" s="15"/>
      <c r="IFT237" s="15"/>
      <c r="IFU237" s="15"/>
      <c r="IFV237" s="15"/>
      <c r="IFW237" s="15"/>
      <c r="IFX237" s="15"/>
      <c r="IFY237" s="15"/>
      <c r="IFZ237" s="15"/>
      <c r="IGA237" s="10"/>
      <c r="IGB237" s="10"/>
      <c r="IGC237" s="21"/>
      <c r="IGD237" s="21"/>
      <c r="IGG237" s="21"/>
      <c r="IGH237" s="15"/>
      <c r="IGI237" s="15"/>
      <c r="IGJ237" s="15"/>
      <c r="IGK237" s="15"/>
      <c r="IGL237" s="15"/>
      <c r="IGM237" s="15"/>
      <c r="IGN237" s="15"/>
      <c r="IGO237" s="15"/>
      <c r="IGP237" s="15"/>
      <c r="IGQ237" s="15"/>
      <c r="IGR237" s="10"/>
      <c r="IGS237" s="10"/>
      <c r="IGT237" s="21"/>
      <c r="IGU237" s="21"/>
      <c r="IGX237" s="21"/>
      <c r="IGY237" s="15"/>
      <c r="IGZ237" s="15"/>
      <c r="IHA237" s="15"/>
      <c r="IHB237" s="15"/>
      <c r="IHC237" s="15"/>
      <c r="IHD237" s="15"/>
      <c r="IHE237" s="15"/>
      <c r="IHF237" s="15"/>
      <c r="IHG237" s="15"/>
      <c r="IHH237" s="15"/>
      <c r="IHI237" s="10"/>
      <c r="IHJ237" s="10"/>
      <c r="IHK237" s="21"/>
      <c r="IHL237" s="21"/>
      <c r="IHO237" s="21"/>
      <c r="IHP237" s="15"/>
      <c r="IHQ237" s="15"/>
      <c r="IHR237" s="15"/>
      <c r="IHS237" s="15"/>
      <c r="IHT237" s="15"/>
      <c r="IHU237" s="15"/>
      <c r="IHV237" s="15"/>
      <c r="IHW237" s="15"/>
      <c r="IHX237" s="15"/>
      <c r="IHY237" s="15"/>
      <c r="IHZ237" s="10"/>
      <c r="IIA237" s="10"/>
      <c r="IIB237" s="21"/>
      <c r="IIC237" s="21"/>
      <c r="IIF237" s="21"/>
      <c r="IIG237" s="15"/>
      <c r="IIH237" s="15"/>
      <c r="III237" s="15"/>
      <c r="IIJ237" s="15"/>
      <c r="IIK237" s="15"/>
      <c r="IIL237" s="15"/>
      <c r="IIM237" s="15"/>
      <c r="IIN237" s="15"/>
      <c r="IIO237" s="15"/>
      <c r="IIP237" s="15"/>
      <c r="IIQ237" s="10"/>
      <c r="IIR237" s="10"/>
      <c r="IIS237" s="21"/>
      <c r="IIT237" s="21"/>
      <c r="IIW237" s="21"/>
      <c r="IIX237" s="15"/>
      <c r="IIY237" s="15"/>
      <c r="IIZ237" s="15"/>
      <c r="IJA237" s="15"/>
      <c r="IJB237" s="15"/>
      <c r="IJC237" s="15"/>
      <c r="IJD237" s="15"/>
      <c r="IJE237" s="15"/>
      <c r="IJF237" s="15"/>
      <c r="IJG237" s="15"/>
      <c r="IJH237" s="10"/>
      <c r="IJI237" s="10"/>
      <c r="IJJ237" s="21"/>
      <c r="IJK237" s="21"/>
      <c r="IJN237" s="21"/>
      <c r="IJO237" s="15"/>
      <c r="IJP237" s="15"/>
      <c r="IJQ237" s="15"/>
      <c r="IJR237" s="15"/>
      <c r="IJS237" s="15"/>
      <c r="IJT237" s="15"/>
      <c r="IJU237" s="15"/>
      <c r="IJV237" s="15"/>
      <c r="IJW237" s="15"/>
      <c r="IJX237" s="15"/>
      <c r="IJY237" s="10"/>
      <c r="IJZ237" s="10"/>
      <c r="IKA237" s="21"/>
      <c r="IKB237" s="21"/>
      <c r="IKE237" s="21"/>
      <c r="IKF237" s="15"/>
      <c r="IKG237" s="15"/>
      <c r="IKH237" s="15"/>
      <c r="IKI237" s="15"/>
      <c r="IKJ237" s="15"/>
      <c r="IKK237" s="15"/>
      <c r="IKL237" s="15"/>
      <c r="IKM237" s="15"/>
      <c r="IKN237" s="15"/>
      <c r="IKO237" s="15"/>
      <c r="IKP237" s="10"/>
      <c r="IKQ237" s="10"/>
      <c r="IKR237" s="21"/>
      <c r="IKS237" s="21"/>
      <c r="IKV237" s="21"/>
      <c r="IKW237" s="15"/>
      <c r="IKX237" s="15"/>
      <c r="IKY237" s="15"/>
      <c r="IKZ237" s="15"/>
      <c r="ILA237" s="15"/>
      <c r="ILB237" s="15"/>
      <c r="ILC237" s="15"/>
      <c r="ILD237" s="15"/>
      <c r="ILE237" s="15"/>
      <c r="ILF237" s="15"/>
      <c r="ILG237" s="10"/>
      <c r="ILH237" s="10"/>
      <c r="ILI237" s="21"/>
      <c r="ILJ237" s="21"/>
      <c r="ILM237" s="21"/>
      <c r="ILN237" s="15"/>
      <c r="ILO237" s="15"/>
      <c r="ILP237" s="15"/>
      <c r="ILQ237" s="15"/>
      <c r="ILR237" s="15"/>
      <c r="ILS237" s="15"/>
      <c r="ILT237" s="15"/>
      <c r="ILU237" s="15"/>
      <c r="ILV237" s="15"/>
      <c r="ILW237" s="15"/>
      <c r="ILX237" s="10"/>
      <c r="ILY237" s="10"/>
      <c r="ILZ237" s="21"/>
      <c r="IMA237" s="21"/>
      <c r="IMD237" s="21"/>
      <c r="IME237" s="15"/>
      <c r="IMF237" s="15"/>
      <c r="IMG237" s="15"/>
      <c r="IMH237" s="15"/>
      <c r="IMI237" s="15"/>
      <c r="IMJ237" s="15"/>
      <c r="IMK237" s="15"/>
      <c r="IML237" s="15"/>
      <c r="IMM237" s="15"/>
      <c r="IMN237" s="15"/>
      <c r="IMO237" s="10"/>
      <c r="IMP237" s="10"/>
      <c r="IMQ237" s="21"/>
      <c r="IMR237" s="21"/>
      <c r="IMU237" s="21"/>
      <c r="IMV237" s="15"/>
      <c r="IMW237" s="15"/>
      <c r="IMX237" s="15"/>
      <c r="IMY237" s="15"/>
      <c r="IMZ237" s="15"/>
      <c r="INA237" s="15"/>
      <c r="INB237" s="15"/>
      <c r="INC237" s="15"/>
      <c r="IND237" s="15"/>
      <c r="INE237" s="15"/>
      <c r="INF237" s="10"/>
      <c r="ING237" s="10"/>
      <c r="INH237" s="21"/>
      <c r="INI237" s="21"/>
      <c r="INL237" s="21"/>
      <c r="INM237" s="15"/>
      <c r="INN237" s="15"/>
      <c r="INO237" s="15"/>
      <c r="INP237" s="15"/>
      <c r="INQ237" s="15"/>
      <c r="INR237" s="15"/>
      <c r="INS237" s="15"/>
      <c r="INT237" s="15"/>
      <c r="INU237" s="15"/>
      <c r="INV237" s="15"/>
      <c r="INW237" s="10"/>
      <c r="INX237" s="10"/>
      <c r="INY237" s="21"/>
      <c r="INZ237" s="21"/>
      <c r="IOC237" s="21"/>
      <c r="IOD237" s="15"/>
      <c r="IOE237" s="15"/>
      <c r="IOF237" s="15"/>
      <c r="IOG237" s="15"/>
      <c r="IOH237" s="15"/>
      <c r="IOI237" s="15"/>
      <c r="IOJ237" s="15"/>
      <c r="IOK237" s="15"/>
      <c r="IOL237" s="15"/>
      <c r="IOM237" s="15"/>
      <c r="ION237" s="10"/>
      <c r="IOO237" s="10"/>
      <c r="IOP237" s="21"/>
      <c r="IOQ237" s="21"/>
      <c r="IOT237" s="21"/>
      <c r="IOU237" s="15"/>
      <c r="IOV237" s="15"/>
      <c r="IOW237" s="15"/>
      <c r="IOX237" s="15"/>
      <c r="IOY237" s="15"/>
      <c r="IOZ237" s="15"/>
      <c r="IPA237" s="15"/>
      <c r="IPB237" s="15"/>
      <c r="IPC237" s="15"/>
      <c r="IPD237" s="15"/>
      <c r="IPE237" s="10"/>
      <c r="IPF237" s="10"/>
      <c r="IPG237" s="21"/>
      <c r="IPH237" s="21"/>
      <c r="IPK237" s="21"/>
      <c r="IPL237" s="15"/>
      <c r="IPM237" s="15"/>
      <c r="IPN237" s="15"/>
      <c r="IPO237" s="15"/>
      <c r="IPP237" s="15"/>
      <c r="IPQ237" s="15"/>
      <c r="IPR237" s="15"/>
      <c r="IPS237" s="15"/>
      <c r="IPT237" s="15"/>
      <c r="IPU237" s="15"/>
      <c r="IPV237" s="10"/>
      <c r="IPW237" s="10"/>
      <c r="IPX237" s="21"/>
      <c r="IPY237" s="21"/>
      <c r="IQB237" s="21"/>
      <c r="IQC237" s="15"/>
      <c r="IQD237" s="15"/>
      <c r="IQE237" s="15"/>
      <c r="IQF237" s="15"/>
      <c r="IQG237" s="15"/>
      <c r="IQH237" s="15"/>
      <c r="IQI237" s="15"/>
      <c r="IQJ237" s="15"/>
      <c r="IQK237" s="15"/>
      <c r="IQL237" s="15"/>
      <c r="IQM237" s="10"/>
      <c r="IQN237" s="10"/>
      <c r="IQO237" s="21"/>
      <c r="IQP237" s="21"/>
      <c r="IQS237" s="21"/>
      <c r="IQT237" s="15"/>
      <c r="IQU237" s="15"/>
      <c r="IQV237" s="15"/>
      <c r="IQW237" s="15"/>
      <c r="IQX237" s="15"/>
      <c r="IQY237" s="15"/>
      <c r="IQZ237" s="15"/>
      <c r="IRA237" s="15"/>
      <c r="IRB237" s="15"/>
      <c r="IRC237" s="15"/>
      <c r="IRD237" s="10"/>
      <c r="IRE237" s="10"/>
      <c r="IRF237" s="21"/>
      <c r="IRG237" s="21"/>
      <c r="IRJ237" s="21"/>
      <c r="IRK237" s="15"/>
      <c r="IRL237" s="15"/>
      <c r="IRM237" s="15"/>
      <c r="IRN237" s="15"/>
      <c r="IRO237" s="15"/>
      <c r="IRP237" s="15"/>
      <c r="IRQ237" s="15"/>
      <c r="IRR237" s="15"/>
      <c r="IRS237" s="15"/>
      <c r="IRT237" s="15"/>
      <c r="IRU237" s="10"/>
      <c r="IRV237" s="10"/>
      <c r="IRW237" s="21"/>
      <c r="IRX237" s="21"/>
      <c r="ISA237" s="21"/>
      <c r="ISB237" s="15"/>
      <c r="ISC237" s="15"/>
      <c r="ISD237" s="15"/>
      <c r="ISE237" s="15"/>
      <c r="ISF237" s="15"/>
      <c r="ISG237" s="15"/>
      <c r="ISH237" s="15"/>
      <c r="ISI237" s="15"/>
      <c r="ISJ237" s="15"/>
      <c r="ISK237" s="15"/>
      <c r="ISL237" s="10"/>
      <c r="ISM237" s="10"/>
      <c r="ISN237" s="21"/>
      <c r="ISO237" s="21"/>
      <c r="ISR237" s="21"/>
      <c r="ISS237" s="15"/>
      <c r="IST237" s="15"/>
      <c r="ISU237" s="15"/>
      <c r="ISV237" s="15"/>
      <c r="ISW237" s="15"/>
      <c r="ISX237" s="15"/>
      <c r="ISY237" s="15"/>
      <c r="ISZ237" s="15"/>
      <c r="ITA237" s="15"/>
      <c r="ITB237" s="15"/>
      <c r="ITC237" s="10"/>
      <c r="ITD237" s="10"/>
      <c r="ITE237" s="21"/>
      <c r="ITF237" s="21"/>
      <c r="ITI237" s="21"/>
      <c r="ITJ237" s="15"/>
      <c r="ITK237" s="15"/>
      <c r="ITL237" s="15"/>
      <c r="ITM237" s="15"/>
      <c r="ITN237" s="15"/>
      <c r="ITO237" s="15"/>
      <c r="ITP237" s="15"/>
      <c r="ITQ237" s="15"/>
      <c r="ITR237" s="15"/>
      <c r="ITS237" s="15"/>
      <c r="ITT237" s="10"/>
      <c r="ITU237" s="10"/>
      <c r="ITV237" s="21"/>
      <c r="ITW237" s="21"/>
      <c r="ITZ237" s="21"/>
      <c r="IUA237" s="15"/>
      <c r="IUB237" s="15"/>
      <c r="IUC237" s="15"/>
      <c r="IUD237" s="15"/>
      <c r="IUE237" s="15"/>
      <c r="IUF237" s="15"/>
      <c r="IUG237" s="15"/>
      <c r="IUH237" s="15"/>
      <c r="IUI237" s="15"/>
      <c r="IUJ237" s="15"/>
      <c r="IUK237" s="10"/>
      <c r="IUL237" s="10"/>
      <c r="IUM237" s="21"/>
      <c r="IUN237" s="21"/>
      <c r="IUQ237" s="21"/>
      <c r="IUR237" s="15"/>
      <c r="IUS237" s="15"/>
      <c r="IUT237" s="15"/>
      <c r="IUU237" s="15"/>
      <c r="IUV237" s="15"/>
      <c r="IUW237" s="15"/>
      <c r="IUX237" s="15"/>
      <c r="IUY237" s="15"/>
      <c r="IUZ237" s="15"/>
      <c r="IVA237" s="15"/>
      <c r="IVB237" s="10"/>
      <c r="IVC237" s="10"/>
      <c r="IVD237" s="21"/>
      <c r="IVE237" s="21"/>
      <c r="IVH237" s="21"/>
      <c r="IVI237" s="15"/>
      <c r="IVJ237" s="15"/>
      <c r="IVK237" s="15"/>
      <c r="IVL237" s="15"/>
      <c r="IVM237" s="15"/>
      <c r="IVN237" s="15"/>
      <c r="IVO237" s="15"/>
      <c r="IVP237" s="15"/>
      <c r="IVQ237" s="15"/>
      <c r="IVR237" s="15"/>
      <c r="IVS237" s="10"/>
      <c r="IVT237" s="10"/>
      <c r="IVU237" s="21"/>
      <c r="IVV237" s="21"/>
      <c r="IVY237" s="21"/>
      <c r="IVZ237" s="15"/>
      <c r="IWA237" s="15"/>
      <c r="IWB237" s="15"/>
      <c r="IWC237" s="15"/>
      <c r="IWD237" s="15"/>
      <c r="IWE237" s="15"/>
      <c r="IWF237" s="15"/>
      <c r="IWG237" s="15"/>
      <c r="IWH237" s="15"/>
      <c r="IWI237" s="15"/>
      <c r="IWJ237" s="10"/>
      <c r="IWK237" s="10"/>
      <c r="IWL237" s="21"/>
      <c r="IWM237" s="21"/>
      <c r="IWP237" s="21"/>
      <c r="IWQ237" s="15"/>
      <c r="IWR237" s="15"/>
      <c r="IWS237" s="15"/>
      <c r="IWT237" s="15"/>
      <c r="IWU237" s="15"/>
      <c r="IWV237" s="15"/>
      <c r="IWW237" s="15"/>
      <c r="IWX237" s="15"/>
      <c r="IWY237" s="15"/>
      <c r="IWZ237" s="15"/>
      <c r="IXA237" s="10"/>
      <c r="IXB237" s="10"/>
      <c r="IXC237" s="21"/>
      <c r="IXD237" s="21"/>
      <c r="IXG237" s="21"/>
      <c r="IXH237" s="15"/>
      <c r="IXI237" s="15"/>
      <c r="IXJ237" s="15"/>
      <c r="IXK237" s="15"/>
      <c r="IXL237" s="15"/>
      <c r="IXM237" s="15"/>
      <c r="IXN237" s="15"/>
      <c r="IXO237" s="15"/>
      <c r="IXP237" s="15"/>
      <c r="IXQ237" s="15"/>
      <c r="IXR237" s="10"/>
      <c r="IXS237" s="10"/>
      <c r="IXT237" s="21"/>
      <c r="IXU237" s="21"/>
      <c r="IXX237" s="21"/>
      <c r="IXY237" s="15"/>
      <c r="IXZ237" s="15"/>
      <c r="IYA237" s="15"/>
      <c r="IYB237" s="15"/>
      <c r="IYC237" s="15"/>
      <c r="IYD237" s="15"/>
      <c r="IYE237" s="15"/>
      <c r="IYF237" s="15"/>
      <c r="IYG237" s="15"/>
      <c r="IYH237" s="15"/>
      <c r="IYI237" s="10"/>
      <c r="IYJ237" s="10"/>
      <c r="IYK237" s="21"/>
      <c r="IYL237" s="21"/>
      <c r="IYO237" s="21"/>
      <c r="IYP237" s="15"/>
      <c r="IYQ237" s="15"/>
      <c r="IYR237" s="15"/>
      <c r="IYS237" s="15"/>
      <c r="IYT237" s="15"/>
      <c r="IYU237" s="15"/>
      <c r="IYV237" s="15"/>
      <c r="IYW237" s="15"/>
      <c r="IYX237" s="15"/>
      <c r="IYY237" s="15"/>
      <c r="IYZ237" s="10"/>
      <c r="IZA237" s="10"/>
      <c r="IZB237" s="21"/>
      <c r="IZC237" s="21"/>
      <c r="IZF237" s="21"/>
      <c r="IZG237" s="15"/>
      <c r="IZH237" s="15"/>
      <c r="IZI237" s="15"/>
      <c r="IZJ237" s="15"/>
      <c r="IZK237" s="15"/>
      <c r="IZL237" s="15"/>
      <c r="IZM237" s="15"/>
      <c r="IZN237" s="15"/>
      <c r="IZO237" s="15"/>
      <c r="IZP237" s="15"/>
      <c r="IZQ237" s="10"/>
      <c r="IZR237" s="10"/>
      <c r="IZS237" s="21"/>
      <c r="IZT237" s="21"/>
      <c r="IZW237" s="21"/>
      <c r="IZX237" s="15"/>
      <c r="IZY237" s="15"/>
      <c r="IZZ237" s="15"/>
      <c r="JAA237" s="15"/>
      <c r="JAB237" s="15"/>
      <c r="JAC237" s="15"/>
      <c r="JAD237" s="15"/>
      <c r="JAE237" s="15"/>
      <c r="JAF237" s="15"/>
      <c r="JAG237" s="15"/>
      <c r="JAH237" s="10"/>
      <c r="JAI237" s="10"/>
      <c r="JAJ237" s="21"/>
      <c r="JAK237" s="21"/>
      <c r="JAN237" s="21"/>
      <c r="JAO237" s="15"/>
      <c r="JAP237" s="15"/>
      <c r="JAQ237" s="15"/>
      <c r="JAR237" s="15"/>
      <c r="JAS237" s="15"/>
      <c r="JAT237" s="15"/>
      <c r="JAU237" s="15"/>
      <c r="JAV237" s="15"/>
      <c r="JAW237" s="15"/>
      <c r="JAX237" s="15"/>
      <c r="JAY237" s="10"/>
      <c r="JAZ237" s="10"/>
      <c r="JBA237" s="21"/>
      <c r="JBB237" s="21"/>
      <c r="JBE237" s="21"/>
      <c r="JBF237" s="15"/>
      <c r="JBG237" s="15"/>
      <c r="JBH237" s="15"/>
      <c r="JBI237" s="15"/>
      <c r="JBJ237" s="15"/>
      <c r="JBK237" s="15"/>
      <c r="JBL237" s="15"/>
      <c r="JBM237" s="15"/>
      <c r="JBN237" s="15"/>
      <c r="JBO237" s="15"/>
      <c r="JBP237" s="10"/>
      <c r="JBQ237" s="10"/>
      <c r="JBR237" s="21"/>
      <c r="JBS237" s="21"/>
      <c r="JBV237" s="21"/>
      <c r="JBW237" s="15"/>
      <c r="JBX237" s="15"/>
      <c r="JBY237" s="15"/>
      <c r="JBZ237" s="15"/>
      <c r="JCA237" s="15"/>
      <c r="JCB237" s="15"/>
      <c r="JCC237" s="15"/>
      <c r="JCD237" s="15"/>
      <c r="JCE237" s="15"/>
      <c r="JCF237" s="15"/>
      <c r="JCG237" s="10"/>
      <c r="JCH237" s="10"/>
      <c r="JCI237" s="21"/>
      <c r="JCJ237" s="21"/>
      <c r="JCM237" s="21"/>
      <c r="JCN237" s="15"/>
      <c r="JCO237" s="15"/>
      <c r="JCP237" s="15"/>
      <c r="JCQ237" s="15"/>
      <c r="JCR237" s="15"/>
      <c r="JCS237" s="15"/>
      <c r="JCT237" s="15"/>
      <c r="JCU237" s="15"/>
      <c r="JCV237" s="15"/>
      <c r="JCW237" s="15"/>
      <c r="JCX237" s="10"/>
      <c r="JCY237" s="10"/>
      <c r="JCZ237" s="21"/>
      <c r="JDA237" s="21"/>
      <c r="JDD237" s="21"/>
      <c r="JDE237" s="15"/>
      <c r="JDF237" s="15"/>
      <c r="JDG237" s="15"/>
      <c r="JDH237" s="15"/>
      <c r="JDI237" s="15"/>
      <c r="JDJ237" s="15"/>
      <c r="JDK237" s="15"/>
      <c r="JDL237" s="15"/>
      <c r="JDM237" s="15"/>
      <c r="JDN237" s="15"/>
      <c r="JDO237" s="10"/>
      <c r="JDP237" s="10"/>
      <c r="JDQ237" s="21"/>
      <c r="JDR237" s="21"/>
      <c r="JDU237" s="21"/>
      <c r="JDV237" s="15"/>
      <c r="JDW237" s="15"/>
      <c r="JDX237" s="15"/>
      <c r="JDY237" s="15"/>
      <c r="JDZ237" s="15"/>
      <c r="JEA237" s="15"/>
      <c r="JEB237" s="15"/>
      <c r="JEC237" s="15"/>
      <c r="JED237" s="15"/>
      <c r="JEE237" s="15"/>
      <c r="JEF237" s="10"/>
      <c r="JEG237" s="10"/>
      <c r="JEH237" s="21"/>
      <c r="JEI237" s="21"/>
      <c r="JEL237" s="21"/>
      <c r="JEM237" s="15"/>
      <c r="JEN237" s="15"/>
      <c r="JEO237" s="15"/>
      <c r="JEP237" s="15"/>
      <c r="JEQ237" s="15"/>
      <c r="JER237" s="15"/>
      <c r="JES237" s="15"/>
      <c r="JET237" s="15"/>
      <c r="JEU237" s="15"/>
      <c r="JEV237" s="15"/>
      <c r="JEW237" s="10"/>
      <c r="JEX237" s="10"/>
      <c r="JEY237" s="21"/>
      <c r="JEZ237" s="21"/>
      <c r="JFC237" s="21"/>
      <c r="JFD237" s="15"/>
      <c r="JFE237" s="15"/>
      <c r="JFF237" s="15"/>
      <c r="JFG237" s="15"/>
      <c r="JFH237" s="15"/>
      <c r="JFI237" s="15"/>
      <c r="JFJ237" s="15"/>
      <c r="JFK237" s="15"/>
      <c r="JFL237" s="15"/>
      <c r="JFM237" s="15"/>
      <c r="JFN237" s="10"/>
      <c r="JFO237" s="10"/>
      <c r="JFP237" s="21"/>
      <c r="JFQ237" s="21"/>
      <c r="JFT237" s="21"/>
      <c r="JFU237" s="15"/>
      <c r="JFV237" s="15"/>
      <c r="JFW237" s="15"/>
      <c r="JFX237" s="15"/>
      <c r="JFY237" s="15"/>
      <c r="JFZ237" s="15"/>
      <c r="JGA237" s="15"/>
      <c r="JGB237" s="15"/>
      <c r="JGC237" s="15"/>
      <c r="JGD237" s="15"/>
      <c r="JGE237" s="10"/>
      <c r="JGF237" s="10"/>
      <c r="JGG237" s="21"/>
      <c r="JGH237" s="21"/>
      <c r="JGK237" s="21"/>
      <c r="JGL237" s="15"/>
      <c r="JGM237" s="15"/>
      <c r="JGN237" s="15"/>
      <c r="JGO237" s="15"/>
      <c r="JGP237" s="15"/>
      <c r="JGQ237" s="15"/>
      <c r="JGR237" s="15"/>
      <c r="JGS237" s="15"/>
      <c r="JGT237" s="15"/>
      <c r="JGU237" s="15"/>
      <c r="JGV237" s="10"/>
      <c r="JGW237" s="10"/>
      <c r="JGX237" s="21"/>
      <c r="JGY237" s="21"/>
      <c r="JHB237" s="21"/>
      <c r="JHC237" s="15"/>
      <c r="JHD237" s="15"/>
      <c r="JHE237" s="15"/>
      <c r="JHF237" s="15"/>
      <c r="JHG237" s="15"/>
      <c r="JHH237" s="15"/>
      <c r="JHI237" s="15"/>
      <c r="JHJ237" s="15"/>
      <c r="JHK237" s="15"/>
      <c r="JHL237" s="15"/>
      <c r="JHM237" s="10"/>
      <c r="JHN237" s="10"/>
      <c r="JHO237" s="21"/>
      <c r="JHP237" s="21"/>
      <c r="JHS237" s="21"/>
      <c r="JHT237" s="15"/>
      <c r="JHU237" s="15"/>
      <c r="JHV237" s="15"/>
      <c r="JHW237" s="15"/>
      <c r="JHX237" s="15"/>
      <c r="JHY237" s="15"/>
      <c r="JHZ237" s="15"/>
      <c r="JIA237" s="15"/>
      <c r="JIB237" s="15"/>
      <c r="JIC237" s="15"/>
      <c r="JID237" s="10"/>
      <c r="JIE237" s="10"/>
      <c r="JIF237" s="21"/>
      <c r="JIG237" s="21"/>
      <c r="JIJ237" s="21"/>
      <c r="JIK237" s="15"/>
      <c r="JIL237" s="15"/>
      <c r="JIM237" s="15"/>
      <c r="JIN237" s="15"/>
      <c r="JIO237" s="15"/>
      <c r="JIP237" s="15"/>
      <c r="JIQ237" s="15"/>
      <c r="JIR237" s="15"/>
      <c r="JIS237" s="15"/>
      <c r="JIT237" s="15"/>
      <c r="JIU237" s="10"/>
      <c r="JIV237" s="10"/>
      <c r="JIW237" s="21"/>
      <c r="JIX237" s="21"/>
      <c r="JJA237" s="21"/>
      <c r="JJB237" s="15"/>
      <c r="JJC237" s="15"/>
      <c r="JJD237" s="15"/>
      <c r="JJE237" s="15"/>
      <c r="JJF237" s="15"/>
      <c r="JJG237" s="15"/>
      <c r="JJH237" s="15"/>
      <c r="JJI237" s="15"/>
      <c r="JJJ237" s="15"/>
      <c r="JJK237" s="15"/>
      <c r="JJL237" s="10"/>
      <c r="JJM237" s="10"/>
      <c r="JJN237" s="21"/>
      <c r="JJO237" s="21"/>
      <c r="JJR237" s="21"/>
      <c r="JJS237" s="15"/>
      <c r="JJT237" s="15"/>
      <c r="JJU237" s="15"/>
      <c r="JJV237" s="15"/>
      <c r="JJW237" s="15"/>
      <c r="JJX237" s="15"/>
      <c r="JJY237" s="15"/>
      <c r="JJZ237" s="15"/>
      <c r="JKA237" s="15"/>
      <c r="JKB237" s="15"/>
      <c r="JKC237" s="10"/>
      <c r="JKD237" s="10"/>
      <c r="JKE237" s="21"/>
      <c r="JKF237" s="21"/>
      <c r="JKI237" s="21"/>
      <c r="JKJ237" s="15"/>
      <c r="JKK237" s="15"/>
      <c r="JKL237" s="15"/>
      <c r="JKM237" s="15"/>
      <c r="JKN237" s="15"/>
      <c r="JKO237" s="15"/>
      <c r="JKP237" s="15"/>
      <c r="JKQ237" s="15"/>
      <c r="JKR237" s="15"/>
      <c r="JKS237" s="15"/>
      <c r="JKT237" s="10"/>
      <c r="JKU237" s="10"/>
      <c r="JKV237" s="21"/>
      <c r="JKW237" s="21"/>
      <c r="JKZ237" s="21"/>
      <c r="JLA237" s="15"/>
      <c r="JLB237" s="15"/>
      <c r="JLC237" s="15"/>
      <c r="JLD237" s="15"/>
      <c r="JLE237" s="15"/>
      <c r="JLF237" s="15"/>
      <c r="JLG237" s="15"/>
      <c r="JLH237" s="15"/>
      <c r="JLI237" s="15"/>
      <c r="JLJ237" s="15"/>
      <c r="JLK237" s="10"/>
      <c r="JLL237" s="10"/>
      <c r="JLM237" s="21"/>
      <c r="JLN237" s="21"/>
      <c r="JLQ237" s="21"/>
      <c r="JLR237" s="15"/>
      <c r="JLS237" s="15"/>
      <c r="JLT237" s="15"/>
      <c r="JLU237" s="15"/>
      <c r="JLV237" s="15"/>
      <c r="JLW237" s="15"/>
      <c r="JLX237" s="15"/>
      <c r="JLY237" s="15"/>
      <c r="JLZ237" s="15"/>
      <c r="JMA237" s="15"/>
      <c r="JMB237" s="10"/>
      <c r="JMC237" s="10"/>
      <c r="JMD237" s="21"/>
      <c r="JME237" s="21"/>
      <c r="JMH237" s="21"/>
      <c r="JMI237" s="15"/>
      <c r="JMJ237" s="15"/>
      <c r="JMK237" s="15"/>
      <c r="JML237" s="15"/>
      <c r="JMM237" s="15"/>
      <c r="JMN237" s="15"/>
      <c r="JMO237" s="15"/>
      <c r="JMP237" s="15"/>
      <c r="JMQ237" s="15"/>
      <c r="JMR237" s="15"/>
      <c r="JMS237" s="10"/>
      <c r="JMT237" s="10"/>
      <c r="JMU237" s="21"/>
      <c r="JMV237" s="21"/>
      <c r="JMY237" s="21"/>
      <c r="JMZ237" s="15"/>
      <c r="JNA237" s="15"/>
      <c r="JNB237" s="15"/>
      <c r="JNC237" s="15"/>
      <c r="JND237" s="15"/>
      <c r="JNE237" s="15"/>
      <c r="JNF237" s="15"/>
      <c r="JNG237" s="15"/>
      <c r="JNH237" s="15"/>
      <c r="JNI237" s="15"/>
      <c r="JNJ237" s="10"/>
      <c r="JNK237" s="10"/>
      <c r="JNL237" s="21"/>
      <c r="JNM237" s="21"/>
      <c r="JNP237" s="21"/>
      <c r="JNQ237" s="15"/>
      <c r="JNR237" s="15"/>
      <c r="JNS237" s="15"/>
      <c r="JNT237" s="15"/>
      <c r="JNU237" s="15"/>
      <c r="JNV237" s="15"/>
      <c r="JNW237" s="15"/>
      <c r="JNX237" s="15"/>
      <c r="JNY237" s="15"/>
      <c r="JNZ237" s="15"/>
      <c r="JOA237" s="10"/>
      <c r="JOB237" s="10"/>
      <c r="JOC237" s="21"/>
      <c r="JOD237" s="21"/>
      <c r="JOG237" s="21"/>
      <c r="JOH237" s="15"/>
      <c r="JOI237" s="15"/>
      <c r="JOJ237" s="15"/>
      <c r="JOK237" s="15"/>
      <c r="JOL237" s="15"/>
      <c r="JOM237" s="15"/>
      <c r="JON237" s="15"/>
      <c r="JOO237" s="15"/>
      <c r="JOP237" s="15"/>
      <c r="JOQ237" s="15"/>
      <c r="JOR237" s="10"/>
      <c r="JOS237" s="10"/>
      <c r="JOT237" s="21"/>
      <c r="JOU237" s="21"/>
      <c r="JOX237" s="21"/>
      <c r="JOY237" s="15"/>
      <c r="JOZ237" s="15"/>
      <c r="JPA237" s="15"/>
      <c r="JPB237" s="15"/>
      <c r="JPC237" s="15"/>
      <c r="JPD237" s="15"/>
      <c r="JPE237" s="15"/>
      <c r="JPF237" s="15"/>
      <c r="JPG237" s="15"/>
      <c r="JPH237" s="15"/>
      <c r="JPI237" s="10"/>
      <c r="JPJ237" s="10"/>
      <c r="JPK237" s="21"/>
      <c r="JPL237" s="21"/>
      <c r="JPO237" s="21"/>
      <c r="JPP237" s="15"/>
      <c r="JPQ237" s="15"/>
      <c r="JPR237" s="15"/>
      <c r="JPS237" s="15"/>
      <c r="JPT237" s="15"/>
      <c r="JPU237" s="15"/>
      <c r="JPV237" s="15"/>
      <c r="JPW237" s="15"/>
      <c r="JPX237" s="15"/>
      <c r="JPY237" s="15"/>
      <c r="JPZ237" s="10"/>
      <c r="JQA237" s="10"/>
      <c r="JQB237" s="21"/>
      <c r="JQC237" s="21"/>
      <c r="JQF237" s="21"/>
      <c r="JQG237" s="15"/>
      <c r="JQH237" s="15"/>
      <c r="JQI237" s="15"/>
      <c r="JQJ237" s="15"/>
      <c r="JQK237" s="15"/>
      <c r="JQL237" s="15"/>
      <c r="JQM237" s="15"/>
      <c r="JQN237" s="15"/>
      <c r="JQO237" s="15"/>
      <c r="JQP237" s="15"/>
      <c r="JQQ237" s="10"/>
      <c r="JQR237" s="10"/>
      <c r="JQS237" s="21"/>
      <c r="JQT237" s="21"/>
      <c r="JQW237" s="21"/>
      <c r="JQX237" s="15"/>
      <c r="JQY237" s="15"/>
      <c r="JQZ237" s="15"/>
      <c r="JRA237" s="15"/>
      <c r="JRB237" s="15"/>
      <c r="JRC237" s="15"/>
      <c r="JRD237" s="15"/>
      <c r="JRE237" s="15"/>
      <c r="JRF237" s="15"/>
      <c r="JRG237" s="15"/>
      <c r="JRH237" s="10"/>
      <c r="JRI237" s="10"/>
      <c r="JRJ237" s="21"/>
      <c r="JRK237" s="21"/>
      <c r="JRN237" s="21"/>
      <c r="JRO237" s="15"/>
      <c r="JRP237" s="15"/>
      <c r="JRQ237" s="15"/>
      <c r="JRR237" s="15"/>
      <c r="JRS237" s="15"/>
      <c r="JRT237" s="15"/>
      <c r="JRU237" s="15"/>
      <c r="JRV237" s="15"/>
      <c r="JRW237" s="15"/>
      <c r="JRX237" s="15"/>
      <c r="JRY237" s="10"/>
      <c r="JRZ237" s="10"/>
      <c r="JSA237" s="21"/>
      <c r="JSB237" s="21"/>
      <c r="JSE237" s="21"/>
      <c r="JSF237" s="15"/>
      <c r="JSG237" s="15"/>
      <c r="JSH237" s="15"/>
      <c r="JSI237" s="15"/>
      <c r="JSJ237" s="15"/>
      <c r="JSK237" s="15"/>
      <c r="JSL237" s="15"/>
      <c r="JSM237" s="15"/>
      <c r="JSN237" s="15"/>
      <c r="JSO237" s="15"/>
      <c r="JSP237" s="10"/>
      <c r="JSQ237" s="10"/>
      <c r="JSR237" s="21"/>
      <c r="JSS237" s="21"/>
      <c r="JSV237" s="21"/>
      <c r="JSW237" s="15"/>
      <c r="JSX237" s="15"/>
      <c r="JSY237" s="15"/>
      <c r="JSZ237" s="15"/>
      <c r="JTA237" s="15"/>
      <c r="JTB237" s="15"/>
      <c r="JTC237" s="15"/>
      <c r="JTD237" s="15"/>
      <c r="JTE237" s="15"/>
      <c r="JTF237" s="15"/>
      <c r="JTG237" s="10"/>
      <c r="JTH237" s="10"/>
      <c r="JTI237" s="21"/>
      <c r="JTJ237" s="21"/>
      <c r="JTM237" s="21"/>
      <c r="JTN237" s="15"/>
      <c r="JTO237" s="15"/>
      <c r="JTP237" s="15"/>
      <c r="JTQ237" s="15"/>
      <c r="JTR237" s="15"/>
      <c r="JTS237" s="15"/>
      <c r="JTT237" s="15"/>
      <c r="JTU237" s="15"/>
      <c r="JTV237" s="15"/>
      <c r="JTW237" s="15"/>
      <c r="JTX237" s="10"/>
      <c r="JTY237" s="10"/>
      <c r="JTZ237" s="21"/>
      <c r="JUA237" s="21"/>
      <c r="JUD237" s="21"/>
      <c r="JUE237" s="15"/>
      <c r="JUF237" s="15"/>
      <c r="JUG237" s="15"/>
      <c r="JUH237" s="15"/>
      <c r="JUI237" s="15"/>
      <c r="JUJ237" s="15"/>
      <c r="JUK237" s="15"/>
      <c r="JUL237" s="15"/>
      <c r="JUM237" s="15"/>
      <c r="JUN237" s="15"/>
      <c r="JUO237" s="10"/>
      <c r="JUP237" s="10"/>
      <c r="JUQ237" s="21"/>
      <c r="JUR237" s="21"/>
      <c r="JUU237" s="21"/>
      <c r="JUV237" s="15"/>
      <c r="JUW237" s="15"/>
      <c r="JUX237" s="15"/>
      <c r="JUY237" s="15"/>
      <c r="JUZ237" s="15"/>
      <c r="JVA237" s="15"/>
      <c r="JVB237" s="15"/>
      <c r="JVC237" s="15"/>
      <c r="JVD237" s="15"/>
      <c r="JVE237" s="15"/>
      <c r="JVF237" s="10"/>
      <c r="JVG237" s="10"/>
      <c r="JVH237" s="21"/>
      <c r="JVI237" s="21"/>
      <c r="JVL237" s="21"/>
      <c r="JVM237" s="15"/>
      <c r="JVN237" s="15"/>
      <c r="JVO237" s="15"/>
      <c r="JVP237" s="15"/>
      <c r="JVQ237" s="15"/>
      <c r="JVR237" s="15"/>
      <c r="JVS237" s="15"/>
      <c r="JVT237" s="15"/>
      <c r="JVU237" s="15"/>
      <c r="JVV237" s="15"/>
      <c r="JVW237" s="10"/>
      <c r="JVX237" s="10"/>
      <c r="JVY237" s="21"/>
      <c r="JVZ237" s="21"/>
      <c r="JWC237" s="21"/>
      <c r="JWD237" s="15"/>
      <c r="JWE237" s="15"/>
      <c r="JWF237" s="15"/>
      <c r="JWG237" s="15"/>
      <c r="JWH237" s="15"/>
      <c r="JWI237" s="15"/>
      <c r="JWJ237" s="15"/>
      <c r="JWK237" s="15"/>
      <c r="JWL237" s="15"/>
      <c r="JWM237" s="15"/>
      <c r="JWN237" s="10"/>
      <c r="JWO237" s="10"/>
      <c r="JWP237" s="21"/>
      <c r="JWQ237" s="21"/>
      <c r="JWT237" s="21"/>
      <c r="JWU237" s="15"/>
      <c r="JWV237" s="15"/>
      <c r="JWW237" s="15"/>
      <c r="JWX237" s="15"/>
      <c r="JWY237" s="15"/>
      <c r="JWZ237" s="15"/>
      <c r="JXA237" s="15"/>
      <c r="JXB237" s="15"/>
      <c r="JXC237" s="15"/>
      <c r="JXD237" s="15"/>
      <c r="JXE237" s="10"/>
      <c r="JXF237" s="10"/>
      <c r="JXG237" s="21"/>
      <c r="JXH237" s="21"/>
      <c r="JXK237" s="21"/>
      <c r="JXL237" s="15"/>
      <c r="JXM237" s="15"/>
      <c r="JXN237" s="15"/>
      <c r="JXO237" s="15"/>
      <c r="JXP237" s="15"/>
      <c r="JXQ237" s="15"/>
      <c r="JXR237" s="15"/>
      <c r="JXS237" s="15"/>
      <c r="JXT237" s="15"/>
      <c r="JXU237" s="15"/>
      <c r="JXV237" s="10"/>
      <c r="JXW237" s="10"/>
      <c r="JXX237" s="21"/>
      <c r="JXY237" s="21"/>
      <c r="JYB237" s="21"/>
      <c r="JYC237" s="15"/>
      <c r="JYD237" s="15"/>
      <c r="JYE237" s="15"/>
      <c r="JYF237" s="15"/>
      <c r="JYG237" s="15"/>
      <c r="JYH237" s="15"/>
      <c r="JYI237" s="15"/>
      <c r="JYJ237" s="15"/>
      <c r="JYK237" s="15"/>
      <c r="JYL237" s="15"/>
      <c r="JYM237" s="10"/>
      <c r="JYN237" s="10"/>
      <c r="JYO237" s="21"/>
      <c r="JYP237" s="21"/>
      <c r="JYS237" s="21"/>
      <c r="JYT237" s="15"/>
      <c r="JYU237" s="15"/>
      <c r="JYV237" s="15"/>
      <c r="JYW237" s="15"/>
      <c r="JYX237" s="15"/>
      <c r="JYY237" s="15"/>
      <c r="JYZ237" s="15"/>
      <c r="JZA237" s="15"/>
      <c r="JZB237" s="15"/>
      <c r="JZC237" s="15"/>
      <c r="JZD237" s="10"/>
      <c r="JZE237" s="10"/>
      <c r="JZF237" s="21"/>
      <c r="JZG237" s="21"/>
      <c r="JZJ237" s="21"/>
      <c r="JZK237" s="15"/>
      <c r="JZL237" s="15"/>
      <c r="JZM237" s="15"/>
      <c r="JZN237" s="15"/>
      <c r="JZO237" s="15"/>
      <c r="JZP237" s="15"/>
      <c r="JZQ237" s="15"/>
      <c r="JZR237" s="15"/>
      <c r="JZS237" s="15"/>
      <c r="JZT237" s="15"/>
      <c r="JZU237" s="10"/>
      <c r="JZV237" s="10"/>
      <c r="JZW237" s="21"/>
      <c r="JZX237" s="21"/>
      <c r="KAA237" s="21"/>
      <c r="KAB237" s="15"/>
      <c r="KAC237" s="15"/>
      <c r="KAD237" s="15"/>
      <c r="KAE237" s="15"/>
      <c r="KAF237" s="15"/>
      <c r="KAG237" s="15"/>
      <c r="KAH237" s="15"/>
      <c r="KAI237" s="15"/>
      <c r="KAJ237" s="15"/>
      <c r="KAK237" s="15"/>
      <c r="KAL237" s="10"/>
      <c r="KAM237" s="10"/>
      <c r="KAN237" s="21"/>
      <c r="KAO237" s="21"/>
      <c r="KAR237" s="21"/>
      <c r="KAS237" s="15"/>
      <c r="KAT237" s="15"/>
      <c r="KAU237" s="15"/>
      <c r="KAV237" s="15"/>
      <c r="KAW237" s="15"/>
      <c r="KAX237" s="15"/>
      <c r="KAY237" s="15"/>
      <c r="KAZ237" s="15"/>
      <c r="KBA237" s="15"/>
      <c r="KBB237" s="15"/>
      <c r="KBC237" s="10"/>
      <c r="KBD237" s="10"/>
      <c r="KBE237" s="21"/>
      <c r="KBF237" s="21"/>
      <c r="KBI237" s="21"/>
      <c r="KBJ237" s="15"/>
      <c r="KBK237" s="15"/>
      <c r="KBL237" s="15"/>
      <c r="KBM237" s="15"/>
      <c r="KBN237" s="15"/>
      <c r="KBO237" s="15"/>
      <c r="KBP237" s="15"/>
      <c r="KBQ237" s="15"/>
      <c r="KBR237" s="15"/>
      <c r="KBS237" s="15"/>
      <c r="KBT237" s="10"/>
      <c r="KBU237" s="10"/>
      <c r="KBV237" s="21"/>
      <c r="KBW237" s="21"/>
      <c r="KBZ237" s="21"/>
      <c r="KCA237" s="15"/>
      <c r="KCB237" s="15"/>
      <c r="KCC237" s="15"/>
      <c r="KCD237" s="15"/>
      <c r="KCE237" s="15"/>
      <c r="KCF237" s="15"/>
      <c r="KCG237" s="15"/>
      <c r="KCH237" s="15"/>
      <c r="KCI237" s="15"/>
      <c r="KCJ237" s="15"/>
      <c r="KCK237" s="10"/>
      <c r="KCL237" s="10"/>
      <c r="KCM237" s="21"/>
      <c r="KCN237" s="21"/>
      <c r="KCQ237" s="21"/>
      <c r="KCR237" s="15"/>
      <c r="KCS237" s="15"/>
      <c r="KCT237" s="15"/>
      <c r="KCU237" s="15"/>
      <c r="KCV237" s="15"/>
      <c r="KCW237" s="15"/>
      <c r="KCX237" s="15"/>
      <c r="KCY237" s="15"/>
      <c r="KCZ237" s="15"/>
      <c r="KDA237" s="15"/>
      <c r="KDB237" s="10"/>
      <c r="KDC237" s="10"/>
      <c r="KDD237" s="21"/>
      <c r="KDE237" s="21"/>
      <c r="KDH237" s="21"/>
      <c r="KDI237" s="15"/>
      <c r="KDJ237" s="15"/>
      <c r="KDK237" s="15"/>
      <c r="KDL237" s="15"/>
      <c r="KDM237" s="15"/>
      <c r="KDN237" s="15"/>
      <c r="KDO237" s="15"/>
      <c r="KDP237" s="15"/>
      <c r="KDQ237" s="15"/>
      <c r="KDR237" s="15"/>
      <c r="KDS237" s="10"/>
      <c r="KDT237" s="10"/>
      <c r="KDU237" s="21"/>
      <c r="KDV237" s="21"/>
      <c r="KDY237" s="21"/>
      <c r="KDZ237" s="15"/>
      <c r="KEA237" s="15"/>
      <c r="KEB237" s="15"/>
      <c r="KEC237" s="15"/>
      <c r="KED237" s="15"/>
      <c r="KEE237" s="15"/>
      <c r="KEF237" s="15"/>
      <c r="KEG237" s="15"/>
      <c r="KEH237" s="15"/>
      <c r="KEI237" s="15"/>
      <c r="KEJ237" s="10"/>
      <c r="KEK237" s="10"/>
      <c r="KEL237" s="21"/>
      <c r="KEM237" s="21"/>
      <c r="KEP237" s="21"/>
      <c r="KEQ237" s="15"/>
      <c r="KER237" s="15"/>
      <c r="KES237" s="15"/>
      <c r="KET237" s="15"/>
      <c r="KEU237" s="15"/>
      <c r="KEV237" s="15"/>
      <c r="KEW237" s="15"/>
      <c r="KEX237" s="15"/>
      <c r="KEY237" s="15"/>
      <c r="KEZ237" s="15"/>
      <c r="KFA237" s="10"/>
      <c r="KFB237" s="10"/>
      <c r="KFC237" s="21"/>
      <c r="KFD237" s="21"/>
      <c r="KFG237" s="21"/>
      <c r="KFH237" s="15"/>
      <c r="KFI237" s="15"/>
      <c r="KFJ237" s="15"/>
      <c r="KFK237" s="15"/>
      <c r="KFL237" s="15"/>
      <c r="KFM237" s="15"/>
      <c r="KFN237" s="15"/>
      <c r="KFO237" s="15"/>
      <c r="KFP237" s="15"/>
      <c r="KFQ237" s="15"/>
      <c r="KFR237" s="10"/>
      <c r="KFS237" s="10"/>
      <c r="KFT237" s="21"/>
      <c r="KFU237" s="21"/>
      <c r="KFX237" s="21"/>
      <c r="KFY237" s="15"/>
      <c r="KFZ237" s="15"/>
      <c r="KGA237" s="15"/>
      <c r="KGB237" s="15"/>
      <c r="KGC237" s="15"/>
      <c r="KGD237" s="15"/>
      <c r="KGE237" s="15"/>
      <c r="KGF237" s="15"/>
      <c r="KGG237" s="15"/>
      <c r="KGH237" s="15"/>
      <c r="KGI237" s="10"/>
      <c r="KGJ237" s="10"/>
      <c r="KGK237" s="21"/>
      <c r="KGL237" s="21"/>
      <c r="KGO237" s="21"/>
      <c r="KGP237" s="15"/>
      <c r="KGQ237" s="15"/>
      <c r="KGR237" s="15"/>
      <c r="KGS237" s="15"/>
      <c r="KGT237" s="15"/>
      <c r="KGU237" s="15"/>
      <c r="KGV237" s="15"/>
      <c r="KGW237" s="15"/>
      <c r="KGX237" s="15"/>
      <c r="KGY237" s="15"/>
      <c r="KGZ237" s="10"/>
      <c r="KHA237" s="10"/>
      <c r="KHB237" s="21"/>
      <c r="KHC237" s="21"/>
      <c r="KHF237" s="21"/>
      <c r="KHG237" s="15"/>
      <c r="KHH237" s="15"/>
      <c r="KHI237" s="15"/>
      <c r="KHJ237" s="15"/>
      <c r="KHK237" s="15"/>
      <c r="KHL237" s="15"/>
      <c r="KHM237" s="15"/>
      <c r="KHN237" s="15"/>
      <c r="KHO237" s="15"/>
      <c r="KHP237" s="15"/>
      <c r="KHQ237" s="10"/>
      <c r="KHR237" s="10"/>
      <c r="KHS237" s="21"/>
      <c r="KHT237" s="21"/>
      <c r="KHW237" s="21"/>
      <c r="KHX237" s="15"/>
      <c r="KHY237" s="15"/>
      <c r="KHZ237" s="15"/>
      <c r="KIA237" s="15"/>
      <c r="KIB237" s="15"/>
      <c r="KIC237" s="15"/>
      <c r="KID237" s="15"/>
      <c r="KIE237" s="15"/>
      <c r="KIF237" s="15"/>
      <c r="KIG237" s="15"/>
      <c r="KIH237" s="10"/>
      <c r="KII237" s="10"/>
      <c r="KIJ237" s="21"/>
      <c r="KIK237" s="21"/>
      <c r="KIN237" s="21"/>
      <c r="KIO237" s="15"/>
      <c r="KIP237" s="15"/>
      <c r="KIQ237" s="15"/>
      <c r="KIR237" s="15"/>
      <c r="KIS237" s="15"/>
      <c r="KIT237" s="15"/>
      <c r="KIU237" s="15"/>
      <c r="KIV237" s="15"/>
      <c r="KIW237" s="15"/>
      <c r="KIX237" s="15"/>
      <c r="KIY237" s="10"/>
      <c r="KIZ237" s="10"/>
      <c r="KJA237" s="21"/>
      <c r="KJB237" s="21"/>
      <c r="KJE237" s="21"/>
      <c r="KJF237" s="15"/>
      <c r="KJG237" s="15"/>
      <c r="KJH237" s="15"/>
      <c r="KJI237" s="15"/>
      <c r="KJJ237" s="15"/>
      <c r="KJK237" s="15"/>
      <c r="KJL237" s="15"/>
      <c r="KJM237" s="15"/>
      <c r="KJN237" s="15"/>
      <c r="KJO237" s="15"/>
      <c r="KJP237" s="10"/>
      <c r="KJQ237" s="10"/>
      <c r="KJR237" s="21"/>
      <c r="KJS237" s="21"/>
      <c r="KJV237" s="21"/>
      <c r="KJW237" s="15"/>
      <c r="KJX237" s="15"/>
      <c r="KJY237" s="15"/>
      <c r="KJZ237" s="15"/>
      <c r="KKA237" s="15"/>
      <c r="KKB237" s="15"/>
      <c r="KKC237" s="15"/>
      <c r="KKD237" s="15"/>
      <c r="KKE237" s="15"/>
      <c r="KKF237" s="15"/>
      <c r="KKG237" s="10"/>
      <c r="KKH237" s="10"/>
      <c r="KKI237" s="21"/>
      <c r="KKJ237" s="21"/>
      <c r="KKM237" s="21"/>
      <c r="KKN237" s="15"/>
      <c r="KKO237" s="15"/>
      <c r="KKP237" s="15"/>
      <c r="KKQ237" s="15"/>
      <c r="KKR237" s="15"/>
      <c r="KKS237" s="15"/>
      <c r="KKT237" s="15"/>
      <c r="KKU237" s="15"/>
      <c r="KKV237" s="15"/>
      <c r="KKW237" s="15"/>
      <c r="KKX237" s="10"/>
      <c r="KKY237" s="10"/>
      <c r="KKZ237" s="21"/>
      <c r="KLA237" s="21"/>
      <c r="KLD237" s="21"/>
      <c r="KLE237" s="15"/>
      <c r="KLF237" s="15"/>
      <c r="KLG237" s="15"/>
      <c r="KLH237" s="15"/>
      <c r="KLI237" s="15"/>
      <c r="KLJ237" s="15"/>
      <c r="KLK237" s="15"/>
      <c r="KLL237" s="15"/>
      <c r="KLM237" s="15"/>
      <c r="KLN237" s="15"/>
      <c r="KLO237" s="10"/>
      <c r="KLP237" s="10"/>
      <c r="KLQ237" s="21"/>
      <c r="KLR237" s="21"/>
      <c r="KLU237" s="21"/>
      <c r="KLV237" s="15"/>
      <c r="KLW237" s="15"/>
      <c r="KLX237" s="15"/>
      <c r="KLY237" s="15"/>
      <c r="KLZ237" s="15"/>
      <c r="KMA237" s="15"/>
      <c r="KMB237" s="15"/>
      <c r="KMC237" s="15"/>
      <c r="KMD237" s="15"/>
      <c r="KME237" s="15"/>
      <c r="KMF237" s="10"/>
      <c r="KMG237" s="10"/>
      <c r="KMH237" s="21"/>
      <c r="KMI237" s="21"/>
      <c r="KML237" s="21"/>
      <c r="KMM237" s="15"/>
      <c r="KMN237" s="15"/>
      <c r="KMO237" s="15"/>
      <c r="KMP237" s="15"/>
      <c r="KMQ237" s="15"/>
      <c r="KMR237" s="15"/>
      <c r="KMS237" s="15"/>
      <c r="KMT237" s="15"/>
      <c r="KMU237" s="15"/>
      <c r="KMV237" s="15"/>
      <c r="KMW237" s="10"/>
      <c r="KMX237" s="10"/>
      <c r="KMY237" s="21"/>
      <c r="KMZ237" s="21"/>
      <c r="KNC237" s="21"/>
      <c r="KND237" s="15"/>
      <c r="KNE237" s="15"/>
      <c r="KNF237" s="15"/>
      <c r="KNG237" s="15"/>
      <c r="KNH237" s="15"/>
      <c r="KNI237" s="15"/>
      <c r="KNJ237" s="15"/>
      <c r="KNK237" s="15"/>
      <c r="KNL237" s="15"/>
      <c r="KNM237" s="15"/>
      <c r="KNN237" s="10"/>
      <c r="KNO237" s="10"/>
      <c r="KNP237" s="21"/>
      <c r="KNQ237" s="21"/>
      <c r="KNT237" s="21"/>
      <c r="KNU237" s="15"/>
      <c r="KNV237" s="15"/>
      <c r="KNW237" s="15"/>
      <c r="KNX237" s="15"/>
      <c r="KNY237" s="15"/>
      <c r="KNZ237" s="15"/>
      <c r="KOA237" s="15"/>
      <c r="KOB237" s="15"/>
      <c r="KOC237" s="15"/>
      <c r="KOD237" s="15"/>
      <c r="KOE237" s="10"/>
      <c r="KOF237" s="10"/>
      <c r="KOG237" s="21"/>
      <c r="KOH237" s="21"/>
      <c r="KOK237" s="21"/>
      <c r="KOL237" s="15"/>
      <c r="KOM237" s="15"/>
      <c r="KON237" s="15"/>
      <c r="KOO237" s="15"/>
      <c r="KOP237" s="15"/>
      <c r="KOQ237" s="15"/>
      <c r="KOR237" s="15"/>
      <c r="KOS237" s="15"/>
      <c r="KOT237" s="15"/>
      <c r="KOU237" s="15"/>
      <c r="KOV237" s="10"/>
      <c r="KOW237" s="10"/>
      <c r="KOX237" s="21"/>
      <c r="KOY237" s="21"/>
      <c r="KPB237" s="21"/>
      <c r="KPC237" s="15"/>
      <c r="KPD237" s="15"/>
      <c r="KPE237" s="15"/>
      <c r="KPF237" s="15"/>
      <c r="KPG237" s="15"/>
      <c r="KPH237" s="15"/>
      <c r="KPI237" s="15"/>
      <c r="KPJ237" s="15"/>
      <c r="KPK237" s="15"/>
      <c r="KPL237" s="15"/>
      <c r="KPM237" s="10"/>
      <c r="KPN237" s="10"/>
      <c r="KPO237" s="21"/>
      <c r="KPP237" s="21"/>
      <c r="KPS237" s="21"/>
      <c r="KPT237" s="15"/>
      <c r="KPU237" s="15"/>
      <c r="KPV237" s="15"/>
      <c r="KPW237" s="15"/>
      <c r="KPX237" s="15"/>
      <c r="KPY237" s="15"/>
      <c r="KPZ237" s="15"/>
      <c r="KQA237" s="15"/>
      <c r="KQB237" s="15"/>
      <c r="KQC237" s="15"/>
      <c r="KQD237" s="10"/>
      <c r="KQE237" s="10"/>
      <c r="KQF237" s="21"/>
      <c r="KQG237" s="21"/>
      <c r="KQJ237" s="21"/>
      <c r="KQK237" s="15"/>
      <c r="KQL237" s="15"/>
      <c r="KQM237" s="15"/>
      <c r="KQN237" s="15"/>
      <c r="KQO237" s="15"/>
      <c r="KQP237" s="15"/>
      <c r="KQQ237" s="15"/>
      <c r="KQR237" s="15"/>
      <c r="KQS237" s="15"/>
      <c r="KQT237" s="15"/>
      <c r="KQU237" s="10"/>
      <c r="KQV237" s="10"/>
      <c r="KQW237" s="21"/>
      <c r="KQX237" s="21"/>
      <c r="KRA237" s="21"/>
      <c r="KRB237" s="15"/>
      <c r="KRC237" s="15"/>
      <c r="KRD237" s="15"/>
      <c r="KRE237" s="15"/>
      <c r="KRF237" s="15"/>
      <c r="KRG237" s="15"/>
      <c r="KRH237" s="15"/>
      <c r="KRI237" s="15"/>
      <c r="KRJ237" s="15"/>
      <c r="KRK237" s="15"/>
      <c r="KRL237" s="10"/>
      <c r="KRM237" s="10"/>
      <c r="KRN237" s="21"/>
      <c r="KRO237" s="21"/>
      <c r="KRR237" s="21"/>
      <c r="KRS237" s="15"/>
      <c r="KRT237" s="15"/>
      <c r="KRU237" s="15"/>
      <c r="KRV237" s="15"/>
      <c r="KRW237" s="15"/>
      <c r="KRX237" s="15"/>
      <c r="KRY237" s="15"/>
      <c r="KRZ237" s="15"/>
      <c r="KSA237" s="15"/>
      <c r="KSB237" s="15"/>
      <c r="KSC237" s="10"/>
      <c r="KSD237" s="10"/>
      <c r="KSE237" s="21"/>
      <c r="KSF237" s="21"/>
      <c r="KSI237" s="21"/>
      <c r="KSJ237" s="15"/>
      <c r="KSK237" s="15"/>
      <c r="KSL237" s="15"/>
      <c r="KSM237" s="15"/>
      <c r="KSN237" s="15"/>
      <c r="KSO237" s="15"/>
      <c r="KSP237" s="15"/>
      <c r="KSQ237" s="15"/>
      <c r="KSR237" s="15"/>
      <c r="KSS237" s="15"/>
      <c r="KST237" s="10"/>
      <c r="KSU237" s="10"/>
      <c r="KSV237" s="21"/>
      <c r="KSW237" s="21"/>
      <c r="KSZ237" s="21"/>
      <c r="KTA237" s="15"/>
      <c r="KTB237" s="15"/>
      <c r="KTC237" s="15"/>
      <c r="KTD237" s="15"/>
      <c r="KTE237" s="15"/>
      <c r="KTF237" s="15"/>
      <c r="KTG237" s="15"/>
      <c r="KTH237" s="15"/>
      <c r="KTI237" s="15"/>
      <c r="KTJ237" s="15"/>
      <c r="KTK237" s="10"/>
      <c r="KTL237" s="10"/>
      <c r="KTM237" s="21"/>
      <c r="KTN237" s="21"/>
      <c r="KTQ237" s="21"/>
      <c r="KTR237" s="15"/>
      <c r="KTS237" s="15"/>
      <c r="KTT237" s="15"/>
      <c r="KTU237" s="15"/>
      <c r="KTV237" s="15"/>
      <c r="KTW237" s="15"/>
      <c r="KTX237" s="15"/>
      <c r="KTY237" s="15"/>
      <c r="KTZ237" s="15"/>
      <c r="KUA237" s="15"/>
      <c r="KUB237" s="10"/>
      <c r="KUC237" s="10"/>
      <c r="KUD237" s="21"/>
      <c r="KUE237" s="21"/>
      <c r="KUH237" s="21"/>
      <c r="KUI237" s="15"/>
      <c r="KUJ237" s="15"/>
      <c r="KUK237" s="15"/>
      <c r="KUL237" s="15"/>
      <c r="KUM237" s="15"/>
      <c r="KUN237" s="15"/>
      <c r="KUO237" s="15"/>
      <c r="KUP237" s="15"/>
      <c r="KUQ237" s="15"/>
      <c r="KUR237" s="15"/>
      <c r="KUS237" s="10"/>
      <c r="KUT237" s="10"/>
      <c r="KUU237" s="21"/>
      <c r="KUV237" s="21"/>
      <c r="KUY237" s="21"/>
      <c r="KUZ237" s="15"/>
      <c r="KVA237" s="15"/>
      <c r="KVB237" s="15"/>
      <c r="KVC237" s="15"/>
      <c r="KVD237" s="15"/>
      <c r="KVE237" s="15"/>
      <c r="KVF237" s="15"/>
      <c r="KVG237" s="15"/>
      <c r="KVH237" s="15"/>
      <c r="KVI237" s="15"/>
      <c r="KVJ237" s="10"/>
      <c r="KVK237" s="10"/>
      <c r="KVL237" s="21"/>
      <c r="KVM237" s="21"/>
      <c r="KVP237" s="21"/>
      <c r="KVQ237" s="15"/>
      <c r="KVR237" s="15"/>
      <c r="KVS237" s="15"/>
      <c r="KVT237" s="15"/>
      <c r="KVU237" s="15"/>
      <c r="KVV237" s="15"/>
      <c r="KVW237" s="15"/>
      <c r="KVX237" s="15"/>
      <c r="KVY237" s="15"/>
      <c r="KVZ237" s="15"/>
      <c r="KWA237" s="10"/>
      <c r="KWB237" s="10"/>
      <c r="KWC237" s="21"/>
      <c r="KWD237" s="21"/>
      <c r="KWG237" s="21"/>
      <c r="KWH237" s="15"/>
      <c r="KWI237" s="15"/>
      <c r="KWJ237" s="15"/>
      <c r="KWK237" s="15"/>
      <c r="KWL237" s="15"/>
      <c r="KWM237" s="15"/>
      <c r="KWN237" s="15"/>
      <c r="KWO237" s="15"/>
      <c r="KWP237" s="15"/>
      <c r="KWQ237" s="15"/>
      <c r="KWR237" s="10"/>
      <c r="KWS237" s="10"/>
      <c r="KWT237" s="21"/>
      <c r="KWU237" s="21"/>
      <c r="KWX237" s="21"/>
      <c r="KWY237" s="15"/>
      <c r="KWZ237" s="15"/>
      <c r="KXA237" s="15"/>
      <c r="KXB237" s="15"/>
      <c r="KXC237" s="15"/>
      <c r="KXD237" s="15"/>
      <c r="KXE237" s="15"/>
      <c r="KXF237" s="15"/>
      <c r="KXG237" s="15"/>
      <c r="KXH237" s="15"/>
      <c r="KXI237" s="10"/>
      <c r="KXJ237" s="10"/>
      <c r="KXK237" s="21"/>
      <c r="KXL237" s="21"/>
      <c r="KXO237" s="21"/>
      <c r="KXP237" s="15"/>
      <c r="KXQ237" s="15"/>
      <c r="KXR237" s="15"/>
      <c r="KXS237" s="15"/>
      <c r="KXT237" s="15"/>
      <c r="KXU237" s="15"/>
      <c r="KXV237" s="15"/>
      <c r="KXW237" s="15"/>
      <c r="KXX237" s="15"/>
      <c r="KXY237" s="15"/>
      <c r="KXZ237" s="10"/>
      <c r="KYA237" s="10"/>
      <c r="KYB237" s="21"/>
      <c r="KYC237" s="21"/>
      <c r="KYF237" s="21"/>
      <c r="KYG237" s="15"/>
      <c r="KYH237" s="15"/>
      <c r="KYI237" s="15"/>
      <c r="KYJ237" s="15"/>
      <c r="KYK237" s="15"/>
      <c r="KYL237" s="15"/>
      <c r="KYM237" s="15"/>
      <c r="KYN237" s="15"/>
      <c r="KYO237" s="15"/>
      <c r="KYP237" s="15"/>
      <c r="KYQ237" s="10"/>
      <c r="KYR237" s="10"/>
      <c r="KYS237" s="21"/>
      <c r="KYT237" s="21"/>
      <c r="KYW237" s="21"/>
      <c r="KYX237" s="15"/>
      <c r="KYY237" s="15"/>
      <c r="KYZ237" s="15"/>
      <c r="KZA237" s="15"/>
      <c r="KZB237" s="15"/>
      <c r="KZC237" s="15"/>
      <c r="KZD237" s="15"/>
      <c r="KZE237" s="15"/>
      <c r="KZF237" s="15"/>
      <c r="KZG237" s="15"/>
      <c r="KZH237" s="10"/>
      <c r="KZI237" s="10"/>
      <c r="KZJ237" s="21"/>
      <c r="KZK237" s="21"/>
      <c r="KZN237" s="21"/>
      <c r="KZO237" s="15"/>
      <c r="KZP237" s="15"/>
      <c r="KZQ237" s="15"/>
      <c r="KZR237" s="15"/>
      <c r="KZS237" s="15"/>
      <c r="KZT237" s="15"/>
      <c r="KZU237" s="15"/>
      <c r="KZV237" s="15"/>
      <c r="KZW237" s="15"/>
      <c r="KZX237" s="15"/>
      <c r="KZY237" s="10"/>
      <c r="KZZ237" s="10"/>
      <c r="LAA237" s="21"/>
      <c r="LAB237" s="21"/>
      <c r="LAE237" s="21"/>
      <c r="LAF237" s="15"/>
      <c r="LAG237" s="15"/>
      <c r="LAH237" s="15"/>
      <c r="LAI237" s="15"/>
      <c r="LAJ237" s="15"/>
      <c r="LAK237" s="15"/>
      <c r="LAL237" s="15"/>
      <c r="LAM237" s="15"/>
      <c r="LAN237" s="15"/>
      <c r="LAO237" s="15"/>
      <c r="LAP237" s="10"/>
      <c r="LAQ237" s="10"/>
      <c r="LAR237" s="21"/>
      <c r="LAS237" s="21"/>
      <c r="LAV237" s="21"/>
      <c r="LAW237" s="15"/>
      <c r="LAX237" s="15"/>
      <c r="LAY237" s="15"/>
      <c r="LAZ237" s="15"/>
      <c r="LBA237" s="15"/>
      <c r="LBB237" s="15"/>
      <c r="LBC237" s="15"/>
      <c r="LBD237" s="15"/>
      <c r="LBE237" s="15"/>
      <c r="LBF237" s="15"/>
      <c r="LBG237" s="10"/>
      <c r="LBH237" s="10"/>
      <c r="LBI237" s="21"/>
      <c r="LBJ237" s="21"/>
      <c r="LBM237" s="21"/>
      <c r="LBN237" s="15"/>
      <c r="LBO237" s="15"/>
      <c r="LBP237" s="15"/>
      <c r="LBQ237" s="15"/>
      <c r="LBR237" s="15"/>
      <c r="LBS237" s="15"/>
      <c r="LBT237" s="15"/>
      <c r="LBU237" s="15"/>
      <c r="LBV237" s="15"/>
      <c r="LBW237" s="15"/>
      <c r="LBX237" s="10"/>
      <c r="LBY237" s="10"/>
      <c r="LBZ237" s="21"/>
      <c r="LCA237" s="21"/>
      <c r="LCD237" s="21"/>
      <c r="LCE237" s="15"/>
      <c r="LCF237" s="15"/>
      <c r="LCG237" s="15"/>
      <c r="LCH237" s="15"/>
      <c r="LCI237" s="15"/>
      <c r="LCJ237" s="15"/>
      <c r="LCK237" s="15"/>
      <c r="LCL237" s="15"/>
      <c r="LCM237" s="15"/>
      <c r="LCN237" s="15"/>
      <c r="LCO237" s="10"/>
      <c r="LCP237" s="10"/>
      <c r="LCQ237" s="21"/>
      <c r="LCR237" s="21"/>
      <c r="LCU237" s="21"/>
      <c r="LCV237" s="15"/>
      <c r="LCW237" s="15"/>
      <c r="LCX237" s="15"/>
      <c r="LCY237" s="15"/>
      <c r="LCZ237" s="15"/>
      <c r="LDA237" s="15"/>
      <c r="LDB237" s="15"/>
      <c r="LDC237" s="15"/>
      <c r="LDD237" s="15"/>
      <c r="LDE237" s="15"/>
      <c r="LDF237" s="10"/>
      <c r="LDG237" s="10"/>
      <c r="LDH237" s="21"/>
      <c r="LDI237" s="21"/>
      <c r="LDL237" s="21"/>
      <c r="LDM237" s="15"/>
      <c r="LDN237" s="15"/>
      <c r="LDO237" s="15"/>
      <c r="LDP237" s="15"/>
      <c r="LDQ237" s="15"/>
      <c r="LDR237" s="15"/>
      <c r="LDS237" s="15"/>
      <c r="LDT237" s="15"/>
      <c r="LDU237" s="15"/>
      <c r="LDV237" s="15"/>
      <c r="LDW237" s="10"/>
      <c r="LDX237" s="10"/>
      <c r="LDY237" s="21"/>
      <c r="LDZ237" s="21"/>
      <c r="LEC237" s="21"/>
      <c r="LED237" s="15"/>
      <c r="LEE237" s="15"/>
      <c r="LEF237" s="15"/>
      <c r="LEG237" s="15"/>
      <c r="LEH237" s="15"/>
      <c r="LEI237" s="15"/>
      <c r="LEJ237" s="15"/>
      <c r="LEK237" s="15"/>
      <c r="LEL237" s="15"/>
      <c r="LEM237" s="15"/>
      <c r="LEN237" s="10"/>
      <c r="LEO237" s="10"/>
      <c r="LEP237" s="21"/>
      <c r="LEQ237" s="21"/>
      <c r="LET237" s="21"/>
      <c r="LEU237" s="15"/>
      <c r="LEV237" s="15"/>
      <c r="LEW237" s="15"/>
      <c r="LEX237" s="15"/>
      <c r="LEY237" s="15"/>
      <c r="LEZ237" s="15"/>
      <c r="LFA237" s="15"/>
      <c r="LFB237" s="15"/>
      <c r="LFC237" s="15"/>
      <c r="LFD237" s="15"/>
      <c r="LFE237" s="10"/>
      <c r="LFF237" s="10"/>
      <c r="LFG237" s="21"/>
      <c r="LFH237" s="21"/>
      <c r="LFK237" s="21"/>
      <c r="LFL237" s="15"/>
      <c r="LFM237" s="15"/>
      <c r="LFN237" s="15"/>
      <c r="LFO237" s="15"/>
      <c r="LFP237" s="15"/>
      <c r="LFQ237" s="15"/>
      <c r="LFR237" s="15"/>
      <c r="LFS237" s="15"/>
      <c r="LFT237" s="15"/>
      <c r="LFU237" s="15"/>
      <c r="LFV237" s="10"/>
      <c r="LFW237" s="10"/>
      <c r="LFX237" s="21"/>
      <c r="LFY237" s="21"/>
      <c r="LGB237" s="21"/>
      <c r="LGC237" s="15"/>
      <c r="LGD237" s="15"/>
      <c r="LGE237" s="15"/>
      <c r="LGF237" s="15"/>
      <c r="LGG237" s="15"/>
      <c r="LGH237" s="15"/>
      <c r="LGI237" s="15"/>
      <c r="LGJ237" s="15"/>
      <c r="LGK237" s="15"/>
      <c r="LGL237" s="15"/>
      <c r="LGM237" s="10"/>
      <c r="LGN237" s="10"/>
      <c r="LGO237" s="21"/>
      <c r="LGP237" s="21"/>
      <c r="LGS237" s="21"/>
      <c r="LGT237" s="15"/>
      <c r="LGU237" s="15"/>
      <c r="LGV237" s="15"/>
      <c r="LGW237" s="15"/>
      <c r="LGX237" s="15"/>
      <c r="LGY237" s="15"/>
      <c r="LGZ237" s="15"/>
      <c r="LHA237" s="15"/>
      <c r="LHB237" s="15"/>
      <c r="LHC237" s="15"/>
      <c r="LHD237" s="10"/>
      <c r="LHE237" s="10"/>
      <c r="LHF237" s="21"/>
      <c r="LHG237" s="21"/>
      <c r="LHJ237" s="21"/>
      <c r="LHK237" s="15"/>
      <c r="LHL237" s="15"/>
      <c r="LHM237" s="15"/>
      <c r="LHN237" s="15"/>
      <c r="LHO237" s="15"/>
      <c r="LHP237" s="15"/>
      <c r="LHQ237" s="15"/>
      <c r="LHR237" s="15"/>
      <c r="LHS237" s="15"/>
      <c r="LHT237" s="15"/>
      <c r="LHU237" s="10"/>
      <c r="LHV237" s="10"/>
      <c r="LHW237" s="21"/>
      <c r="LHX237" s="21"/>
      <c r="LIA237" s="21"/>
      <c r="LIB237" s="15"/>
      <c r="LIC237" s="15"/>
      <c r="LID237" s="15"/>
      <c r="LIE237" s="15"/>
      <c r="LIF237" s="15"/>
      <c r="LIG237" s="15"/>
      <c r="LIH237" s="15"/>
      <c r="LII237" s="15"/>
      <c r="LIJ237" s="15"/>
      <c r="LIK237" s="15"/>
      <c r="LIL237" s="10"/>
      <c r="LIM237" s="10"/>
      <c r="LIN237" s="21"/>
      <c r="LIO237" s="21"/>
      <c r="LIR237" s="21"/>
      <c r="LIS237" s="15"/>
      <c r="LIT237" s="15"/>
      <c r="LIU237" s="15"/>
      <c r="LIV237" s="15"/>
      <c r="LIW237" s="15"/>
      <c r="LIX237" s="15"/>
      <c r="LIY237" s="15"/>
      <c r="LIZ237" s="15"/>
      <c r="LJA237" s="15"/>
      <c r="LJB237" s="15"/>
      <c r="LJC237" s="10"/>
      <c r="LJD237" s="10"/>
      <c r="LJE237" s="21"/>
      <c r="LJF237" s="21"/>
      <c r="LJI237" s="21"/>
      <c r="LJJ237" s="15"/>
      <c r="LJK237" s="15"/>
      <c r="LJL237" s="15"/>
      <c r="LJM237" s="15"/>
      <c r="LJN237" s="15"/>
      <c r="LJO237" s="15"/>
      <c r="LJP237" s="15"/>
      <c r="LJQ237" s="15"/>
      <c r="LJR237" s="15"/>
      <c r="LJS237" s="15"/>
      <c r="LJT237" s="10"/>
      <c r="LJU237" s="10"/>
      <c r="LJV237" s="21"/>
      <c r="LJW237" s="21"/>
      <c r="LJZ237" s="21"/>
      <c r="LKA237" s="15"/>
      <c r="LKB237" s="15"/>
      <c r="LKC237" s="15"/>
      <c r="LKD237" s="15"/>
      <c r="LKE237" s="15"/>
      <c r="LKF237" s="15"/>
      <c r="LKG237" s="15"/>
      <c r="LKH237" s="15"/>
      <c r="LKI237" s="15"/>
      <c r="LKJ237" s="15"/>
      <c r="LKK237" s="10"/>
      <c r="LKL237" s="10"/>
      <c r="LKM237" s="21"/>
      <c r="LKN237" s="21"/>
      <c r="LKQ237" s="21"/>
      <c r="LKR237" s="15"/>
      <c r="LKS237" s="15"/>
      <c r="LKT237" s="15"/>
      <c r="LKU237" s="15"/>
      <c r="LKV237" s="15"/>
      <c r="LKW237" s="15"/>
      <c r="LKX237" s="15"/>
      <c r="LKY237" s="15"/>
      <c r="LKZ237" s="15"/>
      <c r="LLA237" s="15"/>
      <c r="LLB237" s="10"/>
      <c r="LLC237" s="10"/>
      <c r="LLD237" s="21"/>
      <c r="LLE237" s="21"/>
      <c r="LLH237" s="21"/>
      <c r="LLI237" s="15"/>
      <c r="LLJ237" s="15"/>
      <c r="LLK237" s="15"/>
      <c r="LLL237" s="15"/>
      <c r="LLM237" s="15"/>
      <c r="LLN237" s="15"/>
      <c r="LLO237" s="15"/>
      <c r="LLP237" s="15"/>
      <c r="LLQ237" s="15"/>
      <c r="LLR237" s="15"/>
      <c r="LLS237" s="10"/>
      <c r="LLT237" s="10"/>
      <c r="LLU237" s="21"/>
      <c r="LLV237" s="21"/>
      <c r="LLY237" s="21"/>
      <c r="LLZ237" s="15"/>
      <c r="LMA237" s="15"/>
      <c r="LMB237" s="15"/>
      <c r="LMC237" s="15"/>
      <c r="LMD237" s="15"/>
      <c r="LME237" s="15"/>
      <c r="LMF237" s="15"/>
      <c r="LMG237" s="15"/>
      <c r="LMH237" s="15"/>
      <c r="LMI237" s="15"/>
      <c r="LMJ237" s="10"/>
      <c r="LMK237" s="10"/>
      <c r="LML237" s="21"/>
      <c r="LMM237" s="21"/>
      <c r="LMP237" s="21"/>
      <c r="LMQ237" s="15"/>
      <c r="LMR237" s="15"/>
      <c r="LMS237" s="15"/>
      <c r="LMT237" s="15"/>
      <c r="LMU237" s="15"/>
      <c r="LMV237" s="15"/>
      <c r="LMW237" s="15"/>
      <c r="LMX237" s="15"/>
      <c r="LMY237" s="15"/>
      <c r="LMZ237" s="15"/>
      <c r="LNA237" s="10"/>
      <c r="LNB237" s="10"/>
      <c r="LNC237" s="21"/>
      <c r="LND237" s="21"/>
      <c r="LNG237" s="21"/>
      <c r="LNH237" s="15"/>
      <c r="LNI237" s="15"/>
      <c r="LNJ237" s="15"/>
      <c r="LNK237" s="15"/>
      <c r="LNL237" s="15"/>
      <c r="LNM237" s="15"/>
      <c r="LNN237" s="15"/>
      <c r="LNO237" s="15"/>
      <c r="LNP237" s="15"/>
      <c r="LNQ237" s="15"/>
      <c r="LNR237" s="10"/>
      <c r="LNS237" s="10"/>
      <c r="LNT237" s="21"/>
      <c r="LNU237" s="21"/>
      <c r="LNX237" s="21"/>
      <c r="LNY237" s="15"/>
      <c r="LNZ237" s="15"/>
      <c r="LOA237" s="15"/>
      <c r="LOB237" s="15"/>
      <c r="LOC237" s="15"/>
      <c r="LOD237" s="15"/>
      <c r="LOE237" s="15"/>
      <c r="LOF237" s="15"/>
      <c r="LOG237" s="15"/>
      <c r="LOH237" s="15"/>
      <c r="LOI237" s="10"/>
      <c r="LOJ237" s="10"/>
      <c r="LOK237" s="21"/>
      <c r="LOL237" s="21"/>
      <c r="LOO237" s="21"/>
      <c r="LOP237" s="15"/>
      <c r="LOQ237" s="15"/>
      <c r="LOR237" s="15"/>
      <c r="LOS237" s="15"/>
      <c r="LOT237" s="15"/>
      <c r="LOU237" s="15"/>
      <c r="LOV237" s="15"/>
      <c r="LOW237" s="15"/>
      <c r="LOX237" s="15"/>
      <c r="LOY237" s="15"/>
      <c r="LOZ237" s="10"/>
      <c r="LPA237" s="10"/>
      <c r="LPB237" s="21"/>
      <c r="LPC237" s="21"/>
      <c r="LPF237" s="21"/>
      <c r="LPG237" s="15"/>
      <c r="LPH237" s="15"/>
      <c r="LPI237" s="15"/>
      <c r="LPJ237" s="15"/>
      <c r="LPK237" s="15"/>
      <c r="LPL237" s="15"/>
      <c r="LPM237" s="15"/>
      <c r="LPN237" s="15"/>
      <c r="LPO237" s="15"/>
      <c r="LPP237" s="15"/>
      <c r="LPQ237" s="10"/>
      <c r="LPR237" s="10"/>
      <c r="LPS237" s="21"/>
      <c r="LPT237" s="21"/>
      <c r="LPW237" s="21"/>
      <c r="LPX237" s="15"/>
      <c r="LPY237" s="15"/>
      <c r="LPZ237" s="15"/>
      <c r="LQA237" s="15"/>
      <c r="LQB237" s="15"/>
      <c r="LQC237" s="15"/>
      <c r="LQD237" s="15"/>
      <c r="LQE237" s="15"/>
      <c r="LQF237" s="15"/>
      <c r="LQG237" s="15"/>
      <c r="LQH237" s="10"/>
      <c r="LQI237" s="10"/>
      <c r="LQJ237" s="21"/>
      <c r="LQK237" s="21"/>
      <c r="LQN237" s="21"/>
      <c r="LQO237" s="15"/>
      <c r="LQP237" s="15"/>
      <c r="LQQ237" s="15"/>
      <c r="LQR237" s="15"/>
      <c r="LQS237" s="15"/>
      <c r="LQT237" s="15"/>
      <c r="LQU237" s="15"/>
      <c r="LQV237" s="15"/>
      <c r="LQW237" s="15"/>
      <c r="LQX237" s="15"/>
      <c r="LQY237" s="10"/>
      <c r="LQZ237" s="10"/>
      <c r="LRA237" s="21"/>
      <c r="LRB237" s="21"/>
      <c r="LRE237" s="21"/>
      <c r="LRF237" s="15"/>
      <c r="LRG237" s="15"/>
      <c r="LRH237" s="15"/>
      <c r="LRI237" s="15"/>
      <c r="LRJ237" s="15"/>
      <c r="LRK237" s="15"/>
      <c r="LRL237" s="15"/>
      <c r="LRM237" s="15"/>
      <c r="LRN237" s="15"/>
      <c r="LRO237" s="15"/>
      <c r="LRP237" s="10"/>
      <c r="LRQ237" s="10"/>
      <c r="LRR237" s="21"/>
      <c r="LRS237" s="21"/>
      <c r="LRV237" s="21"/>
      <c r="LRW237" s="15"/>
      <c r="LRX237" s="15"/>
      <c r="LRY237" s="15"/>
      <c r="LRZ237" s="15"/>
      <c r="LSA237" s="15"/>
      <c r="LSB237" s="15"/>
      <c r="LSC237" s="15"/>
      <c r="LSD237" s="15"/>
      <c r="LSE237" s="15"/>
      <c r="LSF237" s="15"/>
      <c r="LSG237" s="10"/>
      <c r="LSH237" s="10"/>
      <c r="LSI237" s="21"/>
      <c r="LSJ237" s="21"/>
      <c r="LSM237" s="21"/>
      <c r="LSN237" s="15"/>
      <c r="LSO237" s="15"/>
      <c r="LSP237" s="15"/>
      <c r="LSQ237" s="15"/>
      <c r="LSR237" s="15"/>
      <c r="LSS237" s="15"/>
      <c r="LST237" s="15"/>
      <c r="LSU237" s="15"/>
      <c r="LSV237" s="15"/>
      <c r="LSW237" s="15"/>
      <c r="LSX237" s="10"/>
      <c r="LSY237" s="10"/>
      <c r="LSZ237" s="21"/>
      <c r="LTA237" s="21"/>
      <c r="LTD237" s="21"/>
      <c r="LTE237" s="15"/>
      <c r="LTF237" s="15"/>
      <c r="LTG237" s="15"/>
      <c r="LTH237" s="15"/>
      <c r="LTI237" s="15"/>
      <c r="LTJ237" s="15"/>
      <c r="LTK237" s="15"/>
      <c r="LTL237" s="15"/>
      <c r="LTM237" s="15"/>
      <c r="LTN237" s="15"/>
      <c r="LTO237" s="10"/>
      <c r="LTP237" s="10"/>
      <c r="LTQ237" s="21"/>
      <c r="LTR237" s="21"/>
      <c r="LTU237" s="21"/>
      <c r="LTV237" s="15"/>
      <c r="LTW237" s="15"/>
      <c r="LTX237" s="15"/>
      <c r="LTY237" s="15"/>
      <c r="LTZ237" s="15"/>
      <c r="LUA237" s="15"/>
      <c r="LUB237" s="15"/>
      <c r="LUC237" s="15"/>
      <c r="LUD237" s="15"/>
      <c r="LUE237" s="15"/>
      <c r="LUF237" s="10"/>
      <c r="LUG237" s="10"/>
      <c r="LUH237" s="21"/>
      <c r="LUI237" s="21"/>
      <c r="LUL237" s="21"/>
      <c r="LUM237" s="15"/>
      <c r="LUN237" s="15"/>
      <c r="LUO237" s="15"/>
      <c r="LUP237" s="15"/>
      <c r="LUQ237" s="15"/>
      <c r="LUR237" s="15"/>
      <c r="LUS237" s="15"/>
      <c r="LUT237" s="15"/>
      <c r="LUU237" s="15"/>
      <c r="LUV237" s="15"/>
      <c r="LUW237" s="10"/>
      <c r="LUX237" s="10"/>
      <c r="LUY237" s="21"/>
      <c r="LUZ237" s="21"/>
      <c r="LVC237" s="21"/>
      <c r="LVD237" s="15"/>
      <c r="LVE237" s="15"/>
      <c r="LVF237" s="15"/>
      <c r="LVG237" s="15"/>
      <c r="LVH237" s="15"/>
      <c r="LVI237" s="15"/>
      <c r="LVJ237" s="15"/>
      <c r="LVK237" s="15"/>
      <c r="LVL237" s="15"/>
      <c r="LVM237" s="15"/>
      <c r="LVN237" s="10"/>
      <c r="LVO237" s="10"/>
      <c r="LVP237" s="21"/>
      <c r="LVQ237" s="21"/>
      <c r="LVT237" s="21"/>
      <c r="LVU237" s="15"/>
      <c r="LVV237" s="15"/>
      <c r="LVW237" s="15"/>
      <c r="LVX237" s="15"/>
      <c r="LVY237" s="15"/>
      <c r="LVZ237" s="15"/>
      <c r="LWA237" s="15"/>
      <c r="LWB237" s="15"/>
      <c r="LWC237" s="15"/>
      <c r="LWD237" s="15"/>
      <c r="LWE237" s="10"/>
      <c r="LWF237" s="10"/>
      <c r="LWG237" s="21"/>
      <c r="LWH237" s="21"/>
      <c r="LWK237" s="21"/>
      <c r="LWL237" s="15"/>
      <c r="LWM237" s="15"/>
      <c r="LWN237" s="15"/>
      <c r="LWO237" s="15"/>
      <c r="LWP237" s="15"/>
      <c r="LWQ237" s="15"/>
      <c r="LWR237" s="15"/>
      <c r="LWS237" s="15"/>
      <c r="LWT237" s="15"/>
      <c r="LWU237" s="15"/>
      <c r="LWV237" s="10"/>
      <c r="LWW237" s="10"/>
      <c r="LWX237" s="21"/>
      <c r="LWY237" s="21"/>
      <c r="LXB237" s="21"/>
      <c r="LXC237" s="15"/>
      <c r="LXD237" s="15"/>
      <c r="LXE237" s="15"/>
      <c r="LXF237" s="15"/>
      <c r="LXG237" s="15"/>
      <c r="LXH237" s="15"/>
      <c r="LXI237" s="15"/>
      <c r="LXJ237" s="15"/>
      <c r="LXK237" s="15"/>
      <c r="LXL237" s="15"/>
      <c r="LXM237" s="10"/>
      <c r="LXN237" s="10"/>
      <c r="LXO237" s="21"/>
      <c r="LXP237" s="21"/>
      <c r="LXS237" s="21"/>
      <c r="LXT237" s="15"/>
      <c r="LXU237" s="15"/>
      <c r="LXV237" s="15"/>
      <c r="LXW237" s="15"/>
      <c r="LXX237" s="15"/>
      <c r="LXY237" s="15"/>
      <c r="LXZ237" s="15"/>
      <c r="LYA237" s="15"/>
      <c r="LYB237" s="15"/>
      <c r="LYC237" s="15"/>
      <c r="LYD237" s="10"/>
      <c r="LYE237" s="10"/>
      <c r="LYF237" s="21"/>
      <c r="LYG237" s="21"/>
      <c r="LYJ237" s="21"/>
      <c r="LYK237" s="15"/>
      <c r="LYL237" s="15"/>
      <c r="LYM237" s="15"/>
      <c r="LYN237" s="15"/>
      <c r="LYO237" s="15"/>
      <c r="LYP237" s="15"/>
      <c r="LYQ237" s="15"/>
      <c r="LYR237" s="15"/>
      <c r="LYS237" s="15"/>
      <c r="LYT237" s="15"/>
      <c r="LYU237" s="10"/>
      <c r="LYV237" s="10"/>
      <c r="LYW237" s="21"/>
      <c r="LYX237" s="21"/>
      <c r="LZA237" s="21"/>
      <c r="LZB237" s="15"/>
      <c r="LZC237" s="15"/>
      <c r="LZD237" s="15"/>
      <c r="LZE237" s="15"/>
      <c r="LZF237" s="15"/>
      <c r="LZG237" s="15"/>
      <c r="LZH237" s="15"/>
      <c r="LZI237" s="15"/>
      <c r="LZJ237" s="15"/>
      <c r="LZK237" s="15"/>
      <c r="LZL237" s="10"/>
      <c r="LZM237" s="10"/>
      <c r="LZN237" s="21"/>
      <c r="LZO237" s="21"/>
      <c r="LZR237" s="21"/>
      <c r="LZS237" s="15"/>
      <c r="LZT237" s="15"/>
      <c r="LZU237" s="15"/>
      <c r="LZV237" s="15"/>
      <c r="LZW237" s="15"/>
      <c r="LZX237" s="15"/>
      <c r="LZY237" s="15"/>
      <c r="LZZ237" s="15"/>
      <c r="MAA237" s="15"/>
      <c r="MAB237" s="15"/>
      <c r="MAC237" s="10"/>
      <c r="MAD237" s="10"/>
      <c r="MAE237" s="21"/>
      <c r="MAF237" s="21"/>
      <c r="MAI237" s="21"/>
      <c r="MAJ237" s="15"/>
      <c r="MAK237" s="15"/>
      <c r="MAL237" s="15"/>
      <c r="MAM237" s="15"/>
      <c r="MAN237" s="15"/>
      <c r="MAO237" s="15"/>
      <c r="MAP237" s="15"/>
      <c r="MAQ237" s="15"/>
      <c r="MAR237" s="15"/>
      <c r="MAS237" s="15"/>
      <c r="MAT237" s="10"/>
      <c r="MAU237" s="10"/>
      <c r="MAV237" s="21"/>
      <c r="MAW237" s="21"/>
      <c r="MAZ237" s="21"/>
      <c r="MBA237" s="15"/>
      <c r="MBB237" s="15"/>
      <c r="MBC237" s="15"/>
      <c r="MBD237" s="15"/>
      <c r="MBE237" s="15"/>
      <c r="MBF237" s="15"/>
      <c r="MBG237" s="15"/>
      <c r="MBH237" s="15"/>
      <c r="MBI237" s="15"/>
      <c r="MBJ237" s="15"/>
      <c r="MBK237" s="10"/>
      <c r="MBL237" s="10"/>
      <c r="MBM237" s="21"/>
      <c r="MBN237" s="21"/>
      <c r="MBQ237" s="21"/>
      <c r="MBR237" s="15"/>
      <c r="MBS237" s="15"/>
      <c r="MBT237" s="15"/>
      <c r="MBU237" s="15"/>
      <c r="MBV237" s="15"/>
      <c r="MBW237" s="15"/>
      <c r="MBX237" s="15"/>
      <c r="MBY237" s="15"/>
      <c r="MBZ237" s="15"/>
      <c r="MCA237" s="15"/>
      <c r="MCB237" s="10"/>
      <c r="MCC237" s="10"/>
      <c r="MCD237" s="21"/>
      <c r="MCE237" s="21"/>
      <c r="MCH237" s="21"/>
      <c r="MCI237" s="15"/>
      <c r="MCJ237" s="15"/>
      <c r="MCK237" s="15"/>
      <c r="MCL237" s="15"/>
      <c r="MCM237" s="15"/>
      <c r="MCN237" s="15"/>
      <c r="MCO237" s="15"/>
      <c r="MCP237" s="15"/>
      <c r="MCQ237" s="15"/>
      <c r="MCR237" s="15"/>
      <c r="MCS237" s="10"/>
      <c r="MCT237" s="10"/>
      <c r="MCU237" s="21"/>
      <c r="MCV237" s="21"/>
      <c r="MCY237" s="21"/>
      <c r="MCZ237" s="15"/>
      <c r="MDA237" s="15"/>
      <c r="MDB237" s="15"/>
      <c r="MDC237" s="15"/>
      <c r="MDD237" s="15"/>
      <c r="MDE237" s="15"/>
      <c r="MDF237" s="15"/>
      <c r="MDG237" s="15"/>
      <c r="MDH237" s="15"/>
      <c r="MDI237" s="15"/>
      <c r="MDJ237" s="10"/>
      <c r="MDK237" s="10"/>
      <c r="MDL237" s="21"/>
      <c r="MDM237" s="21"/>
      <c r="MDP237" s="21"/>
      <c r="MDQ237" s="15"/>
      <c r="MDR237" s="15"/>
      <c r="MDS237" s="15"/>
      <c r="MDT237" s="15"/>
      <c r="MDU237" s="15"/>
      <c r="MDV237" s="15"/>
      <c r="MDW237" s="15"/>
      <c r="MDX237" s="15"/>
      <c r="MDY237" s="15"/>
      <c r="MDZ237" s="15"/>
      <c r="MEA237" s="10"/>
      <c r="MEB237" s="10"/>
      <c r="MEC237" s="21"/>
      <c r="MED237" s="21"/>
      <c r="MEG237" s="21"/>
      <c r="MEH237" s="15"/>
      <c r="MEI237" s="15"/>
      <c r="MEJ237" s="15"/>
      <c r="MEK237" s="15"/>
      <c r="MEL237" s="15"/>
      <c r="MEM237" s="15"/>
      <c r="MEN237" s="15"/>
      <c r="MEO237" s="15"/>
      <c r="MEP237" s="15"/>
      <c r="MEQ237" s="15"/>
      <c r="MER237" s="10"/>
      <c r="MES237" s="10"/>
      <c r="MET237" s="21"/>
      <c r="MEU237" s="21"/>
      <c r="MEX237" s="21"/>
      <c r="MEY237" s="15"/>
      <c r="MEZ237" s="15"/>
      <c r="MFA237" s="15"/>
      <c r="MFB237" s="15"/>
      <c r="MFC237" s="15"/>
      <c r="MFD237" s="15"/>
      <c r="MFE237" s="15"/>
      <c r="MFF237" s="15"/>
      <c r="MFG237" s="15"/>
      <c r="MFH237" s="15"/>
      <c r="MFI237" s="10"/>
      <c r="MFJ237" s="10"/>
      <c r="MFK237" s="21"/>
      <c r="MFL237" s="21"/>
      <c r="MFO237" s="21"/>
      <c r="MFP237" s="15"/>
      <c r="MFQ237" s="15"/>
      <c r="MFR237" s="15"/>
      <c r="MFS237" s="15"/>
      <c r="MFT237" s="15"/>
      <c r="MFU237" s="15"/>
      <c r="MFV237" s="15"/>
      <c r="MFW237" s="15"/>
      <c r="MFX237" s="15"/>
      <c r="MFY237" s="15"/>
      <c r="MFZ237" s="10"/>
      <c r="MGA237" s="10"/>
      <c r="MGB237" s="21"/>
      <c r="MGC237" s="21"/>
      <c r="MGF237" s="21"/>
      <c r="MGG237" s="15"/>
      <c r="MGH237" s="15"/>
      <c r="MGI237" s="15"/>
      <c r="MGJ237" s="15"/>
      <c r="MGK237" s="15"/>
      <c r="MGL237" s="15"/>
      <c r="MGM237" s="15"/>
      <c r="MGN237" s="15"/>
      <c r="MGO237" s="15"/>
      <c r="MGP237" s="15"/>
      <c r="MGQ237" s="10"/>
      <c r="MGR237" s="10"/>
      <c r="MGS237" s="21"/>
      <c r="MGT237" s="21"/>
      <c r="MGW237" s="21"/>
      <c r="MGX237" s="15"/>
      <c r="MGY237" s="15"/>
      <c r="MGZ237" s="15"/>
      <c r="MHA237" s="15"/>
      <c r="MHB237" s="15"/>
      <c r="MHC237" s="15"/>
      <c r="MHD237" s="15"/>
      <c r="MHE237" s="15"/>
      <c r="MHF237" s="15"/>
      <c r="MHG237" s="15"/>
      <c r="MHH237" s="10"/>
      <c r="MHI237" s="10"/>
      <c r="MHJ237" s="21"/>
      <c r="MHK237" s="21"/>
      <c r="MHN237" s="21"/>
      <c r="MHO237" s="15"/>
      <c r="MHP237" s="15"/>
      <c r="MHQ237" s="15"/>
      <c r="MHR237" s="15"/>
      <c r="MHS237" s="15"/>
      <c r="MHT237" s="15"/>
      <c r="MHU237" s="15"/>
      <c r="MHV237" s="15"/>
      <c r="MHW237" s="15"/>
      <c r="MHX237" s="15"/>
      <c r="MHY237" s="10"/>
      <c r="MHZ237" s="10"/>
      <c r="MIA237" s="21"/>
      <c r="MIB237" s="21"/>
      <c r="MIE237" s="21"/>
      <c r="MIF237" s="15"/>
      <c r="MIG237" s="15"/>
      <c r="MIH237" s="15"/>
      <c r="MII237" s="15"/>
      <c r="MIJ237" s="15"/>
      <c r="MIK237" s="15"/>
      <c r="MIL237" s="15"/>
      <c r="MIM237" s="15"/>
      <c r="MIN237" s="15"/>
      <c r="MIO237" s="15"/>
      <c r="MIP237" s="10"/>
      <c r="MIQ237" s="10"/>
      <c r="MIR237" s="21"/>
      <c r="MIS237" s="21"/>
      <c r="MIV237" s="21"/>
      <c r="MIW237" s="15"/>
      <c r="MIX237" s="15"/>
      <c r="MIY237" s="15"/>
      <c r="MIZ237" s="15"/>
      <c r="MJA237" s="15"/>
      <c r="MJB237" s="15"/>
      <c r="MJC237" s="15"/>
      <c r="MJD237" s="15"/>
      <c r="MJE237" s="15"/>
      <c r="MJF237" s="15"/>
      <c r="MJG237" s="10"/>
      <c r="MJH237" s="10"/>
      <c r="MJI237" s="21"/>
      <c r="MJJ237" s="21"/>
      <c r="MJM237" s="21"/>
      <c r="MJN237" s="15"/>
      <c r="MJO237" s="15"/>
      <c r="MJP237" s="15"/>
      <c r="MJQ237" s="15"/>
      <c r="MJR237" s="15"/>
      <c r="MJS237" s="15"/>
      <c r="MJT237" s="15"/>
      <c r="MJU237" s="15"/>
      <c r="MJV237" s="15"/>
      <c r="MJW237" s="15"/>
      <c r="MJX237" s="10"/>
      <c r="MJY237" s="10"/>
      <c r="MJZ237" s="21"/>
      <c r="MKA237" s="21"/>
      <c r="MKD237" s="21"/>
      <c r="MKE237" s="15"/>
      <c r="MKF237" s="15"/>
      <c r="MKG237" s="15"/>
      <c r="MKH237" s="15"/>
      <c r="MKI237" s="15"/>
      <c r="MKJ237" s="15"/>
      <c r="MKK237" s="15"/>
      <c r="MKL237" s="15"/>
      <c r="MKM237" s="15"/>
      <c r="MKN237" s="15"/>
      <c r="MKO237" s="10"/>
      <c r="MKP237" s="10"/>
      <c r="MKQ237" s="21"/>
      <c r="MKR237" s="21"/>
      <c r="MKU237" s="21"/>
      <c r="MKV237" s="15"/>
      <c r="MKW237" s="15"/>
      <c r="MKX237" s="15"/>
      <c r="MKY237" s="15"/>
      <c r="MKZ237" s="15"/>
      <c r="MLA237" s="15"/>
      <c r="MLB237" s="15"/>
      <c r="MLC237" s="15"/>
      <c r="MLD237" s="15"/>
      <c r="MLE237" s="15"/>
      <c r="MLF237" s="10"/>
      <c r="MLG237" s="10"/>
      <c r="MLH237" s="21"/>
      <c r="MLI237" s="21"/>
      <c r="MLL237" s="21"/>
      <c r="MLM237" s="15"/>
      <c r="MLN237" s="15"/>
      <c r="MLO237" s="15"/>
      <c r="MLP237" s="15"/>
      <c r="MLQ237" s="15"/>
      <c r="MLR237" s="15"/>
      <c r="MLS237" s="15"/>
      <c r="MLT237" s="15"/>
      <c r="MLU237" s="15"/>
      <c r="MLV237" s="15"/>
      <c r="MLW237" s="10"/>
      <c r="MLX237" s="10"/>
      <c r="MLY237" s="21"/>
      <c r="MLZ237" s="21"/>
      <c r="MMC237" s="21"/>
      <c r="MMD237" s="15"/>
      <c r="MME237" s="15"/>
      <c r="MMF237" s="15"/>
      <c r="MMG237" s="15"/>
      <c r="MMH237" s="15"/>
      <c r="MMI237" s="15"/>
      <c r="MMJ237" s="15"/>
      <c r="MMK237" s="15"/>
      <c r="MML237" s="15"/>
      <c r="MMM237" s="15"/>
      <c r="MMN237" s="10"/>
      <c r="MMO237" s="10"/>
      <c r="MMP237" s="21"/>
      <c r="MMQ237" s="21"/>
      <c r="MMT237" s="21"/>
      <c r="MMU237" s="15"/>
      <c r="MMV237" s="15"/>
      <c r="MMW237" s="15"/>
      <c r="MMX237" s="15"/>
      <c r="MMY237" s="15"/>
      <c r="MMZ237" s="15"/>
      <c r="MNA237" s="15"/>
      <c r="MNB237" s="15"/>
      <c r="MNC237" s="15"/>
      <c r="MND237" s="15"/>
      <c r="MNE237" s="10"/>
      <c r="MNF237" s="10"/>
      <c r="MNG237" s="21"/>
      <c r="MNH237" s="21"/>
      <c r="MNK237" s="21"/>
      <c r="MNL237" s="15"/>
      <c r="MNM237" s="15"/>
      <c r="MNN237" s="15"/>
      <c r="MNO237" s="15"/>
      <c r="MNP237" s="15"/>
      <c r="MNQ237" s="15"/>
      <c r="MNR237" s="15"/>
      <c r="MNS237" s="15"/>
      <c r="MNT237" s="15"/>
      <c r="MNU237" s="15"/>
      <c r="MNV237" s="10"/>
      <c r="MNW237" s="10"/>
      <c r="MNX237" s="21"/>
      <c r="MNY237" s="21"/>
      <c r="MOB237" s="21"/>
      <c r="MOC237" s="15"/>
      <c r="MOD237" s="15"/>
      <c r="MOE237" s="15"/>
      <c r="MOF237" s="15"/>
      <c r="MOG237" s="15"/>
      <c r="MOH237" s="15"/>
      <c r="MOI237" s="15"/>
      <c r="MOJ237" s="15"/>
      <c r="MOK237" s="15"/>
      <c r="MOL237" s="15"/>
      <c r="MOM237" s="10"/>
      <c r="MON237" s="10"/>
      <c r="MOO237" s="21"/>
      <c r="MOP237" s="21"/>
      <c r="MOS237" s="21"/>
      <c r="MOT237" s="15"/>
      <c r="MOU237" s="15"/>
      <c r="MOV237" s="15"/>
      <c r="MOW237" s="15"/>
      <c r="MOX237" s="15"/>
      <c r="MOY237" s="15"/>
      <c r="MOZ237" s="15"/>
      <c r="MPA237" s="15"/>
      <c r="MPB237" s="15"/>
      <c r="MPC237" s="15"/>
      <c r="MPD237" s="10"/>
      <c r="MPE237" s="10"/>
      <c r="MPF237" s="21"/>
      <c r="MPG237" s="21"/>
      <c r="MPJ237" s="21"/>
      <c r="MPK237" s="15"/>
      <c r="MPL237" s="15"/>
      <c r="MPM237" s="15"/>
      <c r="MPN237" s="15"/>
      <c r="MPO237" s="15"/>
      <c r="MPP237" s="15"/>
      <c r="MPQ237" s="15"/>
      <c r="MPR237" s="15"/>
      <c r="MPS237" s="15"/>
      <c r="MPT237" s="15"/>
      <c r="MPU237" s="10"/>
      <c r="MPV237" s="10"/>
      <c r="MPW237" s="21"/>
      <c r="MPX237" s="21"/>
      <c r="MQA237" s="21"/>
      <c r="MQB237" s="15"/>
      <c r="MQC237" s="15"/>
      <c r="MQD237" s="15"/>
      <c r="MQE237" s="15"/>
      <c r="MQF237" s="15"/>
      <c r="MQG237" s="15"/>
      <c r="MQH237" s="15"/>
      <c r="MQI237" s="15"/>
      <c r="MQJ237" s="15"/>
      <c r="MQK237" s="15"/>
      <c r="MQL237" s="10"/>
      <c r="MQM237" s="10"/>
      <c r="MQN237" s="21"/>
      <c r="MQO237" s="21"/>
      <c r="MQR237" s="21"/>
      <c r="MQS237" s="15"/>
      <c r="MQT237" s="15"/>
      <c r="MQU237" s="15"/>
      <c r="MQV237" s="15"/>
      <c r="MQW237" s="15"/>
      <c r="MQX237" s="15"/>
      <c r="MQY237" s="15"/>
      <c r="MQZ237" s="15"/>
      <c r="MRA237" s="15"/>
      <c r="MRB237" s="15"/>
      <c r="MRC237" s="10"/>
      <c r="MRD237" s="10"/>
      <c r="MRE237" s="21"/>
      <c r="MRF237" s="21"/>
      <c r="MRI237" s="21"/>
      <c r="MRJ237" s="15"/>
      <c r="MRK237" s="15"/>
      <c r="MRL237" s="15"/>
      <c r="MRM237" s="15"/>
      <c r="MRN237" s="15"/>
      <c r="MRO237" s="15"/>
      <c r="MRP237" s="15"/>
      <c r="MRQ237" s="15"/>
      <c r="MRR237" s="15"/>
      <c r="MRS237" s="15"/>
      <c r="MRT237" s="10"/>
      <c r="MRU237" s="10"/>
      <c r="MRV237" s="21"/>
      <c r="MRW237" s="21"/>
      <c r="MRZ237" s="21"/>
      <c r="MSA237" s="15"/>
      <c r="MSB237" s="15"/>
      <c r="MSC237" s="15"/>
      <c r="MSD237" s="15"/>
      <c r="MSE237" s="15"/>
      <c r="MSF237" s="15"/>
      <c r="MSG237" s="15"/>
      <c r="MSH237" s="15"/>
      <c r="MSI237" s="15"/>
      <c r="MSJ237" s="15"/>
      <c r="MSK237" s="10"/>
      <c r="MSL237" s="10"/>
      <c r="MSM237" s="21"/>
      <c r="MSN237" s="21"/>
      <c r="MSQ237" s="21"/>
      <c r="MSR237" s="15"/>
      <c r="MSS237" s="15"/>
      <c r="MST237" s="15"/>
      <c r="MSU237" s="15"/>
      <c r="MSV237" s="15"/>
      <c r="MSW237" s="15"/>
      <c r="MSX237" s="15"/>
      <c r="MSY237" s="15"/>
      <c r="MSZ237" s="15"/>
      <c r="MTA237" s="15"/>
      <c r="MTB237" s="10"/>
      <c r="MTC237" s="10"/>
      <c r="MTD237" s="21"/>
      <c r="MTE237" s="21"/>
      <c r="MTH237" s="21"/>
      <c r="MTI237" s="15"/>
      <c r="MTJ237" s="15"/>
      <c r="MTK237" s="15"/>
      <c r="MTL237" s="15"/>
      <c r="MTM237" s="15"/>
      <c r="MTN237" s="15"/>
      <c r="MTO237" s="15"/>
      <c r="MTP237" s="15"/>
      <c r="MTQ237" s="15"/>
      <c r="MTR237" s="15"/>
      <c r="MTS237" s="10"/>
      <c r="MTT237" s="10"/>
      <c r="MTU237" s="21"/>
      <c r="MTV237" s="21"/>
      <c r="MTY237" s="21"/>
      <c r="MTZ237" s="15"/>
      <c r="MUA237" s="15"/>
      <c r="MUB237" s="15"/>
      <c r="MUC237" s="15"/>
      <c r="MUD237" s="15"/>
      <c r="MUE237" s="15"/>
      <c r="MUF237" s="15"/>
      <c r="MUG237" s="15"/>
      <c r="MUH237" s="15"/>
      <c r="MUI237" s="15"/>
      <c r="MUJ237" s="10"/>
      <c r="MUK237" s="10"/>
      <c r="MUL237" s="21"/>
      <c r="MUM237" s="21"/>
      <c r="MUP237" s="21"/>
      <c r="MUQ237" s="15"/>
      <c r="MUR237" s="15"/>
      <c r="MUS237" s="15"/>
      <c r="MUT237" s="15"/>
      <c r="MUU237" s="15"/>
      <c r="MUV237" s="15"/>
      <c r="MUW237" s="15"/>
      <c r="MUX237" s="15"/>
      <c r="MUY237" s="15"/>
      <c r="MUZ237" s="15"/>
      <c r="MVA237" s="10"/>
      <c r="MVB237" s="10"/>
      <c r="MVC237" s="21"/>
      <c r="MVD237" s="21"/>
      <c r="MVG237" s="21"/>
      <c r="MVH237" s="15"/>
      <c r="MVI237" s="15"/>
      <c r="MVJ237" s="15"/>
      <c r="MVK237" s="15"/>
      <c r="MVL237" s="15"/>
      <c r="MVM237" s="15"/>
      <c r="MVN237" s="15"/>
      <c r="MVO237" s="15"/>
      <c r="MVP237" s="15"/>
      <c r="MVQ237" s="15"/>
      <c r="MVR237" s="10"/>
      <c r="MVS237" s="10"/>
      <c r="MVT237" s="21"/>
      <c r="MVU237" s="21"/>
      <c r="MVX237" s="21"/>
      <c r="MVY237" s="15"/>
      <c r="MVZ237" s="15"/>
      <c r="MWA237" s="15"/>
      <c r="MWB237" s="15"/>
      <c r="MWC237" s="15"/>
      <c r="MWD237" s="15"/>
      <c r="MWE237" s="15"/>
      <c r="MWF237" s="15"/>
      <c r="MWG237" s="15"/>
      <c r="MWH237" s="15"/>
      <c r="MWI237" s="10"/>
      <c r="MWJ237" s="10"/>
      <c r="MWK237" s="21"/>
      <c r="MWL237" s="21"/>
      <c r="MWO237" s="21"/>
      <c r="MWP237" s="15"/>
      <c r="MWQ237" s="15"/>
      <c r="MWR237" s="15"/>
      <c r="MWS237" s="15"/>
      <c r="MWT237" s="15"/>
      <c r="MWU237" s="15"/>
      <c r="MWV237" s="15"/>
      <c r="MWW237" s="15"/>
      <c r="MWX237" s="15"/>
      <c r="MWY237" s="15"/>
      <c r="MWZ237" s="10"/>
      <c r="MXA237" s="10"/>
      <c r="MXB237" s="21"/>
      <c r="MXC237" s="21"/>
      <c r="MXF237" s="21"/>
      <c r="MXG237" s="15"/>
      <c r="MXH237" s="15"/>
      <c r="MXI237" s="15"/>
      <c r="MXJ237" s="15"/>
      <c r="MXK237" s="15"/>
      <c r="MXL237" s="15"/>
      <c r="MXM237" s="15"/>
      <c r="MXN237" s="15"/>
      <c r="MXO237" s="15"/>
      <c r="MXP237" s="15"/>
      <c r="MXQ237" s="10"/>
      <c r="MXR237" s="10"/>
      <c r="MXS237" s="21"/>
      <c r="MXT237" s="21"/>
      <c r="MXW237" s="21"/>
      <c r="MXX237" s="15"/>
      <c r="MXY237" s="15"/>
      <c r="MXZ237" s="15"/>
      <c r="MYA237" s="15"/>
      <c r="MYB237" s="15"/>
      <c r="MYC237" s="15"/>
      <c r="MYD237" s="15"/>
      <c r="MYE237" s="15"/>
      <c r="MYF237" s="15"/>
      <c r="MYG237" s="15"/>
      <c r="MYH237" s="10"/>
      <c r="MYI237" s="10"/>
      <c r="MYJ237" s="21"/>
      <c r="MYK237" s="21"/>
      <c r="MYN237" s="21"/>
      <c r="MYO237" s="15"/>
      <c r="MYP237" s="15"/>
      <c r="MYQ237" s="15"/>
      <c r="MYR237" s="15"/>
      <c r="MYS237" s="15"/>
      <c r="MYT237" s="15"/>
      <c r="MYU237" s="15"/>
      <c r="MYV237" s="15"/>
      <c r="MYW237" s="15"/>
      <c r="MYX237" s="15"/>
      <c r="MYY237" s="10"/>
      <c r="MYZ237" s="10"/>
      <c r="MZA237" s="21"/>
      <c r="MZB237" s="21"/>
      <c r="MZE237" s="21"/>
      <c r="MZF237" s="15"/>
      <c r="MZG237" s="15"/>
      <c r="MZH237" s="15"/>
      <c r="MZI237" s="15"/>
      <c r="MZJ237" s="15"/>
      <c r="MZK237" s="15"/>
      <c r="MZL237" s="15"/>
      <c r="MZM237" s="15"/>
      <c r="MZN237" s="15"/>
      <c r="MZO237" s="15"/>
      <c r="MZP237" s="10"/>
      <c r="MZQ237" s="10"/>
      <c r="MZR237" s="21"/>
      <c r="MZS237" s="21"/>
      <c r="MZV237" s="21"/>
      <c r="MZW237" s="15"/>
      <c r="MZX237" s="15"/>
      <c r="MZY237" s="15"/>
      <c r="MZZ237" s="15"/>
      <c r="NAA237" s="15"/>
      <c r="NAB237" s="15"/>
      <c r="NAC237" s="15"/>
      <c r="NAD237" s="15"/>
      <c r="NAE237" s="15"/>
      <c r="NAF237" s="15"/>
      <c r="NAG237" s="10"/>
      <c r="NAH237" s="10"/>
      <c r="NAI237" s="21"/>
      <c r="NAJ237" s="21"/>
      <c r="NAM237" s="21"/>
      <c r="NAN237" s="15"/>
      <c r="NAO237" s="15"/>
      <c r="NAP237" s="15"/>
      <c r="NAQ237" s="15"/>
      <c r="NAR237" s="15"/>
      <c r="NAS237" s="15"/>
      <c r="NAT237" s="15"/>
      <c r="NAU237" s="15"/>
      <c r="NAV237" s="15"/>
      <c r="NAW237" s="15"/>
      <c r="NAX237" s="10"/>
      <c r="NAY237" s="10"/>
      <c r="NAZ237" s="21"/>
      <c r="NBA237" s="21"/>
      <c r="NBD237" s="21"/>
      <c r="NBE237" s="15"/>
      <c r="NBF237" s="15"/>
      <c r="NBG237" s="15"/>
      <c r="NBH237" s="15"/>
      <c r="NBI237" s="15"/>
      <c r="NBJ237" s="15"/>
      <c r="NBK237" s="15"/>
      <c r="NBL237" s="15"/>
      <c r="NBM237" s="15"/>
      <c r="NBN237" s="15"/>
      <c r="NBO237" s="10"/>
      <c r="NBP237" s="10"/>
      <c r="NBQ237" s="21"/>
      <c r="NBR237" s="21"/>
      <c r="NBU237" s="21"/>
      <c r="NBV237" s="15"/>
      <c r="NBW237" s="15"/>
      <c r="NBX237" s="15"/>
      <c r="NBY237" s="15"/>
      <c r="NBZ237" s="15"/>
      <c r="NCA237" s="15"/>
      <c r="NCB237" s="15"/>
      <c r="NCC237" s="15"/>
      <c r="NCD237" s="15"/>
      <c r="NCE237" s="15"/>
      <c r="NCF237" s="10"/>
      <c r="NCG237" s="10"/>
      <c r="NCH237" s="21"/>
      <c r="NCI237" s="21"/>
      <c r="NCL237" s="21"/>
      <c r="NCM237" s="15"/>
      <c r="NCN237" s="15"/>
      <c r="NCO237" s="15"/>
      <c r="NCP237" s="15"/>
      <c r="NCQ237" s="15"/>
      <c r="NCR237" s="15"/>
      <c r="NCS237" s="15"/>
      <c r="NCT237" s="15"/>
      <c r="NCU237" s="15"/>
      <c r="NCV237" s="15"/>
      <c r="NCW237" s="10"/>
      <c r="NCX237" s="10"/>
      <c r="NCY237" s="21"/>
      <c r="NCZ237" s="21"/>
      <c r="NDC237" s="21"/>
      <c r="NDD237" s="15"/>
      <c r="NDE237" s="15"/>
      <c r="NDF237" s="15"/>
      <c r="NDG237" s="15"/>
      <c r="NDH237" s="15"/>
      <c r="NDI237" s="15"/>
      <c r="NDJ237" s="15"/>
      <c r="NDK237" s="15"/>
      <c r="NDL237" s="15"/>
      <c r="NDM237" s="15"/>
      <c r="NDN237" s="10"/>
      <c r="NDO237" s="10"/>
      <c r="NDP237" s="21"/>
      <c r="NDQ237" s="21"/>
      <c r="NDT237" s="21"/>
      <c r="NDU237" s="15"/>
      <c r="NDV237" s="15"/>
      <c r="NDW237" s="15"/>
      <c r="NDX237" s="15"/>
      <c r="NDY237" s="15"/>
      <c r="NDZ237" s="15"/>
      <c r="NEA237" s="15"/>
      <c r="NEB237" s="15"/>
      <c r="NEC237" s="15"/>
      <c r="NED237" s="15"/>
      <c r="NEE237" s="10"/>
      <c r="NEF237" s="10"/>
      <c r="NEG237" s="21"/>
      <c r="NEH237" s="21"/>
      <c r="NEK237" s="21"/>
      <c r="NEL237" s="15"/>
      <c r="NEM237" s="15"/>
      <c r="NEN237" s="15"/>
      <c r="NEO237" s="15"/>
      <c r="NEP237" s="15"/>
      <c r="NEQ237" s="15"/>
      <c r="NER237" s="15"/>
      <c r="NES237" s="15"/>
      <c r="NET237" s="15"/>
      <c r="NEU237" s="15"/>
      <c r="NEV237" s="10"/>
      <c r="NEW237" s="10"/>
      <c r="NEX237" s="21"/>
      <c r="NEY237" s="21"/>
      <c r="NFB237" s="21"/>
      <c r="NFC237" s="15"/>
      <c r="NFD237" s="15"/>
      <c r="NFE237" s="15"/>
      <c r="NFF237" s="15"/>
      <c r="NFG237" s="15"/>
      <c r="NFH237" s="15"/>
      <c r="NFI237" s="15"/>
      <c r="NFJ237" s="15"/>
      <c r="NFK237" s="15"/>
      <c r="NFL237" s="15"/>
      <c r="NFM237" s="10"/>
      <c r="NFN237" s="10"/>
      <c r="NFO237" s="21"/>
      <c r="NFP237" s="21"/>
      <c r="NFS237" s="21"/>
      <c r="NFT237" s="15"/>
      <c r="NFU237" s="15"/>
      <c r="NFV237" s="15"/>
      <c r="NFW237" s="15"/>
      <c r="NFX237" s="15"/>
      <c r="NFY237" s="15"/>
      <c r="NFZ237" s="15"/>
      <c r="NGA237" s="15"/>
      <c r="NGB237" s="15"/>
      <c r="NGC237" s="15"/>
      <c r="NGD237" s="10"/>
      <c r="NGE237" s="10"/>
      <c r="NGF237" s="21"/>
      <c r="NGG237" s="21"/>
      <c r="NGJ237" s="21"/>
      <c r="NGK237" s="15"/>
      <c r="NGL237" s="15"/>
      <c r="NGM237" s="15"/>
      <c r="NGN237" s="15"/>
      <c r="NGO237" s="15"/>
      <c r="NGP237" s="15"/>
      <c r="NGQ237" s="15"/>
      <c r="NGR237" s="15"/>
      <c r="NGS237" s="15"/>
      <c r="NGT237" s="15"/>
      <c r="NGU237" s="10"/>
      <c r="NGV237" s="10"/>
      <c r="NGW237" s="21"/>
      <c r="NGX237" s="21"/>
      <c r="NHA237" s="21"/>
      <c r="NHB237" s="15"/>
      <c r="NHC237" s="15"/>
      <c r="NHD237" s="15"/>
      <c r="NHE237" s="15"/>
      <c r="NHF237" s="15"/>
      <c r="NHG237" s="15"/>
      <c r="NHH237" s="15"/>
      <c r="NHI237" s="15"/>
      <c r="NHJ237" s="15"/>
      <c r="NHK237" s="15"/>
      <c r="NHL237" s="10"/>
      <c r="NHM237" s="10"/>
      <c r="NHN237" s="21"/>
      <c r="NHO237" s="21"/>
      <c r="NHR237" s="21"/>
      <c r="NHS237" s="15"/>
      <c r="NHT237" s="15"/>
      <c r="NHU237" s="15"/>
      <c r="NHV237" s="15"/>
      <c r="NHW237" s="15"/>
      <c r="NHX237" s="15"/>
      <c r="NHY237" s="15"/>
      <c r="NHZ237" s="15"/>
      <c r="NIA237" s="15"/>
      <c r="NIB237" s="15"/>
      <c r="NIC237" s="10"/>
      <c r="NID237" s="10"/>
      <c r="NIE237" s="21"/>
      <c r="NIF237" s="21"/>
      <c r="NII237" s="21"/>
      <c r="NIJ237" s="15"/>
      <c r="NIK237" s="15"/>
      <c r="NIL237" s="15"/>
      <c r="NIM237" s="15"/>
      <c r="NIN237" s="15"/>
      <c r="NIO237" s="15"/>
      <c r="NIP237" s="15"/>
      <c r="NIQ237" s="15"/>
      <c r="NIR237" s="15"/>
      <c r="NIS237" s="15"/>
      <c r="NIT237" s="10"/>
      <c r="NIU237" s="10"/>
      <c r="NIV237" s="21"/>
      <c r="NIW237" s="21"/>
      <c r="NIZ237" s="21"/>
      <c r="NJA237" s="15"/>
      <c r="NJB237" s="15"/>
      <c r="NJC237" s="15"/>
      <c r="NJD237" s="15"/>
      <c r="NJE237" s="15"/>
      <c r="NJF237" s="15"/>
      <c r="NJG237" s="15"/>
      <c r="NJH237" s="15"/>
      <c r="NJI237" s="15"/>
      <c r="NJJ237" s="15"/>
      <c r="NJK237" s="10"/>
      <c r="NJL237" s="10"/>
      <c r="NJM237" s="21"/>
      <c r="NJN237" s="21"/>
      <c r="NJQ237" s="21"/>
      <c r="NJR237" s="15"/>
      <c r="NJS237" s="15"/>
      <c r="NJT237" s="15"/>
      <c r="NJU237" s="15"/>
      <c r="NJV237" s="15"/>
      <c r="NJW237" s="15"/>
      <c r="NJX237" s="15"/>
      <c r="NJY237" s="15"/>
      <c r="NJZ237" s="15"/>
      <c r="NKA237" s="15"/>
      <c r="NKB237" s="10"/>
      <c r="NKC237" s="10"/>
      <c r="NKD237" s="21"/>
      <c r="NKE237" s="21"/>
      <c r="NKH237" s="21"/>
      <c r="NKI237" s="15"/>
      <c r="NKJ237" s="15"/>
      <c r="NKK237" s="15"/>
      <c r="NKL237" s="15"/>
      <c r="NKM237" s="15"/>
      <c r="NKN237" s="15"/>
      <c r="NKO237" s="15"/>
      <c r="NKP237" s="15"/>
      <c r="NKQ237" s="15"/>
      <c r="NKR237" s="15"/>
      <c r="NKS237" s="10"/>
      <c r="NKT237" s="10"/>
      <c r="NKU237" s="21"/>
      <c r="NKV237" s="21"/>
      <c r="NKY237" s="21"/>
      <c r="NKZ237" s="15"/>
      <c r="NLA237" s="15"/>
      <c r="NLB237" s="15"/>
      <c r="NLC237" s="15"/>
      <c r="NLD237" s="15"/>
      <c r="NLE237" s="15"/>
      <c r="NLF237" s="15"/>
      <c r="NLG237" s="15"/>
      <c r="NLH237" s="15"/>
      <c r="NLI237" s="15"/>
      <c r="NLJ237" s="10"/>
      <c r="NLK237" s="10"/>
      <c r="NLL237" s="21"/>
      <c r="NLM237" s="21"/>
      <c r="NLP237" s="21"/>
      <c r="NLQ237" s="15"/>
      <c r="NLR237" s="15"/>
      <c r="NLS237" s="15"/>
      <c r="NLT237" s="15"/>
      <c r="NLU237" s="15"/>
      <c r="NLV237" s="15"/>
      <c r="NLW237" s="15"/>
      <c r="NLX237" s="15"/>
      <c r="NLY237" s="15"/>
      <c r="NLZ237" s="15"/>
      <c r="NMA237" s="10"/>
      <c r="NMB237" s="10"/>
      <c r="NMC237" s="21"/>
      <c r="NMD237" s="21"/>
      <c r="NMG237" s="21"/>
      <c r="NMH237" s="15"/>
      <c r="NMI237" s="15"/>
      <c r="NMJ237" s="15"/>
      <c r="NMK237" s="15"/>
      <c r="NML237" s="15"/>
      <c r="NMM237" s="15"/>
      <c r="NMN237" s="15"/>
      <c r="NMO237" s="15"/>
      <c r="NMP237" s="15"/>
      <c r="NMQ237" s="15"/>
      <c r="NMR237" s="10"/>
      <c r="NMS237" s="10"/>
      <c r="NMT237" s="21"/>
      <c r="NMU237" s="21"/>
      <c r="NMX237" s="21"/>
      <c r="NMY237" s="15"/>
      <c r="NMZ237" s="15"/>
      <c r="NNA237" s="15"/>
      <c r="NNB237" s="15"/>
      <c r="NNC237" s="15"/>
      <c r="NND237" s="15"/>
      <c r="NNE237" s="15"/>
      <c r="NNF237" s="15"/>
      <c r="NNG237" s="15"/>
      <c r="NNH237" s="15"/>
      <c r="NNI237" s="10"/>
      <c r="NNJ237" s="10"/>
      <c r="NNK237" s="21"/>
      <c r="NNL237" s="21"/>
      <c r="NNO237" s="21"/>
      <c r="NNP237" s="15"/>
      <c r="NNQ237" s="15"/>
      <c r="NNR237" s="15"/>
      <c r="NNS237" s="15"/>
      <c r="NNT237" s="15"/>
      <c r="NNU237" s="15"/>
      <c r="NNV237" s="15"/>
      <c r="NNW237" s="15"/>
      <c r="NNX237" s="15"/>
      <c r="NNY237" s="15"/>
      <c r="NNZ237" s="10"/>
      <c r="NOA237" s="10"/>
      <c r="NOB237" s="21"/>
      <c r="NOC237" s="21"/>
      <c r="NOF237" s="21"/>
      <c r="NOG237" s="15"/>
      <c r="NOH237" s="15"/>
      <c r="NOI237" s="15"/>
      <c r="NOJ237" s="15"/>
      <c r="NOK237" s="15"/>
      <c r="NOL237" s="15"/>
      <c r="NOM237" s="15"/>
      <c r="NON237" s="15"/>
      <c r="NOO237" s="15"/>
      <c r="NOP237" s="15"/>
      <c r="NOQ237" s="10"/>
      <c r="NOR237" s="10"/>
      <c r="NOS237" s="21"/>
      <c r="NOT237" s="21"/>
      <c r="NOW237" s="21"/>
      <c r="NOX237" s="15"/>
      <c r="NOY237" s="15"/>
      <c r="NOZ237" s="15"/>
      <c r="NPA237" s="15"/>
      <c r="NPB237" s="15"/>
      <c r="NPC237" s="15"/>
      <c r="NPD237" s="15"/>
      <c r="NPE237" s="15"/>
      <c r="NPF237" s="15"/>
      <c r="NPG237" s="15"/>
      <c r="NPH237" s="10"/>
      <c r="NPI237" s="10"/>
      <c r="NPJ237" s="21"/>
      <c r="NPK237" s="21"/>
      <c r="NPN237" s="21"/>
      <c r="NPO237" s="15"/>
      <c r="NPP237" s="15"/>
      <c r="NPQ237" s="15"/>
      <c r="NPR237" s="15"/>
      <c r="NPS237" s="15"/>
      <c r="NPT237" s="15"/>
      <c r="NPU237" s="15"/>
      <c r="NPV237" s="15"/>
      <c r="NPW237" s="15"/>
      <c r="NPX237" s="15"/>
      <c r="NPY237" s="10"/>
      <c r="NPZ237" s="10"/>
      <c r="NQA237" s="21"/>
      <c r="NQB237" s="21"/>
      <c r="NQE237" s="21"/>
      <c r="NQF237" s="15"/>
      <c r="NQG237" s="15"/>
      <c r="NQH237" s="15"/>
      <c r="NQI237" s="15"/>
      <c r="NQJ237" s="15"/>
      <c r="NQK237" s="15"/>
      <c r="NQL237" s="15"/>
      <c r="NQM237" s="15"/>
      <c r="NQN237" s="15"/>
      <c r="NQO237" s="15"/>
      <c r="NQP237" s="10"/>
      <c r="NQQ237" s="10"/>
      <c r="NQR237" s="21"/>
      <c r="NQS237" s="21"/>
      <c r="NQV237" s="21"/>
      <c r="NQW237" s="15"/>
      <c r="NQX237" s="15"/>
      <c r="NQY237" s="15"/>
      <c r="NQZ237" s="15"/>
      <c r="NRA237" s="15"/>
      <c r="NRB237" s="15"/>
      <c r="NRC237" s="15"/>
      <c r="NRD237" s="15"/>
      <c r="NRE237" s="15"/>
      <c r="NRF237" s="15"/>
      <c r="NRG237" s="10"/>
      <c r="NRH237" s="10"/>
      <c r="NRI237" s="21"/>
      <c r="NRJ237" s="21"/>
      <c r="NRM237" s="21"/>
      <c r="NRN237" s="15"/>
      <c r="NRO237" s="15"/>
      <c r="NRP237" s="15"/>
      <c r="NRQ237" s="15"/>
      <c r="NRR237" s="15"/>
      <c r="NRS237" s="15"/>
      <c r="NRT237" s="15"/>
      <c r="NRU237" s="15"/>
      <c r="NRV237" s="15"/>
      <c r="NRW237" s="15"/>
      <c r="NRX237" s="10"/>
      <c r="NRY237" s="10"/>
      <c r="NRZ237" s="21"/>
      <c r="NSA237" s="21"/>
      <c r="NSD237" s="21"/>
      <c r="NSE237" s="15"/>
      <c r="NSF237" s="15"/>
      <c r="NSG237" s="15"/>
      <c r="NSH237" s="15"/>
      <c r="NSI237" s="15"/>
      <c r="NSJ237" s="15"/>
      <c r="NSK237" s="15"/>
      <c r="NSL237" s="15"/>
      <c r="NSM237" s="15"/>
      <c r="NSN237" s="15"/>
      <c r="NSO237" s="10"/>
      <c r="NSP237" s="10"/>
      <c r="NSQ237" s="21"/>
      <c r="NSR237" s="21"/>
      <c r="NSU237" s="21"/>
      <c r="NSV237" s="15"/>
      <c r="NSW237" s="15"/>
      <c r="NSX237" s="15"/>
      <c r="NSY237" s="15"/>
      <c r="NSZ237" s="15"/>
      <c r="NTA237" s="15"/>
      <c r="NTB237" s="15"/>
      <c r="NTC237" s="15"/>
      <c r="NTD237" s="15"/>
      <c r="NTE237" s="15"/>
      <c r="NTF237" s="10"/>
      <c r="NTG237" s="10"/>
      <c r="NTH237" s="21"/>
      <c r="NTI237" s="21"/>
      <c r="NTL237" s="21"/>
      <c r="NTM237" s="15"/>
      <c r="NTN237" s="15"/>
      <c r="NTO237" s="15"/>
      <c r="NTP237" s="15"/>
      <c r="NTQ237" s="15"/>
      <c r="NTR237" s="15"/>
      <c r="NTS237" s="15"/>
      <c r="NTT237" s="15"/>
      <c r="NTU237" s="15"/>
      <c r="NTV237" s="15"/>
      <c r="NTW237" s="10"/>
      <c r="NTX237" s="10"/>
      <c r="NTY237" s="21"/>
      <c r="NTZ237" s="21"/>
      <c r="NUC237" s="21"/>
      <c r="NUD237" s="15"/>
      <c r="NUE237" s="15"/>
      <c r="NUF237" s="15"/>
      <c r="NUG237" s="15"/>
      <c r="NUH237" s="15"/>
      <c r="NUI237" s="15"/>
      <c r="NUJ237" s="15"/>
      <c r="NUK237" s="15"/>
      <c r="NUL237" s="15"/>
      <c r="NUM237" s="15"/>
      <c r="NUN237" s="10"/>
      <c r="NUO237" s="10"/>
      <c r="NUP237" s="21"/>
      <c r="NUQ237" s="21"/>
      <c r="NUT237" s="21"/>
      <c r="NUU237" s="15"/>
      <c r="NUV237" s="15"/>
      <c r="NUW237" s="15"/>
      <c r="NUX237" s="15"/>
      <c r="NUY237" s="15"/>
      <c r="NUZ237" s="15"/>
      <c r="NVA237" s="15"/>
      <c r="NVB237" s="15"/>
      <c r="NVC237" s="15"/>
      <c r="NVD237" s="15"/>
      <c r="NVE237" s="10"/>
      <c r="NVF237" s="10"/>
      <c r="NVG237" s="21"/>
      <c r="NVH237" s="21"/>
      <c r="NVK237" s="21"/>
      <c r="NVL237" s="15"/>
      <c r="NVM237" s="15"/>
      <c r="NVN237" s="15"/>
      <c r="NVO237" s="15"/>
      <c r="NVP237" s="15"/>
      <c r="NVQ237" s="15"/>
      <c r="NVR237" s="15"/>
      <c r="NVS237" s="15"/>
      <c r="NVT237" s="15"/>
      <c r="NVU237" s="15"/>
      <c r="NVV237" s="10"/>
      <c r="NVW237" s="10"/>
      <c r="NVX237" s="21"/>
      <c r="NVY237" s="21"/>
      <c r="NWB237" s="21"/>
      <c r="NWC237" s="15"/>
      <c r="NWD237" s="15"/>
      <c r="NWE237" s="15"/>
      <c r="NWF237" s="15"/>
      <c r="NWG237" s="15"/>
      <c r="NWH237" s="15"/>
      <c r="NWI237" s="15"/>
      <c r="NWJ237" s="15"/>
      <c r="NWK237" s="15"/>
      <c r="NWL237" s="15"/>
      <c r="NWM237" s="10"/>
      <c r="NWN237" s="10"/>
      <c r="NWO237" s="21"/>
      <c r="NWP237" s="21"/>
      <c r="NWS237" s="21"/>
      <c r="NWT237" s="15"/>
      <c r="NWU237" s="15"/>
      <c r="NWV237" s="15"/>
      <c r="NWW237" s="15"/>
      <c r="NWX237" s="15"/>
      <c r="NWY237" s="15"/>
      <c r="NWZ237" s="15"/>
      <c r="NXA237" s="15"/>
      <c r="NXB237" s="15"/>
      <c r="NXC237" s="15"/>
      <c r="NXD237" s="10"/>
      <c r="NXE237" s="10"/>
      <c r="NXF237" s="21"/>
      <c r="NXG237" s="21"/>
      <c r="NXJ237" s="21"/>
      <c r="NXK237" s="15"/>
      <c r="NXL237" s="15"/>
      <c r="NXM237" s="15"/>
      <c r="NXN237" s="15"/>
      <c r="NXO237" s="15"/>
      <c r="NXP237" s="15"/>
      <c r="NXQ237" s="15"/>
      <c r="NXR237" s="15"/>
      <c r="NXS237" s="15"/>
      <c r="NXT237" s="15"/>
      <c r="NXU237" s="10"/>
      <c r="NXV237" s="10"/>
      <c r="NXW237" s="21"/>
      <c r="NXX237" s="21"/>
      <c r="NYA237" s="21"/>
      <c r="NYB237" s="15"/>
      <c r="NYC237" s="15"/>
      <c r="NYD237" s="15"/>
      <c r="NYE237" s="15"/>
      <c r="NYF237" s="15"/>
      <c r="NYG237" s="15"/>
      <c r="NYH237" s="15"/>
      <c r="NYI237" s="15"/>
      <c r="NYJ237" s="15"/>
      <c r="NYK237" s="15"/>
      <c r="NYL237" s="10"/>
      <c r="NYM237" s="10"/>
      <c r="NYN237" s="21"/>
      <c r="NYO237" s="21"/>
      <c r="NYR237" s="21"/>
      <c r="NYS237" s="15"/>
      <c r="NYT237" s="15"/>
      <c r="NYU237" s="15"/>
      <c r="NYV237" s="15"/>
      <c r="NYW237" s="15"/>
      <c r="NYX237" s="15"/>
      <c r="NYY237" s="15"/>
      <c r="NYZ237" s="15"/>
      <c r="NZA237" s="15"/>
      <c r="NZB237" s="15"/>
      <c r="NZC237" s="10"/>
      <c r="NZD237" s="10"/>
      <c r="NZE237" s="21"/>
      <c r="NZF237" s="21"/>
      <c r="NZI237" s="21"/>
      <c r="NZJ237" s="15"/>
      <c r="NZK237" s="15"/>
      <c r="NZL237" s="15"/>
      <c r="NZM237" s="15"/>
      <c r="NZN237" s="15"/>
      <c r="NZO237" s="15"/>
      <c r="NZP237" s="15"/>
      <c r="NZQ237" s="15"/>
      <c r="NZR237" s="15"/>
      <c r="NZS237" s="15"/>
      <c r="NZT237" s="10"/>
      <c r="NZU237" s="10"/>
      <c r="NZV237" s="21"/>
      <c r="NZW237" s="21"/>
      <c r="NZZ237" s="21"/>
      <c r="OAA237" s="15"/>
      <c r="OAB237" s="15"/>
      <c r="OAC237" s="15"/>
      <c r="OAD237" s="15"/>
      <c r="OAE237" s="15"/>
      <c r="OAF237" s="15"/>
      <c r="OAG237" s="15"/>
      <c r="OAH237" s="15"/>
      <c r="OAI237" s="15"/>
      <c r="OAJ237" s="15"/>
      <c r="OAK237" s="10"/>
      <c r="OAL237" s="10"/>
      <c r="OAM237" s="21"/>
      <c r="OAN237" s="21"/>
      <c r="OAQ237" s="21"/>
      <c r="OAR237" s="15"/>
      <c r="OAS237" s="15"/>
      <c r="OAT237" s="15"/>
      <c r="OAU237" s="15"/>
      <c r="OAV237" s="15"/>
      <c r="OAW237" s="15"/>
      <c r="OAX237" s="15"/>
      <c r="OAY237" s="15"/>
      <c r="OAZ237" s="15"/>
      <c r="OBA237" s="15"/>
      <c r="OBB237" s="10"/>
      <c r="OBC237" s="10"/>
      <c r="OBD237" s="21"/>
      <c r="OBE237" s="21"/>
      <c r="OBH237" s="21"/>
      <c r="OBI237" s="15"/>
      <c r="OBJ237" s="15"/>
      <c r="OBK237" s="15"/>
      <c r="OBL237" s="15"/>
      <c r="OBM237" s="15"/>
      <c r="OBN237" s="15"/>
      <c r="OBO237" s="15"/>
      <c r="OBP237" s="15"/>
      <c r="OBQ237" s="15"/>
      <c r="OBR237" s="15"/>
      <c r="OBS237" s="10"/>
      <c r="OBT237" s="10"/>
      <c r="OBU237" s="21"/>
      <c r="OBV237" s="21"/>
      <c r="OBY237" s="21"/>
      <c r="OBZ237" s="15"/>
      <c r="OCA237" s="15"/>
      <c r="OCB237" s="15"/>
      <c r="OCC237" s="15"/>
      <c r="OCD237" s="15"/>
      <c r="OCE237" s="15"/>
      <c r="OCF237" s="15"/>
      <c r="OCG237" s="15"/>
      <c r="OCH237" s="15"/>
      <c r="OCI237" s="15"/>
      <c r="OCJ237" s="10"/>
      <c r="OCK237" s="10"/>
      <c r="OCL237" s="21"/>
      <c r="OCM237" s="21"/>
      <c r="OCP237" s="21"/>
      <c r="OCQ237" s="15"/>
      <c r="OCR237" s="15"/>
      <c r="OCS237" s="15"/>
      <c r="OCT237" s="15"/>
      <c r="OCU237" s="15"/>
      <c r="OCV237" s="15"/>
      <c r="OCW237" s="15"/>
      <c r="OCX237" s="15"/>
      <c r="OCY237" s="15"/>
      <c r="OCZ237" s="15"/>
      <c r="ODA237" s="10"/>
      <c r="ODB237" s="10"/>
      <c r="ODC237" s="21"/>
      <c r="ODD237" s="21"/>
      <c r="ODG237" s="21"/>
      <c r="ODH237" s="15"/>
      <c r="ODI237" s="15"/>
      <c r="ODJ237" s="15"/>
      <c r="ODK237" s="15"/>
      <c r="ODL237" s="15"/>
      <c r="ODM237" s="15"/>
      <c r="ODN237" s="15"/>
      <c r="ODO237" s="15"/>
      <c r="ODP237" s="15"/>
      <c r="ODQ237" s="15"/>
      <c r="ODR237" s="10"/>
      <c r="ODS237" s="10"/>
      <c r="ODT237" s="21"/>
      <c r="ODU237" s="21"/>
      <c r="ODX237" s="21"/>
      <c r="ODY237" s="15"/>
      <c r="ODZ237" s="15"/>
      <c r="OEA237" s="15"/>
      <c r="OEB237" s="15"/>
      <c r="OEC237" s="15"/>
      <c r="OED237" s="15"/>
      <c r="OEE237" s="15"/>
      <c r="OEF237" s="15"/>
      <c r="OEG237" s="15"/>
      <c r="OEH237" s="15"/>
      <c r="OEI237" s="10"/>
      <c r="OEJ237" s="10"/>
      <c r="OEK237" s="21"/>
      <c r="OEL237" s="21"/>
      <c r="OEO237" s="21"/>
      <c r="OEP237" s="15"/>
      <c r="OEQ237" s="15"/>
      <c r="OER237" s="15"/>
      <c r="OES237" s="15"/>
      <c r="OET237" s="15"/>
      <c r="OEU237" s="15"/>
      <c r="OEV237" s="15"/>
      <c r="OEW237" s="15"/>
      <c r="OEX237" s="15"/>
      <c r="OEY237" s="15"/>
      <c r="OEZ237" s="10"/>
      <c r="OFA237" s="10"/>
      <c r="OFB237" s="21"/>
      <c r="OFC237" s="21"/>
      <c r="OFF237" s="21"/>
      <c r="OFG237" s="15"/>
      <c r="OFH237" s="15"/>
      <c r="OFI237" s="15"/>
      <c r="OFJ237" s="15"/>
      <c r="OFK237" s="15"/>
      <c r="OFL237" s="15"/>
      <c r="OFM237" s="15"/>
      <c r="OFN237" s="15"/>
      <c r="OFO237" s="15"/>
      <c r="OFP237" s="15"/>
      <c r="OFQ237" s="10"/>
      <c r="OFR237" s="10"/>
      <c r="OFS237" s="21"/>
      <c r="OFT237" s="21"/>
      <c r="OFW237" s="21"/>
      <c r="OFX237" s="15"/>
      <c r="OFY237" s="15"/>
      <c r="OFZ237" s="15"/>
      <c r="OGA237" s="15"/>
      <c r="OGB237" s="15"/>
      <c r="OGC237" s="15"/>
      <c r="OGD237" s="15"/>
      <c r="OGE237" s="15"/>
      <c r="OGF237" s="15"/>
      <c r="OGG237" s="15"/>
      <c r="OGH237" s="10"/>
      <c r="OGI237" s="10"/>
      <c r="OGJ237" s="21"/>
      <c r="OGK237" s="21"/>
      <c r="OGN237" s="21"/>
      <c r="OGO237" s="15"/>
      <c r="OGP237" s="15"/>
      <c r="OGQ237" s="15"/>
      <c r="OGR237" s="15"/>
      <c r="OGS237" s="15"/>
      <c r="OGT237" s="15"/>
      <c r="OGU237" s="15"/>
      <c r="OGV237" s="15"/>
      <c r="OGW237" s="15"/>
      <c r="OGX237" s="15"/>
      <c r="OGY237" s="10"/>
      <c r="OGZ237" s="10"/>
      <c r="OHA237" s="21"/>
      <c r="OHB237" s="21"/>
      <c r="OHE237" s="21"/>
      <c r="OHF237" s="15"/>
      <c r="OHG237" s="15"/>
      <c r="OHH237" s="15"/>
      <c r="OHI237" s="15"/>
      <c r="OHJ237" s="15"/>
      <c r="OHK237" s="15"/>
      <c r="OHL237" s="15"/>
      <c r="OHM237" s="15"/>
      <c r="OHN237" s="15"/>
      <c r="OHO237" s="15"/>
      <c r="OHP237" s="10"/>
      <c r="OHQ237" s="10"/>
      <c r="OHR237" s="21"/>
      <c r="OHS237" s="21"/>
      <c r="OHV237" s="21"/>
      <c r="OHW237" s="15"/>
      <c r="OHX237" s="15"/>
      <c r="OHY237" s="15"/>
      <c r="OHZ237" s="15"/>
      <c r="OIA237" s="15"/>
      <c r="OIB237" s="15"/>
      <c r="OIC237" s="15"/>
      <c r="OID237" s="15"/>
      <c r="OIE237" s="15"/>
      <c r="OIF237" s="15"/>
      <c r="OIG237" s="10"/>
      <c r="OIH237" s="10"/>
      <c r="OII237" s="21"/>
      <c r="OIJ237" s="21"/>
      <c r="OIM237" s="21"/>
      <c r="OIN237" s="15"/>
      <c r="OIO237" s="15"/>
      <c r="OIP237" s="15"/>
      <c r="OIQ237" s="15"/>
      <c r="OIR237" s="15"/>
      <c r="OIS237" s="15"/>
      <c r="OIT237" s="15"/>
      <c r="OIU237" s="15"/>
      <c r="OIV237" s="15"/>
      <c r="OIW237" s="15"/>
      <c r="OIX237" s="10"/>
      <c r="OIY237" s="10"/>
      <c r="OIZ237" s="21"/>
      <c r="OJA237" s="21"/>
      <c r="OJD237" s="21"/>
      <c r="OJE237" s="15"/>
      <c r="OJF237" s="15"/>
      <c r="OJG237" s="15"/>
      <c r="OJH237" s="15"/>
      <c r="OJI237" s="15"/>
      <c r="OJJ237" s="15"/>
      <c r="OJK237" s="15"/>
      <c r="OJL237" s="15"/>
      <c r="OJM237" s="15"/>
      <c r="OJN237" s="15"/>
      <c r="OJO237" s="10"/>
      <c r="OJP237" s="10"/>
      <c r="OJQ237" s="21"/>
      <c r="OJR237" s="21"/>
      <c r="OJU237" s="21"/>
      <c r="OJV237" s="15"/>
      <c r="OJW237" s="15"/>
      <c r="OJX237" s="15"/>
      <c r="OJY237" s="15"/>
      <c r="OJZ237" s="15"/>
      <c r="OKA237" s="15"/>
      <c r="OKB237" s="15"/>
      <c r="OKC237" s="15"/>
      <c r="OKD237" s="15"/>
      <c r="OKE237" s="15"/>
      <c r="OKF237" s="10"/>
      <c r="OKG237" s="10"/>
      <c r="OKH237" s="21"/>
      <c r="OKI237" s="21"/>
      <c r="OKL237" s="21"/>
      <c r="OKM237" s="15"/>
      <c r="OKN237" s="15"/>
      <c r="OKO237" s="15"/>
      <c r="OKP237" s="15"/>
      <c r="OKQ237" s="15"/>
      <c r="OKR237" s="15"/>
      <c r="OKS237" s="15"/>
      <c r="OKT237" s="15"/>
      <c r="OKU237" s="15"/>
      <c r="OKV237" s="15"/>
      <c r="OKW237" s="10"/>
      <c r="OKX237" s="10"/>
      <c r="OKY237" s="21"/>
      <c r="OKZ237" s="21"/>
      <c r="OLC237" s="21"/>
      <c r="OLD237" s="15"/>
      <c r="OLE237" s="15"/>
      <c r="OLF237" s="15"/>
      <c r="OLG237" s="15"/>
      <c r="OLH237" s="15"/>
      <c r="OLI237" s="15"/>
      <c r="OLJ237" s="15"/>
      <c r="OLK237" s="15"/>
      <c r="OLL237" s="15"/>
      <c r="OLM237" s="15"/>
      <c r="OLN237" s="10"/>
      <c r="OLO237" s="10"/>
      <c r="OLP237" s="21"/>
      <c r="OLQ237" s="21"/>
      <c r="OLT237" s="21"/>
      <c r="OLU237" s="15"/>
      <c r="OLV237" s="15"/>
      <c r="OLW237" s="15"/>
      <c r="OLX237" s="15"/>
      <c r="OLY237" s="15"/>
      <c r="OLZ237" s="15"/>
      <c r="OMA237" s="15"/>
      <c r="OMB237" s="15"/>
      <c r="OMC237" s="15"/>
      <c r="OMD237" s="15"/>
      <c r="OME237" s="10"/>
      <c r="OMF237" s="10"/>
      <c r="OMG237" s="21"/>
      <c r="OMH237" s="21"/>
      <c r="OMK237" s="21"/>
      <c r="OML237" s="15"/>
      <c r="OMM237" s="15"/>
      <c r="OMN237" s="15"/>
      <c r="OMO237" s="15"/>
      <c r="OMP237" s="15"/>
      <c r="OMQ237" s="15"/>
      <c r="OMR237" s="15"/>
      <c r="OMS237" s="15"/>
      <c r="OMT237" s="15"/>
      <c r="OMU237" s="15"/>
      <c r="OMV237" s="10"/>
      <c r="OMW237" s="10"/>
      <c r="OMX237" s="21"/>
      <c r="OMY237" s="21"/>
      <c r="ONB237" s="21"/>
      <c r="ONC237" s="15"/>
      <c r="OND237" s="15"/>
      <c r="ONE237" s="15"/>
      <c r="ONF237" s="15"/>
      <c r="ONG237" s="15"/>
      <c r="ONH237" s="15"/>
      <c r="ONI237" s="15"/>
      <c r="ONJ237" s="15"/>
      <c r="ONK237" s="15"/>
      <c r="ONL237" s="15"/>
      <c r="ONM237" s="10"/>
      <c r="ONN237" s="10"/>
      <c r="ONO237" s="21"/>
      <c r="ONP237" s="21"/>
      <c r="ONS237" s="21"/>
      <c r="ONT237" s="15"/>
      <c r="ONU237" s="15"/>
      <c r="ONV237" s="15"/>
      <c r="ONW237" s="15"/>
      <c r="ONX237" s="15"/>
      <c r="ONY237" s="15"/>
      <c r="ONZ237" s="15"/>
      <c r="OOA237" s="15"/>
      <c r="OOB237" s="15"/>
      <c r="OOC237" s="15"/>
      <c r="OOD237" s="10"/>
      <c r="OOE237" s="10"/>
      <c r="OOF237" s="21"/>
      <c r="OOG237" s="21"/>
      <c r="OOJ237" s="21"/>
      <c r="OOK237" s="15"/>
      <c r="OOL237" s="15"/>
      <c r="OOM237" s="15"/>
      <c r="OON237" s="15"/>
      <c r="OOO237" s="15"/>
      <c r="OOP237" s="15"/>
      <c r="OOQ237" s="15"/>
      <c r="OOR237" s="15"/>
      <c r="OOS237" s="15"/>
      <c r="OOT237" s="15"/>
      <c r="OOU237" s="10"/>
      <c r="OOV237" s="10"/>
      <c r="OOW237" s="21"/>
      <c r="OOX237" s="21"/>
      <c r="OPA237" s="21"/>
      <c r="OPB237" s="15"/>
      <c r="OPC237" s="15"/>
      <c r="OPD237" s="15"/>
      <c r="OPE237" s="15"/>
      <c r="OPF237" s="15"/>
      <c r="OPG237" s="15"/>
      <c r="OPH237" s="15"/>
      <c r="OPI237" s="15"/>
      <c r="OPJ237" s="15"/>
      <c r="OPK237" s="15"/>
      <c r="OPL237" s="10"/>
      <c r="OPM237" s="10"/>
      <c r="OPN237" s="21"/>
      <c r="OPO237" s="21"/>
      <c r="OPR237" s="21"/>
      <c r="OPS237" s="15"/>
      <c r="OPT237" s="15"/>
      <c r="OPU237" s="15"/>
      <c r="OPV237" s="15"/>
      <c r="OPW237" s="15"/>
      <c r="OPX237" s="15"/>
      <c r="OPY237" s="15"/>
      <c r="OPZ237" s="15"/>
      <c r="OQA237" s="15"/>
      <c r="OQB237" s="15"/>
      <c r="OQC237" s="10"/>
      <c r="OQD237" s="10"/>
      <c r="OQE237" s="21"/>
      <c r="OQF237" s="21"/>
      <c r="OQI237" s="21"/>
      <c r="OQJ237" s="15"/>
      <c r="OQK237" s="15"/>
      <c r="OQL237" s="15"/>
      <c r="OQM237" s="15"/>
      <c r="OQN237" s="15"/>
      <c r="OQO237" s="15"/>
      <c r="OQP237" s="15"/>
      <c r="OQQ237" s="15"/>
      <c r="OQR237" s="15"/>
      <c r="OQS237" s="15"/>
      <c r="OQT237" s="10"/>
      <c r="OQU237" s="10"/>
      <c r="OQV237" s="21"/>
      <c r="OQW237" s="21"/>
      <c r="OQZ237" s="21"/>
      <c r="ORA237" s="15"/>
      <c r="ORB237" s="15"/>
      <c r="ORC237" s="15"/>
      <c r="ORD237" s="15"/>
      <c r="ORE237" s="15"/>
      <c r="ORF237" s="15"/>
      <c r="ORG237" s="15"/>
      <c r="ORH237" s="15"/>
      <c r="ORI237" s="15"/>
      <c r="ORJ237" s="15"/>
      <c r="ORK237" s="10"/>
      <c r="ORL237" s="10"/>
      <c r="ORM237" s="21"/>
      <c r="ORN237" s="21"/>
      <c r="ORQ237" s="21"/>
      <c r="ORR237" s="15"/>
      <c r="ORS237" s="15"/>
      <c r="ORT237" s="15"/>
      <c r="ORU237" s="15"/>
      <c r="ORV237" s="15"/>
      <c r="ORW237" s="15"/>
      <c r="ORX237" s="15"/>
      <c r="ORY237" s="15"/>
      <c r="ORZ237" s="15"/>
      <c r="OSA237" s="15"/>
      <c r="OSB237" s="10"/>
      <c r="OSC237" s="10"/>
      <c r="OSD237" s="21"/>
      <c r="OSE237" s="21"/>
      <c r="OSH237" s="21"/>
      <c r="OSI237" s="15"/>
      <c r="OSJ237" s="15"/>
      <c r="OSK237" s="15"/>
      <c r="OSL237" s="15"/>
      <c r="OSM237" s="15"/>
      <c r="OSN237" s="15"/>
      <c r="OSO237" s="15"/>
      <c r="OSP237" s="15"/>
      <c r="OSQ237" s="15"/>
      <c r="OSR237" s="15"/>
      <c r="OSS237" s="10"/>
      <c r="OST237" s="10"/>
      <c r="OSU237" s="21"/>
      <c r="OSV237" s="21"/>
      <c r="OSY237" s="21"/>
      <c r="OSZ237" s="15"/>
      <c r="OTA237" s="15"/>
      <c r="OTB237" s="15"/>
      <c r="OTC237" s="15"/>
      <c r="OTD237" s="15"/>
      <c r="OTE237" s="15"/>
      <c r="OTF237" s="15"/>
      <c r="OTG237" s="15"/>
      <c r="OTH237" s="15"/>
      <c r="OTI237" s="15"/>
      <c r="OTJ237" s="10"/>
      <c r="OTK237" s="10"/>
      <c r="OTL237" s="21"/>
      <c r="OTM237" s="21"/>
      <c r="OTP237" s="21"/>
      <c r="OTQ237" s="15"/>
      <c r="OTR237" s="15"/>
      <c r="OTS237" s="15"/>
      <c r="OTT237" s="15"/>
      <c r="OTU237" s="15"/>
      <c r="OTV237" s="15"/>
      <c r="OTW237" s="15"/>
      <c r="OTX237" s="15"/>
      <c r="OTY237" s="15"/>
      <c r="OTZ237" s="15"/>
      <c r="OUA237" s="10"/>
      <c r="OUB237" s="10"/>
      <c r="OUC237" s="21"/>
      <c r="OUD237" s="21"/>
      <c r="OUG237" s="21"/>
      <c r="OUH237" s="15"/>
      <c r="OUI237" s="15"/>
      <c r="OUJ237" s="15"/>
      <c r="OUK237" s="15"/>
      <c r="OUL237" s="15"/>
      <c r="OUM237" s="15"/>
      <c r="OUN237" s="15"/>
      <c r="OUO237" s="15"/>
      <c r="OUP237" s="15"/>
      <c r="OUQ237" s="15"/>
      <c r="OUR237" s="10"/>
      <c r="OUS237" s="10"/>
      <c r="OUT237" s="21"/>
      <c r="OUU237" s="21"/>
      <c r="OUX237" s="21"/>
      <c r="OUY237" s="15"/>
      <c r="OUZ237" s="15"/>
      <c r="OVA237" s="15"/>
      <c r="OVB237" s="15"/>
      <c r="OVC237" s="15"/>
      <c r="OVD237" s="15"/>
      <c r="OVE237" s="15"/>
      <c r="OVF237" s="15"/>
      <c r="OVG237" s="15"/>
      <c r="OVH237" s="15"/>
      <c r="OVI237" s="10"/>
      <c r="OVJ237" s="10"/>
      <c r="OVK237" s="21"/>
      <c r="OVL237" s="21"/>
      <c r="OVO237" s="21"/>
      <c r="OVP237" s="15"/>
      <c r="OVQ237" s="15"/>
      <c r="OVR237" s="15"/>
      <c r="OVS237" s="15"/>
      <c r="OVT237" s="15"/>
      <c r="OVU237" s="15"/>
      <c r="OVV237" s="15"/>
      <c r="OVW237" s="15"/>
      <c r="OVX237" s="15"/>
      <c r="OVY237" s="15"/>
      <c r="OVZ237" s="10"/>
      <c r="OWA237" s="10"/>
      <c r="OWB237" s="21"/>
      <c r="OWC237" s="21"/>
      <c r="OWF237" s="21"/>
      <c r="OWG237" s="15"/>
      <c r="OWH237" s="15"/>
      <c r="OWI237" s="15"/>
      <c r="OWJ237" s="15"/>
      <c r="OWK237" s="15"/>
      <c r="OWL237" s="15"/>
      <c r="OWM237" s="15"/>
      <c r="OWN237" s="15"/>
      <c r="OWO237" s="15"/>
      <c r="OWP237" s="15"/>
      <c r="OWQ237" s="10"/>
      <c r="OWR237" s="10"/>
      <c r="OWS237" s="21"/>
      <c r="OWT237" s="21"/>
      <c r="OWW237" s="21"/>
      <c r="OWX237" s="15"/>
      <c r="OWY237" s="15"/>
      <c r="OWZ237" s="15"/>
      <c r="OXA237" s="15"/>
      <c r="OXB237" s="15"/>
      <c r="OXC237" s="15"/>
      <c r="OXD237" s="15"/>
      <c r="OXE237" s="15"/>
      <c r="OXF237" s="15"/>
      <c r="OXG237" s="15"/>
      <c r="OXH237" s="10"/>
      <c r="OXI237" s="10"/>
      <c r="OXJ237" s="21"/>
      <c r="OXK237" s="21"/>
      <c r="OXN237" s="21"/>
      <c r="OXO237" s="15"/>
      <c r="OXP237" s="15"/>
      <c r="OXQ237" s="15"/>
      <c r="OXR237" s="15"/>
      <c r="OXS237" s="15"/>
      <c r="OXT237" s="15"/>
      <c r="OXU237" s="15"/>
      <c r="OXV237" s="15"/>
      <c r="OXW237" s="15"/>
      <c r="OXX237" s="15"/>
      <c r="OXY237" s="10"/>
      <c r="OXZ237" s="10"/>
      <c r="OYA237" s="21"/>
      <c r="OYB237" s="21"/>
      <c r="OYE237" s="21"/>
      <c r="OYF237" s="15"/>
      <c r="OYG237" s="15"/>
      <c r="OYH237" s="15"/>
      <c r="OYI237" s="15"/>
      <c r="OYJ237" s="15"/>
      <c r="OYK237" s="15"/>
      <c r="OYL237" s="15"/>
      <c r="OYM237" s="15"/>
      <c r="OYN237" s="15"/>
      <c r="OYO237" s="15"/>
      <c r="OYP237" s="10"/>
      <c r="OYQ237" s="10"/>
      <c r="OYR237" s="21"/>
      <c r="OYS237" s="21"/>
      <c r="OYV237" s="21"/>
      <c r="OYW237" s="15"/>
      <c r="OYX237" s="15"/>
      <c r="OYY237" s="15"/>
      <c r="OYZ237" s="15"/>
      <c r="OZA237" s="15"/>
      <c r="OZB237" s="15"/>
      <c r="OZC237" s="15"/>
      <c r="OZD237" s="15"/>
      <c r="OZE237" s="15"/>
      <c r="OZF237" s="15"/>
      <c r="OZG237" s="10"/>
      <c r="OZH237" s="10"/>
      <c r="OZI237" s="21"/>
      <c r="OZJ237" s="21"/>
      <c r="OZM237" s="21"/>
      <c r="OZN237" s="15"/>
      <c r="OZO237" s="15"/>
      <c r="OZP237" s="15"/>
      <c r="OZQ237" s="15"/>
      <c r="OZR237" s="15"/>
      <c r="OZS237" s="15"/>
      <c r="OZT237" s="15"/>
      <c r="OZU237" s="15"/>
      <c r="OZV237" s="15"/>
      <c r="OZW237" s="15"/>
      <c r="OZX237" s="10"/>
      <c r="OZY237" s="10"/>
      <c r="OZZ237" s="21"/>
      <c r="PAA237" s="21"/>
      <c r="PAD237" s="21"/>
      <c r="PAE237" s="15"/>
      <c r="PAF237" s="15"/>
      <c r="PAG237" s="15"/>
      <c r="PAH237" s="15"/>
      <c r="PAI237" s="15"/>
      <c r="PAJ237" s="15"/>
      <c r="PAK237" s="15"/>
      <c r="PAL237" s="15"/>
      <c r="PAM237" s="15"/>
      <c r="PAN237" s="15"/>
      <c r="PAO237" s="10"/>
      <c r="PAP237" s="10"/>
      <c r="PAQ237" s="21"/>
      <c r="PAR237" s="21"/>
      <c r="PAU237" s="21"/>
      <c r="PAV237" s="15"/>
      <c r="PAW237" s="15"/>
      <c r="PAX237" s="15"/>
      <c r="PAY237" s="15"/>
      <c r="PAZ237" s="15"/>
      <c r="PBA237" s="15"/>
      <c r="PBB237" s="15"/>
      <c r="PBC237" s="15"/>
      <c r="PBD237" s="15"/>
      <c r="PBE237" s="15"/>
      <c r="PBF237" s="10"/>
      <c r="PBG237" s="10"/>
      <c r="PBH237" s="21"/>
      <c r="PBI237" s="21"/>
      <c r="PBL237" s="21"/>
      <c r="PBM237" s="15"/>
      <c r="PBN237" s="15"/>
      <c r="PBO237" s="15"/>
      <c r="PBP237" s="15"/>
      <c r="PBQ237" s="15"/>
      <c r="PBR237" s="15"/>
      <c r="PBS237" s="15"/>
      <c r="PBT237" s="15"/>
      <c r="PBU237" s="15"/>
      <c r="PBV237" s="15"/>
      <c r="PBW237" s="10"/>
      <c r="PBX237" s="10"/>
      <c r="PBY237" s="21"/>
      <c r="PBZ237" s="21"/>
      <c r="PCC237" s="21"/>
      <c r="PCD237" s="15"/>
      <c r="PCE237" s="15"/>
      <c r="PCF237" s="15"/>
      <c r="PCG237" s="15"/>
      <c r="PCH237" s="15"/>
      <c r="PCI237" s="15"/>
      <c r="PCJ237" s="15"/>
      <c r="PCK237" s="15"/>
      <c r="PCL237" s="15"/>
      <c r="PCM237" s="15"/>
      <c r="PCN237" s="10"/>
      <c r="PCO237" s="10"/>
      <c r="PCP237" s="21"/>
      <c r="PCQ237" s="21"/>
      <c r="PCT237" s="21"/>
      <c r="PCU237" s="15"/>
      <c r="PCV237" s="15"/>
      <c r="PCW237" s="15"/>
      <c r="PCX237" s="15"/>
      <c r="PCY237" s="15"/>
      <c r="PCZ237" s="15"/>
      <c r="PDA237" s="15"/>
      <c r="PDB237" s="15"/>
      <c r="PDC237" s="15"/>
      <c r="PDD237" s="15"/>
      <c r="PDE237" s="10"/>
      <c r="PDF237" s="10"/>
      <c r="PDG237" s="21"/>
      <c r="PDH237" s="21"/>
      <c r="PDK237" s="21"/>
      <c r="PDL237" s="15"/>
      <c r="PDM237" s="15"/>
      <c r="PDN237" s="15"/>
      <c r="PDO237" s="15"/>
      <c r="PDP237" s="15"/>
      <c r="PDQ237" s="15"/>
      <c r="PDR237" s="15"/>
      <c r="PDS237" s="15"/>
      <c r="PDT237" s="15"/>
      <c r="PDU237" s="15"/>
      <c r="PDV237" s="10"/>
      <c r="PDW237" s="10"/>
      <c r="PDX237" s="21"/>
      <c r="PDY237" s="21"/>
      <c r="PEB237" s="21"/>
      <c r="PEC237" s="15"/>
      <c r="PED237" s="15"/>
      <c r="PEE237" s="15"/>
      <c r="PEF237" s="15"/>
      <c r="PEG237" s="15"/>
      <c r="PEH237" s="15"/>
      <c r="PEI237" s="15"/>
      <c r="PEJ237" s="15"/>
      <c r="PEK237" s="15"/>
      <c r="PEL237" s="15"/>
      <c r="PEM237" s="10"/>
      <c r="PEN237" s="10"/>
      <c r="PEO237" s="21"/>
      <c r="PEP237" s="21"/>
      <c r="PES237" s="21"/>
      <c r="PET237" s="15"/>
      <c r="PEU237" s="15"/>
      <c r="PEV237" s="15"/>
      <c r="PEW237" s="15"/>
      <c r="PEX237" s="15"/>
      <c r="PEY237" s="15"/>
      <c r="PEZ237" s="15"/>
      <c r="PFA237" s="15"/>
      <c r="PFB237" s="15"/>
      <c r="PFC237" s="15"/>
      <c r="PFD237" s="10"/>
      <c r="PFE237" s="10"/>
      <c r="PFF237" s="21"/>
      <c r="PFG237" s="21"/>
      <c r="PFJ237" s="21"/>
      <c r="PFK237" s="15"/>
      <c r="PFL237" s="15"/>
      <c r="PFM237" s="15"/>
      <c r="PFN237" s="15"/>
      <c r="PFO237" s="15"/>
      <c r="PFP237" s="15"/>
      <c r="PFQ237" s="15"/>
      <c r="PFR237" s="15"/>
      <c r="PFS237" s="15"/>
      <c r="PFT237" s="15"/>
      <c r="PFU237" s="10"/>
      <c r="PFV237" s="10"/>
      <c r="PFW237" s="21"/>
      <c r="PFX237" s="21"/>
      <c r="PGA237" s="21"/>
      <c r="PGB237" s="15"/>
      <c r="PGC237" s="15"/>
      <c r="PGD237" s="15"/>
      <c r="PGE237" s="15"/>
      <c r="PGF237" s="15"/>
      <c r="PGG237" s="15"/>
      <c r="PGH237" s="15"/>
      <c r="PGI237" s="15"/>
      <c r="PGJ237" s="15"/>
      <c r="PGK237" s="15"/>
      <c r="PGL237" s="10"/>
      <c r="PGM237" s="10"/>
      <c r="PGN237" s="21"/>
      <c r="PGO237" s="21"/>
      <c r="PGR237" s="21"/>
      <c r="PGS237" s="15"/>
      <c r="PGT237" s="15"/>
      <c r="PGU237" s="15"/>
      <c r="PGV237" s="15"/>
      <c r="PGW237" s="15"/>
      <c r="PGX237" s="15"/>
      <c r="PGY237" s="15"/>
      <c r="PGZ237" s="15"/>
      <c r="PHA237" s="15"/>
      <c r="PHB237" s="15"/>
      <c r="PHC237" s="10"/>
      <c r="PHD237" s="10"/>
      <c r="PHE237" s="21"/>
      <c r="PHF237" s="21"/>
      <c r="PHI237" s="21"/>
      <c r="PHJ237" s="15"/>
      <c r="PHK237" s="15"/>
      <c r="PHL237" s="15"/>
      <c r="PHM237" s="15"/>
      <c r="PHN237" s="15"/>
      <c r="PHO237" s="15"/>
      <c r="PHP237" s="15"/>
      <c r="PHQ237" s="15"/>
      <c r="PHR237" s="15"/>
      <c r="PHS237" s="15"/>
      <c r="PHT237" s="10"/>
      <c r="PHU237" s="10"/>
      <c r="PHV237" s="21"/>
      <c r="PHW237" s="21"/>
      <c r="PHZ237" s="21"/>
      <c r="PIA237" s="15"/>
      <c r="PIB237" s="15"/>
      <c r="PIC237" s="15"/>
      <c r="PID237" s="15"/>
      <c r="PIE237" s="15"/>
      <c r="PIF237" s="15"/>
      <c r="PIG237" s="15"/>
      <c r="PIH237" s="15"/>
      <c r="PII237" s="15"/>
      <c r="PIJ237" s="15"/>
      <c r="PIK237" s="10"/>
      <c r="PIL237" s="10"/>
      <c r="PIM237" s="21"/>
      <c r="PIN237" s="21"/>
      <c r="PIQ237" s="21"/>
      <c r="PIR237" s="15"/>
      <c r="PIS237" s="15"/>
      <c r="PIT237" s="15"/>
      <c r="PIU237" s="15"/>
      <c r="PIV237" s="15"/>
      <c r="PIW237" s="15"/>
      <c r="PIX237" s="15"/>
      <c r="PIY237" s="15"/>
      <c r="PIZ237" s="15"/>
      <c r="PJA237" s="15"/>
      <c r="PJB237" s="10"/>
      <c r="PJC237" s="10"/>
      <c r="PJD237" s="21"/>
      <c r="PJE237" s="21"/>
      <c r="PJH237" s="21"/>
      <c r="PJI237" s="15"/>
      <c r="PJJ237" s="15"/>
      <c r="PJK237" s="15"/>
      <c r="PJL237" s="15"/>
      <c r="PJM237" s="15"/>
      <c r="PJN237" s="15"/>
      <c r="PJO237" s="15"/>
      <c r="PJP237" s="15"/>
      <c r="PJQ237" s="15"/>
      <c r="PJR237" s="15"/>
      <c r="PJS237" s="10"/>
      <c r="PJT237" s="10"/>
      <c r="PJU237" s="21"/>
      <c r="PJV237" s="21"/>
      <c r="PJY237" s="21"/>
      <c r="PJZ237" s="15"/>
      <c r="PKA237" s="15"/>
      <c r="PKB237" s="15"/>
      <c r="PKC237" s="15"/>
      <c r="PKD237" s="15"/>
      <c r="PKE237" s="15"/>
      <c r="PKF237" s="15"/>
      <c r="PKG237" s="15"/>
      <c r="PKH237" s="15"/>
      <c r="PKI237" s="15"/>
      <c r="PKJ237" s="10"/>
      <c r="PKK237" s="10"/>
      <c r="PKL237" s="21"/>
      <c r="PKM237" s="21"/>
      <c r="PKP237" s="21"/>
      <c r="PKQ237" s="15"/>
      <c r="PKR237" s="15"/>
      <c r="PKS237" s="15"/>
      <c r="PKT237" s="15"/>
      <c r="PKU237" s="15"/>
      <c r="PKV237" s="15"/>
      <c r="PKW237" s="15"/>
      <c r="PKX237" s="15"/>
      <c r="PKY237" s="15"/>
      <c r="PKZ237" s="15"/>
      <c r="PLA237" s="10"/>
      <c r="PLB237" s="10"/>
      <c r="PLC237" s="21"/>
      <c r="PLD237" s="21"/>
      <c r="PLG237" s="21"/>
      <c r="PLH237" s="15"/>
      <c r="PLI237" s="15"/>
      <c r="PLJ237" s="15"/>
      <c r="PLK237" s="15"/>
      <c r="PLL237" s="15"/>
      <c r="PLM237" s="15"/>
      <c r="PLN237" s="15"/>
      <c r="PLO237" s="15"/>
      <c r="PLP237" s="15"/>
      <c r="PLQ237" s="15"/>
      <c r="PLR237" s="10"/>
      <c r="PLS237" s="10"/>
      <c r="PLT237" s="21"/>
      <c r="PLU237" s="21"/>
      <c r="PLX237" s="21"/>
      <c r="PLY237" s="15"/>
      <c r="PLZ237" s="15"/>
      <c r="PMA237" s="15"/>
      <c r="PMB237" s="15"/>
      <c r="PMC237" s="15"/>
      <c r="PMD237" s="15"/>
      <c r="PME237" s="15"/>
      <c r="PMF237" s="15"/>
      <c r="PMG237" s="15"/>
      <c r="PMH237" s="15"/>
      <c r="PMI237" s="10"/>
      <c r="PMJ237" s="10"/>
      <c r="PMK237" s="21"/>
      <c r="PML237" s="21"/>
      <c r="PMO237" s="21"/>
      <c r="PMP237" s="15"/>
      <c r="PMQ237" s="15"/>
      <c r="PMR237" s="15"/>
      <c r="PMS237" s="15"/>
      <c r="PMT237" s="15"/>
      <c r="PMU237" s="15"/>
      <c r="PMV237" s="15"/>
      <c r="PMW237" s="15"/>
      <c r="PMX237" s="15"/>
      <c r="PMY237" s="15"/>
      <c r="PMZ237" s="10"/>
      <c r="PNA237" s="10"/>
      <c r="PNB237" s="21"/>
      <c r="PNC237" s="21"/>
      <c r="PNF237" s="21"/>
      <c r="PNG237" s="15"/>
      <c r="PNH237" s="15"/>
      <c r="PNI237" s="15"/>
      <c r="PNJ237" s="15"/>
      <c r="PNK237" s="15"/>
      <c r="PNL237" s="15"/>
      <c r="PNM237" s="15"/>
      <c r="PNN237" s="15"/>
      <c r="PNO237" s="15"/>
      <c r="PNP237" s="15"/>
      <c r="PNQ237" s="10"/>
      <c r="PNR237" s="10"/>
      <c r="PNS237" s="21"/>
      <c r="PNT237" s="21"/>
      <c r="PNW237" s="21"/>
      <c r="PNX237" s="15"/>
      <c r="PNY237" s="15"/>
      <c r="PNZ237" s="15"/>
      <c r="POA237" s="15"/>
      <c r="POB237" s="15"/>
      <c r="POC237" s="15"/>
      <c r="POD237" s="15"/>
      <c r="POE237" s="15"/>
      <c r="POF237" s="15"/>
      <c r="POG237" s="15"/>
      <c r="POH237" s="10"/>
      <c r="POI237" s="10"/>
      <c r="POJ237" s="21"/>
      <c r="POK237" s="21"/>
      <c r="PON237" s="21"/>
      <c r="POO237" s="15"/>
      <c r="POP237" s="15"/>
      <c r="POQ237" s="15"/>
      <c r="POR237" s="15"/>
      <c r="POS237" s="15"/>
      <c r="POT237" s="15"/>
      <c r="POU237" s="15"/>
      <c r="POV237" s="15"/>
      <c r="POW237" s="15"/>
      <c r="POX237" s="15"/>
      <c r="POY237" s="10"/>
      <c r="POZ237" s="10"/>
      <c r="PPA237" s="21"/>
      <c r="PPB237" s="21"/>
      <c r="PPE237" s="21"/>
      <c r="PPF237" s="15"/>
      <c r="PPG237" s="15"/>
      <c r="PPH237" s="15"/>
      <c r="PPI237" s="15"/>
      <c r="PPJ237" s="15"/>
      <c r="PPK237" s="15"/>
      <c r="PPL237" s="15"/>
      <c r="PPM237" s="15"/>
      <c r="PPN237" s="15"/>
      <c r="PPO237" s="15"/>
      <c r="PPP237" s="10"/>
      <c r="PPQ237" s="10"/>
      <c r="PPR237" s="21"/>
      <c r="PPS237" s="21"/>
      <c r="PPV237" s="21"/>
      <c r="PPW237" s="15"/>
      <c r="PPX237" s="15"/>
      <c r="PPY237" s="15"/>
      <c r="PPZ237" s="15"/>
      <c r="PQA237" s="15"/>
      <c r="PQB237" s="15"/>
      <c r="PQC237" s="15"/>
      <c r="PQD237" s="15"/>
      <c r="PQE237" s="15"/>
      <c r="PQF237" s="15"/>
      <c r="PQG237" s="10"/>
      <c r="PQH237" s="10"/>
      <c r="PQI237" s="21"/>
      <c r="PQJ237" s="21"/>
      <c r="PQM237" s="21"/>
      <c r="PQN237" s="15"/>
      <c r="PQO237" s="15"/>
      <c r="PQP237" s="15"/>
      <c r="PQQ237" s="15"/>
      <c r="PQR237" s="15"/>
      <c r="PQS237" s="15"/>
      <c r="PQT237" s="15"/>
      <c r="PQU237" s="15"/>
      <c r="PQV237" s="15"/>
      <c r="PQW237" s="15"/>
      <c r="PQX237" s="10"/>
      <c r="PQY237" s="10"/>
      <c r="PQZ237" s="21"/>
      <c r="PRA237" s="21"/>
      <c r="PRD237" s="21"/>
      <c r="PRE237" s="15"/>
      <c r="PRF237" s="15"/>
      <c r="PRG237" s="15"/>
      <c r="PRH237" s="15"/>
      <c r="PRI237" s="15"/>
      <c r="PRJ237" s="15"/>
      <c r="PRK237" s="15"/>
      <c r="PRL237" s="15"/>
      <c r="PRM237" s="15"/>
      <c r="PRN237" s="15"/>
      <c r="PRO237" s="10"/>
      <c r="PRP237" s="10"/>
      <c r="PRQ237" s="21"/>
      <c r="PRR237" s="21"/>
      <c r="PRU237" s="21"/>
      <c r="PRV237" s="15"/>
      <c r="PRW237" s="15"/>
      <c r="PRX237" s="15"/>
      <c r="PRY237" s="15"/>
      <c r="PRZ237" s="15"/>
      <c r="PSA237" s="15"/>
      <c r="PSB237" s="15"/>
      <c r="PSC237" s="15"/>
      <c r="PSD237" s="15"/>
      <c r="PSE237" s="15"/>
      <c r="PSF237" s="10"/>
      <c r="PSG237" s="10"/>
      <c r="PSH237" s="21"/>
      <c r="PSI237" s="21"/>
      <c r="PSL237" s="21"/>
      <c r="PSM237" s="15"/>
      <c r="PSN237" s="15"/>
      <c r="PSO237" s="15"/>
      <c r="PSP237" s="15"/>
      <c r="PSQ237" s="15"/>
      <c r="PSR237" s="15"/>
      <c r="PSS237" s="15"/>
      <c r="PST237" s="15"/>
      <c r="PSU237" s="15"/>
      <c r="PSV237" s="15"/>
      <c r="PSW237" s="10"/>
      <c r="PSX237" s="10"/>
      <c r="PSY237" s="21"/>
      <c r="PSZ237" s="21"/>
      <c r="PTC237" s="21"/>
      <c r="PTD237" s="15"/>
      <c r="PTE237" s="15"/>
      <c r="PTF237" s="15"/>
      <c r="PTG237" s="15"/>
      <c r="PTH237" s="15"/>
      <c r="PTI237" s="15"/>
      <c r="PTJ237" s="15"/>
      <c r="PTK237" s="15"/>
      <c r="PTL237" s="15"/>
      <c r="PTM237" s="15"/>
      <c r="PTN237" s="10"/>
      <c r="PTO237" s="10"/>
      <c r="PTP237" s="21"/>
      <c r="PTQ237" s="21"/>
      <c r="PTT237" s="21"/>
      <c r="PTU237" s="15"/>
      <c r="PTV237" s="15"/>
      <c r="PTW237" s="15"/>
      <c r="PTX237" s="15"/>
      <c r="PTY237" s="15"/>
      <c r="PTZ237" s="15"/>
      <c r="PUA237" s="15"/>
      <c r="PUB237" s="15"/>
      <c r="PUC237" s="15"/>
      <c r="PUD237" s="15"/>
      <c r="PUE237" s="10"/>
      <c r="PUF237" s="10"/>
      <c r="PUG237" s="21"/>
      <c r="PUH237" s="21"/>
      <c r="PUK237" s="21"/>
      <c r="PUL237" s="15"/>
      <c r="PUM237" s="15"/>
      <c r="PUN237" s="15"/>
      <c r="PUO237" s="15"/>
      <c r="PUP237" s="15"/>
      <c r="PUQ237" s="15"/>
      <c r="PUR237" s="15"/>
      <c r="PUS237" s="15"/>
      <c r="PUT237" s="15"/>
      <c r="PUU237" s="15"/>
      <c r="PUV237" s="10"/>
      <c r="PUW237" s="10"/>
      <c r="PUX237" s="21"/>
      <c r="PUY237" s="21"/>
      <c r="PVB237" s="21"/>
      <c r="PVC237" s="15"/>
      <c r="PVD237" s="15"/>
      <c r="PVE237" s="15"/>
      <c r="PVF237" s="15"/>
      <c r="PVG237" s="15"/>
      <c r="PVH237" s="15"/>
      <c r="PVI237" s="15"/>
      <c r="PVJ237" s="15"/>
      <c r="PVK237" s="15"/>
      <c r="PVL237" s="15"/>
      <c r="PVM237" s="10"/>
      <c r="PVN237" s="10"/>
      <c r="PVO237" s="21"/>
      <c r="PVP237" s="21"/>
      <c r="PVS237" s="21"/>
      <c r="PVT237" s="15"/>
      <c r="PVU237" s="15"/>
      <c r="PVV237" s="15"/>
      <c r="PVW237" s="15"/>
      <c r="PVX237" s="15"/>
      <c r="PVY237" s="15"/>
      <c r="PVZ237" s="15"/>
      <c r="PWA237" s="15"/>
      <c r="PWB237" s="15"/>
      <c r="PWC237" s="15"/>
      <c r="PWD237" s="10"/>
      <c r="PWE237" s="10"/>
      <c r="PWF237" s="21"/>
      <c r="PWG237" s="21"/>
      <c r="PWJ237" s="21"/>
      <c r="PWK237" s="15"/>
      <c r="PWL237" s="15"/>
      <c r="PWM237" s="15"/>
      <c r="PWN237" s="15"/>
      <c r="PWO237" s="15"/>
      <c r="PWP237" s="15"/>
      <c r="PWQ237" s="15"/>
      <c r="PWR237" s="15"/>
      <c r="PWS237" s="15"/>
      <c r="PWT237" s="15"/>
      <c r="PWU237" s="10"/>
      <c r="PWV237" s="10"/>
      <c r="PWW237" s="21"/>
      <c r="PWX237" s="21"/>
      <c r="PXA237" s="21"/>
      <c r="PXB237" s="15"/>
      <c r="PXC237" s="15"/>
      <c r="PXD237" s="15"/>
      <c r="PXE237" s="15"/>
      <c r="PXF237" s="15"/>
      <c r="PXG237" s="15"/>
      <c r="PXH237" s="15"/>
      <c r="PXI237" s="15"/>
      <c r="PXJ237" s="15"/>
      <c r="PXK237" s="15"/>
      <c r="PXL237" s="10"/>
      <c r="PXM237" s="10"/>
      <c r="PXN237" s="21"/>
      <c r="PXO237" s="21"/>
      <c r="PXR237" s="21"/>
      <c r="PXS237" s="15"/>
      <c r="PXT237" s="15"/>
      <c r="PXU237" s="15"/>
      <c r="PXV237" s="15"/>
      <c r="PXW237" s="15"/>
      <c r="PXX237" s="15"/>
      <c r="PXY237" s="15"/>
      <c r="PXZ237" s="15"/>
      <c r="PYA237" s="15"/>
      <c r="PYB237" s="15"/>
      <c r="PYC237" s="10"/>
      <c r="PYD237" s="10"/>
      <c r="PYE237" s="21"/>
      <c r="PYF237" s="21"/>
      <c r="PYI237" s="21"/>
      <c r="PYJ237" s="15"/>
      <c r="PYK237" s="15"/>
      <c r="PYL237" s="15"/>
      <c r="PYM237" s="15"/>
      <c r="PYN237" s="15"/>
      <c r="PYO237" s="15"/>
      <c r="PYP237" s="15"/>
      <c r="PYQ237" s="15"/>
      <c r="PYR237" s="15"/>
      <c r="PYS237" s="15"/>
      <c r="PYT237" s="10"/>
      <c r="PYU237" s="10"/>
      <c r="PYV237" s="21"/>
      <c r="PYW237" s="21"/>
      <c r="PYZ237" s="21"/>
      <c r="PZA237" s="15"/>
      <c r="PZB237" s="15"/>
      <c r="PZC237" s="15"/>
      <c r="PZD237" s="15"/>
      <c r="PZE237" s="15"/>
      <c r="PZF237" s="15"/>
      <c r="PZG237" s="15"/>
      <c r="PZH237" s="15"/>
      <c r="PZI237" s="15"/>
      <c r="PZJ237" s="15"/>
      <c r="PZK237" s="10"/>
      <c r="PZL237" s="10"/>
      <c r="PZM237" s="21"/>
      <c r="PZN237" s="21"/>
      <c r="PZQ237" s="21"/>
      <c r="PZR237" s="15"/>
      <c r="PZS237" s="15"/>
      <c r="PZT237" s="15"/>
      <c r="PZU237" s="15"/>
      <c r="PZV237" s="15"/>
      <c r="PZW237" s="15"/>
      <c r="PZX237" s="15"/>
      <c r="PZY237" s="15"/>
      <c r="PZZ237" s="15"/>
      <c r="QAA237" s="15"/>
      <c r="QAB237" s="10"/>
      <c r="QAC237" s="10"/>
      <c r="QAD237" s="21"/>
      <c r="QAE237" s="21"/>
      <c r="QAH237" s="21"/>
      <c r="QAI237" s="15"/>
      <c r="QAJ237" s="15"/>
      <c r="QAK237" s="15"/>
      <c r="QAL237" s="15"/>
      <c r="QAM237" s="15"/>
      <c r="QAN237" s="15"/>
      <c r="QAO237" s="15"/>
      <c r="QAP237" s="15"/>
      <c r="QAQ237" s="15"/>
      <c r="QAR237" s="15"/>
      <c r="QAS237" s="10"/>
      <c r="QAT237" s="10"/>
      <c r="QAU237" s="21"/>
      <c r="QAV237" s="21"/>
      <c r="QAY237" s="21"/>
      <c r="QAZ237" s="15"/>
      <c r="QBA237" s="15"/>
      <c r="QBB237" s="15"/>
      <c r="QBC237" s="15"/>
      <c r="QBD237" s="15"/>
      <c r="QBE237" s="15"/>
      <c r="QBF237" s="15"/>
      <c r="QBG237" s="15"/>
      <c r="QBH237" s="15"/>
      <c r="QBI237" s="15"/>
      <c r="QBJ237" s="10"/>
      <c r="QBK237" s="10"/>
      <c r="QBL237" s="21"/>
      <c r="QBM237" s="21"/>
      <c r="QBP237" s="21"/>
      <c r="QBQ237" s="15"/>
      <c r="QBR237" s="15"/>
      <c r="QBS237" s="15"/>
      <c r="QBT237" s="15"/>
      <c r="QBU237" s="15"/>
      <c r="QBV237" s="15"/>
      <c r="QBW237" s="15"/>
      <c r="QBX237" s="15"/>
      <c r="QBY237" s="15"/>
      <c r="QBZ237" s="15"/>
      <c r="QCA237" s="10"/>
      <c r="QCB237" s="10"/>
      <c r="QCC237" s="21"/>
      <c r="QCD237" s="21"/>
      <c r="QCG237" s="21"/>
      <c r="QCH237" s="15"/>
      <c r="QCI237" s="15"/>
      <c r="QCJ237" s="15"/>
      <c r="QCK237" s="15"/>
      <c r="QCL237" s="15"/>
      <c r="QCM237" s="15"/>
      <c r="QCN237" s="15"/>
      <c r="QCO237" s="15"/>
      <c r="QCP237" s="15"/>
      <c r="QCQ237" s="15"/>
      <c r="QCR237" s="10"/>
      <c r="QCS237" s="10"/>
      <c r="QCT237" s="21"/>
      <c r="QCU237" s="21"/>
      <c r="QCX237" s="21"/>
      <c r="QCY237" s="15"/>
      <c r="QCZ237" s="15"/>
      <c r="QDA237" s="15"/>
      <c r="QDB237" s="15"/>
      <c r="QDC237" s="15"/>
      <c r="QDD237" s="15"/>
      <c r="QDE237" s="15"/>
      <c r="QDF237" s="15"/>
      <c r="QDG237" s="15"/>
      <c r="QDH237" s="15"/>
      <c r="QDI237" s="10"/>
      <c r="QDJ237" s="10"/>
      <c r="QDK237" s="21"/>
      <c r="QDL237" s="21"/>
      <c r="QDO237" s="21"/>
      <c r="QDP237" s="15"/>
      <c r="QDQ237" s="15"/>
      <c r="QDR237" s="15"/>
      <c r="QDS237" s="15"/>
      <c r="QDT237" s="15"/>
      <c r="QDU237" s="15"/>
      <c r="QDV237" s="15"/>
      <c r="QDW237" s="15"/>
      <c r="QDX237" s="15"/>
      <c r="QDY237" s="15"/>
      <c r="QDZ237" s="10"/>
      <c r="QEA237" s="10"/>
      <c r="QEB237" s="21"/>
      <c r="QEC237" s="21"/>
      <c r="QEF237" s="21"/>
      <c r="QEG237" s="15"/>
      <c r="QEH237" s="15"/>
      <c r="QEI237" s="15"/>
      <c r="QEJ237" s="15"/>
      <c r="QEK237" s="15"/>
      <c r="QEL237" s="15"/>
      <c r="QEM237" s="15"/>
      <c r="QEN237" s="15"/>
      <c r="QEO237" s="15"/>
      <c r="QEP237" s="15"/>
      <c r="QEQ237" s="10"/>
      <c r="QER237" s="10"/>
      <c r="QES237" s="21"/>
      <c r="QET237" s="21"/>
      <c r="QEW237" s="21"/>
      <c r="QEX237" s="15"/>
      <c r="QEY237" s="15"/>
      <c r="QEZ237" s="15"/>
      <c r="QFA237" s="15"/>
      <c r="QFB237" s="15"/>
      <c r="QFC237" s="15"/>
      <c r="QFD237" s="15"/>
      <c r="QFE237" s="15"/>
      <c r="QFF237" s="15"/>
      <c r="QFG237" s="15"/>
      <c r="QFH237" s="10"/>
      <c r="QFI237" s="10"/>
      <c r="QFJ237" s="21"/>
      <c r="QFK237" s="21"/>
      <c r="QFN237" s="21"/>
      <c r="QFO237" s="15"/>
      <c r="QFP237" s="15"/>
      <c r="QFQ237" s="15"/>
      <c r="QFR237" s="15"/>
      <c r="QFS237" s="15"/>
      <c r="QFT237" s="15"/>
      <c r="QFU237" s="15"/>
      <c r="QFV237" s="15"/>
      <c r="QFW237" s="15"/>
      <c r="QFX237" s="15"/>
      <c r="QFY237" s="10"/>
      <c r="QFZ237" s="10"/>
      <c r="QGA237" s="21"/>
      <c r="QGB237" s="21"/>
      <c r="QGE237" s="21"/>
      <c r="QGF237" s="15"/>
      <c r="QGG237" s="15"/>
      <c r="QGH237" s="15"/>
      <c r="QGI237" s="15"/>
      <c r="QGJ237" s="15"/>
      <c r="QGK237" s="15"/>
      <c r="QGL237" s="15"/>
      <c r="QGM237" s="15"/>
      <c r="QGN237" s="15"/>
      <c r="QGO237" s="15"/>
      <c r="QGP237" s="10"/>
      <c r="QGQ237" s="10"/>
      <c r="QGR237" s="21"/>
      <c r="QGS237" s="21"/>
      <c r="QGV237" s="21"/>
      <c r="QGW237" s="15"/>
      <c r="QGX237" s="15"/>
      <c r="QGY237" s="15"/>
      <c r="QGZ237" s="15"/>
      <c r="QHA237" s="15"/>
      <c r="QHB237" s="15"/>
      <c r="QHC237" s="15"/>
      <c r="QHD237" s="15"/>
      <c r="QHE237" s="15"/>
      <c r="QHF237" s="15"/>
      <c r="QHG237" s="10"/>
      <c r="QHH237" s="10"/>
      <c r="QHI237" s="21"/>
      <c r="QHJ237" s="21"/>
      <c r="QHM237" s="21"/>
      <c r="QHN237" s="15"/>
      <c r="QHO237" s="15"/>
      <c r="QHP237" s="15"/>
      <c r="QHQ237" s="15"/>
      <c r="QHR237" s="15"/>
      <c r="QHS237" s="15"/>
      <c r="QHT237" s="15"/>
      <c r="QHU237" s="15"/>
      <c r="QHV237" s="15"/>
      <c r="QHW237" s="15"/>
      <c r="QHX237" s="10"/>
      <c r="QHY237" s="10"/>
      <c r="QHZ237" s="21"/>
      <c r="QIA237" s="21"/>
      <c r="QID237" s="21"/>
      <c r="QIE237" s="15"/>
      <c r="QIF237" s="15"/>
      <c r="QIG237" s="15"/>
      <c r="QIH237" s="15"/>
      <c r="QII237" s="15"/>
      <c r="QIJ237" s="15"/>
      <c r="QIK237" s="15"/>
      <c r="QIL237" s="15"/>
      <c r="QIM237" s="15"/>
      <c r="QIN237" s="15"/>
      <c r="QIO237" s="10"/>
      <c r="QIP237" s="10"/>
      <c r="QIQ237" s="21"/>
      <c r="QIR237" s="21"/>
      <c r="QIU237" s="21"/>
      <c r="QIV237" s="15"/>
      <c r="QIW237" s="15"/>
      <c r="QIX237" s="15"/>
      <c r="QIY237" s="15"/>
      <c r="QIZ237" s="15"/>
      <c r="QJA237" s="15"/>
      <c r="QJB237" s="15"/>
      <c r="QJC237" s="15"/>
      <c r="QJD237" s="15"/>
      <c r="QJE237" s="15"/>
      <c r="QJF237" s="10"/>
      <c r="QJG237" s="10"/>
      <c r="QJH237" s="21"/>
      <c r="QJI237" s="21"/>
      <c r="QJL237" s="21"/>
      <c r="QJM237" s="15"/>
      <c r="QJN237" s="15"/>
      <c r="QJO237" s="15"/>
      <c r="QJP237" s="15"/>
      <c r="QJQ237" s="15"/>
      <c r="QJR237" s="15"/>
      <c r="QJS237" s="15"/>
      <c r="QJT237" s="15"/>
      <c r="QJU237" s="15"/>
      <c r="QJV237" s="15"/>
      <c r="QJW237" s="10"/>
      <c r="QJX237" s="10"/>
      <c r="QJY237" s="21"/>
      <c r="QJZ237" s="21"/>
      <c r="QKC237" s="21"/>
      <c r="QKD237" s="15"/>
      <c r="QKE237" s="15"/>
      <c r="QKF237" s="15"/>
      <c r="QKG237" s="15"/>
      <c r="QKH237" s="15"/>
      <c r="QKI237" s="15"/>
      <c r="QKJ237" s="15"/>
      <c r="QKK237" s="15"/>
      <c r="QKL237" s="15"/>
      <c r="QKM237" s="15"/>
      <c r="QKN237" s="10"/>
      <c r="QKO237" s="10"/>
      <c r="QKP237" s="21"/>
      <c r="QKQ237" s="21"/>
      <c r="QKT237" s="21"/>
      <c r="QKU237" s="15"/>
      <c r="QKV237" s="15"/>
      <c r="QKW237" s="15"/>
      <c r="QKX237" s="15"/>
      <c r="QKY237" s="15"/>
      <c r="QKZ237" s="15"/>
      <c r="QLA237" s="15"/>
      <c r="QLB237" s="15"/>
      <c r="QLC237" s="15"/>
      <c r="QLD237" s="15"/>
      <c r="QLE237" s="10"/>
      <c r="QLF237" s="10"/>
      <c r="QLG237" s="21"/>
      <c r="QLH237" s="21"/>
      <c r="QLK237" s="21"/>
      <c r="QLL237" s="15"/>
      <c r="QLM237" s="15"/>
      <c r="QLN237" s="15"/>
      <c r="QLO237" s="15"/>
      <c r="QLP237" s="15"/>
      <c r="QLQ237" s="15"/>
      <c r="QLR237" s="15"/>
      <c r="QLS237" s="15"/>
      <c r="QLT237" s="15"/>
      <c r="QLU237" s="15"/>
      <c r="QLV237" s="10"/>
      <c r="QLW237" s="10"/>
      <c r="QLX237" s="21"/>
      <c r="QLY237" s="21"/>
      <c r="QMB237" s="21"/>
      <c r="QMC237" s="15"/>
      <c r="QMD237" s="15"/>
      <c r="QME237" s="15"/>
      <c r="QMF237" s="15"/>
      <c r="QMG237" s="15"/>
      <c r="QMH237" s="15"/>
      <c r="QMI237" s="15"/>
      <c r="QMJ237" s="15"/>
      <c r="QMK237" s="15"/>
      <c r="QML237" s="15"/>
      <c r="QMM237" s="10"/>
      <c r="QMN237" s="10"/>
      <c r="QMO237" s="21"/>
      <c r="QMP237" s="21"/>
      <c r="QMS237" s="21"/>
      <c r="QMT237" s="15"/>
      <c r="QMU237" s="15"/>
      <c r="QMV237" s="15"/>
      <c r="QMW237" s="15"/>
      <c r="QMX237" s="15"/>
      <c r="QMY237" s="15"/>
      <c r="QMZ237" s="15"/>
      <c r="QNA237" s="15"/>
      <c r="QNB237" s="15"/>
      <c r="QNC237" s="15"/>
      <c r="QND237" s="10"/>
      <c r="QNE237" s="10"/>
      <c r="QNF237" s="21"/>
      <c r="QNG237" s="21"/>
      <c r="QNJ237" s="21"/>
      <c r="QNK237" s="15"/>
      <c r="QNL237" s="15"/>
      <c r="QNM237" s="15"/>
      <c r="QNN237" s="15"/>
      <c r="QNO237" s="15"/>
      <c r="QNP237" s="15"/>
      <c r="QNQ237" s="15"/>
      <c r="QNR237" s="15"/>
      <c r="QNS237" s="15"/>
      <c r="QNT237" s="15"/>
      <c r="QNU237" s="10"/>
      <c r="QNV237" s="10"/>
      <c r="QNW237" s="21"/>
      <c r="QNX237" s="21"/>
      <c r="QOA237" s="21"/>
      <c r="QOB237" s="15"/>
      <c r="QOC237" s="15"/>
      <c r="QOD237" s="15"/>
      <c r="QOE237" s="15"/>
      <c r="QOF237" s="15"/>
      <c r="QOG237" s="15"/>
      <c r="QOH237" s="15"/>
      <c r="QOI237" s="15"/>
      <c r="QOJ237" s="15"/>
      <c r="QOK237" s="15"/>
      <c r="QOL237" s="10"/>
      <c r="QOM237" s="10"/>
      <c r="QON237" s="21"/>
      <c r="QOO237" s="21"/>
      <c r="QOR237" s="21"/>
      <c r="QOS237" s="15"/>
      <c r="QOT237" s="15"/>
      <c r="QOU237" s="15"/>
      <c r="QOV237" s="15"/>
      <c r="QOW237" s="15"/>
      <c r="QOX237" s="15"/>
      <c r="QOY237" s="15"/>
      <c r="QOZ237" s="15"/>
      <c r="QPA237" s="15"/>
      <c r="QPB237" s="15"/>
      <c r="QPC237" s="10"/>
      <c r="QPD237" s="10"/>
      <c r="QPE237" s="21"/>
      <c r="QPF237" s="21"/>
      <c r="QPI237" s="21"/>
      <c r="QPJ237" s="15"/>
      <c r="QPK237" s="15"/>
      <c r="QPL237" s="15"/>
      <c r="QPM237" s="15"/>
      <c r="QPN237" s="15"/>
      <c r="QPO237" s="15"/>
      <c r="QPP237" s="15"/>
      <c r="QPQ237" s="15"/>
      <c r="QPR237" s="15"/>
      <c r="QPS237" s="15"/>
      <c r="QPT237" s="10"/>
      <c r="QPU237" s="10"/>
      <c r="QPV237" s="21"/>
      <c r="QPW237" s="21"/>
      <c r="QPZ237" s="21"/>
      <c r="QQA237" s="15"/>
      <c r="QQB237" s="15"/>
      <c r="QQC237" s="15"/>
      <c r="QQD237" s="15"/>
      <c r="QQE237" s="15"/>
      <c r="QQF237" s="15"/>
      <c r="QQG237" s="15"/>
      <c r="QQH237" s="15"/>
      <c r="QQI237" s="15"/>
      <c r="QQJ237" s="15"/>
      <c r="QQK237" s="10"/>
      <c r="QQL237" s="10"/>
      <c r="QQM237" s="21"/>
      <c r="QQN237" s="21"/>
      <c r="QQQ237" s="21"/>
      <c r="QQR237" s="15"/>
      <c r="QQS237" s="15"/>
      <c r="QQT237" s="15"/>
      <c r="QQU237" s="15"/>
      <c r="QQV237" s="15"/>
      <c r="QQW237" s="15"/>
      <c r="QQX237" s="15"/>
      <c r="QQY237" s="15"/>
      <c r="QQZ237" s="15"/>
      <c r="QRA237" s="15"/>
      <c r="QRB237" s="10"/>
      <c r="QRC237" s="10"/>
      <c r="QRD237" s="21"/>
      <c r="QRE237" s="21"/>
      <c r="QRH237" s="21"/>
      <c r="QRI237" s="15"/>
      <c r="QRJ237" s="15"/>
      <c r="QRK237" s="15"/>
      <c r="QRL237" s="15"/>
      <c r="QRM237" s="15"/>
      <c r="QRN237" s="15"/>
      <c r="QRO237" s="15"/>
      <c r="QRP237" s="15"/>
      <c r="QRQ237" s="15"/>
      <c r="QRR237" s="15"/>
      <c r="QRS237" s="10"/>
      <c r="QRT237" s="10"/>
      <c r="QRU237" s="21"/>
      <c r="QRV237" s="21"/>
      <c r="QRY237" s="21"/>
      <c r="QRZ237" s="15"/>
      <c r="QSA237" s="15"/>
      <c r="QSB237" s="15"/>
      <c r="QSC237" s="15"/>
      <c r="QSD237" s="15"/>
      <c r="QSE237" s="15"/>
      <c r="QSF237" s="15"/>
      <c r="QSG237" s="15"/>
      <c r="QSH237" s="15"/>
      <c r="QSI237" s="15"/>
      <c r="QSJ237" s="10"/>
      <c r="QSK237" s="10"/>
      <c r="QSL237" s="21"/>
      <c r="QSM237" s="21"/>
      <c r="QSP237" s="21"/>
      <c r="QSQ237" s="15"/>
      <c r="QSR237" s="15"/>
      <c r="QSS237" s="15"/>
      <c r="QST237" s="15"/>
      <c r="QSU237" s="15"/>
      <c r="QSV237" s="15"/>
      <c r="QSW237" s="15"/>
      <c r="QSX237" s="15"/>
      <c r="QSY237" s="15"/>
      <c r="QSZ237" s="15"/>
      <c r="QTA237" s="10"/>
      <c r="QTB237" s="10"/>
      <c r="QTC237" s="21"/>
      <c r="QTD237" s="21"/>
      <c r="QTG237" s="21"/>
      <c r="QTH237" s="15"/>
      <c r="QTI237" s="15"/>
      <c r="QTJ237" s="15"/>
      <c r="QTK237" s="15"/>
      <c r="QTL237" s="15"/>
      <c r="QTM237" s="15"/>
      <c r="QTN237" s="15"/>
      <c r="QTO237" s="15"/>
      <c r="QTP237" s="15"/>
      <c r="QTQ237" s="15"/>
      <c r="QTR237" s="10"/>
      <c r="QTS237" s="10"/>
      <c r="QTT237" s="21"/>
      <c r="QTU237" s="21"/>
      <c r="QTX237" s="21"/>
      <c r="QTY237" s="15"/>
      <c r="QTZ237" s="15"/>
      <c r="QUA237" s="15"/>
      <c r="QUB237" s="15"/>
      <c r="QUC237" s="15"/>
      <c r="QUD237" s="15"/>
      <c r="QUE237" s="15"/>
      <c r="QUF237" s="15"/>
      <c r="QUG237" s="15"/>
      <c r="QUH237" s="15"/>
      <c r="QUI237" s="10"/>
      <c r="QUJ237" s="10"/>
      <c r="QUK237" s="21"/>
      <c r="QUL237" s="21"/>
      <c r="QUO237" s="21"/>
      <c r="QUP237" s="15"/>
      <c r="QUQ237" s="15"/>
      <c r="QUR237" s="15"/>
      <c r="QUS237" s="15"/>
      <c r="QUT237" s="15"/>
      <c r="QUU237" s="15"/>
      <c r="QUV237" s="15"/>
      <c r="QUW237" s="15"/>
      <c r="QUX237" s="15"/>
      <c r="QUY237" s="15"/>
      <c r="QUZ237" s="10"/>
      <c r="QVA237" s="10"/>
      <c r="QVB237" s="21"/>
      <c r="QVC237" s="21"/>
      <c r="QVF237" s="21"/>
      <c r="QVG237" s="15"/>
      <c r="QVH237" s="15"/>
      <c r="QVI237" s="15"/>
      <c r="QVJ237" s="15"/>
      <c r="QVK237" s="15"/>
      <c r="QVL237" s="15"/>
      <c r="QVM237" s="15"/>
      <c r="QVN237" s="15"/>
      <c r="QVO237" s="15"/>
      <c r="QVP237" s="15"/>
      <c r="QVQ237" s="10"/>
      <c r="QVR237" s="10"/>
      <c r="QVS237" s="21"/>
      <c r="QVT237" s="21"/>
      <c r="QVW237" s="21"/>
      <c r="QVX237" s="15"/>
      <c r="QVY237" s="15"/>
      <c r="QVZ237" s="15"/>
      <c r="QWA237" s="15"/>
      <c r="QWB237" s="15"/>
      <c r="QWC237" s="15"/>
      <c r="QWD237" s="15"/>
      <c r="QWE237" s="15"/>
      <c r="QWF237" s="15"/>
      <c r="QWG237" s="15"/>
      <c r="QWH237" s="10"/>
      <c r="QWI237" s="10"/>
      <c r="QWJ237" s="21"/>
      <c r="QWK237" s="21"/>
      <c r="QWN237" s="21"/>
      <c r="QWO237" s="15"/>
      <c r="QWP237" s="15"/>
      <c r="QWQ237" s="15"/>
      <c r="QWR237" s="15"/>
      <c r="QWS237" s="15"/>
      <c r="QWT237" s="15"/>
      <c r="QWU237" s="15"/>
      <c r="QWV237" s="15"/>
      <c r="QWW237" s="15"/>
      <c r="QWX237" s="15"/>
      <c r="QWY237" s="10"/>
      <c r="QWZ237" s="10"/>
      <c r="QXA237" s="21"/>
      <c r="QXB237" s="21"/>
      <c r="QXE237" s="21"/>
      <c r="QXF237" s="15"/>
      <c r="QXG237" s="15"/>
      <c r="QXH237" s="15"/>
      <c r="QXI237" s="15"/>
      <c r="QXJ237" s="15"/>
      <c r="QXK237" s="15"/>
      <c r="QXL237" s="15"/>
      <c r="QXM237" s="15"/>
      <c r="QXN237" s="15"/>
      <c r="QXO237" s="15"/>
      <c r="QXP237" s="10"/>
      <c r="QXQ237" s="10"/>
      <c r="QXR237" s="21"/>
      <c r="QXS237" s="21"/>
      <c r="QXV237" s="21"/>
      <c r="QXW237" s="15"/>
      <c r="QXX237" s="15"/>
      <c r="QXY237" s="15"/>
      <c r="QXZ237" s="15"/>
      <c r="QYA237" s="15"/>
      <c r="QYB237" s="15"/>
      <c r="QYC237" s="15"/>
      <c r="QYD237" s="15"/>
      <c r="QYE237" s="15"/>
      <c r="QYF237" s="15"/>
      <c r="QYG237" s="10"/>
      <c r="QYH237" s="10"/>
      <c r="QYI237" s="21"/>
      <c r="QYJ237" s="21"/>
      <c r="QYM237" s="21"/>
      <c r="QYN237" s="15"/>
      <c r="QYO237" s="15"/>
      <c r="QYP237" s="15"/>
      <c r="QYQ237" s="15"/>
      <c r="QYR237" s="15"/>
      <c r="QYS237" s="15"/>
      <c r="QYT237" s="15"/>
      <c r="QYU237" s="15"/>
      <c r="QYV237" s="15"/>
      <c r="QYW237" s="15"/>
      <c r="QYX237" s="10"/>
      <c r="QYY237" s="10"/>
      <c r="QYZ237" s="21"/>
      <c r="QZA237" s="21"/>
      <c r="QZD237" s="21"/>
      <c r="QZE237" s="15"/>
      <c r="QZF237" s="15"/>
      <c r="QZG237" s="15"/>
      <c r="QZH237" s="15"/>
      <c r="QZI237" s="15"/>
      <c r="QZJ237" s="15"/>
      <c r="QZK237" s="15"/>
      <c r="QZL237" s="15"/>
      <c r="QZM237" s="15"/>
      <c r="QZN237" s="15"/>
      <c r="QZO237" s="10"/>
      <c r="QZP237" s="10"/>
      <c r="QZQ237" s="21"/>
      <c r="QZR237" s="21"/>
      <c r="QZU237" s="21"/>
      <c r="QZV237" s="15"/>
      <c r="QZW237" s="15"/>
      <c r="QZX237" s="15"/>
      <c r="QZY237" s="15"/>
      <c r="QZZ237" s="15"/>
      <c r="RAA237" s="15"/>
      <c r="RAB237" s="15"/>
      <c r="RAC237" s="15"/>
      <c r="RAD237" s="15"/>
      <c r="RAE237" s="15"/>
      <c r="RAF237" s="10"/>
      <c r="RAG237" s="10"/>
      <c r="RAH237" s="21"/>
      <c r="RAI237" s="21"/>
      <c r="RAL237" s="21"/>
      <c r="RAM237" s="15"/>
      <c r="RAN237" s="15"/>
      <c r="RAO237" s="15"/>
      <c r="RAP237" s="15"/>
      <c r="RAQ237" s="15"/>
      <c r="RAR237" s="15"/>
      <c r="RAS237" s="15"/>
      <c r="RAT237" s="15"/>
      <c r="RAU237" s="15"/>
      <c r="RAV237" s="15"/>
      <c r="RAW237" s="10"/>
      <c r="RAX237" s="10"/>
      <c r="RAY237" s="21"/>
      <c r="RAZ237" s="21"/>
      <c r="RBC237" s="21"/>
      <c r="RBD237" s="15"/>
      <c r="RBE237" s="15"/>
      <c r="RBF237" s="15"/>
      <c r="RBG237" s="15"/>
      <c r="RBH237" s="15"/>
      <c r="RBI237" s="15"/>
      <c r="RBJ237" s="15"/>
      <c r="RBK237" s="15"/>
      <c r="RBL237" s="15"/>
      <c r="RBM237" s="15"/>
      <c r="RBN237" s="10"/>
      <c r="RBO237" s="10"/>
      <c r="RBP237" s="21"/>
      <c r="RBQ237" s="21"/>
      <c r="RBT237" s="21"/>
      <c r="RBU237" s="15"/>
      <c r="RBV237" s="15"/>
      <c r="RBW237" s="15"/>
      <c r="RBX237" s="15"/>
      <c r="RBY237" s="15"/>
      <c r="RBZ237" s="15"/>
      <c r="RCA237" s="15"/>
      <c r="RCB237" s="15"/>
      <c r="RCC237" s="15"/>
      <c r="RCD237" s="15"/>
      <c r="RCE237" s="10"/>
      <c r="RCF237" s="10"/>
      <c r="RCG237" s="21"/>
      <c r="RCH237" s="21"/>
      <c r="RCK237" s="21"/>
      <c r="RCL237" s="15"/>
      <c r="RCM237" s="15"/>
      <c r="RCN237" s="15"/>
      <c r="RCO237" s="15"/>
      <c r="RCP237" s="15"/>
      <c r="RCQ237" s="15"/>
      <c r="RCR237" s="15"/>
      <c r="RCS237" s="15"/>
      <c r="RCT237" s="15"/>
      <c r="RCU237" s="15"/>
      <c r="RCV237" s="10"/>
      <c r="RCW237" s="10"/>
      <c r="RCX237" s="21"/>
      <c r="RCY237" s="21"/>
      <c r="RDB237" s="21"/>
      <c r="RDC237" s="15"/>
      <c r="RDD237" s="15"/>
      <c r="RDE237" s="15"/>
      <c r="RDF237" s="15"/>
      <c r="RDG237" s="15"/>
      <c r="RDH237" s="15"/>
      <c r="RDI237" s="15"/>
      <c r="RDJ237" s="15"/>
      <c r="RDK237" s="15"/>
      <c r="RDL237" s="15"/>
      <c r="RDM237" s="10"/>
      <c r="RDN237" s="10"/>
      <c r="RDO237" s="21"/>
      <c r="RDP237" s="21"/>
      <c r="RDS237" s="21"/>
      <c r="RDT237" s="15"/>
      <c r="RDU237" s="15"/>
      <c r="RDV237" s="15"/>
      <c r="RDW237" s="15"/>
      <c r="RDX237" s="15"/>
      <c r="RDY237" s="15"/>
      <c r="RDZ237" s="15"/>
      <c r="REA237" s="15"/>
      <c r="REB237" s="15"/>
      <c r="REC237" s="15"/>
      <c r="RED237" s="10"/>
      <c r="REE237" s="10"/>
      <c r="REF237" s="21"/>
      <c r="REG237" s="21"/>
      <c r="REJ237" s="21"/>
      <c r="REK237" s="15"/>
      <c r="REL237" s="15"/>
      <c r="REM237" s="15"/>
      <c r="REN237" s="15"/>
      <c r="REO237" s="15"/>
      <c r="REP237" s="15"/>
      <c r="REQ237" s="15"/>
      <c r="RER237" s="15"/>
      <c r="RES237" s="15"/>
      <c r="RET237" s="15"/>
      <c r="REU237" s="10"/>
      <c r="REV237" s="10"/>
      <c r="REW237" s="21"/>
      <c r="REX237" s="21"/>
      <c r="RFA237" s="21"/>
      <c r="RFB237" s="15"/>
      <c r="RFC237" s="15"/>
      <c r="RFD237" s="15"/>
      <c r="RFE237" s="15"/>
      <c r="RFF237" s="15"/>
      <c r="RFG237" s="15"/>
      <c r="RFH237" s="15"/>
      <c r="RFI237" s="15"/>
      <c r="RFJ237" s="15"/>
      <c r="RFK237" s="15"/>
      <c r="RFL237" s="10"/>
      <c r="RFM237" s="10"/>
      <c r="RFN237" s="21"/>
      <c r="RFO237" s="21"/>
      <c r="RFR237" s="21"/>
      <c r="RFS237" s="15"/>
      <c r="RFT237" s="15"/>
      <c r="RFU237" s="15"/>
      <c r="RFV237" s="15"/>
      <c r="RFW237" s="15"/>
      <c r="RFX237" s="15"/>
      <c r="RFY237" s="15"/>
      <c r="RFZ237" s="15"/>
      <c r="RGA237" s="15"/>
      <c r="RGB237" s="15"/>
      <c r="RGC237" s="10"/>
      <c r="RGD237" s="10"/>
      <c r="RGE237" s="21"/>
      <c r="RGF237" s="21"/>
      <c r="RGI237" s="21"/>
      <c r="RGJ237" s="15"/>
      <c r="RGK237" s="15"/>
      <c r="RGL237" s="15"/>
      <c r="RGM237" s="15"/>
      <c r="RGN237" s="15"/>
      <c r="RGO237" s="15"/>
      <c r="RGP237" s="15"/>
      <c r="RGQ237" s="15"/>
      <c r="RGR237" s="15"/>
      <c r="RGS237" s="15"/>
      <c r="RGT237" s="10"/>
      <c r="RGU237" s="10"/>
      <c r="RGV237" s="21"/>
      <c r="RGW237" s="21"/>
      <c r="RGZ237" s="21"/>
      <c r="RHA237" s="15"/>
      <c r="RHB237" s="15"/>
      <c r="RHC237" s="15"/>
      <c r="RHD237" s="15"/>
      <c r="RHE237" s="15"/>
      <c r="RHF237" s="15"/>
      <c r="RHG237" s="15"/>
      <c r="RHH237" s="15"/>
      <c r="RHI237" s="15"/>
      <c r="RHJ237" s="15"/>
      <c r="RHK237" s="10"/>
      <c r="RHL237" s="10"/>
      <c r="RHM237" s="21"/>
      <c r="RHN237" s="21"/>
      <c r="RHQ237" s="21"/>
      <c r="RHR237" s="15"/>
      <c r="RHS237" s="15"/>
      <c r="RHT237" s="15"/>
      <c r="RHU237" s="15"/>
      <c r="RHV237" s="15"/>
      <c r="RHW237" s="15"/>
      <c r="RHX237" s="15"/>
      <c r="RHY237" s="15"/>
      <c r="RHZ237" s="15"/>
      <c r="RIA237" s="15"/>
      <c r="RIB237" s="10"/>
      <c r="RIC237" s="10"/>
      <c r="RID237" s="21"/>
      <c r="RIE237" s="21"/>
      <c r="RIH237" s="21"/>
      <c r="RII237" s="15"/>
      <c r="RIJ237" s="15"/>
      <c r="RIK237" s="15"/>
      <c r="RIL237" s="15"/>
      <c r="RIM237" s="15"/>
      <c r="RIN237" s="15"/>
      <c r="RIO237" s="15"/>
      <c r="RIP237" s="15"/>
      <c r="RIQ237" s="15"/>
      <c r="RIR237" s="15"/>
      <c r="RIS237" s="10"/>
      <c r="RIT237" s="10"/>
      <c r="RIU237" s="21"/>
      <c r="RIV237" s="21"/>
      <c r="RIY237" s="21"/>
      <c r="RIZ237" s="15"/>
      <c r="RJA237" s="15"/>
      <c r="RJB237" s="15"/>
      <c r="RJC237" s="15"/>
      <c r="RJD237" s="15"/>
      <c r="RJE237" s="15"/>
      <c r="RJF237" s="15"/>
      <c r="RJG237" s="15"/>
      <c r="RJH237" s="15"/>
      <c r="RJI237" s="15"/>
      <c r="RJJ237" s="10"/>
      <c r="RJK237" s="10"/>
      <c r="RJL237" s="21"/>
      <c r="RJM237" s="21"/>
      <c r="RJP237" s="21"/>
      <c r="RJQ237" s="15"/>
      <c r="RJR237" s="15"/>
      <c r="RJS237" s="15"/>
      <c r="RJT237" s="15"/>
      <c r="RJU237" s="15"/>
      <c r="RJV237" s="15"/>
      <c r="RJW237" s="15"/>
      <c r="RJX237" s="15"/>
      <c r="RJY237" s="15"/>
      <c r="RJZ237" s="15"/>
      <c r="RKA237" s="10"/>
      <c r="RKB237" s="10"/>
      <c r="RKC237" s="21"/>
      <c r="RKD237" s="21"/>
      <c r="RKG237" s="21"/>
      <c r="RKH237" s="15"/>
      <c r="RKI237" s="15"/>
      <c r="RKJ237" s="15"/>
      <c r="RKK237" s="15"/>
      <c r="RKL237" s="15"/>
      <c r="RKM237" s="15"/>
      <c r="RKN237" s="15"/>
      <c r="RKO237" s="15"/>
      <c r="RKP237" s="15"/>
      <c r="RKQ237" s="15"/>
      <c r="RKR237" s="10"/>
      <c r="RKS237" s="10"/>
      <c r="RKT237" s="21"/>
      <c r="RKU237" s="21"/>
      <c r="RKX237" s="21"/>
      <c r="RKY237" s="15"/>
      <c r="RKZ237" s="15"/>
      <c r="RLA237" s="15"/>
      <c r="RLB237" s="15"/>
      <c r="RLC237" s="15"/>
      <c r="RLD237" s="15"/>
      <c r="RLE237" s="15"/>
      <c r="RLF237" s="15"/>
      <c r="RLG237" s="15"/>
      <c r="RLH237" s="15"/>
      <c r="RLI237" s="10"/>
      <c r="RLJ237" s="10"/>
      <c r="RLK237" s="21"/>
      <c r="RLL237" s="21"/>
      <c r="RLO237" s="21"/>
      <c r="RLP237" s="15"/>
      <c r="RLQ237" s="15"/>
      <c r="RLR237" s="15"/>
      <c r="RLS237" s="15"/>
      <c r="RLT237" s="15"/>
      <c r="RLU237" s="15"/>
      <c r="RLV237" s="15"/>
      <c r="RLW237" s="15"/>
      <c r="RLX237" s="15"/>
      <c r="RLY237" s="15"/>
      <c r="RLZ237" s="10"/>
      <c r="RMA237" s="10"/>
      <c r="RMB237" s="21"/>
      <c r="RMC237" s="21"/>
      <c r="RMF237" s="21"/>
      <c r="RMG237" s="15"/>
      <c r="RMH237" s="15"/>
      <c r="RMI237" s="15"/>
      <c r="RMJ237" s="15"/>
      <c r="RMK237" s="15"/>
      <c r="RML237" s="15"/>
      <c r="RMM237" s="15"/>
      <c r="RMN237" s="15"/>
      <c r="RMO237" s="15"/>
      <c r="RMP237" s="15"/>
      <c r="RMQ237" s="10"/>
      <c r="RMR237" s="10"/>
      <c r="RMS237" s="21"/>
      <c r="RMT237" s="21"/>
      <c r="RMW237" s="21"/>
      <c r="RMX237" s="15"/>
      <c r="RMY237" s="15"/>
      <c r="RMZ237" s="15"/>
      <c r="RNA237" s="15"/>
      <c r="RNB237" s="15"/>
      <c r="RNC237" s="15"/>
      <c r="RND237" s="15"/>
      <c r="RNE237" s="15"/>
      <c r="RNF237" s="15"/>
      <c r="RNG237" s="15"/>
      <c r="RNH237" s="10"/>
      <c r="RNI237" s="10"/>
      <c r="RNJ237" s="21"/>
      <c r="RNK237" s="21"/>
      <c r="RNN237" s="21"/>
      <c r="RNO237" s="15"/>
      <c r="RNP237" s="15"/>
      <c r="RNQ237" s="15"/>
      <c r="RNR237" s="15"/>
      <c r="RNS237" s="15"/>
      <c r="RNT237" s="15"/>
      <c r="RNU237" s="15"/>
      <c r="RNV237" s="15"/>
      <c r="RNW237" s="15"/>
      <c r="RNX237" s="15"/>
      <c r="RNY237" s="10"/>
      <c r="RNZ237" s="10"/>
      <c r="ROA237" s="21"/>
      <c r="ROB237" s="21"/>
      <c r="ROE237" s="21"/>
      <c r="ROF237" s="15"/>
      <c r="ROG237" s="15"/>
      <c r="ROH237" s="15"/>
      <c r="ROI237" s="15"/>
      <c r="ROJ237" s="15"/>
      <c r="ROK237" s="15"/>
      <c r="ROL237" s="15"/>
      <c r="ROM237" s="15"/>
      <c r="RON237" s="15"/>
      <c r="ROO237" s="15"/>
      <c r="ROP237" s="10"/>
      <c r="ROQ237" s="10"/>
      <c r="ROR237" s="21"/>
      <c r="ROS237" s="21"/>
      <c r="ROV237" s="21"/>
      <c r="ROW237" s="15"/>
      <c r="ROX237" s="15"/>
      <c r="ROY237" s="15"/>
      <c r="ROZ237" s="15"/>
      <c r="RPA237" s="15"/>
      <c r="RPB237" s="15"/>
      <c r="RPC237" s="15"/>
      <c r="RPD237" s="15"/>
      <c r="RPE237" s="15"/>
      <c r="RPF237" s="15"/>
      <c r="RPG237" s="10"/>
      <c r="RPH237" s="10"/>
      <c r="RPI237" s="21"/>
      <c r="RPJ237" s="21"/>
      <c r="RPM237" s="21"/>
      <c r="RPN237" s="15"/>
      <c r="RPO237" s="15"/>
      <c r="RPP237" s="15"/>
      <c r="RPQ237" s="15"/>
      <c r="RPR237" s="15"/>
      <c r="RPS237" s="15"/>
      <c r="RPT237" s="15"/>
      <c r="RPU237" s="15"/>
      <c r="RPV237" s="15"/>
      <c r="RPW237" s="15"/>
      <c r="RPX237" s="10"/>
      <c r="RPY237" s="10"/>
      <c r="RPZ237" s="21"/>
      <c r="RQA237" s="21"/>
      <c r="RQD237" s="21"/>
      <c r="RQE237" s="15"/>
      <c r="RQF237" s="15"/>
      <c r="RQG237" s="15"/>
      <c r="RQH237" s="15"/>
      <c r="RQI237" s="15"/>
      <c r="RQJ237" s="15"/>
      <c r="RQK237" s="15"/>
      <c r="RQL237" s="15"/>
      <c r="RQM237" s="15"/>
      <c r="RQN237" s="15"/>
      <c r="RQO237" s="10"/>
      <c r="RQP237" s="10"/>
      <c r="RQQ237" s="21"/>
      <c r="RQR237" s="21"/>
      <c r="RQU237" s="21"/>
      <c r="RQV237" s="15"/>
      <c r="RQW237" s="15"/>
      <c r="RQX237" s="15"/>
      <c r="RQY237" s="15"/>
      <c r="RQZ237" s="15"/>
      <c r="RRA237" s="15"/>
      <c r="RRB237" s="15"/>
      <c r="RRC237" s="15"/>
      <c r="RRD237" s="15"/>
      <c r="RRE237" s="15"/>
      <c r="RRF237" s="10"/>
      <c r="RRG237" s="10"/>
      <c r="RRH237" s="21"/>
      <c r="RRI237" s="21"/>
      <c r="RRL237" s="21"/>
      <c r="RRM237" s="15"/>
      <c r="RRN237" s="15"/>
      <c r="RRO237" s="15"/>
      <c r="RRP237" s="15"/>
      <c r="RRQ237" s="15"/>
      <c r="RRR237" s="15"/>
      <c r="RRS237" s="15"/>
      <c r="RRT237" s="15"/>
      <c r="RRU237" s="15"/>
      <c r="RRV237" s="15"/>
      <c r="RRW237" s="10"/>
      <c r="RRX237" s="10"/>
      <c r="RRY237" s="21"/>
      <c r="RRZ237" s="21"/>
      <c r="RSC237" s="21"/>
      <c r="RSD237" s="15"/>
      <c r="RSE237" s="15"/>
      <c r="RSF237" s="15"/>
      <c r="RSG237" s="15"/>
      <c r="RSH237" s="15"/>
      <c r="RSI237" s="15"/>
      <c r="RSJ237" s="15"/>
      <c r="RSK237" s="15"/>
      <c r="RSL237" s="15"/>
      <c r="RSM237" s="15"/>
      <c r="RSN237" s="10"/>
      <c r="RSO237" s="10"/>
      <c r="RSP237" s="21"/>
      <c r="RSQ237" s="21"/>
      <c r="RST237" s="21"/>
      <c r="RSU237" s="15"/>
      <c r="RSV237" s="15"/>
      <c r="RSW237" s="15"/>
      <c r="RSX237" s="15"/>
      <c r="RSY237" s="15"/>
      <c r="RSZ237" s="15"/>
      <c r="RTA237" s="15"/>
      <c r="RTB237" s="15"/>
      <c r="RTC237" s="15"/>
      <c r="RTD237" s="15"/>
      <c r="RTE237" s="10"/>
      <c r="RTF237" s="10"/>
      <c r="RTG237" s="21"/>
      <c r="RTH237" s="21"/>
      <c r="RTK237" s="21"/>
      <c r="RTL237" s="15"/>
      <c r="RTM237" s="15"/>
      <c r="RTN237" s="15"/>
      <c r="RTO237" s="15"/>
      <c r="RTP237" s="15"/>
      <c r="RTQ237" s="15"/>
      <c r="RTR237" s="15"/>
      <c r="RTS237" s="15"/>
      <c r="RTT237" s="15"/>
      <c r="RTU237" s="15"/>
      <c r="RTV237" s="10"/>
      <c r="RTW237" s="10"/>
      <c r="RTX237" s="21"/>
      <c r="RTY237" s="21"/>
      <c r="RUB237" s="21"/>
      <c r="RUC237" s="15"/>
      <c r="RUD237" s="15"/>
      <c r="RUE237" s="15"/>
      <c r="RUF237" s="15"/>
      <c r="RUG237" s="15"/>
      <c r="RUH237" s="15"/>
      <c r="RUI237" s="15"/>
      <c r="RUJ237" s="15"/>
      <c r="RUK237" s="15"/>
      <c r="RUL237" s="15"/>
      <c r="RUM237" s="10"/>
      <c r="RUN237" s="10"/>
      <c r="RUO237" s="21"/>
      <c r="RUP237" s="21"/>
      <c r="RUS237" s="21"/>
      <c r="RUT237" s="15"/>
      <c r="RUU237" s="15"/>
      <c r="RUV237" s="15"/>
      <c r="RUW237" s="15"/>
      <c r="RUX237" s="15"/>
      <c r="RUY237" s="15"/>
      <c r="RUZ237" s="15"/>
      <c r="RVA237" s="15"/>
      <c r="RVB237" s="15"/>
      <c r="RVC237" s="15"/>
      <c r="RVD237" s="10"/>
      <c r="RVE237" s="10"/>
      <c r="RVF237" s="21"/>
      <c r="RVG237" s="21"/>
      <c r="RVJ237" s="21"/>
      <c r="RVK237" s="15"/>
      <c r="RVL237" s="15"/>
      <c r="RVM237" s="15"/>
      <c r="RVN237" s="15"/>
      <c r="RVO237" s="15"/>
      <c r="RVP237" s="15"/>
      <c r="RVQ237" s="15"/>
      <c r="RVR237" s="15"/>
      <c r="RVS237" s="15"/>
      <c r="RVT237" s="15"/>
      <c r="RVU237" s="10"/>
      <c r="RVV237" s="10"/>
      <c r="RVW237" s="21"/>
      <c r="RVX237" s="21"/>
      <c r="RWA237" s="21"/>
      <c r="RWB237" s="15"/>
      <c r="RWC237" s="15"/>
      <c r="RWD237" s="15"/>
      <c r="RWE237" s="15"/>
      <c r="RWF237" s="15"/>
      <c r="RWG237" s="15"/>
      <c r="RWH237" s="15"/>
      <c r="RWI237" s="15"/>
      <c r="RWJ237" s="15"/>
      <c r="RWK237" s="15"/>
      <c r="RWL237" s="10"/>
      <c r="RWM237" s="10"/>
      <c r="RWN237" s="21"/>
      <c r="RWO237" s="21"/>
      <c r="RWR237" s="21"/>
      <c r="RWS237" s="15"/>
      <c r="RWT237" s="15"/>
      <c r="RWU237" s="15"/>
      <c r="RWV237" s="15"/>
      <c r="RWW237" s="15"/>
      <c r="RWX237" s="15"/>
      <c r="RWY237" s="15"/>
      <c r="RWZ237" s="15"/>
      <c r="RXA237" s="15"/>
      <c r="RXB237" s="15"/>
      <c r="RXC237" s="10"/>
      <c r="RXD237" s="10"/>
      <c r="RXE237" s="21"/>
      <c r="RXF237" s="21"/>
      <c r="RXI237" s="21"/>
      <c r="RXJ237" s="15"/>
      <c r="RXK237" s="15"/>
      <c r="RXL237" s="15"/>
      <c r="RXM237" s="15"/>
      <c r="RXN237" s="15"/>
      <c r="RXO237" s="15"/>
      <c r="RXP237" s="15"/>
      <c r="RXQ237" s="15"/>
      <c r="RXR237" s="15"/>
      <c r="RXS237" s="15"/>
      <c r="RXT237" s="10"/>
      <c r="RXU237" s="10"/>
      <c r="RXV237" s="21"/>
      <c r="RXW237" s="21"/>
      <c r="RXZ237" s="21"/>
      <c r="RYA237" s="15"/>
      <c r="RYB237" s="15"/>
      <c r="RYC237" s="15"/>
      <c r="RYD237" s="15"/>
      <c r="RYE237" s="15"/>
      <c r="RYF237" s="15"/>
      <c r="RYG237" s="15"/>
      <c r="RYH237" s="15"/>
      <c r="RYI237" s="15"/>
      <c r="RYJ237" s="15"/>
      <c r="RYK237" s="10"/>
      <c r="RYL237" s="10"/>
      <c r="RYM237" s="21"/>
      <c r="RYN237" s="21"/>
      <c r="RYQ237" s="21"/>
      <c r="RYR237" s="15"/>
      <c r="RYS237" s="15"/>
      <c r="RYT237" s="15"/>
      <c r="RYU237" s="15"/>
      <c r="RYV237" s="15"/>
      <c r="RYW237" s="15"/>
      <c r="RYX237" s="15"/>
      <c r="RYY237" s="15"/>
      <c r="RYZ237" s="15"/>
      <c r="RZA237" s="15"/>
      <c r="RZB237" s="10"/>
      <c r="RZC237" s="10"/>
      <c r="RZD237" s="21"/>
      <c r="RZE237" s="21"/>
      <c r="RZH237" s="21"/>
      <c r="RZI237" s="15"/>
      <c r="RZJ237" s="15"/>
      <c r="RZK237" s="15"/>
      <c r="RZL237" s="15"/>
      <c r="RZM237" s="15"/>
      <c r="RZN237" s="15"/>
      <c r="RZO237" s="15"/>
      <c r="RZP237" s="15"/>
      <c r="RZQ237" s="15"/>
      <c r="RZR237" s="15"/>
      <c r="RZS237" s="10"/>
      <c r="RZT237" s="10"/>
      <c r="RZU237" s="21"/>
      <c r="RZV237" s="21"/>
      <c r="RZY237" s="21"/>
      <c r="RZZ237" s="15"/>
      <c r="SAA237" s="15"/>
      <c r="SAB237" s="15"/>
      <c r="SAC237" s="15"/>
      <c r="SAD237" s="15"/>
      <c r="SAE237" s="15"/>
      <c r="SAF237" s="15"/>
      <c r="SAG237" s="15"/>
      <c r="SAH237" s="15"/>
      <c r="SAI237" s="15"/>
      <c r="SAJ237" s="10"/>
      <c r="SAK237" s="10"/>
      <c r="SAL237" s="21"/>
      <c r="SAM237" s="21"/>
      <c r="SAP237" s="21"/>
      <c r="SAQ237" s="15"/>
      <c r="SAR237" s="15"/>
      <c r="SAS237" s="15"/>
      <c r="SAT237" s="15"/>
      <c r="SAU237" s="15"/>
      <c r="SAV237" s="15"/>
      <c r="SAW237" s="15"/>
      <c r="SAX237" s="15"/>
      <c r="SAY237" s="15"/>
      <c r="SAZ237" s="15"/>
      <c r="SBA237" s="10"/>
      <c r="SBB237" s="10"/>
      <c r="SBC237" s="21"/>
      <c r="SBD237" s="21"/>
      <c r="SBG237" s="21"/>
      <c r="SBH237" s="15"/>
      <c r="SBI237" s="15"/>
      <c r="SBJ237" s="15"/>
      <c r="SBK237" s="15"/>
      <c r="SBL237" s="15"/>
      <c r="SBM237" s="15"/>
      <c r="SBN237" s="15"/>
      <c r="SBO237" s="15"/>
      <c r="SBP237" s="15"/>
      <c r="SBQ237" s="15"/>
      <c r="SBR237" s="10"/>
      <c r="SBS237" s="10"/>
      <c r="SBT237" s="21"/>
      <c r="SBU237" s="21"/>
      <c r="SBX237" s="21"/>
      <c r="SBY237" s="15"/>
      <c r="SBZ237" s="15"/>
      <c r="SCA237" s="15"/>
      <c r="SCB237" s="15"/>
      <c r="SCC237" s="15"/>
      <c r="SCD237" s="15"/>
      <c r="SCE237" s="15"/>
      <c r="SCF237" s="15"/>
      <c r="SCG237" s="15"/>
      <c r="SCH237" s="15"/>
      <c r="SCI237" s="10"/>
      <c r="SCJ237" s="10"/>
      <c r="SCK237" s="21"/>
      <c r="SCL237" s="21"/>
      <c r="SCO237" s="21"/>
      <c r="SCP237" s="15"/>
      <c r="SCQ237" s="15"/>
      <c r="SCR237" s="15"/>
      <c r="SCS237" s="15"/>
      <c r="SCT237" s="15"/>
      <c r="SCU237" s="15"/>
      <c r="SCV237" s="15"/>
      <c r="SCW237" s="15"/>
      <c r="SCX237" s="15"/>
      <c r="SCY237" s="15"/>
      <c r="SCZ237" s="10"/>
      <c r="SDA237" s="10"/>
      <c r="SDB237" s="21"/>
      <c r="SDC237" s="21"/>
      <c r="SDF237" s="21"/>
      <c r="SDG237" s="15"/>
      <c r="SDH237" s="15"/>
      <c r="SDI237" s="15"/>
      <c r="SDJ237" s="15"/>
      <c r="SDK237" s="15"/>
      <c r="SDL237" s="15"/>
      <c r="SDM237" s="15"/>
      <c r="SDN237" s="15"/>
      <c r="SDO237" s="15"/>
      <c r="SDP237" s="15"/>
      <c r="SDQ237" s="10"/>
      <c r="SDR237" s="10"/>
      <c r="SDS237" s="21"/>
      <c r="SDT237" s="21"/>
      <c r="SDW237" s="21"/>
      <c r="SDX237" s="15"/>
      <c r="SDY237" s="15"/>
      <c r="SDZ237" s="15"/>
      <c r="SEA237" s="15"/>
      <c r="SEB237" s="15"/>
      <c r="SEC237" s="15"/>
      <c r="SED237" s="15"/>
      <c r="SEE237" s="15"/>
      <c r="SEF237" s="15"/>
      <c r="SEG237" s="15"/>
      <c r="SEH237" s="10"/>
      <c r="SEI237" s="10"/>
      <c r="SEJ237" s="21"/>
      <c r="SEK237" s="21"/>
      <c r="SEN237" s="21"/>
      <c r="SEO237" s="15"/>
      <c r="SEP237" s="15"/>
      <c r="SEQ237" s="15"/>
      <c r="SER237" s="15"/>
      <c r="SES237" s="15"/>
      <c r="SET237" s="15"/>
      <c r="SEU237" s="15"/>
      <c r="SEV237" s="15"/>
      <c r="SEW237" s="15"/>
      <c r="SEX237" s="15"/>
      <c r="SEY237" s="10"/>
      <c r="SEZ237" s="10"/>
      <c r="SFA237" s="21"/>
      <c r="SFB237" s="21"/>
      <c r="SFE237" s="21"/>
      <c r="SFF237" s="15"/>
      <c r="SFG237" s="15"/>
      <c r="SFH237" s="15"/>
      <c r="SFI237" s="15"/>
      <c r="SFJ237" s="15"/>
      <c r="SFK237" s="15"/>
      <c r="SFL237" s="15"/>
      <c r="SFM237" s="15"/>
      <c r="SFN237" s="15"/>
      <c r="SFO237" s="15"/>
      <c r="SFP237" s="10"/>
      <c r="SFQ237" s="10"/>
      <c r="SFR237" s="21"/>
      <c r="SFS237" s="21"/>
      <c r="SFV237" s="21"/>
      <c r="SFW237" s="15"/>
      <c r="SFX237" s="15"/>
      <c r="SFY237" s="15"/>
      <c r="SFZ237" s="15"/>
      <c r="SGA237" s="15"/>
      <c r="SGB237" s="15"/>
      <c r="SGC237" s="15"/>
      <c r="SGD237" s="15"/>
      <c r="SGE237" s="15"/>
      <c r="SGF237" s="15"/>
      <c r="SGG237" s="10"/>
      <c r="SGH237" s="10"/>
      <c r="SGI237" s="21"/>
      <c r="SGJ237" s="21"/>
      <c r="SGM237" s="21"/>
      <c r="SGN237" s="15"/>
      <c r="SGO237" s="15"/>
      <c r="SGP237" s="15"/>
      <c r="SGQ237" s="15"/>
      <c r="SGR237" s="15"/>
      <c r="SGS237" s="15"/>
      <c r="SGT237" s="15"/>
      <c r="SGU237" s="15"/>
      <c r="SGV237" s="15"/>
      <c r="SGW237" s="15"/>
      <c r="SGX237" s="10"/>
      <c r="SGY237" s="10"/>
      <c r="SGZ237" s="21"/>
      <c r="SHA237" s="21"/>
      <c r="SHD237" s="21"/>
      <c r="SHE237" s="15"/>
      <c r="SHF237" s="15"/>
      <c r="SHG237" s="15"/>
      <c r="SHH237" s="15"/>
      <c r="SHI237" s="15"/>
      <c r="SHJ237" s="15"/>
      <c r="SHK237" s="15"/>
      <c r="SHL237" s="15"/>
      <c r="SHM237" s="15"/>
      <c r="SHN237" s="15"/>
      <c r="SHO237" s="10"/>
      <c r="SHP237" s="10"/>
      <c r="SHQ237" s="21"/>
      <c r="SHR237" s="21"/>
      <c r="SHU237" s="21"/>
      <c r="SHV237" s="15"/>
      <c r="SHW237" s="15"/>
      <c r="SHX237" s="15"/>
      <c r="SHY237" s="15"/>
      <c r="SHZ237" s="15"/>
      <c r="SIA237" s="15"/>
      <c r="SIB237" s="15"/>
      <c r="SIC237" s="15"/>
      <c r="SID237" s="15"/>
      <c r="SIE237" s="15"/>
      <c r="SIF237" s="10"/>
      <c r="SIG237" s="10"/>
      <c r="SIH237" s="21"/>
      <c r="SII237" s="21"/>
      <c r="SIL237" s="21"/>
      <c r="SIM237" s="15"/>
      <c r="SIN237" s="15"/>
      <c r="SIO237" s="15"/>
      <c r="SIP237" s="15"/>
      <c r="SIQ237" s="15"/>
      <c r="SIR237" s="15"/>
      <c r="SIS237" s="15"/>
      <c r="SIT237" s="15"/>
      <c r="SIU237" s="15"/>
      <c r="SIV237" s="15"/>
      <c r="SIW237" s="10"/>
      <c r="SIX237" s="10"/>
      <c r="SIY237" s="21"/>
      <c r="SIZ237" s="21"/>
      <c r="SJC237" s="21"/>
      <c r="SJD237" s="15"/>
      <c r="SJE237" s="15"/>
      <c r="SJF237" s="15"/>
      <c r="SJG237" s="15"/>
      <c r="SJH237" s="15"/>
      <c r="SJI237" s="15"/>
      <c r="SJJ237" s="15"/>
      <c r="SJK237" s="15"/>
      <c r="SJL237" s="15"/>
      <c r="SJM237" s="15"/>
      <c r="SJN237" s="10"/>
      <c r="SJO237" s="10"/>
      <c r="SJP237" s="21"/>
      <c r="SJQ237" s="21"/>
      <c r="SJT237" s="21"/>
      <c r="SJU237" s="15"/>
      <c r="SJV237" s="15"/>
      <c r="SJW237" s="15"/>
      <c r="SJX237" s="15"/>
      <c r="SJY237" s="15"/>
      <c r="SJZ237" s="15"/>
      <c r="SKA237" s="15"/>
      <c r="SKB237" s="15"/>
      <c r="SKC237" s="15"/>
      <c r="SKD237" s="15"/>
      <c r="SKE237" s="10"/>
      <c r="SKF237" s="10"/>
      <c r="SKG237" s="21"/>
      <c r="SKH237" s="21"/>
      <c r="SKK237" s="21"/>
      <c r="SKL237" s="15"/>
      <c r="SKM237" s="15"/>
      <c r="SKN237" s="15"/>
      <c r="SKO237" s="15"/>
      <c r="SKP237" s="15"/>
      <c r="SKQ237" s="15"/>
      <c r="SKR237" s="15"/>
      <c r="SKS237" s="15"/>
      <c r="SKT237" s="15"/>
      <c r="SKU237" s="15"/>
      <c r="SKV237" s="10"/>
      <c r="SKW237" s="10"/>
      <c r="SKX237" s="21"/>
      <c r="SKY237" s="21"/>
      <c r="SLB237" s="21"/>
      <c r="SLC237" s="15"/>
      <c r="SLD237" s="15"/>
      <c r="SLE237" s="15"/>
      <c r="SLF237" s="15"/>
      <c r="SLG237" s="15"/>
      <c r="SLH237" s="15"/>
      <c r="SLI237" s="15"/>
      <c r="SLJ237" s="15"/>
      <c r="SLK237" s="15"/>
      <c r="SLL237" s="15"/>
      <c r="SLM237" s="10"/>
      <c r="SLN237" s="10"/>
      <c r="SLO237" s="21"/>
      <c r="SLP237" s="21"/>
      <c r="SLS237" s="21"/>
      <c r="SLT237" s="15"/>
      <c r="SLU237" s="15"/>
      <c r="SLV237" s="15"/>
      <c r="SLW237" s="15"/>
      <c r="SLX237" s="15"/>
      <c r="SLY237" s="15"/>
      <c r="SLZ237" s="15"/>
      <c r="SMA237" s="15"/>
      <c r="SMB237" s="15"/>
      <c r="SMC237" s="15"/>
      <c r="SMD237" s="10"/>
      <c r="SME237" s="10"/>
      <c r="SMF237" s="21"/>
      <c r="SMG237" s="21"/>
      <c r="SMJ237" s="21"/>
      <c r="SMK237" s="15"/>
      <c r="SML237" s="15"/>
      <c r="SMM237" s="15"/>
      <c r="SMN237" s="15"/>
      <c r="SMO237" s="15"/>
      <c r="SMP237" s="15"/>
      <c r="SMQ237" s="15"/>
      <c r="SMR237" s="15"/>
      <c r="SMS237" s="15"/>
      <c r="SMT237" s="15"/>
      <c r="SMU237" s="10"/>
      <c r="SMV237" s="10"/>
      <c r="SMW237" s="21"/>
      <c r="SMX237" s="21"/>
      <c r="SNA237" s="21"/>
      <c r="SNB237" s="15"/>
      <c r="SNC237" s="15"/>
      <c r="SND237" s="15"/>
      <c r="SNE237" s="15"/>
      <c r="SNF237" s="15"/>
      <c r="SNG237" s="15"/>
      <c r="SNH237" s="15"/>
      <c r="SNI237" s="15"/>
      <c r="SNJ237" s="15"/>
      <c r="SNK237" s="15"/>
      <c r="SNL237" s="10"/>
      <c r="SNM237" s="10"/>
      <c r="SNN237" s="21"/>
      <c r="SNO237" s="21"/>
      <c r="SNR237" s="21"/>
      <c r="SNS237" s="15"/>
      <c r="SNT237" s="15"/>
      <c r="SNU237" s="15"/>
      <c r="SNV237" s="15"/>
      <c r="SNW237" s="15"/>
      <c r="SNX237" s="15"/>
      <c r="SNY237" s="15"/>
      <c r="SNZ237" s="15"/>
      <c r="SOA237" s="15"/>
      <c r="SOB237" s="15"/>
      <c r="SOC237" s="10"/>
      <c r="SOD237" s="10"/>
      <c r="SOE237" s="21"/>
      <c r="SOF237" s="21"/>
      <c r="SOI237" s="21"/>
      <c r="SOJ237" s="15"/>
      <c r="SOK237" s="15"/>
      <c r="SOL237" s="15"/>
      <c r="SOM237" s="15"/>
      <c r="SON237" s="15"/>
      <c r="SOO237" s="15"/>
      <c r="SOP237" s="15"/>
      <c r="SOQ237" s="15"/>
      <c r="SOR237" s="15"/>
      <c r="SOS237" s="15"/>
      <c r="SOT237" s="10"/>
      <c r="SOU237" s="10"/>
      <c r="SOV237" s="21"/>
      <c r="SOW237" s="21"/>
      <c r="SOZ237" s="21"/>
      <c r="SPA237" s="15"/>
      <c r="SPB237" s="15"/>
      <c r="SPC237" s="15"/>
      <c r="SPD237" s="15"/>
      <c r="SPE237" s="15"/>
      <c r="SPF237" s="15"/>
      <c r="SPG237" s="15"/>
      <c r="SPH237" s="15"/>
      <c r="SPI237" s="15"/>
      <c r="SPJ237" s="15"/>
      <c r="SPK237" s="10"/>
      <c r="SPL237" s="10"/>
      <c r="SPM237" s="21"/>
      <c r="SPN237" s="21"/>
      <c r="SPQ237" s="21"/>
      <c r="SPR237" s="15"/>
      <c r="SPS237" s="15"/>
      <c r="SPT237" s="15"/>
      <c r="SPU237" s="15"/>
      <c r="SPV237" s="15"/>
      <c r="SPW237" s="15"/>
      <c r="SPX237" s="15"/>
      <c r="SPY237" s="15"/>
      <c r="SPZ237" s="15"/>
      <c r="SQA237" s="15"/>
      <c r="SQB237" s="10"/>
      <c r="SQC237" s="10"/>
      <c r="SQD237" s="21"/>
      <c r="SQE237" s="21"/>
      <c r="SQH237" s="21"/>
      <c r="SQI237" s="15"/>
      <c r="SQJ237" s="15"/>
      <c r="SQK237" s="15"/>
      <c r="SQL237" s="15"/>
      <c r="SQM237" s="15"/>
      <c r="SQN237" s="15"/>
      <c r="SQO237" s="15"/>
      <c r="SQP237" s="15"/>
      <c r="SQQ237" s="15"/>
      <c r="SQR237" s="15"/>
      <c r="SQS237" s="10"/>
      <c r="SQT237" s="10"/>
      <c r="SQU237" s="21"/>
      <c r="SQV237" s="21"/>
      <c r="SQY237" s="21"/>
      <c r="SQZ237" s="15"/>
      <c r="SRA237" s="15"/>
      <c r="SRB237" s="15"/>
      <c r="SRC237" s="15"/>
      <c r="SRD237" s="15"/>
      <c r="SRE237" s="15"/>
      <c r="SRF237" s="15"/>
      <c r="SRG237" s="15"/>
      <c r="SRH237" s="15"/>
      <c r="SRI237" s="15"/>
      <c r="SRJ237" s="10"/>
      <c r="SRK237" s="10"/>
      <c r="SRL237" s="21"/>
      <c r="SRM237" s="21"/>
      <c r="SRP237" s="21"/>
      <c r="SRQ237" s="15"/>
      <c r="SRR237" s="15"/>
      <c r="SRS237" s="15"/>
      <c r="SRT237" s="15"/>
      <c r="SRU237" s="15"/>
      <c r="SRV237" s="15"/>
      <c r="SRW237" s="15"/>
      <c r="SRX237" s="15"/>
      <c r="SRY237" s="15"/>
      <c r="SRZ237" s="15"/>
      <c r="SSA237" s="10"/>
      <c r="SSB237" s="10"/>
      <c r="SSC237" s="21"/>
      <c r="SSD237" s="21"/>
      <c r="SSG237" s="21"/>
      <c r="SSH237" s="15"/>
      <c r="SSI237" s="15"/>
      <c r="SSJ237" s="15"/>
      <c r="SSK237" s="15"/>
      <c r="SSL237" s="15"/>
      <c r="SSM237" s="15"/>
      <c r="SSN237" s="15"/>
      <c r="SSO237" s="15"/>
      <c r="SSP237" s="15"/>
      <c r="SSQ237" s="15"/>
      <c r="SSR237" s="10"/>
      <c r="SSS237" s="10"/>
      <c r="SST237" s="21"/>
      <c r="SSU237" s="21"/>
      <c r="SSX237" s="21"/>
      <c r="SSY237" s="15"/>
      <c r="SSZ237" s="15"/>
      <c r="STA237" s="15"/>
      <c r="STB237" s="15"/>
      <c r="STC237" s="15"/>
      <c r="STD237" s="15"/>
      <c r="STE237" s="15"/>
      <c r="STF237" s="15"/>
      <c r="STG237" s="15"/>
      <c r="STH237" s="15"/>
      <c r="STI237" s="10"/>
      <c r="STJ237" s="10"/>
      <c r="STK237" s="21"/>
      <c r="STL237" s="21"/>
      <c r="STO237" s="21"/>
      <c r="STP237" s="15"/>
      <c r="STQ237" s="15"/>
      <c r="STR237" s="15"/>
      <c r="STS237" s="15"/>
      <c r="STT237" s="15"/>
      <c r="STU237" s="15"/>
      <c r="STV237" s="15"/>
      <c r="STW237" s="15"/>
      <c r="STX237" s="15"/>
      <c r="STY237" s="15"/>
      <c r="STZ237" s="10"/>
      <c r="SUA237" s="10"/>
      <c r="SUB237" s="21"/>
      <c r="SUC237" s="21"/>
      <c r="SUF237" s="21"/>
      <c r="SUG237" s="15"/>
      <c r="SUH237" s="15"/>
      <c r="SUI237" s="15"/>
      <c r="SUJ237" s="15"/>
      <c r="SUK237" s="15"/>
      <c r="SUL237" s="15"/>
      <c r="SUM237" s="15"/>
      <c r="SUN237" s="15"/>
      <c r="SUO237" s="15"/>
      <c r="SUP237" s="15"/>
      <c r="SUQ237" s="10"/>
      <c r="SUR237" s="10"/>
      <c r="SUS237" s="21"/>
      <c r="SUT237" s="21"/>
      <c r="SUW237" s="21"/>
      <c r="SUX237" s="15"/>
      <c r="SUY237" s="15"/>
      <c r="SUZ237" s="15"/>
      <c r="SVA237" s="15"/>
      <c r="SVB237" s="15"/>
      <c r="SVC237" s="15"/>
      <c r="SVD237" s="15"/>
      <c r="SVE237" s="15"/>
      <c r="SVF237" s="15"/>
      <c r="SVG237" s="15"/>
      <c r="SVH237" s="10"/>
      <c r="SVI237" s="10"/>
      <c r="SVJ237" s="21"/>
      <c r="SVK237" s="21"/>
      <c r="SVN237" s="21"/>
      <c r="SVO237" s="15"/>
      <c r="SVP237" s="15"/>
      <c r="SVQ237" s="15"/>
      <c r="SVR237" s="15"/>
      <c r="SVS237" s="15"/>
      <c r="SVT237" s="15"/>
      <c r="SVU237" s="15"/>
      <c r="SVV237" s="15"/>
      <c r="SVW237" s="15"/>
      <c r="SVX237" s="15"/>
      <c r="SVY237" s="10"/>
      <c r="SVZ237" s="10"/>
      <c r="SWA237" s="21"/>
      <c r="SWB237" s="21"/>
      <c r="SWE237" s="21"/>
      <c r="SWF237" s="15"/>
      <c r="SWG237" s="15"/>
      <c r="SWH237" s="15"/>
      <c r="SWI237" s="15"/>
      <c r="SWJ237" s="15"/>
      <c r="SWK237" s="15"/>
      <c r="SWL237" s="15"/>
      <c r="SWM237" s="15"/>
      <c r="SWN237" s="15"/>
      <c r="SWO237" s="15"/>
      <c r="SWP237" s="10"/>
      <c r="SWQ237" s="10"/>
      <c r="SWR237" s="21"/>
      <c r="SWS237" s="21"/>
      <c r="SWV237" s="21"/>
      <c r="SWW237" s="15"/>
      <c r="SWX237" s="15"/>
      <c r="SWY237" s="15"/>
      <c r="SWZ237" s="15"/>
      <c r="SXA237" s="15"/>
      <c r="SXB237" s="15"/>
      <c r="SXC237" s="15"/>
      <c r="SXD237" s="15"/>
      <c r="SXE237" s="15"/>
      <c r="SXF237" s="15"/>
      <c r="SXG237" s="10"/>
      <c r="SXH237" s="10"/>
      <c r="SXI237" s="21"/>
      <c r="SXJ237" s="21"/>
      <c r="SXM237" s="21"/>
      <c r="SXN237" s="15"/>
      <c r="SXO237" s="15"/>
      <c r="SXP237" s="15"/>
      <c r="SXQ237" s="15"/>
      <c r="SXR237" s="15"/>
      <c r="SXS237" s="15"/>
      <c r="SXT237" s="15"/>
      <c r="SXU237" s="15"/>
      <c r="SXV237" s="15"/>
      <c r="SXW237" s="15"/>
      <c r="SXX237" s="10"/>
      <c r="SXY237" s="10"/>
      <c r="SXZ237" s="21"/>
      <c r="SYA237" s="21"/>
      <c r="SYD237" s="21"/>
      <c r="SYE237" s="15"/>
      <c r="SYF237" s="15"/>
      <c r="SYG237" s="15"/>
      <c r="SYH237" s="15"/>
      <c r="SYI237" s="15"/>
      <c r="SYJ237" s="15"/>
      <c r="SYK237" s="15"/>
      <c r="SYL237" s="15"/>
      <c r="SYM237" s="15"/>
      <c r="SYN237" s="15"/>
      <c r="SYO237" s="10"/>
      <c r="SYP237" s="10"/>
      <c r="SYQ237" s="21"/>
      <c r="SYR237" s="21"/>
      <c r="SYU237" s="21"/>
      <c r="SYV237" s="15"/>
      <c r="SYW237" s="15"/>
      <c r="SYX237" s="15"/>
      <c r="SYY237" s="15"/>
      <c r="SYZ237" s="15"/>
      <c r="SZA237" s="15"/>
      <c r="SZB237" s="15"/>
      <c r="SZC237" s="15"/>
      <c r="SZD237" s="15"/>
      <c r="SZE237" s="15"/>
      <c r="SZF237" s="10"/>
      <c r="SZG237" s="10"/>
      <c r="SZH237" s="21"/>
      <c r="SZI237" s="21"/>
      <c r="SZL237" s="21"/>
      <c r="SZM237" s="15"/>
      <c r="SZN237" s="15"/>
      <c r="SZO237" s="15"/>
      <c r="SZP237" s="15"/>
      <c r="SZQ237" s="15"/>
      <c r="SZR237" s="15"/>
      <c r="SZS237" s="15"/>
      <c r="SZT237" s="15"/>
      <c r="SZU237" s="15"/>
      <c r="SZV237" s="15"/>
      <c r="SZW237" s="10"/>
      <c r="SZX237" s="10"/>
      <c r="SZY237" s="21"/>
      <c r="SZZ237" s="21"/>
      <c r="TAC237" s="21"/>
      <c r="TAD237" s="15"/>
      <c r="TAE237" s="15"/>
      <c r="TAF237" s="15"/>
      <c r="TAG237" s="15"/>
      <c r="TAH237" s="15"/>
      <c r="TAI237" s="15"/>
      <c r="TAJ237" s="15"/>
      <c r="TAK237" s="15"/>
      <c r="TAL237" s="15"/>
      <c r="TAM237" s="15"/>
      <c r="TAN237" s="10"/>
      <c r="TAO237" s="10"/>
      <c r="TAP237" s="21"/>
      <c r="TAQ237" s="21"/>
      <c r="TAT237" s="21"/>
      <c r="TAU237" s="15"/>
      <c r="TAV237" s="15"/>
      <c r="TAW237" s="15"/>
      <c r="TAX237" s="15"/>
      <c r="TAY237" s="15"/>
      <c r="TAZ237" s="15"/>
      <c r="TBA237" s="15"/>
      <c r="TBB237" s="15"/>
      <c r="TBC237" s="15"/>
      <c r="TBD237" s="15"/>
      <c r="TBE237" s="10"/>
      <c r="TBF237" s="10"/>
      <c r="TBG237" s="21"/>
      <c r="TBH237" s="21"/>
      <c r="TBK237" s="21"/>
      <c r="TBL237" s="15"/>
      <c r="TBM237" s="15"/>
      <c r="TBN237" s="15"/>
      <c r="TBO237" s="15"/>
      <c r="TBP237" s="15"/>
      <c r="TBQ237" s="15"/>
      <c r="TBR237" s="15"/>
      <c r="TBS237" s="15"/>
      <c r="TBT237" s="15"/>
      <c r="TBU237" s="15"/>
      <c r="TBV237" s="10"/>
      <c r="TBW237" s="10"/>
      <c r="TBX237" s="21"/>
      <c r="TBY237" s="21"/>
      <c r="TCB237" s="21"/>
      <c r="TCC237" s="15"/>
      <c r="TCD237" s="15"/>
      <c r="TCE237" s="15"/>
      <c r="TCF237" s="15"/>
      <c r="TCG237" s="15"/>
      <c r="TCH237" s="15"/>
      <c r="TCI237" s="15"/>
      <c r="TCJ237" s="15"/>
      <c r="TCK237" s="15"/>
      <c r="TCL237" s="15"/>
      <c r="TCM237" s="10"/>
      <c r="TCN237" s="10"/>
      <c r="TCO237" s="21"/>
      <c r="TCP237" s="21"/>
      <c r="TCS237" s="21"/>
      <c r="TCT237" s="15"/>
      <c r="TCU237" s="15"/>
      <c r="TCV237" s="15"/>
      <c r="TCW237" s="15"/>
      <c r="TCX237" s="15"/>
      <c r="TCY237" s="15"/>
      <c r="TCZ237" s="15"/>
      <c r="TDA237" s="15"/>
      <c r="TDB237" s="15"/>
      <c r="TDC237" s="15"/>
      <c r="TDD237" s="10"/>
      <c r="TDE237" s="10"/>
      <c r="TDF237" s="21"/>
      <c r="TDG237" s="21"/>
      <c r="TDJ237" s="21"/>
      <c r="TDK237" s="15"/>
      <c r="TDL237" s="15"/>
      <c r="TDM237" s="15"/>
      <c r="TDN237" s="15"/>
      <c r="TDO237" s="15"/>
      <c r="TDP237" s="15"/>
      <c r="TDQ237" s="15"/>
      <c r="TDR237" s="15"/>
      <c r="TDS237" s="15"/>
      <c r="TDT237" s="15"/>
      <c r="TDU237" s="10"/>
      <c r="TDV237" s="10"/>
      <c r="TDW237" s="21"/>
      <c r="TDX237" s="21"/>
      <c r="TEA237" s="21"/>
      <c r="TEB237" s="15"/>
      <c r="TEC237" s="15"/>
      <c r="TED237" s="15"/>
      <c r="TEE237" s="15"/>
      <c r="TEF237" s="15"/>
      <c r="TEG237" s="15"/>
      <c r="TEH237" s="15"/>
      <c r="TEI237" s="15"/>
      <c r="TEJ237" s="15"/>
      <c r="TEK237" s="15"/>
      <c r="TEL237" s="10"/>
      <c r="TEM237" s="10"/>
      <c r="TEN237" s="21"/>
      <c r="TEO237" s="21"/>
      <c r="TER237" s="21"/>
      <c r="TES237" s="15"/>
      <c r="TET237" s="15"/>
      <c r="TEU237" s="15"/>
      <c r="TEV237" s="15"/>
      <c r="TEW237" s="15"/>
      <c r="TEX237" s="15"/>
      <c r="TEY237" s="15"/>
      <c r="TEZ237" s="15"/>
      <c r="TFA237" s="15"/>
      <c r="TFB237" s="15"/>
      <c r="TFC237" s="10"/>
      <c r="TFD237" s="10"/>
      <c r="TFE237" s="21"/>
      <c r="TFF237" s="21"/>
      <c r="TFI237" s="21"/>
      <c r="TFJ237" s="15"/>
      <c r="TFK237" s="15"/>
      <c r="TFL237" s="15"/>
      <c r="TFM237" s="15"/>
      <c r="TFN237" s="15"/>
      <c r="TFO237" s="15"/>
      <c r="TFP237" s="15"/>
      <c r="TFQ237" s="15"/>
      <c r="TFR237" s="15"/>
      <c r="TFS237" s="15"/>
      <c r="TFT237" s="10"/>
      <c r="TFU237" s="10"/>
      <c r="TFV237" s="21"/>
      <c r="TFW237" s="21"/>
      <c r="TFZ237" s="21"/>
      <c r="TGA237" s="15"/>
      <c r="TGB237" s="15"/>
      <c r="TGC237" s="15"/>
      <c r="TGD237" s="15"/>
      <c r="TGE237" s="15"/>
      <c r="TGF237" s="15"/>
      <c r="TGG237" s="15"/>
      <c r="TGH237" s="15"/>
      <c r="TGI237" s="15"/>
      <c r="TGJ237" s="15"/>
      <c r="TGK237" s="10"/>
      <c r="TGL237" s="10"/>
      <c r="TGM237" s="21"/>
      <c r="TGN237" s="21"/>
      <c r="TGQ237" s="21"/>
      <c r="TGR237" s="15"/>
      <c r="TGS237" s="15"/>
      <c r="TGT237" s="15"/>
      <c r="TGU237" s="15"/>
      <c r="TGV237" s="15"/>
      <c r="TGW237" s="15"/>
      <c r="TGX237" s="15"/>
      <c r="TGY237" s="15"/>
      <c r="TGZ237" s="15"/>
      <c r="THA237" s="15"/>
      <c r="THB237" s="10"/>
      <c r="THC237" s="10"/>
      <c r="THD237" s="21"/>
      <c r="THE237" s="21"/>
      <c r="THH237" s="21"/>
      <c r="THI237" s="15"/>
      <c r="THJ237" s="15"/>
      <c r="THK237" s="15"/>
      <c r="THL237" s="15"/>
      <c r="THM237" s="15"/>
      <c r="THN237" s="15"/>
      <c r="THO237" s="15"/>
      <c r="THP237" s="15"/>
      <c r="THQ237" s="15"/>
      <c r="THR237" s="15"/>
      <c r="THS237" s="10"/>
      <c r="THT237" s="10"/>
      <c r="THU237" s="21"/>
      <c r="THV237" s="21"/>
      <c r="THY237" s="21"/>
      <c r="THZ237" s="15"/>
      <c r="TIA237" s="15"/>
      <c r="TIB237" s="15"/>
      <c r="TIC237" s="15"/>
      <c r="TID237" s="15"/>
      <c r="TIE237" s="15"/>
      <c r="TIF237" s="15"/>
      <c r="TIG237" s="15"/>
      <c r="TIH237" s="15"/>
      <c r="TII237" s="15"/>
      <c r="TIJ237" s="10"/>
      <c r="TIK237" s="10"/>
      <c r="TIL237" s="21"/>
      <c r="TIM237" s="21"/>
      <c r="TIP237" s="21"/>
      <c r="TIQ237" s="15"/>
      <c r="TIR237" s="15"/>
      <c r="TIS237" s="15"/>
      <c r="TIT237" s="15"/>
      <c r="TIU237" s="15"/>
      <c r="TIV237" s="15"/>
      <c r="TIW237" s="15"/>
      <c r="TIX237" s="15"/>
      <c r="TIY237" s="15"/>
      <c r="TIZ237" s="15"/>
      <c r="TJA237" s="10"/>
      <c r="TJB237" s="10"/>
      <c r="TJC237" s="21"/>
      <c r="TJD237" s="21"/>
      <c r="TJG237" s="21"/>
      <c r="TJH237" s="15"/>
      <c r="TJI237" s="15"/>
      <c r="TJJ237" s="15"/>
      <c r="TJK237" s="15"/>
      <c r="TJL237" s="15"/>
      <c r="TJM237" s="15"/>
      <c r="TJN237" s="15"/>
      <c r="TJO237" s="15"/>
      <c r="TJP237" s="15"/>
      <c r="TJQ237" s="15"/>
      <c r="TJR237" s="10"/>
      <c r="TJS237" s="10"/>
      <c r="TJT237" s="21"/>
      <c r="TJU237" s="21"/>
      <c r="TJX237" s="21"/>
      <c r="TJY237" s="15"/>
      <c r="TJZ237" s="15"/>
      <c r="TKA237" s="15"/>
      <c r="TKB237" s="15"/>
      <c r="TKC237" s="15"/>
      <c r="TKD237" s="15"/>
      <c r="TKE237" s="15"/>
      <c r="TKF237" s="15"/>
      <c r="TKG237" s="15"/>
      <c r="TKH237" s="15"/>
      <c r="TKI237" s="10"/>
      <c r="TKJ237" s="10"/>
      <c r="TKK237" s="21"/>
      <c r="TKL237" s="21"/>
      <c r="TKO237" s="21"/>
      <c r="TKP237" s="15"/>
      <c r="TKQ237" s="15"/>
      <c r="TKR237" s="15"/>
      <c r="TKS237" s="15"/>
      <c r="TKT237" s="15"/>
      <c r="TKU237" s="15"/>
      <c r="TKV237" s="15"/>
      <c r="TKW237" s="15"/>
      <c r="TKX237" s="15"/>
      <c r="TKY237" s="15"/>
      <c r="TKZ237" s="10"/>
      <c r="TLA237" s="10"/>
      <c r="TLB237" s="21"/>
      <c r="TLC237" s="21"/>
      <c r="TLF237" s="21"/>
      <c r="TLG237" s="15"/>
      <c r="TLH237" s="15"/>
      <c r="TLI237" s="15"/>
      <c r="TLJ237" s="15"/>
      <c r="TLK237" s="15"/>
      <c r="TLL237" s="15"/>
      <c r="TLM237" s="15"/>
      <c r="TLN237" s="15"/>
      <c r="TLO237" s="15"/>
      <c r="TLP237" s="15"/>
      <c r="TLQ237" s="10"/>
      <c r="TLR237" s="10"/>
      <c r="TLS237" s="21"/>
      <c r="TLT237" s="21"/>
      <c r="TLW237" s="21"/>
      <c r="TLX237" s="15"/>
      <c r="TLY237" s="15"/>
      <c r="TLZ237" s="15"/>
      <c r="TMA237" s="15"/>
      <c r="TMB237" s="15"/>
      <c r="TMC237" s="15"/>
      <c r="TMD237" s="15"/>
      <c r="TME237" s="15"/>
      <c r="TMF237" s="15"/>
      <c r="TMG237" s="15"/>
      <c r="TMH237" s="10"/>
      <c r="TMI237" s="10"/>
      <c r="TMJ237" s="21"/>
      <c r="TMK237" s="21"/>
      <c r="TMN237" s="21"/>
      <c r="TMO237" s="15"/>
      <c r="TMP237" s="15"/>
      <c r="TMQ237" s="15"/>
      <c r="TMR237" s="15"/>
      <c r="TMS237" s="15"/>
      <c r="TMT237" s="15"/>
      <c r="TMU237" s="15"/>
      <c r="TMV237" s="15"/>
      <c r="TMW237" s="15"/>
      <c r="TMX237" s="15"/>
      <c r="TMY237" s="10"/>
      <c r="TMZ237" s="10"/>
      <c r="TNA237" s="21"/>
      <c r="TNB237" s="21"/>
      <c r="TNE237" s="21"/>
      <c r="TNF237" s="15"/>
      <c r="TNG237" s="15"/>
      <c r="TNH237" s="15"/>
      <c r="TNI237" s="15"/>
      <c r="TNJ237" s="15"/>
      <c r="TNK237" s="15"/>
      <c r="TNL237" s="15"/>
      <c r="TNM237" s="15"/>
      <c r="TNN237" s="15"/>
      <c r="TNO237" s="15"/>
      <c r="TNP237" s="10"/>
      <c r="TNQ237" s="10"/>
      <c r="TNR237" s="21"/>
      <c r="TNS237" s="21"/>
      <c r="TNV237" s="21"/>
      <c r="TNW237" s="15"/>
      <c r="TNX237" s="15"/>
      <c r="TNY237" s="15"/>
      <c r="TNZ237" s="15"/>
      <c r="TOA237" s="15"/>
      <c r="TOB237" s="15"/>
      <c r="TOC237" s="15"/>
      <c r="TOD237" s="15"/>
      <c r="TOE237" s="15"/>
      <c r="TOF237" s="15"/>
      <c r="TOG237" s="10"/>
      <c r="TOH237" s="10"/>
      <c r="TOI237" s="21"/>
      <c r="TOJ237" s="21"/>
      <c r="TOM237" s="21"/>
      <c r="TON237" s="15"/>
      <c r="TOO237" s="15"/>
      <c r="TOP237" s="15"/>
      <c r="TOQ237" s="15"/>
      <c r="TOR237" s="15"/>
      <c r="TOS237" s="15"/>
      <c r="TOT237" s="15"/>
      <c r="TOU237" s="15"/>
      <c r="TOV237" s="15"/>
      <c r="TOW237" s="15"/>
      <c r="TOX237" s="10"/>
      <c r="TOY237" s="10"/>
      <c r="TOZ237" s="21"/>
      <c r="TPA237" s="21"/>
      <c r="TPD237" s="21"/>
      <c r="TPE237" s="15"/>
      <c r="TPF237" s="15"/>
      <c r="TPG237" s="15"/>
      <c r="TPH237" s="15"/>
      <c r="TPI237" s="15"/>
      <c r="TPJ237" s="15"/>
      <c r="TPK237" s="15"/>
      <c r="TPL237" s="15"/>
      <c r="TPM237" s="15"/>
      <c r="TPN237" s="15"/>
      <c r="TPO237" s="10"/>
      <c r="TPP237" s="10"/>
      <c r="TPQ237" s="21"/>
      <c r="TPR237" s="21"/>
      <c r="TPU237" s="21"/>
      <c r="TPV237" s="15"/>
      <c r="TPW237" s="15"/>
      <c r="TPX237" s="15"/>
      <c r="TPY237" s="15"/>
      <c r="TPZ237" s="15"/>
      <c r="TQA237" s="15"/>
      <c r="TQB237" s="15"/>
      <c r="TQC237" s="15"/>
      <c r="TQD237" s="15"/>
      <c r="TQE237" s="15"/>
      <c r="TQF237" s="10"/>
      <c r="TQG237" s="10"/>
      <c r="TQH237" s="21"/>
      <c r="TQI237" s="21"/>
      <c r="TQL237" s="21"/>
      <c r="TQM237" s="15"/>
      <c r="TQN237" s="15"/>
      <c r="TQO237" s="15"/>
      <c r="TQP237" s="15"/>
      <c r="TQQ237" s="15"/>
      <c r="TQR237" s="15"/>
      <c r="TQS237" s="15"/>
      <c r="TQT237" s="15"/>
      <c r="TQU237" s="15"/>
      <c r="TQV237" s="15"/>
      <c r="TQW237" s="10"/>
      <c r="TQX237" s="10"/>
      <c r="TQY237" s="21"/>
      <c r="TQZ237" s="21"/>
      <c r="TRC237" s="21"/>
      <c r="TRD237" s="15"/>
      <c r="TRE237" s="15"/>
      <c r="TRF237" s="15"/>
      <c r="TRG237" s="15"/>
      <c r="TRH237" s="15"/>
      <c r="TRI237" s="15"/>
      <c r="TRJ237" s="15"/>
      <c r="TRK237" s="15"/>
      <c r="TRL237" s="15"/>
      <c r="TRM237" s="15"/>
      <c r="TRN237" s="10"/>
      <c r="TRO237" s="10"/>
      <c r="TRP237" s="21"/>
      <c r="TRQ237" s="21"/>
      <c r="TRT237" s="21"/>
      <c r="TRU237" s="15"/>
      <c r="TRV237" s="15"/>
      <c r="TRW237" s="15"/>
      <c r="TRX237" s="15"/>
      <c r="TRY237" s="15"/>
      <c r="TRZ237" s="15"/>
      <c r="TSA237" s="15"/>
      <c r="TSB237" s="15"/>
      <c r="TSC237" s="15"/>
      <c r="TSD237" s="15"/>
      <c r="TSE237" s="10"/>
      <c r="TSF237" s="10"/>
      <c r="TSG237" s="21"/>
      <c r="TSH237" s="21"/>
      <c r="TSK237" s="21"/>
      <c r="TSL237" s="15"/>
      <c r="TSM237" s="15"/>
      <c r="TSN237" s="15"/>
      <c r="TSO237" s="15"/>
      <c r="TSP237" s="15"/>
      <c r="TSQ237" s="15"/>
      <c r="TSR237" s="15"/>
      <c r="TSS237" s="15"/>
      <c r="TST237" s="15"/>
      <c r="TSU237" s="15"/>
      <c r="TSV237" s="10"/>
      <c r="TSW237" s="10"/>
      <c r="TSX237" s="21"/>
      <c r="TSY237" s="21"/>
      <c r="TTB237" s="21"/>
      <c r="TTC237" s="15"/>
      <c r="TTD237" s="15"/>
      <c r="TTE237" s="15"/>
      <c r="TTF237" s="15"/>
      <c r="TTG237" s="15"/>
      <c r="TTH237" s="15"/>
      <c r="TTI237" s="15"/>
      <c r="TTJ237" s="15"/>
      <c r="TTK237" s="15"/>
      <c r="TTL237" s="15"/>
      <c r="TTM237" s="10"/>
      <c r="TTN237" s="10"/>
      <c r="TTO237" s="21"/>
      <c r="TTP237" s="21"/>
      <c r="TTS237" s="21"/>
      <c r="TTT237" s="15"/>
      <c r="TTU237" s="15"/>
      <c r="TTV237" s="15"/>
      <c r="TTW237" s="15"/>
      <c r="TTX237" s="15"/>
      <c r="TTY237" s="15"/>
      <c r="TTZ237" s="15"/>
      <c r="TUA237" s="15"/>
      <c r="TUB237" s="15"/>
      <c r="TUC237" s="15"/>
      <c r="TUD237" s="10"/>
      <c r="TUE237" s="10"/>
      <c r="TUF237" s="21"/>
      <c r="TUG237" s="21"/>
      <c r="TUJ237" s="21"/>
      <c r="TUK237" s="15"/>
      <c r="TUL237" s="15"/>
      <c r="TUM237" s="15"/>
      <c r="TUN237" s="15"/>
      <c r="TUO237" s="15"/>
      <c r="TUP237" s="15"/>
      <c r="TUQ237" s="15"/>
      <c r="TUR237" s="15"/>
      <c r="TUS237" s="15"/>
      <c r="TUT237" s="15"/>
      <c r="TUU237" s="10"/>
      <c r="TUV237" s="10"/>
      <c r="TUW237" s="21"/>
      <c r="TUX237" s="21"/>
      <c r="TVA237" s="21"/>
      <c r="TVB237" s="15"/>
      <c r="TVC237" s="15"/>
      <c r="TVD237" s="15"/>
      <c r="TVE237" s="15"/>
      <c r="TVF237" s="15"/>
      <c r="TVG237" s="15"/>
      <c r="TVH237" s="15"/>
      <c r="TVI237" s="15"/>
      <c r="TVJ237" s="15"/>
      <c r="TVK237" s="15"/>
      <c r="TVL237" s="10"/>
      <c r="TVM237" s="10"/>
      <c r="TVN237" s="21"/>
      <c r="TVO237" s="21"/>
      <c r="TVR237" s="21"/>
      <c r="TVS237" s="15"/>
      <c r="TVT237" s="15"/>
      <c r="TVU237" s="15"/>
      <c r="TVV237" s="15"/>
      <c r="TVW237" s="15"/>
      <c r="TVX237" s="15"/>
      <c r="TVY237" s="15"/>
      <c r="TVZ237" s="15"/>
      <c r="TWA237" s="15"/>
      <c r="TWB237" s="15"/>
      <c r="TWC237" s="10"/>
      <c r="TWD237" s="10"/>
      <c r="TWE237" s="21"/>
      <c r="TWF237" s="21"/>
      <c r="TWI237" s="21"/>
      <c r="TWJ237" s="15"/>
      <c r="TWK237" s="15"/>
      <c r="TWL237" s="15"/>
      <c r="TWM237" s="15"/>
      <c r="TWN237" s="15"/>
      <c r="TWO237" s="15"/>
      <c r="TWP237" s="15"/>
      <c r="TWQ237" s="15"/>
      <c r="TWR237" s="15"/>
      <c r="TWS237" s="15"/>
      <c r="TWT237" s="10"/>
      <c r="TWU237" s="10"/>
      <c r="TWV237" s="21"/>
      <c r="TWW237" s="21"/>
      <c r="TWZ237" s="21"/>
      <c r="TXA237" s="15"/>
      <c r="TXB237" s="15"/>
      <c r="TXC237" s="15"/>
      <c r="TXD237" s="15"/>
      <c r="TXE237" s="15"/>
      <c r="TXF237" s="15"/>
      <c r="TXG237" s="15"/>
      <c r="TXH237" s="15"/>
      <c r="TXI237" s="15"/>
      <c r="TXJ237" s="15"/>
      <c r="TXK237" s="10"/>
      <c r="TXL237" s="10"/>
      <c r="TXM237" s="21"/>
      <c r="TXN237" s="21"/>
      <c r="TXQ237" s="21"/>
      <c r="TXR237" s="15"/>
      <c r="TXS237" s="15"/>
      <c r="TXT237" s="15"/>
      <c r="TXU237" s="15"/>
      <c r="TXV237" s="15"/>
      <c r="TXW237" s="15"/>
      <c r="TXX237" s="15"/>
      <c r="TXY237" s="15"/>
      <c r="TXZ237" s="15"/>
      <c r="TYA237" s="15"/>
      <c r="TYB237" s="10"/>
      <c r="TYC237" s="10"/>
      <c r="TYD237" s="21"/>
      <c r="TYE237" s="21"/>
      <c r="TYH237" s="21"/>
      <c r="TYI237" s="15"/>
      <c r="TYJ237" s="15"/>
      <c r="TYK237" s="15"/>
      <c r="TYL237" s="15"/>
      <c r="TYM237" s="15"/>
      <c r="TYN237" s="15"/>
      <c r="TYO237" s="15"/>
      <c r="TYP237" s="15"/>
      <c r="TYQ237" s="15"/>
      <c r="TYR237" s="15"/>
      <c r="TYS237" s="10"/>
      <c r="TYT237" s="10"/>
      <c r="TYU237" s="21"/>
      <c r="TYV237" s="21"/>
      <c r="TYY237" s="21"/>
      <c r="TYZ237" s="15"/>
      <c r="TZA237" s="15"/>
      <c r="TZB237" s="15"/>
      <c r="TZC237" s="15"/>
      <c r="TZD237" s="15"/>
      <c r="TZE237" s="15"/>
      <c r="TZF237" s="15"/>
      <c r="TZG237" s="15"/>
      <c r="TZH237" s="15"/>
      <c r="TZI237" s="15"/>
      <c r="TZJ237" s="10"/>
      <c r="TZK237" s="10"/>
      <c r="TZL237" s="21"/>
      <c r="TZM237" s="21"/>
      <c r="TZP237" s="21"/>
      <c r="TZQ237" s="15"/>
      <c r="TZR237" s="15"/>
      <c r="TZS237" s="15"/>
      <c r="TZT237" s="15"/>
      <c r="TZU237" s="15"/>
      <c r="TZV237" s="15"/>
      <c r="TZW237" s="15"/>
      <c r="TZX237" s="15"/>
      <c r="TZY237" s="15"/>
      <c r="TZZ237" s="15"/>
      <c r="UAA237" s="10"/>
      <c r="UAB237" s="10"/>
      <c r="UAC237" s="21"/>
      <c r="UAD237" s="21"/>
      <c r="UAG237" s="21"/>
      <c r="UAH237" s="15"/>
      <c r="UAI237" s="15"/>
      <c r="UAJ237" s="15"/>
      <c r="UAK237" s="15"/>
      <c r="UAL237" s="15"/>
      <c r="UAM237" s="15"/>
      <c r="UAN237" s="15"/>
      <c r="UAO237" s="15"/>
      <c r="UAP237" s="15"/>
      <c r="UAQ237" s="15"/>
      <c r="UAR237" s="10"/>
      <c r="UAS237" s="10"/>
      <c r="UAT237" s="21"/>
      <c r="UAU237" s="21"/>
      <c r="UAX237" s="21"/>
      <c r="UAY237" s="15"/>
      <c r="UAZ237" s="15"/>
      <c r="UBA237" s="15"/>
      <c r="UBB237" s="15"/>
      <c r="UBC237" s="15"/>
      <c r="UBD237" s="15"/>
      <c r="UBE237" s="15"/>
      <c r="UBF237" s="15"/>
      <c r="UBG237" s="15"/>
      <c r="UBH237" s="15"/>
      <c r="UBI237" s="10"/>
      <c r="UBJ237" s="10"/>
      <c r="UBK237" s="21"/>
      <c r="UBL237" s="21"/>
      <c r="UBO237" s="21"/>
      <c r="UBP237" s="15"/>
      <c r="UBQ237" s="15"/>
      <c r="UBR237" s="15"/>
      <c r="UBS237" s="15"/>
      <c r="UBT237" s="15"/>
      <c r="UBU237" s="15"/>
      <c r="UBV237" s="15"/>
      <c r="UBW237" s="15"/>
      <c r="UBX237" s="15"/>
      <c r="UBY237" s="15"/>
      <c r="UBZ237" s="10"/>
      <c r="UCA237" s="10"/>
      <c r="UCB237" s="21"/>
      <c r="UCC237" s="21"/>
      <c r="UCF237" s="21"/>
      <c r="UCG237" s="15"/>
      <c r="UCH237" s="15"/>
      <c r="UCI237" s="15"/>
      <c r="UCJ237" s="15"/>
      <c r="UCK237" s="15"/>
      <c r="UCL237" s="15"/>
      <c r="UCM237" s="15"/>
      <c r="UCN237" s="15"/>
      <c r="UCO237" s="15"/>
      <c r="UCP237" s="15"/>
      <c r="UCQ237" s="10"/>
      <c r="UCR237" s="10"/>
      <c r="UCS237" s="21"/>
      <c r="UCT237" s="21"/>
      <c r="UCW237" s="21"/>
      <c r="UCX237" s="15"/>
      <c r="UCY237" s="15"/>
      <c r="UCZ237" s="15"/>
      <c r="UDA237" s="15"/>
      <c r="UDB237" s="15"/>
      <c r="UDC237" s="15"/>
      <c r="UDD237" s="15"/>
      <c r="UDE237" s="15"/>
      <c r="UDF237" s="15"/>
      <c r="UDG237" s="15"/>
      <c r="UDH237" s="10"/>
      <c r="UDI237" s="10"/>
      <c r="UDJ237" s="21"/>
      <c r="UDK237" s="21"/>
      <c r="UDN237" s="21"/>
      <c r="UDO237" s="15"/>
      <c r="UDP237" s="15"/>
      <c r="UDQ237" s="15"/>
      <c r="UDR237" s="15"/>
      <c r="UDS237" s="15"/>
      <c r="UDT237" s="15"/>
      <c r="UDU237" s="15"/>
      <c r="UDV237" s="15"/>
      <c r="UDW237" s="15"/>
      <c r="UDX237" s="15"/>
      <c r="UDY237" s="10"/>
      <c r="UDZ237" s="10"/>
      <c r="UEA237" s="21"/>
      <c r="UEB237" s="21"/>
      <c r="UEE237" s="21"/>
      <c r="UEF237" s="15"/>
      <c r="UEG237" s="15"/>
      <c r="UEH237" s="15"/>
      <c r="UEI237" s="15"/>
      <c r="UEJ237" s="15"/>
      <c r="UEK237" s="15"/>
      <c r="UEL237" s="15"/>
      <c r="UEM237" s="15"/>
      <c r="UEN237" s="15"/>
      <c r="UEO237" s="15"/>
      <c r="UEP237" s="10"/>
      <c r="UEQ237" s="10"/>
      <c r="UER237" s="21"/>
      <c r="UES237" s="21"/>
      <c r="UEV237" s="21"/>
      <c r="UEW237" s="15"/>
      <c r="UEX237" s="15"/>
      <c r="UEY237" s="15"/>
      <c r="UEZ237" s="15"/>
      <c r="UFA237" s="15"/>
      <c r="UFB237" s="15"/>
      <c r="UFC237" s="15"/>
      <c r="UFD237" s="15"/>
      <c r="UFE237" s="15"/>
      <c r="UFF237" s="15"/>
      <c r="UFG237" s="10"/>
      <c r="UFH237" s="10"/>
      <c r="UFI237" s="21"/>
      <c r="UFJ237" s="21"/>
      <c r="UFM237" s="21"/>
      <c r="UFN237" s="15"/>
      <c r="UFO237" s="15"/>
      <c r="UFP237" s="15"/>
      <c r="UFQ237" s="15"/>
      <c r="UFR237" s="15"/>
      <c r="UFS237" s="15"/>
      <c r="UFT237" s="15"/>
      <c r="UFU237" s="15"/>
      <c r="UFV237" s="15"/>
      <c r="UFW237" s="15"/>
      <c r="UFX237" s="10"/>
      <c r="UFY237" s="10"/>
      <c r="UFZ237" s="21"/>
      <c r="UGA237" s="21"/>
      <c r="UGD237" s="21"/>
      <c r="UGE237" s="15"/>
      <c r="UGF237" s="15"/>
      <c r="UGG237" s="15"/>
      <c r="UGH237" s="15"/>
      <c r="UGI237" s="15"/>
      <c r="UGJ237" s="15"/>
      <c r="UGK237" s="15"/>
      <c r="UGL237" s="15"/>
      <c r="UGM237" s="15"/>
      <c r="UGN237" s="15"/>
      <c r="UGO237" s="10"/>
      <c r="UGP237" s="10"/>
      <c r="UGQ237" s="21"/>
      <c r="UGR237" s="21"/>
      <c r="UGU237" s="21"/>
      <c r="UGV237" s="15"/>
      <c r="UGW237" s="15"/>
      <c r="UGX237" s="15"/>
      <c r="UGY237" s="15"/>
      <c r="UGZ237" s="15"/>
      <c r="UHA237" s="15"/>
      <c r="UHB237" s="15"/>
      <c r="UHC237" s="15"/>
      <c r="UHD237" s="15"/>
      <c r="UHE237" s="15"/>
      <c r="UHF237" s="10"/>
      <c r="UHG237" s="10"/>
      <c r="UHH237" s="21"/>
      <c r="UHI237" s="21"/>
      <c r="UHL237" s="21"/>
      <c r="UHM237" s="15"/>
      <c r="UHN237" s="15"/>
      <c r="UHO237" s="15"/>
      <c r="UHP237" s="15"/>
      <c r="UHQ237" s="15"/>
      <c r="UHR237" s="15"/>
      <c r="UHS237" s="15"/>
      <c r="UHT237" s="15"/>
      <c r="UHU237" s="15"/>
      <c r="UHV237" s="15"/>
      <c r="UHW237" s="10"/>
      <c r="UHX237" s="10"/>
      <c r="UHY237" s="21"/>
      <c r="UHZ237" s="21"/>
      <c r="UIC237" s="21"/>
      <c r="UID237" s="15"/>
      <c r="UIE237" s="15"/>
      <c r="UIF237" s="15"/>
      <c r="UIG237" s="15"/>
      <c r="UIH237" s="15"/>
      <c r="UII237" s="15"/>
      <c r="UIJ237" s="15"/>
      <c r="UIK237" s="15"/>
      <c r="UIL237" s="15"/>
      <c r="UIM237" s="15"/>
      <c r="UIN237" s="10"/>
      <c r="UIO237" s="10"/>
      <c r="UIP237" s="21"/>
      <c r="UIQ237" s="21"/>
      <c r="UIT237" s="21"/>
      <c r="UIU237" s="15"/>
      <c r="UIV237" s="15"/>
      <c r="UIW237" s="15"/>
      <c r="UIX237" s="15"/>
      <c r="UIY237" s="15"/>
      <c r="UIZ237" s="15"/>
      <c r="UJA237" s="15"/>
      <c r="UJB237" s="15"/>
      <c r="UJC237" s="15"/>
      <c r="UJD237" s="15"/>
      <c r="UJE237" s="10"/>
      <c r="UJF237" s="10"/>
      <c r="UJG237" s="21"/>
      <c r="UJH237" s="21"/>
      <c r="UJK237" s="21"/>
      <c r="UJL237" s="15"/>
      <c r="UJM237" s="15"/>
      <c r="UJN237" s="15"/>
      <c r="UJO237" s="15"/>
      <c r="UJP237" s="15"/>
      <c r="UJQ237" s="15"/>
      <c r="UJR237" s="15"/>
      <c r="UJS237" s="15"/>
      <c r="UJT237" s="15"/>
      <c r="UJU237" s="15"/>
      <c r="UJV237" s="10"/>
      <c r="UJW237" s="10"/>
      <c r="UJX237" s="21"/>
      <c r="UJY237" s="21"/>
      <c r="UKB237" s="21"/>
      <c r="UKC237" s="15"/>
      <c r="UKD237" s="15"/>
      <c r="UKE237" s="15"/>
      <c r="UKF237" s="15"/>
      <c r="UKG237" s="15"/>
      <c r="UKH237" s="15"/>
      <c r="UKI237" s="15"/>
      <c r="UKJ237" s="15"/>
      <c r="UKK237" s="15"/>
      <c r="UKL237" s="15"/>
      <c r="UKM237" s="10"/>
      <c r="UKN237" s="10"/>
      <c r="UKO237" s="21"/>
      <c r="UKP237" s="21"/>
      <c r="UKS237" s="21"/>
      <c r="UKT237" s="15"/>
      <c r="UKU237" s="15"/>
      <c r="UKV237" s="15"/>
      <c r="UKW237" s="15"/>
      <c r="UKX237" s="15"/>
      <c r="UKY237" s="15"/>
      <c r="UKZ237" s="15"/>
      <c r="ULA237" s="15"/>
      <c r="ULB237" s="15"/>
      <c r="ULC237" s="15"/>
      <c r="ULD237" s="10"/>
      <c r="ULE237" s="10"/>
      <c r="ULF237" s="21"/>
      <c r="ULG237" s="21"/>
      <c r="ULJ237" s="21"/>
      <c r="ULK237" s="15"/>
      <c r="ULL237" s="15"/>
      <c r="ULM237" s="15"/>
      <c r="ULN237" s="15"/>
      <c r="ULO237" s="15"/>
      <c r="ULP237" s="15"/>
      <c r="ULQ237" s="15"/>
      <c r="ULR237" s="15"/>
      <c r="ULS237" s="15"/>
      <c r="ULT237" s="15"/>
      <c r="ULU237" s="10"/>
      <c r="ULV237" s="10"/>
      <c r="ULW237" s="21"/>
      <c r="ULX237" s="21"/>
      <c r="UMA237" s="21"/>
      <c r="UMB237" s="15"/>
      <c r="UMC237" s="15"/>
      <c r="UMD237" s="15"/>
      <c r="UME237" s="15"/>
      <c r="UMF237" s="15"/>
      <c r="UMG237" s="15"/>
      <c r="UMH237" s="15"/>
      <c r="UMI237" s="15"/>
      <c r="UMJ237" s="15"/>
      <c r="UMK237" s="15"/>
      <c r="UML237" s="10"/>
      <c r="UMM237" s="10"/>
      <c r="UMN237" s="21"/>
      <c r="UMO237" s="21"/>
      <c r="UMR237" s="21"/>
      <c r="UMS237" s="15"/>
      <c r="UMT237" s="15"/>
      <c r="UMU237" s="15"/>
      <c r="UMV237" s="15"/>
      <c r="UMW237" s="15"/>
      <c r="UMX237" s="15"/>
      <c r="UMY237" s="15"/>
      <c r="UMZ237" s="15"/>
      <c r="UNA237" s="15"/>
      <c r="UNB237" s="15"/>
      <c r="UNC237" s="10"/>
      <c r="UND237" s="10"/>
      <c r="UNE237" s="21"/>
      <c r="UNF237" s="21"/>
      <c r="UNI237" s="21"/>
      <c r="UNJ237" s="15"/>
      <c r="UNK237" s="15"/>
      <c r="UNL237" s="15"/>
      <c r="UNM237" s="15"/>
      <c r="UNN237" s="15"/>
      <c r="UNO237" s="15"/>
      <c r="UNP237" s="15"/>
      <c r="UNQ237" s="15"/>
      <c r="UNR237" s="15"/>
      <c r="UNS237" s="15"/>
      <c r="UNT237" s="10"/>
      <c r="UNU237" s="10"/>
      <c r="UNV237" s="21"/>
      <c r="UNW237" s="21"/>
      <c r="UNZ237" s="21"/>
      <c r="UOA237" s="15"/>
      <c r="UOB237" s="15"/>
      <c r="UOC237" s="15"/>
      <c r="UOD237" s="15"/>
      <c r="UOE237" s="15"/>
      <c r="UOF237" s="15"/>
      <c r="UOG237" s="15"/>
      <c r="UOH237" s="15"/>
      <c r="UOI237" s="15"/>
      <c r="UOJ237" s="15"/>
      <c r="UOK237" s="10"/>
      <c r="UOL237" s="10"/>
      <c r="UOM237" s="21"/>
      <c r="UON237" s="21"/>
      <c r="UOQ237" s="21"/>
      <c r="UOR237" s="15"/>
      <c r="UOS237" s="15"/>
      <c r="UOT237" s="15"/>
      <c r="UOU237" s="15"/>
      <c r="UOV237" s="15"/>
      <c r="UOW237" s="15"/>
      <c r="UOX237" s="15"/>
      <c r="UOY237" s="15"/>
      <c r="UOZ237" s="15"/>
      <c r="UPA237" s="15"/>
      <c r="UPB237" s="10"/>
      <c r="UPC237" s="10"/>
      <c r="UPD237" s="21"/>
      <c r="UPE237" s="21"/>
      <c r="UPH237" s="21"/>
      <c r="UPI237" s="15"/>
      <c r="UPJ237" s="15"/>
      <c r="UPK237" s="15"/>
      <c r="UPL237" s="15"/>
      <c r="UPM237" s="15"/>
      <c r="UPN237" s="15"/>
      <c r="UPO237" s="15"/>
      <c r="UPP237" s="15"/>
      <c r="UPQ237" s="15"/>
      <c r="UPR237" s="15"/>
      <c r="UPS237" s="10"/>
      <c r="UPT237" s="10"/>
      <c r="UPU237" s="21"/>
      <c r="UPV237" s="21"/>
      <c r="UPY237" s="21"/>
      <c r="UPZ237" s="15"/>
      <c r="UQA237" s="15"/>
      <c r="UQB237" s="15"/>
      <c r="UQC237" s="15"/>
      <c r="UQD237" s="15"/>
      <c r="UQE237" s="15"/>
      <c r="UQF237" s="15"/>
      <c r="UQG237" s="15"/>
      <c r="UQH237" s="15"/>
      <c r="UQI237" s="15"/>
      <c r="UQJ237" s="10"/>
      <c r="UQK237" s="10"/>
      <c r="UQL237" s="21"/>
      <c r="UQM237" s="21"/>
      <c r="UQP237" s="21"/>
      <c r="UQQ237" s="15"/>
      <c r="UQR237" s="15"/>
      <c r="UQS237" s="15"/>
      <c r="UQT237" s="15"/>
      <c r="UQU237" s="15"/>
      <c r="UQV237" s="15"/>
      <c r="UQW237" s="15"/>
      <c r="UQX237" s="15"/>
      <c r="UQY237" s="15"/>
      <c r="UQZ237" s="15"/>
      <c r="URA237" s="10"/>
      <c r="URB237" s="10"/>
      <c r="URC237" s="21"/>
      <c r="URD237" s="21"/>
      <c r="URG237" s="21"/>
      <c r="URH237" s="15"/>
      <c r="URI237" s="15"/>
      <c r="URJ237" s="15"/>
      <c r="URK237" s="15"/>
      <c r="URL237" s="15"/>
      <c r="URM237" s="15"/>
      <c r="URN237" s="15"/>
      <c r="URO237" s="15"/>
      <c r="URP237" s="15"/>
      <c r="URQ237" s="15"/>
      <c r="URR237" s="10"/>
      <c r="URS237" s="10"/>
      <c r="URT237" s="21"/>
      <c r="URU237" s="21"/>
      <c r="URX237" s="21"/>
      <c r="URY237" s="15"/>
      <c r="URZ237" s="15"/>
      <c r="USA237" s="15"/>
      <c r="USB237" s="15"/>
      <c r="USC237" s="15"/>
      <c r="USD237" s="15"/>
      <c r="USE237" s="15"/>
      <c r="USF237" s="15"/>
      <c r="USG237" s="15"/>
      <c r="USH237" s="15"/>
      <c r="USI237" s="10"/>
      <c r="USJ237" s="10"/>
      <c r="USK237" s="21"/>
      <c r="USL237" s="21"/>
      <c r="USO237" s="21"/>
      <c r="USP237" s="15"/>
      <c r="USQ237" s="15"/>
      <c r="USR237" s="15"/>
      <c r="USS237" s="15"/>
      <c r="UST237" s="15"/>
      <c r="USU237" s="15"/>
      <c r="USV237" s="15"/>
      <c r="USW237" s="15"/>
      <c r="USX237" s="15"/>
      <c r="USY237" s="15"/>
      <c r="USZ237" s="10"/>
      <c r="UTA237" s="10"/>
      <c r="UTB237" s="21"/>
      <c r="UTC237" s="21"/>
      <c r="UTF237" s="21"/>
      <c r="UTG237" s="15"/>
      <c r="UTH237" s="15"/>
      <c r="UTI237" s="15"/>
      <c r="UTJ237" s="15"/>
      <c r="UTK237" s="15"/>
      <c r="UTL237" s="15"/>
      <c r="UTM237" s="15"/>
      <c r="UTN237" s="15"/>
      <c r="UTO237" s="15"/>
      <c r="UTP237" s="15"/>
      <c r="UTQ237" s="10"/>
      <c r="UTR237" s="10"/>
      <c r="UTS237" s="21"/>
      <c r="UTT237" s="21"/>
      <c r="UTW237" s="21"/>
      <c r="UTX237" s="15"/>
      <c r="UTY237" s="15"/>
      <c r="UTZ237" s="15"/>
      <c r="UUA237" s="15"/>
      <c r="UUB237" s="15"/>
      <c r="UUC237" s="15"/>
      <c r="UUD237" s="15"/>
      <c r="UUE237" s="15"/>
      <c r="UUF237" s="15"/>
      <c r="UUG237" s="15"/>
      <c r="UUH237" s="10"/>
      <c r="UUI237" s="10"/>
      <c r="UUJ237" s="21"/>
      <c r="UUK237" s="21"/>
      <c r="UUN237" s="21"/>
      <c r="UUO237" s="15"/>
      <c r="UUP237" s="15"/>
      <c r="UUQ237" s="15"/>
      <c r="UUR237" s="15"/>
      <c r="UUS237" s="15"/>
      <c r="UUT237" s="15"/>
      <c r="UUU237" s="15"/>
      <c r="UUV237" s="15"/>
      <c r="UUW237" s="15"/>
      <c r="UUX237" s="15"/>
      <c r="UUY237" s="10"/>
      <c r="UUZ237" s="10"/>
      <c r="UVA237" s="21"/>
      <c r="UVB237" s="21"/>
      <c r="UVE237" s="21"/>
      <c r="UVF237" s="15"/>
      <c r="UVG237" s="15"/>
      <c r="UVH237" s="15"/>
      <c r="UVI237" s="15"/>
      <c r="UVJ237" s="15"/>
      <c r="UVK237" s="15"/>
      <c r="UVL237" s="15"/>
      <c r="UVM237" s="15"/>
      <c r="UVN237" s="15"/>
      <c r="UVO237" s="15"/>
      <c r="UVP237" s="10"/>
      <c r="UVQ237" s="10"/>
      <c r="UVR237" s="21"/>
      <c r="UVS237" s="21"/>
      <c r="UVV237" s="21"/>
      <c r="UVW237" s="15"/>
      <c r="UVX237" s="15"/>
      <c r="UVY237" s="15"/>
      <c r="UVZ237" s="15"/>
      <c r="UWA237" s="15"/>
      <c r="UWB237" s="15"/>
      <c r="UWC237" s="15"/>
      <c r="UWD237" s="15"/>
      <c r="UWE237" s="15"/>
      <c r="UWF237" s="15"/>
      <c r="UWG237" s="10"/>
      <c r="UWH237" s="10"/>
      <c r="UWI237" s="21"/>
      <c r="UWJ237" s="21"/>
      <c r="UWM237" s="21"/>
      <c r="UWN237" s="15"/>
      <c r="UWO237" s="15"/>
      <c r="UWP237" s="15"/>
      <c r="UWQ237" s="15"/>
      <c r="UWR237" s="15"/>
      <c r="UWS237" s="15"/>
      <c r="UWT237" s="15"/>
      <c r="UWU237" s="15"/>
      <c r="UWV237" s="15"/>
      <c r="UWW237" s="15"/>
      <c r="UWX237" s="10"/>
      <c r="UWY237" s="10"/>
      <c r="UWZ237" s="21"/>
      <c r="UXA237" s="21"/>
      <c r="UXD237" s="21"/>
      <c r="UXE237" s="15"/>
      <c r="UXF237" s="15"/>
      <c r="UXG237" s="15"/>
      <c r="UXH237" s="15"/>
      <c r="UXI237" s="15"/>
      <c r="UXJ237" s="15"/>
      <c r="UXK237" s="15"/>
      <c r="UXL237" s="15"/>
      <c r="UXM237" s="15"/>
      <c r="UXN237" s="15"/>
      <c r="UXO237" s="10"/>
      <c r="UXP237" s="10"/>
      <c r="UXQ237" s="21"/>
      <c r="UXR237" s="21"/>
      <c r="UXU237" s="21"/>
      <c r="UXV237" s="15"/>
      <c r="UXW237" s="15"/>
      <c r="UXX237" s="15"/>
      <c r="UXY237" s="15"/>
      <c r="UXZ237" s="15"/>
      <c r="UYA237" s="15"/>
      <c r="UYB237" s="15"/>
      <c r="UYC237" s="15"/>
      <c r="UYD237" s="15"/>
      <c r="UYE237" s="15"/>
      <c r="UYF237" s="10"/>
      <c r="UYG237" s="10"/>
      <c r="UYH237" s="21"/>
      <c r="UYI237" s="21"/>
      <c r="UYL237" s="21"/>
      <c r="UYM237" s="15"/>
      <c r="UYN237" s="15"/>
      <c r="UYO237" s="15"/>
      <c r="UYP237" s="15"/>
      <c r="UYQ237" s="15"/>
      <c r="UYR237" s="15"/>
      <c r="UYS237" s="15"/>
      <c r="UYT237" s="15"/>
      <c r="UYU237" s="15"/>
      <c r="UYV237" s="15"/>
      <c r="UYW237" s="10"/>
      <c r="UYX237" s="10"/>
      <c r="UYY237" s="21"/>
      <c r="UYZ237" s="21"/>
      <c r="UZC237" s="21"/>
      <c r="UZD237" s="15"/>
      <c r="UZE237" s="15"/>
      <c r="UZF237" s="15"/>
      <c r="UZG237" s="15"/>
      <c r="UZH237" s="15"/>
      <c r="UZI237" s="15"/>
      <c r="UZJ237" s="15"/>
      <c r="UZK237" s="15"/>
      <c r="UZL237" s="15"/>
      <c r="UZM237" s="15"/>
      <c r="UZN237" s="10"/>
      <c r="UZO237" s="10"/>
      <c r="UZP237" s="21"/>
      <c r="UZQ237" s="21"/>
      <c r="UZT237" s="21"/>
      <c r="UZU237" s="15"/>
      <c r="UZV237" s="15"/>
      <c r="UZW237" s="15"/>
      <c r="UZX237" s="15"/>
      <c r="UZY237" s="15"/>
      <c r="UZZ237" s="15"/>
      <c r="VAA237" s="15"/>
      <c r="VAB237" s="15"/>
      <c r="VAC237" s="15"/>
      <c r="VAD237" s="15"/>
      <c r="VAE237" s="10"/>
      <c r="VAF237" s="10"/>
      <c r="VAG237" s="21"/>
      <c r="VAH237" s="21"/>
      <c r="VAK237" s="21"/>
      <c r="VAL237" s="15"/>
      <c r="VAM237" s="15"/>
      <c r="VAN237" s="15"/>
      <c r="VAO237" s="15"/>
      <c r="VAP237" s="15"/>
      <c r="VAQ237" s="15"/>
      <c r="VAR237" s="15"/>
      <c r="VAS237" s="15"/>
      <c r="VAT237" s="15"/>
      <c r="VAU237" s="15"/>
      <c r="VAV237" s="10"/>
      <c r="VAW237" s="10"/>
      <c r="VAX237" s="21"/>
      <c r="VAY237" s="21"/>
      <c r="VBB237" s="21"/>
      <c r="VBC237" s="15"/>
      <c r="VBD237" s="15"/>
      <c r="VBE237" s="15"/>
      <c r="VBF237" s="15"/>
      <c r="VBG237" s="15"/>
      <c r="VBH237" s="15"/>
      <c r="VBI237" s="15"/>
      <c r="VBJ237" s="15"/>
      <c r="VBK237" s="15"/>
      <c r="VBL237" s="15"/>
      <c r="VBM237" s="10"/>
      <c r="VBN237" s="10"/>
      <c r="VBO237" s="21"/>
      <c r="VBP237" s="21"/>
      <c r="VBS237" s="21"/>
      <c r="VBT237" s="15"/>
      <c r="VBU237" s="15"/>
      <c r="VBV237" s="15"/>
      <c r="VBW237" s="15"/>
      <c r="VBX237" s="15"/>
      <c r="VBY237" s="15"/>
      <c r="VBZ237" s="15"/>
      <c r="VCA237" s="15"/>
      <c r="VCB237" s="15"/>
      <c r="VCC237" s="15"/>
      <c r="VCD237" s="10"/>
      <c r="VCE237" s="10"/>
      <c r="VCF237" s="21"/>
      <c r="VCG237" s="21"/>
      <c r="VCJ237" s="21"/>
      <c r="VCK237" s="15"/>
      <c r="VCL237" s="15"/>
      <c r="VCM237" s="15"/>
      <c r="VCN237" s="15"/>
      <c r="VCO237" s="15"/>
      <c r="VCP237" s="15"/>
      <c r="VCQ237" s="15"/>
      <c r="VCR237" s="15"/>
      <c r="VCS237" s="15"/>
      <c r="VCT237" s="15"/>
      <c r="VCU237" s="10"/>
      <c r="VCV237" s="10"/>
      <c r="VCW237" s="21"/>
      <c r="VCX237" s="21"/>
      <c r="VDA237" s="21"/>
      <c r="VDB237" s="15"/>
      <c r="VDC237" s="15"/>
      <c r="VDD237" s="15"/>
      <c r="VDE237" s="15"/>
      <c r="VDF237" s="15"/>
      <c r="VDG237" s="15"/>
      <c r="VDH237" s="15"/>
      <c r="VDI237" s="15"/>
      <c r="VDJ237" s="15"/>
      <c r="VDK237" s="15"/>
      <c r="VDL237" s="10"/>
      <c r="VDM237" s="10"/>
      <c r="VDN237" s="21"/>
      <c r="VDO237" s="21"/>
      <c r="VDR237" s="21"/>
      <c r="VDS237" s="15"/>
      <c r="VDT237" s="15"/>
      <c r="VDU237" s="15"/>
      <c r="VDV237" s="15"/>
      <c r="VDW237" s="15"/>
      <c r="VDX237" s="15"/>
      <c r="VDY237" s="15"/>
      <c r="VDZ237" s="15"/>
      <c r="VEA237" s="15"/>
      <c r="VEB237" s="15"/>
      <c r="VEC237" s="10"/>
      <c r="VED237" s="10"/>
      <c r="VEE237" s="21"/>
      <c r="VEF237" s="21"/>
      <c r="VEI237" s="21"/>
      <c r="VEJ237" s="15"/>
      <c r="VEK237" s="15"/>
      <c r="VEL237" s="15"/>
      <c r="VEM237" s="15"/>
      <c r="VEN237" s="15"/>
      <c r="VEO237" s="15"/>
      <c r="VEP237" s="15"/>
      <c r="VEQ237" s="15"/>
      <c r="VER237" s="15"/>
      <c r="VES237" s="15"/>
      <c r="VET237" s="10"/>
      <c r="VEU237" s="10"/>
      <c r="VEV237" s="21"/>
      <c r="VEW237" s="21"/>
      <c r="VEZ237" s="21"/>
      <c r="VFA237" s="15"/>
      <c r="VFB237" s="15"/>
      <c r="VFC237" s="15"/>
      <c r="VFD237" s="15"/>
      <c r="VFE237" s="15"/>
      <c r="VFF237" s="15"/>
      <c r="VFG237" s="15"/>
      <c r="VFH237" s="15"/>
      <c r="VFI237" s="15"/>
      <c r="VFJ237" s="15"/>
      <c r="VFK237" s="10"/>
      <c r="VFL237" s="10"/>
      <c r="VFM237" s="21"/>
      <c r="VFN237" s="21"/>
      <c r="VFQ237" s="21"/>
      <c r="VFR237" s="15"/>
      <c r="VFS237" s="15"/>
      <c r="VFT237" s="15"/>
      <c r="VFU237" s="15"/>
      <c r="VFV237" s="15"/>
      <c r="VFW237" s="15"/>
      <c r="VFX237" s="15"/>
      <c r="VFY237" s="15"/>
      <c r="VFZ237" s="15"/>
      <c r="VGA237" s="15"/>
      <c r="VGB237" s="10"/>
      <c r="VGC237" s="10"/>
      <c r="VGD237" s="21"/>
      <c r="VGE237" s="21"/>
      <c r="VGH237" s="21"/>
      <c r="VGI237" s="15"/>
      <c r="VGJ237" s="15"/>
      <c r="VGK237" s="15"/>
      <c r="VGL237" s="15"/>
      <c r="VGM237" s="15"/>
      <c r="VGN237" s="15"/>
      <c r="VGO237" s="15"/>
      <c r="VGP237" s="15"/>
      <c r="VGQ237" s="15"/>
      <c r="VGR237" s="15"/>
      <c r="VGS237" s="10"/>
      <c r="VGT237" s="10"/>
      <c r="VGU237" s="21"/>
      <c r="VGV237" s="21"/>
      <c r="VGY237" s="21"/>
      <c r="VGZ237" s="15"/>
      <c r="VHA237" s="15"/>
      <c r="VHB237" s="15"/>
      <c r="VHC237" s="15"/>
      <c r="VHD237" s="15"/>
      <c r="VHE237" s="15"/>
      <c r="VHF237" s="15"/>
      <c r="VHG237" s="15"/>
      <c r="VHH237" s="15"/>
      <c r="VHI237" s="15"/>
      <c r="VHJ237" s="10"/>
      <c r="VHK237" s="10"/>
      <c r="VHL237" s="21"/>
      <c r="VHM237" s="21"/>
      <c r="VHP237" s="21"/>
      <c r="VHQ237" s="15"/>
      <c r="VHR237" s="15"/>
      <c r="VHS237" s="15"/>
      <c r="VHT237" s="15"/>
      <c r="VHU237" s="15"/>
      <c r="VHV237" s="15"/>
      <c r="VHW237" s="15"/>
      <c r="VHX237" s="15"/>
      <c r="VHY237" s="15"/>
      <c r="VHZ237" s="15"/>
      <c r="VIA237" s="10"/>
      <c r="VIB237" s="10"/>
      <c r="VIC237" s="21"/>
      <c r="VID237" s="21"/>
      <c r="VIG237" s="21"/>
      <c r="VIH237" s="15"/>
      <c r="VII237" s="15"/>
      <c r="VIJ237" s="15"/>
      <c r="VIK237" s="15"/>
      <c r="VIL237" s="15"/>
      <c r="VIM237" s="15"/>
      <c r="VIN237" s="15"/>
      <c r="VIO237" s="15"/>
      <c r="VIP237" s="15"/>
      <c r="VIQ237" s="15"/>
      <c r="VIR237" s="10"/>
      <c r="VIS237" s="10"/>
      <c r="VIT237" s="21"/>
      <c r="VIU237" s="21"/>
      <c r="VIX237" s="21"/>
      <c r="VIY237" s="15"/>
      <c r="VIZ237" s="15"/>
      <c r="VJA237" s="15"/>
      <c r="VJB237" s="15"/>
      <c r="VJC237" s="15"/>
      <c r="VJD237" s="15"/>
      <c r="VJE237" s="15"/>
      <c r="VJF237" s="15"/>
      <c r="VJG237" s="15"/>
      <c r="VJH237" s="15"/>
      <c r="VJI237" s="10"/>
      <c r="VJJ237" s="10"/>
      <c r="VJK237" s="21"/>
      <c r="VJL237" s="21"/>
      <c r="VJO237" s="21"/>
      <c r="VJP237" s="15"/>
      <c r="VJQ237" s="15"/>
      <c r="VJR237" s="15"/>
      <c r="VJS237" s="15"/>
      <c r="VJT237" s="15"/>
      <c r="VJU237" s="15"/>
      <c r="VJV237" s="15"/>
      <c r="VJW237" s="15"/>
      <c r="VJX237" s="15"/>
      <c r="VJY237" s="15"/>
      <c r="VJZ237" s="10"/>
      <c r="VKA237" s="10"/>
      <c r="VKB237" s="21"/>
      <c r="VKC237" s="21"/>
      <c r="VKF237" s="21"/>
      <c r="VKG237" s="15"/>
      <c r="VKH237" s="15"/>
      <c r="VKI237" s="15"/>
      <c r="VKJ237" s="15"/>
      <c r="VKK237" s="15"/>
      <c r="VKL237" s="15"/>
      <c r="VKM237" s="15"/>
      <c r="VKN237" s="15"/>
      <c r="VKO237" s="15"/>
      <c r="VKP237" s="15"/>
      <c r="VKQ237" s="10"/>
      <c r="VKR237" s="10"/>
      <c r="VKS237" s="21"/>
      <c r="VKT237" s="21"/>
      <c r="VKW237" s="21"/>
      <c r="VKX237" s="15"/>
      <c r="VKY237" s="15"/>
      <c r="VKZ237" s="15"/>
      <c r="VLA237" s="15"/>
      <c r="VLB237" s="15"/>
      <c r="VLC237" s="15"/>
      <c r="VLD237" s="15"/>
      <c r="VLE237" s="15"/>
      <c r="VLF237" s="15"/>
      <c r="VLG237" s="15"/>
      <c r="VLH237" s="10"/>
      <c r="VLI237" s="10"/>
      <c r="VLJ237" s="21"/>
      <c r="VLK237" s="21"/>
      <c r="VLN237" s="21"/>
      <c r="VLO237" s="15"/>
      <c r="VLP237" s="15"/>
      <c r="VLQ237" s="15"/>
      <c r="VLR237" s="15"/>
      <c r="VLS237" s="15"/>
      <c r="VLT237" s="15"/>
      <c r="VLU237" s="15"/>
      <c r="VLV237" s="15"/>
      <c r="VLW237" s="15"/>
      <c r="VLX237" s="15"/>
      <c r="VLY237" s="10"/>
      <c r="VLZ237" s="10"/>
      <c r="VMA237" s="21"/>
      <c r="VMB237" s="21"/>
      <c r="VME237" s="21"/>
      <c r="VMF237" s="15"/>
      <c r="VMG237" s="15"/>
      <c r="VMH237" s="15"/>
      <c r="VMI237" s="15"/>
      <c r="VMJ237" s="15"/>
      <c r="VMK237" s="15"/>
      <c r="VML237" s="15"/>
      <c r="VMM237" s="15"/>
      <c r="VMN237" s="15"/>
      <c r="VMO237" s="15"/>
      <c r="VMP237" s="10"/>
      <c r="VMQ237" s="10"/>
      <c r="VMR237" s="21"/>
      <c r="VMS237" s="21"/>
      <c r="VMV237" s="21"/>
      <c r="VMW237" s="15"/>
      <c r="VMX237" s="15"/>
      <c r="VMY237" s="15"/>
      <c r="VMZ237" s="15"/>
      <c r="VNA237" s="15"/>
      <c r="VNB237" s="15"/>
      <c r="VNC237" s="15"/>
      <c r="VND237" s="15"/>
      <c r="VNE237" s="15"/>
      <c r="VNF237" s="15"/>
      <c r="VNG237" s="10"/>
      <c r="VNH237" s="10"/>
      <c r="VNI237" s="21"/>
      <c r="VNJ237" s="21"/>
      <c r="VNM237" s="21"/>
      <c r="VNN237" s="15"/>
      <c r="VNO237" s="15"/>
      <c r="VNP237" s="15"/>
      <c r="VNQ237" s="15"/>
      <c r="VNR237" s="15"/>
      <c r="VNS237" s="15"/>
      <c r="VNT237" s="15"/>
      <c r="VNU237" s="15"/>
      <c r="VNV237" s="15"/>
      <c r="VNW237" s="15"/>
      <c r="VNX237" s="10"/>
      <c r="VNY237" s="10"/>
      <c r="VNZ237" s="21"/>
      <c r="VOA237" s="21"/>
      <c r="VOD237" s="21"/>
      <c r="VOE237" s="15"/>
      <c r="VOF237" s="15"/>
      <c r="VOG237" s="15"/>
      <c r="VOH237" s="15"/>
      <c r="VOI237" s="15"/>
      <c r="VOJ237" s="15"/>
      <c r="VOK237" s="15"/>
      <c r="VOL237" s="15"/>
      <c r="VOM237" s="15"/>
      <c r="VON237" s="15"/>
      <c r="VOO237" s="10"/>
      <c r="VOP237" s="10"/>
      <c r="VOQ237" s="21"/>
      <c r="VOR237" s="21"/>
      <c r="VOU237" s="21"/>
      <c r="VOV237" s="15"/>
      <c r="VOW237" s="15"/>
      <c r="VOX237" s="15"/>
      <c r="VOY237" s="15"/>
      <c r="VOZ237" s="15"/>
      <c r="VPA237" s="15"/>
      <c r="VPB237" s="15"/>
      <c r="VPC237" s="15"/>
      <c r="VPD237" s="15"/>
      <c r="VPE237" s="15"/>
      <c r="VPF237" s="10"/>
      <c r="VPG237" s="10"/>
      <c r="VPH237" s="21"/>
      <c r="VPI237" s="21"/>
      <c r="VPL237" s="21"/>
      <c r="VPM237" s="15"/>
      <c r="VPN237" s="15"/>
      <c r="VPO237" s="15"/>
      <c r="VPP237" s="15"/>
      <c r="VPQ237" s="15"/>
      <c r="VPR237" s="15"/>
      <c r="VPS237" s="15"/>
      <c r="VPT237" s="15"/>
      <c r="VPU237" s="15"/>
      <c r="VPV237" s="15"/>
      <c r="VPW237" s="10"/>
      <c r="VPX237" s="10"/>
      <c r="VPY237" s="21"/>
      <c r="VPZ237" s="21"/>
      <c r="VQC237" s="21"/>
      <c r="VQD237" s="15"/>
      <c r="VQE237" s="15"/>
      <c r="VQF237" s="15"/>
      <c r="VQG237" s="15"/>
      <c r="VQH237" s="15"/>
      <c r="VQI237" s="15"/>
      <c r="VQJ237" s="15"/>
      <c r="VQK237" s="15"/>
      <c r="VQL237" s="15"/>
      <c r="VQM237" s="15"/>
      <c r="VQN237" s="10"/>
      <c r="VQO237" s="10"/>
      <c r="VQP237" s="21"/>
      <c r="VQQ237" s="21"/>
      <c r="VQT237" s="21"/>
      <c r="VQU237" s="15"/>
      <c r="VQV237" s="15"/>
      <c r="VQW237" s="15"/>
      <c r="VQX237" s="15"/>
      <c r="VQY237" s="15"/>
      <c r="VQZ237" s="15"/>
      <c r="VRA237" s="15"/>
      <c r="VRB237" s="15"/>
      <c r="VRC237" s="15"/>
      <c r="VRD237" s="15"/>
      <c r="VRE237" s="10"/>
      <c r="VRF237" s="10"/>
      <c r="VRG237" s="21"/>
      <c r="VRH237" s="21"/>
      <c r="VRK237" s="21"/>
      <c r="VRL237" s="15"/>
      <c r="VRM237" s="15"/>
      <c r="VRN237" s="15"/>
      <c r="VRO237" s="15"/>
      <c r="VRP237" s="15"/>
      <c r="VRQ237" s="15"/>
      <c r="VRR237" s="15"/>
      <c r="VRS237" s="15"/>
      <c r="VRT237" s="15"/>
      <c r="VRU237" s="15"/>
      <c r="VRV237" s="10"/>
      <c r="VRW237" s="10"/>
      <c r="VRX237" s="21"/>
      <c r="VRY237" s="21"/>
      <c r="VSB237" s="21"/>
      <c r="VSC237" s="15"/>
      <c r="VSD237" s="15"/>
      <c r="VSE237" s="15"/>
      <c r="VSF237" s="15"/>
      <c r="VSG237" s="15"/>
      <c r="VSH237" s="15"/>
      <c r="VSI237" s="15"/>
      <c r="VSJ237" s="15"/>
      <c r="VSK237" s="15"/>
      <c r="VSL237" s="15"/>
      <c r="VSM237" s="10"/>
      <c r="VSN237" s="10"/>
      <c r="VSO237" s="21"/>
      <c r="VSP237" s="21"/>
      <c r="VSS237" s="21"/>
      <c r="VST237" s="15"/>
      <c r="VSU237" s="15"/>
      <c r="VSV237" s="15"/>
      <c r="VSW237" s="15"/>
      <c r="VSX237" s="15"/>
      <c r="VSY237" s="15"/>
      <c r="VSZ237" s="15"/>
      <c r="VTA237" s="15"/>
      <c r="VTB237" s="15"/>
      <c r="VTC237" s="15"/>
      <c r="VTD237" s="10"/>
      <c r="VTE237" s="10"/>
      <c r="VTF237" s="21"/>
      <c r="VTG237" s="21"/>
      <c r="VTJ237" s="21"/>
      <c r="VTK237" s="15"/>
      <c r="VTL237" s="15"/>
      <c r="VTM237" s="15"/>
      <c r="VTN237" s="15"/>
      <c r="VTO237" s="15"/>
      <c r="VTP237" s="15"/>
      <c r="VTQ237" s="15"/>
      <c r="VTR237" s="15"/>
      <c r="VTS237" s="15"/>
      <c r="VTT237" s="15"/>
      <c r="VTU237" s="10"/>
      <c r="VTV237" s="10"/>
      <c r="VTW237" s="21"/>
      <c r="VTX237" s="21"/>
      <c r="VUA237" s="21"/>
      <c r="VUB237" s="15"/>
      <c r="VUC237" s="15"/>
      <c r="VUD237" s="15"/>
      <c r="VUE237" s="15"/>
      <c r="VUF237" s="15"/>
      <c r="VUG237" s="15"/>
      <c r="VUH237" s="15"/>
      <c r="VUI237" s="15"/>
      <c r="VUJ237" s="15"/>
      <c r="VUK237" s="15"/>
      <c r="VUL237" s="10"/>
      <c r="VUM237" s="10"/>
      <c r="VUN237" s="21"/>
      <c r="VUO237" s="21"/>
      <c r="VUR237" s="21"/>
      <c r="VUS237" s="15"/>
      <c r="VUT237" s="15"/>
      <c r="VUU237" s="15"/>
      <c r="VUV237" s="15"/>
      <c r="VUW237" s="15"/>
      <c r="VUX237" s="15"/>
      <c r="VUY237" s="15"/>
      <c r="VUZ237" s="15"/>
      <c r="VVA237" s="15"/>
      <c r="VVB237" s="15"/>
      <c r="VVC237" s="10"/>
      <c r="VVD237" s="10"/>
      <c r="VVE237" s="21"/>
      <c r="VVF237" s="21"/>
      <c r="VVI237" s="21"/>
      <c r="VVJ237" s="15"/>
      <c r="VVK237" s="15"/>
      <c r="VVL237" s="15"/>
      <c r="VVM237" s="15"/>
      <c r="VVN237" s="15"/>
      <c r="VVO237" s="15"/>
      <c r="VVP237" s="15"/>
      <c r="VVQ237" s="15"/>
      <c r="VVR237" s="15"/>
      <c r="VVS237" s="15"/>
      <c r="VVT237" s="10"/>
      <c r="VVU237" s="10"/>
      <c r="VVV237" s="21"/>
      <c r="VVW237" s="21"/>
      <c r="VVZ237" s="21"/>
      <c r="VWA237" s="15"/>
      <c r="VWB237" s="15"/>
      <c r="VWC237" s="15"/>
      <c r="VWD237" s="15"/>
      <c r="VWE237" s="15"/>
      <c r="VWF237" s="15"/>
      <c r="VWG237" s="15"/>
      <c r="VWH237" s="15"/>
      <c r="VWI237" s="15"/>
      <c r="VWJ237" s="15"/>
      <c r="VWK237" s="10"/>
      <c r="VWL237" s="10"/>
      <c r="VWM237" s="21"/>
      <c r="VWN237" s="21"/>
      <c r="VWQ237" s="21"/>
      <c r="VWR237" s="15"/>
      <c r="VWS237" s="15"/>
      <c r="VWT237" s="15"/>
      <c r="VWU237" s="15"/>
      <c r="VWV237" s="15"/>
      <c r="VWW237" s="15"/>
      <c r="VWX237" s="15"/>
      <c r="VWY237" s="15"/>
      <c r="VWZ237" s="15"/>
      <c r="VXA237" s="15"/>
      <c r="VXB237" s="10"/>
      <c r="VXC237" s="10"/>
      <c r="VXD237" s="21"/>
      <c r="VXE237" s="21"/>
      <c r="VXH237" s="21"/>
      <c r="VXI237" s="15"/>
      <c r="VXJ237" s="15"/>
      <c r="VXK237" s="15"/>
      <c r="VXL237" s="15"/>
      <c r="VXM237" s="15"/>
      <c r="VXN237" s="15"/>
      <c r="VXO237" s="15"/>
      <c r="VXP237" s="15"/>
      <c r="VXQ237" s="15"/>
      <c r="VXR237" s="15"/>
      <c r="VXS237" s="10"/>
      <c r="VXT237" s="10"/>
      <c r="VXU237" s="21"/>
      <c r="VXV237" s="21"/>
      <c r="VXY237" s="21"/>
      <c r="VXZ237" s="15"/>
      <c r="VYA237" s="15"/>
      <c r="VYB237" s="15"/>
      <c r="VYC237" s="15"/>
      <c r="VYD237" s="15"/>
      <c r="VYE237" s="15"/>
      <c r="VYF237" s="15"/>
      <c r="VYG237" s="15"/>
      <c r="VYH237" s="15"/>
      <c r="VYI237" s="15"/>
      <c r="VYJ237" s="10"/>
      <c r="VYK237" s="10"/>
      <c r="VYL237" s="21"/>
      <c r="VYM237" s="21"/>
      <c r="VYP237" s="21"/>
      <c r="VYQ237" s="15"/>
      <c r="VYR237" s="15"/>
      <c r="VYS237" s="15"/>
      <c r="VYT237" s="15"/>
      <c r="VYU237" s="15"/>
      <c r="VYV237" s="15"/>
      <c r="VYW237" s="15"/>
      <c r="VYX237" s="15"/>
      <c r="VYY237" s="15"/>
      <c r="VYZ237" s="15"/>
      <c r="VZA237" s="10"/>
      <c r="VZB237" s="10"/>
      <c r="VZC237" s="21"/>
      <c r="VZD237" s="21"/>
      <c r="VZG237" s="21"/>
      <c r="VZH237" s="15"/>
      <c r="VZI237" s="15"/>
      <c r="VZJ237" s="15"/>
      <c r="VZK237" s="15"/>
      <c r="VZL237" s="15"/>
      <c r="VZM237" s="15"/>
      <c r="VZN237" s="15"/>
      <c r="VZO237" s="15"/>
      <c r="VZP237" s="15"/>
      <c r="VZQ237" s="15"/>
      <c r="VZR237" s="10"/>
      <c r="VZS237" s="10"/>
      <c r="VZT237" s="21"/>
      <c r="VZU237" s="21"/>
      <c r="VZX237" s="21"/>
      <c r="VZY237" s="15"/>
      <c r="VZZ237" s="15"/>
      <c r="WAA237" s="15"/>
      <c r="WAB237" s="15"/>
      <c r="WAC237" s="15"/>
      <c r="WAD237" s="15"/>
      <c r="WAE237" s="15"/>
      <c r="WAF237" s="15"/>
      <c r="WAG237" s="15"/>
      <c r="WAH237" s="15"/>
      <c r="WAI237" s="10"/>
      <c r="WAJ237" s="10"/>
      <c r="WAK237" s="21"/>
      <c r="WAL237" s="21"/>
      <c r="WAO237" s="21"/>
      <c r="WAP237" s="15"/>
      <c r="WAQ237" s="15"/>
      <c r="WAR237" s="15"/>
      <c r="WAS237" s="15"/>
      <c r="WAT237" s="15"/>
      <c r="WAU237" s="15"/>
      <c r="WAV237" s="15"/>
      <c r="WAW237" s="15"/>
      <c r="WAX237" s="15"/>
      <c r="WAY237" s="15"/>
      <c r="WAZ237" s="10"/>
      <c r="WBA237" s="10"/>
      <c r="WBB237" s="21"/>
      <c r="WBC237" s="21"/>
      <c r="WBF237" s="21"/>
      <c r="WBG237" s="15"/>
      <c r="WBH237" s="15"/>
      <c r="WBI237" s="15"/>
      <c r="WBJ237" s="15"/>
      <c r="WBK237" s="15"/>
      <c r="WBL237" s="15"/>
      <c r="WBM237" s="15"/>
      <c r="WBN237" s="15"/>
      <c r="WBO237" s="15"/>
      <c r="WBP237" s="15"/>
      <c r="WBQ237" s="10"/>
      <c r="WBR237" s="10"/>
      <c r="WBS237" s="21"/>
      <c r="WBT237" s="21"/>
      <c r="WBW237" s="21"/>
      <c r="WBX237" s="15"/>
      <c r="WBY237" s="15"/>
      <c r="WBZ237" s="15"/>
      <c r="WCA237" s="15"/>
      <c r="WCB237" s="15"/>
      <c r="WCC237" s="15"/>
      <c r="WCD237" s="15"/>
      <c r="WCE237" s="15"/>
      <c r="WCF237" s="15"/>
      <c r="WCG237" s="15"/>
      <c r="WCH237" s="10"/>
      <c r="WCI237" s="10"/>
      <c r="WCJ237" s="21"/>
      <c r="WCK237" s="21"/>
      <c r="WCN237" s="21"/>
      <c r="WCO237" s="15"/>
      <c r="WCP237" s="15"/>
      <c r="WCQ237" s="15"/>
      <c r="WCR237" s="15"/>
      <c r="WCS237" s="15"/>
      <c r="WCT237" s="15"/>
      <c r="WCU237" s="15"/>
      <c r="WCV237" s="15"/>
      <c r="WCW237" s="15"/>
      <c r="WCX237" s="15"/>
      <c r="WCY237" s="10"/>
      <c r="WCZ237" s="10"/>
      <c r="WDA237" s="21"/>
      <c r="WDB237" s="21"/>
      <c r="WDE237" s="21"/>
      <c r="WDF237" s="15"/>
      <c r="WDG237" s="15"/>
      <c r="WDH237" s="15"/>
      <c r="WDI237" s="15"/>
      <c r="WDJ237" s="15"/>
      <c r="WDK237" s="15"/>
      <c r="WDL237" s="15"/>
      <c r="WDM237" s="15"/>
      <c r="WDN237" s="15"/>
      <c r="WDO237" s="15"/>
      <c r="WDP237" s="10"/>
      <c r="WDQ237" s="10"/>
      <c r="WDR237" s="21"/>
      <c r="WDS237" s="21"/>
      <c r="WDV237" s="21"/>
      <c r="WDW237" s="15"/>
      <c r="WDX237" s="15"/>
      <c r="WDY237" s="15"/>
      <c r="WDZ237" s="15"/>
      <c r="WEA237" s="15"/>
      <c r="WEB237" s="15"/>
      <c r="WEC237" s="15"/>
      <c r="WED237" s="15"/>
      <c r="WEE237" s="15"/>
      <c r="WEF237" s="15"/>
      <c r="WEG237" s="10"/>
      <c r="WEH237" s="10"/>
      <c r="WEI237" s="21"/>
      <c r="WEJ237" s="21"/>
      <c r="WEM237" s="21"/>
      <c r="WEN237" s="15"/>
      <c r="WEO237" s="15"/>
      <c r="WEP237" s="15"/>
      <c r="WEQ237" s="15"/>
      <c r="WER237" s="15"/>
      <c r="WES237" s="15"/>
      <c r="WET237" s="15"/>
      <c r="WEU237" s="15"/>
      <c r="WEV237" s="15"/>
      <c r="WEW237" s="15"/>
      <c r="WEX237" s="10"/>
      <c r="WEY237" s="10"/>
      <c r="WEZ237" s="21"/>
      <c r="WFA237" s="21"/>
      <c r="WFD237" s="21"/>
      <c r="WFE237" s="15"/>
      <c r="WFF237" s="15"/>
      <c r="WFG237" s="15"/>
      <c r="WFH237" s="15"/>
      <c r="WFI237" s="15"/>
      <c r="WFJ237" s="15"/>
      <c r="WFK237" s="15"/>
      <c r="WFL237" s="15"/>
      <c r="WFM237" s="15"/>
      <c r="WFN237" s="15"/>
      <c r="WFO237" s="10"/>
      <c r="WFP237" s="10"/>
      <c r="WFQ237" s="21"/>
      <c r="WFR237" s="21"/>
      <c r="WFU237" s="21"/>
      <c r="WFV237" s="15"/>
      <c r="WFW237" s="15"/>
      <c r="WFX237" s="15"/>
      <c r="WFY237" s="15"/>
      <c r="WFZ237" s="15"/>
      <c r="WGA237" s="15"/>
      <c r="WGB237" s="15"/>
      <c r="WGC237" s="15"/>
      <c r="WGD237" s="15"/>
      <c r="WGE237" s="15"/>
      <c r="WGF237" s="10"/>
      <c r="WGG237" s="10"/>
      <c r="WGH237" s="21"/>
      <c r="WGI237" s="21"/>
      <c r="WGL237" s="21"/>
      <c r="WGM237" s="15"/>
      <c r="WGN237" s="15"/>
      <c r="WGO237" s="15"/>
      <c r="WGP237" s="15"/>
      <c r="WGQ237" s="15"/>
      <c r="WGR237" s="15"/>
      <c r="WGS237" s="15"/>
      <c r="WGT237" s="15"/>
      <c r="WGU237" s="15"/>
      <c r="WGV237" s="15"/>
      <c r="WGW237" s="10"/>
      <c r="WGX237" s="10"/>
      <c r="WGY237" s="21"/>
      <c r="WGZ237" s="21"/>
      <c r="WHC237" s="21"/>
      <c r="WHD237" s="15"/>
      <c r="WHE237" s="15"/>
      <c r="WHF237" s="15"/>
      <c r="WHG237" s="15"/>
      <c r="WHH237" s="15"/>
      <c r="WHI237" s="15"/>
      <c r="WHJ237" s="15"/>
      <c r="WHK237" s="15"/>
      <c r="WHL237" s="15"/>
      <c r="WHM237" s="15"/>
      <c r="WHN237" s="10"/>
      <c r="WHO237" s="10"/>
      <c r="WHP237" s="21"/>
      <c r="WHQ237" s="21"/>
      <c r="WHT237" s="21"/>
      <c r="WHU237" s="15"/>
      <c r="WHV237" s="15"/>
      <c r="WHW237" s="15"/>
      <c r="WHX237" s="15"/>
      <c r="WHY237" s="15"/>
      <c r="WHZ237" s="15"/>
      <c r="WIA237" s="15"/>
      <c r="WIB237" s="15"/>
      <c r="WIC237" s="15"/>
      <c r="WID237" s="15"/>
      <c r="WIE237" s="10"/>
      <c r="WIF237" s="10"/>
      <c r="WIG237" s="21"/>
      <c r="WIH237" s="21"/>
      <c r="WIK237" s="21"/>
      <c r="WIL237" s="15"/>
      <c r="WIM237" s="15"/>
      <c r="WIN237" s="15"/>
      <c r="WIO237" s="15"/>
      <c r="WIP237" s="15"/>
      <c r="WIQ237" s="15"/>
      <c r="WIR237" s="15"/>
      <c r="WIS237" s="15"/>
      <c r="WIT237" s="15"/>
      <c r="WIU237" s="15"/>
      <c r="WIV237" s="10"/>
      <c r="WIW237" s="10"/>
      <c r="WIX237" s="21"/>
      <c r="WIY237" s="21"/>
      <c r="WJB237" s="21"/>
      <c r="WJC237" s="15"/>
      <c r="WJD237" s="15"/>
      <c r="WJE237" s="15"/>
      <c r="WJF237" s="15"/>
      <c r="WJG237" s="15"/>
      <c r="WJH237" s="15"/>
      <c r="WJI237" s="15"/>
      <c r="WJJ237" s="15"/>
      <c r="WJK237" s="15"/>
      <c r="WJL237" s="15"/>
      <c r="WJM237" s="10"/>
      <c r="WJN237" s="10"/>
      <c r="WJO237" s="21"/>
      <c r="WJP237" s="21"/>
      <c r="WJS237" s="21"/>
      <c r="WJT237" s="15"/>
      <c r="WJU237" s="15"/>
      <c r="WJV237" s="15"/>
      <c r="WJW237" s="15"/>
      <c r="WJX237" s="15"/>
      <c r="WJY237" s="15"/>
      <c r="WJZ237" s="15"/>
      <c r="WKA237" s="15"/>
      <c r="WKB237" s="15"/>
      <c r="WKC237" s="15"/>
      <c r="WKD237" s="10"/>
      <c r="WKE237" s="10"/>
      <c r="WKF237" s="21"/>
      <c r="WKG237" s="21"/>
      <c r="WKJ237" s="21"/>
      <c r="WKK237" s="15"/>
      <c r="WKL237" s="15"/>
      <c r="WKM237" s="15"/>
      <c r="WKN237" s="15"/>
      <c r="WKO237" s="15"/>
      <c r="WKP237" s="15"/>
      <c r="WKQ237" s="15"/>
      <c r="WKR237" s="15"/>
      <c r="WKS237" s="15"/>
      <c r="WKT237" s="15"/>
      <c r="WKU237" s="10"/>
      <c r="WKV237" s="10"/>
      <c r="WKW237" s="21"/>
      <c r="WKX237" s="21"/>
      <c r="WLA237" s="21"/>
      <c r="WLB237" s="15"/>
      <c r="WLC237" s="15"/>
      <c r="WLD237" s="15"/>
      <c r="WLE237" s="15"/>
      <c r="WLF237" s="15"/>
      <c r="WLG237" s="15"/>
      <c r="WLH237" s="15"/>
      <c r="WLI237" s="15"/>
      <c r="WLJ237" s="15"/>
      <c r="WLK237" s="15"/>
      <c r="WLL237" s="10"/>
      <c r="WLM237" s="10"/>
      <c r="WLN237" s="21"/>
      <c r="WLO237" s="21"/>
      <c r="WLR237" s="21"/>
      <c r="WLS237" s="15"/>
      <c r="WLT237" s="15"/>
      <c r="WLU237" s="15"/>
      <c r="WLV237" s="15"/>
      <c r="WLW237" s="15"/>
      <c r="WLX237" s="15"/>
      <c r="WLY237" s="15"/>
      <c r="WLZ237" s="15"/>
      <c r="WMA237" s="15"/>
      <c r="WMB237" s="15"/>
      <c r="WMC237" s="10"/>
      <c r="WMD237" s="10"/>
      <c r="WME237" s="21"/>
      <c r="WMF237" s="21"/>
      <c r="WMI237" s="21"/>
      <c r="WMJ237" s="15"/>
      <c r="WMK237" s="15"/>
      <c r="WML237" s="15"/>
      <c r="WMM237" s="15"/>
      <c r="WMN237" s="15"/>
      <c r="WMO237" s="15"/>
      <c r="WMP237" s="15"/>
      <c r="WMQ237" s="15"/>
      <c r="WMR237" s="15"/>
      <c r="WMS237" s="15"/>
      <c r="WMT237" s="10"/>
      <c r="WMU237" s="10"/>
      <c r="WMV237" s="21"/>
      <c r="WMW237" s="21"/>
      <c r="WMZ237" s="21"/>
      <c r="WNA237" s="15"/>
      <c r="WNB237" s="15"/>
      <c r="WNC237" s="15"/>
      <c r="WND237" s="15"/>
      <c r="WNE237" s="15"/>
      <c r="WNF237" s="15"/>
      <c r="WNG237" s="15"/>
      <c r="WNH237" s="15"/>
      <c r="WNI237" s="15"/>
      <c r="WNJ237" s="15"/>
      <c r="WNK237" s="10"/>
      <c r="WNL237" s="10"/>
      <c r="WNM237" s="21"/>
      <c r="WNN237" s="21"/>
      <c r="WNQ237" s="21"/>
      <c r="WNR237" s="15"/>
      <c r="WNS237" s="15"/>
      <c r="WNT237" s="15"/>
      <c r="WNU237" s="15"/>
      <c r="WNV237" s="15"/>
      <c r="WNW237" s="15"/>
      <c r="WNX237" s="15"/>
      <c r="WNY237" s="15"/>
      <c r="WNZ237" s="15"/>
      <c r="WOA237" s="15"/>
      <c r="WOB237" s="10"/>
      <c r="WOC237" s="10"/>
      <c r="WOD237" s="21"/>
      <c r="WOE237" s="21"/>
      <c r="WOH237" s="21"/>
      <c r="WOI237" s="15"/>
      <c r="WOJ237" s="15"/>
      <c r="WOK237" s="15"/>
      <c r="WOL237" s="15"/>
      <c r="WOM237" s="15"/>
      <c r="WON237" s="15"/>
      <c r="WOO237" s="15"/>
      <c r="WOP237" s="15"/>
      <c r="WOQ237" s="15"/>
      <c r="WOR237" s="15"/>
      <c r="WOS237" s="10"/>
      <c r="WOT237" s="10"/>
      <c r="WOU237" s="21"/>
      <c r="WOV237" s="21"/>
      <c r="WOY237" s="21"/>
      <c r="WOZ237" s="15"/>
      <c r="WPA237" s="15"/>
      <c r="WPB237" s="15"/>
      <c r="WPC237" s="15"/>
      <c r="WPD237" s="15"/>
      <c r="WPE237" s="15"/>
      <c r="WPF237" s="15"/>
      <c r="WPG237" s="15"/>
      <c r="WPH237" s="15"/>
      <c r="WPI237" s="15"/>
      <c r="WPJ237" s="10"/>
      <c r="WPK237" s="10"/>
      <c r="WPL237" s="21"/>
      <c r="WPM237" s="21"/>
      <c r="WPP237" s="21"/>
      <c r="WPQ237" s="15"/>
      <c r="WPR237" s="15"/>
      <c r="WPS237" s="15"/>
      <c r="WPT237" s="15"/>
      <c r="WPU237" s="15"/>
      <c r="WPV237" s="15"/>
      <c r="WPW237" s="15"/>
      <c r="WPX237" s="15"/>
      <c r="WPY237" s="15"/>
      <c r="WPZ237" s="15"/>
      <c r="WQA237" s="10"/>
      <c r="WQB237" s="10"/>
      <c r="WQC237" s="21"/>
      <c r="WQD237" s="21"/>
      <c r="WQG237" s="21"/>
      <c r="WQH237" s="15"/>
      <c r="WQI237" s="15"/>
      <c r="WQJ237" s="15"/>
      <c r="WQK237" s="15"/>
      <c r="WQL237" s="15"/>
      <c r="WQM237" s="15"/>
      <c r="WQN237" s="15"/>
      <c r="WQO237" s="15"/>
      <c r="WQP237" s="15"/>
      <c r="WQQ237" s="15"/>
      <c r="WQR237" s="10"/>
      <c r="WQS237" s="10"/>
      <c r="WQT237" s="21"/>
      <c r="WQU237" s="21"/>
      <c r="WQX237" s="21"/>
      <c r="WQY237" s="15"/>
      <c r="WQZ237" s="15"/>
      <c r="WRA237" s="15"/>
      <c r="WRB237" s="15"/>
      <c r="WRC237" s="15"/>
      <c r="WRD237" s="15"/>
      <c r="WRE237" s="15"/>
      <c r="WRF237" s="15"/>
      <c r="WRG237" s="15"/>
      <c r="WRH237" s="15"/>
      <c r="WRI237" s="10"/>
      <c r="WRJ237" s="10"/>
      <c r="WRK237" s="21"/>
      <c r="WRL237" s="21"/>
      <c r="WRO237" s="21"/>
      <c r="WRP237" s="15"/>
      <c r="WRQ237" s="15"/>
      <c r="WRR237" s="15"/>
      <c r="WRS237" s="15"/>
      <c r="WRT237" s="15"/>
      <c r="WRU237" s="15"/>
      <c r="WRV237" s="15"/>
      <c r="WRW237" s="15"/>
      <c r="WRX237" s="15"/>
      <c r="WRY237" s="15"/>
      <c r="WRZ237" s="10"/>
      <c r="WSA237" s="10"/>
      <c r="WSB237" s="21"/>
      <c r="WSC237" s="21"/>
      <c r="WSF237" s="21"/>
      <c r="WSG237" s="15"/>
      <c r="WSH237" s="15"/>
      <c r="WSI237" s="15"/>
      <c r="WSJ237" s="15"/>
      <c r="WSK237" s="15"/>
      <c r="WSL237" s="15"/>
      <c r="WSM237" s="15"/>
      <c r="WSN237" s="15"/>
      <c r="WSO237" s="15"/>
      <c r="WSP237" s="15"/>
      <c r="WSQ237" s="10"/>
      <c r="WSR237" s="10"/>
      <c r="WSS237" s="21"/>
      <c r="WST237" s="21"/>
      <c r="WSW237" s="21"/>
      <c r="WSX237" s="15"/>
      <c r="WSY237" s="15"/>
      <c r="WSZ237" s="15"/>
      <c r="WTA237" s="15"/>
      <c r="WTB237" s="15"/>
      <c r="WTC237" s="15"/>
      <c r="WTD237" s="15"/>
      <c r="WTE237" s="15"/>
      <c r="WTF237" s="15"/>
      <c r="WTG237" s="15"/>
      <c r="WTH237" s="10"/>
      <c r="WTI237" s="10"/>
      <c r="WTJ237" s="21"/>
      <c r="WTK237" s="21"/>
      <c r="WTN237" s="21"/>
      <c r="WTO237" s="15"/>
      <c r="WTP237" s="15"/>
      <c r="WTQ237" s="15"/>
      <c r="WTR237" s="15"/>
      <c r="WTS237" s="15"/>
      <c r="WTT237" s="15"/>
      <c r="WTU237" s="15"/>
      <c r="WTV237" s="15"/>
      <c r="WTW237" s="15"/>
      <c r="WTX237" s="15"/>
      <c r="WTY237" s="10"/>
      <c r="WTZ237" s="10"/>
      <c r="WUA237" s="21"/>
      <c r="WUB237" s="21"/>
      <c r="WUE237" s="21"/>
      <c r="WUF237" s="15"/>
      <c r="WUG237" s="15"/>
      <c r="WUH237" s="15"/>
      <c r="WUI237" s="15"/>
      <c r="WUJ237" s="15"/>
      <c r="WUK237" s="15"/>
      <c r="WUL237" s="15"/>
      <c r="WUM237" s="15"/>
      <c r="WUN237" s="15"/>
      <c r="WUO237" s="15"/>
      <c r="WUP237" s="10"/>
      <c r="WUQ237" s="10"/>
      <c r="WUR237" s="21"/>
      <c r="WUS237" s="21"/>
      <c r="WUV237" s="21"/>
      <c r="WUW237" s="15"/>
      <c r="WUX237" s="15"/>
      <c r="WUY237" s="15"/>
      <c r="WUZ237" s="15"/>
      <c r="WVA237" s="15"/>
      <c r="WVB237" s="15"/>
      <c r="WVC237" s="15"/>
      <c r="WVD237" s="15"/>
      <c r="WVE237" s="15"/>
      <c r="WVF237" s="15"/>
      <c r="WVG237" s="10"/>
      <c r="WVH237" s="10"/>
      <c r="WVI237" s="21"/>
      <c r="WVJ237" s="21"/>
      <c r="WVM237" s="21"/>
      <c r="WVN237" s="15"/>
      <c r="WVO237" s="15"/>
      <c r="WVP237" s="15"/>
      <c r="WVQ237" s="15"/>
      <c r="WVR237" s="15"/>
      <c r="WVS237" s="15"/>
      <c r="WVT237" s="15"/>
      <c r="WVU237" s="15"/>
      <c r="WVV237" s="15"/>
      <c r="WVW237" s="15"/>
      <c r="WVX237" s="10"/>
      <c r="WVY237" s="10"/>
      <c r="WVZ237" s="21"/>
      <c r="WWA237" s="21"/>
      <c r="WWD237" s="21"/>
      <c r="WWE237" s="15"/>
      <c r="WWF237" s="15"/>
      <c r="WWG237" s="15"/>
      <c r="WWH237" s="15"/>
      <c r="WWI237" s="15"/>
      <c r="WWJ237" s="15"/>
      <c r="WWK237" s="15"/>
      <c r="WWL237" s="15"/>
      <c r="WWM237" s="15"/>
      <c r="WWN237" s="15"/>
      <c r="WWO237" s="10"/>
      <c r="WWP237" s="10"/>
      <c r="WWQ237" s="21"/>
      <c r="WWR237" s="21"/>
      <c r="WWU237" s="21"/>
      <c r="WWV237" s="15"/>
      <c r="WWW237" s="15"/>
      <c r="WWX237" s="15"/>
      <c r="WWY237" s="15"/>
      <c r="WWZ237" s="15"/>
      <c r="WXA237" s="15"/>
      <c r="WXB237" s="15"/>
      <c r="WXC237" s="15"/>
      <c r="WXD237" s="15"/>
      <c r="WXE237" s="15"/>
      <c r="WXF237" s="10"/>
      <c r="WXG237" s="10"/>
      <c r="WXH237" s="21"/>
      <c r="WXI237" s="21"/>
      <c r="WXL237" s="21"/>
      <c r="WXM237" s="15"/>
      <c r="WXN237" s="15"/>
      <c r="WXO237" s="15"/>
      <c r="WXP237" s="15"/>
      <c r="WXQ237" s="15"/>
      <c r="WXR237" s="15"/>
      <c r="WXS237" s="15"/>
      <c r="WXT237" s="15"/>
      <c r="WXU237" s="15"/>
      <c r="WXV237" s="15"/>
      <c r="WXW237" s="10"/>
      <c r="WXX237" s="10"/>
      <c r="WXY237" s="21"/>
      <c r="WXZ237" s="21"/>
      <c r="WYC237" s="21"/>
      <c r="WYD237" s="15"/>
      <c r="WYE237" s="15"/>
      <c r="WYF237" s="15"/>
      <c r="WYG237" s="15"/>
      <c r="WYH237" s="15"/>
      <c r="WYI237" s="15"/>
      <c r="WYJ237" s="15"/>
      <c r="WYK237" s="15"/>
      <c r="WYL237" s="15"/>
      <c r="WYM237" s="15"/>
      <c r="WYN237" s="10"/>
      <c r="WYO237" s="10"/>
      <c r="WYP237" s="21"/>
      <c r="WYQ237" s="21"/>
      <c r="WYT237" s="21"/>
      <c r="WYU237" s="15"/>
      <c r="WYV237" s="15"/>
      <c r="WYW237" s="15"/>
      <c r="WYX237" s="15"/>
      <c r="WYY237" s="15"/>
      <c r="WYZ237" s="15"/>
      <c r="WZA237" s="15"/>
      <c r="WZB237" s="15"/>
      <c r="WZC237" s="15"/>
      <c r="WZD237" s="15"/>
      <c r="WZE237" s="10"/>
      <c r="WZF237" s="10"/>
      <c r="WZG237" s="21"/>
      <c r="WZH237" s="21"/>
      <c r="WZK237" s="21"/>
      <c r="WZL237" s="15"/>
      <c r="WZM237" s="15"/>
      <c r="WZN237" s="15"/>
      <c r="WZO237" s="15"/>
      <c r="WZP237" s="15"/>
      <c r="WZQ237" s="15"/>
      <c r="WZR237" s="15"/>
      <c r="WZS237" s="15"/>
      <c r="WZT237" s="15"/>
      <c r="WZU237" s="15"/>
      <c r="WZV237" s="10"/>
      <c r="WZW237" s="10"/>
      <c r="WZX237" s="21"/>
      <c r="WZY237" s="21"/>
      <c r="XAB237" s="21"/>
      <c r="XAC237" s="15"/>
      <c r="XAD237" s="15"/>
      <c r="XAE237" s="15"/>
      <c r="XAF237" s="15"/>
      <c r="XAG237" s="15"/>
      <c r="XAH237" s="15"/>
      <c r="XAI237" s="15"/>
      <c r="XAJ237" s="15"/>
      <c r="XAK237" s="15"/>
      <c r="XAL237" s="15"/>
      <c r="XAM237" s="10"/>
      <c r="XAN237" s="10"/>
      <c r="XAO237" s="21"/>
      <c r="XAP237" s="21"/>
      <c r="XAS237" s="21"/>
      <c r="XAT237" s="15"/>
      <c r="XAU237" s="15"/>
      <c r="XAV237" s="15"/>
      <c r="XAW237" s="15"/>
      <c r="XAX237" s="15"/>
      <c r="XAY237" s="15"/>
      <c r="XAZ237" s="15"/>
      <c r="XBA237" s="15"/>
      <c r="XBB237" s="15"/>
      <c r="XBC237" s="15"/>
      <c r="XBD237" s="10"/>
      <c r="XBE237" s="10"/>
      <c r="XBF237" s="21"/>
      <c r="XBG237" s="21"/>
      <c r="XBJ237" s="21"/>
      <c r="XBK237" s="15"/>
      <c r="XBL237" s="15"/>
      <c r="XBM237" s="15"/>
      <c r="XBN237" s="15"/>
      <c r="XBO237" s="15"/>
      <c r="XBP237" s="15"/>
      <c r="XBQ237" s="15"/>
      <c r="XBR237" s="15"/>
      <c r="XBS237" s="15"/>
      <c r="XBT237" s="15"/>
      <c r="XBU237" s="10"/>
      <c r="XBV237" s="10"/>
      <c r="XBW237" s="21"/>
      <c r="XBX237" s="21"/>
      <c r="XCA237" s="21"/>
      <c r="XCB237" s="15"/>
      <c r="XCC237" s="15"/>
      <c r="XCD237" s="15"/>
      <c r="XCE237" s="15"/>
      <c r="XCF237" s="15"/>
      <c r="XCG237" s="15"/>
      <c r="XCH237" s="15"/>
      <c r="XCI237" s="15"/>
      <c r="XCJ237" s="15"/>
      <c r="XCK237" s="15"/>
      <c r="XCL237" s="10"/>
      <c r="XCM237" s="10"/>
      <c r="XCN237" s="21"/>
      <c r="XCO237" s="21"/>
      <c r="XCR237" s="21"/>
      <c r="XCS237" s="15"/>
      <c r="XCT237" s="15"/>
      <c r="XCU237" s="15"/>
      <c r="XCV237" s="15"/>
      <c r="XCW237" s="15"/>
      <c r="XCX237" s="15"/>
      <c r="XCY237" s="15"/>
      <c r="XCZ237" s="15"/>
      <c r="XDA237" s="15"/>
      <c r="XDB237" s="15"/>
      <c r="XDC237" s="10"/>
      <c r="XDD237" s="10"/>
      <c r="XDE237" s="21"/>
      <c r="XDF237" s="21"/>
      <c r="XDI237" s="21"/>
      <c r="XDJ237" s="15"/>
      <c r="XDK237" s="15"/>
      <c r="XDL237" s="15"/>
      <c r="XDM237" s="15"/>
      <c r="XDN237" s="15"/>
      <c r="XDO237" s="15"/>
      <c r="XDP237" s="15"/>
      <c r="XDQ237" s="15"/>
      <c r="XDR237" s="15"/>
      <c r="XDS237" s="15"/>
      <c r="XDT237" s="10"/>
      <c r="XDU237" s="10"/>
      <c r="XDV237" s="21"/>
      <c r="XDW237" s="21"/>
      <c r="XDZ237" s="21"/>
      <c r="XEA237" s="15"/>
      <c r="XEB237" s="15"/>
      <c r="XEC237" s="15"/>
      <c r="XED237" s="15"/>
      <c r="XEE237" s="15"/>
      <c r="XEF237" s="15"/>
      <c r="XEG237" s="15"/>
      <c r="XEH237" s="15"/>
      <c r="XEI237" s="15"/>
      <c r="XEJ237" s="15"/>
      <c r="XEK237" s="10"/>
      <c r="XEL237" s="10"/>
      <c r="XEM237" s="21"/>
      <c r="XEN237" s="21"/>
      <c r="XEQ237" s="21"/>
      <c r="XER237" s="15"/>
      <c r="XES237" s="15"/>
      <c r="XET237" s="15"/>
      <c r="XEU237" s="15"/>
      <c r="XEV237" s="15"/>
      <c r="XEW237" s="15"/>
      <c r="XEX237" s="15"/>
      <c r="XEY237" s="15"/>
      <c r="XEZ237" s="15"/>
      <c r="XFA237" s="15"/>
      <c r="XFB237" s="10"/>
      <c r="XFC237" s="10"/>
      <c r="XFD237" s="21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517</v>
      </c>
      <c r="E238" s="32" t="s">
        <v>166</v>
      </c>
      <c r="F238" s="32" t="s">
        <v>518</v>
      </c>
      <c r="G238" s="32" t="s">
        <v>519</v>
      </c>
      <c r="H238" s="32" t="s">
        <v>352</v>
      </c>
      <c r="I238" s="31" t="s">
        <v>520</v>
      </c>
      <c r="J238" s="31">
        <v>99</v>
      </c>
      <c r="K238" s="33" t="s">
        <v>698</v>
      </c>
      <c r="L238" s="33">
        <v>40</v>
      </c>
      <c r="M238" s="34" t="s">
        <v>959</v>
      </c>
      <c r="N238" s="34" t="s">
        <v>1823</v>
      </c>
      <c r="O238" s="35">
        <v>1</v>
      </c>
      <c r="P238" s="35"/>
      <c r="Q238" s="32"/>
      <c r="S238" s="1">
        <f t="shared" si="109"/>
        <v>0</v>
      </c>
      <c r="T238" s="1">
        <f t="shared" si="110"/>
        <v>0</v>
      </c>
      <c r="U238" s="1">
        <f t="shared" si="111"/>
        <v>0</v>
      </c>
      <c r="V238" s="1">
        <f t="shared" si="112"/>
        <v>0</v>
      </c>
      <c r="W238" s="1">
        <f t="shared" si="113"/>
        <v>0</v>
      </c>
      <c r="X238" s="1">
        <f t="shared" si="114"/>
        <v>0</v>
      </c>
      <c r="Y238" s="1">
        <f t="shared" si="115"/>
        <v>0</v>
      </c>
      <c r="Z238" s="1">
        <f t="shared" si="116"/>
        <v>0</v>
      </c>
      <c r="AA238" s="1">
        <f t="shared" si="117"/>
        <v>0</v>
      </c>
      <c r="AB238" s="1">
        <f t="shared" si="118"/>
        <v>0</v>
      </c>
      <c r="AD238" s="1">
        <f t="shared" si="119"/>
        <v>0</v>
      </c>
      <c r="AE238" s="1">
        <f t="shared" si="120"/>
        <v>1</v>
      </c>
      <c r="AF238" s="1">
        <f t="shared" si="105"/>
        <v>0</v>
      </c>
      <c r="AG238" s="1">
        <f t="shared" si="106"/>
        <v>1</v>
      </c>
      <c r="AH238" s="1">
        <f t="shared" si="107"/>
        <v>0</v>
      </c>
      <c r="AI238" s="1">
        <f t="shared" si="108"/>
        <v>1</v>
      </c>
    </row>
    <row r="239" spans="1:4094 4097:8191 8194:12288 12291:16384" ht="13.9" customHeight="1" x14ac:dyDescent="0.25">
      <c r="A239" s="38">
        <v>0</v>
      </c>
      <c r="B239" s="38">
        <v>1</v>
      </c>
      <c r="C239" s="38">
        <v>6</v>
      </c>
      <c r="D239" s="39" t="s">
        <v>1811</v>
      </c>
      <c r="E239" s="39" t="s">
        <v>1812</v>
      </c>
      <c r="F239" s="39" t="s">
        <v>1813</v>
      </c>
      <c r="G239" s="39"/>
      <c r="H239" s="39" t="s">
        <v>352</v>
      </c>
      <c r="I239" s="38" t="s">
        <v>1814</v>
      </c>
      <c r="J239" s="38"/>
      <c r="K239" s="40" t="s">
        <v>699</v>
      </c>
      <c r="L239" s="40"/>
      <c r="M239" s="41"/>
      <c r="N239" s="42"/>
      <c r="O239" s="43"/>
      <c r="P239" s="43">
        <v>1</v>
      </c>
      <c r="Q239" s="39"/>
      <c r="S239" s="1">
        <f t="shared" si="109"/>
        <v>0</v>
      </c>
      <c r="T239" s="1">
        <f t="shared" si="110"/>
        <v>0</v>
      </c>
      <c r="U239" s="1">
        <f t="shared" si="111"/>
        <v>0</v>
      </c>
      <c r="V239" s="1">
        <f t="shared" si="112"/>
        <v>0</v>
      </c>
      <c r="W239" s="1">
        <f t="shared" si="113"/>
        <v>0</v>
      </c>
      <c r="X239" s="1">
        <f t="shared" si="114"/>
        <v>0</v>
      </c>
      <c r="Y239" s="1">
        <f t="shared" si="115"/>
        <v>0</v>
      </c>
      <c r="Z239" s="1">
        <f t="shared" si="116"/>
        <v>0</v>
      </c>
      <c r="AA239" s="1">
        <f t="shared" si="117"/>
        <v>0</v>
      </c>
      <c r="AB239" s="1">
        <f t="shared" si="118"/>
        <v>0</v>
      </c>
      <c r="AD239" s="1">
        <f t="shared" si="119"/>
        <v>0</v>
      </c>
      <c r="AE239" s="1">
        <f t="shared" si="120"/>
        <v>0</v>
      </c>
      <c r="AF239" s="1">
        <f t="shared" si="105"/>
        <v>0</v>
      </c>
      <c r="AG239" s="1">
        <f t="shared" si="106"/>
        <v>0</v>
      </c>
      <c r="AH239" s="1">
        <f t="shared" si="107"/>
        <v>1</v>
      </c>
      <c r="AI239" s="1">
        <f t="shared" si="10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2064</v>
      </c>
      <c r="E240" s="32" t="s">
        <v>166</v>
      </c>
      <c r="F240" s="32" t="s">
        <v>2065</v>
      </c>
      <c r="G240" s="32"/>
      <c r="H240" s="32" t="s">
        <v>352</v>
      </c>
      <c r="I240" s="31" t="s">
        <v>2066</v>
      </c>
      <c r="J240" s="31"/>
      <c r="K240" s="33" t="s">
        <v>699</v>
      </c>
      <c r="L240" s="33"/>
      <c r="M240" s="34"/>
      <c r="N240" s="34" t="s">
        <v>1722</v>
      </c>
      <c r="O240" s="35">
        <v>1</v>
      </c>
      <c r="P240" s="35"/>
      <c r="Q240" s="32" t="s">
        <v>2067</v>
      </c>
      <c r="S240" s="1">
        <f t="shared" si="109"/>
        <v>0</v>
      </c>
      <c r="T240" s="1">
        <f t="shared" si="110"/>
        <v>0</v>
      </c>
      <c r="U240" s="1">
        <f t="shared" si="111"/>
        <v>0</v>
      </c>
      <c r="V240" s="1">
        <f t="shared" si="112"/>
        <v>0</v>
      </c>
      <c r="W240" s="1">
        <f t="shared" si="113"/>
        <v>0</v>
      </c>
      <c r="X240" s="1">
        <f t="shared" si="114"/>
        <v>0</v>
      </c>
      <c r="Y240" s="1">
        <f t="shared" si="115"/>
        <v>0</v>
      </c>
      <c r="Z240" s="1">
        <f t="shared" si="116"/>
        <v>0</v>
      </c>
      <c r="AA240" s="1">
        <f t="shared" si="117"/>
        <v>0</v>
      </c>
      <c r="AB240" s="1">
        <f t="shared" si="118"/>
        <v>0</v>
      </c>
      <c r="AD240" s="1">
        <f t="shared" si="119"/>
        <v>0</v>
      </c>
      <c r="AE240" s="1">
        <f t="shared" si="120"/>
        <v>1</v>
      </c>
      <c r="AF240" s="1">
        <f t="shared" si="105"/>
        <v>0</v>
      </c>
      <c r="AG240" s="1">
        <f t="shared" si="106"/>
        <v>1</v>
      </c>
      <c r="AH240" s="1">
        <f t="shared" si="107"/>
        <v>0</v>
      </c>
      <c r="AI240" s="1">
        <f t="shared" si="108"/>
        <v>1</v>
      </c>
    </row>
    <row r="241" spans="1:35" ht="13.9" customHeight="1" x14ac:dyDescent="0.25">
      <c r="A241" s="31">
        <v>0</v>
      </c>
      <c r="B241" s="31">
        <v>1</v>
      </c>
      <c r="C241" s="31">
        <v>6</v>
      </c>
      <c r="D241" s="32" t="s">
        <v>1455</v>
      </c>
      <c r="E241" s="32" t="s">
        <v>166</v>
      </c>
      <c r="F241" s="32" t="s">
        <v>1457</v>
      </c>
      <c r="G241" s="32" t="s">
        <v>1458</v>
      </c>
      <c r="H241" s="32" t="s">
        <v>352</v>
      </c>
      <c r="I241" s="31" t="s">
        <v>1456</v>
      </c>
      <c r="J241" s="31">
        <v>99</v>
      </c>
      <c r="K241" s="33" t="s">
        <v>699</v>
      </c>
      <c r="L241" s="33">
        <v>62</v>
      </c>
      <c r="M241" s="34"/>
      <c r="N241" s="34" t="s">
        <v>1723</v>
      </c>
      <c r="O241" s="35">
        <v>1</v>
      </c>
      <c r="P241" s="35"/>
      <c r="Q241" s="32"/>
      <c r="S241" s="1">
        <f t="shared" si="109"/>
        <v>0</v>
      </c>
      <c r="T241" s="1">
        <f t="shared" si="110"/>
        <v>0</v>
      </c>
      <c r="U241" s="1">
        <f t="shared" si="111"/>
        <v>0</v>
      </c>
      <c r="V241" s="1">
        <f t="shared" si="112"/>
        <v>0</v>
      </c>
      <c r="W241" s="1">
        <f t="shared" si="113"/>
        <v>0</v>
      </c>
      <c r="X241" s="1">
        <f t="shared" si="114"/>
        <v>0</v>
      </c>
      <c r="Y241" s="1">
        <f t="shared" si="115"/>
        <v>0</v>
      </c>
      <c r="Z241" s="1">
        <f t="shared" si="116"/>
        <v>0</v>
      </c>
      <c r="AA241" s="1">
        <f t="shared" si="117"/>
        <v>0</v>
      </c>
      <c r="AB241" s="1">
        <f t="shared" si="118"/>
        <v>0</v>
      </c>
      <c r="AD241" s="1">
        <f t="shared" si="119"/>
        <v>0</v>
      </c>
      <c r="AE241" s="1">
        <f t="shared" si="120"/>
        <v>1</v>
      </c>
      <c r="AF241" s="1">
        <f t="shared" si="105"/>
        <v>0</v>
      </c>
      <c r="AG241" s="1">
        <f t="shared" si="106"/>
        <v>1</v>
      </c>
      <c r="AH241" s="1">
        <f t="shared" si="107"/>
        <v>0</v>
      </c>
      <c r="AI241" s="1">
        <f t="shared" si="108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1177</v>
      </c>
      <c r="E242" s="32" t="s">
        <v>164</v>
      </c>
      <c r="F242" s="32" t="s">
        <v>1644</v>
      </c>
      <c r="G242" s="32" t="s">
        <v>212</v>
      </c>
      <c r="H242" s="32" t="s">
        <v>352</v>
      </c>
      <c r="I242" s="31" t="s">
        <v>1178</v>
      </c>
      <c r="J242" s="31">
        <v>1</v>
      </c>
      <c r="K242" s="33" t="s">
        <v>949</v>
      </c>
      <c r="L242" s="33" t="s">
        <v>683</v>
      </c>
      <c r="M242" s="34" t="s">
        <v>1546</v>
      </c>
      <c r="N242" s="34" t="s">
        <v>1729</v>
      </c>
      <c r="O242" s="35">
        <v>1</v>
      </c>
      <c r="P242" s="35"/>
      <c r="Q242" s="32"/>
      <c r="S242" s="1">
        <f t="shared" si="109"/>
        <v>1</v>
      </c>
      <c r="T242" s="1">
        <f t="shared" si="110"/>
        <v>0</v>
      </c>
      <c r="U242" s="1">
        <f t="shared" si="111"/>
        <v>0</v>
      </c>
      <c r="V242" s="1">
        <f t="shared" si="112"/>
        <v>0</v>
      </c>
      <c r="W242" s="1">
        <f t="shared" si="113"/>
        <v>0</v>
      </c>
      <c r="X242" s="1">
        <f t="shared" si="114"/>
        <v>0</v>
      </c>
      <c r="Y242" s="1">
        <f t="shared" si="115"/>
        <v>0</v>
      </c>
      <c r="Z242" s="1">
        <f t="shared" si="116"/>
        <v>0</v>
      </c>
      <c r="AA242" s="1">
        <f t="shared" si="117"/>
        <v>0</v>
      </c>
      <c r="AB242" s="1">
        <f t="shared" si="118"/>
        <v>0</v>
      </c>
      <c r="AD242" s="1">
        <f t="shared" si="119"/>
        <v>0</v>
      </c>
      <c r="AE242" s="1">
        <f t="shared" si="120"/>
        <v>1</v>
      </c>
      <c r="AF242" s="1">
        <f t="shared" si="105"/>
        <v>0</v>
      </c>
      <c r="AG242" s="1">
        <f t="shared" si="106"/>
        <v>1</v>
      </c>
      <c r="AH242" s="1">
        <f t="shared" si="107"/>
        <v>0</v>
      </c>
      <c r="AI242" s="1">
        <f t="shared" si="108"/>
        <v>1</v>
      </c>
    </row>
    <row r="243" spans="1:35" ht="14.25" customHeight="1" x14ac:dyDescent="0.25">
      <c r="A243" s="44">
        <v>0</v>
      </c>
      <c r="B243" s="44">
        <v>1</v>
      </c>
      <c r="C243" s="44">
        <v>6</v>
      </c>
      <c r="D243" s="45" t="s">
        <v>2043</v>
      </c>
      <c r="E243" s="45" t="s">
        <v>2044</v>
      </c>
      <c r="F243" s="45" t="s">
        <v>2045</v>
      </c>
      <c r="G243" s="45" t="s">
        <v>207</v>
      </c>
      <c r="H243" s="45" t="s">
        <v>352</v>
      </c>
      <c r="I243" s="44" t="s">
        <v>2046</v>
      </c>
      <c r="J243" s="44">
        <v>3</v>
      </c>
      <c r="K243" s="46" t="s">
        <v>699</v>
      </c>
      <c r="L243" s="46">
        <v>30</v>
      </c>
      <c r="M243" s="47" t="s">
        <v>2047</v>
      </c>
      <c r="N243" s="47" t="s">
        <v>1783</v>
      </c>
      <c r="O243" s="48"/>
      <c r="P243" s="48"/>
      <c r="Q243" s="45"/>
      <c r="S243" s="1">
        <f t="shared" si="109"/>
        <v>0</v>
      </c>
      <c r="T243" s="1">
        <f t="shared" si="110"/>
        <v>0</v>
      </c>
      <c r="U243" s="1">
        <f t="shared" si="111"/>
        <v>1</v>
      </c>
      <c r="V243" s="1">
        <f t="shared" si="112"/>
        <v>0</v>
      </c>
      <c r="W243" s="1">
        <f t="shared" si="113"/>
        <v>0</v>
      </c>
      <c r="X243" s="1">
        <f t="shared" si="114"/>
        <v>0</v>
      </c>
      <c r="Y243" s="1">
        <f t="shared" si="115"/>
        <v>0</v>
      </c>
      <c r="Z243" s="1">
        <f t="shared" si="116"/>
        <v>0</v>
      </c>
      <c r="AA243" s="1">
        <f t="shared" si="117"/>
        <v>0</v>
      </c>
      <c r="AB243" s="1">
        <f t="shared" si="118"/>
        <v>0</v>
      </c>
      <c r="AD243" s="1">
        <f t="shared" si="119"/>
        <v>0</v>
      </c>
      <c r="AE243" s="1">
        <f t="shared" si="120"/>
        <v>0</v>
      </c>
      <c r="AF243" s="1">
        <f t="shared" si="105"/>
        <v>0</v>
      </c>
      <c r="AG243" s="1">
        <f t="shared" si="106"/>
        <v>0</v>
      </c>
      <c r="AH243" s="1">
        <f t="shared" si="107"/>
        <v>0</v>
      </c>
      <c r="AI243" s="1">
        <f t="shared" si="108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97</v>
      </c>
      <c r="E244" s="32" t="s">
        <v>166</v>
      </c>
      <c r="F244" s="32" t="s">
        <v>294</v>
      </c>
      <c r="G244" s="32" t="s">
        <v>283</v>
      </c>
      <c r="H244" s="32" t="s">
        <v>352</v>
      </c>
      <c r="I244" s="31" t="s">
        <v>1105</v>
      </c>
      <c r="J244" s="31">
        <v>10</v>
      </c>
      <c r="K244" s="33" t="s">
        <v>943</v>
      </c>
      <c r="L244" s="33" t="s">
        <v>690</v>
      </c>
      <c r="M244" s="34" t="s">
        <v>701</v>
      </c>
      <c r="N244" s="34" t="s">
        <v>1723</v>
      </c>
      <c r="O244" s="35">
        <v>1</v>
      </c>
      <c r="P244" s="35"/>
      <c r="Q244" s="32"/>
      <c r="S244" s="1">
        <f t="shared" si="109"/>
        <v>0</v>
      </c>
      <c r="T244" s="1">
        <f t="shared" si="110"/>
        <v>0</v>
      </c>
      <c r="U244" s="1">
        <f t="shared" si="111"/>
        <v>0</v>
      </c>
      <c r="V244" s="1">
        <f t="shared" si="112"/>
        <v>0</v>
      </c>
      <c r="W244" s="1">
        <f t="shared" si="113"/>
        <v>0</v>
      </c>
      <c r="X244" s="1">
        <f t="shared" si="114"/>
        <v>0</v>
      </c>
      <c r="Y244" s="1">
        <f t="shared" si="115"/>
        <v>0</v>
      </c>
      <c r="Z244" s="1">
        <f t="shared" si="116"/>
        <v>0</v>
      </c>
      <c r="AA244" s="1">
        <f t="shared" si="117"/>
        <v>0</v>
      </c>
      <c r="AB244" s="1">
        <f t="shared" si="118"/>
        <v>1</v>
      </c>
      <c r="AD244" s="1">
        <f t="shared" si="119"/>
        <v>0</v>
      </c>
      <c r="AE244" s="1">
        <f t="shared" si="120"/>
        <v>1</v>
      </c>
      <c r="AF244" s="1">
        <f t="shared" si="105"/>
        <v>0</v>
      </c>
      <c r="AG244" s="1">
        <f t="shared" si="106"/>
        <v>1</v>
      </c>
      <c r="AH244" s="1">
        <f t="shared" si="107"/>
        <v>0</v>
      </c>
      <c r="AI244" s="1">
        <f t="shared" si="108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599</v>
      </c>
      <c r="E245" s="32" t="s">
        <v>164</v>
      </c>
      <c r="F245" s="32" t="s">
        <v>601</v>
      </c>
      <c r="G245" s="32" t="s">
        <v>39</v>
      </c>
      <c r="H245" s="32" t="s">
        <v>352</v>
      </c>
      <c r="I245" s="31" t="s">
        <v>600</v>
      </c>
      <c r="J245" s="31">
        <v>99</v>
      </c>
      <c r="K245" s="33" t="s">
        <v>943</v>
      </c>
      <c r="L245" s="33" t="s">
        <v>689</v>
      </c>
      <c r="M245" s="34" t="s">
        <v>957</v>
      </c>
      <c r="N245" s="34" t="s">
        <v>1723</v>
      </c>
      <c r="O245" s="35">
        <v>1</v>
      </c>
      <c r="P245" s="35"/>
      <c r="Q245" s="32"/>
      <c r="S245" s="1">
        <f t="shared" si="109"/>
        <v>0</v>
      </c>
      <c r="T245" s="1">
        <f t="shared" si="110"/>
        <v>0</v>
      </c>
      <c r="U245" s="1">
        <f t="shared" si="111"/>
        <v>0</v>
      </c>
      <c r="V245" s="1">
        <f t="shared" si="112"/>
        <v>0</v>
      </c>
      <c r="W245" s="1">
        <f t="shared" si="113"/>
        <v>0</v>
      </c>
      <c r="X245" s="1">
        <f t="shared" si="114"/>
        <v>0</v>
      </c>
      <c r="Y245" s="1">
        <f t="shared" si="115"/>
        <v>0</v>
      </c>
      <c r="Z245" s="1">
        <f t="shared" si="116"/>
        <v>0</v>
      </c>
      <c r="AA245" s="1">
        <f t="shared" si="117"/>
        <v>0</v>
      </c>
      <c r="AB245" s="1">
        <f t="shared" si="118"/>
        <v>0</v>
      </c>
      <c r="AD245" s="1">
        <f t="shared" si="119"/>
        <v>0</v>
      </c>
      <c r="AE245" s="1">
        <f t="shared" si="120"/>
        <v>1</v>
      </c>
      <c r="AF245" s="1">
        <f t="shared" si="105"/>
        <v>0</v>
      </c>
      <c r="AG245" s="1">
        <f t="shared" si="106"/>
        <v>1</v>
      </c>
      <c r="AH245" s="1">
        <f t="shared" si="107"/>
        <v>0</v>
      </c>
      <c r="AI245" s="1">
        <f t="shared" si="108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1146</v>
      </c>
      <c r="E246" s="32" t="s">
        <v>164</v>
      </c>
      <c r="F246" s="32" t="s">
        <v>1148</v>
      </c>
      <c r="G246" s="32" t="s">
        <v>219</v>
      </c>
      <c r="H246" s="32" t="s">
        <v>352</v>
      </c>
      <c r="I246" s="31" t="s">
        <v>1147</v>
      </c>
      <c r="J246" s="31">
        <v>8</v>
      </c>
      <c r="K246" s="33" t="s">
        <v>698</v>
      </c>
      <c r="L246" s="33" t="s">
        <v>1687</v>
      </c>
      <c r="M246" s="34" t="s">
        <v>1380</v>
      </c>
      <c r="N246" s="34" t="s">
        <v>1722</v>
      </c>
      <c r="O246" s="35">
        <v>1</v>
      </c>
      <c r="P246" s="35"/>
      <c r="Q246" s="32"/>
      <c r="S246" s="1">
        <f t="shared" si="109"/>
        <v>0</v>
      </c>
      <c r="T246" s="1">
        <f t="shared" si="110"/>
        <v>0</v>
      </c>
      <c r="U246" s="1">
        <f t="shared" si="111"/>
        <v>0</v>
      </c>
      <c r="V246" s="1">
        <f t="shared" si="112"/>
        <v>0</v>
      </c>
      <c r="W246" s="1">
        <f t="shared" si="113"/>
        <v>0</v>
      </c>
      <c r="X246" s="1">
        <f t="shared" si="114"/>
        <v>0</v>
      </c>
      <c r="Y246" s="1">
        <f t="shared" si="115"/>
        <v>0</v>
      </c>
      <c r="Z246" s="1">
        <f t="shared" si="116"/>
        <v>1</v>
      </c>
      <c r="AA246" s="1">
        <f t="shared" si="117"/>
        <v>0</v>
      </c>
      <c r="AB246" s="1">
        <f t="shared" si="118"/>
        <v>0</v>
      </c>
      <c r="AD246" s="1">
        <f t="shared" si="119"/>
        <v>0</v>
      </c>
      <c r="AE246" s="1">
        <f t="shared" si="120"/>
        <v>1</v>
      </c>
      <c r="AF246" s="1">
        <f t="shared" si="105"/>
        <v>0</v>
      </c>
      <c r="AG246" s="1">
        <f t="shared" si="106"/>
        <v>1</v>
      </c>
      <c r="AH246" s="1">
        <f t="shared" si="107"/>
        <v>0</v>
      </c>
      <c r="AI246" s="1">
        <f t="shared" si="108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560</v>
      </c>
      <c r="E247" s="32" t="s">
        <v>166</v>
      </c>
      <c r="F247" s="32" t="s">
        <v>657</v>
      </c>
      <c r="G247" s="32" t="s">
        <v>201</v>
      </c>
      <c r="H247" s="32" t="s">
        <v>352</v>
      </c>
      <c r="I247" s="31" t="s">
        <v>579</v>
      </c>
      <c r="J247" s="31">
        <v>10</v>
      </c>
      <c r="K247" s="33" t="s">
        <v>949</v>
      </c>
      <c r="L247" s="33" t="s">
        <v>689</v>
      </c>
      <c r="M247" s="34" t="s">
        <v>701</v>
      </c>
      <c r="N247" s="34" t="s">
        <v>1722</v>
      </c>
      <c r="O247" s="35">
        <v>1</v>
      </c>
      <c r="P247" s="35"/>
      <c r="Q247" s="36"/>
      <c r="S247" s="1">
        <f t="shared" si="109"/>
        <v>0</v>
      </c>
      <c r="T247" s="1">
        <f t="shared" si="110"/>
        <v>0</v>
      </c>
      <c r="U247" s="1">
        <f t="shared" si="111"/>
        <v>0</v>
      </c>
      <c r="V247" s="1">
        <f t="shared" si="112"/>
        <v>0</v>
      </c>
      <c r="W247" s="1">
        <f t="shared" si="113"/>
        <v>0</v>
      </c>
      <c r="X247" s="1">
        <f t="shared" si="114"/>
        <v>0</v>
      </c>
      <c r="Y247" s="1">
        <f t="shared" si="115"/>
        <v>0</v>
      </c>
      <c r="Z247" s="1">
        <f t="shared" si="116"/>
        <v>0</v>
      </c>
      <c r="AA247" s="1">
        <f t="shared" si="117"/>
        <v>0</v>
      </c>
      <c r="AB247" s="1">
        <f t="shared" si="118"/>
        <v>1</v>
      </c>
      <c r="AD247" s="1">
        <f t="shared" si="119"/>
        <v>0</v>
      </c>
      <c r="AE247" s="1">
        <f t="shared" si="120"/>
        <v>1</v>
      </c>
      <c r="AF247" s="1">
        <f t="shared" si="105"/>
        <v>0</v>
      </c>
      <c r="AG247" s="1">
        <f t="shared" si="106"/>
        <v>1</v>
      </c>
      <c r="AH247" s="1">
        <f t="shared" si="107"/>
        <v>0</v>
      </c>
      <c r="AI247" s="1">
        <f t="shared" si="108"/>
        <v>1</v>
      </c>
    </row>
    <row r="248" spans="1:35" ht="14.25" customHeight="1" x14ac:dyDescent="0.25">
      <c r="A248" s="44">
        <v>0</v>
      </c>
      <c r="B248" s="44">
        <v>1</v>
      </c>
      <c r="C248" s="44">
        <v>6</v>
      </c>
      <c r="D248" s="45" t="s">
        <v>886</v>
      </c>
      <c r="E248" s="45" t="s">
        <v>166</v>
      </c>
      <c r="F248" s="45" t="s">
        <v>926</v>
      </c>
      <c r="G248" s="45" t="s">
        <v>927</v>
      </c>
      <c r="H248" s="45" t="s">
        <v>352</v>
      </c>
      <c r="I248" s="44" t="s">
        <v>940</v>
      </c>
      <c r="J248" s="44">
        <v>99</v>
      </c>
      <c r="K248" s="46" t="s">
        <v>698</v>
      </c>
      <c r="L248" s="46" t="s">
        <v>685</v>
      </c>
      <c r="M248" s="47" t="s">
        <v>1381</v>
      </c>
      <c r="N248" s="47" t="s">
        <v>1712</v>
      </c>
      <c r="O248" s="48"/>
      <c r="P248" s="48"/>
      <c r="Q248" s="45"/>
      <c r="S248" s="1">
        <f t="shared" si="109"/>
        <v>0</v>
      </c>
      <c r="T248" s="1">
        <f t="shared" si="110"/>
        <v>0</v>
      </c>
      <c r="U248" s="1">
        <f t="shared" si="111"/>
        <v>0</v>
      </c>
      <c r="V248" s="1">
        <f t="shared" si="112"/>
        <v>0</v>
      </c>
      <c r="W248" s="1">
        <f t="shared" si="113"/>
        <v>0</v>
      </c>
      <c r="X248" s="1">
        <f t="shared" si="114"/>
        <v>0</v>
      </c>
      <c r="Y248" s="1">
        <f t="shared" si="115"/>
        <v>0</v>
      </c>
      <c r="Z248" s="1">
        <f t="shared" si="116"/>
        <v>0</v>
      </c>
      <c r="AA248" s="1">
        <f t="shared" si="117"/>
        <v>0</v>
      </c>
      <c r="AB248" s="1">
        <f t="shared" si="118"/>
        <v>0</v>
      </c>
      <c r="AD248" s="1">
        <f t="shared" si="119"/>
        <v>0</v>
      </c>
      <c r="AE248" s="1">
        <f t="shared" si="120"/>
        <v>0</v>
      </c>
      <c r="AF248" s="1">
        <f t="shared" si="105"/>
        <v>0</v>
      </c>
      <c r="AG248" s="1">
        <f t="shared" si="106"/>
        <v>0</v>
      </c>
      <c r="AH248" s="1">
        <f t="shared" si="107"/>
        <v>0</v>
      </c>
      <c r="AI248" s="1">
        <f t="shared" si="108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99</v>
      </c>
      <c r="E249" s="32" t="s">
        <v>166</v>
      </c>
      <c r="F249" s="32" t="s">
        <v>658</v>
      </c>
      <c r="G249" s="32" t="s">
        <v>660</v>
      </c>
      <c r="H249" s="32" t="s">
        <v>352</v>
      </c>
      <c r="I249" s="31" t="s">
        <v>444</v>
      </c>
      <c r="J249" s="31">
        <v>99</v>
      </c>
      <c r="K249" s="33" t="s">
        <v>718</v>
      </c>
      <c r="L249" s="33" t="s">
        <v>692</v>
      </c>
      <c r="M249" s="34" t="s">
        <v>703</v>
      </c>
      <c r="N249" s="34" t="s">
        <v>1723</v>
      </c>
      <c r="O249" s="35">
        <v>1</v>
      </c>
      <c r="P249" s="35"/>
      <c r="Q249" s="32"/>
      <c r="S249" s="1">
        <f t="shared" si="109"/>
        <v>0</v>
      </c>
      <c r="T249" s="1">
        <f t="shared" si="110"/>
        <v>0</v>
      </c>
      <c r="U249" s="1">
        <f t="shared" si="111"/>
        <v>0</v>
      </c>
      <c r="V249" s="1">
        <f t="shared" si="112"/>
        <v>0</v>
      </c>
      <c r="W249" s="1">
        <f t="shared" si="113"/>
        <v>0</v>
      </c>
      <c r="X249" s="1">
        <f t="shared" si="114"/>
        <v>0</v>
      </c>
      <c r="Y249" s="1">
        <f t="shared" si="115"/>
        <v>0</v>
      </c>
      <c r="Z249" s="1">
        <f t="shared" si="116"/>
        <v>0</v>
      </c>
      <c r="AA249" s="1">
        <f t="shared" si="117"/>
        <v>0</v>
      </c>
      <c r="AB249" s="1">
        <f t="shared" si="118"/>
        <v>0</v>
      </c>
      <c r="AD249" s="1">
        <f t="shared" si="119"/>
        <v>0</v>
      </c>
      <c r="AE249" s="1">
        <f t="shared" si="120"/>
        <v>1</v>
      </c>
      <c r="AF249" s="1">
        <f t="shared" si="105"/>
        <v>0</v>
      </c>
      <c r="AG249" s="1">
        <f t="shared" si="106"/>
        <v>1</v>
      </c>
      <c r="AH249" s="1">
        <f t="shared" si="107"/>
        <v>0</v>
      </c>
      <c r="AI249" s="1">
        <f t="shared" si="10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86</v>
      </c>
      <c r="E250" s="32" t="s">
        <v>29</v>
      </c>
      <c r="F250" s="32" t="s">
        <v>659</v>
      </c>
      <c r="G250" s="32" t="s">
        <v>660</v>
      </c>
      <c r="H250" s="32" t="s">
        <v>352</v>
      </c>
      <c r="I250" s="31" t="s">
        <v>627</v>
      </c>
      <c r="J250" s="31">
        <v>99</v>
      </c>
      <c r="K250" s="33" t="s">
        <v>941</v>
      </c>
      <c r="L250" s="33" t="s">
        <v>689</v>
      </c>
      <c r="M250" s="34" t="s">
        <v>1382</v>
      </c>
      <c r="N250" s="34" t="s">
        <v>1701</v>
      </c>
      <c r="O250" s="35">
        <v>1</v>
      </c>
      <c r="P250" s="35">
        <v>1</v>
      </c>
      <c r="Q250" s="32"/>
      <c r="S250" s="1">
        <f t="shared" si="109"/>
        <v>0</v>
      </c>
      <c r="T250" s="1">
        <f t="shared" si="110"/>
        <v>0</v>
      </c>
      <c r="U250" s="1">
        <f t="shared" si="111"/>
        <v>0</v>
      </c>
      <c r="V250" s="1">
        <f t="shared" si="112"/>
        <v>0</v>
      </c>
      <c r="W250" s="1">
        <f t="shared" si="113"/>
        <v>0</v>
      </c>
      <c r="X250" s="1">
        <f t="shared" si="114"/>
        <v>0</v>
      </c>
      <c r="Y250" s="1">
        <f t="shared" si="115"/>
        <v>0</v>
      </c>
      <c r="Z250" s="1">
        <f t="shared" si="116"/>
        <v>0</v>
      </c>
      <c r="AA250" s="1">
        <f t="shared" si="117"/>
        <v>0</v>
      </c>
      <c r="AB250" s="1">
        <f t="shared" si="118"/>
        <v>0</v>
      </c>
      <c r="AD250" s="1">
        <f t="shared" si="119"/>
        <v>1</v>
      </c>
      <c r="AE250" s="1">
        <f t="shared" si="120"/>
        <v>0</v>
      </c>
      <c r="AF250" s="1">
        <f t="shared" si="105"/>
        <v>1</v>
      </c>
      <c r="AG250" s="1">
        <f t="shared" si="106"/>
        <v>0</v>
      </c>
      <c r="AH250" s="1">
        <f t="shared" si="107"/>
        <v>1</v>
      </c>
      <c r="AI250" s="1">
        <f t="shared" si="108"/>
        <v>0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646</v>
      </c>
      <c r="E251" s="32" t="s">
        <v>29</v>
      </c>
      <c r="F251" s="32" t="s">
        <v>622</v>
      </c>
      <c r="G251" s="32" t="s">
        <v>231</v>
      </c>
      <c r="H251" s="32" t="s">
        <v>352</v>
      </c>
      <c r="I251" s="31" t="s">
        <v>623</v>
      </c>
      <c r="J251" s="31">
        <v>99</v>
      </c>
      <c r="K251" s="33" t="s">
        <v>709</v>
      </c>
      <c r="L251" s="33" t="s">
        <v>692</v>
      </c>
      <c r="M251" s="34" t="s">
        <v>960</v>
      </c>
      <c r="N251" s="34" t="s">
        <v>1823</v>
      </c>
      <c r="O251" s="35">
        <v>1</v>
      </c>
      <c r="P251" s="35"/>
      <c r="Q251" s="32"/>
      <c r="S251" s="1">
        <f t="shared" si="109"/>
        <v>0</v>
      </c>
      <c r="T251" s="1">
        <f t="shared" si="110"/>
        <v>0</v>
      </c>
      <c r="U251" s="1">
        <f t="shared" si="111"/>
        <v>0</v>
      </c>
      <c r="V251" s="1">
        <f t="shared" si="112"/>
        <v>0</v>
      </c>
      <c r="W251" s="1">
        <f t="shared" si="113"/>
        <v>0</v>
      </c>
      <c r="X251" s="1">
        <f t="shared" si="114"/>
        <v>0</v>
      </c>
      <c r="Y251" s="1">
        <f t="shared" si="115"/>
        <v>0</v>
      </c>
      <c r="Z251" s="1">
        <f t="shared" si="116"/>
        <v>0</v>
      </c>
      <c r="AA251" s="1">
        <f t="shared" si="117"/>
        <v>0</v>
      </c>
      <c r="AB251" s="1">
        <f t="shared" si="118"/>
        <v>0</v>
      </c>
      <c r="AD251" s="1">
        <f t="shared" si="119"/>
        <v>0</v>
      </c>
      <c r="AE251" s="1">
        <f t="shared" si="120"/>
        <v>1</v>
      </c>
      <c r="AF251" s="1">
        <f t="shared" si="105"/>
        <v>0</v>
      </c>
      <c r="AG251" s="1">
        <f t="shared" si="106"/>
        <v>1</v>
      </c>
      <c r="AH251" s="1">
        <f t="shared" si="107"/>
        <v>0</v>
      </c>
      <c r="AI251" s="1">
        <f t="shared" si="108"/>
        <v>1</v>
      </c>
    </row>
    <row r="252" spans="1:35" ht="14.25" customHeight="1" x14ac:dyDescent="0.25">
      <c r="A252" s="15">
        <v>0</v>
      </c>
      <c r="B252" s="15">
        <v>1</v>
      </c>
      <c r="C252" s="15">
        <v>7</v>
      </c>
      <c r="D252" s="16" t="s">
        <v>970</v>
      </c>
      <c r="E252" s="16" t="s">
        <v>29</v>
      </c>
      <c r="F252" s="16" t="s">
        <v>971</v>
      </c>
      <c r="G252" s="16" t="s">
        <v>972</v>
      </c>
      <c r="H252" s="16" t="s">
        <v>352</v>
      </c>
      <c r="I252" s="15" t="s">
        <v>969</v>
      </c>
      <c r="J252" s="15">
        <v>99</v>
      </c>
      <c r="K252" s="10" t="s">
        <v>699</v>
      </c>
      <c r="L252" s="10">
        <v>20</v>
      </c>
      <c r="M252" s="19" t="s">
        <v>960</v>
      </c>
      <c r="N252" s="19"/>
      <c r="Q252" s="16"/>
      <c r="S252" s="1">
        <f t="shared" si="109"/>
        <v>0</v>
      </c>
      <c r="T252" s="1">
        <f t="shared" si="110"/>
        <v>0</v>
      </c>
      <c r="U252" s="1">
        <f t="shared" si="111"/>
        <v>0</v>
      </c>
      <c r="V252" s="1">
        <f t="shared" si="112"/>
        <v>0</v>
      </c>
      <c r="W252" s="1">
        <f t="shared" si="113"/>
        <v>0</v>
      </c>
      <c r="X252" s="1">
        <f t="shared" si="114"/>
        <v>0</v>
      </c>
      <c r="Y252" s="1">
        <f t="shared" si="115"/>
        <v>0</v>
      </c>
      <c r="Z252" s="1">
        <f t="shared" si="116"/>
        <v>0</v>
      </c>
      <c r="AA252" s="1">
        <f t="shared" si="117"/>
        <v>0</v>
      </c>
      <c r="AB252" s="1">
        <f t="shared" si="118"/>
        <v>0</v>
      </c>
      <c r="AD252" s="1">
        <f t="shared" si="119"/>
        <v>0</v>
      </c>
      <c r="AE252" s="1">
        <f t="shared" si="120"/>
        <v>0</v>
      </c>
      <c r="AF252" s="1">
        <f t="shared" si="105"/>
        <v>0</v>
      </c>
      <c r="AG252" s="1">
        <f t="shared" si="106"/>
        <v>0</v>
      </c>
      <c r="AH252" s="1">
        <f t="shared" si="107"/>
        <v>0</v>
      </c>
      <c r="AI252" s="1">
        <f t="shared" si="108"/>
        <v>1</v>
      </c>
    </row>
    <row r="253" spans="1:35" ht="14.25" customHeight="1" x14ac:dyDescent="0.25">
      <c r="A253" s="38">
        <v>0</v>
      </c>
      <c r="B253" s="38">
        <v>1</v>
      </c>
      <c r="C253" s="38">
        <v>7</v>
      </c>
      <c r="D253" s="39" t="s">
        <v>587</v>
      </c>
      <c r="E253" s="39" t="s">
        <v>29</v>
      </c>
      <c r="F253" s="39" t="s">
        <v>588</v>
      </c>
      <c r="G253" s="39" t="s">
        <v>1060</v>
      </c>
      <c r="H253" s="39" t="s">
        <v>352</v>
      </c>
      <c r="I253" s="38" t="s">
        <v>589</v>
      </c>
      <c r="J253" s="38">
        <v>99</v>
      </c>
      <c r="K253" s="40" t="s">
        <v>699</v>
      </c>
      <c r="L253" s="40">
        <v>35</v>
      </c>
      <c r="M253" s="41" t="s">
        <v>1382</v>
      </c>
      <c r="N253" s="41"/>
      <c r="O253" s="43"/>
      <c r="P253" s="43">
        <v>1</v>
      </c>
      <c r="Q253" s="39"/>
      <c r="S253" s="1">
        <f t="shared" si="109"/>
        <v>0</v>
      </c>
      <c r="T253" s="1">
        <f t="shared" si="110"/>
        <v>0</v>
      </c>
      <c r="U253" s="1">
        <f t="shared" si="111"/>
        <v>0</v>
      </c>
      <c r="V253" s="1">
        <f t="shared" si="112"/>
        <v>0</v>
      </c>
      <c r="W253" s="1">
        <f t="shared" si="113"/>
        <v>0</v>
      </c>
      <c r="X253" s="1">
        <f t="shared" si="114"/>
        <v>0</v>
      </c>
      <c r="Y253" s="1">
        <f t="shared" si="115"/>
        <v>0</v>
      </c>
      <c r="Z253" s="1">
        <f t="shared" si="116"/>
        <v>0</v>
      </c>
      <c r="AA253" s="1">
        <f t="shared" si="117"/>
        <v>0</v>
      </c>
      <c r="AB253" s="1">
        <f t="shared" si="118"/>
        <v>0</v>
      </c>
      <c r="AD253" s="1">
        <f t="shared" si="119"/>
        <v>0</v>
      </c>
      <c r="AE253" s="1">
        <f t="shared" si="120"/>
        <v>0</v>
      </c>
      <c r="AF253" s="1">
        <f t="shared" si="105"/>
        <v>0</v>
      </c>
      <c r="AG253" s="1">
        <f t="shared" si="106"/>
        <v>0</v>
      </c>
      <c r="AH253" s="1">
        <f t="shared" si="107"/>
        <v>1</v>
      </c>
      <c r="AI253" s="1">
        <f t="shared" si="10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1601</v>
      </c>
      <c r="E254" s="32" t="s">
        <v>29</v>
      </c>
      <c r="F254" s="32" t="s">
        <v>1656</v>
      </c>
      <c r="G254" s="32" t="s">
        <v>310</v>
      </c>
      <c r="H254" s="32" t="s">
        <v>352</v>
      </c>
      <c r="I254" s="31" t="s">
        <v>1602</v>
      </c>
      <c r="J254" s="31"/>
      <c r="K254" s="33" t="s">
        <v>709</v>
      </c>
      <c r="L254" s="33">
        <v>45</v>
      </c>
      <c r="M254" s="34" t="s">
        <v>1774</v>
      </c>
      <c r="N254" s="34" t="s">
        <v>1707</v>
      </c>
      <c r="O254" s="35">
        <v>1</v>
      </c>
      <c r="P254" s="35">
        <v>1</v>
      </c>
      <c r="Q254" s="32"/>
      <c r="S254" s="1">
        <f t="shared" si="109"/>
        <v>0</v>
      </c>
      <c r="T254" s="1">
        <f t="shared" si="110"/>
        <v>0</v>
      </c>
      <c r="U254" s="1">
        <f t="shared" si="111"/>
        <v>0</v>
      </c>
      <c r="V254" s="1">
        <f t="shared" si="112"/>
        <v>0</v>
      </c>
      <c r="W254" s="1">
        <f t="shared" si="113"/>
        <v>0</v>
      </c>
      <c r="X254" s="1">
        <f t="shared" si="114"/>
        <v>0</v>
      </c>
      <c r="Y254" s="1">
        <f t="shared" si="115"/>
        <v>0</v>
      </c>
      <c r="Z254" s="1">
        <f t="shared" si="116"/>
        <v>0</v>
      </c>
      <c r="AA254" s="1">
        <f t="shared" si="117"/>
        <v>0</v>
      </c>
      <c r="AB254" s="1">
        <f t="shared" si="118"/>
        <v>0</v>
      </c>
      <c r="AD254" s="1">
        <f t="shared" si="119"/>
        <v>1</v>
      </c>
      <c r="AE254" s="1">
        <f t="shared" si="120"/>
        <v>0</v>
      </c>
      <c r="AF254" s="1">
        <f t="shared" si="105"/>
        <v>1</v>
      </c>
      <c r="AG254" s="1">
        <f t="shared" si="106"/>
        <v>0</v>
      </c>
      <c r="AH254" s="1">
        <f t="shared" si="107"/>
        <v>1</v>
      </c>
      <c r="AI254" s="1">
        <f t="shared" si="108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850</v>
      </c>
      <c r="E255" s="32" t="s">
        <v>29</v>
      </c>
      <c r="F255" s="32" t="s">
        <v>851</v>
      </c>
      <c r="G255" s="32" t="s">
        <v>201</v>
      </c>
      <c r="H255" s="32" t="s">
        <v>352</v>
      </c>
      <c r="I255" s="31" t="s">
        <v>852</v>
      </c>
      <c r="J255" s="31">
        <v>10</v>
      </c>
      <c r="K255" s="33" t="s">
        <v>709</v>
      </c>
      <c r="L255" s="33" t="s">
        <v>689</v>
      </c>
      <c r="M255" s="34" t="s">
        <v>1382</v>
      </c>
      <c r="N255" s="34" t="s">
        <v>1729</v>
      </c>
      <c r="O255" s="35">
        <v>1</v>
      </c>
      <c r="P255" s="35"/>
      <c r="Q255" s="32"/>
      <c r="S255" s="1">
        <f t="shared" si="109"/>
        <v>0</v>
      </c>
      <c r="T255" s="1">
        <f t="shared" si="110"/>
        <v>0</v>
      </c>
      <c r="U255" s="1">
        <f t="shared" si="111"/>
        <v>0</v>
      </c>
      <c r="V255" s="1">
        <f t="shared" si="112"/>
        <v>0</v>
      </c>
      <c r="W255" s="1">
        <f t="shared" si="113"/>
        <v>0</v>
      </c>
      <c r="X255" s="1">
        <f t="shared" si="114"/>
        <v>0</v>
      </c>
      <c r="Y255" s="1">
        <f t="shared" si="115"/>
        <v>0</v>
      </c>
      <c r="Z255" s="1">
        <f t="shared" si="116"/>
        <v>0</v>
      </c>
      <c r="AA255" s="1">
        <f t="shared" si="117"/>
        <v>0</v>
      </c>
      <c r="AB255" s="1">
        <f t="shared" si="118"/>
        <v>1</v>
      </c>
      <c r="AD255" s="1">
        <f t="shared" si="119"/>
        <v>0</v>
      </c>
      <c r="AE255" s="1">
        <f t="shared" si="120"/>
        <v>1</v>
      </c>
      <c r="AF255" s="1">
        <f t="shared" si="105"/>
        <v>0</v>
      </c>
      <c r="AG255" s="1">
        <f t="shared" si="106"/>
        <v>1</v>
      </c>
      <c r="AH255" s="1">
        <f t="shared" si="107"/>
        <v>0</v>
      </c>
      <c r="AI255" s="1">
        <f t="shared" si="108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40</v>
      </c>
      <c r="E256" s="32" t="s">
        <v>29</v>
      </c>
      <c r="F256" s="32" t="s">
        <v>279</v>
      </c>
      <c r="G256" s="32" t="s">
        <v>229</v>
      </c>
      <c r="H256" s="32" t="s">
        <v>352</v>
      </c>
      <c r="I256" s="31" t="s">
        <v>433</v>
      </c>
      <c r="J256" s="31">
        <v>7</v>
      </c>
      <c r="K256" s="33" t="s">
        <v>709</v>
      </c>
      <c r="L256" s="33" t="s">
        <v>692</v>
      </c>
      <c r="M256" s="34" t="s">
        <v>960</v>
      </c>
      <c r="N256" s="34" t="s">
        <v>1701</v>
      </c>
      <c r="O256" s="35">
        <v>1</v>
      </c>
      <c r="P256" s="35">
        <v>1</v>
      </c>
      <c r="Q256" s="32"/>
      <c r="S256" s="1">
        <f t="shared" si="109"/>
        <v>0</v>
      </c>
      <c r="T256" s="1">
        <f t="shared" si="110"/>
        <v>0</v>
      </c>
      <c r="U256" s="1">
        <f t="shared" si="111"/>
        <v>0</v>
      </c>
      <c r="V256" s="1">
        <f t="shared" si="112"/>
        <v>0</v>
      </c>
      <c r="W256" s="1">
        <f t="shared" si="113"/>
        <v>0</v>
      </c>
      <c r="X256" s="1">
        <f t="shared" si="114"/>
        <v>0</v>
      </c>
      <c r="Y256" s="1">
        <f t="shared" si="115"/>
        <v>1</v>
      </c>
      <c r="Z256" s="1">
        <f t="shared" si="116"/>
        <v>0</v>
      </c>
      <c r="AA256" s="1">
        <f t="shared" si="117"/>
        <v>0</v>
      </c>
      <c r="AB256" s="1">
        <f t="shared" si="118"/>
        <v>0</v>
      </c>
      <c r="AD256" s="1">
        <f t="shared" si="119"/>
        <v>1</v>
      </c>
      <c r="AE256" s="1">
        <f t="shared" si="120"/>
        <v>0</v>
      </c>
      <c r="AF256" s="1">
        <f t="shared" si="105"/>
        <v>1</v>
      </c>
      <c r="AG256" s="1">
        <f t="shared" si="106"/>
        <v>0</v>
      </c>
      <c r="AH256" s="1">
        <f t="shared" si="107"/>
        <v>1</v>
      </c>
      <c r="AI256" s="1">
        <f t="shared" si="108"/>
        <v>0</v>
      </c>
    </row>
    <row r="257" spans="1:35" ht="14.25" customHeight="1" x14ac:dyDescent="0.25">
      <c r="A257" s="31">
        <v>1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1575</v>
      </c>
      <c r="G257" s="32" t="s">
        <v>39</v>
      </c>
      <c r="H257" s="32" t="s">
        <v>352</v>
      </c>
      <c r="I257" s="31" t="s">
        <v>1576</v>
      </c>
      <c r="J257" s="31">
        <v>99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09"/>
        <v>0</v>
      </c>
      <c r="T257" s="1">
        <f t="shared" si="110"/>
        <v>0</v>
      </c>
      <c r="U257" s="1">
        <f t="shared" si="111"/>
        <v>0</v>
      </c>
      <c r="V257" s="1">
        <f t="shared" si="112"/>
        <v>0</v>
      </c>
      <c r="W257" s="1">
        <f t="shared" si="113"/>
        <v>0</v>
      </c>
      <c r="X257" s="1">
        <f t="shared" si="114"/>
        <v>0</v>
      </c>
      <c r="Y257" s="1">
        <f t="shared" si="115"/>
        <v>0</v>
      </c>
      <c r="Z257" s="1">
        <f t="shared" si="116"/>
        <v>0</v>
      </c>
      <c r="AA257" s="1">
        <f t="shared" si="117"/>
        <v>0</v>
      </c>
      <c r="AB257" s="1">
        <f t="shared" si="118"/>
        <v>0</v>
      </c>
      <c r="AD257" s="1">
        <f t="shared" si="119"/>
        <v>1</v>
      </c>
      <c r="AE257" s="1">
        <f t="shared" si="120"/>
        <v>0</v>
      </c>
      <c r="AF257" s="1">
        <f t="shared" si="105"/>
        <v>0</v>
      </c>
      <c r="AG257" s="1">
        <f t="shared" si="106"/>
        <v>0</v>
      </c>
      <c r="AH257" s="1">
        <f t="shared" si="107"/>
        <v>0</v>
      </c>
      <c r="AI257" s="1">
        <f t="shared" si="108"/>
        <v>0</v>
      </c>
    </row>
    <row r="258" spans="1:35" ht="14.25" customHeight="1" x14ac:dyDescent="0.25">
      <c r="A258" s="49">
        <v>0</v>
      </c>
      <c r="B258" s="49">
        <v>1</v>
      </c>
      <c r="C258" s="49">
        <v>7</v>
      </c>
      <c r="D258" s="55" t="s">
        <v>1459</v>
      </c>
      <c r="E258" s="50" t="s">
        <v>29</v>
      </c>
      <c r="F258" s="55" t="s">
        <v>991</v>
      </c>
      <c r="G258" s="55" t="s">
        <v>1089</v>
      </c>
      <c r="H258" s="55" t="s">
        <v>352</v>
      </c>
      <c r="I258" s="63" t="s">
        <v>1097</v>
      </c>
      <c r="J258" s="49">
        <v>10</v>
      </c>
      <c r="K258" s="51" t="s">
        <v>709</v>
      </c>
      <c r="L258" s="51" t="s">
        <v>690</v>
      </c>
      <c r="M258" s="52" t="s">
        <v>960</v>
      </c>
      <c r="N258" s="52" t="s">
        <v>1717</v>
      </c>
      <c r="O258" s="53">
        <v>1</v>
      </c>
      <c r="P258" s="53"/>
      <c r="Q258" s="55"/>
      <c r="S258" s="1">
        <f t="shared" si="109"/>
        <v>0</v>
      </c>
      <c r="T258" s="1">
        <f t="shared" si="110"/>
        <v>0</v>
      </c>
      <c r="U258" s="1">
        <f t="shared" si="111"/>
        <v>0</v>
      </c>
      <c r="V258" s="1">
        <f t="shared" si="112"/>
        <v>0</v>
      </c>
      <c r="W258" s="1">
        <f t="shared" si="113"/>
        <v>0</v>
      </c>
      <c r="X258" s="1">
        <f t="shared" si="114"/>
        <v>0</v>
      </c>
      <c r="Y258" s="1">
        <f t="shared" si="115"/>
        <v>0</v>
      </c>
      <c r="Z258" s="1">
        <f t="shared" si="116"/>
        <v>0</v>
      </c>
      <c r="AA258" s="1">
        <f t="shared" si="117"/>
        <v>0</v>
      </c>
      <c r="AB258" s="1">
        <f t="shared" si="118"/>
        <v>1</v>
      </c>
      <c r="AD258" s="1">
        <f t="shared" si="119"/>
        <v>0</v>
      </c>
      <c r="AE258" s="1">
        <f t="shared" si="120"/>
        <v>1</v>
      </c>
      <c r="AF258" s="1">
        <f t="shared" si="105"/>
        <v>0</v>
      </c>
      <c r="AG258" s="1">
        <f t="shared" si="106"/>
        <v>1</v>
      </c>
      <c r="AH258" s="1">
        <f t="shared" si="107"/>
        <v>0</v>
      </c>
      <c r="AI258" s="1">
        <f t="shared" si="10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1460</v>
      </c>
      <c r="E259" s="32" t="s">
        <v>29</v>
      </c>
      <c r="F259" s="36" t="s">
        <v>989</v>
      </c>
      <c r="G259" s="36" t="s">
        <v>239</v>
      </c>
      <c r="H259" s="36" t="s">
        <v>352</v>
      </c>
      <c r="I259" s="37" t="s">
        <v>990</v>
      </c>
      <c r="J259" s="31">
        <v>1</v>
      </c>
      <c r="K259" s="33" t="s">
        <v>948</v>
      </c>
      <c r="L259" s="33" t="s">
        <v>690</v>
      </c>
      <c r="M259" s="34" t="s">
        <v>960</v>
      </c>
      <c r="N259" s="34" t="s">
        <v>1775</v>
      </c>
      <c r="O259" s="35">
        <v>1</v>
      </c>
      <c r="P259" s="35"/>
      <c r="Q259" s="36"/>
      <c r="S259" s="1">
        <f t="shared" si="109"/>
        <v>1</v>
      </c>
      <c r="T259" s="1">
        <f t="shared" si="110"/>
        <v>0</v>
      </c>
      <c r="U259" s="1">
        <f t="shared" si="111"/>
        <v>0</v>
      </c>
      <c r="V259" s="1">
        <f t="shared" si="112"/>
        <v>0</v>
      </c>
      <c r="W259" s="1">
        <f t="shared" si="113"/>
        <v>0</v>
      </c>
      <c r="X259" s="1">
        <f t="shared" si="114"/>
        <v>0</v>
      </c>
      <c r="Y259" s="1">
        <f t="shared" si="115"/>
        <v>0</v>
      </c>
      <c r="Z259" s="1">
        <f t="shared" si="116"/>
        <v>0</v>
      </c>
      <c r="AA259" s="1">
        <f t="shared" si="117"/>
        <v>0</v>
      </c>
      <c r="AB259" s="1">
        <f t="shared" si="118"/>
        <v>0</v>
      </c>
      <c r="AD259" s="1">
        <f t="shared" si="119"/>
        <v>0</v>
      </c>
      <c r="AE259" s="1">
        <f t="shared" si="120"/>
        <v>1</v>
      </c>
      <c r="AF259" s="1">
        <f t="shared" si="105"/>
        <v>0</v>
      </c>
      <c r="AG259" s="1">
        <f t="shared" si="106"/>
        <v>1</v>
      </c>
      <c r="AH259" s="1">
        <f t="shared" si="107"/>
        <v>0</v>
      </c>
      <c r="AI259" s="1">
        <f t="shared" si="10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887</v>
      </c>
      <c r="E260" s="32" t="s">
        <v>29</v>
      </c>
      <c r="F260" s="36" t="s">
        <v>888</v>
      </c>
      <c r="G260" s="36" t="s">
        <v>39</v>
      </c>
      <c r="H260" s="36" t="s">
        <v>353</v>
      </c>
      <c r="I260" s="37" t="s">
        <v>889</v>
      </c>
      <c r="J260" s="31">
        <v>11</v>
      </c>
      <c r="K260" s="33" t="s">
        <v>699</v>
      </c>
      <c r="L260" s="33">
        <v>35</v>
      </c>
      <c r="M260" s="34" t="s">
        <v>1382</v>
      </c>
      <c r="N260" s="34" t="s">
        <v>1920</v>
      </c>
      <c r="O260" s="35">
        <v>1</v>
      </c>
      <c r="P260" s="35"/>
      <c r="Q260" s="36" t="s">
        <v>1877</v>
      </c>
      <c r="S260" s="1">
        <f t="shared" si="109"/>
        <v>0</v>
      </c>
      <c r="T260" s="1">
        <f t="shared" si="110"/>
        <v>0</v>
      </c>
      <c r="U260" s="1">
        <f t="shared" si="111"/>
        <v>0</v>
      </c>
      <c r="V260" s="1">
        <f t="shared" si="112"/>
        <v>0</v>
      </c>
      <c r="W260" s="1">
        <f t="shared" si="113"/>
        <v>0</v>
      </c>
      <c r="X260" s="1">
        <f t="shared" si="114"/>
        <v>0</v>
      </c>
      <c r="Y260" s="1">
        <f t="shared" si="115"/>
        <v>0</v>
      </c>
      <c r="Z260" s="1">
        <f t="shared" si="116"/>
        <v>0</v>
      </c>
      <c r="AA260" s="1">
        <f t="shared" si="117"/>
        <v>0</v>
      </c>
      <c r="AB260" s="1">
        <f t="shared" si="118"/>
        <v>0</v>
      </c>
      <c r="AD260" s="1">
        <f t="shared" si="119"/>
        <v>0</v>
      </c>
      <c r="AE260" s="1">
        <f t="shared" si="120"/>
        <v>1</v>
      </c>
      <c r="AF260" s="1">
        <f t="shared" si="105"/>
        <v>0</v>
      </c>
      <c r="AG260" s="1">
        <f t="shared" si="106"/>
        <v>1</v>
      </c>
      <c r="AH260" s="1">
        <f t="shared" si="107"/>
        <v>0</v>
      </c>
      <c r="AI260" s="1">
        <f t="shared" si="108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1071</v>
      </c>
      <c r="E261" s="32" t="s">
        <v>29</v>
      </c>
      <c r="F261" s="36" t="s">
        <v>973</v>
      </c>
      <c r="G261" s="36" t="s">
        <v>202</v>
      </c>
      <c r="H261" s="36" t="s">
        <v>352</v>
      </c>
      <c r="I261" s="37" t="s">
        <v>974</v>
      </c>
      <c r="J261" s="31">
        <v>99</v>
      </c>
      <c r="K261" s="33" t="s">
        <v>709</v>
      </c>
      <c r="L261" s="33" t="s">
        <v>690</v>
      </c>
      <c r="M261" s="34" t="s">
        <v>1417</v>
      </c>
      <c r="N261" s="34" t="s">
        <v>1701</v>
      </c>
      <c r="O261" s="35">
        <v>1</v>
      </c>
      <c r="P261" s="35">
        <v>1</v>
      </c>
      <c r="Q261" s="36"/>
      <c r="S261" s="1">
        <f t="shared" si="109"/>
        <v>0</v>
      </c>
      <c r="T261" s="1">
        <f t="shared" si="110"/>
        <v>0</v>
      </c>
      <c r="U261" s="1">
        <f t="shared" si="111"/>
        <v>0</v>
      </c>
      <c r="V261" s="1">
        <f t="shared" si="112"/>
        <v>0</v>
      </c>
      <c r="W261" s="1">
        <f t="shared" si="113"/>
        <v>0</v>
      </c>
      <c r="X261" s="1">
        <f t="shared" si="114"/>
        <v>0</v>
      </c>
      <c r="Y261" s="1">
        <f t="shared" si="115"/>
        <v>0</v>
      </c>
      <c r="Z261" s="1">
        <f t="shared" si="116"/>
        <v>0</v>
      </c>
      <c r="AA261" s="1">
        <f t="shared" si="117"/>
        <v>0</v>
      </c>
      <c r="AB261" s="1">
        <f t="shared" si="118"/>
        <v>0</v>
      </c>
      <c r="AD261" s="1">
        <f t="shared" si="119"/>
        <v>1</v>
      </c>
      <c r="AE261" s="1">
        <f t="shared" si="120"/>
        <v>0</v>
      </c>
      <c r="AF261" s="1">
        <f t="shared" si="105"/>
        <v>1</v>
      </c>
      <c r="AG261" s="1">
        <f t="shared" si="106"/>
        <v>0</v>
      </c>
      <c r="AH261" s="1">
        <f t="shared" si="107"/>
        <v>1</v>
      </c>
      <c r="AI261" s="1">
        <f t="shared" si="108"/>
        <v>0</v>
      </c>
    </row>
    <row r="262" spans="1:35" ht="14.25" customHeight="1" x14ac:dyDescent="0.25">
      <c r="A262" s="15">
        <v>0</v>
      </c>
      <c r="B262" s="15">
        <v>1</v>
      </c>
      <c r="C262" s="15">
        <v>7</v>
      </c>
      <c r="D262" s="16" t="s">
        <v>747</v>
      </c>
      <c r="E262" s="16" t="s">
        <v>29</v>
      </c>
      <c r="F262" s="16" t="s">
        <v>748</v>
      </c>
      <c r="G262" s="16" t="s">
        <v>749</v>
      </c>
      <c r="H262" s="16" t="s">
        <v>352</v>
      </c>
      <c r="I262" s="15" t="s">
        <v>750</v>
      </c>
      <c r="J262" s="15">
        <v>99</v>
      </c>
      <c r="K262" s="10" t="s">
        <v>699</v>
      </c>
      <c r="L262" s="10">
        <v>20</v>
      </c>
      <c r="M262" s="19" t="s">
        <v>1107</v>
      </c>
      <c r="N262" s="17"/>
      <c r="Q262" s="16"/>
      <c r="S262" s="1">
        <f t="shared" si="109"/>
        <v>0</v>
      </c>
      <c r="T262" s="1">
        <f t="shared" si="110"/>
        <v>0</v>
      </c>
      <c r="U262" s="1">
        <f t="shared" si="111"/>
        <v>0</v>
      </c>
      <c r="V262" s="1">
        <f t="shared" si="112"/>
        <v>0</v>
      </c>
      <c r="W262" s="1">
        <f t="shared" si="113"/>
        <v>0</v>
      </c>
      <c r="X262" s="1">
        <f t="shared" si="114"/>
        <v>0</v>
      </c>
      <c r="Y262" s="1">
        <f t="shared" si="115"/>
        <v>0</v>
      </c>
      <c r="Z262" s="1">
        <f t="shared" si="116"/>
        <v>0</v>
      </c>
      <c r="AA262" s="1">
        <f t="shared" si="117"/>
        <v>0</v>
      </c>
      <c r="AB262" s="1">
        <f t="shared" si="118"/>
        <v>0</v>
      </c>
      <c r="AD262" s="1">
        <f t="shared" si="119"/>
        <v>0</v>
      </c>
      <c r="AE262" s="1">
        <f t="shared" si="120"/>
        <v>0</v>
      </c>
      <c r="AF262" s="1">
        <f t="shared" si="105"/>
        <v>0</v>
      </c>
      <c r="AG262" s="1">
        <f t="shared" si="106"/>
        <v>0</v>
      </c>
      <c r="AH262" s="1">
        <f t="shared" si="107"/>
        <v>0</v>
      </c>
      <c r="AI262" s="1">
        <f t="shared" si="10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819</v>
      </c>
      <c r="E263" s="32" t="s">
        <v>29</v>
      </c>
      <c r="F263" s="36" t="s">
        <v>820</v>
      </c>
      <c r="G263" s="36" t="s">
        <v>917</v>
      </c>
      <c r="H263" s="36" t="s">
        <v>352</v>
      </c>
      <c r="I263" s="37" t="s">
        <v>821</v>
      </c>
      <c r="J263" s="31">
        <v>99</v>
      </c>
      <c r="K263" s="33" t="s">
        <v>942</v>
      </c>
      <c r="L263" s="33" t="s">
        <v>690</v>
      </c>
      <c r="M263" s="34" t="s">
        <v>960</v>
      </c>
      <c r="N263" s="34" t="s">
        <v>1799</v>
      </c>
      <c r="O263" s="35">
        <v>1</v>
      </c>
      <c r="P263" s="35"/>
      <c r="Q263" s="36"/>
      <c r="S263" s="1">
        <f t="shared" si="109"/>
        <v>0</v>
      </c>
      <c r="T263" s="1">
        <f t="shared" si="110"/>
        <v>0</v>
      </c>
      <c r="U263" s="1">
        <f t="shared" si="111"/>
        <v>0</v>
      </c>
      <c r="V263" s="1">
        <f t="shared" si="112"/>
        <v>0</v>
      </c>
      <c r="W263" s="1">
        <f t="shared" si="113"/>
        <v>0</v>
      </c>
      <c r="X263" s="1">
        <f t="shared" si="114"/>
        <v>0</v>
      </c>
      <c r="Y263" s="1">
        <f t="shared" si="115"/>
        <v>0</v>
      </c>
      <c r="Z263" s="1">
        <f t="shared" si="116"/>
        <v>0</v>
      </c>
      <c r="AA263" s="1">
        <f t="shared" si="117"/>
        <v>0</v>
      </c>
      <c r="AB263" s="1">
        <f t="shared" si="118"/>
        <v>0</v>
      </c>
      <c r="AD263" s="1">
        <f t="shared" si="119"/>
        <v>0</v>
      </c>
      <c r="AE263" s="1">
        <f t="shared" si="120"/>
        <v>1</v>
      </c>
      <c r="AF263" s="1">
        <f t="shared" si="105"/>
        <v>0</v>
      </c>
      <c r="AG263" s="1">
        <f t="shared" si="106"/>
        <v>1</v>
      </c>
      <c r="AH263" s="1">
        <f t="shared" si="107"/>
        <v>0</v>
      </c>
      <c r="AI263" s="1">
        <f t="shared" si="108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1694</v>
      </c>
      <c r="E264" s="32" t="s">
        <v>29</v>
      </c>
      <c r="F264" s="36" t="s">
        <v>1695</v>
      </c>
      <c r="G264" s="36" t="s">
        <v>248</v>
      </c>
      <c r="H264" s="36" t="s">
        <v>352</v>
      </c>
      <c r="I264" s="37" t="s">
        <v>1696</v>
      </c>
      <c r="J264" s="31"/>
      <c r="K264" s="33" t="s">
        <v>699</v>
      </c>
      <c r="L264" s="33"/>
      <c r="M264" s="34"/>
      <c r="N264" s="34" t="s">
        <v>1701</v>
      </c>
      <c r="O264" s="35">
        <v>1</v>
      </c>
      <c r="P264" s="35">
        <v>1</v>
      </c>
      <c r="Q264" s="36"/>
      <c r="S264" s="1">
        <f t="shared" si="109"/>
        <v>0</v>
      </c>
      <c r="T264" s="1">
        <f t="shared" si="110"/>
        <v>0</v>
      </c>
      <c r="U264" s="1">
        <f t="shared" si="111"/>
        <v>0</v>
      </c>
      <c r="V264" s="1">
        <f t="shared" si="112"/>
        <v>0</v>
      </c>
      <c r="W264" s="1">
        <f t="shared" si="113"/>
        <v>0</v>
      </c>
      <c r="X264" s="1">
        <f t="shared" si="114"/>
        <v>0</v>
      </c>
      <c r="Y264" s="1">
        <f t="shared" si="115"/>
        <v>0</v>
      </c>
      <c r="Z264" s="1">
        <f t="shared" si="116"/>
        <v>0</v>
      </c>
      <c r="AA264" s="1">
        <f t="shared" si="117"/>
        <v>0</v>
      </c>
      <c r="AB264" s="1">
        <f t="shared" si="118"/>
        <v>0</v>
      </c>
      <c r="AD264" s="1">
        <f t="shared" si="119"/>
        <v>1</v>
      </c>
      <c r="AE264" s="1">
        <f t="shared" si="120"/>
        <v>0</v>
      </c>
      <c r="AF264" s="1">
        <f t="shared" si="105"/>
        <v>1</v>
      </c>
      <c r="AG264" s="1">
        <f t="shared" si="106"/>
        <v>0</v>
      </c>
      <c r="AH264" s="1">
        <f t="shared" si="107"/>
        <v>1</v>
      </c>
      <c r="AI264" s="1">
        <f t="shared" si="10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890</v>
      </c>
      <c r="E265" s="32" t="s">
        <v>29</v>
      </c>
      <c r="F265" s="32" t="s">
        <v>891</v>
      </c>
      <c r="G265" s="32" t="s">
        <v>227</v>
      </c>
      <c r="H265" s="32" t="s">
        <v>352</v>
      </c>
      <c r="I265" s="31" t="s">
        <v>892</v>
      </c>
      <c r="J265" s="31">
        <v>99</v>
      </c>
      <c r="K265" s="33" t="s">
        <v>709</v>
      </c>
      <c r="L265" s="33" t="s">
        <v>690</v>
      </c>
      <c r="M265" s="34" t="s">
        <v>1383</v>
      </c>
      <c r="N265" s="34" t="s">
        <v>1722</v>
      </c>
      <c r="O265" s="35">
        <v>1</v>
      </c>
      <c r="P265" s="35"/>
      <c r="Q265" s="32"/>
      <c r="S265" s="1">
        <f t="shared" si="109"/>
        <v>0</v>
      </c>
      <c r="T265" s="1">
        <f t="shared" si="110"/>
        <v>0</v>
      </c>
      <c r="U265" s="1">
        <f t="shared" si="111"/>
        <v>0</v>
      </c>
      <c r="V265" s="1">
        <f t="shared" si="112"/>
        <v>0</v>
      </c>
      <c r="W265" s="1">
        <f t="shared" si="113"/>
        <v>0</v>
      </c>
      <c r="X265" s="1">
        <f t="shared" si="114"/>
        <v>0</v>
      </c>
      <c r="Y265" s="1">
        <f t="shared" si="115"/>
        <v>0</v>
      </c>
      <c r="Z265" s="1">
        <f t="shared" si="116"/>
        <v>0</v>
      </c>
      <c r="AA265" s="1">
        <f t="shared" si="117"/>
        <v>0</v>
      </c>
      <c r="AB265" s="1">
        <f t="shared" si="118"/>
        <v>0</v>
      </c>
      <c r="AD265" s="1">
        <f t="shared" si="119"/>
        <v>0</v>
      </c>
      <c r="AE265" s="1">
        <f t="shared" si="120"/>
        <v>1</v>
      </c>
      <c r="AF265" s="1">
        <f t="shared" si="105"/>
        <v>0</v>
      </c>
      <c r="AG265" s="1">
        <f t="shared" si="106"/>
        <v>1</v>
      </c>
      <c r="AH265" s="1">
        <f t="shared" si="107"/>
        <v>0</v>
      </c>
      <c r="AI265" s="1">
        <f t="shared" si="10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88</v>
      </c>
      <c r="E266" s="32" t="s">
        <v>29</v>
      </c>
      <c r="F266" s="32" t="s">
        <v>280</v>
      </c>
      <c r="G266" s="32" t="s">
        <v>281</v>
      </c>
      <c r="H266" s="32" t="s">
        <v>352</v>
      </c>
      <c r="I266" s="31" t="s">
        <v>931</v>
      </c>
      <c r="J266" s="31">
        <v>99</v>
      </c>
      <c r="K266" s="33" t="s">
        <v>942</v>
      </c>
      <c r="L266" s="33" t="s">
        <v>690</v>
      </c>
      <c r="M266" s="34" t="s">
        <v>960</v>
      </c>
      <c r="N266" s="34" t="s">
        <v>1823</v>
      </c>
      <c r="O266" s="35">
        <v>1</v>
      </c>
      <c r="P266" s="35"/>
      <c r="Q266" s="32"/>
      <c r="S266" s="1">
        <f t="shared" si="109"/>
        <v>0</v>
      </c>
      <c r="T266" s="1">
        <f t="shared" si="110"/>
        <v>0</v>
      </c>
      <c r="U266" s="1">
        <f t="shared" si="111"/>
        <v>0</v>
      </c>
      <c r="V266" s="1">
        <f t="shared" si="112"/>
        <v>0</v>
      </c>
      <c r="W266" s="1">
        <f t="shared" si="113"/>
        <v>0</v>
      </c>
      <c r="X266" s="1">
        <f t="shared" si="114"/>
        <v>0</v>
      </c>
      <c r="Y266" s="1">
        <f t="shared" si="115"/>
        <v>0</v>
      </c>
      <c r="Z266" s="1">
        <f t="shared" si="116"/>
        <v>0</v>
      </c>
      <c r="AA266" s="1">
        <f t="shared" si="117"/>
        <v>0</v>
      </c>
      <c r="AB266" s="1">
        <f t="shared" si="118"/>
        <v>0</v>
      </c>
      <c r="AD266" s="1">
        <f t="shared" si="119"/>
        <v>0</v>
      </c>
      <c r="AE266" s="1">
        <f t="shared" si="120"/>
        <v>1</v>
      </c>
      <c r="AF266" s="1">
        <f t="shared" si="105"/>
        <v>0</v>
      </c>
      <c r="AG266" s="1">
        <f t="shared" si="106"/>
        <v>1</v>
      </c>
      <c r="AH266" s="1">
        <f t="shared" si="107"/>
        <v>0</v>
      </c>
      <c r="AI266" s="1">
        <f t="shared" si="108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1610</v>
      </c>
      <c r="E267" s="32" t="s">
        <v>29</v>
      </c>
      <c r="F267" s="36" t="s">
        <v>1509</v>
      </c>
      <c r="G267" s="36" t="s">
        <v>39</v>
      </c>
      <c r="H267" s="36" t="s">
        <v>875</v>
      </c>
      <c r="I267" s="37" t="s">
        <v>1510</v>
      </c>
      <c r="J267" s="31">
        <v>17</v>
      </c>
      <c r="K267" s="33" t="s">
        <v>709</v>
      </c>
      <c r="L267" s="33" t="s">
        <v>693</v>
      </c>
      <c r="M267" s="34" t="s">
        <v>1432</v>
      </c>
      <c r="N267" s="34" t="s">
        <v>1701</v>
      </c>
      <c r="O267" s="35">
        <v>1</v>
      </c>
      <c r="P267" s="35">
        <v>1</v>
      </c>
      <c r="Q267" s="36"/>
      <c r="S267" s="1">
        <f t="shared" si="109"/>
        <v>0</v>
      </c>
      <c r="T267" s="1">
        <f t="shared" si="110"/>
        <v>0</v>
      </c>
      <c r="U267" s="1">
        <f t="shared" si="111"/>
        <v>0</v>
      </c>
      <c r="V267" s="1">
        <f t="shared" si="112"/>
        <v>0</v>
      </c>
      <c r="W267" s="1">
        <f t="shared" si="113"/>
        <v>0</v>
      </c>
      <c r="X267" s="1">
        <f t="shared" si="114"/>
        <v>0</v>
      </c>
      <c r="Y267" s="1">
        <f t="shared" si="115"/>
        <v>0</v>
      </c>
      <c r="Z267" s="1">
        <f t="shared" si="116"/>
        <v>0</v>
      </c>
      <c r="AA267" s="1">
        <f t="shared" si="117"/>
        <v>0</v>
      </c>
      <c r="AB267" s="1">
        <f t="shared" si="118"/>
        <v>0</v>
      </c>
      <c r="AD267" s="1">
        <f t="shared" si="119"/>
        <v>1</v>
      </c>
      <c r="AE267" s="1">
        <f t="shared" si="120"/>
        <v>0</v>
      </c>
      <c r="AF267" s="1">
        <f t="shared" si="105"/>
        <v>1</v>
      </c>
      <c r="AG267" s="1">
        <f t="shared" si="106"/>
        <v>0</v>
      </c>
      <c r="AH267" s="1">
        <f t="shared" si="107"/>
        <v>1</v>
      </c>
      <c r="AI267" s="1">
        <f t="shared" si="108"/>
        <v>0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1429</v>
      </c>
      <c r="E268" s="45" t="s">
        <v>29</v>
      </c>
      <c r="F268" s="45" t="s">
        <v>1430</v>
      </c>
      <c r="G268" s="45" t="s">
        <v>319</v>
      </c>
      <c r="H268" s="45" t="s">
        <v>352</v>
      </c>
      <c r="I268" s="44" t="s">
        <v>1431</v>
      </c>
      <c r="J268" s="44">
        <v>99</v>
      </c>
      <c r="K268" s="46" t="s">
        <v>699</v>
      </c>
      <c r="L268" s="46">
        <v>30</v>
      </c>
      <c r="M268" s="47" t="s">
        <v>1432</v>
      </c>
      <c r="N268" s="47" t="s">
        <v>1776</v>
      </c>
      <c r="O268" s="48"/>
      <c r="P268" s="48"/>
      <c r="Q268" s="45"/>
      <c r="S268" s="1">
        <f t="shared" si="109"/>
        <v>0</v>
      </c>
      <c r="T268" s="1">
        <f t="shared" si="110"/>
        <v>0</v>
      </c>
      <c r="U268" s="1">
        <f t="shared" si="111"/>
        <v>0</v>
      </c>
      <c r="V268" s="1">
        <f t="shared" si="112"/>
        <v>0</v>
      </c>
      <c r="W268" s="1">
        <f t="shared" si="113"/>
        <v>0</v>
      </c>
      <c r="X268" s="1">
        <f t="shared" si="114"/>
        <v>0</v>
      </c>
      <c r="Y268" s="1">
        <f t="shared" si="115"/>
        <v>0</v>
      </c>
      <c r="Z268" s="1">
        <f t="shared" si="116"/>
        <v>0</v>
      </c>
      <c r="AA268" s="1">
        <f t="shared" si="117"/>
        <v>0</v>
      </c>
      <c r="AB268" s="1">
        <f t="shared" si="118"/>
        <v>0</v>
      </c>
      <c r="AD268" s="1">
        <f t="shared" si="119"/>
        <v>0</v>
      </c>
      <c r="AE268" s="1">
        <f t="shared" si="120"/>
        <v>0</v>
      </c>
      <c r="AF268" s="1">
        <f t="shared" si="105"/>
        <v>0</v>
      </c>
      <c r="AG268" s="1">
        <f t="shared" si="106"/>
        <v>0</v>
      </c>
      <c r="AH268" s="1">
        <f t="shared" si="107"/>
        <v>0</v>
      </c>
      <c r="AI268" s="1">
        <f t="shared" si="10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837</v>
      </c>
      <c r="E269" s="32" t="s">
        <v>29</v>
      </c>
      <c r="F269" s="36" t="s">
        <v>838</v>
      </c>
      <c r="G269" s="36" t="s">
        <v>221</v>
      </c>
      <c r="H269" s="36" t="s">
        <v>352</v>
      </c>
      <c r="I269" s="37" t="s">
        <v>839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1823</v>
      </c>
      <c r="O269" s="35">
        <v>1</v>
      </c>
      <c r="P269" s="35"/>
      <c r="Q269" s="36"/>
      <c r="S269" s="1">
        <f t="shared" si="109"/>
        <v>0</v>
      </c>
      <c r="T269" s="1">
        <f t="shared" si="110"/>
        <v>0</v>
      </c>
      <c r="U269" s="1">
        <f t="shared" si="111"/>
        <v>0</v>
      </c>
      <c r="V269" s="1">
        <f t="shared" si="112"/>
        <v>0</v>
      </c>
      <c r="W269" s="1">
        <f t="shared" si="113"/>
        <v>0</v>
      </c>
      <c r="X269" s="1">
        <f t="shared" si="114"/>
        <v>0</v>
      </c>
      <c r="Y269" s="1">
        <f t="shared" si="115"/>
        <v>0</v>
      </c>
      <c r="Z269" s="1">
        <f t="shared" si="116"/>
        <v>0</v>
      </c>
      <c r="AA269" s="1">
        <f t="shared" si="117"/>
        <v>0</v>
      </c>
      <c r="AB269" s="1">
        <f t="shared" si="118"/>
        <v>0</v>
      </c>
      <c r="AD269" s="1">
        <f t="shared" si="119"/>
        <v>0</v>
      </c>
      <c r="AE269" s="1">
        <f t="shared" si="120"/>
        <v>1</v>
      </c>
      <c r="AF269" s="1">
        <f t="shared" si="105"/>
        <v>0</v>
      </c>
      <c r="AG269" s="1">
        <f t="shared" si="106"/>
        <v>1</v>
      </c>
      <c r="AH269" s="1">
        <f t="shared" si="107"/>
        <v>0</v>
      </c>
      <c r="AI269" s="1">
        <f t="shared" si="108"/>
        <v>1</v>
      </c>
    </row>
    <row r="270" spans="1:35" ht="14.25" customHeight="1" x14ac:dyDescent="0.25">
      <c r="A270" s="31">
        <v>1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919</v>
      </c>
      <c r="G270" s="36" t="s">
        <v>278</v>
      </c>
      <c r="H270" s="36" t="s">
        <v>352</v>
      </c>
      <c r="I270" s="37" t="s">
        <v>840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09"/>
        <v>0</v>
      </c>
      <c r="T270" s="1">
        <f t="shared" si="110"/>
        <v>0</v>
      </c>
      <c r="U270" s="1">
        <f t="shared" si="111"/>
        <v>0</v>
      </c>
      <c r="V270" s="1">
        <f t="shared" si="112"/>
        <v>0</v>
      </c>
      <c r="W270" s="1">
        <f t="shared" si="113"/>
        <v>0</v>
      </c>
      <c r="X270" s="1">
        <f t="shared" si="114"/>
        <v>0</v>
      </c>
      <c r="Y270" s="1">
        <f t="shared" si="115"/>
        <v>0</v>
      </c>
      <c r="Z270" s="1">
        <f t="shared" si="116"/>
        <v>0</v>
      </c>
      <c r="AA270" s="1">
        <f t="shared" si="117"/>
        <v>0</v>
      </c>
      <c r="AB270" s="1">
        <f t="shared" si="118"/>
        <v>0</v>
      </c>
      <c r="AD270" s="1">
        <f t="shared" si="119"/>
        <v>0</v>
      </c>
      <c r="AE270" s="1">
        <f t="shared" si="120"/>
        <v>1</v>
      </c>
      <c r="AF270" s="1">
        <f t="shared" si="105"/>
        <v>0</v>
      </c>
      <c r="AG270" s="1">
        <f t="shared" si="106"/>
        <v>0</v>
      </c>
      <c r="AH270" s="1">
        <f t="shared" si="107"/>
        <v>0</v>
      </c>
      <c r="AI270" s="1">
        <f t="shared" si="108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2" t="s">
        <v>1197</v>
      </c>
      <c r="E271" s="32" t="s">
        <v>29</v>
      </c>
      <c r="F271" s="32" t="s">
        <v>1198</v>
      </c>
      <c r="G271" s="32" t="s">
        <v>237</v>
      </c>
      <c r="H271" s="32" t="s">
        <v>352</v>
      </c>
      <c r="I271" s="31" t="s">
        <v>1339</v>
      </c>
      <c r="J271" s="31">
        <v>99</v>
      </c>
      <c r="K271" s="33" t="s">
        <v>709</v>
      </c>
      <c r="L271" s="33" t="s">
        <v>690</v>
      </c>
      <c r="M271" s="34" t="s">
        <v>1384</v>
      </c>
      <c r="N271" s="34" t="s">
        <v>1729</v>
      </c>
      <c r="O271" s="35">
        <v>1</v>
      </c>
      <c r="P271" s="35"/>
      <c r="Q271" s="32"/>
      <c r="S271" s="1">
        <f t="shared" si="109"/>
        <v>0</v>
      </c>
      <c r="T271" s="1">
        <f t="shared" si="110"/>
        <v>0</v>
      </c>
      <c r="U271" s="1">
        <f t="shared" si="111"/>
        <v>0</v>
      </c>
      <c r="V271" s="1">
        <f t="shared" si="112"/>
        <v>0</v>
      </c>
      <c r="W271" s="1">
        <f t="shared" si="113"/>
        <v>0</v>
      </c>
      <c r="X271" s="1">
        <f t="shared" si="114"/>
        <v>0</v>
      </c>
      <c r="Y271" s="1">
        <f t="shared" si="115"/>
        <v>0</v>
      </c>
      <c r="Z271" s="1">
        <f t="shared" si="116"/>
        <v>0</v>
      </c>
      <c r="AA271" s="1">
        <f t="shared" si="117"/>
        <v>0</v>
      </c>
      <c r="AB271" s="1">
        <f t="shared" si="118"/>
        <v>0</v>
      </c>
      <c r="AD271" s="1">
        <f t="shared" si="119"/>
        <v>0</v>
      </c>
      <c r="AE271" s="1">
        <f t="shared" si="120"/>
        <v>1</v>
      </c>
      <c r="AF271" s="1">
        <f t="shared" si="105"/>
        <v>0</v>
      </c>
      <c r="AG271" s="1">
        <f t="shared" si="106"/>
        <v>1</v>
      </c>
      <c r="AH271" s="1">
        <f t="shared" si="107"/>
        <v>0</v>
      </c>
      <c r="AI271" s="1">
        <f t="shared" si="108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1214</v>
      </c>
      <c r="E272" s="32" t="s">
        <v>29</v>
      </c>
      <c r="F272" s="36" t="s">
        <v>1215</v>
      </c>
      <c r="G272" s="36" t="s">
        <v>237</v>
      </c>
      <c r="H272" s="36" t="s">
        <v>352</v>
      </c>
      <c r="I272" s="37" t="s">
        <v>1216</v>
      </c>
      <c r="J272" s="31">
        <v>99</v>
      </c>
      <c r="K272" s="33" t="s">
        <v>709</v>
      </c>
      <c r="L272" s="33" t="s">
        <v>689</v>
      </c>
      <c r="M272" s="34" t="s">
        <v>1384</v>
      </c>
      <c r="N272" s="34" t="s">
        <v>1799</v>
      </c>
      <c r="O272" s="35">
        <v>1</v>
      </c>
      <c r="P272" s="35"/>
      <c r="Q272" s="36"/>
      <c r="S272" s="1">
        <f t="shared" si="109"/>
        <v>0</v>
      </c>
      <c r="T272" s="1">
        <f t="shared" si="110"/>
        <v>0</v>
      </c>
      <c r="U272" s="1">
        <f t="shared" si="111"/>
        <v>0</v>
      </c>
      <c r="V272" s="1">
        <f t="shared" si="112"/>
        <v>0</v>
      </c>
      <c r="W272" s="1">
        <f t="shared" si="113"/>
        <v>0</v>
      </c>
      <c r="X272" s="1">
        <f t="shared" si="114"/>
        <v>0</v>
      </c>
      <c r="Y272" s="1">
        <f t="shared" si="115"/>
        <v>0</v>
      </c>
      <c r="Z272" s="1">
        <f t="shared" si="116"/>
        <v>0</v>
      </c>
      <c r="AA272" s="1">
        <f t="shared" si="117"/>
        <v>0</v>
      </c>
      <c r="AB272" s="1">
        <f t="shared" si="118"/>
        <v>0</v>
      </c>
      <c r="AD272" s="1">
        <f t="shared" si="119"/>
        <v>0</v>
      </c>
      <c r="AE272" s="1">
        <f t="shared" si="120"/>
        <v>1</v>
      </c>
      <c r="AF272" s="1">
        <f t="shared" ref="AF272:AF334" si="121">+O272*P272*(1-A272)</f>
        <v>0</v>
      </c>
      <c r="AG272" s="1">
        <f t="shared" ref="AG272:AG334" si="122">O272*(1-P272)*(1-A272)</f>
        <v>1</v>
      </c>
      <c r="AH272" s="1">
        <f t="shared" ref="AH272:AH334" si="123">+P272*(1-A272)</f>
        <v>0</v>
      </c>
      <c r="AI272" s="1">
        <f t="shared" ref="AI272:AI334" si="124">+(1-A272)*(1-P272)</f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92</v>
      </c>
      <c r="E273" s="32" t="s">
        <v>29</v>
      </c>
      <c r="F273" s="36" t="s">
        <v>286</v>
      </c>
      <c r="G273" s="36" t="s">
        <v>189</v>
      </c>
      <c r="H273" s="36" t="s">
        <v>352</v>
      </c>
      <c r="I273" s="37" t="s">
        <v>438</v>
      </c>
      <c r="J273" s="31">
        <v>99</v>
      </c>
      <c r="K273" s="33" t="s">
        <v>709</v>
      </c>
      <c r="L273" s="33" t="s">
        <v>690</v>
      </c>
      <c r="M273" s="34" t="s">
        <v>1385</v>
      </c>
      <c r="N273" s="34" t="s">
        <v>1724</v>
      </c>
      <c r="O273" s="35">
        <v>1</v>
      </c>
      <c r="P273" s="35"/>
      <c r="Q273" s="36"/>
      <c r="S273" s="1">
        <f t="shared" si="109"/>
        <v>0</v>
      </c>
      <c r="T273" s="1">
        <f t="shared" si="110"/>
        <v>0</v>
      </c>
      <c r="U273" s="1">
        <f t="shared" si="111"/>
        <v>0</v>
      </c>
      <c r="V273" s="1">
        <f t="shared" si="112"/>
        <v>0</v>
      </c>
      <c r="W273" s="1">
        <f t="shared" si="113"/>
        <v>0</v>
      </c>
      <c r="X273" s="1">
        <f t="shared" si="114"/>
        <v>0</v>
      </c>
      <c r="Y273" s="1">
        <f t="shared" si="115"/>
        <v>0</v>
      </c>
      <c r="Z273" s="1">
        <f t="shared" si="116"/>
        <v>0</v>
      </c>
      <c r="AA273" s="1">
        <f t="shared" si="117"/>
        <v>0</v>
      </c>
      <c r="AB273" s="1">
        <f t="shared" si="118"/>
        <v>0</v>
      </c>
      <c r="AD273" s="1">
        <f t="shared" si="119"/>
        <v>0</v>
      </c>
      <c r="AE273" s="1">
        <f t="shared" si="120"/>
        <v>1</v>
      </c>
      <c r="AF273" s="1">
        <f t="shared" si="121"/>
        <v>0</v>
      </c>
      <c r="AG273" s="1">
        <f t="shared" si="122"/>
        <v>1</v>
      </c>
      <c r="AH273" s="1">
        <f t="shared" si="123"/>
        <v>0</v>
      </c>
      <c r="AI273" s="1">
        <f t="shared" si="124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861</v>
      </c>
      <c r="E274" s="32" t="s">
        <v>29</v>
      </c>
      <c r="F274" s="32" t="s">
        <v>862</v>
      </c>
      <c r="G274" s="32" t="s">
        <v>193</v>
      </c>
      <c r="H274" s="32" t="s">
        <v>352</v>
      </c>
      <c r="I274" s="31" t="s">
        <v>863</v>
      </c>
      <c r="J274" s="31">
        <v>9</v>
      </c>
      <c r="K274" s="33" t="s">
        <v>709</v>
      </c>
      <c r="L274" s="33" t="s">
        <v>692</v>
      </c>
      <c r="M274" s="34" t="s">
        <v>704</v>
      </c>
      <c r="N274" s="34" t="s">
        <v>1717</v>
      </c>
      <c r="O274" s="35">
        <v>1</v>
      </c>
      <c r="P274" s="35"/>
      <c r="Q274" s="32"/>
      <c r="S274" s="1">
        <f t="shared" si="109"/>
        <v>0</v>
      </c>
      <c r="T274" s="1">
        <f t="shared" si="110"/>
        <v>0</v>
      </c>
      <c r="U274" s="1">
        <f t="shared" si="111"/>
        <v>0</v>
      </c>
      <c r="V274" s="1">
        <f t="shared" si="112"/>
        <v>0</v>
      </c>
      <c r="W274" s="1">
        <f t="shared" si="113"/>
        <v>0</v>
      </c>
      <c r="X274" s="1">
        <f t="shared" si="114"/>
        <v>0</v>
      </c>
      <c r="Y274" s="1">
        <f t="shared" si="115"/>
        <v>0</v>
      </c>
      <c r="Z274" s="1">
        <f t="shared" si="116"/>
        <v>0</v>
      </c>
      <c r="AA274" s="1">
        <f t="shared" si="117"/>
        <v>1</v>
      </c>
      <c r="AB274" s="1">
        <f t="shared" si="118"/>
        <v>0</v>
      </c>
      <c r="AD274" s="1">
        <f t="shared" si="119"/>
        <v>0</v>
      </c>
      <c r="AE274" s="1">
        <f t="shared" si="120"/>
        <v>1</v>
      </c>
      <c r="AF274" s="1">
        <f t="shared" si="121"/>
        <v>0</v>
      </c>
      <c r="AG274" s="1">
        <f t="shared" si="122"/>
        <v>1</v>
      </c>
      <c r="AH274" s="1">
        <f t="shared" si="123"/>
        <v>0</v>
      </c>
      <c r="AI274" s="1">
        <f t="shared" si="124"/>
        <v>1</v>
      </c>
    </row>
    <row r="275" spans="1:35" ht="14.25" customHeight="1" x14ac:dyDescent="0.25">
      <c r="A275" s="31">
        <v>1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1055</v>
      </c>
      <c r="G275" s="32" t="s">
        <v>319</v>
      </c>
      <c r="H275" s="32" t="s">
        <v>352</v>
      </c>
      <c r="I275" s="31" t="s">
        <v>1056</v>
      </c>
      <c r="J275" s="31">
        <v>99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09"/>
        <v>0</v>
      </c>
      <c r="T275" s="1">
        <f t="shared" si="110"/>
        <v>0</v>
      </c>
      <c r="U275" s="1">
        <f t="shared" si="111"/>
        <v>0</v>
      </c>
      <c r="V275" s="1">
        <f t="shared" si="112"/>
        <v>0</v>
      </c>
      <c r="W275" s="1">
        <f t="shared" si="113"/>
        <v>0</v>
      </c>
      <c r="X275" s="1">
        <f t="shared" si="114"/>
        <v>0</v>
      </c>
      <c r="Y275" s="1">
        <f t="shared" si="115"/>
        <v>0</v>
      </c>
      <c r="Z275" s="1">
        <f t="shared" si="116"/>
        <v>0</v>
      </c>
      <c r="AA275" s="1">
        <f t="shared" si="117"/>
        <v>0</v>
      </c>
      <c r="AB275" s="1">
        <f t="shared" si="118"/>
        <v>0</v>
      </c>
      <c r="AD275" s="1">
        <f t="shared" si="119"/>
        <v>0</v>
      </c>
      <c r="AE275" s="1">
        <f t="shared" si="120"/>
        <v>1</v>
      </c>
      <c r="AF275" s="1">
        <f t="shared" si="121"/>
        <v>0</v>
      </c>
      <c r="AG275" s="1">
        <f t="shared" si="122"/>
        <v>0</v>
      </c>
      <c r="AH275" s="1">
        <f t="shared" si="123"/>
        <v>0</v>
      </c>
      <c r="AI275" s="1">
        <f t="shared" si="124"/>
        <v>0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1995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ref="S276:S338" si="125">IF(J276=$S$7,1,0)</f>
        <v>0</v>
      </c>
      <c r="T276" s="1">
        <f t="shared" ref="T276:T338" si="126">IF(J276=$T$7,1,0)</f>
        <v>0</v>
      </c>
      <c r="U276" s="1">
        <f t="shared" ref="U276:U338" si="127">IF(J276=$U$7,1,0)</f>
        <v>0</v>
      </c>
      <c r="V276" s="1">
        <f t="shared" ref="V276:V338" si="128">IF(J276=$V$7,1,0)</f>
        <v>0</v>
      </c>
      <c r="W276" s="1">
        <f t="shared" ref="W276:W338" si="129">IF(J276=$W$7,1,0)</f>
        <v>0</v>
      </c>
      <c r="X276" s="1">
        <f t="shared" ref="X276:X338" si="130">IF(J276=$X$7,1,0)</f>
        <v>0</v>
      </c>
      <c r="Y276" s="1">
        <f t="shared" ref="Y276:Y338" si="131">IF(J276=$Y$7,1,0)</f>
        <v>0</v>
      </c>
      <c r="Z276" s="1">
        <f t="shared" ref="Z276:Z338" si="132">IF(J276=$Z$7,1,0)</f>
        <v>0</v>
      </c>
      <c r="AA276" s="1">
        <f t="shared" ref="AA276:AA338" si="133">IF(J276=$AA$7,1,0)</f>
        <v>1</v>
      </c>
      <c r="AB276" s="1">
        <f t="shared" ref="AB276:AB338" si="134">IF(J276=$AB$7,1,0)</f>
        <v>0</v>
      </c>
      <c r="AD276" s="1">
        <f t="shared" ref="AD276:AD338" si="135">+O276*P276</f>
        <v>0</v>
      </c>
      <c r="AE276" s="1">
        <f t="shared" ref="AE276:AE338" si="136">O276*(1-P276)</f>
        <v>1</v>
      </c>
      <c r="AF276" s="1">
        <f t="shared" si="121"/>
        <v>0</v>
      </c>
      <c r="AG276" s="1">
        <f t="shared" si="122"/>
        <v>0</v>
      </c>
      <c r="AH276" s="1">
        <f t="shared" si="123"/>
        <v>0</v>
      </c>
      <c r="AI276" s="1">
        <f t="shared" si="124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1997</v>
      </c>
      <c r="G277" s="32" t="s">
        <v>208</v>
      </c>
      <c r="H277" s="32" t="s">
        <v>352</v>
      </c>
      <c r="I277" s="31" t="s">
        <v>1996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si="125"/>
        <v>0</v>
      </c>
      <c r="T277" s="1">
        <f t="shared" si="126"/>
        <v>0</v>
      </c>
      <c r="U277" s="1">
        <f t="shared" si="127"/>
        <v>0</v>
      </c>
      <c r="V277" s="1">
        <f t="shared" si="128"/>
        <v>0</v>
      </c>
      <c r="W277" s="1">
        <f t="shared" si="129"/>
        <v>0</v>
      </c>
      <c r="X277" s="1">
        <f t="shared" si="130"/>
        <v>0</v>
      </c>
      <c r="Y277" s="1">
        <f t="shared" si="131"/>
        <v>0</v>
      </c>
      <c r="Z277" s="1">
        <f t="shared" si="132"/>
        <v>0</v>
      </c>
      <c r="AA277" s="1">
        <f t="shared" si="133"/>
        <v>0</v>
      </c>
      <c r="AB277" s="1">
        <f t="shared" si="134"/>
        <v>0</v>
      </c>
      <c r="AD277" s="1">
        <f t="shared" si="135"/>
        <v>0</v>
      </c>
      <c r="AE277" s="1">
        <f t="shared" si="136"/>
        <v>1</v>
      </c>
      <c r="AF277" s="1">
        <f t="shared" si="121"/>
        <v>0</v>
      </c>
      <c r="AG277" s="1">
        <f t="shared" si="122"/>
        <v>0</v>
      </c>
      <c r="AH277" s="1">
        <f t="shared" si="123"/>
        <v>0</v>
      </c>
      <c r="AI277" s="1">
        <f t="shared" si="124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95</v>
      </c>
      <c r="E278" s="32" t="s">
        <v>29</v>
      </c>
      <c r="F278" s="36" t="s">
        <v>290</v>
      </c>
      <c r="G278" s="36" t="s">
        <v>291</v>
      </c>
      <c r="H278" s="36" t="s">
        <v>352</v>
      </c>
      <c r="I278" s="37" t="s">
        <v>1104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1722</v>
      </c>
      <c r="O278" s="35">
        <v>1</v>
      </c>
      <c r="P278" s="35"/>
      <c r="Q278" s="36"/>
      <c r="S278" s="1">
        <f t="shared" si="125"/>
        <v>0</v>
      </c>
      <c r="T278" s="1">
        <f t="shared" si="126"/>
        <v>0</v>
      </c>
      <c r="U278" s="1">
        <f t="shared" si="127"/>
        <v>0</v>
      </c>
      <c r="V278" s="1">
        <f t="shared" si="128"/>
        <v>0</v>
      </c>
      <c r="W278" s="1">
        <f t="shared" si="129"/>
        <v>0</v>
      </c>
      <c r="X278" s="1">
        <f t="shared" si="130"/>
        <v>0</v>
      </c>
      <c r="Y278" s="1">
        <f t="shared" si="131"/>
        <v>0</v>
      </c>
      <c r="Z278" s="1">
        <f t="shared" si="132"/>
        <v>0</v>
      </c>
      <c r="AA278" s="1">
        <f t="shared" si="133"/>
        <v>0</v>
      </c>
      <c r="AB278" s="1">
        <f t="shared" si="134"/>
        <v>0</v>
      </c>
      <c r="AD278" s="1">
        <f t="shared" si="135"/>
        <v>0</v>
      </c>
      <c r="AE278" s="1">
        <f t="shared" si="136"/>
        <v>1</v>
      </c>
      <c r="AF278" s="1">
        <f t="shared" si="121"/>
        <v>0</v>
      </c>
      <c r="AG278" s="1">
        <f t="shared" si="122"/>
        <v>1</v>
      </c>
      <c r="AH278" s="1">
        <f t="shared" si="123"/>
        <v>0</v>
      </c>
      <c r="AI278" s="1">
        <f t="shared" si="124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528</v>
      </c>
      <c r="E279" s="45" t="s">
        <v>29</v>
      </c>
      <c r="F279" s="45" t="s">
        <v>661</v>
      </c>
      <c r="G279" s="45" t="s">
        <v>39</v>
      </c>
      <c r="H279" s="45" t="s">
        <v>529</v>
      </c>
      <c r="I279" s="44" t="s">
        <v>1664</v>
      </c>
      <c r="J279" s="44">
        <v>14</v>
      </c>
      <c r="K279" s="46" t="s">
        <v>941</v>
      </c>
      <c r="L279" s="46">
        <v>40</v>
      </c>
      <c r="M279" s="47" t="s">
        <v>704</v>
      </c>
      <c r="N279" s="47" t="s">
        <v>1709</v>
      </c>
      <c r="O279" s="48"/>
      <c r="P279" s="48"/>
      <c r="Q279" s="45"/>
      <c r="S279" s="1">
        <f t="shared" si="125"/>
        <v>0</v>
      </c>
      <c r="T279" s="1">
        <f t="shared" si="126"/>
        <v>0</v>
      </c>
      <c r="U279" s="1">
        <f t="shared" si="127"/>
        <v>0</v>
      </c>
      <c r="V279" s="1">
        <f t="shared" si="128"/>
        <v>0</v>
      </c>
      <c r="W279" s="1">
        <f t="shared" si="129"/>
        <v>0</v>
      </c>
      <c r="X279" s="1">
        <f t="shared" si="130"/>
        <v>0</v>
      </c>
      <c r="Y279" s="1">
        <f t="shared" si="131"/>
        <v>0</v>
      </c>
      <c r="Z279" s="1">
        <f t="shared" si="132"/>
        <v>0</v>
      </c>
      <c r="AA279" s="1">
        <f t="shared" si="133"/>
        <v>0</v>
      </c>
      <c r="AB279" s="1">
        <f t="shared" si="134"/>
        <v>0</v>
      </c>
      <c r="AD279" s="1">
        <f t="shared" si="135"/>
        <v>0</v>
      </c>
      <c r="AE279" s="1">
        <f t="shared" si="136"/>
        <v>0</v>
      </c>
      <c r="AF279" s="1">
        <f t="shared" si="121"/>
        <v>0</v>
      </c>
      <c r="AG279" s="1">
        <f t="shared" si="122"/>
        <v>0</v>
      </c>
      <c r="AH279" s="1">
        <f t="shared" si="123"/>
        <v>0</v>
      </c>
      <c r="AI279" s="1">
        <f t="shared" si="12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1301</v>
      </c>
      <c r="E280" s="32" t="s">
        <v>29</v>
      </c>
      <c r="F280" s="36" t="s">
        <v>1325</v>
      </c>
      <c r="G280" s="36" t="s">
        <v>39</v>
      </c>
      <c r="H280" s="36" t="s">
        <v>352</v>
      </c>
      <c r="I280" s="37" t="s">
        <v>1134</v>
      </c>
      <c r="J280" s="31">
        <v>99</v>
      </c>
      <c r="K280" s="33" t="s">
        <v>709</v>
      </c>
      <c r="L280" s="33" t="s">
        <v>689</v>
      </c>
      <c r="M280" s="34" t="s">
        <v>1386</v>
      </c>
      <c r="N280" s="34" t="s">
        <v>1707</v>
      </c>
      <c r="O280" s="35">
        <v>1</v>
      </c>
      <c r="P280" s="35">
        <v>1</v>
      </c>
      <c r="Q280" s="36"/>
      <c r="S280" s="1">
        <f t="shared" si="125"/>
        <v>0</v>
      </c>
      <c r="T280" s="1">
        <f t="shared" si="126"/>
        <v>0</v>
      </c>
      <c r="U280" s="1">
        <f t="shared" si="127"/>
        <v>0</v>
      </c>
      <c r="V280" s="1">
        <f t="shared" si="128"/>
        <v>0</v>
      </c>
      <c r="W280" s="1">
        <f t="shared" si="129"/>
        <v>0</v>
      </c>
      <c r="X280" s="1">
        <f t="shared" si="130"/>
        <v>0</v>
      </c>
      <c r="Y280" s="1">
        <f t="shared" si="131"/>
        <v>0</v>
      </c>
      <c r="Z280" s="1">
        <f t="shared" si="132"/>
        <v>0</v>
      </c>
      <c r="AA280" s="1">
        <f t="shared" si="133"/>
        <v>0</v>
      </c>
      <c r="AB280" s="1">
        <f t="shared" si="134"/>
        <v>0</v>
      </c>
      <c r="AD280" s="1">
        <f t="shared" si="135"/>
        <v>1</v>
      </c>
      <c r="AE280" s="1">
        <f t="shared" si="136"/>
        <v>0</v>
      </c>
      <c r="AF280" s="1">
        <f t="shared" si="121"/>
        <v>1</v>
      </c>
      <c r="AG280" s="1">
        <f t="shared" si="122"/>
        <v>0</v>
      </c>
      <c r="AH280" s="1">
        <f t="shared" si="123"/>
        <v>1</v>
      </c>
      <c r="AI280" s="1">
        <f t="shared" si="124"/>
        <v>0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96</v>
      </c>
      <c r="E281" s="32" t="s">
        <v>29</v>
      </c>
      <c r="F281" s="32" t="s">
        <v>293</v>
      </c>
      <c r="G281" s="32" t="s">
        <v>262</v>
      </c>
      <c r="H281" s="32" t="s">
        <v>352</v>
      </c>
      <c r="I281" s="31" t="s">
        <v>442</v>
      </c>
      <c r="J281" s="31">
        <v>1</v>
      </c>
      <c r="K281" s="33" t="s">
        <v>709</v>
      </c>
      <c r="L281" s="33" t="s">
        <v>690</v>
      </c>
      <c r="M281" s="34" t="s">
        <v>704</v>
      </c>
      <c r="N281" s="34" t="s">
        <v>1717</v>
      </c>
      <c r="O281" s="35">
        <v>1</v>
      </c>
      <c r="P281" s="35"/>
      <c r="Q281" s="32"/>
      <c r="S281" s="1">
        <f t="shared" si="125"/>
        <v>1</v>
      </c>
      <c r="T281" s="1">
        <f t="shared" si="126"/>
        <v>0</v>
      </c>
      <c r="U281" s="1">
        <f t="shared" si="127"/>
        <v>0</v>
      </c>
      <c r="V281" s="1">
        <f t="shared" si="128"/>
        <v>0</v>
      </c>
      <c r="W281" s="1">
        <f t="shared" si="129"/>
        <v>0</v>
      </c>
      <c r="X281" s="1">
        <f t="shared" si="130"/>
        <v>0</v>
      </c>
      <c r="Y281" s="1">
        <f t="shared" si="131"/>
        <v>0</v>
      </c>
      <c r="Z281" s="1">
        <f t="shared" si="132"/>
        <v>0</v>
      </c>
      <c r="AA281" s="1">
        <f t="shared" si="133"/>
        <v>0</v>
      </c>
      <c r="AB281" s="1">
        <f t="shared" si="134"/>
        <v>0</v>
      </c>
      <c r="AD281" s="1">
        <f t="shared" si="135"/>
        <v>0</v>
      </c>
      <c r="AE281" s="1">
        <f t="shared" si="136"/>
        <v>1</v>
      </c>
      <c r="AF281" s="1">
        <f t="shared" si="121"/>
        <v>0</v>
      </c>
      <c r="AG281" s="1">
        <f t="shared" si="122"/>
        <v>1</v>
      </c>
      <c r="AH281" s="1">
        <f t="shared" si="123"/>
        <v>0</v>
      </c>
      <c r="AI281" s="1">
        <f t="shared" si="124"/>
        <v>1</v>
      </c>
    </row>
    <row r="282" spans="1:35" ht="14.25" customHeight="1" x14ac:dyDescent="0.25">
      <c r="A282" s="15">
        <v>0</v>
      </c>
      <c r="B282" s="15">
        <v>1</v>
      </c>
      <c r="C282" s="15">
        <v>7</v>
      </c>
      <c r="D282" s="16" t="s">
        <v>751</v>
      </c>
      <c r="E282" s="16" t="s">
        <v>29</v>
      </c>
      <c r="F282" s="20" t="s">
        <v>2073</v>
      </c>
      <c r="G282" s="16" t="s">
        <v>39</v>
      </c>
      <c r="H282" s="20" t="s">
        <v>365</v>
      </c>
      <c r="I282" s="21" t="s">
        <v>2074</v>
      </c>
      <c r="J282" s="15">
        <v>18</v>
      </c>
      <c r="K282" s="10" t="s">
        <v>699</v>
      </c>
      <c r="L282" s="10" t="s">
        <v>693</v>
      </c>
      <c r="M282" s="19" t="s">
        <v>704</v>
      </c>
      <c r="N282" s="17"/>
      <c r="Q282" s="16"/>
      <c r="S282" s="1">
        <f t="shared" si="125"/>
        <v>0</v>
      </c>
      <c r="T282" s="1">
        <f t="shared" si="126"/>
        <v>0</v>
      </c>
      <c r="U282" s="1">
        <f t="shared" si="127"/>
        <v>0</v>
      </c>
      <c r="V282" s="1">
        <f t="shared" si="128"/>
        <v>0</v>
      </c>
      <c r="W282" s="1">
        <f t="shared" si="129"/>
        <v>0</v>
      </c>
      <c r="X282" s="1">
        <f t="shared" si="130"/>
        <v>0</v>
      </c>
      <c r="Y282" s="1">
        <f t="shared" si="131"/>
        <v>0</v>
      </c>
      <c r="Z282" s="1">
        <f t="shared" si="132"/>
        <v>0</v>
      </c>
      <c r="AA282" s="1">
        <f t="shared" si="133"/>
        <v>0</v>
      </c>
      <c r="AB282" s="1">
        <f t="shared" si="134"/>
        <v>0</v>
      </c>
      <c r="AD282" s="1">
        <f t="shared" si="135"/>
        <v>0</v>
      </c>
      <c r="AE282" s="1">
        <f t="shared" si="136"/>
        <v>0</v>
      </c>
      <c r="AF282" s="1">
        <f t="shared" si="121"/>
        <v>0</v>
      </c>
      <c r="AG282" s="1">
        <f t="shared" si="122"/>
        <v>0</v>
      </c>
      <c r="AH282" s="1">
        <f t="shared" si="123"/>
        <v>0</v>
      </c>
      <c r="AI282" s="1">
        <f t="shared" si="124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1493</v>
      </c>
      <c r="E283" s="32" t="s">
        <v>29</v>
      </c>
      <c r="F283" s="36" t="s">
        <v>1645</v>
      </c>
      <c r="G283" s="36" t="s">
        <v>1646</v>
      </c>
      <c r="H283" s="36" t="s">
        <v>352</v>
      </c>
      <c r="I283" s="37" t="s">
        <v>1494</v>
      </c>
      <c r="J283" s="31">
        <v>99</v>
      </c>
      <c r="K283" s="33" t="s">
        <v>709</v>
      </c>
      <c r="L283" s="33" t="s">
        <v>39</v>
      </c>
      <c r="M283" s="34" t="s">
        <v>39</v>
      </c>
      <c r="N283" s="34" t="s">
        <v>1701</v>
      </c>
      <c r="O283" s="35">
        <v>1</v>
      </c>
      <c r="P283" s="35">
        <v>1</v>
      </c>
      <c r="Q283" s="36"/>
      <c r="S283" s="1">
        <f t="shared" si="125"/>
        <v>0</v>
      </c>
      <c r="T283" s="1">
        <f t="shared" si="126"/>
        <v>0</v>
      </c>
      <c r="U283" s="1">
        <f t="shared" si="127"/>
        <v>0</v>
      </c>
      <c r="V283" s="1">
        <f t="shared" si="128"/>
        <v>0</v>
      </c>
      <c r="W283" s="1">
        <f t="shared" si="129"/>
        <v>0</v>
      </c>
      <c r="X283" s="1">
        <f t="shared" si="130"/>
        <v>0</v>
      </c>
      <c r="Y283" s="1">
        <f t="shared" si="131"/>
        <v>0</v>
      </c>
      <c r="Z283" s="1">
        <f t="shared" si="132"/>
        <v>0</v>
      </c>
      <c r="AA283" s="1">
        <f t="shared" si="133"/>
        <v>0</v>
      </c>
      <c r="AB283" s="1">
        <f t="shared" si="134"/>
        <v>0</v>
      </c>
      <c r="AD283" s="1">
        <f t="shared" si="135"/>
        <v>1</v>
      </c>
      <c r="AE283" s="1">
        <f t="shared" si="136"/>
        <v>0</v>
      </c>
      <c r="AF283" s="1">
        <f t="shared" si="121"/>
        <v>1</v>
      </c>
      <c r="AG283" s="1">
        <f t="shared" si="122"/>
        <v>0</v>
      </c>
      <c r="AH283" s="1">
        <f t="shared" si="123"/>
        <v>1</v>
      </c>
      <c r="AI283" s="1">
        <f t="shared" si="124"/>
        <v>0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1128</v>
      </c>
      <c r="E284" s="45" t="s">
        <v>29</v>
      </c>
      <c r="F284" s="45" t="s">
        <v>1129</v>
      </c>
      <c r="G284" s="45" t="s">
        <v>1131</v>
      </c>
      <c r="H284" s="45" t="s">
        <v>352</v>
      </c>
      <c r="I284" s="44" t="s">
        <v>1130</v>
      </c>
      <c r="J284" s="44">
        <v>99</v>
      </c>
      <c r="K284" s="46" t="s">
        <v>699</v>
      </c>
      <c r="L284" s="46">
        <v>30</v>
      </c>
      <c r="M284" s="47" t="s">
        <v>1387</v>
      </c>
      <c r="N284" s="47" t="s">
        <v>1783</v>
      </c>
      <c r="O284" s="48"/>
      <c r="P284" s="48"/>
      <c r="Q284" s="45"/>
      <c r="S284" s="1">
        <f t="shared" si="125"/>
        <v>0</v>
      </c>
      <c r="T284" s="1">
        <f t="shared" si="126"/>
        <v>0</v>
      </c>
      <c r="U284" s="1">
        <f t="shared" si="127"/>
        <v>0</v>
      </c>
      <c r="V284" s="1">
        <f t="shared" si="128"/>
        <v>0</v>
      </c>
      <c r="W284" s="1">
        <f t="shared" si="129"/>
        <v>0</v>
      </c>
      <c r="X284" s="1">
        <f t="shared" si="130"/>
        <v>0</v>
      </c>
      <c r="Y284" s="1">
        <f t="shared" si="131"/>
        <v>0</v>
      </c>
      <c r="Z284" s="1">
        <f t="shared" si="132"/>
        <v>0</v>
      </c>
      <c r="AA284" s="1">
        <f t="shared" si="133"/>
        <v>0</v>
      </c>
      <c r="AB284" s="1">
        <f t="shared" si="134"/>
        <v>0</v>
      </c>
      <c r="AD284" s="1">
        <f t="shared" si="135"/>
        <v>0</v>
      </c>
      <c r="AE284" s="1">
        <f t="shared" si="136"/>
        <v>0</v>
      </c>
      <c r="AF284" s="1">
        <f t="shared" si="121"/>
        <v>0</v>
      </c>
      <c r="AG284" s="1">
        <f t="shared" si="122"/>
        <v>0</v>
      </c>
      <c r="AH284" s="1">
        <f t="shared" si="123"/>
        <v>0</v>
      </c>
      <c r="AI284" s="1">
        <f t="shared" si="124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98</v>
      </c>
      <c r="E285" s="32" t="s">
        <v>29</v>
      </c>
      <c r="F285" s="32" t="s">
        <v>295</v>
      </c>
      <c r="G285" s="32" t="s">
        <v>196</v>
      </c>
      <c r="H285" s="32" t="s">
        <v>352</v>
      </c>
      <c r="I285" s="31" t="s">
        <v>443</v>
      </c>
      <c r="J285" s="31">
        <v>9</v>
      </c>
      <c r="K285" s="33" t="s">
        <v>699</v>
      </c>
      <c r="L285" s="33">
        <v>30</v>
      </c>
      <c r="M285" s="34" t="s">
        <v>704</v>
      </c>
      <c r="N285" s="34" t="s">
        <v>1717</v>
      </c>
      <c r="O285" s="35">
        <v>1</v>
      </c>
      <c r="P285" s="35"/>
      <c r="Q285" s="32"/>
      <c r="S285" s="1">
        <f t="shared" si="125"/>
        <v>0</v>
      </c>
      <c r="T285" s="1">
        <f t="shared" si="126"/>
        <v>0</v>
      </c>
      <c r="U285" s="1">
        <f t="shared" si="127"/>
        <v>0</v>
      </c>
      <c r="V285" s="1">
        <f t="shared" si="128"/>
        <v>0</v>
      </c>
      <c r="W285" s="1">
        <f t="shared" si="129"/>
        <v>0</v>
      </c>
      <c r="X285" s="1">
        <f t="shared" si="130"/>
        <v>0</v>
      </c>
      <c r="Y285" s="1">
        <f t="shared" si="131"/>
        <v>0</v>
      </c>
      <c r="Z285" s="1">
        <f t="shared" si="132"/>
        <v>0</v>
      </c>
      <c r="AA285" s="1">
        <f t="shared" si="133"/>
        <v>1</v>
      </c>
      <c r="AB285" s="1">
        <f t="shared" si="134"/>
        <v>0</v>
      </c>
      <c r="AD285" s="1">
        <f t="shared" si="135"/>
        <v>0</v>
      </c>
      <c r="AE285" s="1">
        <f t="shared" si="136"/>
        <v>1</v>
      </c>
      <c r="AF285" s="1">
        <f t="shared" si="121"/>
        <v>0</v>
      </c>
      <c r="AG285" s="1">
        <f t="shared" si="122"/>
        <v>1</v>
      </c>
      <c r="AH285" s="1">
        <f t="shared" si="123"/>
        <v>0</v>
      </c>
      <c r="AI285" s="1">
        <f t="shared" si="124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794</v>
      </c>
      <c r="E286" s="32" t="s">
        <v>29</v>
      </c>
      <c r="F286" s="32" t="s">
        <v>773</v>
      </c>
      <c r="G286" s="32" t="s">
        <v>795</v>
      </c>
      <c r="H286" s="32" t="s">
        <v>352</v>
      </c>
      <c r="I286" s="31" t="s">
        <v>939</v>
      </c>
      <c r="J286" s="31">
        <v>99</v>
      </c>
      <c r="K286" s="33" t="s">
        <v>709</v>
      </c>
      <c r="L286" s="33" t="s">
        <v>690</v>
      </c>
      <c r="M286" s="34" t="s">
        <v>704</v>
      </c>
      <c r="N286" s="34" t="s">
        <v>1799</v>
      </c>
      <c r="O286" s="35">
        <v>1</v>
      </c>
      <c r="P286" s="35"/>
      <c r="Q286" s="32"/>
      <c r="S286" s="1">
        <f t="shared" si="125"/>
        <v>0</v>
      </c>
      <c r="T286" s="1">
        <f t="shared" si="126"/>
        <v>0</v>
      </c>
      <c r="U286" s="1">
        <f t="shared" si="127"/>
        <v>0</v>
      </c>
      <c r="V286" s="1">
        <f t="shared" si="128"/>
        <v>0</v>
      </c>
      <c r="W286" s="1">
        <f t="shared" si="129"/>
        <v>0</v>
      </c>
      <c r="X286" s="1">
        <f t="shared" si="130"/>
        <v>0</v>
      </c>
      <c r="Y286" s="1">
        <f t="shared" si="131"/>
        <v>0</v>
      </c>
      <c r="Z286" s="1">
        <f t="shared" si="132"/>
        <v>0</v>
      </c>
      <c r="AA286" s="1">
        <f t="shared" si="133"/>
        <v>0</v>
      </c>
      <c r="AB286" s="1">
        <f t="shared" si="134"/>
        <v>0</v>
      </c>
      <c r="AD286" s="1">
        <f t="shared" si="135"/>
        <v>0</v>
      </c>
      <c r="AE286" s="1">
        <f t="shared" si="136"/>
        <v>1</v>
      </c>
      <c r="AF286" s="1">
        <f t="shared" si="121"/>
        <v>0</v>
      </c>
      <c r="AG286" s="1">
        <f t="shared" si="122"/>
        <v>1</v>
      </c>
      <c r="AH286" s="1">
        <f t="shared" si="123"/>
        <v>0</v>
      </c>
      <c r="AI286" s="1">
        <f t="shared" si="124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1304</v>
      </c>
      <c r="E287" s="32" t="s">
        <v>29</v>
      </c>
      <c r="F287" s="32" t="s">
        <v>1327</v>
      </c>
      <c r="G287" s="32" t="s">
        <v>1165</v>
      </c>
      <c r="H287" s="32" t="s">
        <v>352</v>
      </c>
      <c r="I287" s="31" t="s">
        <v>1666</v>
      </c>
      <c r="J287" s="31">
        <v>99</v>
      </c>
      <c r="K287" s="33" t="s">
        <v>709</v>
      </c>
      <c r="L287" s="33" t="s">
        <v>690</v>
      </c>
      <c r="M287" s="34" t="s">
        <v>1388</v>
      </c>
      <c r="N287" s="34" t="s">
        <v>1735</v>
      </c>
      <c r="O287" s="35">
        <v>1</v>
      </c>
      <c r="P287" s="35"/>
      <c r="Q287" s="32"/>
      <c r="S287" s="1">
        <f t="shared" si="125"/>
        <v>0</v>
      </c>
      <c r="T287" s="1">
        <f t="shared" si="126"/>
        <v>0</v>
      </c>
      <c r="U287" s="1">
        <f t="shared" si="127"/>
        <v>0</v>
      </c>
      <c r="V287" s="1">
        <f t="shared" si="128"/>
        <v>0</v>
      </c>
      <c r="W287" s="1">
        <f t="shared" si="129"/>
        <v>0</v>
      </c>
      <c r="X287" s="1">
        <f t="shared" si="130"/>
        <v>0</v>
      </c>
      <c r="Y287" s="1">
        <f t="shared" si="131"/>
        <v>0</v>
      </c>
      <c r="Z287" s="1">
        <f t="shared" si="132"/>
        <v>0</v>
      </c>
      <c r="AA287" s="1">
        <f t="shared" si="133"/>
        <v>0</v>
      </c>
      <c r="AB287" s="1">
        <f t="shared" si="134"/>
        <v>0</v>
      </c>
      <c r="AD287" s="1">
        <f t="shared" si="135"/>
        <v>0</v>
      </c>
      <c r="AE287" s="1">
        <f t="shared" si="136"/>
        <v>1</v>
      </c>
      <c r="AF287" s="1">
        <f t="shared" si="121"/>
        <v>0</v>
      </c>
      <c r="AG287" s="1">
        <f t="shared" si="122"/>
        <v>1</v>
      </c>
      <c r="AH287" s="1">
        <f t="shared" si="123"/>
        <v>0</v>
      </c>
      <c r="AI287" s="1">
        <f t="shared" si="124"/>
        <v>1</v>
      </c>
    </row>
    <row r="288" spans="1:35" ht="14.25" customHeight="1" x14ac:dyDescent="0.25">
      <c r="A288" s="15">
        <v>0</v>
      </c>
      <c r="B288" s="15">
        <v>1</v>
      </c>
      <c r="C288" s="15">
        <v>7</v>
      </c>
      <c r="D288" s="16" t="s">
        <v>1259</v>
      </c>
      <c r="E288" s="16" t="s">
        <v>29</v>
      </c>
      <c r="F288" s="16" t="s">
        <v>1260</v>
      </c>
      <c r="G288" s="16" t="s">
        <v>1261</v>
      </c>
      <c r="H288" s="16" t="s">
        <v>352</v>
      </c>
      <c r="I288" s="15" t="s">
        <v>1262</v>
      </c>
      <c r="J288" s="15">
        <v>99</v>
      </c>
      <c r="K288" s="10" t="s">
        <v>709</v>
      </c>
      <c r="L288" s="10" t="s">
        <v>690</v>
      </c>
      <c r="M288" s="19" t="s">
        <v>704</v>
      </c>
      <c r="N288" s="17"/>
      <c r="Q288" s="16"/>
      <c r="S288" s="1">
        <f t="shared" si="125"/>
        <v>0</v>
      </c>
      <c r="T288" s="1">
        <f t="shared" si="126"/>
        <v>0</v>
      </c>
      <c r="U288" s="1">
        <f t="shared" si="127"/>
        <v>0</v>
      </c>
      <c r="V288" s="1">
        <f t="shared" si="128"/>
        <v>0</v>
      </c>
      <c r="W288" s="1">
        <f t="shared" si="129"/>
        <v>0</v>
      </c>
      <c r="X288" s="1">
        <f t="shared" si="130"/>
        <v>0</v>
      </c>
      <c r="Y288" s="1">
        <f t="shared" si="131"/>
        <v>0</v>
      </c>
      <c r="Z288" s="1">
        <f t="shared" si="132"/>
        <v>0</v>
      </c>
      <c r="AA288" s="1">
        <f t="shared" si="133"/>
        <v>0</v>
      </c>
      <c r="AB288" s="1">
        <f t="shared" si="134"/>
        <v>0</v>
      </c>
      <c r="AD288" s="1">
        <f t="shared" si="135"/>
        <v>0</v>
      </c>
      <c r="AE288" s="1">
        <f t="shared" si="136"/>
        <v>0</v>
      </c>
      <c r="AF288" s="1">
        <f t="shared" si="121"/>
        <v>0</v>
      </c>
      <c r="AG288" s="1">
        <f t="shared" si="122"/>
        <v>0</v>
      </c>
      <c r="AH288" s="1">
        <f t="shared" si="123"/>
        <v>0</v>
      </c>
      <c r="AI288" s="1">
        <f t="shared" si="124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705</v>
      </c>
      <c r="E289" s="32" t="s">
        <v>29</v>
      </c>
      <c r="F289" s="32" t="s">
        <v>706</v>
      </c>
      <c r="G289" s="32" t="s">
        <v>183</v>
      </c>
      <c r="H289" s="32" t="s">
        <v>352</v>
      </c>
      <c r="I289" s="31" t="s">
        <v>707</v>
      </c>
      <c r="J289" s="31">
        <v>99</v>
      </c>
      <c r="K289" s="33" t="s">
        <v>942</v>
      </c>
      <c r="L289" s="33" t="s">
        <v>39</v>
      </c>
      <c r="M289" s="34" t="s">
        <v>39</v>
      </c>
      <c r="N289" s="34" t="s">
        <v>1707</v>
      </c>
      <c r="O289" s="35">
        <v>1</v>
      </c>
      <c r="P289" s="35">
        <v>1</v>
      </c>
      <c r="Q289" s="32"/>
      <c r="S289" s="1">
        <f t="shared" si="125"/>
        <v>0</v>
      </c>
      <c r="T289" s="1">
        <f t="shared" si="126"/>
        <v>0</v>
      </c>
      <c r="U289" s="1">
        <f t="shared" si="127"/>
        <v>0</v>
      </c>
      <c r="V289" s="1">
        <f t="shared" si="128"/>
        <v>0</v>
      </c>
      <c r="W289" s="1">
        <f t="shared" si="129"/>
        <v>0</v>
      </c>
      <c r="X289" s="1">
        <f t="shared" si="130"/>
        <v>0</v>
      </c>
      <c r="Y289" s="1">
        <f t="shared" si="131"/>
        <v>0</v>
      </c>
      <c r="Z289" s="1">
        <f t="shared" si="132"/>
        <v>0</v>
      </c>
      <c r="AA289" s="1">
        <f t="shared" si="133"/>
        <v>0</v>
      </c>
      <c r="AB289" s="1">
        <f t="shared" si="134"/>
        <v>0</v>
      </c>
      <c r="AD289" s="1">
        <f t="shared" si="135"/>
        <v>1</v>
      </c>
      <c r="AE289" s="1">
        <f t="shared" si="136"/>
        <v>0</v>
      </c>
      <c r="AF289" s="1">
        <f t="shared" si="121"/>
        <v>1</v>
      </c>
      <c r="AG289" s="1">
        <f t="shared" si="122"/>
        <v>0</v>
      </c>
      <c r="AH289" s="1">
        <f t="shared" si="123"/>
        <v>1</v>
      </c>
      <c r="AI289" s="1">
        <f t="shared" si="124"/>
        <v>0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532</v>
      </c>
      <c r="E290" s="32" t="s">
        <v>34</v>
      </c>
      <c r="F290" s="32" t="s">
        <v>533</v>
      </c>
      <c r="G290" s="32" t="s">
        <v>219</v>
      </c>
      <c r="H290" s="32" t="s">
        <v>352</v>
      </c>
      <c r="I290" s="31" t="s">
        <v>534</v>
      </c>
      <c r="J290" s="31">
        <v>8</v>
      </c>
      <c r="K290" s="33" t="s">
        <v>709</v>
      </c>
      <c r="L290" s="33" t="s">
        <v>709</v>
      </c>
      <c r="M290" s="34" t="s">
        <v>710</v>
      </c>
      <c r="N290" s="34" t="s">
        <v>1722</v>
      </c>
      <c r="O290" s="35">
        <v>1</v>
      </c>
      <c r="P290" s="35"/>
      <c r="Q290" s="32"/>
      <c r="S290" s="1">
        <f t="shared" si="125"/>
        <v>0</v>
      </c>
      <c r="T290" s="1">
        <f t="shared" si="126"/>
        <v>0</v>
      </c>
      <c r="U290" s="1">
        <f t="shared" si="127"/>
        <v>0</v>
      </c>
      <c r="V290" s="1">
        <f t="shared" si="128"/>
        <v>0</v>
      </c>
      <c r="W290" s="1">
        <f t="shared" si="129"/>
        <v>0</v>
      </c>
      <c r="X290" s="1">
        <f t="shared" si="130"/>
        <v>0</v>
      </c>
      <c r="Y290" s="1">
        <f t="shared" si="131"/>
        <v>0</v>
      </c>
      <c r="Z290" s="1">
        <f t="shared" si="132"/>
        <v>1</v>
      </c>
      <c r="AA290" s="1">
        <f t="shared" si="133"/>
        <v>0</v>
      </c>
      <c r="AB290" s="1">
        <f t="shared" si="134"/>
        <v>0</v>
      </c>
      <c r="AD290" s="1">
        <f t="shared" si="135"/>
        <v>0</v>
      </c>
      <c r="AE290" s="1">
        <f t="shared" si="136"/>
        <v>1</v>
      </c>
      <c r="AF290" s="1">
        <f t="shared" si="121"/>
        <v>0</v>
      </c>
      <c r="AG290" s="1">
        <f t="shared" si="122"/>
        <v>1</v>
      </c>
      <c r="AH290" s="1">
        <f t="shared" si="123"/>
        <v>0</v>
      </c>
      <c r="AI290" s="1">
        <f t="shared" si="124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1270</v>
      </c>
      <c r="E291" s="32" t="s">
        <v>557</v>
      </c>
      <c r="F291" s="32" t="s">
        <v>1271</v>
      </c>
      <c r="G291" s="32" t="s">
        <v>229</v>
      </c>
      <c r="H291" s="32" t="s">
        <v>352</v>
      </c>
      <c r="I291" s="31" t="s">
        <v>1272</v>
      </c>
      <c r="J291" s="31">
        <v>7</v>
      </c>
      <c r="K291" s="33" t="s">
        <v>709</v>
      </c>
      <c r="L291" s="33" t="s">
        <v>709</v>
      </c>
      <c r="M291" s="34" t="s">
        <v>710</v>
      </c>
      <c r="N291" s="34" t="s">
        <v>1730</v>
      </c>
      <c r="O291" s="35">
        <v>1</v>
      </c>
      <c r="P291" s="35"/>
      <c r="Q291" s="32"/>
      <c r="S291" s="1">
        <f t="shared" si="125"/>
        <v>0</v>
      </c>
      <c r="T291" s="1">
        <f t="shared" si="126"/>
        <v>0</v>
      </c>
      <c r="U291" s="1">
        <f t="shared" si="127"/>
        <v>0</v>
      </c>
      <c r="V291" s="1">
        <f t="shared" si="128"/>
        <v>0</v>
      </c>
      <c r="W291" s="1">
        <f t="shared" si="129"/>
        <v>0</v>
      </c>
      <c r="X291" s="1">
        <f t="shared" si="130"/>
        <v>0</v>
      </c>
      <c r="Y291" s="1">
        <f t="shared" si="131"/>
        <v>1</v>
      </c>
      <c r="Z291" s="1">
        <f t="shared" si="132"/>
        <v>0</v>
      </c>
      <c r="AA291" s="1">
        <f t="shared" si="133"/>
        <v>0</v>
      </c>
      <c r="AB291" s="1">
        <f t="shared" si="134"/>
        <v>0</v>
      </c>
      <c r="AD291" s="1">
        <f t="shared" si="135"/>
        <v>0</v>
      </c>
      <c r="AE291" s="1">
        <f t="shared" si="136"/>
        <v>1</v>
      </c>
      <c r="AF291" s="1">
        <f t="shared" si="121"/>
        <v>0</v>
      </c>
      <c r="AG291" s="1">
        <f t="shared" si="122"/>
        <v>1</v>
      </c>
      <c r="AH291" s="1">
        <f t="shared" si="123"/>
        <v>0</v>
      </c>
      <c r="AI291" s="1">
        <f t="shared" si="124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1306</v>
      </c>
      <c r="E292" s="32" t="s">
        <v>557</v>
      </c>
      <c r="F292" s="32" t="s">
        <v>1958</v>
      </c>
      <c r="G292" s="32" t="s">
        <v>212</v>
      </c>
      <c r="H292" s="32" t="s">
        <v>352</v>
      </c>
      <c r="I292" s="31" t="s">
        <v>1140</v>
      </c>
      <c r="J292" s="31">
        <v>1</v>
      </c>
      <c r="K292" s="33" t="s">
        <v>941</v>
      </c>
      <c r="L292" s="33" t="s">
        <v>709</v>
      </c>
      <c r="M292" s="34" t="s">
        <v>710</v>
      </c>
      <c r="N292" s="34" t="s">
        <v>1735</v>
      </c>
      <c r="O292" s="35">
        <v>1</v>
      </c>
      <c r="P292" s="35"/>
      <c r="Q292" s="32"/>
      <c r="S292" s="1">
        <f t="shared" si="125"/>
        <v>1</v>
      </c>
      <c r="T292" s="1">
        <f t="shared" si="126"/>
        <v>0</v>
      </c>
      <c r="U292" s="1">
        <f t="shared" si="127"/>
        <v>0</v>
      </c>
      <c r="V292" s="1">
        <f t="shared" si="128"/>
        <v>0</v>
      </c>
      <c r="W292" s="1">
        <f t="shared" si="129"/>
        <v>0</v>
      </c>
      <c r="X292" s="1">
        <f t="shared" si="130"/>
        <v>0</v>
      </c>
      <c r="Y292" s="1">
        <f t="shared" si="131"/>
        <v>0</v>
      </c>
      <c r="Z292" s="1">
        <f t="shared" si="132"/>
        <v>0</v>
      </c>
      <c r="AA292" s="1">
        <f t="shared" si="133"/>
        <v>0</v>
      </c>
      <c r="AB292" s="1">
        <f t="shared" si="134"/>
        <v>0</v>
      </c>
      <c r="AD292" s="1">
        <f t="shared" si="135"/>
        <v>0</v>
      </c>
      <c r="AE292" s="1">
        <f t="shared" si="136"/>
        <v>1</v>
      </c>
      <c r="AF292" s="1">
        <f t="shared" si="121"/>
        <v>0</v>
      </c>
      <c r="AG292" s="1">
        <f t="shared" si="122"/>
        <v>1</v>
      </c>
      <c r="AH292" s="1">
        <f t="shared" si="123"/>
        <v>0</v>
      </c>
      <c r="AI292" s="1">
        <f t="shared" si="124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1307</v>
      </c>
      <c r="E293" s="32" t="s">
        <v>557</v>
      </c>
      <c r="F293" s="32" t="s">
        <v>1135</v>
      </c>
      <c r="G293" s="32" t="s">
        <v>283</v>
      </c>
      <c r="H293" s="32" t="s">
        <v>352</v>
      </c>
      <c r="I293" s="31" t="s">
        <v>1136</v>
      </c>
      <c r="J293" s="31">
        <v>10</v>
      </c>
      <c r="K293" s="33" t="s">
        <v>941</v>
      </c>
      <c r="L293" s="33" t="s">
        <v>709</v>
      </c>
      <c r="M293" s="34" t="s">
        <v>710</v>
      </c>
      <c r="N293" s="34" t="s">
        <v>1735</v>
      </c>
      <c r="O293" s="35">
        <v>1</v>
      </c>
      <c r="P293" s="35"/>
      <c r="Q293" s="32"/>
      <c r="S293" s="1">
        <f t="shared" si="125"/>
        <v>0</v>
      </c>
      <c r="T293" s="1">
        <f t="shared" si="126"/>
        <v>0</v>
      </c>
      <c r="U293" s="1">
        <f t="shared" si="127"/>
        <v>0</v>
      </c>
      <c r="V293" s="1">
        <f t="shared" si="128"/>
        <v>0</v>
      </c>
      <c r="W293" s="1">
        <f t="shared" si="129"/>
        <v>0</v>
      </c>
      <c r="X293" s="1">
        <f t="shared" si="130"/>
        <v>0</v>
      </c>
      <c r="Y293" s="1">
        <f t="shared" si="131"/>
        <v>0</v>
      </c>
      <c r="Z293" s="1">
        <f t="shared" si="132"/>
        <v>0</v>
      </c>
      <c r="AA293" s="1">
        <f t="shared" si="133"/>
        <v>0</v>
      </c>
      <c r="AB293" s="1">
        <f t="shared" si="134"/>
        <v>1</v>
      </c>
      <c r="AD293" s="1">
        <f t="shared" si="135"/>
        <v>0</v>
      </c>
      <c r="AE293" s="1">
        <f t="shared" si="136"/>
        <v>1</v>
      </c>
      <c r="AF293" s="1">
        <f t="shared" si="121"/>
        <v>0</v>
      </c>
      <c r="AG293" s="1">
        <f t="shared" si="122"/>
        <v>1</v>
      </c>
      <c r="AH293" s="1">
        <f t="shared" si="123"/>
        <v>0</v>
      </c>
      <c r="AI293" s="1">
        <f t="shared" si="124"/>
        <v>1</v>
      </c>
    </row>
    <row r="294" spans="1:35" ht="14.25" customHeight="1" x14ac:dyDescent="0.25">
      <c r="A294" s="15">
        <v>0</v>
      </c>
      <c r="B294" s="15">
        <v>2</v>
      </c>
      <c r="C294" s="15">
        <v>1</v>
      </c>
      <c r="D294" s="20" t="s">
        <v>2038</v>
      </c>
      <c r="E294" s="20" t="s">
        <v>36</v>
      </c>
      <c r="F294" s="20" t="s">
        <v>2039</v>
      </c>
      <c r="G294" s="20" t="s">
        <v>1458</v>
      </c>
      <c r="H294" s="20" t="s">
        <v>352</v>
      </c>
      <c r="I294" s="21" t="s">
        <v>2041</v>
      </c>
      <c r="J294" s="15">
        <v>99</v>
      </c>
      <c r="K294" s="10" t="s">
        <v>699</v>
      </c>
      <c r="L294" s="10">
        <v>7</v>
      </c>
      <c r="M294" s="19" t="s">
        <v>2040</v>
      </c>
      <c r="N294" s="19"/>
      <c r="Q294" s="20" t="s">
        <v>2042</v>
      </c>
      <c r="S294" s="1">
        <f t="shared" si="125"/>
        <v>0</v>
      </c>
      <c r="T294" s="1">
        <f t="shared" si="126"/>
        <v>0</v>
      </c>
      <c r="U294" s="1">
        <f t="shared" si="127"/>
        <v>0</v>
      </c>
      <c r="V294" s="1">
        <f t="shared" si="128"/>
        <v>0</v>
      </c>
      <c r="W294" s="1">
        <f t="shared" si="129"/>
        <v>0</v>
      </c>
      <c r="X294" s="1">
        <f t="shared" si="130"/>
        <v>0</v>
      </c>
      <c r="Y294" s="1">
        <f t="shared" si="131"/>
        <v>0</v>
      </c>
      <c r="Z294" s="1">
        <f t="shared" si="132"/>
        <v>0</v>
      </c>
      <c r="AA294" s="1">
        <f t="shared" si="133"/>
        <v>0</v>
      </c>
      <c r="AB294" s="1">
        <f t="shared" si="134"/>
        <v>0</v>
      </c>
      <c r="AD294" s="1">
        <f t="shared" si="135"/>
        <v>0</v>
      </c>
      <c r="AE294" s="1">
        <f t="shared" si="136"/>
        <v>0</v>
      </c>
      <c r="AF294" s="1">
        <f t="shared" si="121"/>
        <v>0</v>
      </c>
      <c r="AG294" s="1">
        <f t="shared" si="122"/>
        <v>0</v>
      </c>
      <c r="AH294" s="1">
        <f t="shared" si="123"/>
        <v>0</v>
      </c>
      <c r="AI294" s="1">
        <f t="shared" si="124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508</v>
      </c>
      <c r="E295" s="16" t="s">
        <v>34</v>
      </c>
      <c r="F295" s="16" t="s">
        <v>507</v>
      </c>
      <c r="G295" s="16" t="s">
        <v>542</v>
      </c>
      <c r="H295" s="16" t="s">
        <v>352</v>
      </c>
      <c r="I295" s="15" t="s">
        <v>1342</v>
      </c>
      <c r="J295" s="15">
        <v>99</v>
      </c>
      <c r="K295" s="10" t="s">
        <v>942</v>
      </c>
      <c r="L295" s="10" t="s">
        <v>709</v>
      </c>
      <c r="M295" s="19" t="s">
        <v>710</v>
      </c>
      <c r="N295" s="19"/>
      <c r="Q295" s="20" t="s">
        <v>1982</v>
      </c>
      <c r="S295" s="1">
        <f t="shared" si="125"/>
        <v>0</v>
      </c>
      <c r="T295" s="1">
        <f t="shared" si="126"/>
        <v>0</v>
      </c>
      <c r="U295" s="1">
        <f t="shared" si="127"/>
        <v>0</v>
      </c>
      <c r="V295" s="1">
        <f t="shared" si="128"/>
        <v>0</v>
      </c>
      <c r="W295" s="1">
        <f t="shared" si="129"/>
        <v>0</v>
      </c>
      <c r="X295" s="1">
        <f t="shared" si="130"/>
        <v>0</v>
      </c>
      <c r="Y295" s="1">
        <f t="shared" si="131"/>
        <v>0</v>
      </c>
      <c r="Z295" s="1">
        <f t="shared" si="132"/>
        <v>0</v>
      </c>
      <c r="AA295" s="1">
        <f t="shared" si="133"/>
        <v>0</v>
      </c>
      <c r="AB295" s="1">
        <f t="shared" si="134"/>
        <v>0</v>
      </c>
      <c r="AD295" s="1">
        <f t="shared" si="135"/>
        <v>0</v>
      </c>
      <c r="AE295" s="1">
        <f t="shared" si="136"/>
        <v>0</v>
      </c>
      <c r="AF295" s="1">
        <f t="shared" si="121"/>
        <v>0</v>
      </c>
      <c r="AG295" s="1">
        <f t="shared" si="122"/>
        <v>0</v>
      </c>
      <c r="AH295" s="1">
        <f t="shared" si="123"/>
        <v>0</v>
      </c>
      <c r="AI295" s="1">
        <f t="shared" si="124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1029</v>
      </c>
      <c r="E296" s="32" t="s">
        <v>36</v>
      </c>
      <c r="F296" s="32" t="s">
        <v>1633</v>
      </c>
      <c r="G296" s="32" t="s">
        <v>624</v>
      </c>
      <c r="H296" s="32" t="s">
        <v>352</v>
      </c>
      <c r="I296" s="31" t="s">
        <v>1030</v>
      </c>
      <c r="J296" s="31">
        <v>99</v>
      </c>
      <c r="K296" s="33" t="s">
        <v>946</v>
      </c>
      <c r="L296" s="33" t="s">
        <v>709</v>
      </c>
      <c r="M296" s="34" t="s">
        <v>710</v>
      </c>
      <c r="N296" s="34" t="s">
        <v>1707</v>
      </c>
      <c r="O296" s="35">
        <v>1</v>
      </c>
      <c r="P296" s="35">
        <v>1</v>
      </c>
      <c r="Q296" s="32" t="s">
        <v>1873</v>
      </c>
      <c r="S296" s="1">
        <f t="shared" si="125"/>
        <v>0</v>
      </c>
      <c r="T296" s="1">
        <f t="shared" si="126"/>
        <v>0</v>
      </c>
      <c r="U296" s="1">
        <f t="shared" si="127"/>
        <v>0</v>
      </c>
      <c r="V296" s="1">
        <f t="shared" si="128"/>
        <v>0</v>
      </c>
      <c r="W296" s="1">
        <f t="shared" si="129"/>
        <v>0</v>
      </c>
      <c r="X296" s="1">
        <f t="shared" si="130"/>
        <v>0</v>
      </c>
      <c r="Y296" s="1">
        <f t="shared" si="131"/>
        <v>0</v>
      </c>
      <c r="Z296" s="1">
        <f t="shared" si="132"/>
        <v>0</v>
      </c>
      <c r="AA296" s="1">
        <f t="shared" si="133"/>
        <v>0</v>
      </c>
      <c r="AB296" s="1">
        <f t="shared" si="134"/>
        <v>0</v>
      </c>
      <c r="AD296" s="1">
        <f t="shared" si="135"/>
        <v>1</v>
      </c>
      <c r="AE296" s="1">
        <f t="shared" si="136"/>
        <v>0</v>
      </c>
      <c r="AF296" s="1">
        <f t="shared" si="121"/>
        <v>1</v>
      </c>
      <c r="AG296" s="1">
        <f t="shared" si="122"/>
        <v>0</v>
      </c>
      <c r="AH296" s="1">
        <f t="shared" si="123"/>
        <v>1</v>
      </c>
      <c r="AI296" s="1">
        <f t="shared" si="124"/>
        <v>0</v>
      </c>
    </row>
    <row r="297" spans="1:35" ht="14.25" customHeight="1" x14ac:dyDescent="0.25">
      <c r="A297" s="31">
        <v>1</v>
      </c>
      <c r="B297" s="31">
        <v>2</v>
      </c>
      <c r="C297" s="31">
        <v>1</v>
      </c>
      <c r="D297" s="32" t="s">
        <v>49</v>
      </c>
      <c r="E297" s="32" t="s">
        <v>1294</v>
      </c>
      <c r="F297" s="32" t="s">
        <v>190</v>
      </c>
      <c r="G297" s="32" t="s">
        <v>191</v>
      </c>
      <c r="H297" s="32" t="s">
        <v>352</v>
      </c>
      <c r="I297" s="31" t="s">
        <v>384</v>
      </c>
      <c r="J297" s="31">
        <v>99</v>
      </c>
      <c r="K297" s="33" t="s">
        <v>708</v>
      </c>
      <c r="L297" s="33" t="s">
        <v>709</v>
      </c>
      <c r="M297" s="34" t="s">
        <v>710</v>
      </c>
      <c r="N297" s="34" t="s">
        <v>1730</v>
      </c>
      <c r="O297" s="35">
        <v>1</v>
      </c>
      <c r="P297" s="35"/>
      <c r="Q297" s="32"/>
      <c r="S297" s="1">
        <f t="shared" si="125"/>
        <v>0</v>
      </c>
      <c r="T297" s="1">
        <f t="shared" si="126"/>
        <v>0</v>
      </c>
      <c r="U297" s="1">
        <f t="shared" si="127"/>
        <v>0</v>
      </c>
      <c r="V297" s="1">
        <f t="shared" si="128"/>
        <v>0</v>
      </c>
      <c r="W297" s="1">
        <f t="shared" si="129"/>
        <v>0</v>
      </c>
      <c r="X297" s="1">
        <f t="shared" si="130"/>
        <v>0</v>
      </c>
      <c r="Y297" s="1">
        <f t="shared" si="131"/>
        <v>0</v>
      </c>
      <c r="Z297" s="1">
        <f t="shared" si="132"/>
        <v>0</v>
      </c>
      <c r="AA297" s="1">
        <f t="shared" si="133"/>
        <v>0</v>
      </c>
      <c r="AB297" s="1">
        <f t="shared" si="134"/>
        <v>0</v>
      </c>
      <c r="AD297" s="1">
        <f t="shared" si="135"/>
        <v>0</v>
      </c>
      <c r="AE297" s="1">
        <f t="shared" si="136"/>
        <v>1</v>
      </c>
      <c r="AF297" s="1">
        <f t="shared" si="121"/>
        <v>0</v>
      </c>
      <c r="AG297" s="1">
        <f t="shared" si="122"/>
        <v>0</v>
      </c>
      <c r="AH297" s="1">
        <f t="shared" si="123"/>
        <v>0</v>
      </c>
      <c r="AI297" s="1">
        <f t="shared" si="124"/>
        <v>0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1061</v>
      </c>
      <c r="E298" s="32" t="s">
        <v>1294</v>
      </c>
      <c r="F298" s="32" t="s">
        <v>1076</v>
      </c>
      <c r="G298" s="32" t="s">
        <v>201</v>
      </c>
      <c r="H298" s="32" t="s">
        <v>352</v>
      </c>
      <c r="I298" s="31" t="s">
        <v>384</v>
      </c>
      <c r="J298" s="31">
        <v>10</v>
      </c>
      <c r="K298" s="33" t="s">
        <v>708</v>
      </c>
      <c r="L298" s="33" t="s">
        <v>709</v>
      </c>
      <c r="M298" s="34" t="s">
        <v>710</v>
      </c>
      <c r="N298" s="34" t="s">
        <v>1730</v>
      </c>
      <c r="O298" s="35">
        <v>1</v>
      </c>
      <c r="P298" s="35"/>
      <c r="Q298" s="32"/>
      <c r="S298" s="1">
        <f t="shared" si="125"/>
        <v>0</v>
      </c>
      <c r="T298" s="1">
        <f t="shared" si="126"/>
        <v>0</v>
      </c>
      <c r="U298" s="1">
        <f t="shared" si="127"/>
        <v>0</v>
      </c>
      <c r="V298" s="1">
        <f t="shared" si="128"/>
        <v>0</v>
      </c>
      <c r="W298" s="1">
        <f t="shared" si="129"/>
        <v>0</v>
      </c>
      <c r="X298" s="1">
        <f t="shared" si="130"/>
        <v>0</v>
      </c>
      <c r="Y298" s="1">
        <f t="shared" si="131"/>
        <v>0</v>
      </c>
      <c r="Z298" s="1">
        <f t="shared" si="132"/>
        <v>0</v>
      </c>
      <c r="AA298" s="1">
        <f t="shared" si="133"/>
        <v>0</v>
      </c>
      <c r="AB298" s="1">
        <f t="shared" si="134"/>
        <v>1</v>
      </c>
      <c r="AD298" s="1">
        <f t="shared" si="135"/>
        <v>0</v>
      </c>
      <c r="AE298" s="1">
        <f t="shared" si="136"/>
        <v>1</v>
      </c>
      <c r="AF298" s="1">
        <f t="shared" si="121"/>
        <v>0</v>
      </c>
      <c r="AG298" s="1">
        <f t="shared" si="122"/>
        <v>1</v>
      </c>
      <c r="AH298" s="1">
        <f t="shared" si="123"/>
        <v>0</v>
      </c>
      <c r="AI298" s="1">
        <f t="shared" si="124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1253</v>
      </c>
      <c r="E299" s="32" t="s">
        <v>557</v>
      </c>
      <c r="F299" s="32" t="s">
        <v>1254</v>
      </c>
      <c r="G299" s="32" t="s">
        <v>257</v>
      </c>
      <c r="H299" s="32" t="s">
        <v>352</v>
      </c>
      <c r="I299" s="31" t="s">
        <v>1255</v>
      </c>
      <c r="J299" s="31">
        <v>8</v>
      </c>
      <c r="K299" s="33" t="s">
        <v>941</v>
      </c>
      <c r="L299" s="33" t="s">
        <v>709</v>
      </c>
      <c r="M299" s="34" t="s">
        <v>710</v>
      </c>
      <c r="N299" s="34" t="s">
        <v>1722</v>
      </c>
      <c r="O299" s="35">
        <v>1</v>
      </c>
      <c r="P299" s="35"/>
      <c r="Q299" s="32"/>
      <c r="S299" s="1">
        <f t="shared" si="125"/>
        <v>0</v>
      </c>
      <c r="T299" s="1">
        <f t="shared" si="126"/>
        <v>0</v>
      </c>
      <c r="U299" s="1">
        <f t="shared" si="127"/>
        <v>0</v>
      </c>
      <c r="V299" s="1">
        <f t="shared" si="128"/>
        <v>0</v>
      </c>
      <c r="W299" s="1">
        <f t="shared" si="129"/>
        <v>0</v>
      </c>
      <c r="X299" s="1">
        <f t="shared" si="130"/>
        <v>0</v>
      </c>
      <c r="Y299" s="1">
        <f t="shared" si="131"/>
        <v>0</v>
      </c>
      <c r="Z299" s="1">
        <f t="shared" si="132"/>
        <v>1</v>
      </c>
      <c r="AA299" s="1">
        <f t="shared" si="133"/>
        <v>0</v>
      </c>
      <c r="AB299" s="1">
        <f t="shared" si="134"/>
        <v>0</v>
      </c>
      <c r="AD299" s="1">
        <f t="shared" si="135"/>
        <v>0</v>
      </c>
      <c r="AE299" s="1">
        <f t="shared" si="136"/>
        <v>1</v>
      </c>
      <c r="AF299" s="1">
        <f t="shared" si="121"/>
        <v>0</v>
      </c>
      <c r="AG299" s="1">
        <f t="shared" si="122"/>
        <v>1</v>
      </c>
      <c r="AH299" s="1">
        <f t="shared" si="123"/>
        <v>0</v>
      </c>
      <c r="AI299" s="1">
        <f t="shared" si="12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48</v>
      </c>
      <c r="E300" s="45" t="s">
        <v>574</v>
      </c>
      <c r="F300" s="45" t="s">
        <v>188</v>
      </c>
      <c r="G300" s="45" t="s">
        <v>298</v>
      </c>
      <c r="H300" s="45" t="s">
        <v>352</v>
      </c>
      <c r="I300" s="44" t="s">
        <v>383</v>
      </c>
      <c r="J300" s="44">
        <v>99</v>
      </c>
      <c r="K300" s="46" t="s">
        <v>709</v>
      </c>
      <c r="L300" s="46" t="s">
        <v>709</v>
      </c>
      <c r="M300" s="47" t="s">
        <v>710</v>
      </c>
      <c r="N300" s="47" t="s">
        <v>1721</v>
      </c>
      <c r="O300" s="48"/>
      <c r="P300" s="48"/>
      <c r="Q300" s="45"/>
      <c r="S300" s="1">
        <f t="shared" si="125"/>
        <v>0</v>
      </c>
      <c r="T300" s="1">
        <f t="shared" si="126"/>
        <v>0</v>
      </c>
      <c r="U300" s="1">
        <f t="shared" si="127"/>
        <v>0</v>
      </c>
      <c r="V300" s="1">
        <f t="shared" si="128"/>
        <v>0</v>
      </c>
      <c r="W300" s="1">
        <f t="shared" si="129"/>
        <v>0</v>
      </c>
      <c r="X300" s="1">
        <f t="shared" si="130"/>
        <v>0</v>
      </c>
      <c r="Y300" s="1">
        <f t="shared" si="131"/>
        <v>0</v>
      </c>
      <c r="Z300" s="1">
        <f t="shared" si="132"/>
        <v>0</v>
      </c>
      <c r="AA300" s="1">
        <f t="shared" si="133"/>
        <v>0</v>
      </c>
      <c r="AB300" s="1">
        <f t="shared" si="134"/>
        <v>0</v>
      </c>
      <c r="AD300" s="1">
        <f t="shared" si="135"/>
        <v>0</v>
      </c>
      <c r="AE300" s="1">
        <f t="shared" si="136"/>
        <v>0</v>
      </c>
      <c r="AF300" s="1">
        <f t="shared" si="121"/>
        <v>0</v>
      </c>
      <c r="AG300" s="1">
        <f t="shared" si="122"/>
        <v>0</v>
      </c>
      <c r="AH300" s="1">
        <f t="shared" si="123"/>
        <v>0</v>
      </c>
      <c r="AI300" s="1">
        <f t="shared" si="12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57</v>
      </c>
      <c r="E301" s="32" t="s">
        <v>161</v>
      </c>
      <c r="F301" s="32" t="s">
        <v>662</v>
      </c>
      <c r="G301" s="32" t="s">
        <v>220</v>
      </c>
      <c r="H301" s="32" t="s">
        <v>352</v>
      </c>
      <c r="I301" s="31" t="s">
        <v>394</v>
      </c>
      <c r="J301" s="31">
        <v>99</v>
      </c>
      <c r="K301" s="33" t="s">
        <v>948</v>
      </c>
      <c r="L301" s="33" t="s">
        <v>709</v>
      </c>
      <c r="M301" s="34" t="s">
        <v>710</v>
      </c>
      <c r="N301" s="34" t="s">
        <v>1717</v>
      </c>
      <c r="O301" s="35">
        <v>1</v>
      </c>
      <c r="P301" s="35"/>
      <c r="Q301" s="32"/>
      <c r="S301" s="1">
        <f t="shared" si="125"/>
        <v>0</v>
      </c>
      <c r="T301" s="1">
        <f t="shared" si="126"/>
        <v>0</v>
      </c>
      <c r="U301" s="1">
        <f t="shared" si="127"/>
        <v>0</v>
      </c>
      <c r="V301" s="1">
        <f t="shared" si="128"/>
        <v>0</v>
      </c>
      <c r="W301" s="1">
        <f t="shared" si="129"/>
        <v>0</v>
      </c>
      <c r="X301" s="1">
        <f t="shared" si="130"/>
        <v>0</v>
      </c>
      <c r="Y301" s="1">
        <f t="shared" si="131"/>
        <v>0</v>
      </c>
      <c r="Z301" s="1">
        <f t="shared" si="132"/>
        <v>0</v>
      </c>
      <c r="AA301" s="1">
        <f t="shared" si="133"/>
        <v>0</v>
      </c>
      <c r="AB301" s="1">
        <f t="shared" si="134"/>
        <v>0</v>
      </c>
      <c r="AD301" s="1">
        <f t="shared" si="135"/>
        <v>0</v>
      </c>
      <c r="AE301" s="1">
        <f t="shared" si="136"/>
        <v>1</v>
      </c>
      <c r="AF301" s="1">
        <f t="shared" si="121"/>
        <v>0</v>
      </c>
      <c r="AG301" s="1">
        <f t="shared" si="122"/>
        <v>1</v>
      </c>
      <c r="AH301" s="1">
        <f t="shared" si="123"/>
        <v>0</v>
      </c>
      <c r="AI301" s="1">
        <f t="shared" si="12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511</v>
      </c>
      <c r="E302" s="32" t="s">
        <v>557</v>
      </c>
      <c r="F302" s="32" t="s">
        <v>228</v>
      </c>
      <c r="G302" s="32" t="s">
        <v>229</v>
      </c>
      <c r="H302" s="32" t="s">
        <v>352</v>
      </c>
      <c r="I302" s="31" t="s">
        <v>398</v>
      </c>
      <c r="J302" s="31">
        <v>7</v>
      </c>
      <c r="K302" s="33" t="s">
        <v>941</v>
      </c>
      <c r="L302" s="33" t="s">
        <v>709</v>
      </c>
      <c r="M302" s="34" t="s">
        <v>710</v>
      </c>
      <c r="N302" s="34" t="s">
        <v>1723</v>
      </c>
      <c r="O302" s="35">
        <v>1</v>
      </c>
      <c r="P302" s="35"/>
      <c r="Q302" s="32"/>
      <c r="S302" s="1">
        <f t="shared" si="125"/>
        <v>0</v>
      </c>
      <c r="T302" s="1">
        <f t="shared" si="126"/>
        <v>0</v>
      </c>
      <c r="U302" s="1">
        <f t="shared" si="127"/>
        <v>0</v>
      </c>
      <c r="V302" s="1">
        <f t="shared" si="128"/>
        <v>0</v>
      </c>
      <c r="W302" s="1">
        <f t="shared" si="129"/>
        <v>0</v>
      </c>
      <c r="X302" s="1">
        <f t="shared" si="130"/>
        <v>0</v>
      </c>
      <c r="Y302" s="1">
        <f t="shared" si="131"/>
        <v>1</v>
      </c>
      <c r="Z302" s="1">
        <f t="shared" si="132"/>
        <v>0</v>
      </c>
      <c r="AA302" s="1">
        <f t="shared" si="133"/>
        <v>0</v>
      </c>
      <c r="AB302" s="1">
        <f t="shared" si="134"/>
        <v>0</v>
      </c>
      <c r="AD302" s="1">
        <f t="shared" si="135"/>
        <v>0</v>
      </c>
      <c r="AE302" s="1">
        <f t="shared" si="136"/>
        <v>1</v>
      </c>
      <c r="AF302" s="1">
        <f t="shared" si="121"/>
        <v>0</v>
      </c>
      <c r="AG302" s="1">
        <f t="shared" si="122"/>
        <v>1</v>
      </c>
      <c r="AH302" s="1">
        <f t="shared" si="123"/>
        <v>0</v>
      </c>
      <c r="AI302" s="1">
        <f t="shared" si="124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556</v>
      </c>
      <c r="E303" s="45" t="s">
        <v>557</v>
      </c>
      <c r="F303" s="45" t="s">
        <v>558</v>
      </c>
      <c r="G303" s="45" t="s">
        <v>207</v>
      </c>
      <c r="H303" s="45" t="s">
        <v>352</v>
      </c>
      <c r="I303" s="44" t="s">
        <v>559</v>
      </c>
      <c r="J303" s="44">
        <v>3</v>
      </c>
      <c r="K303" s="46" t="s">
        <v>708</v>
      </c>
      <c r="L303" s="46" t="s">
        <v>709</v>
      </c>
      <c r="M303" s="47" t="s">
        <v>710</v>
      </c>
      <c r="N303" s="47" t="s">
        <v>1721</v>
      </c>
      <c r="O303" s="48"/>
      <c r="P303" s="48"/>
      <c r="Q303" s="45"/>
      <c r="S303" s="1">
        <f t="shared" si="125"/>
        <v>0</v>
      </c>
      <c r="T303" s="1">
        <f t="shared" si="126"/>
        <v>0</v>
      </c>
      <c r="U303" s="1">
        <f t="shared" si="127"/>
        <v>1</v>
      </c>
      <c r="V303" s="1">
        <f t="shared" si="128"/>
        <v>0</v>
      </c>
      <c r="W303" s="1">
        <f t="shared" si="129"/>
        <v>0</v>
      </c>
      <c r="X303" s="1">
        <f t="shared" si="130"/>
        <v>0</v>
      </c>
      <c r="Y303" s="1">
        <f t="shared" si="131"/>
        <v>0</v>
      </c>
      <c r="Z303" s="1">
        <f t="shared" si="132"/>
        <v>0</v>
      </c>
      <c r="AA303" s="1">
        <f t="shared" si="133"/>
        <v>0</v>
      </c>
      <c r="AB303" s="1">
        <f t="shared" si="134"/>
        <v>0</v>
      </c>
      <c r="AD303" s="1">
        <f t="shared" si="135"/>
        <v>0</v>
      </c>
      <c r="AE303" s="1">
        <f t="shared" si="136"/>
        <v>0</v>
      </c>
      <c r="AF303" s="1">
        <f t="shared" si="121"/>
        <v>0</v>
      </c>
      <c r="AG303" s="1">
        <f t="shared" si="122"/>
        <v>0</v>
      </c>
      <c r="AH303" s="1">
        <f t="shared" si="123"/>
        <v>0</v>
      </c>
      <c r="AI303" s="1">
        <f t="shared" si="124"/>
        <v>1</v>
      </c>
    </row>
    <row r="304" spans="1:35" ht="14.25" customHeight="1" x14ac:dyDescent="0.25">
      <c r="A304" s="37">
        <v>0</v>
      </c>
      <c r="B304" s="37">
        <v>2</v>
      </c>
      <c r="C304" s="37">
        <v>1</v>
      </c>
      <c r="D304" s="36" t="s">
        <v>1040</v>
      </c>
      <c r="E304" s="36" t="s">
        <v>32</v>
      </c>
      <c r="F304" s="36" t="s">
        <v>1257</v>
      </c>
      <c r="G304" s="36" t="s">
        <v>531</v>
      </c>
      <c r="H304" s="36" t="s">
        <v>352</v>
      </c>
      <c r="I304" s="37" t="s">
        <v>1258</v>
      </c>
      <c r="J304" s="37">
        <v>6</v>
      </c>
      <c r="K304" s="56" t="s">
        <v>709</v>
      </c>
      <c r="L304" s="33" t="s">
        <v>709</v>
      </c>
      <c r="M304" s="34" t="s">
        <v>710</v>
      </c>
      <c r="N304" s="34" t="s">
        <v>1722</v>
      </c>
      <c r="O304" s="35">
        <v>1</v>
      </c>
      <c r="P304" s="35"/>
      <c r="Q304" s="36"/>
      <c r="S304" s="1">
        <f t="shared" si="125"/>
        <v>0</v>
      </c>
      <c r="T304" s="1">
        <f t="shared" si="126"/>
        <v>0</v>
      </c>
      <c r="U304" s="1">
        <f t="shared" si="127"/>
        <v>0</v>
      </c>
      <c r="V304" s="1">
        <f t="shared" si="128"/>
        <v>0</v>
      </c>
      <c r="W304" s="1">
        <f t="shared" si="129"/>
        <v>0</v>
      </c>
      <c r="X304" s="1">
        <f t="shared" si="130"/>
        <v>1</v>
      </c>
      <c r="Y304" s="1">
        <f t="shared" si="131"/>
        <v>0</v>
      </c>
      <c r="Z304" s="1">
        <f t="shared" si="132"/>
        <v>0</v>
      </c>
      <c r="AA304" s="1">
        <f t="shared" si="133"/>
        <v>0</v>
      </c>
      <c r="AB304" s="1">
        <f t="shared" si="134"/>
        <v>0</v>
      </c>
      <c r="AD304" s="1">
        <f t="shared" si="135"/>
        <v>0</v>
      </c>
      <c r="AE304" s="1">
        <f t="shared" si="136"/>
        <v>1</v>
      </c>
      <c r="AF304" s="1">
        <f t="shared" si="121"/>
        <v>0</v>
      </c>
      <c r="AG304" s="1">
        <f t="shared" si="122"/>
        <v>1</v>
      </c>
      <c r="AH304" s="1">
        <f t="shared" si="123"/>
        <v>0</v>
      </c>
      <c r="AI304" s="1">
        <f t="shared" si="124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906</v>
      </c>
      <c r="E305" s="45" t="s">
        <v>1313</v>
      </c>
      <c r="F305" s="45" t="s">
        <v>780</v>
      </c>
      <c r="G305" s="45" t="s">
        <v>256</v>
      </c>
      <c r="H305" s="45" t="s">
        <v>352</v>
      </c>
      <c r="I305" s="44" t="s">
        <v>932</v>
      </c>
      <c r="J305" s="44">
        <v>99</v>
      </c>
      <c r="K305" s="46" t="s">
        <v>708</v>
      </c>
      <c r="L305" s="46" t="s">
        <v>709</v>
      </c>
      <c r="M305" s="47" t="s">
        <v>710</v>
      </c>
      <c r="N305" s="47" t="s">
        <v>1708</v>
      </c>
      <c r="O305" s="48"/>
      <c r="P305" s="48"/>
      <c r="Q305" s="45"/>
      <c r="S305" s="1">
        <f t="shared" si="125"/>
        <v>0</v>
      </c>
      <c r="T305" s="1">
        <f t="shared" si="126"/>
        <v>0</v>
      </c>
      <c r="U305" s="1">
        <f t="shared" si="127"/>
        <v>0</v>
      </c>
      <c r="V305" s="1">
        <f t="shared" si="128"/>
        <v>0</v>
      </c>
      <c r="W305" s="1">
        <f t="shared" si="129"/>
        <v>0</v>
      </c>
      <c r="X305" s="1">
        <f t="shared" si="130"/>
        <v>0</v>
      </c>
      <c r="Y305" s="1">
        <f t="shared" si="131"/>
        <v>0</v>
      </c>
      <c r="Z305" s="1">
        <f t="shared" si="132"/>
        <v>0</v>
      </c>
      <c r="AA305" s="1">
        <f t="shared" si="133"/>
        <v>0</v>
      </c>
      <c r="AB305" s="1">
        <f t="shared" si="134"/>
        <v>0</v>
      </c>
      <c r="AD305" s="1">
        <f t="shared" si="135"/>
        <v>0</v>
      </c>
      <c r="AE305" s="1">
        <f t="shared" si="136"/>
        <v>0</v>
      </c>
      <c r="AF305" s="1">
        <f t="shared" si="121"/>
        <v>0</v>
      </c>
      <c r="AG305" s="1">
        <f t="shared" si="122"/>
        <v>0</v>
      </c>
      <c r="AH305" s="1">
        <f t="shared" si="123"/>
        <v>0</v>
      </c>
      <c r="AI305" s="1">
        <f t="shared" si="124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1745</v>
      </c>
      <c r="E306" s="36" t="s">
        <v>1746</v>
      </c>
      <c r="F306" s="36" t="s">
        <v>1747</v>
      </c>
      <c r="G306" s="36" t="s">
        <v>179</v>
      </c>
      <c r="H306" s="36" t="s">
        <v>352</v>
      </c>
      <c r="I306" s="37" t="s">
        <v>1748</v>
      </c>
      <c r="J306" s="37"/>
      <c r="K306" s="56" t="s">
        <v>699</v>
      </c>
      <c r="L306" s="33">
        <v>4</v>
      </c>
      <c r="M306" s="34" t="s">
        <v>710</v>
      </c>
      <c r="N306" s="34" t="s">
        <v>1717</v>
      </c>
      <c r="O306" s="35">
        <v>1</v>
      </c>
      <c r="P306" s="35"/>
      <c r="Q306" s="36"/>
      <c r="S306" s="1">
        <f t="shared" si="125"/>
        <v>0</v>
      </c>
      <c r="T306" s="1">
        <f t="shared" si="126"/>
        <v>0</v>
      </c>
      <c r="U306" s="1">
        <f t="shared" si="127"/>
        <v>0</v>
      </c>
      <c r="V306" s="1">
        <f t="shared" si="128"/>
        <v>0</v>
      </c>
      <c r="W306" s="1">
        <f t="shared" si="129"/>
        <v>0</v>
      </c>
      <c r="X306" s="1">
        <f t="shared" si="130"/>
        <v>0</v>
      </c>
      <c r="Y306" s="1">
        <f t="shared" si="131"/>
        <v>0</v>
      </c>
      <c r="Z306" s="1">
        <f t="shared" si="132"/>
        <v>0</v>
      </c>
      <c r="AA306" s="1">
        <f t="shared" si="133"/>
        <v>0</v>
      </c>
      <c r="AB306" s="1">
        <f t="shared" si="134"/>
        <v>0</v>
      </c>
      <c r="AD306" s="1">
        <f t="shared" si="135"/>
        <v>0</v>
      </c>
      <c r="AE306" s="1">
        <f t="shared" si="136"/>
        <v>1</v>
      </c>
      <c r="AF306" s="1">
        <f t="shared" si="121"/>
        <v>0</v>
      </c>
      <c r="AG306" s="1">
        <f t="shared" si="122"/>
        <v>1</v>
      </c>
      <c r="AH306" s="1">
        <f t="shared" si="123"/>
        <v>0</v>
      </c>
      <c r="AI306" s="1">
        <f t="shared" si="124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615</v>
      </c>
      <c r="E307" s="32" t="s">
        <v>616</v>
      </c>
      <c r="F307" s="32" t="s">
        <v>617</v>
      </c>
      <c r="G307" s="32" t="s">
        <v>618</v>
      </c>
      <c r="H307" s="32" t="s">
        <v>352</v>
      </c>
      <c r="I307" s="31" t="s">
        <v>619</v>
      </c>
      <c r="J307" s="31">
        <v>99</v>
      </c>
      <c r="K307" s="33" t="s">
        <v>708</v>
      </c>
      <c r="L307" s="33" t="s">
        <v>709</v>
      </c>
      <c r="M307" s="34" t="s">
        <v>710</v>
      </c>
      <c r="N307" s="34" t="s">
        <v>1730</v>
      </c>
      <c r="O307" s="35">
        <v>1</v>
      </c>
      <c r="P307" s="35"/>
      <c r="Q307" s="32"/>
      <c r="S307" s="1">
        <f t="shared" si="125"/>
        <v>0</v>
      </c>
      <c r="T307" s="1">
        <f t="shared" si="126"/>
        <v>0</v>
      </c>
      <c r="U307" s="1">
        <f t="shared" si="127"/>
        <v>0</v>
      </c>
      <c r="V307" s="1">
        <f t="shared" si="128"/>
        <v>0</v>
      </c>
      <c r="W307" s="1">
        <f t="shared" si="129"/>
        <v>0</v>
      </c>
      <c r="X307" s="1">
        <f t="shared" si="130"/>
        <v>0</v>
      </c>
      <c r="Y307" s="1">
        <f t="shared" si="131"/>
        <v>0</v>
      </c>
      <c r="Z307" s="1">
        <f t="shared" si="132"/>
        <v>0</v>
      </c>
      <c r="AA307" s="1">
        <f t="shared" si="133"/>
        <v>0</v>
      </c>
      <c r="AB307" s="1">
        <f t="shared" si="134"/>
        <v>0</v>
      </c>
      <c r="AD307" s="1">
        <f t="shared" si="135"/>
        <v>0</v>
      </c>
      <c r="AE307" s="1">
        <f t="shared" si="136"/>
        <v>1</v>
      </c>
      <c r="AF307" s="1">
        <f t="shared" si="121"/>
        <v>0</v>
      </c>
      <c r="AG307" s="1">
        <f t="shared" si="122"/>
        <v>1</v>
      </c>
      <c r="AH307" s="1">
        <f t="shared" si="123"/>
        <v>0</v>
      </c>
      <c r="AI307" s="1">
        <f t="shared" si="12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1067</v>
      </c>
      <c r="E308" s="32" t="s">
        <v>1314</v>
      </c>
      <c r="F308" s="32" t="s">
        <v>1637</v>
      </c>
      <c r="G308" s="32" t="s">
        <v>189</v>
      </c>
      <c r="H308" s="32" t="s">
        <v>352</v>
      </c>
      <c r="I308" s="31" t="s">
        <v>1835</v>
      </c>
      <c r="J308" s="31">
        <v>99</v>
      </c>
      <c r="K308" s="33" t="s">
        <v>708</v>
      </c>
      <c r="L308" s="33" t="s">
        <v>709</v>
      </c>
      <c r="M308" s="34" t="s">
        <v>710</v>
      </c>
      <c r="N308" s="34" t="s">
        <v>1717</v>
      </c>
      <c r="O308" s="35">
        <v>1</v>
      </c>
      <c r="P308" s="35"/>
      <c r="Q308" s="32"/>
      <c r="S308" s="1">
        <f t="shared" si="125"/>
        <v>0</v>
      </c>
      <c r="T308" s="1">
        <f t="shared" si="126"/>
        <v>0</v>
      </c>
      <c r="U308" s="1">
        <f t="shared" si="127"/>
        <v>0</v>
      </c>
      <c r="V308" s="1">
        <f t="shared" si="128"/>
        <v>0</v>
      </c>
      <c r="W308" s="1">
        <f t="shared" si="129"/>
        <v>0</v>
      </c>
      <c r="X308" s="1">
        <f t="shared" si="130"/>
        <v>0</v>
      </c>
      <c r="Y308" s="1">
        <f t="shared" si="131"/>
        <v>0</v>
      </c>
      <c r="Z308" s="1">
        <f t="shared" si="132"/>
        <v>0</v>
      </c>
      <c r="AA308" s="1">
        <f t="shared" si="133"/>
        <v>0</v>
      </c>
      <c r="AB308" s="1">
        <f t="shared" si="134"/>
        <v>0</v>
      </c>
      <c r="AD308" s="1">
        <f t="shared" si="135"/>
        <v>0</v>
      </c>
      <c r="AE308" s="1">
        <f t="shared" si="136"/>
        <v>1</v>
      </c>
      <c r="AF308" s="1">
        <f t="shared" si="121"/>
        <v>0</v>
      </c>
      <c r="AG308" s="1">
        <f t="shared" si="122"/>
        <v>1</v>
      </c>
      <c r="AH308" s="1">
        <f t="shared" si="123"/>
        <v>0</v>
      </c>
      <c r="AI308" s="1">
        <f t="shared" si="124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647</v>
      </c>
      <c r="E309" s="16" t="s">
        <v>36</v>
      </c>
      <c r="F309" s="16" t="s">
        <v>663</v>
      </c>
      <c r="G309" s="16" t="s">
        <v>200</v>
      </c>
      <c r="H309" s="16" t="s">
        <v>352</v>
      </c>
      <c r="I309" s="15" t="s">
        <v>992</v>
      </c>
      <c r="J309" s="15">
        <v>99</v>
      </c>
      <c r="K309" s="10" t="s">
        <v>699</v>
      </c>
      <c r="L309" s="10">
        <v>4</v>
      </c>
      <c r="M309" s="19" t="s">
        <v>710</v>
      </c>
      <c r="N309" s="17"/>
      <c r="Q309" s="16"/>
      <c r="S309" s="1">
        <f t="shared" si="125"/>
        <v>0</v>
      </c>
      <c r="T309" s="1">
        <f t="shared" si="126"/>
        <v>0</v>
      </c>
      <c r="U309" s="1">
        <f t="shared" si="127"/>
        <v>0</v>
      </c>
      <c r="V309" s="1">
        <f t="shared" si="128"/>
        <v>0</v>
      </c>
      <c r="W309" s="1">
        <f t="shared" si="129"/>
        <v>0</v>
      </c>
      <c r="X309" s="1">
        <f t="shared" si="130"/>
        <v>0</v>
      </c>
      <c r="Y309" s="1">
        <f t="shared" si="131"/>
        <v>0</v>
      </c>
      <c r="Z309" s="1">
        <f t="shared" si="132"/>
        <v>0</v>
      </c>
      <c r="AA309" s="1">
        <f t="shared" si="133"/>
        <v>0</v>
      </c>
      <c r="AB309" s="1">
        <f t="shared" si="134"/>
        <v>0</v>
      </c>
      <c r="AD309" s="1">
        <f t="shared" si="135"/>
        <v>0</v>
      </c>
      <c r="AE309" s="1">
        <f t="shared" si="136"/>
        <v>0</v>
      </c>
      <c r="AF309" s="1">
        <f t="shared" si="121"/>
        <v>0</v>
      </c>
      <c r="AG309" s="1">
        <f t="shared" si="122"/>
        <v>0</v>
      </c>
      <c r="AH309" s="1">
        <f t="shared" si="123"/>
        <v>0</v>
      </c>
      <c r="AI309" s="1">
        <f t="shared" si="124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1244</v>
      </c>
      <c r="E310" s="45" t="s">
        <v>1245</v>
      </c>
      <c r="F310" s="45" t="s">
        <v>1246</v>
      </c>
      <c r="G310" s="45" t="s">
        <v>1149</v>
      </c>
      <c r="H310" s="45" t="s">
        <v>352</v>
      </c>
      <c r="I310" s="44" t="s">
        <v>1247</v>
      </c>
      <c r="J310" s="44">
        <v>11</v>
      </c>
      <c r="K310" s="46" t="s">
        <v>699</v>
      </c>
      <c r="L310" s="46">
        <v>6</v>
      </c>
      <c r="M310" s="47" t="s">
        <v>1702</v>
      </c>
      <c r="N310" s="47" t="s">
        <v>1783</v>
      </c>
      <c r="O310" s="48"/>
      <c r="P310" s="48"/>
      <c r="Q310" s="45"/>
      <c r="S310" s="1">
        <f t="shared" si="125"/>
        <v>0</v>
      </c>
      <c r="T310" s="1">
        <f t="shared" si="126"/>
        <v>0</v>
      </c>
      <c r="U310" s="1">
        <f t="shared" si="127"/>
        <v>0</v>
      </c>
      <c r="V310" s="1">
        <f t="shared" si="128"/>
        <v>0</v>
      </c>
      <c r="W310" s="1">
        <f t="shared" si="129"/>
        <v>0</v>
      </c>
      <c r="X310" s="1">
        <f t="shared" si="130"/>
        <v>0</v>
      </c>
      <c r="Y310" s="1">
        <f t="shared" si="131"/>
        <v>0</v>
      </c>
      <c r="Z310" s="1">
        <f t="shared" si="132"/>
        <v>0</v>
      </c>
      <c r="AA310" s="1">
        <f t="shared" si="133"/>
        <v>0</v>
      </c>
      <c r="AB310" s="1">
        <f t="shared" si="134"/>
        <v>0</v>
      </c>
      <c r="AD310" s="1">
        <f t="shared" si="135"/>
        <v>0</v>
      </c>
      <c r="AE310" s="1">
        <f t="shared" si="136"/>
        <v>0</v>
      </c>
      <c r="AF310" s="1">
        <f t="shared" si="121"/>
        <v>0</v>
      </c>
      <c r="AG310" s="1">
        <f t="shared" si="122"/>
        <v>0</v>
      </c>
      <c r="AH310" s="1">
        <f t="shared" si="123"/>
        <v>0</v>
      </c>
      <c r="AI310" s="1">
        <f t="shared" si="12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1110</v>
      </c>
      <c r="E311" s="32" t="s">
        <v>1294</v>
      </c>
      <c r="F311" s="32" t="s">
        <v>1108</v>
      </c>
      <c r="G311" s="32" t="s">
        <v>229</v>
      </c>
      <c r="H311" s="32" t="s">
        <v>352</v>
      </c>
      <c r="I311" s="31" t="s">
        <v>1109</v>
      </c>
      <c r="J311" s="31">
        <v>7</v>
      </c>
      <c r="K311" s="33" t="s">
        <v>709</v>
      </c>
      <c r="L311" s="33" t="s">
        <v>1683</v>
      </c>
      <c r="M311" s="34" t="s">
        <v>710</v>
      </c>
      <c r="N311" s="34" t="s">
        <v>1730</v>
      </c>
      <c r="O311" s="35">
        <v>1</v>
      </c>
      <c r="P311" s="35"/>
      <c r="Q311" s="32"/>
      <c r="S311" s="1">
        <f t="shared" si="125"/>
        <v>0</v>
      </c>
      <c r="T311" s="1">
        <f t="shared" si="126"/>
        <v>0</v>
      </c>
      <c r="U311" s="1">
        <f t="shared" si="127"/>
        <v>0</v>
      </c>
      <c r="V311" s="1">
        <f t="shared" si="128"/>
        <v>0</v>
      </c>
      <c r="W311" s="1">
        <f t="shared" si="129"/>
        <v>0</v>
      </c>
      <c r="X311" s="1">
        <f t="shared" si="130"/>
        <v>0</v>
      </c>
      <c r="Y311" s="1">
        <f t="shared" si="131"/>
        <v>1</v>
      </c>
      <c r="Z311" s="1">
        <f t="shared" si="132"/>
        <v>0</v>
      </c>
      <c r="AA311" s="1">
        <f t="shared" si="133"/>
        <v>0</v>
      </c>
      <c r="AB311" s="1">
        <f t="shared" si="134"/>
        <v>0</v>
      </c>
      <c r="AD311" s="1">
        <f t="shared" si="135"/>
        <v>0</v>
      </c>
      <c r="AE311" s="1">
        <f t="shared" si="136"/>
        <v>1</v>
      </c>
      <c r="AF311" s="1">
        <f t="shared" si="121"/>
        <v>0</v>
      </c>
      <c r="AG311" s="1">
        <f t="shared" si="122"/>
        <v>1</v>
      </c>
      <c r="AH311" s="1">
        <f t="shared" si="123"/>
        <v>0</v>
      </c>
      <c r="AI311" s="1">
        <f t="shared" si="12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995</v>
      </c>
      <c r="E312" s="32" t="s">
        <v>1316</v>
      </c>
      <c r="F312" s="32" t="s">
        <v>996</v>
      </c>
      <c r="G312" s="32" t="s">
        <v>1087</v>
      </c>
      <c r="H312" s="32" t="s">
        <v>352</v>
      </c>
      <c r="I312" s="31" t="s">
        <v>406</v>
      </c>
      <c r="J312" s="31">
        <v>99</v>
      </c>
      <c r="K312" s="33" t="s">
        <v>709</v>
      </c>
      <c r="L312" s="33" t="s">
        <v>709</v>
      </c>
      <c r="M312" s="34" t="s">
        <v>710</v>
      </c>
      <c r="N312" s="34" t="s">
        <v>1717</v>
      </c>
      <c r="O312" s="35">
        <v>1</v>
      </c>
      <c r="P312" s="35"/>
      <c r="Q312" s="32"/>
      <c r="S312" s="1">
        <f t="shared" si="125"/>
        <v>0</v>
      </c>
      <c r="T312" s="1">
        <f t="shared" si="126"/>
        <v>0</v>
      </c>
      <c r="U312" s="1">
        <f t="shared" si="127"/>
        <v>0</v>
      </c>
      <c r="V312" s="1">
        <f t="shared" si="128"/>
        <v>0</v>
      </c>
      <c r="W312" s="1">
        <f t="shared" si="129"/>
        <v>0</v>
      </c>
      <c r="X312" s="1">
        <f t="shared" si="130"/>
        <v>0</v>
      </c>
      <c r="Y312" s="1">
        <f t="shared" si="131"/>
        <v>0</v>
      </c>
      <c r="Z312" s="1">
        <f t="shared" si="132"/>
        <v>0</v>
      </c>
      <c r="AA312" s="1">
        <f t="shared" si="133"/>
        <v>0</v>
      </c>
      <c r="AB312" s="1">
        <f t="shared" si="134"/>
        <v>0</v>
      </c>
      <c r="AD312" s="1">
        <f t="shared" si="135"/>
        <v>0</v>
      </c>
      <c r="AE312" s="1">
        <f t="shared" si="136"/>
        <v>1</v>
      </c>
      <c r="AF312" s="1">
        <f t="shared" si="121"/>
        <v>0</v>
      </c>
      <c r="AG312" s="1">
        <f t="shared" si="122"/>
        <v>1</v>
      </c>
      <c r="AH312" s="1">
        <f t="shared" si="123"/>
        <v>0</v>
      </c>
      <c r="AI312" s="1">
        <f t="shared" si="12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1117</v>
      </c>
      <c r="E313" s="32" t="s">
        <v>557</v>
      </c>
      <c r="F313" s="32" t="s">
        <v>1333</v>
      </c>
      <c r="G313" s="32" t="s">
        <v>264</v>
      </c>
      <c r="H313" s="32" t="s">
        <v>352</v>
      </c>
      <c r="I313" s="31" t="s">
        <v>1118</v>
      </c>
      <c r="J313" s="31">
        <v>8</v>
      </c>
      <c r="K313" s="33" t="s">
        <v>708</v>
      </c>
      <c r="L313" s="33" t="s">
        <v>1683</v>
      </c>
      <c r="M313" s="34" t="s">
        <v>710</v>
      </c>
      <c r="N313" s="34" t="s">
        <v>1722</v>
      </c>
      <c r="O313" s="35">
        <v>1</v>
      </c>
      <c r="P313" s="35"/>
      <c r="Q313" s="32"/>
      <c r="S313" s="1">
        <f t="shared" si="125"/>
        <v>0</v>
      </c>
      <c r="T313" s="1">
        <f t="shared" si="126"/>
        <v>0</v>
      </c>
      <c r="U313" s="1">
        <f t="shared" si="127"/>
        <v>0</v>
      </c>
      <c r="V313" s="1">
        <f t="shared" si="128"/>
        <v>0</v>
      </c>
      <c r="W313" s="1">
        <f t="shared" si="129"/>
        <v>0</v>
      </c>
      <c r="X313" s="1">
        <f t="shared" si="130"/>
        <v>0</v>
      </c>
      <c r="Y313" s="1">
        <f t="shared" si="131"/>
        <v>0</v>
      </c>
      <c r="Z313" s="1">
        <f t="shared" si="132"/>
        <v>1</v>
      </c>
      <c r="AA313" s="1">
        <f t="shared" si="133"/>
        <v>0</v>
      </c>
      <c r="AB313" s="1">
        <f t="shared" si="134"/>
        <v>0</v>
      </c>
      <c r="AD313" s="1">
        <f t="shared" si="135"/>
        <v>0</v>
      </c>
      <c r="AE313" s="1">
        <f t="shared" si="136"/>
        <v>1</v>
      </c>
      <c r="AF313" s="1">
        <f t="shared" si="121"/>
        <v>0</v>
      </c>
      <c r="AG313" s="1">
        <f t="shared" si="122"/>
        <v>1</v>
      </c>
      <c r="AH313" s="1">
        <f t="shared" si="123"/>
        <v>0</v>
      </c>
      <c r="AI313" s="1">
        <f t="shared" si="124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1266</v>
      </c>
      <c r="E314" s="32" t="s">
        <v>1314</v>
      </c>
      <c r="F314" s="32" t="s">
        <v>1263</v>
      </c>
      <c r="G314" s="32" t="s">
        <v>1264</v>
      </c>
      <c r="H314" s="32" t="s">
        <v>352</v>
      </c>
      <c r="I314" s="31" t="s">
        <v>1265</v>
      </c>
      <c r="J314" s="31">
        <v>1</v>
      </c>
      <c r="K314" s="33" t="s">
        <v>708</v>
      </c>
      <c r="L314" s="33" t="s">
        <v>709</v>
      </c>
      <c r="M314" s="34" t="s">
        <v>710</v>
      </c>
      <c r="N314" s="34" t="s">
        <v>1735</v>
      </c>
      <c r="O314" s="35">
        <v>1</v>
      </c>
      <c r="P314" s="35"/>
      <c r="Q314" s="32" t="s">
        <v>1876</v>
      </c>
      <c r="S314" s="1">
        <f t="shared" si="125"/>
        <v>1</v>
      </c>
      <c r="T314" s="1">
        <f t="shared" si="126"/>
        <v>0</v>
      </c>
      <c r="U314" s="1">
        <f t="shared" si="127"/>
        <v>0</v>
      </c>
      <c r="V314" s="1">
        <f t="shared" si="128"/>
        <v>0</v>
      </c>
      <c r="W314" s="1">
        <f t="shared" si="129"/>
        <v>0</v>
      </c>
      <c r="X314" s="1">
        <f t="shared" si="130"/>
        <v>0</v>
      </c>
      <c r="Y314" s="1">
        <f t="shared" si="131"/>
        <v>0</v>
      </c>
      <c r="Z314" s="1">
        <f t="shared" si="132"/>
        <v>0</v>
      </c>
      <c r="AA314" s="1">
        <f t="shared" si="133"/>
        <v>0</v>
      </c>
      <c r="AB314" s="1">
        <f t="shared" si="134"/>
        <v>0</v>
      </c>
      <c r="AD314" s="1">
        <f t="shared" si="135"/>
        <v>0</v>
      </c>
      <c r="AE314" s="1">
        <f t="shared" si="136"/>
        <v>1</v>
      </c>
      <c r="AF314" s="1">
        <f t="shared" si="121"/>
        <v>0</v>
      </c>
      <c r="AG314" s="1">
        <f t="shared" si="122"/>
        <v>1</v>
      </c>
      <c r="AH314" s="1">
        <f t="shared" si="123"/>
        <v>0</v>
      </c>
      <c r="AI314" s="1">
        <f t="shared" si="124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52</v>
      </c>
      <c r="E315" s="32" t="s">
        <v>32</v>
      </c>
      <c r="F315" s="32" t="s">
        <v>205</v>
      </c>
      <c r="G315" s="32" t="s">
        <v>206</v>
      </c>
      <c r="H315" s="32" t="s">
        <v>352</v>
      </c>
      <c r="I315" s="31" t="s">
        <v>389</v>
      </c>
      <c r="J315" s="31">
        <v>99</v>
      </c>
      <c r="K315" s="33" t="s">
        <v>708</v>
      </c>
      <c r="L315" s="33" t="s">
        <v>709</v>
      </c>
      <c r="M315" s="34" t="s">
        <v>710</v>
      </c>
      <c r="N315" s="34" t="s">
        <v>1920</v>
      </c>
      <c r="O315" s="35">
        <v>1</v>
      </c>
      <c r="P315" s="35"/>
      <c r="Q315" s="32"/>
      <c r="S315" s="1">
        <f t="shared" si="125"/>
        <v>0</v>
      </c>
      <c r="T315" s="1">
        <f t="shared" si="126"/>
        <v>0</v>
      </c>
      <c r="U315" s="1">
        <f t="shared" si="127"/>
        <v>0</v>
      </c>
      <c r="V315" s="1">
        <f t="shared" si="128"/>
        <v>0</v>
      </c>
      <c r="W315" s="1">
        <f t="shared" si="129"/>
        <v>0</v>
      </c>
      <c r="X315" s="1">
        <f t="shared" si="130"/>
        <v>0</v>
      </c>
      <c r="Y315" s="1">
        <f t="shared" si="131"/>
        <v>0</v>
      </c>
      <c r="Z315" s="1">
        <f t="shared" si="132"/>
        <v>0</v>
      </c>
      <c r="AA315" s="1">
        <f t="shared" si="133"/>
        <v>0</v>
      </c>
      <c r="AB315" s="1">
        <f t="shared" si="134"/>
        <v>0</v>
      </c>
      <c r="AD315" s="1">
        <f t="shared" si="135"/>
        <v>0</v>
      </c>
      <c r="AE315" s="1">
        <f t="shared" si="136"/>
        <v>1</v>
      </c>
      <c r="AF315" s="1">
        <f t="shared" si="121"/>
        <v>0</v>
      </c>
      <c r="AG315" s="1">
        <f t="shared" si="122"/>
        <v>1</v>
      </c>
      <c r="AH315" s="1">
        <f t="shared" si="123"/>
        <v>0</v>
      </c>
      <c r="AI315" s="1">
        <f t="shared" si="124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73</v>
      </c>
      <c r="E316" s="32" t="s">
        <v>557</v>
      </c>
      <c r="F316" s="32" t="s">
        <v>1037</v>
      </c>
      <c r="G316" s="32" t="s">
        <v>189</v>
      </c>
      <c r="H316" s="32" t="s">
        <v>352</v>
      </c>
      <c r="I316" s="31" t="s">
        <v>419</v>
      </c>
      <c r="J316" s="31">
        <v>99</v>
      </c>
      <c r="K316" s="33" t="s">
        <v>941</v>
      </c>
      <c r="L316" s="33" t="s">
        <v>709</v>
      </c>
      <c r="M316" s="34" t="s">
        <v>710</v>
      </c>
      <c r="N316" s="34" t="s">
        <v>1717</v>
      </c>
      <c r="O316" s="35">
        <v>1</v>
      </c>
      <c r="P316" s="35"/>
      <c r="Q316" s="32"/>
      <c r="S316" s="1">
        <f t="shared" si="125"/>
        <v>0</v>
      </c>
      <c r="T316" s="1">
        <f t="shared" si="126"/>
        <v>0</v>
      </c>
      <c r="U316" s="1">
        <f t="shared" si="127"/>
        <v>0</v>
      </c>
      <c r="V316" s="1">
        <f t="shared" si="128"/>
        <v>0</v>
      </c>
      <c r="W316" s="1">
        <f t="shared" si="129"/>
        <v>0</v>
      </c>
      <c r="X316" s="1">
        <f t="shared" si="130"/>
        <v>0</v>
      </c>
      <c r="Y316" s="1">
        <f t="shared" si="131"/>
        <v>0</v>
      </c>
      <c r="Z316" s="1">
        <f t="shared" si="132"/>
        <v>0</v>
      </c>
      <c r="AA316" s="1">
        <f t="shared" si="133"/>
        <v>0</v>
      </c>
      <c r="AB316" s="1">
        <f t="shared" si="134"/>
        <v>0</v>
      </c>
      <c r="AD316" s="1">
        <f t="shared" si="135"/>
        <v>0</v>
      </c>
      <c r="AE316" s="1">
        <f t="shared" si="136"/>
        <v>1</v>
      </c>
      <c r="AF316" s="1">
        <f t="shared" si="121"/>
        <v>0</v>
      </c>
      <c r="AG316" s="1">
        <f t="shared" si="122"/>
        <v>1</v>
      </c>
      <c r="AH316" s="1">
        <f t="shared" si="123"/>
        <v>0</v>
      </c>
      <c r="AI316" s="1">
        <f t="shared" si="12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47</v>
      </c>
      <c r="E317" s="32" t="s">
        <v>32</v>
      </c>
      <c r="F317" s="32" t="s">
        <v>186</v>
      </c>
      <c r="G317" s="32" t="s">
        <v>179</v>
      </c>
      <c r="H317" s="32" t="s">
        <v>352</v>
      </c>
      <c r="I317" s="31" t="s">
        <v>381</v>
      </c>
      <c r="J317" s="31">
        <v>10</v>
      </c>
      <c r="K317" s="33" t="s">
        <v>942</v>
      </c>
      <c r="L317" s="33" t="s">
        <v>709</v>
      </c>
      <c r="M317" s="34" t="s">
        <v>710</v>
      </c>
      <c r="N317" s="34" t="s">
        <v>1717</v>
      </c>
      <c r="O317" s="35">
        <v>1</v>
      </c>
      <c r="P317" s="35"/>
      <c r="Q317" s="32"/>
      <c r="S317" s="1">
        <f t="shared" si="125"/>
        <v>0</v>
      </c>
      <c r="T317" s="1">
        <f t="shared" si="126"/>
        <v>0</v>
      </c>
      <c r="U317" s="1">
        <f t="shared" si="127"/>
        <v>0</v>
      </c>
      <c r="V317" s="1">
        <f t="shared" si="128"/>
        <v>0</v>
      </c>
      <c r="W317" s="1">
        <f t="shared" si="129"/>
        <v>0</v>
      </c>
      <c r="X317" s="1">
        <f t="shared" si="130"/>
        <v>0</v>
      </c>
      <c r="Y317" s="1">
        <f t="shared" si="131"/>
        <v>0</v>
      </c>
      <c r="Z317" s="1">
        <f t="shared" si="132"/>
        <v>0</v>
      </c>
      <c r="AA317" s="1">
        <f t="shared" si="133"/>
        <v>0</v>
      </c>
      <c r="AB317" s="1">
        <f t="shared" si="134"/>
        <v>1</v>
      </c>
      <c r="AD317" s="1">
        <f t="shared" si="135"/>
        <v>0</v>
      </c>
      <c r="AE317" s="1">
        <f t="shared" si="136"/>
        <v>1</v>
      </c>
      <c r="AF317" s="1">
        <f t="shared" si="121"/>
        <v>0</v>
      </c>
      <c r="AG317" s="1">
        <f t="shared" si="122"/>
        <v>1</v>
      </c>
      <c r="AH317" s="1">
        <f t="shared" si="123"/>
        <v>0</v>
      </c>
      <c r="AI317" s="1">
        <f t="shared" si="124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648</v>
      </c>
      <c r="E318" s="45" t="s">
        <v>159</v>
      </c>
      <c r="F318" s="45" t="s">
        <v>187</v>
      </c>
      <c r="G318" s="45" t="s">
        <v>664</v>
      </c>
      <c r="H318" s="45" t="s">
        <v>352</v>
      </c>
      <c r="I318" s="44" t="s">
        <v>382</v>
      </c>
      <c r="J318" s="44">
        <v>99</v>
      </c>
      <c r="K318" s="46" t="s">
        <v>708</v>
      </c>
      <c r="L318" s="46" t="s">
        <v>709</v>
      </c>
      <c r="M318" s="47" t="s">
        <v>710</v>
      </c>
      <c r="N318" s="47" t="s">
        <v>1711</v>
      </c>
      <c r="O318" s="48"/>
      <c r="P318" s="48"/>
      <c r="Q318" s="45"/>
      <c r="S318" s="1">
        <f t="shared" si="125"/>
        <v>0</v>
      </c>
      <c r="T318" s="1">
        <f t="shared" si="126"/>
        <v>0</v>
      </c>
      <c r="U318" s="1">
        <f t="shared" si="127"/>
        <v>0</v>
      </c>
      <c r="V318" s="1">
        <f t="shared" si="128"/>
        <v>0</v>
      </c>
      <c r="W318" s="1">
        <f t="shared" si="129"/>
        <v>0</v>
      </c>
      <c r="X318" s="1">
        <f t="shared" si="130"/>
        <v>0</v>
      </c>
      <c r="Y318" s="1">
        <f t="shared" si="131"/>
        <v>0</v>
      </c>
      <c r="Z318" s="1">
        <f t="shared" si="132"/>
        <v>0</v>
      </c>
      <c r="AA318" s="1">
        <f t="shared" si="133"/>
        <v>0</v>
      </c>
      <c r="AB318" s="1">
        <f t="shared" si="134"/>
        <v>0</v>
      </c>
      <c r="AD318" s="1">
        <f t="shared" si="135"/>
        <v>0</v>
      </c>
      <c r="AE318" s="1">
        <f t="shared" si="136"/>
        <v>0</v>
      </c>
      <c r="AF318" s="1">
        <f t="shared" si="121"/>
        <v>0</v>
      </c>
      <c r="AG318" s="1">
        <f t="shared" si="122"/>
        <v>0</v>
      </c>
      <c r="AH318" s="1">
        <f t="shared" si="123"/>
        <v>0</v>
      </c>
      <c r="AI318" s="1">
        <f t="shared" si="124"/>
        <v>1</v>
      </c>
    </row>
    <row r="319" spans="1:35" ht="14.25" customHeight="1" x14ac:dyDescent="0.25">
      <c r="A319" s="38">
        <v>0</v>
      </c>
      <c r="B319" s="38">
        <v>2</v>
      </c>
      <c r="C319" s="38">
        <v>1</v>
      </c>
      <c r="D319" s="39" t="s">
        <v>1284</v>
      </c>
      <c r="E319" s="39" t="s">
        <v>36</v>
      </c>
      <c r="F319" s="39" t="s">
        <v>1285</v>
      </c>
      <c r="G319" s="39" t="s">
        <v>257</v>
      </c>
      <c r="H319" s="39" t="s">
        <v>352</v>
      </c>
      <c r="I319" s="38" t="s">
        <v>1286</v>
      </c>
      <c r="J319" s="38">
        <v>8</v>
      </c>
      <c r="K319" s="40" t="s">
        <v>946</v>
      </c>
      <c r="L319" s="40" t="s">
        <v>709</v>
      </c>
      <c r="M319" s="41" t="s">
        <v>710</v>
      </c>
      <c r="N319" s="42"/>
      <c r="O319" s="43"/>
      <c r="P319" s="43">
        <v>1</v>
      </c>
      <c r="Q319" s="39"/>
      <c r="S319" s="1">
        <f t="shared" si="125"/>
        <v>0</v>
      </c>
      <c r="T319" s="1">
        <f t="shared" si="126"/>
        <v>0</v>
      </c>
      <c r="U319" s="1">
        <f t="shared" si="127"/>
        <v>0</v>
      </c>
      <c r="V319" s="1">
        <f t="shared" si="128"/>
        <v>0</v>
      </c>
      <c r="W319" s="1">
        <f t="shared" si="129"/>
        <v>0</v>
      </c>
      <c r="X319" s="1">
        <f t="shared" si="130"/>
        <v>0</v>
      </c>
      <c r="Y319" s="1">
        <f t="shared" si="131"/>
        <v>0</v>
      </c>
      <c r="Z319" s="1">
        <f t="shared" si="132"/>
        <v>1</v>
      </c>
      <c r="AA319" s="1">
        <f t="shared" si="133"/>
        <v>0</v>
      </c>
      <c r="AB319" s="1">
        <f t="shared" si="134"/>
        <v>0</v>
      </c>
      <c r="AD319" s="1">
        <f t="shared" si="135"/>
        <v>0</v>
      </c>
      <c r="AE319" s="1">
        <f t="shared" si="136"/>
        <v>0</v>
      </c>
      <c r="AF319" s="1">
        <f t="shared" si="121"/>
        <v>0</v>
      </c>
      <c r="AG319" s="1">
        <f t="shared" si="122"/>
        <v>0</v>
      </c>
      <c r="AH319" s="1">
        <f t="shared" si="123"/>
        <v>1</v>
      </c>
      <c r="AI319" s="1">
        <f t="shared" si="124"/>
        <v>0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54</v>
      </c>
      <c r="E320" s="32" t="s">
        <v>557</v>
      </c>
      <c r="F320" s="32" t="s">
        <v>211</v>
      </c>
      <c r="G320" s="32" t="s">
        <v>212</v>
      </c>
      <c r="H320" s="32" t="s">
        <v>352</v>
      </c>
      <c r="I320" s="31" t="s">
        <v>391</v>
      </c>
      <c r="J320" s="31">
        <v>1</v>
      </c>
      <c r="K320" s="33" t="s">
        <v>942</v>
      </c>
      <c r="L320" s="33" t="s">
        <v>709</v>
      </c>
      <c r="M320" s="34" t="s">
        <v>39</v>
      </c>
      <c r="N320" s="34" t="s">
        <v>1717</v>
      </c>
      <c r="O320" s="35">
        <v>1</v>
      </c>
      <c r="P320" s="35"/>
      <c r="Q320" s="32"/>
      <c r="S320" s="1">
        <f t="shared" si="125"/>
        <v>1</v>
      </c>
      <c r="T320" s="1">
        <f t="shared" si="126"/>
        <v>0</v>
      </c>
      <c r="U320" s="1">
        <f t="shared" si="127"/>
        <v>0</v>
      </c>
      <c r="V320" s="1">
        <f t="shared" si="128"/>
        <v>0</v>
      </c>
      <c r="W320" s="1">
        <f t="shared" si="129"/>
        <v>0</v>
      </c>
      <c r="X320" s="1">
        <f t="shared" si="130"/>
        <v>0</v>
      </c>
      <c r="Y320" s="1">
        <f t="shared" si="131"/>
        <v>0</v>
      </c>
      <c r="Z320" s="1">
        <f t="shared" si="132"/>
        <v>0</v>
      </c>
      <c r="AA320" s="1">
        <f t="shared" si="133"/>
        <v>0</v>
      </c>
      <c r="AB320" s="1">
        <f t="shared" si="134"/>
        <v>0</v>
      </c>
      <c r="AD320" s="1">
        <f t="shared" si="135"/>
        <v>0</v>
      </c>
      <c r="AE320" s="1">
        <f t="shared" si="136"/>
        <v>1</v>
      </c>
      <c r="AF320" s="1">
        <f t="shared" si="121"/>
        <v>0</v>
      </c>
      <c r="AG320" s="1">
        <f t="shared" si="122"/>
        <v>1</v>
      </c>
      <c r="AH320" s="1">
        <f t="shared" si="123"/>
        <v>0</v>
      </c>
      <c r="AI320" s="1">
        <f t="shared" si="124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61</v>
      </c>
      <c r="E321" s="45" t="s">
        <v>539</v>
      </c>
      <c r="F321" s="45" t="s">
        <v>232</v>
      </c>
      <c r="G321" s="45" t="s">
        <v>203</v>
      </c>
      <c r="H321" s="45" t="s">
        <v>352</v>
      </c>
      <c r="I321" s="44" t="s">
        <v>399</v>
      </c>
      <c r="J321" s="44">
        <v>7</v>
      </c>
      <c r="K321" s="46" t="s">
        <v>708</v>
      </c>
      <c r="L321" s="46" t="s">
        <v>709</v>
      </c>
      <c r="M321" s="47" t="s">
        <v>710</v>
      </c>
      <c r="N321" s="47" t="s">
        <v>1712</v>
      </c>
      <c r="O321" s="48"/>
      <c r="P321" s="48"/>
      <c r="Q321" s="45"/>
      <c r="S321" s="1">
        <f t="shared" si="125"/>
        <v>0</v>
      </c>
      <c r="T321" s="1">
        <f t="shared" si="126"/>
        <v>0</v>
      </c>
      <c r="U321" s="1">
        <f t="shared" si="127"/>
        <v>0</v>
      </c>
      <c r="V321" s="1">
        <f t="shared" si="128"/>
        <v>0</v>
      </c>
      <c r="W321" s="1">
        <f t="shared" si="129"/>
        <v>0</v>
      </c>
      <c r="X321" s="1">
        <f t="shared" si="130"/>
        <v>0</v>
      </c>
      <c r="Y321" s="1">
        <f t="shared" si="131"/>
        <v>1</v>
      </c>
      <c r="Z321" s="1">
        <f t="shared" si="132"/>
        <v>0</v>
      </c>
      <c r="AA321" s="1">
        <f t="shared" si="133"/>
        <v>0</v>
      </c>
      <c r="AB321" s="1">
        <f t="shared" si="134"/>
        <v>0</v>
      </c>
      <c r="AD321" s="1">
        <f t="shared" si="135"/>
        <v>0</v>
      </c>
      <c r="AE321" s="1">
        <f t="shared" si="136"/>
        <v>0</v>
      </c>
      <c r="AF321" s="1">
        <f t="shared" si="121"/>
        <v>0</v>
      </c>
      <c r="AG321" s="1">
        <f t="shared" si="122"/>
        <v>0</v>
      </c>
      <c r="AH321" s="1">
        <f t="shared" si="123"/>
        <v>0</v>
      </c>
      <c r="AI321" s="1">
        <f t="shared" si="12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1621</v>
      </c>
      <c r="E322" s="32" t="s">
        <v>557</v>
      </c>
      <c r="F322" s="32" t="s">
        <v>1336</v>
      </c>
      <c r="G322" s="32" t="s">
        <v>1264</v>
      </c>
      <c r="H322" s="32" t="s">
        <v>352</v>
      </c>
      <c r="I322" s="31" t="s">
        <v>1151</v>
      </c>
      <c r="J322" s="31">
        <v>99</v>
      </c>
      <c r="K322" s="33" t="s">
        <v>708</v>
      </c>
      <c r="L322" s="33" t="s">
        <v>709</v>
      </c>
      <c r="M322" s="34" t="s">
        <v>710</v>
      </c>
      <c r="N322" s="34" t="s">
        <v>1722</v>
      </c>
      <c r="O322" s="35">
        <v>1</v>
      </c>
      <c r="P322" s="35"/>
      <c r="Q322" s="32" t="s">
        <v>1875</v>
      </c>
      <c r="S322" s="1">
        <f t="shared" si="125"/>
        <v>0</v>
      </c>
      <c r="T322" s="1">
        <f t="shared" si="126"/>
        <v>0</v>
      </c>
      <c r="U322" s="1">
        <f t="shared" si="127"/>
        <v>0</v>
      </c>
      <c r="V322" s="1">
        <f t="shared" si="128"/>
        <v>0</v>
      </c>
      <c r="W322" s="1">
        <f t="shared" si="129"/>
        <v>0</v>
      </c>
      <c r="X322" s="1">
        <f t="shared" si="130"/>
        <v>0</v>
      </c>
      <c r="Y322" s="1">
        <f t="shared" si="131"/>
        <v>0</v>
      </c>
      <c r="Z322" s="1">
        <f t="shared" si="132"/>
        <v>0</v>
      </c>
      <c r="AA322" s="1">
        <f t="shared" si="133"/>
        <v>0</v>
      </c>
      <c r="AB322" s="1">
        <f t="shared" si="134"/>
        <v>0</v>
      </c>
      <c r="AD322" s="1">
        <f t="shared" si="135"/>
        <v>0</v>
      </c>
      <c r="AE322" s="1">
        <f t="shared" si="136"/>
        <v>1</v>
      </c>
      <c r="AF322" s="1">
        <f t="shared" si="121"/>
        <v>0</v>
      </c>
      <c r="AG322" s="1">
        <f t="shared" si="122"/>
        <v>1</v>
      </c>
      <c r="AH322" s="1">
        <f t="shared" si="123"/>
        <v>0</v>
      </c>
      <c r="AI322" s="1">
        <f t="shared" si="124"/>
        <v>1</v>
      </c>
    </row>
    <row r="323" spans="1:35" ht="14.25" customHeight="1" x14ac:dyDescent="0.25">
      <c r="A323" s="49">
        <v>0</v>
      </c>
      <c r="B323" s="49">
        <v>2</v>
      </c>
      <c r="C323" s="49">
        <v>1</v>
      </c>
      <c r="D323" s="50" t="s">
        <v>1756</v>
      </c>
      <c r="E323" s="50" t="s">
        <v>1757</v>
      </c>
      <c r="F323" s="50" t="s">
        <v>1758</v>
      </c>
      <c r="G323" s="50" t="s">
        <v>1759</v>
      </c>
      <c r="H323" s="50" t="s">
        <v>352</v>
      </c>
      <c r="I323" s="49"/>
      <c r="J323" s="49">
        <v>1</v>
      </c>
      <c r="K323" s="51" t="s">
        <v>699</v>
      </c>
      <c r="L323" s="51"/>
      <c r="M323" s="52"/>
      <c r="N323" s="52" t="s">
        <v>1717</v>
      </c>
      <c r="O323" s="53">
        <v>1</v>
      </c>
      <c r="P323" s="53"/>
      <c r="Q323" s="55" t="s">
        <v>1883</v>
      </c>
      <c r="S323" s="1">
        <f t="shared" si="125"/>
        <v>1</v>
      </c>
      <c r="T323" s="1">
        <f t="shared" si="126"/>
        <v>0</v>
      </c>
      <c r="U323" s="1">
        <f t="shared" si="127"/>
        <v>0</v>
      </c>
      <c r="V323" s="1">
        <f t="shared" si="128"/>
        <v>0</v>
      </c>
      <c r="W323" s="1">
        <f t="shared" si="129"/>
        <v>0</v>
      </c>
      <c r="X323" s="1">
        <f t="shared" si="130"/>
        <v>0</v>
      </c>
      <c r="Y323" s="1">
        <f t="shared" si="131"/>
        <v>0</v>
      </c>
      <c r="Z323" s="1">
        <f t="shared" si="132"/>
        <v>0</v>
      </c>
      <c r="AA323" s="1">
        <f t="shared" si="133"/>
        <v>0</v>
      </c>
      <c r="AB323" s="1">
        <f t="shared" si="134"/>
        <v>0</v>
      </c>
      <c r="AD323" s="1">
        <f t="shared" si="135"/>
        <v>0</v>
      </c>
      <c r="AE323" s="1">
        <f t="shared" si="136"/>
        <v>1</v>
      </c>
      <c r="AF323" s="1">
        <f t="shared" si="121"/>
        <v>0</v>
      </c>
      <c r="AG323" s="1">
        <f t="shared" si="122"/>
        <v>1</v>
      </c>
      <c r="AH323" s="1">
        <f t="shared" si="123"/>
        <v>0</v>
      </c>
      <c r="AI323" s="1">
        <f t="shared" si="124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1298</v>
      </c>
      <c r="E324" s="32" t="s">
        <v>1318</v>
      </c>
      <c r="F324" s="32" t="s">
        <v>1281</v>
      </c>
      <c r="G324" s="32" t="s">
        <v>1282</v>
      </c>
      <c r="H324" s="32" t="s">
        <v>352</v>
      </c>
      <c r="I324" s="31" t="s">
        <v>1283</v>
      </c>
      <c r="J324" s="31">
        <v>99</v>
      </c>
      <c r="K324" s="33" t="s">
        <v>942</v>
      </c>
      <c r="L324" s="33" t="s">
        <v>709</v>
      </c>
      <c r="M324" s="34" t="s">
        <v>710</v>
      </c>
      <c r="N324" s="34" t="s">
        <v>1893</v>
      </c>
      <c r="O324" s="35">
        <v>1</v>
      </c>
      <c r="P324" s="35"/>
      <c r="Q324" s="32"/>
      <c r="S324" s="1">
        <f t="shared" si="125"/>
        <v>0</v>
      </c>
      <c r="T324" s="1">
        <f t="shared" si="126"/>
        <v>0</v>
      </c>
      <c r="U324" s="1">
        <f t="shared" si="127"/>
        <v>0</v>
      </c>
      <c r="V324" s="1">
        <f t="shared" si="128"/>
        <v>0</v>
      </c>
      <c r="W324" s="1">
        <f t="shared" si="129"/>
        <v>0</v>
      </c>
      <c r="X324" s="1">
        <f t="shared" si="130"/>
        <v>0</v>
      </c>
      <c r="Y324" s="1">
        <f t="shared" si="131"/>
        <v>0</v>
      </c>
      <c r="Z324" s="1">
        <f t="shared" si="132"/>
        <v>0</v>
      </c>
      <c r="AA324" s="1">
        <f t="shared" si="133"/>
        <v>0</v>
      </c>
      <c r="AB324" s="1">
        <f t="shared" si="134"/>
        <v>0</v>
      </c>
      <c r="AD324" s="1">
        <f t="shared" si="135"/>
        <v>0</v>
      </c>
      <c r="AE324" s="1">
        <f t="shared" si="136"/>
        <v>1</v>
      </c>
      <c r="AF324" s="1">
        <f t="shared" si="121"/>
        <v>0</v>
      </c>
      <c r="AG324" s="1">
        <f t="shared" si="122"/>
        <v>1</v>
      </c>
      <c r="AH324" s="1">
        <f t="shared" si="123"/>
        <v>0</v>
      </c>
      <c r="AI324" s="1">
        <f t="shared" si="124"/>
        <v>1</v>
      </c>
    </row>
    <row r="325" spans="1:35" ht="14.25" customHeight="1" x14ac:dyDescent="0.25">
      <c r="A325" s="44">
        <v>0</v>
      </c>
      <c r="B325" s="44">
        <v>2</v>
      </c>
      <c r="C325" s="44">
        <v>1</v>
      </c>
      <c r="D325" s="45" t="s">
        <v>1293</v>
      </c>
      <c r="E325" s="45" t="s">
        <v>159</v>
      </c>
      <c r="F325" s="45" t="s">
        <v>1295</v>
      </c>
      <c r="G325" s="45" t="s">
        <v>1296</v>
      </c>
      <c r="H325" s="45" t="s">
        <v>352</v>
      </c>
      <c r="I325" s="44" t="s">
        <v>1297</v>
      </c>
      <c r="J325" s="44">
        <v>8</v>
      </c>
      <c r="K325" s="46" t="s">
        <v>709</v>
      </c>
      <c r="L325" s="46" t="s">
        <v>709</v>
      </c>
      <c r="M325" s="47" t="s">
        <v>710</v>
      </c>
      <c r="N325" s="47" t="s">
        <v>1721</v>
      </c>
      <c r="O325" s="48"/>
      <c r="P325" s="48"/>
      <c r="Q325" s="45"/>
      <c r="S325" s="1">
        <f t="shared" si="125"/>
        <v>0</v>
      </c>
      <c r="T325" s="1">
        <f t="shared" si="126"/>
        <v>0</v>
      </c>
      <c r="U325" s="1">
        <f t="shared" si="127"/>
        <v>0</v>
      </c>
      <c r="V325" s="1">
        <f t="shared" si="128"/>
        <v>0</v>
      </c>
      <c r="W325" s="1">
        <f t="shared" si="129"/>
        <v>0</v>
      </c>
      <c r="X325" s="1">
        <f t="shared" si="130"/>
        <v>0</v>
      </c>
      <c r="Y325" s="1">
        <f t="shared" si="131"/>
        <v>0</v>
      </c>
      <c r="Z325" s="1">
        <f t="shared" si="132"/>
        <v>1</v>
      </c>
      <c r="AA325" s="1">
        <f t="shared" si="133"/>
        <v>0</v>
      </c>
      <c r="AB325" s="1">
        <f t="shared" si="134"/>
        <v>0</v>
      </c>
      <c r="AD325" s="1">
        <f t="shared" si="135"/>
        <v>0</v>
      </c>
      <c r="AE325" s="1">
        <f t="shared" si="136"/>
        <v>0</v>
      </c>
      <c r="AF325" s="1">
        <f t="shared" si="121"/>
        <v>0</v>
      </c>
      <c r="AG325" s="1">
        <f t="shared" si="122"/>
        <v>0</v>
      </c>
      <c r="AH325" s="1">
        <f t="shared" si="123"/>
        <v>0</v>
      </c>
      <c r="AI325" s="1">
        <f t="shared" si="124"/>
        <v>1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1620</v>
      </c>
      <c r="E326" s="45" t="s">
        <v>1152</v>
      </c>
      <c r="F326" s="45" t="s">
        <v>1654</v>
      </c>
      <c r="G326" s="45" t="s">
        <v>189</v>
      </c>
      <c r="H326" s="45" t="s">
        <v>352</v>
      </c>
      <c r="I326" s="44" t="s">
        <v>1581</v>
      </c>
      <c r="J326" s="44">
        <v>99</v>
      </c>
      <c r="K326" s="46" t="s">
        <v>709</v>
      </c>
      <c r="L326" s="46" t="s">
        <v>692</v>
      </c>
      <c r="M326" s="47" t="s">
        <v>1582</v>
      </c>
      <c r="N326" s="47" t="s">
        <v>1712</v>
      </c>
      <c r="O326" s="48"/>
      <c r="P326" s="48"/>
      <c r="Q326" s="45"/>
      <c r="S326" s="1">
        <f t="shared" si="125"/>
        <v>0</v>
      </c>
      <c r="T326" s="1">
        <f t="shared" si="126"/>
        <v>0</v>
      </c>
      <c r="U326" s="1">
        <f t="shared" si="127"/>
        <v>0</v>
      </c>
      <c r="V326" s="1">
        <f t="shared" si="128"/>
        <v>0</v>
      </c>
      <c r="W326" s="1">
        <f t="shared" si="129"/>
        <v>0</v>
      </c>
      <c r="X326" s="1">
        <f t="shared" si="130"/>
        <v>0</v>
      </c>
      <c r="Y326" s="1">
        <f t="shared" si="131"/>
        <v>0</v>
      </c>
      <c r="Z326" s="1">
        <f t="shared" si="132"/>
        <v>0</v>
      </c>
      <c r="AA326" s="1">
        <f t="shared" si="133"/>
        <v>0</v>
      </c>
      <c r="AB326" s="1">
        <f t="shared" si="134"/>
        <v>0</v>
      </c>
      <c r="AD326" s="1">
        <f t="shared" si="135"/>
        <v>0</v>
      </c>
      <c r="AE326" s="1">
        <f t="shared" si="136"/>
        <v>0</v>
      </c>
      <c r="AF326" s="1">
        <f t="shared" si="121"/>
        <v>0</v>
      </c>
      <c r="AG326" s="1">
        <f t="shared" si="122"/>
        <v>0</v>
      </c>
      <c r="AH326" s="1">
        <f t="shared" si="123"/>
        <v>0</v>
      </c>
      <c r="AI326" s="1">
        <f t="shared" si="124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65</v>
      </c>
      <c r="E327" s="50" t="s">
        <v>163</v>
      </c>
      <c r="F327" s="50" t="s">
        <v>242</v>
      </c>
      <c r="G327" s="50" t="s">
        <v>199</v>
      </c>
      <c r="H327" s="50" t="s">
        <v>352</v>
      </c>
      <c r="I327" s="49" t="s">
        <v>405</v>
      </c>
      <c r="J327" s="49">
        <v>2</v>
      </c>
      <c r="K327" s="51" t="s">
        <v>942</v>
      </c>
      <c r="L327" s="51" t="s">
        <v>692</v>
      </c>
      <c r="M327" s="52" t="s">
        <v>711</v>
      </c>
      <c r="N327" s="52" t="s">
        <v>1717</v>
      </c>
      <c r="O327" s="53">
        <v>1</v>
      </c>
      <c r="P327" s="53"/>
      <c r="Q327" s="50"/>
      <c r="S327" s="1">
        <f t="shared" si="125"/>
        <v>0</v>
      </c>
      <c r="T327" s="1">
        <f t="shared" si="126"/>
        <v>1</v>
      </c>
      <c r="U327" s="1">
        <f t="shared" si="127"/>
        <v>0</v>
      </c>
      <c r="V327" s="1">
        <f t="shared" si="128"/>
        <v>0</v>
      </c>
      <c r="W327" s="1">
        <f t="shared" si="129"/>
        <v>0</v>
      </c>
      <c r="X327" s="1">
        <f t="shared" si="130"/>
        <v>0</v>
      </c>
      <c r="Y327" s="1">
        <f t="shared" si="131"/>
        <v>0</v>
      </c>
      <c r="Z327" s="1">
        <f t="shared" si="132"/>
        <v>0</v>
      </c>
      <c r="AA327" s="1">
        <f t="shared" si="133"/>
        <v>0</v>
      </c>
      <c r="AB327" s="1">
        <f t="shared" si="134"/>
        <v>0</v>
      </c>
      <c r="AD327" s="1">
        <f t="shared" si="135"/>
        <v>0</v>
      </c>
      <c r="AE327" s="1">
        <f t="shared" si="136"/>
        <v>1</v>
      </c>
      <c r="AF327" s="1">
        <f t="shared" si="121"/>
        <v>0</v>
      </c>
      <c r="AG327" s="1">
        <f t="shared" si="122"/>
        <v>1</v>
      </c>
      <c r="AH327" s="1">
        <f t="shared" si="123"/>
        <v>0</v>
      </c>
      <c r="AI327" s="1">
        <f t="shared" si="124"/>
        <v>1</v>
      </c>
    </row>
    <row r="328" spans="1:35" ht="14.25" customHeight="1" x14ac:dyDescent="0.25">
      <c r="A328" s="31">
        <v>0</v>
      </c>
      <c r="B328" s="31">
        <v>2</v>
      </c>
      <c r="C328" s="31">
        <v>2</v>
      </c>
      <c r="D328" s="32" t="s">
        <v>1802</v>
      </c>
      <c r="E328" s="32" t="s">
        <v>1803</v>
      </c>
      <c r="F328" s="32" t="s">
        <v>1804</v>
      </c>
      <c r="G328" s="32" t="s">
        <v>195</v>
      </c>
      <c r="H328" s="32" t="s">
        <v>352</v>
      </c>
      <c r="I328" s="31" t="s">
        <v>1805</v>
      </c>
      <c r="J328" s="31"/>
      <c r="K328" s="33" t="s">
        <v>699</v>
      </c>
      <c r="L328" s="33">
        <v>20</v>
      </c>
      <c r="M328" s="34" t="s">
        <v>1806</v>
      </c>
      <c r="N328" s="34" t="s">
        <v>1722</v>
      </c>
      <c r="O328" s="35">
        <v>1</v>
      </c>
      <c r="P328" s="35"/>
      <c r="Q328" s="32"/>
      <c r="S328" s="1">
        <f t="shared" si="125"/>
        <v>0</v>
      </c>
      <c r="T328" s="1">
        <f t="shared" si="126"/>
        <v>0</v>
      </c>
      <c r="U328" s="1">
        <f t="shared" si="127"/>
        <v>0</v>
      </c>
      <c r="V328" s="1">
        <f t="shared" si="128"/>
        <v>0</v>
      </c>
      <c r="W328" s="1">
        <f t="shared" si="129"/>
        <v>0</v>
      </c>
      <c r="X328" s="1">
        <f t="shared" si="130"/>
        <v>0</v>
      </c>
      <c r="Y328" s="1">
        <f t="shared" si="131"/>
        <v>0</v>
      </c>
      <c r="Z328" s="1">
        <f t="shared" si="132"/>
        <v>0</v>
      </c>
      <c r="AA328" s="1">
        <f t="shared" si="133"/>
        <v>0</v>
      </c>
      <c r="AB328" s="1">
        <f t="shared" si="134"/>
        <v>0</v>
      </c>
      <c r="AD328" s="1">
        <f t="shared" si="135"/>
        <v>0</v>
      </c>
      <c r="AE328" s="1">
        <f t="shared" si="136"/>
        <v>1</v>
      </c>
      <c r="AF328" s="1">
        <f t="shared" si="121"/>
        <v>0</v>
      </c>
      <c r="AG328" s="1">
        <f t="shared" si="122"/>
        <v>1</v>
      </c>
      <c r="AH328" s="1">
        <f t="shared" si="123"/>
        <v>0</v>
      </c>
      <c r="AI328" s="1">
        <f t="shared" si="124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1550</v>
      </c>
      <c r="E329" s="32" t="s">
        <v>1551</v>
      </c>
      <c r="F329" s="32" t="s">
        <v>1553</v>
      </c>
      <c r="G329" s="32" t="s">
        <v>1554</v>
      </c>
      <c r="H329" s="32" t="s">
        <v>352</v>
      </c>
      <c r="I329" s="31" t="s">
        <v>1552</v>
      </c>
      <c r="J329" s="31">
        <v>99</v>
      </c>
      <c r="K329" s="33" t="s">
        <v>699</v>
      </c>
      <c r="L329" s="33">
        <v>18</v>
      </c>
      <c r="M329" s="34" t="s">
        <v>1555</v>
      </c>
      <c r="N329" s="34" t="s">
        <v>1722</v>
      </c>
      <c r="O329" s="35">
        <v>1</v>
      </c>
      <c r="P329" s="35"/>
      <c r="Q329" s="32"/>
      <c r="S329" s="1">
        <f t="shared" si="125"/>
        <v>0</v>
      </c>
      <c r="T329" s="1">
        <f t="shared" si="126"/>
        <v>0</v>
      </c>
      <c r="U329" s="1">
        <f t="shared" si="127"/>
        <v>0</v>
      </c>
      <c r="V329" s="1">
        <f t="shared" si="128"/>
        <v>0</v>
      </c>
      <c r="W329" s="1">
        <f t="shared" si="129"/>
        <v>0</v>
      </c>
      <c r="X329" s="1">
        <f t="shared" si="130"/>
        <v>0</v>
      </c>
      <c r="Y329" s="1">
        <f t="shared" si="131"/>
        <v>0</v>
      </c>
      <c r="Z329" s="1">
        <f t="shared" si="132"/>
        <v>0</v>
      </c>
      <c r="AA329" s="1">
        <f t="shared" si="133"/>
        <v>0</v>
      </c>
      <c r="AB329" s="1">
        <f t="shared" si="134"/>
        <v>0</v>
      </c>
      <c r="AD329" s="1">
        <f t="shared" si="135"/>
        <v>0</v>
      </c>
      <c r="AE329" s="1">
        <f t="shared" si="136"/>
        <v>1</v>
      </c>
      <c r="AF329" s="1">
        <f t="shared" si="121"/>
        <v>0</v>
      </c>
      <c r="AG329" s="1">
        <f t="shared" si="122"/>
        <v>1</v>
      </c>
      <c r="AH329" s="1">
        <f t="shared" si="123"/>
        <v>0</v>
      </c>
      <c r="AI329" s="1">
        <f t="shared" si="124"/>
        <v>1</v>
      </c>
    </row>
    <row r="330" spans="1:35" ht="14.25" customHeight="1" x14ac:dyDescent="0.25">
      <c r="A330" s="49">
        <v>0</v>
      </c>
      <c r="B330" s="49">
        <v>2</v>
      </c>
      <c r="C330" s="49">
        <v>2</v>
      </c>
      <c r="D330" s="50" t="s">
        <v>64</v>
      </c>
      <c r="E330" s="50" t="s">
        <v>33</v>
      </c>
      <c r="F330" s="50" t="s">
        <v>240</v>
      </c>
      <c r="G330" s="50" t="s">
        <v>241</v>
      </c>
      <c r="H330" s="50" t="s">
        <v>352</v>
      </c>
      <c r="I330" s="49" t="s">
        <v>404</v>
      </c>
      <c r="J330" s="49">
        <v>1</v>
      </c>
      <c r="K330" s="51" t="s">
        <v>948</v>
      </c>
      <c r="L330" s="51" t="s">
        <v>712</v>
      </c>
      <c r="M330" s="52" t="s">
        <v>713</v>
      </c>
      <c r="N330" s="52" t="s">
        <v>1717</v>
      </c>
      <c r="O330" s="53">
        <v>1</v>
      </c>
      <c r="P330" s="53"/>
      <c r="Q330" s="50"/>
      <c r="S330" s="1">
        <f t="shared" si="125"/>
        <v>1</v>
      </c>
      <c r="T330" s="1">
        <f t="shared" si="126"/>
        <v>0</v>
      </c>
      <c r="U330" s="1">
        <f t="shared" si="127"/>
        <v>0</v>
      </c>
      <c r="V330" s="1">
        <f t="shared" si="128"/>
        <v>0</v>
      </c>
      <c r="W330" s="1">
        <f t="shared" si="129"/>
        <v>0</v>
      </c>
      <c r="X330" s="1">
        <f t="shared" si="130"/>
        <v>0</v>
      </c>
      <c r="Y330" s="1">
        <f t="shared" si="131"/>
        <v>0</v>
      </c>
      <c r="Z330" s="1">
        <f t="shared" si="132"/>
        <v>0</v>
      </c>
      <c r="AA330" s="1">
        <f t="shared" si="133"/>
        <v>0</v>
      </c>
      <c r="AB330" s="1">
        <f t="shared" si="134"/>
        <v>0</v>
      </c>
      <c r="AD330" s="1">
        <f t="shared" si="135"/>
        <v>0</v>
      </c>
      <c r="AE330" s="1">
        <f t="shared" si="136"/>
        <v>1</v>
      </c>
      <c r="AF330" s="1">
        <f t="shared" si="121"/>
        <v>0</v>
      </c>
      <c r="AG330" s="1">
        <f t="shared" si="122"/>
        <v>1</v>
      </c>
      <c r="AH330" s="1">
        <f t="shared" si="123"/>
        <v>0</v>
      </c>
      <c r="AI330" s="1">
        <f t="shared" si="124"/>
        <v>1</v>
      </c>
    </row>
    <row r="331" spans="1:35" ht="14.25" customHeight="1" x14ac:dyDescent="0.25">
      <c r="A331" s="49">
        <v>0</v>
      </c>
      <c r="B331" s="49">
        <v>2</v>
      </c>
      <c r="C331" s="49">
        <v>2</v>
      </c>
      <c r="D331" s="50" t="s">
        <v>62</v>
      </c>
      <c r="E331" s="50" t="s">
        <v>1073</v>
      </c>
      <c r="F331" s="50" t="s">
        <v>233</v>
      </c>
      <c r="G331" s="50" t="s">
        <v>234</v>
      </c>
      <c r="H331" s="50" t="s">
        <v>352</v>
      </c>
      <c r="I331" s="49" t="s">
        <v>1343</v>
      </c>
      <c r="J331" s="49">
        <v>99</v>
      </c>
      <c r="K331" s="51" t="s">
        <v>942</v>
      </c>
      <c r="L331" s="51" t="s">
        <v>712</v>
      </c>
      <c r="M331" s="52" t="s">
        <v>714</v>
      </c>
      <c r="N331" s="52" t="s">
        <v>1717</v>
      </c>
      <c r="O331" s="53">
        <v>1</v>
      </c>
      <c r="P331" s="53"/>
      <c r="Q331" s="50"/>
      <c r="S331" s="1">
        <f t="shared" si="125"/>
        <v>0</v>
      </c>
      <c r="T331" s="1">
        <f t="shared" si="126"/>
        <v>0</v>
      </c>
      <c r="U331" s="1">
        <f t="shared" si="127"/>
        <v>0</v>
      </c>
      <c r="V331" s="1">
        <f t="shared" si="128"/>
        <v>0</v>
      </c>
      <c r="W331" s="1">
        <f t="shared" si="129"/>
        <v>0</v>
      </c>
      <c r="X331" s="1">
        <f t="shared" si="130"/>
        <v>0</v>
      </c>
      <c r="Y331" s="1">
        <f t="shared" si="131"/>
        <v>0</v>
      </c>
      <c r="Z331" s="1">
        <f t="shared" si="132"/>
        <v>0</v>
      </c>
      <c r="AA331" s="1">
        <f t="shared" si="133"/>
        <v>0</v>
      </c>
      <c r="AB331" s="1">
        <f t="shared" si="134"/>
        <v>0</v>
      </c>
      <c r="AD331" s="1">
        <f t="shared" si="135"/>
        <v>0</v>
      </c>
      <c r="AE331" s="1">
        <f t="shared" si="136"/>
        <v>1</v>
      </c>
      <c r="AF331" s="1">
        <f t="shared" si="121"/>
        <v>0</v>
      </c>
      <c r="AG331" s="1">
        <f t="shared" si="122"/>
        <v>1</v>
      </c>
      <c r="AH331" s="1">
        <f t="shared" si="123"/>
        <v>0</v>
      </c>
      <c r="AI331" s="1">
        <f t="shared" si="124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1690</v>
      </c>
      <c r="E332" s="32" t="s">
        <v>1692</v>
      </c>
      <c r="F332" s="32" t="s">
        <v>1691</v>
      </c>
      <c r="G332" s="32"/>
      <c r="H332" s="32" t="s">
        <v>352</v>
      </c>
      <c r="I332" s="31" t="s">
        <v>1693</v>
      </c>
      <c r="J332" s="31"/>
      <c r="K332" s="33" t="s">
        <v>699</v>
      </c>
      <c r="L332" s="33"/>
      <c r="M332" s="34"/>
      <c r="N332" s="34" t="s">
        <v>1701</v>
      </c>
      <c r="O332" s="35">
        <v>1</v>
      </c>
      <c r="P332" s="35">
        <v>1</v>
      </c>
      <c r="Q332" s="32"/>
      <c r="S332" s="1">
        <f t="shared" si="125"/>
        <v>0</v>
      </c>
      <c r="T332" s="1">
        <f t="shared" si="126"/>
        <v>0</v>
      </c>
      <c r="U332" s="1">
        <f t="shared" si="127"/>
        <v>0</v>
      </c>
      <c r="V332" s="1">
        <f t="shared" si="128"/>
        <v>0</v>
      </c>
      <c r="W332" s="1">
        <f t="shared" si="129"/>
        <v>0</v>
      </c>
      <c r="X332" s="1">
        <f t="shared" si="130"/>
        <v>0</v>
      </c>
      <c r="Y332" s="1">
        <f t="shared" si="131"/>
        <v>0</v>
      </c>
      <c r="Z332" s="1">
        <f t="shared" si="132"/>
        <v>0</v>
      </c>
      <c r="AA332" s="1">
        <f t="shared" si="133"/>
        <v>0</v>
      </c>
      <c r="AB332" s="1">
        <f t="shared" si="134"/>
        <v>0</v>
      </c>
      <c r="AD332" s="1">
        <f t="shared" si="135"/>
        <v>1</v>
      </c>
      <c r="AE332" s="1">
        <f t="shared" si="136"/>
        <v>0</v>
      </c>
      <c r="AF332" s="1">
        <f t="shared" si="121"/>
        <v>1</v>
      </c>
      <c r="AG332" s="1">
        <f t="shared" si="122"/>
        <v>0</v>
      </c>
      <c r="AH332" s="1">
        <f t="shared" si="123"/>
        <v>1</v>
      </c>
      <c r="AI332" s="1">
        <f t="shared" si="124"/>
        <v>0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778</v>
      </c>
      <c r="E333" s="45" t="s">
        <v>898</v>
      </c>
      <c r="F333" s="45" t="s">
        <v>1545</v>
      </c>
      <c r="G333" s="45" t="s">
        <v>229</v>
      </c>
      <c r="H333" s="45" t="s">
        <v>352</v>
      </c>
      <c r="I333" s="44" t="s">
        <v>1668</v>
      </c>
      <c r="J333" s="44">
        <v>7</v>
      </c>
      <c r="K333" s="46" t="s">
        <v>709</v>
      </c>
      <c r="L333" s="46">
        <v>20</v>
      </c>
      <c r="M333" s="47" t="s">
        <v>39</v>
      </c>
      <c r="N333" s="47" t="s">
        <v>1708</v>
      </c>
      <c r="O333" s="48"/>
      <c r="P333" s="48"/>
      <c r="Q333" s="45"/>
      <c r="S333" s="1">
        <f t="shared" si="125"/>
        <v>0</v>
      </c>
      <c r="T333" s="1">
        <f t="shared" si="126"/>
        <v>0</v>
      </c>
      <c r="U333" s="1">
        <f t="shared" si="127"/>
        <v>0</v>
      </c>
      <c r="V333" s="1">
        <f t="shared" si="128"/>
        <v>0</v>
      </c>
      <c r="W333" s="1">
        <f t="shared" si="129"/>
        <v>0</v>
      </c>
      <c r="X333" s="1">
        <f t="shared" si="130"/>
        <v>0</v>
      </c>
      <c r="Y333" s="1">
        <f t="shared" si="131"/>
        <v>1</v>
      </c>
      <c r="Z333" s="1">
        <f t="shared" si="132"/>
        <v>0</v>
      </c>
      <c r="AA333" s="1">
        <f t="shared" si="133"/>
        <v>0</v>
      </c>
      <c r="AB333" s="1">
        <f t="shared" si="134"/>
        <v>0</v>
      </c>
      <c r="AD333" s="1">
        <f t="shared" si="135"/>
        <v>0</v>
      </c>
      <c r="AE333" s="1">
        <f t="shared" si="136"/>
        <v>0</v>
      </c>
      <c r="AF333" s="1">
        <f t="shared" si="121"/>
        <v>0</v>
      </c>
      <c r="AG333" s="1">
        <f t="shared" si="122"/>
        <v>0</v>
      </c>
      <c r="AH333" s="1">
        <f t="shared" si="123"/>
        <v>0</v>
      </c>
      <c r="AI333" s="1">
        <f t="shared" si="124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843</v>
      </c>
      <c r="E334" s="32" t="s">
        <v>537</v>
      </c>
      <c r="F334" s="32" t="s">
        <v>845</v>
      </c>
      <c r="G334" s="32" t="s">
        <v>219</v>
      </c>
      <c r="H334" s="32" t="s">
        <v>352</v>
      </c>
      <c r="I334" s="31" t="s">
        <v>846</v>
      </c>
      <c r="J334" s="31">
        <v>8</v>
      </c>
      <c r="K334" s="33" t="s">
        <v>709</v>
      </c>
      <c r="L334" s="33" t="s">
        <v>712</v>
      </c>
      <c r="M334" s="34" t="s">
        <v>1389</v>
      </c>
      <c r="N334" s="34" t="s">
        <v>1717</v>
      </c>
      <c r="O334" s="35">
        <v>1</v>
      </c>
      <c r="P334" s="35"/>
      <c r="Q334" s="32"/>
      <c r="S334" s="1">
        <f t="shared" si="125"/>
        <v>0</v>
      </c>
      <c r="T334" s="1">
        <f t="shared" si="126"/>
        <v>0</v>
      </c>
      <c r="U334" s="1">
        <f t="shared" si="127"/>
        <v>0</v>
      </c>
      <c r="V334" s="1">
        <f t="shared" si="128"/>
        <v>0</v>
      </c>
      <c r="W334" s="1">
        <f t="shared" si="129"/>
        <v>0</v>
      </c>
      <c r="X334" s="1">
        <f t="shared" si="130"/>
        <v>0</v>
      </c>
      <c r="Y334" s="1">
        <f t="shared" si="131"/>
        <v>0</v>
      </c>
      <c r="Z334" s="1">
        <f t="shared" si="132"/>
        <v>1</v>
      </c>
      <c r="AA334" s="1">
        <f t="shared" si="133"/>
        <v>0</v>
      </c>
      <c r="AB334" s="1">
        <f t="shared" si="134"/>
        <v>0</v>
      </c>
      <c r="AD334" s="1">
        <f t="shared" si="135"/>
        <v>0</v>
      </c>
      <c r="AE334" s="1">
        <f t="shared" si="136"/>
        <v>1</v>
      </c>
      <c r="AF334" s="1">
        <f t="shared" si="121"/>
        <v>0</v>
      </c>
      <c r="AG334" s="1">
        <f t="shared" si="122"/>
        <v>1</v>
      </c>
      <c r="AH334" s="1">
        <f t="shared" si="123"/>
        <v>0</v>
      </c>
      <c r="AI334" s="1">
        <f t="shared" si="124"/>
        <v>1</v>
      </c>
    </row>
    <row r="335" spans="1:35" ht="14.25" customHeight="1" x14ac:dyDescent="0.25">
      <c r="A335" s="31">
        <v>1</v>
      </c>
      <c r="B335" s="31">
        <v>2</v>
      </c>
      <c r="C335" s="31">
        <v>2</v>
      </c>
      <c r="D335" s="32" t="s">
        <v>843</v>
      </c>
      <c r="E335" s="32" t="s">
        <v>537</v>
      </c>
      <c r="F335" s="32" t="s">
        <v>1332</v>
      </c>
      <c r="G335" s="32" t="s">
        <v>193</v>
      </c>
      <c r="H335" s="32" t="s">
        <v>352</v>
      </c>
      <c r="I335" s="31" t="s">
        <v>844</v>
      </c>
      <c r="J335" s="31">
        <v>9</v>
      </c>
      <c r="K335" s="33" t="s">
        <v>709</v>
      </c>
      <c r="L335" s="33" t="s">
        <v>712</v>
      </c>
      <c r="M335" s="34" t="s">
        <v>1389</v>
      </c>
      <c r="N335" s="34" t="s">
        <v>1717</v>
      </c>
      <c r="O335" s="35">
        <v>1</v>
      </c>
      <c r="P335" s="35"/>
      <c r="Q335" s="32"/>
      <c r="S335" s="1">
        <f t="shared" si="125"/>
        <v>0</v>
      </c>
      <c r="T335" s="1">
        <f t="shared" si="126"/>
        <v>0</v>
      </c>
      <c r="U335" s="1">
        <f t="shared" si="127"/>
        <v>0</v>
      </c>
      <c r="V335" s="1">
        <f t="shared" si="128"/>
        <v>0</v>
      </c>
      <c r="W335" s="1">
        <f t="shared" si="129"/>
        <v>0</v>
      </c>
      <c r="X335" s="1">
        <f t="shared" si="130"/>
        <v>0</v>
      </c>
      <c r="Y335" s="1">
        <f t="shared" si="131"/>
        <v>0</v>
      </c>
      <c r="Z335" s="1">
        <f t="shared" si="132"/>
        <v>0</v>
      </c>
      <c r="AA335" s="1">
        <f t="shared" si="133"/>
        <v>1</v>
      </c>
      <c r="AB335" s="1">
        <f t="shared" si="134"/>
        <v>0</v>
      </c>
      <c r="AD335" s="1">
        <f t="shared" si="135"/>
        <v>0</v>
      </c>
      <c r="AE335" s="1">
        <f t="shared" si="136"/>
        <v>1</v>
      </c>
      <c r="AF335" s="1">
        <f t="shared" ref="AF335:AF398" si="137">+O335*P335*(1-A335)</f>
        <v>0</v>
      </c>
      <c r="AG335" s="1">
        <f t="shared" ref="AG335:AG398" si="138">O335*(1-P335)*(1-A335)</f>
        <v>0</v>
      </c>
      <c r="AH335" s="1">
        <f t="shared" ref="AH335:AH398" si="139">+P335*(1-A335)</f>
        <v>0</v>
      </c>
      <c r="AI335" s="1">
        <f t="shared" ref="AI335:AI398" si="140">+(1-A335)*(1-P335)</f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907</v>
      </c>
      <c r="E336" s="32" t="s">
        <v>776</v>
      </c>
      <c r="F336" s="32" t="s">
        <v>777</v>
      </c>
      <c r="G336" s="32" t="s">
        <v>229</v>
      </c>
      <c r="H336" s="32" t="s">
        <v>352</v>
      </c>
      <c r="I336" s="31" t="s">
        <v>779</v>
      </c>
      <c r="J336" s="31">
        <v>7</v>
      </c>
      <c r="K336" s="33" t="s">
        <v>708</v>
      </c>
      <c r="L336" s="33">
        <v>15</v>
      </c>
      <c r="M336" s="34" t="s">
        <v>39</v>
      </c>
      <c r="N336" s="34" t="s">
        <v>1717</v>
      </c>
      <c r="O336" s="35">
        <v>1</v>
      </c>
      <c r="P336" s="35"/>
      <c r="Q336" s="32"/>
      <c r="S336" s="1">
        <f t="shared" si="125"/>
        <v>0</v>
      </c>
      <c r="T336" s="1">
        <f t="shared" si="126"/>
        <v>0</v>
      </c>
      <c r="U336" s="1">
        <f t="shared" si="127"/>
        <v>0</v>
      </c>
      <c r="V336" s="1">
        <f t="shared" si="128"/>
        <v>0</v>
      </c>
      <c r="W336" s="1">
        <f t="shared" si="129"/>
        <v>0</v>
      </c>
      <c r="X336" s="1">
        <f t="shared" si="130"/>
        <v>0</v>
      </c>
      <c r="Y336" s="1">
        <f t="shared" si="131"/>
        <v>1</v>
      </c>
      <c r="Z336" s="1">
        <f t="shared" si="132"/>
        <v>0</v>
      </c>
      <c r="AA336" s="1">
        <f t="shared" si="133"/>
        <v>0</v>
      </c>
      <c r="AB336" s="1">
        <f t="shared" si="134"/>
        <v>0</v>
      </c>
      <c r="AD336" s="1">
        <f t="shared" si="135"/>
        <v>0</v>
      </c>
      <c r="AE336" s="1">
        <f t="shared" si="136"/>
        <v>1</v>
      </c>
      <c r="AF336" s="1">
        <f t="shared" si="137"/>
        <v>0</v>
      </c>
      <c r="AG336" s="1">
        <f t="shared" si="138"/>
        <v>1</v>
      </c>
      <c r="AH336" s="1">
        <f t="shared" si="139"/>
        <v>0</v>
      </c>
      <c r="AI336" s="1">
        <f t="shared" si="140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83</v>
      </c>
      <c r="E337" s="32" t="s">
        <v>156</v>
      </c>
      <c r="F337" s="32" t="s">
        <v>1846</v>
      </c>
      <c r="G337" s="32" t="s">
        <v>208</v>
      </c>
      <c r="H337" s="32" t="s">
        <v>352</v>
      </c>
      <c r="I337" s="31" t="s">
        <v>430</v>
      </c>
      <c r="J337" s="31">
        <v>99</v>
      </c>
      <c r="K337" s="33" t="s">
        <v>941</v>
      </c>
      <c r="L337" s="33" t="s">
        <v>700</v>
      </c>
      <c r="M337" s="34" t="s">
        <v>715</v>
      </c>
      <c r="N337" s="34" t="s">
        <v>1717</v>
      </c>
      <c r="O337" s="35">
        <v>1</v>
      </c>
      <c r="P337" s="35"/>
      <c r="Q337" s="32"/>
      <c r="S337" s="1">
        <f t="shared" si="125"/>
        <v>0</v>
      </c>
      <c r="T337" s="1">
        <f t="shared" si="126"/>
        <v>0</v>
      </c>
      <c r="U337" s="1">
        <f t="shared" si="127"/>
        <v>0</v>
      </c>
      <c r="V337" s="1">
        <f t="shared" si="128"/>
        <v>0</v>
      </c>
      <c r="W337" s="1">
        <f t="shared" si="129"/>
        <v>0</v>
      </c>
      <c r="X337" s="1">
        <f t="shared" si="130"/>
        <v>0</v>
      </c>
      <c r="Y337" s="1">
        <f t="shared" si="131"/>
        <v>0</v>
      </c>
      <c r="Z337" s="1">
        <f t="shared" si="132"/>
        <v>0</v>
      </c>
      <c r="AA337" s="1">
        <f t="shared" si="133"/>
        <v>0</v>
      </c>
      <c r="AB337" s="1">
        <f t="shared" si="134"/>
        <v>0</v>
      </c>
      <c r="AD337" s="1">
        <f t="shared" si="135"/>
        <v>0</v>
      </c>
      <c r="AE337" s="1">
        <f t="shared" si="136"/>
        <v>1</v>
      </c>
      <c r="AF337" s="1">
        <f t="shared" si="137"/>
        <v>0</v>
      </c>
      <c r="AG337" s="1">
        <f t="shared" si="138"/>
        <v>1</v>
      </c>
      <c r="AH337" s="1">
        <f t="shared" si="139"/>
        <v>0</v>
      </c>
      <c r="AI337" s="1">
        <f t="shared" si="140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1538</v>
      </c>
      <c r="E338" s="32" t="s">
        <v>1314</v>
      </c>
      <c r="F338" s="32" t="s">
        <v>1539</v>
      </c>
      <c r="G338" s="32" t="s">
        <v>1150</v>
      </c>
      <c r="H338" s="32" t="s">
        <v>352</v>
      </c>
      <c r="I338" s="31" t="s">
        <v>1540</v>
      </c>
      <c r="J338" s="31">
        <v>1</v>
      </c>
      <c r="K338" s="33" t="s">
        <v>709</v>
      </c>
      <c r="L338" s="33" t="s">
        <v>39</v>
      </c>
      <c r="M338" s="34" t="s">
        <v>39</v>
      </c>
      <c r="N338" s="34" t="s">
        <v>1701</v>
      </c>
      <c r="O338" s="35">
        <v>1</v>
      </c>
      <c r="P338" s="35">
        <v>1</v>
      </c>
      <c r="Q338" s="32"/>
      <c r="S338" s="1">
        <f t="shared" si="125"/>
        <v>1</v>
      </c>
      <c r="T338" s="1">
        <f t="shared" si="126"/>
        <v>0</v>
      </c>
      <c r="U338" s="1">
        <f t="shared" si="127"/>
        <v>0</v>
      </c>
      <c r="V338" s="1">
        <f t="shared" si="128"/>
        <v>0</v>
      </c>
      <c r="W338" s="1">
        <f t="shared" si="129"/>
        <v>0</v>
      </c>
      <c r="X338" s="1">
        <f t="shared" si="130"/>
        <v>0</v>
      </c>
      <c r="Y338" s="1">
        <f t="shared" si="131"/>
        <v>0</v>
      </c>
      <c r="Z338" s="1">
        <f t="shared" si="132"/>
        <v>0</v>
      </c>
      <c r="AA338" s="1">
        <f t="shared" si="133"/>
        <v>0</v>
      </c>
      <c r="AB338" s="1">
        <f t="shared" si="134"/>
        <v>0</v>
      </c>
      <c r="AD338" s="1">
        <f t="shared" si="135"/>
        <v>1</v>
      </c>
      <c r="AE338" s="1">
        <f t="shared" si="136"/>
        <v>0</v>
      </c>
      <c r="AF338" s="1">
        <f t="shared" si="137"/>
        <v>1</v>
      </c>
      <c r="AG338" s="1">
        <f t="shared" si="138"/>
        <v>0</v>
      </c>
      <c r="AH338" s="1">
        <f t="shared" si="139"/>
        <v>1</v>
      </c>
      <c r="AI338" s="1">
        <f t="shared" si="140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1718</v>
      </c>
      <c r="E339" s="32" t="s">
        <v>27</v>
      </c>
      <c r="F339" s="32" t="s">
        <v>1031</v>
      </c>
      <c r="G339" s="32" t="s">
        <v>219</v>
      </c>
      <c r="H339" s="32" t="s">
        <v>352</v>
      </c>
      <c r="I339" s="31" t="s">
        <v>1032</v>
      </c>
      <c r="J339" s="31">
        <v>8</v>
      </c>
      <c r="K339" s="33" t="s">
        <v>709</v>
      </c>
      <c r="L339" s="33">
        <v>25</v>
      </c>
      <c r="M339" s="34" t="s">
        <v>1719</v>
      </c>
      <c r="N339" s="34" t="s">
        <v>1701</v>
      </c>
      <c r="O339" s="35">
        <v>1</v>
      </c>
      <c r="P339" s="35">
        <v>1</v>
      </c>
      <c r="Q339" s="32"/>
      <c r="S339" s="1">
        <f t="shared" ref="S339:S402" si="141">IF(J339=$S$7,1,0)</f>
        <v>0</v>
      </c>
      <c r="T339" s="1">
        <f t="shared" ref="T339:T402" si="142">IF(J339=$T$7,1,0)</f>
        <v>0</v>
      </c>
      <c r="U339" s="1">
        <f t="shared" ref="U339:U402" si="143">IF(J339=$U$7,1,0)</f>
        <v>0</v>
      </c>
      <c r="V339" s="1">
        <f t="shared" ref="V339:V402" si="144">IF(J339=$V$7,1,0)</f>
        <v>0</v>
      </c>
      <c r="W339" s="1">
        <f t="shared" ref="W339:W402" si="145">IF(J339=$W$7,1,0)</f>
        <v>0</v>
      </c>
      <c r="X339" s="1">
        <f t="shared" ref="X339:X402" si="146">IF(J339=$X$7,1,0)</f>
        <v>0</v>
      </c>
      <c r="Y339" s="1">
        <f t="shared" ref="Y339:Y402" si="147">IF(J339=$Y$7,1,0)</f>
        <v>0</v>
      </c>
      <c r="Z339" s="1">
        <f t="shared" ref="Z339:Z402" si="148">IF(J339=$Z$7,1,0)</f>
        <v>1</v>
      </c>
      <c r="AA339" s="1">
        <f t="shared" ref="AA339:AA402" si="149">IF(J339=$AA$7,1,0)</f>
        <v>0</v>
      </c>
      <c r="AB339" s="1">
        <f t="shared" ref="AB339:AB402" si="150">IF(J339=$AB$7,1,0)</f>
        <v>0</v>
      </c>
      <c r="AD339" s="1">
        <f t="shared" ref="AD339:AD402" si="151">+O339*P339</f>
        <v>1</v>
      </c>
      <c r="AE339" s="1">
        <f t="shared" ref="AE339:AE402" si="152">O339*(1-P339)</f>
        <v>0</v>
      </c>
      <c r="AF339" s="1">
        <f t="shared" si="137"/>
        <v>1</v>
      </c>
      <c r="AG339" s="1">
        <f t="shared" si="138"/>
        <v>0</v>
      </c>
      <c r="AH339" s="1">
        <f t="shared" si="139"/>
        <v>1</v>
      </c>
      <c r="AI339" s="1">
        <f t="shared" si="140"/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45</v>
      </c>
      <c r="E340" s="32" t="s">
        <v>44</v>
      </c>
      <c r="F340" s="32" t="s">
        <v>665</v>
      </c>
      <c r="G340" s="32" t="s">
        <v>179</v>
      </c>
      <c r="H340" s="32" t="s">
        <v>352</v>
      </c>
      <c r="I340" s="31" t="s">
        <v>937</v>
      </c>
      <c r="J340" s="31">
        <v>10</v>
      </c>
      <c r="K340" s="33" t="s">
        <v>709</v>
      </c>
      <c r="L340" s="33" t="s">
        <v>716</v>
      </c>
      <c r="M340" s="34" t="s">
        <v>717</v>
      </c>
      <c r="N340" s="34" t="s">
        <v>1701</v>
      </c>
      <c r="O340" s="35">
        <v>1</v>
      </c>
      <c r="P340" s="35">
        <v>1</v>
      </c>
      <c r="Q340" s="32"/>
      <c r="S340" s="1">
        <f t="shared" si="141"/>
        <v>0</v>
      </c>
      <c r="T340" s="1">
        <f t="shared" si="142"/>
        <v>0</v>
      </c>
      <c r="U340" s="1">
        <f t="shared" si="143"/>
        <v>0</v>
      </c>
      <c r="V340" s="1">
        <f t="shared" si="144"/>
        <v>0</v>
      </c>
      <c r="W340" s="1">
        <f t="shared" si="145"/>
        <v>0</v>
      </c>
      <c r="X340" s="1">
        <f t="shared" si="146"/>
        <v>0</v>
      </c>
      <c r="Y340" s="1">
        <f t="shared" si="147"/>
        <v>0</v>
      </c>
      <c r="Z340" s="1">
        <f t="shared" si="148"/>
        <v>0</v>
      </c>
      <c r="AA340" s="1">
        <f t="shared" si="149"/>
        <v>0</v>
      </c>
      <c r="AB340" s="1">
        <f t="shared" si="150"/>
        <v>1</v>
      </c>
      <c r="AD340" s="1">
        <f t="shared" si="151"/>
        <v>1</v>
      </c>
      <c r="AE340" s="1">
        <f t="shared" si="152"/>
        <v>0</v>
      </c>
      <c r="AF340" s="1">
        <f t="shared" si="137"/>
        <v>1</v>
      </c>
      <c r="AG340" s="1">
        <f t="shared" si="138"/>
        <v>0</v>
      </c>
      <c r="AH340" s="1">
        <f t="shared" si="139"/>
        <v>1</v>
      </c>
      <c r="AI340" s="1">
        <f t="shared" si="140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1423</v>
      </c>
      <c r="E341" s="32" t="s">
        <v>1627</v>
      </c>
      <c r="F341" s="32" t="s">
        <v>1642</v>
      </c>
      <c r="G341" s="32" t="s">
        <v>229</v>
      </c>
      <c r="H341" s="32" t="s">
        <v>352</v>
      </c>
      <c r="I341" s="31" t="s">
        <v>1424</v>
      </c>
      <c r="J341" s="31">
        <v>99</v>
      </c>
      <c r="K341" s="33" t="s">
        <v>942</v>
      </c>
      <c r="L341" s="33">
        <v>20</v>
      </c>
      <c r="M341" s="34" t="s">
        <v>39</v>
      </c>
      <c r="N341" s="34" t="s">
        <v>1701</v>
      </c>
      <c r="O341" s="35">
        <v>1</v>
      </c>
      <c r="P341" s="35">
        <v>1</v>
      </c>
      <c r="Q341" s="32"/>
      <c r="S341" s="1">
        <f t="shared" si="141"/>
        <v>0</v>
      </c>
      <c r="T341" s="1">
        <f t="shared" si="142"/>
        <v>0</v>
      </c>
      <c r="U341" s="1">
        <f t="shared" si="143"/>
        <v>0</v>
      </c>
      <c r="V341" s="1">
        <f t="shared" si="144"/>
        <v>0</v>
      </c>
      <c r="W341" s="1">
        <f t="shared" si="145"/>
        <v>0</v>
      </c>
      <c r="X341" s="1">
        <f t="shared" si="146"/>
        <v>0</v>
      </c>
      <c r="Y341" s="1">
        <f t="shared" si="147"/>
        <v>0</v>
      </c>
      <c r="Z341" s="1">
        <f t="shared" si="148"/>
        <v>0</v>
      </c>
      <c r="AA341" s="1">
        <f t="shared" si="149"/>
        <v>0</v>
      </c>
      <c r="AB341" s="1">
        <f t="shared" si="150"/>
        <v>0</v>
      </c>
      <c r="AD341" s="1">
        <f t="shared" si="151"/>
        <v>1</v>
      </c>
      <c r="AE341" s="1">
        <f t="shared" si="152"/>
        <v>0</v>
      </c>
      <c r="AF341" s="1">
        <f t="shared" si="137"/>
        <v>1</v>
      </c>
      <c r="AG341" s="1">
        <f t="shared" si="138"/>
        <v>0</v>
      </c>
      <c r="AH341" s="1">
        <f t="shared" si="139"/>
        <v>1</v>
      </c>
      <c r="AI341" s="1">
        <f t="shared" si="140"/>
        <v>0</v>
      </c>
    </row>
    <row r="342" spans="1:35" ht="14.25" customHeight="1" x14ac:dyDescent="0.25">
      <c r="A342" s="66">
        <v>0</v>
      </c>
      <c r="B342" s="66">
        <v>2</v>
      </c>
      <c r="C342" s="66">
        <v>2</v>
      </c>
      <c r="D342" s="54" t="s">
        <v>1963</v>
      </c>
      <c r="E342" s="54" t="s">
        <v>2048</v>
      </c>
      <c r="F342" s="54" t="s">
        <v>1964</v>
      </c>
      <c r="G342" s="54" t="s">
        <v>178</v>
      </c>
      <c r="H342" s="54" t="s">
        <v>352</v>
      </c>
      <c r="I342" s="66" t="s">
        <v>1965</v>
      </c>
      <c r="J342" s="66"/>
      <c r="K342" s="66" t="s">
        <v>699</v>
      </c>
      <c r="L342" s="66"/>
      <c r="M342" s="54"/>
      <c r="N342" s="54"/>
      <c r="O342" s="67"/>
      <c r="P342" s="67">
        <v>1</v>
      </c>
      <c r="Q342" s="54"/>
      <c r="S342" s="1">
        <f t="shared" si="141"/>
        <v>0</v>
      </c>
      <c r="T342" s="1">
        <f t="shared" si="142"/>
        <v>0</v>
      </c>
      <c r="U342" s="1">
        <f t="shared" si="143"/>
        <v>0</v>
      </c>
      <c r="V342" s="1">
        <f t="shared" si="144"/>
        <v>0</v>
      </c>
      <c r="W342" s="1">
        <f t="shared" si="145"/>
        <v>0</v>
      </c>
      <c r="X342" s="1">
        <f t="shared" si="146"/>
        <v>0</v>
      </c>
      <c r="Y342" s="1">
        <f t="shared" si="147"/>
        <v>0</v>
      </c>
      <c r="Z342" s="1">
        <f t="shared" si="148"/>
        <v>0</v>
      </c>
      <c r="AA342" s="1">
        <f t="shared" si="149"/>
        <v>0</v>
      </c>
      <c r="AB342" s="1">
        <f t="shared" si="150"/>
        <v>0</v>
      </c>
      <c r="AD342" s="1">
        <f t="shared" si="151"/>
        <v>0</v>
      </c>
      <c r="AE342" s="1">
        <f t="shared" si="152"/>
        <v>0</v>
      </c>
      <c r="AF342" s="1">
        <f t="shared" si="137"/>
        <v>0</v>
      </c>
      <c r="AG342" s="1">
        <f t="shared" si="138"/>
        <v>0</v>
      </c>
      <c r="AH342" s="1">
        <f t="shared" si="139"/>
        <v>1</v>
      </c>
      <c r="AI342" s="1">
        <f t="shared" si="140"/>
        <v>0</v>
      </c>
    </row>
    <row r="343" spans="1:35" ht="14.25" customHeight="1" x14ac:dyDescent="0.25">
      <c r="A343" s="49">
        <v>0</v>
      </c>
      <c r="B343" s="49">
        <v>2</v>
      </c>
      <c r="C343" s="49">
        <v>2</v>
      </c>
      <c r="D343" s="50" t="s">
        <v>602</v>
      </c>
      <c r="E343" s="50" t="s">
        <v>603</v>
      </c>
      <c r="F343" s="50" t="s">
        <v>604</v>
      </c>
      <c r="G343" s="50" t="s">
        <v>256</v>
      </c>
      <c r="H343" s="50" t="s">
        <v>352</v>
      </c>
      <c r="I343" s="49" t="s">
        <v>605</v>
      </c>
      <c r="J343" s="49">
        <v>99</v>
      </c>
      <c r="K343" s="51" t="s">
        <v>942</v>
      </c>
      <c r="L343" s="51" t="s">
        <v>700</v>
      </c>
      <c r="M343" s="52" t="s">
        <v>1390</v>
      </c>
      <c r="N343" s="52" t="s">
        <v>1717</v>
      </c>
      <c r="O343" s="53">
        <v>1</v>
      </c>
      <c r="P343" s="53"/>
      <c r="Q343" s="50"/>
      <c r="S343" s="1">
        <f t="shared" si="141"/>
        <v>0</v>
      </c>
      <c r="T343" s="1">
        <f t="shared" si="142"/>
        <v>0</v>
      </c>
      <c r="U343" s="1">
        <f t="shared" si="143"/>
        <v>0</v>
      </c>
      <c r="V343" s="1">
        <f t="shared" si="144"/>
        <v>0</v>
      </c>
      <c r="W343" s="1">
        <f t="shared" si="145"/>
        <v>0</v>
      </c>
      <c r="X343" s="1">
        <f t="shared" si="146"/>
        <v>0</v>
      </c>
      <c r="Y343" s="1">
        <f t="shared" si="147"/>
        <v>0</v>
      </c>
      <c r="Z343" s="1">
        <f t="shared" si="148"/>
        <v>0</v>
      </c>
      <c r="AA343" s="1">
        <f t="shared" si="149"/>
        <v>0</v>
      </c>
      <c r="AB343" s="1">
        <f t="shared" si="150"/>
        <v>0</v>
      </c>
      <c r="AD343" s="1">
        <f t="shared" si="151"/>
        <v>0</v>
      </c>
      <c r="AE343" s="1">
        <f t="shared" si="152"/>
        <v>1</v>
      </c>
      <c r="AF343" s="1">
        <f t="shared" si="137"/>
        <v>0</v>
      </c>
      <c r="AG343" s="1">
        <f t="shared" si="138"/>
        <v>1</v>
      </c>
      <c r="AH343" s="1">
        <f t="shared" si="139"/>
        <v>0</v>
      </c>
      <c r="AI343" s="1">
        <f t="shared" si="140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1899</v>
      </c>
      <c r="E344" s="32" t="s">
        <v>1900</v>
      </c>
      <c r="F344" s="32" t="s">
        <v>1901</v>
      </c>
      <c r="G344" s="32" t="s">
        <v>183</v>
      </c>
      <c r="H344" s="32" t="s">
        <v>352</v>
      </c>
      <c r="I344" s="31" t="s">
        <v>1903</v>
      </c>
      <c r="J344" s="31">
        <v>99</v>
      </c>
      <c r="K344" s="33" t="s">
        <v>699</v>
      </c>
      <c r="L344" s="33"/>
      <c r="M344" s="34"/>
      <c r="N344" s="34" t="s">
        <v>1701</v>
      </c>
      <c r="O344" s="35">
        <v>1</v>
      </c>
      <c r="P344" s="35">
        <v>1</v>
      </c>
      <c r="Q344" s="32" t="s">
        <v>1902</v>
      </c>
      <c r="S344" s="1">
        <f t="shared" si="141"/>
        <v>0</v>
      </c>
      <c r="T344" s="1">
        <f t="shared" si="142"/>
        <v>0</v>
      </c>
      <c r="U344" s="1">
        <f t="shared" si="143"/>
        <v>0</v>
      </c>
      <c r="V344" s="1">
        <f t="shared" si="144"/>
        <v>0</v>
      </c>
      <c r="W344" s="1">
        <f t="shared" si="145"/>
        <v>0</v>
      </c>
      <c r="X344" s="1">
        <f t="shared" si="146"/>
        <v>0</v>
      </c>
      <c r="Y344" s="1">
        <f t="shared" si="147"/>
        <v>0</v>
      </c>
      <c r="Z344" s="1">
        <f t="shared" si="148"/>
        <v>0</v>
      </c>
      <c r="AA344" s="1">
        <f t="shared" si="149"/>
        <v>0</v>
      </c>
      <c r="AB344" s="1">
        <f t="shared" si="150"/>
        <v>0</v>
      </c>
      <c r="AD344" s="1">
        <f t="shared" si="151"/>
        <v>1</v>
      </c>
      <c r="AE344" s="1">
        <f t="shared" si="152"/>
        <v>0</v>
      </c>
      <c r="AF344" s="1">
        <f t="shared" si="137"/>
        <v>1</v>
      </c>
      <c r="AG344" s="1">
        <f t="shared" si="138"/>
        <v>0</v>
      </c>
      <c r="AH344" s="1">
        <f t="shared" si="139"/>
        <v>1</v>
      </c>
      <c r="AI344" s="1">
        <f t="shared" si="140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1617</v>
      </c>
      <c r="E345" s="32" t="s">
        <v>1152</v>
      </c>
      <c r="F345" s="32" t="s">
        <v>1648</v>
      </c>
      <c r="G345" s="32" t="s">
        <v>179</v>
      </c>
      <c r="H345" s="32" t="s">
        <v>352</v>
      </c>
      <c r="I345" s="31" t="s">
        <v>1469</v>
      </c>
      <c r="J345" s="31">
        <v>10</v>
      </c>
      <c r="K345" s="33" t="s">
        <v>708</v>
      </c>
      <c r="L345" s="33">
        <v>15</v>
      </c>
      <c r="M345" s="34" t="s">
        <v>39</v>
      </c>
      <c r="N345" s="34" t="s">
        <v>1763</v>
      </c>
      <c r="O345" s="35">
        <v>1</v>
      </c>
      <c r="P345" s="35"/>
      <c r="Q345" s="32"/>
      <c r="S345" s="1">
        <f t="shared" si="141"/>
        <v>0</v>
      </c>
      <c r="T345" s="1">
        <f t="shared" si="142"/>
        <v>0</v>
      </c>
      <c r="U345" s="1">
        <f t="shared" si="143"/>
        <v>0</v>
      </c>
      <c r="V345" s="1">
        <f t="shared" si="144"/>
        <v>0</v>
      </c>
      <c r="W345" s="1">
        <f t="shared" si="145"/>
        <v>0</v>
      </c>
      <c r="X345" s="1">
        <f t="shared" si="146"/>
        <v>0</v>
      </c>
      <c r="Y345" s="1">
        <f t="shared" si="147"/>
        <v>0</v>
      </c>
      <c r="Z345" s="1">
        <f t="shared" si="148"/>
        <v>0</v>
      </c>
      <c r="AA345" s="1">
        <f t="shared" si="149"/>
        <v>0</v>
      </c>
      <c r="AB345" s="1">
        <f t="shared" si="150"/>
        <v>1</v>
      </c>
      <c r="AD345" s="1">
        <f t="shared" si="151"/>
        <v>0</v>
      </c>
      <c r="AE345" s="1">
        <f t="shared" si="152"/>
        <v>1</v>
      </c>
      <c r="AF345" s="1">
        <f t="shared" si="137"/>
        <v>0</v>
      </c>
      <c r="AG345" s="1">
        <f t="shared" si="138"/>
        <v>1</v>
      </c>
      <c r="AH345" s="1">
        <f t="shared" si="139"/>
        <v>0</v>
      </c>
      <c r="AI345" s="1">
        <f t="shared" si="140"/>
        <v>1</v>
      </c>
    </row>
    <row r="346" spans="1:35" ht="14.25" customHeight="1" x14ac:dyDescent="0.25">
      <c r="A346" s="44">
        <v>0</v>
      </c>
      <c r="B346" s="44">
        <v>2</v>
      </c>
      <c r="C346" s="44">
        <v>2</v>
      </c>
      <c r="D346" s="45" t="s">
        <v>853</v>
      </c>
      <c r="E346" s="45" t="s">
        <v>540</v>
      </c>
      <c r="F346" s="45" t="s">
        <v>854</v>
      </c>
      <c r="G346" s="45" t="s">
        <v>312</v>
      </c>
      <c r="H346" s="45" t="s">
        <v>352</v>
      </c>
      <c r="I346" s="44" t="s">
        <v>855</v>
      </c>
      <c r="J346" s="44">
        <v>1</v>
      </c>
      <c r="K346" s="46" t="s">
        <v>708</v>
      </c>
      <c r="L346" s="46">
        <v>25</v>
      </c>
      <c r="M346" s="47" t="s">
        <v>39</v>
      </c>
      <c r="N346" s="47" t="s">
        <v>1709</v>
      </c>
      <c r="O346" s="48"/>
      <c r="P346" s="48"/>
      <c r="Q346" s="45"/>
      <c r="S346" s="1">
        <f t="shared" si="141"/>
        <v>1</v>
      </c>
      <c r="T346" s="1">
        <f t="shared" si="142"/>
        <v>0</v>
      </c>
      <c r="U346" s="1">
        <f t="shared" si="143"/>
        <v>0</v>
      </c>
      <c r="V346" s="1">
        <f t="shared" si="144"/>
        <v>0</v>
      </c>
      <c r="W346" s="1">
        <f t="shared" si="145"/>
        <v>0</v>
      </c>
      <c r="X346" s="1">
        <f t="shared" si="146"/>
        <v>0</v>
      </c>
      <c r="Y346" s="1">
        <f t="shared" si="147"/>
        <v>0</v>
      </c>
      <c r="Z346" s="1">
        <f t="shared" si="148"/>
        <v>0</v>
      </c>
      <c r="AA346" s="1">
        <f t="shared" si="149"/>
        <v>0</v>
      </c>
      <c r="AB346" s="1">
        <f t="shared" si="150"/>
        <v>0</v>
      </c>
      <c r="AD346" s="1">
        <f t="shared" si="151"/>
        <v>0</v>
      </c>
      <c r="AE346" s="1">
        <f t="shared" si="152"/>
        <v>0</v>
      </c>
      <c r="AF346" s="1">
        <f t="shared" si="137"/>
        <v>0</v>
      </c>
      <c r="AG346" s="1">
        <f t="shared" si="138"/>
        <v>0</v>
      </c>
      <c r="AH346" s="1">
        <f t="shared" si="139"/>
        <v>0</v>
      </c>
      <c r="AI346" s="1">
        <f t="shared" si="140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564</v>
      </c>
      <c r="E347" s="32" t="s">
        <v>38</v>
      </c>
      <c r="F347" s="32" t="s">
        <v>236</v>
      </c>
      <c r="G347" s="32" t="s">
        <v>535</v>
      </c>
      <c r="H347" s="32" t="s">
        <v>352</v>
      </c>
      <c r="I347" s="31" t="s">
        <v>401</v>
      </c>
      <c r="J347" s="31">
        <v>1</v>
      </c>
      <c r="K347" s="33" t="s">
        <v>708</v>
      </c>
      <c r="L347" s="33" t="s">
        <v>720</v>
      </c>
      <c r="M347" s="34" t="s">
        <v>721</v>
      </c>
      <c r="N347" s="34" t="s">
        <v>1701</v>
      </c>
      <c r="O347" s="35">
        <v>1</v>
      </c>
      <c r="P347" s="35">
        <v>1</v>
      </c>
      <c r="Q347" s="32"/>
      <c r="S347" s="1">
        <f t="shared" si="141"/>
        <v>1</v>
      </c>
      <c r="T347" s="1">
        <f t="shared" si="142"/>
        <v>0</v>
      </c>
      <c r="U347" s="1">
        <f t="shared" si="143"/>
        <v>0</v>
      </c>
      <c r="V347" s="1">
        <f t="shared" si="144"/>
        <v>0</v>
      </c>
      <c r="W347" s="1">
        <f t="shared" si="145"/>
        <v>0</v>
      </c>
      <c r="X347" s="1">
        <f t="shared" si="146"/>
        <v>0</v>
      </c>
      <c r="Y347" s="1">
        <f t="shared" si="147"/>
        <v>0</v>
      </c>
      <c r="Z347" s="1">
        <f t="shared" si="148"/>
        <v>0</v>
      </c>
      <c r="AA347" s="1">
        <f t="shared" si="149"/>
        <v>0</v>
      </c>
      <c r="AB347" s="1">
        <f t="shared" si="150"/>
        <v>0</v>
      </c>
      <c r="AD347" s="1">
        <f t="shared" si="151"/>
        <v>1</v>
      </c>
      <c r="AE347" s="1">
        <f t="shared" si="152"/>
        <v>0</v>
      </c>
      <c r="AF347" s="1">
        <f t="shared" si="137"/>
        <v>1</v>
      </c>
      <c r="AG347" s="1">
        <f t="shared" si="138"/>
        <v>0</v>
      </c>
      <c r="AH347" s="1">
        <f t="shared" si="139"/>
        <v>1</v>
      </c>
      <c r="AI347" s="1">
        <f t="shared" si="140"/>
        <v>0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34</v>
      </c>
      <c r="F348" s="45" t="s">
        <v>915</v>
      </c>
      <c r="G348" s="45" t="s">
        <v>634</v>
      </c>
      <c r="H348" s="45" t="s">
        <v>352</v>
      </c>
      <c r="I348" s="44" t="s">
        <v>842</v>
      </c>
      <c r="J348" s="44">
        <v>1</v>
      </c>
      <c r="K348" s="46" t="s">
        <v>941</v>
      </c>
      <c r="L348" s="46" t="s">
        <v>725</v>
      </c>
      <c r="M348" s="47" t="s">
        <v>719</v>
      </c>
      <c r="N348" s="47" t="s">
        <v>1709</v>
      </c>
      <c r="O348" s="48"/>
      <c r="P348" s="48"/>
      <c r="Q348" s="45"/>
      <c r="S348" s="1">
        <f t="shared" si="141"/>
        <v>1</v>
      </c>
      <c r="T348" s="1">
        <f t="shared" si="142"/>
        <v>0</v>
      </c>
      <c r="U348" s="1">
        <f t="shared" si="143"/>
        <v>0</v>
      </c>
      <c r="V348" s="1">
        <f t="shared" si="144"/>
        <v>0</v>
      </c>
      <c r="W348" s="1">
        <f t="shared" si="145"/>
        <v>0</v>
      </c>
      <c r="X348" s="1">
        <f t="shared" si="146"/>
        <v>0</v>
      </c>
      <c r="Y348" s="1">
        <f t="shared" si="147"/>
        <v>0</v>
      </c>
      <c r="Z348" s="1">
        <f t="shared" si="148"/>
        <v>0</v>
      </c>
      <c r="AA348" s="1">
        <f t="shared" si="149"/>
        <v>0</v>
      </c>
      <c r="AB348" s="1">
        <f t="shared" si="150"/>
        <v>0</v>
      </c>
      <c r="AD348" s="1">
        <f t="shared" si="151"/>
        <v>0</v>
      </c>
      <c r="AE348" s="1">
        <f t="shared" si="152"/>
        <v>0</v>
      </c>
      <c r="AF348" s="1">
        <f t="shared" si="137"/>
        <v>0</v>
      </c>
      <c r="AG348" s="1">
        <f t="shared" si="138"/>
        <v>0</v>
      </c>
      <c r="AH348" s="1">
        <f t="shared" si="139"/>
        <v>0</v>
      </c>
      <c r="AI348" s="1">
        <f t="shared" si="140"/>
        <v>1</v>
      </c>
    </row>
    <row r="349" spans="1:35" ht="14.25" customHeight="1" x14ac:dyDescent="0.25">
      <c r="A349" s="44">
        <v>0</v>
      </c>
      <c r="B349" s="44">
        <v>2</v>
      </c>
      <c r="C349" s="44">
        <v>3</v>
      </c>
      <c r="D349" s="45" t="s">
        <v>784</v>
      </c>
      <c r="E349" s="45" t="s">
        <v>32</v>
      </c>
      <c r="F349" s="45" t="s">
        <v>785</v>
      </c>
      <c r="G349" s="45" t="s">
        <v>250</v>
      </c>
      <c r="H349" s="45" t="s">
        <v>352</v>
      </c>
      <c r="I349" s="44" t="s">
        <v>786</v>
      </c>
      <c r="J349" s="44">
        <v>99</v>
      </c>
      <c r="K349" s="46" t="s">
        <v>709</v>
      </c>
      <c r="L349" s="46" t="s">
        <v>718</v>
      </c>
      <c r="M349" s="47" t="s">
        <v>719</v>
      </c>
      <c r="N349" s="47" t="s">
        <v>1783</v>
      </c>
      <c r="O349" s="48"/>
      <c r="P349" s="48"/>
      <c r="Q349" s="45"/>
      <c r="S349" s="1">
        <f t="shared" si="141"/>
        <v>0</v>
      </c>
      <c r="T349" s="1">
        <f t="shared" si="142"/>
        <v>0</v>
      </c>
      <c r="U349" s="1">
        <f t="shared" si="143"/>
        <v>0</v>
      </c>
      <c r="V349" s="1">
        <f t="shared" si="144"/>
        <v>0</v>
      </c>
      <c r="W349" s="1">
        <f t="shared" si="145"/>
        <v>0</v>
      </c>
      <c r="X349" s="1">
        <f t="shared" si="146"/>
        <v>0</v>
      </c>
      <c r="Y349" s="1">
        <f t="shared" si="147"/>
        <v>0</v>
      </c>
      <c r="Z349" s="1">
        <f t="shared" si="148"/>
        <v>0</v>
      </c>
      <c r="AA349" s="1">
        <f t="shared" si="149"/>
        <v>0</v>
      </c>
      <c r="AB349" s="1">
        <f t="shared" si="150"/>
        <v>0</v>
      </c>
      <c r="AD349" s="1">
        <f t="shared" si="151"/>
        <v>0</v>
      </c>
      <c r="AE349" s="1">
        <f t="shared" si="152"/>
        <v>0</v>
      </c>
      <c r="AF349" s="1">
        <f t="shared" si="137"/>
        <v>0</v>
      </c>
      <c r="AG349" s="1">
        <f t="shared" si="138"/>
        <v>0</v>
      </c>
      <c r="AH349" s="1">
        <f t="shared" si="139"/>
        <v>0</v>
      </c>
      <c r="AI349" s="1">
        <f t="shared" si="140"/>
        <v>1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56</v>
      </c>
      <c r="E350" s="45" t="s">
        <v>160</v>
      </c>
      <c r="F350" s="45" t="s">
        <v>218</v>
      </c>
      <c r="G350" s="45" t="s">
        <v>195</v>
      </c>
      <c r="H350" s="45" t="s">
        <v>352</v>
      </c>
      <c r="I350" s="44" t="s">
        <v>547</v>
      </c>
      <c r="J350" s="44">
        <v>99</v>
      </c>
      <c r="K350" s="46" t="s">
        <v>709</v>
      </c>
      <c r="L350" s="46" t="s">
        <v>718</v>
      </c>
      <c r="M350" s="47" t="s">
        <v>719</v>
      </c>
      <c r="N350" s="47" t="s">
        <v>1776</v>
      </c>
      <c r="O350" s="48"/>
      <c r="P350" s="48"/>
      <c r="Q350" s="45"/>
      <c r="S350" s="1">
        <f t="shared" si="141"/>
        <v>0</v>
      </c>
      <c r="T350" s="1">
        <f t="shared" si="142"/>
        <v>0</v>
      </c>
      <c r="U350" s="1">
        <f t="shared" si="143"/>
        <v>0</v>
      </c>
      <c r="V350" s="1">
        <f t="shared" si="144"/>
        <v>0</v>
      </c>
      <c r="W350" s="1">
        <f t="shared" si="145"/>
        <v>0</v>
      </c>
      <c r="X350" s="1">
        <f t="shared" si="146"/>
        <v>0</v>
      </c>
      <c r="Y350" s="1">
        <f t="shared" si="147"/>
        <v>0</v>
      </c>
      <c r="Z350" s="1">
        <f t="shared" si="148"/>
        <v>0</v>
      </c>
      <c r="AA350" s="1">
        <f t="shared" si="149"/>
        <v>0</v>
      </c>
      <c r="AB350" s="1">
        <f t="shared" si="150"/>
        <v>0</v>
      </c>
      <c r="AD350" s="1">
        <f t="shared" si="151"/>
        <v>0</v>
      </c>
      <c r="AE350" s="1">
        <f t="shared" si="152"/>
        <v>0</v>
      </c>
      <c r="AF350" s="1">
        <f t="shared" si="137"/>
        <v>0</v>
      </c>
      <c r="AG350" s="1">
        <f t="shared" si="138"/>
        <v>0</v>
      </c>
      <c r="AH350" s="1">
        <f t="shared" si="139"/>
        <v>0</v>
      </c>
      <c r="AI350" s="1">
        <f t="shared" si="140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1159</v>
      </c>
      <c r="E351" s="32" t="s">
        <v>1315</v>
      </c>
      <c r="F351" s="32" t="s">
        <v>1160</v>
      </c>
      <c r="G351" s="32" t="s">
        <v>300</v>
      </c>
      <c r="H351" s="32" t="s">
        <v>352</v>
      </c>
      <c r="I351" s="31" t="s">
        <v>1161</v>
      </c>
      <c r="J351" s="31">
        <v>1</v>
      </c>
      <c r="K351" s="33" t="s">
        <v>942</v>
      </c>
      <c r="L351" s="33" t="s">
        <v>689</v>
      </c>
      <c r="M351" s="34" t="s">
        <v>1391</v>
      </c>
      <c r="N351" s="34" t="s">
        <v>1717</v>
      </c>
      <c r="O351" s="35">
        <v>1</v>
      </c>
      <c r="P351" s="35"/>
      <c r="Q351" s="32"/>
      <c r="S351" s="1">
        <f t="shared" si="141"/>
        <v>1</v>
      </c>
      <c r="T351" s="1">
        <f t="shared" si="142"/>
        <v>0</v>
      </c>
      <c r="U351" s="1">
        <f t="shared" si="143"/>
        <v>0</v>
      </c>
      <c r="V351" s="1">
        <f t="shared" si="144"/>
        <v>0</v>
      </c>
      <c r="W351" s="1">
        <f t="shared" si="145"/>
        <v>0</v>
      </c>
      <c r="X351" s="1">
        <f t="shared" si="146"/>
        <v>0</v>
      </c>
      <c r="Y351" s="1">
        <f t="shared" si="147"/>
        <v>0</v>
      </c>
      <c r="Z351" s="1">
        <f t="shared" si="148"/>
        <v>0</v>
      </c>
      <c r="AA351" s="1">
        <f t="shared" si="149"/>
        <v>0</v>
      </c>
      <c r="AB351" s="1">
        <f t="shared" si="150"/>
        <v>0</v>
      </c>
      <c r="AD351" s="1">
        <f t="shared" si="151"/>
        <v>0</v>
      </c>
      <c r="AE351" s="1">
        <f t="shared" si="152"/>
        <v>1</v>
      </c>
      <c r="AF351" s="1">
        <f t="shared" si="137"/>
        <v>0</v>
      </c>
      <c r="AG351" s="1">
        <f t="shared" si="138"/>
        <v>1</v>
      </c>
      <c r="AH351" s="1">
        <f t="shared" si="139"/>
        <v>0</v>
      </c>
      <c r="AI351" s="1">
        <f t="shared" si="140"/>
        <v>1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1156</v>
      </c>
      <c r="E352" s="32" t="s">
        <v>1315</v>
      </c>
      <c r="F352" s="32" t="s">
        <v>1157</v>
      </c>
      <c r="G352" s="32" t="s">
        <v>1043</v>
      </c>
      <c r="H352" s="32" t="s">
        <v>352</v>
      </c>
      <c r="I352" s="31" t="s">
        <v>1158</v>
      </c>
      <c r="J352" s="31">
        <v>1</v>
      </c>
      <c r="K352" s="33" t="s">
        <v>709</v>
      </c>
      <c r="L352" s="33" t="s">
        <v>689</v>
      </c>
      <c r="M352" s="34" t="s">
        <v>1391</v>
      </c>
      <c r="N352" s="34" t="s">
        <v>1717</v>
      </c>
      <c r="O352" s="35">
        <v>1</v>
      </c>
      <c r="P352" s="35"/>
      <c r="Q352" s="32"/>
      <c r="S352" s="1">
        <f t="shared" si="141"/>
        <v>1</v>
      </c>
      <c r="T352" s="1">
        <f t="shared" si="142"/>
        <v>0</v>
      </c>
      <c r="U352" s="1">
        <f t="shared" si="143"/>
        <v>0</v>
      </c>
      <c r="V352" s="1">
        <f t="shared" si="144"/>
        <v>0</v>
      </c>
      <c r="W352" s="1">
        <f t="shared" si="145"/>
        <v>0</v>
      </c>
      <c r="X352" s="1">
        <f t="shared" si="146"/>
        <v>0</v>
      </c>
      <c r="Y352" s="1">
        <f t="shared" si="147"/>
        <v>0</v>
      </c>
      <c r="Z352" s="1">
        <f t="shared" si="148"/>
        <v>0</v>
      </c>
      <c r="AA352" s="1">
        <f t="shared" si="149"/>
        <v>0</v>
      </c>
      <c r="AB352" s="1">
        <f t="shared" si="150"/>
        <v>0</v>
      </c>
      <c r="AD352" s="1">
        <f t="shared" si="151"/>
        <v>0</v>
      </c>
      <c r="AE352" s="1">
        <f t="shared" si="152"/>
        <v>1</v>
      </c>
      <c r="AF352" s="1">
        <f t="shared" si="137"/>
        <v>0</v>
      </c>
      <c r="AG352" s="1">
        <f t="shared" si="138"/>
        <v>1</v>
      </c>
      <c r="AH352" s="1">
        <f t="shared" si="139"/>
        <v>0</v>
      </c>
      <c r="AI352" s="1">
        <f t="shared" si="140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1274</v>
      </c>
      <c r="E353" s="32" t="s">
        <v>32</v>
      </c>
      <c r="F353" s="32" t="s">
        <v>1275</v>
      </c>
      <c r="G353" s="32" t="s">
        <v>221</v>
      </c>
      <c r="H353" s="32" t="s">
        <v>352</v>
      </c>
      <c r="I353" s="31" t="s">
        <v>1663</v>
      </c>
      <c r="J353" s="31">
        <v>99</v>
      </c>
      <c r="K353" s="33" t="s">
        <v>709</v>
      </c>
      <c r="L353" s="33" t="s">
        <v>712</v>
      </c>
      <c r="M353" s="34" t="s">
        <v>1276</v>
      </c>
      <c r="N353" s="34" t="s">
        <v>1701</v>
      </c>
      <c r="O353" s="35">
        <v>1</v>
      </c>
      <c r="P353" s="35">
        <v>1</v>
      </c>
      <c r="Q353" s="32"/>
      <c r="S353" s="1">
        <f t="shared" si="141"/>
        <v>0</v>
      </c>
      <c r="T353" s="1">
        <f t="shared" si="142"/>
        <v>0</v>
      </c>
      <c r="U353" s="1">
        <f t="shared" si="143"/>
        <v>0</v>
      </c>
      <c r="V353" s="1">
        <f t="shared" si="144"/>
        <v>0</v>
      </c>
      <c r="W353" s="1">
        <f t="shared" si="145"/>
        <v>0</v>
      </c>
      <c r="X353" s="1">
        <f t="shared" si="146"/>
        <v>0</v>
      </c>
      <c r="Y353" s="1">
        <f t="shared" si="147"/>
        <v>0</v>
      </c>
      <c r="Z353" s="1">
        <f t="shared" si="148"/>
        <v>0</v>
      </c>
      <c r="AA353" s="1">
        <f t="shared" si="149"/>
        <v>0</v>
      </c>
      <c r="AB353" s="1">
        <f t="shared" si="150"/>
        <v>0</v>
      </c>
      <c r="AD353" s="1">
        <f t="shared" si="151"/>
        <v>1</v>
      </c>
      <c r="AE353" s="1">
        <f t="shared" si="152"/>
        <v>0</v>
      </c>
      <c r="AF353" s="1">
        <f t="shared" si="137"/>
        <v>1</v>
      </c>
      <c r="AG353" s="1">
        <f t="shared" si="138"/>
        <v>0</v>
      </c>
      <c r="AH353" s="1">
        <f t="shared" si="139"/>
        <v>1</v>
      </c>
      <c r="AI353" s="1">
        <f t="shared" si="140"/>
        <v>0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752</v>
      </c>
      <c r="E354" s="32" t="s">
        <v>902</v>
      </c>
      <c r="F354" s="32" t="s">
        <v>753</v>
      </c>
      <c r="G354" s="32" t="s">
        <v>219</v>
      </c>
      <c r="H354" s="32" t="s">
        <v>352</v>
      </c>
      <c r="I354" s="31" t="s">
        <v>754</v>
      </c>
      <c r="J354" s="31">
        <v>8</v>
      </c>
      <c r="K354" s="33" t="s">
        <v>942</v>
      </c>
      <c r="L354" s="33" t="s">
        <v>725</v>
      </c>
      <c r="M354" s="34" t="s">
        <v>719</v>
      </c>
      <c r="N354" s="34" t="s">
        <v>1722</v>
      </c>
      <c r="O354" s="35">
        <v>1</v>
      </c>
      <c r="P354" s="35"/>
      <c r="Q354" s="32"/>
      <c r="S354" s="1">
        <f t="shared" si="141"/>
        <v>0</v>
      </c>
      <c r="T354" s="1">
        <f t="shared" si="142"/>
        <v>0</v>
      </c>
      <c r="U354" s="1">
        <f t="shared" si="143"/>
        <v>0</v>
      </c>
      <c r="V354" s="1">
        <f t="shared" si="144"/>
        <v>0</v>
      </c>
      <c r="W354" s="1">
        <f t="shared" si="145"/>
        <v>0</v>
      </c>
      <c r="X354" s="1">
        <f t="shared" si="146"/>
        <v>0</v>
      </c>
      <c r="Y354" s="1">
        <f t="shared" si="147"/>
        <v>0</v>
      </c>
      <c r="Z354" s="1">
        <f t="shared" si="148"/>
        <v>1</v>
      </c>
      <c r="AA354" s="1">
        <f t="shared" si="149"/>
        <v>0</v>
      </c>
      <c r="AB354" s="1">
        <f t="shared" si="150"/>
        <v>0</v>
      </c>
      <c r="AD354" s="1">
        <f t="shared" si="151"/>
        <v>0</v>
      </c>
      <c r="AE354" s="1">
        <f t="shared" si="152"/>
        <v>1</v>
      </c>
      <c r="AF354" s="1">
        <f t="shared" si="137"/>
        <v>0</v>
      </c>
      <c r="AG354" s="1">
        <f t="shared" si="138"/>
        <v>1</v>
      </c>
      <c r="AH354" s="1">
        <f t="shared" si="139"/>
        <v>0</v>
      </c>
      <c r="AI354" s="1">
        <f t="shared" si="140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1470</v>
      </c>
      <c r="E355" s="45" t="s">
        <v>1471</v>
      </c>
      <c r="F355" s="45" t="s">
        <v>1472</v>
      </c>
      <c r="G355" s="45" t="s">
        <v>237</v>
      </c>
      <c r="H355" s="45" t="s">
        <v>352</v>
      </c>
      <c r="I355" s="44" t="s">
        <v>1473</v>
      </c>
      <c r="J355" s="44">
        <v>4</v>
      </c>
      <c r="K355" s="46" t="s">
        <v>708</v>
      </c>
      <c r="L355" s="46">
        <v>15</v>
      </c>
      <c r="M355" s="47" t="s">
        <v>39</v>
      </c>
      <c r="N355" s="47" t="s">
        <v>1776</v>
      </c>
      <c r="O355" s="48"/>
      <c r="P355" s="48"/>
      <c r="Q355" s="45"/>
      <c r="S355" s="1">
        <f t="shared" si="141"/>
        <v>0</v>
      </c>
      <c r="T355" s="1">
        <f t="shared" si="142"/>
        <v>0</v>
      </c>
      <c r="U355" s="1">
        <f t="shared" si="143"/>
        <v>0</v>
      </c>
      <c r="V355" s="1">
        <f t="shared" si="144"/>
        <v>1</v>
      </c>
      <c r="W355" s="1">
        <f t="shared" si="145"/>
        <v>0</v>
      </c>
      <c r="X355" s="1">
        <f t="shared" si="146"/>
        <v>0</v>
      </c>
      <c r="Y355" s="1">
        <f t="shared" si="147"/>
        <v>0</v>
      </c>
      <c r="Z355" s="1">
        <f t="shared" si="148"/>
        <v>0</v>
      </c>
      <c r="AA355" s="1">
        <f t="shared" si="149"/>
        <v>0</v>
      </c>
      <c r="AB355" s="1">
        <f t="shared" si="150"/>
        <v>0</v>
      </c>
      <c r="AD355" s="1">
        <f t="shared" si="151"/>
        <v>0</v>
      </c>
      <c r="AE355" s="1">
        <f t="shared" si="152"/>
        <v>0</v>
      </c>
      <c r="AF355" s="1">
        <f t="shared" si="137"/>
        <v>0</v>
      </c>
      <c r="AG355" s="1">
        <f t="shared" si="138"/>
        <v>0</v>
      </c>
      <c r="AH355" s="1">
        <f t="shared" si="139"/>
        <v>0</v>
      </c>
      <c r="AI355" s="1">
        <f t="shared" si="140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1527</v>
      </c>
      <c r="E356" s="32" t="s">
        <v>1528</v>
      </c>
      <c r="F356" s="32" t="s">
        <v>1529</v>
      </c>
      <c r="G356" s="32" t="s">
        <v>1530</v>
      </c>
      <c r="H356" s="32" t="s">
        <v>352</v>
      </c>
      <c r="I356" s="31" t="s">
        <v>1531</v>
      </c>
      <c r="J356" s="31">
        <v>7</v>
      </c>
      <c r="K356" s="33" t="s">
        <v>942</v>
      </c>
      <c r="L356" s="33">
        <v>10</v>
      </c>
      <c r="M356" s="34" t="s">
        <v>39</v>
      </c>
      <c r="N356" s="34" t="s">
        <v>1717</v>
      </c>
      <c r="O356" s="35">
        <v>1</v>
      </c>
      <c r="P356" s="35"/>
      <c r="Q356" s="32"/>
      <c r="S356" s="1">
        <f t="shared" si="141"/>
        <v>0</v>
      </c>
      <c r="T356" s="1">
        <f t="shared" si="142"/>
        <v>0</v>
      </c>
      <c r="U356" s="1">
        <f t="shared" si="143"/>
        <v>0</v>
      </c>
      <c r="V356" s="1">
        <f t="shared" si="144"/>
        <v>0</v>
      </c>
      <c r="W356" s="1">
        <f t="shared" si="145"/>
        <v>0</v>
      </c>
      <c r="X356" s="1">
        <f t="shared" si="146"/>
        <v>0</v>
      </c>
      <c r="Y356" s="1">
        <f t="shared" si="147"/>
        <v>1</v>
      </c>
      <c r="Z356" s="1">
        <f t="shared" si="148"/>
        <v>0</v>
      </c>
      <c r="AA356" s="1">
        <f t="shared" si="149"/>
        <v>0</v>
      </c>
      <c r="AB356" s="1">
        <f t="shared" si="150"/>
        <v>0</v>
      </c>
      <c r="AD356" s="1">
        <f t="shared" si="151"/>
        <v>0</v>
      </c>
      <c r="AE356" s="1">
        <f t="shared" si="152"/>
        <v>1</v>
      </c>
      <c r="AF356" s="1">
        <f t="shared" si="137"/>
        <v>0</v>
      </c>
      <c r="AG356" s="1">
        <f t="shared" si="138"/>
        <v>1</v>
      </c>
      <c r="AH356" s="1">
        <f t="shared" si="139"/>
        <v>0</v>
      </c>
      <c r="AI356" s="1">
        <f t="shared" si="140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832</v>
      </c>
      <c r="E357" s="32" t="s">
        <v>32</v>
      </c>
      <c r="F357" s="32" t="s">
        <v>834</v>
      </c>
      <c r="G357" s="32" t="s">
        <v>39</v>
      </c>
      <c r="H357" s="32" t="s">
        <v>352</v>
      </c>
      <c r="I357" s="31" t="s">
        <v>833</v>
      </c>
      <c r="J357" s="31">
        <v>1</v>
      </c>
      <c r="K357" s="33" t="s">
        <v>709</v>
      </c>
      <c r="L357" s="33" t="s">
        <v>690</v>
      </c>
      <c r="M357" s="34" t="s">
        <v>1391</v>
      </c>
      <c r="N357" s="34" t="s">
        <v>1717</v>
      </c>
      <c r="O357" s="35">
        <v>1</v>
      </c>
      <c r="P357" s="35"/>
      <c r="Q357" s="32"/>
      <c r="S357" s="1">
        <f t="shared" si="141"/>
        <v>1</v>
      </c>
      <c r="T357" s="1">
        <f t="shared" si="142"/>
        <v>0</v>
      </c>
      <c r="U357" s="1">
        <f t="shared" si="143"/>
        <v>0</v>
      </c>
      <c r="V357" s="1">
        <f t="shared" si="144"/>
        <v>0</v>
      </c>
      <c r="W357" s="1">
        <f t="shared" si="145"/>
        <v>0</v>
      </c>
      <c r="X357" s="1">
        <f t="shared" si="146"/>
        <v>0</v>
      </c>
      <c r="Y357" s="1">
        <f t="shared" si="147"/>
        <v>0</v>
      </c>
      <c r="Z357" s="1">
        <f t="shared" si="148"/>
        <v>0</v>
      </c>
      <c r="AA357" s="1">
        <f t="shared" si="149"/>
        <v>0</v>
      </c>
      <c r="AB357" s="1">
        <f t="shared" si="150"/>
        <v>0</v>
      </c>
      <c r="AD357" s="1">
        <f t="shared" si="151"/>
        <v>0</v>
      </c>
      <c r="AE357" s="1">
        <f t="shared" si="152"/>
        <v>1</v>
      </c>
      <c r="AF357" s="1">
        <f t="shared" si="137"/>
        <v>0</v>
      </c>
      <c r="AG357" s="1">
        <f t="shared" si="138"/>
        <v>1</v>
      </c>
      <c r="AH357" s="1">
        <f t="shared" si="139"/>
        <v>0</v>
      </c>
      <c r="AI357" s="1">
        <f t="shared" si="140"/>
        <v>1</v>
      </c>
    </row>
    <row r="358" spans="1:35" ht="14.25" customHeight="1" x14ac:dyDescent="0.25">
      <c r="A358" s="15">
        <v>0</v>
      </c>
      <c r="B358" s="15">
        <v>2</v>
      </c>
      <c r="C358" s="15">
        <v>4</v>
      </c>
      <c r="D358" s="16" t="s">
        <v>755</v>
      </c>
      <c r="E358" s="16" t="s">
        <v>756</v>
      </c>
      <c r="F358" s="16" t="s">
        <v>757</v>
      </c>
      <c r="G358" s="16" t="s">
        <v>758</v>
      </c>
      <c r="H358" s="16" t="s">
        <v>352</v>
      </c>
      <c r="I358" s="15" t="s">
        <v>759</v>
      </c>
      <c r="J358" s="15">
        <v>99</v>
      </c>
      <c r="K358" s="10" t="s">
        <v>699</v>
      </c>
      <c r="L358" s="10">
        <v>15</v>
      </c>
      <c r="M358" s="19" t="s">
        <v>760</v>
      </c>
      <c r="N358" s="19"/>
      <c r="Q358" s="16"/>
      <c r="S358" s="1">
        <f t="shared" si="141"/>
        <v>0</v>
      </c>
      <c r="T358" s="1">
        <f t="shared" si="142"/>
        <v>0</v>
      </c>
      <c r="U358" s="1">
        <f t="shared" si="143"/>
        <v>0</v>
      </c>
      <c r="V358" s="1">
        <f t="shared" si="144"/>
        <v>0</v>
      </c>
      <c r="W358" s="1">
        <f t="shared" si="145"/>
        <v>0</v>
      </c>
      <c r="X358" s="1">
        <f t="shared" si="146"/>
        <v>0</v>
      </c>
      <c r="Y358" s="1">
        <f t="shared" si="147"/>
        <v>0</v>
      </c>
      <c r="Z358" s="1">
        <f t="shared" si="148"/>
        <v>0</v>
      </c>
      <c r="AA358" s="1">
        <f t="shared" si="149"/>
        <v>0</v>
      </c>
      <c r="AB358" s="1">
        <f t="shared" si="150"/>
        <v>0</v>
      </c>
      <c r="AD358" s="1">
        <f t="shared" si="151"/>
        <v>0</v>
      </c>
      <c r="AE358" s="1">
        <f t="shared" si="152"/>
        <v>0</v>
      </c>
      <c r="AF358" s="1">
        <f t="shared" si="137"/>
        <v>0</v>
      </c>
      <c r="AG358" s="1">
        <f t="shared" si="138"/>
        <v>0</v>
      </c>
      <c r="AH358" s="1">
        <f t="shared" si="139"/>
        <v>0</v>
      </c>
      <c r="AI358" s="1">
        <f t="shared" si="140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789</v>
      </c>
      <c r="E359" s="32" t="s">
        <v>897</v>
      </c>
      <c r="F359" s="32" t="s">
        <v>914</v>
      </c>
      <c r="G359" s="32" t="s">
        <v>207</v>
      </c>
      <c r="H359" s="32" t="s">
        <v>352</v>
      </c>
      <c r="I359" s="31" t="s">
        <v>1341</v>
      </c>
      <c r="J359" s="31">
        <v>3</v>
      </c>
      <c r="K359" s="33" t="s">
        <v>699</v>
      </c>
      <c r="L359" s="33">
        <v>20</v>
      </c>
      <c r="M359" s="34" t="s">
        <v>1393</v>
      </c>
      <c r="N359" s="34" t="s">
        <v>1799</v>
      </c>
      <c r="O359" s="35">
        <v>1</v>
      </c>
      <c r="P359" s="35"/>
      <c r="Q359" s="32"/>
      <c r="S359" s="1">
        <f t="shared" si="141"/>
        <v>0</v>
      </c>
      <c r="T359" s="1">
        <f t="shared" si="142"/>
        <v>0</v>
      </c>
      <c r="U359" s="1">
        <f t="shared" si="143"/>
        <v>1</v>
      </c>
      <c r="V359" s="1">
        <f t="shared" si="144"/>
        <v>0</v>
      </c>
      <c r="W359" s="1">
        <f t="shared" si="145"/>
        <v>0</v>
      </c>
      <c r="X359" s="1">
        <f t="shared" si="146"/>
        <v>0</v>
      </c>
      <c r="Y359" s="1">
        <f t="shared" si="147"/>
        <v>0</v>
      </c>
      <c r="Z359" s="1">
        <f t="shared" si="148"/>
        <v>0</v>
      </c>
      <c r="AA359" s="1">
        <f t="shared" si="149"/>
        <v>0</v>
      </c>
      <c r="AB359" s="1">
        <f t="shared" si="150"/>
        <v>0</v>
      </c>
      <c r="AD359" s="1">
        <f t="shared" si="151"/>
        <v>0</v>
      </c>
      <c r="AE359" s="1">
        <f t="shared" si="152"/>
        <v>1</v>
      </c>
      <c r="AF359" s="1">
        <f t="shared" si="137"/>
        <v>0</v>
      </c>
      <c r="AG359" s="1">
        <f t="shared" si="138"/>
        <v>1</v>
      </c>
      <c r="AH359" s="1">
        <f t="shared" si="139"/>
        <v>0</v>
      </c>
      <c r="AI359" s="1">
        <f t="shared" si="140"/>
        <v>1</v>
      </c>
    </row>
    <row r="360" spans="1:35" ht="14.25" customHeight="1" x14ac:dyDescent="0.25">
      <c r="A360" s="57">
        <v>0</v>
      </c>
      <c r="B360" s="57">
        <v>2</v>
      </c>
      <c r="C360" s="57">
        <v>4</v>
      </c>
      <c r="D360" s="58" t="s">
        <v>563</v>
      </c>
      <c r="E360" s="58" t="s">
        <v>37</v>
      </c>
      <c r="F360" s="58" t="s">
        <v>204</v>
      </c>
      <c r="G360" s="58" t="s">
        <v>39</v>
      </c>
      <c r="H360" s="58" t="s">
        <v>352</v>
      </c>
      <c r="I360" s="57" t="s">
        <v>387</v>
      </c>
      <c r="J360" s="57">
        <v>6</v>
      </c>
      <c r="K360" s="59" t="s">
        <v>699</v>
      </c>
      <c r="L360" s="59" t="s">
        <v>39</v>
      </c>
      <c r="M360" s="60" t="s">
        <v>39</v>
      </c>
      <c r="N360" s="61"/>
      <c r="O360" s="62"/>
      <c r="P360" s="62"/>
      <c r="Q360" s="58"/>
      <c r="S360" s="1">
        <f t="shared" si="141"/>
        <v>0</v>
      </c>
      <c r="T360" s="1">
        <f t="shared" si="142"/>
        <v>0</v>
      </c>
      <c r="U360" s="1">
        <f t="shared" si="143"/>
        <v>0</v>
      </c>
      <c r="V360" s="1">
        <f t="shared" si="144"/>
        <v>0</v>
      </c>
      <c r="W360" s="1">
        <f t="shared" si="145"/>
        <v>0</v>
      </c>
      <c r="X360" s="1">
        <f t="shared" si="146"/>
        <v>1</v>
      </c>
      <c r="Y360" s="1">
        <f t="shared" si="147"/>
        <v>0</v>
      </c>
      <c r="Z360" s="1">
        <f t="shared" si="148"/>
        <v>0</v>
      </c>
      <c r="AA360" s="1">
        <f t="shared" si="149"/>
        <v>0</v>
      </c>
      <c r="AB360" s="1">
        <f t="shared" si="150"/>
        <v>0</v>
      </c>
      <c r="AD360" s="1">
        <f t="shared" si="151"/>
        <v>0</v>
      </c>
      <c r="AE360" s="1">
        <f t="shared" si="152"/>
        <v>0</v>
      </c>
      <c r="AF360" s="1">
        <f t="shared" si="137"/>
        <v>0</v>
      </c>
      <c r="AG360" s="1">
        <f t="shared" si="138"/>
        <v>0</v>
      </c>
      <c r="AH360" s="1">
        <f t="shared" si="139"/>
        <v>0</v>
      </c>
      <c r="AI360" s="1">
        <f t="shared" si="140"/>
        <v>1</v>
      </c>
    </row>
    <row r="361" spans="1:35" ht="14.25" customHeight="1" x14ac:dyDescent="0.25">
      <c r="A361" s="44">
        <v>0</v>
      </c>
      <c r="B361" s="44">
        <v>2</v>
      </c>
      <c r="C361" s="44">
        <v>4</v>
      </c>
      <c r="D361" s="45" t="s">
        <v>649</v>
      </c>
      <c r="E361" s="45" t="s">
        <v>899</v>
      </c>
      <c r="F361" s="45" t="s">
        <v>620</v>
      </c>
      <c r="G361" s="45" t="s">
        <v>339</v>
      </c>
      <c r="H361" s="45" t="s">
        <v>352</v>
      </c>
      <c r="I361" s="44" t="s">
        <v>621</v>
      </c>
      <c r="J361" s="44">
        <v>10</v>
      </c>
      <c r="K361" s="46" t="s">
        <v>941</v>
      </c>
      <c r="L361" s="46" t="s">
        <v>700</v>
      </c>
      <c r="M361" s="47" t="s">
        <v>1394</v>
      </c>
      <c r="N361" s="47" t="s">
        <v>1708</v>
      </c>
      <c r="O361" s="48"/>
      <c r="P361" s="48"/>
      <c r="Q361" s="45"/>
      <c r="S361" s="1">
        <f t="shared" si="141"/>
        <v>0</v>
      </c>
      <c r="T361" s="1">
        <f t="shared" si="142"/>
        <v>0</v>
      </c>
      <c r="U361" s="1">
        <f t="shared" si="143"/>
        <v>0</v>
      </c>
      <c r="V361" s="1">
        <f t="shared" si="144"/>
        <v>0</v>
      </c>
      <c r="W361" s="1">
        <f t="shared" si="145"/>
        <v>0</v>
      </c>
      <c r="X361" s="1">
        <f t="shared" si="146"/>
        <v>0</v>
      </c>
      <c r="Y361" s="1">
        <f t="shared" si="147"/>
        <v>0</v>
      </c>
      <c r="Z361" s="1">
        <f t="shared" si="148"/>
        <v>0</v>
      </c>
      <c r="AA361" s="1">
        <f t="shared" si="149"/>
        <v>0</v>
      </c>
      <c r="AB361" s="1">
        <f t="shared" si="150"/>
        <v>1</v>
      </c>
      <c r="AD361" s="1">
        <f t="shared" si="151"/>
        <v>0</v>
      </c>
      <c r="AE361" s="1">
        <f t="shared" si="152"/>
        <v>0</v>
      </c>
      <c r="AF361" s="1">
        <f t="shared" si="137"/>
        <v>0</v>
      </c>
      <c r="AG361" s="1">
        <f t="shared" si="138"/>
        <v>0</v>
      </c>
      <c r="AH361" s="1">
        <f t="shared" si="139"/>
        <v>0</v>
      </c>
      <c r="AI361" s="1">
        <f t="shared" si="140"/>
        <v>1</v>
      </c>
    </row>
    <row r="362" spans="1:35" ht="14.25" customHeight="1" x14ac:dyDescent="0.25">
      <c r="A362" s="31">
        <v>0</v>
      </c>
      <c r="B362" s="31">
        <v>2</v>
      </c>
      <c r="C362" s="31">
        <v>4</v>
      </c>
      <c r="D362" s="32" t="s">
        <v>75</v>
      </c>
      <c r="E362" s="32" t="s">
        <v>35</v>
      </c>
      <c r="F362" s="32" t="s">
        <v>265</v>
      </c>
      <c r="G362" s="32" t="s">
        <v>212</v>
      </c>
      <c r="H362" s="32" t="s">
        <v>352</v>
      </c>
      <c r="I362" s="31" t="s">
        <v>933</v>
      </c>
      <c r="J362" s="31">
        <v>1</v>
      </c>
      <c r="K362" s="33" t="s">
        <v>709</v>
      </c>
      <c r="L362" s="33" t="s">
        <v>700</v>
      </c>
      <c r="M362" s="34" t="s">
        <v>1395</v>
      </c>
      <c r="N362" s="34" t="s">
        <v>1717</v>
      </c>
      <c r="O362" s="35">
        <v>1</v>
      </c>
      <c r="P362" s="35"/>
      <c r="Q362" s="32"/>
      <c r="S362" s="1">
        <f t="shared" si="141"/>
        <v>1</v>
      </c>
      <c r="T362" s="1">
        <f t="shared" si="142"/>
        <v>0</v>
      </c>
      <c r="U362" s="1">
        <f t="shared" si="143"/>
        <v>0</v>
      </c>
      <c r="V362" s="1">
        <f t="shared" si="144"/>
        <v>0</v>
      </c>
      <c r="W362" s="1">
        <f t="shared" si="145"/>
        <v>0</v>
      </c>
      <c r="X362" s="1">
        <f t="shared" si="146"/>
        <v>0</v>
      </c>
      <c r="Y362" s="1">
        <f t="shared" si="147"/>
        <v>0</v>
      </c>
      <c r="Z362" s="1">
        <f t="shared" si="148"/>
        <v>0</v>
      </c>
      <c r="AA362" s="1">
        <f t="shared" si="149"/>
        <v>0</v>
      </c>
      <c r="AB362" s="1">
        <f t="shared" si="150"/>
        <v>0</v>
      </c>
      <c r="AD362" s="1">
        <f t="shared" si="151"/>
        <v>0</v>
      </c>
      <c r="AE362" s="1">
        <f t="shared" si="152"/>
        <v>1</v>
      </c>
      <c r="AF362" s="1">
        <f t="shared" si="137"/>
        <v>0</v>
      </c>
      <c r="AG362" s="1">
        <f t="shared" si="138"/>
        <v>1</v>
      </c>
      <c r="AH362" s="1">
        <f t="shared" si="139"/>
        <v>0</v>
      </c>
      <c r="AI362" s="1">
        <f t="shared" si="140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908</v>
      </c>
      <c r="E363" s="32" t="s">
        <v>901</v>
      </c>
      <c r="F363" s="32" t="s">
        <v>773</v>
      </c>
      <c r="G363" s="32" t="s">
        <v>283</v>
      </c>
      <c r="H363" s="32" t="s">
        <v>352</v>
      </c>
      <c r="I363" s="31" t="s">
        <v>934</v>
      </c>
      <c r="J363" s="31">
        <v>4</v>
      </c>
      <c r="K363" s="33" t="s">
        <v>709</v>
      </c>
      <c r="L363" s="33" t="s">
        <v>692</v>
      </c>
      <c r="M363" s="34" t="s">
        <v>1396</v>
      </c>
      <c r="N363" s="34" t="s">
        <v>1723</v>
      </c>
      <c r="O363" s="35">
        <v>1</v>
      </c>
      <c r="P363" s="35"/>
      <c r="Q363" s="32"/>
      <c r="S363" s="1">
        <f t="shared" si="141"/>
        <v>0</v>
      </c>
      <c r="T363" s="1">
        <f t="shared" si="142"/>
        <v>0</v>
      </c>
      <c r="U363" s="1">
        <f t="shared" si="143"/>
        <v>0</v>
      </c>
      <c r="V363" s="1">
        <f t="shared" si="144"/>
        <v>1</v>
      </c>
      <c r="W363" s="1">
        <f t="shared" si="145"/>
        <v>0</v>
      </c>
      <c r="X363" s="1">
        <f t="shared" si="146"/>
        <v>0</v>
      </c>
      <c r="Y363" s="1">
        <f t="shared" si="147"/>
        <v>0</v>
      </c>
      <c r="Z363" s="1">
        <f t="shared" si="148"/>
        <v>0</v>
      </c>
      <c r="AA363" s="1">
        <f t="shared" si="149"/>
        <v>0</v>
      </c>
      <c r="AB363" s="1">
        <f t="shared" si="150"/>
        <v>0</v>
      </c>
      <c r="AD363" s="1">
        <f t="shared" si="151"/>
        <v>0</v>
      </c>
      <c r="AE363" s="1">
        <f t="shared" si="152"/>
        <v>1</v>
      </c>
      <c r="AF363" s="1">
        <f t="shared" si="137"/>
        <v>0</v>
      </c>
      <c r="AG363" s="1">
        <f t="shared" si="138"/>
        <v>1</v>
      </c>
      <c r="AH363" s="1">
        <f t="shared" si="139"/>
        <v>0</v>
      </c>
      <c r="AI363" s="1">
        <f t="shared" si="140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625</v>
      </c>
      <c r="E364" s="16" t="s">
        <v>681</v>
      </c>
      <c r="F364" s="16" t="s">
        <v>666</v>
      </c>
      <c r="G364" s="16" t="s">
        <v>624</v>
      </c>
      <c r="H364" s="16" t="s">
        <v>352</v>
      </c>
      <c r="I364" s="15" t="s">
        <v>626</v>
      </c>
      <c r="J364" s="15">
        <v>99</v>
      </c>
      <c r="K364" s="10" t="s">
        <v>942</v>
      </c>
      <c r="L364" s="10" t="s">
        <v>39</v>
      </c>
      <c r="M364" s="19" t="s">
        <v>39</v>
      </c>
      <c r="N364" s="17"/>
      <c r="Q364" s="20" t="s">
        <v>1871</v>
      </c>
      <c r="S364" s="1">
        <f t="shared" si="141"/>
        <v>0</v>
      </c>
      <c r="T364" s="1">
        <f t="shared" si="142"/>
        <v>0</v>
      </c>
      <c r="U364" s="1">
        <f t="shared" si="143"/>
        <v>0</v>
      </c>
      <c r="V364" s="1">
        <f t="shared" si="144"/>
        <v>0</v>
      </c>
      <c r="W364" s="1">
        <f t="shared" si="145"/>
        <v>0</v>
      </c>
      <c r="X364" s="1">
        <f t="shared" si="146"/>
        <v>0</v>
      </c>
      <c r="Y364" s="1">
        <f t="shared" si="147"/>
        <v>0</v>
      </c>
      <c r="Z364" s="1">
        <f t="shared" si="148"/>
        <v>0</v>
      </c>
      <c r="AA364" s="1">
        <f t="shared" si="149"/>
        <v>0</v>
      </c>
      <c r="AB364" s="1">
        <f t="shared" si="150"/>
        <v>0</v>
      </c>
      <c r="AD364" s="1">
        <f t="shared" si="151"/>
        <v>0</v>
      </c>
      <c r="AE364" s="1">
        <f t="shared" si="152"/>
        <v>0</v>
      </c>
      <c r="AF364" s="1">
        <f t="shared" si="137"/>
        <v>0</v>
      </c>
      <c r="AG364" s="1">
        <f t="shared" si="138"/>
        <v>0</v>
      </c>
      <c r="AH364" s="1">
        <f t="shared" si="139"/>
        <v>0</v>
      </c>
      <c r="AI364" s="1">
        <f t="shared" si="140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84</v>
      </c>
      <c r="E365" s="32" t="s">
        <v>35</v>
      </c>
      <c r="F365" s="32" t="s">
        <v>276</v>
      </c>
      <c r="G365" s="32" t="s">
        <v>223</v>
      </c>
      <c r="H365" s="32" t="s">
        <v>352</v>
      </c>
      <c r="I365" s="31" t="s">
        <v>431</v>
      </c>
      <c r="J365" s="31">
        <v>99</v>
      </c>
      <c r="K365" s="33" t="s">
        <v>941</v>
      </c>
      <c r="L365" s="33" t="s">
        <v>700</v>
      </c>
      <c r="M365" s="34" t="s">
        <v>722</v>
      </c>
      <c r="N365" s="34" t="s">
        <v>1735</v>
      </c>
      <c r="O365" s="35">
        <v>1</v>
      </c>
      <c r="P365" s="35"/>
      <c r="Q365" s="32"/>
      <c r="S365" s="1">
        <f t="shared" si="141"/>
        <v>0</v>
      </c>
      <c r="T365" s="1">
        <f t="shared" si="142"/>
        <v>0</v>
      </c>
      <c r="U365" s="1">
        <f t="shared" si="143"/>
        <v>0</v>
      </c>
      <c r="V365" s="1">
        <f t="shared" si="144"/>
        <v>0</v>
      </c>
      <c r="W365" s="1">
        <f t="shared" si="145"/>
        <v>0</v>
      </c>
      <c r="X365" s="1">
        <f t="shared" si="146"/>
        <v>0</v>
      </c>
      <c r="Y365" s="1">
        <f t="shared" si="147"/>
        <v>0</v>
      </c>
      <c r="Z365" s="1">
        <f t="shared" si="148"/>
        <v>0</v>
      </c>
      <c r="AA365" s="1">
        <f t="shared" si="149"/>
        <v>0</v>
      </c>
      <c r="AB365" s="1">
        <f t="shared" si="150"/>
        <v>0</v>
      </c>
      <c r="AD365" s="1">
        <f t="shared" si="151"/>
        <v>0</v>
      </c>
      <c r="AE365" s="1">
        <f t="shared" si="152"/>
        <v>1</v>
      </c>
      <c r="AF365" s="1">
        <f t="shared" si="137"/>
        <v>0</v>
      </c>
      <c r="AG365" s="1">
        <f t="shared" si="138"/>
        <v>1</v>
      </c>
      <c r="AH365" s="1">
        <f t="shared" si="139"/>
        <v>0</v>
      </c>
      <c r="AI365" s="1">
        <f t="shared" si="140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870</v>
      </c>
      <c r="E366" s="16" t="s">
        <v>763</v>
      </c>
      <c r="F366" s="16" t="s">
        <v>868</v>
      </c>
      <c r="G366" s="16" t="s">
        <v>278</v>
      </c>
      <c r="H366" s="16" t="s">
        <v>352</v>
      </c>
      <c r="I366" s="15" t="s">
        <v>869</v>
      </c>
      <c r="J366" s="15">
        <v>99</v>
      </c>
      <c r="K366" s="10" t="s">
        <v>699</v>
      </c>
      <c r="L366" s="10">
        <v>25</v>
      </c>
      <c r="M366" s="19" t="s">
        <v>1397</v>
      </c>
      <c r="N366" s="19"/>
      <c r="Q366" s="16"/>
      <c r="S366" s="1">
        <f t="shared" si="141"/>
        <v>0</v>
      </c>
      <c r="T366" s="1">
        <f t="shared" si="142"/>
        <v>0</v>
      </c>
      <c r="U366" s="1">
        <f t="shared" si="143"/>
        <v>0</v>
      </c>
      <c r="V366" s="1">
        <f t="shared" si="144"/>
        <v>0</v>
      </c>
      <c r="W366" s="1">
        <f t="shared" si="145"/>
        <v>0</v>
      </c>
      <c r="X366" s="1">
        <f t="shared" si="146"/>
        <v>0</v>
      </c>
      <c r="Y366" s="1">
        <f t="shared" si="147"/>
        <v>0</v>
      </c>
      <c r="Z366" s="1">
        <f t="shared" si="148"/>
        <v>0</v>
      </c>
      <c r="AA366" s="1">
        <f t="shared" si="149"/>
        <v>0</v>
      </c>
      <c r="AB366" s="1">
        <f t="shared" si="150"/>
        <v>0</v>
      </c>
      <c r="AD366" s="1">
        <f t="shared" si="151"/>
        <v>0</v>
      </c>
      <c r="AE366" s="1">
        <f t="shared" si="152"/>
        <v>0</v>
      </c>
      <c r="AF366" s="1">
        <f t="shared" si="137"/>
        <v>0</v>
      </c>
      <c r="AG366" s="1">
        <f t="shared" si="138"/>
        <v>0</v>
      </c>
      <c r="AH366" s="1">
        <f t="shared" si="139"/>
        <v>0</v>
      </c>
      <c r="AI366" s="1">
        <f t="shared" si="140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911</v>
      </c>
      <c r="E367" s="32" t="s">
        <v>763</v>
      </c>
      <c r="F367" s="32" t="s">
        <v>835</v>
      </c>
      <c r="G367" s="32" t="s">
        <v>208</v>
      </c>
      <c r="H367" s="32" t="s">
        <v>352</v>
      </c>
      <c r="I367" s="31" t="s">
        <v>836</v>
      </c>
      <c r="J367" s="31">
        <v>99</v>
      </c>
      <c r="K367" s="33" t="s">
        <v>708</v>
      </c>
      <c r="L367" s="33" t="s">
        <v>700</v>
      </c>
      <c r="M367" s="34" t="s">
        <v>722</v>
      </c>
      <c r="N367" s="34" t="s">
        <v>1730</v>
      </c>
      <c r="O367" s="35">
        <v>1</v>
      </c>
      <c r="P367" s="35"/>
      <c r="Q367" s="32"/>
      <c r="S367" s="1">
        <f t="shared" si="141"/>
        <v>0</v>
      </c>
      <c r="T367" s="1">
        <f t="shared" si="142"/>
        <v>0</v>
      </c>
      <c r="U367" s="1">
        <f t="shared" si="143"/>
        <v>0</v>
      </c>
      <c r="V367" s="1">
        <f t="shared" si="144"/>
        <v>0</v>
      </c>
      <c r="W367" s="1">
        <f t="shared" si="145"/>
        <v>0</v>
      </c>
      <c r="X367" s="1">
        <f t="shared" si="146"/>
        <v>0</v>
      </c>
      <c r="Y367" s="1">
        <f t="shared" si="147"/>
        <v>0</v>
      </c>
      <c r="Z367" s="1">
        <f t="shared" si="148"/>
        <v>0</v>
      </c>
      <c r="AA367" s="1">
        <f t="shared" si="149"/>
        <v>0</v>
      </c>
      <c r="AB367" s="1">
        <f t="shared" si="150"/>
        <v>0</v>
      </c>
      <c r="AD367" s="1">
        <f t="shared" si="151"/>
        <v>0</v>
      </c>
      <c r="AE367" s="1">
        <f t="shared" si="152"/>
        <v>1</v>
      </c>
      <c r="AF367" s="1">
        <f t="shared" si="137"/>
        <v>0</v>
      </c>
      <c r="AG367" s="1">
        <f t="shared" si="138"/>
        <v>1</v>
      </c>
      <c r="AH367" s="1">
        <f t="shared" si="139"/>
        <v>0</v>
      </c>
      <c r="AI367" s="1">
        <f t="shared" si="14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1998</v>
      </c>
      <c r="E368" s="32" t="s">
        <v>35</v>
      </c>
      <c r="F368" s="32" t="s">
        <v>1999</v>
      </c>
      <c r="G368" s="32" t="s">
        <v>208</v>
      </c>
      <c r="H368" s="32" t="s">
        <v>352</v>
      </c>
      <c r="I368" s="31" t="s">
        <v>2000</v>
      </c>
      <c r="J368" s="31">
        <v>99</v>
      </c>
      <c r="K368" s="33" t="s">
        <v>699</v>
      </c>
      <c r="L368" s="33">
        <v>25</v>
      </c>
      <c r="M368" s="34" t="s">
        <v>2002</v>
      </c>
      <c r="N368" s="34" t="s">
        <v>1823</v>
      </c>
      <c r="O368" s="35">
        <v>1</v>
      </c>
      <c r="P368" s="35"/>
      <c r="Q368" s="32" t="s">
        <v>2001</v>
      </c>
      <c r="S368" s="1">
        <f t="shared" si="141"/>
        <v>0</v>
      </c>
      <c r="T368" s="1">
        <f t="shared" si="142"/>
        <v>0</v>
      </c>
      <c r="U368" s="1">
        <f t="shared" si="143"/>
        <v>0</v>
      </c>
      <c r="V368" s="1">
        <f t="shared" si="144"/>
        <v>0</v>
      </c>
      <c r="W368" s="1">
        <f t="shared" si="145"/>
        <v>0</v>
      </c>
      <c r="X368" s="1">
        <f t="shared" si="146"/>
        <v>0</v>
      </c>
      <c r="Y368" s="1">
        <f t="shared" si="147"/>
        <v>0</v>
      </c>
      <c r="Z368" s="1">
        <f t="shared" si="148"/>
        <v>0</v>
      </c>
      <c r="AA368" s="1">
        <f t="shared" si="149"/>
        <v>0</v>
      </c>
      <c r="AB368" s="1">
        <f t="shared" si="150"/>
        <v>0</v>
      </c>
      <c r="AD368" s="1">
        <f t="shared" si="151"/>
        <v>0</v>
      </c>
      <c r="AE368" s="1">
        <f t="shared" si="152"/>
        <v>1</v>
      </c>
      <c r="AF368" s="1">
        <f t="shared" si="137"/>
        <v>0</v>
      </c>
      <c r="AG368" s="1">
        <f t="shared" si="138"/>
        <v>1</v>
      </c>
      <c r="AH368" s="1">
        <f t="shared" si="139"/>
        <v>0</v>
      </c>
      <c r="AI368" s="1">
        <f t="shared" si="140"/>
        <v>1</v>
      </c>
    </row>
    <row r="369" spans="1:35" ht="14.25" customHeight="1" x14ac:dyDescent="0.25">
      <c r="A369" s="44">
        <v>0</v>
      </c>
      <c r="B369" s="44">
        <v>2</v>
      </c>
      <c r="C369" s="44">
        <v>4</v>
      </c>
      <c r="D369" s="45" t="s">
        <v>1204</v>
      </c>
      <c r="E369" s="45" t="s">
        <v>1203</v>
      </c>
      <c r="F369" s="45" t="s">
        <v>1205</v>
      </c>
      <c r="G369" s="45" t="s">
        <v>531</v>
      </c>
      <c r="H369" s="45" t="s">
        <v>352</v>
      </c>
      <c r="I369" s="44" t="s">
        <v>1206</v>
      </c>
      <c r="J369" s="44">
        <v>99</v>
      </c>
      <c r="K369" s="46" t="s">
        <v>709</v>
      </c>
      <c r="L369" s="46" t="s">
        <v>690</v>
      </c>
      <c r="M369" s="47" t="s">
        <v>1398</v>
      </c>
      <c r="N369" s="47" t="s">
        <v>1721</v>
      </c>
      <c r="O369" s="48"/>
      <c r="P369" s="48"/>
      <c r="Q369" s="45"/>
      <c r="S369" s="1">
        <f t="shared" si="141"/>
        <v>0</v>
      </c>
      <c r="T369" s="1">
        <f t="shared" si="142"/>
        <v>0</v>
      </c>
      <c r="U369" s="1">
        <f t="shared" si="143"/>
        <v>0</v>
      </c>
      <c r="V369" s="1">
        <f t="shared" si="144"/>
        <v>0</v>
      </c>
      <c r="W369" s="1">
        <f t="shared" si="145"/>
        <v>0</v>
      </c>
      <c r="X369" s="1">
        <f t="shared" si="146"/>
        <v>0</v>
      </c>
      <c r="Y369" s="1">
        <f t="shared" si="147"/>
        <v>0</v>
      </c>
      <c r="Z369" s="1">
        <f t="shared" si="148"/>
        <v>0</v>
      </c>
      <c r="AA369" s="1">
        <f t="shared" si="149"/>
        <v>0</v>
      </c>
      <c r="AB369" s="1">
        <f t="shared" si="150"/>
        <v>0</v>
      </c>
      <c r="AD369" s="1">
        <f t="shared" si="151"/>
        <v>0</v>
      </c>
      <c r="AE369" s="1">
        <f t="shared" si="152"/>
        <v>0</v>
      </c>
      <c r="AF369" s="1">
        <f t="shared" si="137"/>
        <v>0</v>
      </c>
      <c r="AG369" s="1">
        <f t="shared" si="138"/>
        <v>0</v>
      </c>
      <c r="AH369" s="1">
        <f t="shared" si="139"/>
        <v>0</v>
      </c>
      <c r="AI369" s="1">
        <f t="shared" si="140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814</v>
      </c>
      <c r="E370" s="32" t="s">
        <v>586</v>
      </c>
      <c r="F370" s="32" t="s">
        <v>815</v>
      </c>
      <c r="G370" s="32" t="s">
        <v>925</v>
      </c>
      <c r="H370" s="32" t="s">
        <v>352</v>
      </c>
      <c r="I370" s="31" t="s">
        <v>938</v>
      </c>
      <c r="J370" s="31">
        <v>7</v>
      </c>
      <c r="K370" s="33" t="s">
        <v>708</v>
      </c>
      <c r="L370" s="33" t="s">
        <v>39</v>
      </c>
      <c r="M370" s="34" t="s">
        <v>39</v>
      </c>
      <c r="N370" s="34" t="s">
        <v>1701</v>
      </c>
      <c r="O370" s="35">
        <v>1</v>
      </c>
      <c r="P370" s="35">
        <v>1</v>
      </c>
      <c r="Q370" s="32"/>
      <c r="S370" s="1">
        <f t="shared" si="141"/>
        <v>0</v>
      </c>
      <c r="T370" s="1">
        <f t="shared" si="142"/>
        <v>0</v>
      </c>
      <c r="U370" s="1">
        <f t="shared" si="143"/>
        <v>0</v>
      </c>
      <c r="V370" s="1">
        <f t="shared" si="144"/>
        <v>0</v>
      </c>
      <c r="W370" s="1">
        <f t="shared" si="145"/>
        <v>0</v>
      </c>
      <c r="X370" s="1">
        <f t="shared" si="146"/>
        <v>0</v>
      </c>
      <c r="Y370" s="1">
        <f t="shared" si="147"/>
        <v>1</v>
      </c>
      <c r="Z370" s="1">
        <f t="shared" si="148"/>
        <v>0</v>
      </c>
      <c r="AA370" s="1">
        <f t="shared" si="149"/>
        <v>0</v>
      </c>
      <c r="AB370" s="1">
        <f t="shared" si="150"/>
        <v>0</v>
      </c>
      <c r="AD370" s="1">
        <f t="shared" si="151"/>
        <v>1</v>
      </c>
      <c r="AE370" s="1">
        <f t="shared" si="152"/>
        <v>0</v>
      </c>
      <c r="AF370" s="1">
        <f t="shared" si="137"/>
        <v>1</v>
      </c>
      <c r="AG370" s="1">
        <f t="shared" si="138"/>
        <v>0</v>
      </c>
      <c r="AH370" s="1">
        <f t="shared" si="139"/>
        <v>1</v>
      </c>
      <c r="AI370" s="1">
        <f t="shared" si="140"/>
        <v>0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1579</v>
      </c>
      <c r="E371" s="45" t="s">
        <v>1629</v>
      </c>
      <c r="F371" s="45" t="s">
        <v>1580</v>
      </c>
      <c r="G371" s="45" t="s">
        <v>331</v>
      </c>
      <c r="H371" s="45" t="s">
        <v>352</v>
      </c>
      <c r="I371" s="44" t="s">
        <v>30</v>
      </c>
      <c r="J371" s="44">
        <v>99</v>
      </c>
      <c r="K371" s="46" t="s">
        <v>709</v>
      </c>
      <c r="L371" s="46">
        <v>20</v>
      </c>
      <c r="M371" s="47" t="s">
        <v>39</v>
      </c>
      <c r="N371" s="47" t="s">
        <v>1715</v>
      </c>
      <c r="O371" s="48"/>
      <c r="P371" s="48"/>
      <c r="Q371" s="45"/>
      <c r="S371" s="1">
        <f t="shared" si="141"/>
        <v>0</v>
      </c>
      <c r="T371" s="1">
        <f t="shared" si="142"/>
        <v>0</v>
      </c>
      <c r="U371" s="1">
        <f t="shared" si="143"/>
        <v>0</v>
      </c>
      <c r="V371" s="1">
        <f t="shared" si="144"/>
        <v>0</v>
      </c>
      <c r="W371" s="1">
        <f t="shared" si="145"/>
        <v>0</v>
      </c>
      <c r="X371" s="1">
        <f t="shared" si="146"/>
        <v>0</v>
      </c>
      <c r="Y371" s="1">
        <f t="shared" si="147"/>
        <v>0</v>
      </c>
      <c r="Z371" s="1">
        <f t="shared" si="148"/>
        <v>0</v>
      </c>
      <c r="AA371" s="1">
        <f t="shared" si="149"/>
        <v>0</v>
      </c>
      <c r="AB371" s="1">
        <f t="shared" si="150"/>
        <v>0</v>
      </c>
      <c r="AD371" s="1">
        <f t="shared" si="151"/>
        <v>0</v>
      </c>
      <c r="AE371" s="1">
        <f t="shared" si="152"/>
        <v>0</v>
      </c>
      <c r="AF371" s="1">
        <f t="shared" si="137"/>
        <v>0</v>
      </c>
      <c r="AG371" s="1">
        <f t="shared" si="138"/>
        <v>0</v>
      </c>
      <c r="AH371" s="1">
        <f t="shared" si="139"/>
        <v>0</v>
      </c>
      <c r="AI371" s="1">
        <f t="shared" si="140"/>
        <v>1</v>
      </c>
    </row>
    <row r="372" spans="1:35" ht="14.25" customHeight="1" x14ac:dyDescent="0.25">
      <c r="A372" s="31">
        <v>0</v>
      </c>
      <c r="B372" s="31">
        <v>2</v>
      </c>
      <c r="C372" s="31">
        <v>5</v>
      </c>
      <c r="D372" s="32" t="s">
        <v>58</v>
      </c>
      <c r="E372" s="32" t="s">
        <v>44</v>
      </c>
      <c r="F372" s="32" t="s">
        <v>667</v>
      </c>
      <c r="G372" s="32" t="s">
        <v>222</v>
      </c>
      <c r="H372" s="32" t="s">
        <v>352</v>
      </c>
      <c r="I372" s="31" t="s">
        <v>395</v>
      </c>
      <c r="J372" s="31">
        <v>8</v>
      </c>
      <c r="K372" s="33" t="s">
        <v>709</v>
      </c>
      <c r="L372" s="33" t="s">
        <v>712</v>
      </c>
      <c r="M372" s="34" t="s">
        <v>1399</v>
      </c>
      <c r="N372" s="34" t="s">
        <v>1722</v>
      </c>
      <c r="O372" s="35">
        <v>1</v>
      </c>
      <c r="P372" s="35"/>
      <c r="Q372" s="32"/>
      <c r="S372" s="1">
        <f t="shared" si="141"/>
        <v>0</v>
      </c>
      <c r="T372" s="1">
        <f t="shared" si="142"/>
        <v>0</v>
      </c>
      <c r="U372" s="1">
        <f t="shared" si="143"/>
        <v>0</v>
      </c>
      <c r="V372" s="1">
        <f t="shared" si="144"/>
        <v>0</v>
      </c>
      <c r="W372" s="1">
        <f t="shared" si="145"/>
        <v>0</v>
      </c>
      <c r="X372" s="1">
        <f t="shared" si="146"/>
        <v>0</v>
      </c>
      <c r="Y372" s="1">
        <f t="shared" si="147"/>
        <v>0</v>
      </c>
      <c r="Z372" s="1">
        <f t="shared" si="148"/>
        <v>1</v>
      </c>
      <c r="AA372" s="1">
        <f t="shared" si="149"/>
        <v>0</v>
      </c>
      <c r="AB372" s="1">
        <f t="shared" si="150"/>
        <v>0</v>
      </c>
      <c r="AD372" s="1">
        <f t="shared" si="151"/>
        <v>0</v>
      </c>
      <c r="AE372" s="1">
        <f t="shared" si="152"/>
        <v>1</v>
      </c>
      <c r="AF372" s="1">
        <f t="shared" si="137"/>
        <v>0</v>
      </c>
      <c r="AG372" s="1">
        <f t="shared" si="138"/>
        <v>1</v>
      </c>
      <c r="AH372" s="1">
        <f t="shared" si="139"/>
        <v>0</v>
      </c>
      <c r="AI372" s="1">
        <f t="shared" si="140"/>
        <v>1</v>
      </c>
    </row>
    <row r="373" spans="1:35" ht="14.25" customHeight="1" x14ac:dyDescent="0.25">
      <c r="A373" s="44">
        <v>0</v>
      </c>
      <c r="B373" s="44">
        <v>2</v>
      </c>
      <c r="C373" s="44">
        <v>5</v>
      </c>
      <c r="D373" s="45" t="s">
        <v>823</v>
      </c>
      <c r="E373" s="45" t="s">
        <v>822</v>
      </c>
      <c r="F373" s="45" t="s">
        <v>913</v>
      </c>
      <c r="G373" s="45" t="s">
        <v>212</v>
      </c>
      <c r="H373" s="45" t="s">
        <v>352</v>
      </c>
      <c r="I373" s="44" t="s">
        <v>824</v>
      </c>
      <c r="J373" s="44">
        <v>1</v>
      </c>
      <c r="K373" s="46" t="s">
        <v>708</v>
      </c>
      <c r="L373" s="46" t="s">
        <v>689</v>
      </c>
      <c r="M373" s="47" t="s">
        <v>1400</v>
      </c>
      <c r="N373" s="47" t="s">
        <v>1709</v>
      </c>
      <c r="O373" s="48"/>
      <c r="P373" s="48"/>
      <c r="Q373" s="45"/>
      <c r="S373" s="1">
        <f t="shared" si="141"/>
        <v>1</v>
      </c>
      <c r="T373" s="1">
        <f t="shared" si="142"/>
        <v>0</v>
      </c>
      <c r="U373" s="1">
        <f t="shared" si="143"/>
        <v>0</v>
      </c>
      <c r="V373" s="1">
        <f t="shared" si="144"/>
        <v>0</v>
      </c>
      <c r="W373" s="1">
        <f t="shared" si="145"/>
        <v>0</v>
      </c>
      <c r="X373" s="1">
        <f t="shared" si="146"/>
        <v>0</v>
      </c>
      <c r="Y373" s="1">
        <f t="shared" si="147"/>
        <v>0</v>
      </c>
      <c r="Z373" s="1">
        <f t="shared" si="148"/>
        <v>0</v>
      </c>
      <c r="AA373" s="1">
        <f t="shared" si="149"/>
        <v>0</v>
      </c>
      <c r="AB373" s="1">
        <f t="shared" si="150"/>
        <v>0</v>
      </c>
      <c r="AD373" s="1">
        <f t="shared" si="151"/>
        <v>0</v>
      </c>
      <c r="AE373" s="1">
        <f t="shared" si="152"/>
        <v>0</v>
      </c>
      <c r="AF373" s="1">
        <f t="shared" si="137"/>
        <v>0</v>
      </c>
      <c r="AG373" s="1">
        <f t="shared" si="138"/>
        <v>0</v>
      </c>
      <c r="AH373" s="1">
        <f t="shared" si="139"/>
        <v>0</v>
      </c>
      <c r="AI373" s="1">
        <f t="shared" si="140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6" t="s">
        <v>2031</v>
      </c>
      <c r="E374" s="36" t="s">
        <v>169</v>
      </c>
      <c r="F374" s="36" t="s">
        <v>2032</v>
      </c>
      <c r="G374" s="36" t="s">
        <v>1508</v>
      </c>
      <c r="H374" s="36" t="s">
        <v>352</v>
      </c>
      <c r="I374" s="37" t="s">
        <v>2033</v>
      </c>
      <c r="J374" s="31">
        <v>5</v>
      </c>
      <c r="K374" s="33" t="s">
        <v>699</v>
      </c>
      <c r="L374" s="33"/>
      <c r="M374" s="34"/>
      <c r="N374" s="34" t="s">
        <v>1701</v>
      </c>
      <c r="O374" s="35">
        <v>1</v>
      </c>
      <c r="P374" s="35">
        <v>1</v>
      </c>
      <c r="Q374" s="36" t="s">
        <v>2034</v>
      </c>
      <c r="S374" s="1">
        <f t="shared" si="141"/>
        <v>0</v>
      </c>
      <c r="T374" s="1">
        <f t="shared" si="142"/>
        <v>0</v>
      </c>
      <c r="U374" s="1">
        <f t="shared" si="143"/>
        <v>0</v>
      </c>
      <c r="V374" s="1">
        <f t="shared" si="144"/>
        <v>0</v>
      </c>
      <c r="W374" s="1">
        <f t="shared" si="145"/>
        <v>1</v>
      </c>
      <c r="X374" s="1">
        <f t="shared" si="146"/>
        <v>0</v>
      </c>
      <c r="Y374" s="1">
        <f t="shared" si="147"/>
        <v>0</v>
      </c>
      <c r="Z374" s="1">
        <f t="shared" si="148"/>
        <v>0</v>
      </c>
      <c r="AA374" s="1">
        <f t="shared" si="149"/>
        <v>0</v>
      </c>
      <c r="AB374" s="1">
        <f t="shared" si="150"/>
        <v>0</v>
      </c>
      <c r="AD374" s="1">
        <f t="shared" si="151"/>
        <v>1</v>
      </c>
      <c r="AE374" s="1">
        <f t="shared" si="152"/>
        <v>0</v>
      </c>
      <c r="AF374" s="1">
        <f t="shared" si="137"/>
        <v>1</v>
      </c>
      <c r="AG374" s="1">
        <f t="shared" si="138"/>
        <v>0</v>
      </c>
      <c r="AH374" s="1">
        <f t="shared" si="139"/>
        <v>1</v>
      </c>
      <c r="AI374" s="1">
        <f t="shared" si="140"/>
        <v>0</v>
      </c>
    </row>
    <row r="375" spans="1:35" ht="14.25" customHeight="1" x14ac:dyDescent="0.25">
      <c r="A375" s="31">
        <v>0</v>
      </c>
      <c r="B375" s="31">
        <v>2</v>
      </c>
      <c r="C375" s="31">
        <v>5</v>
      </c>
      <c r="D375" s="32" t="s">
        <v>65</v>
      </c>
      <c r="E375" s="32" t="s">
        <v>163</v>
      </c>
      <c r="F375" s="32" t="s">
        <v>543</v>
      </c>
      <c r="G375" s="32" t="s">
        <v>193</v>
      </c>
      <c r="H375" s="32" t="s">
        <v>352</v>
      </c>
      <c r="I375" s="31" t="s">
        <v>548</v>
      </c>
      <c r="J375" s="31">
        <v>9</v>
      </c>
      <c r="K375" s="33" t="s">
        <v>709</v>
      </c>
      <c r="L375" s="33" t="s">
        <v>683</v>
      </c>
      <c r="M375" s="34" t="s">
        <v>1418</v>
      </c>
      <c r="N375" s="34" t="s">
        <v>1735</v>
      </c>
      <c r="O375" s="35">
        <v>1</v>
      </c>
      <c r="P375" s="35"/>
      <c r="Q375" s="32"/>
      <c r="S375" s="1">
        <f t="shared" si="141"/>
        <v>0</v>
      </c>
      <c r="T375" s="1">
        <f t="shared" si="142"/>
        <v>0</v>
      </c>
      <c r="U375" s="1">
        <f t="shared" si="143"/>
        <v>0</v>
      </c>
      <c r="V375" s="1">
        <f t="shared" si="144"/>
        <v>0</v>
      </c>
      <c r="W375" s="1">
        <f t="shared" si="145"/>
        <v>0</v>
      </c>
      <c r="X375" s="1">
        <f t="shared" si="146"/>
        <v>0</v>
      </c>
      <c r="Y375" s="1">
        <f t="shared" si="147"/>
        <v>0</v>
      </c>
      <c r="Z375" s="1">
        <f t="shared" si="148"/>
        <v>0</v>
      </c>
      <c r="AA375" s="1">
        <f t="shared" si="149"/>
        <v>1</v>
      </c>
      <c r="AB375" s="1">
        <f t="shared" si="150"/>
        <v>0</v>
      </c>
      <c r="AD375" s="1">
        <f t="shared" si="151"/>
        <v>0</v>
      </c>
      <c r="AE375" s="1">
        <f t="shared" si="152"/>
        <v>1</v>
      </c>
      <c r="AF375" s="1">
        <f t="shared" si="137"/>
        <v>0</v>
      </c>
      <c r="AG375" s="1">
        <f t="shared" si="138"/>
        <v>1</v>
      </c>
      <c r="AH375" s="1">
        <f t="shared" si="139"/>
        <v>0</v>
      </c>
      <c r="AI375" s="1">
        <f t="shared" si="140"/>
        <v>1</v>
      </c>
    </row>
    <row r="376" spans="1:35" ht="14.25" customHeight="1" x14ac:dyDescent="0.25">
      <c r="A376" s="44">
        <v>0</v>
      </c>
      <c r="B376" s="44">
        <v>2</v>
      </c>
      <c r="C376" s="44">
        <v>5</v>
      </c>
      <c r="D376" s="45" t="s">
        <v>1461</v>
      </c>
      <c r="E376" s="45" t="s">
        <v>35</v>
      </c>
      <c r="F376" s="64" t="s">
        <v>1847</v>
      </c>
      <c r="G376" s="45" t="s">
        <v>221</v>
      </c>
      <c r="H376" s="45" t="s">
        <v>352</v>
      </c>
      <c r="I376" s="44" t="s">
        <v>1660</v>
      </c>
      <c r="J376" s="44">
        <v>99</v>
      </c>
      <c r="K376" s="46" t="s">
        <v>709</v>
      </c>
      <c r="L376" s="46">
        <v>25</v>
      </c>
      <c r="M376" s="47" t="s">
        <v>39</v>
      </c>
      <c r="N376" s="47" t="s">
        <v>1711</v>
      </c>
      <c r="O376" s="48"/>
      <c r="P376" s="48"/>
      <c r="Q376" s="45"/>
      <c r="S376" s="1">
        <f t="shared" si="141"/>
        <v>0</v>
      </c>
      <c r="T376" s="1">
        <f t="shared" si="142"/>
        <v>0</v>
      </c>
      <c r="U376" s="1">
        <f t="shared" si="143"/>
        <v>0</v>
      </c>
      <c r="V376" s="1">
        <f t="shared" si="144"/>
        <v>0</v>
      </c>
      <c r="W376" s="1">
        <f t="shared" si="145"/>
        <v>0</v>
      </c>
      <c r="X376" s="1">
        <f t="shared" si="146"/>
        <v>0</v>
      </c>
      <c r="Y376" s="1">
        <f t="shared" si="147"/>
        <v>0</v>
      </c>
      <c r="Z376" s="1">
        <f t="shared" si="148"/>
        <v>0</v>
      </c>
      <c r="AA376" s="1">
        <f t="shared" si="149"/>
        <v>0</v>
      </c>
      <c r="AB376" s="1">
        <f t="shared" si="150"/>
        <v>0</v>
      </c>
      <c r="AD376" s="1">
        <f t="shared" si="151"/>
        <v>0</v>
      </c>
      <c r="AE376" s="1">
        <f t="shared" si="152"/>
        <v>0</v>
      </c>
      <c r="AF376" s="1">
        <f t="shared" si="137"/>
        <v>0</v>
      </c>
      <c r="AG376" s="1">
        <f t="shared" si="138"/>
        <v>0</v>
      </c>
      <c r="AH376" s="1">
        <f t="shared" si="139"/>
        <v>0</v>
      </c>
      <c r="AI376" s="1">
        <f t="shared" si="140"/>
        <v>1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1793</v>
      </c>
      <c r="E377" s="32" t="s">
        <v>763</v>
      </c>
      <c r="F377" s="32" t="s">
        <v>1794</v>
      </c>
      <c r="G377" s="32" t="s">
        <v>223</v>
      </c>
      <c r="H377" s="32" t="s">
        <v>352</v>
      </c>
      <c r="I377" s="31" t="s">
        <v>1795</v>
      </c>
      <c r="J377" s="31">
        <v>99</v>
      </c>
      <c r="K377" s="33" t="s">
        <v>1796</v>
      </c>
      <c r="L377" s="33">
        <v>40</v>
      </c>
      <c r="M377" s="34" t="s">
        <v>1797</v>
      </c>
      <c r="N377" s="34" t="s">
        <v>1823</v>
      </c>
      <c r="O377" s="35">
        <v>1</v>
      </c>
      <c r="P377" s="35"/>
      <c r="Q377" s="32"/>
      <c r="S377" s="1">
        <f t="shared" si="141"/>
        <v>0</v>
      </c>
      <c r="T377" s="1">
        <f t="shared" si="142"/>
        <v>0</v>
      </c>
      <c r="U377" s="1">
        <f t="shared" si="143"/>
        <v>0</v>
      </c>
      <c r="V377" s="1">
        <f t="shared" si="144"/>
        <v>0</v>
      </c>
      <c r="W377" s="1">
        <f t="shared" si="145"/>
        <v>0</v>
      </c>
      <c r="X377" s="1">
        <f t="shared" si="146"/>
        <v>0</v>
      </c>
      <c r="Y377" s="1">
        <f t="shared" si="147"/>
        <v>0</v>
      </c>
      <c r="Z377" s="1">
        <f t="shared" si="148"/>
        <v>0</v>
      </c>
      <c r="AA377" s="1">
        <f t="shared" si="149"/>
        <v>0</v>
      </c>
      <c r="AB377" s="1">
        <f t="shared" si="150"/>
        <v>0</v>
      </c>
      <c r="AD377" s="1">
        <f t="shared" si="151"/>
        <v>0</v>
      </c>
      <c r="AE377" s="1">
        <f t="shared" si="152"/>
        <v>1</v>
      </c>
      <c r="AF377" s="1">
        <f t="shared" si="137"/>
        <v>0</v>
      </c>
      <c r="AG377" s="1">
        <f t="shared" si="138"/>
        <v>1</v>
      </c>
      <c r="AH377" s="1">
        <f t="shared" si="139"/>
        <v>0</v>
      </c>
      <c r="AI377" s="1">
        <f t="shared" si="140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2" t="s">
        <v>612</v>
      </c>
      <c r="E378" s="32" t="s">
        <v>682</v>
      </c>
      <c r="F378" s="32" t="s">
        <v>613</v>
      </c>
      <c r="G378" s="32" t="s">
        <v>285</v>
      </c>
      <c r="H378" s="32" t="s">
        <v>352</v>
      </c>
      <c r="I378" s="31" t="s">
        <v>614</v>
      </c>
      <c r="J378" s="31">
        <v>99</v>
      </c>
      <c r="K378" s="33" t="s">
        <v>708</v>
      </c>
      <c r="L378" s="33" t="s">
        <v>700</v>
      </c>
      <c r="M378" s="34" t="s">
        <v>1401</v>
      </c>
      <c r="N378" s="34" t="s">
        <v>1717</v>
      </c>
      <c r="O378" s="35">
        <v>1</v>
      </c>
      <c r="P378" s="35"/>
      <c r="Q378" s="32"/>
      <c r="S378" s="1">
        <f t="shared" si="141"/>
        <v>0</v>
      </c>
      <c r="T378" s="1">
        <f t="shared" si="142"/>
        <v>0</v>
      </c>
      <c r="U378" s="1">
        <f t="shared" si="143"/>
        <v>0</v>
      </c>
      <c r="V378" s="1">
        <f t="shared" si="144"/>
        <v>0</v>
      </c>
      <c r="W378" s="1">
        <f t="shared" si="145"/>
        <v>0</v>
      </c>
      <c r="X378" s="1">
        <f t="shared" si="146"/>
        <v>0</v>
      </c>
      <c r="Y378" s="1">
        <f t="shared" si="147"/>
        <v>0</v>
      </c>
      <c r="Z378" s="1">
        <f t="shared" si="148"/>
        <v>0</v>
      </c>
      <c r="AA378" s="1">
        <f t="shared" si="149"/>
        <v>0</v>
      </c>
      <c r="AB378" s="1">
        <f t="shared" si="150"/>
        <v>0</v>
      </c>
      <c r="AD378" s="1">
        <f t="shared" si="151"/>
        <v>0</v>
      </c>
      <c r="AE378" s="1">
        <f t="shared" si="152"/>
        <v>1</v>
      </c>
      <c r="AF378" s="1">
        <f t="shared" si="137"/>
        <v>0</v>
      </c>
      <c r="AG378" s="1">
        <f t="shared" si="138"/>
        <v>1</v>
      </c>
      <c r="AH378" s="1">
        <f t="shared" si="139"/>
        <v>0</v>
      </c>
      <c r="AI378" s="1">
        <f t="shared" si="140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1463</v>
      </c>
      <c r="E379" s="32" t="s">
        <v>763</v>
      </c>
      <c r="F379" s="32" t="s">
        <v>1464</v>
      </c>
      <c r="G379" s="32" t="s">
        <v>195</v>
      </c>
      <c r="H379" s="32" t="s">
        <v>352</v>
      </c>
      <c r="I379" s="31" t="s">
        <v>1465</v>
      </c>
      <c r="J379" s="31">
        <v>99</v>
      </c>
      <c r="K379" s="33" t="s">
        <v>941</v>
      </c>
      <c r="L379" s="33" t="s">
        <v>689</v>
      </c>
      <c r="M379" s="34" t="s">
        <v>1392</v>
      </c>
      <c r="N379" s="34" t="s">
        <v>1717</v>
      </c>
      <c r="O379" s="35">
        <v>1</v>
      </c>
      <c r="P379" s="35"/>
      <c r="Q379" s="32"/>
      <c r="S379" s="1">
        <f t="shared" si="141"/>
        <v>0</v>
      </c>
      <c r="T379" s="1">
        <f t="shared" si="142"/>
        <v>0</v>
      </c>
      <c r="U379" s="1">
        <f t="shared" si="143"/>
        <v>0</v>
      </c>
      <c r="V379" s="1">
        <f t="shared" si="144"/>
        <v>0</v>
      </c>
      <c r="W379" s="1">
        <f t="shared" si="145"/>
        <v>0</v>
      </c>
      <c r="X379" s="1">
        <f t="shared" si="146"/>
        <v>0</v>
      </c>
      <c r="Y379" s="1">
        <f t="shared" si="147"/>
        <v>0</v>
      </c>
      <c r="Z379" s="1">
        <f t="shared" si="148"/>
        <v>0</v>
      </c>
      <c r="AA379" s="1">
        <f t="shared" si="149"/>
        <v>0</v>
      </c>
      <c r="AB379" s="1">
        <f t="shared" si="150"/>
        <v>0</v>
      </c>
      <c r="AD379" s="1">
        <f t="shared" si="151"/>
        <v>0</v>
      </c>
      <c r="AE379" s="1">
        <f t="shared" si="152"/>
        <v>1</v>
      </c>
      <c r="AF379" s="1">
        <f t="shared" si="137"/>
        <v>0</v>
      </c>
      <c r="AG379" s="1">
        <f t="shared" si="138"/>
        <v>1</v>
      </c>
      <c r="AH379" s="1">
        <f t="shared" si="139"/>
        <v>0</v>
      </c>
      <c r="AI379" s="1">
        <f t="shared" si="140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766</v>
      </c>
      <c r="E380" s="32" t="s">
        <v>763</v>
      </c>
      <c r="F380" s="32" t="s">
        <v>768</v>
      </c>
      <c r="G380" s="32" t="s">
        <v>206</v>
      </c>
      <c r="H380" s="32" t="s">
        <v>352</v>
      </c>
      <c r="I380" s="31" t="s">
        <v>767</v>
      </c>
      <c r="J380" s="31">
        <v>99</v>
      </c>
      <c r="K380" s="33" t="s">
        <v>708</v>
      </c>
      <c r="L380" s="33" t="s">
        <v>690</v>
      </c>
      <c r="M380" s="34" t="s">
        <v>1402</v>
      </c>
      <c r="N380" s="34" t="s">
        <v>1717</v>
      </c>
      <c r="O380" s="35">
        <v>1</v>
      </c>
      <c r="P380" s="35"/>
      <c r="Q380" s="32"/>
      <c r="S380" s="1">
        <f t="shared" si="141"/>
        <v>0</v>
      </c>
      <c r="T380" s="1">
        <f t="shared" si="142"/>
        <v>0</v>
      </c>
      <c r="U380" s="1">
        <f t="shared" si="143"/>
        <v>0</v>
      </c>
      <c r="V380" s="1">
        <f t="shared" si="144"/>
        <v>0</v>
      </c>
      <c r="W380" s="1">
        <f t="shared" si="145"/>
        <v>0</v>
      </c>
      <c r="X380" s="1">
        <f t="shared" si="146"/>
        <v>0</v>
      </c>
      <c r="Y380" s="1">
        <f t="shared" si="147"/>
        <v>0</v>
      </c>
      <c r="Z380" s="1">
        <f t="shared" si="148"/>
        <v>0</v>
      </c>
      <c r="AA380" s="1">
        <f t="shared" si="149"/>
        <v>0</v>
      </c>
      <c r="AB380" s="1">
        <f t="shared" si="150"/>
        <v>0</v>
      </c>
      <c r="AD380" s="1">
        <f t="shared" si="151"/>
        <v>0</v>
      </c>
      <c r="AE380" s="1">
        <f t="shared" si="152"/>
        <v>1</v>
      </c>
      <c r="AF380" s="1">
        <f t="shared" si="137"/>
        <v>0</v>
      </c>
      <c r="AG380" s="1">
        <f t="shared" si="138"/>
        <v>1</v>
      </c>
      <c r="AH380" s="1">
        <f t="shared" si="139"/>
        <v>0</v>
      </c>
      <c r="AI380" s="1">
        <f t="shared" si="140"/>
        <v>1</v>
      </c>
    </row>
    <row r="381" spans="1:35" ht="14.25" customHeight="1" x14ac:dyDescent="0.25">
      <c r="A381" s="31">
        <v>1</v>
      </c>
      <c r="B381" s="31">
        <v>2</v>
      </c>
      <c r="C381" s="31">
        <v>5</v>
      </c>
      <c r="D381" s="32" t="s">
        <v>766</v>
      </c>
      <c r="E381" s="32" t="s">
        <v>763</v>
      </c>
      <c r="F381" s="32" t="s">
        <v>993</v>
      </c>
      <c r="G381" s="32" t="s">
        <v>189</v>
      </c>
      <c r="H381" s="32" t="s">
        <v>352</v>
      </c>
      <c r="I381" s="31" t="s">
        <v>994</v>
      </c>
      <c r="J381" s="31">
        <v>99</v>
      </c>
      <c r="K381" s="33" t="s">
        <v>708</v>
      </c>
      <c r="L381" s="33" t="s">
        <v>690</v>
      </c>
      <c r="M381" s="34" t="s">
        <v>1402</v>
      </c>
      <c r="N381" s="34" t="s">
        <v>1717</v>
      </c>
      <c r="O381" s="35">
        <v>1</v>
      </c>
      <c r="P381" s="35"/>
      <c r="Q381" s="32"/>
      <c r="S381" s="1">
        <f t="shared" si="141"/>
        <v>0</v>
      </c>
      <c r="T381" s="1">
        <f t="shared" si="142"/>
        <v>0</v>
      </c>
      <c r="U381" s="1">
        <f t="shared" si="143"/>
        <v>0</v>
      </c>
      <c r="V381" s="1">
        <f t="shared" si="144"/>
        <v>0</v>
      </c>
      <c r="W381" s="1">
        <f t="shared" si="145"/>
        <v>0</v>
      </c>
      <c r="X381" s="1">
        <f t="shared" si="146"/>
        <v>0</v>
      </c>
      <c r="Y381" s="1">
        <f t="shared" si="147"/>
        <v>0</v>
      </c>
      <c r="Z381" s="1">
        <f t="shared" si="148"/>
        <v>0</v>
      </c>
      <c r="AA381" s="1">
        <f t="shared" si="149"/>
        <v>0</v>
      </c>
      <c r="AB381" s="1">
        <f t="shared" si="150"/>
        <v>0</v>
      </c>
      <c r="AD381" s="1">
        <f t="shared" si="151"/>
        <v>0</v>
      </c>
      <c r="AE381" s="1">
        <f t="shared" si="152"/>
        <v>1</v>
      </c>
      <c r="AF381" s="1">
        <f t="shared" si="137"/>
        <v>0</v>
      </c>
      <c r="AG381" s="1">
        <f t="shared" si="138"/>
        <v>0</v>
      </c>
      <c r="AH381" s="1">
        <f t="shared" si="139"/>
        <v>0</v>
      </c>
      <c r="AI381" s="1">
        <f t="shared" si="140"/>
        <v>0</v>
      </c>
    </row>
    <row r="382" spans="1:35" ht="14.25" customHeight="1" x14ac:dyDescent="0.25">
      <c r="A382" s="15">
        <v>0</v>
      </c>
      <c r="B382" s="15">
        <v>2</v>
      </c>
      <c r="C382" s="15">
        <v>5</v>
      </c>
      <c r="D382" s="16" t="s">
        <v>905</v>
      </c>
      <c r="E382" s="16" t="s">
        <v>900</v>
      </c>
      <c r="F382" s="16" t="s">
        <v>918</v>
      </c>
      <c r="G382" s="16" t="s">
        <v>1329</v>
      </c>
      <c r="H382" s="16" t="s">
        <v>352</v>
      </c>
      <c r="I382" s="15" t="s">
        <v>761</v>
      </c>
      <c r="J382" s="15">
        <v>99</v>
      </c>
      <c r="K382" s="10" t="s">
        <v>699</v>
      </c>
      <c r="L382" s="10">
        <v>20</v>
      </c>
      <c r="M382" s="19" t="s">
        <v>1403</v>
      </c>
      <c r="N382" s="19"/>
      <c r="Q382" s="16"/>
      <c r="S382" s="1">
        <f t="shared" si="141"/>
        <v>0</v>
      </c>
      <c r="T382" s="1">
        <f t="shared" si="142"/>
        <v>0</v>
      </c>
      <c r="U382" s="1">
        <f t="shared" si="143"/>
        <v>0</v>
      </c>
      <c r="V382" s="1">
        <f t="shared" si="144"/>
        <v>0</v>
      </c>
      <c r="W382" s="1">
        <f t="shared" si="145"/>
        <v>0</v>
      </c>
      <c r="X382" s="1">
        <f t="shared" si="146"/>
        <v>0</v>
      </c>
      <c r="Y382" s="1">
        <f t="shared" si="147"/>
        <v>0</v>
      </c>
      <c r="Z382" s="1">
        <f t="shared" si="148"/>
        <v>0</v>
      </c>
      <c r="AA382" s="1">
        <f t="shared" si="149"/>
        <v>0</v>
      </c>
      <c r="AB382" s="1">
        <f t="shared" si="150"/>
        <v>0</v>
      </c>
      <c r="AD382" s="1">
        <f t="shared" si="151"/>
        <v>0</v>
      </c>
      <c r="AE382" s="1">
        <f t="shared" si="152"/>
        <v>0</v>
      </c>
      <c r="AF382" s="1">
        <f t="shared" si="137"/>
        <v>0</v>
      </c>
      <c r="AG382" s="1">
        <f t="shared" si="138"/>
        <v>0</v>
      </c>
      <c r="AH382" s="1">
        <f t="shared" si="139"/>
        <v>0</v>
      </c>
      <c r="AI382" s="1">
        <f t="shared" si="140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1895</v>
      </c>
      <c r="E383" s="32"/>
      <c r="F383" s="32" t="s">
        <v>1896</v>
      </c>
      <c r="G383" s="32" t="s">
        <v>207</v>
      </c>
      <c r="H383" s="32" t="s">
        <v>352</v>
      </c>
      <c r="I383" s="31" t="s">
        <v>1897</v>
      </c>
      <c r="J383" s="31">
        <v>3</v>
      </c>
      <c r="K383" s="33" t="s">
        <v>699</v>
      </c>
      <c r="L383" s="33"/>
      <c r="M383" s="34"/>
      <c r="N383" s="34" t="s">
        <v>1701</v>
      </c>
      <c r="O383" s="35">
        <v>1</v>
      </c>
      <c r="P383" s="35">
        <v>1</v>
      </c>
      <c r="Q383" s="32" t="s">
        <v>1898</v>
      </c>
      <c r="S383" s="1">
        <f t="shared" si="141"/>
        <v>0</v>
      </c>
      <c r="T383" s="1">
        <f t="shared" si="142"/>
        <v>0</v>
      </c>
      <c r="U383" s="1">
        <f t="shared" si="143"/>
        <v>1</v>
      </c>
      <c r="V383" s="1">
        <f t="shared" si="144"/>
        <v>0</v>
      </c>
      <c r="W383" s="1">
        <f t="shared" si="145"/>
        <v>0</v>
      </c>
      <c r="X383" s="1">
        <f t="shared" si="146"/>
        <v>0</v>
      </c>
      <c r="Y383" s="1">
        <f t="shared" si="147"/>
        <v>0</v>
      </c>
      <c r="Z383" s="1">
        <f t="shared" si="148"/>
        <v>0</v>
      </c>
      <c r="AA383" s="1">
        <f t="shared" si="149"/>
        <v>0</v>
      </c>
      <c r="AB383" s="1">
        <f t="shared" si="150"/>
        <v>0</v>
      </c>
      <c r="AD383" s="1">
        <f t="shared" si="151"/>
        <v>1</v>
      </c>
      <c r="AE383" s="1">
        <f t="shared" si="152"/>
        <v>0</v>
      </c>
      <c r="AF383" s="1">
        <f t="shared" si="137"/>
        <v>1</v>
      </c>
      <c r="AG383" s="1">
        <f t="shared" si="138"/>
        <v>0</v>
      </c>
      <c r="AH383" s="1">
        <f t="shared" si="139"/>
        <v>1</v>
      </c>
      <c r="AI383" s="1">
        <f t="shared" si="140"/>
        <v>0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1250</v>
      </c>
      <c r="E384" s="32" t="s">
        <v>1251</v>
      </c>
      <c r="F384" s="32" t="s">
        <v>1252</v>
      </c>
      <c r="G384" s="32" t="s">
        <v>219</v>
      </c>
      <c r="H384" s="32" t="s">
        <v>352</v>
      </c>
      <c r="I384" s="31" t="s">
        <v>1697</v>
      </c>
      <c r="J384" s="31">
        <v>8</v>
      </c>
      <c r="K384" s="33" t="s">
        <v>709</v>
      </c>
      <c r="L384" s="33" t="s">
        <v>39</v>
      </c>
      <c r="M384" s="34" t="s">
        <v>39</v>
      </c>
      <c r="N384" s="34" t="s">
        <v>1701</v>
      </c>
      <c r="O384" s="35">
        <v>1</v>
      </c>
      <c r="P384" s="35">
        <v>1</v>
      </c>
      <c r="Q384" s="32"/>
      <c r="S384" s="1">
        <f t="shared" si="141"/>
        <v>0</v>
      </c>
      <c r="T384" s="1">
        <f t="shared" si="142"/>
        <v>0</v>
      </c>
      <c r="U384" s="1">
        <f t="shared" si="143"/>
        <v>0</v>
      </c>
      <c r="V384" s="1">
        <f t="shared" si="144"/>
        <v>0</v>
      </c>
      <c r="W384" s="1">
        <f t="shared" si="145"/>
        <v>0</v>
      </c>
      <c r="X384" s="1">
        <f t="shared" si="146"/>
        <v>0</v>
      </c>
      <c r="Y384" s="1">
        <f t="shared" si="147"/>
        <v>0</v>
      </c>
      <c r="Z384" s="1">
        <f t="shared" si="148"/>
        <v>1</v>
      </c>
      <c r="AA384" s="1">
        <f t="shared" si="149"/>
        <v>0</v>
      </c>
      <c r="AB384" s="1">
        <f t="shared" si="150"/>
        <v>0</v>
      </c>
      <c r="AD384" s="1">
        <f t="shared" si="151"/>
        <v>1</v>
      </c>
      <c r="AE384" s="1">
        <f t="shared" si="152"/>
        <v>0</v>
      </c>
      <c r="AF384" s="1">
        <f t="shared" si="137"/>
        <v>1</v>
      </c>
      <c r="AG384" s="1">
        <f t="shared" si="138"/>
        <v>0</v>
      </c>
      <c r="AH384" s="1">
        <f t="shared" si="139"/>
        <v>1</v>
      </c>
      <c r="AI384" s="1">
        <f t="shared" si="140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1069</v>
      </c>
      <c r="E385" s="32" t="s">
        <v>154</v>
      </c>
      <c r="F385" s="32" t="s">
        <v>1053</v>
      </c>
      <c r="G385" s="32" t="s">
        <v>319</v>
      </c>
      <c r="H385" s="32" t="s">
        <v>352</v>
      </c>
      <c r="I385" s="31" t="s">
        <v>1054</v>
      </c>
      <c r="J385" s="31">
        <v>99</v>
      </c>
      <c r="K385" s="33" t="s">
        <v>709</v>
      </c>
      <c r="L385" s="33" t="s">
        <v>690</v>
      </c>
      <c r="M385" s="34" t="s">
        <v>1404</v>
      </c>
      <c r="N385" s="34" t="s">
        <v>1730</v>
      </c>
      <c r="O385" s="35">
        <v>1</v>
      </c>
      <c r="P385" s="35"/>
      <c r="Q385" s="32"/>
      <c r="S385" s="1">
        <f t="shared" si="141"/>
        <v>0</v>
      </c>
      <c r="T385" s="1">
        <f t="shared" si="142"/>
        <v>0</v>
      </c>
      <c r="U385" s="1">
        <f t="shared" si="143"/>
        <v>0</v>
      </c>
      <c r="V385" s="1">
        <f t="shared" si="144"/>
        <v>0</v>
      </c>
      <c r="W385" s="1">
        <f t="shared" si="145"/>
        <v>0</v>
      </c>
      <c r="X385" s="1">
        <f t="shared" si="146"/>
        <v>0</v>
      </c>
      <c r="Y385" s="1">
        <f t="shared" si="147"/>
        <v>0</v>
      </c>
      <c r="Z385" s="1">
        <f t="shared" si="148"/>
        <v>0</v>
      </c>
      <c r="AA385" s="1">
        <f t="shared" si="149"/>
        <v>0</v>
      </c>
      <c r="AB385" s="1">
        <f t="shared" si="150"/>
        <v>0</v>
      </c>
      <c r="AD385" s="1">
        <f t="shared" si="151"/>
        <v>0</v>
      </c>
      <c r="AE385" s="1">
        <f t="shared" si="152"/>
        <v>1</v>
      </c>
      <c r="AF385" s="1">
        <f t="shared" si="137"/>
        <v>0</v>
      </c>
      <c r="AG385" s="1">
        <f t="shared" si="138"/>
        <v>1</v>
      </c>
      <c r="AH385" s="1">
        <f t="shared" si="139"/>
        <v>0</v>
      </c>
      <c r="AI385" s="1">
        <f t="shared" si="140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787</v>
      </c>
      <c r="E386" s="32" t="s">
        <v>763</v>
      </c>
      <c r="F386" s="32" t="s">
        <v>921</v>
      </c>
      <c r="G386" s="32" t="s">
        <v>219</v>
      </c>
      <c r="H386" s="32" t="s">
        <v>352</v>
      </c>
      <c r="I386" s="31" t="s">
        <v>788</v>
      </c>
      <c r="J386" s="31">
        <v>8</v>
      </c>
      <c r="K386" s="33" t="s">
        <v>699</v>
      </c>
      <c r="L386" s="33">
        <v>20</v>
      </c>
      <c r="M386" s="34" t="s">
        <v>1395</v>
      </c>
      <c r="N386" s="34" t="s">
        <v>1799</v>
      </c>
      <c r="O386" s="35">
        <v>1</v>
      </c>
      <c r="P386" s="35"/>
      <c r="Q386" s="32"/>
      <c r="S386" s="1">
        <f t="shared" si="141"/>
        <v>0</v>
      </c>
      <c r="T386" s="1">
        <f t="shared" si="142"/>
        <v>0</v>
      </c>
      <c r="U386" s="1">
        <f t="shared" si="143"/>
        <v>0</v>
      </c>
      <c r="V386" s="1">
        <f t="shared" si="144"/>
        <v>0</v>
      </c>
      <c r="W386" s="1">
        <f t="shared" si="145"/>
        <v>0</v>
      </c>
      <c r="X386" s="1">
        <f t="shared" si="146"/>
        <v>0</v>
      </c>
      <c r="Y386" s="1">
        <f t="shared" si="147"/>
        <v>0</v>
      </c>
      <c r="Z386" s="1">
        <f t="shared" si="148"/>
        <v>1</v>
      </c>
      <c r="AA386" s="1">
        <f t="shared" si="149"/>
        <v>0</v>
      </c>
      <c r="AB386" s="1">
        <f t="shared" si="150"/>
        <v>0</v>
      </c>
      <c r="AD386" s="1">
        <f t="shared" si="151"/>
        <v>0</v>
      </c>
      <c r="AE386" s="1">
        <f t="shared" si="152"/>
        <v>1</v>
      </c>
      <c r="AF386" s="1">
        <f t="shared" si="137"/>
        <v>0</v>
      </c>
      <c r="AG386" s="1">
        <f t="shared" si="138"/>
        <v>1</v>
      </c>
      <c r="AH386" s="1">
        <f t="shared" si="139"/>
        <v>0</v>
      </c>
      <c r="AI386" s="1">
        <f t="shared" si="140"/>
        <v>1</v>
      </c>
    </row>
    <row r="387" spans="1:35" ht="14.25" customHeight="1" x14ac:dyDescent="0.25">
      <c r="A387" s="49">
        <v>0</v>
      </c>
      <c r="B387" s="49">
        <v>2</v>
      </c>
      <c r="C387" s="49">
        <v>5</v>
      </c>
      <c r="D387" s="50" t="s">
        <v>79</v>
      </c>
      <c r="E387" s="50" t="s">
        <v>158</v>
      </c>
      <c r="F387" s="50" t="s">
        <v>267</v>
      </c>
      <c r="G387" s="50" t="s">
        <v>212</v>
      </c>
      <c r="H387" s="50" t="s">
        <v>352</v>
      </c>
      <c r="I387" s="49" t="s">
        <v>423</v>
      </c>
      <c r="J387" s="49">
        <v>1</v>
      </c>
      <c r="K387" s="51" t="s">
        <v>942</v>
      </c>
      <c r="L387" s="51" t="s">
        <v>700</v>
      </c>
      <c r="M387" s="52" t="s">
        <v>723</v>
      </c>
      <c r="N387" s="52" t="s">
        <v>1717</v>
      </c>
      <c r="O387" s="53">
        <v>1</v>
      </c>
      <c r="P387" s="53"/>
      <c r="Q387" s="50"/>
      <c r="S387" s="1">
        <f t="shared" si="141"/>
        <v>1</v>
      </c>
      <c r="T387" s="1">
        <f t="shared" si="142"/>
        <v>0</v>
      </c>
      <c r="U387" s="1">
        <f t="shared" si="143"/>
        <v>0</v>
      </c>
      <c r="V387" s="1">
        <f t="shared" si="144"/>
        <v>0</v>
      </c>
      <c r="W387" s="1">
        <f t="shared" si="145"/>
        <v>0</v>
      </c>
      <c r="X387" s="1">
        <f t="shared" si="146"/>
        <v>0</v>
      </c>
      <c r="Y387" s="1">
        <f t="shared" si="147"/>
        <v>0</v>
      </c>
      <c r="Z387" s="1">
        <f t="shared" si="148"/>
        <v>0</v>
      </c>
      <c r="AA387" s="1">
        <f t="shared" si="149"/>
        <v>0</v>
      </c>
      <c r="AB387" s="1">
        <f t="shared" si="150"/>
        <v>0</v>
      </c>
      <c r="AD387" s="1">
        <f t="shared" si="151"/>
        <v>0</v>
      </c>
      <c r="AE387" s="1">
        <f t="shared" si="152"/>
        <v>1</v>
      </c>
      <c r="AF387" s="1">
        <f t="shared" si="137"/>
        <v>0</v>
      </c>
      <c r="AG387" s="1">
        <f t="shared" si="138"/>
        <v>1</v>
      </c>
      <c r="AH387" s="1">
        <f t="shared" si="139"/>
        <v>0</v>
      </c>
      <c r="AI387" s="1">
        <f t="shared" si="140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2057</v>
      </c>
      <c r="E388" s="32" t="s">
        <v>171</v>
      </c>
      <c r="F388" s="32" t="s">
        <v>2058</v>
      </c>
      <c r="G388" s="32" t="s">
        <v>206</v>
      </c>
      <c r="H388" s="32" t="s">
        <v>352</v>
      </c>
      <c r="I388" s="31" t="s">
        <v>2059</v>
      </c>
      <c r="J388" s="31">
        <v>99</v>
      </c>
      <c r="K388" s="33" t="s">
        <v>699</v>
      </c>
      <c r="L388" s="33">
        <v>30</v>
      </c>
      <c r="M388" s="34" t="s">
        <v>957</v>
      </c>
      <c r="N388" s="34" t="s">
        <v>1717</v>
      </c>
      <c r="O388" s="35">
        <v>1</v>
      </c>
      <c r="P388" s="35"/>
      <c r="Q388" s="32" t="s">
        <v>2060</v>
      </c>
      <c r="S388" s="1">
        <f t="shared" si="141"/>
        <v>0</v>
      </c>
      <c r="T388" s="1">
        <f t="shared" si="142"/>
        <v>0</v>
      </c>
      <c r="U388" s="1">
        <f t="shared" si="143"/>
        <v>0</v>
      </c>
      <c r="V388" s="1">
        <f t="shared" si="144"/>
        <v>0</v>
      </c>
      <c r="W388" s="1">
        <f t="shared" si="145"/>
        <v>0</v>
      </c>
      <c r="X388" s="1">
        <f t="shared" si="146"/>
        <v>0</v>
      </c>
      <c r="Y388" s="1">
        <f t="shared" si="147"/>
        <v>0</v>
      </c>
      <c r="Z388" s="1">
        <f t="shared" si="148"/>
        <v>0</v>
      </c>
      <c r="AA388" s="1">
        <f t="shared" si="149"/>
        <v>0</v>
      </c>
      <c r="AB388" s="1">
        <f t="shared" si="150"/>
        <v>0</v>
      </c>
      <c r="AD388" s="1">
        <f t="shared" si="151"/>
        <v>0</v>
      </c>
      <c r="AE388" s="1">
        <f t="shared" si="152"/>
        <v>1</v>
      </c>
      <c r="AF388" s="1">
        <f t="shared" si="137"/>
        <v>0</v>
      </c>
      <c r="AG388" s="1">
        <f t="shared" si="138"/>
        <v>1</v>
      </c>
      <c r="AH388" s="1">
        <f t="shared" si="139"/>
        <v>0</v>
      </c>
      <c r="AI388" s="1">
        <f t="shared" si="140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1616</v>
      </c>
      <c r="E389" s="32" t="s">
        <v>1628</v>
      </c>
      <c r="F389" s="32" t="s">
        <v>1525</v>
      </c>
      <c r="G389" s="32" t="s">
        <v>261</v>
      </c>
      <c r="H389" s="32" t="s">
        <v>352</v>
      </c>
      <c r="I389" s="31" t="s">
        <v>1526</v>
      </c>
      <c r="J389" s="31">
        <v>99</v>
      </c>
      <c r="K389" s="33" t="s">
        <v>942</v>
      </c>
      <c r="L389" s="33">
        <v>40</v>
      </c>
      <c r="M389" s="34" t="s">
        <v>39</v>
      </c>
      <c r="N389" s="34" t="s">
        <v>1799</v>
      </c>
      <c r="O389" s="35">
        <v>1</v>
      </c>
      <c r="P389" s="35"/>
      <c r="Q389" s="32"/>
      <c r="S389" s="1">
        <f t="shared" si="141"/>
        <v>0</v>
      </c>
      <c r="T389" s="1">
        <f t="shared" si="142"/>
        <v>0</v>
      </c>
      <c r="U389" s="1">
        <f t="shared" si="143"/>
        <v>0</v>
      </c>
      <c r="V389" s="1">
        <f t="shared" si="144"/>
        <v>0</v>
      </c>
      <c r="W389" s="1">
        <f t="shared" si="145"/>
        <v>0</v>
      </c>
      <c r="X389" s="1">
        <f t="shared" si="146"/>
        <v>0</v>
      </c>
      <c r="Y389" s="1">
        <f t="shared" si="147"/>
        <v>0</v>
      </c>
      <c r="Z389" s="1">
        <f t="shared" si="148"/>
        <v>0</v>
      </c>
      <c r="AA389" s="1">
        <f t="shared" si="149"/>
        <v>0</v>
      </c>
      <c r="AB389" s="1">
        <f t="shared" si="150"/>
        <v>0</v>
      </c>
      <c r="AD389" s="1">
        <f t="shared" si="151"/>
        <v>0</v>
      </c>
      <c r="AE389" s="1">
        <f t="shared" si="152"/>
        <v>1</v>
      </c>
      <c r="AF389" s="1">
        <f t="shared" si="137"/>
        <v>0</v>
      </c>
      <c r="AG389" s="1">
        <f t="shared" si="138"/>
        <v>1</v>
      </c>
      <c r="AH389" s="1">
        <f t="shared" si="139"/>
        <v>0</v>
      </c>
      <c r="AI389" s="1">
        <f t="shared" si="140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1277</v>
      </c>
      <c r="E390" s="32" t="s">
        <v>27</v>
      </c>
      <c r="F390" s="32" t="s">
        <v>1278</v>
      </c>
      <c r="G390" s="32" t="s">
        <v>1279</v>
      </c>
      <c r="H390" s="32" t="s">
        <v>352</v>
      </c>
      <c r="I390" s="31" t="s">
        <v>1280</v>
      </c>
      <c r="J390" s="31">
        <v>99</v>
      </c>
      <c r="K390" s="33" t="s">
        <v>942</v>
      </c>
      <c r="L390" s="33" t="s">
        <v>39</v>
      </c>
      <c r="M390" s="34" t="s">
        <v>39</v>
      </c>
      <c r="N390" s="34" t="s">
        <v>1701</v>
      </c>
      <c r="O390" s="35">
        <v>1</v>
      </c>
      <c r="P390" s="35">
        <v>1</v>
      </c>
      <c r="Q390" s="36"/>
      <c r="S390" s="1">
        <f t="shared" si="141"/>
        <v>0</v>
      </c>
      <c r="T390" s="1">
        <f t="shared" si="142"/>
        <v>0</v>
      </c>
      <c r="U390" s="1">
        <f t="shared" si="143"/>
        <v>0</v>
      </c>
      <c r="V390" s="1">
        <f t="shared" si="144"/>
        <v>0</v>
      </c>
      <c r="W390" s="1">
        <f t="shared" si="145"/>
        <v>0</v>
      </c>
      <c r="X390" s="1">
        <f t="shared" si="146"/>
        <v>0</v>
      </c>
      <c r="Y390" s="1">
        <f t="shared" si="147"/>
        <v>0</v>
      </c>
      <c r="Z390" s="1">
        <f t="shared" si="148"/>
        <v>0</v>
      </c>
      <c r="AA390" s="1">
        <f t="shared" si="149"/>
        <v>0</v>
      </c>
      <c r="AB390" s="1">
        <f t="shared" si="150"/>
        <v>0</v>
      </c>
      <c r="AD390" s="1">
        <f t="shared" si="151"/>
        <v>1</v>
      </c>
      <c r="AE390" s="1">
        <f t="shared" si="152"/>
        <v>0</v>
      </c>
      <c r="AF390" s="1">
        <f t="shared" si="137"/>
        <v>1</v>
      </c>
      <c r="AG390" s="1">
        <f t="shared" si="138"/>
        <v>0</v>
      </c>
      <c r="AH390" s="1">
        <f t="shared" si="139"/>
        <v>1</v>
      </c>
      <c r="AI390" s="1">
        <f t="shared" si="140"/>
        <v>0</v>
      </c>
    </row>
    <row r="391" spans="1:35" ht="14.25" customHeight="1" x14ac:dyDescent="0.25">
      <c r="A391" s="44">
        <v>0</v>
      </c>
      <c r="B391" s="44">
        <v>2</v>
      </c>
      <c r="C391" s="44">
        <v>5</v>
      </c>
      <c r="D391" s="45" t="s">
        <v>1577</v>
      </c>
      <c r="E391" s="45" t="s">
        <v>158</v>
      </c>
      <c r="F391" s="45" t="s">
        <v>1649</v>
      </c>
      <c r="G391" s="45" t="s">
        <v>1443</v>
      </c>
      <c r="H391" s="45" t="s">
        <v>352</v>
      </c>
      <c r="I391" s="44" t="s">
        <v>1444</v>
      </c>
      <c r="J391" s="44">
        <v>99</v>
      </c>
      <c r="K391" s="46" t="s">
        <v>709</v>
      </c>
      <c r="L391" s="46" t="s">
        <v>692</v>
      </c>
      <c r="M391" s="47" t="s">
        <v>1445</v>
      </c>
      <c r="N391" s="47" t="s">
        <v>1721</v>
      </c>
      <c r="O391" s="48"/>
      <c r="P391" s="48"/>
      <c r="Q391" s="45"/>
      <c r="S391" s="1">
        <f t="shared" si="141"/>
        <v>0</v>
      </c>
      <c r="T391" s="1">
        <f t="shared" si="142"/>
        <v>0</v>
      </c>
      <c r="U391" s="1">
        <f t="shared" si="143"/>
        <v>0</v>
      </c>
      <c r="V391" s="1">
        <f t="shared" si="144"/>
        <v>0</v>
      </c>
      <c r="W391" s="1">
        <f t="shared" si="145"/>
        <v>0</v>
      </c>
      <c r="X391" s="1">
        <f t="shared" si="146"/>
        <v>0</v>
      </c>
      <c r="Y391" s="1">
        <f t="shared" si="147"/>
        <v>0</v>
      </c>
      <c r="Z391" s="1">
        <f t="shared" si="148"/>
        <v>0</v>
      </c>
      <c r="AA391" s="1">
        <f t="shared" si="149"/>
        <v>0</v>
      </c>
      <c r="AB391" s="1">
        <f t="shared" si="150"/>
        <v>0</v>
      </c>
      <c r="AD391" s="1">
        <f t="shared" si="151"/>
        <v>0</v>
      </c>
      <c r="AE391" s="1">
        <f t="shared" si="152"/>
        <v>0</v>
      </c>
      <c r="AF391" s="1">
        <f t="shared" si="137"/>
        <v>0</v>
      </c>
      <c r="AG391" s="1">
        <f t="shared" si="138"/>
        <v>0</v>
      </c>
      <c r="AH391" s="1">
        <f t="shared" si="139"/>
        <v>0</v>
      </c>
      <c r="AI391" s="1">
        <f t="shared" si="14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2015</v>
      </c>
      <c r="E392" s="32" t="s">
        <v>2016</v>
      </c>
      <c r="F392" s="32" t="s">
        <v>2017</v>
      </c>
      <c r="G392" s="32" t="s">
        <v>2020</v>
      </c>
      <c r="H392" s="32" t="s">
        <v>352</v>
      </c>
      <c r="I392" s="31" t="s">
        <v>2018</v>
      </c>
      <c r="J392" s="31"/>
      <c r="K392" s="33" t="s">
        <v>1796</v>
      </c>
      <c r="L392" s="33"/>
      <c r="M392" s="34"/>
      <c r="N392" s="34" t="s">
        <v>1701</v>
      </c>
      <c r="O392" s="35">
        <v>1</v>
      </c>
      <c r="P392" s="35">
        <v>1</v>
      </c>
      <c r="Q392" s="32" t="s">
        <v>2019</v>
      </c>
      <c r="S392" s="1">
        <f t="shared" si="141"/>
        <v>0</v>
      </c>
      <c r="T392" s="1">
        <f t="shared" si="142"/>
        <v>0</v>
      </c>
      <c r="U392" s="1">
        <f t="shared" si="143"/>
        <v>0</v>
      </c>
      <c r="V392" s="1">
        <f t="shared" si="144"/>
        <v>0</v>
      </c>
      <c r="W392" s="1">
        <f t="shared" si="145"/>
        <v>0</v>
      </c>
      <c r="X392" s="1">
        <f t="shared" si="146"/>
        <v>0</v>
      </c>
      <c r="Y392" s="1">
        <f t="shared" si="147"/>
        <v>0</v>
      </c>
      <c r="Z392" s="1">
        <f t="shared" si="148"/>
        <v>0</v>
      </c>
      <c r="AA392" s="1">
        <f t="shared" si="149"/>
        <v>0</v>
      </c>
      <c r="AB392" s="1">
        <f t="shared" si="150"/>
        <v>0</v>
      </c>
      <c r="AD392" s="1">
        <f t="shared" si="151"/>
        <v>1</v>
      </c>
      <c r="AE392" s="1">
        <f t="shared" si="152"/>
        <v>0</v>
      </c>
      <c r="AF392" s="1">
        <f t="shared" si="137"/>
        <v>1</v>
      </c>
      <c r="AG392" s="1">
        <f t="shared" si="138"/>
        <v>0</v>
      </c>
      <c r="AH392" s="1">
        <f t="shared" si="139"/>
        <v>1</v>
      </c>
      <c r="AI392" s="1">
        <f t="shared" si="140"/>
        <v>0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1752</v>
      </c>
      <c r="E393" s="32" t="s">
        <v>154</v>
      </c>
      <c r="F393" s="32" t="s">
        <v>1753</v>
      </c>
      <c r="G393" s="32" t="s">
        <v>652</v>
      </c>
      <c r="H393" s="32" t="s">
        <v>352</v>
      </c>
      <c r="I393" s="31" t="s">
        <v>1754</v>
      </c>
      <c r="J393" s="31"/>
      <c r="K393" s="33" t="s">
        <v>699</v>
      </c>
      <c r="L393" s="33">
        <v>40</v>
      </c>
      <c r="M393" s="34" t="s">
        <v>1755</v>
      </c>
      <c r="N393" s="34" t="s">
        <v>1717</v>
      </c>
      <c r="O393" s="35">
        <v>1</v>
      </c>
      <c r="P393" s="35"/>
      <c r="Q393" s="32"/>
      <c r="S393" s="1">
        <f t="shared" si="141"/>
        <v>0</v>
      </c>
      <c r="T393" s="1">
        <f t="shared" si="142"/>
        <v>0</v>
      </c>
      <c r="U393" s="1">
        <f t="shared" si="143"/>
        <v>0</v>
      </c>
      <c r="V393" s="1">
        <f t="shared" si="144"/>
        <v>0</v>
      </c>
      <c r="W393" s="1">
        <f t="shared" si="145"/>
        <v>0</v>
      </c>
      <c r="X393" s="1">
        <f t="shared" si="146"/>
        <v>0</v>
      </c>
      <c r="Y393" s="1">
        <f t="shared" si="147"/>
        <v>0</v>
      </c>
      <c r="Z393" s="1">
        <f t="shared" si="148"/>
        <v>0</v>
      </c>
      <c r="AA393" s="1">
        <f t="shared" si="149"/>
        <v>0</v>
      </c>
      <c r="AB393" s="1">
        <f t="shared" si="150"/>
        <v>0</v>
      </c>
      <c r="AD393" s="1">
        <f t="shared" si="151"/>
        <v>0</v>
      </c>
      <c r="AE393" s="1">
        <f t="shared" si="152"/>
        <v>1</v>
      </c>
      <c r="AF393" s="1">
        <f t="shared" si="137"/>
        <v>0</v>
      </c>
      <c r="AG393" s="1">
        <f t="shared" si="138"/>
        <v>1</v>
      </c>
      <c r="AH393" s="1">
        <f t="shared" si="139"/>
        <v>0</v>
      </c>
      <c r="AI393" s="1">
        <f t="shared" si="14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828</v>
      </c>
      <c r="E394" s="32" t="s">
        <v>822</v>
      </c>
      <c r="F394" s="32" t="s">
        <v>929</v>
      </c>
      <c r="G394" s="32" t="s">
        <v>179</v>
      </c>
      <c r="H394" s="32" t="s">
        <v>352</v>
      </c>
      <c r="I394" s="31" t="s">
        <v>1096</v>
      </c>
      <c r="J394" s="31">
        <v>10</v>
      </c>
      <c r="K394" s="33" t="s">
        <v>708</v>
      </c>
      <c r="L394" s="33" t="s">
        <v>689</v>
      </c>
      <c r="M394" s="34" t="s">
        <v>1405</v>
      </c>
      <c r="N394" s="34" t="s">
        <v>1729</v>
      </c>
      <c r="O394" s="35">
        <v>1</v>
      </c>
      <c r="P394" s="35"/>
      <c r="Q394" s="32"/>
      <c r="S394" s="1">
        <f t="shared" si="141"/>
        <v>0</v>
      </c>
      <c r="T394" s="1">
        <f t="shared" si="142"/>
        <v>0</v>
      </c>
      <c r="U394" s="1">
        <f t="shared" si="143"/>
        <v>0</v>
      </c>
      <c r="V394" s="1">
        <f t="shared" si="144"/>
        <v>0</v>
      </c>
      <c r="W394" s="1">
        <f t="shared" si="145"/>
        <v>0</v>
      </c>
      <c r="X394" s="1">
        <f t="shared" si="146"/>
        <v>0</v>
      </c>
      <c r="Y394" s="1">
        <f t="shared" si="147"/>
        <v>0</v>
      </c>
      <c r="Z394" s="1">
        <f t="shared" si="148"/>
        <v>0</v>
      </c>
      <c r="AA394" s="1">
        <f t="shared" si="149"/>
        <v>0</v>
      </c>
      <c r="AB394" s="1">
        <f t="shared" si="150"/>
        <v>1</v>
      </c>
      <c r="AD394" s="1">
        <f t="shared" si="151"/>
        <v>0</v>
      </c>
      <c r="AE394" s="1">
        <f t="shared" si="152"/>
        <v>1</v>
      </c>
      <c r="AF394" s="1">
        <f t="shared" si="137"/>
        <v>0</v>
      </c>
      <c r="AG394" s="1">
        <f t="shared" si="138"/>
        <v>1</v>
      </c>
      <c r="AH394" s="1">
        <f t="shared" si="139"/>
        <v>0</v>
      </c>
      <c r="AI394" s="1">
        <f t="shared" si="140"/>
        <v>1</v>
      </c>
    </row>
    <row r="395" spans="1:35" ht="14.25" customHeight="1" x14ac:dyDescent="0.25">
      <c r="A395" s="57">
        <v>0</v>
      </c>
      <c r="B395" s="57">
        <v>2</v>
      </c>
      <c r="C395" s="57">
        <v>6</v>
      </c>
      <c r="D395" s="58" t="s">
        <v>1517</v>
      </c>
      <c r="E395" s="58" t="s">
        <v>27</v>
      </c>
      <c r="F395" s="58" t="s">
        <v>1519</v>
      </c>
      <c r="G395" s="58" t="s">
        <v>1508</v>
      </c>
      <c r="H395" s="58" t="s">
        <v>352</v>
      </c>
      <c r="I395" s="57" t="s">
        <v>1518</v>
      </c>
      <c r="J395" s="57">
        <v>5</v>
      </c>
      <c r="K395" s="59" t="s">
        <v>942</v>
      </c>
      <c r="L395" s="59" t="s">
        <v>39</v>
      </c>
      <c r="M395" s="60" t="s">
        <v>39</v>
      </c>
      <c r="N395" s="61"/>
      <c r="O395" s="62"/>
      <c r="P395" s="62"/>
      <c r="Q395" s="65" t="s">
        <v>1874</v>
      </c>
      <c r="S395" s="1">
        <f t="shared" si="141"/>
        <v>0</v>
      </c>
      <c r="T395" s="1">
        <f t="shared" si="142"/>
        <v>0</v>
      </c>
      <c r="U395" s="1">
        <f t="shared" si="143"/>
        <v>0</v>
      </c>
      <c r="V395" s="1">
        <f t="shared" si="144"/>
        <v>0</v>
      </c>
      <c r="W395" s="1">
        <f t="shared" si="145"/>
        <v>1</v>
      </c>
      <c r="X395" s="1">
        <f t="shared" si="146"/>
        <v>0</v>
      </c>
      <c r="Y395" s="1">
        <f t="shared" si="147"/>
        <v>0</v>
      </c>
      <c r="Z395" s="1">
        <f t="shared" si="148"/>
        <v>0</v>
      </c>
      <c r="AA395" s="1">
        <f t="shared" si="149"/>
        <v>0</v>
      </c>
      <c r="AB395" s="1">
        <f t="shared" si="150"/>
        <v>0</v>
      </c>
      <c r="AD395" s="1">
        <f t="shared" si="151"/>
        <v>0</v>
      </c>
      <c r="AE395" s="1">
        <f t="shared" si="152"/>
        <v>0</v>
      </c>
      <c r="AF395" s="1">
        <f t="shared" si="137"/>
        <v>0</v>
      </c>
      <c r="AG395" s="1">
        <f t="shared" si="138"/>
        <v>0</v>
      </c>
      <c r="AH395" s="1">
        <f t="shared" si="139"/>
        <v>0</v>
      </c>
      <c r="AI395" s="1">
        <f t="shared" si="140"/>
        <v>1</v>
      </c>
    </row>
    <row r="396" spans="1:35" ht="14.25" customHeight="1" x14ac:dyDescent="0.25">
      <c r="A396" s="31">
        <v>0</v>
      </c>
      <c r="B396" s="31">
        <v>2</v>
      </c>
      <c r="C396" s="31">
        <v>6</v>
      </c>
      <c r="D396" s="32" t="s">
        <v>515</v>
      </c>
      <c r="E396" s="32" t="s">
        <v>31</v>
      </c>
      <c r="F396" s="32" t="s">
        <v>668</v>
      </c>
      <c r="G396" s="32" t="s">
        <v>199</v>
      </c>
      <c r="H396" s="32" t="s">
        <v>352</v>
      </c>
      <c r="I396" s="31" t="s">
        <v>516</v>
      </c>
      <c r="J396" s="31">
        <v>2</v>
      </c>
      <c r="K396" s="33" t="s">
        <v>941</v>
      </c>
      <c r="L396" s="33" t="s">
        <v>690</v>
      </c>
      <c r="M396" s="34" t="s">
        <v>1406</v>
      </c>
      <c r="N396" s="34" t="s">
        <v>1717</v>
      </c>
      <c r="O396" s="35">
        <v>1</v>
      </c>
      <c r="P396" s="35"/>
      <c r="Q396" s="32"/>
      <c r="S396" s="1">
        <f t="shared" si="141"/>
        <v>0</v>
      </c>
      <c r="T396" s="1">
        <f t="shared" si="142"/>
        <v>1</v>
      </c>
      <c r="U396" s="1">
        <f t="shared" si="143"/>
        <v>0</v>
      </c>
      <c r="V396" s="1">
        <f t="shared" si="144"/>
        <v>0</v>
      </c>
      <c r="W396" s="1">
        <f t="shared" si="145"/>
        <v>0</v>
      </c>
      <c r="X396" s="1">
        <f t="shared" si="146"/>
        <v>0</v>
      </c>
      <c r="Y396" s="1">
        <f t="shared" si="147"/>
        <v>0</v>
      </c>
      <c r="Z396" s="1">
        <f t="shared" si="148"/>
        <v>0</v>
      </c>
      <c r="AA396" s="1">
        <f t="shared" si="149"/>
        <v>0</v>
      </c>
      <c r="AB396" s="1">
        <f t="shared" si="150"/>
        <v>0</v>
      </c>
      <c r="AD396" s="1">
        <f t="shared" si="151"/>
        <v>0</v>
      </c>
      <c r="AE396" s="1">
        <f t="shared" si="152"/>
        <v>1</v>
      </c>
      <c r="AF396" s="1">
        <f t="shared" si="137"/>
        <v>0</v>
      </c>
      <c r="AG396" s="1">
        <f t="shared" si="138"/>
        <v>1</v>
      </c>
      <c r="AH396" s="1">
        <f t="shared" si="139"/>
        <v>0</v>
      </c>
      <c r="AI396" s="1">
        <f t="shared" si="140"/>
        <v>1</v>
      </c>
    </row>
    <row r="397" spans="1:35" ht="14.25" customHeight="1" x14ac:dyDescent="0.25">
      <c r="A397" s="31">
        <v>0</v>
      </c>
      <c r="B397" s="31">
        <v>2</v>
      </c>
      <c r="C397" s="31">
        <v>6</v>
      </c>
      <c r="D397" s="32" t="s">
        <v>53</v>
      </c>
      <c r="E397" s="32" t="s">
        <v>31</v>
      </c>
      <c r="F397" s="32" t="s">
        <v>209</v>
      </c>
      <c r="G397" s="32" t="s">
        <v>210</v>
      </c>
      <c r="H397" s="32" t="s">
        <v>352</v>
      </c>
      <c r="I397" s="31" t="s">
        <v>390</v>
      </c>
      <c r="J397" s="31">
        <v>1</v>
      </c>
      <c r="K397" s="33" t="s">
        <v>708</v>
      </c>
      <c r="L397" s="33" t="s">
        <v>700</v>
      </c>
      <c r="M397" s="34" t="s">
        <v>724</v>
      </c>
      <c r="N397" s="34" t="s">
        <v>1717</v>
      </c>
      <c r="O397" s="35">
        <v>1</v>
      </c>
      <c r="P397" s="35"/>
      <c r="Q397" s="32"/>
      <c r="S397" s="1">
        <f t="shared" si="141"/>
        <v>1</v>
      </c>
      <c r="T397" s="1">
        <f t="shared" si="142"/>
        <v>0</v>
      </c>
      <c r="U397" s="1">
        <f t="shared" si="143"/>
        <v>0</v>
      </c>
      <c r="V397" s="1">
        <f t="shared" si="144"/>
        <v>0</v>
      </c>
      <c r="W397" s="1">
        <f t="shared" si="145"/>
        <v>0</v>
      </c>
      <c r="X397" s="1">
        <f t="shared" si="146"/>
        <v>0</v>
      </c>
      <c r="Y397" s="1">
        <f t="shared" si="147"/>
        <v>0</v>
      </c>
      <c r="Z397" s="1">
        <f t="shared" si="148"/>
        <v>0</v>
      </c>
      <c r="AA397" s="1">
        <f t="shared" si="149"/>
        <v>0</v>
      </c>
      <c r="AB397" s="1">
        <f t="shared" si="150"/>
        <v>0</v>
      </c>
      <c r="AD397" s="1">
        <f t="shared" si="151"/>
        <v>0</v>
      </c>
      <c r="AE397" s="1">
        <f t="shared" si="152"/>
        <v>1</v>
      </c>
      <c r="AF397" s="1">
        <f t="shared" si="137"/>
        <v>0</v>
      </c>
      <c r="AG397" s="1">
        <f t="shared" si="138"/>
        <v>1</v>
      </c>
      <c r="AH397" s="1">
        <f t="shared" si="139"/>
        <v>0</v>
      </c>
      <c r="AI397" s="1">
        <f t="shared" si="140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1836</v>
      </c>
      <c r="E398" s="32" t="s">
        <v>1837</v>
      </c>
      <c r="F398" s="32" t="s">
        <v>1838</v>
      </c>
      <c r="G398" s="32"/>
      <c r="H398" s="32" t="s">
        <v>352</v>
      </c>
      <c r="I398" s="31" t="s">
        <v>1839</v>
      </c>
      <c r="J398" s="31">
        <v>99</v>
      </c>
      <c r="K398" s="33" t="s">
        <v>699</v>
      </c>
      <c r="L398" s="33">
        <v>25</v>
      </c>
      <c r="M398" s="34" t="s">
        <v>1840</v>
      </c>
      <c r="N398" s="34" t="s">
        <v>1717</v>
      </c>
      <c r="O398" s="35">
        <v>1</v>
      </c>
      <c r="P398" s="35"/>
      <c r="Q398" s="32" t="s">
        <v>2021</v>
      </c>
      <c r="S398" s="1">
        <f t="shared" si="141"/>
        <v>0</v>
      </c>
      <c r="T398" s="1">
        <f t="shared" si="142"/>
        <v>0</v>
      </c>
      <c r="U398" s="1">
        <f t="shared" si="143"/>
        <v>0</v>
      </c>
      <c r="V398" s="1">
        <f t="shared" si="144"/>
        <v>0</v>
      </c>
      <c r="W398" s="1">
        <f t="shared" si="145"/>
        <v>0</v>
      </c>
      <c r="X398" s="1">
        <f t="shared" si="146"/>
        <v>0</v>
      </c>
      <c r="Y398" s="1">
        <f t="shared" si="147"/>
        <v>0</v>
      </c>
      <c r="Z398" s="1">
        <f t="shared" si="148"/>
        <v>0</v>
      </c>
      <c r="AA398" s="1">
        <f t="shared" si="149"/>
        <v>0</v>
      </c>
      <c r="AB398" s="1">
        <f t="shared" si="150"/>
        <v>0</v>
      </c>
      <c r="AD398" s="1">
        <f t="shared" si="151"/>
        <v>0</v>
      </c>
      <c r="AE398" s="1">
        <f t="shared" si="152"/>
        <v>1</v>
      </c>
      <c r="AF398" s="1">
        <f t="shared" si="137"/>
        <v>0</v>
      </c>
      <c r="AG398" s="1">
        <f t="shared" si="138"/>
        <v>1</v>
      </c>
      <c r="AH398" s="1">
        <f t="shared" si="139"/>
        <v>0</v>
      </c>
      <c r="AI398" s="1">
        <f t="shared" si="140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80</v>
      </c>
      <c r="E399" s="45" t="s">
        <v>31</v>
      </c>
      <c r="F399" s="45" t="s">
        <v>269</v>
      </c>
      <c r="G399" s="45" t="s">
        <v>223</v>
      </c>
      <c r="H399" s="45" t="s">
        <v>352</v>
      </c>
      <c r="I399" s="44" t="s">
        <v>674</v>
      </c>
      <c r="J399" s="44">
        <v>99</v>
      </c>
      <c r="K399" s="46" t="s">
        <v>942</v>
      </c>
      <c r="L399" s="46" t="s">
        <v>690</v>
      </c>
      <c r="M399" s="47" t="s">
        <v>1407</v>
      </c>
      <c r="N399" s="47" t="s">
        <v>1783</v>
      </c>
      <c r="O399" s="48"/>
      <c r="P399" s="48"/>
      <c r="Q399" s="45"/>
      <c r="S399" s="1">
        <f t="shared" si="141"/>
        <v>0</v>
      </c>
      <c r="T399" s="1">
        <f t="shared" si="142"/>
        <v>0</v>
      </c>
      <c r="U399" s="1">
        <f t="shared" si="143"/>
        <v>0</v>
      </c>
      <c r="V399" s="1">
        <f t="shared" si="144"/>
        <v>0</v>
      </c>
      <c r="W399" s="1">
        <f t="shared" si="145"/>
        <v>0</v>
      </c>
      <c r="X399" s="1">
        <f t="shared" si="146"/>
        <v>0</v>
      </c>
      <c r="Y399" s="1">
        <f t="shared" si="147"/>
        <v>0</v>
      </c>
      <c r="Z399" s="1">
        <f t="shared" si="148"/>
        <v>0</v>
      </c>
      <c r="AA399" s="1">
        <f t="shared" si="149"/>
        <v>0</v>
      </c>
      <c r="AB399" s="1">
        <f t="shared" si="150"/>
        <v>0</v>
      </c>
      <c r="AD399" s="1">
        <f t="shared" si="151"/>
        <v>0</v>
      </c>
      <c r="AE399" s="1">
        <f t="shared" si="152"/>
        <v>0</v>
      </c>
      <c r="AF399" s="1">
        <f t="shared" ref="AF399:AF417" si="153">+O399*P399*(1-A399)</f>
        <v>0</v>
      </c>
      <c r="AG399" s="1">
        <f t="shared" ref="AG399:AG417" si="154">O399*(1-P399)*(1-A399)</f>
        <v>0</v>
      </c>
      <c r="AH399" s="1">
        <f t="shared" ref="AH399:AH417" si="155">+P399*(1-A399)</f>
        <v>0</v>
      </c>
      <c r="AI399" s="1">
        <f t="shared" ref="AI399:AI417" si="156">+(1-A399)*(1-P399)</f>
        <v>1</v>
      </c>
    </row>
    <row r="400" spans="1:35" ht="14.25" customHeight="1" x14ac:dyDescent="0.25">
      <c r="A400" s="44">
        <v>0</v>
      </c>
      <c r="B400" s="44">
        <v>2</v>
      </c>
      <c r="C400" s="44">
        <v>6</v>
      </c>
      <c r="D400" s="45" t="s">
        <v>635</v>
      </c>
      <c r="E400" s="45" t="s">
        <v>31</v>
      </c>
      <c r="F400" s="45" t="s">
        <v>636</v>
      </c>
      <c r="G400" s="45" t="s">
        <v>239</v>
      </c>
      <c r="H400" s="45" t="s">
        <v>352</v>
      </c>
      <c r="I400" s="44" t="s">
        <v>637</v>
      </c>
      <c r="J400" s="44">
        <v>1</v>
      </c>
      <c r="K400" s="46" t="s">
        <v>709</v>
      </c>
      <c r="L400" s="46" t="s">
        <v>690</v>
      </c>
      <c r="M400" s="47" t="s">
        <v>1408</v>
      </c>
      <c r="N400" s="47" t="s">
        <v>1709</v>
      </c>
      <c r="O400" s="48"/>
      <c r="P400" s="48"/>
      <c r="Q400" s="45"/>
      <c r="S400" s="1">
        <f t="shared" si="141"/>
        <v>1</v>
      </c>
      <c r="T400" s="1">
        <f t="shared" si="142"/>
        <v>0</v>
      </c>
      <c r="U400" s="1">
        <f t="shared" si="143"/>
        <v>0</v>
      </c>
      <c r="V400" s="1">
        <f t="shared" si="144"/>
        <v>0</v>
      </c>
      <c r="W400" s="1">
        <f t="shared" si="145"/>
        <v>0</v>
      </c>
      <c r="X400" s="1">
        <f t="shared" si="146"/>
        <v>0</v>
      </c>
      <c r="Y400" s="1">
        <f t="shared" si="147"/>
        <v>0</v>
      </c>
      <c r="Z400" s="1">
        <f t="shared" si="148"/>
        <v>0</v>
      </c>
      <c r="AA400" s="1">
        <f t="shared" si="149"/>
        <v>0</v>
      </c>
      <c r="AB400" s="1">
        <f t="shared" si="150"/>
        <v>0</v>
      </c>
      <c r="AD400" s="1">
        <f t="shared" si="151"/>
        <v>0</v>
      </c>
      <c r="AE400" s="1">
        <f t="shared" si="152"/>
        <v>0</v>
      </c>
      <c r="AF400" s="1">
        <f t="shared" si="153"/>
        <v>0</v>
      </c>
      <c r="AG400" s="1">
        <f t="shared" si="154"/>
        <v>0</v>
      </c>
      <c r="AH400" s="1">
        <f t="shared" si="155"/>
        <v>0</v>
      </c>
      <c r="AI400" s="1">
        <f t="shared" si="156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1119</v>
      </c>
      <c r="E401" s="45" t="s">
        <v>31</v>
      </c>
      <c r="F401" s="45" t="s">
        <v>668</v>
      </c>
      <c r="G401" s="45" t="s">
        <v>199</v>
      </c>
      <c r="H401" s="45" t="s">
        <v>352</v>
      </c>
      <c r="I401" s="44" t="s">
        <v>516</v>
      </c>
      <c r="J401" s="44">
        <v>2</v>
      </c>
      <c r="K401" s="46" t="s">
        <v>708</v>
      </c>
      <c r="L401" s="46" t="s">
        <v>690</v>
      </c>
      <c r="M401" s="47" t="s">
        <v>724</v>
      </c>
      <c r="N401" s="47" t="s">
        <v>1709</v>
      </c>
      <c r="O401" s="48"/>
      <c r="P401" s="48"/>
      <c r="Q401" s="45"/>
      <c r="S401" s="1">
        <f t="shared" si="141"/>
        <v>0</v>
      </c>
      <c r="T401" s="1">
        <f t="shared" si="142"/>
        <v>1</v>
      </c>
      <c r="U401" s="1">
        <f t="shared" si="143"/>
        <v>0</v>
      </c>
      <c r="V401" s="1">
        <f t="shared" si="144"/>
        <v>0</v>
      </c>
      <c r="W401" s="1">
        <f t="shared" si="145"/>
        <v>0</v>
      </c>
      <c r="X401" s="1">
        <f t="shared" si="146"/>
        <v>0</v>
      </c>
      <c r="Y401" s="1">
        <f t="shared" si="147"/>
        <v>0</v>
      </c>
      <c r="Z401" s="1">
        <f t="shared" si="148"/>
        <v>0</v>
      </c>
      <c r="AA401" s="1">
        <f t="shared" si="149"/>
        <v>0</v>
      </c>
      <c r="AB401" s="1">
        <f t="shared" si="150"/>
        <v>0</v>
      </c>
      <c r="AD401" s="1">
        <f t="shared" si="151"/>
        <v>0</v>
      </c>
      <c r="AE401" s="1">
        <f t="shared" si="152"/>
        <v>0</v>
      </c>
      <c r="AF401" s="1">
        <f t="shared" si="153"/>
        <v>0</v>
      </c>
      <c r="AG401" s="1">
        <f t="shared" si="154"/>
        <v>0</v>
      </c>
      <c r="AH401" s="1">
        <f t="shared" si="155"/>
        <v>0</v>
      </c>
      <c r="AI401" s="1">
        <f t="shared" si="156"/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1070</v>
      </c>
      <c r="E402" s="45" t="s">
        <v>158</v>
      </c>
      <c r="F402" s="45" t="s">
        <v>197</v>
      </c>
      <c r="G402" s="45" t="s">
        <v>198</v>
      </c>
      <c r="H402" s="45" t="s">
        <v>352</v>
      </c>
      <c r="I402" s="44" t="s">
        <v>386</v>
      </c>
      <c r="J402" s="44">
        <v>99</v>
      </c>
      <c r="K402" s="46" t="s">
        <v>708</v>
      </c>
      <c r="L402" s="46" t="s">
        <v>712</v>
      </c>
      <c r="M402" s="47" t="s">
        <v>726</v>
      </c>
      <c r="N402" s="47" t="s">
        <v>1708</v>
      </c>
      <c r="O402" s="48"/>
      <c r="P402" s="48"/>
      <c r="Q402" s="45"/>
      <c r="S402" s="1">
        <f t="shared" si="141"/>
        <v>0</v>
      </c>
      <c r="T402" s="1">
        <f t="shared" si="142"/>
        <v>0</v>
      </c>
      <c r="U402" s="1">
        <f t="shared" si="143"/>
        <v>0</v>
      </c>
      <c r="V402" s="1">
        <f t="shared" si="144"/>
        <v>0</v>
      </c>
      <c r="W402" s="1">
        <f t="shared" si="145"/>
        <v>0</v>
      </c>
      <c r="X402" s="1">
        <f t="shared" si="146"/>
        <v>0</v>
      </c>
      <c r="Y402" s="1">
        <f t="shared" si="147"/>
        <v>0</v>
      </c>
      <c r="Z402" s="1">
        <f t="shared" si="148"/>
        <v>0</v>
      </c>
      <c r="AA402" s="1">
        <f t="shared" si="149"/>
        <v>0</v>
      </c>
      <c r="AB402" s="1">
        <f t="shared" si="150"/>
        <v>0</v>
      </c>
      <c r="AD402" s="1">
        <f t="shared" si="151"/>
        <v>0</v>
      </c>
      <c r="AE402" s="1">
        <f t="shared" si="152"/>
        <v>0</v>
      </c>
      <c r="AF402" s="1">
        <f t="shared" si="153"/>
        <v>0</v>
      </c>
      <c r="AG402" s="1">
        <f t="shared" si="154"/>
        <v>0</v>
      </c>
      <c r="AH402" s="1">
        <f t="shared" si="155"/>
        <v>0</v>
      </c>
      <c r="AI402" s="1">
        <f t="shared" si="156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505</v>
      </c>
      <c r="E403" s="32" t="s">
        <v>155</v>
      </c>
      <c r="F403" s="32" t="s">
        <v>506</v>
      </c>
      <c r="G403" s="32" t="s">
        <v>39</v>
      </c>
      <c r="H403" s="32" t="s">
        <v>352</v>
      </c>
      <c r="I403" s="31" t="s">
        <v>930</v>
      </c>
      <c r="J403" s="31">
        <v>7</v>
      </c>
      <c r="K403" s="33" t="s">
        <v>942</v>
      </c>
      <c r="L403" s="33" t="s">
        <v>39</v>
      </c>
      <c r="M403" s="34" t="s">
        <v>39</v>
      </c>
      <c r="N403" s="34" t="s">
        <v>1701</v>
      </c>
      <c r="O403" s="35">
        <v>1</v>
      </c>
      <c r="P403" s="35">
        <v>1</v>
      </c>
      <c r="Q403" s="32"/>
      <c r="S403" s="1">
        <f t="shared" ref="S403:S417" si="157">IF(J403=$S$7,1,0)</f>
        <v>0</v>
      </c>
      <c r="T403" s="1">
        <f t="shared" ref="T403:T417" si="158">IF(J403=$T$7,1,0)</f>
        <v>0</v>
      </c>
      <c r="U403" s="1">
        <f t="shared" ref="U403:U417" si="159">IF(J403=$U$7,1,0)</f>
        <v>0</v>
      </c>
      <c r="V403" s="1">
        <f t="shared" ref="V403:V417" si="160">IF(J403=$V$7,1,0)</f>
        <v>0</v>
      </c>
      <c r="W403" s="1">
        <f t="shared" ref="W403:W417" si="161">IF(J403=$W$7,1,0)</f>
        <v>0</v>
      </c>
      <c r="X403" s="1">
        <f t="shared" ref="X403:X417" si="162">IF(J403=$X$7,1,0)</f>
        <v>0</v>
      </c>
      <c r="Y403" s="1">
        <f t="shared" ref="Y403:Y417" si="163">IF(J403=$Y$7,1,0)</f>
        <v>1</v>
      </c>
      <c r="Z403" s="1">
        <f t="shared" ref="Z403:Z417" si="164">IF(J403=$Z$7,1,0)</f>
        <v>0</v>
      </c>
      <c r="AA403" s="1">
        <f t="shared" ref="AA403:AA417" si="165">IF(J403=$AA$7,1,0)</f>
        <v>0</v>
      </c>
      <c r="AB403" s="1">
        <f t="shared" ref="AB403:AB417" si="166">IF(J403=$AB$7,1,0)</f>
        <v>0</v>
      </c>
      <c r="AD403" s="1">
        <f t="shared" ref="AD403:AD417" si="167">+O403*P403</f>
        <v>1</v>
      </c>
      <c r="AE403" s="1">
        <f t="shared" ref="AE403:AE417" si="168">O403*(1-P403)</f>
        <v>0</v>
      </c>
      <c r="AF403" s="1">
        <f t="shared" si="153"/>
        <v>1</v>
      </c>
      <c r="AG403" s="1">
        <f t="shared" si="154"/>
        <v>0</v>
      </c>
      <c r="AH403" s="1">
        <f t="shared" si="155"/>
        <v>1</v>
      </c>
      <c r="AI403" s="1">
        <f t="shared" si="156"/>
        <v>0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70</v>
      </c>
      <c r="E404" s="32" t="s">
        <v>28</v>
      </c>
      <c r="F404" s="32" t="s">
        <v>669</v>
      </c>
      <c r="G404" s="32" t="s">
        <v>257</v>
      </c>
      <c r="H404" s="32" t="s">
        <v>352</v>
      </c>
      <c r="I404" s="31" t="s">
        <v>415</v>
      </c>
      <c r="J404" s="31">
        <v>8</v>
      </c>
      <c r="K404" s="33" t="s">
        <v>709</v>
      </c>
      <c r="L404" s="33" t="s">
        <v>709</v>
      </c>
      <c r="M404" s="34" t="s">
        <v>727</v>
      </c>
      <c r="N404" s="34" t="s">
        <v>1717</v>
      </c>
      <c r="O404" s="35">
        <v>1</v>
      </c>
      <c r="P404" s="35"/>
      <c r="Q404" s="32"/>
      <c r="S404" s="1">
        <f t="shared" si="157"/>
        <v>0</v>
      </c>
      <c r="T404" s="1">
        <f t="shared" si="158"/>
        <v>0</v>
      </c>
      <c r="U404" s="1">
        <f t="shared" si="159"/>
        <v>0</v>
      </c>
      <c r="V404" s="1">
        <f t="shared" si="160"/>
        <v>0</v>
      </c>
      <c r="W404" s="1">
        <f t="shared" si="161"/>
        <v>0</v>
      </c>
      <c r="X404" s="1">
        <f t="shared" si="162"/>
        <v>0</v>
      </c>
      <c r="Y404" s="1">
        <f t="shared" si="163"/>
        <v>0</v>
      </c>
      <c r="Z404" s="1">
        <f t="shared" si="164"/>
        <v>1</v>
      </c>
      <c r="AA404" s="1">
        <f t="shared" si="165"/>
        <v>0</v>
      </c>
      <c r="AB404" s="1">
        <f t="shared" si="166"/>
        <v>0</v>
      </c>
      <c r="AD404" s="1">
        <f t="shared" si="167"/>
        <v>0</v>
      </c>
      <c r="AE404" s="1">
        <f t="shared" si="168"/>
        <v>1</v>
      </c>
      <c r="AF404" s="1">
        <f t="shared" si="153"/>
        <v>0</v>
      </c>
      <c r="AG404" s="1">
        <f t="shared" si="154"/>
        <v>1</v>
      </c>
      <c r="AH404" s="1">
        <f t="shared" si="155"/>
        <v>0</v>
      </c>
      <c r="AI404" s="1">
        <f t="shared" si="15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650</v>
      </c>
      <c r="E405" s="32" t="s">
        <v>155</v>
      </c>
      <c r="F405" s="32" t="s">
        <v>581</v>
      </c>
      <c r="G405" s="32" t="s">
        <v>248</v>
      </c>
      <c r="H405" s="32" t="s">
        <v>352</v>
      </c>
      <c r="I405" s="31" t="s">
        <v>675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si="157"/>
        <v>0</v>
      </c>
      <c r="T405" s="1">
        <f t="shared" si="158"/>
        <v>0</v>
      </c>
      <c r="U405" s="1">
        <f t="shared" si="159"/>
        <v>0</v>
      </c>
      <c r="V405" s="1">
        <f t="shared" si="160"/>
        <v>0</v>
      </c>
      <c r="W405" s="1">
        <f t="shared" si="161"/>
        <v>0</v>
      </c>
      <c r="X405" s="1">
        <f t="shared" si="162"/>
        <v>0</v>
      </c>
      <c r="Y405" s="1">
        <f t="shared" si="163"/>
        <v>1</v>
      </c>
      <c r="Z405" s="1">
        <f t="shared" si="164"/>
        <v>0</v>
      </c>
      <c r="AA405" s="1">
        <f t="shared" si="165"/>
        <v>0</v>
      </c>
      <c r="AB405" s="1">
        <f t="shared" si="166"/>
        <v>0</v>
      </c>
      <c r="AD405" s="1">
        <f t="shared" si="167"/>
        <v>1</v>
      </c>
      <c r="AE405" s="1">
        <f t="shared" si="168"/>
        <v>0</v>
      </c>
      <c r="AF405" s="1">
        <f t="shared" si="153"/>
        <v>1</v>
      </c>
      <c r="AG405" s="1">
        <f t="shared" si="154"/>
        <v>0</v>
      </c>
      <c r="AH405" s="1">
        <f t="shared" si="155"/>
        <v>1</v>
      </c>
      <c r="AI405" s="1">
        <f t="shared" si="156"/>
        <v>0</v>
      </c>
    </row>
    <row r="406" spans="1:35" ht="14.25" customHeight="1" x14ac:dyDescent="0.25">
      <c r="A406" s="44">
        <v>0</v>
      </c>
      <c r="B406" s="44">
        <v>2</v>
      </c>
      <c r="C406" s="44">
        <v>7</v>
      </c>
      <c r="D406" s="45" t="s">
        <v>1608</v>
      </c>
      <c r="E406" s="45" t="s">
        <v>155</v>
      </c>
      <c r="F406" s="45" t="s">
        <v>1631</v>
      </c>
      <c r="G406" s="45" t="s">
        <v>212</v>
      </c>
      <c r="H406" s="45" t="s">
        <v>352</v>
      </c>
      <c r="I406" s="44" t="s">
        <v>590</v>
      </c>
      <c r="J406" s="44">
        <v>1</v>
      </c>
      <c r="K406" s="46" t="s">
        <v>708</v>
      </c>
      <c r="L406" s="46" t="s">
        <v>718</v>
      </c>
      <c r="M406" s="47" t="s">
        <v>1409</v>
      </c>
      <c r="N406" s="47" t="s">
        <v>1709</v>
      </c>
      <c r="O406" s="48"/>
      <c r="P406" s="48"/>
      <c r="Q406" s="45"/>
      <c r="S406" s="1">
        <f t="shared" si="157"/>
        <v>1</v>
      </c>
      <c r="T406" s="1">
        <f t="shared" si="158"/>
        <v>0</v>
      </c>
      <c r="U406" s="1">
        <f t="shared" si="159"/>
        <v>0</v>
      </c>
      <c r="V406" s="1">
        <f t="shared" si="160"/>
        <v>0</v>
      </c>
      <c r="W406" s="1">
        <f t="shared" si="161"/>
        <v>0</v>
      </c>
      <c r="X406" s="1">
        <f t="shared" si="162"/>
        <v>0</v>
      </c>
      <c r="Y406" s="1">
        <f t="shared" si="163"/>
        <v>0</v>
      </c>
      <c r="Z406" s="1">
        <f t="shared" si="164"/>
        <v>0</v>
      </c>
      <c r="AA406" s="1">
        <f t="shared" si="165"/>
        <v>0</v>
      </c>
      <c r="AB406" s="1">
        <f t="shared" si="166"/>
        <v>0</v>
      </c>
      <c r="AD406" s="1">
        <f t="shared" si="167"/>
        <v>0</v>
      </c>
      <c r="AE406" s="1">
        <f t="shared" si="168"/>
        <v>0</v>
      </c>
      <c r="AF406" s="1">
        <f t="shared" si="153"/>
        <v>0</v>
      </c>
      <c r="AG406" s="1">
        <f t="shared" si="154"/>
        <v>0</v>
      </c>
      <c r="AH406" s="1">
        <f t="shared" si="155"/>
        <v>0</v>
      </c>
      <c r="AI406" s="1">
        <f t="shared" si="156"/>
        <v>1</v>
      </c>
    </row>
    <row r="407" spans="1:35" ht="14.25" customHeight="1" x14ac:dyDescent="0.25">
      <c r="A407" s="44">
        <v>0</v>
      </c>
      <c r="B407" s="44">
        <v>2</v>
      </c>
      <c r="C407" s="44">
        <v>7</v>
      </c>
      <c r="D407" s="45" t="s">
        <v>1057</v>
      </c>
      <c r="E407" s="45" t="s">
        <v>1033</v>
      </c>
      <c r="F407" s="45" t="s">
        <v>1058</v>
      </c>
      <c r="G407" s="45" t="s">
        <v>212</v>
      </c>
      <c r="H407" s="45" t="s">
        <v>352</v>
      </c>
      <c r="I407" s="44" t="s">
        <v>1059</v>
      </c>
      <c r="J407" s="44">
        <v>1</v>
      </c>
      <c r="K407" s="46" t="s">
        <v>942</v>
      </c>
      <c r="L407" s="46" t="s">
        <v>718</v>
      </c>
      <c r="M407" s="47" t="s">
        <v>1410</v>
      </c>
      <c r="N407" s="47" t="s">
        <v>1709</v>
      </c>
      <c r="O407" s="48"/>
      <c r="P407" s="48"/>
      <c r="Q407" s="45" t="s">
        <v>1892</v>
      </c>
      <c r="S407" s="1">
        <f t="shared" si="157"/>
        <v>1</v>
      </c>
      <c r="T407" s="1">
        <f t="shared" si="158"/>
        <v>0</v>
      </c>
      <c r="U407" s="1">
        <f t="shared" si="159"/>
        <v>0</v>
      </c>
      <c r="V407" s="1">
        <f t="shared" si="160"/>
        <v>0</v>
      </c>
      <c r="W407" s="1">
        <f t="shared" si="161"/>
        <v>0</v>
      </c>
      <c r="X407" s="1">
        <f t="shared" si="162"/>
        <v>0</v>
      </c>
      <c r="Y407" s="1">
        <f t="shared" si="163"/>
        <v>0</v>
      </c>
      <c r="Z407" s="1">
        <f t="shared" si="164"/>
        <v>0</v>
      </c>
      <c r="AA407" s="1">
        <f t="shared" si="165"/>
        <v>0</v>
      </c>
      <c r="AB407" s="1">
        <f t="shared" si="166"/>
        <v>0</v>
      </c>
      <c r="AD407" s="1">
        <f t="shared" si="167"/>
        <v>0</v>
      </c>
      <c r="AE407" s="1">
        <f t="shared" si="168"/>
        <v>0</v>
      </c>
      <c r="AF407" s="1">
        <f t="shared" si="153"/>
        <v>0</v>
      </c>
      <c r="AG407" s="1">
        <f t="shared" si="154"/>
        <v>0</v>
      </c>
      <c r="AH407" s="1">
        <f t="shared" si="155"/>
        <v>0</v>
      </c>
      <c r="AI407" s="1">
        <f t="shared" si="156"/>
        <v>1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1004</v>
      </c>
      <c r="E408" s="32" t="s">
        <v>155</v>
      </c>
      <c r="F408" s="32" t="s">
        <v>1075</v>
      </c>
      <c r="G408" s="32" t="s">
        <v>1085</v>
      </c>
      <c r="H408" s="32" t="s">
        <v>352</v>
      </c>
      <c r="I408" s="31" t="s">
        <v>1005</v>
      </c>
      <c r="J408" s="31">
        <v>99</v>
      </c>
      <c r="K408" s="33" t="s">
        <v>709</v>
      </c>
      <c r="L408" s="33" t="s">
        <v>718</v>
      </c>
      <c r="M408" s="34" t="s">
        <v>1410</v>
      </c>
      <c r="N408" s="34" t="s">
        <v>1722</v>
      </c>
      <c r="O408" s="35">
        <v>1</v>
      </c>
      <c r="P408" s="35"/>
      <c r="Q408" s="32"/>
      <c r="S408" s="1">
        <f t="shared" si="157"/>
        <v>0</v>
      </c>
      <c r="T408" s="1">
        <f t="shared" si="158"/>
        <v>0</v>
      </c>
      <c r="U408" s="1">
        <f t="shared" si="159"/>
        <v>0</v>
      </c>
      <c r="V408" s="1">
        <f t="shared" si="160"/>
        <v>0</v>
      </c>
      <c r="W408" s="1">
        <f t="shared" si="161"/>
        <v>0</v>
      </c>
      <c r="X408" s="1">
        <f t="shared" si="162"/>
        <v>0</v>
      </c>
      <c r="Y408" s="1">
        <f t="shared" si="163"/>
        <v>0</v>
      </c>
      <c r="Z408" s="1">
        <f t="shared" si="164"/>
        <v>0</v>
      </c>
      <c r="AA408" s="1">
        <f t="shared" si="165"/>
        <v>0</v>
      </c>
      <c r="AB408" s="1">
        <f t="shared" si="166"/>
        <v>0</v>
      </c>
      <c r="AD408" s="1">
        <f t="shared" si="167"/>
        <v>0</v>
      </c>
      <c r="AE408" s="1">
        <f t="shared" si="168"/>
        <v>1</v>
      </c>
      <c r="AF408" s="1">
        <f t="shared" si="153"/>
        <v>0</v>
      </c>
      <c r="AG408" s="1">
        <f t="shared" si="154"/>
        <v>1</v>
      </c>
      <c r="AH408" s="1">
        <f t="shared" si="155"/>
        <v>0</v>
      </c>
      <c r="AI408" s="1">
        <f t="shared" si="156"/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1186</v>
      </c>
      <c r="E409" s="32" t="s">
        <v>1312</v>
      </c>
      <c r="F409" s="32" t="s">
        <v>1187</v>
      </c>
      <c r="G409" s="32" t="s">
        <v>39</v>
      </c>
      <c r="H409" s="32" t="s">
        <v>352</v>
      </c>
      <c r="I409" s="31" t="s">
        <v>1659</v>
      </c>
      <c r="J409" s="31">
        <v>99</v>
      </c>
      <c r="K409" s="33" t="s">
        <v>942</v>
      </c>
      <c r="L409" s="33" t="s">
        <v>725</v>
      </c>
      <c r="M409" s="34" t="s">
        <v>1411</v>
      </c>
      <c r="N409" s="34" t="s">
        <v>1722</v>
      </c>
      <c r="O409" s="35">
        <v>1</v>
      </c>
      <c r="P409" s="35"/>
      <c r="Q409" s="32"/>
      <c r="S409" s="1">
        <f t="shared" si="157"/>
        <v>0</v>
      </c>
      <c r="T409" s="1">
        <f t="shared" si="158"/>
        <v>0</v>
      </c>
      <c r="U409" s="1">
        <f t="shared" si="159"/>
        <v>0</v>
      </c>
      <c r="V409" s="1">
        <f t="shared" si="160"/>
        <v>0</v>
      </c>
      <c r="W409" s="1">
        <f t="shared" si="161"/>
        <v>0</v>
      </c>
      <c r="X409" s="1">
        <f t="shared" si="162"/>
        <v>0</v>
      </c>
      <c r="Y409" s="1">
        <f t="shared" si="163"/>
        <v>0</v>
      </c>
      <c r="Z409" s="1">
        <f t="shared" si="164"/>
        <v>0</v>
      </c>
      <c r="AA409" s="1">
        <f t="shared" si="165"/>
        <v>0</v>
      </c>
      <c r="AB409" s="1">
        <f t="shared" si="166"/>
        <v>0</v>
      </c>
      <c r="AD409" s="1">
        <f t="shared" si="167"/>
        <v>0</v>
      </c>
      <c r="AE409" s="1">
        <f t="shared" si="168"/>
        <v>1</v>
      </c>
      <c r="AF409" s="1">
        <f t="shared" si="153"/>
        <v>0</v>
      </c>
      <c r="AG409" s="1">
        <f t="shared" si="154"/>
        <v>1</v>
      </c>
      <c r="AH409" s="1">
        <f t="shared" si="155"/>
        <v>0</v>
      </c>
      <c r="AI409" s="1">
        <f t="shared" si="15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640</v>
      </c>
      <c r="G410" s="32" t="s">
        <v>531</v>
      </c>
      <c r="H410" s="32" t="s">
        <v>352</v>
      </c>
      <c r="I410" s="31" t="s">
        <v>392</v>
      </c>
      <c r="J410" s="31">
        <v>6</v>
      </c>
      <c r="K410" s="33" t="s">
        <v>708</v>
      </c>
      <c r="L410" s="33" t="s">
        <v>709</v>
      </c>
      <c r="M410" s="34" t="s">
        <v>727</v>
      </c>
      <c r="N410" s="34" t="s">
        <v>1735</v>
      </c>
      <c r="O410" s="35">
        <v>1</v>
      </c>
      <c r="P410" s="35"/>
      <c r="Q410" s="32"/>
      <c r="S410" s="1">
        <f t="shared" si="157"/>
        <v>0</v>
      </c>
      <c r="T410" s="1">
        <f t="shared" si="158"/>
        <v>0</v>
      </c>
      <c r="U410" s="1">
        <f t="shared" si="159"/>
        <v>0</v>
      </c>
      <c r="V410" s="1">
        <f t="shared" si="160"/>
        <v>0</v>
      </c>
      <c r="W410" s="1">
        <f t="shared" si="161"/>
        <v>0</v>
      </c>
      <c r="X410" s="1">
        <f t="shared" si="162"/>
        <v>1</v>
      </c>
      <c r="Y410" s="1">
        <f t="shared" si="163"/>
        <v>0</v>
      </c>
      <c r="Z410" s="1">
        <f t="shared" si="164"/>
        <v>0</v>
      </c>
      <c r="AA410" s="1">
        <f t="shared" si="165"/>
        <v>0</v>
      </c>
      <c r="AB410" s="1">
        <f t="shared" si="166"/>
        <v>0</v>
      </c>
      <c r="AD410" s="1">
        <f t="shared" si="167"/>
        <v>0</v>
      </c>
      <c r="AE410" s="1">
        <f t="shared" si="168"/>
        <v>1</v>
      </c>
      <c r="AF410" s="1">
        <f t="shared" si="153"/>
        <v>0</v>
      </c>
      <c r="AG410" s="1">
        <f t="shared" si="154"/>
        <v>1</v>
      </c>
      <c r="AH410" s="1">
        <f t="shared" si="155"/>
        <v>0</v>
      </c>
      <c r="AI410" s="1">
        <f t="shared" si="156"/>
        <v>1</v>
      </c>
    </row>
    <row r="411" spans="1:35" ht="14.25" customHeight="1" x14ac:dyDescent="0.25">
      <c r="A411" s="31">
        <v>1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215</v>
      </c>
      <c r="G411" s="32" t="s">
        <v>39</v>
      </c>
      <c r="H411" s="32" t="s">
        <v>352</v>
      </c>
      <c r="I411" s="31" t="s">
        <v>30</v>
      </c>
      <c r="J411" s="31">
        <v>99</v>
      </c>
      <c r="K411" s="33" t="s">
        <v>708</v>
      </c>
      <c r="L411" s="33" t="s">
        <v>709</v>
      </c>
      <c r="M411" s="34" t="s">
        <v>727</v>
      </c>
      <c r="N411" s="34" t="s">
        <v>1735</v>
      </c>
      <c r="O411" s="35">
        <v>1</v>
      </c>
      <c r="P411" s="35"/>
      <c r="Q411" s="32"/>
      <c r="S411" s="1">
        <f t="shared" si="157"/>
        <v>0</v>
      </c>
      <c r="T411" s="1">
        <f t="shared" si="158"/>
        <v>0</v>
      </c>
      <c r="U411" s="1">
        <f t="shared" si="159"/>
        <v>0</v>
      </c>
      <c r="V411" s="1">
        <f t="shared" si="160"/>
        <v>0</v>
      </c>
      <c r="W411" s="1">
        <f t="shared" si="161"/>
        <v>0</v>
      </c>
      <c r="X411" s="1">
        <f t="shared" si="162"/>
        <v>0</v>
      </c>
      <c r="Y411" s="1">
        <f t="shared" si="163"/>
        <v>0</v>
      </c>
      <c r="Z411" s="1">
        <f t="shared" si="164"/>
        <v>0</v>
      </c>
      <c r="AA411" s="1">
        <f t="shared" si="165"/>
        <v>0</v>
      </c>
      <c r="AB411" s="1">
        <f t="shared" si="166"/>
        <v>0</v>
      </c>
      <c r="AD411" s="1">
        <f t="shared" si="167"/>
        <v>0</v>
      </c>
      <c r="AE411" s="1">
        <f t="shared" si="168"/>
        <v>1</v>
      </c>
      <c r="AF411" s="1">
        <f t="shared" si="153"/>
        <v>0</v>
      </c>
      <c r="AG411" s="1">
        <f t="shared" si="154"/>
        <v>0</v>
      </c>
      <c r="AH411" s="1">
        <f t="shared" si="155"/>
        <v>0</v>
      </c>
      <c r="AI411" s="1">
        <f t="shared" si="156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214</v>
      </c>
      <c r="G412" s="32" t="s">
        <v>39</v>
      </c>
      <c r="H412" s="32" t="s">
        <v>352</v>
      </c>
      <c r="I412" s="31" t="s">
        <v>392</v>
      </c>
      <c r="J412" s="31">
        <v>99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57"/>
        <v>0</v>
      </c>
      <c r="T412" s="1">
        <f t="shared" si="158"/>
        <v>0</v>
      </c>
      <c r="U412" s="1">
        <f t="shared" si="159"/>
        <v>0</v>
      </c>
      <c r="V412" s="1">
        <f t="shared" si="160"/>
        <v>0</v>
      </c>
      <c r="W412" s="1">
        <f t="shared" si="161"/>
        <v>0</v>
      </c>
      <c r="X412" s="1">
        <f t="shared" si="162"/>
        <v>0</v>
      </c>
      <c r="Y412" s="1">
        <f t="shared" si="163"/>
        <v>0</v>
      </c>
      <c r="Z412" s="1">
        <f t="shared" si="164"/>
        <v>0</v>
      </c>
      <c r="AA412" s="1">
        <f t="shared" si="165"/>
        <v>0</v>
      </c>
      <c r="AB412" s="1">
        <f t="shared" si="166"/>
        <v>0</v>
      </c>
      <c r="AD412" s="1">
        <f t="shared" si="167"/>
        <v>0</v>
      </c>
      <c r="AE412" s="1">
        <f t="shared" si="168"/>
        <v>1</v>
      </c>
      <c r="AF412" s="1">
        <f t="shared" si="153"/>
        <v>0</v>
      </c>
      <c r="AG412" s="1">
        <f t="shared" si="154"/>
        <v>0</v>
      </c>
      <c r="AH412" s="1">
        <f t="shared" si="155"/>
        <v>0</v>
      </c>
      <c r="AI412" s="1">
        <f t="shared" si="156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216</v>
      </c>
      <c r="G413" s="32" t="s">
        <v>217</v>
      </c>
      <c r="H413" s="32" t="s">
        <v>352</v>
      </c>
      <c r="I413" s="31" t="s">
        <v>393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57"/>
        <v>0</v>
      </c>
      <c r="T413" s="1">
        <f t="shared" si="158"/>
        <v>0</v>
      </c>
      <c r="U413" s="1">
        <f t="shared" si="159"/>
        <v>0</v>
      </c>
      <c r="V413" s="1">
        <f t="shared" si="160"/>
        <v>0</v>
      </c>
      <c r="W413" s="1">
        <f t="shared" si="161"/>
        <v>0</v>
      </c>
      <c r="X413" s="1">
        <f t="shared" si="162"/>
        <v>0</v>
      </c>
      <c r="Y413" s="1">
        <f t="shared" si="163"/>
        <v>0</v>
      </c>
      <c r="Z413" s="1">
        <f t="shared" si="164"/>
        <v>0</v>
      </c>
      <c r="AA413" s="1">
        <f t="shared" si="165"/>
        <v>0</v>
      </c>
      <c r="AB413" s="1">
        <f t="shared" si="166"/>
        <v>0</v>
      </c>
      <c r="AD413" s="1">
        <f t="shared" si="167"/>
        <v>0</v>
      </c>
      <c r="AE413" s="1">
        <f t="shared" si="168"/>
        <v>1</v>
      </c>
      <c r="AF413" s="1">
        <f t="shared" si="153"/>
        <v>0</v>
      </c>
      <c r="AG413" s="1">
        <f t="shared" si="154"/>
        <v>0</v>
      </c>
      <c r="AH413" s="1">
        <f t="shared" si="155"/>
        <v>0</v>
      </c>
      <c r="AI413" s="1">
        <f t="shared" si="156"/>
        <v>0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6" t="s">
        <v>2023</v>
      </c>
      <c r="E414" s="36" t="s">
        <v>155</v>
      </c>
      <c r="F414" s="36" t="s">
        <v>2024</v>
      </c>
      <c r="G414" s="36" t="s">
        <v>219</v>
      </c>
      <c r="H414" s="36" t="s">
        <v>352</v>
      </c>
      <c r="I414" s="37" t="s">
        <v>2025</v>
      </c>
      <c r="J414" s="31">
        <v>99</v>
      </c>
      <c r="K414" s="33" t="s">
        <v>699</v>
      </c>
      <c r="L414" s="33">
        <v>10</v>
      </c>
      <c r="M414" s="34" t="s">
        <v>2026</v>
      </c>
      <c r="N414" s="34" t="s">
        <v>1722</v>
      </c>
      <c r="O414" s="35">
        <v>1</v>
      </c>
      <c r="P414" s="35"/>
      <c r="Q414" s="32"/>
      <c r="S414" s="1">
        <f t="shared" si="157"/>
        <v>0</v>
      </c>
      <c r="T414" s="1">
        <f t="shared" si="158"/>
        <v>0</v>
      </c>
      <c r="U414" s="1">
        <f t="shared" si="159"/>
        <v>0</v>
      </c>
      <c r="V414" s="1">
        <f t="shared" si="160"/>
        <v>0</v>
      </c>
      <c r="W414" s="1">
        <f t="shared" si="161"/>
        <v>0</v>
      </c>
      <c r="X414" s="1">
        <f t="shared" si="162"/>
        <v>0</v>
      </c>
      <c r="Y414" s="1">
        <f t="shared" si="163"/>
        <v>0</v>
      </c>
      <c r="Z414" s="1">
        <f t="shared" si="164"/>
        <v>0</v>
      </c>
      <c r="AA414" s="1">
        <f t="shared" si="165"/>
        <v>0</v>
      </c>
      <c r="AB414" s="1">
        <f t="shared" si="166"/>
        <v>0</v>
      </c>
      <c r="AD414" s="1">
        <f t="shared" si="167"/>
        <v>0</v>
      </c>
      <c r="AE414" s="1">
        <f t="shared" si="168"/>
        <v>1</v>
      </c>
      <c r="AF414" s="1">
        <f t="shared" si="153"/>
        <v>0</v>
      </c>
      <c r="AG414" s="1">
        <f t="shared" si="154"/>
        <v>1</v>
      </c>
      <c r="AH414" s="1">
        <f t="shared" si="155"/>
        <v>0</v>
      </c>
      <c r="AI414" s="1">
        <f t="shared" si="15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68</v>
      </c>
      <c r="E415" s="45" t="s">
        <v>28</v>
      </c>
      <c r="F415" s="45" t="s">
        <v>252</v>
      </c>
      <c r="G415" s="45" t="s">
        <v>253</v>
      </c>
      <c r="H415" s="45" t="s">
        <v>352</v>
      </c>
      <c r="I415" s="44" t="s">
        <v>412</v>
      </c>
      <c r="J415" s="44">
        <v>99</v>
      </c>
      <c r="K415" s="46" t="s">
        <v>709</v>
      </c>
      <c r="L415" s="46" t="s">
        <v>709</v>
      </c>
      <c r="M415" s="47" t="s">
        <v>727</v>
      </c>
      <c r="N415" s="47" t="s">
        <v>1776</v>
      </c>
      <c r="O415" s="48"/>
      <c r="P415" s="48"/>
      <c r="Q415" s="45"/>
      <c r="S415" s="1">
        <f t="shared" si="157"/>
        <v>0</v>
      </c>
      <c r="T415" s="1">
        <f t="shared" si="158"/>
        <v>0</v>
      </c>
      <c r="U415" s="1">
        <f t="shared" si="159"/>
        <v>0</v>
      </c>
      <c r="V415" s="1">
        <f t="shared" si="160"/>
        <v>0</v>
      </c>
      <c r="W415" s="1">
        <f t="shared" si="161"/>
        <v>0</v>
      </c>
      <c r="X415" s="1">
        <f t="shared" si="162"/>
        <v>0</v>
      </c>
      <c r="Y415" s="1">
        <f t="shared" si="163"/>
        <v>0</v>
      </c>
      <c r="Z415" s="1">
        <f t="shared" si="164"/>
        <v>0</v>
      </c>
      <c r="AA415" s="1">
        <f t="shared" si="165"/>
        <v>0</v>
      </c>
      <c r="AB415" s="1">
        <f t="shared" si="166"/>
        <v>0</v>
      </c>
      <c r="AD415" s="1">
        <f t="shared" si="167"/>
        <v>0</v>
      </c>
      <c r="AE415" s="1">
        <f t="shared" si="168"/>
        <v>0</v>
      </c>
      <c r="AF415" s="1">
        <f t="shared" si="153"/>
        <v>0</v>
      </c>
      <c r="AG415" s="1">
        <f t="shared" si="154"/>
        <v>0</v>
      </c>
      <c r="AH415" s="1">
        <f t="shared" si="155"/>
        <v>0</v>
      </c>
      <c r="AI415" s="1">
        <f t="shared" si="156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1987</v>
      </c>
      <c r="E416" s="32" t="s">
        <v>28</v>
      </c>
      <c r="F416" s="32" t="s">
        <v>1989</v>
      </c>
      <c r="G416" s="32" t="s">
        <v>1091</v>
      </c>
      <c r="H416" s="32" t="s">
        <v>352</v>
      </c>
      <c r="I416" s="31" t="s">
        <v>1990</v>
      </c>
      <c r="J416" s="31">
        <v>1</v>
      </c>
      <c r="K416" s="33" t="s">
        <v>699</v>
      </c>
      <c r="L416" s="33"/>
      <c r="M416" s="34"/>
      <c r="N416" s="34" t="s">
        <v>1701</v>
      </c>
      <c r="O416" s="35">
        <v>1</v>
      </c>
      <c r="P416" s="35">
        <v>1</v>
      </c>
      <c r="Q416" s="32" t="s">
        <v>1992</v>
      </c>
      <c r="S416" s="1">
        <f t="shared" si="157"/>
        <v>1</v>
      </c>
      <c r="T416" s="1">
        <f t="shared" si="158"/>
        <v>0</v>
      </c>
      <c r="U416" s="1">
        <f t="shared" si="159"/>
        <v>0</v>
      </c>
      <c r="V416" s="1">
        <f t="shared" si="160"/>
        <v>0</v>
      </c>
      <c r="W416" s="1">
        <f t="shared" si="161"/>
        <v>0</v>
      </c>
      <c r="X416" s="1">
        <f t="shared" si="162"/>
        <v>0</v>
      </c>
      <c r="Y416" s="1">
        <f t="shared" si="163"/>
        <v>0</v>
      </c>
      <c r="Z416" s="1">
        <f t="shared" si="164"/>
        <v>0</v>
      </c>
      <c r="AA416" s="1">
        <f t="shared" si="165"/>
        <v>0</v>
      </c>
      <c r="AB416" s="1">
        <f t="shared" si="166"/>
        <v>0</v>
      </c>
      <c r="AD416" s="1">
        <f t="shared" si="167"/>
        <v>1</v>
      </c>
      <c r="AE416" s="1">
        <f t="shared" si="168"/>
        <v>0</v>
      </c>
      <c r="AF416" s="1">
        <f t="shared" si="153"/>
        <v>1</v>
      </c>
      <c r="AG416" s="1">
        <f t="shared" si="154"/>
        <v>0</v>
      </c>
      <c r="AH416" s="1">
        <f t="shared" si="155"/>
        <v>1</v>
      </c>
      <c r="AI416" s="1">
        <f t="shared" si="156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1987</v>
      </c>
      <c r="E417" s="32" t="s">
        <v>28</v>
      </c>
      <c r="F417" s="32" t="s">
        <v>1988</v>
      </c>
      <c r="G417" s="36" t="s">
        <v>1994</v>
      </c>
      <c r="H417" s="32" t="s">
        <v>352</v>
      </c>
      <c r="I417" s="31" t="s">
        <v>1991</v>
      </c>
      <c r="J417" s="31">
        <v>8</v>
      </c>
      <c r="K417" s="33" t="s">
        <v>699</v>
      </c>
      <c r="L417" s="33"/>
      <c r="M417" s="34"/>
      <c r="N417" s="34" t="s">
        <v>1701</v>
      </c>
      <c r="O417" s="35">
        <v>1</v>
      </c>
      <c r="P417" s="35">
        <v>1</v>
      </c>
      <c r="Q417" s="32" t="s">
        <v>1993</v>
      </c>
      <c r="S417" s="1">
        <f t="shared" si="157"/>
        <v>0</v>
      </c>
      <c r="T417" s="1">
        <f t="shared" si="158"/>
        <v>0</v>
      </c>
      <c r="U417" s="1">
        <f t="shared" si="159"/>
        <v>0</v>
      </c>
      <c r="V417" s="1">
        <f t="shared" si="160"/>
        <v>0</v>
      </c>
      <c r="W417" s="1">
        <f t="shared" si="161"/>
        <v>0</v>
      </c>
      <c r="X417" s="1">
        <f t="shared" si="162"/>
        <v>0</v>
      </c>
      <c r="Y417" s="1">
        <f t="shared" si="163"/>
        <v>0</v>
      </c>
      <c r="Z417" s="1">
        <f t="shared" si="164"/>
        <v>1</v>
      </c>
      <c r="AA417" s="1">
        <f t="shared" si="165"/>
        <v>0</v>
      </c>
      <c r="AB417" s="1">
        <f t="shared" si="166"/>
        <v>0</v>
      </c>
      <c r="AD417" s="1">
        <f t="shared" si="167"/>
        <v>1</v>
      </c>
      <c r="AE417" s="1">
        <f t="shared" si="168"/>
        <v>0</v>
      </c>
      <c r="AF417" s="1">
        <f t="shared" si="153"/>
        <v>0</v>
      </c>
      <c r="AG417" s="1">
        <f t="shared" si="154"/>
        <v>0</v>
      </c>
      <c r="AH417" s="1">
        <f t="shared" si="155"/>
        <v>0</v>
      </c>
      <c r="AI417" s="1">
        <f t="shared" si="156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69</v>
      </c>
      <c r="E418" s="32" t="s">
        <v>28</v>
      </c>
      <c r="F418" s="32" t="s">
        <v>254</v>
      </c>
      <c r="G418" s="36" t="s">
        <v>206</v>
      </c>
      <c r="H418" s="32" t="s">
        <v>352</v>
      </c>
      <c r="I418" s="31" t="s">
        <v>413</v>
      </c>
      <c r="J418" s="31">
        <v>99</v>
      </c>
      <c r="K418" s="33" t="s">
        <v>942</v>
      </c>
      <c r="L418" s="33" t="s">
        <v>709</v>
      </c>
      <c r="M418" s="34" t="s">
        <v>727</v>
      </c>
      <c r="N418" s="34" t="s">
        <v>1707</v>
      </c>
      <c r="O418" s="35">
        <v>1</v>
      </c>
      <c r="P418" s="35">
        <v>1</v>
      </c>
      <c r="Q418" s="32"/>
      <c r="S418" s="1">
        <f t="shared" ref="S418:S467" si="169">IF(J418=$S$7,1,0)</f>
        <v>0</v>
      </c>
      <c r="T418" s="1">
        <f t="shared" ref="T418:T467" si="170">IF(J418=$T$7,1,0)</f>
        <v>0</v>
      </c>
      <c r="U418" s="1">
        <f t="shared" ref="U418:U467" si="171">IF(J418=$U$7,1,0)</f>
        <v>0</v>
      </c>
      <c r="V418" s="1">
        <f t="shared" ref="V418:V467" si="172">IF(J418=$V$7,1,0)</f>
        <v>0</v>
      </c>
      <c r="W418" s="1">
        <f t="shared" ref="W418:W467" si="173">IF(J418=$W$7,1,0)</f>
        <v>0</v>
      </c>
      <c r="X418" s="1">
        <f t="shared" ref="X418:X467" si="174">IF(J418=$X$7,1,0)</f>
        <v>0</v>
      </c>
      <c r="Y418" s="1">
        <f t="shared" ref="Y418:Y467" si="175">IF(J418=$Y$7,1,0)</f>
        <v>0</v>
      </c>
      <c r="Z418" s="1">
        <f t="shared" ref="Z418:Z467" si="176">IF(J418=$Z$7,1,0)</f>
        <v>0</v>
      </c>
      <c r="AA418" s="1">
        <f t="shared" ref="AA418:AA467" si="177">IF(J418=$AA$7,1,0)</f>
        <v>0</v>
      </c>
      <c r="AB418" s="1">
        <f t="shared" ref="AB418:AB467" si="178">IF(J418=$AB$7,1,0)</f>
        <v>0</v>
      </c>
      <c r="AD418" s="1">
        <f t="shared" ref="AD418:AD467" si="179">+O418*P418</f>
        <v>1</v>
      </c>
      <c r="AE418" s="1">
        <f t="shared" ref="AE418:AE467" si="180">O418*(1-P418)</f>
        <v>0</v>
      </c>
      <c r="AF418" s="1">
        <f t="shared" ref="AF418:AF463" si="181">+O418*P418*(1-A418)</f>
        <v>1</v>
      </c>
      <c r="AG418" s="1">
        <f t="shared" ref="AG418:AG463" si="182">O418*(1-P418)*(1-A418)</f>
        <v>0</v>
      </c>
      <c r="AH418" s="1">
        <f t="shared" ref="AH418:AH463" si="183">+P418*(1-A418)</f>
        <v>1</v>
      </c>
      <c r="AI418" s="1">
        <f t="shared" ref="AI418:AI463" si="184">+(1-A418)*(1-P418)</f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69</v>
      </c>
      <c r="E419" s="32" t="s">
        <v>28</v>
      </c>
      <c r="F419" s="32" t="s">
        <v>1848</v>
      </c>
      <c r="G419" s="36" t="s">
        <v>255</v>
      </c>
      <c r="H419" s="32" t="s">
        <v>352</v>
      </c>
      <c r="I419" s="31" t="s">
        <v>414</v>
      </c>
      <c r="J419" s="31">
        <v>99</v>
      </c>
      <c r="K419" s="33" t="s">
        <v>942</v>
      </c>
      <c r="L419" s="33" t="s">
        <v>709</v>
      </c>
      <c r="M419" s="34" t="s">
        <v>727</v>
      </c>
      <c r="N419" s="34" t="s">
        <v>1707</v>
      </c>
      <c r="O419" s="35">
        <v>1</v>
      </c>
      <c r="P419" s="35">
        <v>1</v>
      </c>
      <c r="Q419" s="32"/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0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81"/>
        <v>0</v>
      </c>
      <c r="AG419" s="1">
        <f t="shared" si="182"/>
        <v>0</v>
      </c>
      <c r="AH419" s="1">
        <f t="shared" si="183"/>
        <v>0</v>
      </c>
      <c r="AI419" s="1">
        <f t="shared" si="184"/>
        <v>0</v>
      </c>
    </row>
    <row r="420" spans="1:35" ht="14.25" customHeight="1" x14ac:dyDescent="0.25">
      <c r="A420" s="31">
        <v>1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566</v>
      </c>
      <c r="G420" s="36" t="s">
        <v>567</v>
      </c>
      <c r="H420" s="32" t="s">
        <v>352</v>
      </c>
      <c r="I420" s="31" t="s">
        <v>576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si="169"/>
        <v>0</v>
      </c>
      <c r="T420" s="1">
        <f t="shared" si="170"/>
        <v>0</v>
      </c>
      <c r="U420" s="1">
        <f t="shared" si="171"/>
        <v>0</v>
      </c>
      <c r="V420" s="1">
        <f t="shared" si="172"/>
        <v>0</v>
      </c>
      <c r="W420" s="1">
        <f t="shared" si="173"/>
        <v>0</v>
      </c>
      <c r="X420" s="1">
        <f t="shared" si="174"/>
        <v>0</v>
      </c>
      <c r="Y420" s="1">
        <f t="shared" si="175"/>
        <v>0</v>
      </c>
      <c r="Z420" s="1">
        <f t="shared" si="176"/>
        <v>0</v>
      </c>
      <c r="AA420" s="1">
        <f t="shared" si="177"/>
        <v>0</v>
      </c>
      <c r="AB420" s="1">
        <f t="shared" si="178"/>
        <v>0</v>
      </c>
      <c r="AD420" s="1">
        <f t="shared" si="179"/>
        <v>1</v>
      </c>
      <c r="AE420" s="1">
        <f t="shared" si="180"/>
        <v>0</v>
      </c>
      <c r="AF420" s="1">
        <f t="shared" si="181"/>
        <v>0</v>
      </c>
      <c r="AG420" s="1">
        <f t="shared" si="182"/>
        <v>0</v>
      </c>
      <c r="AH420" s="1">
        <f t="shared" si="183"/>
        <v>0</v>
      </c>
      <c r="AI420" s="1">
        <f t="shared" si="184"/>
        <v>0</v>
      </c>
    </row>
    <row r="421" spans="1:35" ht="14.25" customHeight="1" x14ac:dyDescent="0.25">
      <c r="A421" s="44">
        <v>0</v>
      </c>
      <c r="B421" s="44">
        <v>2</v>
      </c>
      <c r="C421" s="44">
        <v>7</v>
      </c>
      <c r="D421" s="45" t="s">
        <v>71</v>
      </c>
      <c r="E421" s="45" t="s">
        <v>28</v>
      </c>
      <c r="F421" s="45" t="s">
        <v>1328</v>
      </c>
      <c r="G421" s="45" t="s">
        <v>258</v>
      </c>
      <c r="H421" s="45" t="s">
        <v>352</v>
      </c>
      <c r="I421" s="44" t="s">
        <v>416</v>
      </c>
      <c r="J421" s="44">
        <v>99</v>
      </c>
      <c r="K421" s="46" t="s">
        <v>709</v>
      </c>
      <c r="L421" s="46" t="s">
        <v>709</v>
      </c>
      <c r="M421" s="47" t="s">
        <v>727</v>
      </c>
      <c r="N421" s="47" t="s">
        <v>1776</v>
      </c>
      <c r="O421" s="48"/>
      <c r="P421" s="48"/>
      <c r="Q421" s="45"/>
      <c r="S421" s="1">
        <f t="shared" si="169"/>
        <v>0</v>
      </c>
      <c r="T421" s="1">
        <f t="shared" si="170"/>
        <v>0</v>
      </c>
      <c r="U421" s="1">
        <f t="shared" si="171"/>
        <v>0</v>
      </c>
      <c r="V421" s="1">
        <f t="shared" si="172"/>
        <v>0</v>
      </c>
      <c r="W421" s="1">
        <f t="shared" si="173"/>
        <v>0</v>
      </c>
      <c r="X421" s="1">
        <f t="shared" si="174"/>
        <v>0</v>
      </c>
      <c r="Y421" s="1">
        <f t="shared" si="175"/>
        <v>0</v>
      </c>
      <c r="Z421" s="1">
        <f t="shared" si="176"/>
        <v>0</v>
      </c>
      <c r="AA421" s="1">
        <f t="shared" si="177"/>
        <v>0</v>
      </c>
      <c r="AB421" s="1">
        <f t="shared" si="178"/>
        <v>0</v>
      </c>
      <c r="AD421" s="1">
        <f t="shared" si="179"/>
        <v>0</v>
      </c>
      <c r="AE421" s="1">
        <f t="shared" si="180"/>
        <v>0</v>
      </c>
      <c r="AF421" s="1">
        <f t="shared" si="181"/>
        <v>0</v>
      </c>
      <c r="AG421" s="1">
        <f t="shared" si="182"/>
        <v>0</v>
      </c>
      <c r="AH421" s="1">
        <f t="shared" si="183"/>
        <v>0</v>
      </c>
      <c r="AI421" s="1">
        <f t="shared" si="184"/>
        <v>1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1049</v>
      </c>
      <c r="E422" s="45" t="s">
        <v>28</v>
      </c>
      <c r="F422" s="45" t="s">
        <v>1050</v>
      </c>
      <c r="G422" s="45" t="s">
        <v>1051</v>
      </c>
      <c r="H422" s="45" t="s">
        <v>352</v>
      </c>
      <c r="I422" s="44" t="s">
        <v>1052</v>
      </c>
      <c r="J422" s="44">
        <v>99</v>
      </c>
      <c r="K422" s="46" t="s">
        <v>709</v>
      </c>
      <c r="L422" s="46" t="s">
        <v>709</v>
      </c>
      <c r="M422" s="47" t="s">
        <v>727</v>
      </c>
      <c r="N422" s="47" t="s">
        <v>1776</v>
      </c>
      <c r="O422" s="48"/>
      <c r="P422" s="48"/>
      <c r="Q422" s="45"/>
      <c r="S422" s="1">
        <f t="shared" si="169"/>
        <v>0</v>
      </c>
      <c r="T422" s="1">
        <f t="shared" si="170"/>
        <v>0</v>
      </c>
      <c r="U422" s="1">
        <f t="shared" si="171"/>
        <v>0</v>
      </c>
      <c r="V422" s="1">
        <f t="shared" si="172"/>
        <v>0</v>
      </c>
      <c r="W422" s="1">
        <f t="shared" si="173"/>
        <v>0</v>
      </c>
      <c r="X422" s="1">
        <f t="shared" si="174"/>
        <v>0</v>
      </c>
      <c r="Y422" s="1">
        <f t="shared" si="175"/>
        <v>0</v>
      </c>
      <c r="Z422" s="1">
        <f t="shared" si="176"/>
        <v>0</v>
      </c>
      <c r="AA422" s="1">
        <f t="shared" si="177"/>
        <v>0</v>
      </c>
      <c r="AB422" s="1">
        <f t="shared" si="178"/>
        <v>0</v>
      </c>
      <c r="AD422" s="1">
        <f t="shared" si="179"/>
        <v>0</v>
      </c>
      <c r="AE422" s="1">
        <f t="shared" si="180"/>
        <v>0</v>
      </c>
      <c r="AF422" s="1">
        <f t="shared" si="181"/>
        <v>0</v>
      </c>
      <c r="AG422" s="1">
        <f t="shared" si="182"/>
        <v>0</v>
      </c>
      <c r="AH422" s="1">
        <f t="shared" si="183"/>
        <v>0</v>
      </c>
      <c r="AI422" s="1">
        <f t="shared" si="184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1780</v>
      </c>
      <c r="E423" s="32" t="s">
        <v>155</v>
      </c>
      <c r="F423" s="32" t="s">
        <v>1781</v>
      </c>
      <c r="G423" s="32"/>
      <c r="H423" s="32" t="s">
        <v>352</v>
      </c>
      <c r="I423" s="31" t="s">
        <v>1782</v>
      </c>
      <c r="J423" s="31">
        <v>99</v>
      </c>
      <c r="K423" s="33" t="s">
        <v>699</v>
      </c>
      <c r="L423" s="33"/>
      <c r="M423" s="34"/>
      <c r="N423" s="34" t="s">
        <v>1701</v>
      </c>
      <c r="O423" s="35">
        <v>1</v>
      </c>
      <c r="P423" s="35">
        <v>1</v>
      </c>
      <c r="Q423" s="32"/>
      <c r="S423" s="1">
        <f t="shared" si="169"/>
        <v>0</v>
      </c>
      <c r="T423" s="1">
        <f t="shared" si="170"/>
        <v>0</v>
      </c>
      <c r="U423" s="1">
        <f t="shared" si="171"/>
        <v>0</v>
      </c>
      <c r="V423" s="1">
        <f t="shared" si="172"/>
        <v>0</v>
      </c>
      <c r="W423" s="1">
        <f t="shared" si="173"/>
        <v>0</v>
      </c>
      <c r="X423" s="1">
        <f t="shared" si="174"/>
        <v>0</v>
      </c>
      <c r="Y423" s="1">
        <f t="shared" si="175"/>
        <v>0</v>
      </c>
      <c r="Z423" s="1">
        <f t="shared" si="176"/>
        <v>0</v>
      </c>
      <c r="AA423" s="1">
        <f t="shared" si="177"/>
        <v>0</v>
      </c>
      <c r="AB423" s="1">
        <f t="shared" si="178"/>
        <v>0</v>
      </c>
      <c r="AD423" s="1">
        <f t="shared" si="179"/>
        <v>1</v>
      </c>
      <c r="AE423" s="1">
        <f t="shared" si="180"/>
        <v>0</v>
      </c>
      <c r="AF423" s="1">
        <f t="shared" si="181"/>
        <v>1</v>
      </c>
      <c r="AG423" s="1">
        <f t="shared" si="182"/>
        <v>0</v>
      </c>
      <c r="AH423" s="1">
        <f t="shared" si="183"/>
        <v>1</v>
      </c>
      <c r="AI423" s="1">
        <f t="shared" si="184"/>
        <v>0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1162</v>
      </c>
      <c r="E424" s="32" t="s">
        <v>155</v>
      </c>
      <c r="F424" s="32" t="s">
        <v>1163</v>
      </c>
      <c r="G424" s="32" t="s">
        <v>291</v>
      </c>
      <c r="H424" s="32" t="s">
        <v>352</v>
      </c>
      <c r="I424" s="31" t="s">
        <v>1164</v>
      </c>
      <c r="J424" s="31">
        <v>99</v>
      </c>
      <c r="K424" s="33" t="s">
        <v>709</v>
      </c>
      <c r="L424" s="33" t="s">
        <v>718</v>
      </c>
      <c r="M424" s="34" t="s">
        <v>1410</v>
      </c>
      <c r="N424" s="34" t="s">
        <v>1722</v>
      </c>
      <c r="O424" s="35">
        <v>1</v>
      </c>
      <c r="P424" s="35"/>
      <c r="Q424" s="32"/>
      <c r="S424" s="1">
        <f t="shared" si="169"/>
        <v>0</v>
      </c>
      <c r="T424" s="1">
        <f t="shared" si="170"/>
        <v>0</v>
      </c>
      <c r="U424" s="1">
        <f t="shared" si="171"/>
        <v>0</v>
      </c>
      <c r="V424" s="1">
        <f t="shared" si="172"/>
        <v>0</v>
      </c>
      <c r="W424" s="1">
        <f t="shared" si="173"/>
        <v>0</v>
      </c>
      <c r="X424" s="1">
        <f t="shared" si="174"/>
        <v>0</v>
      </c>
      <c r="Y424" s="1">
        <f t="shared" si="175"/>
        <v>0</v>
      </c>
      <c r="Z424" s="1">
        <f t="shared" si="176"/>
        <v>0</v>
      </c>
      <c r="AA424" s="1">
        <f t="shared" si="177"/>
        <v>0</v>
      </c>
      <c r="AB424" s="1">
        <f t="shared" si="178"/>
        <v>0</v>
      </c>
      <c r="AD424" s="1">
        <f t="shared" si="179"/>
        <v>0</v>
      </c>
      <c r="AE424" s="1">
        <f t="shared" si="180"/>
        <v>1</v>
      </c>
      <c r="AF424" s="1">
        <f t="shared" si="181"/>
        <v>0</v>
      </c>
      <c r="AG424" s="1">
        <f t="shared" si="182"/>
        <v>1</v>
      </c>
      <c r="AH424" s="1">
        <f t="shared" si="183"/>
        <v>0</v>
      </c>
      <c r="AI424" s="1">
        <f t="shared" si="184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1137</v>
      </c>
      <c r="E425" s="32" t="s">
        <v>1138</v>
      </c>
      <c r="F425" s="36" t="s">
        <v>1852</v>
      </c>
      <c r="G425" s="32" t="s">
        <v>624</v>
      </c>
      <c r="H425" s="32" t="s">
        <v>352</v>
      </c>
      <c r="I425" s="31" t="s">
        <v>1139</v>
      </c>
      <c r="J425" s="31">
        <v>99</v>
      </c>
      <c r="K425" s="33" t="s">
        <v>709</v>
      </c>
      <c r="L425" s="33" t="s">
        <v>709</v>
      </c>
      <c r="M425" s="34" t="s">
        <v>727</v>
      </c>
      <c r="N425" s="34" t="s">
        <v>1717</v>
      </c>
      <c r="O425" s="35">
        <v>1</v>
      </c>
      <c r="P425" s="35"/>
      <c r="Q425" s="36" t="s">
        <v>1872</v>
      </c>
      <c r="S425" s="1">
        <f t="shared" si="169"/>
        <v>0</v>
      </c>
      <c r="T425" s="1">
        <f t="shared" si="170"/>
        <v>0</v>
      </c>
      <c r="U425" s="1">
        <f t="shared" si="171"/>
        <v>0</v>
      </c>
      <c r="V425" s="1">
        <f t="shared" si="172"/>
        <v>0</v>
      </c>
      <c r="W425" s="1">
        <f t="shared" si="173"/>
        <v>0</v>
      </c>
      <c r="X425" s="1">
        <f t="shared" si="174"/>
        <v>0</v>
      </c>
      <c r="Y425" s="1">
        <f t="shared" si="175"/>
        <v>0</v>
      </c>
      <c r="Z425" s="1">
        <f t="shared" si="176"/>
        <v>0</v>
      </c>
      <c r="AA425" s="1">
        <f t="shared" si="177"/>
        <v>0</v>
      </c>
      <c r="AB425" s="1">
        <f t="shared" si="178"/>
        <v>0</v>
      </c>
      <c r="AD425" s="1">
        <f t="shared" si="179"/>
        <v>0</v>
      </c>
      <c r="AE425" s="1">
        <f t="shared" si="180"/>
        <v>1</v>
      </c>
      <c r="AF425" s="1">
        <f t="shared" si="181"/>
        <v>0</v>
      </c>
      <c r="AG425" s="1">
        <f t="shared" si="182"/>
        <v>1</v>
      </c>
      <c r="AH425" s="1">
        <f t="shared" si="183"/>
        <v>0</v>
      </c>
      <c r="AI425" s="1">
        <f t="shared" si="18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538</v>
      </c>
      <c r="E426" s="32" t="s">
        <v>157</v>
      </c>
      <c r="F426" s="32" t="s">
        <v>194</v>
      </c>
      <c r="G426" s="32" t="s">
        <v>195</v>
      </c>
      <c r="H426" s="32" t="s">
        <v>352</v>
      </c>
      <c r="I426" s="31" t="s">
        <v>546</v>
      </c>
      <c r="J426" s="31">
        <v>99</v>
      </c>
      <c r="K426" s="33" t="s">
        <v>942</v>
      </c>
      <c r="L426" s="33" t="s">
        <v>692</v>
      </c>
      <c r="M426" s="34" t="s">
        <v>1412</v>
      </c>
      <c r="N426" s="34" t="s">
        <v>1722</v>
      </c>
      <c r="O426" s="35">
        <v>1</v>
      </c>
      <c r="P426" s="35"/>
      <c r="Q426" s="32"/>
      <c r="S426" s="1">
        <f t="shared" si="169"/>
        <v>0</v>
      </c>
      <c r="T426" s="1">
        <f t="shared" si="170"/>
        <v>0</v>
      </c>
      <c r="U426" s="1">
        <f t="shared" si="171"/>
        <v>0</v>
      </c>
      <c r="V426" s="1">
        <f t="shared" si="172"/>
        <v>0</v>
      </c>
      <c r="W426" s="1">
        <f t="shared" si="173"/>
        <v>0</v>
      </c>
      <c r="X426" s="1">
        <f t="shared" si="174"/>
        <v>0</v>
      </c>
      <c r="Y426" s="1">
        <f t="shared" si="175"/>
        <v>0</v>
      </c>
      <c r="Z426" s="1">
        <f t="shared" si="176"/>
        <v>0</v>
      </c>
      <c r="AA426" s="1">
        <f t="shared" si="177"/>
        <v>0</v>
      </c>
      <c r="AB426" s="1">
        <f t="shared" si="178"/>
        <v>0</v>
      </c>
      <c r="AD426" s="1">
        <f t="shared" si="179"/>
        <v>0</v>
      </c>
      <c r="AE426" s="1">
        <f t="shared" si="180"/>
        <v>1</v>
      </c>
      <c r="AF426" s="1">
        <f t="shared" si="181"/>
        <v>0</v>
      </c>
      <c r="AG426" s="1">
        <f t="shared" si="182"/>
        <v>1</v>
      </c>
      <c r="AH426" s="1">
        <f t="shared" si="183"/>
        <v>0</v>
      </c>
      <c r="AI426" s="1">
        <f t="shared" si="184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46</v>
      </c>
      <c r="E427" s="45" t="s">
        <v>155</v>
      </c>
      <c r="F427" s="45" t="s">
        <v>182</v>
      </c>
      <c r="G427" s="45" t="s">
        <v>178</v>
      </c>
      <c r="H427" s="45" t="s">
        <v>352</v>
      </c>
      <c r="I427" s="44" t="s">
        <v>380</v>
      </c>
      <c r="J427" s="44">
        <v>10</v>
      </c>
      <c r="K427" s="46" t="s">
        <v>942</v>
      </c>
      <c r="L427" s="46" t="s">
        <v>718</v>
      </c>
      <c r="M427" s="47" t="s">
        <v>1410</v>
      </c>
      <c r="N427" s="47" t="s">
        <v>1783</v>
      </c>
      <c r="O427" s="48"/>
      <c r="P427" s="48"/>
      <c r="Q427" s="45"/>
      <c r="S427" s="1">
        <f t="shared" si="169"/>
        <v>0</v>
      </c>
      <c r="T427" s="1">
        <f t="shared" si="170"/>
        <v>0</v>
      </c>
      <c r="U427" s="1">
        <f t="shared" si="171"/>
        <v>0</v>
      </c>
      <c r="V427" s="1">
        <f t="shared" si="172"/>
        <v>0</v>
      </c>
      <c r="W427" s="1">
        <f t="shared" si="173"/>
        <v>0</v>
      </c>
      <c r="X427" s="1">
        <f t="shared" si="174"/>
        <v>0</v>
      </c>
      <c r="Y427" s="1">
        <f t="shared" si="175"/>
        <v>0</v>
      </c>
      <c r="Z427" s="1">
        <f t="shared" si="176"/>
        <v>0</v>
      </c>
      <c r="AA427" s="1">
        <f t="shared" si="177"/>
        <v>0</v>
      </c>
      <c r="AB427" s="1">
        <f t="shared" si="178"/>
        <v>1</v>
      </c>
      <c r="AD427" s="1">
        <f t="shared" si="179"/>
        <v>0</v>
      </c>
      <c r="AE427" s="1">
        <f t="shared" si="180"/>
        <v>0</v>
      </c>
      <c r="AF427" s="1">
        <f t="shared" si="181"/>
        <v>0</v>
      </c>
      <c r="AG427" s="1">
        <f t="shared" si="182"/>
        <v>0</v>
      </c>
      <c r="AH427" s="1">
        <f t="shared" si="183"/>
        <v>0</v>
      </c>
      <c r="AI427" s="1">
        <f t="shared" si="184"/>
        <v>1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248</v>
      </c>
      <c r="H428" s="45" t="s">
        <v>352</v>
      </c>
      <c r="I428" s="44" t="s">
        <v>409</v>
      </c>
      <c r="J428" s="44">
        <v>7</v>
      </c>
      <c r="K428" s="46" t="s">
        <v>709</v>
      </c>
      <c r="L428" s="46" t="s">
        <v>709</v>
      </c>
      <c r="M428" s="47" t="s">
        <v>727</v>
      </c>
      <c r="N428" s="47" t="s">
        <v>1708</v>
      </c>
      <c r="O428" s="48"/>
      <c r="P428" s="48"/>
      <c r="Q428" s="45"/>
      <c r="S428" s="1">
        <f t="shared" si="169"/>
        <v>0</v>
      </c>
      <c r="T428" s="1">
        <f t="shared" si="170"/>
        <v>0</v>
      </c>
      <c r="U428" s="1">
        <f t="shared" si="171"/>
        <v>0</v>
      </c>
      <c r="V428" s="1">
        <f t="shared" si="172"/>
        <v>0</v>
      </c>
      <c r="W428" s="1">
        <f t="shared" si="173"/>
        <v>0</v>
      </c>
      <c r="X428" s="1">
        <f t="shared" si="174"/>
        <v>0</v>
      </c>
      <c r="Y428" s="1">
        <f t="shared" si="175"/>
        <v>1</v>
      </c>
      <c r="Z428" s="1">
        <f t="shared" si="176"/>
        <v>0</v>
      </c>
      <c r="AA428" s="1">
        <f t="shared" si="177"/>
        <v>0</v>
      </c>
      <c r="AB428" s="1">
        <f t="shared" si="178"/>
        <v>0</v>
      </c>
      <c r="AD428" s="1">
        <f t="shared" si="179"/>
        <v>0</v>
      </c>
      <c r="AE428" s="1">
        <f t="shared" si="180"/>
        <v>0</v>
      </c>
      <c r="AF428" s="1">
        <f t="shared" si="181"/>
        <v>0</v>
      </c>
      <c r="AG428" s="1">
        <f t="shared" si="182"/>
        <v>0</v>
      </c>
      <c r="AH428" s="1">
        <f t="shared" si="183"/>
        <v>0</v>
      </c>
      <c r="AI428" s="1">
        <f t="shared" si="184"/>
        <v>1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1026</v>
      </c>
      <c r="G429" s="45" t="s">
        <v>535</v>
      </c>
      <c r="H429" s="45" t="s">
        <v>352</v>
      </c>
      <c r="I429" s="44" t="s">
        <v>30</v>
      </c>
      <c r="J429" s="44">
        <v>1</v>
      </c>
      <c r="K429" s="46" t="s">
        <v>709</v>
      </c>
      <c r="L429" s="46" t="s">
        <v>709</v>
      </c>
      <c r="M429" s="47" t="s">
        <v>727</v>
      </c>
      <c r="N429" s="47" t="s">
        <v>1708</v>
      </c>
      <c r="O429" s="48"/>
      <c r="P429" s="48"/>
      <c r="Q429" s="45"/>
      <c r="S429" s="1">
        <f t="shared" si="169"/>
        <v>1</v>
      </c>
      <c r="T429" s="1">
        <f t="shared" si="170"/>
        <v>0</v>
      </c>
      <c r="U429" s="1">
        <f t="shared" si="171"/>
        <v>0</v>
      </c>
      <c r="V429" s="1">
        <f t="shared" si="172"/>
        <v>0</v>
      </c>
      <c r="W429" s="1">
        <f t="shared" si="173"/>
        <v>0</v>
      </c>
      <c r="X429" s="1">
        <f t="shared" si="174"/>
        <v>0</v>
      </c>
      <c r="Y429" s="1">
        <f t="shared" si="175"/>
        <v>0</v>
      </c>
      <c r="Z429" s="1">
        <f t="shared" si="176"/>
        <v>0</v>
      </c>
      <c r="AA429" s="1">
        <f t="shared" si="177"/>
        <v>0</v>
      </c>
      <c r="AB429" s="1">
        <f t="shared" si="178"/>
        <v>0</v>
      </c>
      <c r="AD429" s="1">
        <f t="shared" si="179"/>
        <v>0</v>
      </c>
      <c r="AE429" s="1">
        <f t="shared" si="180"/>
        <v>0</v>
      </c>
      <c r="AF429" s="1">
        <f t="shared" si="181"/>
        <v>0</v>
      </c>
      <c r="AG429" s="1">
        <f t="shared" si="182"/>
        <v>0</v>
      </c>
      <c r="AH429" s="1">
        <f t="shared" si="183"/>
        <v>0</v>
      </c>
      <c r="AI429" s="1">
        <f t="shared" si="184"/>
        <v>0</v>
      </c>
    </row>
    <row r="430" spans="1:35" ht="14.25" customHeight="1" x14ac:dyDescent="0.25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249</v>
      </c>
      <c r="G430" s="45" t="s">
        <v>199</v>
      </c>
      <c r="H430" s="45" t="s">
        <v>352</v>
      </c>
      <c r="I430" s="44" t="s">
        <v>410</v>
      </c>
      <c r="J430" s="44">
        <v>2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69"/>
        <v>0</v>
      </c>
      <c r="T430" s="1">
        <f t="shared" si="170"/>
        <v>1</v>
      </c>
      <c r="U430" s="1">
        <f t="shared" si="171"/>
        <v>0</v>
      </c>
      <c r="V430" s="1">
        <f t="shared" si="172"/>
        <v>0</v>
      </c>
      <c r="W430" s="1">
        <f t="shared" si="173"/>
        <v>0</v>
      </c>
      <c r="X430" s="1">
        <f t="shared" si="174"/>
        <v>0</v>
      </c>
      <c r="Y430" s="1">
        <f t="shared" si="175"/>
        <v>0</v>
      </c>
      <c r="Z430" s="1">
        <f t="shared" si="176"/>
        <v>0</v>
      </c>
      <c r="AA430" s="1">
        <f t="shared" si="177"/>
        <v>0</v>
      </c>
      <c r="AB430" s="1">
        <f t="shared" si="178"/>
        <v>0</v>
      </c>
      <c r="AD430" s="1">
        <f t="shared" si="179"/>
        <v>0</v>
      </c>
      <c r="AE430" s="1">
        <f t="shared" si="180"/>
        <v>0</v>
      </c>
      <c r="AF430" s="1">
        <f t="shared" si="181"/>
        <v>0</v>
      </c>
      <c r="AG430" s="1">
        <f t="shared" si="182"/>
        <v>0</v>
      </c>
      <c r="AH430" s="1">
        <f t="shared" si="183"/>
        <v>0</v>
      </c>
      <c r="AI430" s="1">
        <f t="shared" si="184"/>
        <v>0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246</v>
      </c>
      <c r="G431" s="45" t="s">
        <v>1330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 t="s">
        <v>1891</v>
      </c>
      <c r="S431" s="1">
        <f t="shared" si="169"/>
        <v>1</v>
      </c>
      <c r="T431" s="1">
        <f t="shared" si="170"/>
        <v>0</v>
      </c>
      <c r="U431" s="1">
        <f t="shared" si="171"/>
        <v>0</v>
      </c>
      <c r="V431" s="1">
        <f t="shared" si="172"/>
        <v>0</v>
      </c>
      <c r="W431" s="1">
        <f t="shared" si="173"/>
        <v>0</v>
      </c>
      <c r="X431" s="1">
        <f t="shared" si="174"/>
        <v>0</v>
      </c>
      <c r="Y431" s="1">
        <f t="shared" si="175"/>
        <v>0</v>
      </c>
      <c r="Z431" s="1">
        <f t="shared" si="176"/>
        <v>0</v>
      </c>
      <c r="AA431" s="1">
        <f t="shared" si="177"/>
        <v>0</v>
      </c>
      <c r="AB431" s="1">
        <f t="shared" si="178"/>
        <v>0</v>
      </c>
      <c r="AD431" s="1">
        <f t="shared" si="179"/>
        <v>0</v>
      </c>
      <c r="AE431" s="1">
        <f t="shared" si="180"/>
        <v>0</v>
      </c>
      <c r="AF431" s="1">
        <f t="shared" si="181"/>
        <v>0</v>
      </c>
      <c r="AG431" s="1">
        <f t="shared" si="182"/>
        <v>0</v>
      </c>
      <c r="AH431" s="1">
        <f t="shared" si="183"/>
        <v>0</v>
      </c>
      <c r="AI431" s="1">
        <f t="shared" si="184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251</v>
      </c>
      <c r="G432" s="45" t="s">
        <v>193</v>
      </c>
      <c r="H432" s="45" t="s">
        <v>352</v>
      </c>
      <c r="I432" s="44" t="s">
        <v>411</v>
      </c>
      <c r="J432" s="44">
        <v>9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69"/>
        <v>0</v>
      </c>
      <c r="T432" s="1">
        <f t="shared" si="170"/>
        <v>0</v>
      </c>
      <c r="U432" s="1">
        <f t="shared" si="171"/>
        <v>0</v>
      </c>
      <c r="V432" s="1">
        <f t="shared" si="172"/>
        <v>0</v>
      </c>
      <c r="W432" s="1">
        <f t="shared" si="173"/>
        <v>0</v>
      </c>
      <c r="X432" s="1">
        <f t="shared" si="174"/>
        <v>0</v>
      </c>
      <c r="Y432" s="1">
        <f t="shared" si="175"/>
        <v>0</v>
      </c>
      <c r="Z432" s="1">
        <f t="shared" si="176"/>
        <v>0</v>
      </c>
      <c r="AA432" s="1">
        <f t="shared" si="177"/>
        <v>1</v>
      </c>
      <c r="AB432" s="1">
        <f t="shared" si="178"/>
        <v>0</v>
      </c>
      <c r="AD432" s="1">
        <f t="shared" si="179"/>
        <v>0</v>
      </c>
      <c r="AE432" s="1">
        <f t="shared" si="180"/>
        <v>0</v>
      </c>
      <c r="AF432" s="1">
        <f t="shared" si="181"/>
        <v>0</v>
      </c>
      <c r="AG432" s="1">
        <f t="shared" si="182"/>
        <v>0</v>
      </c>
      <c r="AH432" s="1">
        <f t="shared" si="183"/>
        <v>0</v>
      </c>
      <c r="AI432" s="1">
        <f t="shared" si="184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1010</v>
      </c>
      <c r="E433" s="45" t="s">
        <v>28</v>
      </c>
      <c r="F433" s="45" t="s">
        <v>1011</v>
      </c>
      <c r="G433" s="45" t="s">
        <v>193</v>
      </c>
      <c r="H433" s="45" t="s">
        <v>352</v>
      </c>
      <c r="I433" s="44" t="s">
        <v>1012</v>
      </c>
      <c r="J433" s="44">
        <v>9</v>
      </c>
      <c r="K433" s="46" t="s">
        <v>708</v>
      </c>
      <c r="L433" s="46" t="s">
        <v>709</v>
      </c>
      <c r="M433" s="47" t="s">
        <v>727</v>
      </c>
      <c r="N433" s="47" t="s">
        <v>1709</v>
      </c>
      <c r="O433" s="48"/>
      <c r="P433" s="48"/>
      <c r="Q433" s="45"/>
      <c r="S433" s="1">
        <f t="shared" si="169"/>
        <v>0</v>
      </c>
      <c r="T433" s="1">
        <f t="shared" si="170"/>
        <v>0</v>
      </c>
      <c r="U433" s="1">
        <f t="shared" si="171"/>
        <v>0</v>
      </c>
      <c r="V433" s="1">
        <f t="shared" si="172"/>
        <v>0</v>
      </c>
      <c r="W433" s="1">
        <f t="shared" si="173"/>
        <v>0</v>
      </c>
      <c r="X433" s="1">
        <f t="shared" si="174"/>
        <v>0</v>
      </c>
      <c r="Y433" s="1">
        <f t="shared" si="175"/>
        <v>0</v>
      </c>
      <c r="Z433" s="1">
        <f t="shared" si="176"/>
        <v>0</v>
      </c>
      <c r="AA433" s="1">
        <f t="shared" si="177"/>
        <v>1</v>
      </c>
      <c r="AB433" s="1">
        <f t="shared" si="178"/>
        <v>0</v>
      </c>
      <c r="AD433" s="1">
        <f t="shared" si="179"/>
        <v>0</v>
      </c>
      <c r="AE433" s="1">
        <f t="shared" si="180"/>
        <v>0</v>
      </c>
      <c r="AF433" s="1">
        <f t="shared" si="181"/>
        <v>0</v>
      </c>
      <c r="AG433" s="1">
        <f t="shared" si="182"/>
        <v>0</v>
      </c>
      <c r="AH433" s="1">
        <f t="shared" si="183"/>
        <v>0</v>
      </c>
      <c r="AI433" s="1">
        <f t="shared" si="18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1807</v>
      </c>
      <c r="E434" s="32" t="s">
        <v>1808</v>
      </c>
      <c r="F434" s="32" t="s">
        <v>1809</v>
      </c>
      <c r="G434" s="32" t="s">
        <v>206</v>
      </c>
      <c r="H434" s="32" t="s">
        <v>352</v>
      </c>
      <c r="I434" s="31" t="s">
        <v>30</v>
      </c>
      <c r="J434" s="31"/>
      <c r="K434" s="33" t="s">
        <v>699</v>
      </c>
      <c r="L434" s="33">
        <v>20</v>
      </c>
      <c r="M434" s="34" t="s">
        <v>1810</v>
      </c>
      <c r="N434" s="34" t="s">
        <v>1717</v>
      </c>
      <c r="O434" s="35">
        <v>1</v>
      </c>
      <c r="P434" s="35"/>
      <c r="Q434" s="32"/>
      <c r="S434" s="1">
        <f t="shared" si="169"/>
        <v>0</v>
      </c>
      <c r="T434" s="1">
        <f t="shared" si="170"/>
        <v>0</v>
      </c>
      <c r="U434" s="1">
        <f t="shared" si="171"/>
        <v>0</v>
      </c>
      <c r="V434" s="1">
        <f t="shared" si="172"/>
        <v>0</v>
      </c>
      <c r="W434" s="1">
        <f t="shared" si="173"/>
        <v>0</v>
      </c>
      <c r="X434" s="1">
        <f t="shared" si="174"/>
        <v>0</v>
      </c>
      <c r="Y434" s="1">
        <f t="shared" si="175"/>
        <v>0</v>
      </c>
      <c r="Z434" s="1">
        <f t="shared" si="176"/>
        <v>0</v>
      </c>
      <c r="AA434" s="1">
        <f t="shared" si="177"/>
        <v>0</v>
      </c>
      <c r="AB434" s="1">
        <f t="shared" si="178"/>
        <v>0</v>
      </c>
      <c r="AD434" s="1">
        <f t="shared" si="179"/>
        <v>0</v>
      </c>
      <c r="AE434" s="1">
        <f t="shared" si="180"/>
        <v>1</v>
      </c>
      <c r="AF434" s="1">
        <f t="shared" si="181"/>
        <v>0</v>
      </c>
      <c r="AG434" s="1">
        <f t="shared" si="182"/>
        <v>1</v>
      </c>
      <c r="AH434" s="1">
        <f t="shared" si="183"/>
        <v>0</v>
      </c>
      <c r="AI434" s="1">
        <f t="shared" si="184"/>
        <v>1</v>
      </c>
    </row>
    <row r="435" spans="1:35" ht="14.25" customHeight="1" x14ac:dyDescent="0.25">
      <c r="A435" s="49">
        <v>0</v>
      </c>
      <c r="B435" s="49">
        <v>2</v>
      </c>
      <c r="C435" s="49">
        <v>7</v>
      </c>
      <c r="D435" s="50" t="s">
        <v>1066</v>
      </c>
      <c r="E435" s="50" t="s">
        <v>540</v>
      </c>
      <c r="F435" s="50" t="s">
        <v>1047</v>
      </c>
      <c r="G435" s="50" t="s">
        <v>237</v>
      </c>
      <c r="H435" s="50" t="s">
        <v>352</v>
      </c>
      <c r="I435" s="49" t="s">
        <v>1048</v>
      </c>
      <c r="J435" s="49">
        <v>99</v>
      </c>
      <c r="K435" s="51" t="s">
        <v>942</v>
      </c>
      <c r="L435" s="51" t="s">
        <v>718</v>
      </c>
      <c r="M435" s="52" t="s">
        <v>1413</v>
      </c>
      <c r="N435" s="52" t="s">
        <v>1717</v>
      </c>
      <c r="O435" s="53">
        <v>1</v>
      </c>
      <c r="P435" s="53"/>
      <c r="Q435" s="50"/>
      <c r="S435" s="1">
        <f t="shared" si="169"/>
        <v>0</v>
      </c>
      <c r="T435" s="1">
        <f t="shared" si="170"/>
        <v>0</v>
      </c>
      <c r="U435" s="1">
        <f t="shared" si="171"/>
        <v>0</v>
      </c>
      <c r="V435" s="1">
        <f t="shared" si="172"/>
        <v>0</v>
      </c>
      <c r="W435" s="1">
        <f t="shared" si="173"/>
        <v>0</v>
      </c>
      <c r="X435" s="1">
        <f t="shared" si="174"/>
        <v>0</v>
      </c>
      <c r="Y435" s="1">
        <f t="shared" si="175"/>
        <v>0</v>
      </c>
      <c r="Z435" s="1">
        <f t="shared" si="176"/>
        <v>0</v>
      </c>
      <c r="AA435" s="1">
        <f t="shared" si="177"/>
        <v>0</v>
      </c>
      <c r="AB435" s="1">
        <f t="shared" si="178"/>
        <v>0</v>
      </c>
      <c r="AD435" s="1">
        <f t="shared" si="179"/>
        <v>0</v>
      </c>
      <c r="AE435" s="1">
        <f t="shared" si="180"/>
        <v>1</v>
      </c>
      <c r="AF435" s="1">
        <f t="shared" si="181"/>
        <v>0</v>
      </c>
      <c r="AG435" s="1">
        <f t="shared" si="182"/>
        <v>1</v>
      </c>
      <c r="AH435" s="1">
        <f t="shared" si="183"/>
        <v>0</v>
      </c>
      <c r="AI435" s="1">
        <f t="shared" si="18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1207</v>
      </c>
      <c r="E436" s="32" t="s">
        <v>155</v>
      </c>
      <c r="F436" s="32" t="s">
        <v>1208</v>
      </c>
      <c r="G436" s="32" t="s">
        <v>250</v>
      </c>
      <c r="H436" s="32" t="s">
        <v>352</v>
      </c>
      <c r="I436" s="31" t="s">
        <v>1209</v>
      </c>
      <c r="J436" s="31">
        <v>99</v>
      </c>
      <c r="K436" s="33" t="s">
        <v>709</v>
      </c>
      <c r="L436" s="33">
        <v>10</v>
      </c>
      <c r="M436" s="34" t="s">
        <v>1720</v>
      </c>
      <c r="N436" s="34" t="s">
        <v>1701</v>
      </c>
      <c r="O436" s="35">
        <v>1</v>
      </c>
      <c r="P436" s="35">
        <v>1</v>
      </c>
      <c r="Q436" s="32"/>
      <c r="S436" s="1">
        <f t="shared" si="169"/>
        <v>0</v>
      </c>
      <c r="T436" s="1">
        <f t="shared" si="170"/>
        <v>0</v>
      </c>
      <c r="U436" s="1">
        <f t="shared" si="171"/>
        <v>0</v>
      </c>
      <c r="V436" s="1">
        <f t="shared" si="172"/>
        <v>0</v>
      </c>
      <c r="W436" s="1">
        <f t="shared" si="173"/>
        <v>0</v>
      </c>
      <c r="X436" s="1">
        <f t="shared" si="174"/>
        <v>0</v>
      </c>
      <c r="Y436" s="1">
        <f t="shared" si="175"/>
        <v>0</v>
      </c>
      <c r="Z436" s="1">
        <f t="shared" si="176"/>
        <v>0</v>
      </c>
      <c r="AA436" s="1">
        <f t="shared" si="177"/>
        <v>0</v>
      </c>
      <c r="AB436" s="1">
        <f t="shared" si="178"/>
        <v>0</v>
      </c>
      <c r="AD436" s="1">
        <f t="shared" si="179"/>
        <v>1</v>
      </c>
      <c r="AE436" s="1">
        <f t="shared" si="180"/>
        <v>0</v>
      </c>
      <c r="AF436" s="1">
        <f t="shared" si="181"/>
        <v>1</v>
      </c>
      <c r="AG436" s="1">
        <f t="shared" si="182"/>
        <v>0</v>
      </c>
      <c r="AH436" s="1">
        <f t="shared" si="183"/>
        <v>1</v>
      </c>
      <c r="AI436" s="1">
        <f t="shared" si="184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1777</v>
      </c>
      <c r="E437" s="36" t="s">
        <v>28</v>
      </c>
      <c r="F437" s="36" t="s">
        <v>1778</v>
      </c>
      <c r="G437" s="36" t="s">
        <v>179</v>
      </c>
      <c r="H437" s="36" t="s">
        <v>352</v>
      </c>
      <c r="I437" s="37" t="s">
        <v>1779</v>
      </c>
      <c r="J437" s="31">
        <v>10</v>
      </c>
      <c r="K437" s="33" t="s">
        <v>699</v>
      </c>
      <c r="L437" s="33">
        <v>10</v>
      </c>
      <c r="M437" s="34"/>
      <c r="N437" s="34" t="s">
        <v>1701</v>
      </c>
      <c r="O437" s="35">
        <v>1</v>
      </c>
      <c r="P437" s="35">
        <v>1</v>
      </c>
      <c r="Q437" s="36"/>
      <c r="S437" s="1">
        <f t="shared" si="169"/>
        <v>0</v>
      </c>
      <c r="T437" s="1">
        <f t="shared" si="170"/>
        <v>0</v>
      </c>
      <c r="U437" s="1">
        <f t="shared" si="171"/>
        <v>0</v>
      </c>
      <c r="V437" s="1">
        <f t="shared" si="172"/>
        <v>0</v>
      </c>
      <c r="W437" s="1">
        <f t="shared" si="173"/>
        <v>0</v>
      </c>
      <c r="X437" s="1">
        <f t="shared" si="174"/>
        <v>0</v>
      </c>
      <c r="Y437" s="1">
        <f t="shared" si="175"/>
        <v>0</v>
      </c>
      <c r="Z437" s="1">
        <f t="shared" si="176"/>
        <v>0</v>
      </c>
      <c r="AA437" s="1">
        <f t="shared" si="177"/>
        <v>0</v>
      </c>
      <c r="AB437" s="1">
        <f t="shared" si="178"/>
        <v>1</v>
      </c>
      <c r="AD437" s="1">
        <f t="shared" si="179"/>
        <v>1</v>
      </c>
      <c r="AE437" s="1">
        <f t="shared" si="180"/>
        <v>0</v>
      </c>
      <c r="AF437" s="1">
        <f t="shared" si="181"/>
        <v>1</v>
      </c>
      <c r="AG437" s="1">
        <f t="shared" si="182"/>
        <v>0</v>
      </c>
      <c r="AH437" s="1">
        <f t="shared" si="183"/>
        <v>1</v>
      </c>
      <c r="AI437" s="1">
        <f t="shared" si="184"/>
        <v>0</v>
      </c>
    </row>
    <row r="438" spans="1:35" ht="14.25" customHeight="1" x14ac:dyDescent="0.25">
      <c r="A438" s="37">
        <v>0</v>
      </c>
      <c r="B438" s="37">
        <v>2</v>
      </c>
      <c r="C438" s="37">
        <v>7</v>
      </c>
      <c r="D438" s="36" t="s">
        <v>1559</v>
      </c>
      <c r="E438" s="36" t="s">
        <v>1625</v>
      </c>
      <c r="F438" s="36" t="s">
        <v>1560</v>
      </c>
      <c r="G438" s="36" t="s">
        <v>652</v>
      </c>
      <c r="H438" s="36" t="s">
        <v>352</v>
      </c>
      <c r="I438" s="37" t="s">
        <v>1561</v>
      </c>
      <c r="J438" s="37">
        <v>99</v>
      </c>
      <c r="K438" s="33" t="s">
        <v>709</v>
      </c>
      <c r="L438" s="33" t="s">
        <v>39</v>
      </c>
      <c r="M438" s="34" t="s">
        <v>39</v>
      </c>
      <c r="N438" s="34" t="s">
        <v>1701</v>
      </c>
      <c r="O438" s="35">
        <v>1</v>
      </c>
      <c r="P438" s="35">
        <v>1</v>
      </c>
      <c r="Q438" s="36"/>
      <c r="S438" s="1">
        <f t="shared" si="169"/>
        <v>0</v>
      </c>
      <c r="T438" s="1">
        <f t="shared" si="170"/>
        <v>0</v>
      </c>
      <c r="U438" s="1">
        <f t="shared" si="171"/>
        <v>0</v>
      </c>
      <c r="V438" s="1">
        <f t="shared" si="172"/>
        <v>0</v>
      </c>
      <c r="W438" s="1">
        <f t="shared" si="173"/>
        <v>0</v>
      </c>
      <c r="X438" s="1">
        <f t="shared" si="174"/>
        <v>0</v>
      </c>
      <c r="Y438" s="1">
        <f t="shared" si="175"/>
        <v>0</v>
      </c>
      <c r="Z438" s="1">
        <f t="shared" si="176"/>
        <v>0</v>
      </c>
      <c r="AA438" s="1">
        <f t="shared" si="177"/>
        <v>0</v>
      </c>
      <c r="AB438" s="1">
        <f t="shared" si="178"/>
        <v>0</v>
      </c>
      <c r="AD438" s="1">
        <f t="shared" si="179"/>
        <v>1</v>
      </c>
      <c r="AE438" s="1">
        <f t="shared" si="180"/>
        <v>0</v>
      </c>
      <c r="AF438" s="1">
        <f t="shared" si="181"/>
        <v>1</v>
      </c>
      <c r="AG438" s="1">
        <f t="shared" si="182"/>
        <v>0</v>
      </c>
      <c r="AH438" s="1">
        <f t="shared" si="183"/>
        <v>1</v>
      </c>
      <c r="AI438" s="1">
        <f t="shared" si="184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1511</v>
      </c>
      <c r="E439" s="32" t="s">
        <v>28</v>
      </c>
      <c r="F439" s="32" t="s">
        <v>1636</v>
      </c>
      <c r="G439" s="32" t="s">
        <v>285</v>
      </c>
      <c r="H439" s="32" t="s">
        <v>352</v>
      </c>
      <c r="I439" s="31" t="s">
        <v>1662</v>
      </c>
      <c r="J439" s="31">
        <v>99</v>
      </c>
      <c r="K439" s="33" t="s">
        <v>709</v>
      </c>
      <c r="L439" s="33" t="s">
        <v>709</v>
      </c>
      <c r="M439" s="34" t="s">
        <v>727</v>
      </c>
      <c r="N439" s="34" t="s">
        <v>1717</v>
      </c>
      <c r="O439" s="35">
        <v>1</v>
      </c>
      <c r="P439" s="35"/>
      <c r="Q439" s="32"/>
      <c r="S439" s="1">
        <f t="shared" si="169"/>
        <v>0</v>
      </c>
      <c r="T439" s="1">
        <f t="shared" si="170"/>
        <v>0</v>
      </c>
      <c r="U439" s="1">
        <f t="shared" si="171"/>
        <v>0</v>
      </c>
      <c r="V439" s="1">
        <f t="shared" si="172"/>
        <v>0</v>
      </c>
      <c r="W439" s="1">
        <f t="shared" si="173"/>
        <v>0</v>
      </c>
      <c r="X439" s="1">
        <f t="shared" si="174"/>
        <v>0</v>
      </c>
      <c r="Y439" s="1">
        <f t="shared" si="175"/>
        <v>0</v>
      </c>
      <c r="Z439" s="1">
        <f t="shared" si="176"/>
        <v>0</v>
      </c>
      <c r="AA439" s="1">
        <f t="shared" si="177"/>
        <v>0</v>
      </c>
      <c r="AB439" s="1">
        <f t="shared" si="178"/>
        <v>0</v>
      </c>
      <c r="AD439" s="1">
        <f t="shared" si="179"/>
        <v>0</v>
      </c>
      <c r="AE439" s="1">
        <f t="shared" si="180"/>
        <v>1</v>
      </c>
      <c r="AF439" s="1">
        <f t="shared" si="181"/>
        <v>0</v>
      </c>
      <c r="AG439" s="1">
        <f t="shared" si="182"/>
        <v>1</v>
      </c>
      <c r="AH439" s="1">
        <f t="shared" si="183"/>
        <v>0</v>
      </c>
      <c r="AI439" s="1">
        <f t="shared" si="18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1308</v>
      </c>
      <c r="E440" s="45" t="s">
        <v>28</v>
      </c>
      <c r="F440" s="45" t="s">
        <v>568</v>
      </c>
      <c r="G440" s="45" t="s">
        <v>180</v>
      </c>
      <c r="H440" s="45" t="s">
        <v>352</v>
      </c>
      <c r="I440" s="44" t="s">
        <v>428</v>
      </c>
      <c r="J440" s="44">
        <v>7</v>
      </c>
      <c r="K440" s="46" t="s">
        <v>708</v>
      </c>
      <c r="L440" s="46" t="s">
        <v>709</v>
      </c>
      <c r="M440" s="47" t="s">
        <v>727</v>
      </c>
      <c r="N440" s="47" t="s">
        <v>1709</v>
      </c>
      <c r="O440" s="48"/>
      <c r="P440" s="48"/>
      <c r="Q440" s="45"/>
      <c r="S440" s="1">
        <f t="shared" si="169"/>
        <v>0</v>
      </c>
      <c r="T440" s="1">
        <f t="shared" si="170"/>
        <v>0</v>
      </c>
      <c r="U440" s="1">
        <f t="shared" si="171"/>
        <v>0</v>
      </c>
      <c r="V440" s="1">
        <f t="shared" si="172"/>
        <v>0</v>
      </c>
      <c r="W440" s="1">
        <f t="shared" si="173"/>
        <v>0</v>
      </c>
      <c r="X440" s="1">
        <f t="shared" si="174"/>
        <v>0</v>
      </c>
      <c r="Y440" s="1">
        <f t="shared" si="175"/>
        <v>1</v>
      </c>
      <c r="Z440" s="1">
        <f t="shared" si="176"/>
        <v>0</v>
      </c>
      <c r="AA440" s="1">
        <f t="shared" si="177"/>
        <v>0</v>
      </c>
      <c r="AB440" s="1">
        <f t="shared" si="178"/>
        <v>0</v>
      </c>
      <c r="AD440" s="1">
        <f t="shared" si="179"/>
        <v>0</v>
      </c>
      <c r="AE440" s="1">
        <f t="shared" si="180"/>
        <v>0</v>
      </c>
      <c r="AF440" s="1">
        <f t="shared" si="181"/>
        <v>0</v>
      </c>
      <c r="AG440" s="1">
        <f t="shared" si="182"/>
        <v>0</v>
      </c>
      <c r="AH440" s="1">
        <f t="shared" si="183"/>
        <v>0</v>
      </c>
      <c r="AI440" s="1">
        <f t="shared" si="18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72</v>
      </c>
      <c r="E441" s="32" t="s">
        <v>28</v>
      </c>
      <c r="F441" s="32" t="s">
        <v>1849</v>
      </c>
      <c r="G441" s="32" t="s">
        <v>234</v>
      </c>
      <c r="H441" s="32" t="s">
        <v>352</v>
      </c>
      <c r="I441" s="31" t="s">
        <v>676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69"/>
        <v>0</v>
      </c>
      <c r="T441" s="1">
        <f t="shared" si="170"/>
        <v>0</v>
      </c>
      <c r="U441" s="1">
        <f t="shared" si="171"/>
        <v>0</v>
      </c>
      <c r="V441" s="1">
        <f t="shared" si="172"/>
        <v>0</v>
      </c>
      <c r="W441" s="1">
        <f t="shared" si="173"/>
        <v>0</v>
      </c>
      <c r="X441" s="1">
        <f t="shared" si="174"/>
        <v>0</v>
      </c>
      <c r="Y441" s="1">
        <f t="shared" si="175"/>
        <v>0</v>
      </c>
      <c r="Z441" s="1">
        <f t="shared" si="176"/>
        <v>0</v>
      </c>
      <c r="AA441" s="1">
        <f t="shared" si="177"/>
        <v>0</v>
      </c>
      <c r="AB441" s="1">
        <f t="shared" si="178"/>
        <v>0</v>
      </c>
      <c r="AD441" s="1">
        <f t="shared" si="179"/>
        <v>0</v>
      </c>
      <c r="AE441" s="1">
        <f t="shared" si="180"/>
        <v>1</v>
      </c>
      <c r="AF441" s="1">
        <f t="shared" si="181"/>
        <v>0</v>
      </c>
      <c r="AG441" s="1">
        <f t="shared" si="182"/>
        <v>1</v>
      </c>
      <c r="AH441" s="1">
        <f t="shared" si="183"/>
        <v>0</v>
      </c>
      <c r="AI441" s="1">
        <f t="shared" si="18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72</v>
      </c>
      <c r="E442" s="32" t="s">
        <v>28</v>
      </c>
      <c r="F442" s="32" t="s">
        <v>260</v>
      </c>
      <c r="G442" s="32" t="s">
        <v>219</v>
      </c>
      <c r="H442" s="32" t="s">
        <v>352</v>
      </c>
      <c r="I442" s="31" t="s">
        <v>418</v>
      </c>
      <c r="J442" s="31">
        <v>8</v>
      </c>
      <c r="K442" s="33" t="s">
        <v>709</v>
      </c>
      <c r="L442" s="33" t="s">
        <v>709</v>
      </c>
      <c r="M442" s="34" t="s">
        <v>727</v>
      </c>
      <c r="N442" s="34" t="s">
        <v>1717</v>
      </c>
      <c r="O442" s="35">
        <v>1</v>
      </c>
      <c r="P442" s="35"/>
      <c r="Q442" s="32"/>
      <c r="S442" s="1">
        <f t="shared" si="169"/>
        <v>0</v>
      </c>
      <c r="T442" s="1">
        <f t="shared" si="170"/>
        <v>0</v>
      </c>
      <c r="U442" s="1">
        <f t="shared" si="171"/>
        <v>0</v>
      </c>
      <c r="V442" s="1">
        <f t="shared" si="172"/>
        <v>0</v>
      </c>
      <c r="W442" s="1">
        <f t="shared" si="173"/>
        <v>0</v>
      </c>
      <c r="X442" s="1">
        <f t="shared" si="174"/>
        <v>0</v>
      </c>
      <c r="Y442" s="1">
        <f t="shared" si="175"/>
        <v>0</v>
      </c>
      <c r="Z442" s="1">
        <f t="shared" si="176"/>
        <v>1</v>
      </c>
      <c r="AA442" s="1">
        <f t="shared" si="177"/>
        <v>0</v>
      </c>
      <c r="AB442" s="1">
        <f t="shared" si="178"/>
        <v>0</v>
      </c>
      <c r="AD442" s="1">
        <f t="shared" si="179"/>
        <v>0</v>
      </c>
      <c r="AE442" s="1">
        <f t="shared" si="180"/>
        <v>1</v>
      </c>
      <c r="AF442" s="1">
        <f t="shared" si="181"/>
        <v>0</v>
      </c>
      <c r="AG442" s="1">
        <f t="shared" si="182"/>
        <v>0</v>
      </c>
      <c r="AH442" s="1">
        <f t="shared" si="183"/>
        <v>0</v>
      </c>
      <c r="AI442" s="1">
        <f t="shared" si="18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259</v>
      </c>
      <c r="G443" s="32" t="s">
        <v>177</v>
      </c>
      <c r="H443" s="32" t="s">
        <v>352</v>
      </c>
      <c r="I443" s="31" t="s">
        <v>417</v>
      </c>
      <c r="J443" s="31">
        <v>1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69"/>
        <v>1</v>
      </c>
      <c r="T443" s="1">
        <f t="shared" si="170"/>
        <v>0</v>
      </c>
      <c r="U443" s="1">
        <f t="shared" si="171"/>
        <v>0</v>
      </c>
      <c r="V443" s="1">
        <f t="shared" si="172"/>
        <v>0</v>
      </c>
      <c r="W443" s="1">
        <f t="shared" si="173"/>
        <v>0</v>
      </c>
      <c r="X443" s="1">
        <f t="shared" si="174"/>
        <v>0</v>
      </c>
      <c r="Y443" s="1">
        <f t="shared" si="175"/>
        <v>0</v>
      </c>
      <c r="Z443" s="1">
        <f t="shared" si="176"/>
        <v>0</v>
      </c>
      <c r="AA443" s="1">
        <f t="shared" si="177"/>
        <v>0</v>
      </c>
      <c r="AB443" s="1">
        <f t="shared" si="178"/>
        <v>0</v>
      </c>
      <c r="AD443" s="1">
        <f t="shared" si="179"/>
        <v>0</v>
      </c>
      <c r="AE443" s="1">
        <f t="shared" si="180"/>
        <v>1</v>
      </c>
      <c r="AF443" s="1">
        <f t="shared" si="181"/>
        <v>0</v>
      </c>
      <c r="AG443" s="1">
        <f t="shared" si="182"/>
        <v>0</v>
      </c>
      <c r="AH443" s="1">
        <f t="shared" si="183"/>
        <v>0</v>
      </c>
      <c r="AI443" s="1">
        <f t="shared" si="184"/>
        <v>0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16" t="s">
        <v>769</v>
      </c>
      <c r="E444" s="16" t="s">
        <v>28</v>
      </c>
      <c r="F444" s="16" t="s">
        <v>770</v>
      </c>
      <c r="G444" s="16" t="s">
        <v>278</v>
      </c>
      <c r="H444" s="16" t="s">
        <v>352</v>
      </c>
      <c r="I444" s="15" t="s">
        <v>771</v>
      </c>
      <c r="J444" s="15">
        <v>99</v>
      </c>
      <c r="K444" s="10" t="s">
        <v>709</v>
      </c>
      <c r="L444" s="10" t="s">
        <v>709</v>
      </c>
      <c r="M444" s="19" t="s">
        <v>727</v>
      </c>
      <c r="N444" s="17"/>
      <c r="Q444" s="16"/>
      <c r="S444" s="1">
        <f t="shared" si="169"/>
        <v>0</v>
      </c>
      <c r="T444" s="1">
        <f t="shared" si="170"/>
        <v>0</v>
      </c>
      <c r="U444" s="1">
        <f t="shared" si="171"/>
        <v>0</v>
      </c>
      <c r="V444" s="1">
        <f t="shared" si="172"/>
        <v>0</v>
      </c>
      <c r="W444" s="1">
        <f t="shared" si="173"/>
        <v>0</v>
      </c>
      <c r="X444" s="1">
        <f t="shared" si="174"/>
        <v>0</v>
      </c>
      <c r="Y444" s="1">
        <f t="shared" si="175"/>
        <v>0</v>
      </c>
      <c r="Z444" s="1">
        <f t="shared" si="176"/>
        <v>0</v>
      </c>
      <c r="AA444" s="1">
        <f t="shared" si="177"/>
        <v>0</v>
      </c>
      <c r="AB444" s="1">
        <f t="shared" si="178"/>
        <v>0</v>
      </c>
      <c r="AD444" s="1">
        <f t="shared" si="179"/>
        <v>0</v>
      </c>
      <c r="AE444" s="1">
        <f t="shared" si="180"/>
        <v>0</v>
      </c>
      <c r="AF444" s="1">
        <f t="shared" si="181"/>
        <v>0</v>
      </c>
      <c r="AG444" s="1">
        <f t="shared" si="182"/>
        <v>0</v>
      </c>
      <c r="AH444" s="1">
        <f t="shared" si="183"/>
        <v>0</v>
      </c>
      <c r="AI444" s="1">
        <f t="shared" si="184"/>
        <v>1</v>
      </c>
    </row>
    <row r="445" spans="1:35" ht="14.25" customHeight="1" x14ac:dyDescent="0.25">
      <c r="A445" s="15">
        <v>0</v>
      </c>
      <c r="B445" s="15">
        <v>2</v>
      </c>
      <c r="C445" s="15">
        <v>7</v>
      </c>
      <c r="D445" s="16" t="s">
        <v>85</v>
      </c>
      <c r="E445" s="16" t="s">
        <v>28</v>
      </c>
      <c r="F445" s="16" t="s">
        <v>277</v>
      </c>
      <c r="G445" s="16" t="s">
        <v>278</v>
      </c>
      <c r="H445" s="16" t="s">
        <v>352</v>
      </c>
      <c r="I445" s="15" t="s">
        <v>432</v>
      </c>
      <c r="J445" s="15">
        <v>99</v>
      </c>
      <c r="K445" s="10" t="s">
        <v>709</v>
      </c>
      <c r="L445" s="10" t="s">
        <v>709</v>
      </c>
      <c r="M445" s="19" t="s">
        <v>727</v>
      </c>
      <c r="N445" s="17"/>
      <c r="Q445" s="16"/>
      <c r="S445" s="1">
        <f t="shared" si="169"/>
        <v>0</v>
      </c>
      <c r="T445" s="1">
        <f t="shared" si="170"/>
        <v>0</v>
      </c>
      <c r="U445" s="1">
        <f t="shared" si="171"/>
        <v>0</v>
      </c>
      <c r="V445" s="1">
        <f t="shared" si="172"/>
        <v>0</v>
      </c>
      <c r="W445" s="1">
        <f t="shared" si="173"/>
        <v>0</v>
      </c>
      <c r="X445" s="1">
        <f t="shared" si="174"/>
        <v>0</v>
      </c>
      <c r="Y445" s="1">
        <f t="shared" si="175"/>
        <v>0</v>
      </c>
      <c r="Z445" s="1">
        <f t="shared" si="176"/>
        <v>0</v>
      </c>
      <c r="AA445" s="1">
        <f t="shared" si="177"/>
        <v>0</v>
      </c>
      <c r="AB445" s="1">
        <f t="shared" si="178"/>
        <v>0</v>
      </c>
      <c r="AD445" s="1">
        <f t="shared" si="179"/>
        <v>0</v>
      </c>
      <c r="AE445" s="1">
        <f t="shared" si="180"/>
        <v>0</v>
      </c>
      <c r="AF445" s="1">
        <f t="shared" si="181"/>
        <v>0</v>
      </c>
      <c r="AG445" s="1">
        <f t="shared" si="182"/>
        <v>0</v>
      </c>
      <c r="AH445" s="1">
        <f t="shared" si="183"/>
        <v>0</v>
      </c>
      <c r="AI445" s="1">
        <f t="shared" si="184"/>
        <v>1</v>
      </c>
    </row>
    <row r="446" spans="1:35" ht="14.25" customHeight="1" x14ac:dyDescent="0.25">
      <c r="A446" s="37">
        <v>0</v>
      </c>
      <c r="B446" s="37">
        <v>2</v>
      </c>
      <c r="C446" s="37">
        <v>7</v>
      </c>
      <c r="D446" s="36" t="s">
        <v>1911</v>
      </c>
      <c r="E446" s="36" t="s">
        <v>28</v>
      </c>
      <c r="F446" s="36" t="s">
        <v>1912</v>
      </c>
      <c r="G446" s="36" t="s">
        <v>184</v>
      </c>
      <c r="H446" s="36" t="s">
        <v>352</v>
      </c>
      <c r="I446" s="37" t="s">
        <v>1913</v>
      </c>
      <c r="J446" s="37">
        <v>99</v>
      </c>
      <c r="K446" s="33" t="s">
        <v>699</v>
      </c>
      <c r="L446" s="33">
        <v>4</v>
      </c>
      <c r="M446" s="34" t="s">
        <v>727</v>
      </c>
      <c r="N446" s="34" t="s">
        <v>1717</v>
      </c>
      <c r="O446" s="35">
        <v>1</v>
      </c>
      <c r="P446" s="35"/>
      <c r="Q446" s="36" t="s">
        <v>1914</v>
      </c>
      <c r="S446" s="1">
        <f t="shared" si="169"/>
        <v>0</v>
      </c>
      <c r="T446" s="1">
        <f t="shared" si="170"/>
        <v>0</v>
      </c>
      <c r="U446" s="1">
        <f t="shared" si="171"/>
        <v>0</v>
      </c>
      <c r="V446" s="1">
        <f t="shared" si="172"/>
        <v>0</v>
      </c>
      <c r="W446" s="1">
        <f t="shared" si="173"/>
        <v>0</v>
      </c>
      <c r="X446" s="1">
        <f t="shared" si="174"/>
        <v>0</v>
      </c>
      <c r="Y446" s="1">
        <f t="shared" si="175"/>
        <v>0</v>
      </c>
      <c r="Z446" s="1">
        <f t="shared" si="176"/>
        <v>0</v>
      </c>
      <c r="AA446" s="1">
        <f t="shared" si="177"/>
        <v>0</v>
      </c>
      <c r="AB446" s="1">
        <f t="shared" si="178"/>
        <v>0</v>
      </c>
      <c r="AD446" s="1">
        <f t="shared" si="179"/>
        <v>0</v>
      </c>
      <c r="AE446" s="1">
        <f t="shared" si="180"/>
        <v>1</v>
      </c>
      <c r="AF446" s="1">
        <f t="shared" si="181"/>
        <v>0</v>
      </c>
      <c r="AG446" s="1">
        <f t="shared" si="182"/>
        <v>1</v>
      </c>
      <c r="AH446" s="1">
        <f t="shared" si="183"/>
        <v>0</v>
      </c>
      <c r="AI446" s="1">
        <f t="shared" si="184"/>
        <v>1</v>
      </c>
    </row>
    <row r="447" spans="1:35" ht="14.25" customHeight="1" x14ac:dyDescent="0.25">
      <c r="A447" s="37">
        <v>0</v>
      </c>
      <c r="B447" s="37">
        <v>2</v>
      </c>
      <c r="C447" s="37">
        <v>7</v>
      </c>
      <c r="D447" s="36" t="s">
        <v>549</v>
      </c>
      <c r="E447" s="36" t="s">
        <v>28</v>
      </c>
      <c r="F447" s="36" t="s">
        <v>1850</v>
      </c>
      <c r="G447" s="36" t="s">
        <v>552</v>
      </c>
      <c r="H447" s="36" t="s">
        <v>352</v>
      </c>
      <c r="I447" s="37" t="s">
        <v>553</v>
      </c>
      <c r="J447" s="37">
        <v>99</v>
      </c>
      <c r="K447" s="33" t="s">
        <v>709</v>
      </c>
      <c r="L447" s="33" t="s">
        <v>709</v>
      </c>
      <c r="M447" s="34" t="s">
        <v>727</v>
      </c>
      <c r="N447" s="34" t="s">
        <v>1799</v>
      </c>
      <c r="O447" s="35">
        <v>1</v>
      </c>
      <c r="P447" s="35"/>
      <c r="Q447" s="36"/>
      <c r="S447" s="1">
        <f t="shared" si="169"/>
        <v>0</v>
      </c>
      <c r="T447" s="1">
        <f t="shared" si="170"/>
        <v>0</v>
      </c>
      <c r="U447" s="1">
        <f t="shared" si="171"/>
        <v>0</v>
      </c>
      <c r="V447" s="1">
        <f t="shared" si="172"/>
        <v>0</v>
      </c>
      <c r="W447" s="1">
        <f t="shared" si="173"/>
        <v>0</v>
      </c>
      <c r="X447" s="1">
        <f t="shared" si="174"/>
        <v>0</v>
      </c>
      <c r="Y447" s="1">
        <f t="shared" si="175"/>
        <v>0</v>
      </c>
      <c r="Z447" s="1">
        <f t="shared" si="176"/>
        <v>0</v>
      </c>
      <c r="AA447" s="1">
        <f t="shared" si="177"/>
        <v>0</v>
      </c>
      <c r="AB447" s="1">
        <f t="shared" si="178"/>
        <v>0</v>
      </c>
      <c r="AD447" s="1">
        <f t="shared" si="179"/>
        <v>0</v>
      </c>
      <c r="AE447" s="1">
        <f t="shared" si="180"/>
        <v>1</v>
      </c>
      <c r="AF447" s="1">
        <f t="shared" si="181"/>
        <v>0</v>
      </c>
      <c r="AG447" s="1">
        <f t="shared" si="182"/>
        <v>1</v>
      </c>
      <c r="AH447" s="1">
        <f t="shared" si="183"/>
        <v>0</v>
      </c>
      <c r="AI447" s="1">
        <f t="shared" si="184"/>
        <v>1</v>
      </c>
    </row>
    <row r="448" spans="1:35" ht="14.25" customHeight="1" x14ac:dyDescent="0.25">
      <c r="A448" s="37">
        <v>1</v>
      </c>
      <c r="B448" s="37">
        <v>2</v>
      </c>
      <c r="C448" s="37">
        <v>7</v>
      </c>
      <c r="D448" s="36" t="s">
        <v>549</v>
      </c>
      <c r="E448" s="36" t="s">
        <v>28</v>
      </c>
      <c r="F448" s="36" t="s">
        <v>1851</v>
      </c>
      <c r="G448" s="36" t="s">
        <v>550</v>
      </c>
      <c r="H448" s="36" t="s">
        <v>352</v>
      </c>
      <c r="I448" s="37" t="s">
        <v>551</v>
      </c>
      <c r="J448" s="37">
        <v>99</v>
      </c>
      <c r="K448" s="33" t="s">
        <v>709</v>
      </c>
      <c r="L448" s="33" t="s">
        <v>709</v>
      </c>
      <c r="M448" s="34" t="s">
        <v>727</v>
      </c>
      <c r="N448" s="34" t="s">
        <v>1799</v>
      </c>
      <c r="O448" s="35">
        <v>1</v>
      </c>
      <c r="P448" s="35"/>
      <c r="Q448" s="36"/>
      <c r="S448" s="1">
        <f t="shared" si="169"/>
        <v>0</v>
      </c>
      <c r="T448" s="1">
        <f t="shared" si="170"/>
        <v>0</v>
      </c>
      <c r="U448" s="1">
        <f t="shared" si="171"/>
        <v>0</v>
      </c>
      <c r="V448" s="1">
        <f t="shared" si="172"/>
        <v>0</v>
      </c>
      <c r="W448" s="1">
        <f t="shared" si="173"/>
        <v>0</v>
      </c>
      <c r="X448" s="1">
        <f t="shared" si="174"/>
        <v>0</v>
      </c>
      <c r="Y448" s="1">
        <f t="shared" si="175"/>
        <v>0</v>
      </c>
      <c r="Z448" s="1">
        <f t="shared" si="176"/>
        <v>0</v>
      </c>
      <c r="AA448" s="1">
        <f t="shared" si="177"/>
        <v>0</v>
      </c>
      <c r="AB448" s="1">
        <f t="shared" si="178"/>
        <v>0</v>
      </c>
      <c r="AD448" s="1">
        <f t="shared" si="179"/>
        <v>0</v>
      </c>
      <c r="AE448" s="1">
        <f t="shared" si="180"/>
        <v>1</v>
      </c>
      <c r="AF448" s="1">
        <f t="shared" si="181"/>
        <v>0</v>
      </c>
      <c r="AG448" s="1">
        <f t="shared" si="182"/>
        <v>0</v>
      </c>
      <c r="AH448" s="1">
        <f t="shared" si="183"/>
        <v>0</v>
      </c>
      <c r="AI448" s="1">
        <f t="shared" si="184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1166</v>
      </c>
      <c r="E449" s="32" t="s">
        <v>28</v>
      </c>
      <c r="F449" s="32" t="s">
        <v>1652</v>
      </c>
      <c r="G449" s="32" t="s">
        <v>234</v>
      </c>
      <c r="H449" s="32" t="s">
        <v>352</v>
      </c>
      <c r="I449" s="31" t="s">
        <v>1344</v>
      </c>
      <c r="J449" s="31">
        <v>99</v>
      </c>
      <c r="K449" s="33" t="s">
        <v>708</v>
      </c>
      <c r="L449" s="33" t="s">
        <v>709</v>
      </c>
      <c r="M449" s="34" t="s">
        <v>727</v>
      </c>
      <c r="N449" s="34" t="s">
        <v>1717</v>
      </c>
      <c r="O449" s="35">
        <v>1</v>
      </c>
      <c r="P449" s="35"/>
      <c r="Q449" s="32"/>
      <c r="S449" s="1">
        <f t="shared" si="169"/>
        <v>0</v>
      </c>
      <c r="T449" s="1">
        <f t="shared" si="170"/>
        <v>0</v>
      </c>
      <c r="U449" s="1">
        <f t="shared" si="171"/>
        <v>0</v>
      </c>
      <c r="V449" s="1">
        <f t="shared" si="172"/>
        <v>0</v>
      </c>
      <c r="W449" s="1">
        <f t="shared" si="173"/>
        <v>0</v>
      </c>
      <c r="X449" s="1">
        <f t="shared" si="174"/>
        <v>0</v>
      </c>
      <c r="Y449" s="1">
        <f t="shared" si="175"/>
        <v>0</v>
      </c>
      <c r="Z449" s="1">
        <f t="shared" si="176"/>
        <v>0</v>
      </c>
      <c r="AA449" s="1">
        <f t="shared" si="177"/>
        <v>0</v>
      </c>
      <c r="AB449" s="1">
        <f t="shared" si="178"/>
        <v>0</v>
      </c>
      <c r="AD449" s="1">
        <f t="shared" si="179"/>
        <v>0</v>
      </c>
      <c r="AE449" s="1">
        <f t="shared" si="180"/>
        <v>1</v>
      </c>
      <c r="AF449" s="1">
        <f t="shared" si="181"/>
        <v>0</v>
      </c>
      <c r="AG449" s="1">
        <f t="shared" si="182"/>
        <v>1</v>
      </c>
      <c r="AH449" s="1">
        <f t="shared" si="183"/>
        <v>0</v>
      </c>
      <c r="AI449" s="1">
        <f t="shared" si="184"/>
        <v>1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1166</v>
      </c>
      <c r="E450" s="32" t="s">
        <v>28</v>
      </c>
      <c r="F450" s="32" t="s">
        <v>1653</v>
      </c>
      <c r="G450" s="32" t="s">
        <v>1331</v>
      </c>
      <c r="H450" s="32" t="s">
        <v>352</v>
      </c>
      <c r="I450" s="31" t="s">
        <v>1345</v>
      </c>
      <c r="J450" s="31">
        <v>99</v>
      </c>
      <c r="K450" s="33" t="s">
        <v>708</v>
      </c>
      <c r="L450" s="33" t="s">
        <v>709</v>
      </c>
      <c r="M450" s="34" t="s">
        <v>727</v>
      </c>
      <c r="N450" s="34" t="s">
        <v>1717</v>
      </c>
      <c r="O450" s="35">
        <v>1</v>
      </c>
      <c r="P450" s="35"/>
      <c r="Q450" s="32"/>
      <c r="S450" s="1">
        <f t="shared" si="169"/>
        <v>0</v>
      </c>
      <c r="T450" s="1">
        <f t="shared" si="170"/>
        <v>0</v>
      </c>
      <c r="U450" s="1">
        <f t="shared" si="171"/>
        <v>0</v>
      </c>
      <c r="V450" s="1">
        <f t="shared" si="172"/>
        <v>0</v>
      </c>
      <c r="W450" s="1">
        <f t="shared" si="173"/>
        <v>0</v>
      </c>
      <c r="X450" s="1">
        <f t="shared" si="174"/>
        <v>0</v>
      </c>
      <c r="Y450" s="1">
        <f t="shared" si="175"/>
        <v>0</v>
      </c>
      <c r="Z450" s="1">
        <f t="shared" si="176"/>
        <v>0</v>
      </c>
      <c r="AA450" s="1">
        <f t="shared" si="177"/>
        <v>0</v>
      </c>
      <c r="AB450" s="1">
        <f t="shared" si="178"/>
        <v>0</v>
      </c>
      <c r="AD450" s="1">
        <f t="shared" si="179"/>
        <v>0</v>
      </c>
      <c r="AE450" s="1">
        <f t="shared" si="180"/>
        <v>1</v>
      </c>
      <c r="AF450" s="1">
        <f t="shared" si="181"/>
        <v>0</v>
      </c>
      <c r="AG450" s="1">
        <f t="shared" si="182"/>
        <v>0</v>
      </c>
      <c r="AH450" s="1">
        <f t="shared" si="183"/>
        <v>0</v>
      </c>
      <c r="AI450" s="1">
        <f t="shared" si="184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1234</v>
      </c>
      <c r="E451" s="32" t="s">
        <v>28</v>
      </c>
      <c r="F451" s="32" t="s">
        <v>1233</v>
      </c>
      <c r="G451" s="32" t="s">
        <v>1218</v>
      </c>
      <c r="H451" s="32" t="s">
        <v>352</v>
      </c>
      <c r="I451" s="31" t="s">
        <v>1235</v>
      </c>
      <c r="J451" s="31">
        <v>99</v>
      </c>
      <c r="K451" s="33" t="s">
        <v>699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69"/>
        <v>0</v>
      </c>
      <c r="T451" s="1">
        <f t="shared" si="170"/>
        <v>0</v>
      </c>
      <c r="U451" s="1">
        <f t="shared" si="171"/>
        <v>0</v>
      </c>
      <c r="V451" s="1">
        <f t="shared" si="172"/>
        <v>0</v>
      </c>
      <c r="W451" s="1">
        <f t="shared" si="173"/>
        <v>0</v>
      </c>
      <c r="X451" s="1">
        <f t="shared" si="174"/>
        <v>0</v>
      </c>
      <c r="Y451" s="1">
        <f t="shared" si="175"/>
        <v>0</v>
      </c>
      <c r="Z451" s="1">
        <f t="shared" si="176"/>
        <v>0</v>
      </c>
      <c r="AA451" s="1">
        <f t="shared" si="177"/>
        <v>0</v>
      </c>
      <c r="AB451" s="1">
        <f t="shared" si="178"/>
        <v>0</v>
      </c>
      <c r="AD451" s="1">
        <f t="shared" si="179"/>
        <v>0</v>
      </c>
      <c r="AE451" s="1">
        <f t="shared" si="180"/>
        <v>1</v>
      </c>
      <c r="AF451" s="1">
        <f t="shared" si="181"/>
        <v>0</v>
      </c>
      <c r="AG451" s="1">
        <f t="shared" si="182"/>
        <v>1</v>
      </c>
      <c r="AH451" s="1">
        <f t="shared" si="183"/>
        <v>0</v>
      </c>
      <c r="AI451" s="1">
        <f t="shared" si="184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1234</v>
      </c>
      <c r="E452" s="32" t="s">
        <v>28</v>
      </c>
      <c r="F452" s="32" t="s">
        <v>1232</v>
      </c>
      <c r="G452" s="32" t="s">
        <v>39</v>
      </c>
      <c r="H452" s="32" t="s">
        <v>352</v>
      </c>
      <c r="I452" s="31" t="s">
        <v>1236</v>
      </c>
      <c r="J452" s="31">
        <v>9</v>
      </c>
      <c r="K452" s="33" t="s">
        <v>699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69"/>
        <v>0</v>
      </c>
      <c r="T452" s="1">
        <f t="shared" si="170"/>
        <v>0</v>
      </c>
      <c r="U452" s="1">
        <f t="shared" si="171"/>
        <v>0</v>
      </c>
      <c r="V452" s="1">
        <f t="shared" si="172"/>
        <v>0</v>
      </c>
      <c r="W452" s="1">
        <f t="shared" si="173"/>
        <v>0</v>
      </c>
      <c r="X452" s="1">
        <f t="shared" si="174"/>
        <v>0</v>
      </c>
      <c r="Y452" s="1">
        <f t="shared" si="175"/>
        <v>0</v>
      </c>
      <c r="Z452" s="1">
        <f t="shared" si="176"/>
        <v>0</v>
      </c>
      <c r="AA452" s="1">
        <f t="shared" si="177"/>
        <v>1</v>
      </c>
      <c r="AB452" s="1">
        <f t="shared" si="178"/>
        <v>0</v>
      </c>
      <c r="AD452" s="1">
        <f t="shared" si="179"/>
        <v>0</v>
      </c>
      <c r="AE452" s="1">
        <f t="shared" si="180"/>
        <v>1</v>
      </c>
      <c r="AF452" s="1">
        <f t="shared" si="181"/>
        <v>0</v>
      </c>
      <c r="AG452" s="1">
        <f t="shared" si="182"/>
        <v>0</v>
      </c>
      <c r="AH452" s="1">
        <f t="shared" si="183"/>
        <v>0</v>
      </c>
      <c r="AI452" s="1">
        <f t="shared" si="184"/>
        <v>0</v>
      </c>
    </row>
    <row r="453" spans="1:35" ht="14.25" customHeight="1" x14ac:dyDescent="0.25">
      <c r="A453" s="31">
        <v>1</v>
      </c>
      <c r="B453" s="31">
        <v>2</v>
      </c>
      <c r="C453" s="31">
        <v>7</v>
      </c>
      <c r="D453" s="32" t="s">
        <v>1234</v>
      </c>
      <c r="E453" s="32" t="s">
        <v>28</v>
      </c>
      <c r="F453" s="36" t="s">
        <v>1798</v>
      </c>
      <c r="G453" s="36" t="s">
        <v>257</v>
      </c>
      <c r="H453" s="32" t="s">
        <v>352</v>
      </c>
      <c r="I453" s="37" t="s">
        <v>30</v>
      </c>
      <c r="J453" s="31">
        <v>8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69"/>
        <v>0</v>
      </c>
      <c r="T453" s="1">
        <f t="shared" si="170"/>
        <v>0</v>
      </c>
      <c r="U453" s="1">
        <f t="shared" si="171"/>
        <v>0</v>
      </c>
      <c r="V453" s="1">
        <f t="shared" si="172"/>
        <v>0</v>
      </c>
      <c r="W453" s="1">
        <f t="shared" si="173"/>
        <v>0</v>
      </c>
      <c r="X453" s="1">
        <f t="shared" si="174"/>
        <v>0</v>
      </c>
      <c r="Y453" s="1">
        <f t="shared" si="175"/>
        <v>0</v>
      </c>
      <c r="Z453" s="1">
        <f t="shared" si="176"/>
        <v>1</v>
      </c>
      <c r="AA453" s="1">
        <f t="shared" si="177"/>
        <v>0</v>
      </c>
      <c r="AB453" s="1">
        <f t="shared" si="178"/>
        <v>0</v>
      </c>
      <c r="AD453" s="1">
        <f t="shared" si="179"/>
        <v>0</v>
      </c>
      <c r="AE453" s="1">
        <f t="shared" si="180"/>
        <v>1</v>
      </c>
      <c r="AF453" s="1">
        <f t="shared" si="181"/>
        <v>0</v>
      </c>
      <c r="AG453" s="1">
        <f t="shared" si="182"/>
        <v>0</v>
      </c>
      <c r="AH453" s="1">
        <f t="shared" si="183"/>
        <v>0</v>
      </c>
      <c r="AI453" s="1">
        <f t="shared" si="184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51</v>
      </c>
      <c r="E454" s="32" t="s">
        <v>28</v>
      </c>
      <c r="F454" s="32" t="s">
        <v>670</v>
      </c>
      <c r="G454" s="32" t="s">
        <v>184</v>
      </c>
      <c r="H454" s="32" t="s">
        <v>352</v>
      </c>
      <c r="I454" s="31" t="s">
        <v>388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1723</v>
      </c>
      <c r="O454" s="35">
        <v>1</v>
      </c>
      <c r="P454" s="35"/>
      <c r="Q454" s="32"/>
      <c r="S454" s="1">
        <f t="shared" si="169"/>
        <v>0</v>
      </c>
      <c r="T454" s="1">
        <f t="shared" si="170"/>
        <v>0</v>
      </c>
      <c r="U454" s="1">
        <f t="shared" si="171"/>
        <v>0</v>
      </c>
      <c r="V454" s="1">
        <f t="shared" si="172"/>
        <v>0</v>
      </c>
      <c r="W454" s="1">
        <f t="shared" si="173"/>
        <v>0</v>
      </c>
      <c r="X454" s="1">
        <f t="shared" si="174"/>
        <v>0</v>
      </c>
      <c r="Y454" s="1">
        <f t="shared" si="175"/>
        <v>0</v>
      </c>
      <c r="Z454" s="1">
        <f t="shared" si="176"/>
        <v>0</v>
      </c>
      <c r="AA454" s="1">
        <f t="shared" si="177"/>
        <v>0</v>
      </c>
      <c r="AB454" s="1">
        <f t="shared" si="178"/>
        <v>0</v>
      </c>
      <c r="AD454" s="1">
        <f t="shared" si="179"/>
        <v>0</v>
      </c>
      <c r="AE454" s="1">
        <f t="shared" si="180"/>
        <v>1</v>
      </c>
      <c r="AF454" s="1">
        <f t="shared" si="181"/>
        <v>0</v>
      </c>
      <c r="AG454" s="1">
        <f t="shared" si="182"/>
        <v>1</v>
      </c>
      <c r="AH454" s="1">
        <f t="shared" si="183"/>
        <v>0</v>
      </c>
      <c r="AI454" s="1">
        <f t="shared" si="184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1068</v>
      </c>
      <c r="E455" s="45" t="s">
        <v>28</v>
      </c>
      <c r="F455" s="45" t="s">
        <v>985</v>
      </c>
      <c r="G455" s="45" t="s">
        <v>239</v>
      </c>
      <c r="H455" s="45" t="s">
        <v>352</v>
      </c>
      <c r="I455" s="44" t="s">
        <v>1093</v>
      </c>
      <c r="J455" s="44">
        <v>1</v>
      </c>
      <c r="K455" s="46" t="s">
        <v>708</v>
      </c>
      <c r="L455" s="46" t="s">
        <v>709</v>
      </c>
      <c r="M455" s="47" t="s">
        <v>727</v>
      </c>
      <c r="N455" s="47" t="s">
        <v>1709</v>
      </c>
      <c r="O455" s="48"/>
      <c r="P455" s="48"/>
      <c r="Q455" s="45"/>
      <c r="S455" s="1">
        <f t="shared" si="169"/>
        <v>1</v>
      </c>
      <c r="T455" s="1">
        <f t="shared" si="170"/>
        <v>0</v>
      </c>
      <c r="U455" s="1">
        <f t="shared" si="171"/>
        <v>0</v>
      </c>
      <c r="V455" s="1">
        <f t="shared" si="172"/>
        <v>0</v>
      </c>
      <c r="W455" s="1">
        <f t="shared" si="173"/>
        <v>0</v>
      </c>
      <c r="X455" s="1">
        <f t="shared" si="174"/>
        <v>0</v>
      </c>
      <c r="Y455" s="1">
        <f t="shared" si="175"/>
        <v>0</v>
      </c>
      <c r="Z455" s="1">
        <f t="shared" si="176"/>
        <v>0</v>
      </c>
      <c r="AA455" s="1">
        <f t="shared" si="177"/>
        <v>0</v>
      </c>
      <c r="AB455" s="1">
        <f t="shared" si="178"/>
        <v>0</v>
      </c>
      <c r="AD455" s="1">
        <f t="shared" si="179"/>
        <v>0</v>
      </c>
      <c r="AE455" s="1">
        <f t="shared" si="180"/>
        <v>0</v>
      </c>
      <c r="AF455" s="1">
        <f t="shared" si="181"/>
        <v>0</v>
      </c>
      <c r="AG455" s="1">
        <f t="shared" si="182"/>
        <v>0</v>
      </c>
      <c r="AH455" s="1">
        <f t="shared" si="183"/>
        <v>0</v>
      </c>
      <c r="AI455" s="1">
        <f t="shared" si="184"/>
        <v>1</v>
      </c>
    </row>
    <row r="456" spans="1:35" ht="14.25" customHeight="1" x14ac:dyDescent="0.25">
      <c r="A456" s="44">
        <v>1</v>
      </c>
      <c r="B456" s="44">
        <v>2</v>
      </c>
      <c r="C456" s="44">
        <v>7</v>
      </c>
      <c r="D456" s="45" t="s">
        <v>1068</v>
      </c>
      <c r="E456" s="45" t="s">
        <v>28</v>
      </c>
      <c r="F456" s="45" t="s">
        <v>986</v>
      </c>
      <c r="G456" s="45" t="s">
        <v>1086</v>
      </c>
      <c r="H456" s="45" t="s">
        <v>352</v>
      </c>
      <c r="I456" s="44" t="s">
        <v>1094</v>
      </c>
      <c r="J456" s="44">
        <v>1</v>
      </c>
      <c r="K456" s="46" t="s">
        <v>708</v>
      </c>
      <c r="L456" s="46" t="s">
        <v>709</v>
      </c>
      <c r="M456" s="47" t="s">
        <v>727</v>
      </c>
      <c r="N456" s="47" t="s">
        <v>1709</v>
      </c>
      <c r="O456" s="48"/>
      <c r="P456" s="48"/>
      <c r="Q456" s="45"/>
      <c r="S456" s="1">
        <f t="shared" si="169"/>
        <v>1</v>
      </c>
      <c r="T456" s="1">
        <f t="shared" si="170"/>
        <v>0</v>
      </c>
      <c r="U456" s="1">
        <f t="shared" si="171"/>
        <v>0</v>
      </c>
      <c r="V456" s="1">
        <f t="shared" si="172"/>
        <v>0</v>
      </c>
      <c r="W456" s="1">
        <f t="shared" si="173"/>
        <v>0</v>
      </c>
      <c r="X456" s="1">
        <f t="shared" si="174"/>
        <v>0</v>
      </c>
      <c r="Y456" s="1">
        <f t="shared" si="175"/>
        <v>0</v>
      </c>
      <c r="Z456" s="1">
        <f t="shared" si="176"/>
        <v>0</v>
      </c>
      <c r="AA456" s="1">
        <f t="shared" si="177"/>
        <v>0</v>
      </c>
      <c r="AB456" s="1">
        <f t="shared" si="178"/>
        <v>0</v>
      </c>
      <c r="AD456" s="1">
        <f t="shared" si="179"/>
        <v>0</v>
      </c>
      <c r="AE456" s="1">
        <f t="shared" si="180"/>
        <v>0</v>
      </c>
      <c r="AF456" s="1">
        <f t="shared" si="181"/>
        <v>0</v>
      </c>
      <c r="AG456" s="1">
        <f t="shared" si="182"/>
        <v>0</v>
      </c>
      <c r="AH456" s="1">
        <f t="shared" si="183"/>
        <v>0</v>
      </c>
      <c r="AI456" s="1">
        <f t="shared" si="184"/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1612</v>
      </c>
      <c r="E457" s="32" t="s">
        <v>155</v>
      </c>
      <c r="F457" s="32" t="s">
        <v>1466</v>
      </c>
      <c r="G457" s="32" t="s">
        <v>1467</v>
      </c>
      <c r="H457" s="32" t="s">
        <v>352</v>
      </c>
      <c r="I457" s="31" t="s">
        <v>1468</v>
      </c>
      <c r="J457" s="31">
        <v>99</v>
      </c>
      <c r="K457" s="33" t="s">
        <v>942</v>
      </c>
      <c r="L457" s="33" t="s">
        <v>718</v>
      </c>
      <c r="M457" s="34" t="s">
        <v>728</v>
      </c>
      <c r="N457" s="34" t="s">
        <v>1722</v>
      </c>
      <c r="O457" s="35">
        <v>1</v>
      </c>
      <c r="P457" s="35"/>
      <c r="Q457" s="32"/>
      <c r="S457" s="1">
        <f t="shared" si="169"/>
        <v>0</v>
      </c>
      <c r="T457" s="1">
        <f t="shared" si="170"/>
        <v>0</v>
      </c>
      <c r="U457" s="1">
        <f t="shared" si="171"/>
        <v>0</v>
      </c>
      <c r="V457" s="1">
        <f t="shared" si="172"/>
        <v>0</v>
      </c>
      <c r="W457" s="1">
        <f t="shared" si="173"/>
        <v>0</v>
      </c>
      <c r="X457" s="1">
        <f t="shared" si="174"/>
        <v>0</v>
      </c>
      <c r="Y457" s="1">
        <f t="shared" si="175"/>
        <v>0</v>
      </c>
      <c r="Z457" s="1">
        <f t="shared" si="176"/>
        <v>0</v>
      </c>
      <c r="AA457" s="1">
        <f t="shared" si="177"/>
        <v>0</v>
      </c>
      <c r="AB457" s="1">
        <f t="shared" si="178"/>
        <v>0</v>
      </c>
      <c r="AD457" s="1">
        <f t="shared" si="179"/>
        <v>0</v>
      </c>
      <c r="AE457" s="1">
        <f t="shared" si="180"/>
        <v>1</v>
      </c>
      <c r="AF457" s="1">
        <f t="shared" si="181"/>
        <v>0</v>
      </c>
      <c r="AG457" s="1">
        <f t="shared" si="182"/>
        <v>1</v>
      </c>
      <c r="AH457" s="1">
        <f t="shared" si="183"/>
        <v>0</v>
      </c>
      <c r="AI457" s="1">
        <f t="shared" si="184"/>
        <v>1</v>
      </c>
    </row>
    <row r="458" spans="1:35" ht="14.25" customHeight="1" x14ac:dyDescent="0.25">
      <c r="A458" s="44">
        <v>0</v>
      </c>
      <c r="B458" s="44">
        <v>2</v>
      </c>
      <c r="C458" s="44">
        <v>7</v>
      </c>
      <c r="D458" s="45" t="s">
        <v>82</v>
      </c>
      <c r="E458" s="45" t="s">
        <v>28</v>
      </c>
      <c r="F458" s="45" t="s">
        <v>273</v>
      </c>
      <c r="G458" s="45" t="s">
        <v>274</v>
      </c>
      <c r="H458" s="45" t="s">
        <v>352</v>
      </c>
      <c r="I458" s="44" t="s">
        <v>427</v>
      </c>
      <c r="J458" s="44">
        <v>7</v>
      </c>
      <c r="K458" s="46" t="s">
        <v>942</v>
      </c>
      <c r="L458" s="46" t="s">
        <v>941</v>
      </c>
      <c r="M458" s="47" t="s">
        <v>955</v>
      </c>
      <c r="N458" s="47" t="s">
        <v>1783</v>
      </c>
      <c r="O458" s="48"/>
      <c r="P458" s="48"/>
      <c r="Q458" s="45"/>
      <c r="S458" s="1">
        <f t="shared" si="169"/>
        <v>0</v>
      </c>
      <c r="T458" s="1">
        <f t="shared" si="170"/>
        <v>0</v>
      </c>
      <c r="U458" s="1">
        <f t="shared" si="171"/>
        <v>0</v>
      </c>
      <c r="V458" s="1">
        <f t="shared" si="172"/>
        <v>0</v>
      </c>
      <c r="W458" s="1">
        <f t="shared" si="173"/>
        <v>0</v>
      </c>
      <c r="X458" s="1">
        <f t="shared" si="174"/>
        <v>0</v>
      </c>
      <c r="Y458" s="1">
        <f t="shared" si="175"/>
        <v>1</v>
      </c>
      <c r="Z458" s="1">
        <f t="shared" si="176"/>
        <v>0</v>
      </c>
      <c r="AA458" s="1">
        <f t="shared" si="177"/>
        <v>0</v>
      </c>
      <c r="AB458" s="1">
        <f t="shared" si="178"/>
        <v>0</v>
      </c>
      <c r="AD458" s="1">
        <f t="shared" si="179"/>
        <v>0</v>
      </c>
      <c r="AE458" s="1">
        <f t="shared" si="180"/>
        <v>0</v>
      </c>
      <c r="AF458" s="1">
        <f t="shared" si="181"/>
        <v>0</v>
      </c>
      <c r="AG458" s="1">
        <f t="shared" si="182"/>
        <v>0</v>
      </c>
      <c r="AH458" s="1">
        <f t="shared" si="183"/>
        <v>0</v>
      </c>
      <c r="AI458" s="1">
        <f t="shared" si="184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76</v>
      </c>
      <c r="E459" s="32" t="s">
        <v>28</v>
      </c>
      <c r="F459" s="32" t="s">
        <v>1655</v>
      </c>
      <c r="G459" s="32" t="s">
        <v>189</v>
      </c>
      <c r="H459" s="32" t="s">
        <v>352</v>
      </c>
      <c r="I459" s="31" t="s">
        <v>421</v>
      </c>
      <c r="J459" s="31">
        <v>99</v>
      </c>
      <c r="K459" s="33" t="s">
        <v>941</v>
      </c>
      <c r="L459" s="33" t="s">
        <v>709</v>
      </c>
      <c r="M459" s="34" t="s">
        <v>727</v>
      </c>
      <c r="N459" s="34" t="s">
        <v>1717</v>
      </c>
      <c r="O459" s="35">
        <v>1</v>
      </c>
      <c r="P459" s="35"/>
      <c r="Q459" s="32"/>
      <c r="S459" s="1">
        <f t="shared" si="169"/>
        <v>0</v>
      </c>
      <c r="T459" s="1">
        <f t="shared" si="170"/>
        <v>0</v>
      </c>
      <c r="U459" s="1">
        <f t="shared" si="171"/>
        <v>0</v>
      </c>
      <c r="V459" s="1">
        <f t="shared" si="172"/>
        <v>0</v>
      </c>
      <c r="W459" s="1">
        <f t="shared" si="173"/>
        <v>0</v>
      </c>
      <c r="X459" s="1">
        <f t="shared" si="174"/>
        <v>0</v>
      </c>
      <c r="Y459" s="1">
        <f t="shared" si="175"/>
        <v>0</v>
      </c>
      <c r="Z459" s="1">
        <f t="shared" si="176"/>
        <v>0</v>
      </c>
      <c r="AA459" s="1">
        <f t="shared" si="177"/>
        <v>0</v>
      </c>
      <c r="AB459" s="1">
        <f t="shared" si="178"/>
        <v>0</v>
      </c>
      <c r="AD459" s="1">
        <f t="shared" si="179"/>
        <v>0</v>
      </c>
      <c r="AE459" s="1">
        <f t="shared" si="180"/>
        <v>1</v>
      </c>
      <c r="AF459" s="1">
        <f t="shared" si="181"/>
        <v>0</v>
      </c>
      <c r="AG459" s="1">
        <f t="shared" si="182"/>
        <v>1</v>
      </c>
      <c r="AH459" s="1">
        <f t="shared" si="183"/>
        <v>0</v>
      </c>
      <c r="AI459" s="1">
        <f t="shared" si="184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6" t="s">
        <v>2003</v>
      </c>
      <c r="E460" s="32" t="s">
        <v>2007</v>
      </c>
      <c r="F460" s="36" t="s">
        <v>2004</v>
      </c>
      <c r="G460" s="36" t="s">
        <v>2005</v>
      </c>
      <c r="H460" s="36" t="s">
        <v>352</v>
      </c>
      <c r="I460" s="37" t="s">
        <v>2006</v>
      </c>
      <c r="J460" s="31">
        <v>99</v>
      </c>
      <c r="K460" s="33" t="s">
        <v>699</v>
      </c>
      <c r="L460" s="33">
        <v>20</v>
      </c>
      <c r="M460" s="34" t="s">
        <v>2009</v>
      </c>
      <c r="N460" s="34" t="s">
        <v>1722</v>
      </c>
      <c r="O460" s="35">
        <v>1</v>
      </c>
      <c r="P460" s="35"/>
      <c r="Q460" s="36" t="s">
        <v>2008</v>
      </c>
      <c r="S460" s="1">
        <f t="shared" si="169"/>
        <v>0</v>
      </c>
      <c r="T460" s="1">
        <f t="shared" si="170"/>
        <v>0</v>
      </c>
      <c r="U460" s="1">
        <f t="shared" si="171"/>
        <v>0</v>
      </c>
      <c r="V460" s="1">
        <f t="shared" si="172"/>
        <v>0</v>
      </c>
      <c r="W460" s="1">
        <f t="shared" si="173"/>
        <v>0</v>
      </c>
      <c r="X460" s="1">
        <f t="shared" si="174"/>
        <v>0</v>
      </c>
      <c r="Y460" s="1">
        <f t="shared" si="175"/>
        <v>0</v>
      </c>
      <c r="Z460" s="1">
        <f t="shared" si="176"/>
        <v>0</v>
      </c>
      <c r="AA460" s="1">
        <f t="shared" si="177"/>
        <v>0</v>
      </c>
      <c r="AB460" s="1">
        <f t="shared" si="178"/>
        <v>0</v>
      </c>
      <c r="AD460" s="1">
        <f t="shared" si="179"/>
        <v>0</v>
      </c>
      <c r="AE460" s="1">
        <f t="shared" si="180"/>
        <v>1</v>
      </c>
      <c r="AF460" s="1">
        <f t="shared" si="181"/>
        <v>0</v>
      </c>
      <c r="AG460" s="1">
        <f t="shared" si="182"/>
        <v>1</v>
      </c>
      <c r="AH460" s="1">
        <f t="shared" si="183"/>
        <v>0</v>
      </c>
      <c r="AI460" s="1">
        <f t="shared" si="184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1614</v>
      </c>
      <c r="E461" s="32" t="s">
        <v>162</v>
      </c>
      <c r="F461" s="32" t="s">
        <v>243</v>
      </c>
      <c r="G461" s="32" t="s">
        <v>217</v>
      </c>
      <c r="H461" s="32" t="s">
        <v>352</v>
      </c>
      <c r="I461" s="31" t="s">
        <v>406</v>
      </c>
      <c r="J461" s="31">
        <v>99</v>
      </c>
      <c r="K461" s="33" t="s">
        <v>709</v>
      </c>
      <c r="L461" s="33" t="s">
        <v>718</v>
      </c>
      <c r="M461" s="34" t="s">
        <v>728</v>
      </c>
      <c r="N461" s="34" t="s">
        <v>1701</v>
      </c>
      <c r="O461" s="35">
        <v>1</v>
      </c>
      <c r="P461" s="35">
        <v>1</v>
      </c>
      <c r="Q461" s="32"/>
      <c r="S461" s="1">
        <f t="shared" si="169"/>
        <v>0</v>
      </c>
      <c r="T461" s="1">
        <f t="shared" si="170"/>
        <v>0</v>
      </c>
      <c r="U461" s="1">
        <f t="shared" si="171"/>
        <v>0</v>
      </c>
      <c r="V461" s="1">
        <f t="shared" si="172"/>
        <v>0</v>
      </c>
      <c r="W461" s="1">
        <f t="shared" si="173"/>
        <v>0</v>
      </c>
      <c r="X461" s="1">
        <f t="shared" si="174"/>
        <v>0</v>
      </c>
      <c r="Y461" s="1">
        <f t="shared" si="175"/>
        <v>0</v>
      </c>
      <c r="Z461" s="1">
        <f t="shared" si="176"/>
        <v>0</v>
      </c>
      <c r="AA461" s="1">
        <f t="shared" si="177"/>
        <v>0</v>
      </c>
      <c r="AB461" s="1">
        <f t="shared" si="178"/>
        <v>0</v>
      </c>
      <c r="AD461" s="1">
        <f t="shared" si="179"/>
        <v>1</v>
      </c>
      <c r="AE461" s="1">
        <f t="shared" si="180"/>
        <v>0</v>
      </c>
      <c r="AF461" s="1">
        <f t="shared" si="181"/>
        <v>1</v>
      </c>
      <c r="AG461" s="1">
        <f t="shared" si="182"/>
        <v>0</v>
      </c>
      <c r="AH461" s="1">
        <f t="shared" si="183"/>
        <v>1</v>
      </c>
      <c r="AI461" s="1">
        <f t="shared" si="184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1512</v>
      </c>
      <c r="E462" s="32" t="s">
        <v>155</v>
      </c>
      <c r="F462" s="32" t="s">
        <v>1513</v>
      </c>
      <c r="G462" s="32" t="s">
        <v>39</v>
      </c>
      <c r="H462" s="32" t="s">
        <v>352</v>
      </c>
      <c r="I462" s="31" t="s">
        <v>1514</v>
      </c>
      <c r="J462" s="31">
        <v>99</v>
      </c>
      <c r="K462" s="33" t="s">
        <v>709</v>
      </c>
      <c r="L462" s="33" t="s">
        <v>718</v>
      </c>
      <c r="M462" s="34" t="s">
        <v>728</v>
      </c>
      <c r="N462" s="34" t="s">
        <v>1722</v>
      </c>
      <c r="O462" s="35">
        <v>1</v>
      </c>
      <c r="P462" s="35"/>
      <c r="Q462" s="32"/>
      <c r="S462" s="1">
        <f t="shared" si="169"/>
        <v>0</v>
      </c>
      <c r="T462" s="1">
        <f t="shared" si="170"/>
        <v>0</v>
      </c>
      <c r="U462" s="1">
        <f t="shared" si="171"/>
        <v>0</v>
      </c>
      <c r="V462" s="1">
        <f t="shared" si="172"/>
        <v>0</v>
      </c>
      <c r="W462" s="1">
        <f t="shared" si="173"/>
        <v>0</v>
      </c>
      <c r="X462" s="1">
        <f t="shared" si="174"/>
        <v>0</v>
      </c>
      <c r="Y462" s="1">
        <f t="shared" si="175"/>
        <v>0</v>
      </c>
      <c r="Z462" s="1">
        <f t="shared" si="176"/>
        <v>0</v>
      </c>
      <c r="AA462" s="1">
        <f t="shared" si="177"/>
        <v>0</v>
      </c>
      <c r="AB462" s="1">
        <f t="shared" si="178"/>
        <v>0</v>
      </c>
      <c r="AD462" s="1">
        <f t="shared" si="179"/>
        <v>0</v>
      </c>
      <c r="AE462" s="1">
        <f t="shared" si="180"/>
        <v>1</v>
      </c>
      <c r="AF462" s="1">
        <f t="shared" si="181"/>
        <v>0</v>
      </c>
      <c r="AG462" s="1">
        <f t="shared" si="182"/>
        <v>1</v>
      </c>
      <c r="AH462" s="1">
        <f t="shared" si="183"/>
        <v>0</v>
      </c>
      <c r="AI462" s="1">
        <f t="shared" si="184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961</v>
      </c>
      <c r="G463" s="32" t="s">
        <v>1088</v>
      </c>
      <c r="H463" s="32" t="s">
        <v>352</v>
      </c>
      <c r="I463" s="31" t="s">
        <v>1095</v>
      </c>
      <c r="J463" s="31">
        <v>99</v>
      </c>
      <c r="K463" s="33" t="s">
        <v>709</v>
      </c>
      <c r="L463" s="33" t="s">
        <v>709</v>
      </c>
      <c r="M463" s="34" t="s">
        <v>727</v>
      </c>
      <c r="N463" s="34" t="s">
        <v>1717</v>
      </c>
      <c r="O463" s="35">
        <v>1</v>
      </c>
      <c r="P463" s="35"/>
      <c r="Q463" s="32"/>
      <c r="S463" s="1">
        <f t="shared" si="169"/>
        <v>0</v>
      </c>
      <c r="T463" s="1">
        <f t="shared" si="170"/>
        <v>0</v>
      </c>
      <c r="U463" s="1">
        <f t="shared" si="171"/>
        <v>0</v>
      </c>
      <c r="V463" s="1">
        <f t="shared" si="172"/>
        <v>0</v>
      </c>
      <c r="W463" s="1">
        <f t="shared" si="173"/>
        <v>0</v>
      </c>
      <c r="X463" s="1">
        <f t="shared" si="174"/>
        <v>0</v>
      </c>
      <c r="Y463" s="1">
        <f t="shared" si="175"/>
        <v>0</v>
      </c>
      <c r="Z463" s="1">
        <f t="shared" si="176"/>
        <v>0</v>
      </c>
      <c r="AA463" s="1">
        <f t="shared" si="177"/>
        <v>0</v>
      </c>
      <c r="AB463" s="1">
        <f t="shared" si="178"/>
        <v>0</v>
      </c>
      <c r="AD463" s="1">
        <f t="shared" si="179"/>
        <v>0</v>
      </c>
      <c r="AE463" s="1">
        <f t="shared" si="180"/>
        <v>1</v>
      </c>
      <c r="AF463" s="1">
        <f t="shared" si="181"/>
        <v>0</v>
      </c>
      <c r="AG463" s="1">
        <f t="shared" si="182"/>
        <v>1</v>
      </c>
      <c r="AH463" s="1">
        <f t="shared" si="183"/>
        <v>0</v>
      </c>
      <c r="AI463" s="1">
        <f t="shared" si="18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244</v>
      </c>
      <c r="G464" s="32" t="s">
        <v>223</v>
      </c>
      <c r="H464" s="32" t="s">
        <v>352</v>
      </c>
      <c r="I464" s="31" t="s">
        <v>407</v>
      </c>
      <c r="J464" s="31">
        <v>99</v>
      </c>
      <c r="K464" s="33" t="s">
        <v>709</v>
      </c>
      <c r="L464" s="33" t="s">
        <v>709</v>
      </c>
      <c r="M464" s="34" t="s">
        <v>727</v>
      </c>
      <c r="N464" s="34" t="s">
        <v>1717</v>
      </c>
      <c r="O464" s="35">
        <v>1</v>
      </c>
      <c r="P464" s="35"/>
      <c r="Q464" s="32"/>
      <c r="S464" s="1">
        <f t="shared" si="169"/>
        <v>0</v>
      </c>
      <c r="T464" s="1">
        <f t="shared" si="170"/>
        <v>0</v>
      </c>
      <c r="U464" s="1">
        <f t="shared" si="171"/>
        <v>0</v>
      </c>
      <c r="V464" s="1">
        <f t="shared" si="172"/>
        <v>0</v>
      </c>
      <c r="W464" s="1">
        <f t="shared" si="173"/>
        <v>0</v>
      </c>
      <c r="X464" s="1">
        <f t="shared" si="174"/>
        <v>0</v>
      </c>
      <c r="Y464" s="1">
        <f t="shared" si="175"/>
        <v>0</v>
      </c>
      <c r="Z464" s="1">
        <f t="shared" si="176"/>
        <v>0</v>
      </c>
      <c r="AA464" s="1">
        <f t="shared" si="177"/>
        <v>0</v>
      </c>
      <c r="AB464" s="1">
        <f t="shared" si="178"/>
        <v>0</v>
      </c>
      <c r="AD464" s="1">
        <f t="shared" si="179"/>
        <v>0</v>
      </c>
      <c r="AE464" s="1">
        <f t="shared" si="180"/>
        <v>1</v>
      </c>
      <c r="AF464" s="1">
        <f t="shared" ref="AF464:AF498" si="185">+O464*P464*(1-A464)</f>
        <v>0</v>
      </c>
      <c r="AG464" s="1">
        <f t="shared" ref="AG464:AG498" si="186">O464*(1-P464)*(1-A464)</f>
        <v>0</v>
      </c>
      <c r="AH464" s="1">
        <f t="shared" ref="AH464:AH498" si="187">+P464*(1-A464)</f>
        <v>0</v>
      </c>
      <c r="AI464" s="1">
        <f t="shared" ref="AI464:AI498" si="188">+(1-A464)*(1-P464)</f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245</v>
      </c>
      <c r="G465" s="32" t="s">
        <v>219</v>
      </c>
      <c r="H465" s="32" t="s">
        <v>352</v>
      </c>
      <c r="I465" s="31" t="s">
        <v>408</v>
      </c>
      <c r="J465" s="31">
        <v>8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 t="s">
        <v>1986</v>
      </c>
      <c r="S465" s="1">
        <f t="shared" si="169"/>
        <v>0</v>
      </c>
      <c r="T465" s="1">
        <f t="shared" si="170"/>
        <v>0</v>
      </c>
      <c r="U465" s="1">
        <f t="shared" si="171"/>
        <v>0</v>
      </c>
      <c r="V465" s="1">
        <f t="shared" si="172"/>
        <v>0</v>
      </c>
      <c r="W465" s="1">
        <f t="shared" si="173"/>
        <v>0</v>
      </c>
      <c r="X465" s="1">
        <f t="shared" si="174"/>
        <v>0</v>
      </c>
      <c r="Y465" s="1">
        <f t="shared" si="175"/>
        <v>0</v>
      </c>
      <c r="Z465" s="1">
        <f t="shared" si="176"/>
        <v>1</v>
      </c>
      <c r="AA465" s="1">
        <f t="shared" si="177"/>
        <v>0</v>
      </c>
      <c r="AB465" s="1">
        <f t="shared" si="178"/>
        <v>0</v>
      </c>
      <c r="AD465" s="1">
        <f t="shared" si="179"/>
        <v>0</v>
      </c>
      <c r="AE465" s="1">
        <f t="shared" si="180"/>
        <v>1</v>
      </c>
      <c r="AF465" s="1">
        <f t="shared" si="185"/>
        <v>0</v>
      </c>
      <c r="AG465" s="1">
        <f t="shared" si="186"/>
        <v>0</v>
      </c>
      <c r="AH465" s="1">
        <f t="shared" si="187"/>
        <v>0</v>
      </c>
      <c r="AI465" s="1">
        <f t="shared" si="188"/>
        <v>0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1021</v>
      </c>
      <c r="G466" s="32" t="s">
        <v>39</v>
      </c>
      <c r="H466" s="32" t="s">
        <v>352</v>
      </c>
      <c r="I466" s="31" t="s">
        <v>1022</v>
      </c>
      <c r="J466" s="31">
        <v>1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69"/>
        <v>1</v>
      </c>
      <c r="T466" s="1">
        <f t="shared" si="170"/>
        <v>0</v>
      </c>
      <c r="U466" s="1">
        <f t="shared" si="171"/>
        <v>0</v>
      </c>
      <c r="V466" s="1">
        <f t="shared" si="172"/>
        <v>0</v>
      </c>
      <c r="W466" s="1">
        <f t="shared" si="173"/>
        <v>0</v>
      </c>
      <c r="X466" s="1">
        <f t="shared" si="174"/>
        <v>0</v>
      </c>
      <c r="Y466" s="1">
        <f t="shared" si="175"/>
        <v>0</v>
      </c>
      <c r="Z466" s="1">
        <f t="shared" si="176"/>
        <v>0</v>
      </c>
      <c r="AA466" s="1">
        <f t="shared" si="177"/>
        <v>0</v>
      </c>
      <c r="AB466" s="1">
        <f t="shared" si="178"/>
        <v>0</v>
      </c>
      <c r="AD466" s="1">
        <f t="shared" si="179"/>
        <v>0</v>
      </c>
      <c r="AE466" s="1">
        <f t="shared" si="180"/>
        <v>1</v>
      </c>
      <c r="AF466" s="1">
        <f t="shared" si="185"/>
        <v>0</v>
      </c>
      <c r="AG466" s="1">
        <f t="shared" si="186"/>
        <v>0</v>
      </c>
      <c r="AH466" s="1">
        <f t="shared" si="187"/>
        <v>0</v>
      </c>
      <c r="AI466" s="1">
        <f t="shared" si="188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1023</v>
      </c>
      <c r="G467" s="32" t="s">
        <v>300</v>
      </c>
      <c r="H467" s="32" t="s">
        <v>352</v>
      </c>
      <c r="I467" s="31" t="s">
        <v>1024</v>
      </c>
      <c r="J467" s="31">
        <v>1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/>
      <c r="S467" s="1">
        <f t="shared" si="169"/>
        <v>1</v>
      </c>
      <c r="T467" s="1">
        <f t="shared" si="170"/>
        <v>0</v>
      </c>
      <c r="U467" s="1">
        <f t="shared" si="171"/>
        <v>0</v>
      </c>
      <c r="V467" s="1">
        <f t="shared" si="172"/>
        <v>0</v>
      </c>
      <c r="W467" s="1">
        <f t="shared" si="173"/>
        <v>0</v>
      </c>
      <c r="X467" s="1">
        <f t="shared" si="174"/>
        <v>0</v>
      </c>
      <c r="Y467" s="1">
        <f t="shared" si="175"/>
        <v>0</v>
      </c>
      <c r="Z467" s="1">
        <f t="shared" si="176"/>
        <v>0</v>
      </c>
      <c r="AA467" s="1">
        <f t="shared" si="177"/>
        <v>0</v>
      </c>
      <c r="AB467" s="1">
        <f t="shared" si="178"/>
        <v>0</v>
      </c>
      <c r="AD467" s="1">
        <f t="shared" si="179"/>
        <v>0</v>
      </c>
      <c r="AE467" s="1">
        <f t="shared" si="180"/>
        <v>1</v>
      </c>
      <c r="AF467" s="1">
        <f t="shared" si="185"/>
        <v>0</v>
      </c>
      <c r="AG467" s="1">
        <f t="shared" si="186"/>
        <v>0</v>
      </c>
      <c r="AH467" s="1">
        <f t="shared" si="187"/>
        <v>0</v>
      </c>
      <c r="AI467" s="1">
        <f t="shared" si="188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1547</v>
      </c>
      <c r="E468" s="32" t="s">
        <v>155</v>
      </c>
      <c r="F468" s="32" t="s">
        <v>1548</v>
      </c>
      <c r="G468" s="32" t="s">
        <v>206</v>
      </c>
      <c r="H468" s="32" t="s">
        <v>352</v>
      </c>
      <c r="I468" s="31" t="s">
        <v>1549</v>
      </c>
      <c r="J468" s="31">
        <v>99</v>
      </c>
      <c r="K468" s="33" t="s">
        <v>708</v>
      </c>
      <c r="L468" s="33" t="s">
        <v>718</v>
      </c>
      <c r="M468" s="34" t="s">
        <v>728</v>
      </c>
      <c r="N468" s="34" t="s">
        <v>1920</v>
      </c>
      <c r="O468" s="35">
        <v>1</v>
      </c>
      <c r="P468" s="35"/>
      <c r="Q468" s="32"/>
      <c r="S468" s="1">
        <f t="shared" ref="S468:S498" si="189">IF(J468=$S$7,1,0)</f>
        <v>0</v>
      </c>
      <c r="T468" s="1">
        <f t="shared" ref="T468:T498" si="190">IF(J468=$T$7,1,0)</f>
        <v>0</v>
      </c>
      <c r="U468" s="1">
        <f t="shared" ref="U468:U498" si="191">IF(J468=$U$7,1,0)</f>
        <v>0</v>
      </c>
      <c r="V468" s="1">
        <f t="shared" ref="V468:V498" si="192">IF(J468=$V$7,1,0)</f>
        <v>0</v>
      </c>
      <c r="W468" s="1">
        <f t="shared" ref="W468:W498" si="193">IF(J468=$W$7,1,0)</f>
        <v>0</v>
      </c>
      <c r="X468" s="1">
        <f t="shared" ref="X468:X498" si="194">IF(J468=$X$7,1,0)</f>
        <v>0</v>
      </c>
      <c r="Y468" s="1">
        <f t="shared" ref="Y468:Y498" si="195">IF(J468=$Y$7,1,0)</f>
        <v>0</v>
      </c>
      <c r="Z468" s="1">
        <f t="shared" ref="Z468:Z498" si="196">IF(J468=$Z$7,1,0)</f>
        <v>0</v>
      </c>
      <c r="AA468" s="1">
        <f t="shared" ref="AA468:AA498" si="197">IF(J468=$AA$7,1,0)</f>
        <v>0</v>
      </c>
      <c r="AB468" s="1">
        <f t="shared" ref="AB468:AB498" si="198">IF(J468=$AB$7,1,0)</f>
        <v>0</v>
      </c>
      <c r="AD468" s="1">
        <f t="shared" ref="AD468:AD498" si="199">+O468*P468</f>
        <v>0</v>
      </c>
      <c r="AE468" s="1">
        <f t="shared" ref="AE468:AE498" si="200">O468*(1-P468)</f>
        <v>1</v>
      </c>
      <c r="AF468" s="1">
        <f t="shared" si="185"/>
        <v>0</v>
      </c>
      <c r="AG468" s="1">
        <f t="shared" si="186"/>
        <v>1</v>
      </c>
      <c r="AH468" s="1">
        <f t="shared" si="187"/>
        <v>0</v>
      </c>
      <c r="AI468" s="1">
        <f t="shared" si="188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73</v>
      </c>
      <c r="E469" s="32" t="s">
        <v>28</v>
      </c>
      <c r="F469" s="32" t="s">
        <v>263</v>
      </c>
      <c r="G469" s="32" t="s">
        <v>193</v>
      </c>
      <c r="H469" s="32" t="s">
        <v>352</v>
      </c>
      <c r="I469" s="31" t="s">
        <v>419</v>
      </c>
      <c r="J469" s="31">
        <v>9</v>
      </c>
      <c r="K469" s="33" t="s">
        <v>708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9"/>
        <v>0</v>
      </c>
      <c r="T469" s="1">
        <f t="shared" si="190"/>
        <v>0</v>
      </c>
      <c r="U469" s="1">
        <f t="shared" si="191"/>
        <v>0</v>
      </c>
      <c r="V469" s="1">
        <f t="shared" si="192"/>
        <v>0</v>
      </c>
      <c r="W469" s="1">
        <f t="shared" si="193"/>
        <v>0</v>
      </c>
      <c r="X469" s="1">
        <f t="shared" si="194"/>
        <v>0</v>
      </c>
      <c r="Y469" s="1">
        <f t="shared" si="195"/>
        <v>0</v>
      </c>
      <c r="Z469" s="1">
        <f t="shared" si="196"/>
        <v>0</v>
      </c>
      <c r="AA469" s="1">
        <f t="shared" si="197"/>
        <v>1</v>
      </c>
      <c r="AB469" s="1">
        <f t="shared" si="198"/>
        <v>0</v>
      </c>
      <c r="AD469" s="1">
        <f t="shared" si="199"/>
        <v>0</v>
      </c>
      <c r="AE469" s="1">
        <f t="shared" si="200"/>
        <v>1</v>
      </c>
      <c r="AF469" s="1">
        <f t="shared" si="185"/>
        <v>0</v>
      </c>
      <c r="AG469" s="1">
        <f t="shared" si="186"/>
        <v>1</v>
      </c>
      <c r="AH469" s="1">
        <f t="shared" si="187"/>
        <v>0</v>
      </c>
      <c r="AI469" s="1">
        <f t="shared" si="188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59</v>
      </c>
      <c r="E470" s="32" t="s">
        <v>162</v>
      </c>
      <c r="F470" s="32" t="s">
        <v>224</v>
      </c>
      <c r="G470" s="32" t="s">
        <v>225</v>
      </c>
      <c r="H470" s="32" t="s">
        <v>352</v>
      </c>
      <c r="I470" s="31" t="s">
        <v>396</v>
      </c>
      <c r="J470" s="31">
        <v>99</v>
      </c>
      <c r="K470" s="33" t="s">
        <v>709</v>
      </c>
      <c r="L470" s="33" t="s">
        <v>718</v>
      </c>
      <c r="M470" s="34" t="s">
        <v>728</v>
      </c>
      <c r="N470" s="34" t="s">
        <v>1724</v>
      </c>
      <c r="O470" s="35">
        <v>1</v>
      </c>
      <c r="P470" s="35"/>
      <c r="Q470" s="32"/>
      <c r="S470" s="1">
        <f t="shared" si="189"/>
        <v>0</v>
      </c>
      <c r="T470" s="1">
        <f t="shared" si="190"/>
        <v>0</v>
      </c>
      <c r="U470" s="1">
        <f t="shared" si="191"/>
        <v>0</v>
      </c>
      <c r="V470" s="1">
        <f t="shared" si="192"/>
        <v>0</v>
      </c>
      <c r="W470" s="1">
        <f t="shared" si="193"/>
        <v>0</v>
      </c>
      <c r="X470" s="1">
        <f t="shared" si="194"/>
        <v>0</v>
      </c>
      <c r="Y470" s="1">
        <f t="shared" si="195"/>
        <v>0</v>
      </c>
      <c r="Z470" s="1">
        <f t="shared" si="196"/>
        <v>0</v>
      </c>
      <c r="AA470" s="1">
        <f t="shared" si="197"/>
        <v>0</v>
      </c>
      <c r="AB470" s="1">
        <f t="shared" si="198"/>
        <v>0</v>
      </c>
      <c r="AD470" s="1">
        <f t="shared" si="199"/>
        <v>0</v>
      </c>
      <c r="AE470" s="1">
        <f t="shared" si="200"/>
        <v>1</v>
      </c>
      <c r="AF470" s="1">
        <f t="shared" si="185"/>
        <v>0</v>
      </c>
      <c r="AG470" s="1">
        <f t="shared" si="186"/>
        <v>1</v>
      </c>
      <c r="AH470" s="1">
        <f t="shared" si="187"/>
        <v>0</v>
      </c>
      <c r="AI470" s="1">
        <f t="shared" si="188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1062</v>
      </c>
      <c r="E471" s="32" t="s">
        <v>155</v>
      </c>
      <c r="F471" s="32" t="s">
        <v>1063</v>
      </c>
      <c r="G471" s="32" t="s">
        <v>219</v>
      </c>
      <c r="H471" s="32" t="s">
        <v>352</v>
      </c>
      <c r="I471" s="31" t="s">
        <v>1064</v>
      </c>
      <c r="J471" s="31">
        <v>8</v>
      </c>
      <c r="K471" s="33" t="s">
        <v>708</v>
      </c>
      <c r="L471" s="33" t="s">
        <v>718</v>
      </c>
      <c r="M471" s="34" t="s">
        <v>728</v>
      </c>
      <c r="N471" s="34" t="s">
        <v>1722</v>
      </c>
      <c r="O471" s="35">
        <v>1</v>
      </c>
      <c r="P471" s="35"/>
      <c r="Q471" s="32"/>
      <c r="S471" s="1">
        <f t="shared" si="189"/>
        <v>0</v>
      </c>
      <c r="T471" s="1">
        <f t="shared" si="190"/>
        <v>0</v>
      </c>
      <c r="U471" s="1">
        <f t="shared" si="191"/>
        <v>0</v>
      </c>
      <c r="V471" s="1">
        <f t="shared" si="192"/>
        <v>0</v>
      </c>
      <c r="W471" s="1">
        <f t="shared" si="193"/>
        <v>0</v>
      </c>
      <c r="X471" s="1">
        <f t="shared" si="194"/>
        <v>0</v>
      </c>
      <c r="Y471" s="1">
        <f t="shared" si="195"/>
        <v>0</v>
      </c>
      <c r="Z471" s="1">
        <f t="shared" si="196"/>
        <v>1</v>
      </c>
      <c r="AA471" s="1">
        <f t="shared" si="197"/>
        <v>0</v>
      </c>
      <c r="AB471" s="1">
        <f t="shared" si="198"/>
        <v>0</v>
      </c>
      <c r="AD471" s="1">
        <f t="shared" si="199"/>
        <v>0</v>
      </c>
      <c r="AE471" s="1">
        <f t="shared" si="200"/>
        <v>1</v>
      </c>
      <c r="AF471" s="1">
        <f t="shared" si="185"/>
        <v>0</v>
      </c>
      <c r="AG471" s="1">
        <f t="shared" si="186"/>
        <v>1</v>
      </c>
      <c r="AH471" s="1">
        <f t="shared" si="187"/>
        <v>0</v>
      </c>
      <c r="AI471" s="1">
        <f t="shared" si="188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81</v>
      </c>
      <c r="E472" s="32" t="s">
        <v>155</v>
      </c>
      <c r="F472" s="32" t="s">
        <v>272</v>
      </c>
      <c r="G472" s="32" t="s">
        <v>253</v>
      </c>
      <c r="H472" s="32" t="s">
        <v>352</v>
      </c>
      <c r="I472" s="31" t="s">
        <v>426</v>
      </c>
      <c r="J472" s="31">
        <v>99</v>
      </c>
      <c r="K472" s="33" t="s">
        <v>709</v>
      </c>
      <c r="L472" s="33" t="s">
        <v>729</v>
      </c>
      <c r="M472" s="34" t="s">
        <v>730</v>
      </c>
      <c r="N472" s="34" t="s">
        <v>1730</v>
      </c>
      <c r="O472" s="35">
        <v>1</v>
      </c>
      <c r="P472" s="35"/>
      <c r="Q472" s="32"/>
      <c r="S472" s="1">
        <f t="shared" si="189"/>
        <v>0</v>
      </c>
      <c r="T472" s="1">
        <f t="shared" si="190"/>
        <v>0</v>
      </c>
      <c r="U472" s="1">
        <f t="shared" si="191"/>
        <v>0</v>
      </c>
      <c r="V472" s="1">
        <f t="shared" si="192"/>
        <v>0</v>
      </c>
      <c r="W472" s="1">
        <f t="shared" si="193"/>
        <v>0</v>
      </c>
      <c r="X472" s="1">
        <f t="shared" si="194"/>
        <v>0</v>
      </c>
      <c r="Y472" s="1">
        <f t="shared" si="195"/>
        <v>0</v>
      </c>
      <c r="Z472" s="1">
        <f t="shared" si="196"/>
        <v>0</v>
      </c>
      <c r="AA472" s="1">
        <f t="shared" si="197"/>
        <v>0</v>
      </c>
      <c r="AB472" s="1">
        <f t="shared" si="198"/>
        <v>0</v>
      </c>
      <c r="AD472" s="1">
        <f t="shared" si="199"/>
        <v>0</v>
      </c>
      <c r="AE472" s="1">
        <f t="shared" si="200"/>
        <v>1</v>
      </c>
      <c r="AF472" s="1">
        <f t="shared" si="185"/>
        <v>0</v>
      </c>
      <c r="AG472" s="1">
        <f t="shared" si="186"/>
        <v>1</v>
      </c>
      <c r="AH472" s="1">
        <f t="shared" si="187"/>
        <v>0</v>
      </c>
      <c r="AI472" s="1">
        <f t="shared" si="188"/>
        <v>1</v>
      </c>
    </row>
    <row r="473" spans="1:35" ht="14.25" customHeight="1" x14ac:dyDescent="0.25">
      <c r="A473" s="37">
        <v>0</v>
      </c>
      <c r="B473" s="37">
        <v>2</v>
      </c>
      <c r="C473" s="37">
        <v>7</v>
      </c>
      <c r="D473" s="36" t="s">
        <v>1749</v>
      </c>
      <c r="E473" s="36" t="s">
        <v>1750</v>
      </c>
      <c r="F473" s="36" t="s">
        <v>1751</v>
      </c>
      <c r="G473" s="36" t="s">
        <v>189</v>
      </c>
      <c r="H473" s="36" t="s">
        <v>352</v>
      </c>
      <c r="I473" s="37"/>
      <c r="J473" s="37"/>
      <c r="K473" s="33" t="s">
        <v>699</v>
      </c>
      <c r="L473" s="33"/>
      <c r="M473" s="34"/>
      <c r="N473" s="34" t="s">
        <v>1701</v>
      </c>
      <c r="O473" s="35">
        <v>1</v>
      </c>
      <c r="P473" s="35">
        <v>1</v>
      </c>
      <c r="Q473" s="36"/>
      <c r="S473" s="1">
        <f t="shared" si="189"/>
        <v>0</v>
      </c>
      <c r="T473" s="1">
        <f t="shared" si="190"/>
        <v>0</v>
      </c>
      <c r="U473" s="1">
        <f t="shared" si="191"/>
        <v>0</v>
      </c>
      <c r="V473" s="1">
        <f t="shared" si="192"/>
        <v>0</v>
      </c>
      <c r="W473" s="1">
        <f t="shared" si="193"/>
        <v>0</v>
      </c>
      <c r="X473" s="1">
        <f t="shared" si="194"/>
        <v>0</v>
      </c>
      <c r="Y473" s="1">
        <f t="shared" si="195"/>
        <v>0</v>
      </c>
      <c r="Z473" s="1">
        <f t="shared" si="196"/>
        <v>0</v>
      </c>
      <c r="AA473" s="1">
        <f t="shared" si="197"/>
        <v>0</v>
      </c>
      <c r="AB473" s="1">
        <f t="shared" si="198"/>
        <v>0</v>
      </c>
      <c r="AD473" s="1">
        <f t="shared" si="199"/>
        <v>1</v>
      </c>
      <c r="AE473" s="1">
        <f t="shared" si="200"/>
        <v>0</v>
      </c>
      <c r="AF473" s="1">
        <f t="shared" si="185"/>
        <v>1</v>
      </c>
      <c r="AG473" s="1">
        <f t="shared" si="186"/>
        <v>0</v>
      </c>
      <c r="AH473" s="1">
        <f t="shared" si="187"/>
        <v>1</v>
      </c>
      <c r="AI473" s="1">
        <f t="shared" si="188"/>
        <v>0</v>
      </c>
    </row>
    <row r="474" spans="1:35" ht="14.25" customHeight="1" x14ac:dyDescent="0.25">
      <c r="A474" s="37">
        <v>0</v>
      </c>
      <c r="B474" s="37">
        <v>2</v>
      </c>
      <c r="C474" s="37">
        <v>7</v>
      </c>
      <c r="D474" s="36" t="s">
        <v>510</v>
      </c>
      <c r="E474" s="36" t="s">
        <v>155</v>
      </c>
      <c r="F474" s="36" t="s">
        <v>570</v>
      </c>
      <c r="G474" s="36" t="s">
        <v>319</v>
      </c>
      <c r="H474" s="36" t="s">
        <v>352</v>
      </c>
      <c r="I474" s="37" t="s">
        <v>577</v>
      </c>
      <c r="J474" s="37">
        <v>99</v>
      </c>
      <c r="K474" s="33" t="s">
        <v>941</v>
      </c>
      <c r="L474" s="33" t="s">
        <v>718</v>
      </c>
      <c r="M474" s="34" t="s">
        <v>728</v>
      </c>
      <c r="N474" s="34" t="s">
        <v>1735</v>
      </c>
      <c r="O474" s="35">
        <v>1</v>
      </c>
      <c r="P474" s="35"/>
      <c r="Q474" s="36"/>
      <c r="S474" s="1">
        <f t="shared" si="189"/>
        <v>0</v>
      </c>
      <c r="T474" s="1">
        <f t="shared" si="190"/>
        <v>0</v>
      </c>
      <c r="U474" s="1">
        <f t="shared" si="191"/>
        <v>0</v>
      </c>
      <c r="V474" s="1">
        <f t="shared" si="192"/>
        <v>0</v>
      </c>
      <c r="W474" s="1">
        <f t="shared" si="193"/>
        <v>0</v>
      </c>
      <c r="X474" s="1">
        <f t="shared" si="194"/>
        <v>0</v>
      </c>
      <c r="Y474" s="1">
        <f t="shared" si="195"/>
        <v>0</v>
      </c>
      <c r="Z474" s="1">
        <f t="shared" si="196"/>
        <v>0</v>
      </c>
      <c r="AA474" s="1">
        <f t="shared" si="197"/>
        <v>0</v>
      </c>
      <c r="AB474" s="1">
        <f t="shared" si="198"/>
        <v>0</v>
      </c>
      <c r="AD474" s="1">
        <f t="shared" si="199"/>
        <v>0</v>
      </c>
      <c r="AE474" s="1">
        <f t="shared" si="200"/>
        <v>1</v>
      </c>
      <c r="AF474" s="1">
        <f t="shared" si="185"/>
        <v>0</v>
      </c>
      <c r="AG474" s="1">
        <f t="shared" si="186"/>
        <v>1</v>
      </c>
      <c r="AH474" s="1">
        <f t="shared" si="187"/>
        <v>0</v>
      </c>
      <c r="AI474" s="1">
        <f t="shared" si="188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74</v>
      </c>
      <c r="E475" s="32" t="s">
        <v>155</v>
      </c>
      <c r="F475" s="32" t="s">
        <v>671</v>
      </c>
      <c r="G475" s="32" t="s">
        <v>264</v>
      </c>
      <c r="H475" s="32" t="s">
        <v>352</v>
      </c>
      <c r="I475" s="31" t="s">
        <v>420</v>
      </c>
      <c r="J475" s="31">
        <v>99</v>
      </c>
      <c r="K475" s="33" t="s">
        <v>708</v>
      </c>
      <c r="L475" s="33" t="s">
        <v>725</v>
      </c>
      <c r="M475" s="34" t="s">
        <v>728</v>
      </c>
      <c r="N475" s="34" t="s">
        <v>1717</v>
      </c>
      <c r="O475" s="35">
        <v>1</v>
      </c>
      <c r="P475" s="35"/>
      <c r="Q475" s="32"/>
      <c r="S475" s="1">
        <f t="shared" si="189"/>
        <v>0</v>
      </c>
      <c r="T475" s="1">
        <f t="shared" si="190"/>
        <v>0</v>
      </c>
      <c r="U475" s="1">
        <f t="shared" si="191"/>
        <v>0</v>
      </c>
      <c r="V475" s="1">
        <f t="shared" si="192"/>
        <v>0</v>
      </c>
      <c r="W475" s="1">
        <f t="shared" si="193"/>
        <v>0</v>
      </c>
      <c r="X475" s="1">
        <f t="shared" si="194"/>
        <v>0</v>
      </c>
      <c r="Y475" s="1">
        <f t="shared" si="195"/>
        <v>0</v>
      </c>
      <c r="Z475" s="1">
        <f t="shared" si="196"/>
        <v>0</v>
      </c>
      <c r="AA475" s="1">
        <f t="shared" si="197"/>
        <v>0</v>
      </c>
      <c r="AB475" s="1">
        <f t="shared" si="198"/>
        <v>0</v>
      </c>
      <c r="AD475" s="1">
        <f t="shared" si="199"/>
        <v>0</v>
      </c>
      <c r="AE475" s="1">
        <f t="shared" si="200"/>
        <v>1</v>
      </c>
      <c r="AF475" s="1">
        <f t="shared" si="185"/>
        <v>0</v>
      </c>
      <c r="AG475" s="1">
        <f t="shared" si="186"/>
        <v>1</v>
      </c>
      <c r="AH475" s="1">
        <f t="shared" si="187"/>
        <v>0</v>
      </c>
      <c r="AI475" s="1">
        <f t="shared" si="188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1976</v>
      </c>
      <c r="E476" s="32" t="s">
        <v>155</v>
      </c>
      <c r="F476" s="32" t="s">
        <v>1977</v>
      </c>
      <c r="G476" s="32" t="s">
        <v>281</v>
      </c>
      <c r="H476" s="32" t="s">
        <v>352</v>
      </c>
      <c r="I476" s="31" t="s">
        <v>1978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1701</v>
      </c>
      <c r="O476" s="35">
        <v>1</v>
      </c>
      <c r="P476" s="35">
        <v>1</v>
      </c>
      <c r="Q476" s="32"/>
      <c r="S476" s="1">
        <f t="shared" si="189"/>
        <v>0</v>
      </c>
      <c r="T476" s="1">
        <f t="shared" si="190"/>
        <v>0</v>
      </c>
      <c r="U476" s="1">
        <f t="shared" si="191"/>
        <v>0</v>
      </c>
      <c r="V476" s="1">
        <f t="shared" si="192"/>
        <v>0</v>
      </c>
      <c r="W476" s="1">
        <f t="shared" si="193"/>
        <v>0</v>
      </c>
      <c r="X476" s="1">
        <f t="shared" si="194"/>
        <v>0</v>
      </c>
      <c r="Y476" s="1">
        <f t="shared" si="195"/>
        <v>0</v>
      </c>
      <c r="Z476" s="1">
        <f t="shared" si="196"/>
        <v>0</v>
      </c>
      <c r="AA476" s="1">
        <f t="shared" si="197"/>
        <v>0</v>
      </c>
      <c r="AB476" s="1">
        <f t="shared" si="198"/>
        <v>0</v>
      </c>
      <c r="AD476" s="1">
        <f t="shared" si="199"/>
        <v>1</v>
      </c>
      <c r="AE476" s="1">
        <f t="shared" si="200"/>
        <v>0</v>
      </c>
      <c r="AF476" s="1">
        <f t="shared" si="185"/>
        <v>1</v>
      </c>
      <c r="AG476" s="1">
        <f t="shared" si="186"/>
        <v>0</v>
      </c>
      <c r="AH476" s="1">
        <f t="shared" si="187"/>
        <v>1</v>
      </c>
      <c r="AI476" s="1">
        <f t="shared" si="188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1976</v>
      </c>
      <c r="E477" s="32" t="s">
        <v>155</v>
      </c>
      <c r="F477" s="32" t="s">
        <v>1979</v>
      </c>
      <c r="G477" s="32" t="s">
        <v>1980</v>
      </c>
      <c r="H477" s="32" t="s">
        <v>352</v>
      </c>
      <c r="I477" s="31" t="s">
        <v>1981</v>
      </c>
      <c r="J477" s="31">
        <v>99</v>
      </c>
      <c r="K477" s="33" t="s">
        <v>699</v>
      </c>
      <c r="L477" s="33" t="s">
        <v>718</v>
      </c>
      <c r="M477" s="34" t="s">
        <v>728</v>
      </c>
      <c r="N477" s="34" t="s">
        <v>1701</v>
      </c>
      <c r="O477" s="35">
        <v>1</v>
      </c>
      <c r="P477" s="35">
        <v>1</v>
      </c>
      <c r="Q477" s="32"/>
      <c r="S477" s="1">
        <f t="shared" si="189"/>
        <v>0</v>
      </c>
      <c r="T477" s="1">
        <f t="shared" si="190"/>
        <v>0</v>
      </c>
      <c r="U477" s="1">
        <f t="shared" si="191"/>
        <v>0</v>
      </c>
      <c r="V477" s="1">
        <f t="shared" si="192"/>
        <v>0</v>
      </c>
      <c r="W477" s="1">
        <f t="shared" si="193"/>
        <v>0</v>
      </c>
      <c r="X477" s="1">
        <f t="shared" si="194"/>
        <v>0</v>
      </c>
      <c r="Y477" s="1">
        <f t="shared" si="195"/>
        <v>0</v>
      </c>
      <c r="Z477" s="1">
        <f t="shared" si="196"/>
        <v>0</v>
      </c>
      <c r="AA477" s="1">
        <f t="shared" si="197"/>
        <v>0</v>
      </c>
      <c r="AB477" s="1">
        <f t="shared" si="198"/>
        <v>0</v>
      </c>
      <c r="AD477" s="1">
        <f t="shared" si="199"/>
        <v>1</v>
      </c>
      <c r="AE477" s="1">
        <f t="shared" si="200"/>
        <v>0</v>
      </c>
      <c r="AF477" s="1">
        <f t="shared" si="185"/>
        <v>0</v>
      </c>
      <c r="AG477" s="1">
        <f t="shared" si="186"/>
        <v>0</v>
      </c>
      <c r="AH477" s="1">
        <f t="shared" si="187"/>
        <v>0</v>
      </c>
      <c r="AI477" s="1">
        <f t="shared" si="188"/>
        <v>0</v>
      </c>
    </row>
    <row r="478" spans="1:35" ht="14.25" customHeight="1" x14ac:dyDescent="0.25">
      <c r="A478" s="15">
        <v>0</v>
      </c>
      <c r="B478" s="15">
        <v>2</v>
      </c>
      <c r="C478" s="15">
        <v>7</v>
      </c>
      <c r="D478" s="20" t="s">
        <v>1832</v>
      </c>
      <c r="E478" s="16" t="s">
        <v>155</v>
      </c>
      <c r="F478" s="20" t="s">
        <v>1833</v>
      </c>
      <c r="G478" s="20" t="s">
        <v>281</v>
      </c>
      <c r="H478" s="20" t="s">
        <v>352</v>
      </c>
      <c r="I478" s="21" t="s">
        <v>1834</v>
      </c>
      <c r="J478" s="15">
        <v>99</v>
      </c>
      <c r="K478" s="10" t="s">
        <v>699</v>
      </c>
      <c r="L478" s="10" t="s">
        <v>718</v>
      </c>
      <c r="M478" s="19" t="s">
        <v>728</v>
      </c>
      <c r="N478" s="19"/>
      <c r="Q478" s="20"/>
      <c r="S478" s="1">
        <f t="shared" si="189"/>
        <v>0</v>
      </c>
      <c r="T478" s="1">
        <f t="shared" si="190"/>
        <v>0</v>
      </c>
      <c r="U478" s="1">
        <f t="shared" si="191"/>
        <v>0</v>
      </c>
      <c r="V478" s="1">
        <f t="shared" si="192"/>
        <v>0</v>
      </c>
      <c r="W478" s="1">
        <f t="shared" si="193"/>
        <v>0</v>
      </c>
      <c r="X478" s="1">
        <f t="shared" si="194"/>
        <v>0</v>
      </c>
      <c r="Y478" s="1">
        <f t="shared" si="195"/>
        <v>0</v>
      </c>
      <c r="Z478" s="1">
        <f t="shared" si="196"/>
        <v>0</v>
      </c>
      <c r="AA478" s="1">
        <f t="shared" si="197"/>
        <v>0</v>
      </c>
      <c r="AB478" s="1">
        <f t="shared" si="198"/>
        <v>0</v>
      </c>
      <c r="AD478" s="1">
        <f t="shared" si="199"/>
        <v>0</v>
      </c>
      <c r="AE478" s="1">
        <f t="shared" si="200"/>
        <v>0</v>
      </c>
      <c r="AF478" s="1">
        <f t="shared" si="185"/>
        <v>0</v>
      </c>
      <c r="AG478" s="1">
        <f t="shared" si="186"/>
        <v>0</v>
      </c>
      <c r="AH478" s="1">
        <f t="shared" si="187"/>
        <v>0</v>
      </c>
      <c r="AI478" s="1">
        <f t="shared" si="188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60</v>
      </c>
      <c r="E479" s="32" t="s">
        <v>162</v>
      </c>
      <c r="F479" s="32" t="s">
        <v>226</v>
      </c>
      <c r="G479" s="32" t="s">
        <v>189</v>
      </c>
      <c r="H479" s="32" t="s">
        <v>352</v>
      </c>
      <c r="I479" s="31" t="s">
        <v>397</v>
      </c>
      <c r="J479" s="31">
        <v>99</v>
      </c>
      <c r="K479" s="33" t="s">
        <v>709</v>
      </c>
      <c r="L479" s="33" t="s">
        <v>718</v>
      </c>
      <c r="M479" s="34" t="s">
        <v>728</v>
      </c>
      <c r="N479" s="34" t="s">
        <v>1722</v>
      </c>
      <c r="O479" s="35">
        <v>1</v>
      </c>
      <c r="P479" s="35"/>
      <c r="Q479" s="32"/>
      <c r="S479" s="1">
        <f t="shared" si="189"/>
        <v>0</v>
      </c>
      <c r="T479" s="1">
        <f t="shared" si="190"/>
        <v>0</v>
      </c>
      <c r="U479" s="1">
        <f t="shared" si="191"/>
        <v>0</v>
      </c>
      <c r="V479" s="1">
        <f t="shared" si="192"/>
        <v>0</v>
      </c>
      <c r="W479" s="1">
        <f t="shared" si="193"/>
        <v>0</v>
      </c>
      <c r="X479" s="1">
        <f t="shared" si="194"/>
        <v>0</v>
      </c>
      <c r="Y479" s="1">
        <f t="shared" si="195"/>
        <v>0</v>
      </c>
      <c r="Z479" s="1">
        <f t="shared" si="196"/>
        <v>0</v>
      </c>
      <c r="AA479" s="1">
        <f t="shared" si="197"/>
        <v>0</v>
      </c>
      <c r="AB479" s="1">
        <f t="shared" si="198"/>
        <v>0</v>
      </c>
      <c r="AD479" s="1">
        <f t="shared" si="199"/>
        <v>0</v>
      </c>
      <c r="AE479" s="1">
        <f t="shared" si="200"/>
        <v>1</v>
      </c>
      <c r="AF479" s="1">
        <f t="shared" si="185"/>
        <v>0</v>
      </c>
      <c r="AG479" s="1">
        <f t="shared" si="186"/>
        <v>1</v>
      </c>
      <c r="AH479" s="1">
        <f t="shared" si="187"/>
        <v>0</v>
      </c>
      <c r="AI479" s="1">
        <f t="shared" si="188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1309</v>
      </c>
      <c r="E480" s="32" t="s">
        <v>155</v>
      </c>
      <c r="F480" s="32" t="s">
        <v>1127</v>
      </c>
      <c r="G480" s="32" t="s">
        <v>191</v>
      </c>
      <c r="H480" s="32" t="s">
        <v>352</v>
      </c>
      <c r="I480" s="31" t="s">
        <v>1346</v>
      </c>
      <c r="J480" s="31">
        <v>99</v>
      </c>
      <c r="K480" s="33" t="s">
        <v>708</v>
      </c>
      <c r="L480" s="33" t="s">
        <v>39</v>
      </c>
      <c r="M480" s="34" t="s">
        <v>39</v>
      </c>
      <c r="N480" s="34" t="s">
        <v>1701</v>
      </c>
      <c r="O480" s="35">
        <v>1</v>
      </c>
      <c r="P480" s="35">
        <v>1</v>
      </c>
      <c r="Q480" s="32"/>
      <c r="S480" s="1">
        <f t="shared" si="189"/>
        <v>0</v>
      </c>
      <c r="T480" s="1">
        <f t="shared" si="190"/>
        <v>0</v>
      </c>
      <c r="U480" s="1">
        <f t="shared" si="191"/>
        <v>0</v>
      </c>
      <c r="V480" s="1">
        <f t="shared" si="192"/>
        <v>0</v>
      </c>
      <c r="W480" s="1">
        <f t="shared" si="193"/>
        <v>0</v>
      </c>
      <c r="X480" s="1">
        <f t="shared" si="194"/>
        <v>0</v>
      </c>
      <c r="Y480" s="1">
        <f t="shared" si="195"/>
        <v>0</v>
      </c>
      <c r="Z480" s="1">
        <f t="shared" si="196"/>
        <v>0</v>
      </c>
      <c r="AA480" s="1">
        <f t="shared" si="197"/>
        <v>0</v>
      </c>
      <c r="AB480" s="1">
        <f t="shared" si="198"/>
        <v>0</v>
      </c>
      <c r="AD480" s="1">
        <f t="shared" si="199"/>
        <v>1</v>
      </c>
      <c r="AE480" s="1">
        <f t="shared" si="200"/>
        <v>0</v>
      </c>
      <c r="AF480" s="1">
        <f t="shared" si="185"/>
        <v>1</v>
      </c>
      <c r="AG480" s="1">
        <f t="shared" si="186"/>
        <v>0</v>
      </c>
      <c r="AH480" s="1">
        <f t="shared" si="187"/>
        <v>1</v>
      </c>
      <c r="AI480" s="1">
        <f t="shared" si="188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585</v>
      </c>
      <c r="E481" s="32" t="s">
        <v>1317</v>
      </c>
      <c r="F481" s="32" t="s">
        <v>672</v>
      </c>
      <c r="G481" s="32" t="s">
        <v>239</v>
      </c>
      <c r="H481" s="32" t="s">
        <v>352</v>
      </c>
      <c r="I481" s="31" t="s">
        <v>403</v>
      </c>
      <c r="J481" s="31">
        <v>1</v>
      </c>
      <c r="K481" s="33" t="s">
        <v>709</v>
      </c>
      <c r="L481" s="33" t="s">
        <v>1685</v>
      </c>
      <c r="M481" s="34" t="s">
        <v>1414</v>
      </c>
      <c r="N481" s="34" t="s">
        <v>1722</v>
      </c>
      <c r="O481" s="35">
        <v>1</v>
      </c>
      <c r="P481" s="35"/>
      <c r="Q481" s="32"/>
      <c r="S481" s="1">
        <f t="shared" si="189"/>
        <v>1</v>
      </c>
      <c r="T481" s="1">
        <f t="shared" si="190"/>
        <v>0</v>
      </c>
      <c r="U481" s="1">
        <f t="shared" si="191"/>
        <v>0</v>
      </c>
      <c r="V481" s="1">
        <f t="shared" si="192"/>
        <v>0</v>
      </c>
      <c r="W481" s="1">
        <f t="shared" si="193"/>
        <v>0</v>
      </c>
      <c r="X481" s="1">
        <f t="shared" si="194"/>
        <v>0</v>
      </c>
      <c r="Y481" s="1">
        <f t="shared" si="195"/>
        <v>0</v>
      </c>
      <c r="Z481" s="1">
        <f t="shared" si="196"/>
        <v>0</v>
      </c>
      <c r="AA481" s="1">
        <f t="shared" si="197"/>
        <v>0</v>
      </c>
      <c r="AB481" s="1">
        <f t="shared" si="198"/>
        <v>0</v>
      </c>
      <c r="AD481" s="1">
        <f t="shared" si="199"/>
        <v>0</v>
      </c>
      <c r="AE481" s="1">
        <f t="shared" si="200"/>
        <v>1</v>
      </c>
      <c r="AF481" s="1">
        <f t="shared" si="185"/>
        <v>0</v>
      </c>
      <c r="AG481" s="1">
        <f t="shared" si="186"/>
        <v>1</v>
      </c>
      <c r="AH481" s="1">
        <f t="shared" si="187"/>
        <v>0</v>
      </c>
      <c r="AI481" s="1">
        <f t="shared" si="188"/>
        <v>1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585</v>
      </c>
      <c r="E482" s="32" t="s">
        <v>1317</v>
      </c>
      <c r="F482" s="32" t="s">
        <v>238</v>
      </c>
      <c r="G482" s="32" t="s">
        <v>177</v>
      </c>
      <c r="H482" s="32" t="s">
        <v>352</v>
      </c>
      <c r="I482" s="31" t="s">
        <v>402</v>
      </c>
      <c r="J482" s="31">
        <v>1</v>
      </c>
      <c r="K482" s="33" t="s">
        <v>709</v>
      </c>
      <c r="L482" s="33" t="s">
        <v>1685</v>
      </c>
      <c r="M482" s="34" t="s">
        <v>1414</v>
      </c>
      <c r="N482" s="34" t="s">
        <v>1722</v>
      </c>
      <c r="O482" s="35">
        <v>1</v>
      </c>
      <c r="P482" s="35"/>
      <c r="Q482" s="36" t="s">
        <v>1885</v>
      </c>
      <c r="S482" s="1">
        <f t="shared" si="189"/>
        <v>1</v>
      </c>
      <c r="T482" s="1">
        <f t="shared" si="190"/>
        <v>0</v>
      </c>
      <c r="U482" s="1">
        <f t="shared" si="191"/>
        <v>0</v>
      </c>
      <c r="V482" s="1">
        <f t="shared" si="192"/>
        <v>0</v>
      </c>
      <c r="W482" s="1">
        <f t="shared" si="193"/>
        <v>0</v>
      </c>
      <c r="X482" s="1">
        <f t="shared" si="194"/>
        <v>0</v>
      </c>
      <c r="Y482" s="1">
        <f t="shared" si="195"/>
        <v>0</v>
      </c>
      <c r="Z482" s="1">
        <f t="shared" si="196"/>
        <v>0</v>
      </c>
      <c r="AA482" s="1">
        <f t="shared" si="197"/>
        <v>0</v>
      </c>
      <c r="AB482" s="1">
        <f t="shared" si="198"/>
        <v>0</v>
      </c>
      <c r="AD482" s="1">
        <f t="shared" si="199"/>
        <v>0</v>
      </c>
      <c r="AE482" s="1">
        <f t="shared" si="200"/>
        <v>1</v>
      </c>
      <c r="AF482" s="1">
        <f t="shared" si="185"/>
        <v>0</v>
      </c>
      <c r="AG482" s="1">
        <f t="shared" si="186"/>
        <v>0</v>
      </c>
      <c r="AH482" s="1">
        <f t="shared" si="187"/>
        <v>0</v>
      </c>
      <c r="AI482" s="1">
        <f t="shared" si="188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1310</v>
      </c>
      <c r="E483" s="32" t="s">
        <v>155</v>
      </c>
      <c r="F483" s="32" t="s">
        <v>1334</v>
      </c>
      <c r="G483" s="32" t="s">
        <v>257</v>
      </c>
      <c r="H483" s="32" t="s">
        <v>352</v>
      </c>
      <c r="I483" s="31" t="s">
        <v>1220</v>
      </c>
      <c r="J483" s="31">
        <v>8</v>
      </c>
      <c r="K483" s="33" t="s">
        <v>942</v>
      </c>
      <c r="L483" s="33" t="s">
        <v>718</v>
      </c>
      <c r="M483" s="34" t="s">
        <v>728</v>
      </c>
      <c r="N483" s="34" t="s">
        <v>1722</v>
      </c>
      <c r="O483" s="35">
        <v>1</v>
      </c>
      <c r="P483" s="35"/>
      <c r="Q483" s="32"/>
      <c r="S483" s="1">
        <f t="shared" si="189"/>
        <v>0</v>
      </c>
      <c r="T483" s="1">
        <f t="shared" si="190"/>
        <v>0</v>
      </c>
      <c r="U483" s="1">
        <f t="shared" si="191"/>
        <v>0</v>
      </c>
      <c r="V483" s="1">
        <f t="shared" si="192"/>
        <v>0</v>
      </c>
      <c r="W483" s="1">
        <f t="shared" si="193"/>
        <v>0</v>
      </c>
      <c r="X483" s="1">
        <f t="shared" si="194"/>
        <v>0</v>
      </c>
      <c r="Y483" s="1">
        <f t="shared" si="195"/>
        <v>0</v>
      </c>
      <c r="Z483" s="1">
        <f t="shared" si="196"/>
        <v>1</v>
      </c>
      <c r="AA483" s="1">
        <f t="shared" si="197"/>
        <v>0</v>
      </c>
      <c r="AB483" s="1">
        <f t="shared" si="198"/>
        <v>0</v>
      </c>
      <c r="AD483" s="1">
        <f t="shared" si="199"/>
        <v>0</v>
      </c>
      <c r="AE483" s="1">
        <f t="shared" si="200"/>
        <v>1</v>
      </c>
      <c r="AF483" s="1">
        <f t="shared" si="185"/>
        <v>0</v>
      </c>
      <c r="AG483" s="1">
        <f t="shared" si="186"/>
        <v>1</v>
      </c>
      <c r="AH483" s="1">
        <f t="shared" si="187"/>
        <v>0</v>
      </c>
      <c r="AI483" s="1">
        <f t="shared" si="188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1310</v>
      </c>
      <c r="E484" s="32" t="s">
        <v>155</v>
      </c>
      <c r="F484" s="32" t="s">
        <v>1199</v>
      </c>
      <c r="G484" s="32" t="s">
        <v>217</v>
      </c>
      <c r="H484" s="32" t="s">
        <v>352</v>
      </c>
      <c r="I484" s="31" t="s">
        <v>1220</v>
      </c>
      <c r="J484" s="31">
        <v>99</v>
      </c>
      <c r="K484" s="33" t="s">
        <v>942</v>
      </c>
      <c r="L484" s="33" t="s">
        <v>718</v>
      </c>
      <c r="M484" s="34" t="s">
        <v>728</v>
      </c>
      <c r="N484" s="34" t="s">
        <v>1722</v>
      </c>
      <c r="O484" s="35">
        <v>1</v>
      </c>
      <c r="P484" s="35"/>
      <c r="Q484" s="32"/>
      <c r="S484" s="1">
        <f t="shared" si="189"/>
        <v>0</v>
      </c>
      <c r="T484" s="1">
        <f t="shared" si="190"/>
        <v>0</v>
      </c>
      <c r="U484" s="1">
        <f t="shared" si="191"/>
        <v>0</v>
      </c>
      <c r="V484" s="1">
        <f t="shared" si="192"/>
        <v>0</v>
      </c>
      <c r="W484" s="1">
        <f t="shared" si="193"/>
        <v>0</v>
      </c>
      <c r="X484" s="1">
        <f t="shared" si="194"/>
        <v>0</v>
      </c>
      <c r="Y484" s="1">
        <f t="shared" si="195"/>
        <v>0</v>
      </c>
      <c r="Z484" s="1">
        <f t="shared" si="196"/>
        <v>0</v>
      </c>
      <c r="AA484" s="1">
        <f t="shared" si="197"/>
        <v>0</v>
      </c>
      <c r="AB484" s="1">
        <f t="shared" si="198"/>
        <v>0</v>
      </c>
      <c r="AD484" s="1">
        <f t="shared" si="199"/>
        <v>0</v>
      </c>
      <c r="AE484" s="1">
        <f t="shared" si="200"/>
        <v>1</v>
      </c>
      <c r="AF484" s="1">
        <f t="shared" si="185"/>
        <v>0</v>
      </c>
      <c r="AG484" s="1">
        <f t="shared" si="186"/>
        <v>0</v>
      </c>
      <c r="AH484" s="1">
        <f t="shared" si="187"/>
        <v>0</v>
      </c>
      <c r="AI484" s="1">
        <f t="shared" si="188"/>
        <v>0</v>
      </c>
    </row>
    <row r="485" spans="1:35" ht="14.25" customHeight="1" x14ac:dyDescent="0.25">
      <c r="A485" s="44">
        <v>0</v>
      </c>
      <c r="B485" s="44">
        <v>2</v>
      </c>
      <c r="C485" s="44">
        <v>7</v>
      </c>
      <c r="D485" s="45" t="s">
        <v>1229</v>
      </c>
      <c r="E485" s="45" t="s">
        <v>155</v>
      </c>
      <c r="F485" s="45" t="s">
        <v>1231</v>
      </c>
      <c r="G485" s="45" t="s">
        <v>219</v>
      </c>
      <c r="H485" s="45" t="s">
        <v>352</v>
      </c>
      <c r="I485" s="44" t="s">
        <v>1347</v>
      </c>
      <c r="J485" s="44">
        <v>8</v>
      </c>
      <c r="K485" s="46" t="s">
        <v>941</v>
      </c>
      <c r="L485" s="46" t="s">
        <v>718</v>
      </c>
      <c r="M485" s="47" t="s">
        <v>728</v>
      </c>
      <c r="N485" s="47" t="s">
        <v>1709</v>
      </c>
      <c r="O485" s="48"/>
      <c r="P485" s="48"/>
      <c r="Q485" s="45"/>
      <c r="S485" s="1">
        <f t="shared" si="189"/>
        <v>0</v>
      </c>
      <c r="T485" s="1">
        <f t="shared" si="190"/>
        <v>0</v>
      </c>
      <c r="U485" s="1">
        <f t="shared" si="191"/>
        <v>0</v>
      </c>
      <c r="V485" s="1">
        <f t="shared" si="192"/>
        <v>0</v>
      </c>
      <c r="W485" s="1">
        <f t="shared" si="193"/>
        <v>0</v>
      </c>
      <c r="X485" s="1">
        <f t="shared" si="194"/>
        <v>0</v>
      </c>
      <c r="Y485" s="1">
        <f t="shared" si="195"/>
        <v>0</v>
      </c>
      <c r="Z485" s="1">
        <f t="shared" si="196"/>
        <v>1</v>
      </c>
      <c r="AA485" s="1">
        <f t="shared" si="197"/>
        <v>0</v>
      </c>
      <c r="AB485" s="1">
        <f t="shared" si="198"/>
        <v>0</v>
      </c>
      <c r="AD485" s="1">
        <f t="shared" si="199"/>
        <v>0</v>
      </c>
      <c r="AE485" s="1">
        <f t="shared" si="200"/>
        <v>0</v>
      </c>
      <c r="AF485" s="1">
        <f t="shared" si="185"/>
        <v>0</v>
      </c>
      <c r="AG485" s="1">
        <f t="shared" si="186"/>
        <v>0</v>
      </c>
      <c r="AH485" s="1">
        <f t="shared" si="187"/>
        <v>0</v>
      </c>
      <c r="AI485" s="1">
        <f t="shared" si="188"/>
        <v>1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1229</v>
      </c>
      <c r="E486" s="45" t="s">
        <v>155</v>
      </c>
      <c r="F486" s="45" t="s">
        <v>1335</v>
      </c>
      <c r="G486" s="45" t="s">
        <v>39</v>
      </c>
      <c r="H486" s="45" t="s">
        <v>353</v>
      </c>
      <c r="I486" s="44" t="s">
        <v>1230</v>
      </c>
      <c r="J486" s="44">
        <v>99</v>
      </c>
      <c r="K486" s="46" t="s">
        <v>941</v>
      </c>
      <c r="L486" s="46" t="s">
        <v>718</v>
      </c>
      <c r="M486" s="47" t="s">
        <v>728</v>
      </c>
      <c r="N486" s="47" t="s">
        <v>1709</v>
      </c>
      <c r="O486" s="48"/>
      <c r="P486" s="48"/>
      <c r="Q486" s="64" t="s">
        <v>1878</v>
      </c>
      <c r="S486" s="1">
        <f t="shared" si="189"/>
        <v>0</v>
      </c>
      <c r="T486" s="1">
        <f t="shared" si="190"/>
        <v>0</v>
      </c>
      <c r="U486" s="1">
        <f t="shared" si="191"/>
        <v>0</v>
      </c>
      <c r="V486" s="1">
        <f t="shared" si="192"/>
        <v>0</v>
      </c>
      <c r="W486" s="1">
        <f t="shared" si="193"/>
        <v>0</v>
      </c>
      <c r="X486" s="1">
        <f t="shared" si="194"/>
        <v>0</v>
      </c>
      <c r="Y486" s="1">
        <f t="shared" si="195"/>
        <v>0</v>
      </c>
      <c r="Z486" s="1">
        <f t="shared" si="196"/>
        <v>0</v>
      </c>
      <c r="AA486" s="1">
        <f t="shared" si="197"/>
        <v>0</v>
      </c>
      <c r="AB486" s="1">
        <f t="shared" si="198"/>
        <v>0</v>
      </c>
      <c r="AD486" s="1">
        <f t="shared" si="199"/>
        <v>0</v>
      </c>
      <c r="AE486" s="1">
        <f t="shared" si="200"/>
        <v>0</v>
      </c>
      <c r="AF486" s="1">
        <f t="shared" si="185"/>
        <v>0</v>
      </c>
      <c r="AG486" s="1">
        <f t="shared" si="186"/>
        <v>0</v>
      </c>
      <c r="AH486" s="1">
        <f t="shared" si="187"/>
        <v>0</v>
      </c>
      <c r="AI486" s="1">
        <f t="shared" si="188"/>
        <v>0</v>
      </c>
    </row>
    <row r="487" spans="1:35" ht="14.25" customHeight="1" x14ac:dyDescent="0.25">
      <c r="A487" s="44">
        <v>1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1498</v>
      </c>
      <c r="G487" s="45" t="s">
        <v>234</v>
      </c>
      <c r="H487" s="45" t="s">
        <v>352</v>
      </c>
      <c r="I487" s="44" t="s">
        <v>1665</v>
      </c>
      <c r="J487" s="44">
        <v>99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189"/>
        <v>0</v>
      </c>
      <c r="T487" s="1">
        <f t="shared" si="190"/>
        <v>0</v>
      </c>
      <c r="U487" s="1">
        <f t="shared" si="191"/>
        <v>0</v>
      </c>
      <c r="V487" s="1">
        <f t="shared" si="192"/>
        <v>0</v>
      </c>
      <c r="W487" s="1">
        <f t="shared" si="193"/>
        <v>0</v>
      </c>
      <c r="X487" s="1">
        <f t="shared" si="194"/>
        <v>0</v>
      </c>
      <c r="Y487" s="1">
        <f t="shared" si="195"/>
        <v>0</v>
      </c>
      <c r="Z487" s="1">
        <f t="shared" si="196"/>
        <v>0</v>
      </c>
      <c r="AA487" s="1">
        <f t="shared" si="197"/>
        <v>0</v>
      </c>
      <c r="AB487" s="1">
        <f t="shared" si="198"/>
        <v>0</v>
      </c>
      <c r="AD487" s="1">
        <f t="shared" si="199"/>
        <v>0</v>
      </c>
      <c r="AE487" s="1">
        <f t="shared" si="200"/>
        <v>0</v>
      </c>
      <c r="AF487" s="1">
        <f t="shared" si="185"/>
        <v>0</v>
      </c>
      <c r="AG487" s="1">
        <f t="shared" si="186"/>
        <v>0</v>
      </c>
      <c r="AH487" s="1">
        <f t="shared" si="187"/>
        <v>0</v>
      </c>
      <c r="AI487" s="1">
        <f t="shared" si="188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1824</v>
      </c>
      <c r="E488" s="32" t="s">
        <v>1825</v>
      </c>
      <c r="F488" s="32" t="s">
        <v>1826</v>
      </c>
      <c r="G488" s="32" t="s">
        <v>264</v>
      </c>
      <c r="H488" s="32" t="s">
        <v>352</v>
      </c>
      <c r="I488" s="31" t="s">
        <v>1827</v>
      </c>
      <c r="J488" s="31">
        <v>99</v>
      </c>
      <c r="K488" s="33" t="s">
        <v>699</v>
      </c>
      <c r="L488" s="33"/>
      <c r="M488" s="34"/>
      <c r="N488" s="34" t="s">
        <v>1701</v>
      </c>
      <c r="O488" s="35">
        <v>1</v>
      </c>
      <c r="P488" s="35">
        <v>1</v>
      </c>
      <c r="Q488" s="32"/>
      <c r="S488" s="1">
        <f t="shared" si="189"/>
        <v>0</v>
      </c>
      <c r="T488" s="1">
        <f t="shared" si="190"/>
        <v>0</v>
      </c>
      <c r="U488" s="1">
        <f t="shared" si="191"/>
        <v>0</v>
      </c>
      <c r="V488" s="1">
        <f t="shared" si="192"/>
        <v>0</v>
      </c>
      <c r="W488" s="1">
        <f t="shared" si="193"/>
        <v>0</v>
      </c>
      <c r="X488" s="1">
        <f t="shared" si="194"/>
        <v>0</v>
      </c>
      <c r="Y488" s="1">
        <f t="shared" si="195"/>
        <v>0</v>
      </c>
      <c r="Z488" s="1">
        <f t="shared" si="196"/>
        <v>0</v>
      </c>
      <c r="AA488" s="1">
        <f t="shared" si="197"/>
        <v>0</v>
      </c>
      <c r="AB488" s="1">
        <f t="shared" si="198"/>
        <v>0</v>
      </c>
      <c r="AD488" s="1">
        <f t="shared" si="199"/>
        <v>1</v>
      </c>
      <c r="AE488" s="1">
        <f t="shared" si="200"/>
        <v>0</v>
      </c>
      <c r="AF488" s="1">
        <f t="shared" si="185"/>
        <v>1</v>
      </c>
      <c r="AG488" s="1">
        <f t="shared" si="186"/>
        <v>0</v>
      </c>
      <c r="AH488" s="1">
        <f t="shared" si="187"/>
        <v>1</v>
      </c>
      <c r="AI488" s="1">
        <f t="shared" si="188"/>
        <v>0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1224</v>
      </c>
      <c r="E489" s="45" t="s">
        <v>28</v>
      </c>
      <c r="F489" s="45" t="s">
        <v>1217</v>
      </c>
      <c r="G489" s="45" t="s">
        <v>1218</v>
      </c>
      <c r="H489" s="45" t="s">
        <v>352</v>
      </c>
      <c r="I489" s="44" t="s">
        <v>1219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1709</v>
      </c>
      <c r="O489" s="48"/>
      <c r="P489" s="48"/>
      <c r="Q489" s="45"/>
      <c r="S489" s="1">
        <f t="shared" si="189"/>
        <v>0</v>
      </c>
      <c r="T489" s="1">
        <f t="shared" si="190"/>
        <v>0</v>
      </c>
      <c r="U489" s="1">
        <f t="shared" si="191"/>
        <v>0</v>
      </c>
      <c r="V489" s="1">
        <f t="shared" si="192"/>
        <v>0</v>
      </c>
      <c r="W489" s="1">
        <f t="shared" si="193"/>
        <v>0</v>
      </c>
      <c r="X489" s="1">
        <f t="shared" si="194"/>
        <v>0</v>
      </c>
      <c r="Y489" s="1">
        <f t="shared" si="195"/>
        <v>0</v>
      </c>
      <c r="Z489" s="1">
        <f t="shared" si="196"/>
        <v>0</v>
      </c>
      <c r="AA489" s="1">
        <f t="shared" si="197"/>
        <v>0</v>
      </c>
      <c r="AB489" s="1">
        <f t="shared" si="198"/>
        <v>0</v>
      </c>
      <c r="AD489" s="1">
        <f t="shared" si="199"/>
        <v>0</v>
      </c>
      <c r="AE489" s="1">
        <f t="shared" si="200"/>
        <v>0</v>
      </c>
      <c r="AF489" s="1">
        <f t="shared" si="185"/>
        <v>0</v>
      </c>
      <c r="AG489" s="1">
        <f t="shared" si="186"/>
        <v>0</v>
      </c>
      <c r="AH489" s="1">
        <f t="shared" si="187"/>
        <v>0</v>
      </c>
      <c r="AI489" s="1">
        <f t="shared" si="188"/>
        <v>1</v>
      </c>
    </row>
    <row r="490" spans="1:35" ht="14.25" customHeight="1" x14ac:dyDescent="0.25">
      <c r="A490" s="44">
        <v>1</v>
      </c>
      <c r="B490" s="44">
        <v>2</v>
      </c>
      <c r="C490" s="44">
        <v>7</v>
      </c>
      <c r="D490" s="45" t="s">
        <v>1221</v>
      </c>
      <c r="E490" s="45" t="s">
        <v>28</v>
      </c>
      <c r="F490" s="45" t="s">
        <v>1222</v>
      </c>
      <c r="G490" s="45" t="s">
        <v>519</v>
      </c>
      <c r="H490" s="45" t="s">
        <v>352</v>
      </c>
      <c r="I490" s="44" t="s">
        <v>1223</v>
      </c>
      <c r="J490" s="44">
        <v>99</v>
      </c>
      <c r="K490" s="46" t="s">
        <v>708</v>
      </c>
      <c r="L490" s="46" t="s">
        <v>709</v>
      </c>
      <c r="M490" s="47" t="s">
        <v>727</v>
      </c>
      <c r="N490" s="47" t="s">
        <v>1709</v>
      </c>
      <c r="O490" s="48"/>
      <c r="P490" s="48"/>
      <c r="Q490" s="45"/>
      <c r="S490" s="1">
        <f t="shared" si="189"/>
        <v>0</v>
      </c>
      <c r="T490" s="1">
        <f t="shared" si="190"/>
        <v>0</v>
      </c>
      <c r="U490" s="1">
        <f t="shared" si="191"/>
        <v>0</v>
      </c>
      <c r="V490" s="1">
        <f t="shared" si="192"/>
        <v>0</v>
      </c>
      <c r="W490" s="1">
        <f t="shared" si="193"/>
        <v>0</v>
      </c>
      <c r="X490" s="1">
        <f t="shared" si="194"/>
        <v>0</v>
      </c>
      <c r="Y490" s="1">
        <f t="shared" si="195"/>
        <v>0</v>
      </c>
      <c r="Z490" s="1">
        <f t="shared" si="196"/>
        <v>0</v>
      </c>
      <c r="AA490" s="1">
        <f t="shared" si="197"/>
        <v>0</v>
      </c>
      <c r="AB490" s="1">
        <f t="shared" si="198"/>
        <v>0</v>
      </c>
      <c r="AD490" s="1">
        <f t="shared" si="199"/>
        <v>0</v>
      </c>
      <c r="AE490" s="1">
        <f t="shared" si="200"/>
        <v>0</v>
      </c>
      <c r="AF490" s="1">
        <f t="shared" si="185"/>
        <v>0</v>
      </c>
      <c r="AG490" s="1">
        <f t="shared" si="186"/>
        <v>0</v>
      </c>
      <c r="AH490" s="1">
        <f t="shared" si="187"/>
        <v>0</v>
      </c>
      <c r="AI490" s="1">
        <f t="shared" si="188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1820</v>
      </c>
      <c r="E491" s="32" t="s">
        <v>1152</v>
      </c>
      <c r="F491" s="32" t="s">
        <v>1821</v>
      </c>
      <c r="G491" s="32"/>
      <c r="H491" s="32" t="s">
        <v>352</v>
      </c>
      <c r="I491" s="31" t="s">
        <v>1822</v>
      </c>
      <c r="J491" s="31">
        <v>6</v>
      </c>
      <c r="K491" s="33" t="s">
        <v>699</v>
      </c>
      <c r="L491" s="33"/>
      <c r="M491" s="34"/>
      <c r="N491" s="34" t="s">
        <v>1722</v>
      </c>
      <c r="O491" s="35">
        <v>1</v>
      </c>
      <c r="P491" s="35"/>
      <c r="Q491" s="32"/>
      <c r="S491" s="1">
        <f t="shared" si="189"/>
        <v>0</v>
      </c>
      <c r="T491" s="1">
        <f t="shared" si="190"/>
        <v>0</v>
      </c>
      <c r="U491" s="1">
        <f t="shared" si="191"/>
        <v>0</v>
      </c>
      <c r="V491" s="1">
        <f t="shared" si="192"/>
        <v>0</v>
      </c>
      <c r="W491" s="1">
        <f t="shared" si="193"/>
        <v>0</v>
      </c>
      <c r="X491" s="1">
        <f t="shared" si="194"/>
        <v>1</v>
      </c>
      <c r="Y491" s="1">
        <f t="shared" si="195"/>
        <v>0</v>
      </c>
      <c r="Z491" s="1">
        <f t="shared" si="196"/>
        <v>0</v>
      </c>
      <c r="AA491" s="1">
        <f t="shared" si="197"/>
        <v>0</v>
      </c>
      <c r="AB491" s="1">
        <f t="shared" si="198"/>
        <v>0</v>
      </c>
      <c r="AD491" s="1">
        <f t="shared" si="199"/>
        <v>0</v>
      </c>
      <c r="AE491" s="1">
        <f t="shared" si="200"/>
        <v>1</v>
      </c>
      <c r="AF491" s="1">
        <f t="shared" si="185"/>
        <v>0</v>
      </c>
      <c r="AG491" s="1">
        <f t="shared" si="186"/>
        <v>1</v>
      </c>
      <c r="AH491" s="1">
        <f t="shared" si="187"/>
        <v>0</v>
      </c>
      <c r="AI491" s="1">
        <f t="shared" si="188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1433</v>
      </c>
      <c r="E492" s="32" t="s">
        <v>28</v>
      </c>
      <c r="F492" s="32" t="s">
        <v>1434</v>
      </c>
      <c r="G492" s="32" t="s">
        <v>1435</v>
      </c>
      <c r="H492" s="32" t="s">
        <v>352</v>
      </c>
      <c r="I492" s="31" t="s">
        <v>1436</v>
      </c>
      <c r="J492" s="31">
        <v>99</v>
      </c>
      <c r="K492" s="33" t="s">
        <v>708</v>
      </c>
      <c r="L492" s="33" t="s">
        <v>709</v>
      </c>
      <c r="M492" s="34" t="s">
        <v>727</v>
      </c>
      <c r="N492" s="34" t="s">
        <v>1717</v>
      </c>
      <c r="O492" s="35">
        <v>1</v>
      </c>
      <c r="P492" s="35"/>
      <c r="Q492" s="32" t="s">
        <v>1905</v>
      </c>
      <c r="S492" s="1">
        <f t="shared" si="189"/>
        <v>0</v>
      </c>
      <c r="T492" s="1">
        <f t="shared" si="190"/>
        <v>0</v>
      </c>
      <c r="U492" s="1">
        <f t="shared" si="191"/>
        <v>0</v>
      </c>
      <c r="V492" s="1">
        <f t="shared" si="192"/>
        <v>0</v>
      </c>
      <c r="W492" s="1">
        <f t="shared" si="193"/>
        <v>0</v>
      </c>
      <c r="X492" s="1">
        <f t="shared" si="194"/>
        <v>0</v>
      </c>
      <c r="Y492" s="1">
        <f t="shared" si="195"/>
        <v>0</v>
      </c>
      <c r="Z492" s="1">
        <f t="shared" si="196"/>
        <v>0</v>
      </c>
      <c r="AA492" s="1">
        <f t="shared" si="197"/>
        <v>0</v>
      </c>
      <c r="AB492" s="1">
        <f t="shared" si="198"/>
        <v>0</v>
      </c>
      <c r="AD492" s="1">
        <f t="shared" si="199"/>
        <v>0</v>
      </c>
      <c r="AE492" s="1">
        <f t="shared" si="200"/>
        <v>1</v>
      </c>
      <c r="AF492" s="1">
        <f t="shared" si="185"/>
        <v>0</v>
      </c>
      <c r="AG492" s="1">
        <f t="shared" si="186"/>
        <v>1</v>
      </c>
      <c r="AH492" s="1">
        <f t="shared" si="187"/>
        <v>0</v>
      </c>
      <c r="AI492" s="1">
        <f t="shared" si="188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571</v>
      </c>
      <c r="G493" s="32" t="s">
        <v>234</v>
      </c>
      <c r="H493" s="32" t="s">
        <v>352</v>
      </c>
      <c r="I493" s="31" t="s">
        <v>578</v>
      </c>
      <c r="J493" s="31">
        <v>99</v>
      </c>
      <c r="K493" s="33" t="s">
        <v>708</v>
      </c>
      <c r="L493" s="33" t="s">
        <v>725</v>
      </c>
      <c r="M493" s="34" t="s">
        <v>1415</v>
      </c>
      <c r="N493" s="34" t="s">
        <v>1722</v>
      </c>
      <c r="O493" s="35">
        <v>1</v>
      </c>
      <c r="P493" s="35"/>
      <c r="Q493" s="32"/>
      <c r="S493" s="1">
        <f t="shared" si="189"/>
        <v>0</v>
      </c>
      <c r="T493" s="1">
        <f t="shared" si="190"/>
        <v>0</v>
      </c>
      <c r="U493" s="1">
        <f t="shared" si="191"/>
        <v>0</v>
      </c>
      <c r="V493" s="1">
        <f t="shared" si="192"/>
        <v>0</v>
      </c>
      <c r="W493" s="1">
        <f t="shared" si="193"/>
        <v>0</v>
      </c>
      <c r="X493" s="1">
        <f t="shared" si="194"/>
        <v>0</v>
      </c>
      <c r="Y493" s="1">
        <f t="shared" si="195"/>
        <v>0</v>
      </c>
      <c r="Z493" s="1">
        <f t="shared" si="196"/>
        <v>0</v>
      </c>
      <c r="AA493" s="1">
        <f t="shared" si="197"/>
        <v>0</v>
      </c>
      <c r="AB493" s="1">
        <f t="shared" si="198"/>
        <v>0</v>
      </c>
      <c r="AD493" s="1">
        <f t="shared" si="199"/>
        <v>0</v>
      </c>
      <c r="AE493" s="1">
        <f t="shared" si="200"/>
        <v>1</v>
      </c>
      <c r="AF493" s="1">
        <f t="shared" si="185"/>
        <v>0</v>
      </c>
      <c r="AG493" s="1">
        <f t="shared" si="186"/>
        <v>1</v>
      </c>
      <c r="AH493" s="1">
        <f t="shared" si="187"/>
        <v>0</v>
      </c>
      <c r="AI493" s="1">
        <f t="shared" si="188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270</v>
      </c>
      <c r="G494" s="32" t="s">
        <v>179</v>
      </c>
      <c r="H494" s="32" t="s">
        <v>352</v>
      </c>
      <c r="I494" s="31" t="s">
        <v>424</v>
      </c>
      <c r="J494" s="31">
        <v>10</v>
      </c>
      <c r="K494" s="33" t="s">
        <v>708</v>
      </c>
      <c r="L494" s="33" t="s">
        <v>725</v>
      </c>
      <c r="M494" s="34" t="s">
        <v>1415</v>
      </c>
      <c r="N494" s="34" t="s">
        <v>1722</v>
      </c>
      <c r="O494" s="35">
        <v>1</v>
      </c>
      <c r="P494" s="35"/>
      <c r="Q494" s="32"/>
      <c r="S494" s="1">
        <f t="shared" si="189"/>
        <v>0</v>
      </c>
      <c r="T494" s="1">
        <f t="shared" si="190"/>
        <v>0</v>
      </c>
      <c r="U494" s="1">
        <f t="shared" si="191"/>
        <v>0</v>
      </c>
      <c r="V494" s="1">
        <f t="shared" si="192"/>
        <v>0</v>
      </c>
      <c r="W494" s="1">
        <f t="shared" si="193"/>
        <v>0</v>
      </c>
      <c r="X494" s="1">
        <f t="shared" si="194"/>
        <v>0</v>
      </c>
      <c r="Y494" s="1">
        <f t="shared" si="195"/>
        <v>0</v>
      </c>
      <c r="Z494" s="1">
        <f t="shared" si="196"/>
        <v>0</v>
      </c>
      <c r="AA494" s="1">
        <f t="shared" si="197"/>
        <v>0</v>
      </c>
      <c r="AB494" s="1">
        <f t="shared" si="198"/>
        <v>1</v>
      </c>
      <c r="AD494" s="1">
        <f t="shared" si="199"/>
        <v>0</v>
      </c>
      <c r="AE494" s="1">
        <f t="shared" si="200"/>
        <v>1</v>
      </c>
      <c r="AF494" s="1">
        <f t="shared" si="185"/>
        <v>0</v>
      </c>
      <c r="AG494" s="1">
        <f t="shared" si="186"/>
        <v>0</v>
      </c>
      <c r="AH494" s="1">
        <f t="shared" si="187"/>
        <v>0</v>
      </c>
      <c r="AI494" s="1">
        <f t="shared" si="188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271</v>
      </c>
      <c r="G495" s="32" t="s">
        <v>39</v>
      </c>
      <c r="H495" s="32" t="s">
        <v>352</v>
      </c>
      <c r="I495" s="31" t="s">
        <v>425</v>
      </c>
      <c r="J495" s="31">
        <v>5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189"/>
        <v>0</v>
      </c>
      <c r="T495" s="1">
        <f t="shared" si="190"/>
        <v>0</v>
      </c>
      <c r="U495" s="1">
        <f t="shared" si="191"/>
        <v>0</v>
      </c>
      <c r="V495" s="1">
        <f t="shared" si="192"/>
        <v>0</v>
      </c>
      <c r="W495" s="1">
        <f t="shared" si="193"/>
        <v>1</v>
      </c>
      <c r="X495" s="1">
        <f t="shared" si="194"/>
        <v>0</v>
      </c>
      <c r="Y495" s="1">
        <f t="shared" si="195"/>
        <v>0</v>
      </c>
      <c r="Z495" s="1">
        <f t="shared" si="196"/>
        <v>0</v>
      </c>
      <c r="AA495" s="1">
        <f t="shared" si="197"/>
        <v>0</v>
      </c>
      <c r="AB495" s="1">
        <f t="shared" si="198"/>
        <v>0</v>
      </c>
      <c r="AD495" s="1">
        <f t="shared" si="199"/>
        <v>0</v>
      </c>
      <c r="AE495" s="1">
        <f t="shared" si="200"/>
        <v>1</v>
      </c>
      <c r="AF495" s="1">
        <f t="shared" si="185"/>
        <v>0</v>
      </c>
      <c r="AG495" s="1">
        <f t="shared" si="186"/>
        <v>0</v>
      </c>
      <c r="AH495" s="1">
        <f t="shared" si="187"/>
        <v>0</v>
      </c>
      <c r="AI495" s="1">
        <f t="shared" si="188"/>
        <v>0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275</v>
      </c>
      <c r="G496" s="32" t="s">
        <v>193</v>
      </c>
      <c r="H496" s="32" t="s">
        <v>352</v>
      </c>
      <c r="I496" s="31" t="s">
        <v>429</v>
      </c>
      <c r="J496" s="31">
        <v>9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189"/>
        <v>0</v>
      </c>
      <c r="T496" s="1">
        <f t="shared" si="190"/>
        <v>0</v>
      </c>
      <c r="U496" s="1">
        <f t="shared" si="191"/>
        <v>0</v>
      </c>
      <c r="V496" s="1">
        <f t="shared" si="192"/>
        <v>0</v>
      </c>
      <c r="W496" s="1">
        <f t="shared" si="193"/>
        <v>0</v>
      </c>
      <c r="X496" s="1">
        <f t="shared" si="194"/>
        <v>0</v>
      </c>
      <c r="Y496" s="1">
        <f t="shared" si="195"/>
        <v>0</v>
      </c>
      <c r="Z496" s="1">
        <f t="shared" si="196"/>
        <v>0</v>
      </c>
      <c r="AA496" s="1">
        <f t="shared" si="197"/>
        <v>1</v>
      </c>
      <c r="AB496" s="1">
        <f t="shared" si="198"/>
        <v>0</v>
      </c>
      <c r="AD496" s="1">
        <f t="shared" si="199"/>
        <v>0</v>
      </c>
      <c r="AE496" s="1">
        <f t="shared" si="200"/>
        <v>1</v>
      </c>
      <c r="AF496" s="1">
        <f t="shared" si="185"/>
        <v>0</v>
      </c>
      <c r="AG496" s="1">
        <f t="shared" si="186"/>
        <v>0</v>
      </c>
      <c r="AH496" s="1">
        <f t="shared" si="187"/>
        <v>0</v>
      </c>
      <c r="AI496" s="1">
        <f t="shared" si="188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1535</v>
      </c>
      <c r="E497" s="32" t="s">
        <v>28</v>
      </c>
      <c r="F497" s="32" t="s">
        <v>1536</v>
      </c>
      <c r="G497" s="32" t="s">
        <v>237</v>
      </c>
      <c r="H497" s="32" t="s">
        <v>352</v>
      </c>
      <c r="I497" s="31" t="s">
        <v>1669</v>
      </c>
      <c r="J497" s="31">
        <v>4</v>
      </c>
      <c r="K497" s="33" t="s">
        <v>709</v>
      </c>
      <c r="L497" s="33" t="s">
        <v>709</v>
      </c>
      <c r="M497" s="34" t="s">
        <v>727</v>
      </c>
      <c r="N497" s="34" t="s">
        <v>1717</v>
      </c>
      <c r="O497" s="35">
        <v>1</v>
      </c>
      <c r="P497" s="35"/>
      <c r="Q497" s="32"/>
      <c r="S497" s="1">
        <f t="shared" si="189"/>
        <v>0</v>
      </c>
      <c r="T497" s="1">
        <f t="shared" si="190"/>
        <v>0</v>
      </c>
      <c r="U497" s="1">
        <f t="shared" si="191"/>
        <v>0</v>
      </c>
      <c r="V497" s="1">
        <f t="shared" si="192"/>
        <v>1</v>
      </c>
      <c r="W497" s="1">
        <f t="shared" si="193"/>
        <v>0</v>
      </c>
      <c r="X497" s="1">
        <f t="shared" si="194"/>
        <v>0</v>
      </c>
      <c r="Y497" s="1">
        <f t="shared" si="195"/>
        <v>0</v>
      </c>
      <c r="Z497" s="1">
        <f t="shared" si="196"/>
        <v>0</v>
      </c>
      <c r="AA497" s="1">
        <f t="shared" si="197"/>
        <v>0</v>
      </c>
      <c r="AB497" s="1">
        <f t="shared" si="198"/>
        <v>0</v>
      </c>
      <c r="AD497" s="1">
        <f t="shared" si="199"/>
        <v>0</v>
      </c>
      <c r="AE497" s="1">
        <f t="shared" si="200"/>
        <v>1</v>
      </c>
      <c r="AF497" s="1">
        <f t="shared" si="185"/>
        <v>0</v>
      </c>
      <c r="AG497" s="1">
        <f t="shared" si="186"/>
        <v>1</v>
      </c>
      <c r="AH497" s="1">
        <f t="shared" si="187"/>
        <v>0</v>
      </c>
      <c r="AI497" s="1">
        <f t="shared" si="188"/>
        <v>1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63</v>
      </c>
      <c r="E498" s="32" t="s">
        <v>44</v>
      </c>
      <c r="F498" s="32" t="s">
        <v>235</v>
      </c>
      <c r="G498" s="32" t="s">
        <v>199</v>
      </c>
      <c r="H498" s="32" t="s">
        <v>352</v>
      </c>
      <c r="I498" s="31" t="s">
        <v>400</v>
      </c>
      <c r="J498" s="31">
        <v>2</v>
      </c>
      <c r="K498" s="33" t="s">
        <v>709</v>
      </c>
      <c r="L498" s="33" t="s">
        <v>718</v>
      </c>
      <c r="M498" s="34" t="s">
        <v>731</v>
      </c>
      <c r="N498" s="34" t="s">
        <v>1717</v>
      </c>
      <c r="O498" s="35">
        <v>1</v>
      </c>
      <c r="P498" s="35"/>
      <c r="Q498" s="32"/>
      <c r="S498" s="1">
        <f t="shared" si="189"/>
        <v>0</v>
      </c>
      <c r="T498" s="1">
        <f t="shared" si="190"/>
        <v>1</v>
      </c>
      <c r="U498" s="1">
        <f t="shared" si="191"/>
        <v>0</v>
      </c>
      <c r="V498" s="1">
        <f t="shared" si="192"/>
        <v>0</v>
      </c>
      <c r="W498" s="1">
        <f t="shared" si="193"/>
        <v>0</v>
      </c>
      <c r="X498" s="1">
        <f t="shared" si="194"/>
        <v>0</v>
      </c>
      <c r="Y498" s="1">
        <f t="shared" si="195"/>
        <v>0</v>
      </c>
      <c r="Z498" s="1">
        <f t="shared" si="196"/>
        <v>0</v>
      </c>
      <c r="AA498" s="1">
        <f t="shared" si="197"/>
        <v>0</v>
      </c>
      <c r="AB498" s="1">
        <f t="shared" si="198"/>
        <v>0</v>
      </c>
      <c r="AD498" s="1">
        <f t="shared" si="199"/>
        <v>0</v>
      </c>
      <c r="AE498" s="1">
        <f t="shared" si="200"/>
        <v>1</v>
      </c>
      <c r="AF498" s="1">
        <f t="shared" si="185"/>
        <v>0</v>
      </c>
      <c r="AG498" s="1">
        <f t="shared" si="186"/>
        <v>1</v>
      </c>
      <c r="AH498" s="1">
        <f t="shared" si="187"/>
        <v>0</v>
      </c>
      <c r="AI498" s="1">
        <f t="shared" si="188"/>
        <v>1</v>
      </c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</sheetData>
  <autoFilter ref="A7:Q498" xr:uid="{AEE30112-88BB-441D-AEFC-A7A733AB1798}">
    <sortState xmlns:xlrd2="http://schemas.microsoft.com/office/spreadsheetml/2017/richdata2" ref="A8:Q498">
      <sortCondition ref="B8:B498"/>
      <sortCondition ref="C8:C498"/>
      <sortCondition ref="D8:D498"/>
      <sortCondition ref="A8:A498"/>
    </sortState>
  </autoFilter>
  <sortState xmlns:xlrd2="http://schemas.microsoft.com/office/spreadsheetml/2017/richdata2" ref="A8:Q498">
    <sortCondition ref="B8:B498"/>
    <sortCondition ref="C8:C498"/>
    <sortCondition ref="D8:D498"/>
    <sortCondition ref="A8:A49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2026-08-28T09:35:14Z</dcterms:modified>
</cp:coreProperties>
</file>