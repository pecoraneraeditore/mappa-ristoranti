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68D2125-ABE0-4C3D-BB56-44F932F4F8FE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golose'!$A$7:$Q$466</definedName>
    <definedName name="_xlnm.Print_Area" localSheetId="0">'Tavole e pause golose'!$D$7:$I$172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55" i="6" l="1"/>
  <c r="AE355" i="6"/>
  <c r="AF355" i="6"/>
  <c r="AG355" i="6"/>
  <c r="AH355" i="6"/>
  <c r="AI355" i="6"/>
  <c r="AD356" i="6"/>
  <c r="AE356" i="6"/>
  <c r="AF356" i="6"/>
  <c r="AG356" i="6"/>
  <c r="AH356" i="6"/>
  <c r="AI356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S356" i="6"/>
  <c r="T356" i="6"/>
  <c r="U356" i="6"/>
  <c r="V356" i="6"/>
  <c r="W356" i="6"/>
  <c r="X356" i="6"/>
  <c r="Y356" i="6"/>
  <c r="Z356" i="6"/>
  <c r="AA356" i="6"/>
  <c r="AB356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AD445" i="6"/>
  <c r="AE445" i="6"/>
  <c r="AD446" i="6"/>
  <c r="AE446" i="6"/>
  <c r="S445" i="6"/>
  <c r="AF445" i="6"/>
  <c r="AG445" i="6"/>
  <c r="AH445" i="6"/>
  <c r="AI445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5" i="6"/>
  <c r="AE455" i="6"/>
  <c r="AD456" i="6"/>
  <c r="AE456" i="6"/>
  <c r="AD457" i="6"/>
  <c r="AE457" i="6"/>
  <c r="AD458" i="6"/>
  <c r="AE458" i="6"/>
  <c r="S456" i="6"/>
  <c r="AF456" i="6"/>
  <c r="AG456" i="6"/>
  <c r="AH456" i="6"/>
  <c r="AI456" i="6"/>
  <c r="AD459" i="6"/>
  <c r="AE459" i="6"/>
  <c r="S459" i="6"/>
  <c r="AF459" i="6"/>
  <c r="AG459" i="6"/>
  <c r="AH459" i="6"/>
  <c r="AI459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S357" i="6"/>
  <c r="S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F455" i="6"/>
  <c r="AG455" i="6"/>
  <c r="AH455" i="6"/>
  <c r="AI455" i="6"/>
  <c r="S457" i="6"/>
  <c r="AF457" i="6"/>
  <c r="AG457" i="6"/>
  <c r="AH457" i="6"/>
  <c r="AI457" i="6"/>
  <c r="S458" i="6"/>
  <c r="AF458" i="6"/>
  <c r="AG458" i="6"/>
  <c r="AH458" i="6"/>
  <c r="AI458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3" i="6" s="1"/>
  <c r="T32" i="6" l="1"/>
  <c r="T86" i="6"/>
  <c r="T329" i="6"/>
  <c r="T361" i="6"/>
  <c r="T292" i="6"/>
  <c r="T184" i="6"/>
  <c r="T183" i="6"/>
  <c r="T64" i="6"/>
  <c r="T372" i="6"/>
  <c r="T371" i="6"/>
  <c r="T370" i="6"/>
  <c r="T445" i="6"/>
  <c r="T264" i="6"/>
  <c r="T235" i="6"/>
  <c r="T265" i="6"/>
  <c r="T213" i="6"/>
  <c r="T212" i="6"/>
  <c r="T349" i="6"/>
  <c r="T333" i="6"/>
  <c r="T139" i="6"/>
  <c r="T162" i="6"/>
  <c r="T102" i="6"/>
  <c r="T140" i="6"/>
  <c r="T314" i="6"/>
  <c r="T101" i="6"/>
  <c r="T93" i="6"/>
  <c r="T92" i="6"/>
  <c r="T91" i="6"/>
  <c r="T289" i="6"/>
  <c r="T236" i="6"/>
  <c r="T365" i="6"/>
  <c r="T350" i="6"/>
  <c r="T313" i="6"/>
  <c r="T285" i="6"/>
  <c r="T262" i="6"/>
  <c r="T234" i="6"/>
  <c r="T211" i="6"/>
  <c r="T181" i="6"/>
  <c r="T70" i="6"/>
  <c r="T138" i="6"/>
  <c r="T98" i="6"/>
  <c r="T369" i="6"/>
  <c r="T335" i="6"/>
  <c r="T312" i="6"/>
  <c r="T284" i="6"/>
  <c r="T261" i="6"/>
  <c r="T233" i="6"/>
  <c r="T208" i="6"/>
  <c r="T180" i="6"/>
  <c r="T97" i="6"/>
  <c r="T130" i="6"/>
  <c r="T65" i="6"/>
  <c r="T283" i="6"/>
  <c r="T179" i="6"/>
  <c r="T203" i="6"/>
  <c r="T386" i="6"/>
  <c r="T68" i="6"/>
  <c r="T201" i="6"/>
  <c r="T358" i="6"/>
  <c r="T394" i="6"/>
  <c r="T323" i="6"/>
  <c r="T301" i="6"/>
  <c r="T278" i="6"/>
  <c r="T79" i="6"/>
  <c r="T227" i="6"/>
  <c r="T200" i="6"/>
  <c r="T89" i="6"/>
  <c r="T154" i="6"/>
  <c r="T122" i="6"/>
  <c r="T88" i="6"/>
  <c r="T125" i="6"/>
  <c r="T229" i="6"/>
  <c r="T339" i="6"/>
  <c r="T362" i="6"/>
  <c r="T402" i="6"/>
  <c r="T248" i="6"/>
  <c r="T300" i="6"/>
  <c r="T277" i="6"/>
  <c r="T242" i="6"/>
  <c r="T224" i="6"/>
  <c r="T199" i="6"/>
  <c r="T167" i="6"/>
  <c r="T153" i="6"/>
  <c r="T121" i="6"/>
  <c r="T49" i="6"/>
  <c r="T321" i="6"/>
  <c r="T126" i="6"/>
  <c r="T257" i="6"/>
  <c r="T322" i="6"/>
  <c r="T253" i="6"/>
  <c r="T172" i="6"/>
  <c r="T390" i="6"/>
  <c r="T299" i="6"/>
  <c r="T243" i="6"/>
  <c r="T220" i="6"/>
  <c r="T197" i="6"/>
  <c r="T160" i="6"/>
  <c r="T151" i="6"/>
  <c r="T119" i="6"/>
  <c r="T48" i="6"/>
  <c r="T374" i="6"/>
  <c r="T260" i="6"/>
  <c r="T60" i="6"/>
  <c r="T231" i="6"/>
  <c r="T281" i="6"/>
  <c r="T170" i="6"/>
  <c r="T366" i="6"/>
  <c r="T324" i="6"/>
  <c r="T276" i="6"/>
  <c r="T347" i="6"/>
  <c r="T246" i="6"/>
  <c r="T298" i="6"/>
  <c r="T273" i="6"/>
  <c r="T244" i="6"/>
  <c r="T219" i="6"/>
  <c r="T196" i="6"/>
  <c r="T168" i="6"/>
  <c r="T150" i="6"/>
  <c r="T118" i="6"/>
  <c r="T46" i="6"/>
  <c r="T310" i="6"/>
  <c r="T83" i="6"/>
  <c r="T378" i="6"/>
  <c r="T282" i="6"/>
  <c r="T67" i="6"/>
  <c r="T308" i="6"/>
  <c r="T124" i="6"/>
  <c r="T123" i="6"/>
  <c r="T330" i="6"/>
  <c r="T375" i="6"/>
  <c r="T331" i="6"/>
  <c r="T341" i="6"/>
  <c r="T297" i="6"/>
  <c r="T269" i="6"/>
  <c r="T169" i="6"/>
  <c r="T218" i="6"/>
  <c r="T188" i="6"/>
  <c r="T69" i="6"/>
  <c r="T149" i="6"/>
  <c r="T114" i="6"/>
  <c r="T45" i="6"/>
  <c r="T232" i="6"/>
  <c r="T338" i="6"/>
  <c r="T176" i="6"/>
  <c r="T202" i="6"/>
  <c r="T354" i="6"/>
  <c r="T305" i="6"/>
  <c r="T228" i="6"/>
  <c r="T164" i="6"/>
  <c r="T58" i="6"/>
  <c r="T318" i="6"/>
  <c r="T296" i="6"/>
  <c r="T161" i="6"/>
  <c r="T187" i="6"/>
  <c r="T146" i="6"/>
  <c r="T387" i="6"/>
  <c r="T348" i="6"/>
  <c r="T251" i="6"/>
  <c r="T294" i="6"/>
  <c r="T267" i="6"/>
  <c r="T171" i="6"/>
  <c r="T216" i="6"/>
  <c r="T186" i="6"/>
  <c r="T90" i="6"/>
  <c r="T142" i="6"/>
  <c r="T105" i="6"/>
  <c r="T41" i="6"/>
  <c r="T204" i="6"/>
  <c r="T309" i="6"/>
  <c r="T84" i="6"/>
  <c r="T400" i="6"/>
  <c r="T156" i="6"/>
  <c r="T280" i="6"/>
  <c r="T155" i="6"/>
  <c r="T383" i="6"/>
  <c r="T250" i="6"/>
  <c r="T268" i="6"/>
  <c r="T217" i="6"/>
  <c r="T59" i="6"/>
  <c r="T110" i="6"/>
  <c r="T43" i="6"/>
  <c r="T391" i="6"/>
  <c r="T332" i="6"/>
  <c r="T252" i="6"/>
  <c r="T293" i="6"/>
  <c r="T266" i="6"/>
  <c r="T240" i="6"/>
  <c r="T215" i="6"/>
  <c r="T185" i="6"/>
  <c r="T73" i="6"/>
  <c r="T141" i="6"/>
  <c r="T103" i="6"/>
  <c r="T38" i="6"/>
  <c r="T33" i="6"/>
  <c r="T61" i="6"/>
  <c r="T55" i="6"/>
  <c r="T137" i="6"/>
  <c r="T109" i="6"/>
  <c r="T78" i="6"/>
  <c r="T31" i="6"/>
  <c r="T195" i="6"/>
  <c r="T165" i="6"/>
  <c r="T158" i="6"/>
  <c r="T135" i="6"/>
  <c r="T108" i="6"/>
  <c r="T63" i="6"/>
  <c r="T30" i="6"/>
  <c r="T192" i="6"/>
  <c r="T166" i="6"/>
  <c r="T157" i="6"/>
  <c r="T134" i="6"/>
  <c r="T107" i="6"/>
  <c r="T54" i="6"/>
  <c r="T29" i="6"/>
  <c r="T133" i="6"/>
  <c r="T106" i="6"/>
  <c r="T50" i="6"/>
  <c r="T27" i="6"/>
  <c r="T26" i="6"/>
  <c r="T456" i="6"/>
  <c r="T25" i="6"/>
  <c r="T47" i="6"/>
  <c r="T17" i="6"/>
  <c r="T16" i="6"/>
  <c r="T15" i="6"/>
  <c r="T14" i="6"/>
  <c r="T42" i="6"/>
  <c r="T9" i="6"/>
  <c r="T11" i="6"/>
  <c r="T117" i="6"/>
  <c r="T81" i="6"/>
  <c r="T34" i="6"/>
  <c r="T22" i="6"/>
  <c r="T18" i="6"/>
  <c r="T447" i="6"/>
  <c r="T13" i="6"/>
  <c r="U7" i="6"/>
  <c r="U13" i="6" s="1"/>
  <c r="T425" i="6"/>
  <c r="T367" i="6"/>
  <c r="T459" i="6"/>
  <c r="T379" i="6"/>
  <c r="T382" i="6"/>
  <c r="T247" i="6"/>
  <c r="T340" i="6"/>
  <c r="T311" i="6"/>
  <c r="T295" i="6"/>
  <c r="T279" i="6"/>
  <c r="T263" i="6"/>
  <c r="T245" i="6"/>
  <c r="T230" i="6"/>
  <c r="T214" i="6"/>
  <c r="T198" i="6"/>
  <c r="T182" i="6"/>
  <c r="T82" i="6"/>
  <c r="T57" i="6"/>
  <c r="T152" i="6"/>
  <c r="T136" i="6"/>
  <c r="T120" i="6"/>
  <c r="T104" i="6"/>
  <c r="T94" i="6"/>
  <c r="T44" i="6"/>
  <c r="T28" i="6"/>
  <c r="T12" i="6"/>
  <c r="T465" i="6"/>
  <c r="T395" i="6"/>
  <c r="T398" i="6"/>
  <c r="T334" i="6"/>
  <c r="T325" i="6"/>
  <c r="T307" i="6"/>
  <c r="T291" i="6"/>
  <c r="T275" i="6"/>
  <c r="T259" i="6"/>
  <c r="T163" i="6"/>
  <c r="T226" i="6"/>
  <c r="T210" i="6"/>
  <c r="T194" i="6"/>
  <c r="T178" i="6"/>
  <c r="T95" i="6"/>
  <c r="T148" i="6"/>
  <c r="T132" i="6"/>
  <c r="T116" i="6"/>
  <c r="T100" i="6"/>
  <c r="T56" i="6"/>
  <c r="T40" i="6"/>
  <c r="T24" i="6"/>
  <c r="T10" i="6"/>
  <c r="T460" i="6"/>
  <c r="T399" i="6"/>
  <c r="T403" i="6"/>
  <c r="T319" i="6"/>
  <c r="T249" i="6"/>
  <c r="T306" i="6"/>
  <c r="T290" i="6"/>
  <c r="T274" i="6"/>
  <c r="T258" i="6"/>
  <c r="T241" i="6"/>
  <c r="T225" i="6"/>
  <c r="T209" i="6"/>
  <c r="T193" i="6"/>
  <c r="T177" i="6"/>
  <c r="T85" i="6"/>
  <c r="T80" i="6"/>
  <c r="T147" i="6"/>
  <c r="T131" i="6"/>
  <c r="T115" i="6"/>
  <c r="T99" i="6"/>
  <c r="T72" i="6"/>
  <c r="T39" i="6"/>
  <c r="T23" i="6"/>
  <c r="T345" i="6"/>
  <c r="T385" i="6"/>
  <c r="T430" i="6"/>
  <c r="AD6" i="6"/>
  <c r="F3" i="6" s="1"/>
  <c r="T406" i="6"/>
  <c r="T404" i="6"/>
  <c r="T344" i="6"/>
  <c r="T336" i="6"/>
  <c r="T317" i="6"/>
  <c r="T304" i="6"/>
  <c r="T288" i="6"/>
  <c r="T272" i="6"/>
  <c r="T256" i="6"/>
  <c r="T239" i="6"/>
  <c r="T223" i="6"/>
  <c r="T207" i="6"/>
  <c r="T191" i="6"/>
  <c r="T175" i="6"/>
  <c r="T66" i="6"/>
  <c r="T77" i="6"/>
  <c r="T145" i="6"/>
  <c r="T129" i="6"/>
  <c r="T113" i="6"/>
  <c r="T87" i="6"/>
  <c r="T53" i="6"/>
  <c r="T37" i="6"/>
  <c r="T21" i="6"/>
  <c r="T441" i="6"/>
  <c r="T352" i="6"/>
  <c r="T327" i="6"/>
  <c r="T328" i="6"/>
  <c r="T320" i="6"/>
  <c r="T316" i="6"/>
  <c r="T303" i="6"/>
  <c r="T287" i="6"/>
  <c r="T271" i="6"/>
  <c r="T255" i="6"/>
  <c r="T238" i="6"/>
  <c r="T222" i="6"/>
  <c r="T206" i="6"/>
  <c r="T190" i="6"/>
  <c r="T174" i="6"/>
  <c r="T96" i="6"/>
  <c r="T62" i="6"/>
  <c r="T144" i="6"/>
  <c r="T128" i="6"/>
  <c r="T112" i="6"/>
  <c r="T52" i="6"/>
  <c r="T36" i="6"/>
  <c r="T20" i="6"/>
  <c r="T342" i="6"/>
  <c r="T353" i="6"/>
  <c r="T346" i="6"/>
  <c r="T337" i="6"/>
  <c r="T315" i="6"/>
  <c r="T302" i="6"/>
  <c r="T286" i="6"/>
  <c r="T270" i="6"/>
  <c r="T254" i="6"/>
  <c r="T237" i="6"/>
  <c r="T221" i="6"/>
  <c r="T205" i="6"/>
  <c r="T189" i="6"/>
  <c r="T173" i="6"/>
  <c r="T76" i="6"/>
  <c r="T159" i="6"/>
  <c r="T143" i="6"/>
  <c r="T127" i="6"/>
  <c r="T111" i="6"/>
  <c r="T71" i="6"/>
  <c r="T51" i="6"/>
  <c r="T35" i="6"/>
  <c r="T19" i="6"/>
  <c r="T414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4" i="6"/>
  <c r="T437" i="6"/>
  <c r="T421" i="6"/>
  <c r="T463" i="6"/>
  <c r="T444" i="6"/>
  <c r="T428" i="6"/>
  <c r="T412" i="6"/>
  <c r="T389" i="6"/>
  <c r="T357" i="6"/>
  <c r="T452" i="6"/>
  <c r="T435" i="6"/>
  <c r="T419" i="6"/>
  <c r="T343" i="6"/>
  <c r="T461" i="6"/>
  <c r="T442" i="6"/>
  <c r="T426" i="6"/>
  <c r="T410" i="6"/>
  <c r="T393" i="6"/>
  <c r="T376" i="6"/>
  <c r="T360" i="6"/>
  <c r="T450" i="6"/>
  <c r="T433" i="6"/>
  <c r="T417" i="6"/>
  <c r="T408" i="6"/>
  <c r="T458" i="6"/>
  <c r="T440" i="6"/>
  <c r="T424" i="6"/>
  <c r="T397" i="6"/>
  <c r="T380" i="6"/>
  <c r="T364" i="6"/>
  <c r="T466" i="6"/>
  <c r="T448" i="6"/>
  <c r="T431" i="6"/>
  <c r="T415" i="6"/>
  <c r="T455" i="6"/>
  <c r="T438" i="6"/>
  <c r="T422" i="6"/>
  <c r="T384" i="6"/>
  <c r="T368" i="6"/>
  <c r="T351" i="6"/>
  <c r="T464" i="6"/>
  <c r="T446" i="6"/>
  <c r="T429" i="6"/>
  <c r="T413" i="6"/>
  <c r="T401" i="6"/>
  <c r="T453" i="6"/>
  <c r="T436" i="6"/>
  <c r="T420" i="6"/>
  <c r="T388" i="6"/>
  <c r="T373" i="6"/>
  <c r="T355" i="6"/>
  <c r="T462" i="6"/>
  <c r="T443" i="6"/>
  <c r="T427" i="6"/>
  <c r="T411" i="6"/>
  <c r="T451" i="6"/>
  <c r="T434" i="6"/>
  <c r="T418" i="6"/>
  <c r="T409" i="6"/>
  <c r="T405" i="6"/>
  <c r="T392" i="6"/>
  <c r="T377" i="6"/>
  <c r="T359" i="6"/>
  <c r="T407" i="6"/>
  <c r="T326" i="6"/>
  <c r="T449" i="6"/>
  <c r="T432" i="6"/>
  <c r="T416" i="6"/>
  <c r="T396" i="6"/>
  <c r="T381" i="6"/>
  <c r="T363" i="6"/>
  <c r="U328" i="6"/>
  <c r="T457" i="6"/>
  <c r="T439" i="6"/>
  <c r="U445" i="6" l="1"/>
  <c r="U370" i="6"/>
  <c r="U371" i="6"/>
  <c r="U372" i="6"/>
  <c r="U456" i="6"/>
  <c r="U91" i="6"/>
  <c r="U92" i="6"/>
  <c r="U93" i="6"/>
  <c r="U141" i="6"/>
  <c r="U106" i="6"/>
  <c r="U286" i="6"/>
  <c r="U179" i="6"/>
  <c r="U443" i="6"/>
  <c r="U408" i="6"/>
  <c r="U448" i="6"/>
  <c r="U287" i="6"/>
  <c r="U216" i="6"/>
  <c r="U226" i="6"/>
  <c r="U305" i="6"/>
  <c r="U170" i="6"/>
  <c r="U130" i="6"/>
  <c r="U269" i="6"/>
  <c r="U145" i="6"/>
  <c r="U272" i="6"/>
  <c r="U99" i="6"/>
  <c r="U326" i="6"/>
  <c r="U315" i="6"/>
  <c r="U76" i="6"/>
  <c r="U291" i="6"/>
  <c r="U160" i="6"/>
  <c r="U379" i="6"/>
  <c r="U107" i="6"/>
  <c r="U104" i="6"/>
  <c r="U325" i="6"/>
  <c r="U172" i="6"/>
  <c r="U202" i="6"/>
  <c r="U117" i="6"/>
  <c r="U319" i="6"/>
  <c r="U196" i="6"/>
  <c r="U289" i="6"/>
  <c r="U175" i="6"/>
  <c r="U155" i="6"/>
  <c r="U45" i="6"/>
  <c r="U22" i="6"/>
  <c r="U185" i="6"/>
  <c r="U36" i="6"/>
  <c r="U24" i="6"/>
  <c r="U52" i="6"/>
  <c r="U293" i="6"/>
  <c r="U120" i="6"/>
  <c r="U223" i="6"/>
  <c r="U199" i="6"/>
  <c r="U461" i="6"/>
  <c r="U466" i="6"/>
  <c r="U451" i="6"/>
  <c r="U20" i="6"/>
  <c r="U435" i="6"/>
  <c r="U317" i="6"/>
  <c r="U70" i="6"/>
  <c r="U450" i="6"/>
  <c r="U441" i="6"/>
  <c r="U231" i="6"/>
  <c r="U150" i="6"/>
  <c r="U309" i="6"/>
  <c r="U153" i="6"/>
  <c r="U235" i="6"/>
  <c r="U225" i="6"/>
  <c r="U109" i="6"/>
  <c r="U195" i="6"/>
  <c r="U227" i="6"/>
  <c r="V7" i="6"/>
  <c r="U27" i="6"/>
  <c r="U453" i="6"/>
  <c r="U242" i="6"/>
  <c r="U433" i="6"/>
  <c r="U455" i="6"/>
  <c r="U21" i="6"/>
  <c r="U108" i="6"/>
  <c r="U19" i="6"/>
  <c r="U68" i="6"/>
  <c r="U405" i="6"/>
  <c r="U136" i="6"/>
  <c r="U336" i="6"/>
  <c r="U414" i="6"/>
  <c r="U211" i="6"/>
  <c r="U344" i="6"/>
  <c r="U77" i="6"/>
  <c r="U261" i="6"/>
  <c r="U201" i="6"/>
  <c r="U277" i="6"/>
  <c r="U440" i="6"/>
  <c r="U452" i="6"/>
  <c r="U56" i="6"/>
  <c r="U35" i="6"/>
  <c r="U103" i="6"/>
  <c r="U72" i="6"/>
  <c r="U138" i="6"/>
  <c r="U129" i="6"/>
  <c r="U131" i="6"/>
  <c r="U327" i="6"/>
  <c r="U156" i="6"/>
  <c r="U173" i="6"/>
  <c r="U265" i="6"/>
  <c r="U430" i="6"/>
  <c r="U9" i="6"/>
  <c r="U67" i="6"/>
  <c r="U169" i="6"/>
  <c r="U149" i="6"/>
  <c r="U105" i="6"/>
  <c r="U11" i="6"/>
  <c r="U283" i="6"/>
  <c r="U345" i="6"/>
  <c r="U187" i="6"/>
  <c r="U428" i="6"/>
  <c r="U189" i="6"/>
  <c r="U75" i="6"/>
  <c r="U285" i="6"/>
  <c r="U421" i="6"/>
  <c r="U268" i="6"/>
  <c r="U177" i="6"/>
  <c r="U30" i="6"/>
  <c r="U434" i="6"/>
  <c r="U422" i="6"/>
  <c r="U462" i="6"/>
  <c r="U417" i="6"/>
  <c r="U409" i="6"/>
  <c r="U140" i="6"/>
  <c r="U424" i="6"/>
  <c r="U10" i="6"/>
  <c r="U110" i="6"/>
  <c r="U23" i="6"/>
  <c r="U406" i="6"/>
  <c r="U154" i="6"/>
  <c r="U460" i="6"/>
  <c r="U101" i="6"/>
  <c r="U267" i="6"/>
  <c r="U74" i="6"/>
  <c r="U233" i="6"/>
  <c r="U157" i="6"/>
  <c r="U403" i="6"/>
  <c r="U83" i="6"/>
  <c r="U133" i="6"/>
  <c r="U413" i="6"/>
  <c r="U116" i="6"/>
  <c r="U147" i="6"/>
  <c r="U25" i="6"/>
  <c r="U299" i="6"/>
  <c r="U410" i="6"/>
  <c r="U203" i="6"/>
  <c r="U205" i="6"/>
  <c r="U304" i="6"/>
  <c r="U174" i="6"/>
  <c r="U307" i="6"/>
  <c r="U204" i="6"/>
  <c r="U58" i="6"/>
  <c r="U464" i="6"/>
  <c r="U122" i="6"/>
  <c r="U61" i="6"/>
  <c r="U8" i="6"/>
  <c r="U425" i="6"/>
  <c r="U346" i="6"/>
  <c r="U40" i="6"/>
  <c r="U217" i="6"/>
  <c r="U439" i="6"/>
  <c r="U86" i="6"/>
  <c r="U84" i="6"/>
  <c r="U458" i="6"/>
  <c r="U412" i="6"/>
  <c r="U457" i="6"/>
  <c r="U51" i="6"/>
  <c r="U88" i="6"/>
  <c r="U447" i="6"/>
  <c r="U416" i="6"/>
  <c r="U404" i="6"/>
  <c r="U100" i="6"/>
  <c r="U411" i="6"/>
  <c r="U249" i="6"/>
  <c r="U182" i="6"/>
  <c r="U415" i="6"/>
  <c r="U166" i="6"/>
  <c r="U41" i="6"/>
  <c r="U162" i="6"/>
  <c r="U219" i="6"/>
  <c r="U444" i="6"/>
  <c r="U221" i="6"/>
  <c r="U251" i="6"/>
  <c r="U197" i="6"/>
  <c r="U362" i="6"/>
  <c r="U171" i="6"/>
  <c r="U401" i="6"/>
  <c r="U241" i="6"/>
  <c r="U80" i="6"/>
  <c r="U419" i="6"/>
  <c r="U438" i="6"/>
  <c r="U43" i="6"/>
  <c r="U38" i="6"/>
  <c r="U59" i="6"/>
  <c r="U54" i="6"/>
  <c r="U161" i="6"/>
  <c r="U465" i="6"/>
  <c r="U449" i="6"/>
  <c r="U125" i="6"/>
  <c r="U427" i="6"/>
  <c r="U214" i="6"/>
  <c r="U431" i="6"/>
  <c r="U184" i="6"/>
  <c r="U73" i="6"/>
  <c r="U463" i="6"/>
  <c r="U255" i="6"/>
  <c r="U392" i="6"/>
  <c r="U229" i="6"/>
  <c r="U270" i="6"/>
  <c r="U16" i="6"/>
  <c r="U206" i="6"/>
  <c r="U436" i="6"/>
  <c r="U29" i="6"/>
  <c r="U163" i="6"/>
  <c r="U423" i="6"/>
  <c r="U94" i="6"/>
  <c r="U432" i="6"/>
  <c r="U18" i="6"/>
  <c r="U429" i="6"/>
  <c r="U198" i="6"/>
  <c r="U132" i="6"/>
  <c r="U57" i="6"/>
  <c r="U426" i="6"/>
  <c r="U343" i="6"/>
  <c r="U245" i="6"/>
  <c r="U337" i="6"/>
  <c r="U224" i="6"/>
  <c r="U15" i="6"/>
  <c r="U418" i="6"/>
  <c r="U151" i="6"/>
  <c r="U420" i="6"/>
  <c r="U446" i="6"/>
  <c r="U126" i="6"/>
  <c r="U200" i="6"/>
  <c r="U89" i="6"/>
  <c r="U442" i="6"/>
  <c r="U271" i="6"/>
  <c r="U78" i="6"/>
  <c r="U266" i="6"/>
  <c r="U395" i="6"/>
  <c r="U178" i="6"/>
  <c r="U49" i="6"/>
  <c r="U87" i="6"/>
  <c r="U115" i="6"/>
  <c r="U290" i="6"/>
  <c r="U364" i="6"/>
  <c r="U118" i="6"/>
  <c r="U127" i="6"/>
  <c r="U288" i="6"/>
  <c r="U308" i="6"/>
  <c r="U381" i="6"/>
  <c r="U310" i="6"/>
  <c r="U186" i="6"/>
  <c r="U360" i="6"/>
  <c r="U306" i="6"/>
  <c r="U342" i="6"/>
  <c r="U407" i="6"/>
  <c r="U397" i="6"/>
  <c r="U276" i="6"/>
  <c r="V459" i="6"/>
  <c r="U359" i="6"/>
  <c r="U239" i="6"/>
  <c r="U377" i="6"/>
  <c r="U250" i="6"/>
  <c r="U335" i="6"/>
  <c r="U437" i="6"/>
  <c r="U454" i="6"/>
  <c r="U296" i="6"/>
  <c r="U376" i="6"/>
  <c r="U393" i="6"/>
  <c r="U320" i="6"/>
  <c r="U363" i="6"/>
  <c r="U314" i="6"/>
  <c r="U44" i="6"/>
  <c r="U331" i="6"/>
  <c r="U378" i="6"/>
  <c r="U380" i="6"/>
  <c r="U340" i="6"/>
  <c r="U42" i="6"/>
  <c r="U318" i="6"/>
  <c r="U71" i="6"/>
  <c r="U361" i="6"/>
  <c r="U47" i="6"/>
  <c r="U14" i="6"/>
  <c r="U396" i="6"/>
  <c r="U352" i="6"/>
  <c r="U69" i="6"/>
  <c r="U12" i="6"/>
  <c r="U102" i="6"/>
  <c r="U394" i="6"/>
  <c r="U176" i="6"/>
  <c r="U48" i="6"/>
  <c r="U329" i="6"/>
  <c r="U368" i="6"/>
  <c r="U167" i="6"/>
  <c r="U347" i="6"/>
  <c r="U46" i="6"/>
  <c r="U237" i="6"/>
  <c r="U79" i="6"/>
  <c r="U111" i="6"/>
  <c r="U385" i="6"/>
  <c r="U330" i="6"/>
  <c r="U34" i="6"/>
  <c r="U119" i="6"/>
  <c r="U207" i="6"/>
  <c r="U244" i="6"/>
  <c r="U280" i="6"/>
  <c r="U228" i="6"/>
  <c r="U350" i="6"/>
  <c r="U375" i="6"/>
  <c r="U247" i="6"/>
  <c r="U208" i="6"/>
  <c r="U236" i="6"/>
  <c r="U50" i="6"/>
  <c r="U97" i="6"/>
  <c r="U159" i="6"/>
  <c r="U212" i="6"/>
  <c r="U254" i="6"/>
  <c r="U284" i="6"/>
  <c r="U240" i="6"/>
  <c r="U354" i="6"/>
  <c r="U384" i="6"/>
  <c r="U112" i="6"/>
  <c r="U387" i="6"/>
  <c r="U191" i="6"/>
  <c r="U95" i="6"/>
  <c r="U143" i="6"/>
  <c r="U459" i="6"/>
  <c r="U53" i="6"/>
  <c r="U98" i="6"/>
  <c r="U164" i="6"/>
  <c r="U213" i="6"/>
  <c r="U256" i="6"/>
  <c r="U292" i="6"/>
  <c r="U252" i="6"/>
  <c r="U355" i="6"/>
  <c r="U386" i="6"/>
  <c r="U124" i="6"/>
  <c r="U258" i="6"/>
  <c r="U121" i="6"/>
  <c r="U81" i="6"/>
  <c r="U303" i="6"/>
  <c r="U90" i="6"/>
  <c r="U313" i="6"/>
  <c r="U243" i="6"/>
  <c r="U332" i="6"/>
  <c r="U39" i="6"/>
  <c r="U282" i="6"/>
  <c r="U55" i="6"/>
  <c r="U215" i="6"/>
  <c r="U294" i="6"/>
  <c r="U357" i="6"/>
  <c r="U274" i="6"/>
  <c r="U279" i="6"/>
  <c r="U209" i="6"/>
  <c r="U60" i="6"/>
  <c r="U113" i="6"/>
  <c r="U148" i="6"/>
  <c r="U218" i="6"/>
  <c r="U259" i="6"/>
  <c r="U295" i="6"/>
  <c r="U341" i="6"/>
  <c r="U388" i="6"/>
  <c r="U144" i="6"/>
  <c r="U33" i="6"/>
  <c r="U349" i="6"/>
  <c r="U383" i="6"/>
  <c r="U62" i="6"/>
  <c r="U114" i="6"/>
  <c r="U180" i="6"/>
  <c r="U220" i="6"/>
  <c r="U260" i="6"/>
  <c r="U297" i="6"/>
  <c r="U316" i="6"/>
  <c r="U358" i="6"/>
  <c r="U389" i="6"/>
  <c r="U222" i="6"/>
  <c r="U324" i="6"/>
  <c r="U365" i="6"/>
  <c r="U134" i="6"/>
  <c r="U248" i="6"/>
  <c r="U37" i="6"/>
  <c r="U63" i="6"/>
  <c r="U123" i="6"/>
  <c r="U181" i="6"/>
  <c r="U262" i="6"/>
  <c r="U298" i="6"/>
  <c r="U390" i="6"/>
  <c r="U263" i="6"/>
  <c r="U366" i="6"/>
  <c r="U135" i="6"/>
  <c r="U64" i="6"/>
  <c r="U139" i="6"/>
  <c r="U183" i="6"/>
  <c r="U300" i="6"/>
  <c r="U391" i="6"/>
  <c r="U137" i="6"/>
  <c r="U400" i="6"/>
  <c r="U238" i="6"/>
  <c r="U96" i="6"/>
  <c r="U353" i="6"/>
  <c r="U17" i="6"/>
  <c r="U65" i="6"/>
  <c r="U168" i="6"/>
  <c r="U188" i="6"/>
  <c r="U142" i="6"/>
  <c r="U264" i="6"/>
  <c r="U301" i="6"/>
  <c r="U323" i="6"/>
  <c r="U367" i="6"/>
  <c r="U398" i="6"/>
  <c r="U273" i="6"/>
  <c r="U302" i="6"/>
  <c r="U369" i="6"/>
  <c r="U399" i="6"/>
  <c r="U194" i="6"/>
  <c r="U382" i="6"/>
  <c r="U26" i="6"/>
  <c r="U66" i="6"/>
  <c r="U128" i="6"/>
  <c r="U190" i="6"/>
  <c r="U158" i="6"/>
  <c r="U339" i="6"/>
  <c r="U28" i="6"/>
  <c r="U322" i="6"/>
  <c r="U165" i="6"/>
  <c r="U334" i="6"/>
  <c r="U281" i="6"/>
  <c r="U31" i="6"/>
  <c r="U82" i="6"/>
  <c r="U152" i="6"/>
  <c r="U192" i="6"/>
  <c r="U230" i="6"/>
  <c r="U275" i="6"/>
  <c r="U311" i="6"/>
  <c r="U338" i="6"/>
  <c r="U402" i="6"/>
  <c r="U232" i="6"/>
  <c r="U253" i="6"/>
  <c r="U32" i="6"/>
  <c r="U85" i="6"/>
  <c r="U146" i="6"/>
  <c r="U193" i="6"/>
  <c r="U234" i="6"/>
  <c r="U278" i="6"/>
  <c r="U312" i="6"/>
  <c r="U321" i="6"/>
  <c r="U373" i="6"/>
  <c r="U333" i="6"/>
  <c r="U374" i="6"/>
  <c r="U351" i="6"/>
  <c r="U348" i="6"/>
  <c r="U210" i="6"/>
  <c r="U246" i="6"/>
  <c r="U257" i="6"/>
  <c r="F5" i="6"/>
  <c r="G5" i="6"/>
  <c r="E5" i="6"/>
  <c r="H4" i="6"/>
  <c r="H3" i="6"/>
  <c r="T5" i="6"/>
  <c r="V28" i="6"/>
  <c r="V282" i="6"/>
  <c r="V164" i="6"/>
  <c r="V13" i="6"/>
  <c r="V315" i="6"/>
  <c r="V222" i="6"/>
  <c r="V38" i="6"/>
  <c r="V303" i="6"/>
  <c r="V126" i="6"/>
  <c r="V377" i="6"/>
  <c r="V257" i="6"/>
  <c r="V94" i="6"/>
  <c r="V306" i="6"/>
  <c r="V179" i="6"/>
  <c r="V429" i="6"/>
  <c r="V228" i="6"/>
  <c r="V18" i="6"/>
  <c r="V277" i="6"/>
  <c r="V67" i="6"/>
  <c r="V344" i="6"/>
  <c r="V134" i="6"/>
  <c r="V385" i="6"/>
  <c r="V233" i="6"/>
  <c r="V349" i="6"/>
  <c r="V455" i="6"/>
  <c r="V185" i="6"/>
  <c r="V373" i="6"/>
  <c r="V138" i="6"/>
  <c r="V311" i="6"/>
  <c r="V445" i="6" l="1"/>
  <c r="V370" i="6"/>
  <c r="V371" i="6"/>
  <c r="V372" i="6"/>
  <c r="V456" i="6"/>
  <c r="V91" i="6"/>
  <c r="V92" i="6"/>
  <c r="V93" i="6"/>
  <c r="V151" i="6"/>
  <c r="V410" i="6"/>
  <c r="V199" i="6"/>
  <c r="V461" i="6"/>
  <c r="V347" i="6"/>
  <c r="V246" i="6"/>
  <c r="V72" i="6"/>
  <c r="V352" i="6"/>
  <c r="V102" i="6"/>
  <c r="V383" i="6"/>
  <c r="V132" i="6"/>
  <c r="V247" i="6"/>
  <c r="V447" i="6"/>
  <c r="V196" i="6"/>
  <c r="V249" i="6"/>
  <c r="V55" i="6"/>
  <c r="V274" i="6"/>
  <c r="V12" i="6"/>
  <c r="V225" i="6"/>
  <c r="V337" i="6"/>
  <c r="V51" i="6"/>
  <c r="V271" i="6"/>
  <c r="V440" i="6"/>
  <c r="V190" i="6"/>
  <c r="V285" i="6"/>
  <c r="V34" i="6"/>
  <c r="V153" i="6"/>
  <c r="V244" i="6"/>
  <c r="V32" i="6"/>
  <c r="V386" i="6"/>
  <c r="V122" i="6"/>
  <c r="V431" i="6"/>
  <c r="V351" i="6"/>
  <c r="V64" i="6"/>
  <c r="V448" i="6"/>
  <c r="V340" i="6"/>
  <c r="V35" i="6"/>
  <c r="V366" i="6"/>
  <c r="V116" i="6"/>
  <c r="V229" i="6"/>
  <c r="V430" i="6"/>
  <c r="V180" i="6"/>
  <c r="V396" i="6"/>
  <c r="V145" i="6"/>
  <c r="V258" i="6"/>
  <c r="V462" i="6"/>
  <c r="V209" i="6"/>
  <c r="V318" i="6"/>
  <c r="V19" i="6"/>
  <c r="V255" i="6"/>
  <c r="V424" i="6"/>
  <c r="V174" i="6"/>
  <c r="V269" i="6"/>
  <c r="V388" i="6"/>
  <c r="V137" i="6"/>
  <c r="V234" i="6"/>
  <c r="V261" i="6"/>
  <c r="V442" i="6"/>
  <c r="V295" i="6"/>
  <c r="V466" i="6"/>
  <c r="V9" i="6"/>
  <c r="V242" i="6"/>
  <c r="V87" i="6"/>
  <c r="V419" i="6"/>
  <c r="V312" i="6"/>
  <c r="V65" i="6"/>
  <c r="V350" i="6"/>
  <c r="V100" i="6"/>
  <c r="V213" i="6"/>
  <c r="V414" i="6"/>
  <c r="V168" i="6"/>
  <c r="V380" i="6"/>
  <c r="V129" i="6"/>
  <c r="V79" i="6"/>
  <c r="V443" i="6"/>
  <c r="V193" i="6"/>
  <c r="V304" i="6"/>
  <c r="V78" i="6"/>
  <c r="V239" i="6"/>
  <c r="W7" i="6"/>
  <c r="W312" i="6" s="1"/>
  <c r="V90" i="6"/>
  <c r="V253" i="6"/>
  <c r="V121" i="6"/>
  <c r="V218" i="6"/>
  <c r="V465" i="6"/>
  <c r="V415" i="6"/>
  <c r="V204" i="6"/>
  <c r="V435" i="6"/>
  <c r="V357" i="6"/>
  <c r="V165" i="6"/>
  <c r="V452" i="6"/>
  <c r="V404" i="6"/>
  <c r="V296" i="6"/>
  <c r="V66" i="6"/>
  <c r="V341" i="6"/>
  <c r="V31" i="6"/>
  <c r="V197" i="6"/>
  <c r="V330" i="6"/>
  <c r="V80" i="6"/>
  <c r="V363" i="6"/>
  <c r="V113" i="6"/>
  <c r="V226" i="6"/>
  <c r="V427" i="6"/>
  <c r="V177" i="6"/>
  <c r="V288" i="6"/>
  <c r="V40" i="6"/>
  <c r="V223" i="6"/>
  <c r="V407" i="6"/>
  <c r="V156" i="6"/>
  <c r="V237" i="6"/>
  <c r="V355" i="6"/>
  <c r="V105" i="6"/>
  <c r="V202" i="6"/>
  <c r="V438" i="6"/>
  <c r="V248" i="6"/>
  <c r="V399" i="6"/>
  <c r="V169" i="6"/>
  <c r="V360" i="6"/>
  <c r="V301" i="6"/>
  <c r="V400" i="6"/>
  <c r="V135" i="6"/>
  <c r="V10" i="6"/>
  <c r="V265" i="6"/>
  <c r="V43" i="6"/>
  <c r="V421" i="6"/>
  <c r="V313" i="6"/>
  <c r="V280" i="6"/>
  <c r="V24" i="6"/>
  <c r="V310" i="6"/>
  <c r="V84" i="6"/>
  <c r="V181" i="6"/>
  <c r="V397" i="6"/>
  <c r="V146" i="6"/>
  <c r="V335" i="6"/>
  <c r="V77" i="6"/>
  <c r="V210" i="6"/>
  <c r="V411" i="6"/>
  <c r="V89" i="6"/>
  <c r="V272" i="6"/>
  <c r="V460" i="6"/>
  <c r="V207" i="6"/>
  <c r="V391" i="6"/>
  <c r="V140" i="6"/>
  <c r="V221" i="6"/>
  <c r="V339" i="6"/>
  <c r="V41" i="6"/>
  <c r="V186" i="6"/>
  <c r="V75" i="6"/>
  <c r="V300" i="6"/>
  <c r="V437" i="6"/>
  <c r="V369" i="6"/>
  <c r="V183" i="6"/>
  <c r="V454" i="6"/>
  <c r="V406" i="6"/>
  <c r="V231" i="6"/>
  <c r="V264" i="6"/>
  <c r="V101" i="6"/>
  <c r="V294" i="6"/>
  <c r="V52" i="6"/>
  <c r="V167" i="6"/>
  <c r="V381" i="6"/>
  <c r="V130" i="6"/>
  <c r="V326" i="6"/>
  <c r="V25" i="6"/>
  <c r="V194" i="6"/>
  <c r="V332" i="6"/>
  <c r="V159" i="6"/>
  <c r="V256" i="6"/>
  <c r="V441" i="6"/>
  <c r="V191" i="6"/>
  <c r="V375" i="6"/>
  <c r="V124" i="6"/>
  <c r="V205" i="6"/>
  <c r="V252" i="6"/>
  <c r="V95" i="6"/>
  <c r="V59" i="6"/>
  <c r="V74" i="6"/>
  <c r="V217" i="6"/>
  <c r="V346" i="6"/>
  <c r="V279" i="6"/>
  <c r="V106" i="6"/>
  <c r="V423" i="6"/>
  <c r="V324" i="6"/>
  <c r="V154" i="6"/>
  <c r="V163" i="6"/>
  <c r="V33" i="6"/>
  <c r="V278" i="6"/>
  <c r="V20" i="6"/>
  <c r="V364" i="6"/>
  <c r="V114" i="6"/>
  <c r="V307" i="6"/>
  <c r="V58" i="6"/>
  <c r="V178" i="6"/>
  <c r="V394" i="6"/>
  <c r="V143" i="6"/>
  <c r="V240" i="6"/>
  <c r="V425" i="6"/>
  <c r="V175" i="6"/>
  <c r="V358" i="6"/>
  <c r="V108" i="6"/>
  <c r="V189" i="6"/>
  <c r="V299" i="6"/>
  <c r="V30" i="6"/>
  <c r="V70" i="6"/>
  <c r="V149" i="6"/>
  <c r="V384" i="6"/>
  <c r="V188" i="6"/>
  <c r="V457" i="6"/>
  <c r="V348" i="6"/>
  <c r="V236" i="6"/>
  <c r="V69" i="6"/>
  <c r="V232" i="6"/>
  <c r="V60" i="6"/>
  <c r="V262" i="6"/>
  <c r="V398" i="6"/>
  <c r="V147" i="6"/>
  <c r="V319" i="6"/>
  <c r="V98" i="6"/>
  <c r="V291" i="6"/>
  <c r="V46" i="6"/>
  <c r="V161" i="6"/>
  <c r="V378" i="6"/>
  <c r="V127" i="6"/>
  <c r="V224" i="6"/>
  <c r="V328" i="6"/>
  <c r="V61" i="6"/>
  <c r="V250" i="6"/>
  <c r="V47" i="6"/>
  <c r="V173" i="6"/>
  <c r="V283" i="6"/>
  <c r="V403" i="6"/>
  <c r="V152" i="6"/>
  <c r="V26" i="6"/>
  <c r="V284" i="6"/>
  <c r="V119" i="6"/>
  <c r="V428" i="6"/>
  <c r="V322" i="6"/>
  <c r="V57" i="6"/>
  <c r="V409" i="6"/>
  <c r="V216" i="6"/>
  <c r="V54" i="6"/>
  <c r="V171" i="6"/>
  <c r="V382" i="6"/>
  <c r="V131" i="6"/>
  <c r="V342" i="6"/>
  <c r="V27" i="6"/>
  <c r="V275" i="6"/>
  <c r="V14" i="6"/>
  <c r="V160" i="6"/>
  <c r="V361" i="6"/>
  <c r="V111" i="6"/>
  <c r="V208" i="6"/>
  <c r="V333" i="6"/>
  <c r="V157" i="6"/>
  <c r="V316" i="6"/>
  <c r="V15" i="6"/>
  <c r="V73" i="6"/>
  <c r="V267" i="6"/>
  <c r="V387" i="6"/>
  <c r="V136" i="6"/>
  <c r="V439" i="6"/>
  <c r="V201" i="6"/>
  <c r="V463" i="6"/>
  <c r="V11" i="6"/>
  <c r="V245" i="6"/>
  <c r="V71" i="6"/>
  <c r="V451" i="6"/>
  <c r="V200" i="6"/>
  <c r="V22" i="6"/>
  <c r="V230" i="6"/>
  <c r="V365" i="6"/>
  <c r="V115" i="6"/>
  <c r="V308" i="6"/>
  <c r="V81" i="6"/>
  <c r="V259" i="6"/>
  <c r="V395" i="6"/>
  <c r="V144" i="6"/>
  <c r="V320" i="6"/>
  <c r="V53" i="6"/>
  <c r="V192" i="6"/>
  <c r="V392" i="6"/>
  <c r="V141" i="6"/>
  <c r="V302" i="6"/>
  <c r="V63" i="6"/>
  <c r="V155" i="6"/>
  <c r="V243" i="6"/>
  <c r="V120" i="6"/>
  <c r="V281" i="6"/>
  <c r="V83" i="6"/>
  <c r="V148" i="6"/>
  <c r="V290" i="6"/>
  <c r="V110" i="6"/>
  <c r="V56" i="6"/>
  <c r="V412" i="6"/>
  <c r="V133" i="6"/>
  <c r="V433" i="6"/>
  <c r="V353" i="6"/>
  <c r="V96" i="6"/>
  <c r="V450" i="6"/>
  <c r="V434" i="6"/>
  <c r="V184" i="6"/>
  <c r="V408" i="6"/>
  <c r="V214" i="6"/>
  <c r="V334" i="6"/>
  <c r="V99" i="6"/>
  <c r="V292" i="6"/>
  <c r="V48" i="6"/>
  <c r="V162" i="6"/>
  <c r="V379" i="6"/>
  <c r="V128" i="6"/>
  <c r="V327" i="6"/>
  <c r="V21" i="6"/>
  <c r="V176" i="6"/>
  <c r="V376" i="6"/>
  <c r="V125" i="6"/>
  <c r="V286" i="6"/>
  <c r="V36" i="6"/>
  <c r="V139" i="6"/>
  <c r="V235" i="6"/>
  <c r="V354" i="6"/>
  <c r="V104" i="6"/>
  <c r="V220" i="6"/>
  <c r="V426" i="6"/>
  <c r="V118" i="6"/>
  <c r="V413" i="6"/>
  <c r="V241" i="6"/>
  <c r="V458" i="6"/>
  <c r="V86" i="6"/>
  <c r="V444" i="6"/>
  <c r="V389" i="6"/>
  <c r="V345" i="6"/>
  <c r="V8" i="6"/>
  <c r="V263" i="6"/>
  <c r="V37" i="6"/>
  <c r="V420" i="6"/>
  <c r="V418" i="6"/>
  <c r="V166" i="6"/>
  <c r="V449" i="6"/>
  <c r="V198" i="6"/>
  <c r="V325" i="6"/>
  <c r="V29" i="6"/>
  <c r="V276" i="6"/>
  <c r="V16" i="6"/>
  <c r="V227" i="6"/>
  <c r="V362" i="6"/>
  <c r="V112" i="6"/>
  <c r="V305" i="6"/>
  <c r="V88" i="6"/>
  <c r="V82" i="6"/>
  <c r="V359" i="6"/>
  <c r="V109" i="6"/>
  <c r="V270" i="6"/>
  <c r="V390" i="6"/>
  <c r="V123" i="6"/>
  <c r="V219" i="6"/>
  <c r="V323" i="6"/>
  <c r="V39" i="6"/>
  <c r="V417" i="6"/>
  <c r="V297" i="6"/>
  <c r="V436" i="6"/>
  <c r="V367" i="6"/>
  <c r="V172" i="6"/>
  <c r="V453" i="6"/>
  <c r="V405" i="6"/>
  <c r="V329" i="6"/>
  <c r="V97" i="6"/>
  <c r="V432" i="6"/>
  <c r="V182" i="6"/>
  <c r="V309" i="6"/>
  <c r="V68" i="6"/>
  <c r="V260" i="6"/>
  <c r="V464" i="6"/>
  <c r="V211" i="6"/>
  <c r="V336" i="6"/>
  <c r="V62" i="6"/>
  <c r="V289" i="6"/>
  <c r="V42" i="6"/>
  <c r="V158" i="6"/>
  <c r="V321" i="6"/>
  <c r="V49" i="6"/>
  <c r="V254" i="6"/>
  <c r="V374" i="6"/>
  <c r="V107" i="6"/>
  <c r="V203" i="6"/>
  <c r="V314" i="6"/>
  <c r="V117" i="6"/>
  <c r="V368" i="6"/>
  <c r="V212" i="6"/>
  <c r="V44" i="6"/>
  <c r="V287" i="6"/>
  <c r="V206" i="6"/>
  <c r="V266" i="6"/>
  <c r="V402" i="6"/>
  <c r="V215" i="6"/>
  <c r="V331" i="6"/>
  <c r="V268" i="6"/>
  <c r="V103" i="6"/>
  <c r="V422" i="6"/>
  <c r="V251" i="6"/>
  <c r="V401" i="6"/>
  <c r="V150" i="6"/>
  <c r="V416" i="6"/>
  <c r="V76" i="6"/>
  <c r="V293" i="6"/>
  <c r="V50" i="6"/>
  <c r="V170" i="6"/>
  <c r="V446" i="6"/>
  <c r="V195" i="6"/>
  <c r="V343" i="6"/>
  <c r="V23" i="6"/>
  <c r="V273" i="6"/>
  <c r="V393" i="6"/>
  <c r="V142" i="6"/>
  <c r="V317" i="6"/>
  <c r="V17" i="6"/>
  <c r="V238" i="6"/>
  <c r="V338" i="6"/>
  <c r="V45" i="6"/>
  <c r="V187" i="6"/>
  <c r="V298" i="6"/>
  <c r="V85" i="6"/>
  <c r="U5" i="6"/>
  <c r="H5" i="6"/>
  <c r="W17" i="6"/>
  <c r="W123" i="6"/>
  <c r="W396" i="6"/>
  <c r="W194" i="6"/>
  <c r="W423" i="6"/>
  <c r="W272" i="6"/>
  <c r="W59" i="6"/>
  <c r="W352" i="6"/>
  <c r="W182" i="6"/>
  <c r="W245" i="6"/>
  <c r="W96" i="6"/>
  <c r="W145" i="6"/>
  <c r="W116" i="6"/>
  <c r="W85" i="6"/>
  <c r="W60" i="6"/>
  <c r="W35" i="6"/>
  <c r="W37" i="6"/>
  <c r="W12" i="6"/>
  <c r="W412" i="6"/>
  <c r="W465" i="6"/>
  <c r="W8" i="6"/>
  <c r="W403" i="6"/>
  <c r="W349" i="6"/>
  <c r="W52" i="6" l="1"/>
  <c r="W61" i="6"/>
  <c r="W66" i="6"/>
  <c r="W32" i="6"/>
  <c r="W445" i="6"/>
  <c r="W370" i="6"/>
  <c r="W371" i="6"/>
  <c r="W372" i="6"/>
  <c r="W296" i="6"/>
  <c r="W33" i="6"/>
  <c r="W91" i="6"/>
  <c r="W92" i="6"/>
  <c r="W93" i="6"/>
  <c r="V5" i="6"/>
  <c r="W373" i="6"/>
  <c r="W398" i="6"/>
  <c r="W395" i="6"/>
  <c r="W404" i="6"/>
  <c r="W414" i="6"/>
  <c r="W461" i="6"/>
  <c r="W442" i="6"/>
  <c r="W426" i="6"/>
  <c r="W415" i="6"/>
  <c r="W31" i="6"/>
  <c r="W30" i="6"/>
  <c r="W58" i="6"/>
  <c r="W83" i="6"/>
  <c r="W115" i="6"/>
  <c r="W143" i="6"/>
  <c r="W160" i="6"/>
  <c r="W238" i="6"/>
  <c r="W176" i="6"/>
  <c r="W43" i="6"/>
  <c r="W256" i="6"/>
  <c r="W447" i="6"/>
  <c r="W165" i="6"/>
  <c r="W380" i="6"/>
  <c r="W107" i="6"/>
  <c r="W203" i="6"/>
  <c r="W36" i="6"/>
  <c r="W50" i="6"/>
  <c r="W280" i="6"/>
  <c r="W335" i="6"/>
  <c r="W393" i="6"/>
  <c r="W329" i="6"/>
  <c r="W411" i="6"/>
  <c r="W458" i="6"/>
  <c r="W424" i="6"/>
  <c r="W249" i="6"/>
  <c r="W460" i="6"/>
  <c r="W441" i="6"/>
  <c r="W29" i="6"/>
  <c r="W56" i="6"/>
  <c r="W80" i="6"/>
  <c r="W114" i="6"/>
  <c r="W141" i="6"/>
  <c r="W161" i="6"/>
  <c r="W327" i="6"/>
  <c r="W27" i="6"/>
  <c r="W217" i="6"/>
  <c r="W434" i="6"/>
  <c r="W156" i="6"/>
  <c r="W363" i="6"/>
  <c r="W86" i="6"/>
  <c r="W299" i="6"/>
  <c r="W20" i="6"/>
  <c r="W34" i="6"/>
  <c r="W264" i="6"/>
  <c r="W75" i="6"/>
  <c r="W184" i="6"/>
  <c r="W224" i="6"/>
  <c r="W336" i="6"/>
  <c r="W369" i="6"/>
  <c r="W392" i="6"/>
  <c r="W313" i="6"/>
  <c r="W405" i="6"/>
  <c r="W347" i="6"/>
  <c r="W462" i="6"/>
  <c r="W439" i="6"/>
  <c r="W453" i="6"/>
  <c r="W425" i="6"/>
  <c r="W28" i="6"/>
  <c r="W53" i="6"/>
  <c r="W79" i="6"/>
  <c r="W113" i="6"/>
  <c r="W138" i="6"/>
  <c r="W306" i="6"/>
  <c r="W449" i="6"/>
  <c r="W242" i="6"/>
  <c r="W406" i="6"/>
  <c r="W140" i="6"/>
  <c r="W314" i="6"/>
  <c r="W70" i="6"/>
  <c r="W283" i="6"/>
  <c r="W297" i="6"/>
  <c r="W18" i="6"/>
  <c r="W222" i="6"/>
  <c r="W74" i="6"/>
  <c r="W343" i="6"/>
  <c r="W344" i="6"/>
  <c r="W200" i="6"/>
  <c r="W367" i="6"/>
  <c r="W390" i="6"/>
  <c r="W389" i="6"/>
  <c r="W388" i="6"/>
  <c r="W318" i="6"/>
  <c r="W443" i="6"/>
  <c r="W454" i="6"/>
  <c r="W420" i="6"/>
  <c r="W466" i="6"/>
  <c r="W26" i="6"/>
  <c r="W51" i="6"/>
  <c r="W78" i="6"/>
  <c r="W111" i="6"/>
  <c r="W290" i="6"/>
  <c r="W457" i="6"/>
  <c r="W210" i="6"/>
  <c r="W397" i="6"/>
  <c r="W124" i="6"/>
  <c r="W340" i="6"/>
  <c r="W54" i="6"/>
  <c r="W267" i="6"/>
  <c r="W281" i="6"/>
  <c r="X7" i="6"/>
  <c r="X265" i="6" s="1"/>
  <c r="W233" i="6"/>
  <c r="W456" i="6"/>
  <c r="W294" i="6"/>
  <c r="W293" i="6"/>
  <c r="W251" i="6"/>
  <c r="W337" i="6"/>
  <c r="W365" i="6"/>
  <c r="W362" i="6"/>
  <c r="W360" i="6"/>
  <c r="W387" i="6"/>
  <c r="W407" i="6"/>
  <c r="W400" i="6"/>
  <c r="W437" i="6"/>
  <c r="W463" i="6"/>
  <c r="W444" i="6"/>
  <c r="W24" i="6"/>
  <c r="W48" i="6"/>
  <c r="W77" i="6"/>
  <c r="W274" i="6"/>
  <c r="W422" i="6"/>
  <c r="W248" i="6"/>
  <c r="W381" i="6"/>
  <c r="W108" i="6"/>
  <c r="W219" i="6"/>
  <c r="W38" i="6"/>
  <c r="W236" i="6"/>
  <c r="W265" i="6"/>
  <c r="W413" i="6"/>
  <c r="W175" i="6"/>
  <c r="W459" i="6"/>
  <c r="W266" i="6"/>
  <c r="W263" i="6"/>
  <c r="W292" i="6"/>
  <c r="W211" i="6"/>
  <c r="W321" i="6"/>
  <c r="W315" i="6"/>
  <c r="W250" i="6"/>
  <c r="W359" i="6"/>
  <c r="W386" i="6"/>
  <c r="W384" i="6"/>
  <c r="W408" i="6"/>
  <c r="W428" i="6"/>
  <c r="W455" i="6"/>
  <c r="W435" i="6"/>
  <c r="W21" i="6"/>
  <c r="W47" i="6"/>
  <c r="W258" i="6"/>
  <c r="W452" i="6"/>
  <c r="W158" i="6"/>
  <c r="W364" i="6"/>
  <c r="W87" i="6"/>
  <c r="W301" i="6"/>
  <c r="W22" i="6"/>
  <c r="W177" i="6"/>
  <c r="W228" i="6"/>
  <c r="W10" i="6"/>
  <c r="W171" i="6"/>
  <c r="W209" i="6"/>
  <c r="W185" i="6"/>
  <c r="W262" i="6"/>
  <c r="W291" i="6"/>
  <c r="W195" i="6"/>
  <c r="W187" i="6"/>
  <c r="W252" i="6"/>
  <c r="W338" i="6"/>
  <c r="W339" i="6"/>
  <c r="W357" i="6"/>
  <c r="W382" i="6"/>
  <c r="W345" i="6"/>
  <c r="W451" i="6"/>
  <c r="W438" i="6"/>
  <c r="W432" i="6"/>
  <c r="W19" i="6"/>
  <c r="W172" i="6"/>
  <c r="W399" i="6"/>
  <c r="W142" i="6"/>
  <c r="W319" i="6"/>
  <c r="W71" i="6"/>
  <c r="W285" i="6"/>
  <c r="W464" i="6"/>
  <c r="W199" i="6"/>
  <c r="W237" i="6"/>
  <c r="W440" i="6"/>
  <c r="W169" i="6"/>
  <c r="W225" i="6"/>
  <c r="W90" i="6"/>
  <c r="W230" i="6"/>
  <c r="W218" i="6"/>
  <c r="W241" i="6"/>
  <c r="W261" i="6"/>
  <c r="W289" i="6"/>
  <c r="W287" i="6"/>
  <c r="W284" i="6"/>
  <c r="W174" i="6"/>
  <c r="W309" i="6"/>
  <c r="W324" i="6"/>
  <c r="W355" i="6"/>
  <c r="W379" i="6"/>
  <c r="W330" i="6"/>
  <c r="W9" i="6"/>
  <c r="W450" i="6"/>
  <c r="W348" i="6"/>
  <c r="W188" i="6"/>
  <c r="W333" i="6"/>
  <c r="W126" i="6"/>
  <c r="W323" i="6"/>
  <c r="W55" i="6"/>
  <c r="W269" i="6"/>
  <c r="W436" i="6"/>
  <c r="W173" i="6"/>
  <c r="W183" i="6"/>
  <c r="W235" i="6"/>
  <c r="W150" i="6"/>
  <c r="W295" i="6"/>
  <c r="W234" i="6"/>
  <c r="W136" i="6"/>
  <c r="W170" i="6"/>
  <c r="W162" i="6"/>
  <c r="W202" i="6"/>
  <c r="W229" i="6"/>
  <c r="W260" i="6"/>
  <c r="W259" i="6"/>
  <c r="W257" i="6"/>
  <c r="W282" i="6"/>
  <c r="W279" i="6"/>
  <c r="W308" i="6"/>
  <c r="W341" i="6"/>
  <c r="W354" i="6"/>
  <c r="W377" i="6"/>
  <c r="W331" i="6"/>
  <c r="W402" i="6"/>
  <c r="W410" i="6"/>
  <c r="W226" i="6"/>
  <c r="W383" i="6"/>
  <c r="W110" i="6"/>
  <c r="W227" i="6"/>
  <c r="W39" i="6"/>
  <c r="W253" i="6"/>
  <c r="W427" i="6"/>
  <c r="W167" i="6"/>
  <c r="W246" i="6"/>
  <c r="W216" i="6"/>
  <c r="W134" i="6"/>
  <c r="W268" i="6"/>
  <c r="W109" i="6"/>
  <c r="W133" i="6"/>
  <c r="W132" i="6"/>
  <c r="W97" i="6"/>
  <c r="W178" i="6"/>
  <c r="W220" i="6"/>
  <c r="W212" i="6"/>
  <c r="W204" i="6"/>
  <c r="W255" i="6"/>
  <c r="W240" i="6"/>
  <c r="W278" i="6"/>
  <c r="W307" i="6"/>
  <c r="W325" i="6"/>
  <c r="W353" i="6"/>
  <c r="W376" i="6"/>
  <c r="W239" i="6"/>
  <c r="W431" i="6"/>
  <c r="W189" i="6"/>
  <c r="W366" i="6"/>
  <c r="W89" i="6"/>
  <c r="W302" i="6"/>
  <c r="W23" i="6"/>
  <c r="W193" i="6"/>
  <c r="W231" i="6"/>
  <c r="W153" i="6"/>
  <c r="W168" i="6"/>
  <c r="W391" i="6"/>
  <c r="W118" i="6"/>
  <c r="W76" i="6"/>
  <c r="W106" i="6"/>
  <c r="W104" i="6"/>
  <c r="W131" i="6"/>
  <c r="W159" i="6"/>
  <c r="W163" i="6"/>
  <c r="W247" i="6"/>
  <c r="W221" i="6"/>
  <c r="W196" i="6"/>
  <c r="W180" i="6"/>
  <c r="W232" i="6"/>
  <c r="W277" i="6"/>
  <c r="W305" i="6"/>
  <c r="W208" i="6"/>
  <c r="W351" i="6"/>
  <c r="W374" i="6"/>
  <c r="W421" i="6"/>
  <c r="W350" i="6"/>
  <c r="W73" i="6"/>
  <c r="W286" i="6"/>
  <c r="W419" i="6"/>
  <c r="W215" i="6"/>
  <c r="W11" i="6"/>
  <c r="W137" i="6"/>
  <c r="W151" i="6"/>
  <c r="W375" i="6"/>
  <c r="W102" i="6"/>
  <c r="W46" i="6"/>
  <c r="W45" i="6"/>
  <c r="W72" i="6"/>
  <c r="W101" i="6"/>
  <c r="W130" i="6"/>
  <c r="W157" i="6"/>
  <c r="W154" i="6"/>
  <c r="W152" i="6"/>
  <c r="W213" i="6"/>
  <c r="W205" i="6"/>
  <c r="W243" i="6"/>
  <c r="W214" i="6"/>
  <c r="W276" i="6"/>
  <c r="W303" i="6"/>
  <c r="W342" i="6"/>
  <c r="W334" i="6"/>
  <c r="W317" i="6"/>
  <c r="W144" i="6"/>
  <c r="W322" i="6"/>
  <c r="W57" i="6"/>
  <c r="W270" i="6"/>
  <c r="W310" i="6"/>
  <c r="W186" i="6"/>
  <c r="W394" i="6"/>
  <c r="W121" i="6"/>
  <c r="W135" i="6"/>
  <c r="W358" i="6"/>
  <c r="W81" i="6"/>
  <c r="W16" i="6"/>
  <c r="W15" i="6"/>
  <c r="W44" i="6"/>
  <c r="W69" i="6"/>
  <c r="W100" i="6"/>
  <c r="W129" i="6"/>
  <c r="W127" i="6"/>
  <c r="W125" i="6"/>
  <c r="W149" i="6"/>
  <c r="W148" i="6"/>
  <c r="W197" i="6"/>
  <c r="W207" i="6"/>
  <c r="W206" i="6"/>
  <c r="W275" i="6"/>
  <c r="W300" i="6"/>
  <c r="W326" i="6"/>
  <c r="W192" i="6"/>
  <c r="W128" i="6"/>
  <c r="W328" i="6"/>
  <c r="W41" i="6"/>
  <c r="W254" i="6"/>
  <c r="W430" i="6"/>
  <c r="W166" i="6"/>
  <c r="W378" i="6"/>
  <c r="W105" i="6"/>
  <c r="W119" i="6"/>
  <c r="W320" i="6"/>
  <c r="W65" i="6"/>
  <c r="W433" i="6"/>
  <c r="W429" i="6"/>
  <c r="W14" i="6"/>
  <c r="W42" i="6"/>
  <c r="W67" i="6"/>
  <c r="W99" i="6"/>
  <c r="W98" i="6"/>
  <c r="W122" i="6"/>
  <c r="W120" i="6"/>
  <c r="W147" i="6"/>
  <c r="W181" i="6"/>
  <c r="W191" i="6"/>
  <c r="W198" i="6"/>
  <c r="W273" i="6"/>
  <c r="W298" i="6"/>
  <c r="W385" i="6"/>
  <c r="W112" i="6"/>
  <c r="W304" i="6"/>
  <c r="W25" i="6"/>
  <c r="W201" i="6"/>
  <c r="W418" i="6"/>
  <c r="W155" i="6"/>
  <c r="W361" i="6"/>
  <c r="W84" i="6"/>
  <c r="W103" i="6"/>
  <c r="W316" i="6"/>
  <c r="W49" i="6"/>
  <c r="W401" i="6"/>
  <c r="W446" i="6"/>
  <c r="W346" i="6"/>
  <c r="W417" i="6"/>
  <c r="W409" i="6"/>
  <c r="W448" i="6"/>
  <c r="W13" i="6"/>
  <c r="W40" i="6"/>
  <c r="W64" i="6"/>
  <c r="W63" i="6"/>
  <c r="W62" i="6"/>
  <c r="W95" i="6"/>
  <c r="W88" i="6"/>
  <c r="W117" i="6"/>
  <c r="W146" i="6"/>
  <c r="W164" i="6"/>
  <c r="W244" i="6"/>
  <c r="W190" i="6"/>
  <c r="W271" i="6"/>
  <c r="W368" i="6"/>
  <c r="W94" i="6"/>
  <c r="W288" i="6"/>
  <c r="W416" i="6"/>
  <c r="W223" i="6"/>
  <c r="W332" i="6"/>
  <c r="W139" i="6"/>
  <c r="W311" i="6"/>
  <c r="W68" i="6"/>
  <c r="W82" i="6"/>
  <c r="W179" i="6"/>
  <c r="X379" i="6" l="1"/>
  <c r="X290" i="6"/>
  <c r="X163" i="6"/>
  <c r="X462" i="6"/>
  <c r="X315" i="6"/>
  <c r="X71" i="6"/>
  <c r="X347" i="6"/>
  <c r="X370" i="6"/>
  <c r="X371" i="6"/>
  <c r="X372" i="6"/>
  <c r="X264" i="6"/>
  <c r="X280" i="6"/>
  <c r="X435" i="6"/>
  <c r="X407" i="6"/>
  <c r="X77" i="6"/>
  <c r="X66" i="6"/>
  <c r="X13" i="6"/>
  <c r="X28" i="6"/>
  <c r="X445" i="6"/>
  <c r="X421" i="6"/>
  <c r="X79" i="6"/>
  <c r="X162" i="6"/>
  <c r="X26" i="6"/>
  <c r="X313" i="6"/>
  <c r="X244" i="6"/>
  <c r="X213" i="6"/>
  <c r="X438" i="6"/>
  <c r="X304" i="6"/>
  <c r="X80" i="6"/>
  <c r="X423" i="6"/>
  <c r="X410" i="6"/>
  <c r="X362" i="6"/>
  <c r="X220" i="6"/>
  <c r="X436" i="6"/>
  <c r="X245" i="6"/>
  <c r="X306" i="6"/>
  <c r="X319" i="6"/>
  <c r="X176" i="6"/>
  <c r="X85" i="6"/>
  <c r="X130" i="6"/>
  <c r="X388" i="6"/>
  <c r="X353" i="6"/>
  <c r="X147" i="6"/>
  <c r="X338" i="6"/>
  <c r="X284" i="6"/>
  <c r="X268" i="6"/>
  <c r="X188" i="6"/>
  <c r="X324" i="6"/>
  <c r="X346" i="6"/>
  <c r="X29" i="6"/>
  <c r="X91" i="6"/>
  <c r="X92" i="6"/>
  <c r="X93" i="6"/>
  <c r="X352" i="6"/>
  <c r="X166" i="6"/>
  <c r="X282" i="6"/>
  <c r="X90" i="6"/>
  <c r="X64" i="6"/>
  <c r="X69" i="6"/>
  <c r="X331" i="6"/>
  <c r="X150" i="6"/>
  <c r="X27" i="6"/>
  <c r="X399" i="6"/>
  <c r="X266" i="6"/>
  <c r="X82" i="6"/>
  <c r="X461" i="6"/>
  <c r="X281" i="6"/>
  <c r="X165" i="6"/>
  <c r="X87" i="6"/>
  <c r="W5" i="6"/>
  <c r="X463" i="6"/>
  <c r="X418" i="6"/>
  <c r="X99" i="6"/>
  <c r="X342" i="6"/>
  <c r="X376" i="6"/>
  <c r="X10" i="6"/>
  <c r="X426" i="6"/>
  <c r="X259" i="6"/>
  <c r="X322" i="6"/>
  <c r="X240" i="6"/>
  <c r="X174" i="6"/>
  <c r="X43" i="6"/>
  <c r="X232" i="6"/>
  <c r="X228" i="6"/>
  <c r="X222" i="6"/>
  <c r="X427" i="6"/>
  <c r="X184" i="6"/>
  <c r="X205" i="6"/>
  <c r="X391" i="6"/>
  <c r="X134" i="6"/>
  <c r="X149" i="6"/>
  <c r="X403" i="6"/>
  <c r="X146" i="6"/>
  <c r="X328" i="6"/>
  <c r="X51" i="6"/>
  <c r="X49" i="6"/>
  <c r="X48" i="6"/>
  <c r="X46" i="6"/>
  <c r="X75" i="6"/>
  <c r="X301" i="6"/>
  <c r="X411" i="6"/>
  <c r="X185" i="6"/>
  <c r="X22" i="6"/>
  <c r="X237" i="6"/>
  <c r="X133" i="6"/>
  <c r="X25" i="6"/>
  <c r="X24" i="6"/>
  <c r="X74" i="6"/>
  <c r="X452" i="6"/>
  <c r="X384" i="6"/>
  <c r="X417" i="6"/>
  <c r="X181" i="6"/>
  <c r="X343" i="6"/>
  <c r="X373" i="6"/>
  <c r="Y7" i="6"/>
  <c r="Y224" i="6" s="1"/>
  <c r="X457" i="6"/>
  <c r="X182" i="6"/>
  <c r="X207" i="6"/>
  <c r="X283" i="6"/>
  <c r="X348" i="6"/>
  <c r="X191" i="6"/>
  <c r="X183" i="6"/>
  <c r="X175" i="6"/>
  <c r="X409" i="6"/>
  <c r="X152" i="6"/>
  <c r="X167" i="6"/>
  <c r="X358" i="6"/>
  <c r="X102" i="6"/>
  <c r="X117" i="6"/>
  <c r="X114" i="6"/>
  <c r="X288" i="6"/>
  <c r="X287" i="6"/>
  <c r="X286" i="6"/>
  <c r="X285" i="6"/>
  <c r="X52" i="6"/>
  <c r="X456" i="6"/>
  <c r="X9" i="6"/>
  <c r="X359" i="6"/>
  <c r="X448" i="6"/>
  <c r="X416" i="6"/>
  <c r="X297" i="6"/>
  <c r="X252" i="6"/>
  <c r="X394" i="6"/>
  <c r="X437" i="6"/>
  <c r="X116" i="6"/>
  <c r="X178" i="6"/>
  <c r="X267" i="6"/>
  <c r="X460" i="6"/>
  <c r="X246" i="6"/>
  <c r="X247" i="6"/>
  <c r="X221" i="6"/>
  <c r="X393" i="6"/>
  <c r="X136" i="6"/>
  <c r="X151" i="6"/>
  <c r="X337" i="6"/>
  <c r="X78" i="6"/>
  <c r="X101" i="6"/>
  <c r="X354" i="6"/>
  <c r="X98" i="6"/>
  <c r="X272" i="6"/>
  <c r="X271" i="6"/>
  <c r="X270" i="6"/>
  <c r="X269" i="6"/>
  <c r="X36" i="6"/>
  <c r="X459" i="6"/>
  <c r="X405" i="6"/>
  <c r="X323" i="6"/>
  <c r="X404" i="6"/>
  <c r="X465" i="6"/>
  <c r="X73" i="6"/>
  <c r="X251" i="6"/>
  <c r="X368" i="6"/>
  <c r="X11" i="6"/>
  <c r="X455" i="6"/>
  <c r="X224" i="6"/>
  <c r="X236" i="6"/>
  <c r="X414" i="6"/>
  <c r="X208" i="6"/>
  <c r="X200" i="6"/>
  <c r="X192" i="6"/>
  <c r="X377" i="6"/>
  <c r="X120" i="6"/>
  <c r="X135" i="6"/>
  <c r="X326" i="6"/>
  <c r="X57" i="6"/>
  <c r="X56" i="6"/>
  <c r="X187" i="6"/>
  <c r="X89" i="6"/>
  <c r="X256" i="6"/>
  <c r="X255" i="6"/>
  <c r="X254" i="6"/>
  <c r="X253" i="6"/>
  <c r="X20" i="6"/>
  <c r="X392" i="6"/>
  <c r="X307" i="6"/>
  <c r="X381" i="6"/>
  <c r="X333" i="6"/>
  <c r="X413" i="6"/>
  <c r="X291" i="6"/>
  <c r="X211" i="6"/>
  <c r="X389" i="6"/>
  <c r="X419" i="6"/>
  <c r="X83" i="6"/>
  <c r="X177" i="6"/>
  <c r="X466" i="6"/>
  <c r="X171" i="6"/>
  <c r="X170" i="6"/>
  <c r="X169" i="6"/>
  <c r="X360" i="6"/>
  <c r="X104" i="6"/>
  <c r="X119" i="6"/>
  <c r="X309" i="6"/>
  <c r="X37" i="6"/>
  <c r="X35" i="6"/>
  <c r="X344" i="6"/>
  <c r="X53" i="6"/>
  <c r="X217" i="6"/>
  <c r="X209" i="6"/>
  <c r="X201" i="6"/>
  <c r="X193" i="6"/>
  <c r="X50" i="6"/>
  <c r="X424" i="6"/>
  <c r="X397" i="6"/>
  <c r="X132" i="6"/>
  <c r="X299" i="6"/>
  <c r="X233" i="6"/>
  <c r="X382" i="6"/>
  <c r="X196" i="6"/>
  <c r="X355" i="6"/>
  <c r="X400" i="6"/>
  <c r="X430" i="6"/>
  <c r="X164" i="6"/>
  <c r="X329" i="6"/>
  <c r="X365" i="6"/>
  <c r="X434" i="6"/>
  <c r="X157" i="6"/>
  <c r="X199" i="6"/>
  <c r="X332" i="6"/>
  <c r="X155" i="6"/>
  <c r="X154" i="6"/>
  <c r="X153" i="6"/>
  <c r="X320" i="6"/>
  <c r="X81" i="6"/>
  <c r="X103" i="6"/>
  <c r="X293" i="6"/>
  <c r="X12" i="6"/>
  <c r="X95" i="6"/>
  <c r="X305" i="6"/>
  <c r="X30" i="6"/>
  <c r="X242" i="6"/>
  <c r="X243" i="6"/>
  <c r="X223" i="6"/>
  <c r="X215" i="6"/>
  <c r="X34" i="6"/>
  <c r="X350" i="6"/>
  <c r="X118" i="6"/>
  <c r="X367" i="6"/>
  <c r="X100" i="6"/>
  <c r="X316" i="6"/>
  <c r="X378" i="6"/>
  <c r="X349" i="6"/>
  <c r="X442" i="6"/>
  <c r="X275" i="6"/>
  <c r="X250" i="6"/>
  <c r="X179" i="6"/>
  <c r="X141" i="6"/>
  <c r="X173" i="6"/>
  <c r="X396" i="6"/>
  <c r="X139" i="6"/>
  <c r="X138" i="6"/>
  <c r="X137" i="6"/>
  <c r="X219" i="6"/>
  <c r="X59" i="6"/>
  <c r="X88" i="6"/>
  <c r="X277" i="6"/>
  <c r="X292" i="6"/>
  <c r="X55" i="6"/>
  <c r="X289" i="6"/>
  <c r="X429" i="6"/>
  <c r="X210" i="6"/>
  <c r="X202" i="6"/>
  <c r="X194" i="6"/>
  <c r="X186" i="6"/>
  <c r="X18" i="6"/>
  <c r="X408" i="6"/>
  <c r="X375" i="6"/>
  <c r="X357" i="6"/>
  <c r="X422" i="6"/>
  <c r="X302" i="6"/>
  <c r="X351" i="6"/>
  <c r="X398" i="6"/>
  <c r="X443" i="6"/>
  <c r="X148" i="6"/>
  <c r="X312" i="6"/>
  <c r="X385" i="6"/>
  <c r="X125" i="6"/>
  <c r="X216" i="6"/>
  <c r="X380" i="6"/>
  <c r="X123" i="6"/>
  <c r="X122" i="6"/>
  <c r="X121" i="6"/>
  <c r="X311" i="6"/>
  <c r="X39" i="6"/>
  <c r="X58" i="6"/>
  <c r="X261" i="6"/>
  <c r="X276" i="6"/>
  <c r="X33" i="6"/>
  <c r="X273" i="6"/>
  <c r="X433" i="6"/>
  <c r="X239" i="6"/>
  <c r="X235" i="6"/>
  <c r="X231" i="6"/>
  <c r="X227" i="6"/>
  <c r="X63" i="6"/>
  <c r="X387" i="6"/>
  <c r="X321" i="6"/>
  <c r="X420" i="6"/>
  <c r="X226" i="6"/>
  <c r="X195" i="6"/>
  <c r="X374" i="6"/>
  <c r="X8" i="6"/>
  <c r="X428" i="6"/>
  <c r="X258" i="6"/>
  <c r="X361" i="6"/>
  <c r="X109" i="6"/>
  <c r="X67" i="6"/>
  <c r="X363" i="6"/>
  <c r="X107" i="6"/>
  <c r="X106" i="6"/>
  <c r="X105" i="6"/>
  <c r="X295" i="6"/>
  <c r="X16" i="6"/>
  <c r="X38" i="6"/>
  <c r="X198" i="6"/>
  <c r="X260" i="6"/>
  <c r="X72" i="6"/>
  <c r="X257" i="6"/>
  <c r="X458" i="6"/>
  <c r="X97" i="6"/>
  <c r="X86" i="6"/>
  <c r="X70" i="6"/>
  <c r="X47" i="6"/>
  <c r="X325" i="6"/>
  <c r="X441" i="6"/>
  <c r="X449" i="6"/>
  <c r="X300" i="6"/>
  <c r="X334" i="6"/>
  <c r="X395" i="6"/>
  <c r="X454" i="6"/>
  <c r="X131" i="6"/>
  <c r="X339" i="6"/>
  <c r="X65" i="6"/>
  <c r="X156" i="6"/>
  <c r="X335" i="6"/>
  <c r="X84" i="6"/>
  <c r="X68" i="6"/>
  <c r="X94" i="6"/>
  <c r="X279" i="6"/>
  <c r="X294" i="6"/>
  <c r="X14" i="6"/>
  <c r="X212" i="6"/>
  <c r="X190" i="6"/>
  <c r="X54" i="6"/>
  <c r="X225" i="6"/>
  <c r="X203" i="6"/>
  <c r="X161" i="6"/>
  <c r="X160" i="6"/>
  <c r="X159" i="6"/>
  <c r="X158" i="6"/>
  <c r="X31" i="6"/>
  <c r="X241" i="6"/>
  <c r="X317" i="6"/>
  <c r="X406" i="6"/>
  <c r="X444" i="6"/>
  <c r="X248" i="6"/>
  <c r="X327" i="6"/>
  <c r="X330" i="6"/>
  <c r="X439" i="6"/>
  <c r="X308" i="6"/>
  <c r="X44" i="6"/>
  <c r="X140" i="6"/>
  <c r="X341" i="6"/>
  <c r="X62" i="6"/>
  <c r="X61" i="6"/>
  <c r="X60" i="6"/>
  <c r="X263" i="6"/>
  <c r="X278" i="6"/>
  <c r="X432" i="6"/>
  <c r="X238" i="6"/>
  <c r="X204" i="6"/>
  <c r="X32" i="6"/>
  <c r="X180" i="6"/>
  <c r="X402" i="6"/>
  <c r="X145" i="6"/>
  <c r="X144" i="6"/>
  <c r="X143" i="6"/>
  <c r="X142" i="6"/>
  <c r="X15" i="6"/>
  <c r="X425" i="6"/>
  <c r="X310" i="6"/>
  <c r="X415" i="6"/>
  <c r="X412" i="6"/>
  <c r="X303" i="6"/>
  <c r="X383" i="6"/>
  <c r="X431" i="6"/>
  <c r="X446" i="6"/>
  <c r="X296" i="6"/>
  <c r="X336" i="6"/>
  <c r="X390" i="6"/>
  <c r="X451" i="6"/>
  <c r="X172" i="6"/>
  <c r="X23" i="6"/>
  <c r="X124" i="6"/>
  <c r="X314" i="6"/>
  <c r="X42" i="6"/>
  <c r="X41" i="6"/>
  <c r="X40" i="6"/>
  <c r="X214" i="6"/>
  <c r="X262" i="6"/>
  <c r="X453" i="6"/>
  <c r="X197" i="6"/>
  <c r="X234" i="6"/>
  <c r="X464" i="6"/>
  <c r="X218" i="6"/>
  <c r="X386" i="6"/>
  <c r="X129" i="6"/>
  <c r="X128" i="6"/>
  <c r="X127" i="6"/>
  <c r="X126" i="6"/>
  <c r="X45" i="6"/>
  <c r="X168" i="6"/>
  <c r="X230" i="6"/>
  <c r="X274" i="6"/>
  <c r="X340" i="6"/>
  <c r="X401" i="6"/>
  <c r="X447" i="6"/>
  <c r="X96" i="6"/>
  <c r="X345" i="6"/>
  <c r="X366" i="6"/>
  <c r="X318" i="6"/>
  <c r="X115" i="6"/>
  <c r="X364" i="6"/>
  <c r="X108" i="6"/>
  <c r="X298" i="6"/>
  <c r="X21" i="6"/>
  <c r="X19" i="6"/>
  <c r="X17" i="6"/>
  <c r="X229" i="6"/>
  <c r="X206" i="6"/>
  <c r="X440" i="6"/>
  <c r="X76" i="6"/>
  <c r="X189" i="6"/>
  <c r="X450" i="6"/>
  <c r="X249" i="6"/>
  <c r="X369" i="6"/>
  <c r="X113" i="6"/>
  <c r="X112" i="6"/>
  <c r="X111" i="6"/>
  <c r="X110" i="6"/>
  <c r="Y14" i="6"/>
  <c r="Y99" i="6"/>
  <c r="Y115" i="6"/>
  <c r="Y100" i="6"/>
  <c r="Y193" i="6"/>
  <c r="Y307" i="6"/>
  <c r="Y120" i="6"/>
  <c r="Y213" i="6"/>
  <c r="Y235" i="6"/>
  <c r="Y106" i="6"/>
  <c r="Y199" i="6"/>
  <c r="Y215" i="6"/>
  <c r="Y56" i="6"/>
  <c r="Y125" i="6"/>
  <c r="Y141" i="6"/>
  <c r="Y347" i="6"/>
  <c r="Y34" i="6"/>
  <c r="Y133" i="6"/>
  <c r="Y12" i="6"/>
  <c r="Y82" i="6"/>
  <c r="Y111" i="6"/>
  <c r="Y389" i="6"/>
  <c r="Y60" i="6"/>
  <c r="Y84" i="6"/>
  <c r="Y265" i="6"/>
  <c r="Y61" i="6"/>
  <c r="Y96" i="6"/>
  <c r="Y457" i="6"/>
  <c r="Y18" i="6"/>
  <c r="Y42" i="6"/>
  <c r="Y142" i="6"/>
  <c r="Y283" i="6"/>
  <c r="Y269" i="6"/>
  <c r="Y119" i="6"/>
  <c r="Y210" i="6"/>
  <c r="Y247" i="6"/>
  <c r="Y144" i="6"/>
  <c r="Y211" i="6"/>
  <c r="Y226" i="6"/>
  <c r="Y71" i="6"/>
  <c r="Y145" i="6"/>
  <c r="Y168" i="6"/>
  <c r="Y331" i="6"/>
  <c r="Y73" i="6"/>
  <c r="Y101" i="6"/>
  <c r="Y262" i="6"/>
  <c r="Y360" i="6"/>
  <c r="Y27" i="6"/>
  <c r="Y422" i="6"/>
  <c r="Y391" i="6"/>
  <c r="Y394" i="6"/>
  <c r="Y338" i="6"/>
  <c r="Y448" i="6"/>
  <c r="Y297" i="6"/>
  <c r="Y80" i="6"/>
  <c r="Y155" i="6"/>
  <c r="Y174" i="6"/>
  <c r="Y401" i="6"/>
  <c r="Y340" i="6"/>
  <c r="Y460" i="6"/>
  <c r="Y64" i="6"/>
  <c r="Y358" i="6"/>
  <c r="Y76" i="6"/>
  <c r="Y412" i="6"/>
  <c r="Y275" i="6"/>
  <c r="Y414" i="6"/>
  <c r="Y172" i="6"/>
  <c r="Y349" i="6"/>
  <c r="Y182" i="6"/>
  <c r="Y437" i="6" l="1"/>
  <c r="Y128" i="6"/>
  <c r="Y320" i="6"/>
  <c r="Y196" i="6"/>
  <c r="Y130" i="6"/>
  <c r="Y423" i="6"/>
  <c r="Y408" i="6"/>
  <c r="Y386" i="6"/>
  <c r="Y49" i="6"/>
  <c r="Y123" i="6"/>
  <c r="Y188" i="6"/>
  <c r="Y187" i="6"/>
  <c r="Y207" i="6"/>
  <c r="Y305" i="6"/>
  <c r="Y16" i="6"/>
  <c r="Y38" i="6"/>
  <c r="Y59" i="6"/>
  <c r="Y9" i="6"/>
  <c r="Y109" i="6"/>
  <c r="Y183" i="6"/>
  <c r="Y197" i="6"/>
  <c r="Y177" i="6"/>
  <c r="Y46" i="6"/>
  <c r="Y253" i="6"/>
  <c r="Y319" i="6"/>
  <c r="Y231" i="6"/>
  <c r="Y17" i="6"/>
  <c r="Y108" i="6"/>
  <c r="Y363" i="6"/>
  <c r="Y447" i="6"/>
  <c r="Y387" i="6"/>
  <c r="Y26" i="6"/>
  <c r="Y98" i="6"/>
  <c r="Y161" i="6"/>
  <c r="Y86" i="6"/>
  <c r="Y185" i="6"/>
  <c r="Y354" i="6"/>
  <c r="Y270" i="6"/>
  <c r="Y13" i="6"/>
  <c r="Y36" i="6"/>
  <c r="Y390" i="6"/>
  <c r="Y72" i="6"/>
  <c r="Y167" i="6"/>
  <c r="Y152" i="6"/>
  <c r="Y162" i="6"/>
  <c r="Y30" i="6"/>
  <c r="Y381" i="6"/>
  <c r="Y267" i="6"/>
  <c r="Y400" i="6"/>
  <c r="Y8" i="6"/>
  <c r="Y57" i="6"/>
  <c r="Y240" i="6"/>
  <c r="Y359" i="6"/>
  <c r="Y444" i="6"/>
  <c r="Y382" i="6"/>
  <c r="Y48" i="6"/>
  <c r="Y121" i="6"/>
  <c r="Y68" i="6"/>
  <c r="Y118" i="6"/>
  <c r="Y433" i="6"/>
  <c r="Y332" i="6"/>
  <c r="Y334" i="6"/>
  <c r="Y357" i="6"/>
  <c r="Y350" i="6"/>
  <c r="Y40" i="6"/>
  <c r="Y69" i="6"/>
  <c r="Y104" i="6"/>
  <c r="Y79" i="6"/>
  <c r="Y75" i="6"/>
  <c r="Y251" i="6"/>
  <c r="Y94" i="6"/>
  <c r="Y254" i="6"/>
  <c r="Y368" i="6"/>
  <c r="Y464" i="6"/>
  <c r="Y24" i="6"/>
  <c r="Y37" i="6"/>
  <c r="Y83" i="6"/>
  <c r="Y47" i="6"/>
  <c r="Y74" i="6"/>
  <c r="Y220" i="6"/>
  <c r="Y373" i="6"/>
  <c r="Y33" i="6"/>
  <c r="Y407" i="6"/>
  <c r="Y22" i="6"/>
  <c r="Y378" i="6"/>
  <c r="Y54" i="6"/>
  <c r="Y295" i="6"/>
  <c r="Y43" i="6"/>
  <c r="Y430" i="6"/>
  <c r="Y429" i="6"/>
  <c r="Y426" i="6"/>
  <c r="Y369" i="6"/>
  <c r="Y51" i="6"/>
  <c r="Y459" i="6"/>
  <c r="Y337" i="6"/>
  <c r="Y303" i="6"/>
  <c r="Y44" i="6"/>
  <c r="Y343" i="6"/>
  <c r="Y245" i="6"/>
  <c r="Y374" i="6"/>
  <c r="Y300" i="6"/>
  <c r="Y452" i="6"/>
  <c r="Y456" i="6"/>
  <c r="Y229" i="6"/>
  <c r="Y329" i="6"/>
  <c r="Y365" i="6"/>
  <c r="Y306" i="6"/>
  <c r="Y15" i="6"/>
  <c r="Y289" i="6"/>
  <c r="Y427" i="6"/>
  <c r="Y105" i="6"/>
  <c r="Y302" i="6"/>
  <c r="Y428" i="6"/>
  <c r="Y129" i="6"/>
  <c r="Y194" i="6"/>
  <c r="Y238" i="6"/>
  <c r="Y346" i="6"/>
  <c r="Y348" i="6"/>
  <c r="Y466" i="6"/>
  <c r="Y465" i="6"/>
  <c r="Y361" i="6"/>
  <c r="Y20" i="6"/>
  <c r="Y327" i="6"/>
  <c r="Y292" i="6"/>
  <c r="Y284" i="6"/>
  <c r="Y388" i="6"/>
  <c r="Y260" i="6"/>
  <c r="Y410" i="6"/>
  <c r="Y395" i="6"/>
  <c r="Y35" i="6"/>
  <c r="Y435" i="6"/>
  <c r="Y421" i="6"/>
  <c r="Y355" i="6"/>
  <c r="Y446" i="6"/>
  <c r="Y217" i="6"/>
  <c r="Y403" i="6"/>
  <c r="Y450" i="6"/>
  <c r="Y107" i="6"/>
  <c r="Y287" i="6"/>
  <c r="Y439" i="6"/>
  <c r="Y366" i="6"/>
  <c r="Y298" i="6"/>
  <c r="Y282" i="6"/>
  <c r="Y276" i="6"/>
  <c r="Y301" i="6"/>
  <c r="Y333" i="6"/>
  <c r="Y352" i="6"/>
  <c r="Y281" i="6"/>
  <c r="Y419" i="6"/>
  <c r="Y383" i="6"/>
  <c r="Y411" i="6"/>
  <c r="Y399" i="6"/>
  <c r="Y342" i="6"/>
  <c r="Y257" i="6"/>
  <c r="Y432" i="6"/>
  <c r="Y67" i="6"/>
  <c r="Y451" i="6"/>
  <c r="Y375" i="6"/>
  <c r="Y431" i="6"/>
  <c r="Y294" i="6"/>
  <c r="Y384" i="6"/>
  <c r="Y191" i="6"/>
  <c r="Y441" i="6"/>
  <c r="Y206" i="6"/>
  <c r="Y151" i="6"/>
  <c r="Y219" i="6"/>
  <c r="Y77" i="6"/>
  <c r="Y127" i="6"/>
  <c r="Y165" i="6"/>
  <c r="Y214" i="6"/>
  <c r="Y309" i="6"/>
  <c r="Y417" i="6"/>
  <c r="Y416" i="6"/>
  <c r="Y463" i="6"/>
  <c r="Y184" i="6"/>
  <c r="Y227" i="6"/>
  <c r="Y304" i="6"/>
  <c r="Y296" i="6"/>
  <c r="Y288" i="6"/>
  <c r="Y264" i="6"/>
  <c r="Y315" i="6"/>
  <c r="Y458" i="6"/>
  <c r="Y453" i="6"/>
  <c r="Y271" i="6"/>
  <c r="Y114" i="6"/>
  <c r="Y25" i="6"/>
  <c r="Y455" i="6"/>
  <c r="Y173" i="6"/>
  <c r="Y10" i="6"/>
  <c r="Y66" i="6"/>
  <c r="Y454" i="6"/>
  <c r="Y31" i="6"/>
  <c r="Y11" i="6"/>
  <c r="Y153" i="6"/>
  <c r="Y418" i="6"/>
  <c r="Y409" i="6"/>
  <c r="Y272" i="6"/>
  <c r="Y321" i="6"/>
  <c r="Y171" i="6"/>
  <c r="Y234" i="6"/>
  <c r="Y259" i="6"/>
  <c r="Y341" i="6"/>
  <c r="Y367" i="6"/>
  <c r="Y268" i="6"/>
  <c r="Y195" i="6"/>
  <c r="Y404" i="6"/>
  <c r="Y242" i="6"/>
  <c r="Y41" i="6"/>
  <c r="Y258" i="6"/>
  <c r="Y32" i="6"/>
  <c r="Y103" i="6"/>
  <c r="Y149" i="6"/>
  <c r="Y190" i="6"/>
  <c r="Y330" i="6"/>
  <c r="Y310" i="6"/>
  <c r="Y335" i="6"/>
  <c r="Y438" i="6"/>
  <c r="Y90" i="6"/>
  <c r="Y204" i="6"/>
  <c r="Y250" i="6"/>
  <c r="Y228" i="6"/>
  <c r="Y222" i="6"/>
  <c r="Y202" i="6"/>
  <c r="Y290" i="6"/>
  <c r="Y440" i="6"/>
  <c r="Y436" i="6"/>
  <c r="Y316" i="6"/>
  <c r="Y89" i="6"/>
  <c r="Y140" i="6"/>
  <c r="Y244" i="6"/>
  <c r="Y434" i="6"/>
  <c r="Y233" i="6"/>
  <c r="Y166" i="6"/>
  <c r="Y255" i="6"/>
  <c r="Y201" i="6"/>
  <c r="Y449" i="6"/>
  <c r="Y28" i="6"/>
  <c r="Y117" i="6"/>
  <c r="Y164" i="6"/>
  <c r="Y405" i="6"/>
  <c r="Y23" i="6"/>
  <c r="Y318" i="6"/>
  <c r="Y425" i="6"/>
  <c r="Y462" i="6"/>
  <c r="Y385" i="6"/>
  <c r="Y52" i="6"/>
  <c r="Y126" i="6"/>
  <c r="Y230" i="6"/>
  <c r="Y263" i="6"/>
  <c r="Y415" i="6"/>
  <c r="Y180" i="6"/>
  <c r="Y203" i="6"/>
  <c r="Y200" i="6"/>
  <c r="Y186" i="6"/>
  <c r="Y345" i="6"/>
  <c r="Y424" i="6"/>
  <c r="Y380" i="6"/>
  <c r="Y256" i="6"/>
  <c r="Y362" i="6"/>
  <c r="Y205" i="6"/>
  <c r="Y221" i="6"/>
  <c r="Y398" i="6"/>
  <c r="Y102" i="6"/>
  <c r="Y146" i="6"/>
  <c r="Y212" i="6"/>
  <c r="Y293" i="6"/>
  <c r="Y285" i="6"/>
  <c r="Y252" i="6"/>
  <c r="Y137" i="6"/>
  <c r="Y179" i="6"/>
  <c r="Y158" i="6"/>
  <c r="Y175" i="6"/>
  <c r="Y163" i="6"/>
  <c r="Y396" i="6"/>
  <c r="Y311" i="6"/>
  <c r="Y97" i="6"/>
  <c r="Y312" i="6"/>
  <c r="Y139" i="6"/>
  <c r="Y239" i="6"/>
  <c r="Y29" i="6"/>
  <c r="Y198" i="6"/>
  <c r="Y406" i="6"/>
  <c r="Y364" i="6"/>
  <c r="Y50" i="6"/>
  <c r="Y124" i="6"/>
  <c r="Y189" i="6"/>
  <c r="Y313" i="6"/>
  <c r="Y291" i="6"/>
  <c r="Y339" i="6"/>
  <c r="Y88" i="6"/>
  <c r="Y113" i="6"/>
  <c r="Y135" i="6"/>
  <c r="Y134" i="6"/>
  <c r="Y156" i="6"/>
  <c r="Y157" i="6"/>
  <c r="Y249" i="6"/>
  <c r="Y237" i="6"/>
  <c r="Y279" i="6"/>
  <c r="Y131" i="6"/>
  <c r="Y325" i="6"/>
  <c r="Y328" i="6"/>
  <c r="Y159" i="6"/>
  <c r="Y223" i="6"/>
  <c r="Y266" i="6"/>
  <c r="Y351" i="6"/>
  <c r="Y402" i="6"/>
  <c r="Y85" i="6"/>
  <c r="Y169" i="6"/>
  <c r="Y344" i="6"/>
  <c r="Y299" i="6"/>
  <c r="Y336" i="6"/>
  <c r="Y323" i="6"/>
  <c r="Y280" i="6"/>
  <c r="Y55" i="6"/>
  <c r="Y150" i="6"/>
  <c r="Y216" i="6"/>
  <c r="Y326" i="6"/>
  <c r="Y443" i="6"/>
  <c r="Y278" i="6"/>
  <c r="Y45" i="6"/>
  <c r="Y87" i="6"/>
  <c r="Y170" i="6"/>
  <c r="Y286" i="6"/>
  <c r="Y39" i="6"/>
  <c r="Y112" i="6"/>
  <c r="Y178" i="6"/>
  <c r="Y241" i="6"/>
  <c r="Y324" i="6"/>
  <c r="Y442" i="6"/>
  <c r="Y53" i="6"/>
  <c r="Y136" i="6"/>
  <c r="Y243" i="6"/>
  <c r="Y445" i="6"/>
  <c r="Y370" i="6"/>
  <c r="Y371" i="6"/>
  <c r="Y372" i="6"/>
  <c r="Y110" i="6"/>
  <c r="Y236" i="6"/>
  <c r="Y273" i="6"/>
  <c r="Y154" i="6"/>
  <c r="Y314" i="6"/>
  <c r="Y377" i="6"/>
  <c r="Y148" i="6"/>
  <c r="Y208" i="6"/>
  <c r="Y81" i="6"/>
  <c r="Y246" i="6"/>
  <c r="Y393" i="6"/>
  <c r="Y138" i="6"/>
  <c r="Y322" i="6"/>
  <c r="Y353" i="6"/>
  <c r="Y132" i="6"/>
  <c r="Y192" i="6"/>
  <c r="Y70" i="6"/>
  <c r="Y143" i="6"/>
  <c r="Y248" i="6"/>
  <c r="Y65" i="6"/>
  <c r="Y160" i="6"/>
  <c r="Y232" i="6"/>
  <c r="Y392" i="6"/>
  <c r="Z7" i="6"/>
  <c r="Z12" i="6" s="1"/>
  <c r="Y58" i="6"/>
  <c r="Y218" i="6"/>
  <c r="Y461" i="6"/>
  <c r="Y122" i="6"/>
  <c r="Y274" i="6"/>
  <c r="Y379" i="6"/>
  <c r="Y116" i="6"/>
  <c r="Y176" i="6"/>
  <c r="X5" i="6"/>
  <c r="Y62" i="6"/>
  <c r="Y91" i="6"/>
  <c r="Y92" i="6"/>
  <c r="Y93" i="6"/>
  <c r="Y413" i="6"/>
  <c r="Y95" i="6"/>
  <c r="Y277" i="6"/>
  <c r="Y21" i="6"/>
  <c r="Y181" i="6"/>
  <c r="Y420" i="6"/>
  <c r="Y63" i="6"/>
  <c r="Y147" i="6"/>
  <c r="Y261" i="6"/>
  <c r="Y19" i="6"/>
  <c r="Y225" i="6"/>
  <c r="Y376" i="6"/>
  <c r="Y78" i="6"/>
  <c r="Y317" i="6"/>
  <c r="Y397" i="6"/>
  <c r="Y209" i="6"/>
  <c r="Y308" i="6"/>
  <c r="Z74" i="6"/>
  <c r="Z32" i="6"/>
  <c r="Z131" i="6"/>
  <c r="Z163" i="6"/>
  <c r="Z178" i="6"/>
  <c r="Z194" i="6"/>
  <c r="Z156" i="6"/>
  <c r="Z359" i="6"/>
  <c r="Z376" i="6"/>
  <c r="Z336" i="6"/>
  <c r="Z302" i="6"/>
  <c r="Z437" i="6" l="1"/>
  <c r="Z295" i="6"/>
  <c r="Z13" i="6"/>
  <c r="Z456" i="6"/>
  <c r="Z337" i="6"/>
  <c r="Z439" i="6"/>
  <c r="Z419" i="6"/>
  <c r="Z265" i="6"/>
  <c r="Z431" i="6"/>
  <c r="Z140" i="6"/>
  <c r="Z459" i="6"/>
  <c r="Z133" i="6"/>
  <c r="Z42" i="6"/>
  <c r="Z150" i="6"/>
  <c r="Z124" i="6"/>
  <c r="Z60" i="6"/>
  <c r="Z377" i="6"/>
  <c r="Z23" i="6"/>
  <c r="Z81" i="6"/>
  <c r="Z8" i="6"/>
  <c r="Z450" i="6"/>
  <c r="Z349" i="6"/>
  <c r="Z417" i="6"/>
  <c r="Z310" i="6"/>
  <c r="Y5" i="6"/>
  <c r="Z384" i="6"/>
  <c r="Z241" i="6"/>
  <c r="Z50" i="6"/>
  <c r="Z112" i="6"/>
  <c r="Z340" i="6"/>
  <c r="Z155" i="6"/>
  <c r="Z64" i="6"/>
  <c r="Z285" i="6"/>
  <c r="Z62" i="6"/>
  <c r="Z85" i="6"/>
  <c r="Z338" i="6"/>
  <c r="Z291" i="6"/>
  <c r="Z123" i="6"/>
  <c r="Z143" i="6"/>
  <c r="Z275" i="6"/>
  <c r="Z244" i="6"/>
  <c r="Z342" i="6"/>
  <c r="Z86" i="6"/>
  <c r="Z458" i="6"/>
  <c r="Z236" i="6"/>
  <c r="Z227" i="6"/>
  <c r="Z274" i="6"/>
  <c r="Z251" i="6"/>
  <c r="Z300" i="6"/>
  <c r="Z402" i="6"/>
  <c r="Z255" i="6"/>
  <c r="Z399" i="6"/>
  <c r="Z204" i="6"/>
  <c r="Z386" i="6"/>
  <c r="Z343" i="6"/>
  <c r="Z250" i="6"/>
  <c r="Z266" i="6"/>
  <c r="Z335" i="6"/>
  <c r="Z231" i="6"/>
  <c r="Z404" i="6"/>
  <c r="Z130" i="6"/>
  <c r="Z368" i="6"/>
  <c r="Z114" i="6"/>
  <c r="Z268" i="6"/>
  <c r="Z83" i="6"/>
  <c r="Z319" i="6"/>
  <c r="Z322" i="6"/>
  <c r="Z328" i="6"/>
  <c r="Z243" i="6"/>
  <c r="Z247" i="6"/>
  <c r="Z463" i="6"/>
  <c r="Z421" i="6"/>
  <c r="Z117" i="6"/>
  <c r="Z37" i="6"/>
  <c r="Z139" i="6"/>
  <c r="Z442" i="6"/>
  <c r="Z230" i="6"/>
  <c r="Z360" i="6"/>
  <c r="Z326" i="6"/>
  <c r="Z237" i="6"/>
  <c r="Z347" i="6"/>
  <c r="Z352" i="6"/>
  <c r="Z305" i="6"/>
  <c r="Z110" i="6"/>
  <c r="Z61" i="6"/>
  <c r="Z287" i="6"/>
  <c r="Z390" i="6"/>
  <c r="Z466" i="6"/>
  <c r="Z43" i="6"/>
  <c r="Z333" i="6"/>
  <c r="Z369" i="6"/>
  <c r="Z196" i="6"/>
  <c r="Z332" i="6"/>
  <c r="Z448" i="6"/>
  <c r="Z25" i="6"/>
  <c r="Z254" i="6"/>
  <c r="Z51" i="6"/>
  <c r="Z353" i="6"/>
  <c r="Z434" i="6"/>
  <c r="Z278" i="6"/>
  <c r="Z206" i="6"/>
  <c r="Z424" i="6"/>
  <c r="Z55" i="6"/>
  <c r="Z341" i="6"/>
  <c r="Z358" i="6"/>
  <c r="Z173" i="6"/>
  <c r="Z392" i="6"/>
  <c r="Z303" i="6"/>
  <c r="Z31" i="6"/>
  <c r="Z220" i="6"/>
  <c r="Z415" i="6"/>
  <c r="Z108" i="6"/>
  <c r="Z107" i="6"/>
  <c r="Z280" i="6"/>
  <c r="Z272" i="6"/>
  <c r="Z314" i="6"/>
  <c r="Z215" i="6"/>
  <c r="Z214" i="6"/>
  <c r="Z211" i="6"/>
  <c r="Z455" i="6"/>
  <c r="Z147" i="6"/>
  <c r="Z281" i="6"/>
  <c r="Z72" i="6"/>
  <c r="Z307" i="6"/>
  <c r="Z105" i="6"/>
  <c r="Z52" i="6"/>
  <c r="Z375" i="6"/>
  <c r="Z428" i="6"/>
  <c r="Z69" i="6"/>
  <c r="Z306" i="6"/>
  <c r="Z391" i="6"/>
  <c r="Z189" i="6"/>
  <c r="Z410" i="6"/>
  <c r="Z29" i="6"/>
  <c r="Z269" i="6"/>
  <c r="Z327" i="6"/>
  <c r="Z361" i="6"/>
  <c r="Z188" i="6"/>
  <c r="Z311" i="6"/>
  <c r="Z90" i="6"/>
  <c r="Z79" i="6"/>
  <c r="Z316" i="6"/>
  <c r="Z315" i="6"/>
  <c r="Z403" i="6"/>
  <c r="Z183" i="6"/>
  <c r="Z182" i="6"/>
  <c r="Z179" i="6"/>
  <c r="Z422" i="6"/>
  <c r="Z115" i="6"/>
  <c r="Z282" i="6"/>
  <c r="Z34" i="6"/>
  <c r="Z240" i="6"/>
  <c r="Z82" i="6"/>
  <c r="Z92" i="6"/>
  <c r="Z94" i="6"/>
  <c r="Z199" i="6"/>
  <c r="Z195" i="6"/>
  <c r="Z276" i="6"/>
  <c r="Z383" i="6"/>
  <c r="Z172" i="6"/>
  <c r="Z45" i="6"/>
  <c r="Z44" i="6"/>
  <c r="Z233" i="6"/>
  <c r="Z232" i="6"/>
  <c r="Z362" i="6"/>
  <c r="Z168" i="6"/>
  <c r="Z167" i="6"/>
  <c r="Z164" i="6"/>
  <c r="Z388" i="6"/>
  <c r="Z98" i="6"/>
  <c r="Z253" i="6"/>
  <c r="Z15" i="6"/>
  <c r="Z224" i="6"/>
  <c r="Z49" i="6"/>
  <c r="Z91" i="6"/>
  <c r="Z71" i="6"/>
  <c r="Z242" i="6"/>
  <c r="Z228" i="6"/>
  <c r="Z271" i="6"/>
  <c r="Z408" i="6"/>
  <c r="Z159" i="6"/>
  <c r="Z339" i="6"/>
  <c r="Z405" i="6"/>
  <c r="Z197" i="6"/>
  <c r="Z418" i="6"/>
  <c r="Z47" i="6"/>
  <c r="Z293" i="6"/>
  <c r="Z350" i="6"/>
  <c r="Z165" i="6"/>
  <c r="Z248" i="6"/>
  <c r="Z262" i="6"/>
  <c r="Z157" i="6"/>
  <c r="Z312" i="6"/>
  <c r="Z27" i="6"/>
  <c r="Z26" i="6"/>
  <c r="Z217" i="6"/>
  <c r="Z216" i="6"/>
  <c r="Z462" i="6"/>
  <c r="Z152" i="6"/>
  <c r="Z151" i="6"/>
  <c r="Z148" i="6"/>
  <c r="Z289" i="6"/>
  <c r="Z89" i="6"/>
  <c r="Z313" i="6"/>
  <c r="Z385" i="6"/>
  <c r="Z208" i="6"/>
  <c r="Z33" i="6"/>
  <c r="AA7" i="6"/>
  <c r="AA262" i="6" s="1"/>
  <c r="Z87" i="6"/>
  <c r="Z329" i="6"/>
  <c r="Z460" i="6"/>
  <c r="Z134" i="6"/>
  <c r="Z257" i="6"/>
  <c r="Z181" i="6"/>
  <c r="Z238" i="6"/>
  <c r="Z440" i="6"/>
  <c r="Z100" i="6"/>
  <c r="Z239" i="6"/>
  <c r="Z449" i="6"/>
  <c r="Z141" i="6"/>
  <c r="Z296" i="6"/>
  <c r="Z288" i="6"/>
  <c r="Z270" i="6"/>
  <c r="Z201" i="6"/>
  <c r="Z200" i="6"/>
  <c r="Z443" i="6"/>
  <c r="Z136" i="6"/>
  <c r="Z135" i="6"/>
  <c r="Z132" i="6"/>
  <c r="Z321" i="6"/>
  <c r="Z53" i="6"/>
  <c r="Z246" i="6"/>
  <c r="Z378" i="6"/>
  <c r="Z192" i="6"/>
  <c r="Z17" i="6"/>
  <c r="Z126" i="6"/>
  <c r="Z365" i="6"/>
  <c r="Z221" i="6"/>
  <c r="Z425" i="6"/>
  <c r="Z258" i="6"/>
  <c r="Z174" i="6"/>
  <c r="Z396" i="6"/>
  <c r="Z19" i="6"/>
  <c r="Z223" i="6"/>
  <c r="Z432" i="6"/>
  <c r="Z125" i="6"/>
  <c r="Z267" i="6"/>
  <c r="Z259" i="6"/>
  <c r="Z357" i="6"/>
  <c r="Z185" i="6"/>
  <c r="Z184" i="6"/>
  <c r="Z427" i="6"/>
  <c r="Z120" i="6"/>
  <c r="Z119" i="6"/>
  <c r="Z116" i="6"/>
  <c r="Z290" i="6"/>
  <c r="Z35" i="6"/>
  <c r="Z73" i="6"/>
  <c r="Z406" i="6"/>
  <c r="Z176" i="6"/>
  <c r="Z14" i="6"/>
  <c r="Z394" i="6"/>
  <c r="Z465" i="6"/>
  <c r="Z212" i="6"/>
  <c r="Z57" i="6"/>
  <c r="Z118" i="6"/>
  <c r="Z447" i="6"/>
  <c r="Z158" i="6"/>
  <c r="Z149" i="6"/>
  <c r="Z334" i="6"/>
  <c r="Z397" i="6"/>
  <c r="Z249" i="6"/>
  <c r="Z38" i="6"/>
  <c r="Z111" i="6"/>
  <c r="Z260" i="6"/>
  <c r="Z381" i="6"/>
  <c r="Z207" i="6"/>
  <c r="Z416" i="6"/>
  <c r="Z109" i="6"/>
  <c r="Z318" i="6"/>
  <c r="Z317" i="6"/>
  <c r="Z286" i="6"/>
  <c r="Z170" i="6"/>
  <c r="Z169" i="6"/>
  <c r="Z411" i="6"/>
  <c r="Z103" i="6"/>
  <c r="Z102" i="6"/>
  <c r="Z99" i="6"/>
  <c r="Z261" i="6"/>
  <c r="Z16" i="6"/>
  <c r="Z225" i="6"/>
  <c r="Z407" i="6"/>
  <c r="Z161" i="6"/>
  <c r="Z445" i="6"/>
  <c r="Z370" i="6"/>
  <c r="Z371" i="6"/>
  <c r="Z372" i="6"/>
  <c r="Z222" i="6"/>
  <c r="Z444" i="6"/>
  <c r="Z190" i="6"/>
  <c r="Z277" i="6"/>
  <c r="Z66" i="6"/>
  <c r="Z235" i="6"/>
  <c r="Z234" i="6"/>
  <c r="Z464" i="6"/>
  <c r="Z154" i="6"/>
  <c r="Z153" i="6"/>
  <c r="Z401" i="6"/>
  <c r="Z65" i="6"/>
  <c r="Z330" i="6"/>
  <c r="Z209" i="6"/>
  <c r="Z453" i="6"/>
  <c r="Z145" i="6"/>
  <c r="Z67" i="6"/>
  <c r="Z348" i="6"/>
  <c r="Z77" i="6"/>
  <c r="Z412" i="6"/>
  <c r="Z374" i="6"/>
  <c r="Z88" i="6"/>
  <c r="Z430" i="6"/>
  <c r="Z10" i="6"/>
  <c r="Z457" i="6"/>
  <c r="Z292" i="6"/>
  <c r="Z398" i="6"/>
  <c r="Z229" i="6"/>
  <c r="Z395" i="6"/>
  <c r="Z175" i="6"/>
  <c r="Z320" i="6"/>
  <c r="Z46" i="6"/>
  <c r="Z219" i="6"/>
  <c r="Z218" i="6"/>
  <c r="Z446" i="6"/>
  <c r="Z138" i="6"/>
  <c r="Z137" i="6"/>
  <c r="Z284" i="6"/>
  <c r="Z59" i="6"/>
  <c r="Z58" i="6"/>
  <c r="Z54" i="6"/>
  <c r="Z245" i="6"/>
  <c r="Z382" i="6"/>
  <c r="Z193" i="6"/>
  <c r="Z436" i="6"/>
  <c r="Z129" i="6"/>
  <c r="Z56" i="6"/>
  <c r="Z93" i="6"/>
  <c r="Z366" i="6"/>
  <c r="Z451" i="6"/>
  <c r="Z78" i="6"/>
  <c r="Z30" i="6"/>
  <c r="Z191" i="6"/>
  <c r="Z95" i="6"/>
  <c r="Z48" i="6"/>
  <c r="Z160" i="6"/>
  <c r="Z28" i="6"/>
  <c r="Z202" i="6"/>
  <c r="Z429" i="6"/>
  <c r="Z122" i="6"/>
  <c r="Z121" i="6"/>
  <c r="Z323" i="6"/>
  <c r="Z41" i="6"/>
  <c r="Z39" i="6"/>
  <c r="Z36" i="6"/>
  <c r="Z97" i="6"/>
  <c r="Z9" i="6"/>
  <c r="Z177" i="6"/>
  <c r="Z420" i="6"/>
  <c r="Z113" i="6"/>
  <c r="Z40" i="6"/>
  <c r="Z331" i="6"/>
  <c r="Z198" i="6"/>
  <c r="Z438" i="6"/>
  <c r="Z299" i="6"/>
  <c r="Z324" i="6"/>
  <c r="Z367" i="6"/>
  <c r="Z345" i="6"/>
  <c r="Z461" i="6"/>
  <c r="Z142" i="6"/>
  <c r="Z297" i="6"/>
  <c r="Z373" i="6"/>
  <c r="Z70" i="6"/>
  <c r="Z441" i="6"/>
  <c r="Z101" i="6"/>
  <c r="Z452" i="6"/>
  <c r="Z144" i="6"/>
  <c r="Z325" i="6"/>
  <c r="Z364" i="6"/>
  <c r="Z187" i="6"/>
  <c r="Z186" i="6"/>
  <c r="Z413" i="6"/>
  <c r="Z106" i="6"/>
  <c r="Z104" i="6"/>
  <c r="Z301" i="6"/>
  <c r="Z22" i="6"/>
  <c r="Z21" i="6"/>
  <c r="Z18" i="6"/>
  <c r="Z226" i="6"/>
  <c r="Z252" i="6"/>
  <c r="Z162" i="6"/>
  <c r="Z380" i="6"/>
  <c r="Z80" i="6"/>
  <c r="Z24" i="6"/>
  <c r="Z344" i="6"/>
  <c r="Z294" i="6"/>
  <c r="Z363" i="6"/>
  <c r="Z389" i="6"/>
  <c r="Z355" i="6"/>
  <c r="Z283" i="6"/>
  <c r="Z127" i="6"/>
  <c r="Z414" i="6"/>
  <c r="Z263" i="6"/>
  <c r="Z11" i="6"/>
  <c r="Z205" i="6"/>
  <c r="Z423" i="6"/>
  <c r="Z309" i="6"/>
  <c r="Z354" i="6"/>
  <c r="Z166" i="6"/>
  <c r="Z400" i="6"/>
  <c r="Z279" i="6"/>
  <c r="Z203" i="6"/>
  <c r="Z433" i="6"/>
  <c r="Z308" i="6"/>
  <c r="Z213" i="6"/>
  <c r="Z426" i="6"/>
  <c r="Z96" i="6"/>
  <c r="Z298" i="6"/>
  <c r="Z387" i="6"/>
  <c r="Z180" i="6"/>
  <c r="Z409" i="6"/>
  <c r="Z20" i="6"/>
  <c r="Z435" i="6"/>
  <c r="Z128" i="6"/>
  <c r="Z304" i="6"/>
  <c r="Z379" i="6"/>
  <c r="Z171" i="6"/>
  <c r="Z76" i="6"/>
  <c r="Z351" i="6"/>
  <c r="Z84" i="6"/>
  <c r="Z68" i="6"/>
  <c r="Z264" i="6"/>
  <c r="Z256" i="6"/>
  <c r="Z346" i="6"/>
  <c r="Z393" i="6"/>
  <c r="Z210" i="6"/>
  <c r="Z454" i="6"/>
  <c r="Z146" i="6"/>
  <c r="Z273" i="6"/>
  <c r="Z63" i="6"/>
  <c r="Z75" i="6"/>
  <c r="AA388" i="6"/>
  <c r="AA457" i="6" l="1"/>
  <c r="AA336" i="6"/>
  <c r="AA135" i="6"/>
  <c r="AA54" i="6"/>
  <c r="AA396" i="6"/>
  <c r="AA424" i="6"/>
  <c r="AA39" i="6"/>
  <c r="AA373" i="6"/>
  <c r="AA128" i="6"/>
  <c r="AA357" i="6"/>
  <c r="AA286" i="6"/>
  <c r="AA116" i="6"/>
  <c r="AA23" i="6"/>
  <c r="AA320" i="6"/>
  <c r="AA11" i="6"/>
  <c r="AA95" i="6"/>
  <c r="AA106" i="6"/>
  <c r="AA211" i="6"/>
  <c r="AA313" i="6"/>
  <c r="AA137" i="6"/>
  <c r="AA160" i="6"/>
  <c r="AA89" i="6"/>
  <c r="AA270" i="6"/>
  <c r="AA280" i="6"/>
  <c r="AA245" i="6"/>
  <c r="AA301" i="6"/>
  <c r="AA338" i="6"/>
  <c r="AA348" i="6"/>
  <c r="AA65" i="6"/>
  <c r="AA305" i="6"/>
  <c r="AA180" i="6"/>
  <c r="AA397" i="6"/>
  <c r="AA193" i="6"/>
  <c r="AA150" i="6"/>
  <c r="AA230" i="6"/>
  <c r="AA263" i="6"/>
  <c r="AA281" i="6"/>
  <c r="AA173" i="6"/>
  <c r="AA79" i="6"/>
  <c r="AA104" i="6"/>
  <c r="AA274" i="6"/>
  <c r="AA49" i="6"/>
  <c r="AA86" i="6"/>
  <c r="AA400" i="6"/>
  <c r="AA326" i="6"/>
  <c r="AA29" i="6"/>
  <c r="AA450" i="6"/>
  <c r="AA129" i="6"/>
  <c r="AA198" i="6"/>
  <c r="AA101" i="6"/>
  <c r="AA13" i="6"/>
  <c r="AA354" i="6"/>
  <c r="AA127" i="6"/>
  <c r="AA188" i="6"/>
  <c r="AA384" i="6"/>
  <c r="AA365" i="6"/>
  <c r="AA377" i="6"/>
  <c r="AA246" i="6"/>
  <c r="AA148" i="6"/>
  <c r="AA390" i="6"/>
  <c r="AA98" i="6"/>
  <c r="AA145" i="6"/>
  <c r="AA416" i="6"/>
  <c r="AA436" i="6"/>
  <c r="AA352" i="6"/>
  <c r="AA146" i="6"/>
  <c r="AA395" i="6"/>
  <c r="AA401" i="6"/>
  <c r="AA117" i="6"/>
  <c r="AA28" i="6"/>
  <c r="AA69" i="6"/>
  <c r="AA353" i="6"/>
  <c r="AA220" i="6"/>
  <c r="AA91" i="6"/>
  <c r="AA177" i="6"/>
  <c r="AA73" i="6"/>
  <c r="AA447" i="6"/>
  <c r="AA196" i="6"/>
  <c r="AA264" i="6"/>
  <c r="AA425" i="6"/>
  <c r="AA351" i="6"/>
  <c r="AA178" i="6"/>
  <c r="AA307" i="6"/>
  <c r="AA201" i="6"/>
  <c r="Z5" i="6"/>
  <c r="AA414" i="6"/>
  <c r="AA33" i="6"/>
  <c r="AA445" i="6"/>
  <c r="AA370" i="6"/>
  <c r="AA371" i="6"/>
  <c r="AA372" i="6"/>
  <c r="AA233" i="6"/>
  <c r="AA321" i="6"/>
  <c r="AA327" i="6"/>
  <c r="AA380" i="6"/>
  <c r="AA300" i="6"/>
  <c r="AA382" i="6"/>
  <c r="AA64" i="6"/>
  <c r="AA63" i="6"/>
  <c r="AA175" i="6"/>
  <c r="AA272" i="6"/>
  <c r="AA339" i="6"/>
  <c r="AA434" i="6"/>
  <c r="AA284" i="6"/>
  <c r="AA53" i="6"/>
  <c r="AA157" i="6"/>
  <c r="AA17" i="6"/>
  <c r="AA386" i="6"/>
  <c r="AA213" i="6"/>
  <c r="AA271" i="6"/>
  <c r="AA57" i="6"/>
  <c r="AA153" i="6"/>
  <c r="AA210" i="6"/>
  <c r="AA433" i="6"/>
  <c r="AA139" i="6"/>
  <c r="AA449" i="6"/>
  <c r="AA44" i="6"/>
  <c r="AA268" i="6"/>
  <c r="AA362" i="6"/>
  <c r="AA132" i="6"/>
  <c r="AA275" i="6"/>
  <c r="AA322" i="6"/>
  <c r="AA446" i="6"/>
  <c r="AA391" i="6"/>
  <c r="AA38" i="6"/>
  <c r="AA37" i="6"/>
  <c r="AA251" i="6"/>
  <c r="AA302" i="6"/>
  <c r="AA293" i="6"/>
  <c r="AA413" i="6"/>
  <c r="AA350" i="6"/>
  <c r="AA22" i="6"/>
  <c r="AA171" i="6"/>
  <c r="AA30" i="6"/>
  <c r="AA311" i="6"/>
  <c r="AA200" i="6"/>
  <c r="AA228" i="6"/>
  <c r="AA41" i="6"/>
  <c r="AA218" i="6"/>
  <c r="AA235" i="6"/>
  <c r="AA417" i="6"/>
  <c r="AA118" i="6"/>
  <c r="AA208" i="6"/>
  <c r="AA248" i="6"/>
  <c r="AA282" i="6"/>
  <c r="AA58" i="6"/>
  <c r="AA182" i="6"/>
  <c r="AA244" i="6"/>
  <c r="AA179" i="6"/>
  <c r="AA361" i="6"/>
  <c r="AA8" i="6"/>
  <c r="AA110" i="6"/>
  <c r="AA149" i="6"/>
  <c r="AA164" i="6"/>
  <c r="AA258" i="6"/>
  <c r="AA423" i="6"/>
  <c r="AA10" i="6"/>
  <c r="AA378" i="6"/>
  <c r="AA364" i="6"/>
  <c r="AA119" i="6"/>
  <c r="AA242" i="6"/>
  <c r="AA345" i="6"/>
  <c r="AA318" i="6"/>
  <c r="AA455" i="6"/>
  <c r="AA297" i="6"/>
  <c r="AA78" i="6"/>
  <c r="AA14" i="6"/>
  <c r="AA273" i="6"/>
  <c r="AA166" i="6"/>
  <c r="AA240" i="6"/>
  <c r="AA25" i="6"/>
  <c r="AA239" i="6"/>
  <c r="AA156" i="6"/>
  <c r="AA367" i="6"/>
  <c r="AA82" i="6"/>
  <c r="AA215" i="6"/>
  <c r="AA461" i="6"/>
  <c r="AA451" i="6"/>
  <c r="AA138" i="6"/>
  <c r="AA76" i="6"/>
  <c r="AA189" i="6"/>
  <c r="AA267" i="6"/>
  <c r="AA341" i="6"/>
  <c r="AA422" i="6"/>
  <c r="AA466" i="6"/>
  <c r="AA368" i="6"/>
  <c r="AA90" i="6"/>
  <c r="AA224" i="6"/>
  <c r="AA229" i="6"/>
  <c r="AA285" i="6"/>
  <c r="AA412" i="6"/>
  <c r="AA292" i="6"/>
  <c r="AA21" i="6"/>
  <c r="AA216" i="6"/>
  <c r="AA442" i="6"/>
  <c r="AA136" i="6"/>
  <c r="AA332" i="6"/>
  <c r="AA408" i="6"/>
  <c r="AA107" i="6"/>
  <c r="AA125" i="6"/>
  <c r="AA340" i="6"/>
  <c r="AA50" i="6"/>
  <c r="AA349" i="6"/>
  <c r="AA241" i="6"/>
  <c r="AA363" i="6"/>
  <c r="AA443" i="6"/>
  <c r="AA374" i="6"/>
  <c r="AA62" i="6"/>
  <c r="AA154" i="6"/>
  <c r="AA226" i="6"/>
  <c r="AA346" i="6"/>
  <c r="AA308" i="6"/>
  <c r="AA454" i="6"/>
  <c r="AA194" i="6"/>
  <c r="AA109" i="6"/>
  <c r="AA426" i="6"/>
  <c r="AA172" i="6"/>
  <c r="AA121" i="6"/>
  <c r="AA452" i="6"/>
  <c r="AA133" i="6"/>
  <c r="AA147" i="6"/>
  <c r="AA316" i="6"/>
  <c r="AA34" i="6"/>
  <c r="AA265" i="6"/>
  <c r="AA438" i="6"/>
  <c r="AA303" i="6"/>
  <c r="AA32" i="6"/>
  <c r="AA222" i="6"/>
  <c r="AA324" i="6"/>
  <c r="AA410" i="6"/>
  <c r="AA59" i="6"/>
  <c r="AA204" i="6"/>
  <c r="AA435" i="6"/>
  <c r="AA155" i="6"/>
  <c r="AA126" i="6"/>
  <c r="AA304" i="6"/>
  <c r="AA18" i="6"/>
  <c r="AA12" i="6"/>
  <c r="AA219" i="6"/>
  <c r="AA331" i="6"/>
  <c r="AA432" i="6"/>
  <c r="AA105" i="6"/>
  <c r="AA165" i="6"/>
  <c r="AA337" i="6"/>
  <c r="AA66" i="6"/>
  <c r="AA221" i="6"/>
  <c r="AA47" i="6"/>
  <c r="AA328" i="6"/>
  <c r="AA404" i="6"/>
  <c r="AA403" i="6"/>
  <c r="AA169" i="6"/>
  <c r="AA421" i="6"/>
  <c r="AA170" i="6"/>
  <c r="AA431" i="6"/>
  <c r="AA405" i="6"/>
  <c r="AA392" i="6"/>
  <c r="AA393" i="6"/>
  <c r="AA181" i="6"/>
  <c r="AA359" i="6"/>
  <c r="AA381" i="6"/>
  <c r="AA122" i="6"/>
  <c r="AA277" i="6"/>
  <c r="AA411" i="6"/>
  <c r="AA140" i="6"/>
  <c r="AA152" i="6"/>
  <c r="AA9" i="6"/>
  <c r="AA238" i="6"/>
  <c r="AA419" i="6"/>
  <c r="AA134" i="6"/>
  <c r="AA83" i="6"/>
  <c r="AA291" i="6"/>
  <c r="AA75" i="6"/>
  <c r="AA429" i="6"/>
  <c r="AA315" i="6"/>
  <c r="AA187" i="6"/>
  <c r="AA329" i="6"/>
  <c r="AA257" i="6"/>
  <c r="AA192" i="6"/>
  <c r="AA56" i="6"/>
  <c r="AA299" i="6"/>
  <c r="AA16" i="6"/>
  <c r="AA207" i="6"/>
  <c r="AA383" i="6"/>
  <c r="AA176" i="6"/>
  <c r="AA227" i="6"/>
  <c r="AA309" i="6"/>
  <c r="AA428" i="6"/>
  <c r="AB7" i="6"/>
  <c r="AB161" i="6" s="1"/>
  <c r="AA453" i="6"/>
  <c r="AA142" i="6"/>
  <c r="AA225" i="6"/>
  <c r="AA325" i="6"/>
  <c r="AA465" i="6"/>
  <c r="AA88" i="6"/>
  <c r="AA243" i="6"/>
  <c r="AA43" i="6"/>
  <c r="AA463" i="6"/>
  <c r="AA234" i="6"/>
  <c r="AA343" i="6"/>
  <c r="AA283" i="6"/>
  <c r="AA314" i="6"/>
  <c r="AA430" i="6"/>
  <c r="AA398" i="6"/>
  <c r="AA71" i="6"/>
  <c r="AA159" i="6"/>
  <c r="AA199" i="6"/>
  <c r="AA296" i="6"/>
  <c r="AA295" i="6"/>
  <c r="AA441" i="6"/>
  <c r="AA369" i="6"/>
  <c r="AA60" i="6"/>
  <c r="AA115" i="6"/>
  <c r="AA247" i="6"/>
  <c r="AA330" i="6"/>
  <c r="AA289" i="6"/>
  <c r="AA167" i="6"/>
  <c r="AA174" i="6"/>
  <c r="AA287" i="6"/>
  <c r="AA27" i="6"/>
  <c r="AA197" i="6"/>
  <c r="AA376" i="6"/>
  <c r="AA84" i="6"/>
  <c r="AA67" i="6"/>
  <c r="AA254" i="6"/>
  <c r="AA74" i="6"/>
  <c r="AA415" i="6"/>
  <c r="AA387" i="6"/>
  <c r="AA48" i="6"/>
  <c r="AA256" i="6"/>
  <c r="AA402" i="6"/>
  <c r="AA26" i="6"/>
  <c r="AA100" i="6"/>
  <c r="AA259" i="6"/>
  <c r="AA130" i="6"/>
  <c r="AA255" i="6"/>
  <c r="AA87" i="6"/>
  <c r="AA205" i="6"/>
  <c r="AA46" i="6"/>
  <c r="AA190" i="6"/>
  <c r="AA409" i="6"/>
  <c r="AA334" i="6"/>
  <c r="AA42" i="6"/>
  <c r="AA161" i="6"/>
  <c r="AA111" i="6"/>
  <c r="AA347" i="6"/>
  <c r="AA312" i="6"/>
  <c r="AA420" i="6"/>
  <c r="AA375" i="6"/>
  <c r="AA31" i="6"/>
  <c r="AA85" i="6"/>
  <c r="AA102" i="6"/>
  <c r="AA214" i="6"/>
  <c r="AA306" i="6"/>
  <c r="AA103" i="6"/>
  <c r="AA94" i="6"/>
  <c r="AA266" i="6"/>
  <c r="AA406" i="6"/>
  <c r="AA184" i="6"/>
  <c r="AA319" i="6"/>
  <c r="AA68" i="6"/>
  <c r="AA51" i="6"/>
  <c r="AA185" i="6"/>
  <c r="AA456" i="6"/>
  <c r="AA444" i="6"/>
  <c r="AA379" i="6"/>
  <c r="AA462" i="6"/>
  <c r="AA335" i="6"/>
  <c r="AA97" i="6"/>
  <c r="AA217" i="6"/>
  <c r="AA288" i="6"/>
  <c r="AA355" i="6"/>
  <c r="AA333" i="6"/>
  <c r="AA55" i="6"/>
  <c r="AA112" i="6"/>
  <c r="AA212" i="6"/>
  <c r="AA269" i="6"/>
  <c r="AA131" i="6"/>
  <c r="AA77" i="6"/>
  <c r="AA261" i="6"/>
  <c r="AA203" i="6"/>
  <c r="AA151" i="6"/>
  <c r="AA323" i="6"/>
  <c r="AA52" i="6"/>
  <c r="AA35" i="6"/>
  <c r="AA223" i="6"/>
  <c r="AA459" i="6"/>
  <c r="AA278" i="6"/>
  <c r="AA114" i="6"/>
  <c r="AA162" i="6"/>
  <c r="AA279" i="6"/>
  <c r="AA61" i="6"/>
  <c r="AA202" i="6"/>
  <c r="AA163" i="6"/>
  <c r="AA108" i="6"/>
  <c r="AA249" i="6"/>
  <c r="AA236" i="6"/>
  <c r="AA237" i="6"/>
  <c r="AA72" i="6"/>
  <c r="AA366" i="6"/>
  <c r="AA141" i="6"/>
  <c r="AA407" i="6"/>
  <c r="AA389" i="6"/>
  <c r="AA143" i="6"/>
  <c r="AA464" i="6"/>
  <c r="AA360" i="6"/>
  <c r="AA123" i="6"/>
  <c r="AA260" i="6"/>
  <c r="AA15" i="6"/>
  <c r="AA298" i="6"/>
  <c r="AA448" i="6"/>
  <c r="AA394" i="6"/>
  <c r="AA70" i="6"/>
  <c r="AA144" i="6"/>
  <c r="AA191" i="6"/>
  <c r="AA209" i="6"/>
  <c r="AA439" i="6"/>
  <c r="AA358" i="6"/>
  <c r="AA24" i="6"/>
  <c r="AA99" i="6"/>
  <c r="AA186" i="6"/>
  <c r="AA317" i="6"/>
  <c r="AA113" i="6"/>
  <c r="AA195" i="6"/>
  <c r="AA458" i="6"/>
  <c r="AA168" i="6"/>
  <c r="AA342" i="6"/>
  <c r="AA36" i="6"/>
  <c r="AA19" i="6"/>
  <c r="AA93" i="6"/>
  <c r="AA158" i="6"/>
  <c r="AA437" i="6"/>
  <c r="AA290" i="6"/>
  <c r="AA294" i="6"/>
  <c r="AA124" i="6"/>
  <c r="AA253" i="6"/>
  <c r="AA427" i="6"/>
  <c r="AA399" i="6"/>
  <c r="AA40" i="6"/>
  <c r="AA96" i="6"/>
  <c r="AA250" i="6"/>
  <c r="AA183" i="6"/>
  <c r="AA232" i="6"/>
  <c r="AA418" i="6"/>
  <c r="AA460" i="6"/>
  <c r="AA385" i="6"/>
  <c r="AA80" i="6"/>
  <c r="AA252" i="6"/>
  <c r="AA206" i="6"/>
  <c r="AA81" i="6"/>
  <c r="AA45" i="6"/>
  <c r="AA310" i="6"/>
  <c r="AA440" i="6"/>
  <c r="AA120" i="6"/>
  <c r="AA344" i="6"/>
  <c r="AA20" i="6"/>
  <c r="AA276" i="6"/>
  <c r="AA231" i="6"/>
  <c r="AA92" i="6"/>
  <c r="AB314" i="6"/>
  <c r="AB428" i="6"/>
  <c r="AB124" i="6"/>
  <c r="AB357" i="6" l="1"/>
  <c r="AB215" i="6"/>
  <c r="AB164" i="6"/>
  <c r="AB297" i="6"/>
  <c r="AB298" i="6"/>
  <c r="AB308" i="6"/>
  <c r="AB234" i="6"/>
  <c r="AB63" i="6"/>
  <c r="AB413" i="6"/>
  <c r="AB55" i="6"/>
  <c r="AB47" i="6"/>
  <c r="AB71" i="6"/>
  <c r="AB361" i="6"/>
  <c r="AB39" i="6"/>
  <c r="AB31" i="6"/>
  <c r="AB108" i="6"/>
  <c r="AB230" i="6"/>
  <c r="AB130" i="6"/>
  <c r="AB180" i="6"/>
  <c r="AB278" i="6"/>
  <c r="AB262" i="6"/>
  <c r="AB17" i="6"/>
  <c r="AB339" i="6"/>
  <c r="AB214" i="6"/>
  <c r="AB424" i="6"/>
  <c r="AB465" i="6"/>
  <c r="AB345" i="6"/>
  <c r="AB111" i="6"/>
  <c r="AB406" i="6"/>
  <c r="AB126" i="6"/>
  <c r="AB246" i="6"/>
  <c r="AB117" i="6"/>
  <c r="AB275" i="6"/>
  <c r="AB362" i="6"/>
  <c r="AB259" i="6"/>
  <c r="AB84" i="6"/>
  <c r="AB323" i="6"/>
  <c r="AB159" i="6"/>
  <c r="AB68" i="6"/>
  <c r="AB464" i="6"/>
  <c r="AB24" i="6"/>
  <c r="AB410" i="6"/>
  <c r="AB438" i="6"/>
  <c r="AB394" i="6"/>
  <c r="AB344" i="6"/>
  <c r="AB317" i="6"/>
  <c r="AB341" i="6"/>
  <c r="AB426" i="6"/>
  <c r="AB303" i="6"/>
  <c r="AB99" i="6"/>
  <c r="AB423" i="6"/>
  <c r="AB213" i="6"/>
  <c r="AB300" i="6"/>
  <c r="AB165" i="6"/>
  <c r="AB166" i="6"/>
  <c r="AB336" i="6"/>
  <c r="AB77" i="6"/>
  <c r="AB106" i="6"/>
  <c r="AB320" i="6"/>
  <c r="AB181" i="6"/>
  <c r="AB61" i="6"/>
  <c r="AB395" i="6"/>
  <c r="AB261" i="6"/>
  <c r="AB242" i="6"/>
  <c r="AB299" i="6"/>
  <c r="AB409" i="6"/>
  <c r="AB152" i="6"/>
  <c r="AB112" i="6"/>
  <c r="AB306" i="6"/>
  <c r="AB382" i="6"/>
  <c r="AB23" i="6"/>
  <c r="AB198" i="6"/>
  <c r="AB134" i="6"/>
  <c r="AB52" i="6"/>
  <c r="AB167" i="6"/>
  <c r="AB458" i="6"/>
  <c r="AB45" i="6"/>
  <c r="AB235" i="6"/>
  <c r="AB140" i="6"/>
  <c r="AB172" i="6"/>
  <c r="AB128" i="6"/>
  <c r="AB290" i="6"/>
  <c r="AB109" i="6"/>
  <c r="AB352" i="6"/>
  <c r="AB86" i="6"/>
  <c r="AB399" i="6"/>
  <c r="AB107" i="6"/>
  <c r="AB103" i="6"/>
  <c r="AB432" i="6"/>
  <c r="AB29" i="6"/>
  <c r="AB102" i="6"/>
  <c r="AB365" i="6"/>
  <c r="AB70" i="6"/>
  <c r="AB408" i="6"/>
  <c r="AB133" i="6"/>
  <c r="AB131" i="6"/>
  <c r="AB378" i="6"/>
  <c r="AB13" i="6"/>
  <c r="AB274" i="6"/>
  <c r="AB330" i="6"/>
  <c r="AB60" i="6"/>
  <c r="AB319" i="6"/>
  <c r="AB415" i="6"/>
  <c r="AB342" i="6"/>
  <c r="AB75" i="6"/>
  <c r="AB98" i="6"/>
  <c r="AB187" i="6"/>
  <c r="AB153" i="6"/>
  <c r="AB240" i="6"/>
  <c r="AB376" i="6"/>
  <c r="AB147" i="6"/>
  <c r="AB209" i="6"/>
  <c r="AB241" i="6"/>
  <c r="AB33" i="6"/>
  <c r="AB218" i="6"/>
  <c r="AB44" i="6"/>
  <c r="AB217" i="6"/>
  <c r="AB151" i="6"/>
  <c r="AB305" i="6"/>
  <c r="AB421" i="6"/>
  <c r="AB197" i="6"/>
  <c r="AB11" i="6"/>
  <c r="AB243" i="6"/>
  <c r="AB450" i="6"/>
  <c r="AB326" i="6"/>
  <c r="AB74" i="6"/>
  <c r="AB391" i="6"/>
  <c r="AB76" i="6"/>
  <c r="AB59" i="6"/>
  <c r="AB407" i="6"/>
  <c r="AB346" i="6"/>
  <c r="AB194" i="6"/>
  <c r="AB58" i="6"/>
  <c r="AB49" i="6"/>
  <c r="AB309" i="6"/>
  <c r="AB380" i="6"/>
  <c r="AB28" i="6"/>
  <c r="AB201" i="6"/>
  <c r="AB200" i="6"/>
  <c r="AB289" i="6"/>
  <c r="AB355" i="6"/>
  <c r="AB85" i="6"/>
  <c r="AB441" i="6"/>
  <c r="AB227" i="6"/>
  <c r="AB392" i="6"/>
  <c r="AB78" i="6"/>
  <c r="AB436" i="6"/>
  <c r="AB463" i="6"/>
  <c r="AB225" i="6"/>
  <c r="AB9" i="6"/>
  <c r="AB105" i="6"/>
  <c r="AB54" i="6"/>
  <c r="AB457" i="6"/>
  <c r="AB185" i="6"/>
  <c r="AB444" i="6"/>
  <c r="AB417" i="6"/>
  <c r="AB460" i="6"/>
  <c r="AB251" i="6"/>
  <c r="AB364" i="6"/>
  <c r="AB292" i="6"/>
  <c r="AB104" i="6"/>
  <c r="AB155" i="6"/>
  <c r="AB284" i="6"/>
  <c r="AB66" i="6"/>
  <c r="AB42" i="6"/>
  <c r="AB429" i="6"/>
  <c r="AB184" i="6"/>
  <c r="AB53" i="6"/>
  <c r="AB211" i="6"/>
  <c r="AB62" i="6"/>
  <c r="AB125" i="6"/>
  <c r="AB100" i="6"/>
  <c r="AB398" i="6"/>
  <c r="AB163" i="6"/>
  <c r="AB158" i="6"/>
  <c r="AB257" i="6"/>
  <c r="AB148" i="6"/>
  <c r="AB21" i="6"/>
  <c r="AB348" i="6"/>
  <c r="AB195" i="6"/>
  <c r="AB433" i="6"/>
  <c r="AB46" i="6"/>
  <c r="AB249" i="6"/>
  <c r="AB258" i="6"/>
  <c r="AB12" i="6"/>
  <c r="AB466" i="6"/>
  <c r="AB156" i="6"/>
  <c r="AB210" i="6"/>
  <c r="AB366" i="6"/>
  <c r="AB203" i="6"/>
  <c r="AB43" i="6"/>
  <c r="AB411" i="6"/>
  <c r="AB340" i="6"/>
  <c r="AB358" i="6"/>
  <c r="AB89" i="6"/>
  <c r="AB88" i="6"/>
  <c r="AB143" i="6"/>
  <c r="AB334" i="6"/>
  <c r="AB10" i="6"/>
  <c r="AB244" i="6"/>
  <c r="AB118" i="6"/>
  <c r="AB401" i="6"/>
  <c r="AB30" i="6"/>
  <c r="AB335" i="6"/>
  <c r="AB233" i="6"/>
  <c r="AB81" i="6"/>
  <c r="AB273" i="6"/>
  <c r="AB144" i="6"/>
  <c r="AB404" i="6"/>
  <c r="AB18" i="6"/>
  <c r="AB193" i="6"/>
  <c r="AB400" i="6"/>
  <c r="AB402" i="6"/>
  <c r="AB27" i="6"/>
  <c r="AB324" i="6"/>
  <c r="AB431" i="6"/>
  <c r="AB354" i="6"/>
  <c r="AB72" i="6"/>
  <c r="AB160" i="6"/>
  <c r="AB256" i="6"/>
  <c r="AB418" i="6"/>
  <c r="AB228" i="6"/>
  <c r="AB83" i="6"/>
  <c r="AB343" i="6"/>
  <c r="AB14" i="6"/>
  <c r="AB283" i="6"/>
  <c r="AB186" i="6"/>
  <c r="AB427" i="6"/>
  <c r="AB363" i="6"/>
  <c r="AB101" i="6"/>
  <c r="AB419" i="6"/>
  <c r="AB327" i="6"/>
  <c r="AB65" i="6"/>
  <c r="AB434" i="6"/>
  <c r="AB310" i="6"/>
  <c r="AB367" i="6"/>
  <c r="AB56" i="6"/>
  <c r="AB135" i="6"/>
  <c r="AB212" i="6"/>
  <c r="AB353" i="6"/>
  <c r="AB381" i="6"/>
  <c r="AB277" i="6"/>
  <c r="AB405" i="6"/>
  <c r="AB377" i="6"/>
  <c r="AB414" i="6"/>
  <c r="AB437" i="6"/>
  <c r="AB294" i="6"/>
  <c r="AB449" i="6"/>
  <c r="AB448" i="6"/>
  <c r="AB40" i="6"/>
  <c r="AB247" i="6"/>
  <c r="AB157" i="6"/>
  <c r="AB333" i="6"/>
  <c r="AB196" i="6"/>
  <c r="AB435" i="6"/>
  <c r="AB313" i="6"/>
  <c r="AB386" i="6"/>
  <c r="AB312" i="6"/>
  <c r="AB325" i="6"/>
  <c r="AB456" i="6"/>
  <c r="AB36" i="6"/>
  <c r="AB19" i="6"/>
  <c r="AB224" i="6"/>
  <c r="AB239" i="6"/>
  <c r="AB296" i="6"/>
  <c r="AB311" i="6"/>
  <c r="AB459" i="6"/>
  <c r="AB287" i="6"/>
  <c r="AB332" i="6"/>
  <c r="AB20" i="6"/>
  <c r="AB393" i="6"/>
  <c r="AB208" i="6"/>
  <c r="AB223" i="6"/>
  <c r="AB280" i="6"/>
  <c r="AB295" i="6"/>
  <c r="AB38" i="6"/>
  <c r="AB316" i="6"/>
  <c r="AB192" i="6"/>
  <c r="AB264" i="6"/>
  <c r="AB279" i="6"/>
  <c r="AB416" i="6"/>
  <c r="AB452" i="6"/>
  <c r="AB178" i="6"/>
  <c r="AB114" i="6"/>
  <c r="AB132" i="6"/>
  <c r="AB90" i="6"/>
  <c r="AB252" i="6"/>
  <c r="AB116" i="6"/>
  <c r="AB73" i="6"/>
  <c r="AB168" i="6"/>
  <c r="AB425" i="6"/>
  <c r="AB199" i="6"/>
  <c r="AB318" i="6"/>
  <c r="AB22" i="6"/>
  <c r="AB127" i="6"/>
  <c r="AB302" i="6"/>
  <c r="AB347" i="6"/>
  <c r="AB387" i="6"/>
  <c r="AB176" i="6"/>
  <c r="AB191" i="6"/>
  <c r="AB129" i="6"/>
  <c r="AB263" i="6"/>
  <c r="AB207" i="6"/>
  <c r="AB276" i="6"/>
  <c r="AB439" i="6"/>
  <c r="AB226" i="6"/>
  <c r="AB26" i="6"/>
  <c r="AB337" i="6"/>
  <c r="AB57" i="6"/>
  <c r="AB248" i="6"/>
  <c r="AB359" i="6"/>
  <c r="AB183" i="6"/>
  <c r="AB304" i="6"/>
  <c r="AB349" i="6"/>
  <c r="AB149" i="6"/>
  <c r="AB286" i="6"/>
  <c r="AB285" i="6"/>
  <c r="AB453" i="6"/>
  <c r="AB97" i="6"/>
  <c r="AB175" i="6"/>
  <c r="AB190" i="6"/>
  <c r="AB121" i="6"/>
  <c r="AA5" i="6"/>
  <c r="AB338" i="6"/>
  <c r="AB397" i="6"/>
  <c r="AB329" i="6"/>
  <c r="AB50" i="6"/>
  <c r="AB293" i="6"/>
  <c r="AB236" i="6"/>
  <c r="AB136" i="6"/>
  <c r="AB267" i="6"/>
  <c r="AB260" i="6"/>
  <c r="AB373" i="6"/>
  <c r="AB113" i="6"/>
  <c r="AB122" i="6"/>
  <c r="AB369" i="6"/>
  <c r="AB220" i="6"/>
  <c r="AB321" i="6"/>
  <c r="AB25" i="6"/>
  <c r="AB232" i="6"/>
  <c r="AB446" i="6"/>
  <c r="AB150" i="6"/>
  <c r="AB288" i="6"/>
  <c r="AB271" i="6"/>
  <c r="AB245" i="6"/>
  <c r="AB270" i="6"/>
  <c r="AB269" i="6"/>
  <c r="AB396" i="6"/>
  <c r="AB80" i="6"/>
  <c r="AB96" i="6"/>
  <c r="AB174" i="6"/>
  <c r="AB138" i="6"/>
  <c r="AB255" i="6"/>
  <c r="AB368" i="6"/>
  <c r="AB202" i="6"/>
  <c r="AB139" i="6"/>
  <c r="AB250" i="6"/>
  <c r="AB461" i="6"/>
  <c r="AB34" i="6"/>
  <c r="AB219" i="6"/>
  <c r="AB440" i="6"/>
  <c r="AB204" i="6"/>
  <c r="AB291" i="6"/>
  <c r="AB360" i="6"/>
  <c r="AB216" i="6"/>
  <c r="AB422" i="6"/>
  <c r="AB87" i="6"/>
  <c r="AB272" i="6"/>
  <c r="AB170" i="6"/>
  <c r="AB229" i="6"/>
  <c r="AB254" i="6"/>
  <c r="AB253" i="6"/>
  <c r="AB462" i="6"/>
  <c r="AB383" i="6"/>
  <c r="AB79" i="6"/>
  <c r="AB95" i="6"/>
  <c r="AB445" i="6"/>
  <c r="AB370" i="6"/>
  <c r="AB371" i="6"/>
  <c r="AB372" i="6"/>
  <c r="AB179" i="6"/>
  <c r="AB328" i="6"/>
  <c r="AB64" i="6"/>
  <c r="AB281" i="6"/>
  <c r="AB15" i="6"/>
  <c r="AB146" i="6"/>
  <c r="AB375" i="6"/>
  <c r="AB237" i="6"/>
  <c r="AB93" i="6"/>
  <c r="AB48" i="6"/>
  <c r="AB265" i="6"/>
  <c r="AB385" i="6"/>
  <c r="AB169" i="6"/>
  <c r="AB443" i="6"/>
  <c r="AB221" i="6"/>
  <c r="AB92" i="6"/>
  <c r="AB32" i="6"/>
  <c r="AB137" i="6"/>
  <c r="AB390" i="6"/>
  <c r="AB115" i="6"/>
  <c r="AB384" i="6"/>
  <c r="AB205" i="6"/>
  <c r="AB91" i="6"/>
  <c r="AB69" i="6"/>
  <c r="AB119" i="6"/>
  <c r="AB331" i="6"/>
  <c r="AB67" i="6"/>
  <c r="AB282" i="6"/>
  <c r="AB16" i="6"/>
  <c r="AB154" i="6"/>
  <c r="AB379" i="6"/>
  <c r="AB238" i="6"/>
  <c r="AB455" i="6"/>
  <c r="AB189" i="6"/>
  <c r="AB37" i="6"/>
  <c r="AB315" i="6"/>
  <c r="AB51" i="6"/>
  <c r="AB266" i="6"/>
  <c r="AB389" i="6"/>
  <c r="AB447" i="6"/>
  <c r="AB222" i="6"/>
  <c r="AB430" i="6"/>
  <c r="AB173" i="6"/>
  <c r="AB182" i="6"/>
  <c r="AB351" i="6"/>
  <c r="AB141" i="6"/>
  <c r="AB110" i="6"/>
  <c r="AB82" i="6"/>
  <c r="AB268" i="6"/>
  <c r="AB451" i="6"/>
  <c r="AB322" i="6"/>
  <c r="AB177" i="6"/>
  <c r="AB412" i="6"/>
  <c r="AB171" i="6"/>
  <c r="AB454" i="6"/>
  <c r="AB188" i="6"/>
  <c r="AB307" i="6"/>
  <c r="AB41" i="6"/>
  <c r="AB120" i="6"/>
  <c r="AB350" i="6"/>
  <c r="AB231" i="6"/>
  <c r="AB420" i="6"/>
  <c r="AB142" i="6"/>
  <c r="AB442" i="6"/>
  <c r="AB403" i="6"/>
  <c r="AB162" i="6"/>
  <c r="AB301" i="6"/>
  <c r="AB35" i="6"/>
  <c r="AB145" i="6"/>
  <c r="AB8" i="6"/>
  <c r="AB123" i="6"/>
  <c r="AB388" i="6"/>
  <c r="AB206" i="6"/>
  <c r="AB374" i="6"/>
  <c r="AB94" i="6"/>
  <c r="AB5" i="6" l="1"/>
</calcChain>
</file>

<file path=xl/sharedStrings.xml><?xml version="1.0" encoding="utf-8"?>
<sst xmlns="http://schemas.openxmlformats.org/spreadsheetml/2006/main" count="4442" uniqueCount="1940">
  <si>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</si>
  <si>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</si>
  <si>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</si>
  <si>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</si>
  <si>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</si>
  <si>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</si>
  <si>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</si>
  <si>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</si>
  <si>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</si>
  <si>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</si>
  <si>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</si>
  <si>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</si>
  <si>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</si>
  <si>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</si>
  <si>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</si>
  <si>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</si>
  <si>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</si>
  <si>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</si>
  <si>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</si>
  <si>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</si>
  <si>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</si>
  <si>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</si>
  <si>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</si>
  <si>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</si>
  <si>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</si>
  <si>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</si>
  <si>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</si>
  <si>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</si>
  <si>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</si>
  <si>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</si>
  <si>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</si>
  <si>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</si>
  <si>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</si>
  <si>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</si>
  <si>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</si>
  <si>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</si>
  <si>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</si>
  <si>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</si>
  <si>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</si>
  <si>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</si>
  <si>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</si>
  <si>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</si>
  <si>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</si>
  <si>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</si>
  <si>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</si>
  <si>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</si>
  <si>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</si>
  <si>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</si>
  <si>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</si>
  <si>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</si>
  <si>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</si>
  <si>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</si>
  <si>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</si>
  <si>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</si>
  <si>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</si>
  <si>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</si>
  <si>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</si>
  <si>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</si>
  <si>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</si>
  <si>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</si>
  <si>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</si>
  <si>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</si>
  <si>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</si>
  <si>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</si>
  <si>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</si>
  <si>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</si>
  <si>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</si>
  <si>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</si>
  <si>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</si>
  <si>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</si>
  <si>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</si>
  <si>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</si>
  <si>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Retrò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</si>
  <si>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</si>
  <si>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</si>
  <si>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</si>
  <si>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</si>
  <si>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</si>
  <si>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</si>
  <si>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</si>
  <si>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</si>
  <si>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</si>
  <si>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</si>
  <si>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</si>
  <si>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</si>
  <si>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</si>
  <si>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</si>
  <si>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</si>
  <si>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</si>
  <si>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</si>
  <si>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</si>
  <si>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</si>
  <si>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</si>
  <si>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</si>
  <si>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</si>
  <si>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</si>
  <si>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</si>
  <si>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</si>
  <si>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</si>
  <si>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</si>
  <si>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</si>
  <si>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</si>
  <si>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</si>
  <si>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</si>
  <si>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</si>
  <si>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</si>
  <si>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</si>
  <si>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</si>
  <si>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</si>
  <si>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</si>
  <si>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</si>
  <si>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</si>
  <si>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</si>
  <si>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</si>
  <si>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</si>
  <si>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</si>
  <si>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</si>
  <si>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</si>
  <si>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</si>
  <si>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</si>
  <si>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</si>
  <si>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</si>
  <si>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</si>
  <si>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</si>
  <si>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</si>
  <si>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</si>
  <si>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</si>
  <si>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</si>
  <si>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</si>
  <si>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</si>
  <si>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</si>
  <si>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</si>
  <si>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</si>
  <si>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</si>
  <si>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</si>
  <si>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</si>
  <si>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</si>
  <si>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</si>
  <si>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</si>
  <si>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</si>
  <si>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</si>
  <si>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</si>
  <si>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</si>
  <si>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</si>
  <si>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</si>
  <si>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</si>
  <si>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</si>
  <si>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</si>
  <si>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</si>
  <si>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</si>
  <si>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</si>
  <si>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</si>
  <si>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</si>
  <si>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</si>
  <si>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</si>
  <si>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</si>
  <si>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</si>
  <si>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</si>
  <si>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</si>
  <si>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</si>
  <si>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</si>
  <si>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</si>
  <si>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</si>
  <si>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</si>
  <si>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</si>
  <si>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</si>
  <si>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</si>
  <si>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</si>
  <si>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</si>
  <si>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</si>
  <si>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</si>
  <si>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</si>
  <si>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</si>
  <si>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</si>
  <si>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</si>
  <si>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</si>
  <si>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</si>
  <si>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</si>
  <si>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</si>
  <si>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</si>
  <si>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</si>
  <si>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</si>
  <si>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</si>
  <si>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</si>
  <si>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</si>
  <si>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</si>
  <si>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</si>
  <si>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</si>
  <si>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</si>
  <si>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</si>
  <si>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</si>
  <si>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</si>
  <si>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</si>
  <si>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</si>
  <si>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</si>
  <si>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</si>
  <si>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</si>
  <si>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</si>
  <si>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</si>
  <si>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</si>
  <si>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</si>
  <si>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</si>
  <si>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</si>
  <si>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</si>
  <si>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</si>
  <si>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</si>
  <si>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</si>
  <si>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</si>
  <si>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</si>
  <si>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</si>
  <si>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</si>
  <si>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</si>
  <si>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</si>
  <si>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</si>
  <si>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</si>
  <si>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</si>
  <si>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</si>
  <si>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</si>
  <si>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</si>
  <si>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</si>
  <si>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</si>
  <si>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</si>
  <si>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</si>
  <si>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</si>
  <si>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</si>
  <si>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</si>
  <si>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</si>
  <si>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</si>
  <si>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</si>
  <si>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</si>
  <si>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</si>
  <si>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</si>
  <si>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</si>
  <si>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</si>
  <si>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</si>
  <si>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</si>
  <si>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</si>
  <si>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</si>
  <si>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</si>
  <si>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</si>
  <si>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</si>
  <si>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</si>
  <si>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</si>
  <si>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</si>
  <si>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</si>
  <si>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</si>
  <si>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</si>
  <si>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</si>
  <si>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</si>
  <si>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</si>
  <si>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</si>
  <si>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</si>
  <si>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</si>
  <si>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</si>
  <si>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</si>
  <si>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</si>
  <si>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</si>
  <si>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</si>
  <si>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</si>
  <si>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</si>
  <si>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</si>
  <si>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Via Baldo degli Ubaldi, 118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</si>
  <si>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</si>
  <si>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</si>
  <si>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</si>
  <si>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</si>
  <si>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</si>
  <si>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</si>
  <si>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</si>
  <si>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</si>
  <si>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</si>
  <si>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</si>
  <si>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</si>
  <si>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</si>
  <si>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</si>
  <si>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</si>
  <si>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</si>
  <si>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</si>
  <si>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</si>
  <si>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</si>
  <si>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</si>
  <si>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</si>
  <si>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</si>
  <si>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</si>
  <si>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</si>
  <si>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</si>
  <si>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</si>
  <si>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</si>
  <si>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</si>
  <si>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</si>
  <si>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</si>
  <si>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</si>
  <si>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</si>
  <si>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</si>
  <si>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</si>
  <si>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</si>
  <si>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</si>
  <si>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</si>
  <si>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</si>
  <si>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</si>
  <si>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</si>
  <si>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</si>
  <si>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</si>
  <si>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</si>
  <si>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</si>
  <si>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</si>
  <si>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</si>
  <si>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</si>
  <si>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</si>
  <si>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</si>
  <si>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</si>
  <si>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</si>
  <si>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</si>
  <si>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</si>
  <si>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</si>
  <si>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</si>
  <si>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</si>
  <si>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</si>
  <si>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</si>
  <si>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</si>
  <si>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</si>
  <si>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</si>
  <si>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</si>
  <si>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</si>
  <si>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</si>
  <si>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</si>
  <si>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</si>
  <si>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</si>
  <si>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</si>
  <si>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</si>
  <si>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</si>
  <si>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</si>
  <si>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</si>
  <si>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</si>
  <si>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</si>
  <si>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</si>
  <si>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</si>
  <si>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</si>
  <si>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</si>
  <si>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</si>
  <si>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</si>
  <si>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</si>
  <si>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</si>
  <si>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</si>
  <si>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</si>
  <si>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</si>
  <si>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</si>
  <si>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</si>
  <si>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</si>
  <si>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</si>
  <si>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</si>
  <si>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</si>
  <si>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</si>
  <si>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</si>
  <si>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</si>
  <si>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</si>
  <si>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</si>
  <si>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</si>
  <si>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</si>
  <si>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</si>
  <si>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</si>
  <si>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</si>
  <si>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</si>
  <si>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</si>
  <si>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</si>
  <si>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</si>
  <si>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</si>
  <si>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</si>
  <si>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</si>
  <si>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</si>
  <si>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</si>
  <si>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</si>
  <si>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</si>
  <si>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</si>
  <si>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</si>
  <si>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</si>
  <si>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</si>
  <si>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</si>
  <si>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</si>
  <si>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</si>
  <si>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</si>
  <si>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</si>
  <si>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</si>
  <si>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</si>
  <si>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</si>
  <si>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</si>
  <si>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</si>
  <si>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</si>
  <si>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</si>
  <si>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</si>
  <si>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</si>
  <si>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</si>
  <si>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</si>
  <si>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</si>
  <si>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</si>
  <si>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</si>
  <si>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</si>
  <si>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</si>
  <si>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</si>
  <si>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</si>
  <si>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</si>
  <si>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</si>
  <si>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</si>
  <si>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</si>
  <si>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</si>
  <si>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</si>
  <si>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</si>
  <si>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</si>
  <si>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</si>
  <si>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</si>
  <si>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</si>
  <si>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</si>
  <si>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</si>
  <si>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</si>
  <si>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</si>
  <si>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</si>
  <si>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</si>
  <si>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</si>
  <si>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</si>
  <si>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</si>
  <si>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</si>
  <si>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</si>
  <si>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06/6636288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</si>
  <si>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</si>
  <si>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</si>
  <si>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</si>
  <si>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</si>
  <si>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</si>
  <si>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</si>
  <si>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</si>
  <si>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</si>
  <si>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</si>
  <si>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</si>
  <si>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</si>
  <si>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</si>
  <si>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</si>
  <si>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</si>
  <si>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</si>
  <si>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</si>
  <si>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</si>
  <si>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</si>
  <si>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</si>
  <si>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</si>
  <si>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</si>
  <si>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</si>
  <si>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</si>
  <si>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</si>
  <si>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</si>
  <si>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</si>
  <si>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</si>
  <si>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</si>
  <si>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</si>
  <si>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</si>
  <si>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</si>
  <si>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</si>
  <si>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</si>
  <si>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</si>
  <si>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</si>
  <si>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</si>
  <si>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</si>
  <si>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</si>
  <si>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</si>
  <si>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</si>
  <si>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</si>
  <si>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</si>
  <si>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</si>
  <si>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</si>
  <si>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</si>
  <si>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</si>
  <si>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</si>
  <si>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</si>
  <si>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</si>
  <si>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</si>
  <si>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</si>
  <si>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</si>
  <si>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</si>
  <si>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</si>
  <si>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</si>
  <si>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</si>
  <si>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</si>
  <si>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</si>
  <si>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</si>
  <si>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</si>
  <si>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</si>
  <si>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</si>
  <si>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</si>
  <si>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</si>
  <si>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</si>
  <si>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</si>
  <si>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</si>
  <si>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</si>
  <si>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</si>
  <si>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</si>
  <si>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</si>
  <si>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</si>
  <si>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</si>
  <si>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</si>
  <si>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</si>
  <si>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</si>
  <si>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</si>
  <si>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</si>
  <si>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</si>
  <si>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</si>
  <si>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</si>
  <si>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</si>
  <si>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</si>
  <si>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</si>
  <si>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</si>
  <si>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</si>
  <si>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</si>
  <si>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</si>
  <si>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</si>
  <si>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</si>
  <si>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</si>
  <si>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</si>
  <si>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</si>
  <si>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</si>
  <si>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</si>
  <si>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</si>
  <si>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</si>
  <si>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</si>
  <si>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</si>
  <si>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</si>
  <si>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</si>
  <si>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</si>
  <si>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</si>
  <si>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</si>
  <si>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</si>
  <si>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</si>
  <si>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</si>
  <si>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</si>
  <si>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</si>
  <si>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</si>
  <si>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</si>
  <si>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</si>
  <si>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</si>
  <si>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</si>
  <si>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</si>
  <si>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</si>
  <si>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</si>
  <si>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</si>
  <si>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</si>
  <si>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</si>
  <si>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</si>
  <si>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</si>
  <si>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</si>
  <si>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</si>
  <si>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</si>
  <si>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</si>
  <si>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</si>
  <si>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</si>
  <si>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</si>
  <si>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</si>
  <si>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</si>
  <si>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</si>
  <si>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</si>
  <si>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</si>
  <si>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</si>
  <si>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</si>
  <si>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</si>
  <si>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</si>
  <si>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</si>
  <si>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</si>
  <si>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</si>
  <si>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</si>
  <si>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</si>
  <si>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</si>
  <si>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</si>
  <si>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</si>
  <si>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</si>
  <si>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</si>
  <si>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</si>
  <si>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</si>
  <si>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</si>
  <si>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</si>
  <si>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</si>
  <si>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</si>
  <si>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</si>
  <si>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</si>
  <si>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</si>
  <si>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</si>
  <si>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</si>
  <si>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</si>
  <si>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</si>
  <si>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</si>
  <si>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</si>
  <si>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</si>
  <si>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</si>
  <si>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</si>
  <si>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</si>
  <si>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</si>
  <si>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</si>
  <si>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</si>
  <si>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</si>
  <si>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</si>
  <si>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</si>
  <si>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</si>
  <si>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</si>
  <si>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</si>
  <si>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</si>
  <si>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</si>
  <si>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</si>
  <si>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</si>
  <si>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</si>
  <si>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</si>
  <si>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</si>
  <si>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</si>
  <si>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</si>
  <si>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</si>
  <si>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</si>
  <si>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</si>
  <si>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</si>
  <si>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</si>
  <si>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</si>
  <si>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</si>
  <si>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</si>
  <si>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</si>
  <si>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</si>
  <si>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</si>
  <si>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</si>
  <si>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</si>
  <si>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</si>
  <si>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</si>
  <si>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</si>
  <si>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</si>
  <si>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</si>
  <si>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</si>
  <si>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</si>
  <si>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</si>
  <si>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</si>
  <si>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</si>
  <si>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</si>
  <si>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</si>
  <si>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</si>
  <si>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</si>
  <si>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</si>
  <si>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</si>
  <si>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</si>
  <si>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</si>
  <si>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</si>
  <si>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</si>
  <si>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</si>
  <si>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</si>
  <si>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</si>
  <si>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</si>
  <si>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</si>
  <si>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</si>
  <si>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</si>
  <si>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</si>
  <si>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</si>
  <si>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</si>
  <si>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</si>
  <si>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</si>
  <si>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</si>
  <si>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</si>
  <si>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</si>
  <si>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</si>
  <si>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</si>
  <si>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</si>
  <si>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</si>
  <si>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</si>
  <si>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</si>
  <si>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</si>
  <si>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</si>
  <si>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</si>
  <si>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</si>
  <si>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</si>
  <si>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</si>
  <si>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</si>
  <si>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</si>
  <si>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</si>
  <si>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</si>
  <si>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</si>
  <si>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</si>
  <si>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</si>
  <si>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</si>
  <si>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</si>
  <si>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</si>
  <si>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</si>
  <si>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</si>
  <si>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</si>
  <si>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</si>
  <si>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</si>
  <si>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</si>
  <si>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</si>
  <si>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</si>
  <si>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</si>
  <si>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</si>
  <si>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</si>
  <si>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</si>
  <si>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</si>
  <si>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</si>
  <si>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</si>
  <si>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</si>
  <si>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</si>
  <si>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</si>
  <si>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</si>
  <si>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</si>
  <si>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</si>
  <si>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</si>
  <si>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</si>
  <si>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</si>
  <si>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</si>
  <si>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</si>
  <si>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</si>
  <si>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</si>
  <si>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</si>
  <si>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</si>
  <si>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</si>
  <si>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</si>
  <si>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</si>
  <si>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</si>
  <si>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</si>
  <si>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</si>
  <si>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</si>
  <si>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</si>
  <si>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</si>
  <si>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</si>
  <si>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</si>
  <si>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</si>
  <si>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</si>
  <si>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</si>
  <si>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</si>
  <si>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</si>
  <si>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</si>
  <si>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</si>
  <si>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</si>
  <si>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</si>
  <si>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</si>
  <si>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</si>
  <si>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</si>
  <si>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</si>
  <si>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</si>
  <si>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</si>
  <si>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</si>
  <si>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</si>
  <si>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</si>
  <si>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</si>
  <si>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</si>
  <si>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</si>
  <si>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</si>
  <si>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</si>
  <si>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</si>
  <si>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</si>
  <si>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</si>
  <si>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</si>
  <si>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</si>
  <si>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</si>
  <si>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</si>
  <si>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</si>
  <si>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</si>
  <si>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</si>
  <si>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</si>
  <si>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</si>
  <si>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</si>
  <si>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</si>
  <si>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</si>
  <si>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</si>
  <si>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</si>
  <si>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</si>
  <si>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</si>
  <si>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</si>
  <si>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</si>
  <si>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</si>
  <si>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</si>
  <si>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</si>
  <si>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</si>
  <si>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</si>
  <si>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</si>
  <si>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</si>
  <si>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</si>
  <si>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</si>
  <si>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</si>
  <si>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</si>
  <si>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</si>
  <si>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</si>
  <si>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</si>
  <si>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</si>
  <si>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</si>
  <si>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</si>
  <si>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</si>
  <si>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</si>
  <si>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</si>
  <si>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</si>
  <si>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</si>
  <si>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</si>
  <si>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</si>
  <si>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</si>
  <si>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</si>
  <si>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</si>
  <si>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</si>
  <si>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</si>
  <si>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</si>
  <si>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</si>
  <si>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</si>
  <si>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</si>
  <si>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</si>
  <si>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</si>
  <si>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</si>
  <si>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</si>
  <si>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</si>
  <si>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</si>
  <si>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</si>
  <si>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</si>
  <si>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</si>
  <si>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</si>
  <si>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</si>
  <si>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</si>
  <si>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</si>
  <si>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</si>
  <si>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</si>
  <si>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</si>
  <si>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</si>
  <si>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</si>
  <si>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</si>
  <si>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</si>
  <si>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</si>
  <si>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</si>
  <si>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</si>
  <si>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</si>
  <si>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</si>
  <si>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</si>
  <si>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</si>
  <si>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</si>
  <si>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</si>
  <si>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</si>
  <si>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</si>
  <si>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</si>
  <si>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</si>
  <si>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</si>
  <si>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</si>
  <si>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</si>
  <si>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</si>
  <si>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</si>
  <si>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</si>
  <si>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</si>
  <si>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</si>
  <si>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</si>
  <si>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</si>
  <si>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</si>
  <si>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</si>
  <si>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</si>
  <si>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</si>
  <si>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</si>
  <si>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</si>
  <si>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</si>
  <si>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</si>
  <si>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</si>
  <si>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</si>
  <si>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</si>
  <si>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</si>
  <si>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</si>
  <si>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</si>
  <si>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</si>
  <si>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</si>
  <si>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</si>
  <si>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</si>
  <si>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</si>
  <si>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</si>
  <si>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</si>
  <si>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</si>
  <si>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</si>
  <si>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</si>
  <si>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</si>
  <si>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</si>
  <si>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</si>
  <si>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</si>
  <si>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</si>
  <si>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</si>
  <si>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</si>
  <si>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</si>
  <si>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</si>
  <si>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</si>
  <si>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</si>
  <si>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</si>
  <si>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</si>
  <si>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</si>
  <si>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</si>
  <si>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</si>
  <si>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</si>
  <si>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</si>
  <si>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</si>
  <si>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</si>
  <si>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</si>
  <si>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</si>
  <si>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</si>
  <si>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</si>
  <si>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</si>
  <si>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</si>
  <si>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</si>
  <si>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</si>
  <si>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</si>
  <si>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</si>
  <si>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</si>
  <si>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</si>
  <si>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</si>
  <si>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</si>
  <si>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</si>
  <si>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</si>
  <si>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</si>
  <si>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</si>
  <si>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</si>
  <si>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</si>
  <si>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</si>
  <si>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</si>
  <si>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</si>
  <si>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</si>
  <si>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</si>
  <si>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</si>
  <si>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</si>
  <si>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</si>
  <si>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</si>
  <si>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</si>
  <si>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</si>
  <si>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</si>
  <si>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</si>
  <si>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</si>
  <si>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</si>
  <si>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</si>
  <si>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</si>
  <si>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</si>
  <si>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</si>
  <si>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</si>
  <si>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</si>
  <si>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</si>
  <si>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</si>
  <si>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</si>
  <si>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</si>
  <si>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</si>
  <si>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</si>
  <si>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</si>
  <si>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</si>
  <si>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</si>
  <si>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</si>
  <si>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</si>
  <si>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</si>
  <si>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</si>
  <si>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</si>
  <si>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</si>
  <si>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</si>
  <si>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</si>
  <si>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</si>
  <si>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</si>
  <si>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</si>
  <si>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</si>
  <si>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</si>
  <si>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</si>
  <si>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</si>
  <si>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</si>
  <si>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</si>
  <si>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</si>
  <si>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</si>
  <si>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</si>
  <si>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</si>
  <si>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</si>
  <si>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</si>
  <si>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</si>
  <si>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</si>
  <si>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</si>
  <si>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</si>
  <si>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</si>
  <si>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</si>
  <si>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</si>
  <si>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</si>
  <si>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</si>
  <si>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</si>
  <si>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</si>
  <si>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</si>
  <si>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</si>
  <si>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</si>
  <si>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</si>
  <si>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</si>
  <si>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</si>
  <si>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</si>
  <si>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</si>
  <si>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</si>
  <si>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</si>
  <si>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</si>
  <si>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</si>
  <si>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</si>
  <si>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</si>
  <si>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</si>
  <si>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</si>
  <si>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</si>
  <si>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</si>
  <si>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</si>
  <si>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</si>
  <si>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</si>
  <si>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</si>
  <si>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</si>
  <si>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</si>
  <si>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</si>
  <si>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</si>
  <si>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</si>
  <si>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</si>
  <si>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</si>
  <si>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</si>
  <si>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</si>
  <si>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</si>
  <si>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</si>
  <si>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</si>
  <si>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</si>
  <si>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</si>
  <si>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</si>
  <si>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</si>
  <si>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</si>
  <si>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</si>
  <si>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</si>
  <si>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</si>
  <si>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</si>
  <si>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</si>
  <si>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</si>
  <si>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</si>
  <si>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</si>
  <si>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</si>
  <si>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</si>
  <si>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</si>
  <si>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</si>
  <si>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</si>
  <si>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</si>
  <si>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</si>
  <si>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</si>
  <si>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</si>
  <si>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</si>
  <si>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</si>
  <si>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</si>
  <si>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</si>
  <si>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</si>
  <si>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</si>
  <si>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</si>
  <si>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</si>
  <si>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</si>
  <si>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</si>
  <si>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</si>
  <si>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</si>
  <si>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</si>
  <si>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</si>
  <si>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</si>
  <si>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</si>
  <si>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</si>
  <si>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</si>
  <si>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</si>
  <si>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</si>
  <si>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</si>
  <si>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</si>
  <si>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</si>
  <si>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</si>
  <si>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Avanvera</t>
  </si>
  <si>
    <t>Via Luigi Tosti, 33</t>
  </si>
  <si>
    <t>06/45596021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</si>
  <si>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</si>
  <si>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</si>
  <si>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</si>
  <si>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</si>
  <si>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</si>
  <si>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</si>
  <si>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</si>
  <si>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</si>
  <si>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</si>
  <si>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</si>
  <si>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</si>
  <si>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</si>
  <si>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</si>
  <si>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</si>
  <si>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</si>
  <si>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</si>
  <si>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</si>
  <si>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</si>
  <si>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</si>
  <si>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</si>
  <si>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</si>
  <si>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</si>
  <si>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</si>
  <si>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</si>
  <si>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</si>
  <si>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</si>
  <si>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</si>
  <si>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</si>
  <si>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</si>
  <si>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</si>
  <si>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</si>
  <si>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</si>
  <si>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</si>
  <si>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</si>
  <si>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</si>
  <si>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</si>
  <si>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</si>
  <si>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</si>
  <si>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</si>
  <si>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</si>
  <si>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</si>
  <si>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</si>
  <si>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</si>
  <si>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</si>
  <si>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</si>
  <si>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</si>
  <si>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</si>
  <si>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</si>
  <si>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</si>
  <si>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</si>
  <si>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</si>
  <si>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</si>
  <si>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</si>
  <si>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</si>
  <si>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</si>
  <si>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</si>
  <si>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</si>
  <si>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</si>
  <si>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</si>
  <si>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</si>
  <si>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</si>
  <si>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</si>
  <si>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</si>
  <si>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</si>
  <si>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</si>
  <si>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</si>
  <si>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</si>
  <si>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</si>
  <si>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</si>
  <si>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</si>
  <si>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</si>
  <si>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</si>
  <si>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</si>
  <si>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</si>
  <si>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</si>
  <si>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</si>
  <si>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</si>
  <si>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</si>
  <si>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</si>
  <si>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</si>
  <si>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</si>
  <si>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</si>
  <si>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</si>
  <si>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</si>
  <si>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</si>
  <si>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</si>
  <si>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</si>
  <si>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</si>
  <si>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</si>
  <si>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</si>
  <si>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</si>
  <si>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</si>
  <si>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</si>
  <si>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</si>
  <si>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</si>
  <si>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</si>
  <si>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</si>
  <si>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</si>
  <si>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</si>
  <si>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</si>
  <si>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</si>
  <si>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</si>
  <si>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</si>
  <si>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</si>
  <si>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</si>
  <si>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</si>
  <si>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</si>
  <si>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</si>
  <si>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</si>
  <si>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</si>
  <si>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</si>
  <si>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</si>
  <si>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</si>
  <si>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</si>
  <si>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</si>
  <si>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</si>
  <si>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</si>
  <si>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</si>
  <si>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</si>
  <si>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</si>
  <si>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</si>
  <si>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</si>
  <si>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</si>
  <si>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</si>
  <si>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</si>
  <si>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</si>
  <si>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</si>
  <si>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</si>
  <si>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</si>
  <si>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</si>
  <si>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</si>
  <si>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</si>
  <si>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</si>
  <si>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</si>
  <si>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</si>
  <si>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</si>
  <si>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</si>
  <si>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</si>
  <si>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</si>
  <si>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</si>
  <si>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</si>
  <si>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</si>
  <si>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</si>
  <si>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</si>
  <si>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</si>
  <si>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</si>
  <si>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</si>
  <si>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</si>
  <si>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</si>
  <si>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</si>
  <si>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</si>
  <si>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</si>
  <si>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</si>
  <si>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</si>
  <si>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</si>
  <si>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</si>
  <si>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</si>
  <si>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</si>
  <si>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</si>
  <si>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</si>
  <si>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</si>
  <si>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</si>
  <si>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</si>
  <si>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</si>
  <si>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</si>
  <si>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</si>
  <si>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</si>
  <si>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</si>
  <si>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</si>
  <si>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</si>
  <si>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</si>
  <si>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</si>
  <si>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</si>
  <si>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</si>
  <si>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</si>
  <si>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</si>
  <si>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</si>
  <si>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</si>
  <si>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</si>
  <si>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</si>
  <si>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</si>
  <si>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</si>
  <si>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</si>
  <si>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</si>
  <si>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</si>
  <si>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</si>
  <si>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</si>
  <si>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</si>
  <si>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</si>
  <si>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</si>
  <si>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</si>
  <si>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</si>
  <si>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</si>
  <si>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</si>
  <si>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</si>
  <si>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</si>
  <si>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</si>
  <si>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</si>
  <si>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</si>
  <si>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</si>
  <si>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</si>
  <si>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</si>
  <si>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</si>
  <si>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</si>
  <si>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</si>
  <si>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</si>
  <si>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</si>
  <si>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</si>
  <si>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</si>
  <si>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</si>
  <si>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</si>
  <si>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</si>
  <si>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</si>
  <si>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</si>
  <si>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</si>
  <si>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</si>
  <si>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</si>
  <si>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</si>
  <si>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</si>
  <si>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</si>
  <si>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</si>
  <si>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</si>
  <si>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</si>
  <si>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</si>
  <si>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</si>
  <si>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</si>
  <si>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</si>
  <si>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</si>
  <si>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</si>
  <si>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</si>
  <si>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</si>
  <si>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</si>
  <si>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</si>
  <si>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</si>
  <si>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</si>
  <si>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</si>
  <si>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</si>
  <si>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</si>
  <si>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</si>
  <si>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</si>
  <si>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</si>
  <si>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</si>
  <si>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</si>
  <si>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</si>
  <si>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</si>
  <si>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</si>
  <si>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</si>
  <si>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</si>
  <si>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</si>
  <si>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</si>
  <si>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</si>
  <si>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</si>
  <si>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</si>
  <si>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</si>
  <si>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</si>
  <si>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</si>
  <si>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</si>
  <si>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</si>
  <si>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</si>
  <si>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</si>
  <si>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</si>
  <si>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</si>
  <si>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</si>
  <si>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</si>
  <si>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</si>
  <si>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</si>
  <si>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</si>
  <si>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</si>
  <si>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</si>
  <si>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</si>
  <si>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</si>
  <si>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</si>
  <si>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</si>
  <si>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</si>
  <si>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</si>
  <si>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</si>
  <si>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</si>
  <si>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</si>
  <si>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</si>
  <si>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</si>
  <si>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</si>
  <si>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</si>
  <si>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</si>
  <si>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</si>
  <si>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</si>
  <si>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</si>
  <si>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</si>
  <si>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</si>
  <si>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</si>
  <si>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</si>
  <si>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</si>
  <si>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</si>
  <si>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</si>
  <si>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</si>
  <si>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</si>
  <si>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</si>
  <si>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</si>
  <si>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</si>
  <si>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</si>
  <si>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</si>
  <si>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</si>
  <si>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</si>
  <si>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</si>
  <si>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</si>
  <si>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</si>
  <si>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</si>
  <si>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</si>
  <si>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</si>
  <si>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</si>
  <si>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</si>
  <si>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</si>
  <si>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</si>
  <si>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</si>
  <si>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</si>
  <si>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</si>
  <si>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</si>
  <si>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</si>
  <si>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</si>
  <si>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</si>
  <si>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</si>
  <si>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</si>
  <si>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</si>
  <si>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</si>
  <si>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</si>
  <si>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</si>
  <si>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</si>
  <si>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</si>
  <si>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</si>
  <si>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</si>
  <si>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</si>
  <si>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</si>
  <si>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</si>
  <si>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</si>
  <si>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</si>
  <si>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</si>
  <si>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</si>
  <si>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</si>
  <si>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</si>
  <si>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</si>
  <si>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</si>
  <si>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</si>
  <si>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</si>
  <si>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</si>
  <si>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</si>
  <si>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</si>
  <si>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</si>
  <si>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</si>
  <si>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</si>
  <si>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</si>
  <si>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</si>
  <si>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</si>
  <si>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</si>
  <si>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</si>
  <si>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</si>
  <si>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</si>
  <si>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</si>
  <si>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</si>
  <si>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</si>
  <si>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</si>
  <si>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</si>
  <si>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</si>
  <si>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</si>
  <si>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</si>
  <si>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</si>
  <si>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</si>
  <si>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</si>
  <si>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</si>
  <si>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</si>
  <si>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</si>
  <si>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</si>
  <si>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</si>
  <si>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</si>
  <si>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</si>
  <si>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</si>
  <si>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</si>
  <si>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</si>
  <si>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</si>
  <si>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</si>
  <si>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</si>
  <si>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</si>
  <si>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</si>
  <si>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</si>
  <si>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3 piatti salati e 1 calice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</si>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</sst>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6"/>
  <sheetViews>
    <sheetView tabSelected="1" zoomScaleNormal="100" workbookViewId="0">
      <pane ySplit="7" topLeftCell="A61" activePane="bottomLeft" state="frozen"/>
      <selection pane="bottomLeft" activeCell="A363" sqref="A363:XFD363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36" width="9.109375" style="1"/>
    <col min="37" max="16384" width="9.109375" style="2"/>
  </cols>
  <sheetData>
    <row r="1" spans="1:36" ht="14.25" customHeight="1" x14ac:dyDescent="0.25">
      <c r="D1" s="1"/>
      <c r="F1" s="1"/>
    </row>
    <row r="2" spans="1:36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5">
      <c r="D3" s="1" t="s">
        <v>2</v>
      </c>
      <c r="E3" s="5">
        <f>+AH6</f>
        <v>104</v>
      </c>
      <c r="F3" s="5">
        <f>+AD6</f>
        <v>67</v>
      </c>
      <c r="G3" s="5">
        <f>+AF6</f>
        <v>67</v>
      </c>
      <c r="H3" s="5">
        <f>+E3-G3</f>
        <v>37</v>
      </c>
      <c r="I3" s="13" t="s">
        <v>9</v>
      </c>
      <c r="J3" s="4"/>
      <c r="K3" s="4"/>
    </row>
    <row r="4" spans="1:36" ht="27" customHeight="1" x14ac:dyDescent="0.3">
      <c r="D4" s="6" t="s">
        <v>3</v>
      </c>
      <c r="E4" s="7">
        <f>+AI6</f>
        <v>319</v>
      </c>
      <c r="F4" s="7">
        <f>+AE6</f>
        <v>121</v>
      </c>
      <c r="G4" s="7">
        <f>+AG6</f>
        <v>104</v>
      </c>
      <c r="H4" s="5">
        <f>+E4-G4</f>
        <v>215</v>
      </c>
      <c r="I4" s="22" t="s">
        <v>10</v>
      </c>
      <c r="J4" s="23" t="s">
        <v>571</v>
      </c>
      <c r="K4" s="24" t="s">
        <v>19</v>
      </c>
      <c r="M4" s="17"/>
      <c r="N4" s="17"/>
    </row>
    <row r="5" spans="1:36" ht="14.25" customHeight="1" x14ac:dyDescent="0.3">
      <c r="D5" s="8" t="s">
        <v>12</v>
      </c>
      <c r="E5" s="8">
        <f>+E3+E4</f>
        <v>423</v>
      </c>
      <c r="F5" s="8">
        <f>+F3+F4</f>
        <v>188</v>
      </c>
      <c r="G5" s="8">
        <f>+G3+G4</f>
        <v>171</v>
      </c>
      <c r="H5" s="8">
        <f>+H3+H4</f>
        <v>252</v>
      </c>
      <c r="I5" s="33" t="s">
        <v>16</v>
      </c>
      <c r="J5" s="25" t="s">
        <v>570</v>
      </c>
      <c r="K5" s="26" t="s">
        <v>41</v>
      </c>
      <c r="M5" s="17"/>
      <c r="N5" s="17"/>
      <c r="Q5" s="9"/>
      <c r="S5" s="9">
        <f t="shared" ref="S5:AB5" si="0">SUM(S8:S2419)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SUM(AD8:AD1688)</f>
        <v>67</v>
      </c>
      <c r="AE6" s="1">
        <f t="shared" si="1"/>
        <v>121</v>
      </c>
      <c r="AF6" s="1">
        <f t="shared" si="1"/>
        <v>67</v>
      </c>
      <c r="AG6" s="1">
        <f t="shared" si="1"/>
        <v>104</v>
      </c>
      <c r="AH6" s="1">
        <f t="shared" si="1"/>
        <v>104</v>
      </c>
      <c r="AI6" s="1">
        <f t="shared" si="1"/>
        <v>319</v>
      </c>
    </row>
    <row r="7" spans="1:36" s="31" customFormat="1" ht="14.25" customHeight="1" x14ac:dyDescent="0.3">
      <c r="A7" s="27" t="s">
        <v>1385</v>
      </c>
      <c r="B7" s="27" t="s">
        <v>1386</v>
      </c>
      <c r="C7" s="27" t="s">
        <v>1387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1388</v>
      </c>
      <c r="K7" s="27" t="s">
        <v>1648</v>
      </c>
      <c r="L7" s="27" t="s">
        <v>17</v>
      </c>
      <c r="M7" s="32" t="s">
        <v>1389</v>
      </c>
      <c r="N7" s="28" t="s">
        <v>0</v>
      </c>
      <c r="O7" s="18" t="s">
        <v>1</v>
      </c>
      <c r="P7" s="18" t="s">
        <v>2</v>
      </c>
      <c r="Q7" s="32" t="s">
        <v>1896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3">
      <c r="A8" s="47">
        <v>0</v>
      </c>
      <c r="B8" s="47">
        <v>1</v>
      </c>
      <c r="C8" s="47">
        <v>1</v>
      </c>
      <c r="D8" s="48" t="s">
        <v>126</v>
      </c>
      <c r="E8" s="48" t="s">
        <v>914</v>
      </c>
      <c r="F8" s="48" t="s">
        <v>328</v>
      </c>
      <c r="G8" s="48" t="s">
        <v>180</v>
      </c>
      <c r="H8" s="48" t="s">
        <v>357</v>
      </c>
      <c r="I8" s="47" t="s">
        <v>476</v>
      </c>
      <c r="J8" s="47">
        <v>1</v>
      </c>
      <c r="K8" s="49" t="s">
        <v>740</v>
      </c>
      <c r="L8" s="49">
        <v>200</v>
      </c>
      <c r="M8" s="50" t="s">
        <v>39</v>
      </c>
      <c r="N8" s="50" t="s">
        <v>1750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3">
      <c r="A9" s="41">
        <v>0</v>
      </c>
      <c r="B9" s="41">
        <v>1</v>
      </c>
      <c r="C9" s="41">
        <v>1</v>
      </c>
      <c r="D9" s="42" t="s">
        <v>1606</v>
      </c>
      <c r="E9" s="42" t="s">
        <v>173</v>
      </c>
      <c r="F9" s="42" t="s">
        <v>1556</v>
      </c>
      <c r="G9" s="42" t="s">
        <v>39</v>
      </c>
      <c r="H9" s="42" t="s">
        <v>366</v>
      </c>
      <c r="I9" s="41" t="s">
        <v>1557</v>
      </c>
      <c r="J9" s="41">
        <v>99</v>
      </c>
      <c r="K9" s="43" t="s">
        <v>971</v>
      </c>
      <c r="L9" s="43" t="s">
        <v>1716</v>
      </c>
      <c r="M9" s="44" t="s">
        <v>1393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3">
      <c r="A10" s="47">
        <v>0</v>
      </c>
      <c r="B10" s="47">
        <v>1</v>
      </c>
      <c r="C10" s="47">
        <v>1</v>
      </c>
      <c r="D10" s="48" t="s">
        <v>152</v>
      </c>
      <c r="E10" s="48" t="s">
        <v>173</v>
      </c>
      <c r="F10" s="48" t="s">
        <v>354</v>
      </c>
      <c r="G10" s="48" t="s">
        <v>180</v>
      </c>
      <c r="H10" s="48" t="s">
        <v>357</v>
      </c>
      <c r="I10" s="47" t="s">
        <v>502</v>
      </c>
      <c r="J10" s="47">
        <v>1</v>
      </c>
      <c r="K10" s="49" t="s">
        <v>971</v>
      </c>
      <c r="L10" s="49" t="s">
        <v>1717</v>
      </c>
      <c r="M10" s="50" t="s">
        <v>1390</v>
      </c>
      <c r="N10" s="50" t="s">
        <v>1762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3">
      <c r="A11" s="47">
        <v>0</v>
      </c>
      <c r="B11" s="47">
        <v>1</v>
      </c>
      <c r="C11" s="47">
        <v>1</v>
      </c>
      <c r="D11" s="48" t="s">
        <v>1039</v>
      </c>
      <c r="E11" s="48" t="s">
        <v>176</v>
      </c>
      <c r="F11" s="48" t="s">
        <v>1100</v>
      </c>
      <c r="G11" s="48" t="s">
        <v>39</v>
      </c>
      <c r="H11" s="48" t="s">
        <v>1040</v>
      </c>
      <c r="I11" s="47" t="s">
        <v>1122</v>
      </c>
      <c r="J11" s="47">
        <v>16</v>
      </c>
      <c r="K11" s="49" t="s">
        <v>969</v>
      </c>
      <c r="L11" s="49">
        <v>45</v>
      </c>
      <c r="M11" s="50" t="s">
        <v>1391</v>
      </c>
      <c r="N11" s="50" t="s">
        <v>1817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3">
      <c r="A12" s="47">
        <v>0</v>
      </c>
      <c r="B12" s="47">
        <v>1</v>
      </c>
      <c r="C12" s="47">
        <v>1</v>
      </c>
      <c r="D12" s="48" t="s">
        <v>118</v>
      </c>
      <c r="E12" s="48" t="s">
        <v>173</v>
      </c>
      <c r="F12" s="48" t="s">
        <v>319</v>
      </c>
      <c r="G12" s="48" t="s">
        <v>320</v>
      </c>
      <c r="H12" s="48" t="s">
        <v>357</v>
      </c>
      <c r="I12" s="47" t="s">
        <v>468</v>
      </c>
      <c r="J12" s="47">
        <v>8</v>
      </c>
      <c r="K12" s="49" t="s">
        <v>973</v>
      </c>
      <c r="L12" s="49" t="s">
        <v>1720</v>
      </c>
      <c r="M12" s="50" t="s">
        <v>1129</v>
      </c>
      <c r="N12" s="50" t="s">
        <v>1751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3">
      <c r="A13" s="47">
        <v>0</v>
      </c>
      <c r="B13" s="47">
        <v>1</v>
      </c>
      <c r="C13" s="47">
        <v>1</v>
      </c>
      <c r="D13" s="48" t="s">
        <v>141</v>
      </c>
      <c r="E13" s="48" t="s">
        <v>173</v>
      </c>
      <c r="F13" s="48" t="s">
        <v>343</v>
      </c>
      <c r="G13" s="48" t="s">
        <v>344</v>
      </c>
      <c r="H13" s="48" t="s">
        <v>357</v>
      </c>
      <c r="I13" s="47" t="s">
        <v>492</v>
      </c>
      <c r="J13" s="47">
        <v>10</v>
      </c>
      <c r="K13" s="49" t="s">
        <v>971</v>
      </c>
      <c r="L13" s="49" t="s">
        <v>1721</v>
      </c>
      <c r="M13" s="50" t="s">
        <v>1129</v>
      </c>
      <c r="N13" s="50" t="s">
        <v>1751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3">
      <c r="A14" s="47">
        <v>0</v>
      </c>
      <c r="B14" s="47">
        <v>1</v>
      </c>
      <c r="C14" s="47">
        <v>1</v>
      </c>
      <c r="D14" s="48" t="s">
        <v>539</v>
      </c>
      <c r="E14" s="48" t="s">
        <v>173</v>
      </c>
      <c r="F14" s="48" t="s">
        <v>1307</v>
      </c>
      <c r="G14" s="48" t="s">
        <v>242</v>
      </c>
      <c r="H14" s="48" t="s">
        <v>357</v>
      </c>
      <c r="I14" s="47" t="s">
        <v>1374</v>
      </c>
      <c r="J14" s="47">
        <v>1</v>
      </c>
      <c r="K14" s="49" t="s">
        <v>967</v>
      </c>
      <c r="L14" s="49" t="s">
        <v>1723</v>
      </c>
      <c r="M14" s="50" t="s">
        <v>1392</v>
      </c>
      <c r="N14" s="50" t="s">
        <v>1754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3">
      <c r="A15" s="47">
        <v>0</v>
      </c>
      <c r="B15" s="47">
        <v>1</v>
      </c>
      <c r="C15" s="47">
        <v>1</v>
      </c>
      <c r="D15" s="48" t="s">
        <v>117</v>
      </c>
      <c r="E15" s="48" t="s">
        <v>173</v>
      </c>
      <c r="F15" s="48" t="s">
        <v>318</v>
      </c>
      <c r="G15" s="48" t="s">
        <v>188</v>
      </c>
      <c r="H15" s="48" t="s">
        <v>357</v>
      </c>
      <c r="I15" s="47" t="s">
        <v>467</v>
      </c>
      <c r="J15" s="47">
        <v>1</v>
      </c>
      <c r="K15" s="49" t="s">
        <v>971</v>
      </c>
      <c r="L15" s="49" t="s">
        <v>1721</v>
      </c>
      <c r="M15" s="50" t="s">
        <v>1129</v>
      </c>
      <c r="N15" s="50" t="s">
        <v>1762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3">
      <c r="A16" s="41">
        <v>0</v>
      </c>
      <c r="B16" s="41">
        <v>1</v>
      </c>
      <c r="C16" s="41">
        <v>1</v>
      </c>
      <c r="D16" s="42" t="s">
        <v>111</v>
      </c>
      <c r="E16" s="42" t="s">
        <v>173</v>
      </c>
      <c r="F16" s="42" t="s">
        <v>312</v>
      </c>
      <c r="G16" s="42" t="s">
        <v>215</v>
      </c>
      <c r="H16" s="42" t="s">
        <v>357</v>
      </c>
      <c r="I16" s="41" t="s">
        <v>462</v>
      </c>
      <c r="J16" s="41">
        <v>1</v>
      </c>
      <c r="K16" s="43" t="s">
        <v>1713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7">
        <v>0</v>
      </c>
      <c r="B17" s="47">
        <v>1</v>
      </c>
      <c r="C17" s="47">
        <v>1</v>
      </c>
      <c r="D17" s="48" t="s">
        <v>121</v>
      </c>
      <c r="E17" s="48" t="s">
        <v>687</v>
      </c>
      <c r="F17" s="48" t="s">
        <v>1101</v>
      </c>
      <c r="G17" s="48" t="s">
        <v>39</v>
      </c>
      <c r="H17" s="48" t="s">
        <v>358</v>
      </c>
      <c r="I17" s="47" t="s">
        <v>1123</v>
      </c>
      <c r="J17" s="47">
        <v>11</v>
      </c>
      <c r="K17" s="49" t="s">
        <v>973</v>
      </c>
      <c r="L17" s="49" t="s">
        <v>1729</v>
      </c>
      <c r="M17" s="50" t="s">
        <v>1393</v>
      </c>
      <c r="N17" s="50" t="s">
        <v>1756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7">
        <v>0</v>
      </c>
      <c r="B18" s="47">
        <v>1</v>
      </c>
      <c r="C18" s="47">
        <v>1</v>
      </c>
      <c r="D18" s="48" t="s">
        <v>150</v>
      </c>
      <c r="E18" s="48" t="s">
        <v>173</v>
      </c>
      <c r="F18" s="48" t="s">
        <v>352</v>
      </c>
      <c r="G18" s="48" t="s">
        <v>39</v>
      </c>
      <c r="H18" s="48" t="s">
        <v>382</v>
      </c>
      <c r="I18" s="47" t="s">
        <v>500</v>
      </c>
      <c r="J18" s="47">
        <v>16</v>
      </c>
      <c r="K18" s="49" t="s">
        <v>967</v>
      </c>
      <c r="L18" s="49">
        <v>75</v>
      </c>
      <c r="M18" s="50" t="s">
        <v>1393</v>
      </c>
      <c r="N18" s="50" t="s">
        <v>1817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47">
        <v>0</v>
      </c>
      <c r="B19" s="47">
        <v>1</v>
      </c>
      <c r="C19" s="47">
        <v>1</v>
      </c>
      <c r="D19" s="48" t="s">
        <v>122</v>
      </c>
      <c r="E19" s="48" t="s">
        <v>173</v>
      </c>
      <c r="F19" s="48" t="s">
        <v>325</v>
      </c>
      <c r="G19" s="48" t="s">
        <v>326</v>
      </c>
      <c r="H19" s="48" t="s">
        <v>357</v>
      </c>
      <c r="I19" s="47" t="s">
        <v>472</v>
      </c>
      <c r="J19" s="47">
        <v>99</v>
      </c>
      <c r="K19" s="49" t="s">
        <v>972</v>
      </c>
      <c r="L19" s="49">
        <v>200</v>
      </c>
      <c r="M19" s="50" t="s">
        <v>39</v>
      </c>
      <c r="N19" s="50" t="s">
        <v>1824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41">
        <v>0</v>
      </c>
      <c r="B20" s="41">
        <v>1</v>
      </c>
      <c r="C20" s="41">
        <v>1</v>
      </c>
      <c r="D20" s="42" t="s">
        <v>102</v>
      </c>
      <c r="E20" s="42" t="s">
        <v>173</v>
      </c>
      <c r="F20" s="42" t="s">
        <v>301</v>
      </c>
      <c r="G20" s="42" t="s">
        <v>39</v>
      </c>
      <c r="H20" s="42" t="s">
        <v>359</v>
      </c>
      <c r="I20" s="41" t="s">
        <v>452</v>
      </c>
      <c r="J20" s="41">
        <v>15</v>
      </c>
      <c r="K20" s="43" t="s">
        <v>974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3">
      <c r="A21" s="41">
        <v>0</v>
      </c>
      <c r="B21" s="41">
        <v>1</v>
      </c>
      <c r="C21" s="41">
        <v>1</v>
      </c>
      <c r="D21" s="42" t="s">
        <v>903</v>
      </c>
      <c r="E21" s="42" t="s">
        <v>172</v>
      </c>
      <c r="F21" s="42" t="s">
        <v>297</v>
      </c>
      <c r="G21" s="42" t="s">
        <v>39</v>
      </c>
      <c r="H21" s="42" t="s">
        <v>358</v>
      </c>
      <c r="I21" s="41" t="s">
        <v>448</v>
      </c>
      <c r="J21" s="41">
        <v>11</v>
      </c>
      <c r="K21" s="43" t="s">
        <v>967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3">
      <c r="A22" s="41">
        <v>0</v>
      </c>
      <c r="B22" s="41">
        <v>1</v>
      </c>
      <c r="C22" s="41">
        <v>1</v>
      </c>
      <c r="D22" s="42" t="s">
        <v>119</v>
      </c>
      <c r="E22" s="42" t="s">
        <v>173</v>
      </c>
      <c r="F22" s="42" t="s">
        <v>321</v>
      </c>
      <c r="G22" s="42" t="s">
        <v>39</v>
      </c>
      <c r="H22" s="42" t="s">
        <v>371</v>
      </c>
      <c r="I22" s="41" t="s">
        <v>469</v>
      </c>
      <c r="J22" s="41">
        <v>18</v>
      </c>
      <c r="K22" s="43" t="s">
        <v>974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4">
        <v>0</v>
      </c>
      <c r="B23" s="34">
        <v>1</v>
      </c>
      <c r="C23" s="34">
        <v>1</v>
      </c>
      <c r="D23" s="35" t="s">
        <v>139</v>
      </c>
      <c r="E23" s="35" t="s">
        <v>688</v>
      </c>
      <c r="F23" s="35" t="s">
        <v>342</v>
      </c>
      <c r="G23" s="35" t="s">
        <v>1179</v>
      </c>
      <c r="H23" s="35" t="s">
        <v>357</v>
      </c>
      <c r="I23" s="34" t="s">
        <v>490</v>
      </c>
      <c r="J23" s="34">
        <v>1</v>
      </c>
      <c r="K23" s="36" t="s">
        <v>967</v>
      </c>
      <c r="L23" s="36" t="s">
        <v>1721</v>
      </c>
      <c r="M23" s="37" t="s">
        <v>1129</v>
      </c>
      <c r="N23" s="37" t="s">
        <v>1758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41">
        <v>0</v>
      </c>
      <c r="B24" s="41">
        <v>1</v>
      </c>
      <c r="C24" s="41">
        <v>1</v>
      </c>
      <c r="D24" s="42" t="s">
        <v>1603</v>
      </c>
      <c r="E24" s="42" t="s">
        <v>173</v>
      </c>
      <c r="F24" s="42" t="s">
        <v>1604</v>
      </c>
      <c r="G24" s="42" t="s">
        <v>215</v>
      </c>
      <c r="H24" s="42" t="s">
        <v>357</v>
      </c>
      <c r="I24" s="41" t="s">
        <v>1605</v>
      </c>
      <c r="J24" s="41">
        <v>1</v>
      </c>
      <c r="K24" s="43" t="s">
        <v>973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4">
        <v>0</v>
      </c>
      <c r="B25" s="34">
        <v>1</v>
      </c>
      <c r="C25" s="34">
        <v>1</v>
      </c>
      <c r="D25" s="35" t="s">
        <v>1061</v>
      </c>
      <c r="E25" s="35" t="s">
        <v>173</v>
      </c>
      <c r="F25" s="35" t="s">
        <v>1105</v>
      </c>
      <c r="G25" s="35" t="s">
        <v>1045</v>
      </c>
      <c r="H25" s="35" t="s">
        <v>357</v>
      </c>
      <c r="I25" s="34" t="s">
        <v>1062</v>
      </c>
      <c r="J25" s="34">
        <v>99</v>
      </c>
      <c r="K25" s="36" t="s">
        <v>740</v>
      </c>
      <c r="L25" s="36">
        <v>150</v>
      </c>
      <c r="M25" s="37" t="s">
        <v>39</v>
      </c>
      <c r="N25" s="37" t="s">
        <v>1764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41">
        <v>0</v>
      </c>
      <c r="B26" s="41">
        <v>1</v>
      </c>
      <c r="C26" s="41">
        <v>1</v>
      </c>
      <c r="D26" s="42" t="s">
        <v>113</v>
      </c>
      <c r="E26" s="42" t="s">
        <v>172</v>
      </c>
      <c r="F26" s="42" t="s">
        <v>314</v>
      </c>
      <c r="G26" s="42" t="s">
        <v>39</v>
      </c>
      <c r="H26" s="42" t="s">
        <v>358</v>
      </c>
      <c r="I26" s="41" t="s">
        <v>464</v>
      </c>
      <c r="J26" s="41">
        <v>11</v>
      </c>
      <c r="K26" s="43" t="s">
        <v>740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7">
        <v>0</v>
      </c>
      <c r="B27" s="47">
        <v>1</v>
      </c>
      <c r="C27" s="47">
        <v>1</v>
      </c>
      <c r="D27" s="48" t="s">
        <v>104</v>
      </c>
      <c r="E27" s="48" t="s">
        <v>173</v>
      </c>
      <c r="F27" s="48" t="s">
        <v>304</v>
      </c>
      <c r="G27" s="48" t="s">
        <v>305</v>
      </c>
      <c r="H27" s="48" t="s">
        <v>357</v>
      </c>
      <c r="I27" s="47" t="s">
        <v>454</v>
      </c>
      <c r="J27" s="47">
        <v>1</v>
      </c>
      <c r="K27" s="49" t="s">
        <v>971</v>
      </c>
      <c r="L27" s="49" t="s">
        <v>1730</v>
      </c>
      <c r="M27" s="50" t="s">
        <v>1394</v>
      </c>
      <c r="N27" s="50" t="s">
        <v>1751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4">
        <v>0</v>
      </c>
      <c r="B28" s="34">
        <v>1</v>
      </c>
      <c r="C28" s="34">
        <v>1</v>
      </c>
      <c r="D28" s="35" t="s">
        <v>115</v>
      </c>
      <c r="E28" s="35" t="s">
        <v>173</v>
      </c>
      <c r="F28" s="35" t="s">
        <v>316</v>
      </c>
      <c r="G28" s="35" t="s">
        <v>317</v>
      </c>
      <c r="H28" s="35" t="s">
        <v>357</v>
      </c>
      <c r="I28" s="34" t="s">
        <v>466</v>
      </c>
      <c r="J28" s="34">
        <v>1</v>
      </c>
      <c r="K28" s="36" t="s">
        <v>974</v>
      </c>
      <c r="L28" s="36" t="s">
        <v>39</v>
      </c>
      <c r="M28" s="37" t="s">
        <v>39</v>
      </c>
      <c r="N28" s="37" t="s">
        <v>1748</v>
      </c>
      <c r="O28" s="38">
        <v>1</v>
      </c>
      <c r="P28" s="38">
        <v>1</v>
      </c>
      <c r="Q28" s="35" t="s">
        <v>1927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4">
        <v>0</v>
      </c>
      <c r="B29" s="34">
        <v>1</v>
      </c>
      <c r="C29" s="34">
        <v>1</v>
      </c>
      <c r="D29" s="35" t="s">
        <v>863</v>
      </c>
      <c r="E29" s="35" t="s">
        <v>173</v>
      </c>
      <c r="F29" s="35" t="s">
        <v>864</v>
      </c>
      <c r="G29" s="35" t="s">
        <v>222</v>
      </c>
      <c r="H29" s="35" t="s">
        <v>357</v>
      </c>
      <c r="I29" s="34" t="s">
        <v>865</v>
      </c>
      <c r="J29" s="34">
        <v>8</v>
      </c>
      <c r="K29" s="36" t="s">
        <v>971</v>
      </c>
      <c r="L29" s="36" t="s">
        <v>1725</v>
      </c>
      <c r="M29" s="37" t="s">
        <v>1575</v>
      </c>
      <c r="N29" s="37" t="s">
        <v>1771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41">
        <v>0</v>
      </c>
      <c r="B30" s="41">
        <v>1</v>
      </c>
      <c r="C30" s="41">
        <v>1</v>
      </c>
      <c r="D30" s="42" t="s">
        <v>134</v>
      </c>
      <c r="E30" s="42" t="s">
        <v>173</v>
      </c>
      <c r="F30" s="42" t="s">
        <v>338</v>
      </c>
      <c r="G30" s="42" t="s">
        <v>39</v>
      </c>
      <c r="H30" s="42" t="s">
        <v>360</v>
      </c>
      <c r="I30" s="41" t="s">
        <v>486</v>
      </c>
      <c r="J30" s="41">
        <v>18</v>
      </c>
      <c r="K30" s="43" t="s">
        <v>967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7">
        <v>0</v>
      </c>
      <c r="B31" s="47">
        <v>1</v>
      </c>
      <c r="C31" s="47">
        <v>1</v>
      </c>
      <c r="D31" s="48" t="s">
        <v>145</v>
      </c>
      <c r="E31" s="48" t="s">
        <v>176</v>
      </c>
      <c r="F31" s="48" t="s">
        <v>349</v>
      </c>
      <c r="G31" s="48" t="s">
        <v>39</v>
      </c>
      <c r="H31" s="48" t="s">
        <v>370</v>
      </c>
      <c r="I31" s="47" t="s">
        <v>496</v>
      </c>
      <c r="J31" s="47">
        <v>18</v>
      </c>
      <c r="K31" s="49" t="s">
        <v>971</v>
      </c>
      <c r="L31" s="49">
        <v>70</v>
      </c>
      <c r="M31" s="50" t="s">
        <v>1395</v>
      </c>
      <c r="N31" s="50" t="s">
        <v>1749</v>
      </c>
      <c r="O31" s="51"/>
      <c r="P31" s="51"/>
      <c r="Q31" s="68" t="s">
        <v>1921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3">
      <c r="A32" s="47">
        <v>0</v>
      </c>
      <c r="B32" s="47">
        <v>1</v>
      </c>
      <c r="C32" s="47">
        <v>1</v>
      </c>
      <c r="D32" s="48" t="s">
        <v>154</v>
      </c>
      <c r="E32" s="48" t="s">
        <v>173</v>
      </c>
      <c r="F32" s="48" t="s">
        <v>355</v>
      </c>
      <c r="G32" s="48" t="s">
        <v>196</v>
      </c>
      <c r="H32" s="48" t="s">
        <v>357</v>
      </c>
      <c r="I32" s="47" t="s">
        <v>504</v>
      </c>
      <c r="J32" s="47">
        <v>9</v>
      </c>
      <c r="K32" s="49" t="s">
        <v>967</v>
      </c>
      <c r="L32" s="49" t="s">
        <v>1721</v>
      </c>
      <c r="M32" s="50" t="s">
        <v>1396</v>
      </c>
      <c r="N32" s="50" t="s">
        <v>1752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3">
      <c r="A33" s="34">
        <v>0</v>
      </c>
      <c r="B33" s="34">
        <v>1</v>
      </c>
      <c r="C33" s="34">
        <v>2</v>
      </c>
      <c r="D33" s="39" t="s">
        <v>148</v>
      </c>
      <c r="E33" s="39" t="s">
        <v>178</v>
      </c>
      <c r="F33" s="39" t="s">
        <v>660</v>
      </c>
      <c r="G33" s="39" t="s">
        <v>260</v>
      </c>
      <c r="H33" s="39" t="s">
        <v>357</v>
      </c>
      <c r="I33" s="40" t="s">
        <v>498</v>
      </c>
      <c r="J33" s="34">
        <v>8</v>
      </c>
      <c r="K33" s="36" t="s">
        <v>963</v>
      </c>
      <c r="L33" s="36" t="s">
        <v>693</v>
      </c>
      <c r="M33" s="37" t="s">
        <v>695</v>
      </c>
      <c r="N33" s="37" t="s">
        <v>1742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3">
      <c r="A34" s="47">
        <v>0</v>
      </c>
      <c r="B34" s="47">
        <v>1</v>
      </c>
      <c r="C34" s="47">
        <v>2</v>
      </c>
      <c r="D34" s="48" t="s">
        <v>1564</v>
      </c>
      <c r="E34" s="48" t="s">
        <v>1260</v>
      </c>
      <c r="F34" s="48" t="s">
        <v>1565</v>
      </c>
      <c r="G34" s="48" t="s">
        <v>260</v>
      </c>
      <c r="H34" s="48" t="s">
        <v>357</v>
      </c>
      <c r="I34" s="47" t="s">
        <v>477</v>
      </c>
      <c r="J34" s="47">
        <v>8</v>
      </c>
      <c r="K34" s="49" t="s">
        <v>709</v>
      </c>
      <c r="L34" s="49" t="s">
        <v>696</v>
      </c>
      <c r="M34" s="50" t="s">
        <v>697</v>
      </c>
      <c r="N34" s="50" t="s">
        <v>1755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3">
      <c r="A35" s="41">
        <v>0</v>
      </c>
      <c r="B35" s="41">
        <v>1</v>
      </c>
      <c r="C35" s="41">
        <v>2</v>
      </c>
      <c r="D35" s="42" t="s">
        <v>1477</v>
      </c>
      <c r="E35" s="42" t="s">
        <v>1479</v>
      </c>
      <c r="F35" s="42" t="s">
        <v>1478</v>
      </c>
      <c r="G35" s="42"/>
      <c r="H35" s="42" t="s">
        <v>1148</v>
      </c>
      <c r="I35" s="41" t="s">
        <v>1480</v>
      </c>
      <c r="J35" s="41">
        <v>99</v>
      </c>
      <c r="K35" s="43" t="s">
        <v>710</v>
      </c>
      <c r="L35" s="43"/>
      <c r="M35" s="44"/>
      <c r="N35" s="45"/>
      <c r="O35" s="46"/>
      <c r="P35" s="46">
        <v>1</v>
      </c>
      <c r="Q35" s="57" t="s">
        <v>1935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3">
      <c r="A36" s="47">
        <v>0</v>
      </c>
      <c r="B36" s="47">
        <v>1</v>
      </c>
      <c r="C36" s="47">
        <v>2</v>
      </c>
      <c r="D36" s="48" t="s">
        <v>601</v>
      </c>
      <c r="E36" s="48" t="s">
        <v>177</v>
      </c>
      <c r="F36" s="48" t="s">
        <v>602</v>
      </c>
      <c r="G36" s="48" t="s">
        <v>253</v>
      </c>
      <c r="H36" s="48" t="s">
        <v>357</v>
      </c>
      <c r="I36" s="47" t="s">
        <v>603</v>
      </c>
      <c r="J36" s="47">
        <v>99</v>
      </c>
      <c r="K36" s="49" t="s">
        <v>963</v>
      </c>
      <c r="L36" s="49" t="s">
        <v>696</v>
      </c>
      <c r="M36" s="50" t="s">
        <v>1397</v>
      </c>
      <c r="N36" s="50" t="s">
        <v>1762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3">
      <c r="A37" s="47">
        <v>0</v>
      </c>
      <c r="B37" s="47">
        <v>1</v>
      </c>
      <c r="C37" s="47">
        <v>2</v>
      </c>
      <c r="D37" s="48" t="s">
        <v>114</v>
      </c>
      <c r="E37" s="48" t="s">
        <v>177</v>
      </c>
      <c r="F37" s="68" t="s">
        <v>1883</v>
      </c>
      <c r="G37" s="48" t="s">
        <v>315</v>
      </c>
      <c r="H37" s="48" t="s">
        <v>357</v>
      </c>
      <c r="I37" s="47" t="s">
        <v>465</v>
      </c>
      <c r="J37" s="47">
        <v>99</v>
      </c>
      <c r="K37" s="49" t="s">
        <v>709</v>
      </c>
      <c r="L37" s="49" t="s">
        <v>696</v>
      </c>
      <c r="M37" s="50" t="s">
        <v>698</v>
      </c>
      <c r="N37" s="50" t="s">
        <v>1817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3">
      <c r="A38" s="34">
        <v>0</v>
      </c>
      <c r="B38" s="34">
        <v>1</v>
      </c>
      <c r="C38" s="34">
        <v>2</v>
      </c>
      <c r="D38" s="39" t="s">
        <v>1777</v>
      </c>
      <c r="E38" s="39" t="s">
        <v>157</v>
      </c>
      <c r="F38" s="39" t="s">
        <v>1778</v>
      </c>
      <c r="G38" s="39"/>
      <c r="H38" s="39" t="s">
        <v>1779</v>
      </c>
      <c r="I38" s="40" t="s">
        <v>1780</v>
      </c>
      <c r="J38" s="34">
        <v>18</v>
      </c>
      <c r="K38" s="36" t="s">
        <v>710</v>
      </c>
      <c r="L38" s="36">
        <v>55</v>
      </c>
      <c r="M38" s="37" t="s">
        <v>1492</v>
      </c>
      <c r="N38" s="37" t="s">
        <v>1748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3">
      <c r="A39" s="34">
        <v>0</v>
      </c>
      <c r="B39" s="34">
        <v>1</v>
      </c>
      <c r="C39" s="34">
        <v>2</v>
      </c>
      <c r="D39" s="39" t="s">
        <v>604</v>
      </c>
      <c r="E39" s="39" t="s">
        <v>177</v>
      </c>
      <c r="F39" s="39" t="s">
        <v>605</v>
      </c>
      <c r="G39" s="39" t="s">
        <v>578</v>
      </c>
      <c r="H39" s="39" t="s">
        <v>357</v>
      </c>
      <c r="I39" s="40" t="s">
        <v>606</v>
      </c>
      <c r="J39" s="34">
        <v>1</v>
      </c>
      <c r="K39" s="36" t="s">
        <v>963</v>
      </c>
      <c r="L39" s="36" t="s">
        <v>1718</v>
      </c>
      <c r="M39" s="37" t="s">
        <v>1396</v>
      </c>
      <c r="N39" s="37" t="s">
        <v>1763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3">
      <c r="A40" s="34">
        <v>0</v>
      </c>
      <c r="B40" s="34">
        <v>1</v>
      </c>
      <c r="C40" s="34">
        <v>2</v>
      </c>
      <c r="D40" s="39" t="s">
        <v>1766</v>
      </c>
      <c r="E40" s="39" t="s">
        <v>1767</v>
      </c>
      <c r="F40" s="39" t="s">
        <v>1768</v>
      </c>
      <c r="G40" s="39" t="s">
        <v>324</v>
      </c>
      <c r="H40" s="39" t="s">
        <v>357</v>
      </c>
      <c r="I40" s="40" t="s">
        <v>1769</v>
      </c>
      <c r="J40" s="34">
        <v>99</v>
      </c>
      <c r="K40" s="36" t="s">
        <v>710</v>
      </c>
      <c r="L40" s="36"/>
      <c r="M40" s="37"/>
      <c r="N40" s="37" t="s">
        <v>1748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3">
      <c r="A41" s="47">
        <v>0</v>
      </c>
      <c r="B41" s="47">
        <v>1</v>
      </c>
      <c r="C41" s="47">
        <v>2</v>
      </c>
      <c r="D41" s="48" t="s">
        <v>647</v>
      </c>
      <c r="E41" s="48" t="s">
        <v>177</v>
      </c>
      <c r="F41" s="48" t="s">
        <v>648</v>
      </c>
      <c r="G41" s="48" t="s">
        <v>222</v>
      </c>
      <c r="H41" s="48" t="s">
        <v>357</v>
      </c>
      <c r="I41" s="47" t="s">
        <v>1121</v>
      </c>
      <c r="J41" s="47">
        <v>8</v>
      </c>
      <c r="K41" s="49" t="s">
        <v>963</v>
      </c>
      <c r="L41" s="49" t="s">
        <v>1715</v>
      </c>
      <c r="M41" s="50" t="s">
        <v>1391</v>
      </c>
      <c r="N41" s="50" t="s">
        <v>1752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3">
      <c r="A42" s="34">
        <v>0</v>
      </c>
      <c r="B42" s="34">
        <v>1</v>
      </c>
      <c r="C42" s="34">
        <v>2</v>
      </c>
      <c r="D42" s="39" t="s">
        <v>1527</v>
      </c>
      <c r="E42" s="39" t="s">
        <v>177</v>
      </c>
      <c r="F42" s="39" t="s">
        <v>1675</v>
      </c>
      <c r="G42" s="39" t="s">
        <v>1529</v>
      </c>
      <c r="H42" s="39" t="s">
        <v>357</v>
      </c>
      <c r="I42" s="40" t="s">
        <v>1528</v>
      </c>
      <c r="J42" s="34">
        <v>99</v>
      </c>
      <c r="K42" s="36" t="s">
        <v>964</v>
      </c>
      <c r="L42" s="36" t="s">
        <v>39</v>
      </c>
      <c r="M42" s="37" t="s">
        <v>39</v>
      </c>
      <c r="N42" s="37" t="s">
        <v>1742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3">
      <c r="A43" s="34">
        <v>0</v>
      </c>
      <c r="B43" s="34">
        <v>1</v>
      </c>
      <c r="C43" s="34">
        <v>2</v>
      </c>
      <c r="D43" s="35" t="s">
        <v>887</v>
      </c>
      <c r="E43" s="35" t="s">
        <v>176</v>
      </c>
      <c r="F43" s="35" t="s">
        <v>888</v>
      </c>
      <c r="G43" s="35" t="s">
        <v>39</v>
      </c>
      <c r="H43" s="35" t="s">
        <v>378</v>
      </c>
      <c r="I43" s="34" t="s">
        <v>889</v>
      </c>
      <c r="J43" s="34">
        <v>12</v>
      </c>
      <c r="K43" s="36" t="s">
        <v>709</v>
      </c>
      <c r="L43" s="36" t="s">
        <v>1719</v>
      </c>
      <c r="M43" s="37" t="s">
        <v>1398</v>
      </c>
      <c r="N43" s="37" t="s">
        <v>1840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3">
      <c r="A44" s="47">
        <v>0</v>
      </c>
      <c r="B44" s="47">
        <v>1</v>
      </c>
      <c r="C44" s="47">
        <v>2</v>
      </c>
      <c r="D44" s="48" t="s">
        <v>1830</v>
      </c>
      <c r="E44" s="48" t="s">
        <v>177</v>
      </c>
      <c r="F44" s="48" t="s">
        <v>1831</v>
      </c>
      <c r="G44" s="48" t="s">
        <v>196</v>
      </c>
      <c r="H44" s="48" t="s">
        <v>357</v>
      </c>
      <c r="I44" s="47" t="s">
        <v>1832</v>
      </c>
      <c r="J44" s="47">
        <v>9</v>
      </c>
      <c r="K44" s="49" t="s">
        <v>710</v>
      </c>
      <c r="L44" s="49">
        <v>60</v>
      </c>
      <c r="M44" s="50" t="s">
        <v>1833</v>
      </c>
      <c r="N44" s="50" t="s">
        <v>1824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3">
      <c r="A45" s="47">
        <v>0</v>
      </c>
      <c r="B45" s="47">
        <v>1</v>
      </c>
      <c r="C45" s="47">
        <v>2</v>
      </c>
      <c r="D45" s="48" t="s">
        <v>140</v>
      </c>
      <c r="E45" s="48" t="s">
        <v>177</v>
      </c>
      <c r="F45" s="68" t="s">
        <v>1894</v>
      </c>
      <c r="G45" s="48" t="s">
        <v>202</v>
      </c>
      <c r="H45" s="48" t="s">
        <v>357</v>
      </c>
      <c r="I45" s="47" t="s">
        <v>491</v>
      </c>
      <c r="J45" s="47">
        <v>2</v>
      </c>
      <c r="K45" s="49" t="s">
        <v>963</v>
      </c>
      <c r="L45" s="49" t="s">
        <v>700</v>
      </c>
      <c r="M45" s="50" t="s">
        <v>698</v>
      </c>
      <c r="N45" s="50" t="s">
        <v>1753</v>
      </c>
      <c r="O45" s="51"/>
      <c r="P45" s="51"/>
      <c r="Q45" s="68" t="s">
        <v>1922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3">
      <c r="A46" s="34">
        <v>0</v>
      </c>
      <c r="B46" s="34">
        <v>1</v>
      </c>
      <c r="C46" s="34">
        <v>2</v>
      </c>
      <c r="D46" s="35" t="s">
        <v>845</v>
      </c>
      <c r="E46" s="35" t="s">
        <v>177</v>
      </c>
      <c r="F46" s="35" t="s">
        <v>847</v>
      </c>
      <c r="G46" s="35" t="s">
        <v>39</v>
      </c>
      <c r="H46" s="35" t="s">
        <v>357</v>
      </c>
      <c r="I46" s="34" t="s">
        <v>846</v>
      </c>
      <c r="J46" s="34">
        <v>99</v>
      </c>
      <c r="K46" s="36" t="s">
        <v>969</v>
      </c>
      <c r="L46" s="36" t="s">
        <v>39</v>
      </c>
      <c r="M46" s="37" t="s">
        <v>39</v>
      </c>
      <c r="N46" s="37" t="s">
        <v>1748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3">
      <c r="A47" s="47">
        <v>0</v>
      </c>
      <c r="B47" s="47">
        <v>1</v>
      </c>
      <c r="C47" s="47">
        <v>2</v>
      </c>
      <c r="D47" s="48" t="s">
        <v>922</v>
      </c>
      <c r="E47" s="48" t="s">
        <v>177</v>
      </c>
      <c r="F47" s="48" t="s">
        <v>790</v>
      </c>
      <c r="G47" s="48" t="s">
        <v>39</v>
      </c>
      <c r="H47" s="48" t="s">
        <v>378</v>
      </c>
      <c r="I47" s="47" t="s">
        <v>791</v>
      </c>
      <c r="J47" s="47">
        <v>12</v>
      </c>
      <c r="K47" s="49" t="s">
        <v>729</v>
      </c>
      <c r="L47" s="49" t="s">
        <v>1714</v>
      </c>
      <c r="M47" s="50" t="s">
        <v>1129</v>
      </c>
      <c r="N47" s="50" t="s">
        <v>1817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3">
      <c r="A48" s="41">
        <v>0</v>
      </c>
      <c r="B48" s="41">
        <v>1</v>
      </c>
      <c r="C48" s="41">
        <v>2</v>
      </c>
      <c r="D48" s="42" t="s">
        <v>1650</v>
      </c>
      <c r="E48" s="42" t="s">
        <v>176</v>
      </c>
      <c r="F48" s="42" t="s">
        <v>1676</v>
      </c>
      <c r="G48" s="42" t="s">
        <v>253</v>
      </c>
      <c r="H48" s="42" t="s">
        <v>357</v>
      </c>
      <c r="I48" s="41" t="s">
        <v>1578</v>
      </c>
      <c r="J48" s="41">
        <v>99</v>
      </c>
      <c r="K48" s="43" t="s">
        <v>964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3">
      <c r="A49" s="47">
        <v>0</v>
      </c>
      <c r="B49" s="47">
        <v>1</v>
      </c>
      <c r="C49" s="47">
        <v>2</v>
      </c>
      <c r="D49" s="48" t="s">
        <v>1546</v>
      </c>
      <c r="E49" s="48" t="s">
        <v>1664</v>
      </c>
      <c r="F49" s="48" t="s">
        <v>1547</v>
      </c>
      <c r="G49" s="48" t="s">
        <v>202</v>
      </c>
      <c r="H49" s="48" t="s">
        <v>357</v>
      </c>
      <c r="I49" s="47" t="s">
        <v>1548</v>
      </c>
      <c r="J49" s="47">
        <v>2</v>
      </c>
      <c r="K49" s="49" t="s">
        <v>963</v>
      </c>
      <c r="L49" s="49">
        <v>70</v>
      </c>
      <c r="M49" s="50" t="s">
        <v>39</v>
      </c>
      <c r="N49" s="50" t="s">
        <v>1755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3">
      <c r="A50" s="47">
        <v>0</v>
      </c>
      <c r="B50" s="47">
        <v>1</v>
      </c>
      <c r="C50" s="47">
        <v>2</v>
      </c>
      <c r="D50" s="48" t="s">
        <v>1482</v>
      </c>
      <c r="E50" s="48" t="s">
        <v>1665</v>
      </c>
      <c r="F50" s="48" t="s">
        <v>1481</v>
      </c>
      <c r="G50" s="48" t="s">
        <v>222</v>
      </c>
      <c r="H50" s="48" t="s">
        <v>357</v>
      </c>
      <c r="I50" s="47" t="s">
        <v>1702</v>
      </c>
      <c r="J50" s="47">
        <v>8</v>
      </c>
      <c r="K50" s="49" t="s">
        <v>709</v>
      </c>
      <c r="L50" s="49">
        <v>70</v>
      </c>
      <c r="M50" s="50" t="s">
        <v>39</v>
      </c>
      <c r="N50" s="50" t="s">
        <v>1752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3">
      <c r="A51" s="47">
        <v>0</v>
      </c>
      <c r="B51" s="47">
        <v>1</v>
      </c>
      <c r="C51" s="47">
        <v>2</v>
      </c>
      <c r="D51" s="48" t="s">
        <v>818</v>
      </c>
      <c r="E51" s="48" t="s">
        <v>177</v>
      </c>
      <c r="F51" s="48" t="s">
        <v>819</v>
      </c>
      <c r="G51" s="48" t="s">
        <v>39</v>
      </c>
      <c r="H51" s="48" t="s">
        <v>820</v>
      </c>
      <c r="I51" s="47" t="s">
        <v>821</v>
      </c>
      <c r="J51" s="47">
        <v>11</v>
      </c>
      <c r="K51" s="49" t="s">
        <v>710</v>
      </c>
      <c r="L51" s="49">
        <v>50</v>
      </c>
      <c r="M51" s="50" t="s">
        <v>1129</v>
      </c>
      <c r="N51" s="50" t="s">
        <v>1762</v>
      </c>
      <c r="O51" s="51"/>
      <c r="P51" s="51"/>
      <c r="Q51" s="48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0</v>
      </c>
      <c r="AF51" s="1">
        <f t="shared" si="3"/>
        <v>0</v>
      </c>
      <c r="AG51" s="1">
        <f t="shared" si="4"/>
        <v>0</v>
      </c>
      <c r="AH51" s="1">
        <f t="shared" si="5"/>
        <v>0</v>
      </c>
      <c r="AI51" s="1">
        <f t="shared" si="6"/>
        <v>1</v>
      </c>
    </row>
    <row r="52" spans="1:35" ht="14.25" customHeight="1" x14ac:dyDescent="0.3">
      <c r="A52" s="15">
        <v>0</v>
      </c>
      <c r="B52" s="15">
        <v>1</v>
      </c>
      <c r="C52" s="15">
        <v>2</v>
      </c>
      <c r="D52" s="16" t="s">
        <v>1486</v>
      </c>
      <c r="E52" s="16"/>
      <c r="F52" s="16" t="s">
        <v>1487</v>
      </c>
      <c r="G52" s="16" t="s">
        <v>1488</v>
      </c>
      <c r="H52" s="16" t="s">
        <v>357</v>
      </c>
      <c r="I52" s="15" t="s">
        <v>1489</v>
      </c>
      <c r="J52" s="15">
        <v>99</v>
      </c>
      <c r="K52" s="10" t="s">
        <v>710</v>
      </c>
      <c r="L52" s="10">
        <v>35</v>
      </c>
      <c r="M52" s="19" t="s">
        <v>1494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3">
      <c r="A53" s="47">
        <v>0</v>
      </c>
      <c r="B53" s="47">
        <v>1</v>
      </c>
      <c r="C53" s="47">
        <v>2</v>
      </c>
      <c r="D53" s="48" t="s">
        <v>123</v>
      </c>
      <c r="E53" s="48" t="s">
        <v>177</v>
      </c>
      <c r="F53" s="48" t="s">
        <v>661</v>
      </c>
      <c r="G53" s="48" t="s">
        <v>39</v>
      </c>
      <c r="H53" s="48" t="s">
        <v>374</v>
      </c>
      <c r="I53" s="47" t="s">
        <v>473</v>
      </c>
      <c r="J53" s="47">
        <v>11</v>
      </c>
      <c r="K53" s="49" t="s">
        <v>710</v>
      </c>
      <c r="L53" s="49">
        <v>40</v>
      </c>
      <c r="M53" s="50" t="s">
        <v>698</v>
      </c>
      <c r="N53" s="50" t="s">
        <v>1817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3">
      <c r="A54" s="47">
        <v>0</v>
      </c>
      <c r="B54" s="47">
        <v>1</v>
      </c>
      <c r="C54" s="47">
        <v>2</v>
      </c>
      <c r="D54" s="48" t="s">
        <v>1064</v>
      </c>
      <c r="E54" s="48" t="s">
        <v>177</v>
      </c>
      <c r="F54" s="48" t="s">
        <v>1065</v>
      </c>
      <c r="G54" s="48" t="s">
        <v>1066</v>
      </c>
      <c r="H54" s="48" t="s">
        <v>357</v>
      </c>
      <c r="I54" s="47" t="s">
        <v>1067</v>
      </c>
      <c r="J54" s="47">
        <v>1</v>
      </c>
      <c r="K54" s="49" t="s">
        <v>729</v>
      </c>
      <c r="L54" s="49" t="s">
        <v>693</v>
      </c>
      <c r="M54" s="50" t="s">
        <v>1129</v>
      </c>
      <c r="N54" s="50" t="s">
        <v>1755</v>
      </c>
      <c r="O54" s="51"/>
      <c r="P54" s="51"/>
      <c r="Q54" s="68" t="s">
        <v>1925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3">
      <c r="A55" s="47">
        <v>0</v>
      </c>
      <c r="B55" s="47">
        <v>1</v>
      </c>
      <c r="C55" s="47">
        <v>2</v>
      </c>
      <c r="D55" s="48" t="s">
        <v>1654</v>
      </c>
      <c r="E55" s="48" t="s">
        <v>177</v>
      </c>
      <c r="F55" s="48" t="s">
        <v>1680</v>
      </c>
      <c r="G55" s="48" t="s">
        <v>1681</v>
      </c>
      <c r="H55" s="48" t="s">
        <v>357</v>
      </c>
      <c r="I55" s="47" t="s">
        <v>1493</v>
      </c>
      <c r="J55" s="47">
        <v>99</v>
      </c>
      <c r="K55" s="49" t="s">
        <v>709</v>
      </c>
      <c r="L55" s="49">
        <v>45</v>
      </c>
      <c r="M55" s="50" t="s">
        <v>39</v>
      </c>
      <c r="N55" s="50" t="s">
        <v>1756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3">
      <c r="A56" s="47">
        <v>0</v>
      </c>
      <c r="B56" s="47">
        <v>1</v>
      </c>
      <c r="C56" s="47">
        <v>2</v>
      </c>
      <c r="D56" s="48" t="s">
        <v>652</v>
      </c>
      <c r="E56" s="48" t="s">
        <v>177</v>
      </c>
      <c r="F56" s="48" t="s">
        <v>607</v>
      </c>
      <c r="G56" s="48" t="s">
        <v>600</v>
      </c>
      <c r="H56" s="48" t="s">
        <v>357</v>
      </c>
      <c r="I56" s="47" t="s">
        <v>683</v>
      </c>
      <c r="J56" s="47">
        <v>1</v>
      </c>
      <c r="K56" s="49" t="s">
        <v>709</v>
      </c>
      <c r="L56" s="49" t="s">
        <v>1715</v>
      </c>
      <c r="M56" s="50" t="s">
        <v>1399</v>
      </c>
      <c r="N56" s="50" t="s">
        <v>1750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1204</v>
      </c>
      <c r="E57" s="16" t="s">
        <v>176</v>
      </c>
      <c r="F57" s="16" t="s">
        <v>1205</v>
      </c>
      <c r="G57" s="16" t="s">
        <v>39</v>
      </c>
      <c r="H57" s="16" t="s">
        <v>1207</v>
      </c>
      <c r="I57" s="15" t="s">
        <v>1206</v>
      </c>
      <c r="J57" s="15">
        <v>17</v>
      </c>
      <c r="K57" s="10" t="s">
        <v>710</v>
      </c>
      <c r="L57" s="10" t="s">
        <v>1400</v>
      </c>
      <c r="M57" s="19" t="s">
        <v>1401</v>
      </c>
      <c r="N57" s="17"/>
      <c r="Q57" s="16" t="s">
        <v>1901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1215</v>
      </c>
      <c r="E58" s="16" t="s">
        <v>176</v>
      </c>
      <c r="F58" s="16" t="s">
        <v>1216</v>
      </c>
      <c r="G58" s="16" t="s">
        <v>39</v>
      </c>
      <c r="H58" s="16" t="s">
        <v>1217</v>
      </c>
      <c r="I58" s="15" t="s">
        <v>1218</v>
      </c>
      <c r="J58" s="15">
        <v>18</v>
      </c>
      <c r="K58" s="10" t="s">
        <v>964</v>
      </c>
      <c r="L58" s="10" t="s">
        <v>702</v>
      </c>
      <c r="M58" s="19" t="s">
        <v>977</v>
      </c>
      <c r="N58" s="17"/>
      <c r="Q58" s="16" t="s">
        <v>1900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1036</v>
      </c>
      <c r="E59" s="16" t="s">
        <v>177</v>
      </c>
      <c r="F59" s="16" t="s">
        <v>1038</v>
      </c>
      <c r="G59" s="16" t="s">
        <v>39</v>
      </c>
      <c r="H59" s="16" t="s">
        <v>368</v>
      </c>
      <c r="I59" s="15" t="s">
        <v>1037</v>
      </c>
      <c r="J59" s="15">
        <v>18</v>
      </c>
      <c r="K59" s="10" t="s">
        <v>709</v>
      </c>
      <c r="L59" s="10" t="s">
        <v>1153</v>
      </c>
      <c r="M59" s="19" t="s">
        <v>698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3">
      <c r="A60" s="34">
        <v>0</v>
      </c>
      <c r="B60" s="34">
        <v>1</v>
      </c>
      <c r="C60" s="34">
        <v>2</v>
      </c>
      <c r="D60" s="35" t="s">
        <v>1607</v>
      </c>
      <c r="E60" s="35" t="s">
        <v>177</v>
      </c>
      <c r="F60" s="35" t="s">
        <v>1608</v>
      </c>
      <c r="G60" s="35" t="s">
        <v>1609</v>
      </c>
      <c r="H60" s="35" t="s">
        <v>357</v>
      </c>
      <c r="I60" s="34" t="s">
        <v>1502</v>
      </c>
      <c r="J60" s="34">
        <v>99</v>
      </c>
      <c r="K60" s="36" t="s">
        <v>709</v>
      </c>
      <c r="L60" s="36" t="s">
        <v>39</v>
      </c>
      <c r="M60" s="37" t="s">
        <v>39</v>
      </c>
      <c r="N60" s="37" t="s">
        <v>1742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3">
      <c r="A61" s="34">
        <v>0</v>
      </c>
      <c r="B61" s="34">
        <v>1</v>
      </c>
      <c r="C61" s="34">
        <v>2</v>
      </c>
      <c r="D61" s="35" t="s">
        <v>1635</v>
      </c>
      <c r="E61" s="35" t="s">
        <v>172</v>
      </c>
      <c r="F61" s="35" t="s">
        <v>1636</v>
      </c>
      <c r="G61" s="35" t="s">
        <v>39</v>
      </c>
      <c r="H61" s="35" t="s">
        <v>358</v>
      </c>
      <c r="I61" s="34" t="s">
        <v>1637</v>
      </c>
      <c r="J61" s="34">
        <v>11</v>
      </c>
      <c r="K61" s="36" t="s">
        <v>964</v>
      </c>
      <c r="L61" s="36" t="s">
        <v>39</v>
      </c>
      <c r="M61" s="37" t="s">
        <v>39</v>
      </c>
      <c r="N61" s="37" t="s">
        <v>1742</v>
      </c>
      <c r="O61" s="38">
        <v>1</v>
      </c>
      <c r="P61" s="38">
        <v>1</v>
      </c>
      <c r="Q61" s="39" t="s">
        <v>1920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3">
      <c r="A62" s="41">
        <v>0</v>
      </c>
      <c r="B62" s="41">
        <v>1</v>
      </c>
      <c r="C62" s="41">
        <v>2</v>
      </c>
      <c r="D62" s="42" t="s">
        <v>1632</v>
      </c>
      <c r="E62" s="42" t="s">
        <v>176</v>
      </c>
      <c r="F62" s="42" t="s">
        <v>1633</v>
      </c>
      <c r="G62" s="42" t="s">
        <v>1498</v>
      </c>
      <c r="H62" s="42" t="s">
        <v>357</v>
      </c>
      <c r="I62" s="41" t="s">
        <v>1634</v>
      </c>
      <c r="J62" s="41">
        <v>99</v>
      </c>
      <c r="K62" s="43" t="s">
        <v>969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3">
      <c r="A63" s="41">
        <v>0</v>
      </c>
      <c r="B63" s="41">
        <v>1</v>
      </c>
      <c r="C63" s="41">
        <v>2</v>
      </c>
      <c r="D63" s="42" t="s">
        <v>574</v>
      </c>
      <c r="E63" s="42" t="s">
        <v>584</v>
      </c>
      <c r="F63" s="42" t="s">
        <v>563</v>
      </c>
      <c r="G63" s="42" t="s">
        <v>265</v>
      </c>
      <c r="H63" s="42" t="s">
        <v>357</v>
      </c>
      <c r="I63" s="41" t="s">
        <v>564</v>
      </c>
      <c r="J63" s="41">
        <v>99</v>
      </c>
      <c r="K63" s="43" t="s">
        <v>963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3">
      <c r="A64" s="34">
        <v>0</v>
      </c>
      <c r="B64" s="34">
        <v>1</v>
      </c>
      <c r="C64" s="34">
        <v>2</v>
      </c>
      <c r="D64" s="35" t="s">
        <v>806</v>
      </c>
      <c r="E64" s="35" t="s">
        <v>176</v>
      </c>
      <c r="F64" s="35" t="s">
        <v>808</v>
      </c>
      <c r="G64" s="35" t="s">
        <v>39</v>
      </c>
      <c r="H64" s="35" t="s">
        <v>807</v>
      </c>
      <c r="I64" s="34" t="s">
        <v>809</v>
      </c>
      <c r="J64" s="34">
        <v>14</v>
      </c>
      <c r="K64" s="36" t="s">
        <v>971</v>
      </c>
      <c r="L64" s="36" t="s">
        <v>1721</v>
      </c>
      <c r="M64" s="37" t="s">
        <v>1393</v>
      </c>
      <c r="N64" s="37" t="s">
        <v>1764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1336</v>
      </c>
      <c r="E65" s="16" t="s">
        <v>177</v>
      </c>
      <c r="F65" s="16" t="s">
        <v>1360</v>
      </c>
      <c r="G65" s="16" t="s">
        <v>39</v>
      </c>
      <c r="H65" s="16" t="s">
        <v>366</v>
      </c>
      <c r="I65" s="15" t="s">
        <v>1154</v>
      </c>
      <c r="J65" s="15">
        <v>14</v>
      </c>
      <c r="K65" s="10" t="s">
        <v>729</v>
      </c>
      <c r="L65" s="10" t="s">
        <v>1714</v>
      </c>
      <c r="M65" s="19" t="s">
        <v>979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3">
      <c r="A66" s="47">
        <v>0</v>
      </c>
      <c r="B66" s="47">
        <v>1</v>
      </c>
      <c r="C66" s="47">
        <v>2</v>
      </c>
      <c r="D66" s="48" t="s">
        <v>1530</v>
      </c>
      <c r="E66" s="48" t="s">
        <v>172</v>
      </c>
      <c r="F66" s="48" t="s">
        <v>1532</v>
      </c>
      <c r="G66" s="48" t="s">
        <v>1178</v>
      </c>
      <c r="H66" s="48" t="s">
        <v>357</v>
      </c>
      <c r="I66" s="47" t="s">
        <v>1531</v>
      </c>
      <c r="J66" s="47">
        <v>11</v>
      </c>
      <c r="K66" s="49" t="s">
        <v>729</v>
      </c>
      <c r="L66" s="49">
        <v>50</v>
      </c>
      <c r="M66" s="50" t="s">
        <v>39</v>
      </c>
      <c r="N66" s="50" t="s">
        <v>1824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3">
      <c r="A67" s="47">
        <v>0</v>
      </c>
      <c r="B67" s="47">
        <v>1</v>
      </c>
      <c r="C67" s="47">
        <v>2</v>
      </c>
      <c r="D67" s="48" t="s">
        <v>1147</v>
      </c>
      <c r="E67" s="48" t="s">
        <v>177</v>
      </c>
      <c r="F67" s="48" t="s">
        <v>1150</v>
      </c>
      <c r="G67" s="48" t="s">
        <v>39</v>
      </c>
      <c r="H67" s="48" t="s">
        <v>1148</v>
      </c>
      <c r="I67" s="47" t="s">
        <v>1149</v>
      </c>
      <c r="J67" s="47">
        <v>12</v>
      </c>
      <c r="K67" s="49" t="s">
        <v>710</v>
      </c>
      <c r="L67" s="49">
        <v>50</v>
      </c>
      <c r="M67" s="50" t="s">
        <v>39</v>
      </c>
      <c r="N67" s="50" t="s">
        <v>1749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3">
      <c r="A68" s="60">
        <v>0</v>
      </c>
      <c r="B68" s="60">
        <v>1</v>
      </c>
      <c r="C68" s="60">
        <v>2</v>
      </c>
      <c r="D68" s="61" t="s">
        <v>156</v>
      </c>
      <c r="E68" s="61" t="s">
        <v>173</v>
      </c>
      <c r="F68" s="61" t="s">
        <v>942</v>
      </c>
      <c r="G68" s="61" t="s">
        <v>188</v>
      </c>
      <c r="H68" s="61" t="s">
        <v>357</v>
      </c>
      <c r="I68" s="60" t="s">
        <v>506</v>
      </c>
      <c r="J68" s="60">
        <v>1</v>
      </c>
      <c r="K68" s="62" t="s">
        <v>967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3">
      <c r="A69" s="34">
        <v>0</v>
      </c>
      <c r="B69" s="34">
        <v>1</v>
      </c>
      <c r="C69" s="34">
        <v>2</v>
      </c>
      <c r="D69" s="35" t="s">
        <v>1462</v>
      </c>
      <c r="E69" s="35" t="s">
        <v>177</v>
      </c>
      <c r="F69" s="35" t="s">
        <v>1459</v>
      </c>
      <c r="G69" s="35" t="s">
        <v>39</v>
      </c>
      <c r="H69" s="35" t="s">
        <v>357</v>
      </c>
      <c r="I69" s="34" t="s">
        <v>1460</v>
      </c>
      <c r="J69" s="34">
        <v>99</v>
      </c>
      <c r="K69" s="36" t="s">
        <v>709</v>
      </c>
      <c r="L69" s="36" t="s">
        <v>696</v>
      </c>
      <c r="M69" s="37" t="s">
        <v>1461</v>
      </c>
      <c r="N69" s="37" t="s">
        <v>1742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3">
      <c r="A70" s="41">
        <v>0</v>
      </c>
      <c r="B70" s="41">
        <v>1</v>
      </c>
      <c r="C70" s="41">
        <v>2</v>
      </c>
      <c r="D70" s="42" t="s">
        <v>822</v>
      </c>
      <c r="E70" s="42" t="s">
        <v>177</v>
      </c>
      <c r="F70" s="42" t="s">
        <v>943</v>
      </c>
      <c r="G70" s="42" t="s">
        <v>215</v>
      </c>
      <c r="H70" s="42" t="s">
        <v>357</v>
      </c>
      <c r="I70" s="41" t="s">
        <v>823</v>
      </c>
      <c r="J70" s="41">
        <v>1</v>
      </c>
      <c r="K70" s="43" t="s">
        <v>963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3">
      <c r="A71" s="15">
        <v>0</v>
      </c>
      <c r="B71" s="15">
        <v>1</v>
      </c>
      <c r="C71" s="15">
        <v>2</v>
      </c>
      <c r="D71" s="16" t="s">
        <v>1337</v>
      </c>
      <c r="E71" s="16" t="s">
        <v>177</v>
      </c>
      <c r="F71" s="16" t="s">
        <v>1136</v>
      </c>
      <c r="G71" s="16" t="s">
        <v>39</v>
      </c>
      <c r="H71" s="16" t="s">
        <v>1135</v>
      </c>
      <c r="I71" s="15" t="s">
        <v>1134</v>
      </c>
      <c r="J71" s="15">
        <v>15</v>
      </c>
      <c r="K71" s="10" t="s">
        <v>964</v>
      </c>
      <c r="L71" s="10">
        <v>75</v>
      </c>
      <c r="M71" s="19" t="s">
        <v>1402</v>
      </c>
      <c r="N71" s="17"/>
      <c r="Q71" s="16"/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0</v>
      </c>
      <c r="AE71" s="1">
        <f t="shared" si="18"/>
        <v>0</v>
      </c>
      <c r="AF71" s="1">
        <f t="shared" si="3"/>
        <v>0</v>
      </c>
      <c r="AG71" s="1">
        <f t="shared" si="4"/>
        <v>0</v>
      </c>
      <c r="AH71" s="1">
        <f t="shared" si="5"/>
        <v>0</v>
      </c>
      <c r="AI71" s="1">
        <f t="shared" si="6"/>
        <v>1</v>
      </c>
    </row>
    <row r="72" spans="1:35" ht="14.25" customHeight="1" x14ac:dyDescent="0.3">
      <c r="A72" s="41">
        <v>0</v>
      </c>
      <c r="B72" s="41">
        <v>1</v>
      </c>
      <c r="C72" s="41">
        <v>2</v>
      </c>
      <c r="D72" s="42" t="s">
        <v>1057</v>
      </c>
      <c r="E72" s="42" t="s">
        <v>176</v>
      </c>
      <c r="F72" s="42" t="s">
        <v>1058</v>
      </c>
      <c r="G72" s="42" t="s">
        <v>633</v>
      </c>
      <c r="H72" s="42" t="s">
        <v>357</v>
      </c>
      <c r="I72" s="41" t="s">
        <v>1059</v>
      </c>
      <c r="J72" s="41">
        <v>99</v>
      </c>
      <c r="K72" s="43" t="s">
        <v>709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5" si="19">+O72*P72*(1-A72)</f>
        <v>0</v>
      </c>
      <c r="AG72" s="1">
        <f t="shared" ref="AG72:AG135" si="20">O72*(1-P72)*(1-A72)</f>
        <v>0</v>
      </c>
      <c r="AH72" s="1">
        <f t="shared" ref="AH72:AH135" si="21">+P72*(1-A72)</f>
        <v>1</v>
      </c>
      <c r="AI72" s="1">
        <f t="shared" ref="AI72:AI135" si="22">+(1-A72)*(1-P72)</f>
        <v>0</v>
      </c>
    </row>
    <row r="73" spans="1:35" ht="14.25" customHeight="1" x14ac:dyDescent="0.3">
      <c r="A73" s="47">
        <v>0</v>
      </c>
      <c r="B73" s="47">
        <v>1</v>
      </c>
      <c r="C73" s="47">
        <v>2</v>
      </c>
      <c r="D73" s="48" t="s">
        <v>589</v>
      </c>
      <c r="E73" s="48" t="s">
        <v>176</v>
      </c>
      <c r="F73" s="48" t="s">
        <v>591</v>
      </c>
      <c r="G73" s="48" t="s">
        <v>39</v>
      </c>
      <c r="H73" s="48" t="s">
        <v>592</v>
      </c>
      <c r="I73" s="47" t="s">
        <v>593</v>
      </c>
      <c r="J73" s="47">
        <v>12</v>
      </c>
      <c r="K73" s="49" t="s">
        <v>967</v>
      </c>
      <c r="L73" s="49" t="s">
        <v>1727</v>
      </c>
      <c r="M73" s="50" t="s">
        <v>1393</v>
      </c>
      <c r="N73" s="50" t="s">
        <v>1753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3">
      <c r="A74" s="34">
        <v>0</v>
      </c>
      <c r="B74" s="34">
        <v>1</v>
      </c>
      <c r="C74" s="34">
        <v>2</v>
      </c>
      <c r="D74" s="35" t="s">
        <v>1857</v>
      </c>
      <c r="E74" s="35" t="s">
        <v>176</v>
      </c>
      <c r="F74" s="35" t="s">
        <v>1858</v>
      </c>
      <c r="G74" s="35"/>
      <c r="H74" s="35" t="s">
        <v>1859</v>
      </c>
      <c r="I74" s="34" t="s">
        <v>1860</v>
      </c>
      <c r="J74" s="34">
        <v>14</v>
      </c>
      <c r="K74" s="36" t="s">
        <v>710</v>
      </c>
      <c r="L74" s="36">
        <v>75</v>
      </c>
      <c r="M74" s="37" t="s">
        <v>978</v>
      </c>
      <c r="N74" s="37" t="s">
        <v>1758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3">
      <c r="A75" s="34">
        <v>0</v>
      </c>
      <c r="B75" s="34">
        <v>1</v>
      </c>
      <c r="C75" s="34">
        <v>2</v>
      </c>
      <c r="D75" s="39" t="s">
        <v>1739</v>
      </c>
      <c r="E75" s="35" t="s">
        <v>177</v>
      </c>
      <c r="F75" s="39" t="s">
        <v>1740</v>
      </c>
      <c r="G75" s="39" t="s">
        <v>209</v>
      </c>
      <c r="H75" s="39" t="s">
        <v>357</v>
      </c>
      <c r="I75" s="40" t="s">
        <v>1741</v>
      </c>
      <c r="J75" s="34"/>
      <c r="K75" s="36" t="s">
        <v>710</v>
      </c>
      <c r="L75" s="36"/>
      <c r="M75" s="37"/>
      <c r="N75" s="37" t="s">
        <v>1742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3">
      <c r="A76" s="34">
        <v>0</v>
      </c>
      <c r="B76" s="34">
        <v>1</v>
      </c>
      <c r="C76" s="34">
        <v>2</v>
      </c>
      <c r="D76" s="39" t="s">
        <v>1068</v>
      </c>
      <c r="E76" s="35" t="s">
        <v>177</v>
      </c>
      <c r="F76" s="39" t="s">
        <v>1107</v>
      </c>
      <c r="G76" s="39" t="s">
        <v>39</v>
      </c>
      <c r="H76" s="39" t="s">
        <v>1069</v>
      </c>
      <c r="I76" s="40" t="s">
        <v>1174</v>
      </c>
      <c r="J76" s="34">
        <v>13</v>
      </c>
      <c r="K76" s="36" t="s">
        <v>709</v>
      </c>
      <c r="L76" s="36" t="s">
        <v>696</v>
      </c>
      <c r="M76" s="37" t="s">
        <v>1456</v>
      </c>
      <c r="N76" s="37" t="s">
        <v>1764</v>
      </c>
      <c r="O76" s="38">
        <v>1</v>
      </c>
      <c r="P76" s="38"/>
      <c r="Q76" s="39"/>
      <c r="S76" s="1">
        <f t="shared" ref="S76:S140" si="35">IF(J76=$S$7,1,0)</f>
        <v>0</v>
      </c>
      <c r="T76" s="1">
        <f t="shared" ref="T76:T140" si="36">IF(J76=$T$7,1,0)</f>
        <v>0</v>
      </c>
      <c r="U76" s="1">
        <f t="shared" ref="U76:U140" si="37">IF(J76=$U$7,1,0)</f>
        <v>0</v>
      </c>
      <c r="V76" s="1">
        <f t="shared" ref="V76:V140" si="38">IF(J76=$V$7,1,0)</f>
        <v>0</v>
      </c>
      <c r="W76" s="1">
        <f t="shared" ref="W76:W140" si="39">IF(J76=$W$7,1,0)</f>
        <v>0</v>
      </c>
      <c r="X76" s="1">
        <f t="shared" ref="X76:X140" si="40">IF(J76=$X$7,1,0)</f>
        <v>0</v>
      </c>
      <c r="Y76" s="1">
        <f t="shared" ref="Y76:Y140" si="41">IF(J76=$Y$7,1,0)</f>
        <v>0</v>
      </c>
      <c r="Z76" s="1">
        <f t="shared" ref="Z76:Z140" si="42">IF(J76=$Z$7,1,0)</f>
        <v>0</v>
      </c>
      <c r="AA76" s="1">
        <f t="shared" ref="AA76:AA140" si="43">IF(J76=$AA$7,1,0)</f>
        <v>0</v>
      </c>
      <c r="AB76" s="1">
        <f t="shared" ref="AB76:AB140" si="44">IF(J76=$AB$7,1,0)</f>
        <v>0</v>
      </c>
      <c r="AD76" s="1">
        <f t="shared" ref="AD76:AD140" si="45">+O76*P76</f>
        <v>0</v>
      </c>
      <c r="AE76" s="1">
        <f t="shared" ref="AE76:AE140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3">
      <c r="A77" s="34">
        <v>0</v>
      </c>
      <c r="B77" s="34">
        <v>1</v>
      </c>
      <c r="C77" s="34">
        <v>2</v>
      </c>
      <c r="D77" s="39" t="s">
        <v>1610</v>
      </c>
      <c r="E77" s="35" t="s">
        <v>177</v>
      </c>
      <c r="F77" s="39" t="s">
        <v>1611</v>
      </c>
      <c r="G77" s="39" t="s">
        <v>237</v>
      </c>
      <c r="H77" s="39" t="s">
        <v>357</v>
      </c>
      <c r="I77" s="40" t="s">
        <v>1612</v>
      </c>
      <c r="J77" s="34">
        <v>99</v>
      </c>
      <c r="K77" s="36" t="s">
        <v>963</v>
      </c>
      <c r="L77" s="36">
        <v>45</v>
      </c>
      <c r="M77" s="37" t="s">
        <v>39</v>
      </c>
      <c r="N77" s="37" t="s">
        <v>1804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3">
      <c r="A78" s="41">
        <v>0</v>
      </c>
      <c r="B78" s="41">
        <v>1</v>
      </c>
      <c r="C78" s="41">
        <v>2</v>
      </c>
      <c r="D78" s="42" t="s">
        <v>1339</v>
      </c>
      <c r="E78" s="42" t="s">
        <v>176</v>
      </c>
      <c r="F78" s="42" t="s">
        <v>1282</v>
      </c>
      <c r="G78" s="42" t="s">
        <v>209</v>
      </c>
      <c r="H78" s="42" t="s">
        <v>357</v>
      </c>
      <c r="I78" s="41" t="s">
        <v>1283</v>
      </c>
      <c r="J78" s="41">
        <v>99</v>
      </c>
      <c r="K78" s="43" t="s">
        <v>969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3">
      <c r="A79" s="34">
        <v>0</v>
      </c>
      <c r="B79" s="34">
        <v>1</v>
      </c>
      <c r="C79" s="34">
        <v>3</v>
      </c>
      <c r="D79" s="39" t="s">
        <v>1814</v>
      </c>
      <c r="E79" s="35" t="s">
        <v>172</v>
      </c>
      <c r="F79" s="39" t="s">
        <v>1812</v>
      </c>
      <c r="G79" s="39" t="s">
        <v>234</v>
      </c>
      <c r="H79" s="39" t="s">
        <v>357</v>
      </c>
      <c r="I79" s="40" t="s">
        <v>1813</v>
      </c>
      <c r="J79" s="34">
        <v>99</v>
      </c>
      <c r="K79" s="36" t="s">
        <v>710</v>
      </c>
      <c r="L79" s="36"/>
      <c r="M79" s="37"/>
      <c r="N79" s="37" t="s">
        <v>1742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3">
      <c r="A80" s="34">
        <v>0</v>
      </c>
      <c r="B80" s="34">
        <v>1</v>
      </c>
      <c r="C80" s="34">
        <v>3</v>
      </c>
      <c r="D80" s="39" t="s">
        <v>1171</v>
      </c>
      <c r="E80" s="35" t="s">
        <v>172</v>
      </c>
      <c r="F80" s="39" t="s">
        <v>1172</v>
      </c>
      <c r="G80" s="39" t="s">
        <v>39</v>
      </c>
      <c r="H80" s="39" t="s">
        <v>1373</v>
      </c>
      <c r="I80" s="40" t="s">
        <v>1173</v>
      </c>
      <c r="J80" s="34">
        <v>11</v>
      </c>
      <c r="K80" s="36" t="s">
        <v>709</v>
      </c>
      <c r="L80" s="36" t="s">
        <v>1714</v>
      </c>
      <c r="M80" s="37" t="s">
        <v>1403</v>
      </c>
      <c r="N80" s="37" t="s">
        <v>1764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3">
      <c r="A81" s="15">
        <v>0</v>
      </c>
      <c r="B81" s="15">
        <v>1</v>
      </c>
      <c r="C81" s="15">
        <v>3</v>
      </c>
      <c r="D81" s="16" t="s">
        <v>125</v>
      </c>
      <c r="E81" s="16" t="s">
        <v>172</v>
      </c>
      <c r="F81" s="16" t="s">
        <v>581</v>
      </c>
      <c r="G81" s="16" t="s">
        <v>39</v>
      </c>
      <c r="H81" s="16" t="s">
        <v>376</v>
      </c>
      <c r="I81" s="15" t="s">
        <v>475</v>
      </c>
      <c r="J81" s="15">
        <v>18</v>
      </c>
      <c r="K81" s="10" t="s">
        <v>710</v>
      </c>
      <c r="L81" s="10" t="s">
        <v>702</v>
      </c>
      <c r="M81" s="19" t="s">
        <v>698</v>
      </c>
      <c r="N81" s="17"/>
      <c r="Q81" s="20" t="s">
        <v>1897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3">
      <c r="A82" s="41">
        <v>0</v>
      </c>
      <c r="B82" s="41">
        <v>1</v>
      </c>
      <c r="C82" s="41">
        <v>3</v>
      </c>
      <c r="D82" s="42" t="s">
        <v>1017</v>
      </c>
      <c r="E82" s="42" t="s">
        <v>174</v>
      </c>
      <c r="F82" s="42" t="s">
        <v>1018</v>
      </c>
      <c r="G82" s="42" t="s">
        <v>1019</v>
      </c>
      <c r="H82" s="42" t="s">
        <v>357</v>
      </c>
      <c r="I82" s="41" t="s">
        <v>1020</v>
      </c>
      <c r="J82" s="41">
        <v>99</v>
      </c>
      <c r="K82" s="43" t="s">
        <v>963</v>
      </c>
      <c r="L82" s="43" t="s">
        <v>39</v>
      </c>
      <c r="M82" s="44" t="s">
        <v>39</v>
      </c>
      <c r="N82" s="45"/>
      <c r="O82" s="46"/>
      <c r="P82" s="46">
        <v>1</v>
      </c>
      <c r="Q82" s="42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0</v>
      </c>
      <c r="AE82" s="1">
        <f t="shared" si="46"/>
        <v>0</v>
      </c>
      <c r="AF82" s="1">
        <f t="shared" si="19"/>
        <v>0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3">
      <c r="A83" s="34">
        <v>0</v>
      </c>
      <c r="B83" s="34">
        <v>1</v>
      </c>
      <c r="C83" s="34">
        <v>3</v>
      </c>
      <c r="D83" s="39" t="s">
        <v>144</v>
      </c>
      <c r="E83" s="35" t="s">
        <v>177</v>
      </c>
      <c r="F83" s="39" t="s">
        <v>347</v>
      </c>
      <c r="G83" s="39" t="s">
        <v>348</v>
      </c>
      <c r="H83" s="39" t="s">
        <v>357</v>
      </c>
      <c r="I83" s="40" t="s">
        <v>495</v>
      </c>
      <c r="J83" s="34">
        <v>6</v>
      </c>
      <c r="K83" s="36" t="s">
        <v>964</v>
      </c>
      <c r="L83" s="36" t="s">
        <v>693</v>
      </c>
      <c r="M83" s="37" t="s">
        <v>698</v>
      </c>
      <c r="N83" s="37" t="s">
        <v>1758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3">
      <c r="A84" s="15">
        <v>0</v>
      </c>
      <c r="B84" s="15">
        <v>1</v>
      </c>
      <c r="C84" s="15">
        <v>3</v>
      </c>
      <c r="D84" s="16" t="s">
        <v>1801</v>
      </c>
      <c r="E84" s="16" t="s">
        <v>174</v>
      </c>
      <c r="F84" s="16" t="s">
        <v>1803</v>
      </c>
      <c r="G84" s="16"/>
      <c r="H84" s="16" t="s">
        <v>367</v>
      </c>
      <c r="I84" s="15" t="s">
        <v>1802</v>
      </c>
      <c r="J84" s="15">
        <v>17</v>
      </c>
      <c r="K84" s="10" t="s">
        <v>710</v>
      </c>
      <c r="L84" s="10" t="s">
        <v>1757</v>
      </c>
      <c r="M84" s="19" t="s">
        <v>698</v>
      </c>
      <c r="N84" s="17"/>
      <c r="Q84" s="20" t="s">
        <v>1929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3">
      <c r="A85" s="34">
        <v>0</v>
      </c>
      <c r="B85" s="34">
        <v>1</v>
      </c>
      <c r="C85" s="34">
        <v>3</v>
      </c>
      <c r="D85" s="35" t="s">
        <v>1825</v>
      </c>
      <c r="E85" s="35" t="s">
        <v>174</v>
      </c>
      <c r="F85" s="35" t="s">
        <v>1826</v>
      </c>
      <c r="G85" s="35" t="s">
        <v>1827</v>
      </c>
      <c r="H85" s="35" t="s">
        <v>357</v>
      </c>
      <c r="I85" s="34" t="s">
        <v>1828</v>
      </c>
      <c r="J85" s="34">
        <v>1</v>
      </c>
      <c r="K85" s="36" t="s">
        <v>710</v>
      </c>
      <c r="L85" s="36">
        <v>60</v>
      </c>
      <c r="M85" s="37" t="s">
        <v>1829</v>
      </c>
      <c r="N85" s="37" t="s">
        <v>1864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3">
      <c r="A86" s="34">
        <v>0</v>
      </c>
      <c r="B86" s="34">
        <v>1</v>
      </c>
      <c r="C86" s="34">
        <v>3</v>
      </c>
      <c r="D86" s="39" t="s">
        <v>1613</v>
      </c>
      <c r="E86" s="35" t="s">
        <v>177</v>
      </c>
      <c r="F86" s="39" t="s">
        <v>322</v>
      </c>
      <c r="G86" s="39" t="s">
        <v>272</v>
      </c>
      <c r="H86" s="39" t="s">
        <v>357</v>
      </c>
      <c r="I86" s="40" t="s">
        <v>470</v>
      </c>
      <c r="J86" s="34">
        <v>8</v>
      </c>
      <c r="K86" s="36" t="s">
        <v>709</v>
      </c>
      <c r="L86" s="36" t="s">
        <v>696</v>
      </c>
      <c r="M86" s="37" t="s">
        <v>698</v>
      </c>
      <c r="N86" s="37" t="s">
        <v>1770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3">
      <c r="A87" s="41">
        <v>0</v>
      </c>
      <c r="B87" s="41">
        <v>1</v>
      </c>
      <c r="C87" s="41">
        <v>3</v>
      </c>
      <c r="D87" s="42" t="s">
        <v>137</v>
      </c>
      <c r="E87" s="42" t="s">
        <v>174</v>
      </c>
      <c r="F87" s="57" t="s">
        <v>1895</v>
      </c>
      <c r="G87" s="42" t="s">
        <v>242</v>
      </c>
      <c r="H87" s="42" t="s">
        <v>357</v>
      </c>
      <c r="I87" s="41" t="s">
        <v>488</v>
      </c>
      <c r="J87" s="41">
        <v>1</v>
      </c>
      <c r="K87" s="43" t="s">
        <v>963</v>
      </c>
      <c r="L87" s="43" t="s">
        <v>696</v>
      </c>
      <c r="M87" s="44" t="s">
        <v>698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3">
      <c r="A88" s="47">
        <v>0</v>
      </c>
      <c r="B88" s="47">
        <v>1</v>
      </c>
      <c r="C88" s="47">
        <v>3</v>
      </c>
      <c r="D88" s="48" t="s">
        <v>797</v>
      </c>
      <c r="E88" s="48" t="s">
        <v>615</v>
      </c>
      <c r="F88" s="48" t="s">
        <v>799</v>
      </c>
      <c r="G88" s="48" t="s">
        <v>216</v>
      </c>
      <c r="H88" s="48" t="s">
        <v>357</v>
      </c>
      <c r="I88" s="47" t="s">
        <v>798</v>
      </c>
      <c r="J88" s="47">
        <v>99</v>
      </c>
      <c r="K88" s="49" t="s">
        <v>729</v>
      </c>
      <c r="L88" s="49" t="s">
        <v>1714</v>
      </c>
      <c r="M88" s="50" t="s">
        <v>1404</v>
      </c>
      <c r="N88" s="50" t="s">
        <v>1762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3">
      <c r="A89" s="47">
        <v>0</v>
      </c>
      <c r="B89" s="47">
        <v>1</v>
      </c>
      <c r="C89" s="47">
        <v>3</v>
      </c>
      <c r="D89" s="48" t="s">
        <v>78</v>
      </c>
      <c r="E89" s="48" t="s">
        <v>174</v>
      </c>
      <c r="F89" s="48" t="s">
        <v>270</v>
      </c>
      <c r="G89" s="48" t="s">
        <v>266</v>
      </c>
      <c r="H89" s="48" t="s">
        <v>357</v>
      </c>
      <c r="I89" s="47" t="s">
        <v>428</v>
      </c>
      <c r="J89" s="47">
        <v>1</v>
      </c>
      <c r="K89" s="49" t="s">
        <v>963</v>
      </c>
      <c r="L89" s="49" t="s">
        <v>1714</v>
      </c>
      <c r="M89" s="50" t="s">
        <v>977</v>
      </c>
      <c r="N89" s="50" t="s">
        <v>1750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3">
      <c r="A90" s="34">
        <v>0</v>
      </c>
      <c r="B90" s="34">
        <v>1</v>
      </c>
      <c r="C90" s="34">
        <v>3</v>
      </c>
      <c r="D90" s="39" t="s">
        <v>1540</v>
      </c>
      <c r="E90" s="35" t="s">
        <v>178</v>
      </c>
      <c r="F90" s="39" t="s">
        <v>1541</v>
      </c>
      <c r="G90" s="39" t="s">
        <v>39</v>
      </c>
      <c r="H90" s="39" t="s">
        <v>913</v>
      </c>
      <c r="I90" s="40" t="s">
        <v>1542</v>
      </c>
      <c r="J90" s="34">
        <v>11</v>
      </c>
      <c r="K90" s="36" t="s">
        <v>971</v>
      </c>
      <c r="L90" s="36" t="s">
        <v>39</v>
      </c>
      <c r="M90" s="37" t="s">
        <v>39</v>
      </c>
      <c r="N90" s="37" t="s">
        <v>1748</v>
      </c>
      <c r="O90" s="38">
        <v>1</v>
      </c>
      <c r="P90" s="38">
        <v>1</v>
      </c>
      <c r="Q90" s="39"/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1</v>
      </c>
      <c r="AE90" s="1">
        <f t="shared" si="46"/>
        <v>0</v>
      </c>
      <c r="AF90" s="1">
        <f t="shared" si="19"/>
        <v>1</v>
      </c>
      <c r="AG90" s="1">
        <f t="shared" si="20"/>
        <v>0</v>
      </c>
      <c r="AH90" s="1">
        <f t="shared" si="21"/>
        <v>1</v>
      </c>
      <c r="AI90" s="1">
        <f t="shared" si="22"/>
        <v>0</v>
      </c>
    </row>
    <row r="91" spans="1:35" ht="14.25" customHeight="1" x14ac:dyDescent="0.3">
      <c r="A91" s="34">
        <v>0</v>
      </c>
      <c r="B91" s="34">
        <v>1</v>
      </c>
      <c r="C91" s="34">
        <v>3</v>
      </c>
      <c r="D91" s="39" t="s">
        <v>1869</v>
      </c>
      <c r="E91" s="39" t="s">
        <v>174</v>
      </c>
      <c r="F91" s="39" t="s">
        <v>1870</v>
      </c>
      <c r="G91" s="39"/>
      <c r="H91" s="39" t="s">
        <v>1871</v>
      </c>
      <c r="I91" s="40" t="s">
        <v>1872</v>
      </c>
      <c r="J91" s="34">
        <v>15</v>
      </c>
      <c r="K91" s="36" t="s">
        <v>710</v>
      </c>
      <c r="L91" s="36"/>
      <c r="M91" s="37"/>
      <c r="N91" s="37" t="s">
        <v>1748</v>
      </c>
      <c r="O91" s="38">
        <v>1</v>
      </c>
      <c r="P91" s="38">
        <v>1</v>
      </c>
      <c r="Q91" s="39" t="s">
        <v>1907</v>
      </c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3">
      <c r="A92" s="15">
        <v>0</v>
      </c>
      <c r="B92" s="15">
        <v>1</v>
      </c>
      <c r="C92" s="15">
        <v>3</v>
      </c>
      <c r="D92" s="16" t="s">
        <v>743</v>
      </c>
      <c r="E92" s="16" t="s">
        <v>1345</v>
      </c>
      <c r="F92" s="16" t="s">
        <v>1673</v>
      </c>
      <c r="G92" s="16" t="s">
        <v>39</v>
      </c>
      <c r="H92" s="16" t="s">
        <v>744</v>
      </c>
      <c r="I92" s="15" t="s">
        <v>745</v>
      </c>
      <c r="J92" s="15">
        <v>18</v>
      </c>
      <c r="K92" s="10" t="s">
        <v>709</v>
      </c>
      <c r="L92" s="10" t="s">
        <v>694</v>
      </c>
      <c r="M92" s="19" t="s">
        <v>977</v>
      </c>
      <c r="N92" s="17"/>
      <c r="Q92" s="16"/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0</v>
      </c>
      <c r="AE92" s="1">
        <f t="shared" si="58"/>
        <v>0</v>
      </c>
      <c r="AF92" s="1">
        <f t="shared" si="19"/>
        <v>0</v>
      </c>
      <c r="AG92" s="1">
        <f t="shared" si="20"/>
        <v>0</v>
      </c>
      <c r="AH92" s="1">
        <f t="shared" si="21"/>
        <v>0</v>
      </c>
      <c r="AI92" s="1">
        <f t="shared" si="22"/>
        <v>1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16" t="s">
        <v>1561</v>
      </c>
      <c r="E93" s="16" t="s">
        <v>174</v>
      </c>
      <c r="F93" s="16" t="s">
        <v>1562</v>
      </c>
      <c r="G93" s="16" t="s">
        <v>39</v>
      </c>
      <c r="H93" s="16" t="s">
        <v>367</v>
      </c>
      <c r="I93" s="15" t="s">
        <v>1563</v>
      </c>
      <c r="J93" s="15">
        <v>17</v>
      </c>
      <c r="K93" s="10" t="s">
        <v>729</v>
      </c>
      <c r="L93" s="10" t="s">
        <v>694</v>
      </c>
      <c r="M93" s="19" t="s">
        <v>39</v>
      </c>
      <c r="N93" s="17"/>
      <c r="Q93" s="20" t="s">
        <v>1931</v>
      </c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3">
      <c r="A94" s="47">
        <v>0</v>
      </c>
      <c r="B94" s="47">
        <v>1</v>
      </c>
      <c r="C94" s="47">
        <v>3</v>
      </c>
      <c r="D94" s="48" t="s">
        <v>120</v>
      </c>
      <c r="E94" s="48" t="s">
        <v>174</v>
      </c>
      <c r="F94" s="48" t="s">
        <v>323</v>
      </c>
      <c r="G94" s="48" t="s">
        <v>39</v>
      </c>
      <c r="H94" s="48" t="s">
        <v>373</v>
      </c>
      <c r="I94" s="47" t="s">
        <v>471</v>
      </c>
      <c r="J94" s="47">
        <v>14</v>
      </c>
      <c r="K94" s="49" t="s">
        <v>963</v>
      </c>
      <c r="L94" s="49" t="s">
        <v>701</v>
      </c>
      <c r="M94" s="50" t="s">
        <v>698</v>
      </c>
      <c r="N94" s="50" t="s">
        <v>1754</v>
      </c>
      <c r="O94" s="51"/>
      <c r="P94" s="51"/>
      <c r="Q94" s="68" t="s">
        <v>1904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3">
      <c r="A95" s="41">
        <v>0</v>
      </c>
      <c r="B95" s="41">
        <v>1</v>
      </c>
      <c r="C95" s="41">
        <v>3</v>
      </c>
      <c r="D95" s="42" t="s">
        <v>116</v>
      </c>
      <c r="E95" s="42" t="s">
        <v>172</v>
      </c>
      <c r="F95" s="42" t="s">
        <v>329</v>
      </c>
      <c r="G95" s="42" t="s">
        <v>232</v>
      </c>
      <c r="H95" s="42" t="s">
        <v>357</v>
      </c>
      <c r="I95" s="41" t="s">
        <v>478</v>
      </c>
      <c r="J95" s="41">
        <v>7</v>
      </c>
      <c r="K95" s="43" t="s">
        <v>709</v>
      </c>
      <c r="L95" s="43" t="s">
        <v>39</v>
      </c>
      <c r="M95" s="44" t="s">
        <v>39</v>
      </c>
      <c r="N95" s="45"/>
      <c r="O95" s="46"/>
      <c r="P95" s="46">
        <v>1</v>
      </c>
      <c r="Q95" s="42"/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1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1</v>
      </c>
      <c r="AI95" s="1">
        <f t="shared" si="22"/>
        <v>0</v>
      </c>
    </row>
    <row r="96" spans="1:35" ht="14.25" customHeight="1" x14ac:dyDescent="0.3">
      <c r="A96" s="47">
        <v>0</v>
      </c>
      <c r="B96" s="47">
        <v>1</v>
      </c>
      <c r="C96" s="47">
        <v>3</v>
      </c>
      <c r="D96" s="48" t="s">
        <v>1221</v>
      </c>
      <c r="E96" s="48" t="s">
        <v>177</v>
      </c>
      <c r="F96" s="48" t="s">
        <v>1353</v>
      </c>
      <c r="G96" s="48" t="s">
        <v>39</v>
      </c>
      <c r="H96" s="48" t="s">
        <v>616</v>
      </c>
      <c r="I96" s="47" t="s">
        <v>1222</v>
      </c>
      <c r="J96" s="47">
        <v>14</v>
      </c>
      <c r="K96" s="49" t="s">
        <v>963</v>
      </c>
      <c r="L96" s="49" t="s">
        <v>1714</v>
      </c>
      <c r="M96" s="50" t="s">
        <v>1405</v>
      </c>
      <c r="N96" s="50" t="s">
        <v>1817</v>
      </c>
      <c r="O96" s="51"/>
      <c r="P96" s="51"/>
      <c r="Q96" s="48"/>
      <c r="S96" s="1">
        <f t="shared" si="35"/>
        <v>0</v>
      </c>
      <c r="T96" s="1">
        <f t="shared" si="36"/>
        <v>0</v>
      </c>
      <c r="U96" s="1">
        <f t="shared" si="37"/>
        <v>0</v>
      </c>
      <c r="V96" s="1">
        <f t="shared" si="38"/>
        <v>0</v>
      </c>
      <c r="W96" s="1">
        <f t="shared" si="39"/>
        <v>0</v>
      </c>
      <c r="X96" s="1">
        <f t="shared" si="40"/>
        <v>0</v>
      </c>
      <c r="Y96" s="1">
        <f t="shared" si="41"/>
        <v>0</v>
      </c>
      <c r="Z96" s="1">
        <f t="shared" si="42"/>
        <v>0</v>
      </c>
      <c r="AA96" s="1">
        <f t="shared" si="43"/>
        <v>0</v>
      </c>
      <c r="AB96" s="1">
        <f t="shared" si="44"/>
        <v>0</v>
      </c>
      <c r="AD96" s="1">
        <f t="shared" si="45"/>
        <v>0</v>
      </c>
      <c r="AE96" s="1">
        <f t="shared" si="46"/>
        <v>0</v>
      </c>
      <c r="AF96" s="1">
        <f t="shared" si="19"/>
        <v>0</v>
      </c>
      <c r="AG96" s="1">
        <f t="shared" si="20"/>
        <v>0</v>
      </c>
      <c r="AH96" s="1">
        <f t="shared" si="21"/>
        <v>0</v>
      </c>
      <c r="AI96" s="1">
        <f t="shared" si="22"/>
        <v>1</v>
      </c>
    </row>
    <row r="97" spans="1:35" ht="14.25" customHeight="1" x14ac:dyDescent="0.3">
      <c r="A97" s="34">
        <v>0</v>
      </c>
      <c r="B97" s="34">
        <v>1</v>
      </c>
      <c r="C97" s="34">
        <v>3</v>
      </c>
      <c r="D97" s="39" t="s">
        <v>828</v>
      </c>
      <c r="E97" s="35" t="s">
        <v>178</v>
      </c>
      <c r="F97" s="39" t="s">
        <v>934</v>
      </c>
      <c r="G97" s="39" t="s">
        <v>39</v>
      </c>
      <c r="H97" s="39" t="s">
        <v>375</v>
      </c>
      <c r="I97" s="40" t="s">
        <v>829</v>
      </c>
      <c r="J97" s="34">
        <v>16</v>
      </c>
      <c r="K97" s="36" t="s">
        <v>964</v>
      </c>
      <c r="L97" s="36" t="s">
        <v>694</v>
      </c>
      <c r="M97" s="37" t="s">
        <v>977</v>
      </c>
      <c r="N97" s="37" t="s">
        <v>1742</v>
      </c>
      <c r="O97" s="38">
        <v>1</v>
      </c>
      <c r="P97" s="38">
        <v>1</v>
      </c>
      <c r="Q97" s="39"/>
      <c r="S97" s="1">
        <f t="shared" si="35"/>
        <v>0</v>
      </c>
      <c r="T97" s="1">
        <f t="shared" si="36"/>
        <v>0</v>
      </c>
      <c r="U97" s="1">
        <f t="shared" si="37"/>
        <v>0</v>
      </c>
      <c r="V97" s="1">
        <f t="shared" si="38"/>
        <v>0</v>
      </c>
      <c r="W97" s="1">
        <f t="shared" si="39"/>
        <v>0</v>
      </c>
      <c r="X97" s="1">
        <f t="shared" si="40"/>
        <v>0</v>
      </c>
      <c r="Y97" s="1">
        <f t="shared" si="41"/>
        <v>0</v>
      </c>
      <c r="Z97" s="1">
        <f t="shared" si="42"/>
        <v>0</v>
      </c>
      <c r="AA97" s="1">
        <f t="shared" si="43"/>
        <v>0</v>
      </c>
      <c r="AB97" s="1">
        <f t="shared" si="44"/>
        <v>0</v>
      </c>
      <c r="AD97" s="1">
        <f t="shared" si="45"/>
        <v>1</v>
      </c>
      <c r="AE97" s="1">
        <f t="shared" si="46"/>
        <v>0</v>
      </c>
      <c r="AF97" s="1">
        <f t="shared" si="19"/>
        <v>1</v>
      </c>
      <c r="AG97" s="1">
        <f t="shared" si="20"/>
        <v>0</v>
      </c>
      <c r="AH97" s="1">
        <f t="shared" si="21"/>
        <v>1</v>
      </c>
      <c r="AI97" s="1">
        <f t="shared" si="22"/>
        <v>0</v>
      </c>
    </row>
    <row r="98" spans="1:35" ht="14.25" customHeight="1" x14ac:dyDescent="0.3">
      <c r="A98" s="15">
        <v>0</v>
      </c>
      <c r="B98" s="15">
        <v>1</v>
      </c>
      <c r="C98" s="15">
        <v>3</v>
      </c>
      <c r="D98" s="16" t="s">
        <v>105</v>
      </c>
      <c r="E98" s="16" t="s">
        <v>172</v>
      </c>
      <c r="F98" s="16" t="s">
        <v>306</v>
      </c>
      <c r="G98" s="16" t="s">
        <v>39</v>
      </c>
      <c r="H98" s="16" t="s">
        <v>360</v>
      </c>
      <c r="I98" s="15" t="s">
        <v>455</v>
      </c>
      <c r="J98" s="15">
        <v>18</v>
      </c>
      <c r="K98" s="10" t="s">
        <v>709</v>
      </c>
      <c r="L98" s="10" t="s">
        <v>694</v>
      </c>
      <c r="M98" s="19" t="s">
        <v>698</v>
      </c>
      <c r="N98" s="17"/>
      <c r="Q98" s="16"/>
      <c r="S98" s="1">
        <f t="shared" si="35"/>
        <v>0</v>
      </c>
      <c r="T98" s="1">
        <f t="shared" si="36"/>
        <v>0</v>
      </c>
      <c r="U98" s="1">
        <f t="shared" si="37"/>
        <v>0</v>
      </c>
      <c r="V98" s="1">
        <f t="shared" si="38"/>
        <v>0</v>
      </c>
      <c r="W98" s="1">
        <f t="shared" si="39"/>
        <v>0</v>
      </c>
      <c r="X98" s="1">
        <f t="shared" si="40"/>
        <v>0</v>
      </c>
      <c r="Y98" s="1">
        <f t="shared" si="41"/>
        <v>0</v>
      </c>
      <c r="Z98" s="1">
        <f t="shared" si="42"/>
        <v>0</v>
      </c>
      <c r="AA98" s="1">
        <f t="shared" si="43"/>
        <v>0</v>
      </c>
      <c r="AB98" s="1">
        <f t="shared" si="44"/>
        <v>0</v>
      </c>
      <c r="AD98" s="1">
        <f t="shared" si="45"/>
        <v>0</v>
      </c>
      <c r="AE98" s="1">
        <f t="shared" si="46"/>
        <v>0</v>
      </c>
      <c r="AF98" s="1">
        <f t="shared" si="19"/>
        <v>0</v>
      </c>
      <c r="AG98" s="1">
        <f t="shared" si="20"/>
        <v>0</v>
      </c>
      <c r="AH98" s="1">
        <f t="shared" si="21"/>
        <v>0</v>
      </c>
      <c r="AI98" s="1">
        <f t="shared" si="22"/>
        <v>1</v>
      </c>
    </row>
    <row r="99" spans="1:35" ht="14.25" customHeight="1" x14ac:dyDescent="0.3">
      <c r="A99" s="47">
        <v>0</v>
      </c>
      <c r="B99" s="47">
        <v>1</v>
      </c>
      <c r="C99" s="47">
        <v>3</v>
      </c>
      <c r="D99" s="48" t="s">
        <v>521</v>
      </c>
      <c r="E99" s="48" t="s">
        <v>172</v>
      </c>
      <c r="F99" s="48" t="s">
        <v>522</v>
      </c>
      <c r="G99" s="48" t="s">
        <v>509</v>
      </c>
      <c r="H99" s="48" t="s">
        <v>357</v>
      </c>
      <c r="I99" s="47" t="s">
        <v>523</v>
      </c>
      <c r="J99" s="47">
        <v>99</v>
      </c>
      <c r="K99" s="49" t="s">
        <v>963</v>
      </c>
      <c r="L99" s="49" t="s">
        <v>701</v>
      </c>
      <c r="M99" s="50" t="s">
        <v>698</v>
      </c>
      <c r="N99" s="50" t="s">
        <v>1762</v>
      </c>
      <c r="O99" s="51"/>
      <c r="P99" s="51"/>
      <c r="Q99" s="48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0</v>
      </c>
      <c r="AE99" s="1">
        <f t="shared" si="46"/>
        <v>0</v>
      </c>
      <c r="AF99" s="1">
        <f t="shared" si="19"/>
        <v>0</v>
      </c>
      <c r="AG99" s="1">
        <f t="shared" si="20"/>
        <v>0</v>
      </c>
      <c r="AH99" s="1">
        <f t="shared" si="21"/>
        <v>0</v>
      </c>
      <c r="AI99" s="1">
        <f t="shared" si="22"/>
        <v>1</v>
      </c>
    </row>
    <row r="100" spans="1:35" ht="14.25" customHeight="1" x14ac:dyDescent="0.3">
      <c r="A100" s="15">
        <v>0</v>
      </c>
      <c r="B100" s="15">
        <v>1</v>
      </c>
      <c r="C100" s="15">
        <v>3</v>
      </c>
      <c r="D100" s="16" t="s">
        <v>1660</v>
      </c>
      <c r="E100" s="16" t="s">
        <v>1097</v>
      </c>
      <c r="F100" s="16" t="s">
        <v>1233</v>
      </c>
      <c r="G100" s="16" t="s">
        <v>39</v>
      </c>
      <c r="H100" s="16" t="s">
        <v>1234</v>
      </c>
      <c r="I100" s="15" t="s">
        <v>1235</v>
      </c>
      <c r="J100" s="15">
        <v>18</v>
      </c>
      <c r="K100" s="10" t="s">
        <v>965</v>
      </c>
      <c r="L100" s="10" t="s">
        <v>694</v>
      </c>
      <c r="M100" s="19" t="s">
        <v>977</v>
      </c>
      <c r="N100" s="17"/>
      <c r="Q100" s="16" t="s">
        <v>1899</v>
      </c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3">
      <c r="A101" s="15">
        <v>0</v>
      </c>
      <c r="B101" s="15">
        <v>1</v>
      </c>
      <c r="C101" s="15">
        <v>3</v>
      </c>
      <c r="D101" s="16" t="s">
        <v>1573</v>
      </c>
      <c r="E101" s="16" t="s">
        <v>172</v>
      </c>
      <c r="F101" s="16" t="s">
        <v>1692</v>
      </c>
      <c r="G101" s="16" t="s">
        <v>39</v>
      </c>
      <c r="H101" s="16" t="s">
        <v>360</v>
      </c>
      <c r="I101" s="15" t="s">
        <v>1574</v>
      </c>
      <c r="J101" s="15">
        <v>18</v>
      </c>
      <c r="K101" s="10" t="s">
        <v>729</v>
      </c>
      <c r="L101" s="10" t="s">
        <v>694</v>
      </c>
      <c r="M101" s="19" t="s">
        <v>698</v>
      </c>
      <c r="N101" s="17"/>
      <c r="Q101" s="16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3">
      <c r="A102" s="34">
        <v>0</v>
      </c>
      <c r="B102" s="34">
        <v>1</v>
      </c>
      <c r="C102" s="34">
        <v>3</v>
      </c>
      <c r="D102" s="35" t="s">
        <v>1333</v>
      </c>
      <c r="E102" s="35" t="s">
        <v>177</v>
      </c>
      <c r="F102" s="35" t="s">
        <v>1354</v>
      </c>
      <c r="G102" s="35" t="s">
        <v>39</v>
      </c>
      <c r="H102" s="35" t="s">
        <v>357</v>
      </c>
      <c r="I102" s="34" t="s">
        <v>1146</v>
      </c>
      <c r="J102" s="34">
        <v>99</v>
      </c>
      <c r="K102" s="36" t="s">
        <v>709</v>
      </c>
      <c r="L102" s="36" t="s">
        <v>1714</v>
      </c>
      <c r="M102" s="37" t="s">
        <v>1406</v>
      </c>
      <c r="N102" s="37" t="s">
        <v>1764</v>
      </c>
      <c r="O102" s="38">
        <v>1</v>
      </c>
      <c r="P102" s="38"/>
      <c r="Q102" s="35"/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1</v>
      </c>
      <c r="AF102" s="1">
        <f t="shared" si="19"/>
        <v>0</v>
      </c>
      <c r="AG102" s="1">
        <f t="shared" si="20"/>
        <v>1</v>
      </c>
      <c r="AH102" s="1">
        <f t="shared" si="21"/>
        <v>0</v>
      </c>
      <c r="AI102" s="1">
        <f t="shared" si="22"/>
        <v>1</v>
      </c>
    </row>
    <row r="103" spans="1:35" ht="14.25" customHeight="1" x14ac:dyDescent="0.3">
      <c r="A103" s="34">
        <v>0</v>
      </c>
      <c r="B103" s="34">
        <v>1</v>
      </c>
      <c r="C103" s="34">
        <v>3</v>
      </c>
      <c r="D103" s="35" t="s">
        <v>1277</v>
      </c>
      <c r="E103" s="35" t="s">
        <v>172</v>
      </c>
      <c r="F103" s="35" t="s">
        <v>1355</v>
      </c>
      <c r="G103" s="35" t="s">
        <v>1208</v>
      </c>
      <c r="H103" s="35" t="s">
        <v>357</v>
      </c>
      <c r="I103" s="34" t="s">
        <v>1209</v>
      </c>
      <c r="J103" s="34">
        <v>99</v>
      </c>
      <c r="K103" s="36" t="s">
        <v>729</v>
      </c>
      <c r="L103" s="36">
        <v>50</v>
      </c>
      <c r="M103" s="37" t="s">
        <v>39</v>
      </c>
      <c r="N103" s="37" t="s">
        <v>1816</v>
      </c>
      <c r="O103" s="38">
        <v>1</v>
      </c>
      <c r="P103" s="38"/>
      <c r="Q103" s="35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1</v>
      </c>
      <c r="AF103" s="1">
        <f t="shared" si="19"/>
        <v>0</v>
      </c>
      <c r="AG103" s="1">
        <f t="shared" si="20"/>
        <v>1</v>
      </c>
      <c r="AH103" s="1">
        <f t="shared" si="21"/>
        <v>0</v>
      </c>
      <c r="AI103" s="1">
        <f t="shared" si="22"/>
        <v>1</v>
      </c>
    </row>
    <row r="104" spans="1:35" ht="14.25" customHeight="1" x14ac:dyDescent="0.3">
      <c r="A104" s="34">
        <v>0</v>
      </c>
      <c r="B104" s="34">
        <v>1</v>
      </c>
      <c r="C104" s="34">
        <v>3</v>
      </c>
      <c r="D104" s="35" t="s">
        <v>1026</v>
      </c>
      <c r="E104" s="35" t="s">
        <v>615</v>
      </c>
      <c r="F104" s="35" t="s">
        <v>1027</v>
      </c>
      <c r="G104" s="35" t="s">
        <v>1028</v>
      </c>
      <c r="H104" s="35" t="s">
        <v>357</v>
      </c>
      <c r="I104" s="34" t="s">
        <v>1029</v>
      </c>
      <c r="J104" s="34">
        <v>99</v>
      </c>
      <c r="K104" s="36" t="s">
        <v>963</v>
      </c>
      <c r="L104" s="36" t="s">
        <v>39</v>
      </c>
      <c r="M104" s="37" t="s">
        <v>39</v>
      </c>
      <c r="N104" s="37" t="s">
        <v>1748</v>
      </c>
      <c r="O104" s="38">
        <v>1</v>
      </c>
      <c r="P104" s="38">
        <v>1</v>
      </c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1</v>
      </c>
      <c r="AE104" s="1">
        <f t="shared" si="46"/>
        <v>0</v>
      </c>
      <c r="AF104" s="1">
        <f t="shared" si="19"/>
        <v>1</v>
      </c>
      <c r="AG104" s="1">
        <f t="shared" si="20"/>
        <v>0</v>
      </c>
      <c r="AH104" s="1">
        <f t="shared" si="21"/>
        <v>1</v>
      </c>
      <c r="AI104" s="1">
        <f t="shared" si="22"/>
        <v>0</v>
      </c>
    </row>
    <row r="105" spans="1:35" ht="14.25" customHeight="1" x14ac:dyDescent="0.3">
      <c r="A105" s="34">
        <v>0</v>
      </c>
      <c r="B105" s="34">
        <v>1</v>
      </c>
      <c r="C105" s="34">
        <v>3</v>
      </c>
      <c r="D105" s="35" t="s">
        <v>142</v>
      </c>
      <c r="E105" s="35" t="s">
        <v>177</v>
      </c>
      <c r="F105" s="35" t="s">
        <v>345</v>
      </c>
      <c r="G105" s="35" t="s">
        <v>39</v>
      </c>
      <c r="H105" s="35" t="s">
        <v>379</v>
      </c>
      <c r="I105" s="34" t="s">
        <v>493</v>
      </c>
      <c r="J105" s="34">
        <v>16</v>
      </c>
      <c r="K105" s="36" t="s">
        <v>709</v>
      </c>
      <c r="L105" s="36" t="s">
        <v>694</v>
      </c>
      <c r="M105" s="37" t="s">
        <v>1407</v>
      </c>
      <c r="N105" s="37" t="s">
        <v>1763</v>
      </c>
      <c r="O105" s="38">
        <v>1</v>
      </c>
      <c r="P105" s="38"/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1</v>
      </c>
      <c r="AF105" s="1">
        <f t="shared" si="19"/>
        <v>0</v>
      </c>
      <c r="AG105" s="1">
        <f t="shared" si="20"/>
        <v>1</v>
      </c>
      <c r="AH105" s="1">
        <f t="shared" si="21"/>
        <v>0</v>
      </c>
      <c r="AI105" s="1">
        <f t="shared" si="22"/>
        <v>1</v>
      </c>
    </row>
    <row r="106" spans="1:35" ht="14.25" customHeight="1" x14ac:dyDescent="0.3">
      <c r="A106" s="34">
        <v>0</v>
      </c>
      <c r="B106" s="34">
        <v>1</v>
      </c>
      <c r="C106" s="34">
        <v>3</v>
      </c>
      <c r="D106" s="35" t="s">
        <v>824</v>
      </c>
      <c r="E106" s="35" t="s">
        <v>174</v>
      </c>
      <c r="F106" s="35" t="s">
        <v>825</v>
      </c>
      <c r="G106" s="35" t="s">
        <v>39</v>
      </c>
      <c r="H106" s="35" t="s">
        <v>826</v>
      </c>
      <c r="I106" s="34" t="s">
        <v>827</v>
      </c>
      <c r="J106" s="34">
        <v>16</v>
      </c>
      <c r="K106" s="36" t="s">
        <v>709</v>
      </c>
      <c r="L106" s="36" t="s">
        <v>694</v>
      </c>
      <c r="M106" s="37" t="s">
        <v>1407</v>
      </c>
      <c r="N106" s="37" t="s">
        <v>1742</v>
      </c>
      <c r="O106" s="38">
        <v>1</v>
      </c>
      <c r="P106" s="38">
        <v>1</v>
      </c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19"/>
        <v>1</v>
      </c>
      <c r="AG106" s="1">
        <f t="shared" si="20"/>
        <v>0</v>
      </c>
      <c r="AH106" s="1">
        <f t="shared" si="21"/>
        <v>1</v>
      </c>
      <c r="AI106" s="1">
        <f t="shared" si="22"/>
        <v>0</v>
      </c>
    </row>
    <row r="107" spans="1:35" ht="14.25" customHeight="1" x14ac:dyDescent="0.3">
      <c r="A107" s="15">
        <v>0</v>
      </c>
      <c r="B107" s="15">
        <v>1</v>
      </c>
      <c r="C107" s="15">
        <v>3</v>
      </c>
      <c r="D107" s="16" t="s">
        <v>109</v>
      </c>
      <c r="E107" s="16" t="s">
        <v>172</v>
      </c>
      <c r="F107" s="16" t="s">
        <v>309</v>
      </c>
      <c r="G107" s="16" t="s">
        <v>39</v>
      </c>
      <c r="H107" s="16" t="s">
        <v>364</v>
      </c>
      <c r="I107" s="15" t="s">
        <v>459</v>
      </c>
      <c r="J107" s="15">
        <v>18</v>
      </c>
      <c r="K107" s="10" t="s">
        <v>710</v>
      </c>
      <c r="L107" s="10" t="s">
        <v>694</v>
      </c>
      <c r="M107" s="19" t="s">
        <v>698</v>
      </c>
      <c r="N107" s="17"/>
      <c r="Q107" s="20" t="s">
        <v>1898</v>
      </c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0</v>
      </c>
      <c r="AF107" s="1">
        <f t="shared" si="19"/>
        <v>0</v>
      </c>
      <c r="AG107" s="1">
        <f t="shared" si="20"/>
        <v>0</v>
      </c>
      <c r="AH107" s="1">
        <f t="shared" si="21"/>
        <v>0</v>
      </c>
      <c r="AI107" s="1">
        <f t="shared" si="22"/>
        <v>1</v>
      </c>
    </row>
    <row r="108" spans="1:35" ht="14.25" customHeight="1" x14ac:dyDescent="0.3">
      <c r="A108" s="47">
        <v>0</v>
      </c>
      <c r="B108" s="47">
        <v>1</v>
      </c>
      <c r="C108" s="47">
        <v>3</v>
      </c>
      <c r="D108" s="48" t="s">
        <v>1520</v>
      </c>
      <c r="E108" s="48" t="s">
        <v>172</v>
      </c>
      <c r="F108" s="48" t="s">
        <v>1521</v>
      </c>
      <c r="G108" s="48" t="s">
        <v>39</v>
      </c>
      <c r="H108" s="48" t="s">
        <v>377</v>
      </c>
      <c r="I108" s="47" t="s">
        <v>1522</v>
      </c>
      <c r="J108" s="47">
        <v>11</v>
      </c>
      <c r="K108" s="49" t="s">
        <v>729</v>
      </c>
      <c r="L108" s="49">
        <v>50</v>
      </c>
      <c r="M108" s="50" t="s">
        <v>39</v>
      </c>
      <c r="N108" s="50" t="s">
        <v>1749</v>
      </c>
      <c r="O108" s="51"/>
      <c r="P108" s="51"/>
      <c r="Q108" s="48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0</v>
      </c>
      <c r="AE108" s="1">
        <f t="shared" si="46"/>
        <v>0</v>
      </c>
      <c r="AF108" s="1">
        <f t="shared" si="19"/>
        <v>0</v>
      </c>
      <c r="AG108" s="1">
        <f t="shared" si="20"/>
        <v>0</v>
      </c>
      <c r="AH108" s="1">
        <f t="shared" si="21"/>
        <v>0</v>
      </c>
      <c r="AI108" s="1">
        <f t="shared" si="22"/>
        <v>1</v>
      </c>
    </row>
    <row r="109" spans="1:35" ht="14.25" customHeight="1" x14ac:dyDescent="0.3">
      <c r="A109" s="47">
        <v>0</v>
      </c>
      <c r="B109" s="47">
        <v>1</v>
      </c>
      <c r="C109" s="47">
        <v>3</v>
      </c>
      <c r="D109" s="48" t="s">
        <v>108</v>
      </c>
      <c r="E109" s="48" t="s">
        <v>172</v>
      </c>
      <c r="F109" s="48" t="s">
        <v>308</v>
      </c>
      <c r="G109" s="48" t="s">
        <v>39</v>
      </c>
      <c r="H109" s="48" t="s">
        <v>363</v>
      </c>
      <c r="I109" s="47" t="s">
        <v>458</v>
      </c>
      <c r="J109" s="47">
        <v>18</v>
      </c>
      <c r="K109" s="49" t="s">
        <v>709</v>
      </c>
      <c r="L109" s="49">
        <v>55</v>
      </c>
      <c r="M109" s="50" t="s">
        <v>698</v>
      </c>
      <c r="N109" s="50" t="s">
        <v>1749</v>
      </c>
      <c r="O109" s="51"/>
      <c r="P109" s="51"/>
      <c r="Q109" s="48"/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3">
      <c r="A110" s="34">
        <v>0</v>
      </c>
      <c r="B110" s="34">
        <v>1</v>
      </c>
      <c r="C110" s="34">
        <v>3</v>
      </c>
      <c r="D110" s="35" t="s">
        <v>129</v>
      </c>
      <c r="E110" s="35" t="s">
        <v>177</v>
      </c>
      <c r="F110" s="35" t="s">
        <v>332</v>
      </c>
      <c r="G110" s="35" t="s">
        <v>39</v>
      </c>
      <c r="H110" s="35" t="s">
        <v>378</v>
      </c>
      <c r="I110" s="34" t="s">
        <v>481</v>
      </c>
      <c r="J110" s="34">
        <v>12</v>
      </c>
      <c r="K110" s="36" t="s">
        <v>709</v>
      </c>
      <c r="L110" s="36">
        <v>35</v>
      </c>
      <c r="M110" s="37" t="s">
        <v>698</v>
      </c>
      <c r="N110" s="37" t="s">
        <v>1764</v>
      </c>
      <c r="O110" s="38">
        <v>1</v>
      </c>
      <c r="P110" s="38"/>
      <c r="Q110" s="35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1</v>
      </c>
      <c r="AF110" s="1">
        <f t="shared" si="19"/>
        <v>0</v>
      </c>
      <c r="AG110" s="1">
        <f t="shared" si="20"/>
        <v>1</v>
      </c>
      <c r="AH110" s="1">
        <f t="shared" si="21"/>
        <v>0</v>
      </c>
      <c r="AI110" s="1">
        <f t="shared" si="22"/>
        <v>1</v>
      </c>
    </row>
    <row r="111" spans="1:35" ht="14.25" customHeight="1" x14ac:dyDescent="0.3">
      <c r="A111" s="47">
        <v>0</v>
      </c>
      <c r="B111" s="47">
        <v>1</v>
      </c>
      <c r="C111" s="47">
        <v>3</v>
      </c>
      <c r="D111" s="48" t="s">
        <v>1001</v>
      </c>
      <c r="E111" s="48" t="s">
        <v>172</v>
      </c>
      <c r="F111" s="48" t="s">
        <v>1103</v>
      </c>
      <c r="G111" s="48" t="s">
        <v>234</v>
      </c>
      <c r="H111" s="48" t="s">
        <v>357</v>
      </c>
      <c r="I111" s="47" t="s">
        <v>1002</v>
      </c>
      <c r="J111" s="47">
        <v>99</v>
      </c>
      <c r="K111" s="49" t="s">
        <v>963</v>
      </c>
      <c r="L111" s="49">
        <v>40</v>
      </c>
      <c r="M111" s="50" t="s">
        <v>39</v>
      </c>
      <c r="N111" s="50" t="s">
        <v>1762</v>
      </c>
      <c r="O111" s="51"/>
      <c r="P111" s="51"/>
      <c r="Q111" s="48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19"/>
        <v>0</v>
      </c>
      <c r="AG111" s="1">
        <f t="shared" si="20"/>
        <v>0</v>
      </c>
      <c r="AH111" s="1">
        <f t="shared" si="21"/>
        <v>0</v>
      </c>
      <c r="AI111" s="1">
        <f t="shared" si="22"/>
        <v>1</v>
      </c>
    </row>
    <row r="112" spans="1:35" ht="14.25" customHeight="1" x14ac:dyDescent="0.3">
      <c r="A112" s="41">
        <v>0</v>
      </c>
      <c r="B112" s="41">
        <v>1</v>
      </c>
      <c r="C112" s="41">
        <v>3</v>
      </c>
      <c r="D112" s="42" t="s">
        <v>130</v>
      </c>
      <c r="E112" s="42" t="s">
        <v>172</v>
      </c>
      <c r="F112" s="42" t="s">
        <v>333</v>
      </c>
      <c r="G112" s="42" t="s">
        <v>39</v>
      </c>
      <c r="H112" s="42" t="s">
        <v>374</v>
      </c>
      <c r="I112" s="41" t="s">
        <v>482</v>
      </c>
      <c r="J112" s="41">
        <v>11</v>
      </c>
      <c r="K112" s="43" t="s">
        <v>709</v>
      </c>
      <c r="L112" s="43" t="s">
        <v>39</v>
      </c>
      <c r="M112" s="44" t="s">
        <v>39</v>
      </c>
      <c r="N112" s="45"/>
      <c r="O112" s="46"/>
      <c r="P112" s="46">
        <v>1</v>
      </c>
      <c r="Q112" s="42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0</v>
      </c>
      <c r="AF112" s="1">
        <f t="shared" si="19"/>
        <v>0</v>
      </c>
      <c r="AG112" s="1">
        <f t="shared" si="20"/>
        <v>0</v>
      </c>
      <c r="AH112" s="1">
        <f t="shared" si="21"/>
        <v>1</v>
      </c>
      <c r="AI112" s="1">
        <f t="shared" si="22"/>
        <v>0</v>
      </c>
    </row>
    <row r="113" spans="1:35" ht="14.25" customHeight="1" x14ac:dyDescent="0.3">
      <c r="A113" s="15">
        <v>0</v>
      </c>
      <c r="B113" s="15">
        <v>1</v>
      </c>
      <c r="C113" s="15">
        <v>3</v>
      </c>
      <c r="D113" s="16" t="s">
        <v>1334</v>
      </c>
      <c r="E113" s="16" t="s">
        <v>174</v>
      </c>
      <c r="F113" s="16" t="s">
        <v>1357</v>
      </c>
      <c r="G113" s="16" t="s">
        <v>39</v>
      </c>
      <c r="H113" s="16" t="s">
        <v>995</v>
      </c>
      <c r="I113" s="15" t="s">
        <v>996</v>
      </c>
      <c r="J113" s="15">
        <v>14</v>
      </c>
      <c r="K113" s="10" t="s">
        <v>710</v>
      </c>
      <c r="L113" s="10">
        <v>30</v>
      </c>
      <c r="M113" s="19" t="s">
        <v>978</v>
      </c>
      <c r="N113" s="17"/>
      <c r="Q113" s="16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0</v>
      </c>
      <c r="AI113" s="1">
        <f t="shared" si="22"/>
        <v>1</v>
      </c>
    </row>
    <row r="114" spans="1:35" ht="14.25" customHeight="1" x14ac:dyDescent="0.3">
      <c r="A114" s="47">
        <v>0</v>
      </c>
      <c r="B114" s="47">
        <v>1</v>
      </c>
      <c r="C114" s="47">
        <v>3</v>
      </c>
      <c r="D114" s="48" t="s">
        <v>706</v>
      </c>
      <c r="E114" s="48" t="s">
        <v>177</v>
      </c>
      <c r="F114" s="48" t="s">
        <v>707</v>
      </c>
      <c r="G114" s="48" t="s">
        <v>39</v>
      </c>
      <c r="H114" s="48" t="s">
        <v>708</v>
      </c>
      <c r="I114" s="47" t="s">
        <v>1125</v>
      </c>
      <c r="J114" s="47">
        <v>13</v>
      </c>
      <c r="K114" s="49" t="s">
        <v>709</v>
      </c>
      <c r="L114" s="49" t="s">
        <v>1714</v>
      </c>
      <c r="M114" s="50" t="s">
        <v>977</v>
      </c>
      <c r="N114" s="50" t="s">
        <v>1817</v>
      </c>
      <c r="O114" s="51"/>
      <c r="P114" s="51"/>
      <c r="Q114" s="48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0</v>
      </c>
      <c r="AI114" s="1">
        <f t="shared" si="22"/>
        <v>1</v>
      </c>
    </row>
    <row r="115" spans="1:35" ht="14.25" customHeight="1" x14ac:dyDescent="0.3">
      <c r="A115" s="34">
        <v>0</v>
      </c>
      <c r="B115" s="34">
        <v>1</v>
      </c>
      <c r="C115" s="34">
        <v>3</v>
      </c>
      <c r="D115" s="35" t="s">
        <v>1535</v>
      </c>
      <c r="E115" s="35" t="s">
        <v>172</v>
      </c>
      <c r="F115" s="35" t="s">
        <v>1682</v>
      </c>
      <c r="G115" s="35" t="s">
        <v>39</v>
      </c>
      <c r="H115" s="35" t="s">
        <v>1536</v>
      </c>
      <c r="I115" s="34" t="s">
        <v>1537</v>
      </c>
      <c r="J115" s="34">
        <v>11</v>
      </c>
      <c r="K115" s="36" t="s">
        <v>729</v>
      </c>
      <c r="L115" s="36">
        <v>40</v>
      </c>
      <c r="M115" s="37" t="s">
        <v>39</v>
      </c>
      <c r="N115" s="37" t="s">
        <v>1742</v>
      </c>
      <c r="O115" s="38">
        <v>1</v>
      </c>
      <c r="P115" s="38">
        <v>1</v>
      </c>
      <c r="Q115" s="35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1</v>
      </c>
      <c r="AE115" s="1">
        <f t="shared" si="46"/>
        <v>0</v>
      </c>
      <c r="AF115" s="1">
        <f t="shared" si="19"/>
        <v>1</v>
      </c>
      <c r="AG115" s="1">
        <f t="shared" si="20"/>
        <v>0</v>
      </c>
      <c r="AH115" s="1">
        <f t="shared" si="21"/>
        <v>1</v>
      </c>
      <c r="AI115" s="1">
        <f t="shared" si="22"/>
        <v>0</v>
      </c>
    </row>
    <row r="116" spans="1:35" ht="14.25" customHeight="1" x14ac:dyDescent="0.3">
      <c r="A116" s="15">
        <v>0</v>
      </c>
      <c r="B116" s="15">
        <v>1</v>
      </c>
      <c r="C116" s="15">
        <v>3</v>
      </c>
      <c r="D116" s="16" t="s">
        <v>147</v>
      </c>
      <c r="E116" s="16" t="s">
        <v>174</v>
      </c>
      <c r="F116" s="16" t="s">
        <v>351</v>
      </c>
      <c r="G116" s="16" t="s">
        <v>39</v>
      </c>
      <c r="H116" s="16" t="s">
        <v>370</v>
      </c>
      <c r="I116" s="15" t="s">
        <v>497</v>
      </c>
      <c r="J116" s="15">
        <v>18</v>
      </c>
      <c r="K116" s="10" t="s">
        <v>963</v>
      </c>
      <c r="L116" s="10" t="s">
        <v>704</v>
      </c>
      <c r="M116" s="19" t="s">
        <v>977</v>
      </c>
      <c r="N116" s="17"/>
      <c r="Q116" s="16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19"/>
        <v>0</v>
      </c>
      <c r="AG116" s="1">
        <f t="shared" si="20"/>
        <v>0</v>
      </c>
      <c r="AH116" s="1">
        <f t="shared" si="21"/>
        <v>0</v>
      </c>
      <c r="AI116" s="1">
        <f t="shared" si="22"/>
        <v>1</v>
      </c>
    </row>
    <row r="117" spans="1:35" ht="14.25" customHeight="1" x14ac:dyDescent="0.3">
      <c r="A117" s="47">
        <v>0</v>
      </c>
      <c r="B117" s="47">
        <v>1</v>
      </c>
      <c r="C117" s="47">
        <v>3</v>
      </c>
      <c r="D117" s="48" t="s">
        <v>1007</v>
      </c>
      <c r="E117" s="48" t="s">
        <v>174</v>
      </c>
      <c r="F117" s="68" t="s">
        <v>1882</v>
      </c>
      <c r="G117" s="48" t="s">
        <v>39</v>
      </c>
      <c r="H117" s="48" t="s">
        <v>1008</v>
      </c>
      <c r="I117" s="47" t="s">
        <v>1126</v>
      </c>
      <c r="J117" s="47">
        <v>16</v>
      </c>
      <c r="K117" s="49" t="s">
        <v>729</v>
      </c>
      <c r="L117" s="49" t="s">
        <v>1757</v>
      </c>
      <c r="M117" s="50" t="s">
        <v>1408</v>
      </c>
      <c r="N117" s="50" t="s">
        <v>1817</v>
      </c>
      <c r="O117" s="51"/>
      <c r="P117" s="51"/>
      <c r="Q117" s="68" t="s">
        <v>1905</v>
      </c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0</v>
      </c>
      <c r="AE117" s="1">
        <f t="shared" si="46"/>
        <v>0</v>
      </c>
      <c r="AF117" s="1">
        <f t="shared" si="19"/>
        <v>0</v>
      </c>
      <c r="AG117" s="1">
        <f t="shared" si="20"/>
        <v>0</v>
      </c>
      <c r="AH117" s="1">
        <f t="shared" si="21"/>
        <v>0</v>
      </c>
      <c r="AI117" s="1">
        <f t="shared" si="22"/>
        <v>1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1137</v>
      </c>
      <c r="E118" s="16" t="s">
        <v>174</v>
      </c>
      <c r="F118" s="16" t="s">
        <v>1358</v>
      </c>
      <c r="G118" s="16" t="s">
        <v>39</v>
      </c>
      <c r="H118" s="16" t="s">
        <v>1139</v>
      </c>
      <c r="I118" s="15" t="s">
        <v>1138</v>
      </c>
      <c r="J118" s="15">
        <v>14</v>
      </c>
      <c r="K118" s="10" t="s">
        <v>965</v>
      </c>
      <c r="L118" s="10" t="s">
        <v>1714</v>
      </c>
      <c r="M118" s="19" t="s">
        <v>1409</v>
      </c>
      <c r="N118" s="17"/>
      <c r="Q118" s="16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3">
      <c r="A119" s="34">
        <v>0</v>
      </c>
      <c r="B119" s="34">
        <v>1</v>
      </c>
      <c r="C119" s="34">
        <v>3</v>
      </c>
      <c r="D119" s="35" t="s">
        <v>1088</v>
      </c>
      <c r="E119" s="35" t="s">
        <v>174</v>
      </c>
      <c r="F119" s="35" t="s">
        <v>1050</v>
      </c>
      <c r="G119" s="35" t="s">
        <v>1114</v>
      </c>
      <c r="H119" s="35" t="s">
        <v>357</v>
      </c>
      <c r="I119" s="34" t="s">
        <v>1051</v>
      </c>
      <c r="J119" s="34">
        <v>1</v>
      </c>
      <c r="K119" s="36" t="s">
        <v>965</v>
      </c>
      <c r="L119" s="36" t="s">
        <v>693</v>
      </c>
      <c r="M119" s="37" t="s">
        <v>978</v>
      </c>
      <c r="N119" s="37" t="s">
        <v>1770</v>
      </c>
      <c r="O119" s="38">
        <v>1</v>
      </c>
      <c r="P119" s="38"/>
      <c r="Q119" s="35"/>
      <c r="S119" s="1">
        <f t="shared" si="35"/>
        <v>1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1</v>
      </c>
      <c r="AF119" s="1">
        <f t="shared" si="19"/>
        <v>0</v>
      </c>
      <c r="AG119" s="1">
        <f t="shared" si="20"/>
        <v>1</v>
      </c>
      <c r="AH119" s="1">
        <f t="shared" si="21"/>
        <v>0</v>
      </c>
      <c r="AI119" s="1">
        <f t="shared" si="22"/>
        <v>1</v>
      </c>
    </row>
    <row r="120" spans="1:35" ht="14.25" customHeight="1" x14ac:dyDescent="0.3">
      <c r="A120" s="34">
        <v>0</v>
      </c>
      <c r="B120" s="34">
        <v>1</v>
      </c>
      <c r="C120" s="34">
        <v>3</v>
      </c>
      <c r="D120" s="35" t="s">
        <v>1644</v>
      </c>
      <c r="E120" s="35" t="s">
        <v>1097</v>
      </c>
      <c r="F120" s="35" t="s">
        <v>1645</v>
      </c>
      <c r="G120" s="35" t="s">
        <v>39</v>
      </c>
      <c r="H120" s="35" t="s">
        <v>1646</v>
      </c>
      <c r="I120" s="34" t="s">
        <v>1647</v>
      </c>
      <c r="J120" s="34">
        <v>15</v>
      </c>
      <c r="K120" s="36" t="s">
        <v>965</v>
      </c>
      <c r="L120" s="36" t="s">
        <v>39</v>
      </c>
      <c r="M120" s="37" t="s">
        <v>39</v>
      </c>
      <c r="N120" s="37" t="s">
        <v>1763</v>
      </c>
      <c r="O120" s="38">
        <v>1</v>
      </c>
      <c r="P120" s="38"/>
      <c r="Q120" s="39" t="s">
        <v>1910</v>
      </c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1</v>
      </c>
      <c r="AF120" s="1">
        <f t="shared" si="19"/>
        <v>0</v>
      </c>
      <c r="AG120" s="1">
        <f t="shared" si="20"/>
        <v>1</v>
      </c>
      <c r="AH120" s="1">
        <f t="shared" si="21"/>
        <v>0</v>
      </c>
      <c r="AI120" s="1">
        <f t="shared" si="22"/>
        <v>1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618</v>
      </c>
      <c r="E121" s="16" t="s">
        <v>172</v>
      </c>
      <c r="F121" s="16" t="s">
        <v>619</v>
      </c>
      <c r="G121" s="16" t="s">
        <v>39</v>
      </c>
      <c r="H121" s="16" t="s">
        <v>369</v>
      </c>
      <c r="I121" s="15" t="s">
        <v>620</v>
      </c>
      <c r="J121" s="15">
        <v>18</v>
      </c>
      <c r="K121" s="10" t="s">
        <v>729</v>
      </c>
      <c r="L121" s="10" t="s">
        <v>1757</v>
      </c>
      <c r="M121" s="19" t="s">
        <v>39</v>
      </c>
      <c r="N121" s="17"/>
      <c r="Q121" s="16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19"/>
        <v>0</v>
      </c>
      <c r="AG121" s="1">
        <f t="shared" si="20"/>
        <v>0</v>
      </c>
      <c r="AH121" s="1">
        <f t="shared" si="21"/>
        <v>0</v>
      </c>
      <c r="AI121" s="1">
        <f t="shared" si="22"/>
        <v>1</v>
      </c>
    </row>
    <row r="122" spans="1:35" ht="14.25" customHeight="1" x14ac:dyDescent="0.3">
      <c r="A122" s="41">
        <v>0</v>
      </c>
      <c r="B122" s="41">
        <v>1</v>
      </c>
      <c r="C122" s="41">
        <v>3</v>
      </c>
      <c r="D122" s="42" t="s">
        <v>927</v>
      </c>
      <c r="E122" s="42" t="s">
        <v>174</v>
      </c>
      <c r="F122" s="42" t="s">
        <v>1170</v>
      </c>
      <c r="G122" s="42" t="s">
        <v>39</v>
      </c>
      <c r="H122" s="42" t="s">
        <v>366</v>
      </c>
      <c r="I122" s="41" t="s">
        <v>898</v>
      </c>
      <c r="J122" s="41">
        <v>14</v>
      </c>
      <c r="K122" s="43" t="s">
        <v>964</v>
      </c>
      <c r="L122" s="43" t="s">
        <v>39</v>
      </c>
      <c r="M122" s="44" t="s">
        <v>39</v>
      </c>
      <c r="N122" s="45"/>
      <c r="O122" s="46"/>
      <c r="P122" s="46">
        <v>1</v>
      </c>
      <c r="Q122" s="42"/>
      <c r="S122" s="1">
        <f t="shared" si="35"/>
        <v>0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0</v>
      </c>
      <c r="AF122" s="1">
        <f t="shared" si="19"/>
        <v>0</v>
      </c>
      <c r="AG122" s="1">
        <f t="shared" si="20"/>
        <v>0</v>
      </c>
      <c r="AH122" s="1">
        <f t="shared" si="21"/>
        <v>1</v>
      </c>
      <c r="AI122" s="1">
        <f t="shared" si="22"/>
        <v>0</v>
      </c>
    </row>
    <row r="123" spans="1:35" ht="14.25" customHeight="1" x14ac:dyDescent="0.3">
      <c r="A123" s="15">
        <v>0</v>
      </c>
      <c r="B123" s="15">
        <v>1</v>
      </c>
      <c r="C123" s="15">
        <v>3</v>
      </c>
      <c r="D123" s="16" t="s">
        <v>106</v>
      </c>
      <c r="E123" s="16" t="s">
        <v>174</v>
      </c>
      <c r="F123" s="16" t="s">
        <v>938</v>
      </c>
      <c r="G123" s="16" t="s">
        <v>39</v>
      </c>
      <c r="H123" s="16" t="s">
        <v>361</v>
      </c>
      <c r="I123" s="15" t="s">
        <v>456</v>
      </c>
      <c r="J123" s="15">
        <v>18</v>
      </c>
      <c r="K123" s="10" t="s">
        <v>963</v>
      </c>
      <c r="L123" s="10" t="s">
        <v>704</v>
      </c>
      <c r="M123" s="19" t="s">
        <v>698</v>
      </c>
      <c r="N123" s="17"/>
      <c r="Q123" s="16" t="s">
        <v>1903</v>
      </c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0</v>
      </c>
      <c r="AF123" s="1">
        <f t="shared" si="19"/>
        <v>0</v>
      </c>
      <c r="AG123" s="1">
        <f t="shared" si="20"/>
        <v>0</v>
      </c>
      <c r="AH123" s="1">
        <f t="shared" si="21"/>
        <v>0</v>
      </c>
      <c r="AI123" s="1">
        <f t="shared" si="22"/>
        <v>1</v>
      </c>
    </row>
    <row r="124" spans="1:35" ht="14.25" customHeight="1" x14ac:dyDescent="0.3">
      <c r="A124" s="41">
        <v>0</v>
      </c>
      <c r="B124" s="41">
        <v>1</v>
      </c>
      <c r="C124" s="41">
        <v>3</v>
      </c>
      <c r="D124" s="42" t="s">
        <v>1523</v>
      </c>
      <c r="E124" s="42" t="s">
        <v>1667</v>
      </c>
      <c r="F124" s="42" t="s">
        <v>1525</v>
      </c>
      <c r="G124" s="42" t="s">
        <v>39</v>
      </c>
      <c r="H124" s="42" t="s">
        <v>1526</v>
      </c>
      <c r="I124" s="41" t="s">
        <v>1524</v>
      </c>
      <c r="J124" s="41">
        <v>14</v>
      </c>
      <c r="K124" s="43" t="s">
        <v>969</v>
      </c>
      <c r="L124" s="43" t="s">
        <v>693</v>
      </c>
      <c r="M124" s="44" t="s">
        <v>1410</v>
      </c>
      <c r="N124" s="45"/>
      <c r="O124" s="46"/>
      <c r="P124" s="46">
        <v>1</v>
      </c>
      <c r="Q124" s="42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1</v>
      </c>
      <c r="AI124" s="1">
        <f t="shared" si="22"/>
        <v>0</v>
      </c>
    </row>
    <row r="125" spans="1:35" ht="14.25" customHeight="1" x14ac:dyDescent="0.3">
      <c r="A125" s="47">
        <v>0</v>
      </c>
      <c r="B125" s="47">
        <v>1</v>
      </c>
      <c r="C125" s="47">
        <v>3</v>
      </c>
      <c r="D125" s="48" t="s">
        <v>1270</v>
      </c>
      <c r="E125" s="48" t="s">
        <v>174</v>
      </c>
      <c r="F125" s="48" t="s">
        <v>1271</v>
      </c>
      <c r="G125" s="48" t="s">
        <v>1273</v>
      </c>
      <c r="H125" s="48" t="s">
        <v>357</v>
      </c>
      <c r="I125" s="47" t="s">
        <v>1272</v>
      </c>
      <c r="J125" s="47">
        <v>99</v>
      </c>
      <c r="K125" s="49" t="s">
        <v>965</v>
      </c>
      <c r="L125" s="49" t="s">
        <v>700</v>
      </c>
      <c r="M125" s="50" t="s">
        <v>978</v>
      </c>
      <c r="N125" s="50" t="s">
        <v>1817</v>
      </c>
      <c r="O125" s="51"/>
      <c r="P125" s="51"/>
      <c r="Q125" s="48"/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0</v>
      </c>
      <c r="AI125" s="1">
        <f t="shared" si="22"/>
        <v>1</v>
      </c>
    </row>
    <row r="126" spans="1:35" ht="14.25" customHeight="1" x14ac:dyDescent="0.3">
      <c r="A126" s="15">
        <v>0</v>
      </c>
      <c r="B126" s="15">
        <v>1</v>
      </c>
      <c r="C126" s="15">
        <v>3</v>
      </c>
      <c r="D126" s="16" t="s">
        <v>1517</v>
      </c>
      <c r="E126" s="16" t="s">
        <v>174</v>
      </c>
      <c r="F126" s="16" t="s">
        <v>1518</v>
      </c>
      <c r="G126" s="16" t="s">
        <v>39</v>
      </c>
      <c r="H126" s="16" t="s">
        <v>368</v>
      </c>
      <c r="I126" s="15" t="s">
        <v>1519</v>
      </c>
      <c r="J126" s="15">
        <v>18</v>
      </c>
      <c r="K126" s="10" t="s">
        <v>963</v>
      </c>
      <c r="L126" s="10" t="s">
        <v>1757</v>
      </c>
      <c r="M126" s="19" t="s">
        <v>39</v>
      </c>
      <c r="N126" s="17"/>
      <c r="Q126" s="16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0</v>
      </c>
      <c r="AE126" s="1">
        <f t="shared" si="46"/>
        <v>0</v>
      </c>
      <c r="AF126" s="1">
        <f t="shared" si="19"/>
        <v>0</v>
      </c>
      <c r="AG126" s="1">
        <f t="shared" si="20"/>
        <v>0</v>
      </c>
      <c r="AH126" s="1">
        <f t="shared" si="21"/>
        <v>0</v>
      </c>
      <c r="AI126" s="1">
        <f t="shared" si="22"/>
        <v>1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1638</v>
      </c>
      <c r="E127" s="16" t="s">
        <v>174</v>
      </c>
      <c r="F127" s="16" t="s">
        <v>1641</v>
      </c>
      <c r="G127" s="16" t="s">
        <v>39</v>
      </c>
      <c r="H127" s="16" t="s">
        <v>1639</v>
      </c>
      <c r="I127" s="15" t="s">
        <v>1640</v>
      </c>
      <c r="J127" s="15">
        <v>15</v>
      </c>
      <c r="K127" s="10" t="s">
        <v>729</v>
      </c>
      <c r="L127" s="10" t="s">
        <v>39</v>
      </c>
      <c r="M127" s="19" t="s">
        <v>39</v>
      </c>
      <c r="N127" s="17"/>
      <c r="Q127" s="16"/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3">
      <c r="A128" s="15">
        <v>0</v>
      </c>
      <c r="B128" s="15">
        <v>1</v>
      </c>
      <c r="C128" s="15">
        <v>3</v>
      </c>
      <c r="D128" s="16" t="s">
        <v>1258</v>
      </c>
      <c r="E128" s="16" t="s">
        <v>1260</v>
      </c>
      <c r="F128" s="16" t="s">
        <v>1261</v>
      </c>
      <c r="G128" s="16" t="s">
        <v>39</v>
      </c>
      <c r="H128" s="16" t="s">
        <v>372</v>
      </c>
      <c r="I128" s="15" t="s">
        <v>1259</v>
      </c>
      <c r="J128" s="15">
        <v>14</v>
      </c>
      <c r="K128" s="10" t="s">
        <v>965</v>
      </c>
      <c r="L128" s="10" t="s">
        <v>693</v>
      </c>
      <c r="M128" s="19" t="s">
        <v>1410</v>
      </c>
      <c r="N128" s="17"/>
      <c r="Q128" s="16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0</v>
      </c>
      <c r="AI128" s="1">
        <f t="shared" si="22"/>
        <v>1</v>
      </c>
    </row>
    <row r="129" spans="1:35" ht="14.25" customHeight="1" x14ac:dyDescent="0.3">
      <c r="A129" s="34">
        <v>0</v>
      </c>
      <c r="B129" s="34">
        <v>1</v>
      </c>
      <c r="C129" s="34">
        <v>3</v>
      </c>
      <c r="D129" s="35" t="s">
        <v>131</v>
      </c>
      <c r="E129" s="35" t="s">
        <v>178</v>
      </c>
      <c r="F129" s="35" t="s">
        <v>334</v>
      </c>
      <c r="G129" s="35" t="s">
        <v>184</v>
      </c>
      <c r="H129" s="35" t="s">
        <v>357</v>
      </c>
      <c r="I129" s="34" t="s">
        <v>483</v>
      </c>
      <c r="J129" s="34">
        <v>99</v>
      </c>
      <c r="K129" s="36" t="s">
        <v>964</v>
      </c>
      <c r="L129" s="36" t="s">
        <v>39</v>
      </c>
      <c r="M129" s="37" t="s">
        <v>39</v>
      </c>
      <c r="N129" s="37" t="s">
        <v>1748</v>
      </c>
      <c r="O129" s="38">
        <v>1</v>
      </c>
      <c r="P129" s="38">
        <v>1</v>
      </c>
      <c r="Q129" s="35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1</v>
      </c>
      <c r="AE129" s="1">
        <f t="shared" si="46"/>
        <v>0</v>
      </c>
      <c r="AF129" s="1">
        <f t="shared" si="19"/>
        <v>1</v>
      </c>
      <c r="AG129" s="1">
        <f t="shared" si="20"/>
        <v>0</v>
      </c>
      <c r="AH129" s="1">
        <f t="shared" si="21"/>
        <v>1</v>
      </c>
      <c r="AI129" s="1">
        <f t="shared" si="22"/>
        <v>0</v>
      </c>
    </row>
    <row r="130" spans="1:35" ht="14.25" customHeight="1" x14ac:dyDescent="0.3">
      <c r="A130" s="34">
        <v>0</v>
      </c>
      <c r="B130" s="34">
        <v>1</v>
      </c>
      <c r="C130" s="34">
        <v>3</v>
      </c>
      <c r="D130" s="35" t="s">
        <v>928</v>
      </c>
      <c r="E130" s="35" t="s">
        <v>174</v>
      </c>
      <c r="F130" s="35" t="s">
        <v>940</v>
      </c>
      <c r="G130" s="35" t="s">
        <v>237</v>
      </c>
      <c r="H130" s="35" t="s">
        <v>357</v>
      </c>
      <c r="I130" s="34" t="s">
        <v>954</v>
      </c>
      <c r="J130" s="34">
        <v>99</v>
      </c>
      <c r="K130" s="36" t="s">
        <v>729</v>
      </c>
      <c r="L130" s="36">
        <v>45</v>
      </c>
      <c r="M130" s="37" t="s">
        <v>39</v>
      </c>
      <c r="N130" s="37" t="s">
        <v>1816</v>
      </c>
      <c r="O130" s="38">
        <v>1</v>
      </c>
      <c r="P130" s="38"/>
      <c r="Q130" s="35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1</v>
      </c>
      <c r="AF130" s="1">
        <f t="shared" si="19"/>
        <v>0</v>
      </c>
      <c r="AG130" s="1">
        <f t="shared" si="20"/>
        <v>1</v>
      </c>
      <c r="AH130" s="1">
        <f t="shared" si="21"/>
        <v>0</v>
      </c>
      <c r="AI130" s="1">
        <f t="shared" si="22"/>
        <v>1</v>
      </c>
    </row>
    <row r="131" spans="1:35" ht="14.25" customHeight="1" x14ac:dyDescent="0.3">
      <c r="A131" s="47">
        <v>0</v>
      </c>
      <c r="B131" s="47">
        <v>1</v>
      </c>
      <c r="C131" s="47">
        <v>3</v>
      </c>
      <c r="D131" s="48" t="s">
        <v>79</v>
      </c>
      <c r="E131" s="48" t="s">
        <v>615</v>
      </c>
      <c r="F131" s="48" t="s">
        <v>311</v>
      </c>
      <c r="G131" s="48" t="s">
        <v>39</v>
      </c>
      <c r="H131" s="48" t="s">
        <v>365</v>
      </c>
      <c r="I131" s="47" t="s">
        <v>461</v>
      </c>
      <c r="J131" s="47">
        <v>12</v>
      </c>
      <c r="K131" s="49" t="s">
        <v>710</v>
      </c>
      <c r="L131" s="49">
        <v>40</v>
      </c>
      <c r="M131" s="50" t="s">
        <v>978</v>
      </c>
      <c r="N131" s="50" t="s">
        <v>1817</v>
      </c>
      <c r="O131" s="51"/>
      <c r="P131" s="51"/>
      <c r="Q131" s="48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19"/>
        <v>0</v>
      </c>
      <c r="AG131" s="1">
        <f t="shared" si="20"/>
        <v>0</v>
      </c>
      <c r="AH131" s="1">
        <f t="shared" si="21"/>
        <v>0</v>
      </c>
      <c r="AI131" s="1">
        <f t="shared" si="22"/>
        <v>1</v>
      </c>
    </row>
    <row r="132" spans="1:35" ht="14.25" customHeight="1" x14ac:dyDescent="0.3">
      <c r="A132" s="15">
        <v>0</v>
      </c>
      <c r="B132" s="15">
        <v>1</v>
      </c>
      <c r="C132" s="15">
        <v>3</v>
      </c>
      <c r="D132" s="16" t="s">
        <v>1597</v>
      </c>
      <c r="E132" s="16" t="s">
        <v>172</v>
      </c>
      <c r="F132" s="16" t="s">
        <v>1599</v>
      </c>
      <c r="G132" s="16"/>
      <c r="H132" s="16" t="s">
        <v>368</v>
      </c>
      <c r="I132" s="15" t="s">
        <v>1598</v>
      </c>
      <c r="J132" s="15">
        <v>18</v>
      </c>
      <c r="K132" s="10" t="s">
        <v>710</v>
      </c>
      <c r="L132" s="10" t="s">
        <v>694</v>
      </c>
      <c r="M132" s="19" t="s">
        <v>978</v>
      </c>
      <c r="N132" s="17"/>
      <c r="Q132" s="16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3">
      <c r="A133" s="34">
        <v>0</v>
      </c>
      <c r="B133" s="34">
        <v>1</v>
      </c>
      <c r="C133" s="34">
        <v>3</v>
      </c>
      <c r="D133" s="35" t="s">
        <v>1301</v>
      </c>
      <c r="E133" s="35" t="s">
        <v>174</v>
      </c>
      <c r="F133" s="35" t="s">
        <v>1302</v>
      </c>
      <c r="G133" s="35" t="s">
        <v>240</v>
      </c>
      <c r="H133" s="35" t="s">
        <v>357</v>
      </c>
      <c r="I133" s="34" t="s">
        <v>1303</v>
      </c>
      <c r="J133" s="34">
        <v>4</v>
      </c>
      <c r="K133" s="36" t="s">
        <v>964</v>
      </c>
      <c r="L133" s="36" t="s">
        <v>39</v>
      </c>
      <c r="M133" s="37" t="s">
        <v>39</v>
      </c>
      <c r="N133" s="37" t="s">
        <v>1742</v>
      </c>
      <c r="O133" s="38">
        <v>1</v>
      </c>
      <c r="P133" s="38">
        <v>1</v>
      </c>
      <c r="Q133" s="35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1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19"/>
        <v>1</v>
      </c>
      <c r="AG133" s="1">
        <f t="shared" si="20"/>
        <v>0</v>
      </c>
      <c r="AH133" s="1">
        <f t="shared" si="21"/>
        <v>1</v>
      </c>
      <c r="AI133" s="1">
        <f t="shared" si="22"/>
        <v>0</v>
      </c>
    </row>
    <row r="134" spans="1:35" ht="14.25" customHeight="1" x14ac:dyDescent="0.3">
      <c r="A134" s="34">
        <v>0</v>
      </c>
      <c r="B134" s="34">
        <v>1</v>
      </c>
      <c r="C134" s="34">
        <v>3</v>
      </c>
      <c r="D134" s="35" t="s">
        <v>653</v>
      </c>
      <c r="E134" s="35" t="s">
        <v>174</v>
      </c>
      <c r="F134" s="35" t="s">
        <v>663</v>
      </c>
      <c r="G134" s="35" t="s">
        <v>234</v>
      </c>
      <c r="H134" s="35" t="s">
        <v>357</v>
      </c>
      <c r="I134" s="34" t="s">
        <v>617</v>
      </c>
      <c r="J134" s="34">
        <v>99</v>
      </c>
      <c r="K134" s="36" t="s">
        <v>709</v>
      </c>
      <c r="L134" s="36" t="s">
        <v>39</v>
      </c>
      <c r="M134" s="37" t="s">
        <v>39</v>
      </c>
      <c r="N134" s="37" t="s">
        <v>1748</v>
      </c>
      <c r="O134" s="38">
        <v>1</v>
      </c>
      <c r="P134" s="38">
        <v>1</v>
      </c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1</v>
      </c>
      <c r="AE134" s="1">
        <f t="shared" si="46"/>
        <v>0</v>
      </c>
      <c r="AF134" s="1">
        <f t="shared" si="19"/>
        <v>1</v>
      </c>
      <c r="AG134" s="1">
        <f t="shared" si="20"/>
        <v>0</v>
      </c>
      <c r="AH134" s="1">
        <f t="shared" si="21"/>
        <v>1</v>
      </c>
      <c r="AI134" s="1">
        <f t="shared" si="22"/>
        <v>0</v>
      </c>
    </row>
    <row r="135" spans="1:35" ht="14.25" customHeight="1" x14ac:dyDescent="0.3">
      <c r="A135" s="41">
        <v>0</v>
      </c>
      <c r="B135" s="41">
        <v>1</v>
      </c>
      <c r="C135" s="41">
        <v>3</v>
      </c>
      <c r="D135" s="42" t="s">
        <v>880</v>
      </c>
      <c r="E135" s="42" t="s">
        <v>881</v>
      </c>
      <c r="F135" s="42" t="s">
        <v>882</v>
      </c>
      <c r="G135" s="42" t="s">
        <v>39</v>
      </c>
      <c r="H135" s="42" t="s">
        <v>369</v>
      </c>
      <c r="I135" s="41" t="s">
        <v>883</v>
      </c>
      <c r="J135" s="41">
        <v>18</v>
      </c>
      <c r="K135" s="43" t="s">
        <v>963</v>
      </c>
      <c r="L135" s="43" t="s">
        <v>39</v>
      </c>
      <c r="M135" s="44" t="s">
        <v>39</v>
      </c>
      <c r="N135" s="45"/>
      <c r="O135" s="46"/>
      <c r="P135" s="46">
        <v>1</v>
      </c>
      <c r="Q135" s="42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19"/>
        <v>0</v>
      </c>
      <c r="AG135" s="1">
        <f t="shared" si="20"/>
        <v>0</v>
      </c>
      <c r="AH135" s="1">
        <f t="shared" si="21"/>
        <v>1</v>
      </c>
      <c r="AI135" s="1">
        <f t="shared" si="22"/>
        <v>0</v>
      </c>
    </row>
    <row r="136" spans="1:35" ht="14.25" customHeight="1" x14ac:dyDescent="0.3">
      <c r="A136" s="34">
        <v>0</v>
      </c>
      <c r="B136" s="34">
        <v>1</v>
      </c>
      <c r="C136" s="34">
        <v>3</v>
      </c>
      <c r="D136" s="35" t="s">
        <v>1321</v>
      </c>
      <c r="E136" s="35" t="s">
        <v>174</v>
      </c>
      <c r="F136" s="35" t="s">
        <v>1322</v>
      </c>
      <c r="G136" s="35" t="s">
        <v>210</v>
      </c>
      <c r="H136" s="35" t="s">
        <v>357</v>
      </c>
      <c r="I136" s="34" t="s">
        <v>1323</v>
      </c>
      <c r="J136" s="34">
        <v>3</v>
      </c>
      <c r="K136" s="36" t="s">
        <v>963</v>
      </c>
      <c r="L136" s="36" t="s">
        <v>39</v>
      </c>
      <c r="M136" s="37" t="s">
        <v>39</v>
      </c>
      <c r="N136" s="37" t="s">
        <v>1748</v>
      </c>
      <c r="O136" s="38">
        <v>1</v>
      </c>
      <c r="P136" s="38">
        <v>1</v>
      </c>
      <c r="Q136" s="35"/>
      <c r="S136" s="1">
        <f t="shared" si="35"/>
        <v>0</v>
      </c>
      <c r="T136" s="1">
        <f t="shared" si="36"/>
        <v>0</v>
      </c>
      <c r="U136" s="1">
        <f t="shared" si="37"/>
        <v>1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1</v>
      </c>
      <c r="AE136" s="1">
        <f t="shared" si="46"/>
        <v>0</v>
      </c>
      <c r="AF136" s="1">
        <f t="shared" ref="AF136:AF199" si="59">+O136*P136*(1-A136)</f>
        <v>1</v>
      </c>
      <c r="AG136" s="1">
        <f t="shared" ref="AG136:AG199" si="60">O136*(1-P136)*(1-A136)</f>
        <v>0</v>
      </c>
      <c r="AH136" s="1">
        <f t="shared" ref="AH136:AH199" si="61">+P136*(1-A136)</f>
        <v>1</v>
      </c>
      <c r="AI136" s="1">
        <f t="shared" ref="AI136:AI199" si="62">+(1-A136)*(1-P136)</f>
        <v>0</v>
      </c>
    </row>
    <row r="137" spans="1:35" ht="14.25" customHeight="1" x14ac:dyDescent="0.3">
      <c r="A137" s="47">
        <v>0</v>
      </c>
      <c r="B137" s="47">
        <v>1</v>
      </c>
      <c r="C137" s="47">
        <v>3</v>
      </c>
      <c r="D137" s="48" t="s">
        <v>874</v>
      </c>
      <c r="E137" s="48" t="s">
        <v>172</v>
      </c>
      <c r="F137" s="48" t="s">
        <v>875</v>
      </c>
      <c r="G137" s="48" t="s">
        <v>39</v>
      </c>
      <c r="H137" s="48" t="s">
        <v>876</v>
      </c>
      <c r="I137" s="47" t="s">
        <v>955</v>
      </c>
      <c r="J137" s="47">
        <v>11</v>
      </c>
      <c r="K137" s="49" t="s">
        <v>709</v>
      </c>
      <c r="L137" s="49" t="s">
        <v>696</v>
      </c>
      <c r="M137" s="50" t="s">
        <v>978</v>
      </c>
      <c r="N137" s="50" t="s">
        <v>1756</v>
      </c>
      <c r="O137" s="51"/>
      <c r="P137" s="51"/>
      <c r="Q137" s="48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0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0</v>
      </c>
      <c r="AE137" s="1">
        <f t="shared" si="46"/>
        <v>0</v>
      </c>
      <c r="AF137" s="1">
        <f t="shared" si="59"/>
        <v>0</v>
      </c>
      <c r="AG137" s="1">
        <f t="shared" si="60"/>
        <v>0</v>
      </c>
      <c r="AH137" s="1">
        <f t="shared" si="61"/>
        <v>0</v>
      </c>
      <c r="AI137" s="1">
        <f t="shared" si="62"/>
        <v>1</v>
      </c>
    </row>
    <row r="138" spans="1:35" ht="14.25" customHeight="1" x14ac:dyDescent="0.3">
      <c r="A138" s="47">
        <v>0</v>
      </c>
      <c r="B138" s="47">
        <v>1</v>
      </c>
      <c r="C138" s="47">
        <v>3</v>
      </c>
      <c r="D138" s="48" t="s">
        <v>511</v>
      </c>
      <c r="E138" s="48" t="s">
        <v>172</v>
      </c>
      <c r="F138" s="48" t="s">
        <v>512</v>
      </c>
      <c r="G138" s="48" t="s">
        <v>509</v>
      </c>
      <c r="H138" s="48" t="s">
        <v>357</v>
      </c>
      <c r="I138" s="47" t="s">
        <v>513</v>
      </c>
      <c r="J138" s="47">
        <v>99</v>
      </c>
      <c r="K138" s="49" t="s">
        <v>710</v>
      </c>
      <c r="L138" s="49">
        <v>40</v>
      </c>
      <c r="M138" s="50" t="s">
        <v>978</v>
      </c>
      <c r="N138" s="50" t="s">
        <v>1762</v>
      </c>
      <c r="O138" s="51"/>
      <c r="P138" s="51"/>
      <c r="Q138" s="48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0</v>
      </c>
      <c r="AE138" s="1">
        <f t="shared" si="46"/>
        <v>0</v>
      </c>
      <c r="AF138" s="1">
        <f t="shared" si="59"/>
        <v>0</v>
      </c>
      <c r="AG138" s="1">
        <f t="shared" si="60"/>
        <v>0</v>
      </c>
      <c r="AH138" s="1">
        <f t="shared" si="61"/>
        <v>0</v>
      </c>
      <c r="AI138" s="1">
        <f t="shared" si="62"/>
        <v>1</v>
      </c>
    </row>
    <row r="139" spans="1:35" ht="14.25" customHeight="1" x14ac:dyDescent="0.3">
      <c r="A139" s="34">
        <v>0</v>
      </c>
      <c r="B139" s="34">
        <v>1</v>
      </c>
      <c r="C139" s="34">
        <v>3</v>
      </c>
      <c r="D139" s="39" t="s">
        <v>1807</v>
      </c>
      <c r="E139" s="39" t="s">
        <v>1808</v>
      </c>
      <c r="F139" s="39" t="s">
        <v>1809</v>
      </c>
      <c r="G139" s="39" t="s">
        <v>1810</v>
      </c>
      <c r="H139" s="39" t="s">
        <v>357</v>
      </c>
      <c r="I139" s="40" t="s">
        <v>1811</v>
      </c>
      <c r="J139" s="34">
        <v>99</v>
      </c>
      <c r="K139" s="36" t="s">
        <v>710</v>
      </c>
      <c r="L139" s="36"/>
      <c r="M139" s="37"/>
      <c r="N139" s="37" t="s">
        <v>1748</v>
      </c>
      <c r="O139" s="38">
        <v>1</v>
      </c>
      <c r="P139" s="38">
        <v>1</v>
      </c>
      <c r="Q139" s="39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1</v>
      </c>
      <c r="AE139" s="1">
        <f t="shared" si="46"/>
        <v>0</v>
      </c>
      <c r="AF139" s="1">
        <f t="shared" si="59"/>
        <v>1</v>
      </c>
      <c r="AG139" s="1">
        <f t="shared" si="60"/>
        <v>0</v>
      </c>
      <c r="AH139" s="1">
        <f t="shared" si="61"/>
        <v>1</v>
      </c>
      <c r="AI139" s="1">
        <f t="shared" si="62"/>
        <v>0</v>
      </c>
    </row>
    <row r="140" spans="1:35" ht="14.25" customHeight="1" x14ac:dyDescent="0.3">
      <c r="A140" s="34">
        <v>0</v>
      </c>
      <c r="B140" s="34">
        <v>1</v>
      </c>
      <c r="C140" s="34">
        <v>3</v>
      </c>
      <c r="D140" s="35" t="s">
        <v>534</v>
      </c>
      <c r="E140" s="35" t="s">
        <v>172</v>
      </c>
      <c r="F140" s="35" t="s">
        <v>664</v>
      </c>
      <c r="G140" s="35" t="s">
        <v>39</v>
      </c>
      <c r="H140" s="35" t="s">
        <v>535</v>
      </c>
      <c r="I140" s="34" t="s">
        <v>536</v>
      </c>
      <c r="J140" s="34">
        <v>18</v>
      </c>
      <c r="K140" s="36" t="s">
        <v>963</v>
      </c>
      <c r="L140" s="36" t="s">
        <v>1757</v>
      </c>
      <c r="M140" s="37" t="s">
        <v>977</v>
      </c>
      <c r="N140" s="37" t="s">
        <v>1748</v>
      </c>
      <c r="O140" s="38">
        <v>1</v>
      </c>
      <c r="P140" s="38">
        <v>1</v>
      </c>
      <c r="Q140" s="35"/>
      <c r="S140" s="1">
        <f t="shared" si="35"/>
        <v>0</v>
      </c>
      <c r="T140" s="1">
        <f t="shared" si="36"/>
        <v>0</v>
      </c>
      <c r="U140" s="1">
        <f t="shared" si="37"/>
        <v>0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59"/>
        <v>1</v>
      </c>
      <c r="AG140" s="1">
        <f t="shared" si="60"/>
        <v>0</v>
      </c>
      <c r="AH140" s="1">
        <f t="shared" si="61"/>
        <v>1</v>
      </c>
      <c r="AI140" s="1">
        <f t="shared" si="62"/>
        <v>0</v>
      </c>
    </row>
    <row r="141" spans="1:35" ht="14.25" customHeight="1" x14ac:dyDescent="0.3">
      <c r="A141" s="47">
        <v>0</v>
      </c>
      <c r="B141" s="47">
        <v>1</v>
      </c>
      <c r="C141" s="47">
        <v>3</v>
      </c>
      <c r="D141" s="48" t="s">
        <v>982</v>
      </c>
      <c r="E141" s="48" t="s">
        <v>177</v>
      </c>
      <c r="F141" s="48" t="s">
        <v>812</v>
      </c>
      <c r="G141" s="48" t="s">
        <v>39</v>
      </c>
      <c r="H141" s="48" t="s">
        <v>813</v>
      </c>
      <c r="I141" s="47" t="s">
        <v>814</v>
      </c>
      <c r="J141" s="47">
        <v>16</v>
      </c>
      <c r="K141" s="49" t="s">
        <v>964</v>
      </c>
      <c r="L141" s="49" t="s">
        <v>1153</v>
      </c>
      <c r="M141" s="50" t="s">
        <v>977</v>
      </c>
      <c r="N141" s="50" t="s">
        <v>1754</v>
      </c>
      <c r="O141" s="51"/>
      <c r="P141" s="51"/>
      <c r="Q141" s="48"/>
      <c r="S141" s="1">
        <f t="shared" ref="S141:S204" si="63">IF(J141=$S$7,1,0)</f>
        <v>0</v>
      </c>
      <c r="T141" s="1">
        <f t="shared" ref="T141:T204" si="64">IF(J141=$T$7,1,0)</f>
        <v>0</v>
      </c>
      <c r="U141" s="1">
        <f t="shared" ref="U141:U204" si="65">IF(J141=$U$7,1,0)</f>
        <v>0</v>
      </c>
      <c r="V141" s="1">
        <f t="shared" ref="V141:V204" si="66">IF(J141=$V$7,1,0)</f>
        <v>0</v>
      </c>
      <c r="W141" s="1">
        <f t="shared" ref="W141:W204" si="67">IF(J141=$W$7,1,0)</f>
        <v>0</v>
      </c>
      <c r="X141" s="1">
        <f t="shared" ref="X141:X204" si="68">IF(J141=$X$7,1,0)</f>
        <v>0</v>
      </c>
      <c r="Y141" s="1">
        <f t="shared" ref="Y141:Y204" si="69">IF(J141=$Y$7,1,0)</f>
        <v>0</v>
      </c>
      <c r="Z141" s="1">
        <f t="shared" ref="Z141:Z204" si="70">IF(J141=$Z$7,1,0)</f>
        <v>0</v>
      </c>
      <c r="AA141" s="1">
        <f t="shared" ref="AA141:AA204" si="71">IF(J141=$AA$7,1,0)</f>
        <v>0</v>
      </c>
      <c r="AB141" s="1">
        <f t="shared" ref="AB141:AB204" si="72">IF(J141=$AB$7,1,0)</f>
        <v>0</v>
      </c>
      <c r="AD141" s="1">
        <f t="shared" ref="AD141:AD204" si="73">+O141*P141</f>
        <v>0</v>
      </c>
      <c r="AE141" s="1">
        <f t="shared" ref="AE141:AE204" si="74">O141*(1-P141)</f>
        <v>0</v>
      </c>
      <c r="AF141" s="1">
        <f t="shared" si="59"/>
        <v>0</v>
      </c>
      <c r="AG141" s="1">
        <f t="shared" si="60"/>
        <v>0</v>
      </c>
      <c r="AH141" s="1">
        <f t="shared" si="61"/>
        <v>0</v>
      </c>
      <c r="AI141" s="1">
        <f t="shared" si="62"/>
        <v>1</v>
      </c>
    </row>
    <row r="142" spans="1:35" ht="14.25" customHeight="1" x14ac:dyDescent="0.3">
      <c r="A142" s="34">
        <v>0</v>
      </c>
      <c r="B142" s="34">
        <v>1</v>
      </c>
      <c r="C142" s="34">
        <v>3</v>
      </c>
      <c r="D142" s="35" t="s">
        <v>1212</v>
      </c>
      <c r="E142" s="35" t="s">
        <v>174</v>
      </c>
      <c r="F142" s="35" t="s">
        <v>1213</v>
      </c>
      <c r="G142" s="35" t="s">
        <v>240</v>
      </c>
      <c r="H142" s="35" t="s">
        <v>357</v>
      </c>
      <c r="I142" s="34" t="s">
        <v>1214</v>
      </c>
      <c r="J142" s="34">
        <v>4</v>
      </c>
      <c r="K142" s="36" t="s">
        <v>970</v>
      </c>
      <c r="L142" s="36" t="s">
        <v>1714</v>
      </c>
      <c r="M142" s="37" t="s">
        <v>1619</v>
      </c>
      <c r="N142" s="37" t="s">
        <v>1742</v>
      </c>
      <c r="O142" s="38">
        <v>1</v>
      </c>
      <c r="P142" s="38">
        <v>1</v>
      </c>
      <c r="Q142" s="35"/>
      <c r="S142" s="1">
        <f t="shared" si="63"/>
        <v>0</v>
      </c>
      <c r="T142" s="1">
        <f t="shared" si="64"/>
        <v>0</v>
      </c>
      <c r="U142" s="1">
        <f t="shared" si="65"/>
        <v>0</v>
      </c>
      <c r="V142" s="1">
        <f t="shared" si="66"/>
        <v>1</v>
      </c>
      <c r="W142" s="1">
        <f t="shared" si="67"/>
        <v>0</v>
      </c>
      <c r="X142" s="1">
        <f t="shared" si="68"/>
        <v>0</v>
      </c>
      <c r="Y142" s="1">
        <f t="shared" si="69"/>
        <v>0</v>
      </c>
      <c r="Z142" s="1">
        <f t="shared" si="70"/>
        <v>0</v>
      </c>
      <c r="AA142" s="1">
        <f t="shared" si="71"/>
        <v>0</v>
      </c>
      <c r="AB142" s="1">
        <f t="shared" si="72"/>
        <v>0</v>
      </c>
      <c r="AD142" s="1">
        <f t="shared" si="73"/>
        <v>1</v>
      </c>
      <c r="AE142" s="1">
        <f t="shared" si="74"/>
        <v>0</v>
      </c>
      <c r="AF142" s="1">
        <f t="shared" si="59"/>
        <v>1</v>
      </c>
      <c r="AG142" s="1">
        <f t="shared" si="60"/>
        <v>0</v>
      </c>
      <c r="AH142" s="1">
        <f t="shared" si="61"/>
        <v>1</v>
      </c>
      <c r="AI142" s="1">
        <f t="shared" si="62"/>
        <v>0</v>
      </c>
    </row>
    <row r="143" spans="1:35" ht="14.25" customHeight="1" x14ac:dyDescent="0.3">
      <c r="A143" s="34">
        <v>0</v>
      </c>
      <c r="B143" s="34">
        <v>1</v>
      </c>
      <c r="C143" s="34">
        <v>3</v>
      </c>
      <c r="D143" s="35" t="s">
        <v>1656</v>
      </c>
      <c r="E143" s="35" t="s">
        <v>172</v>
      </c>
      <c r="F143" s="35" t="s">
        <v>1491</v>
      </c>
      <c r="G143" s="35" t="s">
        <v>1684</v>
      </c>
      <c r="H143" s="35" t="s">
        <v>357</v>
      </c>
      <c r="I143" s="34" t="s">
        <v>1490</v>
      </c>
      <c r="J143" s="34">
        <v>99</v>
      </c>
      <c r="K143" s="36" t="s">
        <v>709</v>
      </c>
      <c r="L143" s="36" t="s">
        <v>1719</v>
      </c>
      <c r="M143" s="37" t="s">
        <v>1492</v>
      </c>
      <c r="N143" s="37" t="s">
        <v>1764</v>
      </c>
      <c r="O143" s="38">
        <v>1</v>
      </c>
      <c r="P143" s="38"/>
      <c r="Q143" s="35"/>
      <c r="S143" s="1">
        <f t="shared" si="63"/>
        <v>0</v>
      </c>
      <c r="T143" s="1">
        <f t="shared" si="64"/>
        <v>0</v>
      </c>
      <c r="U143" s="1">
        <f t="shared" si="65"/>
        <v>0</v>
      </c>
      <c r="V143" s="1">
        <f t="shared" si="66"/>
        <v>0</v>
      </c>
      <c r="W143" s="1">
        <f t="shared" si="67"/>
        <v>0</v>
      </c>
      <c r="X143" s="1">
        <f t="shared" si="68"/>
        <v>0</v>
      </c>
      <c r="Y143" s="1">
        <f t="shared" si="69"/>
        <v>0</v>
      </c>
      <c r="Z143" s="1">
        <f t="shared" si="70"/>
        <v>0</v>
      </c>
      <c r="AA143" s="1">
        <f t="shared" si="71"/>
        <v>0</v>
      </c>
      <c r="AB143" s="1">
        <f t="shared" si="72"/>
        <v>0</v>
      </c>
      <c r="AD143" s="1">
        <f t="shared" si="73"/>
        <v>0</v>
      </c>
      <c r="AE143" s="1">
        <f t="shared" si="74"/>
        <v>1</v>
      </c>
      <c r="AF143" s="1">
        <f t="shared" si="59"/>
        <v>0</v>
      </c>
      <c r="AG143" s="1">
        <f t="shared" si="60"/>
        <v>1</v>
      </c>
      <c r="AH143" s="1">
        <f t="shared" si="61"/>
        <v>0</v>
      </c>
      <c r="AI143" s="1">
        <f t="shared" si="62"/>
        <v>1</v>
      </c>
    </row>
    <row r="144" spans="1:35" ht="14.25" customHeight="1" x14ac:dyDescent="0.3">
      <c r="A144" s="34">
        <v>0</v>
      </c>
      <c r="B144" s="34">
        <v>1</v>
      </c>
      <c r="C144" s="34">
        <v>3</v>
      </c>
      <c r="D144" s="35" t="s">
        <v>146</v>
      </c>
      <c r="E144" s="35" t="s">
        <v>174</v>
      </c>
      <c r="F144" s="35" t="s">
        <v>350</v>
      </c>
      <c r="G144" s="35" t="s">
        <v>39</v>
      </c>
      <c r="H144" s="35" t="s">
        <v>381</v>
      </c>
      <c r="I144" s="34" t="s">
        <v>1376</v>
      </c>
      <c r="J144" s="34">
        <v>14</v>
      </c>
      <c r="K144" s="36" t="s">
        <v>963</v>
      </c>
      <c r="L144" s="36" t="s">
        <v>696</v>
      </c>
      <c r="M144" s="37" t="s">
        <v>698</v>
      </c>
      <c r="N144" s="37" t="s">
        <v>1763</v>
      </c>
      <c r="O144" s="38">
        <v>1</v>
      </c>
      <c r="P144" s="38"/>
      <c r="Q144" s="35"/>
      <c r="S144" s="1">
        <f t="shared" si="63"/>
        <v>0</v>
      </c>
      <c r="T144" s="1">
        <f t="shared" si="64"/>
        <v>0</v>
      </c>
      <c r="U144" s="1">
        <f t="shared" si="65"/>
        <v>0</v>
      </c>
      <c r="V144" s="1">
        <f t="shared" si="66"/>
        <v>0</v>
      </c>
      <c r="W144" s="1">
        <f t="shared" si="67"/>
        <v>0</v>
      </c>
      <c r="X144" s="1">
        <f t="shared" si="68"/>
        <v>0</v>
      </c>
      <c r="Y144" s="1">
        <f t="shared" si="69"/>
        <v>0</v>
      </c>
      <c r="Z144" s="1">
        <f t="shared" si="70"/>
        <v>0</v>
      </c>
      <c r="AA144" s="1">
        <f t="shared" si="71"/>
        <v>0</v>
      </c>
      <c r="AB144" s="1">
        <f t="shared" si="72"/>
        <v>0</v>
      </c>
      <c r="AD144" s="1">
        <f t="shared" si="73"/>
        <v>0</v>
      </c>
      <c r="AE144" s="1">
        <f t="shared" si="74"/>
        <v>1</v>
      </c>
      <c r="AF144" s="1">
        <f t="shared" si="59"/>
        <v>0</v>
      </c>
      <c r="AG144" s="1">
        <f t="shared" si="60"/>
        <v>1</v>
      </c>
      <c r="AH144" s="1">
        <f t="shared" si="61"/>
        <v>0</v>
      </c>
      <c r="AI144" s="1">
        <f t="shared" si="62"/>
        <v>1</v>
      </c>
    </row>
    <row r="145" spans="1:35" ht="14.25" customHeight="1" x14ac:dyDescent="0.3">
      <c r="A145" s="34">
        <v>0</v>
      </c>
      <c r="B145" s="34">
        <v>1</v>
      </c>
      <c r="C145" s="34">
        <v>3</v>
      </c>
      <c r="D145" s="35" t="s">
        <v>1582</v>
      </c>
      <c r="E145" s="35" t="s">
        <v>174</v>
      </c>
      <c r="F145" s="35" t="s">
        <v>1583</v>
      </c>
      <c r="G145" s="35" t="s">
        <v>39</v>
      </c>
      <c r="H145" s="35" t="s">
        <v>1584</v>
      </c>
      <c r="I145" s="34" t="s">
        <v>1585</v>
      </c>
      <c r="J145" s="34">
        <v>17</v>
      </c>
      <c r="K145" s="36" t="s">
        <v>729</v>
      </c>
      <c r="L145" s="36" t="s">
        <v>39</v>
      </c>
      <c r="M145" s="37" t="s">
        <v>39</v>
      </c>
      <c r="N145" s="37" t="s">
        <v>1748</v>
      </c>
      <c r="O145" s="38">
        <v>1</v>
      </c>
      <c r="P145" s="38">
        <v>1</v>
      </c>
      <c r="Q145" s="35" t="s">
        <v>1928</v>
      </c>
      <c r="S145" s="1">
        <f t="shared" si="63"/>
        <v>0</v>
      </c>
      <c r="T145" s="1">
        <f t="shared" si="64"/>
        <v>0</v>
      </c>
      <c r="U145" s="1">
        <f t="shared" si="65"/>
        <v>0</v>
      </c>
      <c r="V145" s="1">
        <f t="shared" si="66"/>
        <v>0</v>
      </c>
      <c r="W145" s="1">
        <f t="shared" si="67"/>
        <v>0</v>
      </c>
      <c r="X145" s="1">
        <f t="shared" si="68"/>
        <v>0</v>
      </c>
      <c r="Y145" s="1">
        <f t="shared" si="69"/>
        <v>0</v>
      </c>
      <c r="Z145" s="1">
        <f t="shared" si="70"/>
        <v>0</v>
      </c>
      <c r="AA145" s="1">
        <f t="shared" si="71"/>
        <v>0</v>
      </c>
      <c r="AB145" s="1">
        <f t="shared" si="72"/>
        <v>0</v>
      </c>
      <c r="AD145" s="1">
        <f t="shared" si="73"/>
        <v>1</v>
      </c>
      <c r="AE145" s="1">
        <f t="shared" si="74"/>
        <v>0</v>
      </c>
      <c r="AF145" s="1">
        <f t="shared" si="59"/>
        <v>1</v>
      </c>
      <c r="AG145" s="1">
        <f t="shared" si="60"/>
        <v>0</v>
      </c>
      <c r="AH145" s="1">
        <f t="shared" si="61"/>
        <v>1</v>
      </c>
      <c r="AI145" s="1">
        <f t="shared" si="62"/>
        <v>0</v>
      </c>
    </row>
    <row r="146" spans="1:35" ht="14.25" customHeight="1" x14ac:dyDescent="0.3">
      <c r="A146" s="47">
        <v>0</v>
      </c>
      <c r="B146" s="47">
        <v>1</v>
      </c>
      <c r="C146" s="47">
        <v>3</v>
      </c>
      <c r="D146" s="48" t="s">
        <v>155</v>
      </c>
      <c r="E146" s="48" t="s">
        <v>174</v>
      </c>
      <c r="F146" s="48" t="s">
        <v>356</v>
      </c>
      <c r="G146" s="48" t="s">
        <v>39</v>
      </c>
      <c r="H146" s="68" t="s">
        <v>1884</v>
      </c>
      <c r="I146" s="47" t="s">
        <v>505</v>
      </c>
      <c r="J146" s="47">
        <v>14</v>
      </c>
      <c r="K146" s="49" t="s">
        <v>709</v>
      </c>
      <c r="L146" s="49" t="s">
        <v>696</v>
      </c>
      <c r="M146" s="50" t="s">
        <v>977</v>
      </c>
      <c r="N146" s="50" t="s">
        <v>1754</v>
      </c>
      <c r="O146" s="51"/>
      <c r="P146" s="51"/>
      <c r="Q146" s="68" t="s">
        <v>1911</v>
      </c>
      <c r="S146" s="1">
        <f t="shared" si="63"/>
        <v>0</v>
      </c>
      <c r="T146" s="1">
        <f t="shared" si="64"/>
        <v>0</v>
      </c>
      <c r="U146" s="1">
        <f t="shared" si="65"/>
        <v>0</v>
      </c>
      <c r="V146" s="1">
        <f t="shared" si="66"/>
        <v>0</v>
      </c>
      <c r="W146" s="1">
        <f t="shared" si="67"/>
        <v>0</v>
      </c>
      <c r="X146" s="1">
        <f t="shared" si="68"/>
        <v>0</v>
      </c>
      <c r="Y146" s="1">
        <f t="shared" si="69"/>
        <v>0</v>
      </c>
      <c r="Z146" s="1">
        <f t="shared" si="70"/>
        <v>0</v>
      </c>
      <c r="AA146" s="1">
        <f t="shared" si="71"/>
        <v>0</v>
      </c>
      <c r="AB146" s="1">
        <f t="shared" si="72"/>
        <v>0</v>
      </c>
      <c r="AD146" s="1">
        <f t="shared" si="73"/>
        <v>0</v>
      </c>
      <c r="AE146" s="1">
        <f t="shared" si="74"/>
        <v>0</v>
      </c>
      <c r="AF146" s="1">
        <f t="shared" si="59"/>
        <v>0</v>
      </c>
      <c r="AG146" s="1">
        <f t="shared" si="60"/>
        <v>0</v>
      </c>
      <c r="AH146" s="1">
        <f t="shared" si="61"/>
        <v>0</v>
      </c>
      <c r="AI146" s="1">
        <f t="shared" si="62"/>
        <v>1</v>
      </c>
    </row>
    <row r="147" spans="1:35" ht="14.25" customHeight="1" x14ac:dyDescent="0.3">
      <c r="A147" s="15">
        <v>0</v>
      </c>
      <c r="B147" s="15">
        <v>1</v>
      </c>
      <c r="C147" s="15">
        <v>3</v>
      </c>
      <c r="D147" s="16" t="s">
        <v>746</v>
      </c>
      <c r="E147" s="16" t="s">
        <v>174</v>
      </c>
      <c r="F147" s="16" t="s">
        <v>747</v>
      </c>
      <c r="G147" s="16" t="s">
        <v>39</v>
      </c>
      <c r="H147" s="16" t="s">
        <v>748</v>
      </c>
      <c r="I147" s="15" t="s">
        <v>749</v>
      </c>
      <c r="J147" s="15">
        <v>17</v>
      </c>
      <c r="K147" s="10" t="s">
        <v>729</v>
      </c>
      <c r="L147" s="10" t="s">
        <v>704</v>
      </c>
      <c r="M147" s="19" t="s">
        <v>698</v>
      </c>
      <c r="N147" s="17"/>
      <c r="Q147" s="16" t="s">
        <v>1902</v>
      </c>
      <c r="S147" s="1">
        <f t="shared" si="63"/>
        <v>0</v>
      </c>
      <c r="T147" s="1">
        <f t="shared" si="64"/>
        <v>0</v>
      </c>
      <c r="U147" s="1">
        <f t="shared" si="65"/>
        <v>0</v>
      </c>
      <c r="V147" s="1">
        <f t="shared" si="66"/>
        <v>0</v>
      </c>
      <c r="W147" s="1">
        <f t="shared" si="67"/>
        <v>0</v>
      </c>
      <c r="X147" s="1">
        <f t="shared" si="68"/>
        <v>0</v>
      </c>
      <c r="Y147" s="1">
        <f t="shared" si="69"/>
        <v>0</v>
      </c>
      <c r="Z147" s="1">
        <f t="shared" si="70"/>
        <v>0</v>
      </c>
      <c r="AA147" s="1">
        <f t="shared" si="71"/>
        <v>0</v>
      </c>
      <c r="AB147" s="1">
        <f t="shared" si="72"/>
        <v>0</v>
      </c>
      <c r="AD147" s="1">
        <f t="shared" si="73"/>
        <v>0</v>
      </c>
      <c r="AE147" s="1">
        <f t="shared" si="74"/>
        <v>0</v>
      </c>
      <c r="AF147" s="1">
        <f t="shared" si="59"/>
        <v>0</v>
      </c>
      <c r="AG147" s="1">
        <f t="shared" si="60"/>
        <v>0</v>
      </c>
      <c r="AH147" s="1">
        <f t="shared" si="61"/>
        <v>0</v>
      </c>
      <c r="AI147" s="1">
        <f t="shared" si="62"/>
        <v>1</v>
      </c>
    </row>
    <row r="148" spans="1:35" ht="14.25" customHeight="1" x14ac:dyDescent="0.3">
      <c r="A148" s="47">
        <v>0</v>
      </c>
      <c r="B148" s="47">
        <v>1</v>
      </c>
      <c r="C148" s="47">
        <v>3</v>
      </c>
      <c r="D148" s="48" t="s">
        <v>911</v>
      </c>
      <c r="E148" s="48" t="s">
        <v>174</v>
      </c>
      <c r="F148" s="48" t="s">
        <v>1106</v>
      </c>
      <c r="G148" s="48" t="s">
        <v>39</v>
      </c>
      <c r="H148" s="48" t="s">
        <v>913</v>
      </c>
      <c r="I148" s="47" t="s">
        <v>912</v>
      </c>
      <c r="J148" s="47">
        <v>11</v>
      </c>
      <c r="K148" s="49" t="s">
        <v>964</v>
      </c>
      <c r="L148" s="49">
        <v>60</v>
      </c>
      <c r="M148" s="50" t="s">
        <v>39</v>
      </c>
      <c r="N148" s="50" t="s">
        <v>1754</v>
      </c>
      <c r="O148" s="51"/>
      <c r="P148" s="51"/>
      <c r="Q148" s="48"/>
      <c r="S148" s="1">
        <f t="shared" si="63"/>
        <v>0</v>
      </c>
      <c r="T148" s="1">
        <f t="shared" si="64"/>
        <v>0</v>
      </c>
      <c r="U148" s="1">
        <f t="shared" si="65"/>
        <v>0</v>
      </c>
      <c r="V148" s="1">
        <f t="shared" si="66"/>
        <v>0</v>
      </c>
      <c r="W148" s="1">
        <f t="shared" si="67"/>
        <v>0</v>
      </c>
      <c r="X148" s="1">
        <f t="shared" si="68"/>
        <v>0</v>
      </c>
      <c r="Y148" s="1">
        <f t="shared" si="69"/>
        <v>0</v>
      </c>
      <c r="Z148" s="1">
        <f t="shared" si="70"/>
        <v>0</v>
      </c>
      <c r="AA148" s="1">
        <f t="shared" si="71"/>
        <v>0</v>
      </c>
      <c r="AB148" s="1">
        <f t="shared" si="72"/>
        <v>0</v>
      </c>
      <c r="AD148" s="1">
        <f t="shared" si="73"/>
        <v>0</v>
      </c>
      <c r="AE148" s="1">
        <f t="shared" si="74"/>
        <v>0</v>
      </c>
      <c r="AF148" s="1">
        <f t="shared" si="59"/>
        <v>0</v>
      </c>
      <c r="AG148" s="1">
        <f t="shared" si="60"/>
        <v>0</v>
      </c>
      <c r="AH148" s="1">
        <f t="shared" si="61"/>
        <v>0</v>
      </c>
      <c r="AI148" s="1">
        <f t="shared" si="62"/>
        <v>1</v>
      </c>
    </row>
    <row r="149" spans="1:35" ht="14.25" customHeight="1" x14ac:dyDescent="0.3">
      <c r="A149" s="47">
        <v>0</v>
      </c>
      <c r="B149" s="47">
        <v>1</v>
      </c>
      <c r="C149" s="47">
        <v>3</v>
      </c>
      <c r="D149" s="48" t="s">
        <v>124</v>
      </c>
      <c r="E149" s="48" t="s">
        <v>177</v>
      </c>
      <c r="F149" s="48" t="s">
        <v>327</v>
      </c>
      <c r="G149" s="48" t="s">
        <v>39</v>
      </c>
      <c r="H149" s="48" t="s">
        <v>366</v>
      </c>
      <c r="I149" s="47" t="s">
        <v>474</v>
      </c>
      <c r="J149" s="47">
        <v>14</v>
      </c>
      <c r="K149" s="49" t="s">
        <v>729</v>
      </c>
      <c r="L149" s="49" t="s">
        <v>700</v>
      </c>
      <c r="M149" s="50" t="s">
        <v>1393</v>
      </c>
      <c r="N149" s="50" t="s">
        <v>1824</v>
      </c>
      <c r="O149" s="51"/>
      <c r="P149" s="51"/>
      <c r="Q149" s="48"/>
      <c r="S149" s="1">
        <f t="shared" si="63"/>
        <v>0</v>
      </c>
      <c r="T149" s="1">
        <f t="shared" si="64"/>
        <v>0</v>
      </c>
      <c r="U149" s="1">
        <f t="shared" si="65"/>
        <v>0</v>
      </c>
      <c r="V149" s="1">
        <f t="shared" si="66"/>
        <v>0</v>
      </c>
      <c r="W149" s="1">
        <f t="shared" si="67"/>
        <v>0</v>
      </c>
      <c r="X149" s="1">
        <f t="shared" si="68"/>
        <v>0</v>
      </c>
      <c r="Y149" s="1">
        <f t="shared" si="69"/>
        <v>0</v>
      </c>
      <c r="Z149" s="1">
        <f t="shared" si="70"/>
        <v>0</v>
      </c>
      <c r="AA149" s="1">
        <f t="shared" si="71"/>
        <v>0</v>
      </c>
      <c r="AB149" s="1">
        <f t="shared" si="72"/>
        <v>0</v>
      </c>
      <c r="AD149" s="1">
        <f t="shared" si="73"/>
        <v>0</v>
      </c>
      <c r="AE149" s="1">
        <f t="shared" si="74"/>
        <v>0</v>
      </c>
      <c r="AF149" s="1">
        <f t="shared" si="59"/>
        <v>0</v>
      </c>
      <c r="AG149" s="1">
        <f t="shared" si="60"/>
        <v>0</v>
      </c>
      <c r="AH149" s="1">
        <f t="shared" si="61"/>
        <v>0</v>
      </c>
      <c r="AI149" s="1">
        <f t="shared" si="62"/>
        <v>1</v>
      </c>
    </row>
    <row r="150" spans="1:35" ht="14.25" customHeight="1" x14ac:dyDescent="0.3">
      <c r="A150" s="15">
        <v>0</v>
      </c>
      <c r="B150" s="15">
        <v>1</v>
      </c>
      <c r="C150" s="15">
        <v>3</v>
      </c>
      <c r="D150" s="16" t="s">
        <v>1183</v>
      </c>
      <c r="E150" s="16" t="s">
        <v>174</v>
      </c>
      <c r="F150" s="16" t="s">
        <v>1185</v>
      </c>
      <c r="G150" s="16" t="s">
        <v>774</v>
      </c>
      <c r="H150" s="16" t="s">
        <v>357</v>
      </c>
      <c r="I150" s="15" t="s">
        <v>1184</v>
      </c>
      <c r="J150" s="15">
        <v>99</v>
      </c>
      <c r="K150" s="10" t="s">
        <v>710</v>
      </c>
      <c r="L150" s="10">
        <v>30</v>
      </c>
      <c r="M150" s="19" t="s">
        <v>977</v>
      </c>
      <c r="N150" s="19"/>
      <c r="Q150" s="16"/>
      <c r="S150" s="1">
        <f t="shared" si="63"/>
        <v>0</v>
      </c>
      <c r="T150" s="1">
        <f t="shared" si="64"/>
        <v>0</v>
      </c>
      <c r="U150" s="1">
        <f t="shared" si="65"/>
        <v>0</v>
      </c>
      <c r="V150" s="1">
        <f t="shared" si="66"/>
        <v>0</v>
      </c>
      <c r="W150" s="1">
        <f t="shared" si="67"/>
        <v>0</v>
      </c>
      <c r="X150" s="1">
        <f t="shared" si="68"/>
        <v>0</v>
      </c>
      <c r="Y150" s="1">
        <f t="shared" si="69"/>
        <v>0</v>
      </c>
      <c r="Z150" s="1">
        <f t="shared" si="70"/>
        <v>0</v>
      </c>
      <c r="AA150" s="1">
        <f t="shared" si="71"/>
        <v>0</v>
      </c>
      <c r="AB150" s="1">
        <f t="shared" si="72"/>
        <v>0</v>
      </c>
      <c r="AD150" s="1">
        <f t="shared" si="73"/>
        <v>0</v>
      </c>
      <c r="AE150" s="1">
        <f t="shared" si="74"/>
        <v>0</v>
      </c>
      <c r="AF150" s="1">
        <f t="shared" si="59"/>
        <v>0</v>
      </c>
      <c r="AG150" s="1">
        <f t="shared" si="60"/>
        <v>0</v>
      </c>
      <c r="AH150" s="1">
        <f t="shared" si="61"/>
        <v>0</v>
      </c>
      <c r="AI150" s="1">
        <f t="shared" si="62"/>
        <v>1</v>
      </c>
    </row>
    <row r="151" spans="1:35" ht="14.25" customHeight="1" x14ac:dyDescent="0.3">
      <c r="A151" s="15">
        <v>0</v>
      </c>
      <c r="B151" s="15">
        <v>1</v>
      </c>
      <c r="C151" s="15">
        <v>3</v>
      </c>
      <c r="D151" s="16" t="s">
        <v>750</v>
      </c>
      <c r="E151" s="16" t="s">
        <v>172</v>
      </c>
      <c r="F151" s="16" t="s">
        <v>751</v>
      </c>
      <c r="G151" s="16" t="s">
        <v>39</v>
      </c>
      <c r="H151" s="16" t="s">
        <v>752</v>
      </c>
      <c r="I151" s="15" t="s">
        <v>753</v>
      </c>
      <c r="J151" s="15">
        <v>17</v>
      </c>
      <c r="K151" s="10" t="s">
        <v>710</v>
      </c>
      <c r="L151" s="10" t="s">
        <v>704</v>
      </c>
      <c r="M151" s="19" t="s">
        <v>978</v>
      </c>
      <c r="N151" s="17"/>
      <c r="Q151" s="16"/>
      <c r="S151" s="1">
        <f t="shared" si="63"/>
        <v>0</v>
      </c>
      <c r="T151" s="1">
        <f t="shared" si="64"/>
        <v>0</v>
      </c>
      <c r="U151" s="1">
        <f t="shared" si="65"/>
        <v>0</v>
      </c>
      <c r="V151" s="1">
        <f t="shared" si="66"/>
        <v>0</v>
      </c>
      <c r="W151" s="1">
        <f t="shared" si="67"/>
        <v>0</v>
      </c>
      <c r="X151" s="1">
        <f t="shared" si="68"/>
        <v>0</v>
      </c>
      <c r="Y151" s="1">
        <f t="shared" si="69"/>
        <v>0</v>
      </c>
      <c r="Z151" s="1">
        <f t="shared" si="70"/>
        <v>0</v>
      </c>
      <c r="AA151" s="1">
        <f t="shared" si="71"/>
        <v>0</v>
      </c>
      <c r="AB151" s="1">
        <f t="shared" si="72"/>
        <v>0</v>
      </c>
      <c r="AD151" s="1">
        <f t="shared" si="73"/>
        <v>0</v>
      </c>
      <c r="AE151" s="1">
        <f t="shared" si="74"/>
        <v>0</v>
      </c>
      <c r="AF151" s="1">
        <f t="shared" si="59"/>
        <v>0</v>
      </c>
      <c r="AG151" s="1">
        <f t="shared" si="60"/>
        <v>0</v>
      </c>
      <c r="AH151" s="1">
        <f t="shared" si="61"/>
        <v>0</v>
      </c>
      <c r="AI151" s="1">
        <f t="shared" si="62"/>
        <v>1</v>
      </c>
    </row>
    <row r="152" spans="1:35" ht="14.25" customHeight="1" x14ac:dyDescent="0.3">
      <c r="A152" s="47">
        <v>0</v>
      </c>
      <c r="B152" s="47">
        <v>1</v>
      </c>
      <c r="C152" s="47">
        <v>3</v>
      </c>
      <c r="D152" s="48" t="s">
        <v>841</v>
      </c>
      <c r="E152" s="48" t="s">
        <v>921</v>
      </c>
      <c r="F152" s="48" t="s">
        <v>842</v>
      </c>
      <c r="G152" s="48" t="s">
        <v>210</v>
      </c>
      <c r="H152" s="48" t="s">
        <v>357</v>
      </c>
      <c r="I152" s="47" t="s">
        <v>843</v>
      </c>
      <c r="J152" s="47">
        <v>3</v>
      </c>
      <c r="K152" s="49" t="s">
        <v>729</v>
      </c>
      <c r="L152" s="49" t="s">
        <v>700</v>
      </c>
      <c r="M152" s="50" t="s">
        <v>705</v>
      </c>
      <c r="N152" s="50" t="s">
        <v>1755</v>
      </c>
      <c r="O152" s="51"/>
      <c r="P152" s="51"/>
      <c r="Q152" s="48"/>
      <c r="S152" s="1">
        <f t="shared" si="63"/>
        <v>0</v>
      </c>
      <c r="T152" s="1">
        <f t="shared" si="64"/>
        <v>0</v>
      </c>
      <c r="U152" s="1">
        <f t="shared" si="65"/>
        <v>1</v>
      </c>
      <c r="V152" s="1">
        <f t="shared" si="66"/>
        <v>0</v>
      </c>
      <c r="W152" s="1">
        <f t="shared" si="67"/>
        <v>0</v>
      </c>
      <c r="X152" s="1">
        <f t="shared" si="68"/>
        <v>0</v>
      </c>
      <c r="Y152" s="1">
        <f t="shared" si="69"/>
        <v>0</v>
      </c>
      <c r="Z152" s="1">
        <f t="shared" si="70"/>
        <v>0</v>
      </c>
      <c r="AA152" s="1">
        <f t="shared" si="71"/>
        <v>0</v>
      </c>
      <c r="AB152" s="1">
        <f t="shared" si="72"/>
        <v>0</v>
      </c>
      <c r="AD152" s="1">
        <f t="shared" si="73"/>
        <v>0</v>
      </c>
      <c r="AE152" s="1">
        <f t="shared" si="74"/>
        <v>0</v>
      </c>
      <c r="AF152" s="1">
        <f t="shared" si="59"/>
        <v>0</v>
      </c>
      <c r="AG152" s="1">
        <f t="shared" si="60"/>
        <v>0</v>
      </c>
      <c r="AH152" s="1">
        <f t="shared" si="61"/>
        <v>0</v>
      </c>
      <c r="AI152" s="1">
        <f t="shared" si="62"/>
        <v>1</v>
      </c>
    </row>
    <row r="153" spans="1:35" ht="14.25" customHeight="1" x14ac:dyDescent="0.3">
      <c r="A153" s="47">
        <v>0</v>
      </c>
      <c r="B153" s="47">
        <v>1</v>
      </c>
      <c r="C153" s="47">
        <v>3</v>
      </c>
      <c r="D153" s="48" t="s">
        <v>1223</v>
      </c>
      <c r="E153" s="48" t="s">
        <v>174</v>
      </c>
      <c r="F153" s="48" t="s">
        <v>1225</v>
      </c>
      <c r="G153" s="48" t="s">
        <v>187</v>
      </c>
      <c r="H153" s="48" t="s">
        <v>357</v>
      </c>
      <c r="I153" s="47" t="s">
        <v>1224</v>
      </c>
      <c r="J153" s="47">
        <v>99</v>
      </c>
      <c r="K153" s="49" t="s">
        <v>965</v>
      </c>
      <c r="L153" s="49" t="s">
        <v>696</v>
      </c>
      <c r="M153" s="50" t="s">
        <v>978</v>
      </c>
      <c r="N153" s="50" t="s">
        <v>1749</v>
      </c>
      <c r="O153" s="51"/>
      <c r="P153" s="51"/>
      <c r="Q153" s="48"/>
      <c r="S153" s="1">
        <f t="shared" si="63"/>
        <v>0</v>
      </c>
      <c r="T153" s="1">
        <f t="shared" si="64"/>
        <v>0</v>
      </c>
      <c r="U153" s="1">
        <f t="shared" si="65"/>
        <v>0</v>
      </c>
      <c r="V153" s="1">
        <f t="shared" si="66"/>
        <v>0</v>
      </c>
      <c r="W153" s="1">
        <f t="shared" si="67"/>
        <v>0</v>
      </c>
      <c r="X153" s="1">
        <f t="shared" si="68"/>
        <v>0</v>
      </c>
      <c r="Y153" s="1">
        <f t="shared" si="69"/>
        <v>0</v>
      </c>
      <c r="Z153" s="1">
        <f t="shared" si="70"/>
        <v>0</v>
      </c>
      <c r="AA153" s="1">
        <f t="shared" si="71"/>
        <v>0</v>
      </c>
      <c r="AB153" s="1">
        <f t="shared" si="72"/>
        <v>0</v>
      </c>
      <c r="AD153" s="1">
        <f t="shared" si="73"/>
        <v>0</v>
      </c>
      <c r="AE153" s="1">
        <f t="shared" si="74"/>
        <v>0</v>
      </c>
      <c r="AF153" s="1">
        <f t="shared" si="59"/>
        <v>0</v>
      </c>
      <c r="AG153" s="1">
        <f t="shared" si="60"/>
        <v>0</v>
      </c>
      <c r="AH153" s="1">
        <f t="shared" si="61"/>
        <v>0</v>
      </c>
      <c r="AI153" s="1">
        <f t="shared" si="62"/>
        <v>1</v>
      </c>
    </row>
    <row r="154" spans="1:35" ht="14.25" customHeight="1" x14ac:dyDescent="0.3">
      <c r="A154" s="34">
        <v>0</v>
      </c>
      <c r="B154" s="34">
        <v>1</v>
      </c>
      <c r="C154" s="34">
        <v>3</v>
      </c>
      <c r="D154" s="35" t="s">
        <v>637</v>
      </c>
      <c r="E154" s="35" t="s">
        <v>172</v>
      </c>
      <c r="F154" s="35" t="s">
        <v>638</v>
      </c>
      <c r="G154" s="35" t="s">
        <v>196</v>
      </c>
      <c r="H154" s="35" t="s">
        <v>357</v>
      </c>
      <c r="I154" s="34" t="s">
        <v>639</v>
      </c>
      <c r="J154" s="34">
        <v>9</v>
      </c>
      <c r="K154" s="36" t="s">
        <v>964</v>
      </c>
      <c r="L154" s="36" t="s">
        <v>1714</v>
      </c>
      <c r="M154" s="37" t="s">
        <v>977</v>
      </c>
      <c r="N154" s="37" t="s">
        <v>1742</v>
      </c>
      <c r="O154" s="38">
        <v>1</v>
      </c>
      <c r="P154" s="38">
        <v>1</v>
      </c>
      <c r="Q154" s="35"/>
      <c r="S154" s="1">
        <f t="shared" si="63"/>
        <v>0</v>
      </c>
      <c r="T154" s="1">
        <f t="shared" si="64"/>
        <v>0</v>
      </c>
      <c r="U154" s="1">
        <f t="shared" si="65"/>
        <v>0</v>
      </c>
      <c r="V154" s="1">
        <f t="shared" si="66"/>
        <v>0</v>
      </c>
      <c r="W154" s="1">
        <f t="shared" si="67"/>
        <v>0</v>
      </c>
      <c r="X154" s="1">
        <f t="shared" si="68"/>
        <v>0</v>
      </c>
      <c r="Y154" s="1">
        <f t="shared" si="69"/>
        <v>0</v>
      </c>
      <c r="Z154" s="1">
        <f t="shared" si="70"/>
        <v>0</v>
      </c>
      <c r="AA154" s="1">
        <f t="shared" si="71"/>
        <v>1</v>
      </c>
      <c r="AB154" s="1">
        <f t="shared" si="72"/>
        <v>0</v>
      </c>
      <c r="AD154" s="1">
        <f t="shared" si="73"/>
        <v>1</v>
      </c>
      <c r="AE154" s="1">
        <f t="shared" si="74"/>
        <v>0</v>
      </c>
      <c r="AF154" s="1">
        <f t="shared" si="59"/>
        <v>1</v>
      </c>
      <c r="AG154" s="1">
        <f t="shared" si="60"/>
        <v>0</v>
      </c>
      <c r="AH154" s="1">
        <f t="shared" si="61"/>
        <v>1</v>
      </c>
      <c r="AI154" s="1">
        <f t="shared" si="62"/>
        <v>0</v>
      </c>
    </row>
    <row r="155" spans="1:35" ht="14.25" customHeight="1" x14ac:dyDescent="0.3">
      <c r="A155" s="47">
        <v>0</v>
      </c>
      <c r="B155" s="47">
        <v>1</v>
      </c>
      <c r="C155" s="47">
        <v>3</v>
      </c>
      <c r="D155" s="48" t="s">
        <v>133</v>
      </c>
      <c r="E155" s="48" t="s">
        <v>689</v>
      </c>
      <c r="F155" s="48" t="s">
        <v>337</v>
      </c>
      <c r="G155" s="48" t="s">
        <v>39</v>
      </c>
      <c r="H155" s="48" t="s">
        <v>365</v>
      </c>
      <c r="I155" s="47" t="s">
        <v>485</v>
      </c>
      <c r="J155" s="47">
        <v>12</v>
      </c>
      <c r="K155" s="49" t="s">
        <v>729</v>
      </c>
      <c r="L155" s="49">
        <v>35</v>
      </c>
      <c r="M155" s="50" t="s">
        <v>39</v>
      </c>
      <c r="N155" s="50" t="s">
        <v>1817</v>
      </c>
      <c r="O155" s="51"/>
      <c r="P155" s="51"/>
      <c r="Q155" s="48"/>
      <c r="S155" s="1">
        <f t="shared" si="63"/>
        <v>0</v>
      </c>
      <c r="T155" s="1">
        <f t="shared" si="64"/>
        <v>0</v>
      </c>
      <c r="U155" s="1">
        <f t="shared" si="65"/>
        <v>0</v>
      </c>
      <c r="V155" s="1">
        <f t="shared" si="66"/>
        <v>0</v>
      </c>
      <c r="W155" s="1">
        <f t="shared" si="67"/>
        <v>0</v>
      </c>
      <c r="X155" s="1">
        <f t="shared" si="68"/>
        <v>0</v>
      </c>
      <c r="Y155" s="1">
        <f t="shared" si="69"/>
        <v>0</v>
      </c>
      <c r="Z155" s="1">
        <f t="shared" si="70"/>
        <v>0</v>
      </c>
      <c r="AA155" s="1">
        <f t="shared" si="71"/>
        <v>0</v>
      </c>
      <c r="AB155" s="1">
        <f t="shared" si="72"/>
        <v>0</v>
      </c>
      <c r="AD155" s="1">
        <f t="shared" si="73"/>
        <v>0</v>
      </c>
      <c r="AE155" s="1">
        <f t="shared" si="74"/>
        <v>0</v>
      </c>
      <c r="AF155" s="1">
        <f t="shared" si="59"/>
        <v>0</v>
      </c>
      <c r="AG155" s="1">
        <f t="shared" si="60"/>
        <v>0</v>
      </c>
      <c r="AH155" s="1">
        <f t="shared" si="61"/>
        <v>0</v>
      </c>
      <c r="AI155" s="1">
        <f t="shared" si="62"/>
        <v>1</v>
      </c>
    </row>
    <row r="156" spans="1:35" ht="14.25" customHeight="1" x14ac:dyDescent="0.3">
      <c r="A156" s="15">
        <v>0</v>
      </c>
      <c r="B156" s="15">
        <v>1</v>
      </c>
      <c r="C156" s="15">
        <v>3</v>
      </c>
      <c r="D156" s="16" t="s">
        <v>833</v>
      </c>
      <c r="E156" s="16" t="s">
        <v>174</v>
      </c>
      <c r="F156" s="16" t="s">
        <v>834</v>
      </c>
      <c r="G156" s="16" t="s">
        <v>39</v>
      </c>
      <c r="H156" s="16" t="s">
        <v>378</v>
      </c>
      <c r="I156" s="15" t="s">
        <v>832</v>
      </c>
      <c r="J156" s="15">
        <v>12</v>
      </c>
      <c r="K156" s="10" t="s">
        <v>710</v>
      </c>
      <c r="L156" s="10">
        <v>40</v>
      </c>
      <c r="M156" s="19" t="s">
        <v>977</v>
      </c>
      <c r="N156" s="19"/>
      <c r="Q156" s="16"/>
      <c r="S156" s="1">
        <f t="shared" si="63"/>
        <v>0</v>
      </c>
      <c r="T156" s="1">
        <f t="shared" si="64"/>
        <v>0</v>
      </c>
      <c r="U156" s="1">
        <f t="shared" si="65"/>
        <v>0</v>
      </c>
      <c r="V156" s="1">
        <f t="shared" si="66"/>
        <v>0</v>
      </c>
      <c r="W156" s="1">
        <f t="shared" si="67"/>
        <v>0</v>
      </c>
      <c r="X156" s="1">
        <f t="shared" si="68"/>
        <v>0</v>
      </c>
      <c r="Y156" s="1">
        <f t="shared" si="69"/>
        <v>0</v>
      </c>
      <c r="Z156" s="1">
        <f t="shared" si="70"/>
        <v>0</v>
      </c>
      <c r="AA156" s="1">
        <f t="shared" si="71"/>
        <v>0</v>
      </c>
      <c r="AB156" s="1">
        <f t="shared" si="72"/>
        <v>0</v>
      </c>
      <c r="AD156" s="1">
        <f t="shared" si="73"/>
        <v>0</v>
      </c>
      <c r="AE156" s="1">
        <f t="shared" si="74"/>
        <v>0</v>
      </c>
      <c r="AF156" s="1">
        <f t="shared" si="59"/>
        <v>0</v>
      </c>
      <c r="AG156" s="1">
        <f t="shared" si="60"/>
        <v>0</v>
      </c>
      <c r="AH156" s="1">
        <f t="shared" si="61"/>
        <v>0</v>
      </c>
      <c r="AI156" s="1">
        <f t="shared" si="62"/>
        <v>1</v>
      </c>
    </row>
    <row r="157" spans="1:35" ht="14.25" customHeight="1" x14ac:dyDescent="0.3">
      <c r="A157" s="34">
        <v>0</v>
      </c>
      <c r="B157" s="34">
        <v>1</v>
      </c>
      <c r="C157" s="34">
        <v>3</v>
      </c>
      <c r="D157" s="35" t="s">
        <v>143</v>
      </c>
      <c r="E157" s="35" t="s">
        <v>174</v>
      </c>
      <c r="F157" s="35" t="s">
        <v>346</v>
      </c>
      <c r="G157" s="35" t="s">
        <v>39</v>
      </c>
      <c r="H157" s="35" t="s">
        <v>380</v>
      </c>
      <c r="I157" s="34" t="s">
        <v>494</v>
      </c>
      <c r="J157" s="34">
        <v>15</v>
      </c>
      <c r="K157" s="36" t="s">
        <v>709</v>
      </c>
      <c r="L157" s="36" t="s">
        <v>699</v>
      </c>
      <c r="M157" s="37" t="s">
        <v>698</v>
      </c>
      <c r="N157" s="37" t="s">
        <v>1748</v>
      </c>
      <c r="O157" s="38">
        <v>1</v>
      </c>
      <c r="P157" s="38">
        <v>1</v>
      </c>
      <c r="Q157" s="39" t="s">
        <v>1906</v>
      </c>
      <c r="S157" s="1">
        <f t="shared" si="63"/>
        <v>0</v>
      </c>
      <c r="T157" s="1">
        <f t="shared" si="64"/>
        <v>0</v>
      </c>
      <c r="U157" s="1">
        <f t="shared" si="65"/>
        <v>0</v>
      </c>
      <c r="V157" s="1">
        <f t="shared" si="66"/>
        <v>0</v>
      </c>
      <c r="W157" s="1">
        <f t="shared" si="67"/>
        <v>0</v>
      </c>
      <c r="X157" s="1">
        <f t="shared" si="68"/>
        <v>0</v>
      </c>
      <c r="Y157" s="1">
        <f t="shared" si="69"/>
        <v>0</v>
      </c>
      <c r="Z157" s="1">
        <f t="shared" si="70"/>
        <v>0</v>
      </c>
      <c r="AA157" s="1">
        <f t="shared" si="71"/>
        <v>0</v>
      </c>
      <c r="AB157" s="1">
        <f t="shared" si="72"/>
        <v>0</v>
      </c>
      <c r="AD157" s="1">
        <f t="shared" si="73"/>
        <v>1</v>
      </c>
      <c r="AE157" s="1">
        <f t="shared" si="74"/>
        <v>0</v>
      </c>
      <c r="AF157" s="1">
        <f t="shared" si="59"/>
        <v>1</v>
      </c>
      <c r="AG157" s="1">
        <f t="shared" si="60"/>
        <v>0</v>
      </c>
      <c r="AH157" s="1">
        <f t="shared" si="61"/>
        <v>1</v>
      </c>
      <c r="AI157" s="1">
        <f t="shared" si="62"/>
        <v>0</v>
      </c>
    </row>
    <row r="158" spans="1:35" ht="14.25" customHeight="1" x14ac:dyDescent="0.3">
      <c r="A158" s="15">
        <v>0</v>
      </c>
      <c r="B158" s="15">
        <v>1</v>
      </c>
      <c r="C158" s="15">
        <v>3</v>
      </c>
      <c r="D158" s="16" t="s">
        <v>754</v>
      </c>
      <c r="E158" s="16" t="s">
        <v>615</v>
      </c>
      <c r="F158" s="16" t="s">
        <v>755</v>
      </c>
      <c r="G158" s="16" t="s">
        <v>39</v>
      </c>
      <c r="H158" s="16" t="s">
        <v>756</v>
      </c>
      <c r="I158" s="15" t="s">
        <v>757</v>
      </c>
      <c r="J158" s="15">
        <v>18</v>
      </c>
      <c r="K158" s="10" t="s">
        <v>710</v>
      </c>
      <c r="L158" s="10" t="s">
        <v>704</v>
      </c>
      <c r="M158" s="19" t="s">
        <v>698</v>
      </c>
      <c r="N158" s="17"/>
      <c r="Q158" s="16"/>
      <c r="S158" s="1">
        <f t="shared" si="63"/>
        <v>0</v>
      </c>
      <c r="T158" s="1">
        <f t="shared" si="64"/>
        <v>0</v>
      </c>
      <c r="U158" s="1">
        <f t="shared" si="65"/>
        <v>0</v>
      </c>
      <c r="V158" s="1">
        <f t="shared" si="66"/>
        <v>0</v>
      </c>
      <c r="W158" s="1">
        <f t="shared" si="67"/>
        <v>0</v>
      </c>
      <c r="X158" s="1">
        <f t="shared" si="68"/>
        <v>0</v>
      </c>
      <c r="Y158" s="1">
        <f t="shared" si="69"/>
        <v>0</v>
      </c>
      <c r="Z158" s="1">
        <f t="shared" si="70"/>
        <v>0</v>
      </c>
      <c r="AA158" s="1">
        <f t="shared" si="71"/>
        <v>0</v>
      </c>
      <c r="AB158" s="1">
        <f t="shared" si="72"/>
        <v>0</v>
      </c>
      <c r="AD158" s="1">
        <f t="shared" si="73"/>
        <v>0</v>
      </c>
      <c r="AE158" s="1">
        <f t="shared" si="74"/>
        <v>0</v>
      </c>
      <c r="AF158" s="1">
        <f t="shared" si="59"/>
        <v>0</v>
      </c>
      <c r="AG158" s="1">
        <f t="shared" si="60"/>
        <v>0</v>
      </c>
      <c r="AH158" s="1">
        <f t="shared" si="61"/>
        <v>0</v>
      </c>
      <c r="AI158" s="1">
        <f t="shared" si="62"/>
        <v>1</v>
      </c>
    </row>
    <row r="159" spans="1:35" ht="14.25" customHeight="1" x14ac:dyDescent="0.3">
      <c r="A159" s="34">
        <v>0</v>
      </c>
      <c r="B159" s="34">
        <v>1</v>
      </c>
      <c r="C159" s="34">
        <v>3</v>
      </c>
      <c r="D159" s="39" t="s">
        <v>1856</v>
      </c>
      <c r="E159" s="35" t="s">
        <v>1097</v>
      </c>
      <c r="F159" s="35" t="s">
        <v>1841</v>
      </c>
      <c r="G159" s="35"/>
      <c r="H159" s="35" t="s">
        <v>375</v>
      </c>
      <c r="I159" s="34" t="s">
        <v>1842</v>
      </c>
      <c r="J159" s="34">
        <v>16</v>
      </c>
      <c r="K159" s="36" t="s">
        <v>710</v>
      </c>
      <c r="L159" s="36"/>
      <c r="M159" s="37"/>
      <c r="N159" s="37" t="s">
        <v>1742</v>
      </c>
      <c r="O159" s="38">
        <v>1</v>
      </c>
      <c r="P159" s="38">
        <v>1</v>
      </c>
      <c r="Q159" s="35"/>
      <c r="S159" s="1">
        <f t="shared" si="63"/>
        <v>0</v>
      </c>
      <c r="T159" s="1">
        <f t="shared" si="64"/>
        <v>0</v>
      </c>
      <c r="U159" s="1">
        <f t="shared" si="65"/>
        <v>0</v>
      </c>
      <c r="V159" s="1">
        <f t="shared" si="66"/>
        <v>0</v>
      </c>
      <c r="W159" s="1">
        <f t="shared" si="67"/>
        <v>0</v>
      </c>
      <c r="X159" s="1">
        <f t="shared" si="68"/>
        <v>0</v>
      </c>
      <c r="Y159" s="1">
        <f t="shared" si="69"/>
        <v>0</v>
      </c>
      <c r="Z159" s="1">
        <f t="shared" si="70"/>
        <v>0</v>
      </c>
      <c r="AA159" s="1">
        <f t="shared" si="71"/>
        <v>0</v>
      </c>
      <c r="AB159" s="1">
        <f t="shared" si="72"/>
        <v>0</v>
      </c>
      <c r="AD159" s="1">
        <f t="shared" si="73"/>
        <v>1</v>
      </c>
      <c r="AE159" s="1">
        <f t="shared" si="74"/>
        <v>0</v>
      </c>
      <c r="AF159" s="1">
        <f t="shared" si="59"/>
        <v>1</v>
      </c>
      <c r="AG159" s="1">
        <f t="shared" si="60"/>
        <v>0</v>
      </c>
      <c r="AH159" s="1">
        <f t="shared" si="61"/>
        <v>1</v>
      </c>
      <c r="AI159" s="1">
        <f t="shared" si="62"/>
        <v>0</v>
      </c>
    </row>
    <row r="160" spans="1:35" ht="14.25" customHeight="1" x14ac:dyDescent="0.3">
      <c r="A160" s="34">
        <v>0</v>
      </c>
      <c r="B160" s="34">
        <v>1</v>
      </c>
      <c r="C160" s="34">
        <v>3</v>
      </c>
      <c r="D160" s="35" t="s">
        <v>986</v>
      </c>
      <c r="E160" s="35" t="s">
        <v>615</v>
      </c>
      <c r="F160" s="35" t="s">
        <v>987</v>
      </c>
      <c r="G160" s="35" t="s">
        <v>205</v>
      </c>
      <c r="H160" s="35" t="s">
        <v>357</v>
      </c>
      <c r="I160" s="34" t="s">
        <v>988</v>
      </c>
      <c r="J160" s="34">
        <v>99</v>
      </c>
      <c r="K160" s="36" t="s">
        <v>963</v>
      </c>
      <c r="L160" s="36" t="s">
        <v>39</v>
      </c>
      <c r="M160" s="37" t="s">
        <v>39</v>
      </c>
      <c r="N160" s="37" t="s">
        <v>1742</v>
      </c>
      <c r="O160" s="38">
        <v>1</v>
      </c>
      <c r="P160" s="38">
        <v>1</v>
      </c>
      <c r="Q160" s="35"/>
      <c r="S160" s="1">
        <f t="shared" si="63"/>
        <v>0</v>
      </c>
      <c r="T160" s="1">
        <f t="shared" si="64"/>
        <v>0</v>
      </c>
      <c r="U160" s="1">
        <f t="shared" si="65"/>
        <v>0</v>
      </c>
      <c r="V160" s="1">
        <f t="shared" si="66"/>
        <v>0</v>
      </c>
      <c r="W160" s="1">
        <f t="shared" si="67"/>
        <v>0</v>
      </c>
      <c r="X160" s="1">
        <f t="shared" si="68"/>
        <v>0</v>
      </c>
      <c r="Y160" s="1">
        <f t="shared" si="69"/>
        <v>0</v>
      </c>
      <c r="Z160" s="1">
        <f t="shared" si="70"/>
        <v>0</v>
      </c>
      <c r="AA160" s="1">
        <f t="shared" si="71"/>
        <v>0</v>
      </c>
      <c r="AB160" s="1">
        <f t="shared" si="72"/>
        <v>0</v>
      </c>
      <c r="AD160" s="1">
        <f t="shared" si="73"/>
        <v>1</v>
      </c>
      <c r="AE160" s="1">
        <f t="shared" si="74"/>
        <v>0</v>
      </c>
      <c r="AF160" s="1">
        <f t="shared" si="59"/>
        <v>1</v>
      </c>
      <c r="AG160" s="1">
        <f t="shared" si="60"/>
        <v>0</v>
      </c>
      <c r="AH160" s="1">
        <f t="shared" si="61"/>
        <v>1</v>
      </c>
      <c r="AI160" s="1">
        <f t="shared" si="62"/>
        <v>0</v>
      </c>
    </row>
    <row r="161" spans="1:35" ht="14.25" customHeight="1" x14ac:dyDescent="0.3">
      <c r="A161" s="41">
        <v>0</v>
      </c>
      <c r="B161" s="41">
        <v>1</v>
      </c>
      <c r="C161" s="41">
        <v>3</v>
      </c>
      <c r="D161" s="42" t="s">
        <v>151</v>
      </c>
      <c r="E161" s="42" t="s">
        <v>174</v>
      </c>
      <c r="F161" s="42" t="s">
        <v>353</v>
      </c>
      <c r="G161" s="42" t="s">
        <v>39</v>
      </c>
      <c r="H161" s="42" t="s">
        <v>383</v>
      </c>
      <c r="I161" s="41" t="s">
        <v>501</v>
      </c>
      <c r="J161" s="41">
        <v>14</v>
      </c>
      <c r="K161" s="43" t="s">
        <v>971</v>
      </c>
      <c r="L161" s="43" t="s">
        <v>39</v>
      </c>
      <c r="M161" s="44" t="s">
        <v>39</v>
      </c>
      <c r="N161" s="45"/>
      <c r="O161" s="46"/>
      <c r="P161" s="46">
        <v>1</v>
      </c>
      <c r="Q161" s="42"/>
      <c r="S161" s="1">
        <f t="shared" si="63"/>
        <v>0</v>
      </c>
      <c r="T161" s="1">
        <f t="shared" si="64"/>
        <v>0</v>
      </c>
      <c r="U161" s="1">
        <f t="shared" si="65"/>
        <v>0</v>
      </c>
      <c r="V161" s="1">
        <f t="shared" si="66"/>
        <v>0</v>
      </c>
      <c r="W161" s="1">
        <f t="shared" si="67"/>
        <v>0</v>
      </c>
      <c r="X161" s="1">
        <f t="shared" si="68"/>
        <v>0</v>
      </c>
      <c r="Y161" s="1">
        <f t="shared" si="69"/>
        <v>0</v>
      </c>
      <c r="Z161" s="1">
        <f t="shared" si="70"/>
        <v>0</v>
      </c>
      <c r="AA161" s="1">
        <f t="shared" si="71"/>
        <v>0</v>
      </c>
      <c r="AB161" s="1">
        <f t="shared" si="72"/>
        <v>0</v>
      </c>
      <c r="AD161" s="1">
        <f t="shared" si="73"/>
        <v>0</v>
      </c>
      <c r="AE161" s="1">
        <f t="shared" si="74"/>
        <v>0</v>
      </c>
      <c r="AF161" s="1">
        <f t="shared" si="59"/>
        <v>0</v>
      </c>
      <c r="AG161" s="1">
        <f t="shared" si="60"/>
        <v>0</v>
      </c>
      <c r="AH161" s="1">
        <f t="shared" si="61"/>
        <v>1</v>
      </c>
      <c r="AI161" s="1">
        <f t="shared" si="62"/>
        <v>0</v>
      </c>
    </row>
    <row r="162" spans="1:35" ht="14.25" customHeight="1" x14ac:dyDescent="0.3">
      <c r="A162" s="34">
        <v>0</v>
      </c>
      <c r="B162" s="34">
        <v>1</v>
      </c>
      <c r="C162" s="34">
        <v>3</v>
      </c>
      <c r="D162" s="35" t="s">
        <v>640</v>
      </c>
      <c r="E162" s="35" t="s">
        <v>174</v>
      </c>
      <c r="F162" s="35" t="s">
        <v>642</v>
      </c>
      <c r="G162" s="35" t="s">
        <v>240</v>
      </c>
      <c r="H162" s="35" t="s">
        <v>357</v>
      </c>
      <c r="I162" s="34" t="s">
        <v>641</v>
      </c>
      <c r="J162" s="34">
        <v>4</v>
      </c>
      <c r="K162" s="36" t="s">
        <v>963</v>
      </c>
      <c r="L162" s="36" t="s">
        <v>39</v>
      </c>
      <c r="M162" s="37" t="s">
        <v>39</v>
      </c>
      <c r="N162" s="37" t="s">
        <v>1748</v>
      </c>
      <c r="O162" s="38">
        <v>1</v>
      </c>
      <c r="P162" s="38">
        <v>1</v>
      </c>
      <c r="Q162" s="35"/>
      <c r="S162" s="1">
        <f t="shared" si="63"/>
        <v>0</v>
      </c>
      <c r="T162" s="1">
        <f t="shared" si="64"/>
        <v>0</v>
      </c>
      <c r="U162" s="1">
        <f t="shared" si="65"/>
        <v>0</v>
      </c>
      <c r="V162" s="1">
        <f t="shared" si="66"/>
        <v>1</v>
      </c>
      <c r="W162" s="1">
        <f t="shared" si="67"/>
        <v>0</v>
      </c>
      <c r="X162" s="1">
        <f t="shared" si="68"/>
        <v>0</v>
      </c>
      <c r="Y162" s="1">
        <f t="shared" si="69"/>
        <v>0</v>
      </c>
      <c r="Z162" s="1">
        <f t="shared" si="70"/>
        <v>0</v>
      </c>
      <c r="AA162" s="1">
        <f t="shared" si="71"/>
        <v>0</v>
      </c>
      <c r="AB162" s="1">
        <f t="shared" si="72"/>
        <v>0</v>
      </c>
      <c r="AD162" s="1">
        <f t="shared" si="73"/>
        <v>1</v>
      </c>
      <c r="AE162" s="1">
        <f t="shared" si="74"/>
        <v>0</v>
      </c>
      <c r="AF162" s="1">
        <f t="shared" si="59"/>
        <v>1</v>
      </c>
      <c r="AG162" s="1">
        <f t="shared" si="60"/>
        <v>0</v>
      </c>
      <c r="AH162" s="1">
        <f t="shared" si="61"/>
        <v>1</v>
      </c>
      <c r="AI162" s="1">
        <f t="shared" si="62"/>
        <v>0</v>
      </c>
    </row>
    <row r="163" spans="1:35" ht="14.25" customHeight="1" x14ac:dyDescent="0.3">
      <c r="A163" s="15">
        <v>0</v>
      </c>
      <c r="B163" s="15">
        <v>1</v>
      </c>
      <c r="C163" s="15">
        <v>3</v>
      </c>
      <c r="D163" s="16" t="s">
        <v>1543</v>
      </c>
      <c r="E163" s="16" t="s">
        <v>1097</v>
      </c>
      <c r="F163" s="16" t="s">
        <v>1544</v>
      </c>
      <c r="G163" s="16" t="s">
        <v>220</v>
      </c>
      <c r="H163" s="16" t="s">
        <v>357</v>
      </c>
      <c r="I163" s="15" t="s">
        <v>1545</v>
      </c>
      <c r="J163" s="15">
        <v>99</v>
      </c>
      <c r="K163" s="10" t="s">
        <v>710</v>
      </c>
      <c r="L163" s="10">
        <v>40</v>
      </c>
      <c r="M163" s="19" t="s">
        <v>977</v>
      </c>
      <c r="N163" s="19"/>
      <c r="Q163" s="16"/>
      <c r="S163" s="1">
        <f t="shared" si="63"/>
        <v>0</v>
      </c>
      <c r="T163" s="1">
        <f t="shared" si="64"/>
        <v>0</v>
      </c>
      <c r="U163" s="1">
        <f t="shared" si="65"/>
        <v>0</v>
      </c>
      <c r="V163" s="1">
        <f t="shared" si="66"/>
        <v>0</v>
      </c>
      <c r="W163" s="1">
        <f t="shared" si="67"/>
        <v>0</v>
      </c>
      <c r="X163" s="1">
        <f t="shared" si="68"/>
        <v>0</v>
      </c>
      <c r="Y163" s="1">
        <f t="shared" si="69"/>
        <v>0</v>
      </c>
      <c r="Z163" s="1">
        <f t="shared" si="70"/>
        <v>0</v>
      </c>
      <c r="AA163" s="1">
        <f t="shared" si="71"/>
        <v>0</v>
      </c>
      <c r="AB163" s="1">
        <f t="shared" si="72"/>
        <v>0</v>
      </c>
      <c r="AD163" s="1">
        <f t="shared" si="73"/>
        <v>0</v>
      </c>
      <c r="AE163" s="1">
        <f t="shared" si="74"/>
        <v>0</v>
      </c>
      <c r="AF163" s="1">
        <f t="shared" si="59"/>
        <v>0</v>
      </c>
      <c r="AG163" s="1">
        <f t="shared" si="60"/>
        <v>0</v>
      </c>
      <c r="AH163" s="1">
        <f t="shared" si="61"/>
        <v>0</v>
      </c>
      <c r="AI163" s="1">
        <f t="shared" si="62"/>
        <v>1</v>
      </c>
    </row>
    <row r="164" spans="1:35" ht="14.25" customHeight="1" x14ac:dyDescent="0.3">
      <c r="A164" s="34">
        <v>0</v>
      </c>
      <c r="B164" s="34">
        <v>1</v>
      </c>
      <c r="C164" s="34">
        <v>3</v>
      </c>
      <c r="D164" s="35" t="s">
        <v>103</v>
      </c>
      <c r="E164" s="35" t="s">
        <v>174</v>
      </c>
      <c r="F164" s="35" t="s">
        <v>302</v>
      </c>
      <c r="G164" s="35" t="s">
        <v>303</v>
      </c>
      <c r="H164" s="35" t="s">
        <v>357</v>
      </c>
      <c r="I164" s="34" t="s">
        <v>453</v>
      </c>
      <c r="J164" s="34">
        <v>99</v>
      </c>
      <c r="K164" s="36" t="s">
        <v>965</v>
      </c>
      <c r="L164" s="36" t="s">
        <v>700</v>
      </c>
      <c r="M164" s="37" t="s">
        <v>698</v>
      </c>
      <c r="N164" s="37" t="s">
        <v>1758</v>
      </c>
      <c r="O164" s="38">
        <v>1</v>
      </c>
      <c r="P164" s="38"/>
      <c r="Q164" s="35"/>
      <c r="S164" s="1">
        <f t="shared" si="63"/>
        <v>0</v>
      </c>
      <c r="T164" s="1">
        <f t="shared" si="64"/>
        <v>0</v>
      </c>
      <c r="U164" s="1">
        <f t="shared" si="65"/>
        <v>0</v>
      </c>
      <c r="V164" s="1">
        <f t="shared" si="66"/>
        <v>0</v>
      </c>
      <c r="W164" s="1">
        <f t="shared" si="67"/>
        <v>0</v>
      </c>
      <c r="X164" s="1">
        <f t="shared" si="68"/>
        <v>0</v>
      </c>
      <c r="Y164" s="1">
        <f t="shared" si="69"/>
        <v>0</v>
      </c>
      <c r="Z164" s="1">
        <f t="shared" si="70"/>
        <v>0</v>
      </c>
      <c r="AA164" s="1">
        <f t="shared" si="71"/>
        <v>0</v>
      </c>
      <c r="AB164" s="1">
        <f t="shared" si="72"/>
        <v>0</v>
      </c>
      <c r="AD164" s="1">
        <f t="shared" si="73"/>
        <v>0</v>
      </c>
      <c r="AE164" s="1">
        <f t="shared" si="74"/>
        <v>1</v>
      </c>
      <c r="AF164" s="1">
        <f t="shared" si="59"/>
        <v>0</v>
      </c>
      <c r="AG164" s="1">
        <f t="shared" si="60"/>
        <v>1</v>
      </c>
      <c r="AH164" s="1">
        <f t="shared" si="61"/>
        <v>0</v>
      </c>
      <c r="AI164" s="1">
        <f t="shared" si="62"/>
        <v>1</v>
      </c>
    </row>
    <row r="165" spans="1:35" ht="14.25" customHeight="1" x14ac:dyDescent="0.3">
      <c r="A165" s="47">
        <v>0</v>
      </c>
      <c r="B165" s="47">
        <v>1</v>
      </c>
      <c r="C165" s="47">
        <v>3</v>
      </c>
      <c r="D165" s="48" t="s">
        <v>997</v>
      </c>
      <c r="E165" s="48" t="s">
        <v>174</v>
      </c>
      <c r="F165" s="48" t="s">
        <v>1000</v>
      </c>
      <c r="G165" s="48" t="s">
        <v>39</v>
      </c>
      <c r="H165" s="48" t="s">
        <v>999</v>
      </c>
      <c r="I165" s="47" t="s">
        <v>998</v>
      </c>
      <c r="J165" s="47">
        <v>14</v>
      </c>
      <c r="K165" s="49" t="s">
        <v>729</v>
      </c>
      <c r="L165" s="49" t="s">
        <v>701</v>
      </c>
      <c r="M165" s="50" t="s">
        <v>978</v>
      </c>
      <c r="N165" s="50" t="s">
        <v>1750</v>
      </c>
      <c r="O165" s="51"/>
      <c r="P165" s="51"/>
      <c r="Q165" s="48"/>
      <c r="S165" s="1">
        <f t="shared" si="63"/>
        <v>0</v>
      </c>
      <c r="T165" s="1">
        <f t="shared" si="64"/>
        <v>0</v>
      </c>
      <c r="U165" s="1">
        <f t="shared" si="65"/>
        <v>0</v>
      </c>
      <c r="V165" s="1">
        <f t="shared" si="66"/>
        <v>0</v>
      </c>
      <c r="W165" s="1">
        <f t="shared" si="67"/>
        <v>0</v>
      </c>
      <c r="X165" s="1">
        <f t="shared" si="68"/>
        <v>0</v>
      </c>
      <c r="Y165" s="1">
        <f t="shared" si="69"/>
        <v>0</v>
      </c>
      <c r="Z165" s="1">
        <f t="shared" si="70"/>
        <v>0</v>
      </c>
      <c r="AA165" s="1">
        <f t="shared" si="71"/>
        <v>0</v>
      </c>
      <c r="AB165" s="1">
        <f t="shared" si="72"/>
        <v>0</v>
      </c>
      <c r="AD165" s="1">
        <f t="shared" si="73"/>
        <v>0</v>
      </c>
      <c r="AE165" s="1">
        <f t="shared" si="74"/>
        <v>0</v>
      </c>
      <c r="AF165" s="1">
        <f t="shared" si="59"/>
        <v>0</v>
      </c>
      <c r="AG165" s="1">
        <f t="shared" si="60"/>
        <v>0</v>
      </c>
      <c r="AH165" s="1">
        <f t="shared" si="61"/>
        <v>0</v>
      </c>
      <c r="AI165" s="1">
        <f t="shared" si="62"/>
        <v>1</v>
      </c>
    </row>
    <row r="166" spans="1:35" ht="14.25" customHeight="1" x14ac:dyDescent="0.3">
      <c r="A166" s="60">
        <v>0</v>
      </c>
      <c r="B166" s="60">
        <v>1</v>
      </c>
      <c r="C166" s="60">
        <v>3</v>
      </c>
      <c r="D166" s="61" t="s">
        <v>1659</v>
      </c>
      <c r="E166" s="61" t="s">
        <v>174</v>
      </c>
      <c r="F166" s="61" t="s">
        <v>780</v>
      </c>
      <c r="G166" s="61" t="s">
        <v>39</v>
      </c>
      <c r="H166" s="61" t="s">
        <v>370</v>
      </c>
      <c r="I166" s="60" t="s">
        <v>788</v>
      </c>
      <c r="J166" s="60">
        <v>18</v>
      </c>
      <c r="K166" s="62" t="s">
        <v>1712</v>
      </c>
      <c r="L166" s="62" t="s">
        <v>39</v>
      </c>
      <c r="M166" s="63" t="s">
        <v>781</v>
      </c>
      <c r="N166" s="64"/>
      <c r="O166" s="65"/>
      <c r="P166" s="65"/>
      <c r="Q166" s="61"/>
      <c r="S166" s="1">
        <f t="shared" si="63"/>
        <v>0</v>
      </c>
      <c r="T166" s="1">
        <f t="shared" si="64"/>
        <v>0</v>
      </c>
      <c r="U166" s="1">
        <f t="shared" si="65"/>
        <v>0</v>
      </c>
      <c r="V166" s="1">
        <f t="shared" si="66"/>
        <v>0</v>
      </c>
      <c r="W166" s="1">
        <f t="shared" si="67"/>
        <v>0</v>
      </c>
      <c r="X166" s="1">
        <f t="shared" si="68"/>
        <v>0</v>
      </c>
      <c r="Y166" s="1">
        <f t="shared" si="69"/>
        <v>0</v>
      </c>
      <c r="Z166" s="1">
        <f t="shared" si="70"/>
        <v>0</v>
      </c>
      <c r="AA166" s="1">
        <f t="shared" si="71"/>
        <v>0</v>
      </c>
      <c r="AB166" s="1">
        <f t="shared" si="72"/>
        <v>0</v>
      </c>
      <c r="AD166" s="1">
        <f t="shared" si="73"/>
        <v>0</v>
      </c>
      <c r="AE166" s="1">
        <f t="shared" si="74"/>
        <v>0</v>
      </c>
      <c r="AF166" s="1">
        <f t="shared" si="59"/>
        <v>0</v>
      </c>
      <c r="AG166" s="1">
        <f t="shared" si="60"/>
        <v>0</v>
      </c>
      <c r="AH166" s="1">
        <f t="shared" si="61"/>
        <v>0</v>
      </c>
      <c r="AI166" s="1">
        <f t="shared" si="62"/>
        <v>1</v>
      </c>
    </row>
    <row r="167" spans="1:35" ht="14.25" customHeight="1" x14ac:dyDescent="0.3">
      <c r="A167" s="52">
        <v>0</v>
      </c>
      <c r="B167" s="52">
        <v>1</v>
      </c>
      <c r="C167" s="52">
        <v>3</v>
      </c>
      <c r="D167" s="53" t="s">
        <v>136</v>
      </c>
      <c r="E167" s="53" t="s">
        <v>174</v>
      </c>
      <c r="F167" s="53" t="s">
        <v>665</v>
      </c>
      <c r="G167" s="53" t="s">
        <v>259</v>
      </c>
      <c r="H167" s="53" t="s">
        <v>357</v>
      </c>
      <c r="I167" s="52" t="s">
        <v>1708</v>
      </c>
      <c r="J167" s="52">
        <v>99</v>
      </c>
      <c r="K167" s="54" t="s">
        <v>729</v>
      </c>
      <c r="L167" s="54" t="s">
        <v>693</v>
      </c>
      <c r="M167" s="55" t="s">
        <v>1411</v>
      </c>
      <c r="N167" s="55" t="s">
        <v>1758</v>
      </c>
      <c r="O167" s="56">
        <v>1</v>
      </c>
      <c r="P167" s="56"/>
      <c r="Q167" s="53"/>
      <c r="S167" s="1">
        <f t="shared" si="63"/>
        <v>0</v>
      </c>
      <c r="T167" s="1">
        <f t="shared" si="64"/>
        <v>0</v>
      </c>
      <c r="U167" s="1">
        <f t="shared" si="65"/>
        <v>0</v>
      </c>
      <c r="V167" s="1">
        <f t="shared" si="66"/>
        <v>0</v>
      </c>
      <c r="W167" s="1">
        <f t="shared" si="67"/>
        <v>0</v>
      </c>
      <c r="X167" s="1">
        <f t="shared" si="68"/>
        <v>0</v>
      </c>
      <c r="Y167" s="1">
        <f t="shared" si="69"/>
        <v>0</v>
      </c>
      <c r="Z167" s="1">
        <f t="shared" si="70"/>
        <v>0</v>
      </c>
      <c r="AA167" s="1">
        <f t="shared" si="71"/>
        <v>0</v>
      </c>
      <c r="AB167" s="1">
        <f t="shared" si="72"/>
        <v>0</v>
      </c>
      <c r="AD167" s="1">
        <f t="shared" si="73"/>
        <v>0</v>
      </c>
      <c r="AE167" s="1">
        <f t="shared" si="74"/>
        <v>1</v>
      </c>
      <c r="AF167" s="1">
        <f t="shared" si="59"/>
        <v>0</v>
      </c>
      <c r="AG167" s="1">
        <f t="shared" si="60"/>
        <v>1</v>
      </c>
      <c r="AH167" s="1">
        <f t="shared" si="61"/>
        <v>0</v>
      </c>
      <c r="AI167" s="1">
        <f t="shared" si="62"/>
        <v>1</v>
      </c>
    </row>
    <row r="168" spans="1:35" ht="14.25" customHeight="1" x14ac:dyDescent="0.3">
      <c r="A168" s="15">
        <v>0</v>
      </c>
      <c r="B168" s="15">
        <v>1</v>
      </c>
      <c r="C168" s="15">
        <v>3</v>
      </c>
      <c r="D168" s="16" t="s">
        <v>930</v>
      </c>
      <c r="E168" s="16" t="s">
        <v>172</v>
      </c>
      <c r="F168" s="16" t="s">
        <v>947</v>
      </c>
      <c r="G168" s="16" t="s">
        <v>39</v>
      </c>
      <c r="H168" s="16" t="s">
        <v>368</v>
      </c>
      <c r="I168" s="15" t="s">
        <v>890</v>
      </c>
      <c r="J168" s="15">
        <v>18</v>
      </c>
      <c r="K168" s="10" t="s">
        <v>709</v>
      </c>
      <c r="L168" s="10" t="s">
        <v>704</v>
      </c>
      <c r="M168" s="19" t="s">
        <v>978</v>
      </c>
      <c r="N168" s="17"/>
      <c r="Q168" s="16"/>
      <c r="S168" s="1">
        <f t="shared" si="63"/>
        <v>0</v>
      </c>
      <c r="T168" s="1">
        <f t="shared" si="64"/>
        <v>0</v>
      </c>
      <c r="U168" s="1">
        <f t="shared" si="65"/>
        <v>0</v>
      </c>
      <c r="V168" s="1">
        <f t="shared" si="66"/>
        <v>0</v>
      </c>
      <c r="W168" s="1">
        <f t="shared" si="67"/>
        <v>0</v>
      </c>
      <c r="X168" s="1">
        <f t="shared" si="68"/>
        <v>0</v>
      </c>
      <c r="Y168" s="1">
        <f t="shared" si="69"/>
        <v>0</v>
      </c>
      <c r="Z168" s="1">
        <f t="shared" si="70"/>
        <v>0</v>
      </c>
      <c r="AA168" s="1">
        <f t="shared" si="71"/>
        <v>0</v>
      </c>
      <c r="AB168" s="1">
        <f t="shared" si="72"/>
        <v>0</v>
      </c>
      <c r="AD168" s="1">
        <f t="shared" si="73"/>
        <v>0</v>
      </c>
      <c r="AE168" s="1">
        <f t="shared" si="74"/>
        <v>0</v>
      </c>
      <c r="AF168" s="1">
        <f t="shared" si="59"/>
        <v>0</v>
      </c>
      <c r="AG168" s="1">
        <f t="shared" si="60"/>
        <v>0</v>
      </c>
      <c r="AH168" s="1">
        <f t="shared" si="61"/>
        <v>0</v>
      </c>
      <c r="AI168" s="1">
        <f t="shared" si="62"/>
        <v>1</v>
      </c>
    </row>
    <row r="169" spans="1:35" ht="14.25" customHeight="1" x14ac:dyDescent="0.3">
      <c r="A169" s="47">
        <v>0</v>
      </c>
      <c r="B169" s="47">
        <v>1</v>
      </c>
      <c r="C169" s="47">
        <v>3</v>
      </c>
      <c r="D169" s="48" t="s">
        <v>1274</v>
      </c>
      <c r="E169" s="48" t="s">
        <v>172</v>
      </c>
      <c r="F169" s="48" t="s">
        <v>1691</v>
      </c>
      <c r="G169" s="48" t="s">
        <v>39</v>
      </c>
      <c r="H169" s="48" t="s">
        <v>778</v>
      </c>
      <c r="I169" s="47" t="s">
        <v>1275</v>
      </c>
      <c r="J169" s="47">
        <v>11</v>
      </c>
      <c r="K169" s="49" t="s">
        <v>729</v>
      </c>
      <c r="L169" s="49" t="s">
        <v>696</v>
      </c>
      <c r="M169" s="50" t="s">
        <v>1412</v>
      </c>
      <c r="N169" s="50" t="s">
        <v>1749</v>
      </c>
      <c r="O169" s="51"/>
      <c r="P169" s="51"/>
      <c r="Q169" s="48"/>
      <c r="S169" s="1">
        <f t="shared" si="63"/>
        <v>0</v>
      </c>
      <c r="T169" s="1">
        <f t="shared" si="64"/>
        <v>0</v>
      </c>
      <c r="U169" s="1">
        <f t="shared" si="65"/>
        <v>0</v>
      </c>
      <c r="V169" s="1">
        <f t="shared" si="66"/>
        <v>0</v>
      </c>
      <c r="W169" s="1">
        <f t="shared" si="67"/>
        <v>0</v>
      </c>
      <c r="X169" s="1">
        <f t="shared" si="68"/>
        <v>0</v>
      </c>
      <c r="Y169" s="1">
        <f t="shared" si="69"/>
        <v>0</v>
      </c>
      <c r="Z169" s="1">
        <f t="shared" si="70"/>
        <v>0</v>
      </c>
      <c r="AA169" s="1">
        <f t="shared" si="71"/>
        <v>0</v>
      </c>
      <c r="AB169" s="1">
        <f t="shared" si="72"/>
        <v>0</v>
      </c>
      <c r="AD169" s="1">
        <f t="shared" si="73"/>
        <v>0</v>
      </c>
      <c r="AE169" s="1">
        <f t="shared" si="74"/>
        <v>0</v>
      </c>
      <c r="AF169" s="1">
        <f t="shared" si="59"/>
        <v>0</v>
      </c>
      <c r="AG169" s="1">
        <f t="shared" si="60"/>
        <v>0</v>
      </c>
      <c r="AH169" s="1">
        <f t="shared" si="61"/>
        <v>0</v>
      </c>
      <c r="AI169" s="1">
        <f t="shared" si="62"/>
        <v>1</v>
      </c>
    </row>
    <row r="170" spans="1:35" ht="14.25" customHeight="1" x14ac:dyDescent="0.3">
      <c r="A170" s="34">
        <v>0</v>
      </c>
      <c r="B170" s="34">
        <v>1</v>
      </c>
      <c r="C170" s="34">
        <v>4</v>
      </c>
      <c r="D170" s="35" t="s">
        <v>1003</v>
      </c>
      <c r="E170" s="35" t="s">
        <v>779</v>
      </c>
      <c r="F170" s="35" t="s">
        <v>1104</v>
      </c>
      <c r="G170" s="35" t="s">
        <v>202</v>
      </c>
      <c r="H170" s="35" t="s">
        <v>357</v>
      </c>
      <c r="I170" s="34" t="s">
        <v>1004</v>
      </c>
      <c r="J170" s="34">
        <v>2</v>
      </c>
      <c r="K170" s="36" t="s">
        <v>963</v>
      </c>
      <c r="L170" s="36" t="s">
        <v>700</v>
      </c>
      <c r="M170" s="37" t="s">
        <v>1413</v>
      </c>
      <c r="N170" s="37" t="s">
        <v>1742</v>
      </c>
      <c r="O170" s="38">
        <v>1</v>
      </c>
      <c r="P170" s="38">
        <v>1</v>
      </c>
      <c r="Q170" s="35"/>
      <c r="S170" s="1">
        <f t="shared" si="63"/>
        <v>0</v>
      </c>
      <c r="T170" s="1">
        <f t="shared" si="64"/>
        <v>1</v>
      </c>
      <c r="U170" s="1">
        <f t="shared" si="65"/>
        <v>0</v>
      </c>
      <c r="V170" s="1">
        <f t="shared" si="66"/>
        <v>0</v>
      </c>
      <c r="W170" s="1">
        <f t="shared" si="67"/>
        <v>0</v>
      </c>
      <c r="X170" s="1">
        <f t="shared" si="68"/>
        <v>0</v>
      </c>
      <c r="Y170" s="1">
        <f t="shared" si="69"/>
        <v>0</v>
      </c>
      <c r="Z170" s="1">
        <f t="shared" si="70"/>
        <v>0</v>
      </c>
      <c r="AA170" s="1">
        <f t="shared" si="71"/>
        <v>0</v>
      </c>
      <c r="AB170" s="1">
        <f t="shared" si="72"/>
        <v>0</v>
      </c>
      <c r="AD170" s="1">
        <f t="shared" si="73"/>
        <v>1</v>
      </c>
      <c r="AE170" s="1">
        <f t="shared" si="74"/>
        <v>0</v>
      </c>
      <c r="AF170" s="1">
        <f t="shared" si="59"/>
        <v>1</v>
      </c>
      <c r="AG170" s="1">
        <f t="shared" si="60"/>
        <v>0</v>
      </c>
      <c r="AH170" s="1">
        <f t="shared" si="61"/>
        <v>1</v>
      </c>
      <c r="AI170" s="1">
        <f t="shared" si="62"/>
        <v>0</v>
      </c>
    </row>
    <row r="171" spans="1:35" ht="14.25" customHeight="1" x14ac:dyDescent="0.3">
      <c r="A171" s="47">
        <v>0</v>
      </c>
      <c r="B171" s="47">
        <v>1</v>
      </c>
      <c r="C171" s="47">
        <v>4</v>
      </c>
      <c r="D171" s="48" t="s">
        <v>50</v>
      </c>
      <c r="E171" s="48" t="s">
        <v>779</v>
      </c>
      <c r="F171" s="48" t="s">
        <v>195</v>
      </c>
      <c r="G171" s="48" t="s">
        <v>196</v>
      </c>
      <c r="H171" s="48" t="s">
        <v>357</v>
      </c>
      <c r="I171" s="47" t="s">
        <v>390</v>
      </c>
      <c r="J171" s="47">
        <v>9</v>
      </c>
      <c r="K171" s="49" t="s">
        <v>963</v>
      </c>
      <c r="L171" s="49" t="s">
        <v>701</v>
      </c>
      <c r="M171" s="50" t="s">
        <v>976</v>
      </c>
      <c r="N171" s="50" t="s">
        <v>1751</v>
      </c>
      <c r="O171" s="51"/>
      <c r="P171" s="51"/>
      <c r="Q171" s="48"/>
      <c r="S171" s="1">
        <f t="shared" si="63"/>
        <v>0</v>
      </c>
      <c r="T171" s="1">
        <f t="shared" si="64"/>
        <v>0</v>
      </c>
      <c r="U171" s="1">
        <f t="shared" si="65"/>
        <v>0</v>
      </c>
      <c r="V171" s="1">
        <f t="shared" si="66"/>
        <v>0</v>
      </c>
      <c r="W171" s="1">
        <f t="shared" si="67"/>
        <v>0</v>
      </c>
      <c r="X171" s="1">
        <f t="shared" si="68"/>
        <v>0</v>
      </c>
      <c r="Y171" s="1">
        <f t="shared" si="69"/>
        <v>0</v>
      </c>
      <c r="Z171" s="1">
        <f t="shared" si="70"/>
        <v>0</v>
      </c>
      <c r="AA171" s="1">
        <f t="shared" si="71"/>
        <v>1</v>
      </c>
      <c r="AB171" s="1">
        <f t="shared" si="72"/>
        <v>0</v>
      </c>
      <c r="AD171" s="1">
        <f t="shared" si="73"/>
        <v>0</v>
      </c>
      <c r="AE171" s="1">
        <f t="shared" si="74"/>
        <v>0</v>
      </c>
      <c r="AF171" s="1">
        <f t="shared" si="59"/>
        <v>0</v>
      </c>
      <c r="AG171" s="1">
        <f t="shared" si="60"/>
        <v>0</v>
      </c>
      <c r="AH171" s="1">
        <f t="shared" si="61"/>
        <v>0</v>
      </c>
      <c r="AI171" s="1">
        <f t="shared" si="62"/>
        <v>1</v>
      </c>
    </row>
    <row r="172" spans="1:35" ht="14.25" customHeight="1" x14ac:dyDescent="0.3">
      <c r="A172" s="47">
        <v>0</v>
      </c>
      <c r="B172" s="47">
        <v>1</v>
      </c>
      <c r="C172" s="47">
        <v>4</v>
      </c>
      <c r="D172" s="48" t="s">
        <v>135</v>
      </c>
      <c r="E172" s="48" t="s">
        <v>179</v>
      </c>
      <c r="F172" s="48" t="s">
        <v>339</v>
      </c>
      <c r="G172" s="48" t="s">
        <v>215</v>
      </c>
      <c r="H172" s="48" t="s">
        <v>357</v>
      </c>
      <c r="I172" s="47" t="s">
        <v>487</v>
      </c>
      <c r="J172" s="47">
        <v>1</v>
      </c>
      <c r="K172" s="49" t="s">
        <v>963</v>
      </c>
      <c r="L172" s="49" t="s">
        <v>696</v>
      </c>
      <c r="M172" s="50" t="s">
        <v>698</v>
      </c>
      <c r="N172" s="50" t="s">
        <v>1750</v>
      </c>
      <c r="O172" s="51"/>
      <c r="P172" s="51"/>
      <c r="Q172" s="48"/>
      <c r="S172" s="1">
        <f t="shared" si="63"/>
        <v>1</v>
      </c>
      <c r="T172" s="1">
        <f t="shared" si="64"/>
        <v>0</v>
      </c>
      <c r="U172" s="1">
        <f t="shared" si="65"/>
        <v>0</v>
      </c>
      <c r="V172" s="1">
        <f t="shared" si="66"/>
        <v>0</v>
      </c>
      <c r="W172" s="1">
        <f t="shared" si="67"/>
        <v>0</v>
      </c>
      <c r="X172" s="1">
        <f t="shared" si="68"/>
        <v>0</v>
      </c>
      <c r="Y172" s="1">
        <f t="shared" si="69"/>
        <v>0</v>
      </c>
      <c r="Z172" s="1">
        <f t="shared" si="70"/>
        <v>0</v>
      </c>
      <c r="AA172" s="1">
        <f t="shared" si="71"/>
        <v>0</v>
      </c>
      <c r="AB172" s="1">
        <f t="shared" si="72"/>
        <v>0</v>
      </c>
      <c r="AD172" s="1">
        <f t="shared" si="73"/>
        <v>0</v>
      </c>
      <c r="AE172" s="1">
        <f t="shared" si="74"/>
        <v>0</v>
      </c>
      <c r="AF172" s="1">
        <f t="shared" si="59"/>
        <v>0</v>
      </c>
      <c r="AG172" s="1">
        <f t="shared" si="60"/>
        <v>0</v>
      </c>
      <c r="AH172" s="1">
        <f t="shared" si="61"/>
        <v>0</v>
      </c>
      <c r="AI172" s="1">
        <f t="shared" si="62"/>
        <v>1</v>
      </c>
    </row>
    <row r="173" spans="1:35" ht="14.25" customHeight="1" x14ac:dyDescent="0.3">
      <c r="A173" s="15">
        <v>0</v>
      </c>
      <c r="B173" s="15">
        <v>1</v>
      </c>
      <c r="C173" s="15">
        <v>4</v>
      </c>
      <c r="D173" s="16" t="s">
        <v>891</v>
      </c>
      <c r="E173" s="16" t="s">
        <v>779</v>
      </c>
      <c r="F173" s="16" t="s">
        <v>892</v>
      </c>
      <c r="G173" s="16" t="s">
        <v>39</v>
      </c>
      <c r="H173" s="16" t="s">
        <v>893</v>
      </c>
      <c r="I173" s="15" t="s">
        <v>957</v>
      </c>
      <c r="J173" s="15">
        <v>17</v>
      </c>
      <c r="K173" s="10" t="s">
        <v>710</v>
      </c>
      <c r="L173" s="10" t="s">
        <v>1153</v>
      </c>
      <c r="M173" s="19" t="s">
        <v>979</v>
      </c>
      <c r="N173" s="17"/>
      <c r="Q173" s="16"/>
      <c r="S173" s="1">
        <f t="shared" si="63"/>
        <v>0</v>
      </c>
      <c r="T173" s="1">
        <f t="shared" si="64"/>
        <v>0</v>
      </c>
      <c r="U173" s="1">
        <f t="shared" si="65"/>
        <v>0</v>
      </c>
      <c r="V173" s="1">
        <f t="shared" si="66"/>
        <v>0</v>
      </c>
      <c r="W173" s="1">
        <f t="shared" si="67"/>
        <v>0</v>
      </c>
      <c r="X173" s="1">
        <f t="shared" si="68"/>
        <v>0</v>
      </c>
      <c r="Y173" s="1">
        <f t="shared" si="69"/>
        <v>0</v>
      </c>
      <c r="Z173" s="1">
        <f t="shared" si="70"/>
        <v>0</v>
      </c>
      <c r="AA173" s="1">
        <f t="shared" si="71"/>
        <v>0</v>
      </c>
      <c r="AB173" s="1">
        <f t="shared" si="72"/>
        <v>0</v>
      </c>
      <c r="AD173" s="1">
        <f t="shared" si="73"/>
        <v>0</v>
      </c>
      <c r="AE173" s="1">
        <f t="shared" si="74"/>
        <v>0</v>
      </c>
      <c r="AF173" s="1">
        <f t="shared" si="59"/>
        <v>0</v>
      </c>
      <c r="AG173" s="1">
        <f t="shared" si="60"/>
        <v>0</v>
      </c>
      <c r="AH173" s="1">
        <f t="shared" si="61"/>
        <v>0</v>
      </c>
      <c r="AI173" s="1">
        <f t="shared" si="62"/>
        <v>1</v>
      </c>
    </row>
    <row r="174" spans="1:35" ht="14.25" customHeight="1" x14ac:dyDescent="0.3">
      <c r="A174" s="47">
        <v>0</v>
      </c>
      <c r="B174" s="47">
        <v>1</v>
      </c>
      <c r="C174" s="47">
        <v>5</v>
      </c>
      <c r="D174" s="48" t="s">
        <v>127</v>
      </c>
      <c r="E174" s="48" t="s">
        <v>531</v>
      </c>
      <c r="F174" s="48" t="s">
        <v>330</v>
      </c>
      <c r="G174" s="48" t="s">
        <v>303</v>
      </c>
      <c r="H174" s="48" t="s">
        <v>357</v>
      </c>
      <c r="I174" s="47" t="s">
        <v>479</v>
      </c>
      <c r="J174" s="47">
        <v>99</v>
      </c>
      <c r="K174" s="49" t="s">
        <v>709</v>
      </c>
      <c r="L174" s="49" t="s">
        <v>696</v>
      </c>
      <c r="M174" s="50" t="s">
        <v>977</v>
      </c>
      <c r="N174" s="50" t="s">
        <v>1752</v>
      </c>
      <c r="O174" s="51"/>
      <c r="P174" s="51"/>
      <c r="Q174" s="48"/>
      <c r="S174" s="1">
        <f t="shared" si="63"/>
        <v>0</v>
      </c>
      <c r="T174" s="1">
        <f t="shared" si="64"/>
        <v>0</v>
      </c>
      <c r="U174" s="1">
        <f t="shared" si="65"/>
        <v>0</v>
      </c>
      <c r="V174" s="1">
        <f t="shared" si="66"/>
        <v>0</v>
      </c>
      <c r="W174" s="1">
        <f t="shared" si="67"/>
        <v>0</v>
      </c>
      <c r="X174" s="1">
        <f t="shared" si="68"/>
        <v>0</v>
      </c>
      <c r="Y174" s="1">
        <f t="shared" si="69"/>
        <v>0</v>
      </c>
      <c r="Z174" s="1">
        <f t="shared" si="70"/>
        <v>0</v>
      </c>
      <c r="AA174" s="1">
        <f t="shared" si="71"/>
        <v>0</v>
      </c>
      <c r="AB174" s="1">
        <f t="shared" si="72"/>
        <v>0</v>
      </c>
      <c r="AD174" s="1">
        <f t="shared" si="73"/>
        <v>0</v>
      </c>
      <c r="AE174" s="1">
        <f t="shared" si="74"/>
        <v>0</v>
      </c>
      <c r="AF174" s="1">
        <f t="shared" si="59"/>
        <v>0</v>
      </c>
      <c r="AG174" s="1">
        <f t="shared" si="60"/>
        <v>0</v>
      </c>
      <c r="AH174" s="1">
        <f t="shared" si="61"/>
        <v>0</v>
      </c>
      <c r="AI174" s="1">
        <f t="shared" si="62"/>
        <v>1</v>
      </c>
    </row>
    <row r="175" spans="1:35" ht="14.25" customHeight="1" x14ac:dyDescent="0.3">
      <c r="A175" s="34">
        <v>0</v>
      </c>
      <c r="B175" s="34">
        <v>1</v>
      </c>
      <c r="C175" s="34">
        <v>5</v>
      </c>
      <c r="D175" s="35" t="s">
        <v>1744</v>
      </c>
      <c r="E175" s="35" t="s">
        <v>168</v>
      </c>
      <c r="F175" s="35" t="s">
        <v>1745</v>
      </c>
      <c r="G175" s="35" t="s">
        <v>1746</v>
      </c>
      <c r="H175" s="35" t="s">
        <v>357</v>
      </c>
      <c r="I175" s="34" t="s">
        <v>1747</v>
      </c>
      <c r="J175" s="34">
        <v>2</v>
      </c>
      <c r="K175" s="36" t="s">
        <v>710</v>
      </c>
      <c r="L175" s="36"/>
      <c r="M175" s="37"/>
      <c r="N175" s="37" t="s">
        <v>1748</v>
      </c>
      <c r="O175" s="38">
        <v>1</v>
      </c>
      <c r="P175" s="38">
        <v>1</v>
      </c>
      <c r="Q175" s="35"/>
      <c r="S175" s="1">
        <f t="shared" si="63"/>
        <v>0</v>
      </c>
      <c r="T175" s="1">
        <f t="shared" si="64"/>
        <v>1</v>
      </c>
      <c r="U175" s="1">
        <f t="shared" si="65"/>
        <v>0</v>
      </c>
      <c r="V175" s="1">
        <f t="shared" si="66"/>
        <v>0</v>
      </c>
      <c r="W175" s="1">
        <f t="shared" si="67"/>
        <v>0</v>
      </c>
      <c r="X175" s="1">
        <f t="shared" si="68"/>
        <v>0</v>
      </c>
      <c r="Y175" s="1">
        <f t="shared" si="69"/>
        <v>0</v>
      </c>
      <c r="Z175" s="1">
        <f t="shared" si="70"/>
        <v>0</v>
      </c>
      <c r="AA175" s="1">
        <f t="shared" si="71"/>
        <v>0</v>
      </c>
      <c r="AB175" s="1">
        <f t="shared" si="72"/>
        <v>0</v>
      </c>
      <c r="AD175" s="1">
        <f t="shared" si="73"/>
        <v>1</v>
      </c>
      <c r="AE175" s="1">
        <f t="shared" si="74"/>
        <v>0</v>
      </c>
      <c r="AF175" s="1">
        <f t="shared" si="59"/>
        <v>1</v>
      </c>
      <c r="AG175" s="1">
        <f t="shared" si="60"/>
        <v>0</v>
      </c>
      <c r="AH175" s="1">
        <f t="shared" si="61"/>
        <v>1</v>
      </c>
      <c r="AI175" s="1">
        <f t="shared" si="62"/>
        <v>0</v>
      </c>
    </row>
    <row r="176" spans="1:35" ht="14.25" customHeight="1" x14ac:dyDescent="0.3">
      <c r="A176" s="47">
        <v>0</v>
      </c>
      <c r="B176" s="47">
        <v>1</v>
      </c>
      <c r="C176" s="47">
        <v>5</v>
      </c>
      <c r="D176" s="48" t="s">
        <v>88</v>
      </c>
      <c r="E176" s="48" t="s">
        <v>168</v>
      </c>
      <c r="F176" s="48" t="s">
        <v>582</v>
      </c>
      <c r="G176" s="48" t="s">
        <v>196</v>
      </c>
      <c r="H176" s="48" t="s">
        <v>357</v>
      </c>
      <c r="I176" s="47" t="s">
        <v>440</v>
      </c>
      <c r="J176" s="47">
        <v>9</v>
      </c>
      <c r="K176" s="49" t="s">
        <v>963</v>
      </c>
      <c r="L176" s="49" t="s">
        <v>703</v>
      </c>
      <c r="M176" s="50" t="s">
        <v>698</v>
      </c>
      <c r="N176" s="50" t="s">
        <v>1750</v>
      </c>
      <c r="O176" s="51"/>
      <c r="P176" s="51"/>
      <c r="Q176" s="48"/>
      <c r="S176" s="1">
        <f t="shared" si="63"/>
        <v>0</v>
      </c>
      <c r="T176" s="1">
        <f t="shared" si="64"/>
        <v>0</v>
      </c>
      <c r="U176" s="1">
        <f t="shared" si="65"/>
        <v>0</v>
      </c>
      <c r="V176" s="1">
        <f t="shared" si="66"/>
        <v>0</v>
      </c>
      <c r="W176" s="1">
        <f t="shared" si="67"/>
        <v>0</v>
      </c>
      <c r="X176" s="1">
        <f t="shared" si="68"/>
        <v>0</v>
      </c>
      <c r="Y176" s="1">
        <f t="shared" si="69"/>
        <v>0</v>
      </c>
      <c r="Z176" s="1">
        <f t="shared" si="70"/>
        <v>0</v>
      </c>
      <c r="AA176" s="1">
        <f t="shared" si="71"/>
        <v>1</v>
      </c>
      <c r="AB176" s="1">
        <f t="shared" si="72"/>
        <v>0</v>
      </c>
      <c r="AD176" s="1">
        <f t="shared" si="73"/>
        <v>0</v>
      </c>
      <c r="AE176" s="1">
        <f t="shared" si="74"/>
        <v>0</v>
      </c>
      <c r="AF176" s="1">
        <f t="shared" si="59"/>
        <v>0</v>
      </c>
      <c r="AG176" s="1">
        <f t="shared" si="60"/>
        <v>0</v>
      </c>
      <c r="AH176" s="1">
        <f t="shared" si="61"/>
        <v>0</v>
      </c>
      <c r="AI176" s="1">
        <f t="shared" si="62"/>
        <v>1</v>
      </c>
    </row>
    <row r="177" spans="1:35" ht="14.25" customHeight="1" x14ac:dyDescent="0.3">
      <c r="A177" s="47">
        <v>0</v>
      </c>
      <c r="B177" s="47">
        <v>1</v>
      </c>
      <c r="C177" s="47">
        <v>5</v>
      </c>
      <c r="D177" s="48" t="s">
        <v>128</v>
      </c>
      <c r="E177" s="48" t="s">
        <v>168</v>
      </c>
      <c r="F177" s="48" t="s">
        <v>331</v>
      </c>
      <c r="G177" s="48" t="s">
        <v>182</v>
      </c>
      <c r="H177" s="48" t="s">
        <v>357</v>
      </c>
      <c r="I177" s="47" t="s">
        <v>480</v>
      </c>
      <c r="J177" s="47">
        <v>10</v>
      </c>
      <c r="K177" s="49" t="s">
        <v>965</v>
      </c>
      <c r="L177" s="49" t="s">
        <v>701</v>
      </c>
      <c r="M177" s="50" t="s">
        <v>698</v>
      </c>
      <c r="N177" s="50" t="s">
        <v>1755</v>
      </c>
      <c r="O177" s="51"/>
      <c r="P177" s="51"/>
      <c r="Q177" s="48"/>
      <c r="S177" s="1">
        <f t="shared" si="63"/>
        <v>0</v>
      </c>
      <c r="T177" s="1">
        <f t="shared" si="64"/>
        <v>0</v>
      </c>
      <c r="U177" s="1">
        <f t="shared" si="65"/>
        <v>0</v>
      </c>
      <c r="V177" s="1">
        <f t="shared" si="66"/>
        <v>0</v>
      </c>
      <c r="W177" s="1">
        <f t="shared" si="67"/>
        <v>0</v>
      </c>
      <c r="X177" s="1">
        <f t="shared" si="68"/>
        <v>0</v>
      </c>
      <c r="Y177" s="1">
        <f t="shared" si="69"/>
        <v>0</v>
      </c>
      <c r="Z177" s="1">
        <f t="shared" si="70"/>
        <v>0</v>
      </c>
      <c r="AA177" s="1">
        <f t="shared" si="71"/>
        <v>0</v>
      </c>
      <c r="AB177" s="1">
        <f t="shared" si="72"/>
        <v>1</v>
      </c>
      <c r="AD177" s="1">
        <f t="shared" si="73"/>
        <v>0</v>
      </c>
      <c r="AE177" s="1">
        <f t="shared" si="74"/>
        <v>0</v>
      </c>
      <c r="AF177" s="1">
        <f t="shared" si="59"/>
        <v>0</v>
      </c>
      <c r="AG177" s="1">
        <f t="shared" si="60"/>
        <v>0</v>
      </c>
      <c r="AH177" s="1">
        <f t="shared" si="61"/>
        <v>0</v>
      </c>
      <c r="AI177" s="1">
        <f t="shared" si="62"/>
        <v>1</v>
      </c>
    </row>
    <row r="178" spans="1:35" ht="14.25" customHeight="1" x14ac:dyDescent="0.3">
      <c r="A178" s="47">
        <v>0</v>
      </c>
      <c r="B178" s="47">
        <v>1</v>
      </c>
      <c r="C178" s="47">
        <v>5</v>
      </c>
      <c r="D178" s="48" t="s">
        <v>138</v>
      </c>
      <c r="E178" s="48" t="s">
        <v>168</v>
      </c>
      <c r="F178" s="48" t="s">
        <v>553</v>
      </c>
      <c r="G178" s="48" t="s">
        <v>222</v>
      </c>
      <c r="H178" s="48" t="s">
        <v>357</v>
      </c>
      <c r="I178" s="47" t="s">
        <v>545</v>
      </c>
      <c r="J178" s="47">
        <v>8</v>
      </c>
      <c r="K178" s="49" t="s">
        <v>963</v>
      </c>
      <c r="L178" s="49" t="s">
        <v>701</v>
      </c>
      <c r="M178" s="50" t="s">
        <v>698</v>
      </c>
      <c r="N178" s="50" t="s">
        <v>1750</v>
      </c>
      <c r="O178" s="51"/>
      <c r="P178" s="51"/>
      <c r="Q178" s="48"/>
      <c r="S178" s="1">
        <f t="shared" si="63"/>
        <v>0</v>
      </c>
      <c r="T178" s="1">
        <f t="shared" si="64"/>
        <v>0</v>
      </c>
      <c r="U178" s="1">
        <f t="shared" si="65"/>
        <v>0</v>
      </c>
      <c r="V178" s="1">
        <f t="shared" si="66"/>
        <v>0</v>
      </c>
      <c r="W178" s="1">
        <f t="shared" si="67"/>
        <v>0</v>
      </c>
      <c r="X178" s="1">
        <f t="shared" si="68"/>
        <v>0</v>
      </c>
      <c r="Y178" s="1">
        <f t="shared" si="69"/>
        <v>0</v>
      </c>
      <c r="Z178" s="1">
        <f t="shared" si="70"/>
        <v>1</v>
      </c>
      <c r="AA178" s="1">
        <f t="shared" si="71"/>
        <v>0</v>
      </c>
      <c r="AB178" s="1">
        <f t="shared" si="72"/>
        <v>0</v>
      </c>
      <c r="AD178" s="1">
        <f t="shared" si="73"/>
        <v>0</v>
      </c>
      <c r="AE178" s="1">
        <f t="shared" si="74"/>
        <v>0</v>
      </c>
      <c r="AF178" s="1">
        <f t="shared" si="59"/>
        <v>0</v>
      </c>
      <c r="AG178" s="1">
        <f t="shared" si="60"/>
        <v>0</v>
      </c>
      <c r="AH178" s="1">
        <f t="shared" si="61"/>
        <v>0</v>
      </c>
      <c r="AI178" s="1">
        <f t="shared" si="62"/>
        <v>1</v>
      </c>
    </row>
    <row r="179" spans="1:35" ht="14.25" customHeight="1" x14ac:dyDescent="0.3">
      <c r="A179" s="47">
        <v>1</v>
      </c>
      <c r="B179" s="47">
        <v>1</v>
      </c>
      <c r="C179" s="47">
        <v>5</v>
      </c>
      <c r="D179" s="48" t="s">
        <v>138</v>
      </c>
      <c r="E179" s="48" t="s">
        <v>168</v>
      </c>
      <c r="F179" s="48" t="s">
        <v>340</v>
      </c>
      <c r="G179" s="48" t="s">
        <v>341</v>
      </c>
      <c r="H179" s="48" t="s">
        <v>357</v>
      </c>
      <c r="I179" s="47" t="s">
        <v>489</v>
      </c>
      <c r="J179" s="47">
        <v>10</v>
      </c>
      <c r="K179" s="49" t="s">
        <v>963</v>
      </c>
      <c r="L179" s="49" t="s">
        <v>701</v>
      </c>
      <c r="M179" s="50" t="s">
        <v>698</v>
      </c>
      <c r="N179" s="50" t="s">
        <v>1750</v>
      </c>
      <c r="O179" s="51"/>
      <c r="P179" s="51"/>
      <c r="Q179" s="48"/>
      <c r="S179" s="1">
        <f t="shared" si="63"/>
        <v>0</v>
      </c>
      <c r="T179" s="1">
        <f t="shared" si="64"/>
        <v>0</v>
      </c>
      <c r="U179" s="1">
        <f t="shared" si="65"/>
        <v>0</v>
      </c>
      <c r="V179" s="1">
        <f t="shared" si="66"/>
        <v>0</v>
      </c>
      <c r="W179" s="1">
        <f t="shared" si="67"/>
        <v>0</v>
      </c>
      <c r="X179" s="1">
        <f t="shared" si="68"/>
        <v>0</v>
      </c>
      <c r="Y179" s="1">
        <f t="shared" si="69"/>
        <v>0</v>
      </c>
      <c r="Z179" s="1">
        <f t="shared" si="70"/>
        <v>0</v>
      </c>
      <c r="AA179" s="1">
        <f t="shared" si="71"/>
        <v>0</v>
      </c>
      <c r="AB179" s="1">
        <f t="shared" si="72"/>
        <v>1</v>
      </c>
      <c r="AD179" s="1">
        <f t="shared" si="73"/>
        <v>0</v>
      </c>
      <c r="AE179" s="1">
        <f t="shared" si="74"/>
        <v>0</v>
      </c>
      <c r="AF179" s="1">
        <f t="shared" si="59"/>
        <v>0</v>
      </c>
      <c r="AG179" s="1">
        <f t="shared" si="60"/>
        <v>0</v>
      </c>
      <c r="AH179" s="1">
        <f t="shared" si="61"/>
        <v>0</v>
      </c>
      <c r="AI179" s="1">
        <f t="shared" si="62"/>
        <v>0</v>
      </c>
    </row>
    <row r="180" spans="1:35" ht="14.25" customHeight="1" x14ac:dyDescent="0.3">
      <c r="A180" s="47">
        <v>0</v>
      </c>
      <c r="B180" s="47">
        <v>1</v>
      </c>
      <c r="C180" s="47">
        <v>5</v>
      </c>
      <c r="D180" s="48" t="s">
        <v>1652</v>
      </c>
      <c r="E180" s="48" t="s">
        <v>168</v>
      </c>
      <c r="F180" s="48" t="s">
        <v>872</v>
      </c>
      <c r="G180" s="48" t="s">
        <v>1679</v>
      </c>
      <c r="H180" s="48" t="s">
        <v>357</v>
      </c>
      <c r="I180" s="47" t="s">
        <v>873</v>
      </c>
      <c r="J180" s="47">
        <v>1</v>
      </c>
      <c r="K180" s="49" t="s">
        <v>729</v>
      </c>
      <c r="L180" s="49" t="s">
        <v>1722</v>
      </c>
      <c r="M180" s="50" t="s">
        <v>1414</v>
      </c>
      <c r="N180" s="50" t="s">
        <v>1750</v>
      </c>
      <c r="O180" s="51"/>
      <c r="P180" s="51"/>
      <c r="Q180" s="48"/>
      <c r="S180" s="1">
        <f t="shared" si="63"/>
        <v>1</v>
      </c>
      <c r="T180" s="1">
        <f t="shared" si="64"/>
        <v>0</v>
      </c>
      <c r="U180" s="1">
        <f t="shared" si="65"/>
        <v>0</v>
      </c>
      <c r="V180" s="1">
        <f t="shared" si="66"/>
        <v>0</v>
      </c>
      <c r="W180" s="1">
        <f t="shared" si="67"/>
        <v>0</v>
      </c>
      <c r="X180" s="1">
        <f t="shared" si="68"/>
        <v>0</v>
      </c>
      <c r="Y180" s="1">
        <f t="shared" si="69"/>
        <v>0</v>
      </c>
      <c r="Z180" s="1">
        <f t="shared" si="70"/>
        <v>0</v>
      </c>
      <c r="AA180" s="1">
        <f t="shared" si="71"/>
        <v>0</v>
      </c>
      <c r="AB180" s="1">
        <f t="shared" si="72"/>
        <v>0</v>
      </c>
      <c r="AD180" s="1">
        <f t="shared" si="73"/>
        <v>0</v>
      </c>
      <c r="AE180" s="1">
        <f t="shared" si="74"/>
        <v>0</v>
      </c>
      <c r="AF180" s="1">
        <f t="shared" si="59"/>
        <v>0</v>
      </c>
      <c r="AG180" s="1">
        <f t="shared" si="60"/>
        <v>0</v>
      </c>
      <c r="AH180" s="1">
        <f t="shared" si="61"/>
        <v>0</v>
      </c>
      <c r="AI180" s="1">
        <f t="shared" si="62"/>
        <v>1</v>
      </c>
    </row>
    <row r="181" spans="1:35" ht="14.25" customHeight="1" x14ac:dyDescent="0.3">
      <c r="A181" s="34">
        <v>0</v>
      </c>
      <c r="B181" s="34">
        <v>1</v>
      </c>
      <c r="C181" s="34">
        <v>5</v>
      </c>
      <c r="D181" s="35" t="s">
        <v>894</v>
      </c>
      <c r="E181" s="35" t="s">
        <v>895</v>
      </c>
      <c r="F181" s="35" t="s">
        <v>1102</v>
      </c>
      <c r="G181" s="35" t="s">
        <v>39</v>
      </c>
      <c r="H181" s="35" t="s">
        <v>896</v>
      </c>
      <c r="I181" s="34" t="s">
        <v>897</v>
      </c>
      <c r="J181" s="34">
        <v>16</v>
      </c>
      <c r="K181" s="36" t="s">
        <v>710</v>
      </c>
      <c r="L181" s="36" t="s">
        <v>699</v>
      </c>
      <c r="M181" s="37" t="s">
        <v>977</v>
      </c>
      <c r="N181" s="37" t="s">
        <v>1748</v>
      </c>
      <c r="O181" s="38">
        <v>1</v>
      </c>
      <c r="P181" s="38">
        <v>1</v>
      </c>
      <c r="Q181" s="39" t="s">
        <v>1909</v>
      </c>
      <c r="S181" s="1">
        <f t="shared" si="63"/>
        <v>0</v>
      </c>
      <c r="T181" s="1">
        <f t="shared" si="64"/>
        <v>0</v>
      </c>
      <c r="U181" s="1">
        <f t="shared" si="65"/>
        <v>0</v>
      </c>
      <c r="V181" s="1">
        <f t="shared" si="66"/>
        <v>0</v>
      </c>
      <c r="W181" s="1">
        <f t="shared" si="67"/>
        <v>0</v>
      </c>
      <c r="X181" s="1">
        <f t="shared" si="68"/>
        <v>0</v>
      </c>
      <c r="Y181" s="1">
        <f t="shared" si="69"/>
        <v>0</v>
      </c>
      <c r="Z181" s="1">
        <f t="shared" si="70"/>
        <v>0</v>
      </c>
      <c r="AA181" s="1">
        <f t="shared" si="71"/>
        <v>0</v>
      </c>
      <c r="AB181" s="1">
        <f t="shared" si="72"/>
        <v>0</v>
      </c>
      <c r="AD181" s="1">
        <f t="shared" si="73"/>
        <v>1</v>
      </c>
      <c r="AE181" s="1">
        <f t="shared" si="74"/>
        <v>0</v>
      </c>
      <c r="AF181" s="1">
        <f t="shared" si="59"/>
        <v>1</v>
      </c>
      <c r="AG181" s="1">
        <f t="shared" si="60"/>
        <v>0</v>
      </c>
      <c r="AH181" s="1">
        <f t="shared" si="61"/>
        <v>1</v>
      </c>
      <c r="AI181" s="1">
        <f t="shared" si="62"/>
        <v>0</v>
      </c>
    </row>
    <row r="182" spans="1:35" ht="14.25" customHeight="1" x14ac:dyDescent="0.3">
      <c r="A182" s="34">
        <v>0</v>
      </c>
      <c r="B182" s="34">
        <v>1</v>
      </c>
      <c r="C182" s="34">
        <v>5</v>
      </c>
      <c r="D182" s="35" t="s">
        <v>107</v>
      </c>
      <c r="E182" s="35" t="s">
        <v>175</v>
      </c>
      <c r="F182" s="35" t="s">
        <v>307</v>
      </c>
      <c r="G182" s="35" t="s">
        <v>39</v>
      </c>
      <c r="H182" s="35" t="s">
        <v>362</v>
      </c>
      <c r="I182" s="34" t="s">
        <v>457</v>
      </c>
      <c r="J182" s="34">
        <v>14</v>
      </c>
      <c r="K182" s="36" t="s">
        <v>963</v>
      </c>
      <c r="L182" s="36" t="s">
        <v>700</v>
      </c>
      <c r="M182" s="37" t="s">
        <v>977</v>
      </c>
      <c r="N182" s="37" t="s">
        <v>1758</v>
      </c>
      <c r="O182" s="38">
        <v>1</v>
      </c>
      <c r="P182" s="38"/>
      <c r="Q182" s="35"/>
      <c r="S182" s="1">
        <f t="shared" si="63"/>
        <v>0</v>
      </c>
      <c r="T182" s="1">
        <f t="shared" si="64"/>
        <v>0</v>
      </c>
      <c r="U182" s="1">
        <f t="shared" si="65"/>
        <v>0</v>
      </c>
      <c r="V182" s="1">
        <f t="shared" si="66"/>
        <v>0</v>
      </c>
      <c r="W182" s="1">
        <f t="shared" si="67"/>
        <v>0</v>
      </c>
      <c r="X182" s="1">
        <f t="shared" si="68"/>
        <v>0</v>
      </c>
      <c r="Y182" s="1">
        <f t="shared" si="69"/>
        <v>0</v>
      </c>
      <c r="Z182" s="1">
        <f t="shared" si="70"/>
        <v>0</v>
      </c>
      <c r="AA182" s="1">
        <f t="shared" si="71"/>
        <v>0</v>
      </c>
      <c r="AB182" s="1">
        <f t="shared" si="72"/>
        <v>0</v>
      </c>
      <c r="AD182" s="1">
        <f t="shared" si="73"/>
        <v>0</v>
      </c>
      <c r="AE182" s="1">
        <f t="shared" si="74"/>
        <v>1</v>
      </c>
      <c r="AF182" s="1">
        <f t="shared" si="59"/>
        <v>0</v>
      </c>
      <c r="AG182" s="1">
        <f t="shared" si="60"/>
        <v>1</v>
      </c>
      <c r="AH182" s="1">
        <f t="shared" si="61"/>
        <v>0</v>
      </c>
      <c r="AI182" s="1">
        <f t="shared" si="62"/>
        <v>1</v>
      </c>
    </row>
    <row r="183" spans="1:35" ht="14.25" customHeight="1" x14ac:dyDescent="0.3">
      <c r="A183" s="47">
        <v>0</v>
      </c>
      <c r="B183" s="47">
        <v>1</v>
      </c>
      <c r="C183" s="47">
        <v>5</v>
      </c>
      <c r="D183" s="48" t="s">
        <v>518</v>
      </c>
      <c r="E183" s="48" t="s">
        <v>174</v>
      </c>
      <c r="F183" s="48" t="s">
        <v>554</v>
      </c>
      <c r="G183" s="48" t="s">
        <v>39</v>
      </c>
      <c r="H183" s="48" t="s">
        <v>365</v>
      </c>
      <c r="I183" s="47" t="s">
        <v>1124</v>
      </c>
      <c r="J183" s="47">
        <v>12</v>
      </c>
      <c r="K183" s="49" t="s">
        <v>710</v>
      </c>
      <c r="L183" s="49">
        <v>35</v>
      </c>
      <c r="M183" s="50" t="s">
        <v>977</v>
      </c>
      <c r="N183" s="50" t="s">
        <v>1817</v>
      </c>
      <c r="O183" s="51"/>
      <c r="P183" s="51"/>
      <c r="Q183" s="48"/>
      <c r="S183" s="1">
        <f t="shared" si="63"/>
        <v>0</v>
      </c>
      <c r="T183" s="1">
        <f t="shared" si="64"/>
        <v>0</v>
      </c>
      <c r="U183" s="1">
        <f t="shared" si="65"/>
        <v>0</v>
      </c>
      <c r="V183" s="1">
        <f t="shared" si="66"/>
        <v>0</v>
      </c>
      <c r="W183" s="1">
        <f t="shared" si="67"/>
        <v>0</v>
      </c>
      <c r="X183" s="1">
        <f t="shared" si="68"/>
        <v>0</v>
      </c>
      <c r="Y183" s="1">
        <f t="shared" si="69"/>
        <v>0</v>
      </c>
      <c r="Z183" s="1">
        <f t="shared" si="70"/>
        <v>0</v>
      </c>
      <c r="AA183" s="1">
        <f t="shared" si="71"/>
        <v>0</v>
      </c>
      <c r="AB183" s="1">
        <f t="shared" si="72"/>
        <v>0</v>
      </c>
      <c r="AD183" s="1">
        <f t="shared" si="73"/>
        <v>0</v>
      </c>
      <c r="AE183" s="1">
        <f t="shared" si="74"/>
        <v>0</v>
      </c>
      <c r="AF183" s="1">
        <f t="shared" si="59"/>
        <v>0</v>
      </c>
      <c r="AG183" s="1">
        <f t="shared" si="60"/>
        <v>0</v>
      </c>
      <c r="AH183" s="1">
        <f t="shared" si="61"/>
        <v>0</v>
      </c>
      <c r="AI183" s="1">
        <f t="shared" si="62"/>
        <v>1</v>
      </c>
    </row>
    <row r="184" spans="1:35" ht="14.25" customHeight="1" x14ac:dyDescent="0.3">
      <c r="A184" s="34">
        <v>0</v>
      </c>
      <c r="B184" s="34">
        <v>1</v>
      </c>
      <c r="C184" s="34">
        <v>5</v>
      </c>
      <c r="D184" s="35" t="s">
        <v>153</v>
      </c>
      <c r="E184" s="35" t="s">
        <v>168</v>
      </c>
      <c r="F184" s="39" t="s">
        <v>1885</v>
      </c>
      <c r="G184" s="35" t="s">
        <v>199</v>
      </c>
      <c r="H184" s="35" t="s">
        <v>357</v>
      </c>
      <c r="I184" s="34" t="s">
        <v>503</v>
      </c>
      <c r="J184" s="34">
        <v>99</v>
      </c>
      <c r="K184" s="36" t="s">
        <v>963</v>
      </c>
      <c r="L184" s="36" t="s">
        <v>700</v>
      </c>
      <c r="M184" s="37" t="s">
        <v>977</v>
      </c>
      <c r="N184" s="37" t="s">
        <v>1763</v>
      </c>
      <c r="O184" s="38">
        <v>1</v>
      </c>
      <c r="P184" s="38"/>
      <c r="Q184" s="35"/>
      <c r="S184" s="1">
        <f t="shared" si="63"/>
        <v>0</v>
      </c>
      <c r="T184" s="1">
        <f t="shared" si="64"/>
        <v>0</v>
      </c>
      <c r="U184" s="1">
        <f t="shared" si="65"/>
        <v>0</v>
      </c>
      <c r="V184" s="1">
        <f t="shared" si="66"/>
        <v>0</v>
      </c>
      <c r="W184" s="1">
        <f t="shared" si="67"/>
        <v>0</v>
      </c>
      <c r="X184" s="1">
        <f t="shared" si="68"/>
        <v>0</v>
      </c>
      <c r="Y184" s="1">
        <f t="shared" si="69"/>
        <v>0</v>
      </c>
      <c r="Z184" s="1">
        <f t="shared" si="70"/>
        <v>0</v>
      </c>
      <c r="AA184" s="1">
        <f t="shared" si="71"/>
        <v>0</v>
      </c>
      <c r="AB184" s="1">
        <f t="shared" si="72"/>
        <v>0</v>
      </c>
      <c r="AD184" s="1">
        <f t="shared" si="73"/>
        <v>0</v>
      </c>
      <c r="AE184" s="1">
        <f t="shared" si="74"/>
        <v>1</v>
      </c>
      <c r="AF184" s="1">
        <f t="shared" si="59"/>
        <v>0</v>
      </c>
      <c r="AG184" s="1">
        <f t="shared" si="60"/>
        <v>1</v>
      </c>
      <c r="AH184" s="1">
        <f t="shared" si="61"/>
        <v>0</v>
      </c>
      <c r="AI184" s="1">
        <f t="shared" si="62"/>
        <v>1</v>
      </c>
    </row>
    <row r="185" spans="1:35" ht="13.95" customHeight="1" x14ac:dyDescent="0.3">
      <c r="A185" s="47">
        <v>0</v>
      </c>
      <c r="B185" s="47">
        <v>1</v>
      </c>
      <c r="C185" s="47">
        <v>5</v>
      </c>
      <c r="D185" s="48" t="s">
        <v>654</v>
      </c>
      <c r="E185" s="48" t="s">
        <v>690</v>
      </c>
      <c r="F185" s="48" t="s">
        <v>650</v>
      </c>
      <c r="G185" s="48" t="s">
        <v>187</v>
      </c>
      <c r="H185" s="48" t="s">
        <v>357</v>
      </c>
      <c r="I185" s="47" t="s">
        <v>651</v>
      </c>
      <c r="J185" s="47">
        <v>99</v>
      </c>
      <c r="K185" s="49" t="s">
        <v>729</v>
      </c>
      <c r="L185" s="49" t="s">
        <v>700</v>
      </c>
      <c r="M185" s="50" t="s">
        <v>977</v>
      </c>
      <c r="N185" s="50" t="s">
        <v>1749</v>
      </c>
      <c r="O185" s="51"/>
      <c r="P185" s="51"/>
      <c r="Q185" s="48"/>
      <c r="S185" s="1">
        <f t="shared" si="63"/>
        <v>0</v>
      </c>
      <c r="T185" s="1">
        <f t="shared" si="64"/>
        <v>0</v>
      </c>
      <c r="U185" s="1">
        <f t="shared" si="65"/>
        <v>0</v>
      </c>
      <c r="V185" s="1">
        <f t="shared" si="66"/>
        <v>0</v>
      </c>
      <c r="W185" s="1">
        <f t="shared" si="67"/>
        <v>0</v>
      </c>
      <c r="X185" s="1">
        <f t="shared" si="68"/>
        <v>0</v>
      </c>
      <c r="Y185" s="1">
        <f t="shared" si="69"/>
        <v>0</v>
      </c>
      <c r="Z185" s="1">
        <f t="shared" si="70"/>
        <v>0</v>
      </c>
      <c r="AA185" s="1">
        <f t="shared" si="71"/>
        <v>0</v>
      </c>
      <c r="AB185" s="1">
        <f t="shared" si="72"/>
        <v>0</v>
      </c>
      <c r="AD185" s="1">
        <f t="shared" si="73"/>
        <v>0</v>
      </c>
      <c r="AE185" s="1">
        <f t="shared" si="74"/>
        <v>0</v>
      </c>
      <c r="AF185" s="1">
        <f t="shared" si="59"/>
        <v>0</v>
      </c>
      <c r="AG185" s="1">
        <f t="shared" si="60"/>
        <v>0</v>
      </c>
      <c r="AH185" s="1">
        <f t="shared" si="61"/>
        <v>0</v>
      </c>
      <c r="AI185" s="1">
        <f t="shared" si="62"/>
        <v>1</v>
      </c>
    </row>
    <row r="186" spans="1:35" ht="14.25" customHeight="1" x14ac:dyDescent="0.3">
      <c r="A186" s="34">
        <v>0</v>
      </c>
      <c r="B186" s="34">
        <v>1</v>
      </c>
      <c r="C186" s="34">
        <v>5</v>
      </c>
      <c r="D186" s="35" t="s">
        <v>1324</v>
      </c>
      <c r="E186" s="35" t="s">
        <v>168</v>
      </c>
      <c r="F186" s="35" t="s">
        <v>1325</v>
      </c>
      <c r="G186" s="35" t="s">
        <v>286</v>
      </c>
      <c r="H186" s="35" t="s">
        <v>357</v>
      </c>
      <c r="I186" s="34" t="s">
        <v>1326</v>
      </c>
      <c r="J186" s="34">
        <v>99</v>
      </c>
      <c r="K186" s="36" t="s">
        <v>709</v>
      </c>
      <c r="L186" s="36" t="s">
        <v>39</v>
      </c>
      <c r="M186" s="37" t="s">
        <v>39</v>
      </c>
      <c r="N186" s="37" t="s">
        <v>1748</v>
      </c>
      <c r="O186" s="38">
        <v>1</v>
      </c>
      <c r="P186" s="38">
        <v>1</v>
      </c>
      <c r="Q186" s="35"/>
      <c r="S186" s="1">
        <f t="shared" si="63"/>
        <v>0</v>
      </c>
      <c r="T186" s="1">
        <f t="shared" si="64"/>
        <v>0</v>
      </c>
      <c r="U186" s="1">
        <f t="shared" si="65"/>
        <v>0</v>
      </c>
      <c r="V186" s="1">
        <f t="shared" si="66"/>
        <v>0</v>
      </c>
      <c r="W186" s="1">
        <f t="shared" si="67"/>
        <v>0</v>
      </c>
      <c r="X186" s="1">
        <f t="shared" si="68"/>
        <v>0</v>
      </c>
      <c r="Y186" s="1">
        <f t="shared" si="69"/>
        <v>0</v>
      </c>
      <c r="Z186" s="1">
        <f t="shared" si="70"/>
        <v>0</v>
      </c>
      <c r="AA186" s="1">
        <f t="shared" si="71"/>
        <v>0</v>
      </c>
      <c r="AB186" s="1">
        <f t="shared" si="72"/>
        <v>0</v>
      </c>
      <c r="AD186" s="1">
        <f t="shared" si="73"/>
        <v>1</v>
      </c>
      <c r="AE186" s="1">
        <f t="shared" si="74"/>
        <v>0</v>
      </c>
      <c r="AF186" s="1">
        <f t="shared" si="59"/>
        <v>1</v>
      </c>
      <c r="AG186" s="1">
        <f t="shared" si="60"/>
        <v>0</v>
      </c>
      <c r="AH186" s="1">
        <f t="shared" si="61"/>
        <v>1</v>
      </c>
      <c r="AI186" s="1">
        <f t="shared" si="62"/>
        <v>0</v>
      </c>
    </row>
    <row r="187" spans="1:35" ht="14.25" customHeight="1" x14ac:dyDescent="0.3">
      <c r="A187" s="47">
        <v>0</v>
      </c>
      <c r="B187" s="47">
        <v>1</v>
      </c>
      <c r="C187" s="47">
        <v>5</v>
      </c>
      <c r="D187" s="48" t="s">
        <v>899</v>
      </c>
      <c r="E187" s="48" t="s">
        <v>900</v>
      </c>
      <c r="F187" s="48" t="s">
        <v>941</v>
      </c>
      <c r="G187" s="48" t="s">
        <v>39</v>
      </c>
      <c r="H187" s="48" t="s">
        <v>901</v>
      </c>
      <c r="I187" s="47" t="s">
        <v>902</v>
      </c>
      <c r="J187" s="47">
        <v>17</v>
      </c>
      <c r="K187" s="49" t="s">
        <v>710</v>
      </c>
      <c r="L187" s="49" t="s">
        <v>704</v>
      </c>
      <c r="M187" s="50" t="s">
        <v>977</v>
      </c>
      <c r="N187" s="50" t="s">
        <v>1756</v>
      </c>
      <c r="O187" s="51"/>
      <c r="P187" s="51"/>
      <c r="Q187" s="48"/>
      <c r="S187" s="1">
        <f t="shared" si="63"/>
        <v>0</v>
      </c>
      <c r="T187" s="1">
        <f t="shared" si="64"/>
        <v>0</v>
      </c>
      <c r="U187" s="1">
        <f t="shared" si="65"/>
        <v>0</v>
      </c>
      <c r="V187" s="1">
        <f t="shared" si="66"/>
        <v>0</v>
      </c>
      <c r="W187" s="1">
        <f t="shared" si="67"/>
        <v>0</v>
      </c>
      <c r="X187" s="1">
        <f t="shared" si="68"/>
        <v>0</v>
      </c>
      <c r="Y187" s="1">
        <f t="shared" si="69"/>
        <v>0</v>
      </c>
      <c r="Z187" s="1">
        <f t="shared" si="70"/>
        <v>0</v>
      </c>
      <c r="AA187" s="1">
        <f t="shared" si="71"/>
        <v>0</v>
      </c>
      <c r="AB187" s="1">
        <f t="shared" si="72"/>
        <v>0</v>
      </c>
      <c r="AD187" s="1">
        <f t="shared" si="73"/>
        <v>0</v>
      </c>
      <c r="AE187" s="1">
        <f t="shared" si="74"/>
        <v>0</v>
      </c>
      <c r="AF187" s="1">
        <f t="shared" si="59"/>
        <v>0</v>
      </c>
      <c r="AG187" s="1">
        <f t="shared" si="60"/>
        <v>0</v>
      </c>
      <c r="AH187" s="1">
        <f t="shared" si="61"/>
        <v>0</v>
      </c>
      <c r="AI187" s="1">
        <f t="shared" si="62"/>
        <v>1</v>
      </c>
    </row>
    <row r="188" spans="1:35" ht="14.25" customHeight="1" x14ac:dyDescent="0.3">
      <c r="A188" s="47">
        <v>0</v>
      </c>
      <c r="B188" s="47">
        <v>1</v>
      </c>
      <c r="C188" s="47">
        <v>5</v>
      </c>
      <c r="D188" s="48" t="s">
        <v>132</v>
      </c>
      <c r="E188" s="48" t="s">
        <v>168</v>
      </c>
      <c r="F188" s="48" t="s">
        <v>335</v>
      </c>
      <c r="G188" s="48" t="s">
        <v>336</v>
      </c>
      <c r="H188" s="48" t="s">
        <v>357</v>
      </c>
      <c r="I188" s="47" t="s">
        <v>484</v>
      </c>
      <c r="J188" s="47">
        <v>99</v>
      </c>
      <c r="K188" s="49" t="s">
        <v>729</v>
      </c>
      <c r="L188" s="49" t="s">
        <v>701</v>
      </c>
      <c r="M188" s="50" t="s">
        <v>977</v>
      </c>
      <c r="N188" s="50" t="s">
        <v>1762</v>
      </c>
      <c r="O188" s="51"/>
      <c r="P188" s="51"/>
      <c r="Q188" s="48"/>
      <c r="S188" s="1">
        <f t="shared" si="63"/>
        <v>0</v>
      </c>
      <c r="T188" s="1">
        <f t="shared" si="64"/>
        <v>0</v>
      </c>
      <c r="U188" s="1">
        <f t="shared" si="65"/>
        <v>0</v>
      </c>
      <c r="V188" s="1">
        <f t="shared" si="66"/>
        <v>0</v>
      </c>
      <c r="W188" s="1">
        <f t="shared" si="67"/>
        <v>0</v>
      </c>
      <c r="X188" s="1">
        <f t="shared" si="68"/>
        <v>0</v>
      </c>
      <c r="Y188" s="1">
        <f t="shared" si="69"/>
        <v>0</v>
      </c>
      <c r="Z188" s="1">
        <f t="shared" si="70"/>
        <v>0</v>
      </c>
      <c r="AA188" s="1">
        <f t="shared" si="71"/>
        <v>0</v>
      </c>
      <c r="AB188" s="1">
        <f t="shared" si="72"/>
        <v>0</v>
      </c>
      <c r="AD188" s="1">
        <f t="shared" si="73"/>
        <v>0</v>
      </c>
      <c r="AE188" s="1">
        <f t="shared" si="74"/>
        <v>0</v>
      </c>
      <c r="AF188" s="1">
        <f t="shared" si="59"/>
        <v>0</v>
      </c>
      <c r="AG188" s="1">
        <f t="shared" si="60"/>
        <v>0</v>
      </c>
      <c r="AH188" s="1">
        <f t="shared" si="61"/>
        <v>0</v>
      </c>
      <c r="AI188" s="1">
        <f t="shared" si="62"/>
        <v>1</v>
      </c>
    </row>
    <row r="189" spans="1:35" ht="14.25" customHeight="1" x14ac:dyDescent="0.3">
      <c r="A189" s="34">
        <v>0</v>
      </c>
      <c r="B189" s="34">
        <v>1</v>
      </c>
      <c r="C189" s="34">
        <v>5</v>
      </c>
      <c r="D189" s="35" t="s">
        <v>110</v>
      </c>
      <c r="E189" s="35" t="s">
        <v>168</v>
      </c>
      <c r="F189" s="35" t="s">
        <v>310</v>
      </c>
      <c r="G189" s="35" t="s">
        <v>233</v>
      </c>
      <c r="H189" s="35" t="s">
        <v>357</v>
      </c>
      <c r="I189" s="34" t="s">
        <v>460</v>
      </c>
      <c r="J189" s="34">
        <v>99</v>
      </c>
      <c r="K189" s="36" t="s">
        <v>729</v>
      </c>
      <c r="L189" s="36" t="s">
        <v>703</v>
      </c>
      <c r="M189" s="37" t="s">
        <v>698</v>
      </c>
      <c r="N189" s="37" t="s">
        <v>1758</v>
      </c>
      <c r="O189" s="38">
        <v>1</v>
      </c>
      <c r="P189" s="38"/>
      <c r="Q189" s="35"/>
      <c r="S189" s="1">
        <f t="shared" si="63"/>
        <v>0</v>
      </c>
      <c r="T189" s="1">
        <f t="shared" si="64"/>
        <v>0</v>
      </c>
      <c r="U189" s="1">
        <f t="shared" si="65"/>
        <v>0</v>
      </c>
      <c r="V189" s="1">
        <f t="shared" si="66"/>
        <v>0</v>
      </c>
      <c r="W189" s="1">
        <f t="shared" si="67"/>
        <v>0</v>
      </c>
      <c r="X189" s="1">
        <f t="shared" si="68"/>
        <v>0</v>
      </c>
      <c r="Y189" s="1">
        <f t="shared" si="69"/>
        <v>0</v>
      </c>
      <c r="Z189" s="1">
        <f t="shared" si="70"/>
        <v>0</v>
      </c>
      <c r="AA189" s="1">
        <f t="shared" si="71"/>
        <v>0</v>
      </c>
      <c r="AB189" s="1">
        <f t="shared" si="72"/>
        <v>0</v>
      </c>
      <c r="AD189" s="1">
        <f t="shared" si="73"/>
        <v>0</v>
      </c>
      <c r="AE189" s="1">
        <f t="shared" si="74"/>
        <v>1</v>
      </c>
      <c r="AF189" s="1">
        <f t="shared" si="59"/>
        <v>0</v>
      </c>
      <c r="AG189" s="1">
        <f t="shared" si="60"/>
        <v>1</v>
      </c>
      <c r="AH189" s="1">
        <f t="shared" si="61"/>
        <v>0</v>
      </c>
      <c r="AI189" s="1">
        <f t="shared" si="62"/>
        <v>1</v>
      </c>
    </row>
    <row r="190" spans="1:35" ht="14.25" customHeight="1" x14ac:dyDescent="0.3">
      <c r="A190" s="15">
        <v>0</v>
      </c>
      <c r="B190" s="15">
        <v>1</v>
      </c>
      <c r="C190" s="15">
        <v>5</v>
      </c>
      <c r="D190" s="16" t="s">
        <v>112</v>
      </c>
      <c r="E190" s="16" t="s">
        <v>174</v>
      </c>
      <c r="F190" s="16" t="s">
        <v>313</v>
      </c>
      <c r="G190" s="16" t="s">
        <v>39</v>
      </c>
      <c r="H190" s="16" t="s">
        <v>367</v>
      </c>
      <c r="I190" s="15" t="s">
        <v>463</v>
      </c>
      <c r="J190" s="15">
        <v>17</v>
      </c>
      <c r="K190" s="10" t="s">
        <v>710</v>
      </c>
      <c r="L190" s="10" t="s">
        <v>704</v>
      </c>
      <c r="M190" s="19" t="s">
        <v>698</v>
      </c>
      <c r="N190" s="17"/>
      <c r="Q190" s="20" t="s">
        <v>1930</v>
      </c>
      <c r="S190" s="1">
        <f t="shared" si="63"/>
        <v>0</v>
      </c>
      <c r="T190" s="1">
        <f t="shared" si="64"/>
        <v>0</v>
      </c>
      <c r="U190" s="1">
        <f t="shared" si="65"/>
        <v>0</v>
      </c>
      <c r="V190" s="1">
        <f t="shared" si="66"/>
        <v>0</v>
      </c>
      <c r="W190" s="1">
        <f t="shared" si="67"/>
        <v>0</v>
      </c>
      <c r="X190" s="1">
        <f t="shared" si="68"/>
        <v>0</v>
      </c>
      <c r="Y190" s="1">
        <f t="shared" si="69"/>
        <v>0</v>
      </c>
      <c r="Z190" s="1">
        <f t="shared" si="70"/>
        <v>0</v>
      </c>
      <c r="AA190" s="1">
        <f t="shared" si="71"/>
        <v>0</v>
      </c>
      <c r="AB190" s="1">
        <f t="shared" si="72"/>
        <v>0</v>
      </c>
      <c r="AD190" s="1">
        <f t="shared" si="73"/>
        <v>0</v>
      </c>
      <c r="AE190" s="1">
        <f t="shared" si="74"/>
        <v>0</v>
      </c>
      <c r="AF190" s="1">
        <f t="shared" si="59"/>
        <v>0</v>
      </c>
      <c r="AG190" s="1">
        <f t="shared" si="60"/>
        <v>0</v>
      </c>
      <c r="AH190" s="1">
        <f t="shared" si="61"/>
        <v>0</v>
      </c>
      <c r="AI190" s="1">
        <f t="shared" si="62"/>
        <v>1</v>
      </c>
    </row>
    <row r="191" spans="1:35" ht="14.25" customHeight="1" x14ac:dyDescent="0.3">
      <c r="A191" s="34">
        <v>0</v>
      </c>
      <c r="B191" s="34">
        <v>1</v>
      </c>
      <c r="C191" s="34">
        <v>5</v>
      </c>
      <c r="D191" s="35" t="s">
        <v>530</v>
      </c>
      <c r="E191" s="35" t="s">
        <v>531</v>
      </c>
      <c r="F191" s="35" t="s">
        <v>532</v>
      </c>
      <c r="G191" s="35" t="s">
        <v>204</v>
      </c>
      <c r="H191" s="35" t="s">
        <v>357</v>
      </c>
      <c r="I191" s="34" t="s">
        <v>533</v>
      </c>
      <c r="J191" s="34">
        <v>10</v>
      </c>
      <c r="K191" s="36" t="s">
        <v>709</v>
      </c>
      <c r="L191" s="36" t="s">
        <v>700</v>
      </c>
      <c r="M191" s="37" t="s">
        <v>977</v>
      </c>
      <c r="N191" s="37" t="s">
        <v>1748</v>
      </c>
      <c r="O191" s="38">
        <v>1</v>
      </c>
      <c r="P191" s="38">
        <v>1</v>
      </c>
      <c r="Q191" s="35"/>
      <c r="S191" s="1">
        <f t="shared" si="63"/>
        <v>0</v>
      </c>
      <c r="T191" s="1">
        <f t="shared" si="64"/>
        <v>0</v>
      </c>
      <c r="U191" s="1">
        <f t="shared" si="65"/>
        <v>0</v>
      </c>
      <c r="V191" s="1">
        <f t="shared" si="66"/>
        <v>0</v>
      </c>
      <c r="W191" s="1">
        <f t="shared" si="67"/>
        <v>0</v>
      </c>
      <c r="X191" s="1">
        <f t="shared" si="68"/>
        <v>0</v>
      </c>
      <c r="Y191" s="1">
        <f t="shared" si="69"/>
        <v>0</v>
      </c>
      <c r="Z191" s="1">
        <f t="shared" si="70"/>
        <v>0</v>
      </c>
      <c r="AA191" s="1">
        <f t="shared" si="71"/>
        <v>0</v>
      </c>
      <c r="AB191" s="1">
        <f t="shared" si="72"/>
        <v>1</v>
      </c>
      <c r="AD191" s="1">
        <f t="shared" si="73"/>
        <v>1</v>
      </c>
      <c r="AE191" s="1">
        <f t="shared" si="74"/>
        <v>0</v>
      </c>
      <c r="AF191" s="1">
        <f t="shared" si="59"/>
        <v>1</v>
      </c>
      <c r="AG191" s="1">
        <f t="shared" si="60"/>
        <v>0</v>
      </c>
      <c r="AH191" s="1">
        <f t="shared" si="61"/>
        <v>1</v>
      </c>
      <c r="AI191" s="1">
        <f t="shared" si="62"/>
        <v>0</v>
      </c>
    </row>
    <row r="192" spans="1:35" ht="14.25" customHeight="1" x14ac:dyDescent="0.3">
      <c r="A192" s="34">
        <v>0</v>
      </c>
      <c r="B192" s="34">
        <v>1</v>
      </c>
      <c r="C192" s="34">
        <v>5</v>
      </c>
      <c r="D192" s="35" t="s">
        <v>1514</v>
      </c>
      <c r="E192" s="35" t="s">
        <v>168</v>
      </c>
      <c r="F192" s="35" t="s">
        <v>1515</v>
      </c>
      <c r="G192" s="35" t="s">
        <v>182</v>
      </c>
      <c r="H192" s="35" t="s">
        <v>357</v>
      </c>
      <c r="I192" s="34" t="s">
        <v>1516</v>
      </c>
      <c r="J192" s="34">
        <v>10</v>
      </c>
      <c r="K192" s="36" t="s">
        <v>963</v>
      </c>
      <c r="L192" s="36" t="s">
        <v>700</v>
      </c>
      <c r="M192" s="37" t="s">
        <v>977</v>
      </c>
      <c r="N192" s="37" t="s">
        <v>1742</v>
      </c>
      <c r="O192" s="38">
        <v>1</v>
      </c>
      <c r="P192" s="38">
        <v>1</v>
      </c>
      <c r="Q192" s="35"/>
      <c r="S192" s="1">
        <f t="shared" si="63"/>
        <v>0</v>
      </c>
      <c r="T192" s="1">
        <f t="shared" si="64"/>
        <v>0</v>
      </c>
      <c r="U192" s="1">
        <f t="shared" si="65"/>
        <v>0</v>
      </c>
      <c r="V192" s="1">
        <f t="shared" si="66"/>
        <v>0</v>
      </c>
      <c r="W192" s="1">
        <f t="shared" si="67"/>
        <v>0</v>
      </c>
      <c r="X192" s="1">
        <f t="shared" si="68"/>
        <v>0</v>
      </c>
      <c r="Y192" s="1">
        <f t="shared" si="69"/>
        <v>0</v>
      </c>
      <c r="Z192" s="1">
        <f t="shared" si="70"/>
        <v>0</v>
      </c>
      <c r="AA192" s="1">
        <f t="shared" si="71"/>
        <v>0</v>
      </c>
      <c r="AB192" s="1">
        <f t="shared" si="72"/>
        <v>1</v>
      </c>
      <c r="AD192" s="1">
        <f t="shared" si="73"/>
        <v>1</v>
      </c>
      <c r="AE192" s="1">
        <f t="shared" si="74"/>
        <v>0</v>
      </c>
      <c r="AF192" s="1">
        <f t="shared" si="59"/>
        <v>1</v>
      </c>
      <c r="AG192" s="1">
        <f t="shared" si="60"/>
        <v>0</v>
      </c>
      <c r="AH192" s="1">
        <f t="shared" si="61"/>
        <v>1</v>
      </c>
      <c r="AI192" s="1">
        <f t="shared" si="62"/>
        <v>0</v>
      </c>
    </row>
    <row r="193" spans="1:35" ht="14.25" customHeight="1" x14ac:dyDescent="0.3">
      <c r="A193" s="34">
        <v>0</v>
      </c>
      <c r="B193" s="34">
        <v>1</v>
      </c>
      <c r="C193" s="34">
        <v>5</v>
      </c>
      <c r="D193" s="35" t="s">
        <v>1772</v>
      </c>
      <c r="E193" s="35" t="s">
        <v>168</v>
      </c>
      <c r="F193" s="35" t="s">
        <v>1773</v>
      </c>
      <c r="G193" s="35" t="s">
        <v>1774</v>
      </c>
      <c r="H193" s="35" t="s">
        <v>357</v>
      </c>
      <c r="I193" s="34" t="s">
        <v>1775</v>
      </c>
      <c r="J193" s="34">
        <v>1</v>
      </c>
      <c r="K193" s="36" t="s">
        <v>710</v>
      </c>
      <c r="L193" s="36"/>
      <c r="M193" s="37"/>
      <c r="N193" s="37" t="s">
        <v>1763</v>
      </c>
      <c r="O193" s="38">
        <v>1</v>
      </c>
      <c r="P193" s="38"/>
      <c r="Q193" s="35"/>
      <c r="S193" s="1">
        <f t="shared" si="63"/>
        <v>1</v>
      </c>
      <c r="T193" s="1">
        <f t="shared" si="64"/>
        <v>0</v>
      </c>
      <c r="U193" s="1">
        <f t="shared" si="65"/>
        <v>0</v>
      </c>
      <c r="V193" s="1">
        <f t="shared" si="66"/>
        <v>0</v>
      </c>
      <c r="W193" s="1">
        <f t="shared" si="67"/>
        <v>0</v>
      </c>
      <c r="X193" s="1">
        <f t="shared" si="68"/>
        <v>0</v>
      </c>
      <c r="Y193" s="1">
        <f t="shared" si="69"/>
        <v>0</v>
      </c>
      <c r="Z193" s="1">
        <f t="shared" si="70"/>
        <v>0</v>
      </c>
      <c r="AA193" s="1">
        <f t="shared" si="71"/>
        <v>0</v>
      </c>
      <c r="AB193" s="1">
        <f t="shared" si="72"/>
        <v>0</v>
      </c>
      <c r="AD193" s="1">
        <f t="shared" si="73"/>
        <v>0</v>
      </c>
      <c r="AE193" s="1">
        <f t="shared" si="74"/>
        <v>1</v>
      </c>
      <c r="AF193" s="1">
        <f t="shared" si="59"/>
        <v>0</v>
      </c>
      <c r="AG193" s="1">
        <f t="shared" si="60"/>
        <v>1</v>
      </c>
      <c r="AH193" s="1">
        <f t="shared" si="61"/>
        <v>0</v>
      </c>
      <c r="AI193" s="1">
        <f t="shared" si="62"/>
        <v>1</v>
      </c>
    </row>
    <row r="194" spans="1:35" ht="14.25" customHeight="1" x14ac:dyDescent="0.3">
      <c r="A194" s="47">
        <v>0</v>
      </c>
      <c r="B194" s="47">
        <v>1</v>
      </c>
      <c r="C194" s="47">
        <v>5</v>
      </c>
      <c r="D194" s="48" t="s">
        <v>1033</v>
      </c>
      <c r="E194" s="48" t="s">
        <v>1097</v>
      </c>
      <c r="F194" s="48" t="s">
        <v>1034</v>
      </c>
      <c r="G194" s="48" t="s">
        <v>196</v>
      </c>
      <c r="H194" s="48" t="s">
        <v>357</v>
      </c>
      <c r="I194" s="47" t="s">
        <v>1035</v>
      </c>
      <c r="J194" s="47">
        <v>9</v>
      </c>
      <c r="K194" s="49" t="s">
        <v>729</v>
      </c>
      <c r="L194" s="49" t="s">
        <v>1719</v>
      </c>
      <c r="M194" s="50" t="s">
        <v>1619</v>
      </c>
      <c r="N194" s="50" t="s">
        <v>1750</v>
      </c>
      <c r="O194" s="51"/>
      <c r="P194" s="51"/>
      <c r="Q194" s="48"/>
      <c r="S194" s="1">
        <f t="shared" si="63"/>
        <v>0</v>
      </c>
      <c r="T194" s="1">
        <f t="shared" si="64"/>
        <v>0</v>
      </c>
      <c r="U194" s="1">
        <f t="shared" si="65"/>
        <v>0</v>
      </c>
      <c r="V194" s="1">
        <f t="shared" si="66"/>
        <v>0</v>
      </c>
      <c r="W194" s="1">
        <f t="shared" si="67"/>
        <v>0</v>
      </c>
      <c r="X194" s="1">
        <f t="shared" si="68"/>
        <v>0</v>
      </c>
      <c r="Y194" s="1">
        <f t="shared" si="69"/>
        <v>0</v>
      </c>
      <c r="Z194" s="1">
        <f t="shared" si="70"/>
        <v>0</v>
      </c>
      <c r="AA194" s="1">
        <f t="shared" si="71"/>
        <v>1</v>
      </c>
      <c r="AB194" s="1">
        <f t="shared" si="72"/>
        <v>0</v>
      </c>
      <c r="AD194" s="1">
        <f t="shared" si="73"/>
        <v>0</v>
      </c>
      <c r="AE194" s="1">
        <f t="shared" si="74"/>
        <v>0</v>
      </c>
      <c r="AF194" s="1">
        <f t="shared" si="59"/>
        <v>0</v>
      </c>
      <c r="AG194" s="1">
        <f t="shared" si="60"/>
        <v>0</v>
      </c>
      <c r="AH194" s="1">
        <f t="shared" si="61"/>
        <v>0</v>
      </c>
      <c r="AI194" s="1">
        <f t="shared" si="62"/>
        <v>1</v>
      </c>
    </row>
    <row r="195" spans="1:35" ht="14.25" customHeight="1" x14ac:dyDescent="0.3">
      <c r="A195" s="47">
        <v>0</v>
      </c>
      <c r="B195" s="47">
        <v>1</v>
      </c>
      <c r="C195" s="47">
        <v>5</v>
      </c>
      <c r="D195" s="48" t="s">
        <v>1629</v>
      </c>
      <c r="E195" s="48" t="s">
        <v>168</v>
      </c>
      <c r="F195" s="48" t="s">
        <v>1630</v>
      </c>
      <c r="G195" s="48" t="s">
        <v>215</v>
      </c>
      <c r="H195" s="48" t="s">
        <v>357</v>
      </c>
      <c r="I195" s="47" t="s">
        <v>1631</v>
      </c>
      <c r="J195" s="47">
        <v>1</v>
      </c>
      <c r="K195" s="49" t="s">
        <v>729</v>
      </c>
      <c r="L195" s="49" t="s">
        <v>701</v>
      </c>
      <c r="M195" s="50" t="s">
        <v>977</v>
      </c>
      <c r="N195" s="50" t="s">
        <v>1751</v>
      </c>
      <c r="O195" s="51"/>
      <c r="P195" s="51"/>
      <c r="Q195" s="48"/>
      <c r="S195" s="1">
        <f t="shared" si="63"/>
        <v>1</v>
      </c>
      <c r="T195" s="1">
        <f t="shared" si="64"/>
        <v>0</v>
      </c>
      <c r="U195" s="1">
        <f t="shared" si="65"/>
        <v>0</v>
      </c>
      <c r="V195" s="1">
        <f t="shared" si="66"/>
        <v>0</v>
      </c>
      <c r="W195" s="1">
        <f t="shared" si="67"/>
        <v>0</v>
      </c>
      <c r="X195" s="1">
        <f t="shared" si="68"/>
        <v>0</v>
      </c>
      <c r="Y195" s="1">
        <f t="shared" si="69"/>
        <v>0</v>
      </c>
      <c r="Z195" s="1">
        <f t="shared" si="70"/>
        <v>0</v>
      </c>
      <c r="AA195" s="1">
        <f t="shared" si="71"/>
        <v>0</v>
      </c>
      <c r="AB195" s="1">
        <f t="shared" si="72"/>
        <v>0</v>
      </c>
      <c r="AD195" s="1">
        <f t="shared" si="73"/>
        <v>0</v>
      </c>
      <c r="AE195" s="1">
        <f t="shared" si="74"/>
        <v>0</v>
      </c>
      <c r="AF195" s="1">
        <f t="shared" si="59"/>
        <v>0</v>
      </c>
      <c r="AG195" s="1">
        <f t="shared" si="60"/>
        <v>0</v>
      </c>
      <c r="AH195" s="1">
        <f t="shared" si="61"/>
        <v>0</v>
      </c>
      <c r="AI195" s="1">
        <f t="shared" si="62"/>
        <v>1</v>
      </c>
    </row>
    <row r="196" spans="1:35" ht="14.25" customHeight="1" x14ac:dyDescent="0.3">
      <c r="A196" s="41">
        <v>0</v>
      </c>
      <c r="B196" s="41">
        <v>1</v>
      </c>
      <c r="C196" s="41">
        <v>5</v>
      </c>
      <c r="D196" s="42" t="s">
        <v>149</v>
      </c>
      <c r="E196" s="42" t="s">
        <v>550</v>
      </c>
      <c r="F196" s="42" t="s">
        <v>1614</v>
      </c>
      <c r="G196" s="42" t="s">
        <v>1688</v>
      </c>
      <c r="H196" s="42" t="s">
        <v>357</v>
      </c>
      <c r="I196" s="41" t="s">
        <v>499</v>
      </c>
      <c r="J196" s="41">
        <v>99</v>
      </c>
      <c r="K196" s="43" t="s">
        <v>709</v>
      </c>
      <c r="L196" s="43" t="s">
        <v>696</v>
      </c>
      <c r="M196" s="44" t="s">
        <v>977</v>
      </c>
      <c r="N196" s="45"/>
      <c r="O196" s="46"/>
      <c r="P196" s="46">
        <v>1</v>
      </c>
      <c r="Q196" s="42"/>
      <c r="S196" s="1">
        <f t="shared" si="63"/>
        <v>0</v>
      </c>
      <c r="T196" s="1">
        <f t="shared" si="64"/>
        <v>0</v>
      </c>
      <c r="U196" s="1">
        <f t="shared" si="65"/>
        <v>0</v>
      </c>
      <c r="V196" s="1">
        <f t="shared" si="66"/>
        <v>0</v>
      </c>
      <c r="W196" s="1">
        <f t="shared" si="67"/>
        <v>0</v>
      </c>
      <c r="X196" s="1">
        <f t="shared" si="68"/>
        <v>0</v>
      </c>
      <c r="Y196" s="1">
        <f t="shared" si="69"/>
        <v>0</v>
      </c>
      <c r="Z196" s="1">
        <f t="shared" si="70"/>
        <v>0</v>
      </c>
      <c r="AA196" s="1">
        <f t="shared" si="71"/>
        <v>0</v>
      </c>
      <c r="AB196" s="1">
        <f t="shared" si="72"/>
        <v>0</v>
      </c>
      <c r="AD196" s="1">
        <f t="shared" si="73"/>
        <v>0</v>
      </c>
      <c r="AE196" s="1">
        <f t="shared" si="74"/>
        <v>0</v>
      </c>
      <c r="AF196" s="1">
        <f t="shared" si="59"/>
        <v>0</v>
      </c>
      <c r="AG196" s="1">
        <f t="shared" si="60"/>
        <v>0</v>
      </c>
      <c r="AH196" s="1">
        <f t="shared" si="61"/>
        <v>1</v>
      </c>
      <c r="AI196" s="1">
        <f t="shared" si="62"/>
        <v>0</v>
      </c>
    </row>
    <row r="197" spans="1:35" ht="14.25" customHeight="1" x14ac:dyDescent="0.3">
      <c r="A197" s="15">
        <v>0</v>
      </c>
      <c r="B197" s="15">
        <v>1</v>
      </c>
      <c r="C197" s="15">
        <v>5</v>
      </c>
      <c r="D197" s="16" t="s">
        <v>1226</v>
      </c>
      <c r="E197" s="16" t="s">
        <v>168</v>
      </c>
      <c r="F197" s="16" t="s">
        <v>1227</v>
      </c>
      <c r="G197" s="16" t="s">
        <v>1228</v>
      </c>
      <c r="H197" s="16" t="s">
        <v>357</v>
      </c>
      <c r="I197" s="15" t="s">
        <v>1229</v>
      </c>
      <c r="J197" s="15">
        <v>99</v>
      </c>
      <c r="K197" s="10" t="s">
        <v>710</v>
      </c>
      <c r="L197" s="10">
        <v>30</v>
      </c>
      <c r="M197" s="19" t="s">
        <v>977</v>
      </c>
      <c r="N197" s="19"/>
      <c r="Q197" s="16"/>
      <c r="S197" s="1">
        <f t="shared" si="63"/>
        <v>0</v>
      </c>
      <c r="T197" s="1">
        <f t="shared" si="64"/>
        <v>0</v>
      </c>
      <c r="U197" s="1">
        <f t="shared" si="65"/>
        <v>0</v>
      </c>
      <c r="V197" s="1">
        <f t="shared" si="66"/>
        <v>0</v>
      </c>
      <c r="W197" s="1">
        <f t="shared" si="67"/>
        <v>0</v>
      </c>
      <c r="X197" s="1">
        <f t="shared" si="68"/>
        <v>0</v>
      </c>
      <c r="Y197" s="1">
        <f t="shared" si="69"/>
        <v>0</v>
      </c>
      <c r="Z197" s="1">
        <f t="shared" si="70"/>
        <v>0</v>
      </c>
      <c r="AA197" s="1">
        <f t="shared" si="71"/>
        <v>0</v>
      </c>
      <c r="AB197" s="1">
        <f t="shared" si="72"/>
        <v>0</v>
      </c>
      <c r="AD197" s="1">
        <f t="shared" si="73"/>
        <v>0</v>
      </c>
      <c r="AE197" s="1">
        <f t="shared" si="74"/>
        <v>0</v>
      </c>
      <c r="AF197" s="1">
        <f t="shared" si="59"/>
        <v>0</v>
      </c>
      <c r="AG197" s="1">
        <f t="shared" si="60"/>
        <v>0</v>
      </c>
      <c r="AH197" s="1">
        <f t="shared" si="61"/>
        <v>0</v>
      </c>
      <c r="AI197" s="1">
        <f t="shared" si="62"/>
        <v>1</v>
      </c>
    </row>
    <row r="198" spans="1:35" ht="14.25" customHeight="1" x14ac:dyDescent="0.3">
      <c r="A198" s="34">
        <v>0</v>
      </c>
      <c r="B198" s="34">
        <v>1</v>
      </c>
      <c r="C198" s="34">
        <v>5</v>
      </c>
      <c r="D198" s="35" t="s">
        <v>1615</v>
      </c>
      <c r="E198" s="35" t="s">
        <v>174</v>
      </c>
      <c r="F198" s="35" t="s">
        <v>815</v>
      </c>
      <c r="G198" s="35" t="s">
        <v>39</v>
      </c>
      <c r="H198" s="35" t="s">
        <v>816</v>
      </c>
      <c r="I198" s="34" t="s">
        <v>817</v>
      </c>
      <c r="J198" s="34">
        <v>16</v>
      </c>
      <c r="K198" s="36" t="s">
        <v>964</v>
      </c>
      <c r="L198" s="36" t="s">
        <v>1757</v>
      </c>
      <c r="M198" s="37" t="s">
        <v>977</v>
      </c>
      <c r="N198" s="37" t="s">
        <v>1763</v>
      </c>
      <c r="O198" s="38">
        <v>1</v>
      </c>
      <c r="P198" s="38"/>
      <c r="Q198" s="35"/>
      <c r="S198" s="1">
        <f t="shared" si="63"/>
        <v>0</v>
      </c>
      <c r="T198" s="1">
        <f t="shared" si="64"/>
        <v>0</v>
      </c>
      <c r="U198" s="1">
        <f t="shared" si="65"/>
        <v>0</v>
      </c>
      <c r="V198" s="1">
        <f t="shared" si="66"/>
        <v>0</v>
      </c>
      <c r="W198" s="1">
        <f t="shared" si="67"/>
        <v>0</v>
      </c>
      <c r="X198" s="1">
        <f t="shared" si="68"/>
        <v>0</v>
      </c>
      <c r="Y198" s="1">
        <f t="shared" si="69"/>
        <v>0</v>
      </c>
      <c r="Z198" s="1">
        <f t="shared" si="70"/>
        <v>0</v>
      </c>
      <c r="AA198" s="1">
        <f t="shared" si="71"/>
        <v>0</v>
      </c>
      <c r="AB198" s="1">
        <f t="shared" si="72"/>
        <v>0</v>
      </c>
      <c r="AD198" s="1">
        <f t="shared" si="73"/>
        <v>0</v>
      </c>
      <c r="AE198" s="1">
        <f t="shared" si="74"/>
        <v>1</v>
      </c>
      <c r="AF198" s="1">
        <f t="shared" si="59"/>
        <v>0</v>
      </c>
      <c r="AG198" s="1">
        <f t="shared" si="60"/>
        <v>1</v>
      </c>
      <c r="AH198" s="1">
        <f t="shared" si="61"/>
        <v>0</v>
      </c>
      <c r="AI198" s="1">
        <f t="shared" si="62"/>
        <v>1</v>
      </c>
    </row>
    <row r="199" spans="1:35" ht="14.25" customHeight="1" x14ac:dyDescent="0.3">
      <c r="A199" s="41">
        <v>0</v>
      </c>
      <c r="B199" s="41">
        <v>1</v>
      </c>
      <c r="C199" s="41">
        <v>5</v>
      </c>
      <c r="D199" s="42" t="s">
        <v>507</v>
      </c>
      <c r="E199" s="42" t="s">
        <v>168</v>
      </c>
      <c r="F199" s="42" t="s">
        <v>508</v>
      </c>
      <c r="G199" s="42" t="s">
        <v>509</v>
      </c>
      <c r="H199" s="42" t="s">
        <v>357</v>
      </c>
      <c r="I199" s="41" t="s">
        <v>510</v>
      </c>
      <c r="J199" s="41">
        <v>99</v>
      </c>
      <c r="K199" s="43" t="s">
        <v>964</v>
      </c>
      <c r="L199" s="43" t="s">
        <v>701</v>
      </c>
      <c r="M199" s="44" t="s">
        <v>698</v>
      </c>
      <c r="N199" s="45"/>
      <c r="O199" s="46"/>
      <c r="P199" s="46">
        <v>1</v>
      </c>
      <c r="Q199" s="42"/>
      <c r="S199" s="1">
        <f t="shared" si="63"/>
        <v>0</v>
      </c>
      <c r="T199" s="1">
        <f t="shared" si="64"/>
        <v>0</v>
      </c>
      <c r="U199" s="1">
        <f t="shared" si="65"/>
        <v>0</v>
      </c>
      <c r="V199" s="1">
        <f t="shared" si="66"/>
        <v>0</v>
      </c>
      <c r="W199" s="1">
        <f t="shared" si="67"/>
        <v>0</v>
      </c>
      <c r="X199" s="1">
        <f t="shared" si="68"/>
        <v>0</v>
      </c>
      <c r="Y199" s="1">
        <f t="shared" si="69"/>
        <v>0</v>
      </c>
      <c r="Z199" s="1">
        <f t="shared" si="70"/>
        <v>0</v>
      </c>
      <c r="AA199" s="1">
        <f t="shared" si="71"/>
        <v>0</v>
      </c>
      <c r="AB199" s="1">
        <f t="shared" si="72"/>
        <v>0</v>
      </c>
      <c r="AD199" s="1">
        <f t="shared" si="73"/>
        <v>0</v>
      </c>
      <c r="AE199" s="1">
        <f t="shared" si="74"/>
        <v>0</v>
      </c>
      <c r="AF199" s="1">
        <f t="shared" si="59"/>
        <v>0</v>
      </c>
      <c r="AG199" s="1">
        <f t="shared" si="60"/>
        <v>0</v>
      </c>
      <c r="AH199" s="1">
        <f t="shared" si="61"/>
        <v>1</v>
      </c>
      <c r="AI199" s="1">
        <f t="shared" si="62"/>
        <v>0</v>
      </c>
    </row>
    <row r="200" spans="1:35" ht="14.25" customHeight="1" x14ac:dyDescent="0.3">
      <c r="A200" s="47">
        <v>0</v>
      </c>
      <c r="B200" s="47">
        <v>1</v>
      </c>
      <c r="C200" s="47">
        <v>6</v>
      </c>
      <c r="D200" s="48" t="s">
        <v>1465</v>
      </c>
      <c r="E200" s="48" t="s">
        <v>169</v>
      </c>
      <c r="F200" s="48" t="s">
        <v>1466</v>
      </c>
      <c r="G200" s="48" t="s">
        <v>181</v>
      </c>
      <c r="H200" s="48" t="s">
        <v>357</v>
      </c>
      <c r="I200" s="47" t="s">
        <v>1467</v>
      </c>
      <c r="J200" s="47">
        <v>99</v>
      </c>
      <c r="K200" s="49" t="s">
        <v>963</v>
      </c>
      <c r="L200" s="49" t="s">
        <v>703</v>
      </c>
      <c r="M200" s="50" t="s">
        <v>1468</v>
      </c>
      <c r="N200" s="50" t="s">
        <v>1749</v>
      </c>
      <c r="O200" s="51"/>
      <c r="P200" s="51"/>
      <c r="Q200" s="48"/>
      <c r="S200" s="1">
        <f t="shared" si="63"/>
        <v>0</v>
      </c>
      <c r="T200" s="1">
        <f t="shared" si="64"/>
        <v>0</v>
      </c>
      <c r="U200" s="1">
        <f t="shared" si="65"/>
        <v>0</v>
      </c>
      <c r="V200" s="1">
        <f t="shared" si="66"/>
        <v>0</v>
      </c>
      <c r="W200" s="1">
        <f t="shared" si="67"/>
        <v>0</v>
      </c>
      <c r="X200" s="1">
        <f t="shared" si="68"/>
        <v>0</v>
      </c>
      <c r="Y200" s="1">
        <f t="shared" si="69"/>
        <v>0</v>
      </c>
      <c r="Z200" s="1">
        <f t="shared" si="70"/>
        <v>0</v>
      </c>
      <c r="AA200" s="1">
        <f t="shared" si="71"/>
        <v>0</v>
      </c>
      <c r="AB200" s="1">
        <f t="shared" si="72"/>
        <v>0</v>
      </c>
      <c r="AD200" s="1">
        <f t="shared" si="73"/>
        <v>0</v>
      </c>
      <c r="AE200" s="1">
        <f t="shared" si="74"/>
        <v>0</v>
      </c>
      <c r="AF200" s="1">
        <f t="shared" ref="AF200:AF263" si="75">+O200*P200*(1-A200)</f>
        <v>0</v>
      </c>
      <c r="AG200" s="1">
        <f t="shared" ref="AG200:AG263" si="76">O200*(1-P200)*(1-A200)</f>
        <v>0</v>
      </c>
      <c r="AH200" s="1">
        <f t="shared" ref="AH200:AH263" si="77">+P200*(1-A200)</f>
        <v>0</v>
      </c>
      <c r="AI200" s="1">
        <f t="shared" ref="AI200:AI263" si="78">+(1-A200)*(1-P200)</f>
        <v>1</v>
      </c>
    </row>
    <row r="201" spans="1:35" ht="14.25" customHeight="1" x14ac:dyDescent="0.3">
      <c r="A201" s="34">
        <v>0</v>
      </c>
      <c r="B201" s="34">
        <v>1</v>
      </c>
      <c r="C201" s="34">
        <v>6</v>
      </c>
      <c r="D201" s="35" t="s">
        <v>1200</v>
      </c>
      <c r="E201" s="35" t="s">
        <v>1203</v>
      </c>
      <c r="F201" s="35" t="s">
        <v>1201</v>
      </c>
      <c r="G201" s="35" t="s">
        <v>39</v>
      </c>
      <c r="H201" s="35" t="s">
        <v>357</v>
      </c>
      <c r="I201" s="34" t="s">
        <v>1202</v>
      </c>
      <c r="J201" s="34">
        <v>99</v>
      </c>
      <c r="K201" s="36" t="s">
        <v>969</v>
      </c>
      <c r="L201" s="36" t="s">
        <v>39</v>
      </c>
      <c r="M201" s="37" t="s">
        <v>39</v>
      </c>
      <c r="N201" s="37" t="s">
        <v>1748</v>
      </c>
      <c r="O201" s="38">
        <v>1</v>
      </c>
      <c r="P201" s="38">
        <v>1</v>
      </c>
      <c r="Q201" s="39" t="s">
        <v>1923</v>
      </c>
      <c r="S201" s="1">
        <f t="shared" si="63"/>
        <v>0</v>
      </c>
      <c r="T201" s="1">
        <f t="shared" si="64"/>
        <v>0</v>
      </c>
      <c r="U201" s="1">
        <f t="shared" si="65"/>
        <v>0</v>
      </c>
      <c r="V201" s="1">
        <f t="shared" si="66"/>
        <v>0</v>
      </c>
      <c r="W201" s="1">
        <f t="shared" si="67"/>
        <v>0</v>
      </c>
      <c r="X201" s="1">
        <f t="shared" si="68"/>
        <v>0</v>
      </c>
      <c r="Y201" s="1">
        <f t="shared" si="69"/>
        <v>0</v>
      </c>
      <c r="Z201" s="1">
        <f t="shared" si="70"/>
        <v>0</v>
      </c>
      <c r="AA201" s="1">
        <f t="shared" si="71"/>
        <v>0</v>
      </c>
      <c r="AB201" s="1">
        <f t="shared" si="72"/>
        <v>0</v>
      </c>
      <c r="AD201" s="1">
        <f t="shared" si="73"/>
        <v>1</v>
      </c>
      <c r="AE201" s="1">
        <f t="shared" si="74"/>
        <v>0</v>
      </c>
      <c r="AF201" s="1">
        <f t="shared" si="75"/>
        <v>1</v>
      </c>
      <c r="AG201" s="1">
        <f t="shared" si="76"/>
        <v>0</v>
      </c>
      <c r="AH201" s="1">
        <f t="shared" si="77"/>
        <v>1</v>
      </c>
      <c r="AI201" s="1">
        <f t="shared" si="78"/>
        <v>0</v>
      </c>
    </row>
    <row r="202" spans="1:35" ht="14.25" customHeight="1" x14ac:dyDescent="0.3">
      <c r="A202" s="34">
        <v>0</v>
      </c>
      <c r="B202" s="34">
        <v>1</v>
      </c>
      <c r="C202" s="34">
        <v>6</v>
      </c>
      <c r="D202" s="35" t="s">
        <v>1663</v>
      </c>
      <c r="E202" s="35" t="s">
        <v>1671</v>
      </c>
      <c r="F202" s="35" t="s">
        <v>1698</v>
      </c>
      <c r="G202" s="35" t="s">
        <v>1699</v>
      </c>
      <c r="H202" s="35" t="s">
        <v>357</v>
      </c>
      <c r="I202" s="34" t="s">
        <v>1711</v>
      </c>
      <c r="J202" s="34">
        <v>1</v>
      </c>
      <c r="K202" s="36" t="s">
        <v>965</v>
      </c>
      <c r="L202" s="36" t="s">
        <v>39</v>
      </c>
      <c r="M202" s="37" t="s">
        <v>39</v>
      </c>
      <c r="N202" s="37" t="s">
        <v>1742</v>
      </c>
      <c r="O202" s="38">
        <v>1</v>
      </c>
      <c r="P202" s="38">
        <v>1</v>
      </c>
      <c r="Q202" s="35"/>
      <c r="S202" s="1">
        <f t="shared" si="63"/>
        <v>1</v>
      </c>
      <c r="T202" s="1">
        <f t="shared" si="64"/>
        <v>0</v>
      </c>
      <c r="U202" s="1">
        <f t="shared" si="65"/>
        <v>0</v>
      </c>
      <c r="V202" s="1">
        <f t="shared" si="66"/>
        <v>0</v>
      </c>
      <c r="W202" s="1">
        <f t="shared" si="67"/>
        <v>0</v>
      </c>
      <c r="X202" s="1">
        <f t="shared" si="68"/>
        <v>0</v>
      </c>
      <c r="Y202" s="1">
        <f t="shared" si="69"/>
        <v>0</v>
      </c>
      <c r="Z202" s="1">
        <f t="shared" si="70"/>
        <v>0</v>
      </c>
      <c r="AA202" s="1">
        <f t="shared" si="71"/>
        <v>0</v>
      </c>
      <c r="AB202" s="1">
        <f t="shared" si="72"/>
        <v>0</v>
      </c>
      <c r="AD202" s="1">
        <f t="shared" si="73"/>
        <v>1</v>
      </c>
      <c r="AE202" s="1">
        <f t="shared" si="74"/>
        <v>0</v>
      </c>
      <c r="AF202" s="1">
        <f t="shared" si="75"/>
        <v>1</v>
      </c>
      <c r="AG202" s="1">
        <f t="shared" si="76"/>
        <v>0</v>
      </c>
      <c r="AH202" s="1">
        <f t="shared" si="77"/>
        <v>1</v>
      </c>
      <c r="AI202" s="1">
        <f t="shared" si="78"/>
        <v>0</v>
      </c>
    </row>
    <row r="203" spans="1:35" ht="14.25" customHeight="1" x14ac:dyDescent="0.3">
      <c r="A203" s="34">
        <v>0</v>
      </c>
      <c r="B203" s="34">
        <v>1</v>
      </c>
      <c r="C203" s="34">
        <v>6</v>
      </c>
      <c r="D203" s="35" t="s">
        <v>91</v>
      </c>
      <c r="E203" s="35" t="s">
        <v>170</v>
      </c>
      <c r="F203" s="35" t="s">
        <v>287</v>
      </c>
      <c r="G203" s="35" t="s">
        <v>232</v>
      </c>
      <c r="H203" s="35" t="s">
        <v>357</v>
      </c>
      <c r="I203" s="34" t="s">
        <v>442</v>
      </c>
      <c r="J203" s="34">
        <v>7</v>
      </c>
      <c r="K203" s="36" t="s">
        <v>729</v>
      </c>
      <c r="L203" s="36">
        <v>40</v>
      </c>
      <c r="M203" s="37" t="s">
        <v>39</v>
      </c>
      <c r="N203" s="37" t="s">
        <v>1763</v>
      </c>
      <c r="O203" s="38">
        <v>1</v>
      </c>
      <c r="P203" s="38"/>
      <c r="Q203" s="35"/>
      <c r="S203" s="1">
        <f t="shared" si="63"/>
        <v>0</v>
      </c>
      <c r="T203" s="1">
        <f t="shared" si="64"/>
        <v>0</v>
      </c>
      <c r="U203" s="1">
        <f t="shared" si="65"/>
        <v>0</v>
      </c>
      <c r="V203" s="1">
        <f t="shared" si="66"/>
        <v>0</v>
      </c>
      <c r="W203" s="1">
        <f t="shared" si="67"/>
        <v>0</v>
      </c>
      <c r="X203" s="1">
        <f t="shared" si="68"/>
        <v>0</v>
      </c>
      <c r="Y203" s="1">
        <f t="shared" si="69"/>
        <v>1</v>
      </c>
      <c r="Z203" s="1">
        <f t="shared" si="70"/>
        <v>0</v>
      </c>
      <c r="AA203" s="1">
        <f t="shared" si="71"/>
        <v>0</v>
      </c>
      <c r="AB203" s="1">
        <f t="shared" si="72"/>
        <v>0</v>
      </c>
      <c r="AD203" s="1">
        <f t="shared" si="73"/>
        <v>0</v>
      </c>
      <c r="AE203" s="1">
        <f t="shared" si="74"/>
        <v>1</v>
      </c>
      <c r="AF203" s="1">
        <f t="shared" si="75"/>
        <v>0</v>
      </c>
      <c r="AG203" s="1">
        <f t="shared" si="76"/>
        <v>1</v>
      </c>
      <c r="AH203" s="1">
        <f t="shared" si="77"/>
        <v>0</v>
      </c>
      <c r="AI203" s="1">
        <f t="shared" si="78"/>
        <v>1</v>
      </c>
    </row>
    <row r="204" spans="1:35" ht="14.25" customHeight="1" x14ac:dyDescent="0.3">
      <c r="A204" s="34">
        <v>0</v>
      </c>
      <c r="B204" s="34">
        <v>1</v>
      </c>
      <c r="C204" s="34">
        <v>6</v>
      </c>
      <c r="D204" s="35" t="s">
        <v>92</v>
      </c>
      <c r="E204" s="35" t="s">
        <v>167</v>
      </c>
      <c r="F204" s="39" t="s">
        <v>1886</v>
      </c>
      <c r="G204" s="35" t="s">
        <v>242</v>
      </c>
      <c r="H204" s="35" t="s">
        <v>357</v>
      </c>
      <c r="I204" s="34" t="s">
        <v>443</v>
      </c>
      <c r="J204" s="34">
        <v>1</v>
      </c>
      <c r="K204" s="36" t="s">
        <v>971</v>
      </c>
      <c r="L204" s="36" t="s">
        <v>39</v>
      </c>
      <c r="M204" s="37" t="s">
        <v>39</v>
      </c>
      <c r="N204" s="37" t="s">
        <v>1742</v>
      </c>
      <c r="O204" s="38">
        <v>1</v>
      </c>
      <c r="P204" s="38">
        <v>1</v>
      </c>
      <c r="Q204" s="35"/>
      <c r="S204" s="1">
        <f t="shared" si="63"/>
        <v>1</v>
      </c>
      <c r="T204" s="1">
        <f t="shared" si="64"/>
        <v>0</v>
      </c>
      <c r="U204" s="1">
        <f t="shared" si="65"/>
        <v>0</v>
      </c>
      <c r="V204" s="1">
        <f t="shared" si="66"/>
        <v>0</v>
      </c>
      <c r="W204" s="1">
        <f t="shared" si="67"/>
        <v>0</v>
      </c>
      <c r="X204" s="1">
        <f t="shared" si="68"/>
        <v>0</v>
      </c>
      <c r="Y204" s="1">
        <f t="shared" si="69"/>
        <v>0</v>
      </c>
      <c r="Z204" s="1">
        <f t="shared" si="70"/>
        <v>0</v>
      </c>
      <c r="AA204" s="1">
        <f t="shared" si="71"/>
        <v>0</v>
      </c>
      <c r="AB204" s="1">
        <f t="shared" si="72"/>
        <v>0</v>
      </c>
      <c r="AD204" s="1">
        <f t="shared" si="73"/>
        <v>1</v>
      </c>
      <c r="AE204" s="1">
        <f t="shared" si="74"/>
        <v>0</v>
      </c>
      <c r="AF204" s="1">
        <f t="shared" si="75"/>
        <v>1</v>
      </c>
      <c r="AG204" s="1">
        <f t="shared" si="76"/>
        <v>0</v>
      </c>
      <c r="AH204" s="1">
        <f t="shared" si="77"/>
        <v>1</v>
      </c>
      <c r="AI204" s="1">
        <f t="shared" si="78"/>
        <v>0</v>
      </c>
    </row>
    <row r="205" spans="1:35" ht="14.25" customHeight="1" x14ac:dyDescent="0.3">
      <c r="A205" s="34">
        <v>0</v>
      </c>
      <c r="B205" s="34">
        <v>1</v>
      </c>
      <c r="C205" s="34">
        <v>6</v>
      </c>
      <c r="D205" s="35" t="s">
        <v>93</v>
      </c>
      <c r="E205" s="35" t="s">
        <v>169</v>
      </c>
      <c r="F205" s="35" t="s">
        <v>289</v>
      </c>
      <c r="G205" s="35" t="s">
        <v>202</v>
      </c>
      <c r="H205" s="35" t="s">
        <v>357</v>
      </c>
      <c r="I205" s="34" t="s">
        <v>444</v>
      </c>
      <c r="J205" s="34">
        <v>2</v>
      </c>
      <c r="K205" s="36" t="s">
        <v>969</v>
      </c>
      <c r="L205" s="36" t="s">
        <v>39</v>
      </c>
      <c r="M205" s="37" t="s">
        <v>39</v>
      </c>
      <c r="N205" s="37" t="s">
        <v>1742</v>
      </c>
      <c r="O205" s="38">
        <v>1</v>
      </c>
      <c r="P205" s="38">
        <v>1</v>
      </c>
      <c r="Q205" s="35"/>
      <c r="S205" s="1">
        <f t="shared" ref="S205:S267" si="79">IF(J205=$S$7,1,0)</f>
        <v>0</v>
      </c>
      <c r="T205" s="1">
        <f t="shared" ref="T205:T267" si="80">IF(J205=$T$7,1,0)</f>
        <v>1</v>
      </c>
      <c r="U205" s="1">
        <f t="shared" ref="U205:U267" si="81">IF(J205=$U$7,1,0)</f>
        <v>0</v>
      </c>
      <c r="V205" s="1">
        <f t="shared" ref="V205:V267" si="82">IF(J205=$V$7,1,0)</f>
        <v>0</v>
      </c>
      <c r="W205" s="1">
        <f t="shared" ref="W205:W267" si="83">IF(J205=$W$7,1,0)</f>
        <v>0</v>
      </c>
      <c r="X205" s="1">
        <f t="shared" ref="X205:X267" si="84">IF(J205=$X$7,1,0)</f>
        <v>0</v>
      </c>
      <c r="Y205" s="1">
        <f t="shared" ref="Y205:Y267" si="85">IF(J205=$Y$7,1,0)</f>
        <v>0</v>
      </c>
      <c r="Z205" s="1">
        <f t="shared" ref="Z205:Z267" si="86">IF(J205=$Z$7,1,0)</f>
        <v>0</v>
      </c>
      <c r="AA205" s="1">
        <f t="shared" ref="AA205:AA267" si="87">IF(J205=$AA$7,1,0)</f>
        <v>0</v>
      </c>
      <c r="AB205" s="1">
        <f t="shared" ref="AB205:AB267" si="88">IF(J205=$AB$7,1,0)</f>
        <v>0</v>
      </c>
      <c r="AD205" s="1">
        <f t="shared" ref="AD205:AD267" si="89">+O205*P205</f>
        <v>1</v>
      </c>
      <c r="AE205" s="1">
        <f t="shared" ref="AE205:AE267" si="90">O205*(1-P205)</f>
        <v>0</v>
      </c>
      <c r="AF205" s="1">
        <f t="shared" si="75"/>
        <v>1</v>
      </c>
      <c r="AG205" s="1">
        <f t="shared" si="76"/>
        <v>0</v>
      </c>
      <c r="AH205" s="1">
        <f t="shared" si="77"/>
        <v>1</v>
      </c>
      <c r="AI205" s="1">
        <f t="shared" si="78"/>
        <v>0</v>
      </c>
    </row>
    <row r="206" spans="1:35" ht="14.25" customHeight="1" x14ac:dyDescent="0.3">
      <c r="A206" s="47">
        <v>0</v>
      </c>
      <c r="B206" s="47">
        <v>1</v>
      </c>
      <c r="C206" s="47">
        <v>6</v>
      </c>
      <c r="D206" s="48" t="s">
        <v>1290</v>
      </c>
      <c r="E206" s="48" t="s">
        <v>169</v>
      </c>
      <c r="F206" s="48" t="s">
        <v>1160</v>
      </c>
      <c r="G206" s="48" t="s">
        <v>1356</v>
      </c>
      <c r="H206" s="48" t="s">
        <v>357</v>
      </c>
      <c r="I206" s="47" t="s">
        <v>1161</v>
      </c>
      <c r="J206" s="47">
        <v>99</v>
      </c>
      <c r="K206" s="49" t="s">
        <v>709</v>
      </c>
      <c r="L206" s="49">
        <v>45</v>
      </c>
      <c r="M206" s="50" t="s">
        <v>39</v>
      </c>
      <c r="N206" s="50" t="s">
        <v>1750</v>
      </c>
      <c r="O206" s="51"/>
      <c r="P206" s="51"/>
      <c r="Q206" s="48"/>
      <c r="S206" s="1">
        <f t="shared" si="79"/>
        <v>0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0</v>
      </c>
      <c r="AB206" s="1">
        <f t="shared" si="88"/>
        <v>0</v>
      </c>
      <c r="AD206" s="1">
        <f t="shared" si="89"/>
        <v>0</v>
      </c>
      <c r="AE206" s="1">
        <f t="shared" si="90"/>
        <v>0</v>
      </c>
      <c r="AF206" s="1">
        <f t="shared" si="75"/>
        <v>0</v>
      </c>
      <c r="AG206" s="1">
        <f t="shared" si="76"/>
        <v>0</v>
      </c>
      <c r="AH206" s="1">
        <f t="shared" si="77"/>
        <v>0</v>
      </c>
      <c r="AI206" s="1">
        <f t="shared" si="78"/>
        <v>1</v>
      </c>
    </row>
    <row r="207" spans="1:35" ht="14.25" customHeight="1" x14ac:dyDescent="0.3">
      <c r="A207" s="41">
        <v>0</v>
      </c>
      <c r="B207" s="41">
        <v>1</v>
      </c>
      <c r="C207" s="41">
        <v>6</v>
      </c>
      <c r="D207" s="57" t="s">
        <v>1806</v>
      </c>
      <c r="E207" s="42" t="s">
        <v>169</v>
      </c>
      <c r="F207" s="42" t="s">
        <v>1781</v>
      </c>
      <c r="G207" s="42"/>
      <c r="H207" s="42" t="s">
        <v>357</v>
      </c>
      <c r="I207" s="41" t="s">
        <v>1782</v>
      </c>
      <c r="J207" s="41"/>
      <c r="K207" s="43" t="s">
        <v>710</v>
      </c>
      <c r="L207" s="43"/>
      <c r="M207" s="44"/>
      <c r="N207" s="45"/>
      <c r="O207" s="46"/>
      <c r="P207" s="46">
        <v>1</v>
      </c>
      <c r="Q207" s="42"/>
      <c r="S207" s="1">
        <f t="shared" si="79"/>
        <v>0</v>
      </c>
      <c r="T207" s="1">
        <f t="shared" si="80"/>
        <v>0</v>
      </c>
      <c r="U207" s="1">
        <f t="shared" si="81"/>
        <v>0</v>
      </c>
      <c r="V207" s="1">
        <f t="shared" si="82"/>
        <v>0</v>
      </c>
      <c r="W207" s="1">
        <f t="shared" si="83"/>
        <v>0</v>
      </c>
      <c r="X207" s="1">
        <f t="shared" si="84"/>
        <v>0</v>
      </c>
      <c r="Y207" s="1">
        <f t="shared" si="85"/>
        <v>0</v>
      </c>
      <c r="Z207" s="1">
        <f t="shared" si="86"/>
        <v>0</v>
      </c>
      <c r="AA207" s="1">
        <f t="shared" si="87"/>
        <v>0</v>
      </c>
      <c r="AB207" s="1">
        <f t="shared" si="88"/>
        <v>0</v>
      </c>
      <c r="AD207" s="1">
        <f t="shared" si="89"/>
        <v>0</v>
      </c>
      <c r="AE207" s="1">
        <f t="shared" si="90"/>
        <v>0</v>
      </c>
      <c r="AF207" s="1">
        <f t="shared" si="75"/>
        <v>0</v>
      </c>
      <c r="AG207" s="1">
        <f t="shared" si="76"/>
        <v>0</v>
      </c>
      <c r="AH207" s="1">
        <f t="shared" si="77"/>
        <v>1</v>
      </c>
      <c r="AI207" s="1">
        <f t="shared" si="78"/>
        <v>0</v>
      </c>
    </row>
    <row r="208" spans="1:35" ht="14.25" customHeight="1" x14ac:dyDescent="0.3">
      <c r="A208" s="34">
        <v>0</v>
      </c>
      <c r="B208" s="34">
        <v>1</v>
      </c>
      <c r="C208" s="34">
        <v>6</v>
      </c>
      <c r="D208" s="35" t="s">
        <v>1021</v>
      </c>
      <c r="E208" s="35" t="s">
        <v>169</v>
      </c>
      <c r="F208" s="35" t="s">
        <v>1022</v>
      </c>
      <c r="G208" s="35" t="s">
        <v>1113</v>
      </c>
      <c r="H208" s="35" t="s">
        <v>357</v>
      </c>
      <c r="I208" s="34" t="s">
        <v>1023</v>
      </c>
      <c r="J208" s="34">
        <v>99</v>
      </c>
      <c r="K208" s="36" t="s">
        <v>971</v>
      </c>
      <c r="L208" s="36" t="s">
        <v>39</v>
      </c>
      <c r="M208" s="37" t="s">
        <v>39</v>
      </c>
      <c r="N208" s="37" t="s">
        <v>1742</v>
      </c>
      <c r="O208" s="38">
        <v>1</v>
      </c>
      <c r="P208" s="38">
        <v>1</v>
      </c>
      <c r="Q208" s="35"/>
      <c r="S208" s="1">
        <f t="shared" si="79"/>
        <v>0</v>
      </c>
      <c r="T208" s="1">
        <f t="shared" si="80"/>
        <v>0</v>
      </c>
      <c r="U208" s="1">
        <f t="shared" si="81"/>
        <v>0</v>
      </c>
      <c r="V208" s="1">
        <f t="shared" si="82"/>
        <v>0</v>
      </c>
      <c r="W208" s="1">
        <f t="shared" si="83"/>
        <v>0</v>
      </c>
      <c r="X208" s="1">
        <f t="shared" si="84"/>
        <v>0</v>
      </c>
      <c r="Y208" s="1">
        <f t="shared" si="85"/>
        <v>0</v>
      </c>
      <c r="Z208" s="1">
        <f t="shared" si="86"/>
        <v>0</v>
      </c>
      <c r="AA208" s="1">
        <f t="shared" si="87"/>
        <v>0</v>
      </c>
      <c r="AB208" s="1">
        <f t="shared" si="88"/>
        <v>0</v>
      </c>
      <c r="AD208" s="1">
        <f t="shared" si="89"/>
        <v>1</v>
      </c>
      <c r="AE208" s="1">
        <f t="shared" si="90"/>
        <v>0</v>
      </c>
      <c r="AF208" s="1">
        <f t="shared" si="75"/>
        <v>1</v>
      </c>
      <c r="AG208" s="1">
        <f t="shared" si="76"/>
        <v>0</v>
      </c>
      <c r="AH208" s="1">
        <f t="shared" si="77"/>
        <v>1</v>
      </c>
      <c r="AI208" s="1">
        <f t="shared" si="78"/>
        <v>0</v>
      </c>
    </row>
    <row r="209" spans="1:16384" ht="14.25" customHeight="1" x14ac:dyDescent="0.3">
      <c r="A209" s="47">
        <v>0</v>
      </c>
      <c r="B209" s="47">
        <v>1</v>
      </c>
      <c r="C209" s="47">
        <v>6</v>
      </c>
      <c r="D209" s="48" t="s">
        <v>95</v>
      </c>
      <c r="E209" s="48" t="s">
        <v>171</v>
      </c>
      <c r="F209" s="48" t="s">
        <v>292</v>
      </c>
      <c r="G209" s="48" t="s">
        <v>196</v>
      </c>
      <c r="H209" s="48" t="s">
        <v>357</v>
      </c>
      <c r="I209" s="47" t="s">
        <v>446</v>
      </c>
      <c r="J209" s="47">
        <v>9</v>
      </c>
      <c r="K209" s="49" t="s">
        <v>709</v>
      </c>
      <c r="L209" s="49" t="s">
        <v>701</v>
      </c>
      <c r="M209" s="50" t="s">
        <v>713</v>
      </c>
      <c r="N209" s="50" t="s">
        <v>1754</v>
      </c>
      <c r="O209" s="51"/>
      <c r="P209" s="51"/>
      <c r="Q209" s="48"/>
      <c r="S209" s="1">
        <f t="shared" si="79"/>
        <v>0</v>
      </c>
      <c r="T209" s="1">
        <f t="shared" si="80"/>
        <v>0</v>
      </c>
      <c r="U209" s="1">
        <f t="shared" si="81"/>
        <v>0</v>
      </c>
      <c r="V209" s="1">
        <f t="shared" si="82"/>
        <v>0</v>
      </c>
      <c r="W209" s="1">
        <f t="shared" si="83"/>
        <v>0</v>
      </c>
      <c r="X209" s="1">
        <f t="shared" si="84"/>
        <v>0</v>
      </c>
      <c r="Y209" s="1">
        <f t="shared" si="85"/>
        <v>0</v>
      </c>
      <c r="Z209" s="1">
        <f t="shared" si="86"/>
        <v>0</v>
      </c>
      <c r="AA209" s="1">
        <f t="shared" si="87"/>
        <v>1</v>
      </c>
      <c r="AB209" s="1">
        <f t="shared" si="88"/>
        <v>0</v>
      </c>
      <c r="AD209" s="1">
        <f t="shared" si="89"/>
        <v>0</v>
      </c>
      <c r="AE209" s="1">
        <f t="shared" si="90"/>
        <v>0</v>
      </c>
      <c r="AF209" s="1">
        <f t="shared" si="75"/>
        <v>0</v>
      </c>
      <c r="AG209" s="1">
        <f t="shared" si="76"/>
        <v>0</v>
      </c>
      <c r="AH209" s="1">
        <f t="shared" si="77"/>
        <v>0</v>
      </c>
      <c r="AI209" s="1">
        <f t="shared" si="78"/>
        <v>1</v>
      </c>
    </row>
    <row r="210" spans="1:16384" ht="14.25" customHeight="1" x14ac:dyDescent="0.3">
      <c r="A210" s="41">
        <v>0</v>
      </c>
      <c r="B210" s="41">
        <v>1</v>
      </c>
      <c r="C210" s="41">
        <v>6</v>
      </c>
      <c r="D210" s="42" t="s">
        <v>1624</v>
      </c>
      <c r="E210" s="42" t="s">
        <v>1625</v>
      </c>
      <c r="F210" s="42" t="s">
        <v>1626</v>
      </c>
      <c r="G210" s="42" t="s">
        <v>194</v>
      </c>
      <c r="H210" s="42" t="s">
        <v>357</v>
      </c>
      <c r="I210" s="41" t="s">
        <v>1627</v>
      </c>
      <c r="J210" s="41">
        <v>10</v>
      </c>
      <c r="K210" s="43" t="s">
        <v>963</v>
      </c>
      <c r="L210" s="43" t="s">
        <v>693</v>
      </c>
      <c r="M210" s="44" t="s">
        <v>1628</v>
      </c>
      <c r="N210" s="45"/>
      <c r="O210" s="46"/>
      <c r="P210" s="46">
        <v>1</v>
      </c>
      <c r="Q210" s="42"/>
      <c r="S210" s="1">
        <f t="shared" si="79"/>
        <v>0</v>
      </c>
      <c r="T210" s="1">
        <f t="shared" si="80"/>
        <v>0</v>
      </c>
      <c r="U210" s="1">
        <f t="shared" si="81"/>
        <v>0</v>
      </c>
      <c r="V210" s="1">
        <f t="shared" si="82"/>
        <v>0</v>
      </c>
      <c r="W210" s="1">
        <f t="shared" si="83"/>
        <v>0</v>
      </c>
      <c r="X210" s="1">
        <f t="shared" si="84"/>
        <v>0</v>
      </c>
      <c r="Y210" s="1">
        <f t="shared" si="85"/>
        <v>0</v>
      </c>
      <c r="Z210" s="1">
        <f t="shared" si="86"/>
        <v>0</v>
      </c>
      <c r="AA210" s="1">
        <f t="shared" si="87"/>
        <v>0</v>
      </c>
      <c r="AB210" s="1">
        <f t="shared" si="88"/>
        <v>1</v>
      </c>
      <c r="AD210" s="1">
        <f t="shared" si="89"/>
        <v>0</v>
      </c>
      <c r="AE210" s="1">
        <f t="shared" si="90"/>
        <v>0</v>
      </c>
      <c r="AF210" s="1">
        <f t="shared" si="75"/>
        <v>0</v>
      </c>
      <c r="AG210" s="1">
        <f t="shared" si="76"/>
        <v>0</v>
      </c>
      <c r="AH210" s="1">
        <f t="shared" si="77"/>
        <v>1</v>
      </c>
      <c r="AI210" s="1">
        <f t="shared" si="78"/>
        <v>0</v>
      </c>
    </row>
    <row r="211" spans="1:16384" ht="14.25" customHeight="1" x14ac:dyDescent="0.3">
      <c r="A211" s="47">
        <v>0</v>
      </c>
      <c r="B211" s="47">
        <v>1</v>
      </c>
      <c r="C211" s="47">
        <v>6</v>
      </c>
      <c r="D211" s="48" t="s">
        <v>96</v>
      </c>
      <c r="E211" s="48" t="s">
        <v>167</v>
      </c>
      <c r="F211" s="48" t="s">
        <v>293</v>
      </c>
      <c r="G211" s="48" t="s">
        <v>294</v>
      </c>
      <c r="H211" s="48" t="s">
        <v>357</v>
      </c>
      <c r="I211" s="47" t="s">
        <v>447</v>
      </c>
      <c r="J211" s="47">
        <v>7</v>
      </c>
      <c r="K211" s="49" t="s">
        <v>709</v>
      </c>
      <c r="L211" s="49" t="s">
        <v>701</v>
      </c>
      <c r="M211" s="50" t="s">
        <v>705</v>
      </c>
      <c r="N211" s="50" t="s">
        <v>1749</v>
      </c>
      <c r="O211" s="51"/>
      <c r="P211" s="51"/>
      <c r="Q211" s="48"/>
      <c r="S211" s="1">
        <f t="shared" si="79"/>
        <v>0</v>
      </c>
      <c r="T211" s="1">
        <f t="shared" si="80"/>
        <v>0</v>
      </c>
      <c r="U211" s="1">
        <f t="shared" si="81"/>
        <v>0</v>
      </c>
      <c r="V211" s="1">
        <f t="shared" si="82"/>
        <v>0</v>
      </c>
      <c r="W211" s="1">
        <f t="shared" si="83"/>
        <v>0</v>
      </c>
      <c r="X211" s="1">
        <f t="shared" si="84"/>
        <v>0</v>
      </c>
      <c r="Y211" s="1">
        <f t="shared" si="85"/>
        <v>1</v>
      </c>
      <c r="Z211" s="1">
        <f t="shared" si="86"/>
        <v>0</v>
      </c>
      <c r="AA211" s="1">
        <f t="shared" si="87"/>
        <v>0</v>
      </c>
      <c r="AB211" s="1">
        <f t="shared" si="88"/>
        <v>0</v>
      </c>
      <c r="AD211" s="1">
        <f t="shared" si="89"/>
        <v>0</v>
      </c>
      <c r="AE211" s="1">
        <f t="shared" si="90"/>
        <v>0</v>
      </c>
      <c r="AF211" s="1">
        <f t="shared" si="75"/>
        <v>0</v>
      </c>
      <c r="AG211" s="1">
        <f t="shared" si="76"/>
        <v>0</v>
      </c>
      <c r="AH211" s="1">
        <f t="shared" si="77"/>
        <v>0</v>
      </c>
      <c r="AI211" s="1">
        <f t="shared" si="78"/>
        <v>1</v>
      </c>
    </row>
    <row r="212" spans="1:16384" ht="14.25" customHeight="1" x14ac:dyDescent="0.3">
      <c r="A212" s="34">
        <v>0</v>
      </c>
      <c r="B212" s="34">
        <v>1</v>
      </c>
      <c r="C212" s="34">
        <v>6</v>
      </c>
      <c r="D212" s="35" t="s">
        <v>1095</v>
      </c>
      <c r="E212" s="35" t="s">
        <v>169</v>
      </c>
      <c r="F212" s="35" t="s">
        <v>666</v>
      </c>
      <c r="G212" s="35" t="s">
        <v>181</v>
      </c>
      <c r="H212" s="35" t="s">
        <v>357</v>
      </c>
      <c r="I212" s="34" t="s">
        <v>384</v>
      </c>
      <c r="J212" s="34">
        <v>10</v>
      </c>
      <c r="K212" s="36" t="s">
        <v>729</v>
      </c>
      <c r="L212" s="36" t="s">
        <v>711</v>
      </c>
      <c r="M212" s="37" t="s">
        <v>714</v>
      </c>
      <c r="N212" s="37" t="s">
        <v>1765</v>
      </c>
      <c r="O212" s="38">
        <v>1</v>
      </c>
      <c r="P212" s="38"/>
      <c r="Q212" s="35"/>
      <c r="S212" s="1">
        <f t="shared" si="79"/>
        <v>0</v>
      </c>
      <c r="T212" s="1">
        <f t="shared" si="80"/>
        <v>0</v>
      </c>
      <c r="U212" s="1">
        <f t="shared" si="81"/>
        <v>0</v>
      </c>
      <c r="V212" s="1">
        <f t="shared" si="82"/>
        <v>0</v>
      </c>
      <c r="W212" s="1">
        <f t="shared" si="83"/>
        <v>0</v>
      </c>
      <c r="X212" s="1">
        <f t="shared" si="84"/>
        <v>0</v>
      </c>
      <c r="Y212" s="1">
        <f t="shared" si="85"/>
        <v>0</v>
      </c>
      <c r="Z212" s="1">
        <f t="shared" si="86"/>
        <v>0</v>
      </c>
      <c r="AA212" s="1">
        <f t="shared" si="87"/>
        <v>0</v>
      </c>
      <c r="AB212" s="1">
        <f t="shared" si="88"/>
        <v>1</v>
      </c>
      <c r="AD212" s="1">
        <f t="shared" si="89"/>
        <v>0</v>
      </c>
      <c r="AE212" s="1">
        <f t="shared" si="90"/>
        <v>1</v>
      </c>
      <c r="AF212" s="1">
        <f t="shared" si="75"/>
        <v>0</v>
      </c>
      <c r="AG212" s="1">
        <f t="shared" si="76"/>
        <v>1</v>
      </c>
      <c r="AH212" s="1">
        <f t="shared" si="77"/>
        <v>0</v>
      </c>
      <c r="AI212" s="1">
        <f t="shared" si="78"/>
        <v>1</v>
      </c>
    </row>
    <row r="213" spans="1:16384" ht="14.25" customHeight="1" x14ac:dyDescent="0.3">
      <c r="A213" s="34">
        <v>0</v>
      </c>
      <c r="B213" s="34">
        <v>1</v>
      </c>
      <c r="C213" s="34">
        <v>6</v>
      </c>
      <c r="D213" s="35" t="s">
        <v>1243</v>
      </c>
      <c r="E213" s="35" t="s">
        <v>167</v>
      </c>
      <c r="F213" s="35" t="s">
        <v>1244</v>
      </c>
      <c r="G213" s="35" t="s">
        <v>1246</v>
      </c>
      <c r="H213" s="35" t="s">
        <v>357</v>
      </c>
      <c r="I213" s="34" t="s">
        <v>1245</v>
      </c>
      <c r="J213" s="34">
        <v>99</v>
      </c>
      <c r="K213" s="36" t="s">
        <v>729</v>
      </c>
      <c r="L213" s="36" t="s">
        <v>700</v>
      </c>
      <c r="M213" s="37" t="s">
        <v>1415</v>
      </c>
      <c r="N213" s="37" t="s">
        <v>1758</v>
      </c>
      <c r="O213" s="38">
        <v>1</v>
      </c>
      <c r="P213" s="38"/>
      <c r="Q213" s="35"/>
      <c r="S213" s="1">
        <f t="shared" si="79"/>
        <v>0</v>
      </c>
      <c r="T213" s="1">
        <f t="shared" si="80"/>
        <v>0</v>
      </c>
      <c r="U213" s="1">
        <f t="shared" si="81"/>
        <v>0</v>
      </c>
      <c r="V213" s="1">
        <f t="shared" si="82"/>
        <v>0</v>
      </c>
      <c r="W213" s="1">
        <f t="shared" si="83"/>
        <v>0</v>
      </c>
      <c r="X213" s="1">
        <f t="shared" si="84"/>
        <v>0</v>
      </c>
      <c r="Y213" s="1">
        <f t="shared" si="85"/>
        <v>0</v>
      </c>
      <c r="Z213" s="1">
        <f t="shared" si="86"/>
        <v>0</v>
      </c>
      <c r="AA213" s="1">
        <f t="shared" si="87"/>
        <v>0</v>
      </c>
      <c r="AB213" s="1">
        <f t="shared" si="88"/>
        <v>0</v>
      </c>
      <c r="AD213" s="1">
        <f t="shared" si="89"/>
        <v>0</v>
      </c>
      <c r="AE213" s="1">
        <f t="shared" si="90"/>
        <v>1</v>
      </c>
      <c r="AF213" s="1">
        <f t="shared" si="75"/>
        <v>0</v>
      </c>
      <c r="AG213" s="1">
        <f t="shared" si="76"/>
        <v>1</v>
      </c>
      <c r="AH213" s="1">
        <f t="shared" si="77"/>
        <v>0</v>
      </c>
      <c r="AI213" s="1">
        <f t="shared" si="78"/>
        <v>1</v>
      </c>
    </row>
    <row r="214" spans="1:16384" ht="14.25" customHeight="1" x14ac:dyDescent="0.3">
      <c r="A214" s="34">
        <v>0</v>
      </c>
      <c r="B214" s="34">
        <v>1</v>
      </c>
      <c r="C214" s="34">
        <v>6</v>
      </c>
      <c r="D214" s="35" t="s">
        <v>985</v>
      </c>
      <c r="E214" s="35" t="s">
        <v>167</v>
      </c>
      <c r="F214" s="35" t="s">
        <v>983</v>
      </c>
      <c r="G214" s="35" t="s">
        <v>1115</v>
      </c>
      <c r="H214" s="35" t="s">
        <v>357</v>
      </c>
      <c r="I214" s="34" t="s">
        <v>984</v>
      </c>
      <c r="J214" s="34">
        <v>1</v>
      </c>
      <c r="K214" s="36" t="s">
        <v>963</v>
      </c>
      <c r="L214" s="36" t="s">
        <v>696</v>
      </c>
      <c r="M214" s="37" t="s">
        <v>1416</v>
      </c>
      <c r="N214" s="37" t="s">
        <v>1763</v>
      </c>
      <c r="O214" s="38">
        <v>1</v>
      </c>
      <c r="P214" s="38"/>
      <c r="Q214" s="35"/>
      <c r="S214" s="1">
        <f t="shared" si="79"/>
        <v>1</v>
      </c>
      <c r="T214" s="1">
        <f t="shared" si="80"/>
        <v>0</v>
      </c>
      <c r="U214" s="1">
        <f t="shared" si="81"/>
        <v>0</v>
      </c>
      <c r="V214" s="1">
        <f t="shared" si="82"/>
        <v>0</v>
      </c>
      <c r="W214" s="1">
        <f t="shared" si="83"/>
        <v>0</v>
      </c>
      <c r="X214" s="1">
        <f t="shared" si="84"/>
        <v>0</v>
      </c>
      <c r="Y214" s="1">
        <f t="shared" si="85"/>
        <v>0</v>
      </c>
      <c r="Z214" s="1">
        <f t="shared" si="86"/>
        <v>0</v>
      </c>
      <c r="AA214" s="1">
        <f t="shared" si="87"/>
        <v>0</v>
      </c>
      <c r="AB214" s="1">
        <f t="shared" si="88"/>
        <v>0</v>
      </c>
      <c r="AD214" s="1">
        <f t="shared" si="89"/>
        <v>0</v>
      </c>
      <c r="AE214" s="1">
        <f t="shared" si="90"/>
        <v>1</v>
      </c>
      <c r="AF214" s="1">
        <f t="shared" si="75"/>
        <v>0</v>
      </c>
      <c r="AG214" s="1">
        <f t="shared" si="76"/>
        <v>1</v>
      </c>
      <c r="AH214" s="1">
        <f t="shared" si="77"/>
        <v>0</v>
      </c>
      <c r="AI214" s="1">
        <f t="shared" si="78"/>
        <v>1</v>
      </c>
    </row>
    <row r="215" spans="1:16384" ht="14.25" customHeight="1" x14ac:dyDescent="0.3">
      <c r="A215" s="47">
        <v>0</v>
      </c>
      <c r="B215" s="47">
        <v>1</v>
      </c>
      <c r="C215" s="47">
        <v>6</v>
      </c>
      <c r="D215" s="48" t="s">
        <v>526</v>
      </c>
      <c r="E215" s="48" t="s">
        <v>169</v>
      </c>
      <c r="F215" s="48" t="s">
        <v>527</v>
      </c>
      <c r="G215" s="48" t="s">
        <v>528</v>
      </c>
      <c r="H215" s="48" t="s">
        <v>357</v>
      </c>
      <c r="I215" s="47" t="s">
        <v>529</v>
      </c>
      <c r="J215" s="47">
        <v>99</v>
      </c>
      <c r="K215" s="49" t="s">
        <v>709</v>
      </c>
      <c r="L215" s="49" t="s">
        <v>701</v>
      </c>
      <c r="M215" s="50" t="s">
        <v>714</v>
      </c>
      <c r="N215" s="50" t="s">
        <v>1824</v>
      </c>
      <c r="O215" s="51"/>
      <c r="P215" s="51"/>
      <c r="Q215" s="48"/>
      <c r="S215" s="1">
        <f t="shared" si="79"/>
        <v>0</v>
      </c>
      <c r="T215" s="1">
        <f t="shared" si="80"/>
        <v>0</v>
      </c>
      <c r="U215" s="1">
        <f t="shared" si="81"/>
        <v>0</v>
      </c>
      <c r="V215" s="1">
        <f t="shared" si="82"/>
        <v>0</v>
      </c>
      <c r="W215" s="1">
        <f t="shared" si="83"/>
        <v>0</v>
      </c>
      <c r="X215" s="1">
        <f t="shared" si="84"/>
        <v>0</v>
      </c>
      <c r="Y215" s="1">
        <f t="shared" si="85"/>
        <v>0</v>
      </c>
      <c r="Z215" s="1">
        <f t="shared" si="86"/>
        <v>0</v>
      </c>
      <c r="AA215" s="1">
        <f t="shared" si="87"/>
        <v>0</v>
      </c>
      <c r="AB215" s="1">
        <f t="shared" si="88"/>
        <v>0</v>
      </c>
      <c r="AD215" s="1">
        <f t="shared" si="89"/>
        <v>0</v>
      </c>
      <c r="AE215" s="1">
        <f t="shared" si="90"/>
        <v>0</v>
      </c>
      <c r="AF215" s="1">
        <f t="shared" si="75"/>
        <v>0</v>
      </c>
      <c r="AG215" s="1">
        <f t="shared" si="76"/>
        <v>0</v>
      </c>
      <c r="AH215" s="1">
        <f t="shared" si="77"/>
        <v>0</v>
      </c>
      <c r="AI215" s="1">
        <f t="shared" si="78"/>
        <v>1</v>
      </c>
    </row>
    <row r="216" spans="1:16384" ht="14.25" customHeight="1" x14ac:dyDescent="0.3">
      <c r="A216" s="41">
        <v>0</v>
      </c>
      <c r="B216" s="41">
        <v>1</v>
      </c>
      <c r="C216" s="41">
        <v>6</v>
      </c>
      <c r="D216" s="42" t="s">
        <v>1852</v>
      </c>
      <c r="E216" s="42" t="s">
        <v>1853</v>
      </c>
      <c r="F216" s="42" t="s">
        <v>1854</v>
      </c>
      <c r="G216" s="42"/>
      <c r="H216" s="42" t="s">
        <v>357</v>
      </c>
      <c r="I216" s="41" t="s">
        <v>1855</v>
      </c>
      <c r="J216" s="41"/>
      <c r="K216" s="43" t="s">
        <v>710</v>
      </c>
      <c r="L216" s="43"/>
      <c r="M216" s="44"/>
      <c r="N216" s="45"/>
      <c r="O216" s="46"/>
      <c r="P216" s="46">
        <v>1</v>
      </c>
      <c r="Q216" s="42"/>
      <c r="S216" s="1">
        <f t="shared" si="79"/>
        <v>0</v>
      </c>
      <c r="T216" s="1">
        <f t="shared" si="80"/>
        <v>0</v>
      </c>
      <c r="U216" s="1">
        <f t="shared" si="81"/>
        <v>0</v>
      </c>
      <c r="V216" s="1">
        <f t="shared" si="82"/>
        <v>0</v>
      </c>
      <c r="W216" s="1">
        <f t="shared" si="83"/>
        <v>0</v>
      </c>
      <c r="X216" s="1">
        <f t="shared" si="84"/>
        <v>0</v>
      </c>
      <c r="Y216" s="1">
        <f t="shared" si="85"/>
        <v>0</v>
      </c>
      <c r="Z216" s="1">
        <f t="shared" si="86"/>
        <v>0</v>
      </c>
      <c r="AA216" s="1">
        <f t="shared" si="87"/>
        <v>0</v>
      </c>
      <c r="AB216" s="1">
        <f t="shared" si="88"/>
        <v>0</v>
      </c>
      <c r="AD216" s="1">
        <f t="shared" si="89"/>
        <v>0</v>
      </c>
      <c r="AE216" s="1">
        <f t="shared" si="90"/>
        <v>0</v>
      </c>
      <c r="AF216" s="1">
        <f t="shared" si="75"/>
        <v>0</v>
      </c>
      <c r="AG216" s="1">
        <f t="shared" si="76"/>
        <v>0</v>
      </c>
      <c r="AH216" s="1">
        <f t="shared" si="77"/>
        <v>1</v>
      </c>
      <c r="AI216" s="1">
        <f t="shared" si="78"/>
        <v>0</v>
      </c>
    </row>
    <row r="217" spans="1:16384" ht="14.25" customHeight="1" x14ac:dyDescent="0.3">
      <c r="A217" s="47">
        <v>0</v>
      </c>
      <c r="B217" s="47">
        <v>1</v>
      </c>
      <c r="C217" s="47">
        <v>6</v>
      </c>
      <c r="D217" s="48" t="s">
        <v>1495</v>
      </c>
      <c r="E217" s="48" t="s">
        <v>169</v>
      </c>
      <c r="F217" s="48" t="s">
        <v>1497</v>
      </c>
      <c r="G217" s="48" t="s">
        <v>1498</v>
      </c>
      <c r="H217" s="48" t="s">
        <v>357</v>
      </c>
      <c r="I217" s="47" t="s">
        <v>1496</v>
      </c>
      <c r="J217" s="47">
        <v>99</v>
      </c>
      <c r="K217" s="49" t="s">
        <v>710</v>
      </c>
      <c r="L217" s="49">
        <v>62</v>
      </c>
      <c r="M217" s="50"/>
      <c r="N217" s="50" t="s">
        <v>1749</v>
      </c>
      <c r="O217" s="51"/>
      <c r="P217" s="51"/>
      <c r="Q217" s="48"/>
      <c r="S217" s="1">
        <f t="shared" si="79"/>
        <v>0</v>
      </c>
      <c r="T217" s="1">
        <f t="shared" si="80"/>
        <v>0</v>
      </c>
      <c r="U217" s="1">
        <f t="shared" si="81"/>
        <v>0</v>
      </c>
      <c r="V217" s="1">
        <f t="shared" si="82"/>
        <v>0</v>
      </c>
      <c r="W217" s="1">
        <f t="shared" si="83"/>
        <v>0</v>
      </c>
      <c r="X217" s="1">
        <f t="shared" si="84"/>
        <v>0</v>
      </c>
      <c r="Y217" s="1">
        <f t="shared" si="85"/>
        <v>0</v>
      </c>
      <c r="Z217" s="1">
        <f t="shared" si="86"/>
        <v>0</v>
      </c>
      <c r="AA217" s="1">
        <f t="shared" si="87"/>
        <v>0</v>
      </c>
      <c r="AB217" s="1">
        <f t="shared" si="88"/>
        <v>0</v>
      </c>
      <c r="AD217" s="1">
        <f t="shared" si="89"/>
        <v>0</v>
      </c>
      <c r="AE217" s="1">
        <f t="shared" si="90"/>
        <v>0</v>
      </c>
      <c r="AF217" s="1">
        <f t="shared" si="75"/>
        <v>0</v>
      </c>
      <c r="AG217" s="1">
        <f t="shared" si="76"/>
        <v>0</v>
      </c>
      <c r="AH217" s="1">
        <f t="shared" si="77"/>
        <v>0</v>
      </c>
      <c r="AI217" s="1">
        <f t="shared" si="78"/>
        <v>1</v>
      </c>
    </row>
    <row r="218" spans="1:16384" ht="14.25" customHeight="1" x14ac:dyDescent="0.3">
      <c r="A218" s="34">
        <v>0</v>
      </c>
      <c r="B218" s="34">
        <v>1</v>
      </c>
      <c r="C218" s="34">
        <v>6</v>
      </c>
      <c r="D218" s="35" t="s">
        <v>1210</v>
      </c>
      <c r="E218" s="35" t="s">
        <v>167</v>
      </c>
      <c r="F218" s="35" t="s">
        <v>1685</v>
      </c>
      <c r="G218" s="35" t="s">
        <v>215</v>
      </c>
      <c r="H218" s="35" t="s">
        <v>357</v>
      </c>
      <c r="I218" s="34" t="s">
        <v>1211</v>
      </c>
      <c r="J218" s="34">
        <v>1</v>
      </c>
      <c r="K218" s="36" t="s">
        <v>969</v>
      </c>
      <c r="L218" s="36" t="s">
        <v>693</v>
      </c>
      <c r="M218" s="37" t="s">
        <v>1587</v>
      </c>
      <c r="N218" s="37" t="s">
        <v>1770</v>
      </c>
      <c r="O218" s="38">
        <v>1</v>
      </c>
      <c r="P218" s="38"/>
      <c r="Q218" s="35"/>
      <c r="S218" s="1">
        <f t="shared" si="79"/>
        <v>1</v>
      </c>
      <c r="T218" s="1">
        <f t="shared" si="80"/>
        <v>0</v>
      </c>
      <c r="U218" s="1">
        <f t="shared" si="81"/>
        <v>0</v>
      </c>
      <c r="V218" s="1">
        <f t="shared" si="82"/>
        <v>0</v>
      </c>
      <c r="W218" s="1">
        <f t="shared" si="83"/>
        <v>0</v>
      </c>
      <c r="X218" s="1">
        <f t="shared" si="84"/>
        <v>0</v>
      </c>
      <c r="Y218" s="1">
        <f t="shared" si="85"/>
        <v>0</v>
      </c>
      <c r="Z218" s="1">
        <f t="shared" si="86"/>
        <v>0</v>
      </c>
      <c r="AA218" s="1">
        <f t="shared" si="87"/>
        <v>0</v>
      </c>
      <c r="AB218" s="1">
        <f t="shared" si="88"/>
        <v>0</v>
      </c>
      <c r="AD218" s="1">
        <f t="shared" si="89"/>
        <v>0</v>
      </c>
      <c r="AE218" s="1">
        <f t="shared" si="90"/>
        <v>1</v>
      </c>
      <c r="AF218" s="1">
        <f t="shared" si="75"/>
        <v>0</v>
      </c>
      <c r="AG218" s="1">
        <f t="shared" si="76"/>
        <v>1</v>
      </c>
      <c r="AH218" s="1">
        <f t="shared" si="77"/>
        <v>0</v>
      </c>
      <c r="AI218" s="1">
        <f t="shared" si="78"/>
        <v>1</v>
      </c>
    </row>
    <row r="219" spans="1:16384" ht="14.25" customHeight="1" x14ac:dyDescent="0.3">
      <c r="A219" s="34">
        <v>0</v>
      </c>
      <c r="B219" s="34">
        <v>1</v>
      </c>
      <c r="C219" s="34">
        <v>6</v>
      </c>
      <c r="D219" s="35" t="s">
        <v>99</v>
      </c>
      <c r="E219" s="35" t="s">
        <v>169</v>
      </c>
      <c r="F219" s="35" t="s">
        <v>299</v>
      </c>
      <c r="G219" s="35" t="s">
        <v>288</v>
      </c>
      <c r="H219" s="35" t="s">
        <v>357</v>
      </c>
      <c r="I219" s="34" t="s">
        <v>1128</v>
      </c>
      <c r="J219" s="34">
        <v>10</v>
      </c>
      <c r="K219" s="36" t="s">
        <v>963</v>
      </c>
      <c r="L219" s="36" t="s">
        <v>701</v>
      </c>
      <c r="M219" s="37" t="s">
        <v>712</v>
      </c>
      <c r="N219" s="37" t="s">
        <v>1764</v>
      </c>
      <c r="O219" s="38">
        <v>1</v>
      </c>
      <c r="P219" s="38"/>
      <c r="Q219" s="35"/>
      <c r="S219" s="1">
        <f t="shared" si="79"/>
        <v>0</v>
      </c>
      <c r="T219" s="1">
        <f t="shared" si="80"/>
        <v>0</v>
      </c>
      <c r="U219" s="1">
        <f t="shared" si="81"/>
        <v>0</v>
      </c>
      <c r="V219" s="1">
        <f t="shared" si="82"/>
        <v>0</v>
      </c>
      <c r="W219" s="1">
        <f t="shared" si="83"/>
        <v>0</v>
      </c>
      <c r="X219" s="1">
        <f t="shared" si="84"/>
        <v>0</v>
      </c>
      <c r="Y219" s="1">
        <f t="shared" si="85"/>
        <v>0</v>
      </c>
      <c r="Z219" s="1">
        <f t="shared" si="86"/>
        <v>0</v>
      </c>
      <c r="AA219" s="1">
        <f t="shared" si="87"/>
        <v>0</v>
      </c>
      <c r="AB219" s="1">
        <f t="shared" si="88"/>
        <v>1</v>
      </c>
      <c r="AD219" s="1">
        <f t="shared" si="89"/>
        <v>0</v>
      </c>
      <c r="AE219" s="1">
        <f t="shared" si="90"/>
        <v>1</v>
      </c>
      <c r="AF219" s="1">
        <f t="shared" si="75"/>
        <v>0</v>
      </c>
      <c r="AG219" s="1">
        <f t="shared" si="76"/>
        <v>1</v>
      </c>
      <c r="AH219" s="1">
        <f t="shared" si="77"/>
        <v>0</v>
      </c>
      <c r="AI219" s="1">
        <f t="shared" si="78"/>
        <v>1</v>
      </c>
    </row>
    <row r="220" spans="1:16384" ht="14.25" customHeight="1" x14ac:dyDescent="0.3">
      <c r="A220" s="34">
        <v>0</v>
      </c>
      <c r="B220" s="34">
        <v>1</v>
      </c>
      <c r="C220" s="34">
        <v>6</v>
      </c>
      <c r="D220" s="35" t="s">
        <v>608</v>
      </c>
      <c r="E220" s="35" t="s">
        <v>167</v>
      </c>
      <c r="F220" s="35" t="s">
        <v>610</v>
      </c>
      <c r="G220" s="35" t="s">
        <v>39</v>
      </c>
      <c r="H220" s="35" t="s">
        <v>357</v>
      </c>
      <c r="I220" s="34" t="s">
        <v>609</v>
      </c>
      <c r="J220" s="34">
        <v>99</v>
      </c>
      <c r="K220" s="36" t="s">
        <v>963</v>
      </c>
      <c r="L220" s="36" t="s">
        <v>700</v>
      </c>
      <c r="M220" s="37" t="s">
        <v>977</v>
      </c>
      <c r="N220" s="37" t="s">
        <v>1764</v>
      </c>
      <c r="O220" s="38">
        <v>1</v>
      </c>
      <c r="P220" s="38"/>
      <c r="Q220" s="35"/>
      <c r="S220" s="1">
        <f t="shared" si="79"/>
        <v>0</v>
      </c>
      <c r="T220" s="1">
        <f t="shared" si="80"/>
        <v>0</v>
      </c>
      <c r="U220" s="1">
        <f t="shared" si="81"/>
        <v>0</v>
      </c>
      <c r="V220" s="1">
        <f t="shared" si="82"/>
        <v>0</v>
      </c>
      <c r="W220" s="1">
        <f t="shared" si="83"/>
        <v>0</v>
      </c>
      <c r="X220" s="1">
        <f t="shared" si="84"/>
        <v>0</v>
      </c>
      <c r="Y220" s="1">
        <f t="shared" si="85"/>
        <v>0</v>
      </c>
      <c r="Z220" s="1">
        <f t="shared" si="86"/>
        <v>0</v>
      </c>
      <c r="AA220" s="1">
        <f t="shared" si="87"/>
        <v>0</v>
      </c>
      <c r="AB220" s="1">
        <f t="shared" si="88"/>
        <v>0</v>
      </c>
      <c r="AD220" s="1">
        <f t="shared" si="89"/>
        <v>0</v>
      </c>
      <c r="AE220" s="1">
        <f t="shared" si="90"/>
        <v>1</v>
      </c>
      <c r="AF220" s="1">
        <f t="shared" si="75"/>
        <v>0</v>
      </c>
      <c r="AG220" s="1">
        <f t="shared" si="76"/>
        <v>1</v>
      </c>
      <c r="AH220" s="1">
        <f t="shared" si="77"/>
        <v>0</v>
      </c>
      <c r="AI220" s="1">
        <f t="shared" si="78"/>
        <v>1</v>
      </c>
    </row>
    <row r="221" spans="1:16384" ht="14.25" customHeight="1" x14ac:dyDescent="0.3">
      <c r="A221" s="34">
        <v>0</v>
      </c>
      <c r="B221" s="34">
        <v>1</v>
      </c>
      <c r="C221" s="34">
        <v>6</v>
      </c>
      <c r="D221" s="35" t="s">
        <v>1175</v>
      </c>
      <c r="E221" s="35" t="s">
        <v>167</v>
      </c>
      <c r="F221" s="35" t="s">
        <v>1177</v>
      </c>
      <c r="G221" s="35" t="s">
        <v>222</v>
      </c>
      <c r="H221" s="35" t="s">
        <v>357</v>
      </c>
      <c r="I221" s="34" t="s">
        <v>1176</v>
      </c>
      <c r="J221" s="34">
        <v>8</v>
      </c>
      <c r="K221" s="36" t="s">
        <v>709</v>
      </c>
      <c r="L221" s="36" t="s">
        <v>1728</v>
      </c>
      <c r="M221" s="37" t="s">
        <v>1417</v>
      </c>
      <c r="N221" s="37" t="s">
        <v>1763</v>
      </c>
      <c r="O221" s="38">
        <v>1</v>
      </c>
      <c r="P221" s="38"/>
      <c r="Q221" s="35"/>
      <c r="S221" s="1">
        <f t="shared" si="79"/>
        <v>0</v>
      </c>
      <c r="T221" s="1">
        <f t="shared" si="80"/>
        <v>0</v>
      </c>
      <c r="U221" s="1">
        <f t="shared" si="81"/>
        <v>0</v>
      </c>
      <c r="V221" s="1">
        <f t="shared" si="82"/>
        <v>0</v>
      </c>
      <c r="W221" s="1">
        <f t="shared" si="83"/>
        <v>0</v>
      </c>
      <c r="X221" s="1">
        <f t="shared" si="84"/>
        <v>0</v>
      </c>
      <c r="Y221" s="1">
        <f t="shared" si="85"/>
        <v>0</v>
      </c>
      <c r="Z221" s="1">
        <f t="shared" si="86"/>
        <v>1</v>
      </c>
      <c r="AA221" s="1">
        <f t="shared" si="87"/>
        <v>0</v>
      </c>
      <c r="AB221" s="1">
        <f t="shared" si="88"/>
        <v>0</v>
      </c>
      <c r="AD221" s="1">
        <f t="shared" si="89"/>
        <v>0</v>
      </c>
      <c r="AE221" s="1">
        <f t="shared" si="90"/>
        <v>1</v>
      </c>
      <c r="AF221" s="1">
        <f t="shared" si="75"/>
        <v>0</v>
      </c>
      <c r="AG221" s="1">
        <f t="shared" si="76"/>
        <v>1</v>
      </c>
      <c r="AH221" s="1">
        <f t="shared" si="77"/>
        <v>0</v>
      </c>
      <c r="AI221" s="1">
        <f t="shared" si="78"/>
        <v>1</v>
      </c>
    </row>
    <row r="222" spans="1:16384" s="2" customFormat="1" ht="14.25" customHeight="1" x14ac:dyDescent="0.3">
      <c r="A222" s="34">
        <v>0</v>
      </c>
      <c r="B222" s="34">
        <v>1</v>
      </c>
      <c r="C222" s="34">
        <v>6</v>
      </c>
      <c r="D222" s="35" t="s">
        <v>569</v>
      </c>
      <c r="E222" s="35" t="s">
        <v>169</v>
      </c>
      <c r="F222" s="35" t="s">
        <v>667</v>
      </c>
      <c r="G222" s="35" t="s">
        <v>204</v>
      </c>
      <c r="H222" s="35" t="s">
        <v>357</v>
      </c>
      <c r="I222" s="34" t="s">
        <v>588</v>
      </c>
      <c r="J222" s="34">
        <v>10</v>
      </c>
      <c r="K222" s="36" t="s">
        <v>969</v>
      </c>
      <c r="L222" s="36" t="s">
        <v>700</v>
      </c>
      <c r="M222" s="37" t="s">
        <v>712</v>
      </c>
      <c r="N222" s="37" t="s">
        <v>1763</v>
      </c>
      <c r="O222" s="38">
        <v>1</v>
      </c>
      <c r="P222" s="38"/>
      <c r="Q222" s="39"/>
      <c r="R222" s="34"/>
      <c r="S222" s="34">
        <f t="shared" si="79"/>
        <v>0</v>
      </c>
      <c r="T222" s="34">
        <f t="shared" si="80"/>
        <v>0</v>
      </c>
      <c r="U222" s="35">
        <f t="shared" si="81"/>
        <v>0</v>
      </c>
      <c r="V222" s="35">
        <f t="shared" si="82"/>
        <v>0</v>
      </c>
      <c r="W222" s="35">
        <f t="shared" si="83"/>
        <v>0</v>
      </c>
      <c r="X222" s="35">
        <f t="shared" si="84"/>
        <v>0</v>
      </c>
      <c r="Y222" s="35">
        <f t="shared" si="85"/>
        <v>0</v>
      </c>
      <c r="Z222" s="34">
        <f t="shared" si="86"/>
        <v>0</v>
      </c>
      <c r="AA222" s="34">
        <f t="shared" si="87"/>
        <v>0</v>
      </c>
      <c r="AB222" s="36">
        <f t="shared" si="88"/>
        <v>1</v>
      </c>
      <c r="AC222" s="36"/>
      <c r="AD222" s="37">
        <f t="shared" si="89"/>
        <v>0</v>
      </c>
      <c r="AE222" s="37">
        <f t="shared" si="90"/>
        <v>1</v>
      </c>
      <c r="AF222" s="38">
        <f t="shared" si="75"/>
        <v>0</v>
      </c>
      <c r="AG222" s="38">
        <f t="shared" si="76"/>
        <v>1</v>
      </c>
      <c r="AH222" s="39">
        <f t="shared" si="77"/>
        <v>0</v>
      </c>
      <c r="AI222" s="34">
        <f t="shared" si="78"/>
        <v>1</v>
      </c>
      <c r="AJ222" s="34"/>
      <c r="AK222" s="34"/>
      <c r="AL222" s="35"/>
      <c r="AM222" s="35"/>
      <c r="AN222" s="35"/>
      <c r="AO222" s="35"/>
      <c r="AP222" s="35"/>
      <c r="AQ222" s="34"/>
      <c r="AR222" s="34"/>
      <c r="AS222" s="36"/>
      <c r="AT222" s="36"/>
      <c r="AU222" s="37"/>
      <c r="AV222" s="37"/>
      <c r="AW222" s="38"/>
      <c r="AX222" s="38"/>
      <c r="AY222" s="39"/>
      <c r="AZ222" s="34"/>
      <c r="BA222" s="34"/>
      <c r="BB222" s="34"/>
      <c r="BC222" s="35"/>
      <c r="BD222" s="35"/>
      <c r="BE222" s="35"/>
      <c r="BF222" s="35"/>
      <c r="BG222" s="35"/>
      <c r="BH222" s="34"/>
      <c r="BI222" s="34"/>
      <c r="BJ222" s="36"/>
      <c r="BK222" s="36"/>
      <c r="BL222" s="37"/>
      <c r="BM222" s="37"/>
      <c r="BN222" s="38"/>
      <c r="BO222" s="38"/>
      <c r="BP222" s="39"/>
      <c r="BQ222" s="34"/>
      <c r="BR222" s="34"/>
      <c r="BS222" s="34"/>
      <c r="BT222" s="35"/>
      <c r="BU222" s="35"/>
      <c r="BV222" s="35"/>
      <c r="BW222" s="35"/>
      <c r="BX222" s="35"/>
      <c r="BY222" s="34"/>
      <c r="BZ222" s="34"/>
      <c r="CA222" s="36"/>
      <c r="CB222" s="36"/>
      <c r="CC222" s="37"/>
      <c r="CD222" s="37"/>
      <c r="CE222" s="38"/>
      <c r="CF222" s="38"/>
      <c r="CG222" s="39"/>
      <c r="CH222" s="34"/>
      <c r="CI222" s="34"/>
      <c r="CJ222" s="34"/>
      <c r="CK222" s="35"/>
      <c r="CL222" s="35"/>
      <c r="CM222" s="35"/>
      <c r="CN222" s="35"/>
      <c r="CO222" s="35"/>
      <c r="CP222" s="34"/>
      <c r="CQ222" s="34"/>
      <c r="CR222" s="36"/>
      <c r="CS222" s="36"/>
      <c r="CT222" s="37"/>
      <c r="CU222" s="37"/>
      <c r="CV222" s="38"/>
      <c r="CW222" s="38"/>
      <c r="CX222" s="39"/>
      <c r="CY222" s="34"/>
      <c r="CZ222" s="34"/>
      <c r="DA222" s="34"/>
      <c r="DB222" s="35"/>
      <c r="DC222" s="35"/>
      <c r="DD222" s="35"/>
      <c r="DE222" s="35"/>
      <c r="DF222" s="35"/>
      <c r="DG222" s="34"/>
      <c r="DH222" s="34"/>
      <c r="DI222" s="36"/>
      <c r="DJ222" s="36"/>
      <c r="DK222" s="37"/>
      <c r="DL222" s="37"/>
      <c r="DM222" s="38"/>
      <c r="DN222" s="38"/>
      <c r="DO222" s="39"/>
      <c r="DP222" s="34"/>
      <c r="DQ222" s="34"/>
      <c r="DR222" s="34"/>
      <c r="DS222" s="35"/>
      <c r="DT222" s="35"/>
      <c r="DU222" s="35"/>
      <c r="DV222" s="35"/>
      <c r="DW222" s="35"/>
      <c r="DX222" s="34"/>
      <c r="DY222" s="34"/>
      <c r="DZ222" s="36"/>
      <c r="EA222" s="36"/>
      <c r="EB222" s="37"/>
      <c r="EC222" s="37"/>
      <c r="ED222" s="38"/>
      <c r="EE222" s="38"/>
      <c r="EF222" s="39"/>
      <c r="EG222" s="34"/>
      <c r="EH222" s="34"/>
      <c r="EI222" s="34"/>
      <c r="EJ222" s="35"/>
      <c r="EK222" s="35"/>
      <c r="EL222" s="35"/>
      <c r="EM222" s="35"/>
      <c r="EN222" s="35"/>
      <c r="EO222" s="34"/>
      <c r="EP222" s="34"/>
      <c r="EQ222" s="36"/>
      <c r="ER222" s="36"/>
      <c r="ES222" s="37"/>
      <c r="ET222" s="37"/>
      <c r="EU222" s="38"/>
      <c r="EV222" s="38"/>
      <c r="EW222" s="39"/>
      <c r="EX222" s="34"/>
      <c r="EY222" s="34"/>
      <c r="EZ222" s="34"/>
      <c r="FA222" s="35"/>
      <c r="FB222" s="35"/>
      <c r="FC222" s="35"/>
      <c r="FD222" s="35"/>
      <c r="FE222" s="35"/>
      <c r="FF222" s="34"/>
      <c r="FG222" s="34"/>
      <c r="FH222" s="36"/>
      <c r="FI222" s="36"/>
      <c r="FJ222" s="37"/>
      <c r="FK222" s="37"/>
      <c r="FL222" s="38"/>
      <c r="FM222" s="38"/>
      <c r="FN222" s="39"/>
      <c r="FO222" s="34"/>
      <c r="FP222" s="34"/>
      <c r="FQ222" s="34"/>
      <c r="FR222" s="35"/>
      <c r="FS222" s="35"/>
      <c r="FT222" s="35"/>
      <c r="FU222" s="35"/>
      <c r="FV222" s="35"/>
      <c r="FW222" s="34"/>
      <c r="FX222" s="34"/>
      <c r="FY222" s="36"/>
      <c r="FZ222" s="36"/>
      <c r="GA222" s="37"/>
      <c r="GB222" s="37"/>
      <c r="GC222" s="38"/>
      <c r="GD222" s="38"/>
      <c r="GE222" s="39"/>
      <c r="GF222" s="34"/>
      <c r="GG222" s="34"/>
      <c r="GH222" s="34"/>
      <c r="GI222" s="35"/>
      <c r="GJ222" s="35"/>
      <c r="GK222" s="35"/>
      <c r="GL222" s="35"/>
      <c r="GM222" s="35"/>
      <c r="GN222" s="34"/>
      <c r="GO222" s="34"/>
      <c r="GP222" s="36"/>
      <c r="GQ222" s="36"/>
      <c r="GR222" s="37"/>
      <c r="GS222" s="37"/>
      <c r="GT222" s="38"/>
      <c r="GU222" s="38"/>
      <c r="GV222" s="39"/>
      <c r="GW222" s="34"/>
      <c r="GX222" s="34"/>
      <c r="GY222" s="34"/>
      <c r="GZ222" s="35"/>
      <c r="HA222" s="35"/>
      <c r="HB222" s="35"/>
      <c r="HC222" s="35"/>
      <c r="HD222" s="35"/>
      <c r="HE222" s="34"/>
      <c r="HF222" s="34"/>
      <c r="HG222" s="36"/>
      <c r="HH222" s="36"/>
      <c r="HI222" s="37"/>
      <c r="HJ222" s="37"/>
      <c r="HK222" s="38"/>
      <c r="HL222" s="38"/>
      <c r="HM222" s="39"/>
      <c r="HN222" s="34"/>
      <c r="HO222" s="34"/>
      <c r="HP222" s="34"/>
      <c r="HQ222" s="35"/>
      <c r="HR222" s="35"/>
      <c r="HS222" s="35"/>
      <c r="HT222" s="35"/>
      <c r="HU222" s="35"/>
      <c r="HV222" s="34"/>
      <c r="HW222" s="34"/>
      <c r="HX222" s="36"/>
      <c r="HY222" s="36"/>
      <c r="HZ222" s="37"/>
      <c r="IA222" s="37"/>
      <c r="IB222" s="38"/>
      <c r="IC222" s="38"/>
      <c r="ID222" s="39"/>
      <c r="IE222" s="34"/>
      <c r="IF222" s="34"/>
      <c r="IG222" s="34"/>
      <c r="IH222" s="35"/>
      <c r="II222" s="35"/>
      <c r="IJ222" s="35"/>
      <c r="IK222" s="35"/>
      <c r="IL222" s="35"/>
      <c r="IM222" s="34"/>
      <c r="IN222" s="34"/>
      <c r="IO222" s="36"/>
      <c r="IP222" s="36"/>
      <c r="IQ222" s="37"/>
      <c r="IR222" s="37"/>
      <c r="IS222" s="38"/>
      <c r="IT222" s="38"/>
      <c r="IU222" s="39"/>
      <c r="IV222" s="34"/>
      <c r="IW222" s="34"/>
      <c r="IX222" s="34"/>
      <c r="IY222" s="35"/>
      <c r="IZ222" s="35"/>
      <c r="JA222" s="35"/>
      <c r="JB222" s="35"/>
      <c r="JC222" s="35"/>
      <c r="JD222" s="34"/>
      <c r="JE222" s="34"/>
      <c r="JF222" s="36"/>
      <c r="JG222" s="36"/>
      <c r="JH222" s="37"/>
      <c r="JI222" s="37"/>
      <c r="JJ222" s="38"/>
      <c r="JK222" s="38"/>
      <c r="JL222" s="39"/>
      <c r="JM222" s="34"/>
      <c r="JN222" s="34"/>
      <c r="JO222" s="34"/>
      <c r="JP222" s="35"/>
      <c r="JQ222" s="35"/>
      <c r="JR222" s="35"/>
      <c r="JS222" s="35"/>
      <c r="JT222" s="35"/>
      <c r="JU222" s="34"/>
      <c r="JV222" s="34"/>
      <c r="JW222" s="36"/>
      <c r="JX222" s="36"/>
      <c r="JY222" s="37"/>
      <c r="JZ222" s="37"/>
      <c r="KA222" s="38"/>
      <c r="KB222" s="38"/>
      <c r="KC222" s="39"/>
      <c r="KD222" s="34"/>
      <c r="KE222" s="34"/>
      <c r="KF222" s="34"/>
      <c r="KG222" s="35"/>
      <c r="KH222" s="35"/>
      <c r="KI222" s="35"/>
      <c r="KJ222" s="35"/>
      <c r="KK222" s="35"/>
      <c r="KL222" s="34"/>
      <c r="KM222" s="34"/>
      <c r="KN222" s="36"/>
      <c r="KO222" s="36"/>
      <c r="KP222" s="37"/>
      <c r="KQ222" s="37"/>
      <c r="KR222" s="38"/>
      <c r="KS222" s="38"/>
      <c r="KT222" s="39"/>
      <c r="KU222" s="34"/>
      <c r="KV222" s="34"/>
      <c r="KW222" s="34"/>
      <c r="KX222" s="35"/>
      <c r="KY222" s="35"/>
      <c r="KZ222" s="35"/>
      <c r="LA222" s="35"/>
      <c r="LB222" s="35"/>
      <c r="LC222" s="34"/>
      <c r="LD222" s="34"/>
      <c r="LE222" s="36"/>
      <c r="LF222" s="36"/>
      <c r="LG222" s="37"/>
      <c r="LH222" s="37"/>
      <c r="LI222" s="38"/>
      <c r="LJ222" s="38"/>
      <c r="LK222" s="39"/>
      <c r="LL222" s="34"/>
      <c r="LM222" s="34"/>
      <c r="LN222" s="34"/>
      <c r="LO222" s="35"/>
      <c r="LP222" s="35"/>
      <c r="LQ222" s="35"/>
      <c r="LR222" s="35"/>
      <c r="LS222" s="35"/>
      <c r="LT222" s="34"/>
      <c r="LU222" s="34"/>
      <c r="LV222" s="36"/>
      <c r="LW222" s="36"/>
      <c r="LX222" s="37"/>
      <c r="LY222" s="37"/>
      <c r="LZ222" s="38"/>
      <c r="MA222" s="38"/>
      <c r="MB222" s="39"/>
      <c r="MC222" s="34"/>
      <c r="MD222" s="34"/>
      <c r="ME222" s="34"/>
      <c r="MF222" s="35"/>
      <c r="MG222" s="35"/>
      <c r="MH222" s="35"/>
      <c r="MI222" s="35"/>
      <c r="MJ222" s="35"/>
      <c r="MK222" s="34"/>
      <c r="ML222" s="34"/>
      <c r="MM222" s="36"/>
      <c r="MN222" s="36"/>
      <c r="MO222" s="37"/>
      <c r="MP222" s="37"/>
      <c r="MQ222" s="38"/>
      <c r="MR222" s="38"/>
      <c r="MS222" s="39"/>
      <c r="MT222" s="34"/>
      <c r="MU222" s="34"/>
      <c r="MV222" s="34"/>
      <c r="MW222" s="35"/>
      <c r="MX222" s="35"/>
      <c r="MY222" s="35"/>
      <c r="MZ222" s="35"/>
      <c r="NA222" s="35"/>
      <c r="NB222" s="34"/>
      <c r="NC222" s="34"/>
      <c r="ND222" s="36"/>
      <c r="NE222" s="36"/>
      <c r="NF222" s="37"/>
      <c r="NG222" s="37"/>
      <c r="NH222" s="38"/>
      <c r="NI222" s="38"/>
      <c r="NJ222" s="39"/>
      <c r="NK222" s="34"/>
      <c r="NL222" s="34"/>
      <c r="NM222" s="34"/>
      <c r="NN222" s="35"/>
      <c r="NO222" s="35"/>
      <c r="NP222" s="35"/>
      <c r="NQ222" s="35"/>
      <c r="NR222" s="35"/>
      <c r="NS222" s="34"/>
      <c r="NT222" s="34"/>
      <c r="NU222" s="36"/>
      <c r="NV222" s="36"/>
      <c r="NW222" s="37"/>
      <c r="NX222" s="37"/>
      <c r="NY222" s="38"/>
      <c r="NZ222" s="38"/>
      <c r="OA222" s="39"/>
      <c r="OB222" s="34"/>
      <c r="OC222" s="34"/>
      <c r="OD222" s="34"/>
      <c r="OE222" s="35"/>
      <c r="OF222" s="35"/>
      <c r="OG222" s="35"/>
      <c r="OH222" s="35"/>
      <c r="OI222" s="35"/>
      <c r="OJ222" s="34"/>
      <c r="OK222" s="34"/>
      <c r="OL222" s="36"/>
      <c r="OM222" s="36"/>
      <c r="ON222" s="37"/>
      <c r="OO222" s="37"/>
      <c r="OP222" s="38"/>
      <c r="OQ222" s="38"/>
      <c r="OR222" s="39"/>
      <c r="OS222" s="34"/>
      <c r="OT222" s="34"/>
      <c r="OU222" s="34"/>
      <c r="OV222" s="35"/>
      <c r="OW222" s="35"/>
      <c r="OX222" s="35"/>
      <c r="OY222" s="35"/>
      <c r="OZ222" s="35"/>
      <c r="PA222" s="34"/>
      <c r="PB222" s="34"/>
      <c r="PC222" s="36"/>
      <c r="PD222" s="36"/>
      <c r="PE222" s="37"/>
      <c r="PF222" s="37"/>
      <c r="PG222" s="38"/>
      <c r="PH222" s="38"/>
      <c r="PI222" s="39"/>
      <c r="PJ222" s="34"/>
      <c r="PK222" s="34"/>
      <c r="PL222" s="34"/>
      <c r="PM222" s="35"/>
      <c r="PN222" s="35"/>
      <c r="PO222" s="35"/>
      <c r="PP222" s="35"/>
      <c r="PQ222" s="35"/>
      <c r="PR222" s="34"/>
      <c r="PS222" s="34"/>
      <c r="PT222" s="36"/>
      <c r="PU222" s="36"/>
      <c r="PV222" s="37"/>
      <c r="PW222" s="37"/>
      <c r="PX222" s="38"/>
      <c r="PY222" s="38"/>
      <c r="PZ222" s="39"/>
      <c r="QA222" s="34"/>
      <c r="QB222" s="34"/>
      <c r="QC222" s="34"/>
      <c r="QD222" s="35"/>
      <c r="QE222" s="35"/>
      <c r="QF222" s="35"/>
      <c r="QG222" s="35"/>
      <c r="QH222" s="35"/>
      <c r="QI222" s="34"/>
      <c r="QJ222" s="34"/>
      <c r="QK222" s="36"/>
      <c r="QL222" s="36"/>
      <c r="QM222" s="37"/>
      <c r="QN222" s="37"/>
      <c r="QO222" s="38"/>
      <c r="QP222" s="38"/>
      <c r="QQ222" s="39"/>
      <c r="QR222" s="34"/>
      <c r="QS222" s="34"/>
      <c r="QT222" s="34"/>
      <c r="QU222" s="35"/>
      <c r="QV222" s="35"/>
      <c r="QW222" s="35"/>
      <c r="QX222" s="35"/>
      <c r="QY222" s="35"/>
      <c r="QZ222" s="34"/>
      <c r="RA222" s="34"/>
      <c r="RB222" s="36"/>
      <c r="RC222" s="36"/>
      <c r="RD222" s="37"/>
      <c r="RE222" s="37"/>
      <c r="RF222" s="38"/>
      <c r="RG222" s="38"/>
      <c r="RH222" s="39"/>
      <c r="RI222" s="34"/>
      <c r="RJ222" s="34"/>
      <c r="RK222" s="34"/>
      <c r="RL222" s="35"/>
      <c r="RM222" s="35"/>
      <c r="RN222" s="35"/>
      <c r="RO222" s="35"/>
      <c r="RP222" s="35"/>
      <c r="RQ222" s="34"/>
      <c r="RR222" s="34"/>
      <c r="RS222" s="36"/>
      <c r="RT222" s="36"/>
      <c r="RU222" s="37"/>
      <c r="RV222" s="37"/>
      <c r="RW222" s="38"/>
      <c r="RX222" s="38"/>
      <c r="RY222" s="39"/>
      <c r="RZ222" s="34"/>
      <c r="SA222" s="34"/>
      <c r="SB222" s="34"/>
      <c r="SC222" s="35"/>
      <c r="SD222" s="35"/>
      <c r="SE222" s="35"/>
      <c r="SF222" s="35"/>
      <c r="SG222" s="35"/>
      <c r="SH222" s="34"/>
      <c r="SI222" s="34"/>
      <c r="SJ222" s="36"/>
      <c r="SK222" s="36"/>
      <c r="SL222" s="37"/>
      <c r="SM222" s="37"/>
      <c r="SN222" s="38"/>
      <c r="SO222" s="38"/>
      <c r="SP222" s="39"/>
      <c r="SQ222" s="34"/>
      <c r="SR222" s="34"/>
      <c r="SS222" s="34"/>
      <c r="ST222" s="35"/>
      <c r="SU222" s="35"/>
      <c r="SV222" s="35"/>
      <c r="SW222" s="35"/>
      <c r="SX222" s="35"/>
      <c r="SY222" s="34"/>
      <c r="SZ222" s="34"/>
      <c r="TA222" s="36"/>
      <c r="TB222" s="36"/>
      <c r="TC222" s="37"/>
      <c r="TD222" s="37"/>
      <c r="TE222" s="38"/>
      <c r="TF222" s="38"/>
      <c r="TG222" s="39"/>
      <c r="TH222" s="34"/>
      <c r="TI222" s="34"/>
      <c r="TJ222" s="34"/>
      <c r="TK222" s="35"/>
      <c r="TL222" s="35"/>
      <c r="TM222" s="35"/>
      <c r="TN222" s="35"/>
      <c r="TO222" s="35"/>
      <c r="TP222" s="34"/>
      <c r="TQ222" s="34"/>
      <c r="TR222" s="36"/>
      <c r="TS222" s="36"/>
      <c r="TT222" s="37"/>
      <c r="TU222" s="37"/>
      <c r="TV222" s="38"/>
      <c r="TW222" s="38"/>
      <c r="TX222" s="39"/>
      <c r="TY222" s="34"/>
      <c r="TZ222" s="34"/>
      <c r="UA222" s="34"/>
      <c r="UB222" s="35"/>
      <c r="UC222" s="35"/>
      <c r="UD222" s="35"/>
      <c r="UE222" s="35"/>
      <c r="UF222" s="35"/>
      <c r="UG222" s="34"/>
      <c r="UH222" s="34"/>
      <c r="UI222" s="36"/>
      <c r="UJ222" s="36"/>
      <c r="UK222" s="37"/>
      <c r="UL222" s="37"/>
      <c r="UM222" s="38"/>
      <c r="UN222" s="38"/>
      <c r="UO222" s="39"/>
      <c r="UP222" s="34"/>
      <c r="UQ222" s="34"/>
      <c r="UR222" s="34"/>
      <c r="US222" s="35"/>
      <c r="UT222" s="35"/>
      <c r="UU222" s="35"/>
      <c r="UV222" s="35"/>
      <c r="UW222" s="35"/>
      <c r="UX222" s="34"/>
      <c r="UY222" s="34"/>
      <c r="UZ222" s="36"/>
      <c r="VA222" s="36"/>
      <c r="VB222" s="37"/>
      <c r="VC222" s="37"/>
      <c r="VD222" s="38"/>
      <c r="VE222" s="38"/>
      <c r="VF222" s="39"/>
      <c r="VG222" s="34"/>
      <c r="VH222" s="34"/>
      <c r="VI222" s="34"/>
      <c r="VJ222" s="35"/>
      <c r="VK222" s="35"/>
      <c r="VL222" s="35"/>
      <c r="VM222" s="35"/>
      <c r="VN222" s="35"/>
      <c r="VO222" s="34"/>
      <c r="VP222" s="34"/>
      <c r="VQ222" s="36"/>
      <c r="VR222" s="36"/>
      <c r="VS222" s="37"/>
      <c r="VT222" s="37"/>
      <c r="VU222" s="38"/>
      <c r="VV222" s="38"/>
      <c r="VW222" s="39"/>
      <c r="VX222" s="34"/>
      <c r="VY222" s="34"/>
      <c r="VZ222" s="34"/>
      <c r="WA222" s="35"/>
      <c r="WB222" s="35"/>
      <c r="WC222" s="35"/>
      <c r="WD222" s="35"/>
      <c r="WE222" s="35"/>
      <c r="WF222" s="34"/>
      <c r="WG222" s="34"/>
      <c r="WH222" s="36"/>
      <c r="WI222" s="36"/>
      <c r="WJ222" s="37"/>
      <c r="WK222" s="37"/>
      <c r="WL222" s="38"/>
      <c r="WM222" s="38"/>
      <c r="WN222" s="39"/>
      <c r="WO222" s="34"/>
      <c r="WP222" s="34"/>
      <c r="WQ222" s="34"/>
      <c r="WR222" s="35"/>
      <c r="WS222" s="35"/>
      <c r="WT222" s="35"/>
      <c r="WU222" s="35"/>
      <c r="WV222" s="35"/>
      <c r="WW222" s="34"/>
      <c r="WX222" s="34"/>
      <c r="WY222" s="36"/>
      <c r="WZ222" s="36"/>
      <c r="XA222" s="37"/>
      <c r="XB222" s="37"/>
      <c r="XC222" s="38"/>
      <c r="XD222" s="38"/>
      <c r="XE222" s="39"/>
      <c r="XF222" s="34"/>
      <c r="XG222" s="34"/>
      <c r="XH222" s="34"/>
      <c r="XI222" s="35"/>
      <c r="XJ222" s="35"/>
      <c r="XK222" s="35"/>
      <c r="XL222" s="35"/>
      <c r="XM222" s="35"/>
      <c r="XN222" s="34"/>
      <c r="XO222" s="34"/>
      <c r="XP222" s="36"/>
      <c r="XQ222" s="36"/>
      <c r="XR222" s="37"/>
      <c r="XS222" s="37"/>
      <c r="XT222" s="38"/>
      <c r="XU222" s="38"/>
      <c r="XV222" s="39"/>
      <c r="XW222" s="34"/>
      <c r="XX222" s="34"/>
      <c r="XY222" s="34"/>
      <c r="XZ222" s="35"/>
      <c r="YA222" s="35"/>
      <c r="YB222" s="35"/>
      <c r="YC222" s="35"/>
      <c r="YD222" s="35"/>
      <c r="YE222" s="34"/>
      <c r="YF222" s="34"/>
      <c r="YG222" s="36"/>
      <c r="YH222" s="36"/>
      <c r="YI222" s="37"/>
      <c r="YJ222" s="37"/>
      <c r="YK222" s="38"/>
      <c r="YL222" s="38"/>
      <c r="YM222" s="39"/>
      <c r="YN222" s="34"/>
      <c r="YO222" s="34"/>
      <c r="YP222" s="34"/>
      <c r="YQ222" s="35"/>
      <c r="YR222" s="35"/>
      <c r="YS222" s="35"/>
      <c r="YT222" s="35"/>
      <c r="YU222" s="35"/>
      <c r="YV222" s="34"/>
      <c r="YW222" s="34"/>
      <c r="YX222" s="36"/>
      <c r="YY222" s="36"/>
      <c r="YZ222" s="37"/>
      <c r="ZA222" s="37"/>
      <c r="ZB222" s="38"/>
      <c r="ZC222" s="38"/>
      <c r="ZD222" s="39"/>
      <c r="ZE222" s="34"/>
      <c r="ZF222" s="34"/>
      <c r="ZG222" s="34"/>
      <c r="ZH222" s="35"/>
      <c r="ZI222" s="35"/>
      <c r="ZJ222" s="35"/>
      <c r="ZK222" s="35"/>
      <c r="ZL222" s="35"/>
      <c r="ZM222" s="34"/>
      <c r="ZN222" s="34"/>
      <c r="ZO222" s="36"/>
      <c r="ZP222" s="36"/>
      <c r="ZQ222" s="37"/>
      <c r="ZR222" s="37"/>
      <c r="ZS222" s="38"/>
      <c r="ZT222" s="38"/>
      <c r="ZU222" s="39"/>
      <c r="ZV222" s="34"/>
      <c r="ZW222" s="34"/>
      <c r="ZX222" s="34"/>
      <c r="ZY222" s="35"/>
      <c r="ZZ222" s="35"/>
      <c r="AAA222" s="35"/>
      <c r="AAB222" s="35"/>
      <c r="AAC222" s="35"/>
      <c r="AAD222" s="34"/>
      <c r="AAE222" s="34"/>
      <c r="AAF222" s="36"/>
      <c r="AAG222" s="36"/>
      <c r="AAH222" s="37"/>
      <c r="AAI222" s="37"/>
      <c r="AAJ222" s="38"/>
      <c r="AAK222" s="38"/>
      <c r="AAL222" s="39"/>
      <c r="AAM222" s="34"/>
      <c r="AAN222" s="34"/>
      <c r="AAO222" s="34"/>
      <c r="AAP222" s="35"/>
      <c r="AAQ222" s="35"/>
      <c r="AAR222" s="35"/>
      <c r="AAS222" s="35"/>
      <c r="AAT222" s="35"/>
      <c r="AAU222" s="34"/>
      <c r="AAV222" s="34"/>
      <c r="AAW222" s="36"/>
      <c r="AAX222" s="36"/>
      <c r="AAY222" s="37"/>
      <c r="AAZ222" s="37"/>
      <c r="ABA222" s="38"/>
      <c r="ABB222" s="38"/>
      <c r="ABC222" s="39"/>
      <c r="ABD222" s="34"/>
      <c r="ABE222" s="34"/>
      <c r="ABF222" s="34"/>
      <c r="ABG222" s="35"/>
      <c r="ABH222" s="35"/>
      <c r="ABI222" s="35"/>
      <c r="ABJ222" s="35"/>
      <c r="ABK222" s="35"/>
      <c r="ABL222" s="34"/>
      <c r="ABM222" s="34"/>
      <c r="ABN222" s="36"/>
      <c r="ABO222" s="36"/>
      <c r="ABP222" s="37"/>
      <c r="ABQ222" s="37"/>
      <c r="ABR222" s="38"/>
      <c r="ABS222" s="38"/>
      <c r="ABT222" s="39"/>
      <c r="ABU222" s="34"/>
      <c r="ABV222" s="34"/>
      <c r="ABW222" s="34"/>
      <c r="ABX222" s="35"/>
      <c r="ABY222" s="35"/>
      <c r="ABZ222" s="35"/>
      <c r="ACA222" s="35"/>
      <c r="ACB222" s="35"/>
      <c r="ACC222" s="34"/>
      <c r="ACD222" s="34"/>
      <c r="ACE222" s="36"/>
      <c r="ACF222" s="36"/>
      <c r="ACG222" s="37"/>
      <c r="ACH222" s="37"/>
      <c r="ACI222" s="38"/>
      <c r="ACJ222" s="38"/>
      <c r="ACK222" s="39"/>
      <c r="ACL222" s="34"/>
      <c r="ACM222" s="34"/>
      <c r="ACN222" s="34"/>
      <c r="ACO222" s="35"/>
      <c r="ACP222" s="35"/>
      <c r="ACQ222" s="35"/>
      <c r="ACR222" s="35"/>
      <c r="ACS222" s="35"/>
      <c r="ACT222" s="34"/>
      <c r="ACU222" s="34"/>
      <c r="ACV222" s="36"/>
      <c r="ACW222" s="36"/>
      <c r="ACX222" s="37"/>
      <c r="ACY222" s="37"/>
      <c r="ACZ222" s="38"/>
      <c r="ADA222" s="38"/>
      <c r="ADB222" s="39"/>
      <c r="ADC222" s="34"/>
      <c r="ADD222" s="34"/>
      <c r="ADE222" s="34"/>
      <c r="ADF222" s="35"/>
      <c r="ADG222" s="35"/>
      <c r="ADH222" s="35"/>
      <c r="ADI222" s="35"/>
      <c r="ADJ222" s="35"/>
      <c r="ADK222" s="34"/>
      <c r="ADL222" s="34"/>
      <c r="ADM222" s="36"/>
      <c r="ADN222" s="36"/>
      <c r="ADO222" s="37"/>
      <c r="ADP222" s="37"/>
      <c r="ADQ222" s="38"/>
      <c r="ADR222" s="38"/>
      <c r="ADS222" s="39"/>
      <c r="ADT222" s="34"/>
      <c r="ADU222" s="34"/>
      <c r="ADV222" s="34"/>
      <c r="ADW222" s="35"/>
      <c r="ADX222" s="35"/>
      <c r="ADY222" s="35"/>
      <c r="ADZ222" s="35"/>
      <c r="AEA222" s="35"/>
      <c r="AEB222" s="34"/>
      <c r="AEC222" s="34"/>
      <c r="AED222" s="36"/>
      <c r="AEE222" s="36"/>
      <c r="AEF222" s="37"/>
      <c r="AEG222" s="37"/>
      <c r="AEH222" s="38"/>
      <c r="AEI222" s="38"/>
      <c r="AEJ222" s="39"/>
      <c r="AEK222" s="34"/>
      <c r="AEL222" s="34"/>
      <c r="AEM222" s="34"/>
      <c r="AEN222" s="35"/>
      <c r="AEO222" s="35"/>
      <c r="AEP222" s="35"/>
      <c r="AEQ222" s="35"/>
      <c r="AER222" s="35"/>
      <c r="AES222" s="34"/>
      <c r="AET222" s="34"/>
      <c r="AEU222" s="36"/>
      <c r="AEV222" s="36"/>
      <c r="AEW222" s="37"/>
      <c r="AEX222" s="37"/>
      <c r="AEY222" s="38"/>
      <c r="AEZ222" s="38"/>
      <c r="AFA222" s="39"/>
      <c r="AFB222" s="34"/>
      <c r="AFC222" s="34"/>
      <c r="AFD222" s="34"/>
      <c r="AFE222" s="35"/>
      <c r="AFF222" s="35"/>
      <c r="AFG222" s="35"/>
      <c r="AFH222" s="35"/>
      <c r="AFI222" s="35"/>
      <c r="AFJ222" s="34"/>
      <c r="AFK222" s="34"/>
      <c r="AFL222" s="36"/>
      <c r="AFM222" s="36"/>
      <c r="AFN222" s="37"/>
      <c r="AFO222" s="37"/>
      <c r="AFP222" s="38"/>
      <c r="AFQ222" s="38"/>
      <c r="AFR222" s="39"/>
      <c r="AFS222" s="34"/>
      <c r="AFT222" s="34"/>
      <c r="AFU222" s="34"/>
      <c r="AFV222" s="35"/>
      <c r="AFW222" s="35"/>
      <c r="AFX222" s="35"/>
      <c r="AFY222" s="35"/>
      <c r="AFZ222" s="35"/>
      <c r="AGA222" s="34"/>
      <c r="AGB222" s="34"/>
      <c r="AGC222" s="36"/>
      <c r="AGD222" s="36"/>
      <c r="AGE222" s="37"/>
      <c r="AGF222" s="37"/>
      <c r="AGG222" s="38"/>
      <c r="AGH222" s="38"/>
      <c r="AGI222" s="39"/>
      <c r="AGJ222" s="34"/>
      <c r="AGK222" s="34"/>
      <c r="AGL222" s="34"/>
      <c r="AGM222" s="35"/>
      <c r="AGN222" s="35"/>
      <c r="AGO222" s="35"/>
      <c r="AGP222" s="35"/>
      <c r="AGQ222" s="35"/>
      <c r="AGR222" s="34"/>
      <c r="AGS222" s="34"/>
      <c r="AGT222" s="36"/>
      <c r="AGU222" s="36"/>
      <c r="AGV222" s="37"/>
      <c r="AGW222" s="37"/>
      <c r="AGX222" s="38"/>
      <c r="AGY222" s="38"/>
      <c r="AGZ222" s="39"/>
      <c r="AHA222" s="34"/>
      <c r="AHB222" s="34"/>
      <c r="AHC222" s="34"/>
      <c r="AHD222" s="35"/>
      <c r="AHE222" s="35"/>
      <c r="AHF222" s="35"/>
      <c r="AHG222" s="35"/>
      <c r="AHH222" s="35"/>
      <c r="AHI222" s="34"/>
      <c r="AHJ222" s="34"/>
      <c r="AHK222" s="36"/>
      <c r="AHL222" s="36"/>
      <c r="AHM222" s="37"/>
      <c r="AHN222" s="37"/>
      <c r="AHO222" s="38"/>
      <c r="AHP222" s="38"/>
      <c r="AHQ222" s="39"/>
      <c r="AHR222" s="34"/>
      <c r="AHS222" s="34"/>
      <c r="AHT222" s="34"/>
      <c r="AHU222" s="35"/>
      <c r="AHV222" s="35"/>
      <c r="AHW222" s="35"/>
      <c r="AHX222" s="35"/>
      <c r="AHY222" s="35"/>
      <c r="AHZ222" s="34"/>
      <c r="AIA222" s="34"/>
      <c r="AIB222" s="36"/>
      <c r="AIC222" s="36"/>
      <c r="AID222" s="37"/>
      <c r="AIE222" s="37"/>
      <c r="AIF222" s="38"/>
      <c r="AIG222" s="38"/>
      <c r="AIH222" s="39"/>
      <c r="AII222" s="34"/>
      <c r="AIJ222" s="34"/>
      <c r="AIK222" s="34"/>
      <c r="AIL222" s="35"/>
      <c r="AIM222" s="35"/>
      <c r="AIN222" s="35"/>
      <c r="AIO222" s="35"/>
      <c r="AIP222" s="35"/>
      <c r="AIQ222" s="34"/>
      <c r="AIR222" s="34"/>
      <c r="AIS222" s="36"/>
      <c r="AIT222" s="36"/>
      <c r="AIU222" s="37"/>
      <c r="AIV222" s="37"/>
      <c r="AIW222" s="38"/>
      <c r="AIX222" s="38"/>
      <c r="AIY222" s="39"/>
      <c r="AIZ222" s="34"/>
      <c r="AJA222" s="34"/>
      <c r="AJB222" s="34"/>
      <c r="AJC222" s="35"/>
      <c r="AJD222" s="35"/>
      <c r="AJE222" s="35"/>
      <c r="AJF222" s="35"/>
      <c r="AJG222" s="35"/>
      <c r="AJH222" s="34"/>
      <c r="AJI222" s="34"/>
      <c r="AJJ222" s="36"/>
      <c r="AJK222" s="36"/>
      <c r="AJL222" s="37"/>
      <c r="AJM222" s="37"/>
      <c r="AJN222" s="38"/>
      <c r="AJO222" s="38"/>
      <c r="AJP222" s="39"/>
      <c r="AJQ222" s="34"/>
      <c r="AJR222" s="34"/>
      <c r="AJS222" s="34"/>
      <c r="AJT222" s="35"/>
      <c r="AJU222" s="35"/>
      <c r="AJV222" s="35"/>
      <c r="AJW222" s="35"/>
      <c r="AJX222" s="35"/>
      <c r="AJY222" s="34"/>
      <c r="AJZ222" s="34"/>
      <c r="AKA222" s="36"/>
      <c r="AKB222" s="36"/>
      <c r="AKC222" s="37"/>
      <c r="AKD222" s="37"/>
      <c r="AKE222" s="38"/>
      <c r="AKF222" s="38"/>
      <c r="AKG222" s="39"/>
      <c r="AKH222" s="34"/>
      <c r="AKI222" s="34"/>
      <c r="AKJ222" s="34"/>
      <c r="AKK222" s="35"/>
      <c r="AKL222" s="35"/>
      <c r="AKM222" s="35"/>
      <c r="AKN222" s="35"/>
      <c r="AKO222" s="35"/>
      <c r="AKP222" s="34"/>
      <c r="AKQ222" s="34"/>
      <c r="AKR222" s="36"/>
      <c r="AKS222" s="36"/>
      <c r="AKT222" s="37"/>
      <c r="AKU222" s="37"/>
      <c r="AKV222" s="38"/>
      <c r="AKW222" s="38"/>
      <c r="AKX222" s="39"/>
      <c r="AKY222" s="34"/>
      <c r="AKZ222" s="34"/>
      <c r="ALA222" s="34"/>
      <c r="ALB222" s="35"/>
      <c r="ALC222" s="35"/>
      <c r="ALD222" s="35"/>
      <c r="ALE222" s="35"/>
      <c r="ALF222" s="35"/>
      <c r="ALG222" s="34"/>
      <c r="ALH222" s="34"/>
      <c r="ALI222" s="36"/>
      <c r="ALJ222" s="36"/>
      <c r="ALK222" s="37"/>
      <c r="ALL222" s="37"/>
      <c r="ALM222" s="38"/>
      <c r="ALN222" s="38"/>
      <c r="ALO222" s="39"/>
      <c r="ALP222" s="34"/>
      <c r="ALQ222" s="34"/>
      <c r="ALR222" s="34"/>
      <c r="ALS222" s="35"/>
      <c r="ALT222" s="35"/>
      <c r="ALU222" s="35"/>
      <c r="ALV222" s="35"/>
      <c r="ALW222" s="35"/>
      <c r="ALX222" s="34"/>
      <c r="ALY222" s="34"/>
      <c r="ALZ222" s="36"/>
      <c r="AMA222" s="36"/>
      <c r="AMB222" s="37"/>
      <c r="AMC222" s="37"/>
      <c r="AMD222" s="38"/>
      <c r="AME222" s="38"/>
      <c r="AMF222" s="39"/>
      <c r="AMG222" s="34"/>
      <c r="AMH222" s="34"/>
      <c r="AMI222" s="34"/>
      <c r="AMJ222" s="35"/>
      <c r="AMK222" s="35"/>
      <c r="AML222" s="35"/>
      <c r="AMM222" s="35"/>
      <c r="AMN222" s="35"/>
      <c r="AMO222" s="34"/>
      <c r="AMP222" s="34"/>
      <c r="AMQ222" s="36"/>
      <c r="AMR222" s="36"/>
      <c r="AMS222" s="37"/>
      <c r="AMT222" s="37"/>
      <c r="AMU222" s="38"/>
      <c r="AMV222" s="38"/>
      <c r="AMW222" s="39"/>
      <c r="AMX222" s="34"/>
      <c r="AMY222" s="34"/>
      <c r="AMZ222" s="34"/>
      <c r="ANA222" s="35"/>
      <c r="ANB222" s="35"/>
      <c r="ANC222" s="35"/>
      <c r="AND222" s="35"/>
      <c r="ANE222" s="35"/>
      <c r="ANF222" s="34"/>
      <c r="ANG222" s="34"/>
      <c r="ANH222" s="36"/>
      <c r="ANI222" s="36"/>
      <c r="ANJ222" s="37"/>
      <c r="ANK222" s="37"/>
      <c r="ANL222" s="38"/>
      <c r="ANM222" s="38"/>
      <c r="ANN222" s="39"/>
      <c r="ANO222" s="34"/>
      <c r="ANP222" s="34"/>
      <c r="ANQ222" s="34"/>
      <c r="ANR222" s="35"/>
      <c r="ANS222" s="35"/>
      <c r="ANT222" s="35"/>
      <c r="ANU222" s="35"/>
      <c r="ANV222" s="35"/>
      <c r="ANW222" s="34"/>
      <c r="ANX222" s="34"/>
      <c r="ANY222" s="36"/>
      <c r="ANZ222" s="36"/>
      <c r="AOA222" s="37"/>
      <c r="AOB222" s="37"/>
      <c r="AOC222" s="38"/>
      <c r="AOD222" s="38"/>
      <c r="AOE222" s="39"/>
      <c r="AOF222" s="34"/>
      <c r="AOG222" s="34"/>
      <c r="AOH222" s="34"/>
      <c r="AOI222" s="35"/>
      <c r="AOJ222" s="35"/>
      <c r="AOK222" s="35"/>
      <c r="AOL222" s="35"/>
      <c r="AOM222" s="35"/>
      <c r="AON222" s="34"/>
      <c r="AOO222" s="34"/>
      <c r="AOP222" s="36"/>
      <c r="AOQ222" s="36"/>
      <c r="AOR222" s="37"/>
      <c r="AOS222" s="37"/>
      <c r="AOT222" s="38"/>
      <c r="AOU222" s="38"/>
      <c r="AOV222" s="39"/>
      <c r="AOW222" s="34"/>
      <c r="AOX222" s="34"/>
      <c r="AOY222" s="34"/>
      <c r="AOZ222" s="35"/>
      <c r="APA222" s="35"/>
      <c r="APB222" s="35"/>
      <c r="APC222" s="35"/>
      <c r="APD222" s="35"/>
      <c r="APE222" s="34"/>
      <c r="APF222" s="34"/>
      <c r="APG222" s="36"/>
      <c r="APH222" s="36"/>
      <c r="API222" s="37"/>
      <c r="APJ222" s="37"/>
      <c r="APK222" s="38"/>
      <c r="APL222" s="38"/>
      <c r="APM222" s="39"/>
      <c r="APN222" s="34"/>
      <c r="APO222" s="34"/>
      <c r="APP222" s="34"/>
      <c r="APQ222" s="35"/>
      <c r="APR222" s="35"/>
      <c r="APS222" s="35"/>
      <c r="APT222" s="35"/>
      <c r="APU222" s="35"/>
      <c r="APV222" s="34"/>
      <c r="APW222" s="34"/>
      <c r="APX222" s="36"/>
      <c r="APY222" s="36"/>
      <c r="APZ222" s="37"/>
      <c r="AQA222" s="37"/>
      <c r="AQB222" s="38"/>
      <c r="AQC222" s="38"/>
      <c r="AQD222" s="39"/>
      <c r="AQE222" s="34"/>
      <c r="AQF222" s="34"/>
      <c r="AQG222" s="34"/>
      <c r="AQH222" s="35"/>
      <c r="AQI222" s="35"/>
      <c r="AQJ222" s="35"/>
      <c r="AQK222" s="35"/>
      <c r="AQL222" s="35"/>
      <c r="AQM222" s="34"/>
      <c r="AQN222" s="34"/>
      <c r="AQO222" s="36"/>
      <c r="AQP222" s="36"/>
      <c r="AQQ222" s="37"/>
      <c r="AQR222" s="37"/>
      <c r="AQS222" s="38"/>
      <c r="AQT222" s="38"/>
      <c r="AQU222" s="39"/>
      <c r="AQV222" s="34"/>
      <c r="AQW222" s="34"/>
      <c r="AQX222" s="34"/>
      <c r="AQY222" s="35"/>
      <c r="AQZ222" s="35"/>
      <c r="ARA222" s="35"/>
      <c r="ARB222" s="35"/>
      <c r="ARC222" s="35"/>
      <c r="ARD222" s="34"/>
      <c r="ARE222" s="34"/>
      <c r="ARF222" s="36"/>
      <c r="ARG222" s="36"/>
      <c r="ARH222" s="37"/>
      <c r="ARI222" s="37"/>
      <c r="ARJ222" s="38"/>
      <c r="ARK222" s="38"/>
      <c r="ARL222" s="39"/>
      <c r="ARM222" s="34"/>
      <c r="ARN222" s="34"/>
      <c r="ARO222" s="34"/>
      <c r="ARP222" s="35"/>
      <c r="ARQ222" s="35"/>
      <c r="ARR222" s="35"/>
      <c r="ARS222" s="35"/>
      <c r="ART222" s="35"/>
      <c r="ARU222" s="34"/>
      <c r="ARV222" s="34"/>
      <c r="ARW222" s="36"/>
      <c r="ARX222" s="36"/>
      <c r="ARY222" s="37"/>
      <c r="ARZ222" s="37"/>
      <c r="ASA222" s="38"/>
      <c r="ASB222" s="38"/>
      <c r="ASC222" s="39"/>
      <c r="ASD222" s="34"/>
      <c r="ASE222" s="34"/>
      <c r="ASF222" s="34"/>
      <c r="ASG222" s="35"/>
      <c r="ASH222" s="35"/>
      <c r="ASI222" s="35"/>
      <c r="ASJ222" s="35"/>
      <c r="ASK222" s="35"/>
      <c r="ASL222" s="34"/>
      <c r="ASM222" s="34"/>
      <c r="ASN222" s="36"/>
      <c r="ASO222" s="36"/>
      <c r="ASP222" s="37"/>
      <c r="ASQ222" s="37"/>
      <c r="ASR222" s="38"/>
      <c r="ASS222" s="38"/>
      <c r="AST222" s="39"/>
      <c r="ASU222" s="34"/>
      <c r="ASV222" s="34"/>
      <c r="ASW222" s="34"/>
      <c r="ASX222" s="35"/>
      <c r="ASY222" s="35"/>
      <c r="ASZ222" s="35"/>
      <c r="ATA222" s="35"/>
      <c r="ATB222" s="35"/>
      <c r="ATC222" s="34"/>
      <c r="ATD222" s="34"/>
      <c r="ATE222" s="36"/>
      <c r="ATF222" s="36"/>
      <c r="ATG222" s="37"/>
      <c r="ATH222" s="37"/>
      <c r="ATI222" s="38"/>
      <c r="ATJ222" s="38"/>
      <c r="ATK222" s="39"/>
      <c r="ATL222" s="34"/>
      <c r="ATM222" s="34"/>
      <c r="ATN222" s="34"/>
      <c r="ATO222" s="35"/>
      <c r="ATP222" s="35"/>
      <c r="ATQ222" s="35"/>
      <c r="ATR222" s="35"/>
      <c r="ATS222" s="35"/>
      <c r="ATT222" s="34"/>
      <c r="ATU222" s="34"/>
      <c r="ATV222" s="36"/>
      <c r="ATW222" s="36"/>
      <c r="ATX222" s="37"/>
      <c r="ATY222" s="37"/>
      <c r="ATZ222" s="38"/>
      <c r="AUA222" s="38"/>
      <c r="AUB222" s="39"/>
      <c r="AUC222" s="34"/>
      <c r="AUD222" s="34"/>
      <c r="AUE222" s="34"/>
      <c r="AUF222" s="35"/>
      <c r="AUG222" s="35"/>
      <c r="AUH222" s="35"/>
      <c r="AUI222" s="35"/>
      <c r="AUJ222" s="35"/>
      <c r="AUK222" s="34"/>
      <c r="AUL222" s="34"/>
      <c r="AUM222" s="36"/>
      <c r="AUN222" s="36"/>
      <c r="AUO222" s="37"/>
      <c r="AUP222" s="37"/>
      <c r="AUQ222" s="38"/>
      <c r="AUR222" s="38"/>
      <c r="AUS222" s="39"/>
      <c r="AUT222" s="34"/>
      <c r="AUU222" s="34"/>
      <c r="AUV222" s="34"/>
      <c r="AUW222" s="35"/>
      <c r="AUX222" s="35"/>
      <c r="AUY222" s="35"/>
      <c r="AUZ222" s="35"/>
      <c r="AVA222" s="35"/>
      <c r="AVB222" s="34"/>
      <c r="AVC222" s="34"/>
      <c r="AVD222" s="36"/>
      <c r="AVE222" s="36"/>
      <c r="AVF222" s="37"/>
      <c r="AVG222" s="37"/>
      <c r="AVH222" s="38"/>
      <c r="AVI222" s="38"/>
      <c r="AVJ222" s="39"/>
      <c r="AVK222" s="34"/>
      <c r="AVL222" s="34"/>
      <c r="AVM222" s="34"/>
      <c r="AVN222" s="35"/>
      <c r="AVO222" s="35"/>
      <c r="AVP222" s="35"/>
      <c r="AVQ222" s="35"/>
      <c r="AVR222" s="35"/>
      <c r="AVS222" s="34"/>
      <c r="AVT222" s="34"/>
      <c r="AVU222" s="36"/>
      <c r="AVV222" s="36"/>
      <c r="AVW222" s="37"/>
      <c r="AVX222" s="37"/>
      <c r="AVY222" s="38"/>
      <c r="AVZ222" s="38"/>
      <c r="AWA222" s="39"/>
      <c r="AWB222" s="34"/>
      <c r="AWC222" s="34"/>
      <c r="AWD222" s="34"/>
      <c r="AWE222" s="35"/>
      <c r="AWF222" s="35"/>
      <c r="AWG222" s="35"/>
      <c r="AWH222" s="35"/>
      <c r="AWI222" s="35"/>
      <c r="AWJ222" s="34"/>
      <c r="AWK222" s="34"/>
      <c r="AWL222" s="36"/>
      <c r="AWM222" s="36"/>
      <c r="AWN222" s="37"/>
      <c r="AWO222" s="37"/>
      <c r="AWP222" s="38"/>
      <c r="AWQ222" s="38"/>
      <c r="AWR222" s="39"/>
      <c r="AWS222" s="34"/>
      <c r="AWT222" s="34"/>
      <c r="AWU222" s="34"/>
      <c r="AWV222" s="35"/>
      <c r="AWW222" s="35"/>
      <c r="AWX222" s="35"/>
      <c r="AWY222" s="35"/>
      <c r="AWZ222" s="35"/>
      <c r="AXA222" s="34"/>
      <c r="AXB222" s="34"/>
      <c r="AXC222" s="36"/>
      <c r="AXD222" s="36"/>
      <c r="AXE222" s="37"/>
      <c r="AXF222" s="37"/>
      <c r="AXG222" s="38"/>
      <c r="AXH222" s="38"/>
      <c r="AXI222" s="39"/>
      <c r="AXJ222" s="34"/>
      <c r="AXK222" s="34"/>
      <c r="AXL222" s="34"/>
      <c r="AXM222" s="35"/>
      <c r="AXN222" s="35"/>
      <c r="AXO222" s="35"/>
      <c r="AXP222" s="35"/>
      <c r="AXQ222" s="35"/>
      <c r="AXR222" s="34"/>
      <c r="AXS222" s="34"/>
      <c r="AXT222" s="36"/>
      <c r="AXU222" s="36"/>
      <c r="AXV222" s="37"/>
      <c r="AXW222" s="37"/>
      <c r="AXX222" s="38"/>
      <c r="AXY222" s="38"/>
      <c r="AXZ222" s="39"/>
      <c r="AYA222" s="34"/>
      <c r="AYB222" s="34"/>
      <c r="AYC222" s="34"/>
      <c r="AYD222" s="35"/>
      <c r="AYE222" s="35"/>
      <c r="AYF222" s="35"/>
      <c r="AYG222" s="35"/>
      <c r="AYH222" s="35"/>
      <c r="AYI222" s="34"/>
      <c r="AYJ222" s="34"/>
      <c r="AYK222" s="36"/>
      <c r="AYL222" s="36"/>
      <c r="AYM222" s="37"/>
      <c r="AYN222" s="37"/>
      <c r="AYO222" s="38"/>
      <c r="AYP222" s="38"/>
      <c r="AYQ222" s="39"/>
      <c r="AYR222" s="34"/>
      <c r="AYS222" s="34"/>
      <c r="AYT222" s="34"/>
      <c r="AYU222" s="35"/>
      <c r="AYV222" s="35"/>
      <c r="AYW222" s="35"/>
      <c r="AYX222" s="35"/>
      <c r="AYY222" s="35"/>
      <c r="AYZ222" s="34"/>
      <c r="AZA222" s="34"/>
      <c r="AZB222" s="36"/>
      <c r="AZC222" s="36"/>
      <c r="AZD222" s="37"/>
      <c r="AZE222" s="37"/>
      <c r="AZF222" s="38"/>
      <c r="AZG222" s="38"/>
      <c r="AZH222" s="39"/>
      <c r="AZI222" s="34"/>
      <c r="AZJ222" s="34"/>
      <c r="AZK222" s="34"/>
      <c r="AZL222" s="35"/>
      <c r="AZM222" s="35"/>
      <c r="AZN222" s="35"/>
      <c r="AZO222" s="35"/>
      <c r="AZP222" s="35"/>
      <c r="AZQ222" s="34"/>
      <c r="AZR222" s="34"/>
      <c r="AZS222" s="36"/>
      <c r="AZT222" s="36"/>
      <c r="AZU222" s="37"/>
      <c r="AZV222" s="37"/>
      <c r="AZW222" s="38"/>
      <c r="AZX222" s="38"/>
      <c r="AZY222" s="39"/>
      <c r="AZZ222" s="34"/>
      <c r="BAA222" s="34"/>
      <c r="BAB222" s="34"/>
      <c r="BAC222" s="35"/>
      <c r="BAD222" s="35"/>
      <c r="BAE222" s="35"/>
      <c r="BAF222" s="35"/>
      <c r="BAG222" s="35"/>
      <c r="BAH222" s="34"/>
      <c r="BAI222" s="34"/>
      <c r="BAJ222" s="36"/>
      <c r="BAK222" s="36"/>
      <c r="BAL222" s="37"/>
      <c r="BAM222" s="37"/>
      <c r="BAN222" s="38"/>
      <c r="BAO222" s="38"/>
      <c r="BAP222" s="39"/>
      <c r="BAQ222" s="34"/>
      <c r="BAR222" s="34"/>
      <c r="BAS222" s="34"/>
      <c r="BAT222" s="35"/>
      <c r="BAU222" s="35"/>
      <c r="BAV222" s="35"/>
      <c r="BAW222" s="35"/>
      <c r="BAX222" s="35"/>
      <c r="BAY222" s="34"/>
      <c r="BAZ222" s="34"/>
      <c r="BBA222" s="36"/>
      <c r="BBB222" s="36"/>
      <c r="BBC222" s="37"/>
      <c r="BBD222" s="37"/>
      <c r="BBE222" s="38"/>
      <c r="BBF222" s="38"/>
      <c r="BBG222" s="39"/>
      <c r="BBH222" s="34"/>
      <c r="BBI222" s="34"/>
      <c r="BBJ222" s="34"/>
      <c r="BBK222" s="35"/>
      <c r="BBL222" s="35"/>
      <c r="BBM222" s="35"/>
      <c r="BBN222" s="35"/>
      <c r="BBO222" s="35"/>
      <c r="BBP222" s="34"/>
      <c r="BBQ222" s="34"/>
      <c r="BBR222" s="36"/>
      <c r="BBS222" s="36"/>
      <c r="BBT222" s="37"/>
      <c r="BBU222" s="37"/>
      <c r="BBV222" s="38"/>
      <c r="BBW222" s="38"/>
      <c r="BBX222" s="39"/>
      <c r="BBY222" s="34"/>
      <c r="BBZ222" s="34"/>
      <c r="BCA222" s="34"/>
      <c r="BCB222" s="35"/>
      <c r="BCC222" s="35"/>
      <c r="BCD222" s="35"/>
      <c r="BCE222" s="35"/>
      <c r="BCF222" s="35"/>
      <c r="BCG222" s="34"/>
      <c r="BCH222" s="34"/>
      <c r="BCI222" s="36"/>
      <c r="BCJ222" s="36"/>
      <c r="BCK222" s="37"/>
      <c r="BCL222" s="37"/>
      <c r="BCM222" s="38"/>
      <c r="BCN222" s="38"/>
      <c r="BCO222" s="39"/>
      <c r="BCP222" s="34"/>
      <c r="BCQ222" s="34"/>
      <c r="BCR222" s="34"/>
      <c r="BCS222" s="35"/>
      <c r="BCT222" s="35"/>
      <c r="BCU222" s="35"/>
      <c r="BCV222" s="35"/>
      <c r="BCW222" s="35"/>
      <c r="BCX222" s="34"/>
      <c r="BCY222" s="34"/>
      <c r="BCZ222" s="36"/>
      <c r="BDA222" s="36"/>
      <c r="BDB222" s="37"/>
      <c r="BDC222" s="37"/>
      <c r="BDD222" s="38"/>
      <c r="BDE222" s="38"/>
      <c r="BDF222" s="39"/>
      <c r="BDG222" s="34"/>
      <c r="BDH222" s="34"/>
      <c r="BDI222" s="34"/>
      <c r="BDJ222" s="35"/>
      <c r="BDK222" s="35"/>
      <c r="BDL222" s="35"/>
      <c r="BDM222" s="35"/>
      <c r="BDN222" s="35"/>
      <c r="BDO222" s="34"/>
      <c r="BDP222" s="34"/>
      <c r="BDQ222" s="36"/>
      <c r="BDR222" s="36"/>
      <c r="BDS222" s="37"/>
      <c r="BDT222" s="37"/>
      <c r="BDU222" s="38"/>
      <c r="BDV222" s="38"/>
      <c r="BDW222" s="39"/>
      <c r="BDX222" s="34"/>
      <c r="BDY222" s="34"/>
      <c r="BDZ222" s="34"/>
      <c r="BEA222" s="35"/>
      <c r="BEB222" s="35"/>
      <c r="BEC222" s="35"/>
      <c r="BED222" s="35"/>
      <c r="BEE222" s="35"/>
      <c r="BEF222" s="34"/>
      <c r="BEG222" s="34"/>
      <c r="BEH222" s="36"/>
      <c r="BEI222" s="36"/>
      <c r="BEJ222" s="37"/>
      <c r="BEK222" s="37"/>
      <c r="BEL222" s="38"/>
      <c r="BEM222" s="38"/>
      <c r="BEN222" s="39"/>
      <c r="BEO222" s="34"/>
      <c r="BEP222" s="34"/>
      <c r="BEQ222" s="34"/>
      <c r="BER222" s="35"/>
      <c r="BES222" s="35"/>
      <c r="BET222" s="35"/>
      <c r="BEU222" s="35"/>
      <c r="BEV222" s="35"/>
      <c r="BEW222" s="34"/>
      <c r="BEX222" s="34"/>
      <c r="BEY222" s="36"/>
      <c r="BEZ222" s="36"/>
      <c r="BFA222" s="37"/>
      <c r="BFB222" s="37"/>
      <c r="BFC222" s="38"/>
      <c r="BFD222" s="38"/>
      <c r="BFE222" s="39"/>
      <c r="BFF222" s="34"/>
      <c r="BFG222" s="34"/>
      <c r="BFH222" s="34"/>
      <c r="BFI222" s="35"/>
      <c r="BFJ222" s="35"/>
      <c r="BFK222" s="35"/>
      <c r="BFL222" s="35"/>
      <c r="BFM222" s="35"/>
      <c r="BFN222" s="34"/>
      <c r="BFO222" s="34"/>
      <c r="BFP222" s="36"/>
      <c r="BFQ222" s="36"/>
      <c r="BFR222" s="37"/>
      <c r="BFS222" s="37"/>
      <c r="BFT222" s="38"/>
      <c r="BFU222" s="38"/>
      <c r="BFV222" s="39"/>
      <c r="BFW222" s="34"/>
      <c r="BFX222" s="34"/>
      <c r="BFY222" s="34"/>
      <c r="BFZ222" s="35"/>
      <c r="BGA222" s="35"/>
      <c r="BGB222" s="35"/>
      <c r="BGC222" s="35"/>
      <c r="BGD222" s="35"/>
      <c r="BGE222" s="34"/>
      <c r="BGF222" s="34"/>
      <c r="BGG222" s="36"/>
      <c r="BGH222" s="36"/>
      <c r="BGI222" s="37"/>
      <c r="BGJ222" s="37"/>
      <c r="BGK222" s="38"/>
      <c r="BGL222" s="38"/>
      <c r="BGM222" s="39"/>
      <c r="BGN222" s="34"/>
      <c r="BGO222" s="34"/>
      <c r="BGP222" s="34"/>
      <c r="BGQ222" s="35"/>
      <c r="BGR222" s="35"/>
      <c r="BGS222" s="35"/>
      <c r="BGT222" s="35"/>
      <c r="BGU222" s="35"/>
      <c r="BGV222" s="34"/>
      <c r="BGW222" s="34"/>
      <c r="BGX222" s="36"/>
      <c r="BGY222" s="36"/>
      <c r="BGZ222" s="37"/>
      <c r="BHA222" s="37"/>
      <c r="BHB222" s="38"/>
      <c r="BHC222" s="38"/>
      <c r="BHD222" s="39"/>
      <c r="BHE222" s="34"/>
      <c r="BHF222" s="34"/>
      <c r="BHG222" s="34"/>
      <c r="BHH222" s="35"/>
      <c r="BHI222" s="35"/>
      <c r="BHJ222" s="35"/>
      <c r="BHK222" s="35"/>
      <c r="BHL222" s="35"/>
      <c r="BHM222" s="34"/>
      <c r="BHN222" s="34"/>
      <c r="BHO222" s="36"/>
      <c r="BHP222" s="36"/>
      <c r="BHQ222" s="37"/>
      <c r="BHR222" s="37"/>
      <c r="BHS222" s="38"/>
      <c r="BHT222" s="38"/>
      <c r="BHU222" s="39"/>
      <c r="BHV222" s="34"/>
      <c r="BHW222" s="34"/>
      <c r="BHX222" s="34"/>
      <c r="BHY222" s="35"/>
      <c r="BHZ222" s="35"/>
      <c r="BIA222" s="35"/>
      <c r="BIB222" s="35"/>
      <c r="BIC222" s="35"/>
      <c r="BID222" s="34"/>
      <c r="BIE222" s="34"/>
      <c r="BIF222" s="36"/>
      <c r="BIG222" s="36"/>
      <c r="BIH222" s="37"/>
      <c r="BII222" s="37"/>
      <c r="BIJ222" s="38"/>
      <c r="BIK222" s="38"/>
      <c r="BIL222" s="39"/>
      <c r="BIM222" s="34"/>
      <c r="BIN222" s="34"/>
      <c r="BIO222" s="34"/>
      <c r="BIP222" s="35"/>
      <c r="BIQ222" s="35"/>
      <c r="BIR222" s="35"/>
      <c r="BIS222" s="35"/>
      <c r="BIT222" s="35"/>
      <c r="BIU222" s="34"/>
      <c r="BIV222" s="34"/>
      <c r="BIW222" s="36"/>
      <c r="BIX222" s="36"/>
      <c r="BIY222" s="37"/>
      <c r="BIZ222" s="37"/>
      <c r="BJA222" s="38"/>
      <c r="BJB222" s="38"/>
      <c r="BJC222" s="39"/>
      <c r="BJD222" s="34"/>
      <c r="BJE222" s="34"/>
      <c r="BJF222" s="34"/>
      <c r="BJG222" s="35"/>
      <c r="BJH222" s="35"/>
      <c r="BJI222" s="35"/>
      <c r="BJJ222" s="35"/>
      <c r="BJK222" s="35"/>
      <c r="BJL222" s="34"/>
      <c r="BJM222" s="34"/>
      <c r="BJN222" s="36"/>
      <c r="BJO222" s="36"/>
      <c r="BJP222" s="37"/>
      <c r="BJQ222" s="37"/>
      <c r="BJR222" s="38"/>
      <c r="BJS222" s="38"/>
      <c r="BJT222" s="39"/>
      <c r="BJU222" s="34"/>
      <c r="BJV222" s="34"/>
      <c r="BJW222" s="34"/>
      <c r="BJX222" s="35"/>
      <c r="BJY222" s="35"/>
      <c r="BJZ222" s="35"/>
      <c r="BKA222" s="35"/>
      <c r="BKB222" s="35"/>
      <c r="BKC222" s="34"/>
      <c r="BKD222" s="34"/>
      <c r="BKE222" s="36"/>
      <c r="BKF222" s="36"/>
      <c r="BKG222" s="37"/>
      <c r="BKH222" s="37"/>
      <c r="BKI222" s="38"/>
      <c r="BKJ222" s="38"/>
      <c r="BKK222" s="39"/>
      <c r="BKL222" s="34"/>
      <c r="BKM222" s="34"/>
      <c r="BKN222" s="34"/>
      <c r="BKO222" s="35"/>
      <c r="BKP222" s="35"/>
      <c r="BKQ222" s="35"/>
      <c r="BKR222" s="35"/>
      <c r="BKS222" s="35"/>
      <c r="BKT222" s="34"/>
      <c r="BKU222" s="34"/>
      <c r="BKV222" s="36"/>
      <c r="BKW222" s="36"/>
      <c r="BKX222" s="37"/>
      <c r="BKY222" s="37"/>
      <c r="BKZ222" s="38"/>
      <c r="BLA222" s="38"/>
      <c r="BLB222" s="39"/>
      <c r="BLC222" s="34"/>
      <c r="BLD222" s="34"/>
      <c r="BLE222" s="34"/>
      <c r="BLF222" s="35"/>
      <c r="BLG222" s="35"/>
      <c r="BLH222" s="35"/>
      <c r="BLI222" s="35"/>
      <c r="BLJ222" s="35"/>
      <c r="BLK222" s="34"/>
      <c r="BLL222" s="34"/>
      <c r="BLM222" s="36"/>
      <c r="BLN222" s="36"/>
      <c r="BLO222" s="37"/>
      <c r="BLP222" s="37"/>
      <c r="BLQ222" s="38"/>
      <c r="BLR222" s="38"/>
      <c r="BLS222" s="39"/>
      <c r="BLT222" s="34"/>
      <c r="BLU222" s="34"/>
      <c r="BLV222" s="34"/>
      <c r="BLW222" s="35"/>
      <c r="BLX222" s="35"/>
      <c r="BLY222" s="35"/>
      <c r="BLZ222" s="35"/>
      <c r="BMA222" s="35"/>
      <c r="BMB222" s="34"/>
      <c r="BMC222" s="34"/>
      <c r="BMD222" s="36"/>
      <c r="BME222" s="36"/>
      <c r="BMF222" s="37"/>
      <c r="BMG222" s="37"/>
      <c r="BMH222" s="38"/>
      <c r="BMI222" s="38"/>
      <c r="BMJ222" s="39"/>
      <c r="BMK222" s="34"/>
      <c r="BML222" s="34"/>
      <c r="BMM222" s="34"/>
      <c r="BMN222" s="35"/>
      <c r="BMO222" s="35"/>
      <c r="BMP222" s="35"/>
      <c r="BMQ222" s="35"/>
      <c r="BMR222" s="35"/>
      <c r="BMS222" s="34"/>
      <c r="BMT222" s="34"/>
      <c r="BMU222" s="36"/>
      <c r="BMV222" s="36"/>
      <c r="BMW222" s="37"/>
      <c r="BMX222" s="37"/>
      <c r="BMY222" s="38"/>
      <c r="BMZ222" s="38"/>
      <c r="BNA222" s="39"/>
      <c r="BNB222" s="34"/>
      <c r="BNC222" s="34"/>
      <c r="BND222" s="34"/>
      <c r="BNE222" s="35"/>
      <c r="BNF222" s="35"/>
      <c r="BNG222" s="35"/>
      <c r="BNH222" s="35"/>
      <c r="BNI222" s="35"/>
      <c r="BNJ222" s="34"/>
      <c r="BNK222" s="34"/>
      <c r="BNL222" s="36"/>
      <c r="BNM222" s="36"/>
      <c r="BNN222" s="37"/>
      <c r="BNO222" s="37"/>
      <c r="BNP222" s="38"/>
      <c r="BNQ222" s="38"/>
      <c r="BNR222" s="39"/>
      <c r="BNS222" s="34"/>
      <c r="BNT222" s="34"/>
      <c r="BNU222" s="34"/>
      <c r="BNV222" s="35"/>
      <c r="BNW222" s="35"/>
      <c r="BNX222" s="35"/>
      <c r="BNY222" s="35"/>
      <c r="BNZ222" s="35"/>
      <c r="BOA222" s="34"/>
      <c r="BOB222" s="34"/>
      <c r="BOC222" s="36"/>
      <c r="BOD222" s="36"/>
      <c r="BOE222" s="37"/>
      <c r="BOF222" s="37"/>
      <c r="BOG222" s="38"/>
      <c r="BOH222" s="38"/>
      <c r="BOI222" s="39"/>
      <c r="BOJ222" s="34"/>
      <c r="BOK222" s="34"/>
      <c r="BOL222" s="34"/>
      <c r="BOM222" s="35"/>
      <c r="BON222" s="35"/>
      <c r="BOO222" s="35"/>
      <c r="BOP222" s="35"/>
      <c r="BOQ222" s="35"/>
      <c r="BOR222" s="34"/>
      <c r="BOS222" s="34"/>
      <c r="BOT222" s="36"/>
      <c r="BOU222" s="36"/>
      <c r="BOV222" s="37"/>
      <c r="BOW222" s="37"/>
      <c r="BOX222" s="38"/>
      <c r="BOY222" s="38"/>
      <c r="BOZ222" s="39"/>
      <c r="BPA222" s="34"/>
      <c r="BPB222" s="34"/>
      <c r="BPC222" s="34"/>
      <c r="BPD222" s="35"/>
      <c r="BPE222" s="35"/>
      <c r="BPF222" s="35"/>
      <c r="BPG222" s="35"/>
      <c r="BPH222" s="35"/>
      <c r="BPI222" s="34"/>
      <c r="BPJ222" s="34"/>
      <c r="BPK222" s="36"/>
      <c r="BPL222" s="36"/>
      <c r="BPM222" s="37"/>
      <c r="BPN222" s="37"/>
      <c r="BPO222" s="38"/>
      <c r="BPP222" s="38"/>
      <c r="BPQ222" s="39"/>
      <c r="BPR222" s="34"/>
      <c r="BPS222" s="34"/>
      <c r="BPT222" s="34"/>
      <c r="BPU222" s="35"/>
      <c r="BPV222" s="35"/>
      <c r="BPW222" s="35"/>
      <c r="BPX222" s="35"/>
      <c r="BPY222" s="35"/>
      <c r="BPZ222" s="34"/>
      <c r="BQA222" s="34"/>
      <c r="BQB222" s="36"/>
      <c r="BQC222" s="36"/>
      <c r="BQD222" s="37"/>
      <c r="BQE222" s="37"/>
      <c r="BQF222" s="38"/>
      <c r="BQG222" s="38"/>
      <c r="BQH222" s="39"/>
      <c r="BQI222" s="34"/>
      <c r="BQJ222" s="34"/>
      <c r="BQK222" s="34"/>
      <c r="BQL222" s="35"/>
      <c r="BQM222" s="35"/>
      <c r="BQN222" s="35"/>
      <c r="BQO222" s="35"/>
      <c r="BQP222" s="35"/>
      <c r="BQQ222" s="34"/>
      <c r="BQR222" s="34"/>
      <c r="BQS222" s="36"/>
      <c r="BQT222" s="36"/>
      <c r="BQU222" s="37"/>
      <c r="BQV222" s="37"/>
      <c r="BQW222" s="38"/>
      <c r="BQX222" s="38"/>
      <c r="BQY222" s="39"/>
      <c r="BQZ222" s="34"/>
      <c r="BRA222" s="34"/>
      <c r="BRB222" s="34"/>
      <c r="BRC222" s="35"/>
      <c r="BRD222" s="35"/>
      <c r="BRE222" s="35"/>
      <c r="BRF222" s="35"/>
      <c r="BRG222" s="35"/>
      <c r="BRH222" s="34"/>
      <c r="BRI222" s="34"/>
      <c r="BRJ222" s="36"/>
      <c r="BRK222" s="36"/>
      <c r="BRL222" s="37"/>
      <c r="BRM222" s="37"/>
      <c r="BRN222" s="38"/>
      <c r="BRO222" s="38"/>
      <c r="BRP222" s="39"/>
      <c r="BRQ222" s="34"/>
      <c r="BRR222" s="34"/>
      <c r="BRS222" s="34"/>
      <c r="BRT222" s="35"/>
      <c r="BRU222" s="35"/>
      <c r="BRV222" s="35"/>
      <c r="BRW222" s="35"/>
      <c r="BRX222" s="35"/>
      <c r="BRY222" s="34"/>
      <c r="BRZ222" s="34"/>
      <c r="BSA222" s="36"/>
      <c r="BSB222" s="36"/>
      <c r="BSC222" s="37"/>
      <c r="BSD222" s="37"/>
      <c r="BSE222" s="38"/>
      <c r="BSF222" s="38"/>
      <c r="BSG222" s="39"/>
      <c r="BSH222" s="34"/>
      <c r="BSI222" s="34"/>
      <c r="BSJ222" s="34"/>
      <c r="BSK222" s="35"/>
      <c r="BSL222" s="35"/>
      <c r="BSM222" s="35"/>
      <c r="BSN222" s="35"/>
      <c r="BSO222" s="35"/>
      <c r="BSP222" s="34"/>
      <c r="BSQ222" s="34"/>
      <c r="BSR222" s="36"/>
      <c r="BSS222" s="36"/>
      <c r="BST222" s="37"/>
      <c r="BSU222" s="37"/>
      <c r="BSV222" s="38"/>
      <c r="BSW222" s="38"/>
      <c r="BSX222" s="39"/>
      <c r="BSY222" s="34"/>
      <c r="BSZ222" s="34"/>
      <c r="BTA222" s="34"/>
      <c r="BTB222" s="35"/>
      <c r="BTC222" s="35"/>
      <c r="BTD222" s="35"/>
      <c r="BTE222" s="35"/>
      <c r="BTF222" s="35"/>
      <c r="BTG222" s="34"/>
      <c r="BTH222" s="34"/>
      <c r="BTI222" s="36"/>
      <c r="BTJ222" s="36"/>
      <c r="BTK222" s="37"/>
      <c r="BTL222" s="37"/>
      <c r="BTM222" s="38"/>
      <c r="BTN222" s="38"/>
      <c r="BTO222" s="39"/>
      <c r="BTP222" s="34"/>
      <c r="BTQ222" s="34"/>
      <c r="BTR222" s="34"/>
      <c r="BTS222" s="35"/>
      <c r="BTT222" s="35"/>
      <c r="BTU222" s="35"/>
      <c r="BTV222" s="35"/>
      <c r="BTW222" s="35"/>
      <c r="BTX222" s="34"/>
      <c r="BTY222" s="34"/>
      <c r="BTZ222" s="36"/>
      <c r="BUA222" s="36"/>
      <c r="BUB222" s="37"/>
      <c r="BUC222" s="37"/>
      <c r="BUD222" s="38"/>
      <c r="BUE222" s="38"/>
      <c r="BUF222" s="39"/>
      <c r="BUG222" s="34"/>
      <c r="BUH222" s="34"/>
      <c r="BUI222" s="34"/>
      <c r="BUJ222" s="35"/>
      <c r="BUK222" s="35"/>
      <c r="BUL222" s="35"/>
      <c r="BUM222" s="35"/>
      <c r="BUN222" s="35"/>
      <c r="BUO222" s="34"/>
      <c r="BUP222" s="34"/>
      <c r="BUQ222" s="36"/>
      <c r="BUR222" s="36"/>
      <c r="BUS222" s="37"/>
      <c r="BUT222" s="37"/>
      <c r="BUU222" s="38"/>
      <c r="BUV222" s="38"/>
      <c r="BUW222" s="39"/>
      <c r="BUX222" s="34"/>
      <c r="BUY222" s="34"/>
      <c r="BUZ222" s="34"/>
      <c r="BVA222" s="35"/>
      <c r="BVB222" s="35"/>
      <c r="BVC222" s="35"/>
      <c r="BVD222" s="35"/>
      <c r="BVE222" s="35"/>
      <c r="BVF222" s="34"/>
      <c r="BVG222" s="34"/>
      <c r="BVH222" s="36"/>
      <c r="BVI222" s="36"/>
      <c r="BVJ222" s="37"/>
      <c r="BVK222" s="37"/>
      <c r="BVL222" s="38"/>
      <c r="BVM222" s="38"/>
      <c r="BVN222" s="39"/>
      <c r="BVO222" s="34"/>
      <c r="BVP222" s="34"/>
      <c r="BVQ222" s="34"/>
      <c r="BVR222" s="35"/>
      <c r="BVS222" s="35"/>
      <c r="BVT222" s="35"/>
      <c r="BVU222" s="35"/>
      <c r="BVV222" s="35"/>
      <c r="BVW222" s="34"/>
      <c r="BVX222" s="34"/>
      <c r="BVY222" s="36"/>
      <c r="BVZ222" s="36"/>
      <c r="BWA222" s="37"/>
      <c r="BWB222" s="37"/>
      <c r="BWC222" s="38"/>
      <c r="BWD222" s="38"/>
      <c r="BWE222" s="39"/>
      <c r="BWF222" s="34"/>
      <c r="BWG222" s="34"/>
      <c r="BWH222" s="34"/>
      <c r="BWI222" s="35"/>
      <c r="BWJ222" s="35"/>
      <c r="BWK222" s="35"/>
      <c r="BWL222" s="35"/>
      <c r="BWM222" s="35"/>
      <c r="BWN222" s="34"/>
      <c r="BWO222" s="34"/>
      <c r="BWP222" s="36"/>
      <c r="BWQ222" s="36"/>
      <c r="BWR222" s="37"/>
      <c r="BWS222" s="37"/>
      <c r="BWT222" s="38"/>
      <c r="BWU222" s="38"/>
      <c r="BWV222" s="39"/>
      <c r="BWW222" s="34"/>
      <c r="BWX222" s="34"/>
      <c r="BWY222" s="34"/>
      <c r="BWZ222" s="35"/>
      <c r="BXA222" s="35"/>
      <c r="BXB222" s="35"/>
      <c r="BXC222" s="35"/>
      <c r="BXD222" s="35"/>
      <c r="BXE222" s="34"/>
      <c r="BXF222" s="34"/>
      <c r="BXG222" s="36"/>
      <c r="BXH222" s="36"/>
      <c r="BXI222" s="37"/>
      <c r="BXJ222" s="37"/>
      <c r="BXK222" s="38"/>
      <c r="BXL222" s="38"/>
      <c r="BXM222" s="39"/>
      <c r="BXN222" s="34"/>
      <c r="BXO222" s="34"/>
      <c r="BXP222" s="34"/>
      <c r="BXQ222" s="35"/>
      <c r="BXR222" s="35"/>
      <c r="BXS222" s="35"/>
      <c r="BXT222" s="35"/>
      <c r="BXU222" s="35"/>
      <c r="BXV222" s="34"/>
      <c r="BXW222" s="34"/>
      <c r="BXX222" s="36"/>
      <c r="BXY222" s="36"/>
      <c r="BXZ222" s="37"/>
      <c r="BYA222" s="37"/>
      <c r="BYB222" s="38"/>
      <c r="BYC222" s="38"/>
      <c r="BYD222" s="39"/>
      <c r="BYE222" s="34"/>
      <c r="BYF222" s="34"/>
      <c r="BYG222" s="34"/>
      <c r="BYH222" s="35"/>
      <c r="BYI222" s="35"/>
      <c r="BYJ222" s="35"/>
      <c r="BYK222" s="35"/>
      <c r="BYL222" s="35"/>
      <c r="BYM222" s="34"/>
      <c r="BYN222" s="34"/>
      <c r="BYO222" s="36"/>
      <c r="BYP222" s="36"/>
      <c r="BYQ222" s="37"/>
      <c r="BYR222" s="37"/>
      <c r="BYS222" s="38"/>
      <c r="BYT222" s="38"/>
      <c r="BYU222" s="39"/>
      <c r="BYV222" s="34"/>
      <c r="BYW222" s="34"/>
      <c r="BYX222" s="34"/>
      <c r="BYY222" s="35"/>
      <c r="BYZ222" s="35"/>
      <c r="BZA222" s="35"/>
      <c r="BZB222" s="35"/>
      <c r="BZC222" s="35"/>
      <c r="BZD222" s="34"/>
      <c r="BZE222" s="34"/>
      <c r="BZF222" s="36"/>
      <c r="BZG222" s="36"/>
      <c r="BZH222" s="37"/>
      <c r="BZI222" s="37"/>
      <c r="BZJ222" s="38"/>
      <c r="BZK222" s="38"/>
      <c r="BZL222" s="39"/>
      <c r="BZM222" s="34"/>
      <c r="BZN222" s="34"/>
      <c r="BZO222" s="34"/>
      <c r="BZP222" s="35"/>
      <c r="BZQ222" s="35"/>
      <c r="BZR222" s="35"/>
      <c r="BZS222" s="35"/>
      <c r="BZT222" s="35"/>
      <c r="BZU222" s="34"/>
      <c r="BZV222" s="34"/>
      <c r="BZW222" s="36"/>
      <c r="BZX222" s="36"/>
      <c r="BZY222" s="37"/>
      <c r="BZZ222" s="37"/>
      <c r="CAA222" s="38"/>
      <c r="CAB222" s="38"/>
      <c r="CAC222" s="39"/>
      <c r="CAD222" s="34"/>
      <c r="CAE222" s="34"/>
      <c r="CAF222" s="34"/>
      <c r="CAG222" s="35"/>
      <c r="CAH222" s="35"/>
      <c r="CAI222" s="35"/>
      <c r="CAJ222" s="35"/>
      <c r="CAK222" s="35"/>
      <c r="CAL222" s="34"/>
      <c r="CAM222" s="34"/>
      <c r="CAN222" s="36"/>
      <c r="CAO222" s="36"/>
      <c r="CAP222" s="37"/>
      <c r="CAQ222" s="37"/>
      <c r="CAR222" s="38"/>
      <c r="CAS222" s="38"/>
      <c r="CAT222" s="39"/>
      <c r="CAU222" s="34"/>
      <c r="CAV222" s="34"/>
      <c r="CAW222" s="34"/>
      <c r="CAX222" s="35"/>
      <c r="CAY222" s="35"/>
      <c r="CAZ222" s="35"/>
      <c r="CBA222" s="35"/>
      <c r="CBB222" s="35"/>
      <c r="CBC222" s="34"/>
      <c r="CBD222" s="34"/>
      <c r="CBE222" s="36"/>
      <c r="CBF222" s="36"/>
      <c r="CBG222" s="37"/>
      <c r="CBH222" s="37"/>
      <c r="CBI222" s="38"/>
      <c r="CBJ222" s="38"/>
      <c r="CBK222" s="39"/>
      <c r="CBL222" s="34"/>
      <c r="CBM222" s="34"/>
      <c r="CBN222" s="34"/>
      <c r="CBO222" s="35"/>
      <c r="CBP222" s="35"/>
      <c r="CBQ222" s="35"/>
      <c r="CBR222" s="35"/>
      <c r="CBS222" s="35"/>
      <c r="CBT222" s="34"/>
      <c r="CBU222" s="34"/>
      <c r="CBV222" s="36"/>
      <c r="CBW222" s="36"/>
      <c r="CBX222" s="37"/>
      <c r="CBY222" s="37"/>
      <c r="CBZ222" s="38"/>
      <c r="CCA222" s="38"/>
      <c r="CCB222" s="39"/>
      <c r="CCC222" s="34"/>
      <c r="CCD222" s="34"/>
      <c r="CCE222" s="34"/>
      <c r="CCF222" s="35"/>
      <c r="CCG222" s="35"/>
      <c r="CCH222" s="35"/>
      <c r="CCI222" s="35"/>
      <c r="CCJ222" s="35"/>
      <c r="CCK222" s="34"/>
      <c r="CCL222" s="34"/>
      <c r="CCM222" s="36"/>
      <c r="CCN222" s="36"/>
      <c r="CCO222" s="37"/>
      <c r="CCP222" s="37"/>
      <c r="CCQ222" s="38"/>
      <c r="CCR222" s="38"/>
      <c r="CCS222" s="39"/>
      <c r="CCT222" s="34"/>
      <c r="CCU222" s="34"/>
      <c r="CCV222" s="34"/>
      <c r="CCW222" s="35"/>
      <c r="CCX222" s="35"/>
      <c r="CCY222" s="35"/>
      <c r="CCZ222" s="35"/>
      <c r="CDA222" s="35"/>
      <c r="CDB222" s="34"/>
      <c r="CDC222" s="34"/>
      <c r="CDD222" s="36"/>
      <c r="CDE222" s="36"/>
      <c r="CDF222" s="37"/>
      <c r="CDG222" s="37"/>
      <c r="CDH222" s="38"/>
      <c r="CDI222" s="38"/>
      <c r="CDJ222" s="39"/>
      <c r="CDK222" s="34"/>
      <c r="CDL222" s="34"/>
      <c r="CDM222" s="34"/>
      <c r="CDN222" s="35"/>
      <c r="CDO222" s="35"/>
      <c r="CDP222" s="35"/>
      <c r="CDQ222" s="35"/>
      <c r="CDR222" s="35"/>
      <c r="CDS222" s="34"/>
      <c r="CDT222" s="34"/>
      <c r="CDU222" s="36"/>
      <c r="CDV222" s="36"/>
      <c r="CDW222" s="37"/>
      <c r="CDX222" s="37"/>
      <c r="CDY222" s="38"/>
      <c r="CDZ222" s="38"/>
      <c r="CEA222" s="39"/>
      <c r="CEB222" s="34"/>
      <c r="CEC222" s="34"/>
      <c r="CED222" s="34"/>
      <c r="CEE222" s="35"/>
      <c r="CEF222" s="35"/>
      <c r="CEG222" s="35"/>
      <c r="CEH222" s="35"/>
      <c r="CEI222" s="35"/>
      <c r="CEJ222" s="34"/>
      <c r="CEK222" s="34"/>
      <c r="CEL222" s="36"/>
      <c r="CEM222" s="36"/>
      <c r="CEN222" s="37"/>
      <c r="CEO222" s="37"/>
      <c r="CEP222" s="38"/>
      <c r="CEQ222" s="38"/>
      <c r="CER222" s="39"/>
      <c r="CES222" s="34"/>
      <c r="CET222" s="34"/>
      <c r="CEU222" s="34"/>
      <c r="CEV222" s="35"/>
      <c r="CEW222" s="35"/>
      <c r="CEX222" s="35"/>
      <c r="CEY222" s="35"/>
      <c r="CEZ222" s="35"/>
      <c r="CFA222" s="34"/>
      <c r="CFB222" s="34"/>
      <c r="CFC222" s="36"/>
      <c r="CFD222" s="36"/>
      <c r="CFE222" s="37"/>
      <c r="CFF222" s="37"/>
      <c r="CFG222" s="38"/>
      <c r="CFH222" s="38"/>
      <c r="CFI222" s="39"/>
      <c r="CFJ222" s="34"/>
      <c r="CFK222" s="34"/>
      <c r="CFL222" s="34"/>
      <c r="CFM222" s="35"/>
      <c r="CFN222" s="35"/>
      <c r="CFO222" s="35"/>
      <c r="CFP222" s="35"/>
      <c r="CFQ222" s="35"/>
      <c r="CFR222" s="34"/>
      <c r="CFS222" s="34"/>
      <c r="CFT222" s="36"/>
      <c r="CFU222" s="36"/>
      <c r="CFV222" s="37"/>
      <c r="CFW222" s="37"/>
      <c r="CFX222" s="38"/>
      <c r="CFY222" s="38"/>
      <c r="CFZ222" s="39"/>
      <c r="CGA222" s="34"/>
      <c r="CGB222" s="34"/>
      <c r="CGC222" s="34"/>
      <c r="CGD222" s="35"/>
      <c r="CGE222" s="35"/>
      <c r="CGF222" s="35"/>
      <c r="CGG222" s="35"/>
      <c r="CGH222" s="35"/>
      <c r="CGI222" s="34"/>
      <c r="CGJ222" s="34"/>
      <c r="CGK222" s="36"/>
      <c r="CGL222" s="36"/>
      <c r="CGM222" s="37"/>
      <c r="CGN222" s="37"/>
      <c r="CGO222" s="38"/>
      <c r="CGP222" s="38"/>
      <c r="CGQ222" s="39"/>
      <c r="CGR222" s="34"/>
      <c r="CGS222" s="34"/>
      <c r="CGT222" s="34"/>
      <c r="CGU222" s="35"/>
      <c r="CGV222" s="35"/>
      <c r="CGW222" s="35"/>
      <c r="CGX222" s="35"/>
      <c r="CGY222" s="35"/>
      <c r="CGZ222" s="34"/>
      <c r="CHA222" s="34"/>
      <c r="CHB222" s="36"/>
      <c r="CHC222" s="36"/>
      <c r="CHD222" s="37"/>
      <c r="CHE222" s="37"/>
      <c r="CHF222" s="38"/>
      <c r="CHG222" s="38"/>
      <c r="CHH222" s="39"/>
      <c r="CHI222" s="34"/>
      <c r="CHJ222" s="34"/>
      <c r="CHK222" s="34"/>
      <c r="CHL222" s="35"/>
      <c r="CHM222" s="35"/>
      <c r="CHN222" s="35"/>
      <c r="CHO222" s="35"/>
      <c r="CHP222" s="35"/>
      <c r="CHQ222" s="34"/>
      <c r="CHR222" s="34"/>
      <c r="CHS222" s="36"/>
      <c r="CHT222" s="36"/>
      <c r="CHU222" s="37"/>
      <c r="CHV222" s="37"/>
      <c r="CHW222" s="38"/>
      <c r="CHX222" s="38"/>
      <c r="CHY222" s="39"/>
      <c r="CHZ222" s="34"/>
      <c r="CIA222" s="34"/>
      <c r="CIB222" s="34"/>
      <c r="CIC222" s="35"/>
      <c r="CID222" s="35"/>
      <c r="CIE222" s="35"/>
      <c r="CIF222" s="35"/>
      <c r="CIG222" s="35"/>
      <c r="CIH222" s="34"/>
      <c r="CII222" s="34"/>
      <c r="CIJ222" s="36"/>
      <c r="CIK222" s="36"/>
      <c r="CIL222" s="37"/>
      <c r="CIM222" s="37"/>
      <c r="CIN222" s="38"/>
      <c r="CIO222" s="38"/>
      <c r="CIP222" s="39"/>
      <c r="CIQ222" s="34"/>
      <c r="CIR222" s="34"/>
      <c r="CIS222" s="34"/>
      <c r="CIT222" s="35"/>
      <c r="CIU222" s="35"/>
      <c r="CIV222" s="35"/>
      <c r="CIW222" s="35"/>
      <c r="CIX222" s="35"/>
      <c r="CIY222" s="34"/>
      <c r="CIZ222" s="34"/>
      <c r="CJA222" s="36"/>
      <c r="CJB222" s="36"/>
      <c r="CJC222" s="37"/>
      <c r="CJD222" s="37"/>
      <c r="CJE222" s="38"/>
      <c r="CJF222" s="38"/>
      <c r="CJG222" s="39"/>
      <c r="CJH222" s="34"/>
      <c r="CJI222" s="34"/>
      <c r="CJJ222" s="34"/>
      <c r="CJK222" s="35"/>
      <c r="CJL222" s="35"/>
      <c r="CJM222" s="35"/>
      <c r="CJN222" s="35"/>
      <c r="CJO222" s="35"/>
      <c r="CJP222" s="34"/>
      <c r="CJQ222" s="34"/>
      <c r="CJR222" s="36"/>
      <c r="CJS222" s="36"/>
      <c r="CJT222" s="37"/>
      <c r="CJU222" s="37"/>
      <c r="CJV222" s="38"/>
      <c r="CJW222" s="38"/>
      <c r="CJX222" s="39"/>
      <c r="CJY222" s="34"/>
      <c r="CJZ222" s="34"/>
      <c r="CKA222" s="34"/>
      <c r="CKB222" s="35"/>
      <c r="CKC222" s="35"/>
      <c r="CKD222" s="35"/>
      <c r="CKE222" s="35"/>
      <c r="CKF222" s="35"/>
      <c r="CKG222" s="34"/>
      <c r="CKH222" s="34"/>
      <c r="CKI222" s="36"/>
      <c r="CKJ222" s="36"/>
      <c r="CKK222" s="37"/>
      <c r="CKL222" s="37"/>
      <c r="CKM222" s="38"/>
      <c r="CKN222" s="38"/>
      <c r="CKO222" s="39"/>
      <c r="CKP222" s="34"/>
      <c r="CKQ222" s="34"/>
      <c r="CKR222" s="34"/>
      <c r="CKS222" s="35"/>
      <c r="CKT222" s="35"/>
      <c r="CKU222" s="35"/>
      <c r="CKV222" s="35"/>
      <c r="CKW222" s="35"/>
      <c r="CKX222" s="34"/>
      <c r="CKY222" s="34"/>
      <c r="CKZ222" s="36"/>
      <c r="CLA222" s="36"/>
      <c r="CLB222" s="37"/>
      <c r="CLC222" s="37"/>
      <c r="CLD222" s="38"/>
      <c r="CLE222" s="38"/>
      <c r="CLF222" s="39"/>
      <c r="CLG222" s="34"/>
      <c r="CLH222" s="34"/>
      <c r="CLI222" s="34"/>
      <c r="CLJ222" s="35"/>
      <c r="CLK222" s="35"/>
      <c r="CLL222" s="35"/>
      <c r="CLM222" s="35"/>
      <c r="CLN222" s="35"/>
      <c r="CLO222" s="34"/>
      <c r="CLP222" s="34"/>
      <c r="CLQ222" s="36"/>
      <c r="CLR222" s="36"/>
      <c r="CLS222" s="37"/>
      <c r="CLT222" s="37"/>
      <c r="CLU222" s="38"/>
      <c r="CLV222" s="38"/>
      <c r="CLW222" s="39"/>
      <c r="CLX222" s="34"/>
      <c r="CLY222" s="34"/>
      <c r="CLZ222" s="34"/>
      <c r="CMA222" s="35"/>
      <c r="CMB222" s="35"/>
      <c r="CMC222" s="35"/>
      <c r="CMD222" s="35"/>
      <c r="CME222" s="35"/>
      <c r="CMF222" s="34"/>
      <c r="CMG222" s="34"/>
      <c r="CMH222" s="36"/>
      <c r="CMI222" s="36"/>
      <c r="CMJ222" s="37"/>
      <c r="CMK222" s="37"/>
      <c r="CML222" s="38"/>
      <c r="CMM222" s="38"/>
      <c r="CMN222" s="39"/>
      <c r="CMO222" s="34"/>
      <c r="CMP222" s="34"/>
      <c r="CMQ222" s="34"/>
      <c r="CMR222" s="35"/>
      <c r="CMS222" s="35"/>
      <c r="CMT222" s="35"/>
      <c r="CMU222" s="35"/>
      <c r="CMV222" s="35"/>
      <c r="CMW222" s="34"/>
      <c r="CMX222" s="34"/>
      <c r="CMY222" s="36"/>
      <c r="CMZ222" s="36"/>
      <c r="CNA222" s="37"/>
      <c r="CNB222" s="37"/>
      <c r="CNC222" s="38"/>
      <c r="CND222" s="38"/>
      <c r="CNE222" s="39"/>
      <c r="CNF222" s="34"/>
      <c r="CNG222" s="34"/>
      <c r="CNH222" s="34"/>
      <c r="CNI222" s="35"/>
      <c r="CNJ222" s="35"/>
      <c r="CNK222" s="35"/>
      <c r="CNL222" s="35"/>
      <c r="CNM222" s="35"/>
      <c r="CNN222" s="34"/>
      <c r="CNO222" s="34"/>
      <c r="CNP222" s="36"/>
      <c r="CNQ222" s="36"/>
      <c r="CNR222" s="37"/>
      <c r="CNS222" s="37"/>
      <c r="CNT222" s="38"/>
      <c r="CNU222" s="38"/>
      <c r="CNV222" s="39"/>
      <c r="CNW222" s="34"/>
      <c r="CNX222" s="34"/>
      <c r="CNY222" s="34"/>
      <c r="CNZ222" s="35"/>
      <c r="COA222" s="35"/>
      <c r="COB222" s="35"/>
      <c r="COC222" s="35"/>
      <c r="COD222" s="35"/>
      <c r="COE222" s="34"/>
      <c r="COF222" s="34"/>
      <c r="COG222" s="36"/>
      <c r="COH222" s="36"/>
      <c r="COI222" s="37"/>
      <c r="COJ222" s="37"/>
      <c r="COK222" s="38"/>
      <c r="COL222" s="38"/>
      <c r="COM222" s="39"/>
      <c r="CON222" s="34"/>
      <c r="COO222" s="34"/>
      <c r="COP222" s="34"/>
      <c r="COQ222" s="35"/>
      <c r="COR222" s="35"/>
      <c r="COS222" s="35"/>
      <c r="COT222" s="35"/>
      <c r="COU222" s="35"/>
      <c r="COV222" s="34"/>
      <c r="COW222" s="34"/>
      <c r="COX222" s="36"/>
      <c r="COY222" s="36"/>
      <c r="COZ222" s="37"/>
      <c r="CPA222" s="37"/>
      <c r="CPB222" s="38"/>
      <c r="CPC222" s="38"/>
      <c r="CPD222" s="39"/>
      <c r="CPE222" s="34"/>
      <c r="CPF222" s="34"/>
      <c r="CPG222" s="34"/>
      <c r="CPH222" s="35"/>
      <c r="CPI222" s="35"/>
      <c r="CPJ222" s="35"/>
      <c r="CPK222" s="35"/>
      <c r="CPL222" s="35"/>
      <c r="CPM222" s="34"/>
      <c r="CPN222" s="34"/>
      <c r="CPO222" s="36"/>
      <c r="CPP222" s="36"/>
      <c r="CPQ222" s="37"/>
      <c r="CPR222" s="37"/>
      <c r="CPS222" s="38"/>
      <c r="CPT222" s="38"/>
      <c r="CPU222" s="39"/>
      <c r="CPV222" s="34"/>
      <c r="CPW222" s="34"/>
      <c r="CPX222" s="34"/>
      <c r="CPY222" s="35"/>
      <c r="CPZ222" s="35"/>
      <c r="CQA222" s="35"/>
      <c r="CQB222" s="35"/>
      <c r="CQC222" s="35"/>
      <c r="CQD222" s="34"/>
      <c r="CQE222" s="34"/>
      <c r="CQF222" s="36"/>
      <c r="CQG222" s="36"/>
      <c r="CQH222" s="37"/>
      <c r="CQI222" s="37"/>
      <c r="CQJ222" s="38"/>
      <c r="CQK222" s="38"/>
      <c r="CQL222" s="39"/>
      <c r="CQM222" s="34"/>
      <c r="CQN222" s="34"/>
      <c r="CQO222" s="34"/>
      <c r="CQP222" s="35"/>
      <c r="CQQ222" s="35"/>
      <c r="CQR222" s="35"/>
      <c r="CQS222" s="35"/>
      <c r="CQT222" s="35"/>
      <c r="CQU222" s="34"/>
      <c r="CQV222" s="34"/>
      <c r="CQW222" s="36"/>
      <c r="CQX222" s="36"/>
      <c r="CQY222" s="37"/>
      <c r="CQZ222" s="37"/>
      <c r="CRA222" s="38"/>
      <c r="CRB222" s="38"/>
      <c r="CRC222" s="39"/>
      <c r="CRD222" s="34"/>
      <c r="CRE222" s="34"/>
      <c r="CRF222" s="34"/>
      <c r="CRG222" s="35"/>
      <c r="CRH222" s="35"/>
      <c r="CRI222" s="35"/>
      <c r="CRJ222" s="35"/>
      <c r="CRK222" s="35"/>
      <c r="CRL222" s="34"/>
      <c r="CRM222" s="34"/>
      <c r="CRN222" s="36"/>
      <c r="CRO222" s="36"/>
      <c r="CRP222" s="37"/>
      <c r="CRQ222" s="37"/>
      <c r="CRR222" s="38"/>
      <c r="CRS222" s="38"/>
      <c r="CRT222" s="39"/>
      <c r="CRU222" s="34"/>
      <c r="CRV222" s="34"/>
      <c r="CRW222" s="34"/>
      <c r="CRX222" s="35"/>
      <c r="CRY222" s="35"/>
      <c r="CRZ222" s="35"/>
      <c r="CSA222" s="35"/>
      <c r="CSB222" s="35"/>
      <c r="CSC222" s="34"/>
      <c r="CSD222" s="34"/>
      <c r="CSE222" s="36"/>
      <c r="CSF222" s="36"/>
      <c r="CSG222" s="37"/>
      <c r="CSH222" s="37"/>
      <c r="CSI222" s="38"/>
      <c r="CSJ222" s="38"/>
      <c r="CSK222" s="39"/>
      <c r="CSL222" s="34"/>
      <c r="CSM222" s="34"/>
      <c r="CSN222" s="34"/>
      <c r="CSO222" s="35"/>
      <c r="CSP222" s="35"/>
      <c r="CSQ222" s="35"/>
      <c r="CSR222" s="35"/>
      <c r="CSS222" s="35"/>
      <c r="CST222" s="34"/>
      <c r="CSU222" s="34"/>
      <c r="CSV222" s="36"/>
      <c r="CSW222" s="36"/>
      <c r="CSX222" s="37"/>
      <c r="CSY222" s="37"/>
      <c r="CSZ222" s="38"/>
      <c r="CTA222" s="38"/>
      <c r="CTB222" s="39"/>
      <c r="CTC222" s="34"/>
      <c r="CTD222" s="34"/>
      <c r="CTE222" s="34"/>
      <c r="CTF222" s="35"/>
      <c r="CTG222" s="35"/>
      <c r="CTH222" s="35"/>
      <c r="CTI222" s="35"/>
      <c r="CTJ222" s="35"/>
      <c r="CTK222" s="34"/>
      <c r="CTL222" s="34"/>
      <c r="CTM222" s="36"/>
      <c r="CTN222" s="36"/>
      <c r="CTO222" s="37"/>
      <c r="CTP222" s="37"/>
      <c r="CTQ222" s="38"/>
      <c r="CTR222" s="38"/>
      <c r="CTS222" s="39"/>
      <c r="CTT222" s="34"/>
      <c r="CTU222" s="34"/>
      <c r="CTV222" s="34"/>
      <c r="CTW222" s="35"/>
      <c r="CTX222" s="35"/>
      <c r="CTY222" s="35"/>
      <c r="CTZ222" s="35"/>
      <c r="CUA222" s="35"/>
      <c r="CUB222" s="34"/>
      <c r="CUC222" s="34"/>
      <c r="CUD222" s="36"/>
      <c r="CUE222" s="36"/>
      <c r="CUF222" s="37"/>
      <c r="CUG222" s="37"/>
      <c r="CUH222" s="38"/>
      <c r="CUI222" s="38"/>
      <c r="CUJ222" s="39"/>
      <c r="CUK222" s="34"/>
      <c r="CUL222" s="34"/>
      <c r="CUM222" s="34"/>
      <c r="CUN222" s="35"/>
      <c r="CUO222" s="35"/>
      <c r="CUP222" s="35"/>
      <c r="CUQ222" s="35"/>
      <c r="CUR222" s="35"/>
      <c r="CUS222" s="34"/>
      <c r="CUT222" s="34"/>
      <c r="CUU222" s="36"/>
      <c r="CUV222" s="36"/>
      <c r="CUW222" s="37"/>
      <c r="CUX222" s="37"/>
      <c r="CUY222" s="38"/>
      <c r="CUZ222" s="38"/>
      <c r="CVA222" s="39"/>
      <c r="CVB222" s="34"/>
      <c r="CVC222" s="34"/>
      <c r="CVD222" s="34"/>
      <c r="CVE222" s="35"/>
      <c r="CVF222" s="35"/>
      <c r="CVG222" s="35"/>
      <c r="CVH222" s="35"/>
      <c r="CVI222" s="35"/>
      <c r="CVJ222" s="34"/>
      <c r="CVK222" s="34"/>
      <c r="CVL222" s="36"/>
      <c r="CVM222" s="36"/>
      <c r="CVN222" s="37"/>
      <c r="CVO222" s="37"/>
      <c r="CVP222" s="38"/>
      <c r="CVQ222" s="38"/>
      <c r="CVR222" s="39"/>
      <c r="CVS222" s="34"/>
      <c r="CVT222" s="34"/>
      <c r="CVU222" s="34"/>
      <c r="CVV222" s="35"/>
      <c r="CVW222" s="35"/>
      <c r="CVX222" s="35"/>
      <c r="CVY222" s="35"/>
      <c r="CVZ222" s="35"/>
      <c r="CWA222" s="34"/>
      <c r="CWB222" s="34"/>
      <c r="CWC222" s="36"/>
      <c r="CWD222" s="36"/>
      <c r="CWE222" s="37"/>
      <c r="CWF222" s="37"/>
      <c r="CWG222" s="38"/>
      <c r="CWH222" s="38"/>
      <c r="CWI222" s="39"/>
      <c r="CWJ222" s="34"/>
      <c r="CWK222" s="34"/>
      <c r="CWL222" s="34"/>
      <c r="CWM222" s="35"/>
      <c r="CWN222" s="35"/>
      <c r="CWO222" s="35"/>
      <c r="CWP222" s="35"/>
      <c r="CWQ222" s="35"/>
      <c r="CWR222" s="34"/>
      <c r="CWS222" s="34"/>
      <c r="CWT222" s="36"/>
      <c r="CWU222" s="36"/>
      <c r="CWV222" s="37"/>
      <c r="CWW222" s="37"/>
      <c r="CWX222" s="38"/>
      <c r="CWY222" s="38"/>
      <c r="CWZ222" s="39"/>
      <c r="CXA222" s="34"/>
      <c r="CXB222" s="34"/>
      <c r="CXC222" s="34"/>
      <c r="CXD222" s="35"/>
      <c r="CXE222" s="35"/>
      <c r="CXF222" s="35"/>
      <c r="CXG222" s="35"/>
      <c r="CXH222" s="35"/>
      <c r="CXI222" s="34"/>
      <c r="CXJ222" s="34"/>
      <c r="CXK222" s="36"/>
      <c r="CXL222" s="36"/>
      <c r="CXM222" s="37"/>
      <c r="CXN222" s="37"/>
      <c r="CXO222" s="38"/>
      <c r="CXP222" s="38"/>
      <c r="CXQ222" s="39"/>
      <c r="CXR222" s="34"/>
      <c r="CXS222" s="34"/>
      <c r="CXT222" s="34"/>
      <c r="CXU222" s="35"/>
      <c r="CXV222" s="35"/>
      <c r="CXW222" s="35"/>
      <c r="CXX222" s="35"/>
      <c r="CXY222" s="35"/>
      <c r="CXZ222" s="34"/>
      <c r="CYA222" s="34"/>
      <c r="CYB222" s="36"/>
      <c r="CYC222" s="36"/>
      <c r="CYD222" s="37"/>
      <c r="CYE222" s="37"/>
      <c r="CYF222" s="38"/>
      <c r="CYG222" s="38"/>
      <c r="CYH222" s="39"/>
      <c r="CYI222" s="34"/>
      <c r="CYJ222" s="34"/>
      <c r="CYK222" s="34"/>
      <c r="CYL222" s="35"/>
      <c r="CYM222" s="35"/>
      <c r="CYN222" s="35"/>
      <c r="CYO222" s="35"/>
      <c r="CYP222" s="35"/>
      <c r="CYQ222" s="34"/>
      <c r="CYR222" s="34"/>
      <c r="CYS222" s="36"/>
      <c r="CYT222" s="36"/>
      <c r="CYU222" s="37"/>
      <c r="CYV222" s="37"/>
      <c r="CYW222" s="38"/>
      <c r="CYX222" s="38"/>
      <c r="CYY222" s="39"/>
      <c r="CYZ222" s="34"/>
      <c r="CZA222" s="34"/>
      <c r="CZB222" s="34"/>
      <c r="CZC222" s="35"/>
      <c r="CZD222" s="35"/>
      <c r="CZE222" s="35"/>
      <c r="CZF222" s="35"/>
      <c r="CZG222" s="35"/>
      <c r="CZH222" s="34"/>
      <c r="CZI222" s="34"/>
      <c r="CZJ222" s="36"/>
      <c r="CZK222" s="36"/>
      <c r="CZL222" s="37"/>
      <c r="CZM222" s="37"/>
      <c r="CZN222" s="38"/>
      <c r="CZO222" s="38"/>
      <c r="CZP222" s="39"/>
      <c r="CZQ222" s="34"/>
      <c r="CZR222" s="34"/>
      <c r="CZS222" s="34"/>
      <c r="CZT222" s="35"/>
      <c r="CZU222" s="35"/>
      <c r="CZV222" s="35"/>
      <c r="CZW222" s="35"/>
      <c r="CZX222" s="35"/>
      <c r="CZY222" s="34"/>
      <c r="CZZ222" s="34"/>
      <c r="DAA222" s="36"/>
      <c r="DAB222" s="36"/>
      <c r="DAC222" s="37"/>
      <c r="DAD222" s="37"/>
      <c r="DAE222" s="38"/>
      <c r="DAF222" s="38"/>
      <c r="DAG222" s="39"/>
      <c r="DAH222" s="34"/>
      <c r="DAI222" s="34"/>
      <c r="DAJ222" s="34"/>
      <c r="DAK222" s="35"/>
      <c r="DAL222" s="35"/>
      <c r="DAM222" s="35"/>
      <c r="DAN222" s="35"/>
      <c r="DAO222" s="35"/>
      <c r="DAP222" s="34"/>
      <c r="DAQ222" s="34"/>
      <c r="DAR222" s="36"/>
      <c r="DAS222" s="36"/>
      <c r="DAT222" s="37"/>
      <c r="DAU222" s="37"/>
      <c r="DAV222" s="38"/>
      <c r="DAW222" s="38"/>
      <c r="DAX222" s="39"/>
      <c r="DAY222" s="34"/>
      <c r="DAZ222" s="34"/>
      <c r="DBA222" s="34"/>
      <c r="DBB222" s="35"/>
      <c r="DBC222" s="35"/>
      <c r="DBD222" s="35"/>
      <c r="DBE222" s="35"/>
      <c r="DBF222" s="35"/>
      <c r="DBG222" s="34"/>
      <c r="DBH222" s="34"/>
      <c r="DBI222" s="36"/>
      <c r="DBJ222" s="36"/>
      <c r="DBK222" s="37"/>
      <c r="DBL222" s="37"/>
      <c r="DBM222" s="38"/>
      <c r="DBN222" s="38"/>
      <c r="DBO222" s="39"/>
      <c r="DBP222" s="34"/>
      <c r="DBQ222" s="34"/>
      <c r="DBR222" s="34"/>
      <c r="DBS222" s="35"/>
      <c r="DBT222" s="35"/>
      <c r="DBU222" s="35"/>
      <c r="DBV222" s="35"/>
      <c r="DBW222" s="35"/>
      <c r="DBX222" s="34"/>
      <c r="DBY222" s="34"/>
      <c r="DBZ222" s="36"/>
      <c r="DCA222" s="36"/>
      <c r="DCB222" s="37"/>
      <c r="DCC222" s="37"/>
      <c r="DCD222" s="38"/>
      <c r="DCE222" s="38"/>
      <c r="DCF222" s="39"/>
      <c r="DCG222" s="34"/>
      <c r="DCH222" s="34"/>
      <c r="DCI222" s="34"/>
      <c r="DCJ222" s="35"/>
      <c r="DCK222" s="35"/>
      <c r="DCL222" s="35"/>
      <c r="DCM222" s="35"/>
      <c r="DCN222" s="35"/>
      <c r="DCO222" s="34"/>
      <c r="DCP222" s="34"/>
      <c r="DCQ222" s="36"/>
      <c r="DCR222" s="36"/>
      <c r="DCS222" s="37"/>
      <c r="DCT222" s="37"/>
      <c r="DCU222" s="38"/>
      <c r="DCV222" s="38"/>
      <c r="DCW222" s="39"/>
      <c r="DCX222" s="34"/>
      <c r="DCY222" s="34"/>
      <c r="DCZ222" s="34"/>
      <c r="DDA222" s="35"/>
      <c r="DDB222" s="35"/>
      <c r="DDC222" s="35"/>
      <c r="DDD222" s="35"/>
      <c r="DDE222" s="35"/>
      <c r="DDF222" s="34"/>
      <c r="DDG222" s="34"/>
      <c r="DDH222" s="36"/>
      <c r="DDI222" s="36"/>
      <c r="DDJ222" s="37"/>
      <c r="DDK222" s="37"/>
      <c r="DDL222" s="38"/>
      <c r="DDM222" s="38"/>
      <c r="DDN222" s="39"/>
      <c r="DDO222" s="34"/>
      <c r="DDP222" s="34"/>
      <c r="DDQ222" s="34"/>
      <c r="DDR222" s="35"/>
      <c r="DDS222" s="35"/>
      <c r="DDT222" s="35"/>
      <c r="DDU222" s="35"/>
      <c r="DDV222" s="35"/>
      <c r="DDW222" s="34"/>
      <c r="DDX222" s="34"/>
      <c r="DDY222" s="36"/>
      <c r="DDZ222" s="36"/>
      <c r="DEA222" s="37"/>
      <c r="DEB222" s="37"/>
      <c r="DEC222" s="38"/>
      <c r="DED222" s="38"/>
      <c r="DEE222" s="39"/>
      <c r="DEF222" s="34"/>
      <c r="DEG222" s="34"/>
      <c r="DEH222" s="34"/>
      <c r="DEI222" s="35"/>
      <c r="DEJ222" s="35"/>
      <c r="DEK222" s="35"/>
      <c r="DEL222" s="35"/>
      <c r="DEM222" s="35"/>
      <c r="DEN222" s="34"/>
      <c r="DEO222" s="34"/>
      <c r="DEP222" s="36"/>
      <c r="DEQ222" s="36"/>
      <c r="DER222" s="37"/>
      <c r="DES222" s="37"/>
      <c r="DET222" s="38"/>
      <c r="DEU222" s="38"/>
      <c r="DEV222" s="39"/>
      <c r="DEW222" s="34"/>
      <c r="DEX222" s="34"/>
      <c r="DEY222" s="34"/>
      <c r="DEZ222" s="35"/>
      <c r="DFA222" s="35"/>
      <c r="DFB222" s="35"/>
      <c r="DFC222" s="35"/>
      <c r="DFD222" s="35"/>
      <c r="DFE222" s="34"/>
      <c r="DFF222" s="34"/>
      <c r="DFG222" s="36"/>
      <c r="DFH222" s="36"/>
      <c r="DFI222" s="37"/>
      <c r="DFJ222" s="37"/>
      <c r="DFK222" s="38"/>
      <c r="DFL222" s="38"/>
      <c r="DFM222" s="39"/>
      <c r="DFN222" s="34"/>
      <c r="DFO222" s="34"/>
      <c r="DFP222" s="34"/>
      <c r="DFQ222" s="35"/>
      <c r="DFR222" s="35"/>
      <c r="DFS222" s="35"/>
      <c r="DFT222" s="35"/>
      <c r="DFU222" s="35"/>
      <c r="DFV222" s="34"/>
      <c r="DFW222" s="34"/>
      <c r="DFX222" s="36"/>
      <c r="DFY222" s="36"/>
      <c r="DFZ222" s="37"/>
      <c r="DGA222" s="37"/>
      <c r="DGB222" s="38"/>
      <c r="DGC222" s="38"/>
      <c r="DGD222" s="39"/>
      <c r="DGE222" s="34"/>
      <c r="DGF222" s="34"/>
      <c r="DGG222" s="34"/>
      <c r="DGH222" s="35"/>
      <c r="DGI222" s="35"/>
      <c r="DGJ222" s="35"/>
      <c r="DGK222" s="35"/>
      <c r="DGL222" s="35"/>
      <c r="DGM222" s="34"/>
      <c r="DGN222" s="34"/>
      <c r="DGO222" s="36"/>
      <c r="DGP222" s="36"/>
      <c r="DGQ222" s="37"/>
      <c r="DGR222" s="37"/>
      <c r="DGS222" s="38"/>
      <c r="DGT222" s="38"/>
      <c r="DGU222" s="39"/>
      <c r="DGV222" s="34"/>
      <c r="DGW222" s="34"/>
      <c r="DGX222" s="34"/>
      <c r="DGY222" s="35"/>
      <c r="DGZ222" s="35"/>
      <c r="DHA222" s="35"/>
      <c r="DHB222" s="35"/>
      <c r="DHC222" s="35"/>
      <c r="DHD222" s="34"/>
      <c r="DHE222" s="34"/>
      <c r="DHF222" s="36"/>
      <c r="DHG222" s="36"/>
      <c r="DHH222" s="37"/>
      <c r="DHI222" s="37"/>
      <c r="DHJ222" s="38"/>
      <c r="DHK222" s="38"/>
      <c r="DHL222" s="39"/>
      <c r="DHM222" s="34"/>
      <c r="DHN222" s="34"/>
      <c r="DHO222" s="34"/>
      <c r="DHP222" s="35"/>
      <c r="DHQ222" s="35"/>
      <c r="DHR222" s="35"/>
      <c r="DHS222" s="35"/>
      <c r="DHT222" s="35"/>
      <c r="DHU222" s="34"/>
      <c r="DHV222" s="34"/>
      <c r="DHW222" s="36"/>
      <c r="DHX222" s="36"/>
      <c r="DHY222" s="37"/>
      <c r="DHZ222" s="37"/>
      <c r="DIA222" s="38"/>
      <c r="DIB222" s="38"/>
      <c r="DIC222" s="39"/>
      <c r="DID222" s="34"/>
      <c r="DIE222" s="34"/>
      <c r="DIF222" s="34"/>
      <c r="DIG222" s="35"/>
      <c r="DIH222" s="35"/>
      <c r="DII222" s="35"/>
      <c r="DIJ222" s="35"/>
      <c r="DIK222" s="35"/>
      <c r="DIL222" s="34"/>
      <c r="DIM222" s="34"/>
      <c r="DIN222" s="36"/>
      <c r="DIO222" s="36"/>
      <c r="DIP222" s="37"/>
      <c r="DIQ222" s="37"/>
      <c r="DIR222" s="38"/>
      <c r="DIS222" s="38"/>
      <c r="DIT222" s="39"/>
      <c r="DIU222" s="34"/>
      <c r="DIV222" s="34"/>
      <c r="DIW222" s="34"/>
      <c r="DIX222" s="35"/>
      <c r="DIY222" s="35"/>
      <c r="DIZ222" s="35"/>
      <c r="DJA222" s="35"/>
      <c r="DJB222" s="35"/>
      <c r="DJC222" s="34"/>
      <c r="DJD222" s="34"/>
      <c r="DJE222" s="36"/>
      <c r="DJF222" s="36"/>
      <c r="DJG222" s="37"/>
      <c r="DJH222" s="37"/>
      <c r="DJI222" s="38"/>
      <c r="DJJ222" s="38"/>
      <c r="DJK222" s="39"/>
      <c r="DJL222" s="34"/>
      <c r="DJM222" s="34"/>
      <c r="DJN222" s="34"/>
      <c r="DJO222" s="35"/>
      <c r="DJP222" s="35"/>
      <c r="DJQ222" s="35"/>
      <c r="DJR222" s="35"/>
      <c r="DJS222" s="35"/>
      <c r="DJT222" s="34"/>
      <c r="DJU222" s="34"/>
      <c r="DJV222" s="36"/>
      <c r="DJW222" s="36"/>
      <c r="DJX222" s="37"/>
      <c r="DJY222" s="37"/>
      <c r="DJZ222" s="38"/>
      <c r="DKA222" s="38"/>
      <c r="DKB222" s="39"/>
      <c r="DKC222" s="34"/>
      <c r="DKD222" s="34"/>
      <c r="DKE222" s="34"/>
      <c r="DKF222" s="35"/>
      <c r="DKG222" s="35"/>
      <c r="DKH222" s="35"/>
      <c r="DKI222" s="35"/>
      <c r="DKJ222" s="35"/>
      <c r="DKK222" s="34"/>
      <c r="DKL222" s="34"/>
      <c r="DKM222" s="36"/>
      <c r="DKN222" s="36"/>
      <c r="DKO222" s="37"/>
      <c r="DKP222" s="37"/>
      <c r="DKQ222" s="38"/>
      <c r="DKR222" s="38"/>
      <c r="DKS222" s="39"/>
      <c r="DKT222" s="34"/>
      <c r="DKU222" s="34"/>
      <c r="DKV222" s="34"/>
      <c r="DKW222" s="35"/>
      <c r="DKX222" s="35"/>
      <c r="DKY222" s="35"/>
      <c r="DKZ222" s="35"/>
      <c r="DLA222" s="35"/>
      <c r="DLB222" s="34"/>
      <c r="DLC222" s="34"/>
      <c r="DLD222" s="36"/>
      <c r="DLE222" s="36"/>
      <c r="DLF222" s="37"/>
      <c r="DLG222" s="37"/>
      <c r="DLH222" s="38"/>
      <c r="DLI222" s="38"/>
      <c r="DLJ222" s="39"/>
      <c r="DLK222" s="34"/>
      <c r="DLL222" s="34"/>
      <c r="DLM222" s="34"/>
      <c r="DLN222" s="35"/>
      <c r="DLO222" s="35"/>
      <c r="DLP222" s="35"/>
      <c r="DLQ222" s="35"/>
      <c r="DLR222" s="35"/>
      <c r="DLS222" s="34"/>
      <c r="DLT222" s="34"/>
      <c r="DLU222" s="36"/>
      <c r="DLV222" s="36"/>
      <c r="DLW222" s="37"/>
      <c r="DLX222" s="37"/>
      <c r="DLY222" s="38"/>
      <c r="DLZ222" s="38"/>
      <c r="DMA222" s="39"/>
      <c r="DMB222" s="34"/>
      <c r="DMC222" s="34"/>
      <c r="DMD222" s="34"/>
      <c r="DME222" s="35"/>
      <c r="DMF222" s="35"/>
      <c r="DMG222" s="35"/>
      <c r="DMH222" s="35"/>
      <c r="DMI222" s="35"/>
      <c r="DMJ222" s="34"/>
      <c r="DMK222" s="34"/>
      <c r="DML222" s="36"/>
      <c r="DMM222" s="36"/>
      <c r="DMN222" s="37"/>
      <c r="DMO222" s="37"/>
      <c r="DMP222" s="38"/>
      <c r="DMQ222" s="38"/>
      <c r="DMR222" s="39"/>
      <c r="DMS222" s="34"/>
      <c r="DMT222" s="34"/>
      <c r="DMU222" s="34"/>
      <c r="DMV222" s="35"/>
      <c r="DMW222" s="35"/>
      <c r="DMX222" s="35"/>
      <c r="DMY222" s="35"/>
      <c r="DMZ222" s="35"/>
      <c r="DNA222" s="34"/>
      <c r="DNB222" s="34"/>
      <c r="DNC222" s="36"/>
      <c r="DND222" s="36"/>
      <c r="DNE222" s="37"/>
      <c r="DNF222" s="37"/>
      <c r="DNG222" s="38"/>
      <c r="DNH222" s="38"/>
      <c r="DNI222" s="39"/>
      <c r="DNJ222" s="34"/>
      <c r="DNK222" s="34"/>
      <c r="DNL222" s="34"/>
      <c r="DNM222" s="35"/>
      <c r="DNN222" s="35"/>
      <c r="DNO222" s="35"/>
      <c r="DNP222" s="35"/>
      <c r="DNQ222" s="35"/>
      <c r="DNR222" s="34"/>
      <c r="DNS222" s="34"/>
      <c r="DNT222" s="36"/>
      <c r="DNU222" s="36"/>
      <c r="DNV222" s="37"/>
      <c r="DNW222" s="37"/>
      <c r="DNX222" s="38"/>
      <c r="DNY222" s="38"/>
      <c r="DNZ222" s="39"/>
      <c r="DOA222" s="34"/>
      <c r="DOB222" s="34"/>
      <c r="DOC222" s="34"/>
      <c r="DOD222" s="35"/>
      <c r="DOE222" s="35"/>
      <c r="DOF222" s="35"/>
      <c r="DOG222" s="35"/>
      <c r="DOH222" s="35"/>
      <c r="DOI222" s="34"/>
      <c r="DOJ222" s="34"/>
      <c r="DOK222" s="36"/>
      <c r="DOL222" s="36"/>
      <c r="DOM222" s="37"/>
      <c r="DON222" s="37"/>
      <c r="DOO222" s="38"/>
      <c r="DOP222" s="38"/>
      <c r="DOQ222" s="39"/>
      <c r="DOR222" s="34"/>
      <c r="DOS222" s="34"/>
      <c r="DOT222" s="34"/>
      <c r="DOU222" s="35"/>
      <c r="DOV222" s="35"/>
      <c r="DOW222" s="35"/>
      <c r="DOX222" s="35"/>
      <c r="DOY222" s="35"/>
      <c r="DOZ222" s="34"/>
      <c r="DPA222" s="34"/>
      <c r="DPB222" s="36"/>
      <c r="DPC222" s="36"/>
      <c r="DPD222" s="37"/>
      <c r="DPE222" s="37"/>
      <c r="DPF222" s="38"/>
      <c r="DPG222" s="38"/>
      <c r="DPH222" s="39"/>
      <c r="DPI222" s="34"/>
      <c r="DPJ222" s="34"/>
      <c r="DPK222" s="34"/>
      <c r="DPL222" s="35"/>
      <c r="DPM222" s="35"/>
      <c r="DPN222" s="35"/>
      <c r="DPO222" s="35"/>
      <c r="DPP222" s="35"/>
      <c r="DPQ222" s="34"/>
      <c r="DPR222" s="34"/>
      <c r="DPS222" s="36"/>
      <c r="DPT222" s="36"/>
      <c r="DPU222" s="37"/>
      <c r="DPV222" s="37"/>
      <c r="DPW222" s="38"/>
      <c r="DPX222" s="38"/>
      <c r="DPY222" s="39"/>
      <c r="DPZ222" s="34"/>
      <c r="DQA222" s="34"/>
      <c r="DQB222" s="34"/>
      <c r="DQC222" s="35"/>
      <c r="DQD222" s="35"/>
      <c r="DQE222" s="35"/>
      <c r="DQF222" s="35"/>
      <c r="DQG222" s="35"/>
      <c r="DQH222" s="34"/>
      <c r="DQI222" s="34"/>
      <c r="DQJ222" s="36"/>
      <c r="DQK222" s="36"/>
      <c r="DQL222" s="37"/>
      <c r="DQM222" s="37"/>
      <c r="DQN222" s="38"/>
      <c r="DQO222" s="38"/>
      <c r="DQP222" s="39"/>
      <c r="DQQ222" s="34"/>
      <c r="DQR222" s="34"/>
      <c r="DQS222" s="34"/>
      <c r="DQT222" s="35"/>
      <c r="DQU222" s="35"/>
      <c r="DQV222" s="35"/>
      <c r="DQW222" s="35"/>
      <c r="DQX222" s="35"/>
      <c r="DQY222" s="34"/>
      <c r="DQZ222" s="34"/>
      <c r="DRA222" s="36"/>
      <c r="DRB222" s="36"/>
      <c r="DRC222" s="37"/>
      <c r="DRD222" s="37"/>
      <c r="DRE222" s="38"/>
      <c r="DRF222" s="38"/>
      <c r="DRG222" s="39"/>
      <c r="DRH222" s="34"/>
      <c r="DRI222" s="34"/>
      <c r="DRJ222" s="34"/>
      <c r="DRK222" s="35"/>
      <c r="DRL222" s="35"/>
      <c r="DRM222" s="35"/>
      <c r="DRN222" s="35"/>
      <c r="DRO222" s="35"/>
      <c r="DRP222" s="34"/>
      <c r="DRQ222" s="34"/>
      <c r="DRR222" s="36"/>
      <c r="DRS222" s="36"/>
      <c r="DRT222" s="37"/>
      <c r="DRU222" s="37"/>
      <c r="DRV222" s="38"/>
      <c r="DRW222" s="38"/>
      <c r="DRX222" s="39"/>
      <c r="DRY222" s="34"/>
      <c r="DRZ222" s="34"/>
      <c r="DSA222" s="34"/>
      <c r="DSB222" s="35"/>
      <c r="DSC222" s="35"/>
      <c r="DSD222" s="35"/>
      <c r="DSE222" s="35"/>
      <c r="DSF222" s="35"/>
      <c r="DSG222" s="34"/>
      <c r="DSH222" s="34"/>
      <c r="DSI222" s="36"/>
      <c r="DSJ222" s="36"/>
      <c r="DSK222" s="37"/>
      <c r="DSL222" s="37"/>
      <c r="DSM222" s="38"/>
      <c r="DSN222" s="38"/>
      <c r="DSO222" s="39"/>
      <c r="DSP222" s="34"/>
      <c r="DSQ222" s="34"/>
      <c r="DSR222" s="34"/>
      <c r="DSS222" s="35"/>
      <c r="DST222" s="35"/>
      <c r="DSU222" s="35"/>
      <c r="DSV222" s="35"/>
      <c r="DSW222" s="35"/>
      <c r="DSX222" s="34"/>
      <c r="DSY222" s="34"/>
      <c r="DSZ222" s="36"/>
      <c r="DTA222" s="36"/>
      <c r="DTB222" s="37"/>
      <c r="DTC222" s="37"/>
      <c r="DTD222" s="38"/>
      <c r="DTE222" s="38"/>
      <c r="DTF222" s="39"/>
      <c r="DTG222" s="34"/>
      <c r="DTH222" s="34"/>
      <c r="DTI222" s="34"/>
      <c r="DTJ222" s="35"/>
      <c r="DTK222" s="35"/>
      <c r="DTL222" s="35"/>
      <c r="DTM222" s="35"/>
      <c r="DTN222" s="35"/>
      <c r="DTO222" s="34"/>
      <c r="DTP222" s="34"/>
      <c r="DTQ222" s="36"/>
      <c r="DTR222" s="36"/>
      <c r="DTS222" s="37"/>
      <c r="DTT222" s="37"/>
      <c r="DTU222" s="38"/>
      <c r="DTV222" s="38"/>
      <c r="DTW222" s="39"/>
      <c r="DTX222" s="34"/>
      <c r="DTY222" s="34"/>
      <c r="DTZ222" s="34"/>
      <c r="DUA222" s="35"/>
      <c r="DUB222" s="35"/>
      <c r="DUC222" s="35"/>
      <c r="DUD222" s="35"/>
      <c r="DUE222" s="35"/>
      <c r="DUF222" s="34"/>
      <c r="DUG222" s="34"/>
      <c r="DUH222" s="36"/>
      <c r="DUI222" s="36"/>
      <c r="DUJ222" s="37"/>
      <c r="DUK222" s="37"/>
      <c r="DUL222" s="38"/>
      <c r="DUM222" s="38"/>
      <c r="DUN222" s="39"/>
      <c r="DUO222" s="34"/>
      <c r="DUP222" s="34"/>
      <c r="DUQ222" s="34"/>
      <c r="DUR222" s="35"/>
      <c r="DUS222" s="35"/>
      <c r="DUT222" s="35"/>
      <c r="DUU222" s="35"/>
      <c r="DUV222" s="35"/>
      <c r="DUW222" s="34"/>
      <c r="DUX222" s="34"/>
      <c r="DUY222" s="36"/>
      <c r="DUZ222" s="36"/>
      <c r="DVA222" s="37"/>
      <c r="DVB222" s="37"/>
      <c r="DVC222" s="38"/>
      <c r="DVD222" s="38"/>
      <c r="DVE222" s="39"/>
      <c r="DVF222" s="34"/>
      <c r="DVG222" s="34"/>
      <c r="DVH222" s="34"/>
      <c r="DVI222" s="35"/>
      <c r="DVJ222" s="35"/>
      <c r="DVK222" s="35"/>
      <c r="DVL222" s="35"/>
      <c r="DVM222" s="35"/>
      <c r="DVN222" s="34"/>
      <c r="DVO222" s="34"/>
      <c r="DVP222" s="36"/>
      <c r="DVQ222" s="36"/>
      <c r="DVR222" s="37"/>
      <c r="DVS222" s="37"/>
      <c r="DVT222" s="38"/>
      <c r="DVU222" s="38"/>
      <c r="DVV222" s="39"/>
      <c r="DVW222" s="34"/>
      <c r="DVX222" s="34"/>
      <c r="DVY222" s="34"/>
      <c r="DVZ222" s="35"/>
      <c r="DWA222" s="35"/>
      <c r="DWB222" s="35"/>
      <c r="DWC222" s="35"/>
      <c r="DWD222" s="35"/>
      <c r="DWE222" s="34"/>
      <c r="DWF222" s="34"/>
      <c r="DWG222" s="36"/>
      <c r="DWH222" s="36"/>
      <c r="DWI222" s="37"/>
      <c r="DWJ222" s="37"/>
      <c r="DWK222" s="38"/>
      <c r="DWL222" s="38"/>
      <c r="DWM222" s="39"/>
      <c r="DWN222" s="34"/>
      <c r="DWO222" s="34"/>
      <c r="DWP222" s="34"/>
      <c r="DWQ222" s="35"/>
      <c r="DWR222" s="35"/>
      <c r="DWS222" s="35"/>
      <c r="DWT222" s="35"/>
      <c r="DWU222" s="35"/>
      <c r="DWV222" s="34"/>
      <c r="DWW222" s="34"/>
      <c r="DWX222" s="36"/>
      <c r="DWY222" s="36"/>
      <c r="DWZ222" s="37"/>
      <c r="DXA222" s="37"/>
      <c r="DXB222" s="38"/>
      <c r="DXC222" s="38"/>
      <c r="DXD222" s="39"/>
      <c r="DXE222" s="34"/>
      <c r="DXF222" s="34"/>
      <c r="DXG222" s="34"/>
      <c r="DXH222" s="35"/>
      <c r="DXI222" s="35"/>
      <c r="DXJ222" s="35"/>
      <c r="DXK222" s="35"/>
      <c r="DXL222" s="35"/>
      <c r="DXM222" s="34"/>
      <c r="DXN222" s="34"/>
      <c r="DXO222" s="36"/>
      <c r="DXP222" s="36"/>
      <c r="DXQ222" s="37"/>
      <c r="DXR222" s="37"/>
      <c r="DXS222" s="38"/>
      <c r="DXT222" s="38"/>
      <c r="DXU222" s="39"/>
      <c r="DXV222" s="34"/>
      <c r="DXW222" s="34"/>
      <c r="DXX222" s="34"/>
      <c r="DXY222" s="35"/>
      <c r="DXZ222" s="35"/>
      <c r="DYA222" s="35"/>
      <c r="DYB222" s="35"/>
      <c r="DYC222" s="35"/>
      <c r="DYD222" s="34"/>
      <c r="DYE222" s="34"/>
      <c r="DYF222" s="36"/>
      <c r="DYG222" s="36"/>
      <c r="DYH222" s="37"/>
      <c r="DYI222" s="37"/>
      <c r="DYJ222" s="38"/>
      <c r="DYK222" s="38"/>
      <c r="DYL222" s="39"/>
      <c r="DYM222" s="34"/>
      <c r="DYN222" s="34"/>
      <c r="DYO222" s="34"/>
      <c r="DYP222" s="35"/>
      <c r="DYQ222" s="35"/>
      <c r="DYR222" s="35"/>
      <c r="DYS222" s="35"/>
      <c r="DYT222" s="35"/>
      <c r="DYU222" s="34"/>
      <c r="DYV222" s="34"/>
      <c r="DYW222" s="36"/>
      <c r="DYX222" s="36"/>
      <c r="DYY222" s="37"/>
      <c r="DYZ222" s="37"/>
      <c r="DZA222" s="38"/>
      <c r="DZB222" s="38"/>
      <c r="DZC222" s="39"/>
      <c r="DZD222" s="34"/>
      <c r="DZE222" s="34"/>
      <c r="DZF222" s="34"/>
      <c r="DZG222" s="35"/>
      <c r="DZH222" s="35"/>
      <c r="DZI222" s="35"/>
      <c r="DZJ222" s="35"/>
      <c r="DZK222" s="35"/>
      <c r="DZL222" s="34"/>
      <c r="DZM222" s="34"/>
      <c r="DZN222" s="36"/>
      <c r="DZO222" s="36"/>
      <c r="DZP222" s="37"/>
      <c r="DZQ222" s="37"/>
      <c r="DZR222" s="38"/>
      <c r="DZS222" s="38"/>
      <c r="DZT222" s="39"/>
      <c r="DZU222" s="34"/>
      <c r="DZV222" s="34"/>
      <c r="DZW222" s="34"/>
      <c r="DZX222" s="35"/>
      <c r="DZY222" s="35"/>
      <c r="DZZ222" s="35"/>
      <c r="EAA222" s="35"/>
      <c r="EAB222" s="35"/>
      <c r="EAC222" s="34"/>
      <c r="EAD222" s="34"/>
      <c r="EAE222" s="36"/>
      <c r="EAF222" s="36"/>
      <c r="EAG222" s="37"/>
      <c r="EAH222" s="37"/>
      <c r="EAI222" s="38"/>
      <c r="EAJ222" s="38"/>
      <c r="EAK222" s="39"/>
      <c r="EAL222" s="34"/>
      <c r="EAM222" s="34"/>
      <c r="EAN222" s="34"/>
      <c r="EAO222" s="35"/>
      <c r="EAP222" s="35"/>
      <c r="EAQ222" s="35"/>
      <c r="EAR222" s="35"/>
      <c r="EAS222" s="35"/>
      <c r="EAT222" s="34"/>
      <c r="EAU222" s="34"/>
      <c r="EAV222" s="36"/>
      <c r="EAW222" s="36"/>
      <c r="EAX222" s="37"/>
      <c r="EAY222" s="37"/>
      <c r="EAZ222" s="38"/>
      <c r="EBA222" s="38"/>
      <c r="EBB222" s="39"/>
      <c r="EBC222" s="34"/>
      <c r="EBD222" s="34"/>
      <c r="EBE222" s="34"/>
      <c r="EBF222" s="35"/>
      <c r="EBG222" s="35"/>
      <c r="EBH222" s="35"/>
      <c r="EBI222" s="35"/>
      <c r="EBJ222" s="35"/>
      <c r="EBK222" s="34"/>
      <c r="EBL222" s="34"/>
      <c r="EBM222" s="36"/>
      <c r="EBN222" s="36"/>
      <c r="EBO222" s="37"/>
      <c r="EBP222" s="37"/>
      <c r="EBQ222" s="38"/>
      <c r="EBR222" s="38"/>
      <c r="EBS222" s="39"/>
      <c r="EBT222" s="34"/>
      <c r="EBU222" s="34"/>
      <c r="EBV222" s="34"/>
      <c r="EBW222" s="35"/>
      <c r="EBX222" s="35"/>
      <c r="EBY222" s="35"/>
      <c r="EBZ222" s="35"/>
      <c r="ECA222" s="35"/>
      <c r="ECB222" s="34"/>
      <c r="ECC222" s="34"/>
      <c r="ECD222" s="36"/>
      <c r="ECE222" s="36"/>
      <c r="ECF222" s="37"/>
      <c r="ECG222" s="37"/>
      <c r="ECH222" s="38"/>
      <c r="ECI222" s="38"/>
      <c r="ECJ222" s="39"/>
      <c r="ECK222" s="34"/>
      <c r="ECL222" s="34"/>
      <c r="ECM222" s="34"/>
      <c r="ECN222" s="35"/>
      <c r="ECO222" s="35"/>
      <c r="ECP222" s="35"/>
      <c r="ECQ222" s="35"/>
      <c r="ECR222" s="35"/>
      <c r="ECS222" s="34"/>
      <c r="ECT222" s="34"/>
      <c r="ECU222" s="36"/>
      <c r="ECV222" s="36"/>
      <c r="ECW222" s="37"/>
      <c r="ECX222" s="37"/>
      <c r="ECY222" s="38"/>
      <c r="ECZ222" s="38"/>
      <c r="EDA222" s="39"/>
      <c r="EDB222" s="34"/>
      <c r="EDC222" s="34"/>
      <c r="EDD222" s="34"/>
      <c r="EDE222" s="35"/>
      <c r="EDF222" s="35"/>
      <c r="EDG222" s="35"/>
      <c r="EDH222" s="35"/>
      <c r="EDI222" s="35"/>
      <c r="EDJ222" s="34"/>
      <c r="EDK222" s="34"/>
      <c r="EDL222" s="36"/>
      <c r="EDM222" s="36"/>
      <c r="EDN222" s="37"/>
      <c r="EDO222" s="37"/>
      <c r="EDP222" s="38"/>
      <c r="EDQ222" s="38"/>
      <c r="EDR222" s="39"/>
      <c r="EDS222" s="34"/>
      <c r="EDT222" s="34"/>
      <c r="EDU222" s="34"/>
      <c r="EDV222" s="35"/>
      <c r="EDW222" s="35"/>
      <c r="EDX222" s="35"/>
      <c r="EDY222" s="35"/>
      <c r="EDZ222" s="35"/>
      <c r="EEA222" s="34"/>
      <c r="EEB222" s="34"/>
      <c r="EEC222" s="36"/>
      <c r="EED222" s="36"/>
      <c r="EEE222" s="37"/>
      <c r="EEF222" s="37"/>
      <c r="EEG222" s="38"/>
      <c r="EEH222" s="38"/>
      <c r="EEI222" s="39"/>
      <c r="EEJ222" s="34"/>
      <c r="EEK222" s="34"/>
      <c r="EEL222" s="34"/>
      <c r="EEM222" s="35"/>
      <c r="EEN222" s="35"/>
      <c r="EEO222" s="35"/>
      <c r="EEP222" s="35"/>
      <c r="EEQ222" s="35"/>
      <c r="EER222" s="34"/>
      <c r="EES222" s="34"/>
      <c r="EET222" s="36"/>
      <c r="EEU222" s="36"/>
      <c r="EEV222" s="37"/>
      <c r="EEW222" s="37"/>
      <c r="EEX222" s="38"/>
      <c r="EEY222" s="38"/>
      <c r="EEZ222" s="39"/>
      <c r="EFA222" s="34"/>
      <c r="EFB222" s="34"/>
      <c r="EFC222" s="34"/>
      <c r="EFD222" s="35"/>
      <c r="EFE222" s="35"/>
      <c r="EFF222" s="35"/>
      <c r="EFG222" s="35"/>
      <c r="EFH222" s="35"/>
      <c r="EFI222" s="34"/>
      <c r="EFJ222" s="34"/>
      <c r="EFK222" s="36"/>
      <c r="EFL222" s="36"/>
      <c r="EFM222" s="37"/>
      <c r="EFN222" s="37"/>
      <c r="EFO222" s="38"/>
      <c r="EFP222" s="38"/>
      <c r="EFQ222" s="39"/>
      <c r="EFR222" s="34"/>
      <c r="EFS222" s="34"/>
      <c r="EFT222" s="34"/>
      <c r="EFU222" s="35"/>
      <c r="EFV222" s="35"/>
      <c r="EFW222" s="35"/>
      <c r="EFX222" s="35"/>
      <c r="EFY222" s="35"/>
      <c r="EFZ222" s="34"/>
      <c r="EGA222" s="34"/>
      <c r="EGB222" s="36"/>
      <c r="EGC222" s="36"/>
      <c r="EGD222" s="37"/>
      <c r="EGE222" s="37"/>
      <c r="EGF222" s="38"/>
      <c r="EGG222" s="38"/>
      <c r="EGH222" s="39"/>
      <c r="EGI222" s="34"/>
      <c r="EGJ222" s="34"/>
      <c r="EGK222" s="34"/>
      <c r="EGL222" s="35"/>
      <c r="EGM222" s="35"/>
      <c r="EGN222" s="35"/>
      <c r="EGO222" s="35"/>
      <c r="EGP222" s="35"/>
      <c r="EGQ222" s="34"/>
      <c r="EGR222" s="34"/>
      <c r="EGS222" s="36"/>
      <c r="EGT222" s="36"/>
      <c r="EGU222" s="37"/>
      <c r="EGV222" s="37"/>
      <c r="EGW222" s="38"/>
      <c r="EGX222" s="38"/>
      <c r="EGY222" s="39"/>
      <c r="EGZ222" s="34"/>
      <c r="EHA222" s="34"/>
      <c r="EHB222" s="34"/>
      <c r="EHC222" s="35"/>
      <c r="EHD222" s="35"/>
      <c r="EHE222" s="35"/>
      <c r="EHF222" s="35"/>
      <c r="EHG222" s="35"/>
      <c r="EHH222" s="34"/>
      <c r="EHI222" s="34"/>
      <c r="EHJ222" s="36"/>
      <c r="EHK222" s="36"/>
      <c r="EHL222" s="37"/>
      <c r="EHM222" s="37"/>
      <c r="EHN222" s="38"/>
      <c r="EHO222" s="38"/>
      <c r="EHP222" s="39"/>
      <c r="EHQ222" s="34"/>
      <c r="EHR222" s="34"/>
      <c r="EHS222" s="34"/>
      <c r="EHT222" s="35"/>
      <c r="EHU222" s="35"/>
      <c r="EHV222" s="35"/>
      <c r="EHW222" s="35"/>
      <c r="EHX222" s="35"/>
      <c r="EHY222" s="34"/>
      <c r="EHZ222" s="34"/>
      <c r="EIA222" s="36"/>
      <c r="EIB222" s="36"/>
      <c r="EIC222" s="37"/>
      <c r="EID222" s="37"/>
      <c r="EIE222" s="38"/>
      <c r="EIF222" s="38"/>
      <c r="EIG222" s="39"/>
      <c r="EIH222" s="34"/>
      <c r="EII222" s="34"/>
      <c r="EIJ222" s="34"/>
      <c r="EIK222" s="35"/>
      <c r="EIL222" s="35"/>
      <c r="EIM222" s="35"/>
      <c r="EIN222" s="35"/>
      <c r="EIO222" s="35"/>
      <c r="EIP222" s="34"/>
      <c r="EIQ222" s="34"/>
      <c r="EIR222" s="36"/>
      <c r="EIS222" s="36"/>
      <c r="EIT222" s="37"/>
      <c r="EIU222" s="37"/>
      <c r="EIV222" s="38"/>
      <c r="EIW222" s="38"/>
      <c r="EIX222" s="39"/>
      <c r="EIY222" s="34"/>
      <c r="EIZ222" s="34"/>
      <c r="EJA222" s="34"/>
      <c r="EJB222" s="35"/>
      <c r="EJC222" s="35"/>
      <c r="EJD222" s="35"/>
      <c r="EJE222" s="35"/>
      <c r="EJF222" s="35"/>
      <c r="EJG222" s="34"/>
      <c r="EJH222" s="34"/>
      <c r="EJI222" s="36"/>
      <c r="EJJ222" s="36"/>
      <c r="EJK222" s="37"/>
      <c r="EJL222" s="37"/>
      <c r="EJM222" s="38"/>
      <c r="EJN222" s="38"/>
      <c r="EJO222" s="39"/>
      <c r="EJP222" s="34"/>
      <c r="EJQ222" s="34"/>
      <c r="EJR222" s="34"/>
      <c r="EJS222" s="35"/>
      <c r="EJT222" s="35"/>
      <c r="EJU222" s="35"/>
      <c r="EJV222" s="35"/>
      <c r="EJW222" s="35"/>
      <c r="EJX222" s="34"/>
      <c r="EJY222" s="34"/>
      <c r="EJZ222" s="36"/>
      <c r="EKA222" s="36"/>
      <c r="EKB222" s="37"/>
      <c r="EKC222" s="37"/>
      <c r="EKD222" s="38"/>
      <c r="EKE222" s="38"/>
      <c r="EKF222" s="39"/>
      <c r="EKG222" s="34"/>
      <c r="EKH222" s="34"/>
      <c r="EKI222" s="34"/>
      <c r="EKJ222" s="35"/>
      <c r="EKK222" s="35"/>
      <c r="EKL222" s="35"/>
      <c r="EKM222" s="35"/>
      <c r="EKN222" s="35"/>
      <c r="EKO222" s="34"/>
      <c r="EKP222" s="34"/>
      <c r="EKQ222" s="36"/>
      <c r="EKR222" s="36"/>
      <c r="EKS222" s="37"/>
      <c r="EKT222" s="37"/>
      <c r="EKU222" s="38"/>
      <c r="EKV222" s="38"/>
      <c r="EKW222" s="39"/>
      <c r="EKX222" s="34"/>
      <c r="EKY222" s="34"/>
      <c r="EKZ222" s="34"/>
      <c r="ELA222" s="35"/>
      <c r="ELB222" s="35"/>
      <c r="ELC222" s="35"/>
      <c r="ELD222" s="35"/>
      <c r="ELE222" s="35"/>
      <c r="ELF222" s="34"/>
      <c r="ELG222" s="34"/>
      <c r="ELH222" s="36"/>
      <c r="ELI222" s="36"/>
      <c r="ELJ222" s="37"/>
      <c r="ELK222" s="37"/>
      <c r="ELL222" s="38"/>
      <c r="ELM222" s="38"/>
      <c r="ELN222" s="39"/>
      <c r="ELO222" s="34"/>
      <c r="ELP222" s="34"/>
      <c r="ELQ222" s="34"/>
      <c r="ELR222" s="35"/>
      <c r="ELS222" s="35"/>
      <c r="ELT222" s="35"/>
      <c r="ELU222" s="35"/>
      <c r="ELV222" s="35"/>
      <c r="ELW222" s="34"/>
      <c r="ELX222" s="34"/>
      <c r="ELY222" s="36"/>
      <c r="ELZ222" s="36"/>
      <c r="EMA222" s="37"/>
      <c r="EMB222" s="37"/>
      <c r="EMC222" s="38"/>
      <c r="EMD222" s="38"/>
      <c r="EME222" s="39"/>
      <c r="EMF222" s="34"/>
      <c r="EMG222" s="34"/>
      <c r="EMH222" s="34"/>
      <c r="EMI222" s="35"/>
      <c r="EMJ222" s="35"/>
      <c r="EMK222" s="35"/>
      <c r="EML222" s="35"/>
      <c r="EMM222" s="35"/>
      <c r="EMN222" s="34"/>
      <c r="EMO222" s="34"/>
      <c r="EMP222" s="36"/>
      <c r="EMQ222" s="36"/>
      <c r="EMR222" s="37"/>
      <c r="EMS222" s="37"/>
      <c r="EMT222" s="38"/>
      <c r="EMU222" s="38"/>
      <c r="EMV222" s="39"/>
      <c r="EMW222" s="34"/>
      <c r="EMX222" s="34"/>
      <c r="EMY222" s="34"/>
      <c r="EMZ222" s="35"/>
      <c r="ENA222" s="35"/>
      <c r="ENB222" s="35"/>
      <c r="ENC222" s="35"/>
      <c r="END222" s="35"/>
      <c r="ENE222" s="34"/>
      <c r="ENF222" s="34"/>
      <c r="ENG222" s="36"/>
      <c r="ENH222" s="36"/>
      <c r="ENI222" s="37"/>
      <c r="ENJ222" s="37"/>
      <c r="ENK222" s="38"/>
      <c r="ENL222" s="38"/>
      <c r="ENM222" s="39"/>
      <c r="ENN222" s="34"/>
      <c r="ENO222" s="34"/>
      <c r="ENP222" s="34"/>
      <c r="ENQ222" s="35"/>
      <c r="ENR222" s="35"/>
      <c r="ENS222" s="35"/>
      <c r="ENT222" s="35"/>
      <c r="ENU222" s="35"/>
      <c r="ENV222" s="34"/>
      <c r="ENW222" s="34"/>
      <c r="ENX222" s="36"/>
      <c r="ENY222" s="36"/>
      <c r="ENZ222" s="37"/>
      <c r="EOA222" s="37"/>
      <c r="EOB222" s="38"/>
      <c r="EOC222" s="38"/>
      <c r="EOD222" s="39"/>
      <c r="EOE222" s="34"/>
      <c r="EOF222" s="34"/>
      <c r="EOG222" s="34"/>
      <c r="EOH222" s="35"/>
      <c r="EOI222" s="35"/>
      <c r="EOJ222" s="35"/>
      <c r="EOK222" s="35"/>
      <c r="EOL222" s="35"/>
      <c r="EOM222" s="34"/>
      <c r="EON222" s="34"/>
      <c r="EOO222" s="36"/>
      <c r="EOP222" s="36"/>
      <c r="EOQ222" s="37"/>
      <c r="EOR222" s="37"/>
      <c r="EOS222" s="38"/>
      <c r="EOT222" s="38"/>
      <c r="EOU222" s="39"/>
      <c r="EOV222" s="34"/>
      <c r="EOW222" s="34"/>
      <c r="EOX222" s="34"/>
      <c r="EOY222" s="35"/>
      <c r="EOZ222" s="35"/>
      <c r="EPA222" s="35"/>
      <c r="EPB222" s="35"/>
      <c r="EPC222" s="35"/>
      <c r="EPD222" s="34"/>
      <c r="EPE222" s="34"/>
      <c r="EPF222" s="36"/>
      <c r="EPG222" s="36"/>
      <c r="EPH222" s="37"/>
      <c r="EPI222" s="37"/>
      <c r="EPJ222" s="38"/>
      <c r="EPK222" s="38"/>
      <c r="EPL222" s="39"/>
      <c r="EPM222" s="34"/>
      <c r="EPN222" s="34"/>
      <c r="EPO222" s="34"/>
      <c r="EPP222" s="35"/>
      <c r="EPQ222" s="35"/>
      <c r="EPR222" s="35"/>
      <c r="EPS222" s="35"/>
      <c r="EPT222" s="35"/>
      <c r="EPU222" s="34"/>
      <c r="EPV222" s="34"/>
      <c r="EPW222" s="36"/>
      <c r="EPX222" s="36"/>
      <c r="EPY222" s="37"/>
      <c r="EPZ222" s="37"/>
      <c r="EQA222" s="38"/>
      <c r="EQB222" s="38"/>
      <c r="EQC222" s="39"/>
      <c r="EQD222" s="34"/>
      <c r="EQE222" s="34"/>
      <c r="EQF222" s="34"/>
      <c r="EQG222" s="35"/>
      <c r="EQH222" s="35"/>
      <c r="EQI222" s="35"/>
      <c r="EQJ222" s="35"/>
      <c r="EQK222" s="35"/>
      <c r="EQL222" s="34"/>
      <c r="EQM222" s="34"/>
      <c r="EQN222" s="36"/>
      <c r="EQO222" s="36"/>
      <c r="EQP222" s="37"/>
      <c r="EQQ222" s="37"/>
      <c r="EQR222" s="38"/>
      <c r="EQS222" s="38"/>
      <c r="EQT222" s="39"/>
      <c r="EQU222" s="34"/>
      <c r="EQV222" s="34"/>
      <c r="EQW222" s="34"/>
      <c r="EQX222" s="35"/>
      <c r="EQY222" s="35"/>
      <c r="EQZ222" s="35"/>
      <c r="ERA222" s="35"/>
      <c r="ERB222" s="35"/>
      <c r="ERC222" s="34"/>
      <c r="ERD222" s="34"/>
      <c r="ERE222" s="36"/>
      <c r="ERF222" s="36"/>
      <c r="ERG222" s="37"/>
      <c r="ERH222" s="37"/>
      <c r="ERI222" s="38"/>
      <c r="ERJ222" s="38"/>
      <c r="ERK222" s="39"/>
      <c r="ERL222" s="34"/>
      <c r="ERM222" s="34"/>
      <c r="ERN222" s="34"/>
      <c r="ERO222" s="35"/>
      <c r="ERP222" s="35"/>
      <c r="ERQ222" s="35"/>
      <c r="ERR222" s="35"/>
      <c r="ERS222" s="35"/>
      <c r="ERT222" s="34"/>
      <c r="ERU222" s="34"/>
      <c r="ERV222" s="36"/>
      <c r="ERW222" s="36"/>
      <c r="ERX222" s="37"/>
      <c r="ERY222" s="37"/>
      <c r="ERZ222" s="38"/>
      <c r="ESA222" s="38"/>
      <c r="ESB222" s="39"/>
      <c r="ESC222" s="34"/>
      <c r="ESD222" s="34"/>
      <c r="ESE222" s="34"/>
      <c r="ESF222" s="35"/>
      <c r="ESG222" s="35"/>
      <c r="ESH222" s="35"/>
      <c r="ESI222" s="35"/>
      <c r="ESJ222" s="35"/>
      <c r="ESK222" s="34"/>
      <c r="ESL222" s="34"/>
      <c r="ESM222" s="36"/>
      <c r="ESN222" s="36"/>
      <c r="ESO222" s="37"/>
      <c r="ESP222" s="37"/>
      <c r="ESQ222" s="38"/>
      <c r="ESR222" s="38"/>
      <c r="ESS222" s="39"/>
      <c r="EST222" s="34"/>
      <c r="ESU222" s="34"/>
      <c r="ESV222" s="34"/>
      <c r="ESW222" s="35"/>
      <c r="ESX222" s="35"/>
      <c r="ESY222" s="35"/>
      <c r="ESZ222" s="35"/>
      <c r="ETA222" s="35"/>
      <c r="ETB222" s="34"/>
      <c r="ETC222" s="34"/>
      <c r="ETD222" s="36"/>
      <c r="ETE222" s="36"/>
      <c r="ETF222" s="37"/>
      <c r="ETG222" s="37"/>
      <c r="ETH222" s="38"/>
      <c r="ETI222" s="38"/>
      <c r="ETJ222" s="39"/>
      <c r="ETK222" s="34"/>
      <c r="ETL222" s="34"/>
      <c r="ETM222" s="34"/>
      <c r="ETN222" s="35"/>
      <c r="ETO222" s="35"/>
      <c r="ETP222" s="35"/>
      <c r="ETQ222" s="35"/>
      <c r="ETR222" s="35"/>
      <c r="ETS222" s="34"/>
      <c r="ETT222" s="34"/>
      <c r="ETU222" s="36"/>
      <c r="ETV222" s="36"/>
      <c r="ETW222" s="37"/>
      <c r="ETX222" s="37"/>
      <c r="ETY222" s="38"/>
      <c r="ETZ222" s="38"/>
      <c r="EUA222" s="39"/>
      <c r="EUB222" s="34"/>
      <c r="EUC222" s="34"/>
      <c r="EUD222" s="34"/>
      <c r="EUE222" s="35"/>
      <c r="EUF222" s="35"/>
      <c r="EUG222" s="35"/>
      <c r="EUH222" s="35"/>
      <c r="EUI222" s="35"/>
      <c r="EUJ222" s="34"/>
      <c r="EUK222" s="34"/>
      <c r="EUL222" s="36"/>
      <c r="EUM222" s="36"/>
      <c r="EUN222" s="37"/>
      <c r="EUO222" s="37"/>
      <c r="EUP222" s="38"/>
      <c r="EUQ222" s="38"/>
      <c r="EUR222" s="39"/>
      <c r="EUS222" s="34"/>
      <c r="EUT222" s="34"/>
      <c r="EUU222" s="34"/>
      <c r="EUV222" s="35"/>
      <c r="EUW222" s="35"/>
      <c r="EUX222" s="35"/>
      <c r="EUY222" s="35"/>
      <c r="EUZ222" s="35"/>
      <c r="EVA222" s="34"/>
      <c r="EVB222" s="34"/>
      <c r="EVC222" s="36"/>
      <c r="EVD222" s="36"/>
      <c r="EVE222" s="37"/>
      <c r="EVF222" s="37"/>
      <c r="EVG222" s="38"/>
      <c r="EVH222" s="38"/>
      <c r="EVI222" s="39"/>
      <c r="EVJ222" s="34"/>
      <c r="EVK222" s="34"/>
      <c r="EVL222" s="34"/>
      <c r="EVM222" s="35"/>
      <c r="EVN222" s="35"/>
      <c r="EVO222" s="35"/>
      <c r="EVP222" s="35"/>
      <c r="EVQ222" s="35"/>
      <c r="EVR222" s="34"/>
      <c r="EVS222" s="34"/>
      <c r="EVT222" s="36"/>
      <c r="EVU222" s="36"/>
      <c r="EVV222" s="37"/>
      <c r="EVW222" s="37"/>
      <c r="EVX222" s="38"/>
      <c r="EVY222" s="38"/>
      <c r="EVZ222" s="39"/>
      <c r="EWA222" s="34"/>
      <c r="EWB222" s="34"/>
      <c r="EWC222" s="34"/>
      <c r="EWD222" s="35"/>
      <c r="EWE222" s="35"/>
      <c r="EWF222" s="35"/>
      <c r="EWG222" s="35"/>
      <c r="EWH222" s="35"/>
      <c r="EWI222" s="34"/>
      <c r="EWJ222" s="34"/>
      <c r="EWK222" s="36"/>
      <c r="EWL222" s="36"/>
      <c r="EWM222" s="37"/>
      <c r="EWN222" s="37"/>
      <c r="EWO222" s="38"/>
      <c r="EWP222" s="38"/>
      <c r="EWQ222" s="39"/>
      <c r="EWR222" s="34"/>
      <c r="EWS222" s="34"/>
      <c r="EWT222" s="34"/>
      <c r="EWU222" s="35"/>
      <c r="EWV222" s="35"/>
      <c r="EWW222" s="35"/>
      <c r="EWX222" s="35"/>
      <c r="EWY222" s="35"/>
      <c r="EWZ222" s="34"/>
      <c r="EXA222" s="34"/>
      <c r="EXB222" s="36"/>
      <c r="EXC222" s="36"/>
      <c r="EXD222" s="37"/>
      <c r="EXE222" s="37"/>
      <c r="EXF222" s="38"/>
      <c r="EXG222" s="38"/>
      <c r="EXH222" s="39"/>
      <c r="EXI222" s="34"/>
      <c r="EXJ222" s="34"/>
      <c r="EXK222" s="34"/>
      <c r="EXL222" s="35"/>
      <c r="EXM222" s="35"/>
      <c r="EXN222" s="35"/>
      <c r="EXO222" s="35"/>
      <c r="EXP222" s="35"/>
      <c r="EXQ222" s="34"/>
      <c r="EXR222" s="34"/>
      <c r="EXS222" s="36"/>
      <c r="EXT222" s="36"/>
      <c r="EXU222" s="37"/>
      <c r="EXV222" s="37"/>
      <c r="EXW222" s="38"/>
      <c r="EXX222" s="38"/>
      <c r="EXY222" s="39"/>
      <c r="EXZ222" s="34"/>
      <c r="EYA222" s="34"/>
      <c r="EYB222" s="34"/>
      <c r="EYC222" s="35"/>
      <c r="EYD222" s="35"/>
      <c r="EYE222" s="35"/>
      <c r="EYF222" s="35"/>
      <c r="EYG222" s="35"/>
      <c r="EYH222" s="34"/>
      <c r="EYI222" s="34"/>
      <c r="EYJ222" s="36"/>
      <c r="EYK222" s="36"/>
      <c r="EYL222" s="37"/>
      <c r="EYM222" s="37"/>
      <c r="EYN222" s="38"/>
      <c r="EYO222" s="38"/>
      <c r="EYP222" s="39"/>
      <c r="EYQ222" s="34"/>
      <c r="EYR222" s="34"/>
      <c r="EYS222" s="34"/>
      <c r="EYT222" s="35"/>
      <c r="EYU222" s="35"/>
      <c r="EYV222" s="35"/>
      <c r="EYW222" s="35"/>
      <c r="EYX222" s="35"/>
      <c r="EYY222" s="34"/>
      <c r="EYZ222" s="34"/>
      <c r="EZA222" s="36"/>
      <c r="EZB222" s="36"/>
      <c r="EZC222" s="37"/>
      <c r="EZD222" s="37"/>
      <c r="EZE222" s="38"/>
      <c r="EZF222" s="38"/>
      <c r="EZG222" s="39"/>
      <c r="EZH222" s="34"/>
      <c r="EZI222" s="34"/>
      <c r="EZJ222" s="34"/>
      <c r="EZK222" s="35"/>
      <c r="EZL222" s="35"/>
      <c r="EZM222" s="35"/>
      <c r="EZN222" s="35"/>
      <c r="EZO222" s="35"/>
      <c r="EZP222" s="34"/>
      <c r="EZQ222" s="34"/>
      <c r="EZR222" s="36"/>
      <c r="EZS222" s="36"/>
      <c r="EZT222" s="37"/>
      <c r="EZU222" s="37"/>
      <c r="EZV222" s="38"/>
      <c r="EZW222" s="38"/>
      <c r="EZX222" s="39"/>
      <c r="EZY222" s="34"/>
      <c r="EZZ222" s="34"/>
      <c r="FAA222" s="34"/>
      <c r="FAB222" s="35"/>
      <c r="FAC222" s="35"/>
      <c r="FAD222" s="35"/>
      <c r="FAE222" s="35"/>
      <c r="FAF222" s="35"/>
      <c r="FAG222" s="34"/>
      <c r="FAH222" s="34"/>
      <c r="FAI222" s="36"/>
      <c r="FAJ222" s="36"/>
      <c r="FAK222" s="37"/>
      <c r="FAL222" s="37"/>
      <c r="FAM222" s="38"/>
      <c r="FAN222" s="38"/>
      <c r="FAO222" s="39"/>
      <c r="FAP222" s="34"/>
      <c r="FAQ222" s="34"/>
      <c r="FAR222" s="34"/>
      <c r="FAS222" s="35"/>
      <c r="FAT222" s="35"/>
      <c r="FAU222" s="35"/>
      <c r="FAV222" s="35"/>
      <c r="FAW222" s="35"/>
      <c r="FAX222" s="34"/>
      <c r="FAY222" s="34"/>
      <c r="FAZ222" s="36"/>
      <c r="FBA222" s="36"/>
      <c r="FBB222" s="37"/>
      <c r="FBC222" s="37"/>
      <c r="FBD222" s="38"/>
      <c r="FBE222" s="38"/>
      <c r="FBF222" s="39"/>
      <c r="FBG222" s="34"/>
      <c r="FBH222" s="34"/>
      <c r="FBI222" s="34"/>
      <c r="FBJ222" s="35"/>
      <c r="FBK222" s="35"/>
      <c r="FBL222" s="35"/>
      <c r="FBM222" s="35"/>
      <c r="FBN222" s="35"/>
      <c r="FBO222" s="34"/>
      <c r="FBP222" s="34"/>
      <c r="FBQ222" s="36"/>
      <c r="FBR222" s="36"/>
      <c r="FBS222" s="37"/>
      <c r="FBT222" s="37"/>
      <c r="FBU222" s="38"/>
      <c r="FBV222" s="38"/>
      <c r="FBW222" s="39"/>
      <c r="FBX222" s="34"/>
      <c r="FBY222" s="34"/>
      <c r="FBZ222" s="34"/>
      <c r="FCA222" s="35"/>
      <c r="FCB222" s="35"/>
      <c r="FCC222" s="35"/>
      <c r="FCD222" s="35"/>
      <c r="FCE222" s="35"/>
      <c r="FCF222" s="34"/>
      <c r="FCG222" s="34"/>
      <c r="FCH222" s="36"/>
      <c r="FCI222" s="36"/>
      <c r="FCJ222" s="37"/>
      <c r="FCK222" s="37"/>
      <c r="FCL222" s="38"/>
      <c r="FCM222" s="38"/>
      <c r="FCN222" s="39"/>
      <c r="FCO222" s="34"/>
      <c r="FCP222" s="34"/>
      <c r="FCQ222" s="34"/>
      <c r="FCR222" s="35"/>
      <c r="FCS222" s="35"/>
      <c r="FCT222" s="35"/>
      <c r="FCU222" s="35"/>
      <c r="FCV222" s="35"/>
      <c r="FCW222" s="34"/>
      <c r="FCX222" s="34"/>
      <c r="FCY222" s="36"/>
      <c r="FCZ222" s="36"/>
      <c r="FDA222" s="37"/>
      <c r="FDB222" s="37"/>
      <c r="FDC222" s="38"/>
      <c r="FDD222" s="38"/>
      <c r="FDE222" s="39"/>
      <c r="FDF222" s="34"/>
      <c r="FDG222" s="34"/>
      <c r="FDH222" s="34"/>
      <c r="FDI222" s="35"/>
      <c r="FDJ222" s="35"/>
      <c r="FDK222" s="35"/>
      <c r="FDL222" s="35"/>
      <c r="FDM222" s="35"/>
      <c r="FDN222" s="34"/>
      <c r="FDO222" s="34"/>
      <c r="FDP222" s="36"/>
      <c r="FDQ222" s="36"/>
      <c r="FDR222" s="37"/>
      <c r="FDS222" s="37"/>
      <c r="FDT222" s="38"/>
      <c r="FDU222" s="38"/>
      <c r="FDV222" s="39"/>
      <c r="FDW222" s="34"/>
      <c r="FDX222" s="34"/>
      <c r="FDY222" s="34"/>
      <c r="FDZ222" s="35"/>
      <c r="FEA222" s="35"/>
      <c r="FEB222" s="35"/>
      <c r="FEC222" s="35"/>
      <c r="FED222" s="35"/>
      <c r="FEE222" s="34"/>
      <c r="FEF222" s="34"/>
      <c r="FEG222" s="36"/>
      <c r="FEH222" s="36"/>
      <c r="FEI222" s="37"/>
      <c r="FEJ222" s="37"/>
      <c r="FEK222" s="38"/>
      <c r="FEL222" s="38"/>
      <c r="FEM222" s="39"/>
      <c r="FEN222" s="34"/>
      <c r="FEO222" s="34"/>
      <c r="FEP222" s="34"/>
      <c r="FEQ222" s="35"/>
      <c r="FER222" s="35"/>
      <c r="FES222" s="35"/>
      <c r="FET222" s="35"/>
      <c r="FEU222" s="35"/>
      <c r="FEV222" s="34"/>
      <c r="FEW222" s="34"/>
      <c r="FEX222" s="36"/>
      <c r="FEY222" s="36"/>
      <c r="FEZ222" s="37"/>
      <c r="FFA222" s="37"/>
      <c r="FFB222" s="38"/>
      <c r="FFC222" s="38"/>
      <c r="FFD222" s="39"/>
      <c r="FFE222" s="34"/>
      <c r="FFF222" s="34"/>
      <c r="FFG222" s="34"/>
      <c r="FFH222" s="35"/>
      <c r="FFI222" s="35"/>
      <c r="FFJ222" s="35"/>
      <c r="FFK222" s="35"/>
      <c r="FFL222" s="35"/>
      <c r="FFM222" s="34"/>
      <c r="FFN222" s="34"/>
      <c r="FFO222" s="36"/>
      <c r="FFP222" s="36"/>
      <c r="FFQ222" s="37"/>
      <c r="FFR222" s="37"/>
      <c r="FFS222" s="38"/>
      <c r="FFT222" s="38"/>
      <c r="FFU222" s="39"/>
      <c r="FFV222" s="34"/>
      <c r="FFW222" s="34"/>
      <c r="FFX222" s="34"/>
      <c r="FFY222" s="35"/>
      <c r="FFZ222" s="35"/>
      <c r="FGA222" s="35"/>
      <c r="FGB222" s="35"/>
      <c r="FGC222" s="35"/>
      <c r="FGD222" s="34"/>
      <c r="FGE222" s="34"/>
      <c r="FGF222" s="36"/>
      <c r="FGG222" s="36"/>
      <c r="FGH222" s="37"/>
      <c r="FGI222" s="37"/>
      <c r="FGJ222" s="38"/>
      <c r="FGK222" s="38"/>
      <c r="FGL222" s="39"/>
      <c r="FGM222" s="34"/>
      <c r="FGN222" s="34"/>
      <c r="FGO222" s="34"/>
      <c r="FGP222" s="35"/>
      <c r="FGQ222" s="35"/>
      <c r="FGR222" s="35"/>
      <c r="FGS222" s="35"/>
      <c r="FGT222" s="35"/>
      <c r="FGU222" s="34"/>
      <c r="FGV222" s="34"/>
      <c r="FGW222" s="36"/>
      <c r="FGX222" s="36"/>
      <c r="FGY222" s="37"/>
      <c r="FGZ222" s="37"/>
      <c r="FHA222" s="38"/>
      <c r="FHB222" s="38"/>
      <c r="FHC222" s="39"/>
      <c r="FHD222" s="34"/>
      <c r="FHE222" s="34"/>
      <c r="FHF222" s="34"/>
      <c r="FHG222" s="35"/>
      <c r="FHH222" s="35"/>
      <c r="FHI222" s="35"/>
      <c r="FHJ222" s="35"/>
      <c r="FHK222" s="35"/>
      <c r="FHL222" s="34"/>
      <c r="FHM222" s="34"/>
      <c r="FHN222" s="36"/>
      <c r="FHO222" s="36"/>
      <c r="FHP222" s="37"/>
      <c r="FHQ222" s="37"/>
      <c r="FHR222" s="38"/>
      <c r="FHS222" s="38"/>
      <c r="FHT222" s="39"/>
      <c r="FHU222" s="34"/>
      <c r="FHV222" s="34"/>
      <c r="FHW222" s="34"/>
      <c r="FHX222" s="35"/>
      <c r="FHY222" s="35"/>
      <c r="FHZ222" s="35"/>
      <c r="FIA222" s="35"/>
      <c r="FIB222" s="35"/>
      <c r="FIC222" s="34"/>
      <c r="FID222" s="34"/>
      <c r="FIE222" s="36"/>
      <c r="FIF222" s="36"/>
      <c r="FIG222" s="37"/>
      <c r="FIH222" s="37"/>
      <c r="FII222" s="38"/>
      <c r="FIJ222" s="38"/>
      <c r="FIK222" s="39"/>
      <c r="FIL222" s="34"/>
      <c r="FIM222" s="34"/>
      <c r="FIN222" s="34"/>
      <c r="FIO222" s="35"/>
      <c r="FIP222" s="35"/>
      <c r="FIQ222" s="35"/>
      <c r="FIR222" s="35"/>
      <c r="FIS222" s="35"/>
      <c r="FIT222" s="34"/>
      <c r="FIU222" s="34"/>
      <c r="FIV222" s="36"/>
      <c r="FIW222" s="36"/>
      <c r="FIX222" s="37"/>
      <c r="FIY222" s="37"/>
      <c r="FIZ222" s="38"/>
      <c r="FJA222" s="38"/>
      <c r="FJB222" s="39"/>
      <c r="FJC222" s="34"/>
      <c r="FJD222" s="34"/>
      <c r="FJE222" s="34"/>
      <c r="FJF222" s="35"/>
      <c r="FJG222" s="35"/>
      <c r="FJH222" s="35"/>
      <c r="FJI222" s="35"/>
      <c r="FJJ222" s="35"/>
      <c r="FJK222" s="34"/>
      <c r="FJL222" s="34"/>
      <c r="FJM222" s="36"/>
      <c r="FJN222" s="36"/>
      <c r="FJO222" s="37"/>
      <c r="FJP222" s="37"/>
      <c r="FJQ222" s="38"/>
      <c r="FJR222" s="38"/>
      <c r="FJS222" s="39"/>
      <c r="FJT222" s="34"/>
      <c r="FJU222" s="34"/>
      <c r="FJV222" s="34"/>
      <c r="FJW222" s="35"/>
      <c r="FJX222" s="35"/>
      <c r="FJY222" s="35"/>
      <c r="FJZ222" s="35"/>
      <c r="FKA222" s="35"/>
      <c r="FKB222" s="34"/>
      <c r="FKC222" s="34"/>
      <c r="FKD222" s="36"/>
      <c r="FKE222" s="36"/>
      <c r="FKF222" s="37"/>
      <c r="FKG222" s="37"/>
      <c r="FKH222" s="38"/>
      <c r="FKI222" s="38"/>
      <c r="FKJ222" s="39"/>
      <c r="FKK222" s="34"/>
      <c r="FKL222" s="34"/>
      <c r="FKM222" s="34"/>
      <c r="FKN222" s="35"/>
      <c r="FKO222" s="35"/>
      <c r="FKP222" s="35"/>
      <c r="FKQ222" s="35"/>
      <c r="FKR222" s="35"/>
      <c r="FKS222" s="34"/>
      <c r="FKT222" s="34"/>
      <c r="FKU222" s="36"/>
      <c r="FKV222" s="36"/>
      <c r="FKW222" s="37"/>
      <c r="FKX222" s="37"/>
      <c r="FKY222" s="38"/>
      <c r="FKZ222" s="38"/>
      <c r="FLA222" s="39"/>
      <c r="FLB222" s="34"/>
      <c r="FLC222" s="34"/>
      <c r="FLD222" s="34"/>
      <c r="FLE222" s="35"/>
      <c r="FLF222" s="35"/>
      <c r="FLG222" s="35"/>
      <c r="FLH222" s="35"/>
      <c r="FLI222" s="35"/>
      <c r="FLJ222" s="34"/>
      <c r="FLK222" s="34"/>
      <c r="FLL222" s="36"/>
      <c r="FLM222" s="36"/>
      <c r="FLN222" s="37"/>
      <c r="FLO222" s="37"/>
      <c r="FLP222" s="38"/>
      <c r="FLQ222" s="38"/>
      <c r="FLR222" s="39"/>
      <c r="FLS222" s="34"/>
      <c r="FLT222" s="34"/>
      <c r="FLU222" s="34"/>
      <c r="FLV222" s="35"/>
      <c r="FLW222" s="35"/>
      <c r="FLX222" s="35"/>
      <c r="FLY222" s="35"/>
      <c r="FLZ222" s="35"/>
      <c r="FMA222" s="34"/>
      <c r="FMB222" s="34"/>
      <c r="FMC222" s="36"/>
      <c r="FMD222" s="36"/>
      <c r="FME222" s="37"/>
      <c r="FMF222" s="37"/>
      <c r="FMG222" s="38"/>
      <c r="FMH222" s="38"/>
      <c r="FMI222" s="39"/>
      <c r="FMJ222" s="34"/>
      <c r="FMK222" s="34"/>
      <c r="FML222" s="34"/>
      <c r="FMM222" s="35"/>
      <c r="FMN222" s="35"/>
      <c r="FMO222" s="35"/>
      <c r="FMP222" s="35"/>
      <c r="FMQ222" s="35"/>
      <c r="FMR222" s="34"/>
      <c r="FMS222" s="34"/>
      <c r="FMT222" s="36"/>
      <c r="FMU222" s="36"/>
      <c r="FMV222" s="37"/>
      <c r="FMW222" s="37"/>
      <c r="FMX222" s="38"/>
      <c r="FMY222" s="38"/>
      <c r="FMZ222" s="39"/>
      <c r="FNA222" s="34"/>
      <c r="FNB222" s="34"/>
      <c r="FNC222" s="34"/>
      <c r="FND222" s="35"/>
      <c r="FNE222" s="35"/>
      <c r="FNF222" s="35"/>
      <c r="FNG222" s="35"/>
      <c r="FNH222" s="35"/>
      <c r="FNI222" s="34"/>
      <c r="FNJ222" s="34"/>
      <c r="FNK222" s="36"/>
      <c r="FNL222" s="36"/>
      <c r="FNM222" s="37"/>
      <c r="FNN222" s="37"/>
      <c r="FNO222" s="38"/>
      <c r="FNP222" s="38"/>
      <c r="FNQ222" s="39"/>
      <c r="FNR222" s="34"/>
      <c r="FNS222" s="34"/>
      <c r="FNT222" s="34"/>
      <c r="FNU222" s="35"/>
      <c r="FNV222" s="35"/>
      <c r="FNW222" s="35"/>
      <c r="FNX222" s="35"/>
      <c r="FNY222" s="35"/>
      <c r="FNZ222" s="34"/>
      <c r="FOA222" s="34"/>
      <c r="FOB222" s="36"/>
      <c r="FOC222" s="36"/>
      <c r="FOD222" s="37"/>
      <c r="FOE222" s="37"/>
      <c r="FOF222" s="38"/>
      <c r="FOG222" s="38"/>
      <c r="FOH222" s="39"/>
      <c r="FOI222" s="34"/>
      <c r="FOJ222" s="34"/>
      <c r="FOK222" s="34"/>
      <c r="FOL222" s="35"/>
      <c r="FOM222" s="35"/>
      <c r="FON222" s="35"/>
      <c r="FOO222" s="35"/>
      <c r="FOP222" s="35"/>
      <c r="FOQ222" s="34"/>
      <c r="FOR222" s="34"/>
      <c r="FOS222" s="36"/>
      <c r="FOT222" s="36"/>
      <c r="FOU222" s="37"/>
      <c r="FOV222" s="37"/>
      <c r="FOW222" s="38"/>
      <c r="FOX222" s="38"/>
      <c r="FOY222" s="39"/>
      <c r="FOZ222" s="34"/>
      <c r="FPA222" s="34"/>
      <c r="FPB222" s="34"/>
      <c r="FPC222" s="35"/>
      <c r="FPD222" s="35"/>
      <c r="FPE222" s="35"/>
      <c r="FPF222" s="35"/>
      <c r="FPG222" s="35"/>
      <c r="FPH222" s="34"/>
      <c r="FPI222" s="34"/>
      <c r="FPJ222" s="36"/>
      <c r="FPK222" s="36"/>
      <c r="FPL222" s="37"/>
      <c r="FPM222" s="37"/>
      <c r="FPN222" s="38"/>
      <c r="FPO222" s="38"/>
      <c r="FPP222" s="39"/>
      <c r="FPQ222" s="34"/>
      <c r="FPR222" s="34"/>
      <c r="FPS222" s="34"/>
      <c r="FPT222" s="35"/>
      <c r="FPU222" s="35"/>
      <c r="FPV222" s="35"/>
      <c r="FPW222" s="35"/>
      <c r="FPX222" s="35"/>
      <c r="FPY222" s="34"/>
      <c r="FPZ222" s="34"/>
      <c r="FQA222" s="36"/>
      <c r="FQB222" s="36"/>
      <c r="FQC222" s="37"/>
      <c r="FQD222" s="37"/>
      <c r="FQE222" s="38"/>
      <c r="FQF222" s="38"/>
      <c r="FQG222" s="39"/>
      <c r="FQH222" s="34"/>
      <c r="FQI222" s="34"/>
      <c r="FQJ222" s="34"/>
      <c r="FQK222" s="35"/>
      <c r="FQL222" s="35"/>
      <c r="FQM222" s="35"/>
      <c r="FQN222" s="35"/>
      <c r="FQO222" s="35"/>
      <c r="FQP222" s="34"/>
      <c r="FQQ222" s="34"/>
      <c r="FQR222" s="36"/>
      <c r="FQS222" s="36"/>
      <c r="FQT222" s="37"/>
      <c r="FQU222" s="37"/>
      <c r="FQV222" s="38"/>
      <c r="FQW222" s="38"/>
      <c r="FQX222" s="39"/>
      <c r="FQY222" s="34"/>
      <c r="FQZ222" s="34"/>
      <c r="FRA222" s="34"/>
      <c r="FRB222" s="35"/>
      <c r="FRC222" s="35"/>
      <c r="FRD222" s="35"/>
      <c r="FRE222" s="35"/>
      <c r="FRF222" s="35"/>
      <c r="FRG222" s="34"/>
      <c r="FRH222" s="34"/>
      <c r="FRI222" s="36"/>
      <c r="FRJ222" s="36"/>
      <c r="FRK222" s="37"/>
      <c r="FRL222" s="37"/>
      <c r="FRM222" s="38"/>
      <c r="FRN222" s="38"/>
      <c r="FRO222" s="39"/>
      <c r="FRP222" s="34"/>
      <c r="FRQ222" s="34"/>
      <c r="FRR222" s="34"/>
      <c r="FRS222" s="35"/>
      <c r="FRT222" s="35"/>
      <c r="FRU222" s="35"/>
      <c r="FRV222" s="35"/>
      <c r="FRW222" s="35"/>
      <c r="FRX222" s="34"/>
      <c r="FRY222" s="34"/>
      <c r="FRZ222" s="36"/>
      <c r="FSA222" s="36"/>
      <c r="FSB222" s="37"/>
      <c r="FSC222" s="37"/>
      <c r="FSD222" s="38"/>
      <c r="FSE222" s="38"/>
      <c r="FSF222" s="39"/>
      <c r="FSG222" s="34"/>
      <c r="FSH222" s="34"/>
      <c r="FSI222" s="34"/>
      <c r="FSJ222" s="35"/>
      <c r="FSK222" s="35"/>
      <c r="FSL222" s="35"/>
      <c r="FSM222" s="35"/>
      <c r="FSN222" s="35"/>
      <c r="FSO222" s="34"/>
      <c r="FSP222" s="34"/>
      <c r="FSQ222" s="36"/>
      <c r="FSR222" s="36"/>
      <c r="FSS222" s="37"/>
      <c r="FST222" s="37"/>
      <c r="FSU222" s="38"/>
      <c r="FSV222" s="38"/>
      <c r="FSW222" s="39"/>
      <c r="FSX222" s="34"/>
      <c r="FSY222" s="34"/>
      <c r="FSZ222" s="34"/>
      <c r="FTA222" s="35"/>
      <c r="FTB222" s="35"/>
      <c r="FTC222" s="35"/>
      <c r="FTD222" s="35"/>
      <c r="FTE222" s="35"/>
      <c r="FTF222" s="34"/>
      <c r="FTG222" s="34"/>
      <c r="FTH222" s="36"/>
      <c r="FTI222" s="36"/>
      <c r="FTJ222" s="37"/>
      <c r="FTK222" s="37"/>
      <c r="FTL222" s="38"/>
      <c r="FTM222" s="38"/>
      <c r="FTN222" s="39"/>
      <c r="FTO222" s="34"/>
      <c r="FTP222" s="34"/>
      <c r="FTQ222" s="34"/>
      <c r="FTR222" s="35"/>
      <c r="FTS222" s="35"/>
      <c r="FTT222" s="35"/>
      <c r="FTU222" s="35"/>
      <c r="FTV222" s="35"/>
      <c r="FTW222" s="34"/>
      <c r="FTX222" s="34"/>
      <c r="FTY222" s="36"/>
      <c r="FTZ222" s="36"/>
      <c r="FUA222" s="37"/>
      <c r="FUB222" s="37"/>
      <c r="FUC222" s="38"/>
      <c r="FUD222" s="38"/>
      <c r="FUE222" s="39"/>
      <c r="FUF222" s="34"/>
      <c r="FUG222" s="34"/>
      <c r="FUH222" s="34"/>
      <c r="FUI222" s="35"/>
      <c r="FUJ222" s="35"/>
      <c r="FUK222" s="35"/>
      <c r="FUL222" s="35"/>
      <c r="FUM222" s="35"/>
      <c r="FUN222" s="34"/>
      <c r="FUO222" s="34"/>
      <c r="FUP222" s="36"/>
      <c r="FUQ222" s="36"/>
      <c r="FUR222" s="37"/>
      <c r="FUS222" s="37"/>
      <c r="FUT222" s="38"/>
      <c r="FUU222" s="38"/>
      <c r="FUV222" s="39"/>
      <c r="FUW222" s="34"/>
      <c r="FUX222" s="34"/>
      <c r="FUY222" s="34"/>
      <c r="FUZ222" s="35"/>
      <c r="FVA222" s="35"/>
      <c r="FVB222" s="35"/>
      <c r="FVC222" s="35"/>
      <c r="FVD222" s="35"/>
      <c r="FVE222" s="34"/>
      <c r="FVF222" s="34"/>
      <c r="FVG222" s="36"/>
      <c r="FVH222" s="36"/>
      <c r="FVI222" s="37"/>
      <c r="FVJ222" s="37"/>
      <c r="FVK222" s="38"/>
      <c r="FVL222" s="38"/>
      <c r="FVM222" s="39"/>
      <c r="FVN222" s="34"/>
      <c r="FVO222" s="34"/>
      <c r="FVP222" s="34"/>
      <c r="FVQ222" s="35"/>
      <c r="FVR222" s="35"/>
      <c r="FVS222" s="35"/>
      <c r="FVT222" s="35"/>
      <c r="FVU222" s="35"/>
      <c r="FVV222" s="34"/>
      <c r="FVW222" s="34"/>
      <c r="FVX222" s="36"/>
      <c r="FVY222" s="36"/>
      <c r="FVZ222" s="37"/>
      <c r="FWA222" s="37"/>
      <c r="FWB222" s="38"/>
      <c r="FWC222" s="38"/>
      <c r="FWD222" s="39"/>
      <c r="FWE222" s="34"/>
      <c r="FWF222" s="34"/>
      <c r="FWG222" s="34"/>
      <c r="FWH222" s="35"/>
      <c r="FWI222" s="35"/>
      <c r="FWJ222" s="35"/>
      <c r="FWK222" s="35"/>
      <c r="FWL222" s="35"/>
      <c r="FWM222" s="34"/>
      <c r="FWN222" s="34"/>
      <c r="FWO222" s="36"/>
      <c r="FWP222" s="36"/>
      <c r="FWQ222" s="37"/>
      <c r="FWR222" s="37"/>
      <c r="FWS222" s="38"/>
      <c r="FWT222" s="38"/>
      <c r="FWU222" s="39"/>
      <c r="FWV222" s="34"/>
      <c r="FWW222" s="34"/>
      <c r="FWX222" s="34"/>
      <c r="FWY222" s="35"/>
      <c r="FWZ222" s="35"/>
      <c r="FXA222" s="35"/>
      <c r="FXB222" s="35"/>
      <c r="FXC222" s="35"/>
      <c r="FXD222" s="34"/>
      <c r="FXE222" s="34"/>
      <c r="FXF222" s="36"/>
      <c r="FXG222" s="36"/>
      <c r="FXH222" s="37"/>
      <c r="FXI222" s="37"/>
      <c r="FXJ222" s="38"/>
      <c r="FXK222" s="38"/>
      <c r="FXL222" s="39"/>
      <c r="FXM222" s="34"/>
      <c r="FXN222" s="34"/>
      <c r="FXO222" s="34"/>
      <c r="FXP222" s="35"/>
      <c r="FXQ222" s="35"/>
      <c r="FXR222" s="35"/>
      <c r="FXS222" s="35"/>
      <c r="FXT222" s="35"/>
      <c r="FXU222" s="34"/>
      <c r="FXV222" s="34"/>
      <c r="FXW222" s="36"/>
      <c r="FXX222" s="36"/>
      <c r="FXY222" s="37"/>
      <c r="FXZ222" s="37"/>
      <c r="FYA222" s="38"/>
      <c r="FYB222" s="38"/>
      <c r="FYC222" s="39"/>
      <c r="FYD222" s="34"/>
      <c r="FYE222" s="34"/>
      <c r="FYF222" s="34"/>
      <c r="FYG222" s="35"/>
      <c r="FYH222" s="35"/>
      <c r="FYI222" s="35"/>
      <c r="FYJ222" s="35"/>
      <c r="FYK222" s="35"/>
      <c r="FYL222" s="34"/>
      <c r="FYM222" s="34"/>
      <c r="FYN222" s="36"/>
      <c r="FYO222" s="36"/>
      <c r="FYP222" s="37"/>
      <c r="FYQ222" s="37"/>
      <c r="FYR222" s="38"/>
      <c r="FYS222" s="38"/>
      <c r="FYT222" s="39"/>
      <c r="FYU222" s="34"/>
      <c r="FYV222" s="34"/>
      <c r="FYW222" s="34"/>
      <c r="FYX222" s="35"/>
      <c r="FYY222" s="35"/>
      <c r="FYZ222" s="35"/>
      <c r="FZA222" s="35"/>
      <c r="FZB222" s="35"/>
      <c r="FZC222" s="34"/>
      <c r="FZD222" s="34"/>
      <c r="FZE222" s="36"/>
      <c r="FZF222" s="36"/>
      <c r="FZG222" s="37"/>
      <c r="FZH222" s="37"/>
      <c r="FZI222" s="38"/>
      <c r="FZJ222" s="38"/>
      <c r="FZK222" s="39"/>
      <c r="FZL222" s="34"/>
      <c r="FZM222" s="34"/>
      <c r="FZN222" s="34"/>
      <c r="FZO222" s="35"/>
      <c r="FZP222" s="35"/>
      <c r="FZQ222" s="35"/>
      <c r="FZR222" s="35"/>
      <c r="FZS222" s="35"/>
      <c r="FZT222" s="34"/>
      <c r="FZU222" s="34"/>
      <c r="FZV222" s="36"/>
      <c r="FZW222" s="36"/>
      <c r="FZX222" s="37"/>
      <c r="FZY222" s="37"/>
      <c r="FZZ222" s="38"/>
      <c r="GAA222" s="38"/>
      <c r="GAB222" s="39"/>
      <c r="GAC222" s="34"/>
      <c r="GAD222" s="34"/>
      <c r="GAE222" s="34"/>
      <c r="GAF222" s="35"/>
      <c r="GAG222" s="35"/>
      <c r="GAH222" s="35"/>
      <c r="GAI222" s="35"/>
      <c r="GAJ222" s="35"/>
      <c r="GAK222" s="34"/>
      <c r="GAL222" s="34"/>
      <c r="GAM222" s="36"/>
      <c r="GAN222" s="36"/>
      <c r="GAO222" s="37"/>
      <c r="GAP222" s="37"/>
      <c r="GAQ222" s="38"/>
      <c r="GAR222" s="38"/>
      <c r="GAS222" s="39"/>
      <c r="GAT222" s="34"/>
      <c r="GAU222" s="34"/>
      <c r="GAV222" s="34"/>
      <c r="GAW222" s="35"/>
      <c r="GAX222" s="35"/>
      <c r="GAY222" s="35"/>
      <c r="GAZ222" s="35"/>
      <c r="GBA222" s="35"/>
      <c r="GBB222" s="34"/>
      <c r="GBC222" s="34"/>
      <c r="GBD222" s="36"/>
      <c r="GBE222" s="36"/>
      <c r="GBF222" s="37"/>
      <c r="GBG222" s="37"/>
      <c r="GBH222" s="38"/>
      <c r="GBI222" s="38"/>
      <c r="GBJ222" s="39"/>
      <c r="GBK222" s="34"/>
      <c r="GBL222" s="34"/>
      <c r="GBM222" s="34"/>
      <c r="GBN222" s="35"/>
      <c r="GBO222" s="35"/>
      <c r="GBP222" s="35"/>
      <c r="GBQ222" s="35"/>
      <c r="GBR222" s="35"/>
      <c r="GBS222" s="34"/>
      <c r="GBT222" s="34"/>
      <c r="GBU222" s="36"/>
      <c r="GBV222" s="36"/>
      <c r="GBW222" s="37"/>
      <c r="GBX222" s="37"/>
      <c r="GBY222" s="38"/>
      <c r="GBZ222" s="38"/>
      <c r="GCA222" s="39"/>
      <c r="GCB222" s="34"/>
      <c r="GCC222" s="34"/>
      <c r="GCD222" s="34"/>
      <c r="GCE222" s="35"/>
      <c r="GCF222" s="35"/>
      <c r="GCG222" s="35"/>
      <c r="GCH222" s="35"/>
      <c r="GCI222" s="35"/>
      <c r="GCJ222" s="34"/>
      <c r="GCK222" s="34"/>
      <c r="GCL222" s="36"/>
      <c r="GCM222" s="36"/>
      <c r="GCN222" s="37"/>
      <c r="GCO222" s="37"/>
      <c r="GCP222" s="38"/>
      <c r="GCQ222" s="38"/>
      <c r="GCR222" s="39"/>
      <c r="GCS222" s="34"/>
      <c r="GCT222" s="34"/>
      <c r="GCU222" s="34"/>
      <c r="GCV222" s="35"/>
      <c r="GCW222" s="35"/>
      <c r="GCX222" s="35"/>
      <c r="GCY222" s="35"/>
      <c r="GCZ222" s="35"/>
      <c r="GDA222" s="34"/>
      <c r="GDB222" s="34"/>
      <c r="GDC222" s="36"/>
      <c r="GDD222" s="36"/>
      <c r="GDE222" s="37"/>
      <c r="GDF222" s="37"/>
      <c r="GDG222" s="38"/>
      <c r="GDH222" s="38"/>
      <c r="GDI222" s="39"/>
      <c r="GDJ222" s="34"/>
      <c r="GDK222" s="34"/>
      <c r="GDL222" s="34"/>
      <c r="GDM222" s="35"/>
      <c r="GDN222" s="35"/>
      <c r="GDO222" s="35"/>
      <c r="GDP222" s="35"/>
      <c r="GDQ222" s="35"/>
      <c r="GDR222" s="34"/>
      <c r="GDS222" s="34"/>
      <c r="GDT222" s="36"/>
      <c r="GDU222" s="36"/>
      <c r="GDV222" s="37"/>
      <c r="GDW222" s="37"/>
      <c r="GDX222" s="38"/>
      <c r="GDY222" s="38"/>
      <c r="GDZ222" s="39"/>
      <c r="GEA222" s="34"/>
      <c r="GEB222" s="34"/>
      <c r="GEC222" s="34"/>
      <c r="GED222" s="35"/>
      <c r="GEE222" s="35"/>
      <c r="GEF222" s="35"/>
      <c r="GEG222" s="35"/>
      <c r="GEH222" s="35"/>
      <c r="GEI222" s="34"/>
      <c r="GEJ222" s="34"/>
      <c r="GEK222" s="36"/>
      <c r="GEL222" s="36"/>
      <c r="GEM222" s="37"/>
      <c r="GEN222" s="37"/>
      <c r="GEO222" s="38"/>
      <c r="GEP222" s="38"/>
      <c r="GEQ222" s="39"/>
      <c r="GER222" s="34"/>
      <c r="GES222" s="34"/>
      <c r="GET222" s="34"/>
      <c r="GEU222" s="35"/>
      <c r="GEV222" s="35"/>
      <c r="GEW222" s="35"/>
      <c r="GEX222" s="35"/>
      <c r="GEY222" s="35"/>
      <c r="GEZ222" s="34"/>
      <c r="GFA222" s="34"/>
      <c r="GFB222" s="36"/>
      <c r="GFC222" s="36"/>
      <c r="GFD222" s="37"/>
      <c r="GFE222" s="37"/>
      <c r="GFF222" s="38"/>
      <c r="GFG222" s="38"/>
      <c r="GFH222" s="39"/>
      <c r="GFI222" s="34"/>
      <c r="GFJ222" s="34"/>
      <c r="GFK222" s="34"/>
      <c r="GFL222" s="35"/>
      <c r="GFM222" s="35"/>
      <c r="GFN222" s="35"/>
      <c r="GFO222" s="35"/>
      <c r="GFP222" s="35"/>
      <c r="GFQ222" s="34"/>
      <c r="GFR222" s="34"/>
      <c r="GFS222" s="36"/>
      <c r="GFT222" s="36"/>
      <c r="GFU222" s="37"/>
      <c r="GFV222" s="37"/>
      <c r="GFW222" s="38"/>
      <c r="GFX222" s="38"/>
      <c r="GFY222" s="39"/>
      <c r="GFZ222" s="34"/>
      <c r="GGA222" s="34"/>
      <c r="GGB222" s="34"/>
      <c r="GGC222" s="35"/>
      <c r="GGD222" s="35"/>
      <c r="GGE222" s="35"/>
      <c r="GGF222" s="35"/>
      <c r="GGG222" s="35"/>
      <c r="GGH222" s="34"/>
      <c r="GGI222" s="34"/>
      <c r="GGJ222" s="36"/>
      <c r="GGK222" s="36"/>
      <c r="GGL222" s="37"/>
      <c r="GGM222" s="37"/>
      <c r="GGN222" s="38"/>
      <c r="GGO222" s="38"/>
      <c r="GGP222" s="39"/>
      <c r="GGQ222" s="34"/>
      <c r="GGR222" s="34"/>
      <c r="GGS222" s="34"/>
      <c r="GGT222" s="35"/>
      <c r="GGU222" s="35"/>
      <c r="GGV222" s="35"/>
      <c r="GGW222" s="35"/>
      <c r="GGX222" s="35"/>
      <c r="GGY222" s="34"/>
      <c r="GGZ222" s="34"/>
      <c r="GHA222" s="36"/>
      <c r="GHB222" s="36"/>
      <c r="GHC222" s="37"/>
      <c r="GHD222" s="37"/>
      <c r="GHE222" s="38"/>
      <c r="GHF222" s="38"/>
      <c r="GHG222" s="39"/>
      <c r="GHH222" s="34"/>
      <c r="GHI222" s="34"/>
      <c r="GHJ222" s="34"/>
      <c r="GHK222" s="35"/>
      <c r="GHL222" s="35"/>
      <c r="GHM222" s="35"/>
      <c r="GHN222" s="35"/>
      <c r="GHO222" s="35"/>
      <c r="GHP222" s="34"/>
      <c r="GHQ222" s="34"/>
      <c r="GHR222" s="36"/>
      <c r="GHS222" s="36"/>
      <c r="GHT222" s="37"/>
      <c r="GHU222" s="37"/>
      <c r="GHV222" s="38"/>
      <c r="GHW222" s="38"/>
      <c r="GHX222" s="39"/>
      <c r="GHY222" s="34"/>
      <c r="GHZ222" s="34"/>
      <c r="GIA222" s="34"/>
      <c r="GIB222" s="35"/>
      <c r="GIC222" s="35"/>
      <c r="GID222" s="35"/>
      <c r="GIE222" s="35"/>
      <c r="GIF222" s="35"/>
      <c r="GIG222" s="34"/>
      <c r="GIH222" s="34"/>
      <c r="GII222" s="36"/>
      <c r="GIJ222" s="36"/>
      <c r="GIK222" s="37"/>
      <c r="GIL222" s="37"/>
      <c r="GIM222" s="38"/>
      <c r="GIN222" s="38"/>
      <c r="GIO222" s="39"/>
      <c r="GIP222" s="34"/>
      <c r="GIQ222" s="34"/>
      <c r="GIR222" s="34"/>
      <c r="GIS222" s="35"/>
      <c r="GIT222" s="35"/>
      <c r="GIU222" s="35"/>
      <c r="GIV222" s="35"/>
      <c r="GIW222" s="35"/>
      <c r="GIX222" s="34"/>
      <c r="GIY222" s="34"/>
      <c r="GIZ222" s="36"/>
      <c r="GJA222" s="36"/>
      <c r="GJB222" s="37"/>
      <c r="GJC222" s="37"/>
      <c r="GJD222" s="38"/>
      <c r="GJE222" s="38"/>
      <c r="GJF222" s="39"/>
      <c r="GJG222" s="34"/>
      <c r="GJH222" s="34"/>
      <c r="GJI222" s="34"/>
      <c r="GJJ222" s="35"/>
      <c r="GJK222" s="35"/>
      <c r="GJL222" s="35"/>
      <c r="GJM222" s="35"/>
      <c r="GJN222" s="35"/>
      <c r="GJO222" s="34"/>
      <c r="GJP222" s="34"/>
      <c r="GJQ222" s="36"/>
      <c r="GJR222" s="36"/>
      <c r="GJS222" s="37"/>
      <c r="GJT222" s="37"/>
      <c r="GJU222" s="38"/>
      <c r="GJV222" s="38"/>
      <c r="GJW222" s="39"/>
      <c r="GJX222" s="34"/>
      <c r="GJY222" s="34"/>
      <c r="GJZ222" s="34"/>
      <c r="GKA222" s="35"/>
      <c r="GKB222" s="35"/>
      <c r="GKC222" s="35"/>
      <c r="GKD222" s="35"/>
      <c r="GKE222" s="35"/>
      <c r="GKF222" s="34"/>
      <c r="GKG222" s="34"/>
      <c r="GKH222" s="36"/>
      <c r="GKI222" s="36"/>
      <c r="GKJ222" s="37"/>
      <c r="GKK222" s="37"/>
      <c r="GKL222" s="38"/>
      <c r="GKM222" s="38"/>
      <c r="GKN222" s="39"/>
      <c r="GKO222" s="34"/>
      <c r="GKP222" s="34"/>
      <c r="GKQ222" s="34"/>
      <c r="GKR222" s="35"/>
      <c r="GKS222" s="35"/>
      <c r="GKT222" s="35"/>
      <c r="GKU222" s="35"/>
      <c r="GKV222" s="35"/>
      <c r="GKW222" s="34"/>
      <c r="GKX222" s="34"/>
      <c r="GKY222" s="36"/>
      <c r="GKZ222" s="36"/>
      <c r="GLA222" s="37"/>
      <c r="GLB222" s="37"/>
      <c r="GLC222" s="38"/>
      <c r="GLD222" s="38"/>
      <c r="GLE222" s="39"/>
      <c r="GLF222" s="34"/>
      <c r="GLG222" s="34"/>
      <c r="GLH222" s="34"/>
      <c r="GLI222" s="35"/>
      <c r="GLJ222" s="35"/>
      <c r="GLK222" s="35"/>
      <c r="GLL222" s="35"/>
      <c r="GLM222" s="35"/>
      <c r="GLN222" s="34"/>
      <c r="GLO222" s="34"/>
      <c r="GLP222" s="36"/>
      <c r="GLQ222" s="36"/>
      <c r="GLR222" s="37"/>
      <c r="GLS222" s="37"/>
      <c r="GLT222" s="38"/>
      <c r="GLU222" s="38"/>
      <c r="GLV222" s="39"/>
      <c r="GLW222" s="34"/>
      <c r="GLX222" s="34"/>
      <c r="GLY222" s="34"/>
      <c r="GLZ222" s="35"/>
      <c r="GMA222" s="35"/>
      <c r="GMB222" s="35"/>
      <c r="GMC222" s="35"/>
      <c r="GMD222" s="35"/>
      <c r="GME222" s="34"/>
      <c r="GMF222" s="34"/>
      <c r="GMG222" s="36"/>
      <c r="GMH222" s="36"/>
      <c r="GMI222" s="37"/>
      <c r="GMJ222" s="37"/>
      <c r="GMK222" s="38"/>
      <c r="GML222" s="38"/>
      <c r="GMM222" s="39"/>
      <c r="GMN222" s="34"/>
      <c r="GMO222" s="34"/>
      <c r="GMP222" s="34"/>
      <c r="GMQ222" s="35"/>
      <c r="GMR222" s="35"/>
      <c r="GMS222" s="35"/>
      <c r="GMT222" s="35"/>
      <c r="GMU222" s="35"/>
      <c r="GMV222" s="34"/>
      <c r="GMW222" s="34"/>
      <c r="GMX222" s="36"/>
      <c r="GMY222" s="36"/>
      <c r="GMZ222" s="37"/>
      <c r="GNA222" s="37"/>
      <c r="GNB222" s="38"/>
      <c r="GNC222" s="38"/>
      <c r="GND222" s="39"/>
      <c r="GNE222" s="34"/>
      <c r="GNF222" s="34"/>
      <c r="GNG222" s="34"/>
      <c r="GNH222" s="35"/>
      <c r="GNI222" s="35"/>
      <c r="GNJ222" s="35"/>
      <c r="GNK222" s="35"/>
      <c r="GNL222" s="35"/>
      <c r="GNM222" s="34"/>
      <c r="GNN222" s="34"/>
      <c r="GNO222" s="36"/>
      <c r="GNP222" s="36"/>
      <c r="GNQ222" s="37"/>
      <c r="GNR222" s="37"/>
      <c r="GNS222" s="38"/>
      <c r="GNT222" s="38"/>
      <c r="GNU222" s="39"/>
      <c r="GNV222" s="34"/>
      <c r="GNW222" s="34"/>
      <c r="GNX222" s="34"/>
      <c r="GNY222" s="35"/>
      <c r="GNZ222" s="35"/>
      <c r="GOA222" s="35"/>
      <c r="GOB222" s="35"/>
      <c r="GOC222" s="35"/>
      <c r="GOD222" s="34"/>
      <c r="GOE222" s="34"/>
      <c r="GOF222" s="36"/>
      <c r="GOG222" s="36"/>
      <c r="GOH222" s="37"/>
      <c r="GOI222" s="37"/>
      <c r="GOJ222" s="38"/>
      <c r="GOK222" s="38"/>
      <c r="GOL222" s="39"/>
      <c r="GOM222" s="34"/>
      <c r="GON222" s="34"/>
      <c r="GOO222" s="34"/>
      <c r="GOP222" s="35"/>
      <c r="GOQ222" s="35"/>
      <c r="GOR222" s="35"/>
      <c r="GOS222" s="35"/>
      <c r="GOT222" s="35"/>
      <c r="GOU222" s="34"/>
      <c r="GOV222" s="34"/>
      <c r="GOW222" s="36"/>
      <c r="GOX222" s="36"/>
      <c r="GOY222" s="37"/>
      <c r="GOZ222" s="37"/>
      <c r="GPA222" s="38"/>
      <c r="GPB222" s="38"/>
      <c r="GPC222" s="39"/>
      <c r="GPD222" s="34"/>
      <c r="GPE222" s="34"/>
      <c r="GPF222" s="34"/>
      <c r="GPG222" s="35"/>
      <c r="GPH222" s="35"/>
      <c r="GPI222" s="35"/>
      <c r="GPJ222" s="35"/>
      <c r="GPK222" s="35"/>
      <c r="GPL222" s="34"/>
      <c r="GPM222" s="34"/>
      <c r="GPN222" s="36"/>
      <c r="GPO222" s="36"/>
      <c r="GPP222" s="37"/>
      <c r="GPQ222" s="37"/>
      <c r="GPR222" s="38"/>
      <c r="GPS222" s="38"/>
      <c r="GPT222" s="39"/>
      <c r="GPU222" s="34"/>
      <c r="GPV222" s="34"/>
      <c r="GPW222" s="34"/>
      <c r="GPX222" s="35"/>
      <c r="GPY222" s="35"/>
      <c r="GPZ222" s="35"/>
      <c r="GQA222" s="35"/>
      <c r="GQB222" s="35"/>
      <c r="GQC222" s="34"/>
      <c r="GQD222" s="34"/>
      <c r="GQE222" s="36"/>
      <c r="GQF222" s="36"/>
      <c r="GQG222" s="37"/>
      <c r="GQH222" s="37"/>
      <c r="GQI222" s="38"/>
      <c r="GQJ222" s="38"/>
      <c r="GQK222" s="39"/>
      <c r="GQL222" s="34"/>
      <c r="GQM222" s="34"/>
      <c r="GQN222" s="34"/>
      <c r="GQO222" s="35"/>
      <c r="GQP222" s="35"/>
      <c r="GQQ222" s="35"/>
      <c r="GQR222" s="35"/>
      <c r="GQS222" s="35"/>
      <c r="GQT222" s="34"/>
      <c r="GQU222" s="34"/>
      <c r="GQV222" s="36"/>
      <c r="GQW222" s="36"/>
      <c r="GQX222" s="37"/>
      <c r="GQY222" s="37"/>
      <c r="GQZ222" s="38"/>
      <c r="GRA222" s="38"/>
      <c r="GRB222" s="39"/>
      <c r="GRC222" s="34"/>
      <c r="GRD222" s="34"/>
      <c r="GRE222" s="34"/>
      <c r="GRF222" s="35"/>
      <c r="GRG222" s="35"/>
      <c r="GRH222" s="35"/>
      <c r="GRI222" s="35"/>
      <c r="GRJ222" s="35"/>
      <c r="GRK222" s="34"/>
      <c r="GRL222" s="34"/>
      <c r="GRM222" s="36"/>
      <c r="GRN222" s="36"/>
      <c r="GRO222" s="37"/>
      <c r="GRP222" s="37"/>
      <c r="GRQ222" s="38"/>
      <c r="GRR222" s="38"/>
      <c r="GRS222" s="39"/>
      <c r="GRT222" s="34"/>
      <c r="GRU222" s="34"/>
      <c r="GRV222" s="34"/>
      <c r="GRW222" s="35"/>
      <c r="GRX222" s="35"/>
      <c r="GRY222" s="35"/>
      <c r="GRZ222" s="35"/>
      <c r="GSA222" s="35"/>
      <c r="GSB222" s="34"/>
      <c r="GSC222" s="34"/>
      <c r="GSD222" s="36"/>
      <c r="GSE222" s="36"/>
      <c r="GSF222" s="37"/>
      <c r="GSG222" s="37"/>
      <c r="GSH222" s="38"/>
      <c r="GSI222" s="38"/>
      <c r="GSJ222" s="39"/>
      <c r="GSK222" s="34"/>
      <c r="GSL222" s="34"/>
      <c r="GSM222" s="34"/>
      <c r="GSN222" s="35"/>
      <c r="GSO222" s="35"/>
      <c r="GSP222" s="35"/>
      <c r="GSQ222" s="35"/>
      <c r="GSR222" s="35"/>
      <c r="GSS222" s="34"/>
      <c r="GST222" s="34"/>
      <c r="GSU222" s="36"/>
      <c r="GSV222" s="36"/>
      <c r="GSW222" s="37"/>
      <c r="GSX222" s="37"/>
      <c r="GSY222" s="38"/>
      <c r="GSZ222" s="38"/>
      <c r="GTA222" s="39"/>
      <c r="GTB222" s="34"/>
      <c r="GTC222" s="34"/>
      <c r="GTD222" s="34"/>
      <c r="GTE222" s="35"/>
      <c r="GTF222" s="35"/>
      <c r="GTG222" s="35"/>
      <c r="GTH222" s="35"/>
      <c r="GTI222" s="35"/>
      <c r="GTJ222" s="34"/>
      <c r="GTK222" s="34"/>
      <c r="GTL222" s="36"/>
      <c r="GTM222" s="36"/>
      <c r="GTN222" s="37"/>
      <c r="GTO222" s="37"/>
      <c r="GTP222" s="38"/>
      <c r="GTQ222" s="38"/>
      <c r="GTR222" s="39"/>
      <c r="GTS222" s="34"/>
      <c r="GTT222" s="34"/>
      <c r="GTU222" s="34"/>
      <c r="GTV222" s="35"/>
      <c r="GTW222" s="35"/>
      <c r="GTX222" s="35"/>
      <c r="GTY222" s="35"/>
      <c r="GTZ222" s="35"/>
      <c r="GUA222" s="34"/>
      <c r="GUB222" s="34"/>
      <c r="GUC222" s="36"/>
      <c r="GUD222" s="36"/>
      <c r="GUE222" s="37"/>
      <c r="GUF222" s="37"/>
      <c r="GUG222" s="38"/>
      <c r="GUH222" s="38"/>
      <c r="GUI222" s="39"/>
      <c r="GUJ222" s="34"/>
      <c r="GUK222" s="34"/>
      <c r="GUL222" s="34"/>
      <c r="GUM222" s="35"/>
      <c r="GUN222" s="35"/>
      <c r="GUO222" s="35"/>
      <c r="GUP222" s="35"/>
      <c r="GUQ222" s="35"/>
      <c r="GUR222" s="34"/>
      <c r="GUS222" s="34"/>
      <c r="GUT222" s="36"/>
      <c r="GUU222" s="36"/>
      <c r="GUV222" s="37"/>
      <c r="GUW222" s="37"/>
      <c r="GUX222" s="38"/>
      <c r="GUY222" s="38"/>
      <c r="GUZ222" s="39"/>
      <c r="GVA222" s="34"/>
      <c r="GVB222" s="34"/>
      <c r="GVC222" s="34"/>
      <c r="GVD222" s="35"/>
      <c r="GVE222" s="35"/>
      <c r="GVF222" s="35"/>
      <c r="GVG222" s="35"/>
      <c r="GVH222" s="35"/>
      <c r="GVI222" s="34"/>
      <c r="GVJ222" s="34"/>
      <c r="GVK222" s="36"/>
      <c r="GVL222" s="36"/>
      <c r="GVM222" s="37"/>
      <c r="GVN222" s="37"/>
      <c r="GVO222" s="38"/>
      <c r="GVP222" s="38"/>
      <c r="GVQ222" s="39"/>
      <c r="GVR222" s="34"/>
      <c r="GVS222" s="34"/>
      <c r="GVT222" s="34"/>
      <c r="GVU222" s="35"/>
      <c r="GVV222" s="35"/>
      <c r="GVW222" s="35"/>
      <c r="GVX222" s="35"/>
      <c r="GVY222" s="35"/>
      <c r="GVZ222" s="34"/>
      <c r="GWA222" s="34"/>
      <c r="GWB222" s="36"/>
      <c r="GWC222" s="36"/>
      <c r="GWD222" s="37"/>
      <c r="GWE222" s="37"/>
      <c r="GWF222" s="38"/>
      <c r="GWG222" s="38"/>
      <c r="GWH222" s="39"/>
      <c r="GWI222" s="34"/>
      <c r="GWJ222" s="34"/>
      <c r="GWK222" s="34"/>
      <c r="GWL222" s="35"/>
      <c r="GWM222" s="35"/>
      <c r="GWN222" s="35"/>
      <c r="GWO222" s="35"/>
      <c r="GWP222" s="35"/>
      <c r="GWQ222" s="34"/>
      <c r="GWR222" s="34"/>
      <c r="GWS222" s="36"/>
      <c r="GWT222" s="36"/>
      <c r="GWU222" s="37"/>
      <c r="GWV222" s="37"/>
      <c r="GWW222" s="38"/>
      <c r="GWX222" s="38"/>
      <c r="GWY222" s="39"/>
      <c r="GWZ222" s="34"/>
      <c r="GXA222" s="34"/>
      <c r="GXB222" s="34"/>
      <c r="GXC222" s="35"/>
      <c r="GXD222" s="35"/>
      <c r="GXE222" s="35"/>
      <c r="GXF222" s="35"/>
      <c r="GXG222" s="35"/>
      <c r="GXH222" s="34"/>
      <c r="GXI222" s="34"/>
      <c r="GXJ222" s="36"/>
      <c r="GXK222" s="36"/>
      <c r="GXL222" s="37"/>
      <c r="GXM222" s="37"/>
      <c r="GXN222" s="38"/>
      <c r="GXO222" s="38"/>
      <c r="GXP222" s="39"/>
      <c r="GXQ222" s="34"/>
      <c r="GXR222" s="34"/>
      <c r="GXS222" s="34"/>
      <c r="GXT222" s="35"/>
      <c r="GXU222" s="35"/>
      <c r="GXV222" s="35"/>
      <c r="GXW222" s="35"/>
      <c r="GXX222" s="35"/>
      <c r="GXY222" s="34"/>
      <c r="GXZ222" s="34"/>
      <c r="GYA222" s="36"/>
      <c r="GYB222" s="36"/>
      <c r="GYC222" s="37"/>
      <c r="GYD222" s="37"/>
      <c r="GYE222" s="38"/>
      <c r="GYF222" s="38"/>
      <c r="GYG222" s="39"/>
      <c r="GYH222" s="34"/>
      <c r="GYI222" s="34"/>
      <c r="GYJ222" s="34"/>
      <c r="GYK222" s="35"/>
      <c r="GYL222" s="35"/>
      <c r="GYM222" s="35"/>
      <c r="GYN222" s="35"/>
      <c r="GYO222" s="35"/>
      <c r="GYP222" s="34"/>
      <c r="GYQ222" s="34"/>
      <c r="GYR222" s="36"/>
      <c r="GYS222" s="36"/>
      <c r="GYT222" s="37"/>
      <c r="GYU222" s="37"/>
      <c r="GYV222" s="38"/>
      <c r="GYW222" s="38"/>
      <c r="GYX222" s="39"/>
      <c r="GYY222" s="34"/>
      <c r="GYZ222" s="34"/>
      <c r="GZA222" s="34"/>
      <c r="GZB222" s="35"/>
      <c r="GZC222" s="35"/>
      <c r="GZD222" s="35"/>
      <c r="GZE222" s="35"/>
      <c r="GZF222" s="35"/>
      <c r="GZG222" s="34"/>
      <c r="GZH222" s="34"/>
      <c r="GZI222" s="36"/>
      <c r="GZJ222" s="36"/>
      <c r="GZK222" s="37"/>
      <c r="GZL222" s="37"/>
      <c r="GZM222" s="38"/>
      <c r="GZN222" s="38"/>
      <c r="GZO222" s="39"/>
      <c r="GZP222" s="34"/>
      <c r="GZQ222" s="34"/>
      <c r="GZR222" s="34"/>
      <c r="GZS222" s="35"/>
      <c r="GZT222" s="35"/>
      <c r="GZU222" s="35"/>
      <c r="GZV222" s="35"/>
      <c r="GZW222" s="35"/>
      <c r="GZX222" s="34"/>
      <c r="GZY222" s="34"/>
      <c r="GZZ222" s="36"/>
      <c r="HAA222" s="36"/>
      <c r="HAB222" s="37"/>
      <c r="HAC222" s="37"/>
      <c r="HAD222" s="38"/>
      <c r="HAE222" s="38"/>
      <c r="HAF222" s="39"/>
      <c r="HAG222" s="34"/>
      <c r="HAH222" s="34"/>
      <c r="HAI222" s="34"/>
      <c r="HAJ222" s="35"/>
      <c r="HAK222" s="35"/>
      <c r="HAL222" s="35"/>
      <c r="HAM222" s="35"/>
      <c r="HAN222" s="35"/>
      <c r="HAO222" s="34"/>
      <c r="HAP222" s="34"/>
      <c r="HAQ222" s="36"/>
      <c r="HAR222" s="36"/>
      <c r="HAS222" s="37"/>
      <c r="HAT222" s="37"/>
      <c r="HAU222" s="38"/>
      <c r="HAV222" s="38"/>
      <c r="HAW222" s="39"/>
      <c r="HAX222" s="34"/>
      <c r="HAY222" s="34"/>
      <c r="HAZ222" s="34"/>
      <c r="HBA222" s="35"/>
      <c r="HBB222" s="35"/>
      <c r="HBC222" s="35"/>
      <c r="HBD222" s="35"/>
      <c r="HBE222" s="35"/>
      <c r="HBF222" s="34"/>
      <c r="HBG222" s="34"/>
      <c r="HBH222" s="36"/>
      <c r="HBI222" s="36"/>
      <c r="HBJ222" s="37"/>
      <c r="HBK222" s="37"/>
      <c r="HBL222" s="38"/>
      <c r="HBM222" s="38"/>
      <c r="HBN222" s="39"/>
      <c r="HBO222" s="34"/>
      <c r="HBP222" s="34"/>
      <c r="HBQ222" s="34"/>
      <c r="HBR222" s="35"/>
      <c r="HBS222" s="35"/>
      <c r="HBT222" s="35"/>
      <c r="HBU222" s="35"/>
      <c r="HBV222" s="35"/>
      <c r="HBW222" s="34"/>
      <c r="HBX222" s="34"/>
      <c r="HBY222" s="36"/>
      <c r="HBZ222" s="36"/>
      <c r="HCA222" s="37"/>
      <c r="HCB222" s="37"/>
      <c r="HCC222" s="38"/>
      <c r="HCD222" s="38"/>
      <c r="HCE222" s="39"/>
      <c r="HCF222" s="34"/>
      <c r="HCG222" s="34"/>
      <c r="HCH222" s="34"/>
      <c r="HCI222" s="35"/>
      <c r="HCJ222" s="35"/>
      <c r="HCK222" s="35"/>
      <c r="HCL222" s="35"/>
      <c r="HCM222" s="35"/>
      <c r="HCN222" s="34"/>
      <c r="HCO222" s="34"/>
      <c r="HCP222" s="36"/>
      <c r="HCQ222" s="36"/>
      <c r="HCR222" s="37"/>
      <c r="HCS222" s="37"/>
      <c r="HCT222" s="38"/>
      <c r="HCU222" s="38"/>
      <c r="HCV222" s="39"/>
      <c r="HCW222" s="34"/>
      <c r="HCX222" s="34"/>
      <c r="HCY222" s="34"/>
      <c r="HCZ222" s="35"/>
      <c r="HDA222" s="35"/>
      <c r="HDB222" s="35"/>
      <c r="HDC222" s="35"/>
      <c r="HDD222" s="35"/>
      <c r="HDE222" s="34"/>
      <c r="HDF222" s="34"/>
      <c r="HDG222" s="36"/>
      <c r="HDH222" s="36"/>
      <c r="HDI222" s="37"/>
      <c r="HDJ222" s="37"/>
      <c r="HDK222" s="38"/>
      <c r="HDL222" s="38"/>
      <c r="HDM222" s="39"/>
      <c r="HDN222" s="34"/>
      <c r="HDO222" s="34"/>
      <c r="HDP222" s="34"/>
      <c r="HDQ222" s="35"/>
      <c r="HDR222" s="35"/>
      <c r="HDS222" s="35"/>
      <c r="HDT222" s="35"/>
      <c r="HDU222" s="35"/>
      <c r="HDV222" s="34"/>
      <c r="HDW222" s="34"/>
      <c r="HDX222" s="36"/>
      <c r="HDY222" s="36"/>
      <c r="HDZ222" s="37"/>
      <c r="HEA222" s="37"/>
      <c r="HEB222" s="38"/>
      <c r="HEC222" s="38"/>
      <c r="HED222" s="39"/>
      <c r="HEE222" s="34"/>
      <c r="HEF222" s="34"/>
      <c r="HEG222" s="34"/>
      <c r="HEH222" s="35"/>
      <c r="HEI222" s="35"/>
      <c r="HEJ222" s="35"/>
      <c r="HEK222" s="35"/>
      <c r="HEL222" s="35"/>
      <c r="HEM222" s="34"/>
      <c r="HEN222" s="34"/>
      <c r="HEO222" s="36"/>
      <c r="HEP222" s="36"/>
      <c r="HEQ222" s="37"/>
      <c r="HER222" s="37"/>
      <c r="HES222" s="38"/>
      <c r="HET222" s="38"/>
      <c r="HEU222" s="39"/>
      <c r="HEV222" s="34"/>
      <c r="HEW222" s="34"/>
      <c r="HEX222" s="34"/>
      <c r="HEY222" s="35"/>
      <c r="HEZ222" s="35"/>
      <c r="HFA222" s="35"/>
      <c r="HFB222" s="35"/>
      <c r="HFC222" s="35"/>
      <c r="HFD222" s="34"/>
      <c r="HFE222" s="34"/>
      <c r="HFF222" s="36"/>
      <c r="HFG222" s="36"/>
      <c r="HFH222" s="37"/>
      <c r="HFI222" s="37"/>
      <c r="HFJ222" s="38"/>
      <c r="HFK222" s="38"/>
      <c r="HFL222" s="39"/>
      <c r="HFM222" s="34"/>
      <c r="HFN222" s="34"/>
      <c r="HFO222" s="34"/>
      <c r="HFP222" s="35"/>
      <c r="HFQ222" s="35"/>
      <c r="HFR222" s="35"/>
      <c r="HFS222" s="35"/>
      <c r="HFT222" s="35"/>
      <c r="HFU222" s="34"/>
      <c r="HFV222" s="34"/>
      <c r="HFW222" s="36"/>
      <c r="HFX222" s="36"/>
      <c r="HFY222" s="37"/>
      <c r="HFZ222" s="37"/>
      <c r="HGA222" s="38"/>
      <c r="HGB222" s="38"/>
      <c r="HGC222" s="39"/>
      <c r="HGD222" s="34"/>
      <c r="HGE222" s="34"/>
      <c r="HGF222" s="34"/>
      <c r="HGG222" s="35"/>
      <c r="HGH222" s="35"/>
      <c r="HGI222" s="35"/>
      <c r="HGJ222" s="35"/>
      <c r="HGK222" s="35"/>
      <c r="HGL222" s="34"/>
      <c r="HGM222" s="34"/>
      <c r="HGN222" s="36"/>
      <c r="HGO222" s="36"/>
      <c r="HGP222" s="37"/>
      <c r="HGQ222" s="37"/>
      <c r="HGR222" s="38"/>
      <c r="HGS222" s="38"/>
      <c r="HGT222" s="39"/>
      <c r="HGU222" s="34"/>
      <c r="HGV222" s="34"/>
      <c r="HGW222" s="34"/>
      <c r="HGX222" s="35"/>
      <c r="HGY222" s="35"/>
      <c r="HGZ222" s="35"/>
      <c r="HHA222" s="35"/>
      <c r="HHB222" s="35"/>
      <c r="HHC222" s="34"/>
      <c r="HHD222" s="34"/>
      <c r="HHE222" s="36"/>
      <c r="HHF222" s="36"/>
      <c r="HHG222" s="37"/>
      <c r="HHH222" s="37"/>
      <c r="HHI222" s="38"/>
      <c r="HHJ222" s="38"/>
      <c r="HHK222" s="39"/>
      <c r="HHL222" s="34"/>
      <c r="HHM222" s="34"/>
      <c r="HHN222" s="34"/>
      <c r="HHO222" s="35"/>
      <c r="HHP222" s="35"/>
      <c r="HHQ222" s="35"/>
      <c r="HHR222" s="35"/>
      <c r="HHS222" s="35"/>
      <c r="HHT222" s="34"/>
      <c r="HHU222" s="34"/>
      <c r="HHV222" s="36"/>
      <c r="HHW222" s="36"/>
      <c r="HHX222" s="37"/>
      <c r="HHY222" s="37"/>
      <c r="HHZ222" s="38"/>
      <c r="HIA222" s="38"/>
      <c r="HIB222" s="39"/>
      <c r="HIC222" s="34"/>
      <c r="HID222" s="34"/>
      <c r="HIE222" s="34"/>
      <c r="HIF222" s="35"/>
      <c r="HIG222" s="35"/>
      <c r="HIH222" s="35"/>
      <c r="HII222" s="35"/>
      <c r="HIJ222" s="35"/>
      <c r="HIK222" s="34"/>
      <c r="HIL222" s="34"/>
      <c r="HIM222" s="36"/>
      <c r="HIN222" s="36"/>
      <c r="HIO222" s="37"/>
      <c r="HIP222" s="37"/>
      <c r="HIQ222" s="38"/>
      <c r="HIR222" s="38"/>
      <c r="HIS222" s="39"/>
      <c r="HIT222" s="34"/>
      <c r="HIU222" s="34"/>
      <c r="HIV222" s="34"/>
      <c r="HIW222" s="35"/>
      <c r="HIX222" s="35"/>
      <c r="HIY222" s="35"/>
      <c r="HIZ222" s="35"/>
      <c r="HJA222" s="35"/>
      <c r="HJB222" s="34"/>
      <c r="HJC222" s="34"/>
      <c r="HJD222" s="36"/>
      <c r="HJE222" s="36"/>
      <c r="HJF222" s="37"/>
      <c r="HJG222" s="37"/>
      <c r="HJH222" s="38"/>
      <c r="HJI222" s="38"/>
      <c r="HJJ222" s="39"/>
      <c r="HJK222" s="34"/>
      <c r="HJL222" s="34"/>
      <c r="HJM222" s="34"/>
      <c r="HJN222" s="35"/>
      <c r="HJO222" s="35"/>
      <c r="HJP222" s="35"/>
      <c r="HJQ222" s="35"/>
      <c r="HJR222" s="35"/>
      <c r="HJS222" s="34"/>
      <c r="HJT222" s="34"/>
      <c r="HJU222" s="36"/>
      <c r="HJV222" s="36"/>
      <c r="HJW222" s="37"/>
      <c r="HJX222" s="37"/>
      <c r="HJY222" s="38"/>
      <c r="HJZ222" s="38"/>
      <c r="HKA222" s="39"/>
      <c r="HKB222" s="34"/>
      <c r="HKC222" s="34"/>
      <c r="HKD222" s="34"/>
      <c r="HKE222" s="35"/>
      <c r="HKF222" s="35"/>
      <c r="HKG222" s="35"/>
      <c r="HKH222" s="35"/>
      <c r="HKI222" s="35"/>
      <c r="HKJ222" s="34"/>
      <c r="HKK222" s="34"/>
      <c r="HKL222" s="36"/>
      <c r="HKM222" s="36"/>
      <c r="HKN222" s="37"/>
      <c r="HKO222" s="37"/>
      <c r="HKP222" s="38"/>
      <c r="HKQ222" s="38"/>
      <c r="HKR222" s="39"/>
      <c r="HKS222" s="34"/>
      <c r="HKT222" s="34"/>
      <c r="HKU222" s="34"/>
      <c r="HKV222" s="35"/>
      <c r="HKW222" s="35"/>
      <c r="HKX222" s="35"/>
      <c r="HKY222" s="35"/>
      <c r="HKZ222" s="35"/>
      <c r="HLA222" s="34"/>
      <c r="HLB222" s="34"/>
      <c r="HLC222" s="36"/>
      <c r="HLD222" s="36"/>
      <c r="HLE222" s="37"/>
      <c r="HLF222" s="37"/>
      <c r="HLG222" s="38"/>
      <c r="HLH222" s="38"/>
      <c r="HLI222" s="39"/>
      <c r="HLJ222" s="34"/>
      <c r="HLK222" s="34"/>
      <c r="HLL222" s="34"/>
      <c r="HLM222" s="35"/>
      <c r="HLN222" s="35"/>
      <c r="HLO222" s="35"/>
      <c r="HLP222" s="35"/>
      <c r="HLQ222" s="35"/>
      <c r="HLR222" s="34"/>
      <c r="HLS222" s="34"/>
      <c r="HLT222" s="36"/>
      <c r="HLU222" s="36"/>
      <c r="HLV222" s="37"/>
      <c r="HLW222" s="37"/>
      <c r="HLX222" s="38"/>
      <c r="HLY222" s="38"/>
      <c r="HLZ222" s="39"/>
      <c r="HMA222" s="34"/>
      <c r="HMB222" s="34"/>
      <c r="HMC222" s="34"/>
      <c r="HMD222" s="35"/>
      <c r="HME222" s="35"/>
      <c r="HMF222" s="35"/>
      <c r="HMG222" s="35"/>
      <c r="HMH222" s="35"/>
      <c r="HMI222" s="34"/>
      <c r="HMJ222" s="34"/>
      <c r="HMK222" s="36"/>
      <c r="HML222" s="36"/>
      <c r="HMM222" s="37"/>
      <c r="HMN222" s="37"/>
      <c r="HMO222" s="38"/>
      <c r="HMP222" s="38"/>
      <c r="HMQ222" s="39"/>
      <c r="HMR222" s="34"/>
      <c r="HMS222" s="34"/>
      <c r="HMT222" s="34"/>
      <c r="HMU222" s="35"/>
      <c r="HMV222" s="35"/>
      <c r="HMW222" s="35"/>
      <c r="HMX222" s="35"/>
      <c r="HMY222" s="35"/>
      <c r="HMZ222" s="34"/>
      <c r="HNA222" s="34"/>
      <c r="HNB222" s="36"/>
      <c r="HNC222" s="36"/>
      <c r="HND222" s="37"/>
      <c r="HNE222" s="37"/>
      <c r="HNF222" s="38"/>
      <c r="HNG222" s="38"/>
      <c r="HNH222" s="39"/>
      <c r="HNI222" s="34"/>
      <c r="HNJ222" s="34"/>
      <c r="HNK222" s="34"/>
      <c r="HNL222" s="35"/>
      <c r="HNM222" s="35"/>
      <c r="HNN222" s="35"/>
      <c r="HNO222" s="35"/>
      <c r="HNP222" s="35"/>
      <c r="HNQ222" s="34"/>
      <c r="HNR222" s="34"/>
      <c r="HNS222" s="36"/>
      <c r="HNT222" s="36"/>
      <c r="HNU222" s="37"/>
      <c r="HNV222" s="37"/>
      <c r="HNW222" s="38"/>
      <c r="HNX222" s="38"/>
      <c r="HNY222" s="39"/>
      <c r="HNZ222" s="34"/>
      <c r="HOA222" s="34"/>
      <c r="HOB222" s="34"/>
      <c r="HOC222" s="35"/>
      <c r="HOD222" s="35"/>
      <c r="HOE222" s="35"/>
      <c r="HOF222" s="35"/>
      <c r="HOG222" s="35"/>
      <c r="HOH222" s="34"/>
      <c r="HOI222" s="34"/>
      <c r="HOJ222" s="36"/>
      <c r="HOK222" s="36"/>
      <c r="HOL222" s="37"/>
      <c r="HOM222" s="37"/>
      <c r="HON222" s="38"/>
      <c r="HOO222" s="38"/>
      <c r="HOP222" s="39"/>
      <c r="HOQ222" s="34"/>
      <c r="HOR222" s="34"/>
      <c r="HOS222" s="34"/>
      <c r="HOT222" s="35"/>
      <c r="HOU222" s="35"/>
      <c r="HOV222" s="35"/>
      <c r="HOW222" s="35"/>
      <c r="HOX222" s="35"/>
      <c r="HOY222" s="34"/>
      <c r="HOZ222" s="34"/>
      <c r="HPA222" s="36"/>
      <c r="HPB222" s="36"/>
      <c r="HPC222" s="37"/>
      <c r="HPD222" s="37"/>
      <c r="HPE222" s="38"/>
      <c r="HPF222" s="38"/>
      <c r="HPG222" s="39"/>
      <c r="HPH222" s="34"/>
      <c r="HPI222" s="34"/>
      <c r="HPJ222" s="34"/>
      <c r="HPK222" s="35"/>
      <c r="HPL222" s="35"/>
      <c r="HPM222" s="35"/>
      <c r="HPN222" s="35"/>
      <c r="HPO222" s="35"/>
      <c r="HPP222" s="34"/>
      <c r="HPQ222" s="34"/>
      <c r="HPR222" s="36"/>
      <c r="HPS222" s="36"/>
      <c r="HPT222" s="37"/>
      <c r="HPU222" s="37"/>
      <c r="HPV222" s="38"/>
      <c r="HPW222" s="38"/>
      <c r="HPX222" s="39"/>
      <c r="HPY222" s="34"/>
      <c r="HPZ222" s="34"/>
      <c r="HQA222" s="34"/>
      <c r="HQB222" s="35"/>
      <c r="HQC222" s="35"/>
      <c r="HQD222" s="35"/>
      <c r="HQE222" s="35"/>
      <c r="HQF222" s="35"/>
      <c r="HQG222" s="34"/>
      <c r="HQH222" s="34"/>
      <c r="HQI222" s="36"/>
      <c r="HQJ222" s="36"/>
      <c r="HQK222" s="37"/>
      <c r="HQL222" s="37"/>
      <c r="HQM222" s="38"/>
      <c r="HQN222" s="38"/>
      <c r="HQO222" s="39"/>
      <c r="HQP222" s="34"/>
      <c r="HQQ222" s="34"/>
      <c r="HQR222" s="34"/>
      <c r="HQS222" s="35"/>
      <c r="HQT222" s="35"/>
      <c r="HQU222" s="35"/>
      <c r="HQV222" s="35"/>
      <c r="HQW222" s="35"/>
      <c r="HQX222" s="34"/>
      <c r="HQY222" s="34"/>
      <c r="HQZ222" s="36"/>
      <c r="HRA222" s="36"/>
      <c r="HRB222" s="37"/>
      <c r="HRC222" s="37"/>
      <c r="HRD222" s="38"/>
      <c r="HRE222" s="38"/>
      <c r="HRF222" s="39"/>
      <c r="HRG222" s="34"/>
      <c r="HRH222" s="34"/>
      <c r="HRI222" s="34"/>
      <c r="HRJ222" s="35"/>
      <c r="HRK222" s="35"/>
      <c r="HRL222" s="35"/>
      <c r="HRM222" s="35"/>
      <c r="HRN222" s="35"/>
      <c r="HRO222" s="34"/>
      <c r="HRP222" s="34"/>
      <c r="HRQ222" s="36"/>
      <c r="HRR222" s="36"/>
      <c r="HRS222" s="37"/>
      <c r="HRT222" s="37"/>
      <c r="HRU222" s="38"/>
      <c r="HRV222" s="38"/>
      <c r="HRW222" s="39"/>
      <c r="HRX222" s="34"/>
      <c r="HRY222" s="34"/>
      <c r="HRZ222" s="34"/>
      <c r="HSA222" s="35"/>
      <c r="HSB222" s="35"/>
      <c r="HSC222" s="35"/>
      <c r="HSD222" s="35"/>
      <c r="HSE222" s="35"/>
      <c r="HSF222" s="34"/>
      <c r="HSG222" s="34"/>
      <c r="HSH222" s="36"/>
      <c r="HSI222" s="36"/>
      <c r="HSJ222" s="37"/>
      <c r="HSK222" s="37"/>
      <c r="HSL222" s="38"/>
      <c r="HSM222" s="38"/>
      <c r="HSN222" s="39"/>
      <c r="HSO222" s="34"/>
      <c r="HSP222" s="34"/>
      <c r="HSQ222" s="34"/>
      <c r="HSR222" s="35"/>
      <c r="HSS222" s="35"/>
      <c r="HST222" s="35"/>
      <c r="HSU222" s="35"/>
      <c r="HSV222" s="35"/>
      <c r="HSW222" s="34"/>
      <c r="HSX222" s="34"/>
      <c r="HSY222" s="36"/>
      <c r="HSZ222" s="36"/>
      <c r="HTA222" s="37"/>
      <c r="HTB222" s="37"/>
      <c r="HTC222" s="38"/>
      <c r="HTD222" s="38"/>
      <c r="HTE222" s="39"/>
      <c r="HTF222" s="34"/>
      <c r="HTG222" s="34"/>
      <c r="HTH222" s="34"/>
      <c r="HTI222" s="35"/>
      <c r="HTJ222" s="35"/>
      <c r="HTK222" s="35"/>
      <c r="HTL222" s="35"/>
      <c r="HTM222" s="35"/>
      <c r="HTN222" s="34"/>
      <c r="HTO222" s="34"/>
      <c r="HTP222" s="36"/>
      <c r="HTQ222" s="36"/>
      <c r="HTR222" s="37"/>
      <c r="HTS222" s="37"/>
      <c r="HTT222" s="38"/>
      <c r="HTU222" s="38"/>
      <c r="HTV222" s="39"/>
      <c r="HTW222" s="34"/>
      <c r="HTX222" s="34"/>
      <c r="HTY222" s="34"/>
      <c r="HTZ222" s="35"/>
      <c r="HUA222" s="35"/>
      <c r="HUB222" s="35"/>
      <c r="HUC222" s="35"/>
      <c r="HUD222" s="35"/>
      <c r="HUE222" s="34"/>
      <c r="HUF222" s="34"/>
      <c r="HUG222" s="36"/>
      <c r="HUH222" s="36"/>
      <c r="HUI222" s="37"/>
      <c r="HUJ222" s="37"/>
      <c r="HUK222" s="38"/>
      <c r="HUL222" s="38"/>
      <c r="HUM222" s="39"/>
      <c r="HUN222" s="34"/>
      <c r="HUO222" s="34"/>
      <c r="HUP222" s="34"/>
      <c r="HUQ222" s="35"/>
      <c r="HUR222" s="35"/>
      <c r="HUS222" s="35"/>
      <c r="HUT222" s="35"/>
      <c r="HUU222" s="35"/>
      <c r="HUV222" s="34"/>
      <c r="HUW222" s="34"/>
      <c r="HUX222" s="36"/>
      <c r="HUY222" s="36"/>
      <c r="HUZ222" s="37"/>
      <c r="HVA222" s="37"/>
      <c r="HVB222" s="38"/>
      <c r="HVC222" s="38"/>
      <c r="HVD222" s="39"/>
      <c r="HVE222" s="34"/>
      <c r="HVF222" s="34"/>
      <c r="HVG222" s="34"/>
      <c r="HVH222" s="35"/>
      <c r="HVI222" s="35"/>
      <c r="HVJ222" s="35"/>
      <c r="HVK222" s="35"/>
      <c r="HVL222" s="35"/>
      <c r="HVM222" s="34"/>
      <c r="HVN222" s="34"/>
      <c r="HVO222" s="36"/>
      <c r="HVP222" s="36"/>
      <c r="HVQ222" s="37"/>
      <c r="HVR222" s="37"/>
      <c r="HVS222" s="38"/>
      <c r="HVT222" s="38"/>
      <c r="HVU222" s="39"/>
      <c r="HVV222" s="34"/>
      <c r="HVW222" s="34"/>
      <c r="HVX222" s="34"/>
      <c r="HVY222" s="35"/>
      <c r="HVZ222" s="35"/>
      <c r="HWA222" s="35"/>
      <c r="HWB222" s="35"/>
      <c r="HWC222" s="35"/>
      <c r="HWD222" s="34"/>
      <c r="HWE222" s="34"/>
      <c r="HWF222" s="36"/>
      <c r="HWG222" s="36"/>
      <c r="HWH222" s="37"/>
      <c r="HWI222" s="37"/>
      <c r="HWJ222" s="38"/>
      <c r="HWK222" s="38"/>
      <c r="HWL222" s="39"/>
      <c r="HWM222" s="34"/>
      <c r="HWN222" s="34"/>
      <c r="HWO222" s="34"/>
      <c r="HWP222" s="35"/>
      <c r="HWQ222" s="35"/>
      <c r="HWR222" s="35"/>
      <c r="HWS222" s="35"/>
      <c r="HWT222" s="35"/>
      <c r="HWU222" s="34"/>
      <c r="HWV222" s="34"/>
      <c r="HWW222" s="36"/>
      <c r="HWX222" s="36"/>
      <c r="HWY222" s="37"/>
      <c r="HWZ222" s="37"/>
      <c r="HXA222" s="38"/>
      <c r="HXB222" s="38"/>
      <c r="HXC222" s="39"/>
      <c r="HXD222" s="34"/>
      <c r="HXE222" s="34"/>
      <c r="HXF222" s="34"/>
      <c r="HXG222" s="35"/>
      <c r="HXH222" s="35"/>
      <c r="HXI222" s="35"/>
      <c r="HXJ222" s="35"/>
      <c r="HXK222" s="35"/>
      <c r="HXL222" s="34"/>
      <c r="HXM222" s="34"/>
      <c r="HXN222" s="36"/>
      <c r="HXO222" s="36"/>
      <c r="HXP222" s="37"/>
      <c r="HXQ222" s="37"/>
      <c r="HXR222" s="38"/>
      <c r="HXS222" s="38"/>
      <c r="HXT222" s="39"/>
      <c r="HXU222" s="34"/>
      <c r="HXV222" s="34"/>
      <c r="HXW222" s="34"/>
      <c r="HXX222" s="35"/>
      <c r="HXY222" s="35"/>
      <c r="HXZ222" s="35"/>
      <c r="HYA222" s="35"/>
      <c r="HYB222" s="35"/>
      <c r="HYC222" s="34"/>
      <c r="HYD222" s="34"/>
      <c r="HYE222" s="36"/>
      <c r="HYF222" s="36"/>
      <c r="HYG222" s="37"/>
      <c r="HYH222" s="37"/>
      <c r="HYI222" s="38"/>
      <c r="HYJ222" s="38"/>
      <c r="HYK222" s="39"/>
      <c r="HYL222" s="34"/>
      <c r="HYM222" s="34"/>
      <c r="HYN222" s="34"/>
      <c r="HYO222" s="35"/>
      <c r="HYP222" s="35"/>
      <c r="HYQ222" s="35"/>
      <c r="HYR222" s="35"/>
      <c r="HYS222" s="35"/>
      <c r="HYT222" s="34"/>
      <c r="HYU222" s="34"/>
      <c r="HYV222" s="36"/>
      <c r="HYW222" s="36"/>
      <c r="HYX222" s="37"/>
      <c r="HYY222" s="37"/>
      <c r="HYZ222" s="38"/>
      <c r="HZA222" s="38"/>
      <c r="HZB222" s="39"/>
      <c r="HZC222" s="34"/>
      <c r="HZD222" s="34"/>
      <c r="HZE222" s="34"/>
      <c r="HZF222" s="35"/>
      <c r="HZG222" s="35"/>
      <c r="HZH222" s="35"/>
      <c r="HZI222" s="35"/>
      <c r="HZJ222" s="35"/>
      <c r="HZK222" s="34"/>
      <c r="HZL222" s="34"/>
      <c r="HZM222" s="36"/>
      <c r="HZN222" s="36"/>
      <c r="HZO222" s="37"/>
      <c r="HZP222" s="37"/>
      <c r="HZQ222" s="38"/>
      <c r="HZR222" s="38"/>
      <c r="HZS222" s="39"/>
      <c r="HZT222" s="34"/>
      <c r="HZU222" s="34"/>
      <c r="HZV222" s="34"/>
      <c r="HZW222" s="35"/>
      <c r="HZX222" s="35"/>
      <c r="HZY222" s="35"/>
      <c r="HZZ222" s="35"/>
      <c r="IAA222" s="35"/>
      <c r="IAB222" s="34"/>
      <c r="IAC222" s="34"/>
      <c r="IAD222" s="36"/>
      <c r="IAE222" s="36"/>
      <c r="IAF222" s="37"/>
      <c r="IAG222" s="37"/>
      <c r="IAH222" s="38"/>
      <c r="IAI222" s="38"/>
      <c r="IAJ222" s="39"/>
      <c r="IAK222" s="34"/>
      <c r="IAL222" s="34"/>
      <c r="IAM222" s="34"/>
      <c r="IAN222" s="35"/>
      <c r="IAO222" s="35"/>
      <c r="IAP222" s="35"/>
      <c r="IAQ222" s="35"/>
      <c r="IAR222" s="35"/>
      <c r="IAS222" s="34"/>
      <c r="IAT222" s="34"/>
      <c r="IAU222" s="36"/>
      <c r="IAV222" s="36"/>
      <c r="IAW222" s="37"/>
      <c r="IAX222" s="37"/>
      <c r="IAY222" s="38"/>
      <c r="IAZ222" s="38"/>
      <c r="IBA222" s="39"/>
      <c r="IBB222" s="34"/>
      <c r="IBC222" s="34"/>
      <c r="IBD222" s="34"/>
      <c r="IBE222" s="35"/>
      <c r="IBF222" s="35"/>
      <c r="IBG222" s="35"/>
      <c r="IBH222" s="35"/>
      <c r="IBI222" s="35"/>
      <c r="IBJ222" s="34"/>
      <c r="IBK222" s="34"/>
      <c r="IBL222" s="36"/>
      <c r="IBM222" s="36"/>
      <c r="IBN222" s="37"/>
      <c r="IBO222" s="37"/>
      <c r="IBP222" s="38"/>
      <c r="IBQ222" s="38"/>
      <c r="IBR222" s="39"/>
      <c r="IBS222" s="34"/>
      <c r="IBT222" s="34"/>
      <c r="IBU222" s="34"/>
      <c r="IBV222" s="35"/>
      <c r="IBW222" s="35"/>
      <c r="IBX222" s="35"/>
      <c r="IBY222" s="35"/>
      <c r="IBZ222" s="35"/>
      <c r="ICA222" s="34"/>
      <c r="ICB222" s="34"/>
      <c r="ICC222" s="36"/>
      <c r="ICD222" s="36"/>
      <c r="ICE222" s="37"/>
      <c r="ICF222" s="37"/>
      <c r="ICG222" s="38"/>
      <c r="ICH222" s="38"/>
      <c r="ICI222" s="39"/>
      <c r="ICJ222" s="34"/>
      <c r="ICK222" s="34"/>
      <c r="ICL222" s="34"/>
      <c r="ICM222" s="35"/>
      <c r="ICN222" s="35"/>
      <c r="ICO222" s="35"/>
      <c r="ICP222" s="35"/>
      <c r="ICQ222" s="35"/>
      <c r="ICR222" s="34"/>
      <c r="ICS222" s="34"/>
      <c r="ICT222" s="36"/>
      <c r="ICU222" s="36"/>
      <c r="ICV222" s="37"/>
      <c r="ICW222" s="37"/>
      <c r="ICX222" s="38"/>
      <c r="ICY222" s="38"/>
      <c r="ICZ222" s="39"/>
      <c r="IDA222" s="34"/>
      <c r="IDB222" s="34"/>
      <c r="IDC222" s="34"/>
      <c r="IDD222" s="35"/>
      <c r="IDE222" s="35"/>
      <c r="IDF222" s="35"/>
      <c r="IDG222" s="35"/>
      <c r="IDH222" s="35"/>
      <c r="IDI222" s="34"/>
      <c r="IDJ222" s="34"/>
      <c r="IDK222" s="36"/>
      <c r="IDL222" s="36"/>
      <c r="IDM222" s="37"/>
      <c r="IDN222" s="37"/>
      <c r="IDO222" s="38"/>
      <c r="IDP222" s="38"/>
      <c r="IDQ222" s="39"/>
      <c r="IDR222" s="34"/>
      <c r="IDS222" s="34"/>
      <c r="IDT222" s="34"/>
      <c r="IDU222" s="35"/>
      <c r="IDV222" s="35"/>
      <c r="IDW222" s="35"/>
      <c r="IDX222" s="35"/>
      <c r="IDY222" s="35"/>
      <c r="IDZ222" s="34"/>
      <c r="IEA222" s="34"/>
      <c r="IEB222" s="36"/>
      <c r="IEC222" s="36"/>
      <c r="IED222" s="37"/>
      <c r="IEE222" s="37"/>
      <c r="IEF222" s="38"/>
      <c r="IEG222" s="38"/>
      <c r="IEH222" s="39"/>
      <c r="IEI222" s="34"/>
      <c r="IEJ222" s="34"/>
      <c r="IEK222" s="34"/>
      <c r="IEL222" s="35"/>
      <c r="IEM222" s="35"/>
      <c r="IEN222" s="35"/>
      <c r="IEO222" s="35"/>
      <c r="IEP222" s="35"/>
      <c r="IEQ222" s="34"/>
      <c r="IER222" s="34"/>
      <c r="IES222" s="36"/>
      <c r="IET222" s="36"/>
      <c r="IEU222" s="37"/>
      <c r="IEV222" s="37"/>
      <c r="IEW222" s="38"/>
      <c r="IEX222" s="38"/>
      <c r="IEY222" s="39"/>
      <c r="IEZ222" s="34"/>
      <c r="IFA222" s="34"/>
      <c r="IFB222" s="34"/>
      <c r="IFC222" s="35"/>
      <c r="IFD222" s="35"/>
      <c r="IFE222" s="35"/>
      <c r="IFF222" s="35"/>
      <c r="IFG222" s="35"/>
      <c r="IFH222" s="34"/>
      <c r="IFI222" s="34"/>
      <c r="IFJ222" s="36"/>
      <c r="IFK222" s="36"/>
      <c r="IFL222" s="37"/>
      <c r="IFM222" s="37"/>
      <c r="IFN222" s="38"/>
      <c r="IFO222" s="38"/>
      <c r="IFP222" s="39"/>
      <c r="IFQ222" s="34"/>
      <c r="IFR222" s="34"/>
      <c r="IFS222" s="34"/>
      <c r="IFT222" s="35"/>
      <c r="IFU222" s="35"/>
      <c r="IFV222" s="35"/>
      <c r="IFW222" s="35"/>
      <c r="IFX222" s="35"/>
      <c r="IFY222" s="34"/>
      <c r="IFZ222" s="34"/>
      <c r="IGA222" s="36"/>
      <c r="IGB222" s="36"/>
      <c r="IGC222" s="37"/>
      <c r="IGD222" s="37"/>
      <c r="IGE222" s="38"/>
      <c r="IGF222" s="38"/>
      <c r="IGG222" s="39"/>
      <c r="IGH222" s="34"/>
      <c r="IGI222" s="34"/>
      <c r="IGJ222" s="34"/>
      <c r="IGK222" s="35"/>
      <c r="IGL222" s="35"/>
      <c r="IGM222" s="35"/>
      <c r="IGN222" s="35"/>
      <c r="IGO222" s="35"/>
      <c r="IGP222" s="34"/>
      <c r="IGQ222" s="34"/>
      <c r="IGR222" s="36"/>
      <c r="IGS222" s="36"/>
      <c r="IGT222" s="37"/>
      <c r="IGU222" s="37"/>
      <c r="IGV222" s="38"/>
      <c r="IGW222" s="38"/>
      <c r="IGX222" s="39"/>
      <c r="IGY222" s="34"/>
      <c r="IGZ222" s="34"/>
      <c r="IHA222" s="34"/>
      <c r="IHB222" s="35"/>
      <c r="IHC222" s="35"/>
      <c r="IHD222" s="35"/>
      <c r="IHE222" s="35"/>
      <c r="IHF222" s="35"/>
      <c r="IHG222" s="34"/>
      <c r="IHH222" s="34"/>
      <c r="IHI222" s="36"/>
      <c r="IHJ222" s="36"/>
      <c r="IHK222" s="37"/>
      <c r="IHL222" s="37"/>
      <c r="IHM222" s="38"/>
      <c r="IHN222" s="38"/>
      <c r="IHO222" s="39"/>
      <c r="IHP222" s="34"/>
      <c r="IHQ222" s="34"/>
      <c r="IHR222" s="34"/>
      <c r="IHS222" s="35"/>
      <c r="IHT222" s="35"/>
      <c r="IHU222" s="35"/>
      <c r="IHV222" s="35"/>
      <c r="IHW222" s="35"/>
      <c r="IHX222" s="34"/>
      <c r="IHY222" s="34"/>
      <c r="IHZ222" s="36"/>
      <c r="IIA222" s="36"/>
      <c r="IIB222" s="37"/>
      <c r="IIC222" s="37"/>
      <c r="IID222" s="38"/>
      <c r="IIE222" s="38"/>
      <c r="IIF222" s="39"/>
      <c r="IIG222" s="34"/>
      <c r="IIH222" s="34"/>
      <c r="III222" s="34"/>
      <c r="IIJ222" s="35"/>
      <c r="IIK222" s="35"/>
      <c r="IIL222" s="35"/>
      <c r="IIM222" s="35"/>
      <c r="IIN222" s="35"/>
      <c r="IIO222" s="34"/>
      <c r="IIP222" s="34"/>
      <c r="IIQ222" s="36"/>
      <c r="IIR222" s="36"/>
      <c r="IIS222" s="37"/>
      <c r="IIT222" s="37"/>
      <c r="IIU222" s="38"/>
      <c r="IIV222" s="38"/>
      <c r="IIW222" s="39"/>
      <c r="IIX222" s="34"/>
      <c r="IIY222" s="34"/>
      <c r="IIZ222" s="34"/>
      <c r="IJA222" s="35"/>
      <c r="IJB222" s="35"/>
      <c r="IJC222" s="35"/>
      <c r="IJD222" s="35"/>
      <c r="IJE222" s="35"/>
      <c r="IJF222" s="34"/>
      <c r="IJG222" s="34"/>
      <c r="IJH222" s="36"/>
      <c r="IJI222" s="36"/>
      <c r="IJJ222" s="37"/>
      <c r="IJK222" s="37"/>
      <c r="IJL222" s="38"/>
      <c r="IJM222" s="38"/>
      <c r="IJN222" s="39"/>
      <c r="IJO222" s="34"/>
      <c r="IJP222" s="34"/>
      <c r="IJQ222" s="34"/>
      <c r="IJR222" s="35"/>
      <c r="IJS222" s="35"/>
      <c r="IJT222" s="35"/>
      <c r="IJU222" s="35"/>
      <c r="IJV222" s="35"/>
      <c r="IJW222" s="34"/>
      <c r="IJX222" s="34"/>
      <c r="IJY222" s="36"/>
      <c r="IJZ222" s="36"/>
      <c r="IKA222" s="37"/>
      <c r="IKB222" s="37"/>
      <c r="IKC222" s="38"/>
      <c r="IKD222" s="38"/>
      <c r="IKE222" s="39"/>
      <c r="IKF222" s="34"/>
      <c r="IKG222" s="34"/>
      <c r="IKH222" s="34"/>
      <c r="IKI222" s="35"/>
      <c r="IKJ222" s="35"/>
      <c r="IKK222" s="35"/>
      <c r="IKL222" s="35"/>
      <c r="IKM222" s="35"/>
      <c r="IKN222" s="34"/>
      <c r="IKO222" s="34"/>
      <c r="IKP222" s="36"/>
      <c r="IKQ222" s="36"/>
      <c r="IKR222" s="37"/>
      <c r="IKS222" s="37"/>
      <c r="IKT222" s="38"/>
      <c r="IKU222" s="38"/>
      <c r="IKV222" s="39"/>
      <c r="IKW222" s="34"/>
      <c r="IKX222" s="34"/>
      <c r="IKY222" s="34"/>
      <c r="IKZ222" s="35"/>
      <c r="ILA222" s="35"/>
      <c r="ILB222" s="35"/>
      <c r="ILC222" s="35"/>
      <c r="ILD222" s="35"/>
      <c r="ILE222" s="34"/>
      <c r="ILF222" s="34"/>
      <c r="ILG222" s="36"/>
      <c r="ILH222" s="36"/>
      <c r="ILI222" s="37"/>
      <c r="ILJ222" s="37"/>
      <c r="ILK222" s="38"/>
      <c r="ILL222" s="38"/>
      <c r="ILM222" s="39"/>
      <c r="ILN222" s="34"/>
      <c r="ILO222" s="34"/>
      <c r="ILP222" s="34"/>
      <c r="ILQ222" s="35"/>
      <c r="ILR222" s="35"/>
      <c r="ILS222" s="35"/>
      <c r="ILT222" s="35"/>
      <c r="ILU222" s="35"/>
      <c r="ILV222" s="34"/>
      <c r="ILW222" s="34"/>
      <c r="ILX222" s="36"/>
      <c r="ILY222" s="36"/>
      <c r="ILZ222" s="37"/>
      <c r="IMA222" s="37"/>
      <c r="IMB222" s="38"/>
      <c r="IMC222" s="38"/>
      <c r="IMD222" s="39"/>
      <c r="IME222" s="34"/>
      <c r="IMF222" s="34"/>
      <c r="IMG222" s="34"/>
      <c r="IMH222" s="35"/>
      <c r="IMI222" s="35"/>
      <c r="IMJ222" s="35"/>
      <c r="IMK222" s="35"/>
      <c r="IML222" s="35"/>
      <c r="IMM222" s="34"/>
      <c r="IMN222" s="34"/>
      <c r="IMO222" s="36"/>
      <c r="IMP222" s="36"/>
      <c r="IMQ222" s="37"/>
      <c r="IMR222" s="37"/>
      <c r="IMS222" s="38"/>
      <c r="IMT222" s="38"/>
      <c r="IMU222" s="39"/>
      <c r="IMV222" s="34"/>
      <c r="IMW222" s="34"/>
      <c r="IMX222" s="34"/>
      <c r="IMY222" s="35"/>
      <c r="IMZ222" s="35"/>
      <c r="INA222" s="35"/>
      <c r="INB222" s="35"/>
      <c r="INC222" s="35"/>
      <c r="IND222" s="34"/>
      <c r="INE222" s="34"/>
      <c r="INF222" s="36"/>
      <c r="ING222" s="36"/>
      <c r="INH222" s="37"/>
      <c r="INI222" s="37"/>
      <c r="INJ222" s="38"/>
      <c r="INK222" s="38"/>
      <c r="INL222" s="39"/>
      <c r="INM222" s="34"/>
      <c r="INN222" s="34"/>
      <c r="INO222" s="34"/>
      <c r="INP222" s="35"/>
      <c r="INQ222" s="35"/>
      <c r="INR222" s="35"/>
      <c r="INS222" s="35"/>
      <c r="INT222" s="35"/>
      <c r="INU222" s="34"/>
      <c r="INV222" s="34"/>
      <c r="INW222" s="36"/>
      <c r="INX222" s="36"/>
      <c r="INY222" s="37"/>
      <c r="INZ222" s="37"/>
      <c r="IOA222" s="38"/>
      <c r="IOB222" s="38"/>
      <c r="IOC222" s="39"/>
      <c r="IOD222" s="34"/>
      <c r="IOE222" s="34"/>
      <c r="IOF222" s="34"/>
      <c r="IOG222" s="35"/>
      <c r="IOH222" s="35"/>
      <c r="IOI222" s="35"/>
      <c r="IOJ222" s="35"/>
      <c r="IOK222" s="35"/>
      <c r="IOL222" s="34"/>
      <c r="IOM222" s="34"/>
      <c r="ION222" s="36"/>
      <c r="IOO222" s="36"/>
      <c r="IOP222" s="37"/>
      <c r="IOQ222" s="37"/>
      <c r="IOR222" s="38"/>
      <c r="IOS222" s="38"/>
      <c r="IOT222" s="39"/>
      <c r="IOU222" s="34"/>
      <c r="IOV222" s="34"/>
      <c r="IOW222" s="34"/>
      <c r="IOX222" s="35"/>
      <c r="IOY222" s="35"/>
      <c r="IOZ222" s="35"/>
      <c r="IPA222" s="35"/>
      <c r="IPB222" s="35"/>
      <c r="IPC222" s="34"/>
      <c r="IPD222" s="34"/>
      <c r="IPE222" s="36"/>
      <c r="IPF222" s="36"/>
      <c r="IPG222" s="37"/>
      <c r="IPH222" s="37"/>
      <c r="IPI222" s="38"/>
      <c r="IPJ222" s="38"/>
      <c r="IPK222" s="39"/>
      <c r="IPL222" s="34"/>
      <c r="IPM222" s="34"/>
      <c r="IPN222" s="34"/>
      <c r="IPO222" s="35"/>
      <c r="IPP222" s="35"/>
      <c r="IPQ222" s="35"/>
      <c r="IPR222" s="35"/>
      <c r="IPS222" s="35"/>
      <c r="IPT222" s="34"/>
      <c r="IPU222" s="34"/>
      <c r="IPV222" s="36"/>
      <c r="IPW222" s="36"/>
      <c r="IPX222" s="37"/>
      <c r="IPY222" s="37"/>
      <c r="IPZ222" s="38"/>
      <c r="IQA222" s="38"/>
      <c r="IQB222" s="39"/>
      <c r="IQC222" s="34"/>
      <c r="IQD222" s="34"/>
      <c r="IQE222" s="34"/>
      <c r="IQF222" s="35"/>
      <c r="IQG222" s="35"/>
      <c r="IQH222" s="35"/>
      <c r="IQI222" s="35"/>
      <c r="IQJ222" s="35"/>
      <c r="IQK222" s="34"/>
      <c r="IQL222" s="34"/>
      <c r="IQM222" s="36"/>
      <c r="IQN222" s="36"/>
      <c r="IQO222" s="37"/>
      <c r="IQP222" s="37"/>
      <c r="IQQ222" s="38"/>
      <c r="IQR222" s="38"/>
      <c r="IQS222" s="39"/>
      <c r="IQT222" s="34"/>
      <c r="IQU222" s="34"/>
      <c r="IQV222" s="34"/>
      <c r="IQW222" s="35"/>
      <c r="IQX222" s="35"/>
      <c r="IQY222" s="35"/>
      <c r="IQZ222" s="35"/>
      <c r="IRA222" s="35"/>
      <c r="IRB222" s="34"/>
      <c r="IRC222" s="34"/>
      <c r="IRD222" s="36"/>
      <c r="IRE222" s="36"/>
      <c r="IRF222" s="37"/>
      <c r="IRG222" s="37"/>
      <c r="IRH222" s="38"/>
      <c r="IRI222" s="38"/>
      <c r="IRJ222" s="39"/>
      <c r="IRK222" s="34"/>
      <c r="IRL222" s="34"/>
      <c r="IRM222" s="34"/>
      <c r="IRN222" s="35"/>
      <c r="IRO222" s="35"/>
      <c r="IRP222" s="35"/>
      <c r="IRQ222" s="35"/>
      <c r="IRR222" s="35"/>
      <c r="IRS222" s="34"/>
      <c r="IRT222" s="34"/>
      <c r="IRU222" s="36"/>
      <c r="IRV222" s="36"/>
      <c r="IRW222" s="37"/>
      <c r="IRX222" s="37"/>
      <c r="IRY222" s="38"/>
      <c r="IRZ222" s="38"/>
      <c r="ISA222" s="39"/>
      <c r="ISB222" s="34"/>
      <c r="ISC222" s="34"/>
      <c r="ISD222" s="34"/>
      <c r="ISE222" s="35"/>
      <c r="ISF222" s="35"/>
      <c r="ISG222" s="35"/>
      <c r="ISH222" s="35"/>
      <c r="ISI222" s="35"/>
      <c r="ISJ222" s="34"/>
      <c r="ISK222" s="34"/>
      <c r="ISL222" s="36"/>
      <c r="ISM222" s="36"/>
      <c r="ISN222" s="37"/>
      <c r="ISO222" s="37"/>
      <c r="ISP222" s="38"/>
      <c r="ISQ222" s="38"/>
      <c r="ISR222" s="39"/>
      <c r="ISS222" s="34"/>
      <c r="IST222" s="34"/>
      <c r="ISU222" s="34"/>
      <c r="ISV222" s="35"/>
      <c r="ISW222" s="35"/>
      <c r="ISX222" s="35"/>
      <c r="ISY222" s="35"/>
      <c r="ISZ222" s="35"/>
      <c r="ITA222" s="34"/>
      <c r="ITB222" s="34"/>
      <c r="ITC222" s="36"/>
      <c r="ITD222" s="36"/>
      <c r="ITE222" s="37"/>
      <c r="ITF222" s="37"/>
      <c r="ITG222" s="38"/>
      <c r="ITH222" s="38"/>
      <c r="ITI222" s="39"/>
      <c r="ITJ222" s="34"/>
      <c r="ITK222" s="34"/>
      <c r="ITL222" s="34"/>
      <c r="ITM222" s="35"/>
      <c r="ITN222" s="35"/>
      <c r="ITO222" s="35"/>
      <c r="ITP222" s="35"/>
      <c r="ITQ222" s="35"/>
      <c r="ITR222" s="34"/>
      <c r="ITS222" s="34"/>
      <c r="ITT222" s="36"/>
      <c r="ITU222" s="36"/>
      <c r="ITV222" s="37"/>
      <c r="ITW222" s="37"/>
      <c r="ITX222" s="38"/>
      <c r="ITY222" s="38"/>
      <c r="ITZ222" s="39"/>
      <c r="IUA222" s="34"/>
      <c r="IUB222" s="34"/>
      <c r="IUC222" s="34"/>
      <c r="IUD222" s="35"/>
      <c r="IUE222" s="35"/>
      <c r="IUF222" s="35"/>
      <c r="IUG222" s="35"/>
      <c r="IUH222" s="35"/>
      <c r="IUI222" s="34"/>
      <c r="IUJ222" s="34"/>
      <c r="IUK222" s="36"/>
      <c r="IUL222" s="36"/>
      <c r="IUM222" s="37"/>
      <c r="IUN222" s="37"/>
      <c r="IUO222" s="38"/>
      <c r="IUP222" s="38"/>
      <c r="IUQ222" s="39"/>
      <c r="IUR222" s="34"/>
      <c r="IUS222" s="34"/>
      <c r="IUT222" s="34"/>
      <c r="IUU222" s="35"/>
      <c r="IUV222" s="35"/>
      <c r="IUW222" s="35"/>
      <c r="IUX222" s="35"/>
      <c r="IUY222" s="35"/>
      <c r="IUZ222" s="34"/>
      <c r="IVA222" s="34"/>
      <c r="IVB222" s="36"/>
      <c r="IVC222" s="36"/>
      <c r="IVD222" s="37"/>
      <c r="IVE222" s="37"/>
      <c r="IVF222" s="38"/>
      <c r="IVG222" s="38"/>
      <c r="IVH222" s="39"/>
      <c r="IVI222" s="34"/>
      <c r="IVJ222" s="34"/>
      <c r="IVK222" s="34"/>
      <c r="IVL222" s="35"/>
      <c r="IVM222" s="35"/>
      <c r="IVN222" s="35"/>
      <c r="IVO222" s="35"/>
      <c r="IVP222" s="35"/>
      <c r="IVQ222" s="34"/>
      <c r="IVR222" s="34"/>
      <c r="IVS222" s="36"/>
      <c r="IVT222" s="36"/>
      <c r="IVU222" s="37"/>
      <c r="IVV222" s="37"/>
      <c r="IVW222" s="38"/>
      <c r="IVX222" s="38"/>
      <c r="IVY222" s="39"/>
      <c r="IVZ222" s="34"/>
      <c r="IWA222" s="34"/>
      <c r="IWB222" s="34"/>
      <c r="IWC222" s="35"/>
      <c r="IWD222" s="35"/>
      <c r="IWE222" s="35"/>
      <c r="IWF222" s="35"/>
      <c r="IWG222" s="35"/>
      <c r="IWH222" s="34"/>
      <c r="IWI222" s="34"/>
      <c r="IWJ222" s="36"/>
      <c r="IWK222" s="36"/>
      <c r="IWL222" s="37"/>
      <c r="IWM222" s="37"/>
      <c r="IWN222" s="38"/>
      <c r="IWO222" s="38"/>
      <c r="IWP222" s="39"/>
      <c r="IWQ222" s="34"/>
      <c r="IWR222" s="34"/>
      <c r="IWS222" s="34"/>
      <c r="IWT222" s="35"/>
      <c r="IWU222" s="35"/>
      <c r="IWV222" s="35"/>
      <c r="IWW222" s="35"/>
      <c r="IWX222" s="35"/>
      <c r="IWY222" s="34"/>
      <c r="IWZ222" s="34"/>
      <c r="IXA222" s="36"/>
      <c r="IXB222" s="36"/>
      <c r="IXC222" s="37"/>
      <c r="IXD222" s="37"/>
      <c r="IXE222" s="38"/>
      <c r="IXF222" s="38"/>
      <c r="IXG222" s="39"/>
      <c r="IXH222" s="34"/>
      <c r="IXI222" s="34"/>
      <c r="IXJ222" s="34"/>
      <c r="IXK222" s="35"/>
      <c r="IXL222" s="35"/>
      <c r="IXM222" s="35"/>
      <c r="IXN222" s="35"/>
      <c r="IXO222" s="35"/>
      <c r="IXP222" s="34"/>
      <c r="IXQ222" s="34"/>
      <c r="IXR222" s="36"/>
      <c r="IXS222" s="36"/>
      <c r="IXT222" s="37"/>
      <c r="IXU222" s="37"/>
      <c r="IXV222" s="38"/>
      <c r="IXW222" s="38"/>
      <c r="IXX222" s="39"/>
      <c r="IXY222" s="34"/>
      <c r="IXZ222" s="34"/>
      <c r="IYA222" s="34"/>
      <c r="IYB222" s="35"/>
      <c r="IYC222" s="35"/>
      <c r="IYD222" s="35"/>
      <c r="IYE222" s="35"/>
      <c r="IYF222" s="35"/>
      <c r="IYG222" s="34"/>
      <c r="IYH222" s="34"/>
      <c r="IYI222" s="36"/>
      <c r="IYJ222" s="36"/>
      <c r="IYK222" s="37"/>
      <c r="IYL222" s="37"/>
      <c r="IYM222" s="38"/>
      <c r="IYN222" s="38"/>
      <c r="IYO222" s="39"/>
      <c r="IYP222" s="34"/>
      <c r="IYQ222" s="34"/>
      <c r="IYR222" s="34"/>
      <c r="IYS222" s="35"/>
      <c r="IYT222" s="35"/>
      <c r="IYU222" s="35"/>
      <c r="IYV222" s="35"/>
      <c r="IYW222" s="35"/>
      <c r="IYX222" s="34"/>
      <c r="IYY222" s="34"/>
      <c r="IYZ222" s="36"/>
      <c r="IZA222" s="36"/>
      <c r="IZB222" s="37"/>
      <c r="IZC222" s="37"/>
      <c r="IZD222" s="38"/>
      <c r="IZE222" s="38"/>
      <c r="IZF222" s="39"/>
      <c r="IZG222" s="34"/>
      <c r="IZH222" s="34"/>
      <c r="IZI222" s="34"/>
      <c r="IZJ222" s="35"/>
      <c r="IZK222" s="35"/>
      <c r="IZL222" s="35"/>
      <c r="IZM222" s="35"/>
      <c r="IZN222" s="35"/>
      <c r="IZO222" s="34"/>
      <c r="IZP222" s="34"/>
      <c r="IZQ222" s="36"/>
      <c r="IZR222" s="36"/>
      <c r="IZS222" s="37"/>
      <c r="IZT222" s="37"/>
      <c r="IZU222" s="38"/>
      <c r="IZV222" s="38"/>
      <c r="IZW222" s="39"/>
      <c r="IZX222" s="34"/>
      <c r="IZY222" s="34"/>
      <c r="IZZ222" s="34"/>
      <c r="JAA222" s="35"/>
      <c r="JAB222" s="35"/>
      <c r="JAC222" s="35"/>
      <c r="JAD222" s="35"/>
      <c r="JAE222" s="35"/>
      <c r="JAF222" s="34"/>
      <c r="JAG222" s="34"/>
      <c r="JAH222" s="36"/>
      <c r="JAI222" s="36"/>
      <c r="JAJ222" s="37"/>
      <c r="JAK222" s="37"/>
      <c r="JAL222" s="38"/>
      <c r="JAM222" s="38"/>
      <c r="JAN222" s="39"/>
      <c r="JAO222" s="34"/>
      <c r="JAP222" s="34"/>
      <c r="JAQ222" s="34"/>
      <c r="JAR222" s="35"/>
      <c r="JAS222" s="35"/>
      <c r="JAT222" s="35"/>
      <c r="JAU222" s="35"/>
      <c r="JAV222" s="35"/>
      <c r="JAW222" s="34"/>
      <c r="JAX222" s="34"/>
      <c r="JAY222" s="36"/>
      <c r="JAZ222" s="36"/>
      <c r="JBA222" s="37"/>
      <c r="JBB222" s="37"/>
      <c r="JBC222" s="38"/>
      <c r="JBD222" s="38"/>
      <c r="JBE222" s="39"/>
      <c r="JBF222" s="34"/>
      <c r="JBG222" s="34"/>
      <c r="JBH222" s="34"/>
      <c r="JBI222" s="35"/>
      <c r="JBJ222" s="35"/>
      <c r="JBK222" s="35"/>
      <c r="JBL222" s="35"/>
      <c r="JBM222" s="35"/>
      <c r="JBN222" s="34"/>
      <c r="JBO222" s="34"/>
      <c r="JBP222" s="36"/>
      <c r="JBQ222" s="36"/>
      <c r="JBR222" s="37"/>
      <c r="JBS222" s="37"/>
      <c r="JBT222" s="38"/>
      <c r="JBU222" s="38"/>
      <c r="JBV222" s="39"/>
      <c r="JBW222" s="34"/>
      <c r="JBX222" s="34"/>
      <c r="JBY222" s="34"/>
      <c r="JBZ222" s="35"/>
      <c r="JCA222" s="35"/>
      <c r="JCB222" s="35"/>
      <c r="JCC222" s="35"/>
      <c r="JCD222" s="35"/>
      <c r="JCE222" s="34"/>
      <c r="JCF222" s="34"/>
      <c r="JCG222" s="36"/>
      <c r="JCH222" s="36"/>
      <c r="JCI222" s="37"/>
      <c r="JCJ222" s="37"/>
      <c r="JCK222" s="38"/>
      <c r="JCL222" s="38"/>
      <c r="JCM222" s="39"/>
      <c r="JCN222" s="34"/>
      <c r="JCO222" s="34"/>
      <c r="JCP222" s="34"/>
      <c r="JCQ222" s="35"/>
      <c r="JCR222" s="35"/>
      <c r="JCS222" s="35"/>
      <c r="JCT222" s="35"/>
      <c r="JCU222" s="35"/>
      <c r="JCV222" s="34"/>
      <c r="JCW222" s="34"/>
      <c r="JCX222" s="36"/>
      <c r="JCY222" s="36"/>
      <c r="JCZ222" s="37"/>
      <c r="JDA222" s="37"/>
      <c r="JDB222" s="38"/>
      <c r="JDC222" s="38"/>
      <c r="JDD222" s="39"/>
      <c r="JDE222" s="34"/>
      <c r="JDF222" s="34"/>
      <c r="JDG222" s="34"/>
      <c r="JDH222" s="35"/>
      <c r="JDI222" s="35"/>
      <c r="JDJ222" s="35"/>
      <c r="JDK222" s="35"/>
      <c r="JDL222" s="35"/>
      <c r="JDM222" s="34"/>
      <c r="JDN222" s="34"/>
      <c r="JDO222" s="36"/>
      <c r="JDP222" s="36"/>
      <c r="JDQ222" s="37"/>
      <c r="JDR222" s="37"/>
      <c r="JDS222" s="38"/>
      <c r="JDT222" s="38"/>
      <c r="JDU222" s="39"/>
      <c r="JDV222" s="34"/>
      <c r="JDW222" s="34"/>
      <c r="JDX222" s="34"/>
      <c r="JDY222" s="35"/>
      <c r="JDZ222" s="35"/>
      <c r="JEA222" s="35"/>
      <c r="JEB222" s="35"/>
      <c r="JEC222" s="35"/>
      <c r="JED222" s="34"/>
      <c r="JEE222" s="34"/>
      <c r="JEF222" s="36"/>
      <c r="JEG222" s="36"/>
      <c r="JEH222" s="37"/>
      <c r="JEI222" s="37"/>
      <c r="JEJ222" s="38"/>
      <c r="JEK222" s="38"/>
      <c r="JEL222" s="39"/>
      <c r="JEM222" s="34"/>
      <c r="JEN222" s="34"/>
      <c r="JEO222" s="34"/>
      <c r="JEP222" s="35"/>
      <c r="JEQ222" s="35"/>
      <c r="JER222" s="35"/>
      <c r="JES222" s="35"/>
      <c r="JET222" s="35"/>
      <c r="JEU222" s="34"/>
      <c r="JEV222" s="34"/>
      <c r="JEW222" s="36"/>
      <c r="JEX222" s="36"/>
      <c r="JEY222" s="37"/>
      <c r="JEZ222" s="37"/>
      <c r="JFA222" s="38"/>
      <c r="JFB222" s="38"/>
      <c r="JFC222" s="39"/>
      <c r="JFD222" s="34"/>
      <c r="JFE222" s="34"/>
      <c r="JFF222" s="34"/>
      <c r="JFG222" s="35"/>
      <c r="JFH222" s="35"/>
      <c r="JFI222" s="35"/>
      <c r="JFJ222" s="35"/>
      <c r="JFK222" s="35"/>
      <c r="JFL222" s="34"/>
      <c r="JFM222" s="34"/>
      <c r="JFN222" s="36"/>
      <c r="JFO222" s="36"/>
      <c r="JFP222" s="37"/>
      <c r="JFQ222" s="37"/>
      <c r="JFR222" s="38"/>
      <c r="JFS222" s="38"/>
      <c r="JFT222" s="39"/>
      <c r="JFU222" s="34"/>
      <c r="JFV222" s="34"/>
      <c r="JFW222" s="34"/>
      <c r="JFX222" s="35"/>
      <c r="JFY222" s="35"/>
      <c r="JFZ222" s="35"/>
      <c r="JGA222" s="35"/>
      <c r="JGB222" s="35"/>
      <c r="JGC222" s="34"/>
      <c r="JGD222" s="34"/>
      <c r="JGE222" s="36"/>
      <c r="JGF222" s="36"/>
      <c r="JGG222" s="37"/>
      <c r="JGH222" s="37"/>
      <c r="JGI222" s="38"/>
      <c r="JGJ222" s="38"/>
      <c r="JGK222" s="39"/>
      <c r="JGL222" s="34"/>
      <c r="JGM222" s="34"/>
      <c r="JGN222" s="34"/>
      <c r="JGO222" s="35"/>
      <c r="JGP222" s="35"/>
      <c r="JGQ222" s="35"/>
      <c r="JGR222" s="35"/>
      <c r="JGS222" s="35"/>
      <c r="JGT222" s="34"/>
      <c r="JGU222" s="34"/>
      <c r="JGV222" s="36"/>
      <c r="JGW222" s="36"/>
      <c r="JGX222" s="37"/>
      <c r="JGY222" s="37"/>
      <c r="JGZ222" s="38"/>
      <c r="JHA222" s="38"/>
      <c r="JHB222" s="39"/>
      <c r="JHC222" s="34"/>
      <c r="JHD222" s="34"/>
      <c r="JHE222" s="34"/>
      <c r="JHF222" s="35"/>
      <c r="JHG222" s="35"/>
      <c r="JHH222" s="35"/>
      <c r="JHI222" s="35"/>
      <c r="JHJ222" s="35"/>
      <c r="JHK222" s="34"/>
      <c r="JHL222" s="34"/>
      <c r="JHM222" s="36"/>
      <c r="JHN222" s="36"/>
      <c r="JHO222" s="37"/>
      <c r="JHP222" s="37"/>
      <c r="JHQ222" s="38"/>
      <c r="JHR222" s="38"/>
      <c r="JHS222" s="39"/>
      <c r="JHT222" s="34"/>
      <c r="JHU222" s="34"/>
      <c r="JHV222" s="34"/>
      <c r="JHW222" s="35"/>
      <c r="JHX222" s="35"/>
      <c r="JHY222" s="35"/>
      <c r="JHZ222" s="35"/>
      <c r="JIA222" s="35"/>
      <c r="JIB222" s="34"/>
      <c r="JIC222" s="34"/>
      <c r="JID222" s="36"/>
      <c r="JIE222" s="36"/>
      <c r="JIF222" s="37"/>
      <c r="JIG222" s="37"/>
      <c r="JIH222" s="38"/>
      <c r="JII222" s="38"/>
      <c r="JIJ222" s="39"/>
      <c r="JIK222" s="34"/>
      <c r="JIL222" s="34"/>
      <c r="JIM222" s="34"/>
      <c r="JIN222" s="35"/>
      <c r="JIO222" s="35"/>
      <c r="JIP222" s="35"/>
      <c r="JIQ222" s="35"/>
      <c r="JIR222" s="35"/>
      <c r="JIS222" s="34"/>
      <c r="JIT222" s="34"/>
      <c r="JIU222" s="36"/>
      <c r="JIV222" s="36"/>
      <c r="JIW222" s="37"/>
      <c r="JIX222" s="37"/>
      <c r="JIY222" s="38"/>
      <c r="JIZ222" s="38"/>
      <c r="JJA222" s="39"/>
      <c r="JJB222" s="34"/>
      <c r="JJC222" s="34"/>
      <c r="JJD222" s="34"/>
      <c r="JJE222" s="35"/>
      <c r="JJF222" s="35"/>
      <c r="JJG222" s="35"/>
      <c r="JJH222" s="35"/>
      <c r="JJI222" s="35"/>
      <c r="JJJ222" s="34"/>
      <c r="JJK222" s="34"/>
      <c r="JJL222" s="36"/>
      <c r="JJM222" s="36"/>
      <c r="JJN222" s="37"/>
      <c r="JJO222" s="37"/>
      <c r="JJP222" s="38"/>
      <c r="JJQ222" s="38"/>
      <c r="JJR222" s="39"/>
      <c r="JJS222" s="34"/>
      <c r="JJT222" s="34"/>
      <c r="JJU222" s="34"/>
      <c r="JJV222" s="35"/>
      <c r="JJW222" s="35"/>
      <c r="JJX222" s="35"/>
      <c r="JJY222" s="35"/>
      <c r="JJZ222" s="35"/>
      <c r="JKA222" s="34"/>
      <c r="JKB222" s="34"/>
      <c r="JKC222" s="36"/>
      <c r="JKD222" s="36"/>
      <c r="JKE222" s="37"/>
      <c r="JKF222" s="37"/>
      <c r="JKG222" s="38"/>
      <c r="JKH222" s="38"/>
      <c r="JKI222" s="39"/>
      <c r="JKJ222" s="34"/>
      <c r="JKK222" s="34"/>
      <c r="JKL222" s="34"/>
      <c r="JKM222" s="35"/>
      <c r="JKN222" s="35"/>
      <c r="JKO222" s="35"/>
      <c r="JKP222" s="35"/>
      <c r="JKQ222" s="35"/>
      <c r="JKR222" s="34"/>
      <c r="JKS222" s="34"/>
      <c r="JKT222" s="36"/>
      <c r="JKU222" s="36"/>
      <c r="JKV222" s="37"/>
      <c r="JKW222" s="37"/>
      <c r="JKX222" s="38"/>
      <c r="JKY222" s="38"/>
      <c r="JKZ222" s="39"/>
      <c r="JLA222" s="34"/>
      <c r="JLB222" s="34"/>
      <c r="JLC222" s="34"/>
      <c r="JLD222" s="35"/>
      <c r="JLE222" s="35"/>
      <c r="JLF222" s="35"/>
      <c r="JLG222" s="35"/>
      <c r="JLH222" s="35"/>
      <c r="JLI222" s="34"/>
      <c r="JLJ222" s="34"/>
      <c r="JLK222" s="36"/>
      <c r="JLL222" s="36"/>
      <c r="JLM222" s="37"/>
      <c r="JLN222" s="37"/>
      <c r="JLO222" s="38"/>
      <c r="JLP222" s="38"/>
      <c r="JLQ222" s="39"/>
      <c r="JLR222" s="34"/>
      <c r="JLS222" s="34"/>
      <c r="JLT222" s="34"/>
      <c r="JLU222" s="35"/>
      <c r="JLV222" s="35"/>
      <c r="JLW222" s="35"/>
      <c r="JLX222" s="35"/>
      <c r="JLY222" s="35"/>
      <c r="JLZ222" s="34"/>
      <c r="JMA222" s="34"/>
      <c r="JMB222" s="36"/>
      <c r="JMC222" s="36"/>
      <c r="JMD222" s="37"/>
      <c r="JME222" s="37"/>
      <c r="JMF222" s="38"/>
      <c r="JMG222" s="38"/>
      <c r="JMH222" s="39"/>
      <c r="JMI222" s="34"/>
      <c r="JMJ222" s="34"/>
      <c r="JMK222" s="34"/>
      <c r="JML222" s="35"/>
      <c r="JMM222" s="35"/>
      <c r="JMN222" s="35"/>
      <c r="JMO222" s="35"/>
      <c r="JMP222" s="35"/>
      <c r="JMQ222" s="34"/>
      <c r="JMR222" s="34"/>
      <c r="JMS222" s="36"/>
      <c r="JMT222" s="36"/>
      <c r="JMU222" s="37"/>
      <c r="JMV222" s="37"/>
      <c r="JMW222" s="38"/>
      <c r="JMX222" s="38"/>
      <c r="JMY222" s="39"/>
      <c r="JMZ222" s="34"/>
      <c r="JNA222" s="34"/>
      <c r="JNB222" s="34"/>
      <c r="JNC222" s="35"/>
      <c r="JND222" s="35"/>
      <c r="JNE222" s="35"/>
      <c r="JNF222" s="35"/>
      <c r="JNG222" s="35"/>
      <c r="JNH222" s="34"/>
      <c r="JNI222" s="34"/>
      <c r="JNJ222" s="36"/>
      <c r="JNK222" s="36"/>
      <c r="JNL222" s="37"/>
      <c r="JNM222" s="37"/>
      <c r="JNN222" s="38"/>
      <c r="JNO222" s="38"/>
      <c r="JNP222" s="39"/>
      <c r="JNQ222" s="34"/>
      <c r="JNR222" s="34"/>
      <c r="JNS222" s="34"/>
      <c r="JNT222" s="35"/>
      <c r="JNU222" s="35"/>
      <c r="JNV222" s="35"/>
      <c r="JNW222" s="35"/>
      <c r="JNX222" s="35"/>
      <c r="JNY222" s="34"/>
      <c r="JNZ222" s="34"/>
      <c r="JOA222" s="36"/>
      <c r="JOB222" s="36"/>
      <c r="JOC222" s="37"/>
      <c r="JOD222" s="37"/>
      <c r="JOE222" s="38"/>
      <c r="JOF222" s="38"/>
      <c r="JOG222" s="39"/>
      <c r="JOH222" s="34"/>
      <c r="JOI222" s="34"/>
      <c r="JOJ222" s="34"/>
      <c r="JOK222" s="35"/>
      <c r="JOL222" s="35"/>
      <c r="JOM222" s="35"/>
      <c r="JON222" s="35"/>
      <c r="JOO222" s="35"/>
      <c r="JOP222" s="34"/>
      <c r="JOQ222" s="34"/>
      <c r="JOR222" s="36"/>
      <c r="JOS222" s="36"/>
      <c r="JOT222" s="37"/>
      <c r="JOU222" s="37"/>
      <c r="JOV222" s="38"/>
      <c r="JOW222" s="38"/>
      <c r="JOX222" s="39"/>
      <c r="JOY222" s="34"/>
      <c r="JOZ222" s="34"/>
      <c r="JPA222" s="34"/>
      <c r="JPB222" s="35"/>
      <c r="JPC222" s="35"/>
      <c r="JPD222" s="35"/>
      <c r="JPE222" s="35"/>
      <c r="JPF222" s="35"/>
      <c r="JPG222" s="34"/>
      <c r="JPH222" s="34"/>
      <c r="JPI222" s="36"/>
      <c r="JPJ222" s="36"/>
      <c r="JPK222" s="37"/>
      <c r="JPL222" s="37"/>
      <c r="JPM222" s="38"/>
      <c r="JPN222" s="38"/>
      <c r="JPO222" s="39"/>
      <c r="JPP222" s="34"/>
      <c r="JPQ222" s="34"/>
      <c r="JPR222" s="34"/>
      <c r="JPS222" s="35"/>
      <c r="JPT222" s="35"/>
      <c r="JPU222" s="35"/>
      <c r="JPV222" s="35"/>
      <c r="JPW222" s="35"/>
      <c r="JPX222" s="34"/>
      <c r="JPY222" s="34"/>
      <c r="JPZ222" s="36"/>
      <c r="JQA222" s="36"/>
      <c r="JQB222" s="37"/>
      <c r="JQC222" s="37"/>
      <c r="JQD222" s="38"/>
      <c r="JQE222" s="38"/>
      <c r="JQF222" s="39"/>
      <c r="JQG222" s="34"/>
      <c r="JQH222" s="34"/>
      <c r="JQI222" s="34"/>
      <c r="JQJ222" s="35"/>
      <c r="JQK222" s="35"/>
      <c r="JQL222" s="35"/>
      <c r="JQM222" s="35"/>
      <c r="JQN222" s="35"/>
      <c r="JQO222" s="34"/>
      <c r="JQP222" s="34"/>
      <c r="JQQ222" s="36"/>
      <c r="JQR222" s="36"/>
      <c r="JQS222" s="37"/>
      <c r="JQT222" s="37"/>
      <c r="JQU222" s="38"/>
      <c r="JQV222" s="38"/>
      <c r="JQW222" s="39"/>
      <c r="JQX222" s="34"/>
      <c r="JQY222" s="34"/>
      <c r="JQZ222" s="34"/>
      <c r="JRA222" s="35"/>
      <c r="JRB222" s="35"/>
      <c r="JRC222" s="35"/>
      <c r="JRD222" s="35"/>
      <c r="JRE222" s="35"/>
      <c r="JRF222" s="34"/>
      <c r="JRG222" s="34"/>
      <c r="JRH222" s="36"/>
      <c r="JRI222" s="36"/>
      <c r="JRJ222" s="37"/>
      <c r="JRK222" s="37"/>
      <c r="JRL222" s="38"/>
      <c r="JRM222" s="38"/>
      <c r="JRN222" s="39"/>
      <c r="JRO222" s="34"/>
      <c r="JRP222" s="34"/>
      <c r="JRQ222" s="34"/>
      <c r="JRR222" s="35"/>
      <c r="JRS222" s="35"/>
      <c r="JRT222" s="35"/>
      <c r="JRU222" s="35"/>
      <c r="JRV222" s="35"/>
      <c r="JRW222" s="34"/>
      <c r="JRX222" s="34"/>
      <c r="JRY222" s="36"/>
      <c r="JRZ222" s="36"/>
      <c r="JSA222" s="37"/>
      <c r="JSB222" s="37"/>
      <c r="JSC222" s="38"/>
      <c r="JSD222" s="38"/>
      <c r="JSE222" s="39"/>
      <c r="JSF222" s="34"/>
      <c r="JSG222" s="34"/>
      <c r="JSH222" s="34"/>
      <c r="JSI222" s="35"/>
      <c r="JSJ222" s="35"/>
      <c r="JSK222" s="35"/>
      <c r="JSL222" s="35"/>
      <c r="JSM222" s="35"/>
      <c r="JSN222" s="34"/>
      <c r="JSO222" s="34"/>
      <c r="JSP222" s="36"/>
      <c r="JSQ222" s="36"/>
      <c r="JSR222" s="37"/>
      <c r="JSS222" s="37"/>
      <c r="JST222" s="38"/>
      <c r="JSU222" s="38"/>
      <c r="JSV222" s="39"/>
      <c r="JSW222" s="34"/>
      <c r="JSX222" s="34"/>
      <c r="JSY222" s="34"/>
      <c r="JSZ222" s="35"/>
      <c r="JTA222" s="35"/>
      <c r="JTB222" s="35"/>
      <c r="JTC222" s="35"/>
      <c r="JTD222" s="35"/>
      <c r="JTE222" s="34"/>
      <c r="JTF222" s="34"/>
      <c r="JTG222" s="36"/>
      <c r="JTH222" s="36"/>
      <c r="JTI222" s="37"/>
      <c r="JTJ222" s="37"/>
      <c r="JTK222" s="38"/>
      <c r="JTL222" s="38"/>
      <c r="JTM222" s="39"/>
      <c r="JTN222" s="34"/>
      <c r="JTO222" s="34"/>
      <c r="JTP222" s="34"/>
      <c r="JTQ222" s="35"/>
      <c r="JTR222" s="35"/>
      <c r="JTS222" s="35"/>
      <c r="JTT222" s="35"/>
      <c r="JTU222" s="35"/>
      <c r="JTV222" s="34"/>
      <c r="JTW222" s="34"/>
      <c r="JTX222" s="36"/>
      <c r="JTY222" s="36"/>
      <c r="JTZ222" s="37"/>
      <c r="JUA222" s="37"/>
      <c r="JUB222" s="38"/>
      <c r="JUC222" s="38"/>
      <c r="JUD222" s="39"/>
      <c r="JUE222" s="34"/>
      <c r="JUF222" s="34"/>
      <c r="JUG222" s="34"/>
      <c r="JUH222" s="35"/>
      <c r="JUI222" s="35"/>
      <c r="JUJ222" s="35"/>
      <c r="JUK222" s="35"/>
      <c r="JUL222" s="35"/>
      <c r="JUM222" s="34"/>
      <c r="JUN222" s="34"/>
      <c r="JUO222" s="36"/>
      <c r="JUP222" s="36"/>
      <c r="JUQ222" s="37"/>
      <c r="JUR222" s="37"/>
      <c r="JUS222" s="38"/>
      <c r="JUT222" s="38"/>
      <c r="JUU222" s="39"/>
      <c r="JUV222" s="34"/>
      <c r="JUW222" s="34"/>
      <c r="JUX222" s="34"/>
      <c r="JUY222" s="35"/>
      <c r="JUZ222" s="35"/>
      <c r="JVA222" s="35"/>
      <c r="JVB222" s="35"/>
      <c r="JVC222" s="35"/>
      <c r="JVD222" s="34"/>
      <c r="JVE222" s="34"/>
      <c r="JVF222" s="36"/>
      <c r="JVG222" s="36"/>
      <c r="JVH222" s="37"/>
      <c r="JVI222" s="37"/>
      <c r="JVJ222" s="38"/>
      <c r="JVK222" s="38"/>
      <c r="JVL222" s="39"/>
      <c r="JVM222" s="34"/>
      <c r="JVN222" s="34"/>
      <c r="JVO222" s="34"/>
      <c r="JVP222" s="35"/>
      <c r="JVQ222" s="35"/>
      <c r="JVR222" s="35"/>
      <c r="JVS222" s="35"/>
      <c r="JVT222" s="35"/>
      <c r="JVU222" s="34"/>
      <c r="JVV222" s="34"/>
      <c r="JVW222" s="36"/>
      <c r="JVX222" s="36"/>
      <c r="JVY222" s="37"/>
      <c r="JVZ222" s="37"/>
      <c r="JWA222" s="38"/>
      <c r="JWB222" s="38"/>
      <c r="JWC222" s="39"/>
      <c r="JWD222" s="34"/>
      <c r="JWE222" s="34"/>
      <c r="JWF222" s="34"/>
      <c r="JWG222" s="35"/>
      <c r="JWH222" s="35"/>
      <c r="JWI222" s="35"/>
      <c r="JWJ222" s="35"/>
      <c r="JWK222" s="35"/>
      <c r="JWL222" s="34"/>
      <c r="JWM222" s="34"/>
      <c r="JWN222" s="36"/>
      <c r="JWO222" s="36"/>
      <c r="JWP222" s="37"/>
      <c r="JWQ222" s="37"/>
      <c r="JWR222" s="38"/>
      <c r="JWS222" s="38"/>
      <c r="JWT222" s="39"/>
      <c r="JWU222" s="34"/>
      <c r="JWV222" s="34"/>
      <c r="JWW222" s="34"/>
      <c r="JWX222" s="35"/>
      <c r="JWY222" s="35"/>
      <c r="JWZ222" s="35"/>
      <c r="JXA222" s="35"/>
      <c r="JXB222" s="35"/>
      <c r="JXC222" s="34"/>
      <c r="JXD222" s="34"/>
      <c r="JXE222" s="36"/>
      <c r="JXF222" s="36"/>
      <c r="JXG222" s="37"/>
      <c r="JXH222" s="37"/>
      <c r="JXI222" s="38"/>
      <c r="JXJ222" s="38"/>
      <c r="JXK222" s="39"/>
      <c r="JXL222" s="34"/>
      <c r="JXM222" s="34"/>
      <c r="JXN222" s="34"/>
      <c r="JXO222" s="35"/>
      <c r="JXP222" s="35"/>
      <c r="JXQ222" s="35"/>
      <c r="JXR222" s="35"/>
      <c r="JXS222" s="35"/>
      <c r="JXT222" s="34"/>
      <c r="JXU222" s="34"/>
      <c r="JXV222" s="36"/>
      <c r="JXW222" s="36"/>
      <c r="JXX222" s="37"/>
      <c r="JXY222" s="37"/>
      <c r="JXZ222" s="38"/>
      <c r="JYA222" s="38"/>
      <c r="JYB222" s="39"/>
      <c r="JYC222" s="34"/>
      <c r="JYD222" s="34"/>
      <c r="JYE222" s="34"/>
      <c r="JYF222" s="35"/>
      <c r="JYG222" s="35"/>
      <c r="JYH222" s="35"/>
      <c r="JYI222" s="35"/>
      <c r="JYJ222" s="35"/>
      <c r="JYK222" s="34"/>
      <c r="JYL222" s="34"/>
      <c r="JYM222" s="36"/>
      <c r="JYN222" s="36"/>
      <c r="JYO222" s="37"/>
      <c r="JYP222" s="37"/>
      <c r="JYQ222" s="38"/>
      <c r="JYR222" s="38"/>
      <c r="JYS222" s="39"/>
      <c r="JYT222" s="34"/>
      <c r="JYU222" s="34"/>
      <c r="JYV222" s="34"/>
      <c r="JYW222" s="35"/>
      <c r="JYX222" s="35"/>
      <c r="JYY222" s="35"/>
      <c r="JYZ222" s="35"/>
      <c r="JZA222" s="35"/>
      <c r="JZB222" s="34"/>
      <c r="JZC222" s="34"/>
      <c r="JZD222" s="36"/>
      <c r="JZE222" s="36"/>
      <c r="JZF222" s="37"/>
      <c r="JZG222" s="37"/>
      <c r="JZH222" s="38"/>
      <c r="JZI222" s="38"/>
      <c r="JZJ222" s="39"/>
      <c r="JZK222" s="34"/>
      <c r="JZL222" s="34"/>
      <c r="JZM222" s="34"/>
      <c r="JZN222" s="35"/>
      <c r="JZO222" s="35"/>
      <c r="JZP222" s="35"/>
      <c r="JZQ222" s="35"/>
      <c r="JZR222" s="35"/>
      <c r="JZS222" s="34"/>
      <c r="JZT222" s="34"/>
      <c r="JZU222" s="36"/>
      <c r="JZV222" s="36"/>
      <c r="JZW222" s="37"/>
      <c r="JZX222" s="37"/>
      <c r="JZY222" s="38"/>
      <c r="JZZ222" s="38"/>
      <c r="KAA222" s="39"/>
      <c r="KAB222" s="34"/>
      <c r="KAC222" s="34"/>
      <c r="KAD222" s="34"/>
      <c r="KAE222" s="35"/>
      <c r="KAF222" s="35"/>
      <c r="KAG222" s="35"/>
      <c r="KAH222" s="35"/>
      <c r="KAI222" s="35"/>
      <c r="KAJ222" s="34"/>
      <c r="KAK222" s="34"/>
      <c r="KAL222" s="36"/>
      <c r="KAM222" s="36"/>
      <c r="KAN222" s="37"/>
      <c r="KAO222" s="37"/>
      <c r="KAP222" s="38"/>
      <c r="KAQ222" s="38"/>
      <c r="KAR222" s="39"/>
      <c r="KAS222" s="34"/>
      <c r="KAT222" s="34"/>
      <c r="KAU222" s="34"/>
      <c r="KAV222" s="35"/>
      <c r="KAW222" s="35"/>
      <c r="KAX222" s="35"/>
      <c r="KAY222" s="35"/>
      <c r="KAZ222" s="35"/>
      <c r="KBA222" s="34"/>
      <c r="KBB222" s="34"/>
      <c r="KBC222" s="36"/>
      <c r="KBD222" s="36"/>
      <c r="KBE222" s="37"/>
      <c r="KBF222" s="37"/>
      <c r="KBG222" s="38"/>
      <c r="KBH222" s="38"/>
      <c r="KBI222" s="39"/>
      <c r="KBJ222" s="34"/>
      <c r="KBK222" s="34"/>
      <c r="KBL222" s="34"/>
      <c r="KBM222" s="35"/>
      <c r="KBN222" s="35"/>
      <c r="KBO222" s="35"/>
      <c r="KBP222" s="35"/>
      <c r="KBQ222" s="35"/>
      <c r="KBR222" s="34"/>
      <c r="KBS222" s="34"/>
      <c r="KBT222" s="36"/>
      <c r="KBU222" s="36"/>
      <c r="KBV222" s="37"/>
      <c r="KBW222" s="37"/>
      <c r="KBX222" s="38"/>
      <c r="KBY222" s="38"/>
      <c r="KBZ222" s="39"/>
      <c r="KCA222" s="34"/>
      <c r="KCB222" s="34"/>
      <c r="KCC222" s="34"/>
      <c r="KCD222" s="35"/>
      <c r="KCE222" s="35"/>
      <c r="KCF222" s="35"/>
      <c r="KCG222" s="35"/>
      <c r="KCH222" s="35"/>
      <c r="KCI222" s="34"/>
      <c r="KCJ222" s="34"/>
      <c r="KCK222" s="36"/>
      <c r="KCL222" s="36"/>
      <c r="KCM222" s="37"/>
      <c r="KCN222" s="37"/>
      <c r="KCO222" s="38"/>
      <c r="KCP222" s="38"/>
      <c r="KCQ222" s="39"/>
      <c r="KCR222" s="34"/>
      <c r="KCS222" s="34"/>
      <c r="KCT222" s="34"/>
      <c r="KCU222" s="35"/>
      <c r="KCV222" s="35"/>
      <c r="KCW222" s="35"/>
      <c r="KCX222" s="35"/>
      <c r="KCY222" s="35"/>
      <c r="KCZ222" s="34"/>
      <c r="KDA222" s="34"/>
      <c r="KDB222" s="36"/>
      <c r="KDC222" s="36"/>
      <c r="KDD222" s="37"/>
      <c r="KDE222" s="37"/>
      <c r="KDF222" s="38"/>
      <c r="KDG222" s="38"/>
      <c r="KDH222" s="39"/>
      <c r="KDI222" s="34"/>
      <c r="KDJ222" s="34"/>
      <c r="KDK222" s="34"/>
      <c r="KDL222" s="35"/>
      <c r="KDM222" s="35"/>
      <c r="KDN222" s="35"/>
      <c r="KDO222" s="35"/>
      <c r="KDP222" s="35"/>
      <c r="KDQ222" s="34"/>
      <c r="KDR222" s="34"/>
      <c r="KDS222" s="36"/>
      <c r="KDT222" s="36"/>
      <c r="KDU222" s="37"/>
      <c r="KDV222" s="37"/>
      <c r="KDW222" s="38"/>
      <c r="KDX222" s="38"/>
      <c r="KDY222" s="39"/>
      <c r="KDZ222" s="34"/>
      <c r="KEA222" s="34"/>
      <c r="KEB222" s="34"/>
      <c r="KEC222" s="35"/>
      <c r="KED222" s="35"/>
      <c r="KEE222" s="35"/>
      <c r="KEF222" s="35"/>
      <c r="KEG222" s="35"/>
      <c r="KEH222" s="34"/>
      <c r="KEI222" s="34"/>
      <c r="KEJ222" s="36"/>
      <c r="KEK222" s="36"/>
      <c r="KEL222" s="37"/>
      <c r="KEM222" s="37"/>
      <c r="KEN222" s="38"/>
      <c r="KEO222" s="38"/>
      <c r="KEP222" s="39"/>
      <c r="KEQ222" s="34"/>
      <c r="KER222" s="34"/>
      <c r="KES222" s="34"/>
      <c r="KET222" s="35"/>
      <c r="KEU222" s="35"/>
      <c r="KEV222" s="35"/>
      <c r="KEW222" s="35"/>
      <c r="KEX222" s="35"/>
      <c r="KEY222" s="34"/>
      <c r="KEZ222" s="34"/>
      <c r="KFA222" s="36"/>
      <c r="KFB222" s="36"/>
      <c r="KFC222" s="37"/>
      <c r="KFD222" s="37"/>
      <c r="KFE222" s="38"/>
      <c r="KFF222" s="38"/>
      <c r="KFG222" s="39"/>
      <c r="KFH222" s="34"/>
      <c r="KFI222" s="34"/>
      <c r="KFJ222" s="34"/>
      <c r="KFK222" s="35"/>
      <c r="KFL222" s="35"/>
      <c r="KFM222" s="35"/>
      <c r="KFN222" s="35"/>
      <c r="KFO222" s="35"/>
      <c r="KFP222" s="34"/>
      <c r="KFQ222" s="34"/>
      <c r="KFR222" s="36"/>
      <c r="KFS222" s="36"/>
      <c r="KFT222" s="37"/>
      <c r="KFU222" s="37"/>
      <c r="KFV222" s="38"/>
      <c r="KFW222" s="38"/>
      <c r="KFX222" s="39"/>
      <c r="KFY222" s="34"/>
      <c r="KFZ222" s="34"/>
      <c r="KGA222" s="34"/>
      <c r="KGB222" s="35"/>
      <c r="KGC222" s="35"/>
      <c r="KGD222" s="35"/>
      <c r="KGE222" s="35"/>
      <c r="KGF222" s="35"/>
      <c r="KGG222" s="34"/>
      <c r="KGH222" s="34"/>
      <c r="KGI222" s="36"/>
      <c r="KGJ222" s="36"/>
      <c r="KGK222" s="37"/>
      <c r="KGL222" s="37"/>
      <c r="KGM222" s="38"/>
      <c r="KGN222" s="38"/>
      <c r="KGO222" s="39"/>
      <c r="KGP222" s="34"/>
      <c r="KGQ222" s="34"/>
      <c r="KGR222" s="34"/>
      <c r="KGS222" s="35"/>
      <c r="KGT222" s="35"/>
      <c r="KGU222" s="35"/>
      <c r="KGV222" s="35"/>
      <c r="KGW222" s="35"/>
      <c r="KGX222" s="34"/>
      <c r="KGY222" s="34"/>
      <c r="KGZ222" s="36"/>
      <c r="KHA222" s="36"/>
      <c r="KHB222" s="37"/>
      <c r="KHC222" s="37"/>
      <c r="KHD222" s="38"/>
      <c r="KHE222" s="38"/>
      <c r="KHF222" s="39"/>
      <c r="KHG222" s="34"/>
      <c r="KHH222" s="34"/>
      <c r="KHI222" s="34"/>
      <c r="KHJ222" s="35"/>
      <c r="KHK222" s="35"/>
      <c r="KHL222" s="35"/>
      <c r="KHM222" s="35"/>
      <c r="KHN222" s="35"/>
      <c r="KHO222" s="34"/>
      <c r="KHP222" s="34"/>
      <c r="KHQ222" s="36"/>
      <c r="KHR222" s="36"/>
      <c r="KHS222" s="37"/>
      <c r="KHT222" s="37"/>
      <c r="KHU222" s="38"/>
      <c r="KHV222" s="38"/>
      <c r="KHW222" s="39"/>
      <c r="KHX222" s="34"/>
      <c r="KHY222" s="34"/>
      <c r="KHZ222" s="34"/>
      <c r="KIA222" s="35"/>
      <c r="KIB222" s="35"/>
      <c r="KIC222" s="35"/>
      <c r="KID222" s="35"/>
      <c r="KIE222" s="35"/>
      <c r="KIF222" s="34"/>
      <c r="KIG222" s="34"/>
      <c r="KIH222" s="36"/>
      <c r="KII222" s="36"/>
      <c r="KIJ222" s="37"/>
      <c r="KIK222" s="37"/>
      <c r="KIL222" s="38"/>
      <c r="KIM222" s="38"/>
      <c r="KIN222" s="39"/>
      <c r="KIO222" s="34"/>
      <c r="KIP222" s="34"/>
      <c r="KIQ222" s="34"/>
      <c r="KIR222" s="35"/>
      <c r="KIS222" s="35"/>
      <c r="KIT222" s="35"/>
      <c r="KIU222" s="35"/>
      <c r="KIV222" s="35"/>
      <c r="KIW222" s="34"/>
      <c r="KIX222" s="34"/>
      <c r="KIY222" s="36"/>
      <c r="KIZ222" s="36"/>
      <c r="KJA222" s="37"/>
      <c r="KJB222" s="37"/>
      <c r="KJC222" s="38"/>
      <c r="KJD222" s="38"/>
      <c r="KJE222" s="39"/>
      <c r="KJF222" s="34"/>
      <c r="KJG222" s="34"/>
      <c r="KJH222" s="34"/>
      <c r="KJI222" s="35"/>
      <c r="KJJ222" s="35"/>
      <c r="KJK222" s="35"/>
      <c r="KJL222" s="35"/>
      <c r="KJM222" s="35"/>
      <c r="KJN222" s="34"/>
      <c r="KJO222" s="34"/>
      <c r="KJP222" s="36"/>
      <c r="KJQ222" s="36"/>
      <c r="KJR222" s="37"/>
      <c r="KJS222" s="37"/>
      <c r="KJT222" s="38"/>
      <c r="KJU222" s="38"/>
      <c r="KJV222" s="39"/>
      <c r="KJW222" s="34"/>
      <c r="KJX222" s="34"/>
      <c r="KJY222" s="34"/>
      <c r="KJZ222" s="35"/>
      <c r="KKA222" s="35"/>
      <c r="KKB222" s="35"/>
      <c r="KKC222" s="35"/>
      <c r="KKD222" s="35"/>
      <c r="KKE222" s="34"/>
      <c r="KKF222" s="34"/>
      <c r="KKG222" s="36"/>
      <c r="KKH222" s="36"/>
      <c r="KKI222" s="37"/>
      <c r="KKJ222" s="37"/>
      <c r="KKK222" s="38"/>
      <c r="KKL222" s="38"/>
      <c r="KKM222" s="39"/>
      <c r="KKN222" s="34"/>
      <c r="KKO222" s="34"/>
      <c r="KKP222" s="34"/>
      <c r="KKQ222" s="35"/>
      <c r="KKR222" s="35"/>
      <c r="KKS222" s="35"/>
      <c r="KKT222" s="35"/>
      <c r="KKU222" s="35"/>
      <c r="KKV222" s="34"/>
      <c r="KKW222" s="34"/>
      <c r="KKX222" s="36"/>
      <c r="KKY222" s="36"/>
      <c r="KKZ222" s="37"/>
      <c r="KLA222" s="37"/>
      <c r="KLB222" s="38"/>
      <c r="KLC222" s="38"/>
      <c r="KLD222" s="39"/>
      <c r="KLE222" s="34"/>
      <c r="KLF222" s="34"/>
      <c r="KLG222" s="34"/>
      <c r="KLH222" s="35"/>
      <c r="KLI222" s="35"/>
      <c r="KLJ222" s="35"/>
      <c r="KLK222" s="35"/>
      <c r="KLL222" s="35"/>
      <c r="KLM222" s="34"/>
      <c r="KLN222" s="34"/>
      <c r="KLO222" s="36"/>
      <c r="KLP222" s="36"/>
      <c r="KLQ222" s="37"/>
      <c r="KLR222" s="37"/>
      <c r="KLS222" s="38"/>
      <c r="KLT222" s="38"/>
      <c r="KLU222" s="39"/>
      <c r="KLV222" s="34"/>
      <c r="KLW222" s="34"/>
      <c r="KLX222" s="34"/>
      <c r="KLY222" s="35"/>
      <c r="KLZ222" s="35"/>
      <c r="KMA222" s="35"/>
      <c r="KMB222" s="35"/>
      <c r="KMC222" s="35"/>
      <c r="KMD222" s="34"/>
      <c r="KME222" s="34"/>
      <c r="KMF222" s="36"/>
      <c r="KMG222" s="36"/>
      <c r="KMH222" s="37"/>
      <c r="KMI222" s="37"/>
      <c r="KMJ222" s="38"/>
      <c r="KMK222" s="38"/>
      <c r="KML222" s="39"/>
      <c r="KMM222" s="34"/>
      <c r="KMN222" s="34"/>
      <c r="KMO222" s="34"/>
      <c r="KMP222" s="35"/>
      <c r="KMQ222" s="35"/>
      <c r="KMR222" s="35"/>
      <c r="KMS222" s="35"/>
      <c r="KMT222" s="35"/>
      <c r="KMU222" s="34"/>
      <c r="KMV222" s="34"/>
      <c r="KMW222" s="36"/>
      <c r="KMX222" s="36"/>
      <c r="KMY222" s="37"/>
      <c r="KMZ222" s="37"/>
      <c r="KNA222" s="38"/>
      <c r="KNB222" s="38"/>
      <c r="KNC222" s="39"/>
      <c r="KND222" s="34"/>
      <c r="KNE222" s="34"/>
      <c r="KNF222" s="34"/>
      <c r="KNG222" s="35"/>
      <c r="KNH222" s="35"/>
      <c r="KNI222" s="35"/>
      <c r="KNJ222" s="35"/>
      <c r="KNK222" s="35"/>
      <c r="KNL222" s="34"/>
      <c r="KNM222" s="34"/>
      <c r="KNN222" s="36"/>
      <c r="KNO222" s="36"/>
      <c r="KNP222" s="37"/>
      <c r="KNQ222" s="37"/>
      <c r="KNR222" s="38"/>
      <c r="KNS222" s="38"/>
      <c r="KNT222" s="39"/>
      <c r="KNU222" s="34"/>
      <c r="KNV222" s="34"/>
      <c r="KNW222" s="34"/>
      <c r="KNX222" s="35"/>
      <c r="KNY222" s="35"/>
      <c r="KNZ222" s="35"/>
      <c r="KOA222" s="35"/>
      <c r="KOB222" s="35"/>
      <c r="KOC222" s="34"/>
      <c r="KOD222" s="34"/>
      <c r="KOE222" s="36"/>
      <c r="KOF222" s="36"/>
      <c r="KOG222" s="37"/>
      <c r="KOH222" s="37"/>
      <c r="KOI222" s="38"/>
      <c r="KOJ222" s="38"/>
      <c r="KOK222" s="39"/>
      <c r="KOL222" s="34"/>
      <c r="KOM222" s="34"/>
      <c r="KON222" s="34"/>
      <c r="KOO222" s="35"/>
      <c r="KOP222" s="35"/>
      <c r="KOQ222" s="35"/>
      <c r="KOR222" s="35"/>
      <c r="KOS222" s="35"/>
      <c r="KOT222" s="34"/>
      <c r="KOU222" s="34"/>
      <c r="KOV222" s="36"/>
      <c r="KOW222" s="36"/>
      <c r="KOX222" s="37"/>
      <c r="KOY222" s="37"/>
      <c r="KOZ222" s="38"/>
      <c r="KPA222" s="38"/>
      <c r="KPB222" s="39"/>
      <c r="KPC222" s="34"/>
      <c r="KPD222" s="34"/>
      <c r="KPE222" s="34"/>
      <c r="KPF222" s="35"/>
      <c r="KPG222" s="35"/>
      <c r="KPH222" s="35"/>
      <c r="KPI222" s="35"/>
      <c r="KPJ222" s="35"/>
      <c r="KPK222" s="34"/>
      <c r="KPL222" s="34"/>
      <c r="KPM222" s="36"/>
      <c r="KPN222" s="36"/>
      <c r="KPO222" s="37"/>
      <c r="KPP222" s="37"/>
      <c r="KPQ222" s="38"/>
      <c r="KPR222" s="38"/>
      <c r="KPS222" s="39"/>
      <c r="KPT222" s="34"/>
      <c r="KPU222" s="34"/>
      <c r="KPV222" s="34"/>
      <c r="KPW222" s="35"/>
      <c r="KPX222" s="35"/>
      <c r="KPY222" s="35"/>
      <c r="KPZ222" s="35"/>
      <c r="KQA222" s="35"/>
      <c r="KQB222" s="34"/>
      <c r="KQC222" s="34"/>
      <c r="KQD222" s="36"/>
      <c r="KQE222" s="36"/>
      <c r="KQF222" s="37"/>
      <c r="KQG222" s="37"/>
      <c r="KQH222" s="38"/>
      <c r="KQI222" s="38"/>
      <c r="KQJ222" s="39"/>
      <c r="KQK222" s="34"/>
      <c r="KQL222" s="34"/>
      <c r="KQM222" s="34"/>
      <c r="KQN222" s="35"/>
      <c r="KQO222" s="35"/>
      <c r="KQP222" s="35"/>
      <c r="KQQ222" s="35"/>
      <c r="KQR222" s="35"/>
      <c r="KQS222" s="34"/>
      <c r="KQT222" s="34"/>
      <c r="KQU222" s="36"/>
      <c r="KQV222" s="36"/>
      <c r="KQW222" s="37"/>
      <c r="KQX222" s="37"/>
      <c r="KQY222" s="38"/>
      <c r="KQZ222" s="38"/>
      <c r="KRA222" s="39"/>
      <c r="KRB222" s="34"/>
      <c r="KRC222" s="34"/>
      <c r="KRD222" s="34"/>
      <c r="KRE222" s="35"/>
      <c r="KRF222" s="35"/>
      <c r="KRG222" s="35"/>
      <c r="KRH222" s="35"/>
      <c r="KRI222" s="35"/>
      <c r="KRJ222" s="34"/>
      <c r="KRK222" s="34"/>
      <c r="KRL222" s="36"/>
      <c r="KRM222" s="36"/>
      <c r="KRN222" s="37"/>
      <c r="KRO222" s="37"/>
      <c r="KRP222" s="38"/>
      <c r="KRQ222" s="38"/>
      <c r="KRR222" s="39"/>
      <c r="KRS222" s="34"/>
      <c r="KRT222" s="34"/>
      <c r="KRU222" s="34"/>
      <c r="KRV222" s="35"/>
      <c r="KRW222" s="35"/>
      <c r="KRX222" s="35"/>
      <c r="KRY222" s="35"/>
      <c r="KRZ222" s="35"/>
      <c r="KSA222" s="34"/>
      <c r="KSB222" s="34"/>
      <c r="KSC222" s="36"/>
      <c r="KSD222" s="36"/>
      <c r="KSE222" s="37"/>
      <c r="KSF222" s="37"/>
      <c r="KSG222" s="38"/>
      <c r="KSH222" s="38"/>
      <c r="KSI222" s="39"/>
      <c r="KSJ222" s="34"/>
      <c r="KSK222" s="34"/>
      <c r="KSL222" s="34"/>
      <c r="KSM222" s="35"/>
      <c r="KSN222" s="35"/>
      <c r="KSO222" s="35"/>
      <c r="KSP222" s="35"/>
      <c r="KSQ222" s="35"/>
      <c r="KSR222" s="34"/>
      <c r="KSS222" s="34"/>
      <c r="KST222" s="36"/>
      <c r="KSU222" s="36"/>
      <c r="KSV222" s="37"/>
      <c r="KSW222" s="37"/>
      <c r="KSX222" s="38"/>
      <c r="KSY222" s="38"/>
      <c r="KSZ222" s="39"/>
      <c r="KTA222" s="34"/>
      <c r="KTB222" s="34"/>
      <c r="KTC222" s="34"/>
      <c r="KTD222" s="35"/>
      <c r="KTE222" s="35"/>
      <c r="KTF222" s="35"/>
      <c r="KTG222" s="35"/>
      <c r="KTH222" s="35"/>
      <c r="KTI222" s="34"/>
      <c r="KTJ222" s="34"/>
      <c r="KTK222" s="36"/>
      <c r="KTL222" s="36"/>
      <c r="KTM222" s="37"/>
      <c r="KTN222" s="37"/>
      <c r="KTO222" s="38"/>
      <c r="KTP222" s="38"/>
      <c r="KTQ222" s="39"/>
      <c r="KTR222" s="34"/>
      <c r="KTS222" s="34"/>
      <c r="KTT222" s="34"/>
      <c r="KTU222" s="35"/>
      <c r="KTV222" s="35"/>
      <c r="KTW222" s="35"/>
      <c r="KTX222" s="35"/>
      <c r="KTY222" s="35"/>
      <c r="KTZ222" s="34"/>
      <c r="KUA222" s="34"/>
      <c r="KUB222" s="36"/>
      <c r="KUC222" s="36"/>
      <c r="KUD222" s="37"/>
      <c r="KUE222" s="37"/>
      <c r="KUF222" s="38"/>
      <c r="KUG222" s="38"/>
      <c r="KUH222" s="39"/>
      <c r="KUI222" s="34"/>
      <c r="KUJ222" s="34"/>
      <c r="KUK222" s="34"/>
      <c r="KUL222" s="35"/>
      <c r="KUM222" s="35"/>
      <c r="KUN222" s="35"/>
      <c r="KUO222" s="35"/>
      <c r="KUP222" s="35"/>
      <c r="KUQ222" s="34"/>
      <c r="KUR222" s="34"/>
      <c r="KUS222" s="36"/>
      <c r="KUT222" s="36"/>
      <c r="KUU222" s="37"/>
      <c r="KUV222" s="37"/>
      <c r="KUW222" s="38"/>
      <c r="KUX222" s="38"/>
      <c r="KUY222" s="39"/>
      <c r="KUZ222" s="34"/>
      <c r="KVA222" s="34"/>
      <c r="KVB222" s="34"/>
      <c r="KVC222" s="35"/>
      <c r="KVD222" s="35"/>
      <c r="KVE222" s="35"/>
      <c r="KVF222" s="35"/>
      <c r="KVG222" s="35"/>
      <c r="KVH222" s="34"/>
      <c r="KVI222" s="34"/>
      <c r="KVJ222" s="36"/>
      <c r="KVK222" s="36"/>
      <c r="KVL222" s="37"/>
      <c r="KVM222" s="37"/>
      <c r="KVN222" s="38"/>
      <c r="KVO222" s="38"/>
      <c r="KVP222" s="39"/>
      <c r="KVQ222" s="34"/>
      <c r="KVR222" s="34"/>
      <c r="KVS222" s="34"/>
      <c r="KVT222" s="35"/>
      <c r="KVU222" s="35"/>
      <c r="KVV222" s="35"/>
      <c r="KVW222" s="35"/>
      <c r="KVX222" s="35"/>
      <c r="KVY222" s="34"/>
      <c r="KVZ222" s="34"/>
      <c r="KWA222" s="36"/>
      <c r="KWB222" s="36"/>
      <c r="KWC222" s="37"/>
      <c r="KWD222" s="37"/>
      <c r="KWE222" s="38"/>
      <c r="KWF222" s="38"/>
      <c r="KWG222" s="39"/>
      <c r="KWH222" s="34"/>
      <c r="KWI222" s="34"/>
      <c r="KWJ222" s="34"/>
      <c r="KWK222" s="35"/>
      <c r="KWL222" s="35"/>
      <c r="KWM222" s="35"/>
      <c r="KWN222" s="35"/>
      <c r="KWO222" s="35"/>
      <c r="KWP222" s="34"/>
      <c r="KWQ222" s="34"/>
      <c r="KWR222" s="36"/>
      <c r="KWS222" s="36"/>
      <c r="KWT222" s="37"/>
      <c r="KWU222" s="37"/>
      <c r="KWV222" s="38"/>
      <c r="KWW222" s="38"/>
      <c r="KWX222" s="39"/>
      <c r="KWY222" s="34"/>
      <c r="KWZ222" s="34"/>
      <c r="KXA222" s="34"/>
      <c r="KXB222" s="35"/>
      <c r="KXC222" s="35"/>
      <c r="KXD222" s="35"/>
      <c r="KXE222" s="35"/>
      <c r="KXF222" s="35"/>
      <c r="KXG222" s="34"/>
      <c r="KXH222" s="34"/>
      <c r="KXI222" s="36"/>
      <c r="KXJ222" s="36"/>
      <c r="KXK222" s="37"/>
      <c r="KXL222" s="37"/>
      <c r="KXM222" s="38"/>
      <c r="KXN222" s="38"/>
      <c r="KXO222" s="39"/>
      <c r="KXP222" s="34"/>
      <c r="KXQ222" s="34"/>
      <c r="KXR222" s="34"/>
      <c r="KXS222" s="35"/>
      <c r="KXT222" s="35"/>
      <c r="KXU222" s="35"/>
      <c r="KXV222" s="35"/>
      <c r="KXW222" s="35"/>
      <c r="KXX222" s="34"/>
      <c r="KXY222" s="34"/>
      <c r="KXZ222" s="36"/>
      <c r="KYA222" s="36"/>
      <c r="KYB222" s="37"/>
      <c r="KYC222" s="37"/>
      <c r="KYD222" s="38"/>
      <c r="KYE222" s="38"/>
      <c r="KYF222" s="39"/>
      <c r="KYG222" s="34"/>
      <c r="KYH222" s="34"/>
      <c r="KYI222" s="34"/>
      <c r="KYJ222" s="35"/>
      <c r="KYK222" s="35"/>
      <c r="KYL222" s="35"/>
      <c r="KYM222" s="35"/>
      <c r="KYN222" s="35"/>
      <c r="KYO222" s="34"/>
      <c r="KYP222" s="34"/>
      <c r="KYQ222" s="36"/>
      <c r="KYR222" s="36"/>
      <c r="KYS222" s="37"/>
      <c r="KYT222" s="37"/>
      <c r="KYU222" s="38"/>
      <c r="KYV222" s="38"/>
      <c r="KYW222" s="39"/>
      <c r="KYX222" s="34"/>
      <c r="KYY222" s="34"/>
      <c r="KYZ222" s="34"/>
      <c r="KZA222" s="35"/>
      <c r="KZB222" s="35"/>
      <c r="KZC222" s="35"/>
      <c r="KZD222" s="35"/>
      <c r="KZE222" s="35"/>
      <c r="KZF222" s="34"/>
      <c r="KZG222" s="34"/>
      <c r="KZH222" s="36"/>
      <c r="KZI222" s="36"/>
      <c r="KZJ222" s="37"/>
      <c r="KZK222" s="37"/>
      <c r="KZL222" s="38"/>
      <c r="KZM222" s="38"/>
      <c r="KZN222" s="39"/>
      <c r="KZO222" s="34"/>
      <c r="KZP222" s="34"/>
      <c r="KZQ222" s="34"/>
      <c r="KZR222" s="35"/>
      <c r="KZS222" s="35"/>
      <c r="KZT222" s="35"/>
      <c r="KZU222" s="35"/>
      <c r="KZV222" s="35"/>
      <c r="KZW222" s="34"/>
      <c r="KZX222" s="34"/>
      <c r="KZY222" s="36"/>
      <c r="KZZ222" s="36"/>
      <c r="LAA222" s="37"/>
      <c r="LAB222" s="37"/>
      <c r="LAC222" s="38"/>
      <c r="LAD222" s="38"/>
      <c r="LAE222" s="39"/>
      <c r="LAF222" s="34"/>
      <c r="LAG222" s="34"/>
      <c r="LAH222" s="34"/>
      <c r="LAI222" s="35"/>
      <c r="LAJ222" s="35"/>
      <c r="LAK222" s="35"/>
      <c r="LAL222" s="35"/>
      <c r="LAM222" s="35"/>
      <c r="LAN222" s="34"/>
      <c r="LAO222" s="34"/>
      <c r="LAP222" s="36"/>
      <c r="LAQ222" s="36"/>
      <c r="LAR222" s="37"/>
      <c r="LAS222" s="37"/>
      <c r="LAT222" s="38"/>
      <c r="LAU222" s="38"/>
      <c r="LAV222" s="39"/>
      <c r="LAW222" s="34"/>
      <c r="LAX222" s="34"/>
      <c r="LAY222" s="34"/>
      <c r="LAZ222" s="35"/>
      <c r="LBA222" s="35"/>
      <c r="LBB222" s="35"/>
      <c r="LBC222" s="35"/>
      <c r="LBD222" s="35"/>
      <c r="LBE222" s="34"/>
      <c r="LBF222" s="34"/>
      <c r="LBG222" s="36"/>
      <c r="LBH222" s="36"/>
      <c r="LBI222" s="37"/>
      <c r="LBJ222" s="37"/>
      <c r="LBK222" s="38"/>
      <c r="LBL222" s="38"/>
      <c r="LBM222" s="39"/>
      <c r="LBN222" s="34"/>
      <c r="LBO222" s="34"/>
      <c r="LBP222" s="34"/>
      <c r="LBQ222" s="35"/>
      <c r="LBR222" s="35"/>
      <c r="LBS222" s="35"/>
      <c r="LBT222" s="35"/>
      <c r="LBU222" s="35"/>
      <c r="LBV222" s="34"/>
      <c r="LBW222" s="34"/>
      <c r="LBX222" s="36"/>
      <c r="LBY222" s="36"/>
      <c r="LBZ222" s="37"/>
      <c r="LCA222" s="37"/>
      <c r="LCB222" s="38"/>
      <c r="LCC222" s="38"/>
      <c r="LCD222" s="39"/>
      <c r="LCE222" s="34"/>
      <c r="LCF222" s="34"/>
      <c r="LCG222" s="34"/>
      <c r="LCH222" s="35"/>
      <c r="LCI222" s="35"/>
      <c r="LCJ222" s="35"/>
      <c r="LCK222" s="35"/>
      <c r="LCL222" s="35"/>
      <c r="LCM222" s="34"/>
      <c r="LCN222" s="34"/>
      <c r="LCO222" s="36"/>
      <c r="LCP222" s="36"/>
      <c r="LCQ222" s="37"/>
      <c r="LCR222" s="37"/>
      <c r="LCS222" s="38"/>
      <c r="LCT222" s="38"/>
      <c r="LCU222" s="39"/>
      <c r="LCV222" s="34"/>
      <c r="LCW222" s="34"/>
      <c r="LCX222" s="34"/>
      <c r="LCY222" s="35"/>
      <c r="LCZ222" s="35"/>
      <c r="LDA222" s="35"/>
      <c r="LDB222" s="35"/>
      <c r="LDC222" s="35"/>
      <c r="LDD222" s="34"/>
      <c r="LDE222" s="34"/>
      <c r="LDF222" s="36"/>
      <c r="LDG222" s="36"/>
      <c r="LDH222" s="37"/>
      <c r="LDI222" s="37"/>
      <c r="LDJ222" s="38"/>
      <c r="LDK222" s="38"/>
      <c r="LDL222" s="39"/>
      <c r="LDM222" s="34"/>
      <c r="LDN222" s="34"/>
      <c r="LDO222" s="34"/>
      <c r="LDP222" s="35"/>
      <c r="LDQ222" s="35"/>
      <c r="LDR222" s="35"/>
      <c r="LDS222" s="35"/>
      <c r="LDT222" s="35"/>
      <c r="LDU222" s="34"/>
      <c r="LDV222" s="34"/>
      <c r="LDW222" s="36"/>
      <c r="LDX222" s="36"/>
      <c r="LDY222" s="37"/>
      <c r="LDZ222" s="37"/>
      <c r="LEA222" s="38"/>
      <c r="LEB222" s="38"/>
      <c r="LEC222" s="39"/>
      <c r="LED222" s="34"/>
      <c r="LEE222" s="34"/>
      <c r="LEF222" s="34"/>
      <c r="LEG222" s="35"/>
      <c r="LEH222" s="35"/>
      <c r="LEI222" s="35"/>
      <c r="LEJ222" s="35"/>
      <c r="LEK222" s="35"/>
      <c r="LEL222" s="34"/>
      <c r="LEM222" s="34"/>
      <c r="LEN222" s="36"/>
      <c r="LEO222" s="36"/>
      <c r="LEP222" s="37"/>
      <c r="LEQ222" s="37"/>
      <c r="LER222" s="38"/>
      <c r="LES222" s="38"/>
      <c r="LET222" s="39"/>
      <c r="LEU222" s="34"/>
      <c r="LEV222" s="34"/>
      <c r="LEW222" s="34"/>
      <c r="LEX222" s="35"/>
      <c r="LEY222" s="35"/>
      <c r="LEZ222" s="35"/>
      <c r="LFA222" s="35"/>
      <c r="LFB222" s="35"/>
      <c r="LFC222" s="34"/>
      <c r="LFD222" s="34"/>
      <c r="LFE222" s="36"/>
      <c r="LFF222" s="36"/>
      <c r="LFG222" s="37"/>
      <c r="LFH222" s="37"/>
      <c r="LFI222" s="38"/>
      <c r="LFJ222" s="38"/>
      <c r="LFK222" s="39"/>
      <c r="LFL222" s="34"/>
      <c r="LFM222" s="34"/>
      <c r="LFN222" s="34"/>
      <c r="LFO222" s="35"/>
      <c r="LFP222" s="35"/>
      <c r="LFQ222" s="35"/>
      <c r="LFR222" s="35"/>
      <c r="LFS222" s="35"/>
      <c r="LFT222" s="34"/>
      <c r="LFU222" s="34"/>
      <c r="LFV222" s="36"/>
      <c r="LFW222" s="36"/>
      <c r="LFX222" s="37"/>
      <c r="LFY222" s="37"/>
      <c r="LFZ222" s="38"/>
      <c r="LGA222" s="38"/>
      <c r="LGB222" s="39"/>
      <c r="LGC222" s="34"/>
      <c r="LGD222" s="34"/>
      <c r="LGE222" s="34"/>
      <c r="LGF222" s="35"/>
      <c r="LGG222" s="35"/>
      <c r="LGH222" s="35"/>
      <c r="LGI222" s="35"/>
      <c r="LGJ222" s="35"/>
      <c r="LGK222" s="34"/>
      <c r="LGL222" s="34"/>
      <c r="LGM222" s="36"/>
      <c r="LGN222" s="36"/>
      <c r="LGO222" s="37"/>
      <c r="LGP222" s="37"/>
      <c r="LGQ222" s="38"/>
      <c r="LGR222" s="38"/>
      <c r="LGS222" s="39"/>
      <c r="LGT222" s="34"/>
      <c r="LGU222" s="34"/>
      <c r="LGV222" s="34"/>
      <c r="LGW222" s="35"/>
      <c r="LGX222" s="35"/>
      <c r="LGY222" s="35"/>
      <c r="LGZ222" s="35"/>
      <c r="LHA222" s="35"/>
      <c r="LHB222" s="34"/>
      <c r="LHC222" s="34"/>
      <c r="LHD222" s="36"/>
      <c r="LHE222" s="36"/>
      <c r="LHF222" s="37"/>
      <c r="LHG222" s="37"/>
      <c r="LHH222" s="38"/>
      <c r="LHI222" s="38"/>
      <c r="LHJ222" s="39"/>
      <c r="LHK222" s="34"/>
      <c r="LHL222" s="34"/>
      <c r="LHM222" s="34"/>
      <c r="LHN222" s="35"/>
      <c r="LHO222" s="35"/>
      <c r="LHP222" s="35"/>
      <c r="LHQ222" s="35"/>
      <c r="LHR222" s="35"/>
      <c r="LHS222" s="34"/>
      <c r="LHT222" s="34"/>
      <c r="LHU222" s="36"/>
      <c r="LHV222" s="36"/>
      <c r="LHW222" s="37"/>
      <c r="LHX222" s="37"/>
      <c r="LHY222" s="38"/>
      <c r="LHZ222" s="38"/>
      <c r="LIA222" s="39"/>
      <c r="LIB222" s="34"/>
      <c r="LIC222" s="34"/>
      <c r="LID222" s="34"/>
      <c r="LIE222" s="35"/>
      <c r="LIF222" s="35"/>
      <c r="LIG222" s="35"/>
      <c r="LIH222" s="35"/>
      <c r="LII222" s="35"/>
      <c r="LIJ222" s="34"/>
      <c r="LIK222" s="34"/>
      <c r="LIL222" s="36"/>
      <c r="LIM222" s="36"/>
      <c r="LIN222" s="37"/>
      <c r="LIO222" s="37"/>
      <c r="LIP222" s="38"/>
      <c r="LIQ222" s="38"/>
      <c r="LIR222" s="39"/>
      <c r="LIS222" s="34"/>
      <c r="LIT222" s="34"/>
      <c r="LIU222" s="34"/>
      <c r="LIV222" s="35"/>
      <c r="LIW222" s="35"/>
      <c r="LIX222" s="35"/>
      <c r="LIY222" s="35"/>
      <c r="LIZ222" s="35"/>
      <c r="LJA222" s="34"/>
      <c r="LJB222" s="34"/>
      <c r="LJC222" s="36"/>
      <c r="LJD222" s="36"/>
      <c r="LJE222" s="37"/>
      <c r="LJF222" s="37"/>
      <c r="LJG222" s="38"/>
      <c r="LJH222" s="38"/>
      <c r="LJI222" s="39"/>
      <c r="LJJ222" s="34"/>
      <c r="LJK222" s="34"/>
      <c r="LJL222" s="34"/>
      <c r="LJM222" s="35"/>
      <c r="LJN222" s="35"/>
      <c r="LJO222" s="35"/>
      <c r="LJP222" s="35"/>
      <c r="LJQ222" s="35"/>
      <c r="LJR222" s="34"/>
      <c r="LJS222" s="34"/>
      <c r="LJT222" s="36"/>
      <c r="LJU222" s="36"/>
      <c r="LJV222" s="37"/>
      <c r="LJW222" s="37"/>
      <c r="LJX222" s="38"/>
      <c r="LJY222" s="38"/>
      <c r="LJZ222" s="39"/>
      <c r="LKA222" s="34"/>
      <c r="LKB222" s="34"/>
      <c r="LKC222" s="34"/>
      <c r="LKD222" s="35"/>
      <c r="LKE222" s="35"/>
      <c r="LKF222" s="35"/>
      <c r="LKG222" s="35"/>
      <c r="LKH222" s="35"/>
      <c r="LKI222" s="34"/>
      <c r="LKJ222" s="34"/>
      <c r="LKK222" s="36"/>
      <c r="LKL222" s="36"/>
      <c r="LKM222" s="37"/>
      <c r="LKN222" s="37"/>
      <c r="LKO222" s="38"/>
      <c r="LKP222" s="38"/>
      <c r="LKQ222" s="39"/>
      <c r="LKR222" s="34"/>
      <c r="LKS222" s="34"/>
      <c r="LKT222" s="34"/>
      <c r="LKU222" s="35"/>
      <c r="LKV222" s="35"/>
      <c r="LKW222" s="35"/>
      <c r="LKX222" s="35"/>
      <c r="LKY222" s="35"/>
      <c r="LKZ222" s="34"/>
      <c r="LLA222" s="34"/>
      <c r="LLB222" s="36"/>
      <c r="LLC222" s="36"/>
      <c r="LLD222" s="37"/>
      <c r="LLE222" s="37"/>
      <c r="LLF222" s="38"/>
      <c r="LLG222" s="38"/>
      <c r="LLH222" s="39"/>
      <c r="LLI222" s="34"/>
      <c r="LLJ222" s="34"/>
      <c r="LLK222" s="34"/>
      <c r="LLL222" s="35"/>
      <c r="LLM222" s="35"/>
      <c r="LLN222" s="35"/>
      <c r="LLO222" s="35"/>
      <c r="LLP222" s="35"/>
      <c r="LLQ222" s="34"/>
      <c r="LLR222" s="34"/>
      <c r="LLS222" s="36"/>
      <c r="LLT222" s="36"/>
      <c r="LLU222" s="37"/>
      <c r="LLV222" s="37"/>
      <c r="LLW222" s="38"/>
      <c r="LLX222" s="38"/>
      <c r="LLY222" s="39"/>
      <c r="LLZ222" s="34"/>
      <c r="LMA222" s="34"/>
      <c r="LMB222" s="34"/>
      <c r="LMC222" s="35"/>
      <c r="LMD222" s="35"/>
      <c r="LME222" s="35"/>
      <c r="LMF222" s="35"/>
      <c r="LMG222" s="35"/>
      <c r="LMH222" s="34"/>
      <c r="LMI222" s="34"/>
      <c r="LMJ222" s="36"/>
      <c r="LMK222" s="36"/>
      <c r="LML222" s="37"/>
      <c r="LMM222" s="37"/>
      <c r="LMN222" s="38"/>
      <c r="LMO222" s="38"/>
      <c r="LMP222" s="39"/>
      <c r="LMQ222" s="34"/>
      <c r="LMR222" s="34"/>
      <c r="LMS222" s="34"/>
      <c r="LMT222" s="35"/>
      <c r="LMU222" s="35"/>
      <c r="LMV222" s="35"/>
      <c r="LMW222" s="35"/>
      <c r="LMX222" s="35"/>
      <c r="LMY222" s="34"/>
      <c r="LMZ222" s="34"/>
      <c r="LNA222" s="36"/>
      <c r="LNB222" s="36"/>
      <c r="LNC222" s="37"/>
      <c r="LND222" s="37"/>
      <c r="LNE222" s="38"/>
      <c r="LNF222" s="38"/>
      <c r="LNG222" s="39"/>
      <c r="LNH222" s="34"/>
      <c r="LNI222" s="34"/>
      <c r="LNJ222" s="34"/>
      <c r="LNK222" s="35"/>
      <c r="LNL222" s="35"/>
      <c r="LNM222" s="35"/>
      <c r="LNN222" s="35"/>
      <c r="LNO222" s="35"/>
      <c r="LNP222" s="34"/>
      <c r="LNQ222" s="34"/>
      <c r="LNR222" s="36"/>
      <c r="LNS222" s="36"/>
      <c r="LNT222" s="37"/>
      <c r="LNU222" s="37"/>
      <c r="LNV222" s="38"/>
      <c r="LNW222" s="38"/>
      <c r="LNX222" s="39"/>
      <c r="LNY222" s="34"/>
      <c r="LNZ222" s="34"/>
      <c r="LOA222" s="34"/>
      <c r="LOB222" s="35"/>
      <c r="LOC222" s="35"/>
      <c r="LOD222" s="35"/>
      <c r="LOE222" s="35"/>
      <c r="LOF222" s="35"/>
      <c r="LOG222" s="34"/>
      <c r="LOH222" s="34"/>
      <c r="LOI222" s="36"/>
      <c r="LOJ222" s="36"/>
      <c r="LOK222" s="37"/>
      <c r="LOL222" s="37"/>
      <c r="LOM222" s="38"/>
      <c r="LON222" s="38"/>
      <c r="LOO222" s="39"/>
      <c r="LOP222" s="34"/>
      <c r="LOQ222" s="34"/>
      <c r="LOR222" s="34"/>
      <c r="LOS222" s="35"/>
      <c r="LOT222" s="35"/>
      <c r="LOU222" s="35"/>
      <c r="LOV222" s="35"/>
      <c r="LOW222" s="35"/>
      <c r="LOX222" s="34"/>
      <c r="LOY222" s="34"/>
      <c r="LOZ222" s="36"/>
      <c r="LPA222" s="36"/>
      <c r="LPB222" s="37"/>
      <c r="LPC222" s="37"/>
      <c r="LPD222" s="38"/>
      <c r="LPE222" s="38"/>
      <c r="LPF222" s="39"/>
      <c r="LPG222" s="34"/>
      <c r="LPH222" s="34"/>
      <c r="LPI222" s="34"/>
      <c r="LPJ222" s="35"/>
      <c r="LPK222" s="35"/>
      <c r="LPL222" s="35"/>
      <c r="LPM222" s="35"/>
      <c r="LPN222" s="35"/>
      <c r="LPO222" s="34"/>
      <c r="LPP222" s="34"/>
      <c r="LPQ222" s="36"/>
      <c r="LPR222" s="36"/>
      <c r="LPS222" s="37"/>
      <c r="LPT222" s="37"/>
      <c r="LPU222" s="38"/>
      <c r="LPV222" s="38"/>
      <c r="LPW222" s="39"/>
      <c r="LPX222" s="34"/>
      <c r="LPY222" s="34"/>
      <c r="LPZ222" s="34"/>
      <c r="LQA222" s="35"/>
      <c r="LQB222" s="35"/>
      <c r="LQC222" s="35"/>
      <c r="LQD222" s="35"/>
      <c r="LQE222" s="35"/>
      <c r="LQF222" s="34"/>
      <c r="LQG222" s="34"/>
      <c r="LQH222" s="36"/>
      <c r="LQI222" s="36"/>
      <c r="LQJ222" s="37"/>
      <c r="LQK222" s="37"/>
      <c r="LQL222" s="38"/>
      <c r="LQM222" s="38"/>
      <c r="LQN222" s="39"/>
      <c r="LQO222" s="34"/>
      <c r="LQP222" s="34"/>
      <c r="LQQ222" s="34"/>
      <c r="LQR222" s="35"/>
      <c r="LQS222" s="35"/>
      <c r="LQT222" s="35"/>
      <c r="LQU222" s="35"/>
      <c r="LQV222" s="35"/>
      <c r="LQW222" s="34"/>
      <c r="LQX222" s="34"/>
      <c r="LQY222" s="36"/>
      <c r="LQZ222" s="36"/>
      <c r="LRA222" s="37"/>
      <c r="LRB222" s="37"/>
      <c r="LRC222" s="38"/>
      <c r="LRD222" s="38"/>
      <c r="LRE222" s="39"/>
      <c r="LRF222" s="34"/>
      <c r="LRG222" s="34"/>
      <c r="LRH222" s="34"/>
      <c r="LRI222" s="35"/>
      <c r="LRJ222" s="35"/>
      <c r="LRK222" s="35"/>
      <c r="LRL222" s="35"/>
      <c r="LRM222" s="35"/>
      <c r="LRN222" s="34"/>
      <c r="LRO222" s="34"/>
      <c r="LRP222" s="36"/>
      <c r="LRQ222" s="36"/>
      <c r="LRR222" s="37"/>
      <c r="LRS222" s="37"/>
      <c r="LRT222" s="38"/>
      <c r="LRU222" s="38"/>
      <c r="LRV222" s="39"/>
      <c r="LRW222" s="34"/>
      <c r="LRX222" s="34"/>
      <c r="LRY222" s="34"/>
      <c r="LRZ222" s="35"/>
      <c r="LSA222" s="35"/>
      <c r="LSB222" s="35"/>
      <c r="LSC222" s="35"/>
      <c r="LSD222" s="35"/>
      <c r="LSE222" s="34"/>
      <c r="LSF222" s="34"/>
      <c r="LSG222" s="36"/>
      <c r="LSH222" s="36"/>
      <c r="LSI222" s="37"/>
      <c r="LSJ222" s="37"/>
      <c r="LSK222" s="38"/>
      <c r="LSL222" s="38"/>
      <c r="LSM222" s="39"/>
      <c r="LSN222" s="34"/>
      <c r="LSO222" s="34"/>
      <c r="LSP222" s="34"/>
      <c r="LSQ222" s="35"/>
      <c r="LSR222" s="35"/>
      <c r="LSS222" s="35"/>
      <c r="LST222" s="35"/>
      <c r="LSU222" s="35"/>
      <c r="LSV222" s="34"/>
      <c r="LSW222" s="34"/>
      <c r="LSX222" s="36"/>
      <c r="LSY222" s="36"/>
      <c r="LSZ222" s="37"/>
      <c r="LTA222" s="37"/>
      <c r="LTB222" s="38"/>
      <c r="LTC222" s="38"/>
      <c r="LTD222" s="39"/>
      <c r="LTE222" s="34"/>
      <c r="LTF222" s="34"/>
      <c r="LTG222" s="34"/>
      <c r="LTH222" s="35"/>
      <c r="LTI222" s="35"/>
      <c r="LTJ222" s="35"/>
      <c r="LTK222" s="35"/>
      <c r="LTL222" s="35"/>
      <c r="LTM222" s="34"/>
      <c r="LTN222" s="34"/>
      <c r="LTO222" s="36"/>
      <c r="LTP222" s="36"/>
      <c r="LTQ222" s="37"/>
      <c r="LTR222" s="37"/>
      <c r="LTS222" s="38"/>
      <c r="LTT222" s="38"/>
      <c r="LTU222" s="39"/>
      <c r="LTV222" s="34"/>
      <c r="LTW222" s="34"/>
      <c r="LTX222" s="34"/>
      <c r="LTY222" s="35"/>
      <c r="LTZ222" s="35"/>
      <c r="LUA222" s="35"/>
      <c r="LUB222" s="35"/>
      <c r="LUC222" s="35"/>
      <c r="LUD222" s="34"/>
      <c r="LUE222" s="34"/>
      <c r="LUF222" s="36"/>
      <c r="LUG222" s="36"/>
      <c r="LUH222" s="37"/>
      <c r="LUI222" s="37"/>
      <c r="LUJ222" s="38"/>
      <c r="LUK222" s="38"/>
      <c r="LUL222" s="39"/>
      <c r="LUM222" s="34"/>
      <c r="LUN222" s="34"/>
      <c r="LUO222" s="34"/>
      <c r="LUP222" s="35"/>
      <c r="LUQ222" s="35"/>
      <c r="LUR222" s="35"/>
      <c r="LUS222" s="35"/>
      <c r="LUT222" s="35"/>
      <c r="LUU222" s="34"/>
      <c r="LUV222" s="34"/>
      <c r="LUW222" s="36"/>
      <c r="LUX222" s="36"/>
      <c r="LUY222" s="37"/>
      <c r="LUZ222" s="37"/>
      <c r="LVA222" s="38"/>
      <c r="LVB222" s="38"/>
      <c r="LVC222" s="39"/>
      <c r="LVD222" s="34"/>
      <c r="LVE222" s="34"/>
      <c r="LVF222" s="34"/>
      <c r="LVG222" s="35"/>
      <c r="LVH222" s="35"/>
      <c r="LVI222" s="35"/>
      <c r="LVJ222" s="35"/>
      <c r="LVK222" s="35"/>
      <c r="LVL222" s="34"/>
      <c r="LVM222" s="34"/>
      <c r="LVN222" s="36"/>
      <c r="LVO222" s="36"/>
      <c r="LVP222" s="37"/>
      <c r="LVQ222" s="37"/>
      <c r="LVR222" s="38"/>
      <c r="LVS222" s="38"/>
      <c r="LVT222" s="39"/>
      <c r="LVU222" s="34"/>
      <c r="LVV222" s="34"/>
      <c r="LVW222" s="34"/>
      <c r="LVX222" s="35"/>
      <c r="LVY222" s="35"/>
      <c r="LVZ222" s="35"/>
      <c r="LWA222" s="35"/>
      <c r="LWB222" s="35"/>
      <c r="LWC222" s="34"/>
      <c r="LWD222" s="34"/>
      <c r="LWE222" s="36"/>
      <c r="LWF222" s="36"/>
      <c r="LWG222" s="37"/>
      <c r="LWH222" s="37"/>
      <c r="LWI222" s="38"/>
      <c r="LWJ222" s="38"/>
      <c r="LWK222" s="39"/>
      <c r="LWL222" s="34"/>
      <c r="LWM222" s="34"/>
      <c r="LWN222" s="34"/>
      <c r="LWO222" s="35"/>
      <c r="LWP222" s="35"/>
      <c r="LWQ222" s="35"/>
      <c r="LWR222" s="35"/>
      <c r="LWS222" s="35"/>
      <c r="LWT222" s="34"/>
      <c r="LWU222" s="34"/>
      <c r="LWV222" s="36"/>
      <c r="LWW222" s="36"/>
      <c r="LWX222" s="37"/>
      <c r="LWY222" s="37"/>
      <c r="LWZ222" s="38"/>
      <c r="LXA222" s="38"/>
      <c r="LXB222" s="39"/>
      <c r="LXC222" s="34"/>
      <c r="LXD222" s="34"/>
      <c r="LXE222" s="34"/>
      <c r="LXF222" s="35"/>
      <c r="LXG222" s="35"/>
      <c r="LXH222" s="35"/>
      <c r="LXI222" s="35"/>
      <c r="LXJ222" s="35"/>
      <c r="LXK222" s="34"/>
      <c r="LXL222" s="34"/>
      <c r="LXM222" s="36"/>
      <c r="LXN222" s="36"/>
      <c r="LXO222" s="37"/>
      <c r="LXP222" s="37"/>
      <c r="LXQ222" s="38"/>
      <c r="LXR222" s="38"/>
      <c r="LXS222" s="39"/>
      <c r="LXT222" s="34"/>
      <c r="LXU222" s="34"/>
      <c r="LXV222" s="34"/>
      <c r="LXW222" s="35"/>
      <c r="LXX222" s="35"/>
      <c r="LXY222" s="35"/>
      <c r="LXZ222" s="35"/>
      <c r="LYA222" s="35"/>
      <c r="LYB222" s="34"/>
      <c r="LYC222" s="34"/>
      <c r="LYD222" s="36"/>
      <c r="LYE222" s="36"/>
      <c r="LYF222" s="37"/>
      <c r="LYG222" s="37"/>
      <c r="LYH222" s="38"/>
      <c r="LYI222" s="38"/>
      <c r="LYJ222" s="39"/>
      <c r="LYK222" s="34"/>
      <c r="LYL222" s="34"/>
      <c r="LYM222" s="34"/>
      <c r="LYN222" s="35"/>
      <c r="LYO222" s="35"/>
      <c r="LYP222" s="35"/>
      <c r="LYQ222" s="35"/>
      <c r="LYR222" s="35"/>
      <c r="LYS222" s="34"/>
      <c r="LYT222" s="34"/>
      <c r="LYU222" s="36"/>
      <c r="LYV222" s="36"/>
      <c r="LYW222" s="37"/>
      <c r="LYX222" s="37"/>
      <c r="LYY222" s="38"/>
      <c r="LYZ222" s="38"/>
      <c r="LZA222" s="39"/>
      <c r="LZB222" s="34"/>
      <c r="LZC222" s="34"/>
      <c r="LZD222" s="34"/>
      <c r="LZE222" s="35"/>
      <c r="LZF222" s="35"/>
      <c r="LZG222" s="35"/>
      <c r="LZH222" s="35"/>
      <c r="LZI222" s="35"/>
      <c r="LZJ222" s="34"/>
      <c r="LZK222" s="34"/>
      <c r="LZL222" s="36"/>
      <c r="LZM222" s="36"/>
      <c r="LZN222" s="37"/>
      <c r="LZO222" s="37"/>
      <c r="LZP222" s="38"/>
      <c r="LZQ222" s="38"/>
      <c r="LZR222" s="39"/>
      <c r="LZS222" s="34"/>
      <c r="LZT222" s="34"/>
      <c r="LZU222" s="34"/>
      <c r="LZV222" s="35"/>
      <c r="LZW222" s="35"/>
      <c r="LZX222" s="35"/>
      <c r="LZY222" s="35"/>
      <c r="LZZ222" s="35"/>
      <c r="MAA222" s="34"/>
      <c r="MAB222" s="34"/>
      <c r="MAC222" s="36"/>
      <c r="MAD222" s="36"/>
      <c r="MAE222" s="37"/>
      <c r="MAF222" s="37"/>
      <c r="MAG222" s="38"/>
      <c r="MAH222" s="38"/>
      <c r="MAI222" s="39"/>
      <c r="MAJ222" s="34"/>
      <c r="MAK222" s="34"/>
      <c r="MAL222" s="34"/>
      <c r="MAM222" s="35"/>
      <c r="MAN222" s="35"/>
      <c r="MAO222" s="35"/>
      <c r="MAP222" s="35"/>
      <c r="MAQ222" s="35"/>
      <c r="MAR222" s="34"/>
      <c r="MAS222" s="34"/>
      <c r="MAT222" s="36"/>
      <c r="MAU222" s="36"/>
      <c r="MAV222" s="37"/>
      <c r="MAW222" s="37"/>
      <c r="MAX222" s="38"/>
      <c r="MAY222" s="38"/>
      <c r="MAZ222" s="39"/>
      <c r="MBA222" s="34"/>
      <c r="MBB222" s="34"/>
      <c r="MBC222" s="34"/>
      <c r="MBD222" s="35"/>
      <c r="MBE222" s="35"/>
      <c r="MBF222" s="35"/>
      <c r="MBG222" s="35"/>
      <c r="MBH222" s="35"/>
      <c r="MBI222" s="34"/>
      <c r="MBJ222" s="34"/>
      <c r="MBK222" s="36"/>
      <c r="MBL222" s="36"/>
      <c r="MBM222" s="37"/>
      <c r="MBN222" s="37"/>
      <c r="MBO222" s="38"/>
      <c r="MBP222" s="38"/>
      <c r="MBQ222" s="39"/>
      <c r="MBR222" s="34"/>
      <c r="MBS222" s="34"/>
      <c r="MBT222" s="34"/>
      <c r="MBU222" s="35"/>
      <c r="MBV222" s="35"/>
      <c r="MBW222" s="35"/>
      <c r="MBX222" s="35"/>
      <c r="MBY222" s="35"/>
      <c r="MBZ222" s="34"/>
      <c r="MCA222" s="34"/>
      <c r="MCB222" s="36"/>
      <c r="MCC222" s="36"/>
      <c r="MCD222" s="37"/>
      <c r="MCE222" s="37"/>
      <c r="MCF222" s="38"/>
      <c r="MCG222" s="38"/>
      <c r="MCH222" s="39"/>
      <c r="MCI222" s="34"/>
      <c r="MCJ222" s="34"/>
      <c r="MCK222" s="34"/>
      <c r="MCL222" s="35"/>
      <c r="MCM222" s="35"/>
      <c r="MCN222" s="35"/>
      <c r="MCO222" s="35"/>
      <c r="MCP222" s="35"/>
      <c r="MCQ222" s="34"/>
      <c r="MCR222" s="34"/>
      <c r="MCS222" s="36"/>
      <c r="MCT222" s="36"/>
      <c r="MCU222" s="37"/>
      <c r="MCV222" s="37"/>
      <c r="MCW222" s="38"/>
      <c r="MCX222" s="38"/>
      <c r="MCY222" s="39"/>
      <c r="MCZ222" s="34"/>
      <c r="MDA222" s="34"/>
      <c r="MDB222" s="34"/>
      <c r="MDC222" s="35"/>
      <c r="MDD222" s="35"/>
      <c r="MDE222" s="35"/>
      <c r="MDF222" s="35"/>
      <c r="MDG222" s="35"/>
      <c r="MDH222" s="34"/>
      <c r="MDI222" s="34"/>
      <c r="MDJ222" s="36"/>
      <c r="MDK222" s="36"/>
      <c r="MDL222" s="37"/>
      <c r="MDM222" s="37"/>
      <c r="MDN222" s="38"/>
      <c r="MDO222" s="38"/>
      <c r="MDP222" s="39"/>
      <c r="MDQ222" s="34"/>
      <c r="MDR222" s="34"/>
      <c r="MDS222" s="34"/>
      <c r="MDT222" s="35"/>
      <c r="MDU222" s="35"/>
      <c r="MDV222" s="35"/>
      <c r="MDW222" s="35"/>
      <c r="MDX222" s="35"/>
      <c r="MDY222" s="34"/>
      <c r="MDZ222" s="34"/>
      <c r="MEA222" s="36"/>
      <c r="MEB222" s="36"/>
      <c r="MEC222" s="37"/>
      <c r="MED222" s="37"/>
      <c r="MEE222" s="38"/>
      <c r="MEF222" s="38"/>
      <c r="MEG222" s="39"/>
      <c r="MEH222" s="34"/>
      <c r="MEI222" s="34"/>
      <c r="MEJ222" s="34"/>
      <c r="MEK222" s="35"/>
      <c r="MEL222" s="35"/>
      <c r="MEM222" s="35"/>
      <c r="MEN222" s="35"/>
      <c r="MEO222" s="35"/>
      <c r="MEP222" s="34"/>
      <c r="MEQ222" s="34"/>
      <c r="MER222" s="36"/>
      <c r="MES222" s="36"/>
      <c r="MET222" s="37"/>
      <c r="MEU222" s="37"/>
      <c r="MEV222" s="38"/>
      <c r="MEW222" s="38"/>
      <c r="MEX222" s="39"/>
      <c r="MEY222" s="34"/>
      <c r="MEZ222" s="34"/>
      <c r="MFA222" s="34"/>
      <c r="MFB222" s="35"/>
      <c r="MFC222" s="35"/>
      <c r="MFD222" s="35"/>
      <c r="MFE222" s="35"/>
      <c r="MFF222" s="35"/>
      <c r="MFG222" s="34"/>
      <c r="MFH222" s="34"/>
      <c r="MFI222" s="36"/>
      <c r="MFJ222" s="36"/>
      <c r="MFK222" s="37"/>
      <c r="MFL222" s="37"/>
      <c r="MFM222" s="38"/>
      <c r="MFN222" s="38"/>
      <c r="MFO222" s="39"/>
      <c r="MFP222" s="34"/>
      <c r="MFQ222" s="34"/>
      <c r="MFR222" s="34"/>
      <c r="MFS222" s="35"/>
      <c r="MFT222" s="35"/>
      <c r="MFU222" s="35"/>
      <c r="MFV222" s="35"/>
      <c r="MFW222" s="35"/>
      <c r="MFX222" s="34"/>
      <c r="MFY222" s="34"/>
      <c r="MFZ222" s="36"/>
      <c r="MGA222" s="36"/>
      <c r="MGB222" s="37"/>
      <c r="MGC222" s="37"/>
      <c r="MGD222" s="38"/>
      <c r="MGE222" s="38"/>
      <c r="MGF222" s="39"/>
      <c r="MGG222" s="34"/>
      <c r="MGH222" s="34"/>
      <c r="MGI222" s="34"/>
      <c r="MGJ222" s="35"/>
      <c r="MGK222" s="35"/>
      <c r="MGL222" s="35"/>
      <c r="MGM222" s="35"/>
      <c r="MGN222" s="35"/>
      <c r="MGO222" s="34"/>
      <c r="MGP222" s="34"/>
      <c r="MGQ222" s="36"/>
      <c r="MGR222" s="36"/>
      <c r="MGS222" s="37"/>
      <c r="MGT222" s="37"/>
      <c r="MGU222" s="38"/>
      <c r="MGV222" s="38"/>
      <c r="MGW222" s="39"/>
      <c r="MGX222" s="34"/>
      <c r="MGY222" s="34"/>
      <c r="MGZ222" s="34"/>
      <c r="MHA222" s="35"/>
      <c r="MHB222" s="35"/>
      <c r="MHC222" s="35"/>
      <c r="MHD222" s="35"/>
      <c r="MHE222" s="35"/>
      <c r="MHF222" s="34"/>
      <c r="MHG222" s="34"/>
      <c r="MHH222" s="36"/>
      <c r="MHI222" s="36"/>
      <c r="MHJ222" s="37"/>
      <c r="MHK222" s="37"/>
      <c r="MHL222" s="38"/>
      <c r="MHM222" s="38"/>
      <c r="MHN222" s="39"/>
      <c r="MHO222" s="34"/>
      <c r="MHP222" s="34"/>
      <c r="MHQ222" s="34"/>
      <c r="MHR222" s="35"/>
      <c r="MHS222" s="35"/>
      <c r="MHT222" s="35"/>
      <c r="MHU222" s="35"/>
      <c r="MHV222" s="35"/>
      <c r="MHW222" s="34"/>
      <c r="MHX222" s="34"/>
      <c r="MHY222" s="36"/>
      <c r="MHZ222" s="36"/>
      <c r="MIA222" s="37"/>
      <c r="MIB222" s="37"/>
      <c r="MIC222" s="38"/>
      <c r="MID222" s="38"/>
      <c r="MIE222" s="39"/>
      <c r="MIF222" s="34"/>
      <c r="MIG222" s="34"/>
      <c r="MIH222" s="34"/>
      <c r="MII222" s="35"/>
      <c r="MIJ222" s="35"/>
      <c r="MIK222" s="35"/>
      <c r="MIL222" s="35"/>
      <c r="MIM222" s="35"/>
      <c r="MIN222" s="34"/>
      <c r="MIO222" s="34"/>
      <c r="MIP222" s="36"/>
      <c r="MIQ222" s="36"/>
      <c r="MIR222" s="37"/>
      <c r="MIS222" s="37"/>
      <c r="MIT222" s="38"/>
      <c r="MIU222" s="38"/>
      <c r="MIV222" s="39"/>
      <c r="MIW222" s="34"/>
      <c r="MIX222" s="34"/>
      <c r="MIY222" s="34"/>
      <c r="MIZ222" s="35"/>
      <c r="MJA222" s="35"/>
      <c r="MJB222" s="35"/>
      <c r="MJC222" s="35"/>
      <c r="MJD222" s="35"/>
      <c r="MJE222" s="34"/>
      <c r="MJF222" s="34"/>
      <c r="MJG222" s="36"/>
      <c r="MJH222" s="36"/>
      <c r="MJI222" s="37"/>
      <c r="MJJ222" s="37"/>
      <c r="MJK222" s="38"/>
      <c r="MJL222" s="38"/>
      <c r="MJM222" s="39"/>
      <c r="MJN222" s="34"/>
      <c r="MJO222" s="34"/>
      <c r="MJP222" s="34"/>
      <c r="MJQ222" s="35"/>
      <c r="MJR222" s="35"/>
      <c r="MJS222" s="35"/>
      <c r="MJT222" s="35"/>
      <c r="MJU222" s="35"/>
      <c r="MJV222" s="34"/>
      <c r="MJW222" s="34"/>
      <c r="MJX222" s="36"/>
      <c r="MJY222" s="36"/>
      <c r="MJZ222" s="37"/>
      <c r="MKA222" s="37"/>
      <c r="MKB222" s="38"/>
      <c r="MKC222" s="38"/>
      <c r="MKD222" s="39"/>
      <c r="MKE222" s="34"/>
      <c r="MKF222" s="34"/>
      <c r="MKG222" s="34"/>
      <c r="MKH222" s="35"/>
      <c r="MKI222" s="35"/>
      <c r="MKJ222" s="35"/>
      <c r="MKK222" s="35"/>
      <c r="MKL222" s="35"/>
      <c r="MKM222" s="34"/>
      <c r="MKN222" s="34"/>
      <c r="MKO222" s="36"/>
      <c r="MKP222" s="36"/>
      <c r="MKQ222" s="37"/>
      <c r="MKR222" s="37"/>
      <c r="MKS222" s="38"/>
      <c r="MKT222" s="38"/>
      <c r="MKU222" s="39"/>
      <c r="MKV222" s="34"/>
      <c r="MKW222" s="34"/>
      <c r="MKX222" s="34"/>
      <c r="MKY222" s="35"/>
      <c r="MKZ222" s="35"/>
      <c r="MLA222" s="35"/>
      <c r="MLB222" s="35"/>
      <c r="MLC222" s="35"/>
      <c r="MLD222" s="34"/>
      <c r="MLE222" s="34"/>
      <c r="MLF222" s="36"/>
      <c r="MLG222" s="36"/>
      <c r="MLH222" s="37"/>
      <c r="MLI222" s="37"/>
      <c r="MLJ222" s="38"/>
      <c r="MLK222" s="38"/>
      <c r="MLL222" s="39"/>
      <c r="MLM222" s="34"/>
      <c r="MLN222" s="34"/>
      <c r="MLO222" s="34"/>
      <c r="MLP222" s="35"/>
      <c r="MLQ222" s="35"/>
      <c r="MLR222" s="35"/>
      <c r="MLS222" s="35"/>
      <c r="MLT222" s="35"/>
      <c r="MLU222" s="34"/>
      <c r="MLV222" s="34"/>
      <c r="MLW222" s="36"/>
      <c r="MLX222" s="36"/>
      <c r="MLY222" s="37"/>
      <c r="MLZ222" s="37"/>
      <c r="MMA222" s="38"/>
      <c r="MMB222" s="38"/>
      <c r="MMC222" s="39"/>
      <c r="MMD222" s="34"/>
      <c r="MME222" s="34"/>
      <c r="MMF222" s="34"/>
      <c r="MMG222" s="35"/>
      <c r="MMH222" s="35"/>
      <c r="MMI222" s="35"/>
      <c r="MMJ222" s="35"/>
      <c r="MMK222" s="35"/>
      <c r="MML222" s="34"/>
      <c r="MMM222" s="34"/>
      <c r="MMN222" s="36"/>
      <c r="MMO222" s="36"/>
      <c r="MMP222" s="37"/>
      <c r="MMQ222" s="37"/>
      <c r="MMR222" s="38"/>
      <c r="MMS222" s="38"/>
      <c r="MMT222" s="39"/>
      <c r="MMU222" s="34"/>
      <c r="MMV222" s="34"/>
      <c r="MMW222" s="34"/>
      <c r="MMX222" s="35"/>
      <c r="MMY222" s="35"/>
      <c r="MMZ222" s="35"/>
      <c r="MNA222" s="35"/>
      <c r="MNB222" s="35"/>
      <c r="MNC222" s="34"/>
      <c r="MND222" s="34"/>
      <c r="MNE222" s="36"/>
      <c r="MNF222" s="36"/>
      <c r="MNG222" s="37"/>
      <c r="MNH222" s="37"/>
      <c r="MNI222" s="38"/>
      <c r="MNJ222" s="38"/>
      <c r="MNK222" s="39"/>
      <c r="MNL222" s="34"/>
      <c r="MNM222" s="34"/>
      <c r="MNN222" s="34"/>
      <c r="MNO222" s="35"/>
      <c r="MNP222" s="35"/>
      <c r="MNQ222" s="35"/>
      <c r="MNR222" s="35"/>
      <c r="MNS222" s="35"/>
      <c r="MNT222" s="34"/>
      <c r="MNU222" s="34"/>
      <c r="MNV222" s="36"/>
      <c r="MNW222" s="36"/>
      <c r="MNX222" s="37"/>
      <c r="MNY222" s="37"/>
      <c r="MNZ222" s="38"/>
      <c r="MOA222" s="38"/>
      <c r="MOB222" s="39"/>
      <c r="MOC222" s="34"/>
      <c r="MOD222" s="34"/>
      <c r="MOE222" s="34"/>
      <c r="MOF222" s="35"/>
      <c r="MOG222" s="35"/>
      <c r="MOH222" s="35"/>
      <c r="MOI222" s="35"/>
      <c r="MOJ222" s="35"/>
      <c r="MOK222" s="34"/>
      <c r="MOL222" s="34"/>
      <c r="MOM222" s="36"/>
      <c r="MON222" s="36"/>
      <c r="MOO222" s="37"/>
      <c r="MOP222" s="37"/>
      <c r="MOQ222" s="38"/>
      <c r="MOR222" s="38"/>
      <c r="MOS222" s="39"/>
      <c r="MOT222" s="34"/>
      <c r="MOU222" s="34"/>
      <c r="MOV222" s="34"/>
      <c r="MOW222" s="35"/>
      <c r="MOX222" s="35"/>
      <c r="MOY222" s="35"/>
      <c r="MOZ222" s="35"/>
      <c r="MPA222" s="35"/>
      <c r="MPB222" s="34"/>
      <c r="MPC222" s="34"/>
      <c r="MPD222" s="36"/>
      <c r="MPE222" s="36"/>
      <c r="MPF222" s="37"/>
      <c r="MPG222" s="37"/>
      <c r="MPH222" s="38"/>
      <c r="MPI222" s="38"/>
      <c r="MPJ222" s="39"/>
      <c r="MPK222" s="34"/>
      <c r="MPL222" s="34"/>
      <c r="MPM222" s="34"/>
      <c r="MPN222" s="35"/>
      <c r="MPO222" s="35"/>
      <c r="MPP222" s="35"/>
      <c r="MPQ222" s="35"/>
      <c r="MPR222" s="35"/>
      <c r="MPS222" s="34"/>
      <c r="MPT222" s="34"/>
      <c r="MPU222" s="36"/>
      <c r="MPV222" s="36"/>
      <c r="MPW222" s="37"/>
      <c r="MPX222" s="37"/>
      <c r="MPY222" s="38"/>
      <c r="MPZ222" s="38"/>
      <c r="MQA222" s="39"/>
      <c r="MQB222" s="34"/>
      <c r="MQC222" s="34"/>
      <c r="MQD222" s="34"/>
      <c r="MQE222" s="35"/>
      <c r="MQF222" s="35"/>
      <c r="MQG222" s="35"/>
      <c r="MQH222" s="35"/>
      <c r="MQI222" s="35"/>
      <c r="MQJ222" s="34"/>
      <c r="MQK222" s="34"/>
      <c r="MQL222" s="36"/>
      <c r="MQM222" s="36"/>
      <c r="MQN222" s="37"/>
      <c r="MQO222" s="37"/>
      <c r="MQP222" s="38"/>
      <c r="MQQ222" s="38"/>
      <c r="MQR222" s="39"/>
      <c r="MQS222" s="34"/>
      <c r="MQT222" s="34"/>
      <c r="MQU222" s="34"/>
      <c r="MQV222" s="35"/>
      <c r="MQW222" s="35"/>
      <c r="MQX222" s="35"/>
      <c r="MQY222" s="35"/>
      <c r="MQZ222" s="35"/>
      <c r="MRA222" s="34"/>
      <c r="MRB222" s="34"/>
      <c r="MRC222" s="36"/>
      <c r="MRD222" s="36"/>
      <c r="MRE222" s="37"/>
      <c r="MRF222" s="37"/>
      <c r="MRG222" s="38"/>
      <c r="MRH222" s="38"/>
      <c r="MRI222" s="39"/>
      <c r="MRJ222" s="34"/>
      <c r="MRK222" s="34"/>
      <c r="MRL222" s="34"/>
      <c r="MRM222" s="35"/>
      <c r="MRN222" s="35"/>
      <c r="MRO222" s="35"/>
      <c r="MRP222" s="35"/>
      <c r="MRQ222" s="35"/>
      <c r="MRR222" s="34"/>
      <c r="MRS222" s="34"/>
      <c r="MRT222" s="36"/>
      <c r="MRU222" s="36"/>
      <c r="MRV222" s="37"/>
      <c r="MRW222" s="37"/>
      <c r="MRX222" s="38"/>
      <c r="MRY222" s="38"/>
      <c r="MRZ222" s="39"/>
      <c r="MSA222" s="34"/>
      <c r="MSB222" s="34"/>
      <c r="MSC222" s="34"/>
      <c r="MSD222" s="35"/>
      <c r="MSE222" s="35"/>
      <c r="MSF222" s="35"/>
      <c r="MSG222" s="35"/>
      <c r="MSH222" s="35"/>
      <c r="MSI222" s="34"/>
      <c r="MSJ222" s="34"/>
      <c r="MSK222" s="36"/>
      <c r="MSL222" s="36"/>
      <c r="MSM222" s="37"/>
      <c r="MSN222" s="37"/>
      <c r="MSO222" s="38"/>
      <c r="MSP222" s="38"/>
      <c r="MSQ222" s="39"/>
      <c r="MSR222" s="34"/>
      <c r="MSS222" s="34"/>
      <c r="MST222" s="34"/>
      <c r="MSU222" s="35"/>
      <c r="MSV222" s="35"/>
      <c r="MSW222" s="35"/>
      <c r="MSX222" s="35"/>
      <c r="MSY222" s="35"/>
      <c r="MSZ222" s="34"/>
      <c r="MTA222" s="34"/>
      <c r="MTB222" s="36"/>
      <c r="MTC222" s="36"/>
      <c r="MTD222" s="37"/>
      <c r="MTE222" s="37"/>
      <c r="MTF222" s="38"/>
      <c r="MTG222" s="38"/>
      <c r="MTH222" s="39"/>
      <c r="MTI222" s="34"/>
      <c r="MTJ222" s="34"/>
      <c r="MTK222" s="34"/>
      <c r="MTL222" s="35"/>
      <c r="MTM222" s="35"/>
      <c r="MTN222" s="35"/>
      <c r="MTO222" s="35"/>
      <c r="MTP222" s="35"/>
      <c r="MTQ222" s="34"/>
      <c r="MTR222" s="34"/>
      <c r="MTS222" s="36"/>
      <c r="MTT222" s="36"/>
      <c r="MTU222" s="37"/>
      <c r="MTV222" s="37"/>
      <c r="MTW222" s="38"/>
      <c r="MTX222" s="38"/>
      <c r="MTY222" s="39"/>
      <c r="MTZ222" s="34"/>
      <c r="MUA222" s="34"/>
      <c r="MUB222" s="34"/>
      <c r="MUC222" s="35"/>
      <c r="MUD222" s="35"/>
      <c r="MUE222" s="35"/>
      <c r="MUF222" s="35"/>
      <c r="MUG222" s="35"/>
      <c r="MUH222" s="34"/>
      <c r="MUI222" s="34"/>
      <c r="MUJ222" s="36"/>
      <c r="MUK222" s="36"/>
      <c r="MUL222" s="37"/>
      <c r="MUM222" s="37"/>
      <c r="MUN222" s="38"/>
      <c r="MUO222" s="38"/>
      <c r="MUP222" s="39"/>
      <c r="MUQ222" s="34"/>
      <c r="MUR222" s="34"/>
      <c r="MUS222" s="34"/>
      <c r="MUT222" s="35"/>
      <c r="MUU222" s="35"/>
      <c r="MUV222" s="35"/>
      <c r="MUW222" s="35"/>
      <c r="MUX222" s="35"/>
      <c r="MUY222" s="34"/>
      <c r="MUZ222" s="34"/>
      <c r="MVA222" s="36"/>
      <c r="MVB222" s="36"/>
      <c r="MVC222" s="37"/>
      <c r="MVD222" s="37"/>
      <c r="MVE222" s="38"/>
      <c r="MVF222" s="38"/>
      <c r="MVG222" s="39"/>
      <c r="MVH222" s="34"/>
      <c r="MVI222" s="34"/>
      <c r="MVJ222" s="34"/>
      <c r="MVK222" s="35"/>
      <c r="MVL222" s="35"/>
      <c r="MVM222" s="35"/>
      <c r="MVN222" s="35"/>
      <c r="MVO222" s="35"/>
      <c r="MVP222" s="34"/>
      <c r="MVQ222" s="34"/>
      <c r="MVR222" s="36"/>
      <c r="MVS222" s="36"/>
      <c r="MVT222" s="37"/>
      <c r="MVU222" s="37"/>
      <c r="MVV222" s="38"/>
      <c r="MVW222" s="38"/>
      <c r="MVX222" s="39"/>
      <c r="MVY222" s="34"/>
      <c r="MVZ222" s="34"/>
      <c r="MWA222" s="34"/>
      <c r="MWB222" s="35"/>
      <c r="MWC222" s="35"/>
      <c r="MWD222" s="35"/>
      <c r="MWE222" s="35"/>
      <c r="MWF222" s="35"/>
      <c r="MWG222" s="34"/>
      <c r="MWH222" s="34"/>
      <c r="MWI222" s="36"/>
      <c r="MWJ222" s="36"/>
      <c r="MWK222" s="37"/>
      <c r="MWL222" s="37"/>
      <c r="MWM222" s="38"/>
      <c r="MWN222" s="38"/>
      <c r="MWO222" s="39"/>
      <c r="MWP222" s="34"/>
      <c r="MWQ222" s="34"/>
      <c r="MWR222" s="34"/>
      <c r="MWS222" s="35"/>
      <c r="MWT222" s="35"/>
      <c r="MWU222" s="35"/>
      <c r="MWV222" s="35"/>
      <c r="MWW222" s="35"/>
      <c r="MWX222" s="34"/>
      <c r="MWY222" s="34"/>
      <c r="MWZ222" s="36"/>
      <c r="MXA222" s="36"/>
      <c r="MXB222" s="37"/>
      <c r="MXC222" s="37"/>
      <c r="MXD222" s="38"/>
      <c r="MXE222" s="38"/>
      <c r="MXF222" s="39"/>
      <c r="MXG222" s="34"/>
      <c r="MXH222" s="34"/>
      <c r="MXI222" s="34"/>
      <c r="MXJ222" s="35"/>
      <c r="MXK222" s="35"/>
      <c r="MXL222" s="35"/>
      <c r="MXM222" s="35"/>
      <c r="MXN222" s="35"/>
      <c r="MXO222" s="34"/>
      <c r="MXP222" s="34"/>
      <c r="MXQ222" s="36"/>
      <c r="MXR222" s="36"/>
      <c r="MXS222" s="37"/>
      <c r="MXT222" s="37"/>
      <c r="MXU222" s="38"/>
      <c r="MXV222" s="38"/>
      <c r="MXW222" s="39"/>
      <c r="MXX222" s="34"/>
      <c r="MXY222" s="34"/>
      <c r="MXZ222" s="34"/>
      <c r="MYA222" s="35"/>
      <c r="MYB222" s="35"/>
      <c r="MYC222" s="35"/>
      <c r="MYD222" s="35"/>
      <c r="MYE222" s="35"/>
      <c r="MYF222" s="34"/>
      <c r="MYG222" s="34"/>
      <c r="MYH222" s="36"/>
      <c r="MYI222" s="36"/>
      <c r="MYJ222" s="37"/>
      <c r="MYK222" s="37"/>
      <c r="MYL222" s="38"/>
      <c r="MYM222" s="38"/>
      <c r="MYN222" s="39"/>
      <c r="MYO222" s="34"/>
      <c r="MYP222" s="34"/>
      <c r="MYQ222" s="34"/>
      <c r="MYR222" s="35"/>
      <c r="MYS222" s="35"/>
      <c r="MYT222" s="35"/>
      <c r="MYU222" s="35"/>
      <c r="MYV222" s="35"/>
      <c r="MYW222" s="34"/>
      <c r="MYX222" s="34"/>
      <c r="MYY222" s="36"/>
      <c r="MYZ222" s="36"/>
      <c r="MZA222" s="37"/>
      <c r="MZB222" s="37"/>
      <c r="MZC222" s="38"/>
      <c r="MZD222" s="38"/>
      <c r="MZE222" s="39"/>
      <c r="MZF222" s="34"/>
      <c r="MZG222" s="34"/>
      <c r="MZH222" s="34"/>
      <c r="MZI222" s="35"/>
      <c r="MZJ222" s="35"/>
      <c r="MZK222" s="35"/>
      <c r="MZL222" s="35"/>
      <c r="MZM222" s="35"/>
      <c r="MZN222" s="34"/>
      <c r="MZO222" s="34"/>
      <c r="MZP222" s="36"/>
      <c r="MZQ222" s="36"/>
      <c r="MZR222" s="37"/>
      <c r="MZS222" s="37"/>
      <c r="MZT222" s="38"/>
      <c r="MZU222" s="38"/>
      <c r="MZV222" s="39"/>
      <c r="MZW222" s="34"/>
      <c r="MZX222" s="34"/>
      <c r="MZY222" s="34"/>
      <c r="MZZ222" s="35"/>
      <c r="NAA222" s="35"/>
      <c r="NAB222" s="35"/>
      <c r="NAC222" s="35"/>
      <c r="NAD222" s="35"/>
      <c r="NAE222" s="34"/>
      <c r="NAF222" s="34"/>
      <c r="NAG222" s="36"/>
      <c r="NAH222" s="36"/>
      <c r="NAI222" s="37"/>
      <c r="NAJ222" s="37"/>
      <c r="NAK222" s="38"/>
      <c r="NAL222" s="38"/>
      <c r="NAM222" s="39"/>
      <c r="NAN222" s="34"/>
      <c r="NAO222" s="34"/>
      <c r="NAP222" s="34"/>
      <c r="NAQ222" s="35"/>
      <c r="NAR222" s="35"/>
      <c r="NAS222" s="35"/>
      <c r="NAT222" s="35"/>
      <c r="NAU222" s="35"/>
      <c r="NAV222" s="34"/>
      <c r="NAW222" s="34"/>
      <c r="NAX222" s="36"/>
      <c r="NAY222" s="36"/>
      <c r="NAZ222" s="37"/>
      <c r="NBA222" s="37"/>
      <c r="NBB222" s="38"/>
      <c r="NBC222" s="38"/>
      <c r="NBD222" s="39"/>
      <c r="NBE222" s="34"/>
      <c r="NBF222" s="34"/>
      <c r="NBG222" s="34"/>
      <c r="NBH222" s="35"/>
      <c r="NBI222" s="35"/>
      <c r="NBJ222" s="35"/>
      <c r="NBK222" s="35"/>
      <c r="NBL222" s="35"/>
      <c r="NBM222" s="34"/>
      <c r="NBN222" s="34"/>
      <c r="NBO222" s="36"/>
      <c r="NBP222" s="36"/>
      <c r="NBQ222" s="37"/>
      <c r="NBR222" s="37"/>
      <c r="NBS222" s="38"/>
      <c r="NBT222" s="38"/>
      <c r="NBU222" s="39"/>
      <c r="NBV222" s="34"/>
      <c r="NBW222" s="34"/>
      <c r="NBX222" s="34"/>
      <c r="NBY222" s="35"/>
      <c r="NBZ222" s="35"/>
      <c r="NCA222" s="35"/>
      <c r="NCB222" s="35"/>
      <c r="NCC222" s="35"/>
      <c r="NCD222" s="34"/>
      <c r="NCE222" s="34"/>
      <c r="NCF222" s="36"/>
      <c r="NCG222" s="36"/>
      <c r="NCH222" s="37"/>
      <c r="NCI222" s="37"/>
      <c r="NCJ222" s="38"/>
      <c r="NCK222" s="38"/>
      <c r="NCL222" s="39"/>
      <c r="NCM222" s="34"/>
      <c r="NCN222" s="34"/>
      <c r="NCO222" s="34"/>
      <c r="NCP222" s="35"/>
      <c r="NCQ222" s="35"/>
      <c r="NCR222" s="35"/>
      <c r="NCS222" s="35"/>
      <c r="NCT222" s="35"/>
      <c r="NCU222" s="34"/>
      <c r="NCV222" s="34"/>
      <c r="NCW222" s="36"/>
      <c r="NCX222" s="36"/>
      <c r="NCY222" s="37"/>
      <c r="NCZ222" s="37"/>
      <c r="NDA222" s="38"/>
      <c r="NDB222" s="38"/>
      <c r="NDC222" s="39"/>
      <c r="NDD222" s="34"/>
      <c r="NDE222" s="34"/>
      <c r="NDF222" s="34"/>
      <c r="NDG222" s="35"/>
      <c r="NDH222" s="35"/>
      <c r="NDI222" s="35"/>
      <c r="NDJ222" s="35"/>
      <c r="NDK222" s="35"/>
      <c r="NDL222" s="34"/>
      <c r="NDM222" s="34"/>
      <c r="NDN222" s="36"/>
      <c r="NDO222" s="36"/>
      <c r="NDP222" s="37"/>
      <c r="NDQ222" s="37"/>
      <c r="NDR222" s="38"/>
      <c r="NDS222" s="38"/>
      <c r="NDT222" s="39"/>
      <c r="NDU222" s="34"/>
      <c r="NDV222" s="34"/>
      <c r="NDW222" s="34"/>
      <c r="NDX222" s="35"/>
      <c r="NDY222" s="35"/>
      <c r="NDZ222" s="35"/>
      <c r="NEA222" s="35"/>
      <c r="NEB222" s="35"/>
      <c r="NEC222" s="34"/>
      <c r="NED222" s="34"/>
      <c r="NEE222" s="36"/>
      <c r="NEF222" s="36"/>
      <c r="NEG222" s="37"/>
      <c r="NEH222" s="37"/>
      <c r="NEI222" s="38"/>
      <c r="NEJ222" s="38"/>
      <c r="NEK222" s="39"/>
      <c r="NEL222" s="34"/>
      <c r="NEM222" s="34"/>
      <c r="NEN222" s="34"/>
      <c r="NEO222" s="35"/>
      <c r="NEP222" s="35"/>
      <c r="NEQ222" s="35"/>
      <c r="NER222" s="35"/>
      <c r="NES222" s="35"/>
      <c r="NET222" s="34"/>
      <c r="NEU222" s="34"/>
      <c r="NEV222" s="36"/>
      <c r="NEW222" s="36"/>
      <c r="NEX222" s="37"/>
      <c r="NEY222" s="37"/>
      <c r="NEZ222" s="38"/>
      <c r="NFA222" s="38"/>
      <c r="NFB222" s="39"/>
      <c r="NFC222" s="34"/>
      <c r="NFD222" s="34"/>
      <c r="NFE222" s="34"/>
      <c r="NFF222" s="35"/>
      <c r="NFG222" s="35"/>
      <c r="NFH222" s="35"/>
      <c r="NFI222" s="35"/>
      <c r="NFJ222" s="35"/>
      <c r="NFK222" s="34"/>
      <c r="NFL222" s="34"/>
      <c r="NFM222" s="36"/>
      <c r="NFN222" s="36"/>
      <c r="NFO222" s="37"/>
      <c r="NFP222" s="37"/>
      <c r="NFQ222" s="38"/>
      <c r="NFR222" s="38"/>
      <c r="NFS222" s="39"/>
      <c r="NFT222" s="34"/>
      <c r="NFU222" s="34"/>
      <c r="NFV222" s="34"/>
      <c r="NFW222" s="35"/>
      <c r="NFX222" s="35"/>
      <c r="NFY222" s="35"/>
      <c r="NFZ222" s="35"/>
      <c r="NGA222" s="35"/>
      <c r="NGB222" s="34"/>
      <c r="NGC222" s="34"/>
      <c r="NGD222" s="36"/>
      <c r="NGE222" s="36"/>
      <c r="NGF222" s="37"/>
      <c r="NGG222" s="37"/>
      <c r="NGH222" s="38"/>
      <c r="NGI222" s="38"/>
      <c r="NGJ222" s="39"/>
      <c r="NGK222" s="34"/>
      <c r="NGL222" s="34"/>
      <c r="NGM222" s="34"/>
      <c r="NGN222" s="35"/>
      <c r="NGO222" s="35"/>
      <c r="NGP222" s="35"/>
      <c r="NGQ222" s="35"/>
      <c r="NGR222" s="35"/>
      <c r="NGS222" s="34"/>
      <c r="NGT222" s="34"/>
      <c r="NGU222" s="36"/>
      <c r="NGV222" s="36"/>
      <c r="NGW222" s="37"/>
      <c r="NGX222" s="37"/>
      <c r="NGY222" s="38"/>
      <c r="NGZ222" s="38"/>
      <c r="NHA222" s="39"/>
      <c r="NHB222" s="34"/>
      <c r="NHC222" s="34"/>
      <c r="NHD222" s="34"/>
      <c r="NHE222" s="35"/>
      <c r="NHF222" s="35"/>
      <c r="NHG222" s="35"/>
      <c r="NHH222" s="35"/>
      <c r="NHI222" s="35"/>
      <c r="NHJ222" s="34"/>
      <c r="NHK222" s="34"/>
      <c r="NHL222" s="36"/>
      <c r="NHM222" s="36"/>
      <c r="NHN222" s="37"/>
      <c r="NHO222" s="37"/>
      <c r="NHP222" s="38"/>
      <c r="NHQ222" s="38"/>
      <c r="NHR222" s="39"/>
      <c r="NHS222" s="34"/>
      <c r="NHT222" s="34"/>
      <c r="NHU222" s="34"/>
      <c r="NHV222" s="35"/>
      <c r="NHW222" s="35"/>
      <c r="NHX222" s="35"/>
      <c r="NHY222" s="35"/>
      <c r="NHZ222" s="35"/>
      <c r="NIA222" s="34"/>
      <c r="NIB222" s="34"/>
      <c r="NIC222" s="36"/>
      <c r="NID222" s="36"/>
      <c r="NIE222" s="37"/>
      <c r="NIF222" s="37"/>
      <c r="NIG222" s="38"/>
      <c r="NIH222" s="38"/>
      <c r="NII222" s="39"/>
      <c r="NIJ222" s="34"/>
      <c r="NIK222" s="34"/>
      <c r="NIL222" s="34"/>
      <c r="NIM222" s="35"/>
      <c r="NIN222" s="35"/>
      <c r="NIO222" s="35"/>
      <c r="NIP222" s="35"/>
      <c r="NIQ222" s="35"/>
      <c r="NIR222" s="34"/>
      <c r="NIS222" s="34"/>
      <c r="NIT222" s="36"/>
      <c r="NIU222" s="36"/>
      <c r="NIV222" s="37"/>
      <c r="NIW222" s="37"/>
      <c r="NIX222" s="38"/>
      <c r="NIY222" s="38"/>
      <c r="NIZ222" s="39"/>
      <c r="NJA222" s="34"/>
      <c r="NJB222" s="34"/>
      <c r="NJC222" s="34"/>
      <c r="NJD222" s="35"/>
      <c r="NJE222" s="35"/>
      <c r="NJF222" s="35"/>
      <c r="NJG222" s="35"/>
      <c r="NJH222" s="35"/>
      <c r="NJI222" s="34"/>
      <c r="NJJ222" s="34"/>
      <c r="NJK222" s="36"/>
      <c r="NJL222" s="36"/>
      <c r="NJM222" s="37"/>
      <c r="NJN222" s="37"/>
      <c r="NJO222" s="38"/>
      <c r="NJP222" s="38"/>
      <c r="NJQ222" s="39"/>
      <c r="NJR222" s="34"/>
      <c r="NJS222" s="34"/>
      <c r="NJT222" s="34"/>
      <c r="NJU222" s="35"/>
      <c r="NJV222" s="35"/>
      <c r="NJW222" s="35"/>
      <c r="NJX222" s="35"/>
      <c r="NJY222" s="35"/>
      <c r="NJZ222" s="34"/>
      <c r="NKA222" s="34"/>
      <c r="NKB222" s="36"/>
      <c r="NKC222" s="36"/>
      <c r="NKD222" s="37"/>
      <c r="NKE222" s="37"/>
      <c r="NKF222" s="38"/>
      <c r="NKG222" s="38"/>
      <c r="NKH222" s="39"/>
      <c r="NKI222" s="34"/>
      <c r="NKJ222" s="34"/>
      <c r="NKK222" s="34"/>
      <c r="NKL222" s="35"/>
      <c r="NKM222" s="35"/>
      <c r="NKN222" s="35"/>
      <c r="NKO222" s="35"/>
      <c r="NKP222" s="35"/>
      <c r="NKQ222" s="34"/>
      <c r="NKR222" s="34"/>
      <c r="NKS222" s="36"/>
      <c r="NKT222" s="36"/>
      <c r="NKU222" s="37"/>
      <c r="NKV222" s="37"/>
      <c r="NKW222" s="38"/>
      <c r="NKX222" s="38"/>
      <c r="NKY222" s="39"/>
      <c r="NKZ222" s="34"/>
      <c r="NLA222" s="34"/>
      <c r="NLB222" s="34"/>
      <c r="NLC222" s="35"/>
      <c r="NLD222" s="35"/>
      <c r="NLE222" s="35"/>
      <c r="NLF222" s="35"/>
      <c r="NLG222" s="35"/>
      <c r="NLH222" s="34"/>
      <c r="NLI222" s="34"/>
      <c r="NLJ222" s="36"/>
      <c r="NLK222" s="36"/>
      <c r="NLL222" s="37"/>
      <c r="NLM222" s="37"/>
      <c r="NLN222" s="38"/>
      <c r="NLO222" s="38"/>
      <c r="NLP222" s="39"/>
      <c r="NLQ222" s="34"/>
      <c r="NLR222" s="34"/>
      <c r="NLS222" s="34"/>
      <c r="NLT222" s="35"/>
      <c r="NLU222" s="35"/>
      <c r="NLV222" s="35"/>
      <c r="NLW222" s="35"/>
      <c r="NLX222" s="35"/>
      <c r="NLY222" s="34"/>
      <c r="NLZ222" s="34"/>
      <c r="NMA222" s="36"/>
      <c r="NMB222" s="36"/>
      <c r="NMC222" s="37"/>
      <c r="NMD222" s="37"/>
      <c r="NME222" s="38"/>
      <c r="NMF222" s="38"/>
      <c r="NMG222" s="39"/>
      <c r="NMH222" s="34"/>
      <c r="NMI222" s="34"/>
      <c r="NMJ222" s="34"/>
      <c r="NMK222" s="35"/>
      <c r="NML222" s="35"/>
      <c r="NMM222" s="35"/>
      <c r="NMN222" s="35"/>
      <c r="NMO222" s="35"/>
      <c r="NMP222" s="34"/>
      <c r="NMQ222" s="34"/>
      <c r="NMR222" s="36"/>
      <c r="NMS222" s="36"/>
      <c r="NMT222" s="37"/>
      <c r="NMU222" s="37"/>
      <c r="NMV222" s="38"/>
      <c r="NMW222" s="38"/>
      <c r="NMX222" s="39"/>
      <c r="NMY222" s="34"/>
      <c r="NMZ222" s="34"/>
      <c r="NNA222" s="34"/>
      <c r="NNB222" s="35"/>
      <c r="NNC222" s="35"/>
      <c r="NND222" s="35"/>
      <c r="NNE222" s="35"/>
      <c r="NNF222" s="35"/>
      <c r="NNG222" s="34"/>
      <c r="NNH222" s="34"/>
      <c r="NNI222" s="36"/>
      <c r="NNJ222" s="36"/>
      <c r="NNK222" s="37"/>
      <c r="NNL222" s="37"/>
      <c r="NNM222" s="38"/>
      <c r="NNN222" s="38"/>
      <c r="NNO222" s="39"/>
      <c r="NNP222" s="34"/>
      <c r="NNQ222" s="34"/>
      <c r="NNR222" s="34"/>
      <c r="NNS222" s="35"/>
      <c r="NNT222" s="35"/>
      <c r="NNU222" s="35"/>
      <c r="NNV222" s="35"/>
      <c r="NNW222" s="35"/>
      <c r="NNX222" s="34"/>
      <c r="NNY222" s="34"/>
      <c r="NNZ222" s="36"/>
      <c r="NOA222" s="36"/>
      <c r="NOB222" s="37"/>
      <c r="NOC222" s="37"/>
      <c r="NOD222" s="38"/>
      <c r="NOE222" s="38"/>
      <c r="NOF222" s="39"/>
      <c r="NOG222" s="34"/>
      <c r="NOH222" s="34"/>
      <c r="NOI222" s="34"/>
      <c r="NOJ222" s="35"/>
      <c r="NOK222" s="35"/>
      <c r="NOL222" s="35"/>
      <c r="NOM222" s="35"/>
      <c r="NON222" s="35"/>
      <c r="NOO222" s="34"/>
      <c r="NOP222" s="34"/>
      <c r="NOQ222" s="36"/>
      <c r="NOR222" s="36"/>
      <c r="NOS222" s="37"/>
      <c r="NOT222" s="37"/>
      <c r="NOU222" s="38"/>
      <c r="NOV222" s="38"/>
      <c r="NOW222" s="39"/>
      <c r="NOX222" s="34"/>
      <c r="NOY222" s="34"/>
      <c r="NOZ222" s="34"/>
      <c r="NPA222" s="35"/>
      <c r="NPB222" s="35"/>
      <c r="NPC222" s="35"/>
      <c r="NPD222" s="35"/>
      <c r="NPE222" s="35"/>
      <c r="NPF222" s="34"/>
      <c r="NPG222" s="34"/>
      <c r="NPH222" s="36"/>
      <c r="NPI222" s="36"/>
      <c r="NPJ222" s="37"/>
      <c r="NPK222" s="37"/>
      <c r="NPL222" s="38"/>
      <c r="NPM222" s="38"/>
      <c r="NPN222" s="39"/>
      <c r="NPO222" s="34"/>
      <c r="NPP222" s="34"/>
      <c r="NPQ222" s="34"/>
      <c r="NPR222" s="35"/>
      <c r="NPS222" s="35"/>
      <c r="NPT222" s="35"/>
      <c r="NPU222" s="35"/>
      <c r="NPV222" s="35"/>
      <c r="NPW222" s="34"/>
      <c r="NPX222" s="34"/>
      <c r="NPY222" s="36"/>
      <c r="NPZ222" s="36"/>
      <c r="NQA222" s="37"/>
      <c r="NQB222" s="37"/>
      <c r="NQC222" s="38"/>
      <c r="NQD222" s="38"/>
      <c r="NQE222" s="39"/>
      <c r="NQF222" s="34"/>
      <c r="NQG222" s="34"/>
      <c r="NQH222" s="34"/>
      <c r="NQI222" s="35"/>
      <c r="NQJ222" s="35"/>
      <c r="NQK222" s="35"/>
      <c r="NQL222" s="35"/>
      <c r="NQM222" s="35"/>
      <c r="NQN222" s="34"/>
      <c r="NQO222" s="34"/>
      <c r="NQP222" s="36"/>
      <c r="NQQ222" s="36"/>
      <c r="NQR222" s="37"/>
      <c r="NQS222" s="37"/>
      <c r="NQT222" s="38"/>
      <c r="NQU222" s="38"/>
      <c r="NQV222" s="39"/>
      <c r="NQW222" s="34"/>
      <c r="NQX222" s="34"/>
      <c r="NQY222" s="34"/>
      <c r="NQZ222" s="35"/>
      <c r="NRA222" s="35"/>
      <c r="NRB222" s="35"/>
      <c r="NRC222" s="35"/>
      <c r="NRD222" s="35"/>
      <c r="NRE222" s="34"/>
      <c r="NRF222" s="34"/>
      <c r="NRG222" s="36"/>
      <c r="NRH222" s="36"/>
      <c r="NRI222" s="37"/>
      <c r="NRJ222" s="37"/>
      <c r="NRK222" s="38"/>
      <c r="NRL222" s="38"/>
      <c r="NRM222" s="39"/>
      <c r="NRN222" s="34"/>
      <c r="NRO222" s="34"/>
      <c r="NRP222" s="34"/>
      <c r="NRQ222" s="35"/>
      <c r="NRR222" s="35"/>
      <c r="NRS222" s="35"/>
      <c r="NRT222" s="35"/>
      <c r="NRU222" s="35"/>
      <c r="NRV222" s="34"/>
      <c r="NRW222" s="34"/>
      <c r="NRX222" s="36"/>
      <c r="NRY222" s="36"/>
      <c r="NRZ222" s="37"/>
      <c r="NSA222" s="37"/>
      <c r="NSB222" s="38"/>
      <c r="NSC222" s="38"/>
      <c r="NSD222" s="39"/>
      <c r="NSE222" s="34"/>
      <c r="NSF222" s="34"/>
      <c r="NSG222" s="34"/>
      <c r="NSH222" s="35"/>
      <c r="NSI222" s="35"/>
      <c r="NSJ222" s="35"/>
      <c r="NSK222" s="35"/>
      <c r="NSL222" s="35"/>
      <c r="NSM222" s="34"/>
      <c r="NSN222" s="34"/>
      <c r="NSO222" s="36"/>
      <c r="NSP222" s="36"/>
      <c r="NSQ222" s="37"/>
      <c r="NSR222" s="37"/>
      <c r="NSS222" s="38"/>
      <c r="NST222" s="38"/>
      <c r="NSU222" s="39"/>
      <c r="NSV222" s="34"/>
      <c r="NSW222" s="34"/>
      <c r="NSX222" s="34"/>
      <c r="NSY222" s="35"/>
      <c r="NSZ222" s="35"/>
      <c r="NTA222" s="35"/>
      <c r="NTB222" s="35"/>
      <c r="NTC222" s="35"/>
      <c r="NTD222" s="34"/>
      <c r="NTE222" s="34"/>
      <c r="NTF222" s="36"/>
      <c r="NTG222" s="36"/>
      <c r="NTH222" s="37"/>
      <c r="NTI222" s="37"/>
      <c r="NTJ222" s="38"/>
      <c r="NTK222" s="38"/>
      <c r="NTL222" s="39"/>
      <c r="NTM222" s="34"/>
      <c r="NTN222" s="34"/>
      <c r="NTO222" s="34"/>
      <c r="NTP222" s="35"/>
      <c r="NTQ222" s="35"/>
      <c r="NTR222" s="35"/>
      <c r="NTS222" s="35"/>
      <c r="NTT222" s="35"/>
      <c r="NTU222" s="34"/>
      <c r="NTV222" s="34"/>
      <c r="NTW222" s="36"/>
      <c r="NTX222" s="36"/>
      <c r="NTY222" s="37"/>
      <c r="NTZ222" s="37"/>
      <c r="NUA222" s="38"/>
      <c r="NUB222" s="38"/>
      <c r="NUC222" s="39"/>
      <c r="NUD222" s="34"/>
      <c r="NUE222" s="34"/>
      <c r="NUF222" s="34"/>
      <c r="NUG222" s="35"/>
      <c r="NUH222" s="35"/>
      <c r="NUI222" s="35"/>
      <c r="NUJ222" s="35"/>
      <c r="NUK222" s="35"/>
      <c r="NUL222" s="34"/>
      <c r="NUM222" s="34"/>
      <c r="NUN222" s="36"/>
      <c r="NUO222" s="36"/>
      <c r="NUP222" s="37"/>
      <c r="NUQ222" s="37"/>
      <c r="NUR222" s="38"/>
      <c r="NUS222" s="38"/>
      <c r="NUT222" s="39"/>
      <c r="NUU222" s="34"/>
      <c r="NUV222" s="34"/>
      <c r="NUW222" s="34"/>
      <c r="NUX222" s="35"/>
      <c r="NUY222" s="35"/>
      <c r="NUZ222" s="35"/>
      <c r="NVA222" s="35"/>
      <c r="NVB222" s="35"/>
      <c r="NVC222" s="34"/>
      <c r="NVD222" s="34"/>
      <c r="NVE222" s="36"/>
      <c r="NVF222" s="36"/>
      <c r="NVG222" s="37"/>
      <c r="NVH222" s="37"/>
      <c r="NVI222" s="38"/>
      <c r="NVJ222" s="38"/>
      <c r="NVK222" s="39"/>
      <c r="NVL222" s="34"/>
      <c r="NVM222" s="34"/>
      <c r="NVN222" s="34"/>
      <c r="NVO222" s="35"/>
      <c r="NVP222" s="35"/>
      <c r="NVQ222" s="35"/>
      <c r="NVR222" s="35"/>
      <c r="NVS222" s="35"/>
      <c r="NVT222" s="34"/>
      <c r="NVU222" s="34"/>
      <c r="NVV222" s="36"/>
      <c r="NVW222" s="36"/>
      <c r="NVX222" s="37"/>
      <c r="NVY222" s="37"/>
      <c r="NVZ222" s="38"/>
      <c r="NWA222" s="38"/>
      <c r="NWB222" s="39"/>
      <c r="NWC222" s="34"/>
      <c r="NWD222" s="34"/>
      <c r="NWE222" s="34"/>
      <c r="NWF222" s="35"/>
      <c r="NWG222" s="35"/>
      <c r="NWH222" s="35"/>
      <c r="NWI222" s="35"/>
      <c r="NWJ222" s="35"/>
      <c r="NWK222" s="34"/>
      <c r="NWL222" s="34"/>
      <c r="NWM222" s="36"/>
      <c r="NWN222" s="36"/>
      <c r="NWO222" s="37"/>
      <c r="NWP222" s="37"/>
      <c r="NWQ222" s="38"/>
      <c r="NWR222" s="38"/>
      <c r="NWS222" s="39"/>
      <c r="NWT222" s="34"/>
      <c r="NWU222" s="34"/>
      <c r="NWV222" s="34"/>
      <c r="NWW222" s="35"/>
      <c r="NWX222" s="35"/>
      <c r="NWY222" s="35"/>
      <c r="NWZ222" s="35"/>
      <c r="NXA222" s="35"/>
      <c r="NXB222" s="34"/>
      <c r="NXC222" s="34"/>
      <c r="NXD222" s="36"/>
      <c r="NXE222" s="36"/>
      <c r="NXF222" s="37"/>
      <c r="NXG222" s="37"/>
      <c r="NXH222" s="38"/>
      <c r="NXI222" s="38"/>
      <c r="NXJ222" s="39"/>
      <c r="NXK222" s="34"/>
      <c r="NXL222" s="34"/>
      <c r="NXM222" s="34"/>
      <c r="NXN222" s="35"/>
      <c r="NXO222" s="35"/>
      <c r="NXP222" s="35"/>
      <c r="NXQ222" s="35"/>
      <c r="NXR222" s="35"/>
      <c r="NXS222" s="34"/>
      <c r="NXT222" s="34"/>
      <c r="NXU222" s="36"/>
      <c r="NXV222" s="36"/>
      <c r="NXW222" s="37"/>
      <c r="NXX222" s="37"/>
      <c r="NXY222" s="38"/>
      <c r="NXZ222" s="38"/>
      <c r="NYA222" s="39"/>
      <c r="NYB222" s="34"/>
      <c r="NYC222" s="34"/>
      <c r="NYD222" s="34"/>
      <c r="NYE222" s="35"/>
      <c r="NYF222" s="35"/>
      <c r="NYG222" s="35"/>
      <c r="NYH222" s="35"/>
      <c r="NYI222" s="35"/>
      <c r="NYJ222" s="34"/>
      <c r="NYK222" s="34"/>
      <c r="NYL222" s="36"/>
      <c r="NYM222" s="36"/>
      <c r="NYN222" s="37"/>
      <c r="NYO222" s="37"/>
      <c r="NYP222" s="38"/>
      <c r="NYQ222" s="38"/>
      <c r="NYR222" s="39"/>
      <c r="NYS222" s="34"/>
      <c r="NYT222" s="34"/>
      <c r="NYU222" s="34"/>
      <c r="NYV222" s="35"/>
      <c r="NYW222" s="35"/>
      <c r="NYX222" s="35"/>
      <c r="NYY222" s="35"/>
      <c r="NYZ222" s="35"/>
      <c r="NZA222" s="34"/>
      <c r="NZB222" s="34"/>
      <c r="NZC222" s="36"/>
      <c r="NZD222" s="36"/>
      <c r="NZE222" s="37"/>
      <c r="NZF222" s="37"/>
      <c r="NZG222" s="38"/>
      <c r="NZH222" s="38"/>
      <c r="NZI222" s="39"/>
      <c r="NZJ222" s="34"/>
      <c r="NZK222" s="34"/>
      <c r="NZL222" s="34"/>
      <c r="NZM222" s="35"/>
      <c r="NZN222" s="35"/>
      <c r="NZO222" s="35"/>
      <c r="NZP222" s="35"/>
      <c r="NZQ222" s="35"/>
      <c r="NZR222" s="34"/>
      <c r="NZS222" s="34"/>
      <c r="NZT222" s="36"/>
      <c r="NZU222" s="36"/>
      <c r="NZV222" s="37"/>
      <c r="NZW222" s="37"/>
      <c r="NZX222" s="38"/>
      <c r="NZY222" s="38"/>
      <c r="NZZ222" s="39"/>
      <c r="OAA222" s="34"/>
      <c r="OAB222" s="34"/>
      <c r="OAC222" s="34"/>
      <c r="OAD222" s="35"/>
      <c r="OAE222" s="35"/>
      <c r="OAF222" s="35"/>
      <c r="OAG222" s="35"/>
      <c r="OAH222" s="35"/>
      <c r="OAI222" s="34"/>
      <c r="OAJ222" s="34"/>
      <c r="OAK222" s="36"/>
      <c r="OAL222" s="36"/>
      <c r="OAM222" s="37"/>
      <c r="OAN222" s="37"/>
      <c r="OAO222" s="38"/>
      <c r="OAP222" s="38"/>
      <c r="OAQ222" s="39"/>
      <c r="OAR222" s="34"/>
      <c r="OAS222" s="34"/>
      <c r="OAT222" s="34"/>
      <c r="OAU222" s="35"/>
      <c r="OAV222" s="35"/>
      <c r="OAW222" s="35"/>
      <c r="OAX222" s="35"/>
      <c r="OAY222" s="35"/>
      <c r="OAZ222" s="34"/>
      <c r="OBA222" s="34"/>
      <c r="OBB222" s="36"/>
      <c r="OBC222" s="36"/>
      <c r="OBD222" s="37"/>
      <c r="OBE222" s="37"/>
      <c r="OBF222" s="38"/>
      <c r="OBG222" s="38"/>
      <c r="OBH222" s="39"/>
      <c r="OBI222" s="34"/>
      <c r="OBJ222" s="34"/>
      <c r="OBK222" s="34"/>
      <c r="OBL222" s="35"/>
      <c r="OBM222" s="35"/>
      <c r="OBN222" s="35"/>
      <c r="OBO222" s="35"/>
      <c r="OBP222" s="35"/>
      <c r="OBQ222" s="34"/>
      <c r="OBR222" s="34"/>
      <c r="OBS222" s="36"/>
      <c r="OBT222" s="36"/>
      <c r="OBU222" s="37"/>
      <c r="OBV222" s="37"/>
      <c r="OBW222" s="38"/>
      <c r="OBX222" s="38"/>
      <c r="OBY222" s="39"/>
      <c r="OBZ222" s="34"/>
      <c r="OCA222" s="34"/>
      <c r="OCB222" s="34"/>
      <c r="OCC222" s="35"/>
      <c r="OCD222" s="35"/>
      <c r="OCE222" s="35"/>
      <c r="OCF222" s="35"/>
      <c r="OCG222" s="35"/>
      <c r="OCH222" s="34"/>
      <c r="OCI222" s="34"/>
      <c r="OCJ222" s="36"/>
      <c r="OCK222" s="36"/>
      <c r="OCL222" s="37"/>
      <c r="OCM222" s="37"/>
      <c r="OCN222" s="38"/>
      <c r="OCO222" s="38"/>
      <c r="OCP222" s="39"/>
      <c r="OCQ222" s="34"/>
      <c r="OCR222" s="34"/>
      <c r="OCS222" s="34"/>
      <c r="OCT222" s="35"/>
      <c r="OCU222" s="35"/>
      <c r="OCV222" s="35"/>
      <c r="OCW222" s="35"/>
      <c r="OCX222" s="35"/>
      <c r="OCY222" s="34"/>
      <c r="OCZ222" s="34"/>
      <c r="ODA222" s="36"/>
      <c r="ODB222" s="36"/>
      <c r="ODC222" s="37"/>
      <c r="ODD222" s="37"/>
      <c r="ODE222" s="38"/>
      <c r="ODF222" s="38"/>
      <c r="ODG222" s="39"/>
      <c r="ODH222" s="34"/>
      <c r="ODI222" s="34"/>
      <c r="ODJ222" s="34"/>
      <c r="ODK222" s="35"/>
      <c r="ODL222" s="35"/>
      <c r="ODM222" s="35"/>
      <c r="ODN222" s="35"/>
      <c r="ODO222" s="35"/>
      <c r="ODP222" s="34"/>
      <c r="ODQ222" s="34"/>
      <c r="ODR222" s="36"/>
      <c r="ODS222" s="36"/>
      <c r="ODT222" s="37"/>
      <c r="ODU222" s="37"/>
      <c r="ODV222" s="38"/>
      <c r="ODW222" s="38"/>
      <c r="ODX222" s="39"/>
      <c r="ODY222" s="34"/>
      <c r="ODZ222" s="34"/>
      <c r="OEA222" s="34"/>
      <c r="OEB222" s="35"/>
      <c r="OEC222" s="35"/>
      <c r="OED222" s="35"/>
      <c r="OEE222" s="35"/>
      <c r="OEF222" s="35"/>
      <c r="OEG222" s="34"/>
      <c r="OEH222" s="34"/>
      <c r="OEI222" s="36"/>
      <c r="OEJ222" s="36"/>
      <c r="OEK222" s="37"/>
      <c r="OEL222" s="37"/>
      <c r="OEM222" s="38"/>
      <c r="OEN222" s="38"/>
      <c r="OEO222" s="39"/>
      <c r="OEP222" s="34"/>
      <c r="OEQ222" s="34"/>
      <c r="OER222" s="34"/>
      <c r="OES222" s="35"/>
      <c r="OET222" s="35"/>
      <c r="OEU222" s="35"/>
      <c r="OEV222" s="35"/>
      <c r="OEW222" s="35"/>
      <c r="OEX222" s="34"/>
      <c r="OEY222" s="34"/>
      <c r="OEZ222" s="36"/>
      <c r="OFA222" s="36"/>
      <c r="OFB222" s="37"/>
      <c r="OFC222" s="37"/>
      <c r="OFD222" s="38"/>
      <c r="OFE222" s="38"/>
      <c r="OFF222" s="39"/>
      <c r="OFG222" s="34"/>
      <c r="OFH222" s="34"/>
      <c r="OFI222" s="34"/>
      <c r="OFJ222" s="35"/>
      <c r="OFK222" s="35"/>
      <c r="OFL222" s="35"/>
      <c r="OFM222" s="35"/>
      <c r="OFN222" s="35"/>
      <c r="OFO222" s="34"/>
      <c r="OFP222" s="34"/>
      <c r="OFQ222" s="36"/>
      <c r="OFR222" s="36"/>
      <c r="OFS222" s="37"/>
      <c r="OFT222" s="37"/>
      <c r="OFU222" s="38"/>
      <c r="OFV222" s="38"/>
      <c r="OFW222" s="39"/>
      <c r="OFX222" s="34"/>
      <c r="OFY222" s="34"/>
      <c r="OFZ222" s="34"/>
      <c r="OGA222" s="35"/>
      <c r="OGB222" s="35"/>
      <c r="OGC222" s="35"/>
      <c r="OGD222" s="35"/>
      <c r="OGE222" s="35"/>
      <c r="OGF222" s="34"/>
      <c r="OGG222" s="34"/>
      <c r="OGH222" s="36"/>
      <c r="OGI222" s="36"/>
      <c r="OGJ222" s="37"/>
      <c r="OGK222" s="37"/>
      <c r="OGL222" s="38"/>
      <c r="OGM222" s="38"/>
      <c r="OGN222" s="39"/>
      <c r="OGO222" s="34"/>
      <c r="OGP222" s="34"/>
      <c r="OGQ222" s="34"/>
      <c r="OGR222" s="35"/>
      <c r="OGS222" s="35"/>
      <c r="OGT222" s="35"/>
      <c r="OGU222" s="35"/>
      <c r="OGV222" s="35"/>
      <c r="OGW222" s="34"/>
      <c r="OGX222" s="34"/>
      <c r="OGY222" s="36"/>
      <c r="OGZ222" s="36"/>
      <c r="OHA222" s="37"/>
      <c r="OHB222" s="37"/>
      <c r="OHC222" s="38"/>
      <c r="OHD222" s="38"/>
      <c r="OHE222" s="39"/>
      <c r="OHF222" s="34"/>
      <c r="OHG222" s="34"/>
      <c r="OHH222" s="34"/>
      <c r="OHI222" s="35"/>
      <c r="OHJ222" s="35"/>
      <c r="OHK222" s="35"/>
      <c r="OHL222" s="35"/>
      <c r="OHM222" s="35"/>
      <c r="OHN222" s="34"/>
      <c r="OHO222" s="34"/>
      <c r="OHP222" s="36"/>
      <c r="OHQ222" s="36"/>
      <c r="OHR222" s="37"/>
      <c r="OHS222" s="37"/>
      <c r="OHT222" s="38"/>
      <c r="OHU222" s="38"/>
      <c r="OHV222" s="39"/>
      <c r="OHW222" s="34"/>
      <c r="OHX222" s="34"/>
      <c r="OHY222" s="34"/>
      <c r="OHZ222" s="35"/>
      <c r="OIA222" s="35"/>
      <c r="OIB222" s="35"/>
      <c r="OIC222" s="35"/>
      <c r="OID222" s="35"/>
      <c r="OIE222" s="34"/>
      <c r="OIF222" s="34"/>
      <c r="OIG222" s="36"/>
      <c r="OIH222" s="36"/>
      <c r="OII222" s="37"/>
      <c r="OIJ222" s="37"/>
      <c r="OIK222" s="38"/>
      <c r="OIL222" s="38"/>
      <c r="OIM222" s="39"/>
      <c r="OIN222" s="34"/>
      <c r="OIO222" s="34"/>
      <c r="OIP222" s="34"/>
      <c r="OIQ222" s="35"/>
      <c r="OIR222" s="35"/>
      <c r="OIS222" s="35"/>
      <c r="OIT222" s="35"/>
      <c r="OIU222" s="35"/>
      <c r="OIV222" s="34"/>
      <c r="OIW222" s="34"/>
      <c r="OIX222" s="36"/>
      <c r="OIY222" s="36"/>
      <c r="OIZ222" s="37"/>
      <c r="OJA222" s="37"/>
      <c r="OJB222" s="38"/>
      <c r="OJC222" s="38"/>
      <c r="OJD222" s="39"/>
      <c r="OJE222" s="34"/>
      <c r="OJF222" s="34"/>
      <c r="OJG222" s="34"/>
      <c r="OJH222" s="35"/>
      <c r="OJI222" s="35"/>
      <c r="OJJ222" s="35"/>
      <c r="OJK222" s="35"/>
      <c r="OJL222" s="35"/>
      <c r="OJM222" s="34"/>
      <c r="OJN222" s="34"/>
      <c r="OJO222" s="36"/>
      <c r="OJP222" s="36"/>
      <c r="OJQ222" s="37"/>
      <c r="OJR222" s="37"/>
      <c r="OJS222" s="38"/>
      <c r="OJT222" s="38"/>
      <c r="OJU222" s="39"/>
      <c r="OJV222" s="34"/>
      <c r="OJW222" s="34"/>
      <c r="OJX222" s="34"/>
      <c r="OJY222" s="35"/>
      <c r="OJZ222" s="35"/>
      <c r="OKA222" s="35"/>
      <c r="OKB222" s="35"/>
      <c r="OKC222" s="35"/>
      <c r="OKD222" s="34"/>
      <c r="OKE222" s="34"/>
      <c r="OKF222" s="36"/>
      <c r="OKG222" s="36"/>
      <c r="OKH222" s="37"/>
      <c r="OKI222" s="37"/>
      <c r="OKJ222" s="38"/>
      <c r="OKK222" s="38"/>
      <c r="OKL222" s="39"/>
      <c r="OKM222" s="34"/>
      <c r="OKN222" s="34"/>
      <c r="OKO222" s="34"/>
      <c r="OKP222" s="35"/>
      <c r="OKQ222" s="35"/>
      <c r="OKR222" s="35"/>
      <c r="OKS222" s="35"/>
      <c r="OKT222" s="35"/>
      <c r="OKU222" s="34"/>
      <c r="OKV222" s="34"/>
      <c r="OKW222" s="36"/>
      <c r="OKX222" s="36"/>
      <c r="OKY222" s="37"/>
      <c r="OKZ222" s="37"/>
      <c r="OLA222" s="38"/>
      <c r="OLB222" s="38"/>
      <c r="OLC222" s="39"/>
      <c r="OLD222" s="34"/>
      <c r="OLE222" s="34"/>
      <c r="OLF222" s="34"/>
      <c r="OLG222" s="35"/>
      <c r="OLH222" s="35"/>
      <c r="OLI222" s="35"/>
      <c r="OLJ222" s="35"/>
      <c r="OLK222" s="35"/>
      <c r="OLL222" s="34"/>
      <c r="OLM222" s="34"/>
      <c r="OLN222" s="36"/>
      <c r="OLO222" s="36"/>
      <c r="OLP222" s="37"/>
      <c r="OLQ222" s="37"/>
      <c r="OLR222" s="38"/>
      <c r="OLS222" s="38"/>
      <c r="OLT222" s="39"/>
      <c r="OLU222" s="34"/>
      <c r="OLV222" s="34"/>
      <c r="OLW222" s="34"/>
      <c r="OLX222" s="35"/>
      <c r="OLY222" s="35"/>
      <c r="OLZ222" s="35"/>
      <c r="OMA222" s="35"/>
      <c r="OMB222" s="35"/>
      <c r="OMC222" s="34"/>
      <c r="OMD222" s="34"/>
      <c r="OME222" s="36"/>
      <c r="OMF222" s="36"/>
      <c r="OMG222" s="37"/>
      <c r="OMH222" s="37"/>
      <c r="OMI222" s="38"/>
      <c r="OMJ222" s="38"/>
      <c r="OMK222" s="39"/>
      <c r="OML222" s="34"/>
      <c r="OMM222" s="34"/>
      <c r="OMN222" s="34"/>
      <c r="OMO222" s="35"/>
      <c r="OMP222" s="35"/>
      <c r="OMQ222" s="35"/>
      <c r="OMR222" s="35"/>
      <c r="OMS222" s="35"/>
      <c r="OMT222" s="34"/>
      <c r="OMU222" s="34"/>
      <c r="OMV222" s="36"/>
      <c r="OMW222" s="36"/>
      <c r="OMX222" s="37"/>
      <c r="OMY222" s="37"/>
      <c r="OMZ222" s="38"/>
      <c r="ONA222" s="38"/>
      <c r="ONB222" s="39"/>
      <c r="ONC222" s="34"/>
      <c r="OND222" s="34"/>
      <c r="ONE222" s="34"/>
      <c r="ONF222" s="35"/>
      <c r="ONG222" s="35"/>
      <c r="ONH222" s="35"/>
      <c r="ONI222" s="35"/>
      <c r="ONJ222" s="35"/>
      <c r="ONK222" s="34"/>
      <c r="ONL222" s="34"/>
      <c r="ONM222" s="36"/>
      <c r="ONN222" s="36"/>
      <c r="ONO222" s="37"/>
      <c r="ONP222" s="37"/>
      <c r="ONQ222" s="38"/>
      <c r="ONR222" s="38"/>
      <c r="ONS222" s="39"/>
      <c r="ONT222" s="34"/>
      <c r="ONU222" s="34"/>
      <c r="ONV222" s="34"/>
      <c r="ONW222" s="35"/>
      <c r="ONX222" s="35"/>
      <c r="ONY222" s="35"/>
      <c r="ONZ222" s="35"/>
      <c r="OOA222" s="35"/>
      <c r="OOB222" s="34"/>
      <c r="OOC222" s="34"/>
      <c r="OOD222" s="36"/>
      <c r="OOE222" s="36"/>
      <c r="OOF222" s="37"/>
      <c r="OOG222" s="37"/>
      <c r="OOH222" s="38"/>
      <c r="OOI222" s="38"/>
      <c r="OOJ222" s="39"/>
      <c r="OOK222" s="34"/>
      <c r="OOL222" s="34"/>
      <c r="OOM222" s="34"/>
      <c r="OON222" s="35"/>
      <c r="OOO222" s="35"/>
      <c r="OOP222" s="35"/>
      <c r="OOQ222" s="35"/>
      <c r="OOR222" s="35"/>
      <c r="OOS222" s="34"/>
      <c r="OOT222" s="34"/>
      <c r="OOU222" s="36"/>
      <c r="OOV222" s="36"/>
      <c r="OOW222" s="37"/>
      <c r="OOX222" s="37"/>
      <c r="OOY222" s="38"/>
      <c r="OOZ222" s="38"/>
      <c r="OPA222" s="39"/>
      <c r="OPB222" s="34"/>
      <c r="OPC222" s="34"/>
      <c r="OPD222" s="34"/>
      <c r="OPE222" s="35"/>
      <c r="OPF222" s="35"/>
      <c r="OPG222" s="35"/>
      <c r="OPH222" s="35"/>
      <c r="OPI222" s="35"/>
      <c r="OPJ222" s="34"/>
      <c r="OPK222" s="34"/>
      <c r="OPL222" s="36"/>
      <c r="OPM222" s="36"/>
      <c r="OPN222" s="37"/>
      <c r="OPO222" s="37"/>
      <c r="OPP222" s="38"/>
      <c r="OPQ222" s="38"/>
      <c r="OPR222" s="39"/>
      <c r="OPS222" s="34"/>
      <c r="OPT222" s="34"/>
      <c r="OPU222" s="34"/>
      <c r="OPV222" s="35"/>
      <c r="OPW222" s="35"/>
      <c r="OPX222" s="35"/>
      <c r="OPY222" s="35"/>
      <c r="OPZ222" s="35"/>
      <c r="OQA222" s="34"/>
      <c r="OQB222" s="34"/>
      <c r="OQC222" s="36"/>
      <c r="OQD222" s="36"/>
      <c r="OQE222" s="37"/>
      <c r="OQF222" s="37"/>
      <c r="OQG222" s="38"/>
      <c r="OQH222" s="38"/>
      <c r="OQI222" s="39"/>
      <c r="OQJ222" s="34"/>
      <c r="OQK222" s="34"/>
      <c r="OQL222" s="34"/>
      <c r="OQM222" s="35"/>
      <c r="OQN222" s="35"/>
      <c r="OQO222" s="35"/>
      <c r="OQP222" s="35"/>
      <c r="OQQ222" s="35"/>
      <c r="OQR222" s="34"/>
      <c r="OQS222" s="34"/>
      <c r="OQT222" s="36"/>
      <c r="OQU222" s="36"/>
      <c r="OQV222" s="37"/>
      <c r="OQW222" s="37"/>
      <c r="OQX222" s="38"/>
      <c r="OQY222" s="38"/>
      <c r="OQZ222" s="39"/>
      <c r="ORA222" s="34"/>
      <c r="ORB222" s="34"/>
      <c r="ORC222" s="34"/>
      <c r="ORD222" s="35"/>
      <c r="ORE222" s="35"/>
      <c r="ORF222" s="35"/>
      <c r="ORG222" s="35"/>
      <c r="ORH222" s="35"/>
      <c r="ORI222" s="34"/>
      <c r="ORJ222" s="34"/>
      <c r="ORK222" s="36"/>
      <c r="ORL222" s="36"/>
      <c r="ORM222" s="37"/>
      <c r="ORN222" s="37"/>
      <c r="ORO222" s="38"/>
      <c r="ORP222" s="38"/>
      <c r="ORQ222" s="39"/>
      <c r="ORR222" s="34"/>
      <c r="ORS222" s="34"/>
      <c r="ORT222" s="34"/>
      <c r="ORU222" s="35"/>
      <c r="ORV222" s="35"/>
      <c r="ORW222" s="35"/>
      <c r="ORX222" s="35"/>
      <c r="ORY222" s="35"/>
      <c r="ORZ222" s="34"/>
      <c r="OSA222" s="34"/>
      <c r="OSB222" s="36"/>
      <c r="OSC222" s="36"/>
      <c r="OSD222" s="37"/>
      <c r="OSE222" s="37"/>
      <c r="OSF222" s="38"/>
      <c r="OSG222" s="38"/>
      <c r="OSH222" s="39"/>
      <c r="OSI222" s="34"/>
      <c r="OSJ222" s="34"/>
      <c r="OSK222" s="34"/>
      <c r="OSL222" s="35"/>
      <c r="OSM222" s="35"/>
      <c r="OSN222" s="35"/>
      <c r="OSO222" s="35"/>
      <c r="OSP222" s="35"/>
      <c r="OSQ222" s="34"/>
      <c r="OSR222" s="34"/>
      <c r="OSS222" s="36"/>
      <c r="OST222" s="36"/>
      <c r="OSU222" s="37"/>
      <c r="OSV222" s="37"/>
      <c r="OSW222" s="38"/>
      <c r="OSX222" s="38"/>
      <c r="OSY222" s="39"/>
      <c r="OSZ222" s="34"/>
      <c r="OTA222" s="34"/>
      <c r="OTB222" s="34"/>
      <c r="OTC222" s="35"/>
      <c r="OTD222" s="35"/>
      <c r="OTE222" s="35"/>
      <c r="OTF222" s="35"/>
      <c r="OTG222" s="35"/>
      <c r="OTH222" s="34"/>
      <c r="OTI222" s="34"/>
      <c r="OTJ222" s="36"/>
      <c r="OTK222" s="36"/>
      <c r="OTL222" s="37"/>
      <c r="OTM222" s="37"/>
      <c r="OTN222" s="38"/>
      <c r="OTO222" s="38"/>
      <c r="OTP222" s="39"/>
      <c r="OTQ222" s="34"/>
      <c r="OTR222" s="34"/>
      <c r="OTS222" s="34"/>
      <c r="OTT222" s="35"/>
      <c r="OTU222" s="35"/>
      <c r="OTV222" s="35"/>
      <c r="OTW222" s="35"/>
      <c r="OTX222" s="35"/>
      <c r="OTY222" s="34"/>
      <c r="OTZ222" s="34"/>
      <c r="OUA222" s="36"/>
      <c r="OUB222" s="36"/>
      <c r="OUC222" s="37"/>
      <c r="OUD222" s="37"/>
      <c r="OUE222" s="38"/>
      <c r="OUF222" s="38"/>
      <c r="OUG222" s="39"/>
      <c r="OUH222" s="34"/>
      <c r="OUI222" s="34"/>
      <c r="OUJ222" s="34"/>
      <c r="OUK222" s="35"/>
      <c r="OUL222" s="35"/>
      <c r="OUM222" s="35"/>
      <c r="OUN222" s="35"/>
      <c r="OUO222" s="35"/>
      <c r="OUP222" s="34"/>
      <c r="OUQ222" s="34"/>
      <c r="OUR222" s="36"/>
      <c r="OUS222" s="36"/>
      <c r="OUT222" s="37"/>
      <c r="OUU222" s="37"/>
      <c r="OUV222" s="38"/>
      <c r="OUW222" s="38"/>
      <c r="OUX222" s="39"/>
      <c r="OUY222" s="34"/>
      <c r="OUZ222" s="34"/>
      <c r="OVA222" s="34"/>
      <c r="OVB222" s="35"/>
      <c r="OVC222" s="35"/>
      <c r="OVD222" s="35"/>
      <c r="OVE222" s="35"/>
      <c r="OVF222" s="35"/>
      <c r="OVG222" s="34"/>
      <c r="OVH222" s="34"/>
      <c r="OVI222" s="36"/>
      <c r="OVJ222" s="36"/>
      <c r="OVK222" s="37"/>
      <c r="OVL222" s="37"/>
      <c r="OVM222" s="38"/>
      <c r="OVN222" s="38"/>
      <c r="OVO222" s="39"/>
      <c r="OVP222" s="34"/>
      <c r="OVQ222" s="34"/>
      <c r="OVR222" s="34"/>
      <c r="OVS222" s="35"/>
      <c r="OVT222" s="35"/>
      <c r="OVU222" s="35"/>
      <c r="OVV222" s="35"/>
      <c r="OVW222" s="35"/>
      <c r="OVX222" s="34"/>
      <c r="OVY222" s="34"/>
      <c r="OVZ222" s="36"/>
      <c r="OWA222" s="36"/>
      <c r="OWB222" s="37"/>
      <c r="OWC222" s="37"/>
      <c r="OWD222" s="38"/>
      <c r="OWE222" s="38"/>
      <c r="OWF222" s="39"/>
      <c r="OWG222" s="34"/>
      <c r="OWH222" s="34"/>
      <c r="OWI222" s="34"/>
      <c r="OWJ222" s="35"/>
      <c r="OWK222" s="35"/>
      <c r="OWL222" s="35"/>
      <c r="OWM222" s="35"/>
      <c r="OWN222" s="35"/>
      <c r="OWO222" s="34"/>
      <c r="OWP222" s="34"/>
      <c r="OWQ222" s="36"/>
      <c r="OWR222" s="36"/>
      <c r="OWS222" s="37"/>
      <c r="OWT222" s="37"/>
      <c r="OWU222" s="38"/>
      <c r="OWV222" s="38"/>
      <c r="OWW222" s="39"/>
      <c r="OWX222" s="34"/>
      <c r="OWY222" s="34"/>
      <c r="OWZ222" s="34"/>
      <c r="OXA222" s="35"/>
      <c r="OXB222" s="35"/>
      <c r="OXC222" s="35"/>
      <c r="OXD222" s="35"/>
      <c r="OXE222" s="35"/>
      <c r="OXF222" s="34"/>
      <c r="OXG222" s="34"/>
      <c r="OXH222" s="36"/>
      <c r="OXI222" s="36"/>
      <c r="OXJ222" s="37"/>
      <c r="OXK222" s="37"/>
      <c r="OXL222" s="38"/>
      <c r="OXM222" s="38"/>
      <c r="OXN222" s="39"/>
      <c r="OXO222" s="34"/>
      <c r="OXP222" s="34"/>
      <c r="OXQ222" s="34"/>
      <c r="OXR222" s="35"/>
      <c r="OXS222" s="35"/>
      <c r="OXT222" s="35"/>
      <c r="OXU222" s="35"/>
      <c r="OXV222" s="35"/>
      <c r="OXW222" s="34"/>
      <c r="OXX222" s="34"/>
      <c r="OXY222" s="36"/>
      <c r="OXZ222" s="36"/>
      <c r="OYA222" s="37"/>
      <c r="OYB222" s="37"/>
      <c r="OYC222" s="38"/>
      <c r="OYD222" s="38"/>
      <c r="OYE222" s="39"/>
      <c r="OYF222" s="34"/>
      <c r="OYG222" s="34"/>
      <c r="OYH222" s="34"/>
      <c r="OYI222" s="35"/>
      <c r="OYJ222" s="35"/>
      <c r="OYK222" s="35"/>
      <c r="OYL222" s="35"/>
      <c r="OYM222" s="35"/>
      <c r="OYN222" s="34"/>
      <c r="OYO222" s="34"/>
      <c r="OYP222" s="36"/>
      <c r="OYQ222" s="36"/>
      <c r="OYR222" s="37"/>
      <c r="OYS222" s="37"/>
      <c r="OYT222" s="38"/>
      <c r="OYU222" s="38"/>
      <c r="OYV222" s="39"/>
      <c r="OYW222" s="34"/>
      <c r="OYX222" s="34"/>
      <c r="OYY222" s="34"/>
      <c r="OYZ222" s="35"/>
      <c r="OZA222" s="35"/>
      <c r="OZB222" s="35"/>
      <c r="OZC222" s="35"/>
      <c r="OZD222" s="35"/>
      <c r="OZE222" s="34"/>
      <c r="OZF222" s="34"/>
      <c r="OZG222" s="36"/>
      <c r="OZH222" s="36"/>
      <c r="OZI222" s="37"/>
      <c r="OZJ222" s="37"/>
      <c r="OZK222" s="38"/>
      <c r="OZL222" s="38"/>
      <c r="OZM222" s="39"/>
      <c r="OZN222" s="34"/>
      <c r="OZO222" s="34"/>
      <c r="OZP222" s="34"/>
      <c r="OZQ222" s="35"/>
      <c r="OZR222" s="35"/>
      <c r="OZS222" s="35"/>
      <c r="OZT222" s="35"/>
      <c r="OZU222" s="35"/>
      <c r="OZV222" s="34"/>
      <c r="OZW222" s="34"/>
      <c r="OZX222" s="36"/>
      <c r="OZY222" s="36"/>
      <c r="OZZ222" s="37"/>
      <c r="PAA222" s="37"/>
      <c r="PAB222" s="38"/>
      <c r="PAC222" s="38"/>
      <c r="PAD222" s="39"/>
      <c r="PAE222" s="34"/>
      <c r="PAF222" s="34"/>
      <c r="PAG222" s="34"/>
      <c r="PAH222" s="35"/>
      <c r="PAI222" s="35"/>
      <c r="PAJ222" s="35"/>
      <c r="PAK222" s="35"/>
      <c r="PAL222" s="35"/>
      <c r="PAM222" s="34"/>
      <c r="PAN222" s="34"/>
      <c r="PAO222" s="36"/>
      <c r="PAP222" s="36"/>
      <c r="PAQ222" s="37"/>
      <c r="PAR222" s="37"/>
      <c r="PAS222" s="38"/>
      <c r="PAT222" s="38"/>
      <c r="PAU222" s="39"/>
      <c r="PAV222" s="34"/>
      <c r="PAW222" s="34"/>
      <c r="PAX222" s="34"/>
      <c r="PAY222" s="35"/>
      <c r="PAZ222" s="35"/>
      <c r="PBA222" s="35"/>
      <c r="PBB222" s="35"/>
      <c r="PBC222" s="35"/>
      <c r="PBD222" s="34"/>
      <c r="PBE222" s="34"/>
      <c r="PBF222" s="36"/>
      <c r="PBG222" s="36"/>
      <c r="PBH222" s="37"/>
      <c r="PBI222" s="37"/>
      <c r="PBJ222" s="38"/>
      <c r="PBK222" s="38"/>
      <c r="PBL222" s="39"/>
      <c r="PBM222" s="34"/>
      <c r="PBN222" s="34"/>
      <c r="PBO222" s="34"/>
      <c r="PBP222" s="35"/>
      <c r="PBQ222" s="35"/>
      <c r="PBR222" s="35"/>
      <c r="PBS222" s="35"/>
      <c r="PBT222" s="35"/>
      <c r="PBU222" s="34"/>
      <c r="PBV222" s="34"/>
      <c r="PBW222" s="36"/>
      <c r="PBX222" s="36"/>
      <c r="PBY222" s="37"/>
      <c r="PBZ222" s="37"/>
      <c r="PCA222" s="38"/>
      <c r="PCB222" s="38"/>
      <c r="PCC222" s="39"/>
      <c r="PCD222" s="34"/>
      <c r="PCE222" s="34"/>
      <c r="PCF222" s="34"/>
      <c r="PCG222" s="35"/>
      <c r="PCH222" s="35"/>
      <c r="PCI222" s="35"/>
      <c r="PCJ222" s="35"/>
      <c r="PCK222" s="35"/>
      <c r="PCL222" s="34"/>
      <c r="PCM222" s="34"/>
      <c r="PCN222" s="36"/>
      <c r="PCO222" s="36"/>
      <c r="PCP222" s="37"/>
      <c r="PCQ222" s="37"/>
      <c r="PCR222" s="38"/>
      <c r="PCS222" s="38"/>
      <c r="PCT222" s="39"/>
      <c r="PCU222" s="34"/>
      <c r="PCV222" s="34"/>
      <c r="PCW222" s="34"/>
      <c r="PCX222" s="35"/>
      <c r="PCY222" s="35"/>
      <c r="PCZ222" s="35"/>
      <c r="PDA222" s="35"/>
      <c r="PDB222" s="35"/>
      <c r="PDC222" s="34"/>
      <c r="PDD222" s="34"/>
      <c r="PDE222" s="36"/>
      <c r="PDF222" s="36"/>
      <c r="PDG222" s="37"/>
      <c r="PDH222" s="37"/>
      <c r="PDI222" s="38"/>
      <c r="PDJ222" s="38"/>
      <c r="PDK222" s="39"/>
      <c r="PDL222" s="34"/>
      <c r="PDM222" s="34"/>
      <c r="PDN222" s="34"/>
      <c r="PDO222" s="35"/>
      <c r="PDP222" s="35"/>
      <c r="PDQ222" s="35"/>
      <c r="PDR222" s="35"/>
      <c r="PDS222" s="35"/>
      <c r="PDT222" s="34"/>
      <c r="PDU222" s="34"/>
      <c r="PDV222" s="36"/>
      <c r="PDW222" s="36"/>
      <c r="PDX222" s="37"/>
      <c r="PDY222" s="37"/>
      <c r="PDZ222" s="38"/>
      <c r="PEA222" s="38"/>
      <c r="PEB222" s="39"/>
      <c r="PEC222" s="34"/>
      <c r="PED222" s="34"/>
      <c r="PEE222" s="34"/>
      <c r="PEF222" s="35"/>
      <c r="PEG222" s="35"/>
      <c r="PEH222" s="35"/>
      <c r="PEI222" s="35"/>
      <c r="PEJ222" s="35"/>
      <c r="PEK222" s="34"/>
      <c r="PEL222" s="34"/>
      <c r="PEM222" s="36"/>
      <c r="PEN222" s="36"/>
      <c r="PEO222" s="37"/>
      <c r="PEP222" s="37"/>
      <c r="PEQ222" s="38"/>
      <c r="PER222" s="38"/>
      <c r="PES222" s="39"/>
      <c r="PET222" s="34"/>
      <c r="PEU222" s="34"/>
      <c r="PEV222" s="34"/>
      <c r="PEW222" s="35"/>
      <c r="PEX222" s="35"/>
      <c r="PEY222" s="35"/>
      <c r="PEZ222" s="35"/>
      <c r="PFA222" s="35"/>
      <c r="PFB222" s="34"/>
      <c r="PFC222" s="34"/>
      <c r="PFD222" s="36"/>
      <c r="PFE222" s="36"/>
      <c r="PFF222" s="37"/>
      <c r="PFG222" s="37"/>
      <c r="PFH222" s="38"/>
      <c r="PFI222" s="38"/>
      <c r="PFJ222" s="39"/>
      <c r="PFK222" s="34"/>
      <c r="PFL222" s="34"/>
      <c r="PFM222" s="34"/>
      <c r="PFN222" s="35"/>
      <c r="PFO222" s="35"/>
      <c r="PFP222" s="35"/>
      <c r="PFQ222" s="35"/>
      <c r="PFR222" s="35"/>
      <c r="PFS222" s="34"/>
      <c r="PFT222" s="34"/>
      <c r="PFU222" s="36"/>
      <c r="PFV222" s="36"/>
      <c r="PFW222" s="37"/>
      <c r="PFX222" s="37"/>
      <c r="PFY222" s="38"/>
      <c r="PFZ222" s="38"/>
      <c r="PGA222" s="39"/>
      <c r="PGB222" s="34"/>
      <c r="PGC222" s="34"/>
      <c r="PGD222" s="34"/>
      <c r="PGE222" s="35"/>
      <c r="PGF222" s="35"/>
      <c r="PGG222" s="35"/>
      <c r="PGH222" s="35"/>
      <c r="PGI222" s="35"/>
      <c r="PGJ222" s="34"/>
      <c r="PGK222" s="34"/>
      <c r="PGL222" s="36"/>
      <c r="PGM222" s="36"/>
      <c r="PGN222" s="37"/>
      <c r="PGO222" s="37"/>
      <c r="PGP222" s="38"/>
      <c r="PGQ222" s="38"/>
      <c r="PGR222" s="39"/>
      <c r="PGS222" s="34"/>
      <c r="PGT222" s="34"/>
      <c r="PGU222" s="34"/>
      <c r="PGV222" s="35"/>
      <c r="PGW222" s="35"/>
      <c r="PGX222" s="35"/>
      <c r="PGY222" s="35"/>
      <c r="PGZ222" s="35"/>
      <c r="PHA222" s="34"/>
      <c r="PHB222" s="34"/>
      <c r="PHC222" s="36"/>
      <c r="PHD222" s="36"/>
      <c r="PHE222" s="37"/>
      <c r="PHF222" s="37"/>
      <c r="PHG222" s="38"/>
      <c r="PHH222" s="38"/>
      <c r="PHI222" s="39"/>
      <c r="PHJ222" s="34"/>
      <c r="PHK222" s="34"/>
      <c r="PHL222" s="34"/>
      <c r="PHM222" s="35"/>
      <c r="PHN222" s="35"/>
      <c r="PHO222" s="35"/>
      <c r="PHP222" s="35"/>
      <c r="PHQ222" s="35"/>
      <c r="PHR222" s="34"/>
      <c r="PHS222" s="34"/>
      <c r="PHT222" s="36"/>
      <c r="PHU222" s="36"/>
      <c r="PHV222" s="37"/>
      <c r="PHW222" s="37"/>
      <c r="PHX222" s="38"/>
      <c r="PHY222" s="38"/>
      <c r="PHZ222" s="39"/>
      <c r="PIA222" s="34"/>
      <c r="PIB222" s="34"/>
      <c r="PIC222" s="34"/>
      <c r="PID222" s="35"/>
      <c r="PIE222" s="35"/>
      <c r="PIF222" s="35"/>
      <c r="PIG222" s="35"/>
      <c r="PIH222" s="35"/>
      <c r="PII222" s="34"/>
      <c r="PIJ222" s="34"/>
      <c r="PIK222" s="36"/>
      <c r="PIL222" s="36"/>
      <c r="PIM222" s="37"/>
      <c r="PIN222" s="37"/>
      <c r="PIO222" s="38"/>
      <c r="PIP222" s="38"/>
      <c r="PIQ222" s="39"/>
      <c r="PIR222" s="34"/>
      <c r="PIS222" s="34"/>
      <c r="PIT222" s="34"/>
      <c r="PIU222" s="35"/>
      <c r="PIV222" s="35"/>
      <c r="PIW222" s="35"/>
      <c r="PIX222" s="35"/>
      <c r="PIY222" s="35"/>
      <c r="PIZ222" s="34"/>
      <c r="PJA222" s="34"/>
      <c r="PJB222" s="36"/>
      <c r="PJC222" s="36"/>
      <c r="PJD222" s="37"/>
      <c r="PJE222" s="37"/>
      <c r="PJF222" s="38"/>
      <c r="PJG222" s="38"/>
      <c r="PJH222" s="39"/>
      <c r="PJI222" s="34"/>
      <c r="PJJ222" s="34"/>
      <c r="PJK222" s="34"/>
      <c r="PJL222" s="35"/>
      <c r="PJM222" s="35"/>
      <c r="PJN222" s="35"/>
      <c r="PJO222" s="35"/>
      <c r="PJP222" s="35"/>
      <c r="PJQ222" s="34"/>
      <c r="PJR222" s="34"/>
      <c r="PJS222" s="36"/>
      <c r="PJT222" s="36"/>
      <c r="PJU222" s="37"/>
      <c r="PJV222" s="37"/>
      <c r="PJW222" s="38"/>
      <c r="PJX222" s="38"/>
      <c r="PJY222" s="39"/>
      <c r="PJZ222" s="34"/>
      <c r="PKA222" s="34"/>
      <c r="PKB222" s="34"/>
      <c r="PKC222" s="35"/>
      <c r="PKD222" s="35"/>
      <c r="PKE222" s="35"/>
      <c r="PKF222" s="35"/>
      <c r="PKG222" s="35"/>
      <c r="PKH222" s="34"/>
      <c r="PKI222" s="34"/>
      <c r="PKJ222" s="36"/>
      <c r="PKK222" s="36"/>
      <c r="PKL222" s="37"/>
      <c r="PKM222" s="37"/>
      <c r="PKN222" s="38"/>
      <c r="PKO222" s="38"/>
      <c r="PKP222" s="39"/>
      <c r="PKQ222" s="34"/>
      <c r="PKR222" s="34"/>
      <c r="PKS222" s="34"/>
      <c r="PKT222" s="35"/>
      <c r="PKU222" s="35"/>
      <c r="PKV222" s="35"/>
      <c r="PKW222" s="35"/>
      <c r="PKX222" s="35"/>
      <c r="PKY222" s="34"/>
      <c r="PKZ222" s="34"/>
      <c r="PLA222" s="36"/>
      <c r="PLB222" s="36"/>
      <c r="PLC222" s="37"/>
      <c r="PLD222" s="37"/>
      <c r="PLE222" s="38"/>
      <c r="PLF222" s="38"/>
      <c r="PLG222" s="39"/>
      <c r="PLH222" s="34"/>
      <c r="PLI222" s="34"/>
      <c r="PLJ222" s="34"/>
      <c r="PLK222" s="35"/>
      <c r="PLL222" s="35"/>
      <c r="PLM222" s="35"/>
      <c r="PLN222" s="35"/>
      <c r="PLO222" s="35"/>
      <c r="PLP222" s="34"/>
      <c r="PLQ222" s="34"/>
      <c r="PLR222" s="36"/>
      <c r="PLS222" s="36"/>
      <c r="PLT222" s="37"/>
      <c r="PLU222" s="37"/>
      <c r="PLV222" s="38"/>
      <c r="PLW222" s="38"/>
      <c r="PLX222" s="39"/>
      <c r="PLY222" s="34"/>
      <c r="PLZ222" s="34"/>
      <c r="PMA222" s="34"/>
      <c r="PMB222" s="35"/>
      <c r="PMC222" s="35"/>
      <c r="PMD222" s="35"/>
      <c r="PME222" s="35"/>
      <c r="PMF222" s="35"/>
      <c r="PMG222" s="34"/>
      <c r="PMH222" s="34"/>
      <c r="PMI222" s="36"/>
      <c r="PMJ222" s="36"/>
      <c r="PMK222" s="37"/>
      <c r="PML222" s="37"/>
      <c r="PMM222" s="38"/>
      <c r="PMN222" s="38"/>
      <c r="PMO222" s="39"/>
      <c r="PMP222" s="34"/>
      <c r="PMQ222" s="34"/>
      <c r="PMR222" s="34"/>
      <c r="PMS222" s="35"/>
      <c r="PMT222" s="35"/>
      <c r="PMU222" s="35"/>
      <c r="PMV222" s="35"/>
      <c r="PMW222" s="35"/>
      <c r="PMX222" s="34"/>
      <c r="PMY222" s="34"/>
      <c r="PMZ222" s="36"/>
      <c r="PNA222" s="36"/>
      <c r="PNB222" s="37"/>
      <c r="PNC222" s="37"/>
      <c r="PND222" s="38"/>
      <c r="PNE222" s="38"/>
      <c r="PNF222" s="39"/>
      <c r="PNG222" s="34"/>
      <c r="PNH222" s="34"/>
      <c r="PNI222" s="34"/>
      <c r="PNJ222" s="35"/>
      <c r="PNK222" s="35"/>
      <c r="PNL222" s="35"/>
      <c r="PNM222" s="35"/>
      <c r="PNN222" s="35"/>
      <c r="PNO222" s="34"/>
      <c r="PNP222" s="34"/>
      <c r="PNQ222" s="36"/>
      <c r="PNR222" s="36"/>
      <c r="PNS222" s="37"/>
      <c r="PNT222" s="37"/>
      <c r="PNU222" s="38"/>
      <c r="PNV222" s="38"/>
      <c r="PNW222" s="39"/>
      <c r="PNX222" s="34"/>
      <c r="PNY222" s="34"/>
      <c r="PNZ222" s="34"/>
      <c r="POA222" s="35"/>
      <c r="POB222" s="35"/>
      <c r="POC222" s="35"/>
      <c r="POD222" s="35"/>
      <c r="POE222" s="35"/>
      <c r="POF222" s="34"/>
      <c r="POG222" s="34"/>
      <c r="POH222" s="36"/>
      <c r="POI222" s="36"/>
      <c r="POJ222" s="37"/>
      <c r="POK222" s="37"/>
      <c r="POL222" s="38"/>
      <c r="POM222" s="38"/>
      <c r="PON222" s="39"/>
      <c r="POO222" s="34"/>
      <c r="POP222" s="34"/>
      <c r="POQ222" s="34"/>
      <c r="POR222" s="35"/>
      <c r="POS222" s="35"/>
      <c r="POT222" s="35"/>
      <c r="POU222" s="35"/>
      <c r="POV222" s="35"/>
      <c r="POW222" s="34"/>
      <c r="POX222" s="34"/>
      <c r="POY222" s="36"/>
      <c r="POZ222" s="36"/>
      <c r="PPA222" s="37"/>
      <c r="PPB222" s="37"/>
      <c r="PPC222" s="38"/>
      <c r="PPD222" s="38"/>
      <c r="PPE222" s="39"/>
      <c r="PPF222" s="34"/>
      <c r="PPG222" s="34"/>
      <c r="PPH222" s="34"/>
      <c r="PPI222" s="35"/>
      <c r="PPJ222" s="35"/>
      <c r="PPK222" s="35"/>
      <c r="PPL222" s="35"/>
      <c r="PPM222" s="35"/>
      <c r="PPN222" s="34"/>
      <c r="PPO222" s="34"/>
      <c r="PPP222" s="36"/>
      <c r="PPQ222" s="36"/>
      <c r="PPR222" s="37"/>
      <c r="PPS222" s="37"/>
      <c r="PPT222" s="38"/>
      <c r="PPU222" s="38"/>
      <c r="PPV222" s="39"/>
      <c r="PPW222" s="34"/>
      <c r="PPX222" s="34"/>
      <c r="PPY222" s="34"/>
      <c r="PPZ222" s="35"/>
      <c r="PQA222" s="35"/>
      <c r="PQB222" s="35"/>
      <c r="PQC222" s="35"/>
      <c r="PQD222" s="35"/>
      <c r="PQE222" s="34"/>
      <c r="PQF222" s="34"/>
      <c r="PQG222" s="36"/>
      <c r="PQH222" s="36"/>
      <c r="PQI222" s="37"/>
      <c r="PQJ222" s="37"/>
      <c r="PQK222" s="38"/>
      <c r="PQL222" s="38"/>
      <c r="PQM222" s="39"/>
      <c r="PQN222" s="34"/>
      <c r="PQO222" s="34"/>
      <c r="PQP222" s="34"/>
      <c r="PQQ222" s="35"/>
      <c r="PQR222" s="35"/>
      <c r="PQS222" s="35"/>
      <c r="PQT222" s="35"/>
      <c r="PQU222" s="35"/>
      <c r="PQV222" s="34"/>
      <c r="PQW222" s="34"/>
      <c r="PQX222" s="36"/>
      <c r="PQY222" s="36"/>
      <c r="PQZ222" s="37"/>
      <c r="PRA222" s="37"/>
      <c r="PRB222" s="38"/>
      <c r="PRC222" s="38"/>
      <c r="PRD222" s="39"/>
      <c r="PRE222" s="34"/>
      <c r="PRF222" s="34"/>
      <c r="PRG222" s="34"/>
      <c r="PRH222" s="35"/>
      <c r="PRI222" s="35"/>
      <c r="PRJ222" s="35"/>
      <c r="PRK222" s="35"/>
      <c r="PRL222" s="35"/>
      <c r="PRM222" s="34"/>
      <c r="PRN222" s="34"/>
      <c r="PRO222" s="36"/>
      <c r="PRP222" s="36"/>
      <c r="PRQ222" s="37"/>
      <c r="PRR222" s="37"/>
      <c r="PRS222" s="38"/>
      <c r="PRT222" s="38"/>
      <c r="PRU222" s="39"/>
      <c r="PRV222" s="34"/>
      <c r="PRW222" s="34"/>
      <c r="PRX222" s="34"/>
      <c r="PRY222" s="35"/>
      <c r="PRZ222" s="35"/>
      <c r="PSA222" s="35"/>
      <c r="PSB222" s="35"/>
      <c r="PSC222" s="35"/>
      <c r="PSD222" s="34"/>
      <c r="PSE222" s="34"/>
      <c r="PSF222" s="36"/>
      <c r="PSG222" s="36"/>
      <c r="PSH222" s="37"/>
      <c r="PSI222" s="37"/>
      <c r="PSJ222" s="38"/>
      <c r="PSK222" s="38"/>
      <c r="PSL222" s="39"/>
      <c r="PSM222" s="34"/>
      <c r="PSN222" s="34"/>
      <c r="PSO222" s="34"/>
      <c r="PSP222" s="35"/>
      <c r="PSQ222" s="35"/>
      <c r="PSR222" s="35"/>
      <c r="PSS222" s="35"/>
      <c r="PST222" s="35"/>
      <c r="PSU222" s="34"/>
      <c r="PSV222" s="34"/>
      <c r="PSW222" s="36"/>
      <c r="PSX222" s="36"/>
      <c r="PSY222" s="37"/>
      <c r="PSZ222" s="37"/>
      <c r="PTA222" s="38"/>
      <c r="PTB222" s="38"/>
      <c r="PTC222" s="39"/>
      <c r="PTD222" s="34"/>
      <c r="PTE222" s="34"/>
      <c r="PTF222" s="34"/>
      <c r="PTG222" s="35"/>
      <c r="PTH222" s="35"/>
      <c r="PTI222" s="35"/>
      <c r="PTJ222" s="35"/>
      <c r="PTK222" s="35"/>
      <c r="PTL222" s="34"/>
      <c r="PTM222" s="34"/>
      <c r="PTN222" s="36"/>
      <c r="PTO222" s="36"/>
      <c r="PTP222" s="37"/>
      <c r="PTQ222" s="37"/>
      <c r="PTR222" s="38"/>
      <c r="PTS222" s="38"/>
      <c r="PTT222" s="39"/>
      <c r="PTU222" s="34"/>
      <c r="PTV222" s="34"/>
      <c r="PTW222" s="34"/>
      <c r="PTX222" s="35"/>
      <c r="PTY222" s="35"/>
      <c r="PTZ222" s="35"/>
      <c r="PUA222" s="35"/>
      <c r="PUB222" s="35"/>
      <c r="PUC222" s="34"/>
      <c r="PUD222" s="34"/>
      <c r="PUE222" s="36"/>
      <c r="PUF222" s="36"/>
      <c r="PUG222" s="37"/>
      <c r="PUH222" s="37"/>
      <c r="PUI222" s="38"/>
      <c r="PUJ222" s="38"/>
      <c r="PUK222" s="39"/>
      <c r="PUL222" s="34"/>
      <c r="PUM222" s="34"/>
      <c r="PUN222" s="34"/>
      <c r="PUO222" s="35"/>
      <c r="PUP222" s="35"/>
      <c r="PUQ222" s="35"/>
      <c r="PUR222" s="35"/>
      <c r="PUS222" s="35"/>
      <c r="PUT222" s="34"/>
      <c r="PUU222" s="34"/>
      <c r="PUV222" s="36"/>
      <c r="PUW222" s="36"/>
      <c r="PUX222" s="37"/>
      <c r="PUY222" s="37"/>
      <c r="PUZ222" s="38"/>
      <c r="PVA222" s="38"/>
      <c r="PVB222" s="39"/>
      <c r="PVC222" s="34"/>
      <c r="PVD222" s="34"/>
      <c r="PVE222" s="34"/>
      <c r="PVF222" s="35"/>
      <c r="PVG222" s="35"/>
      <c r="PVH222" s="35"/>
      <c r="PVI222" s="35"/>
      <c r="PVJ222" s="35"/>
      <c r="PVK222" s="34"/>
      <c r="PVL222" s="34"/>
      <c r="PVM222" s="36"/>
      <c r="PVN222" s="36"/>
      <c r="PVO222" s="37"/>
      <c r="PVP222" s="37"/>
      <c r="PVQ222" s="38"/>
      <c r="PVR222" s="38"/>
      <c r="PVS222" s="39"/>
      <c r="PVT222" s="34"/>
      <c r="PVU222" s="34"/>
      <c r="PVV222" s="34"/>
      <c r="PVW222" s="35"/>
      <c r="PVX222" s="35"/>
      <c r="PVY222" s="35"/>
      <c r="PVZ222" s="35"/>
      <c r="PWA222" s="35"/>
      <c r="PWB222" s="34"/>
      <c r="PWC222" s="34"/>
      <c r="PWD222" s="36"/>
      <c r="PWE222" s="36"/>
      <c r="PWF222" s="37"/>
      <c r="PWG222" s="37"/>
      <c r="PWH222" s="38"/>
      <c r="PWI222" s="38"/>
      <c r="PWJ222" s="39"/>
      <c r="PWK222" s="34"/>
      <c r="PWL222" s="34"/>
      <c r="PWM222" s="34"/>
      <c r="PWN222" s="35"/>
      <c r="PWO222" s="35"/>
      <c r="PWP222" s="35"/>
      <c r="PWQ222" s="35"/>
      <c r="PWR222" s="35"/>
      <c r="PWS222" s="34"/>
      <c r="PWT222" s="34"/>
      <c r="PWU222" s="36"/>
      <c r="PWV222" s="36"/>
      <c r="PWW222" s="37"/>
      <c r="PWX222" s="37"/>
      <c r="PWY222" s="38"/>
      <c r="PWZ222" s="38"/>
      <c r="PXA222" s="39"/>
      <c r="PXB222" s="34"/>
      <c r="PXC222" s="34"/>
      <c r="PXD222" s="34"/>
      <c r="PXE222" s="35"/>
      <c r="PXF222" s="35"/>
      <c r="PXG222" s="35"/>
      <c r="PXH222" s="35"/>
      <c r="PXI222" s="35"/>
      <c r="PXJ222" s="34"/>
      <c r="PXK222" s="34"/>
      <c r="PXL222" s="36"/>
      <c r="PXM222" s="36"/>
      <c r="PXN222" s="37"/>
      <c r="PXO222" s="37"/>
      <c r="PXP222" s="38"/>
      <c r="PXQ222" s="38"/>
      <c r="PXR222" s="39"/>
      <c r="PXS222" s="34"/>
      <c r="PXT222" s="34"/>
      <c r="PXU222" s="34"/>
      <c r="PXV222" s="35"/>
      <c r="PXW222" s="35"/>
      <c r="PXX222" s="35"/>
      <c r="PXY222" s="35"/>
      <c r="PXZ222" s="35"/>
      <c r="PYA222" s="34"/>
      <c r="PYB222" s="34"/>
      <c r="PYC222" s="36"/>
      <c r="PYD222" s="36"/>
      <c r="PYE222" s="37"/>
      <c r="PYF222" s="37"/>
      <c r="PYG222" s="38"/>
      <c r="PYH222" s="38"/>
      <c r="PYI222" s="39"/>
      <c r="PYJ222" s="34"/>
      <c r="PYK222" s="34"/>
      <c r="PYL222" s="34"/>
      <c r="PYM222" s="35"/>
      <c r="PYN222" s="35"/>
      <c r="PYO222" s="35"/>
      <c r="PYP222" s="35"/>
      <c r="PYQ222" s="35"/>
      <c r="PYR222" s="34"/>
      <c r="PYS222" s="34"/>
      <c r="PYT222" s="36"/>
      <c r="PYU222" s="36"/>
      <c r="PYV222" s="37"/>
      <c r="PYW222" s="37"/>
      <c r="PYX222" s="38"/>
      <c r="PYY222" s="38"/>
      <c r="PYZ222" s="39"/>
      <c r="PZA222" s="34"/>
      <c r="PZB222" s="34"/>
      <c r="PZC222" s="34"/>
      <c r="PZD222" s="35"/>
      <c r="PZE222" s="35"/>
      <c r="PZF222" s="35"/>
      <c r="PZG222" s="35"/>
      <c r="PZH222" s="35"/>
      <c r="PZI222" s="34"/>
      <c r="PZJ222" s="34"/>
      <c r="PZK222" s="36"/>
      <c r="PZL222" s="36"/>
      <c r="PZM222" s="37"/>
      <c r="PZN222" s="37"/>
      <c r="PZO222" s="38"/>
      <c r="PZP222" s="38"/>
      <c r="PZQ222" s="39"/>
      <c r="PZR222" s="34"/>
      <c r="PZS222" s="34"/>
      <c r="PZT222" s="34"/>
      <c r="PZU222" s="35"/>
      <c r="PZV222" s="35"/>
      <c r="PZW222" s="35"/>
      <c r="PZX222" s="35"/>
      <c r="PZY222" s="35"/>
      <c r="PZZ222" s="34"/>
      <c r="QAA222" s="34"/>
      <c r="QAB222" s="36"/>
      <c r="QAC222" s="36"/>
      <c r="QAD222" s="37"/>
      <c r="QAE222" s="37"/>
      <c r="QAF222" s="38"/>
      <c r="QAG222" s="38"/>
      <c r="QAH222" s="39"/>
      <c r="QAI222" s="34"/>
      <c r="QAJ222" s="34"/>
      <c r="QAK222" s="34"/>
      <c r="QAL222" s="35"/>
      <c r="QAM222" s="35"/>
      <c r="QAN222" s="35"/>
      <c r="QAO222" s="35"/>
      <c r="QAP222" s="35"/>
      <c r="QAQ222" s="34"/>
      <c r="QAR222" s="34"/>
      <c r="QAS222" s="36"/>
      <c r="QAT222" s="36"/>
      <c r="QAU222" s="37"/>
      <c r="QAV222" s="37"/>
      <c r="QAW222" s="38"/>
      <c r="QAX222" s="38"/>
      <c r="QAY222" s="39"/>
      <c r="QAZ222" s="34"/>
      <c r="QBA222" s="34"/>
      <c r="QBB222" s="34"/>
      <c r="QBC222" s="35"/>
      <c r="QBD222" s="35"/>
      <c r="QBE222" s="35"/>
      <c r="QBF222" s="35"/>
      <c r="QBG222" s="35"/>
      <c r="QBH222" s="34"/>
      <c r="QBI222" s="34"/>
      <c r="QBJ222" s="36"/>
      <c r="QBK222" s="36"/>
      <c r="QBL222" s="37"/>
      <c r="QBM222" s="37"/>
      <c r="QBN222" s="38"/>
      <c r="QBO222" s="38"/>
      <c r="QBP222" s="39"/>
      <c r="QBQ222" s="34"/>
      <c r="QBR222" s="34"/>
      <c r="QBS222" s="34"/>
      <c r="QBT222" s="35"/>
      <c r="QBU222" s="35"/>
      <c r="QBV222" s="35"/>
      <c r="QBW222" s="35"/>
      <c r="QBX222" s="35"/>
      <c r="QBY222" s="34"/>
      <c r="QBZ222" s="34"/>
      <c r="QCA222" s="36"/>
      <c r="QCB222" s="36"/>
      <c r="QCC222" s="37"/>
      <c r="QCD222" s="37"/>
      <c r="QCE222" s="38"/>
      <c r="QCF222" s="38"/>
      <c r="QCG222" s="39"/>
      <c r="QCH222" s="34"/>
      <c r="QCI222" s="34"/>
      <c r="QCJ222" s="34"/>
      <c r="QCK222" s="35"/>
      <c r="QCL222" s="35"/>
      <c r="QCM222" s="35"/>
      <c r="QCN222" s="35"/>
      <c r="QCO222" s="35"/>
      <c r="QCP222" s="34"/>
      <c r="QCQ222" s="34"/>
      <c r="QCR222" s="36"/>
      <c r="QCS222" s="36"/>
      <c r="QCT222" s="37"/>
      <c r="QCU222" s="37"/>
      <c r="QCV222" s="38"/>
      <c r="QCW222" s="38"/>
      <c r="QCX222" s="39"/>
      <c r="QCY222" s="34"/>
      <c r="QCZ222" s="34"/>
      <c r="QDA222" s="34"/>
      <c r="QDB222" s="35"/>
      <c r="QDC222" s="35"/>
      <c r="QDD222" s="35"/>
      <c r="QDE222" s="35"/>
      <c r="QDF222" s="35"/>
      <c r="QDG222" s="34"/>
      <c r="QDH222" s="34"/>
      <c r="QDI222" s="36"/>
      <c r="QDJ222" s="36"/>
      <c r="QDK222" s="37"/>
      <c r="QDL222" s="37"/>
      <c r="QDM222" s="38"/>
      <c r="QDN222" s="38"/>
      <c r="QDO222" s="39"/>
      <c r="QDP222" s="34"/>
      <c r="QDQ222" s="34"/>
      <c r="QDR222" s="34"/>
      <c r="QDS222" s="35"/>
      <c r="QDT222" s="35"/>
      <c r="QDU222" s="35"/>
      <c r="QDV222" s="35"/>
      <c r="QDW222" s="35"/>
      <c r="QDX222" s="34"/>
      <c r="QDY222" s="34"/>
      <c r="QDZ222" s="36"/>
      <c r="QEA222" s="36"/>
      <c r="QEB222" s="37"/>
      <c r="QEC222" s="37"/>
      <c r="QED222" s="38"/>
      <c r="QEE222" s="38"/>
      <c r="QEF222" s="39"/>
      <c r="QEG222" s="34"/>
      <c r="QEH222" s="34"/>
      <c r="QEI222" s="34"/>
      <c r="QEJ222" s="35"/>
      <c r="QEK222" s="35"/>
      <c r="QEL222" s="35"/>
      <c r="QEM222" s="35"/>
      <c r="QEN222" s="35"/>
      <c r="QEO222" s="34"/>
      <c r="QEP222" s="34"/>
      <c r="QEQ222" s="36"/>
      <c r="QER222" s="36"/>
      <c r="QES222" s="37"/>
      <c r="QET222" s="37"/>
      <c r="QEU222" s="38"/>
      <c r="QEV222" s="38"/>
      <c r="QEW222" s="39"/>
      <c r="QEX222" s="34"/>
      <c r="QEY222" s="34"/>
      <c r="QEZ222" s="34"/>
      <c r="QFA222" s="35"/>
      <c r="QFB222" s="35"/>
      <c r="QFC222" s="35"/>
      <c r="QFD222" s="35"/>
      <c r="QFE222" s="35"/>
      <c r="QFF222" s="34"/>
      <c r="QFG222" s="34"/>
      <c r="QFH222" s="36"/>
      <c r="QFI222" s="36"/>
      <c r="QFJ222" s="37"/>
      <c r="QFK222" s="37"/>
      <c r="QFL222" s="38"/>
      <c r="QFM222" s="38"/>
      <c r="QFN222" s="39"/>
      <c r="QFO222" s="34"/>
      <c r="QFP222" s="34"/>
      <c r="QFQ222" s="34"/>
      <c r="QFR222" s="35"/>
      <c r="QFS222" s="35"/>
      <c r="QFT222" s="35"/>
      <c r="QFU222" s="35"/>
      <c r="QFV222" s="35"/>
      <c r="QFW222" s="34"/>
      <c r="QFX222" s="34"/>
      <c r="QFY222" s="36"/>
      <c r="QFZ222" s="36"/>
      <c r="QGA222" s="37"/>
      <c r="QGB222" s="37"/>
      <c r="QGC222" s="38"/>
      <c r="QGD222" s="38"/>
      <c r="QGE222" s="39"/>
      <c r="QGF222" s="34"/>
      <c r="QGG222" s="34"/>
      <c r="QGH222" s="34"/>
      <c r="QGI222" s="35"/>
      <c r="QGJ222" s="35"/>
      <c r="QGK222" s="35"/>
      <c r="QGL222" s="35"/>
      <c r="QGM222" s="35"/>
      <c r="QGN222" s="34"/>
      <c r="QGO222" s="34"/>
      <c r="QGP222" s="36"/>
      <c r="QGQ222" s="36"/>
      <c r="QGR222" s="37"/>
      <c r="QGS222" s="37"/>
      <c r="QGT222" s="38"/>
      <c r="QGU222" s="38"/>
      <c r="QGV222" s="39"/>
      <c r="QGW222" s="34"/>
      <c r="QGX222" s="34"/>
      <c r="QGY222" s="34"/>
      <c r="QGZ222" s="35"/>
      <c r="QHA222" s="35"/>
      <c r="QHB222" s="35"/>
      <c r="QHC222" s="35"/>
      <c r="QHD222" s="35"/>
      <c r="QHE222" s="34"/>
      <c r="QHF222" s="34"/>
      <c r="QHG222" s="36"/>
      <c r="QHH222" s="36"/>
      <c r="QHI222" s="37"/>
      <c r="QHJ222" s="37"/>
      <c r="QHK222" s="38"/>
      <c r="QHL222" s="38"/>
      <c r="QHM222" s="39"/>
      <c r="QHN222" s="34"/>
      <c r="QHO222" s="34"/>
      <c r="QHP222" s="34"/>
      <c r="QHQ222" s="35"/>
      <c r="QHR222" s="35"/>
      <c r="QHS222" s="35"/>
      <c r="QHT222" s="35"/>
      <c r="QHU222" s="35"/>
      <c r="QHV222" s="34"/>
      <c r="QHW222" s="34"/>
      <c r="QHX222" s="36"/>
      <c r="QHY222" s="36"/>
      <c r="QHZ222" s="37"/>
      <c r="QIA222" s="37"/>
      <c r="QIB222" s="38"/>
      <c r="QIC222" s="38"/>
      <c r="QID222" s="39"/>
      <c r="QIE222" s="34"/>
      <c r="QIF222" s="34"/>
      <c r="QIG222" s="34"/>
      <c r="QIH222" s="35"/>
      <c r="QII222" s="35"/>
      <c r="QIJ222" s="35"/>
      <c r="QIK222" s="35"/>
      <c r="QIL222" s="35"/>
      <c r="QIM222" s="34"/>
      <c r="QIN222" s="34"/>
      <c r="QIO222" s="36"/>
      <c r="QIP222" s="36"/>
      <c r="QIQ222" s="37"/>
      <c r="QIR222" s="37"/>
      <c r="QIS222" s="38"/>
      <c r="QIT222" s="38"/>
      <c r="QIU222" s="39"/>
      <c r="QIV222" s="34"/>
      <c r="QIW222" s="34"/>
      <c r="QIX222" s="34"/>
      <c r="QIY222" s="35"/>
      <c r="QIZ222" s="35"/>
      <c r="QJA222" s="35"/>
      <c r="QJB222" s="35"/>
      <c r="QJC222" s="35"/>
      <c r="QJD222" s="34"/>
      <c r="QJE222" s="34"/>
      <c r="QJF222" s="36"/>
      <c r="QJG222" s="36"/>
      <c r="QJH222" s="37"/>
      <c r="QJI222" s="37"/>
      <c r="QJJ222" s="38"/>
      <c r="QJK222" s="38"/>
      <c r="QJL222" s="39"/>
      <c r="QJM222" s="34"/>
      <c r="QJN222" s="34"/>
      <c r="QJO222" s="34"/>
      <c r="QJP222" s="35"/>
      <c r="QJQ222" s="35"/>
      <c r="QJR222" s="35"/>
      <c r="QJS222" s="35"/>
      <c r="QJT222" s="35"/>
      <c r="QJU222" s="34"/>
      <c r="QJV222" s="34"/>
      <c r="QJW222" s="36"/>
      <c r="QJX222" s="36"/>
      <c r="QJY222" s="37"/>
      <c r="QJZ222" s="37"/>
      <c r="QKA222" s="38"/>
      <c r="QKB222" s="38"/>
      <c r="QKC222" s="39"/>
      <c r="QKD222" s="34"/>
      <c r="QKE222" s="34"/>
      <c r="QKF222" s="34"/>
      <c r="QKG222" s="35"/>
      <c r="QKH222" s="35"/>
      <c r="QKI222" s="35"/>
      <c r="QKJ222" s="35"/>
      <c r="QKK222" s="35"/>
      <c r="QKL222" s="34"/>
      <c r="QKM222" s="34"/>
      <c r="QKN222" s="36"/>
      <c r="QKO222" s="36"/>
      <c r="QKP222" s="37"/>
      <c r="QKQ222" s="37"/>
      <c r="QKR222" s="38"/>
      <c r="QKS222" s="38"/>
      <c r="QKT222" s="39"/>
      <c r="QKU222" s="34"/>
      <c r="QKV222" s="34"/>
      <c r="QKW222" s="34"/>
      <c r="QKX222" s="35"/>
      <c r="QKY222" s="35"/>
      <c r="QKZ222" s="35"/>
      <c r="QLA222" s="35"/>
      <c r="QLB222" s="35"/>
      <c r="QLC222" s="34"/>
      <c r="QLD222" s="34"/>
      <c r="QLE222" s="36"/>
      <c r="QLF222" s="36"/>
      <c r="QLG222" s="37"/>
      <c r="QLH222" s="37"/>
      <c r="QLI222" s="38"/>
      <c r="QLJ222" s="38"/>
      <c r="QLK222" s="39"/>
      <c r="QLL222" s="34"/>
      <c r="QLM222" s="34"/>
      <c r="QLN222" s="34"/>
      <c r="QLO222" s="35"/>
      <c r="QLP222" s="35"/>
      <c r="QLQ222" s="35"/>
      <c r="QLR222" s="35"/>
      <c r="QLS222" s="35"/>
      <c r="QLT222" s="34"/>
      <c r="QLU222" s="34"/>
      <c r="QLV222" s="36"/>
      <c r="QLW222" s="36"/>
      <c r="QLX222" s="37"/>
      <c r="QLY222" s="37"/>
      <c r="QLZ222" s="38"/>
      <c r="QMA222" s="38"/>
      <c r="QMB222" s="39"/>
      <c r="QMC222" s="34"/>
      <c r="QMD222" s="34"/>
      <c r="QME222" s="34"/>
      <c r="QMF222" s="35"/>
      <c r="QMG222" s="35"/>
      <c r="QMH222" s="35"/>
      <c r="QMI222" s="35"/>
      <c r="QMJ222" s="35"/>
      <c r="QMK222" s="34"/>
      <c r="QML222" s="34"/>
      <c r="QMM222" s="36"/>
      <c r="QMN222" s="36"/>
      <c r="QMO222" s="37"/>
      <c r="QMP222" s="37"/>
      <c r="QMQ222" s="38"/>
      <c r="QMR222" s="38"/>
      <c r="QMS222" s="39"/>
      <c r="QMT222" s="34"/>
      <c r="QMU222" s="34"/>
      <c r="QMV222" s="34"/>
      <c r="QMW222" s="35"/>
      <c r="QMX222" s="35"/>
      <c r="QMY222" s="35"/>
      <c r="QMZ222" s="35"/>
      <c r="QNA222" s="35"/>
      <c r="QNB222" s="34"/>
      <c r="QNC222" s="34"/>
      <c r="QND222" s="36"/>
      <c r="QNE222" s="36"/>
      <c r="QNF222" s="37"/>
      <c r="QNG222" s="37"/>
      <c r="QNH222" s="38"/>
      <c r="QNI222" s="38"/>
      <c r="QNJ222" s="39"/>
      <c r="QNK222" s="34"/>
      <c r="QNL222" s="34"/>
      <c r="QNM222" s="34"/>
      <c r="QNN222" s="35"/>
      <c r="QNO222" s="35"/>
      <c r="QNP222" s="35"/>
      <c r="QNQ222" s="35"/>
      <c r="QNR222" s="35"/>
      <c r="QNS222" s="34"/>
      <c r="QNT222" s="34"/>
      <c r="QNU222" s="36"/>
      <c r="QNV222" s="36"/>
      <c r="QNW222" s="37"/>
      <c r="QNX222" s="37"/>
      <c r="QNY222" s="38"/>
      <c r="QNZ222" s="38"/>
      <c r="QOA222" s="39"/>
      <c r="QOB222" s="34"/>
      <c r="QOC222" s="34"/>
      <c r="QOD222" s="34"/>
      <c r="QOE222" s="35"/>
      <c r="QOF222" s="35"/>
      <c r="QOG222" s="35"/>
      <c r="QOH222" s="35"/>
      <c r="QOI222" s="35"/>
      <c r="QOJ222" s="34"/>
      <c r="QOK222" s="34"/>
      <c r="QOL222" s="36"/>
      <c r="QOM222" s="36"/>
      <c r="QON222" s="37"/>
      <c r="QOO222" s="37"/>
      <c r="QOP222" s="38"/>
      <c r="QOQ222" s="38"/>
      <c r="QOR222" s="39"/>
      <c r="QOS222" s="34"/>
      <c r="QOT222" s="34"/>
      <c r="QOU222" s="34"/>
      <c r="QOV222" s="35"/>
      <c r="QOW222" s="35"/>
      <c r="QOX222" s="35"/>
      <c r="QOY222" s="35"/>
      <c r="QOZ222" s="35"/>
      <c r="QPA222" s="34"/>
      <c r="QPB222" s="34"/>
      <c r="QPC222" s="36"/>
      <c r="QPD222" s="36"/>
      <c r="QPE222" s="37"/>
      <c r="QPF222" s="37"/>
      <c r="QPG222" s="38"/>
      <c r="QPH222" s="38"/>
      <c r="QPI222" s="39"/>
      <c r="QPJ222" s="34"/>
      <c r="QPK222" s="34"/>
      <c r="QPL222" s="34"/>
      <c r="QPM222" s="35"/>
      <c r="QPN222" s="35"/>
      <c r="QPO222" s="35"/>
      <c r="QPP222" s="35"/>
      <c r="QPQ222" s="35"/>
      <c r="QPR222" s="34"/>
      <c r="QPS222" s="34"/>
      <c r="QPT222" s="36"/>
      <c r="QPU222" s="36"/>
      <c r="QPV222" s="37"/>
      <c r="QPW222" s="37"/>
      <c r="QPX222" s="38"/>
      <c r="QPY222" s="38"/>
      <c r="QPZ222" s="39"/>
      <c r="QQA222" s="34"/>
      <c r="QQB222" s="34"/>
      <c r="QQC222" s="34"/>
      <c r="QQD222" s="35"/>
      <c r="QQE222" s="35"/>
      <c r="QQF222" s="35"/>
      <c r="QQG222" s="35"/>
      <c r="QQH222" s="35"/>
      <c r="QQI222" s="34"/>
      <c r="QQJ222" s="34"/>
      <c r="QQK222" s="36"/>
      <c r="QQL222" s="36"/>
      <c r="QQM222" s="37"/>
      <c r="QQN222" s="37"/>
      <c r="QQO222" s="38"/>
      <c r="QQP222" s="38"/>
      <c r="QQQ222" s="39"/>
      <c r="QQR222" s="34"/>
      <c r="QQS222" s="34"/>
      <c r="QQT222" s="34"/>
      <c r="QQU222" s="35"/>
      <c r="QQV222" s="35"/>
      <c r="QQW222" s="35"/>
      <c r="QQX222" s="35"/>
      <c r="QQY222" s="35"/>
      <c r="QQZ222" s="34"/>
      <c r="QRA222" s="34"/>
      <c r="QRB222" s="36"/>
      <c r="QRC222" s="36"/>
      <c r="QRD222" s="37"/>
      <c r="QRE222" s="37"/>
      <c r="QRF222" s="38"/>
      <c r="QRG222" s="38"/>
      <c r="QRH222" s="39"/>
      <c r="QRI222" s="34"/>
      <c r="QRJ222" s="34"/>
      <c r="QRK222" s="34"/>
      <c r="QRL222" s="35"/>
      <c r="QRM222" s="35"/>
      <c r="QRN222" s="35"/>
      <c r="QRO222" s="35"/>
      <c r="QRP222" s="35"/>
      <c r="QRQ222" s="34"/>
      <c r="QRR222" s="34"/>
      <c r="QRS222" s="36"/>
      <c r="QRT222" s="36"/>
      <c r="QRU222" s="37"/>
      <c r="QRV222" s="37"/>
      <c r="QRW222" s="38"/>
      <c r="QRX222" s="38"/>
      <c r="QRY222" s="39"/>
      <c r="QRZ222" s="34"/>
      <c r="QSA222" s="34"/>
      <c r="QSB222" s="34"/>
      <c r="QSC222" s="35"/>
      <c r="QSD222" s="35"/>
      <c r="QSE222" s="35"/>
      <c r="QSF222" s="35"/>
      <c r="QSG222" s="35"/>
      <c r="QSH222" s="34"/>
      <c r="QSI222" s="34"/>
      <c r="QSJ222" s="36"/>
      <c r="QSK222" s="36"/>
      <c r="QSL222" s="37"/>
      <c r="QSM222" s="37"/>
      <c r="QSN222" s="38"/>
      <c r="QSO222" s="38"/>
      <c r="QSP222" s="39"/>
      <c r="QSQ222" s="34"/>
      <c r="QSR222" s="34"/>
      <c r="QSS222" s="34"/>
      <c r="QST222" s="35"/>
      <c r="QSU222" s="35"/>
      <c r="QSV222" s="35"/>
      <c r="QSW222" s="35"/>
      <c r="QSX222" s="35"/>
      <c r="QSY222" s="34"/>
      <c r="QSZ222" s="34"/>
      <c r="QTA222" s="36"/>
      <c r="QTB222" s="36"/>
      <c r="QTC222" s="37"/>
      <c r="QTD222" s="37"/>
      <c r="QTE222" s="38"/>
      <c r="QTF222" s="38"/>
      <c r="QTG222" s="39"/>
      <c r="QTH222" s="34"/>
      <c r="QTI222" s="34"/>
      <c r="QTJ222" s="34"/>
      <c r="QTK222" s="35"/>
      <c r="QTL222" s="35"/>
      <c r="QTM222" s="35"/>
      <c r="QTN222" s="35"/>
      <c r="QTO222" s="35"/>
      <c r="QTP222" s="34"/>
      <c r="QTQ222" s="34"/>
      <c r="QTR222" s="36"/>
      <c r="QTS222" s="36"/>
      <c r="QTT222" s="37"/>
      <c r="QTU222" s="37"/>
      <c r="QTV222" s="38"/>
      <c r="QTW222" s="38"/>
      <c r="QTX222" s="39"/>
      <c r="QTY222" s="34"/>
      <c r="QTZ222" s="34"/>
      <c r="QUA222" s="34"/>
      <c r="QUB222" s="35"/>
      <c r="QUC222" s="35"/>
      <c r="QUD222" s="35"/>
      <c r="QUE222" s="35"/>
      <c r="QUF222" s="35"/>
      <c r="QUG222" s="34"/>
      <c r="QUH222" s="34"/>
      <c r="QUI222" s="36"/>
      <c r="QUJ222" s="36"/>
      <c r="QUK222" s="37"/>
      <c r="QUL222" s="37"/>
      <c r="QUM222" s="38"/>
      <c r="QUN222" s="38"/>
      <c r="QUO222" s="39"/>
      <c r="QUP222" s="34"/>
      <c r="QUQ222" s="34"/>
      <c r="QUR222" s="34"/>
      <c r="QUS222" s="35"/>
      <c r="QUT222" s="35"/>
      <c r="QUU222" s="35"/>
      <c r="QUV222" s="35"/>
      <c r="QUW222" s="35"/>
      <c r="QUX222" s="34"/>
      <c r="QUY222" s="34"/>
      <c r="QUZ222" s="36"/>
      <c r="QVA222" s="36"/>
      <c r="QVB222" s="37"/>
      <c r="QVC222" s="37"/>
      <c r="QVD222" s="38"/>
      <c r="QVE222" s="38"/>
      <c r="QVF222" s="39"/>
      <c r="QVG222" s="34"/>
      <c r="QVH222" s="34"/>
      <c r="QVI222" s="34"/>
      <c r="QVJ222" s="35"/>
      <c r="QVK222" s="35"/>
      <c r="QVL222" s="35"/>
      <c r="QVM222" s="35"/>
      <c r="QVN222" s="35"/>
      <c r="QVO222" s="34"/>
      <c r="QVP222" s="34"/>
      <c r="QVQ222" s="36"/>
      <c r="QVR222" s="36"/>
      <c r="QVS222" s="37"/>
      <c r="QVT222" s="37"/>
      <c r="QVU222" s="38"/>
      <c r="QVV222" s="38"/>
      <c r="QVW222" s="39"/>
      <c r="QVX222" s="34"/>
      <c r="QVY222" s="34"/>
      <c r="QVZ222" s="34"/>
      <c r="QWA222" s="35"/>
      <c r="QWB222" s="35"/>
      <c r="QWC222" s="35"/>
      <c r="QWD222" s="35"/>
      <c r="QWE222" s="35"/>
      <c r="QWF222" s="34"/>
      <c r="QWG222" s="34"/>
      <c r="QWH222" s="36"/>
      <c r="QWI222" s="36"/>
      <c r="QWJ222" s="37"/>
      <c r="QWK222" s="37"/>
      <c r="QWL222" s="38"/>
      <c r="QWM222" s="38"/>
      <c r="QWN222" s="39"/>
      <c r="QWO222" s="34"/>
      <c r="QWP222" s="34"/>
      <c r="QWQ222" s="34"/>
      <c r="QWR222" s="35"/>
      <c r="QWS222" s="35"/>
      <c r="QWT222" s="35"/>
      <c r="QWU222" s="35"/>
      <c r="QWV222" s="35"/>
      <c r="QWW222" s="34"/>
      <c r="QWX222" s="34"/>
      <c r="QWY222" s="36"/>
      <c r="QWZ222" s="36"/>
      <c r="QXA222" s="37"/>
      <c r="QXB222" s="37"/>
      <c r="QXC222" s="38"/>
      <c r="QXD222" s="38"/>
      <c r="QXE222" s="39"/>
      <c r="QXF222" s="34"/>
      <c r="QXG222" s="34"/>
      <c r="QXH222" s="34"/>
      <c r="QXI222" s="35"/>
      <c r="QXJ222" s="35"/>
      <c r="QXK222" s="35"/>
      <c r="QXL222" s="35"/>
      <c r="QXM222" s="35"/>
      <c r="QXN222" s="34"/>
      <c r="QXO222" s="34"/>
      <c r="QXP222" s="36"/>
      <c r="QXQ222" s="36"/>
      <c r="QXR222" s="37"/>
      <c r="QXS222" s="37"/>
      <c r="QXT222" s="38"/>
      <c r="QXU222" s="38"/>
      <c r="QXV222" s="39"/>
      <c r="QXW222" s="34"/>
      <c r="QXX222" s="34"/>
      <c r="QXY222" s="34"/>
      <c r="QXZ222" s="35"/>
      <c r="QYA222" s="35"/>
      <c r="QYB222" s="35"/>
      <c r="QYC222" s="35"/>
      <c r="QYD222" s="35"/>
      <c r="QYE222" s="34"/>
      <c r="QYF222" s="34"/>
      <c r="QYG222" s="36"/>
      <c r="QYH222" s="36"/>
      <c r="QYI222" s="37"/>
      <c r="QYJ222" s="37"/>
      <c r="QYK222" s="38"/>
      <c r="QYL222" s="38"/>
      <c r="QYM222" s="39"/>
      <c r="QYN222" s="34"/>
      <c r="QYO222" s="34"/>
      <c r="QYP222" s="34"/>
      <c r="QYQ222" s="35"/>
      <c r="QYR222" s="35"/>
      <c r="QYS222" s="35"/>
      <c r="QYT222" s="35"/>
      <c r="QYU222" s="35"/>
      <c r="QYV222" s="34"/>
      <c r="QYW222" s="34"/>
      <c r="QYX222" s="36"/>
      <c r="QYY222" s="36"/>
      <c r="QYZ222" s="37"/>
      <c r="QZA222" s="37"/>
      <c r="QZB222" s="38"/>
      <c r="QZC222" s="38"/>
      <c r="QZD222" s="39"/>
      <c r="QZE222" s="34"/>
      <c r="QZF222" s="34"/>
      <c r="QZG222" s="34"/>
      <c r="QZH222" s="35"/>
      <c r="QZI222" s="35"/>
      <c r="QZJ222" s="35"/>
      <c r="QZK222" s="35"/>
      <c r="QZL222" s="35"/>
      <c r="QZM222" s="34"/>
      <c r="QZN222" s="34"/>
      <c r="QZO222" s="36"/>
      <c r="QZP222" s="36"/>
      <c r="QZQ222" s="37"/>
      <c r="QZR222" s="37"/>
      <c r="QZS222" s="38"/>
      <c r="QZT222" s="38"/>
      <c r="QZU222" s="39"/>
      <c r="QZV222" s="34"/>
      <c r="QZW222" s="34"/>
      <c r="QZX222" s="34"/>
      <c r="QZY222" s="35"/>
      <c r="QZZ222" s="35"/>
      <c r="RAA222" s="35"/>
      <c r="RAB222" s="35"/>
      <c r="RAC222" s="35"/>
      <c r="RAD222" s="34"/>
      <c r="RAE222" s="34"/>
      <c r="RAF222" s="36"/>
      <c r="RAG222" s="36"/>
      <c r="RAH222" s="37"/>
      <c r="RAI222" s="37"/>
      <c r="RAJ222" s="38"/>
      <c r="RAK222" s="38"/>
      <c r="RAL222" s="39"/>
      <c r="RAM222" s="34"/>
      <c r="RAN222" s="34"/>
      <c r="RAO222" s="34"/>
      <c r="RAP222" s="35"/>
      <c r="RAQ222" s="35"/>
      <c r="RAR222" s="35"/>
      <c r="RAS222" s="35"/>
      <c r="RAT222" s="35"/>
      <c r="RAU222" s="34"/>
      <c r="RAV222" s="34"/>
      <c r="RAW222" s="36"/>
      <c r="RAX222" s="36"/>
      <c r="RAY222" s="37"/>
      <c r="RAZ222" s="37"/>
      <c r="RBA222" s="38"/>
      <c r="RBB222" s="38"/>
      <c r="RBC222" s="39"/>
      <c r="RBD222" s="34"/>
      <c r="RBE222" s="34"/>
      <c r="RBF222" s="34"/>
      <c r="RBG222" s="35"/>
      <c r="RBH222" s="35"/>
      <c r="RBI222" s="35"/>
      <c r="RBJ222" s="35"/>
      <c r="RBK222" s="35"/>
      <c r="RBL222" s="34"/>
      <c r="RBM222" s="34"/>
      <c r="RBN222" s="36"/>
      <c r="RBO222" s="36"/>
      <c r="RBP222" s="37"/>
      <c r="RBQ222" s="37"/>
      <c r="RBR222" s="38"/>
      <c r="RBS222" s="38"/>
      <c r="RBT222" s="39"/>
      <c r="RBU222" s="34"/>
      <c r="RBV222" s="34"/>
      <c r="RBW222" s="34"/>
      <c r="RBX222" s="35"/>
      <c r="RBY222" s="35"/>
      <c r="RBZ222" s="35"/>
      <c r="RCA222" s="35"/>
      <c r="RCB222" s="35"/>
      <c r="RCC222" s="34"/>
      <c r="RCD222" s="34"/>
      <c r="RCE222" s="36"/>
      <c r="RCF222" s="36"/>
      <c r="RCG222" s="37"/>
      <c r="RCH222" s="37"/>
      <c r="RCI222" s="38"/>
      <c r="RCJ222" s="38"/>
      <c r="RCK222" s="39"/>
      <c r="RCL222" s="34"/>
      <c r="RCM222" s="34"/>
      <c r="RCN222" s="34"/>
      <c r="RCO222" s="35"/>
      <c r="RCP222" s="35"/>
      <c r="RCQ222" s="35"/>
      <c r="RCR222" s="35"/>
      <c r="RCS222" s="35"/>
      <c r="RCT222" s="34"/>
      <c r="RCU222" s="34"/>
      <c r="RCV222" s="36"/>
      <c r="RCW222" s="36"/>
      <c r="RCX222" s="37"/>
      <c r="RCY222" s="37"/>
      <c r="RCZ222" s="38"/>
      <c r="RDA222" s="38"/>
      <c r="RDB222" s="39"/>
      <c r="RDC222" s="34"/>
      <c r="RDD222" s="34"/>
      <c r="RDE222" s="34"/>
      <c r="RDF222" s="35"/>
      <c r="RDG222" s="35"/>
      <c r="RDH222" s="35"/>
      <c r="RDI222" s="35"/>
      <c r="RDJ222" s="35"/>
      <c r="RDK222" s="34"/>
      <c r="RDL222" s="34"/>
      <c r="RDM222" s="36"/>
      <c r="RDN222" s="36"/>
      <c r="RDO222" s="37"/>
      <c r="RDP222" s="37"/>
      <c r="RDQ222" s="38"/>
      <c r="RDR222" s="38"/>
      <c r="RDS222" s="39"/>
      <c r="RDT222" s="34"/>
      <c r="RDU222" s="34"/>
      <c r="RDV222" s="34"/>
      <c r="RDW222" s="35"/>
      <c r="RDX222" s="35"/>
      <c r="RDY222" s="35"/>
      <c r="RDZ222" s="35"/>
      <c r="REA222" s="35"/>
      <c r="REB222" s="34"/>
      <c r="REC222" s="34"/>
      <c r="RED222" s="36"/>
      <c r="REE222" s="36"/>
      <c r="REF222" s="37"/>
      <c r="REG222" s="37"/>
      <c r="REH222" s="38"/>
      <c r="REI222" s="38"/>
      <c r="REJ222" s="39"/>
      <c r="REK222" s="34"/>
      <c r="REL222" s="34"/>
      <c r="REM222" s="34"/>
      <c r="REN222" s="35"/>
      <c r="REO222" s="35"/>
      <c r="REP222" s="35"/>
      <c r="REQ222" s="35"/>
      <c r="RER222" s="35"/>
      <c r="RES222" s="34"/>
      <c r="RET222" s="34"/>
      <c r="REU222" s="36"/>
      <c r="REV222" s="36"/>
      <c r="REW222" s="37"/>
      <c r="REX222" s="37"/>
      <c r="REY222" s="38"/>
      <c r="REZ222" s="38"/>
      <c r="RFA222" s="39"/>
      <c r="RFB222" s="34"/>
      <c r="RFC222" s="34"/>
      <c r="RFD222" s="34"/>
      <c r="RFE222" s="35"/>
      <c r="RFF222" s="35"/>
      <c r="RFG222" s="35"/>
      <c r="RFH222" s="35"/>
      <c r="RFI222" s="35"/>
      <c r="RFJ222" s="34"/>
      <c r="RFK222" s="34"/>
      <c r="RFL222" s="36"/>
      <c r="RFM222" s="36"/>
      <c r="RFN222" s="37"/>
      <c r="RFO222" s="37"/>
      <c r="RFP222" s="38"/>
      <c r="RFQ222" s="38"/>
      <c r="RFR222" s="39"/>
      <c r="RFS222" s="34"/>
      <c r="RFT222" s="34"/>
      <c r="RFU222" s="34"/>
      <c r="RFV222" s="35"/>
      <c r="RFW222" s="35"/>
      <c r="RFX222" s="35"/>
      <c r="RFY222" s="35"/>
      <c r="RFZ222" s="35"/>
      <c r="RGA222" s="34"/>
      <c r="RGB222" s="34"/>
      <c r="RGC222" s="36"/>
      <c r="RGD222" s="36"/>
      <c r="RGE222" s="37"/>
      <c r="RGF222" s="37"/>
      <c r="RGG222" s="38"/>
      <c r="RGH222" s="38"/>
      <c r="RGI222" s="39"/>
      <c r="RGJ222" s="34"/>
      <c r="RGK222" s="34"/>
      <c r="RGL222" s="34"/>
      <c r="RGM222" s="35"/>
      <c r="RGN222" s="35"/>
      <c r="RGO222" s="35"/>
      <c r="RGP222" s="35"/>
      <c r="RGQ222" s="35"/>
      <c r="RGR222" s="34"/>
      <c r="RGS222" s="34"/>
      <c r="RGT222" s="36"/>
      <c r="RGU222" s="36"/>
      <c r="RGV222" s="37"/>
      <c r="RGW222" s="37"/>
      <c r="RGX222" s="38"/>
      <c r="RGY222" s="38"/>
      <c r="RGZ222" s="39"/>
      <c r="RHA222" s="34"/>
      <c r="RHB222" s="34"/>
      <c r="RHC222" s="34"/>
      <c r="RHD222" s="35"/>
      <c r="RHE222" s="35"/>
      <c r="RHF222" s="35"/>
      <c r="RHG222" s="35"/>
      <c r="RHH222" s="35"/>
      <c r="RHI222" s="34"/>
      <c r="RHJ222" s="34"/>
      <c r="RHK222" s="36"/>
      <c r="RHL222" s="36"/>
      <c r="RHM222" s="37"/>
      <c r="RHN222" s="37"/>
      <c r="RHO222" s="38"/>
      <c r="RHP222" s="38"/>
      <c r="RHQ222" s="39"/>
      <c r="RHR222" s="34"/>
      <c r="RHS222" s="34"/>
      <c r="RHT222" s="34"/>
      <c r="RHU222" s="35"/>
      <c r="RHV222" s="35"/>
      <c r="RHW222" s="35"/>
      <c r="RHX222" s="35"/>
      <c r="RHY222" s="35"/>
      <c r="RHZ222" s="34"/>
      <c r="RIA222" s="34"/>
      <c r="RIB222" s="36"/>
      <c r="RIC222" s="36"/>
      <c r="RID222" s="37"/>
      <c r="RIE222" s="37"/>
      <c r="RIF222" s="38"/>
      <c r="RIG222" s="38"/>
      <c r="RIH222" s="39"/>
      <c r="RII222" s="34"/>
      <c r="RIJ222" s="34"/>
      <c r="RIK222" s="34"/>
      <c r="RIL222" s="35"/>
      <c r="RIM222" s="35"/>
      <c r="RIN222" s="35"/>
      <c r="RIO222" s="35"/>
      <c r="RIP222" s="35"/>
      <c r="RIQ222" s="34"/>
      <c r="RIR222" s="34"/>
      <c r="RIS222" s="36"/>
      <c r="RIT222" s="36"/>
      <c r="RIU222" s="37"/>
      <c r="RIV222" s="37"/>
      <c r="RIW222" s="38"/>
      <c r="RIX222" s="38"/>
      <c r="RIY222" s="39"/>
      <c r="RIZ222" s="34"/>
      <c r="RJA222" s="34"/>
      <c r="RJB222" s="34"/>
      <c r="RJC222" s="35"/>
      <c r="RJD222" s="35"/>
      <c r="RJE222" s="35"/>
      <c r="RJF222" s="35"/>
      <c r="RJG222" s="35"/>
      <c r="RJH222" s="34"/>
      <c r="RJI222" s="34"/>
      <c r="RJJ222" s="36"/>
      <c r="RJK222" s="36"/>
      <c r="RJL222" s="37"/>
      <c r="RJM222" s="37"/>
      <c r="RJN222" s="38"/>
      <c r="RJO222" s="38"/>
      <c r="RJP222" s="39"/>
      <c r="RJQ222" s="34"/>
      <c r="RJR222" s="34"/>
      <c r="RJS222" s="34"/>
      <c r="RJT222" s="35"/>
      <c r="RJU222" s="35"/>
      <c r="RJV222" s="35"/>
      <c r="RJW222" s="35"/>
      <c r="RJX222" s="35"/>
      <c r="RJY222" s="34"/>
      <c r="RJZ222" s="34"/>
      <c r="RKA222" s="36"/>
      <c r="RKB222" s="36"/>
      <c r="RKC222" s="37"/>
      <c r="RKD222" s="37"/>
      <c r="RKE222" s="38"/>
      <c r="RKF222" s="38"/>
      <c r="RKG222" s="39"/>
      <c r="RKH222" s="34"/>
      <c r="RKI222" s="34"/>
      <c r="RKJ222" s="34"/>
      <c r="RKK222" s="35"/>
      <c r="RKL222" s="35"/>
      <c r="RKM222" s="35"/>
      <c r="RKN222" s="35"/>
      <c r="RKO222" s="35"/>
      <c r="RKP222" s="34"/>
      <c r="RKQ222" s="34"/>
      <c r="RKR222" s="36"/>
      <c r="RKS222" s="36"/>
      <c r="RKT222" s="37"/>
      <c r="RKU222" s="37"/>
      <c r="RKV222" s="38"/>
      <c r="RKW222" s="38"/>
      <c r="RKX222" s="39"/>
      <c r="RKY222" s="34"/>
      <c r="RKZ222" s="34"/>
      <c r="RLA222" s="34"/>
      <c r="RLB222" s="35"/>
      <c r="RLC222" s="35"/>
      <c r="RLD222" s="35"/>
      <c r="RLE222" s="35"/>
      <c r="RLF222" s="35"/>
      <c r="RLG222" s="34"/>
      <c r="RLH222" s="34"/>
      <c r="RLI222" s="36"/>
      <c r="RLJ222" s="36"/>
      <c r="RLK222" s="37"/>
      <c r="RLL222" s="37"/>
      <c r="RLM222" s="38"/>
      <c r="RLN222" s="38"/>
      <c r="RLO222" s="39"/>
      <c r="RLP222" s="34"/>
      <c r="RLQ222" s="34"/>
      <c r="RLR222" s="34"/>
      <c r="RLS222" s="35"/>
      <c r="RLT222" s="35"/>
      <c r="RLU222" s="35"/>
      <c r="RLV222" s="35"/>
      <c r="RLW222" s="35"/>
      <c r="RLX222" s="34"/>
      <c r="RLY222" s="34"/>
      <c r="RLZ222" s="36"/>
      <c r="RMA222" s="36"/>
      <c r="RMB222" s="37"/>
      <c r="RMC222" s="37"/>
      <c r="RMD222" s="38"/>
      <c r="RME222" s="38"/>
      <c r="RMF222" s="39"/>
      <c r="RMG222" s="34"/>
      <c r="RMH222" s="34"/>
      <c r="RMI222" s="34"/>
      <c r="RMJ222" s="35"/>
      <c r="RMK222" s="35"/>
      <c r="RML222" s="35"/>
      <c r="RMM222" s="35"/>
      <c r="RMN222" s="35"/>
      <c r="RMO222" s="34"/>
      <c r="RMP222" s="34"/>
      <c r="RMQ222" s="36"/>
      <c r="RMR222" s="36"/>
      <c r="RMS222" s="37"/>
      <c r="RMT222" s="37"/>
      <c r="RMU222" s="38"/>
      <c r="RMV222" s="38"/>
      <c r="RMW222" s="39"/>
      <c r="RMX222" s="34"/>
      <c r="RMY222" s="34"/>
      <c r="RMZ222" s="34"/>
      <c r="RNA222" s="35"/>
      <c r="RNB222" s="35"/>
      <c r="RNC222" s="35"/>
      <c r="RND222" s="35"/>
      <c r="RNE222" s="35"/>
      <c r="RNF222" s="34"/>
      <c r="RNG222" s="34"/>
      <c r="RNH222" s="36"/>
      <c r="RNI222" s="36"/>
      <c r="RNJ222" s="37"/>
      <c r="RNK222" s="37"/>
      <c r="RNL222" s="38"/>
      <c r="RNM222" s="38"/>
      <c r="RNN222" s="39"/>
      <c r="RNO222" s="34"/>
      <c r="RNP222" s="34"/>
      <c r="RNQ222" s="34"/>
      <c r="RNR222" s="35"/>
      <c r="RNS222" s="35"/>
      <c r="RNT222" s="35"/>
      <c r="RNU222" s="35"/>
      <c r="RNV222" s="35"/>
      <c r="RNW222" s="34"/>
      <c r="RNX222" s="34"/>
      <c r="RNY222" s="36"/>
      <c r="RNZ222" s="36"/>
      <c r="ROA222" s="37"/>
      <c r="ROB222" s="37"/>
      <c r="ROC222" s="38"/>
      <c r="ROD222" s="38"/>
      <c r="ROE222" s="39"/>
      <c r="ROF222" s="34"/>
      <c r="ROG222" s="34"/>
      <c r="ROH222" s="34"/>
      <c r="ROI222" s="35"/>
      <c r="ROJ222" s="35"/>
      <c r="ROK222" s="35"/>
      <c r="ROL222" s="35"/>
      <c r="ROM222" s="35"/>
      <c r="RON222" s="34"/>
      <c r="ROO222" s="34"/>
      <c r="ROP222" s="36"/>
      <c r="ROQ222" s="36"/>
      <c r="ROR222" s="37"/>
      <c r="ROS222" s="37"/>
      <c r="ROT222" s="38"/>
      <c r="ROU222" s="38"/>
      <c r="ROV222" s="39"/>
      <c r="ROW222" s="34"/>
      <c r="ROX222" s="34"/>
      <c r="ROY222" s="34"/>
      <c r="ROZ222" s="35"/>
      <c r="RPA222" s="35"/>
      <c r="RPB222" s="35"/>
      <c r="RPC222" s="35"/>
      <c r="RPD222" s="35"/>
      <c r="RPE222" s="34"/>
      <c r="RPF222" s="34"/>
      <c r="RPG222" s="36"/>
      <c r="RPH222" s="36"/>
      <c r="RPI222" s="37"/>
      <c r="RPJ222" s="37"/>
      <c r="RPK222" s="38"/>
      <c r="RPL222" s="38"/>
      <c r="RPM222" s="39"/>
      <c r="RPN222" s="34"/>
      <c r="RPO222" s="34"/>
      <c r="RPP222" s="34"/>
      <c r="RPQ222" s="35"/>
      <c r="RPR222" s="35"/>
      <c r="RPS222" s="35"/>
      <c r="RPT222" s="35"/>
      <c r="RPU222" s="35"/>
      <c r="RPV222" s="34"/>
      <c r="RPW222" s="34"/>
      <c r="RPX222" s="36"/>
      <c r="RPY222" s="36"/>
      <c r="RPZ222" s="37"/>
      <c r="RQA222" s="37"/>
      <c r="RQB222" s="38"/>
      <c r="RQC222" s="38"/>
      <c r="RQD222" s="39"/>
      <c r="RQE222" s="34"/>
      <c r="RQF222" s="34"/>
      <c r="RQG222" s="34"/>
      <c r="RQH222" s="35"/>
      <c r="RQI222" s="35"/>
      <c r="RQJ222" s="35"/>
      <c r="RQK222" s="35"/>
      <c r="RQL222" s="35"/>
      <c r="RQM222" s="34"/>
      <c r="RQN222" s="34"/>
      <c r="RQO222" s="36"/>
      <c r="RQP222" s="36"/>
      <c r="RQQ222" s="37"/>
      <c r="RQR222" s="37"/>
      <c r="RQS222" s="38"/>
      <c r="RQT222" s="38"/>
      <c r="RQU222" s="39"/>
      <c r="RQV222" s="34"/>
      <c r="RQW222" s="34"/>
      <c r="RQX222" s="34"/>
      <c r="RQY222" s="35"/>
      <c r="RQZ222" s="35"/>
      <c r="RRA222" s="35"/>
      <c r="RRB222" s="35"/>
      <c r="RRC222" s="35"/>
      <c r="RRD222" s="34"/>
      <c r="RRE222" s="34"/>
      <c r="RRF222" s="36"/>
      <c r="RRG222" s="36"/>
      <c r="RRH222" s="37"/>
      <c r="RRI222" s="37"/>
      <c r="RRJ222" s="38"/>
      <c r="RRK222" s="38"/>
      <c r="RRL222" s="39"/>
      <c r="RRM222" s="34"/>
      <c r="RRN222" s="34"/>
      <c r="RRO222" s="34"/>
      <c r="RRP222" s="35"/>
      <c r="RRQ222" s="35"/>
      <c r="RRR222" s="35"/>
      <c r="RRS222" s="35"/>
      <c r="RRT222" s="35"/>
      <c r="RRU222" s="34"/>
      <c r="RRV222" s="34"/>
      <c r="RRW222" s="36"/>
      <c r="RRX222" s="36"/>
      <c r="RRY222" s="37"/>
      <c r="RRZ222" s="37"/>
      <c r="RSA222" s="38"/>
      <c r="RSB222" s="38"/>
      <c r="RSC222" s="39"/>
      <c r="RSD222" s="34"/>
      <c r="RSE222" s="34"/>
      <c r="RSF222" s="34"/>
      <c r="RSG222" s="35"/>
      <c r="RSH222" s="35"/>
      <c r="RSI222" s="35"/>
      <c r="RSJ222" s="35"/>
      <c r="RSK222" s="35"/>
      <c r="RSL222" s="34"/>
      <c r="RSM222" s="34"/>
      <c r="RSN222" s="36"/>
      <c r="RSO222" s="36"/>
      <c r="RSP222" s="37"/>
      <c r="RSQ222" s="37"/>
      <c r="RSR222" s="38"/>
      <c r="RSS222" s="38"/>
      <c r="RST222" s="39"/>
      <c r="RSU222" s="34"/>
      <c r="RSV222" s="34"/>
      <c r="RSW222" s="34"/>
      <c r="RSX222" s="35"/>
      <c r="RSY222" s="35"/>
      <c r="RSZ222" s="35"/>
      <c r="RTA222" s="35"/>
      <c r="RTB222" s="35"/>
      <c r="RTC222" s="34"/>
      <c r="RTD222" s="34"/>
      <c r="RTE222" s="36"/>
      <c r="RTF222" s="36"/>
      <c r="RTG222" s="37"/>
      <c r="RTH222" s="37"/>
      <c r="RTI222" s="38"/>
      <c r="RTJ222" s="38"/>
      <c r="RTK222" s="39"/>
      <c r="RTL222" s="34"/>
      <c r="RTM222" s="34"/>
      <c r="RTN222" s="34"/>
      <c r="RTO222" s="35"/>
      <c r="RTP222" s="35"/>
      <c r="RTQ222" s="35"/>
      <c r="RTR222" s="35"/>
      <c r="RTS222" s="35"/>
      <c r="RTT222" s="34"/>
      <c r="RTU222" s="34"/>
      <c r="RTV222" s="36"/>
      <c r="RTW222" s="36"/>
      <c r="RTX222" s="37"/>
      <c r="RTY222" s="37"/>
      <c r="RTZ222" s="38"/>
      <c r="RUA222" s="38"/>
      <c r="RUB222" s="39"/>
      <c r="RUC222" s="34"/>
      <c r="RUD222" s="34"/>
      <c r="RUE222" s="34"/>
      <c r="RUF222" s="35"/>
      <c r="RUG222" s="35"/>
      <c r="RUH222" s="35"/>
      <c r="RUI222" s="35"/>
      <c r="RUJ222" s="35"/>
      <c r="RUK222" s="34"/>
      <c r="RUL222" s="34"/>
      <c r="RUM222" s="36"/>
      <c r="RUN222" s="36"/>
      <c r="RUO222" s="37"/>
      <c r="RUP222" s="37"/>
      <c r="RUQ222" s="38"/>
      <c r="RUR222" s="38"/>
      <c r="RUS222" s="39"/>
      <c r="RUT222" s="34"/>
      <c r="RUU222" s="34"/>
      <c r="RUV222" s="34"/>
      <c r="RUW222" s="35"/>
      <c r="RUX222" s="35"/>
      <c r="RUY222" s="35"/>
      <c r="RUZ222" s="35"/>
      <c r="RVA222" s="35"/>
      <c r="RVB222" s="34"/>
      <c r="RVC222" s="34"/>
      <c r="RVD222" s="36"/>
      <c r="RVE222" s="36"/>
      <c r="RVF222" s="37"/>
      <c r="RVG222" s="37"/>
      <c r="RVH222" s="38"/>
      <c r="RVI222" s="38"/>
      <c r="RVJ222" s="39"/>
      <c r="RVK222" s="34"/>
      <c r="RVL222" s="34"/>
      <c r="RVM222" s="34"/>
      <c r="RVN222" s="35"/>
      <c r="RVO222" s="35"/>
      <c r="RVP222" s="35"/>
      <c r="RVQ222" s="35"/>
      <c r="RVR222" s="35"/>
      <c r="RVS222" s="34"/>
      <c r="RVT222" s="34"/>
      <c r="RVU222" s="36"/>
      <c r="RVV222" s="36"/>
      <c r="RVW222" s="37"/>
      <c r="RVX222" s="37"/>
      <c r="RVY222" s="38"/>
      <c r="RVZ222" s="38"/>
      <c r="RWA222" s="39"/>
      <c r="RWB222" s="34"/>
      <c r="RWC222" s="34"/>
      <c r="RWD222" s="34"/>
      <c r="RWE222" s="35"/>
      <c r="RWF222" s="35"/>
      <c r="RWG222" s="35"/>
      <c r="RWH222" s="35"/>
      <c r="RWI222" s="35"/>
      <c r="RWJ222" s="34"/>
      <c r="RWK222" s="34"/>
      <c r="RWL222" s="36"/>
      <c r="RWM222" s="36"/>
      <c r="RWN222" s="37"/>
      <c r="RWO222" s="37"/>
      <c r="RWP222" s="38"/>
      <c r="RWQ222" s="38"/>
      <c r="RWR222" s="39"/>
      <c r="RWS222" s="34"/>
      <c r="RWT222" s="34"/>
      <c r="RWU222" s="34"/>
      <c r="RWV222" s="35"/>
      <c r="RWW222" s="35"/>
      <c r="RWX222" s="35"/>
      <c r="RWY222" s="35"/>
      <c r="RWZ222" s="35"/>
      <c r="RXA222" s="34"/>
      <c r="RXB222" s="34"/>
      <c r="RXC222" s="36"/>
      <c r="RXD222" s="36"/>
      <c r="RXE222" s="37"/>
      <c r="RXF222" s="37"/>
      <c r="RXG222" s="38"/>
      <c r="RXH222" s="38"/>
      <c r="RXI222" s="39"/>
      <c r="RXJ222" s="34"/>
      <c r="RXK222" s="34"/>
      <c r="RXL222" s="34"/>
      <c r="RXM222" s="35"/>
      <c r="RXN222" s="35"/>
      <c r="RXO222" s="35"/>
      <c r="RXP222" s="35"/>
      <c r="RXQ222" s="35"/>
      <c r="RXR222" s="34"/>
      <c r="RXS222" s="34"/>
      <c r="RXT222" s="36"/>
      <c r="RXU222" s="36"/>
      <c r="RXV222" s="37"/>
      <c r="RXW222" s="37"/>
      <c r="RXX222" s="38"/>
      <c r="RXY222" s="38"/>
      <c r="RXZ222" s="39"/>
      <c r="RYA222" s="34"/>
      <c r="RYB222" s="34"/>
      <c r="RYC222" s="34"/>
      <c r="RYD222" s="35"/>
      <c r="RYE222" s="35"/>
      <c r="RYF222" s="35"/>
      <c r="RYG222" s="35"/>
      <c r="RYH222" s="35"/>
      <c r="RYI222" s="34"/>
      <c r="RYJ222" s="34"/>
      <c r="RYK222" s="36"/>
      <c r="RYL222" s="36"/>
      <c r="RYM222" s="37"/>
      <c r="RYN222" s="37"/>
      <c r="RYO222" s="38"/>
      <c r="RYP222" s="38"/>
      <c r="RYQ222" s="39"/>
      <c r="RYR222" s="34"/>
      <c r="RYS222" s="34"/>
      <c r="RYT222" s="34"/>
      <c r="RYU222" s="35"/>
      <c r="RYV222" s="35"/>
      <c r="RYW222" s="35"/>
      <c r="RYX222" s="35"/>
      <c r="RYY222" s="35"/>
      <c r="RYZ222" s="34"/>
      <c r="RZA222" s="34"/>
      <c r="RZB222" s="36"/>
      <c r="RZC222" s="36"/>
      <c r="RZD222" s="37"/>
      <c r="RZE222" s="37"/>
      <c r="RZF222" s="38"/>
      <c r="RZG222" s="38"/>
      <c r="RZH222" s="39"/>
      <c r="RZI222" s="34"/>
      <c r="RZJ222" s="34"/>
      <c r="RZK222" s="34"/>
      <c r="RZL222" s="35"/>
      <c r="RZM222" s="35"/>
      <c r="RZN222" s="35"/>
      <c r="RZO222" s="35"/>
      <c r="RZP222" s="35"/>
      <c r="RZQ222" s="34"/>
      <c r="RZR222" s="34"/>
      <c r="RZS222" s="36"/>
      <c r="RZT222" s="36"/>
      <c r="RZU222" s="37"/>
      <c r="RZV222" s="37"/>
      <c r="RZW222" s="38"/>
      <c r="RZX222" s="38"/>
      <c r="RZY222" s="39"/>
      <c r="RZZ222" s="34"/>
      <c r="SAA222" s="34"/>
      <c r="SAB222" s="34"/>
      <c r="SAC222" s="35"/>
      <c r="SAD222" s="35"/>
      <c r="SAE222" s="35"/>
      <c r="SAF222" s="35"/>
      <c r="SAG222" s="35"/>
      <c r="SAH222" s="34"/>
      <c r="SAI222" s="34"/>
      <c r="SAJ222" s="36"/>
      <c r="SAK222" s="36"/>
      <c r="SAL222" s="37"/>
      <c r="SAM222" s="37"/>
      <c r="SAN222" s="38"/>
      <c r="SAO222" s="38"/>
      <c r="SAP222" s="39"/>
      <c r="SAQ222" s="34"/>
      <c r="SAR222" s="34"/>
      <c r="SAS222" s="34"/>
      <c r="SAT222" s="35"/>
      <c r="SAU222" s="35"/>
      <c r="SAV222" s="35"/>
      <c r="SAW222" s="35"/>
      <c r="SAX222" s="35"/>
      <c r="SAY222" s="34"/>
      <c r="SAZ222" s="34"/>
      <c r="SBA222" s="36"/>
      <c r="SBB222" s="36"/>
      <c r="SBC222" s="37"/>
      <c r="SBD222" s="37"/>
      <c r="SBE222" s="38"/>
      <c r="SBF222" s="38"/>
      <c r="SBG222" s="39"/>
      <c r="SBH222" s="34"/>
      <c r="SBI222" s="34"/>
      <c r="SBJ222" s="34"/>
      <c r="SBK222" s="35"/>
      <c r="SBL222" s="35"/>
      <c r="SBM222" s="35"/>
      <c r="SBN222" s="35"/>
      <c r="SBO222" s="35"/>
      <c r="SBP222" s="34"/>
      <c r="SBQ222" s="34"/>
      <c r="SBR222" s="36"/>
      <c r="SBS222" s="36"/>
      <c r="SBT222" s="37"/>
      <c r="SBU222" s="37"/>
      <c r="SBV222" s="38"/>
      <c r="SBW222" s="38"/>
      <c r="SBX222" s="39"/>
      <c r="SBY222" s="34"/>
      <c r="SBZ222" s="34"/>
      <c r="SCA222" s="34"/>
      <c r="SCB222" s="35"/>
      <c r="SCC222" s="35"/>
      <c r="SCD222" s="35"/>
      <c r="SCE222" s="35"/>
      <c r="SCF222" s="35"/>
      <c r="SCG222" s="34"/>
      <c r="SCH222" s="34"/>
      <c r="SCI222" s="36"/>
      <c r="SCJ222" s="36"/>
      <c r="SCK222" s="37"/>
      <c r="SCL222" s="37"/>
      <c r="SCM222" s="38"/>
      <c r="SCN222" s="38"/>
      <c r="SCO222" s="39"/>
      <c r="SCP222" s="34"/>
      <c r="SCQ222" s="34"/>
      <c r="SCR222" s="34"/>
      <c r="SCS222" s="35"/>
      <c r="SCT222" s="35"/>
      <c r="SCU222" s="35"/>
      <c r="SCV222" s="35"/>
      <c r="SCW222" s="35"/>
      <c r="SCX222" s="34"/>
      <c r="SCY222" s="34"/>
      <c r="SCZ222" s="36"/>
      <c r="SDA222" s="36"/>
      <c r="SDB222" s="37"/>
      <c r="SDC222" s="37"/>
      <c r="SDD222" s="38"/>
      <c r="SDE222" s="38"/>
      <c r="SDF222" s="39"/>
      <c r="SDG222" s="34"/>
      <c r="SDH222" s="34"/>
      <c r="SDI222" s="34"/>
      <c r="SDJ222" s="35"/>
      <c r="SDK222" s="35"/>
      <c r="SDL222" s="35"/>
      <c r="SDM222" s="35"/>
      <c r="SDN222" s="35"/>
      <c r="SDO222" s="34"/>
      <c r="SDP222" s="34"/>
      <c r="SDQ222" s="36"/>
      <c r="SDR222" s="36"/>
      <c r="SDS222" s="37"/>
      <c r="SDT222" s="37"/>
      <c r="SDU222" s="38"/>
      <c r="SDV222" s="38"/>
      <c r="SDW222" s="39"/>
      <c r="SDX222" s="34"/>
      <c r="SDY222" s="34"/>
      <c r="SDZ222" s="34"/>
      <c r="SEA222" s="35"/>
      <c r="SEB222" s="35"/>
      <c r="SEC222" s="35"/>
      <c r="SED222" s="35"/>
      <c r="SEE222" s="35"/>
      <c r="SEF222" s="34"/>
      <c r="SEG222" s="34"/>
      <c r="SEH222" s="36"/>
      <c r="SEI222" s="36"/>
      <c r="SEJ222" s="37"/>
      <c r="SEK222" s="37"/>
      <c r="SEL222" s="38"/>
      <c r="SEM222" s="38"/>
      <c r="SEN222" s="39"/>
      <c r="SEO222" s="34"/>
      <c r="SEP222" s="34"/>
      <c r="SEQ222" s="34"/>
      <c r="SER222" s="35"/>
      <c r="SES222" s="35"/>
      <c r="SET222" s="35"/>
      <c r="SEU222" s="35"/>
      <c r="SEV222" s="35"/>
      <c r="SEW222" s="34"/>
      <c r="SEX222" s="34"/>
      <c r="SEY222" s="36"/>
      <c r="SEZ222" s="36"/>
      <c r="SFA222" s="37"/>
      <c r="SFB222" s="37"/>
      <c r="SFC222" s="38"/>
      <c r="SFD222" s="38"/>
      <c r="SFE222" s="39"/>
      <c r="SFF222" s="34"/>
      <c r="SFG222" s="34"/>
      <c r="SFH222" s="34"/>
      <c r="SFI222" s="35"/>
      <c r="SFJ222" s="35"/>
      <c r="SFK222" s="35"/>
      <c r="SFL222" s="35"/>
      <c r="SFM222" s="35"/>
      <c r="SFN222" s="34"/>
      <c r="SFO222" s="34"/>
      <c r="SFP222" s="36"/>
      <c r="SFQ222" s="36"/>
      <c r="SFR222" s="37"/>
      <c r="SFS222" s="37"/>
      <c r="SFT222" s="38"/>
      <c r="SFU222" s="38"/>
      <c r="SFV222" s="39"/>
      <c r="SFW222" s="34"/>
      <c r="SFX222" s="34"/>
      <c r="SFY222" s="34"/>
      <c r="SFZ222" s="35"/>
      <c r="SGA222" s="35"/>
      <c r="SGB222" s="35"/>
      <c r="SGC222" s="35"/>
      <c r="SGD222" s="35"/>
      <c r="SGE222" s="34"/>
      <c r="SGF222" s="34"/>
      <c r="SGG222" s="36"/>
      <c r="SGH222" s="36"/>
      <c r="SGI222" s="37"/>
      <c r="SGJ222" s="37"/>
      <c r="SGK222" s="38"/>
      <c r="SGL222" s="38"/>
      <c r="SGM222" s="39"/>
      <c r="SGN222" s="34"/>
      <c r="SGO222" s="34"/>
      <c r="SGP222" s="34"/>
      <c r="SGQ222" s="35"/>
      <c r="SGR222" s="35"/>
      <c r="SGS222" s="35"/>
      <c r="SGT222" s="35"/>
      <c r="SGU222" s="35"/>
      <c r="SGV222" s="34"/>
      <c r="SGW222" s="34"/>
      <c r="SGX222" s="36"/>
      <c r="SGY222" s="36"/>
      <c r="SGZ222" s="37"/>
      <c r="SHA222" s="37"/>
      <c r="SHB222" s="38"/>
      <c r="SHC222" s="38"/>
      <c r="SHD222" s="39"/>
      <c r="SHE222" s="34"/>
      <c r="SHF222" s="34"/>
      <c r="SHG222" s="34"/>
      <c r="SHH222" s="35"/>
      <c r="SHI222" s="35"/>
      <c r="SHJ222" s="35"/>
      <c r="SHK222" s="35"/>
      <c r="SHL222" s="35"/>
      <c r="SHM222" s="34"/>
      <c r="SHN222" s="34"/>
      <c r="SHO222" s="36"/>
      <c r="SHP222" s="36"/>
      <c r="SHQ222" s="37"/>
      <c r="SHR222" s="37"/>
      <c r="SHS222" s="38"/>
      <c r="SHT222" s="38"/>
      <c r="SHU222" s="39"/>
      <c r="SHV222" s="34"/>
      <c r="SHW222" s="34"/>
      <c r="SHX222" s="34"/>
      <c r="SHY222" s="35"/>
      <c r="SHZ222" s="35"/>
      <c r="SIA222" s="35"/>
      <c r="SIB222" s="35"/>
      <c r="SIC222" s="35"/>
      <c r="SID222" s="34"/>
      <c r="SIE222" s="34"/>
      <c r="SIF222" s="36"/>
      <c r="SIG222" s="36"/>
      <c r="SIH222" s="37"/>
      <c r="SII222" s="37"/>
      <c r="SIJ222" s="38"/>
      <c r="SIK222" s="38"/>
      <c r="SIL222" s="39"/>
      <c r="SIM222" s="34"/>
      <c r="SIN222" s="34"/>
      <c r="SIO222" s="34"/>
      <c r="SIP222" s="35"/>
      <c r="SIQ222" s="35"/>
      <c r="SIR222" s="35"/>
      <c r="SIS222" s="35"/>
      <c r="SIT222" s="35"/>
      <c r="SIU222" s="34"/>
      <c r="SIV222" s="34"/>
      <c r="SIW222" s="36"/>
      <c r="SIX222" s="36"/>
      <c r="SIY222" s="37"/>
      <c r="SIZ222" s="37"/>
      <c r="SJA222" s="38"/>
      <c r="SJB222" s="38"/>
      <c r="SJC222" s="39"/>
      <c r="SJD222" s="34"/>
      <c r="SJE222" s="34"/>
      <c r="SJF222" s="34"/>
      <c r="SJG222" s="35"/>
      <c r="SJH222" s="35"/>
      <c r="SJI222" s="35"/>
      <c r="SJJ222" s="35"/>
      <c r="SJK222" s="35"/>
      <c r="SJL222" s="34"/>
      <c r="SJM222" s="34"/>
      <c r="SJN222" s="36"/>
      <c r="SJO222" s="36"/>
      <c r="SJP222" s="37"/>
      <c r="SJQ222" s="37"/>
      <c r="SJR222" s="38"/>
      <c r="SJS222" s="38"/>
      <c r="SJT222" s="39"/>
      <c r="SJU222" s="34"/>
      <c r="SJV222" s="34"/>
      <c r="SJW222" s="34"/>
      <c r="SJX222" s="35"/>
      <c r="SJY222" s="35"/>
      <c r="SJZ222" s="35"/>
      <c r="SKA222" s="35"/>
      <c r="SKB222" s="35"/>
      <c r="SKC222" s="34"/>
      <c r="SKD222" s="34"/>
      <c r="SKE222" s="36"/>
      <c r="SKF222" s="36"/>
      <c r="SKG222" s="37"/>
      <c r="SKH222" s="37"/>
      <c r="SKI222" s="38"/>
      <c r="SKJ222" s="38"/>
      <c r="SKK222" s="39"/>
      <c r="SKL222" s="34"/>
      <c r="SKM222" s="34"/>
      <c r="SKN222" s="34"/>
      <c r="SKO222" s="35"/>
      <c r="SKP222" s="35"/>
      <c r="SKQ222" s="35"/>
      <c r="SKR222" s="35"/>
      <c r="SKS222" s="35"/>
      <c r="SKT222" s="34"/>
      <c r="SKU222" s="34"/>
      <c r="SKV222" s="36"/>
      <c r="SKW222" s="36"/>
      <c r="SKX222" s="37"/>
      <c r="SKY222" s="37"/>
      <c r="SKZ222" s="38"/>
      <c r="SLA222" s="38"/>
      <c r="SLB222" s="39"/>
      <c r="SLC222" s="34"/>
      <c r="SLD222" s="34"/>
      <c r="SLE222" s="34"/>
      <c r="SLF222" s="35"/>
      <c r="SLG222" s="35"/>
      <c r="SLH222" s="35"/>
      <c r="SLI222" s="35"/>
      <c r="SLJ222" s="35"/>
      <c r="SLK222" s="34"/>
      <c r="SLL222" s="34"/>
      <c r="SLM222" s="36"/>
      <c r="SLN222" s="36"/>
      <c r="SLO222" s="37"/>
      <c r="SLP222" s="37"/>
      <c r="SLQ222" s="38"/>
      <c r="SLR222" s="38"/>
      <c r="SLS222" s="39"/>
      <c r="SLT222" s="34"/>
      <c r="SLU222" s="34"/>
      <c r="SLV222" s="34"/>
      <c r="SLW222" s="35"/>
      <c r="SLX222" s="35"/>
      <c r="SLY222" s="35"/>
      <c r="SLZ222" s="35"/>
      <c r="SMA222" s="35"/>
      <c r="SMB222" s="34"/>
      <c r="SMC222" s="34"/>
      <c r="SMD222" s="36"/>
      <c r="SME222" s="36"/>
      <c r="SMF222" s="37"/>
      <c r="SMG222" s="37"/>
      <c r="SMH222" s="38"/>
      <c r="SMI222" s="38"/>
      <c r="SMJ222" s="39"/>
      <c r="SMK222" s="34"/>
      <c r="SML222" s="34"/>
      <c r="SMM222" s="34"/>
      <c r="SMN222" s="35"/>
      <c r="SMO222" s="35"/>
      <c r="SMP222" s="35"/>
      <c r="SMQ222" s="35"/>
      <c r="SMR222" s="35"/>
      <c r="SMS222" s="34"/>
      <c r="SMT222" s="34"/>
      <c r="SMU222" s="36"/>
      <c r="SMV222" s="36"/>
      <c r="SMW222" s="37"/>
      <c r="SMX222" s="37"/>
      <c r="SMY222" s="38"/>
      <c r="SMZ222" s="38"/>
      <c r="SNA222" s="39"/>
      <c r="SNB222" s="34"/>
      <c r="SNC222" s="34"/>
      <c r="SND222" s="34"/>
      <c r="SNE222" s="35"/>
      <c r="SNF222" s="35"/>
      <c r="SNG222" s="35"/>
      <c r="SNH222" s="35"/>
      <c r="SNI222" s="35"/>
      <c r="SNJ222" s="34"/>
      <c r="SNK222" s="34"/>
      <c r="SNL222" s="36"/>
      <c r="SNM222" s="36"/>
      <c r="SNN222" s="37"/>
      <c r="SNO222" s="37"/>
      <c r="SNP222" s="38"/>
      <c r="SNQ222" s="38"/>
      <c r="SNR222" s="39"/>
      <c r="SNS222" s="34"/>
      <c r="SNT222" s="34"/>
      <c r="SNU222" s="34"/>
      <c r="SNV222" s="35"/>
      <c r="SNW222" s="35"/>
      <c r="SNX222" s="35"/>
      <c r="SNY222" s="35"/>
      <c r="SNZ222" s="35"/>
      <c r="SOA222" s="34"/>
      <c r="SOB222" s="34"/>
      <c r="SOC222" s="36"/>
      <c r="SOD222" s="36"/>
      <c r="SOE222" s="37"/>
      <c r="SOF222" s="37"/>
      <c r="SOG222" s="38"/>
      <c r="SOH222" s="38"/>
      <c r="SOI222" s="39"/>
      <c r="SOJ222" s="34"/>
      <c r="SOK222" s="34"/>
      <c r="SOL222" s="34"/>
      <c r="SOM222" s="35"/>
      <c r="SON222" s="35"/>
      <c r="SOO222" s="35"/>
      <c r="SOP222" s="35"/>
      <c r="SOQ222" s="35"/>
      <c r="SOR222" s="34"/>
      <c r="SOS222" s="34"/>
      <c r="SOT222" s="36"/>
      <c r="SOU222" s="36"/>
      <c r="SOV222" s="37"/>
      <c r="SOW222" s="37"/>
      <c r="SOX222" s="38"/>
      <c r="SOY222" s="38"/>
      <c r="SOZ222" s="39"/>
      <c r="SPA222" s="34"/>
      <c r="SPB222" s="34"/>
      <c r="SPC222" s="34"/>
      <c r="SPD222" s="35"/>
      <c r="SPE222" s="35"/>
      <c r="SPF222" s="35"/>
      <c r="SPG222" s="35"/>
      <c r="SPH222" s="35"/>
      <c r="SPI222" s="34"/>
      <c r="SPJ222" s="34"/>
      <c r="SPK222" s="36"/>
      <c r="SPL222" s="36"/>
      <c r="SPM222" s="37"/>
      <c r="SPN222" s="37"/>
      <c r="SPO222" s="38"/>
      <c r="SPP222" s="38"/>
      <c r="SPQ222" s="39"/>
      <c r="SPR222" s="34"/>
      <c r="SPS222" s="34"/>
      <c r="SPT222" s="34"/>
      <c r="SPU222" s="35"/>
      <c r="SPV222" s="35"/>
      <c r="SPW222" s="35"/>
      <c r="SPX222" s="35"/>
      <c r="SPY222" s="35"/>
      <c r="SPZ222" s="34"/>
      <c r="SQA222" s="34"/>
      <c r="SQB222" s="36"/>
      <c r="SQC222" s="36"/>
      <c r="SQD222" s="37"/>
      <c r="SQE222" s="37"/>
      <c r="SQF222" s="38"/>
      <c r="SQG222" s="38"/>
      <c r="SQH222" s="39"/>
      <c r="SQI222" s="34"/>
      <c r="SQJ222" s="34"/>
      <c r="SQK222" s="34"/>
      <c r="SQL222" s="35"/>
      <c r="SQM222" s="35"/>
      <c r="SQN222" s="35"/>
      <c r="SQO222" s="35"/>
      <c r="SQP222" s="35"/>
      <c r="SQQ222" s="34"/>
      <c r="SQR222" s="34"/>
      <c r="SQS222" s="36"/>
      <c r="SQT222" s="36"/>
      <c r="SQU222" s="37"/>
      <c r="SQV222" s="37"/>
      <c r="SQW222" s="38"/>
      <c r="SQX222" s="38"/>
      <c r="SQY222" s="39"/>
      <c r="SQZ222" s="34"/>
      <c r="SRA222" s="34"/>
      <c r="SRB222" s="34"/>
      <c r="SRC222" s="35"/>
      <c r="SRD222" s="35"/>
      <c r="SRE222" s="35"/>
      <c r="SRF222" s="35"/>
      <c r="SRG222" s="35"/>
      <c r="SRH222" s="34"/>
      <c r="SRI222" s="34"/>
      <c r="SRJ222" s="36"/>
      <c r="SRK222" s="36"/>
      <c r="SRL222" s="37"/>
      <c r="SRM222" s="37"/>
      <c r="SRN222" s="38"/>
      <c r="SRO222" s="38"/>
      <c r="SRP222" s="39"/>
      <c r="SRQ222" s="34"/>
      <c r="SRR222" s="34"/>
      <c r="SRS222" s="34"/>
      <c r="SRT222" s="35"/>
      <c r="SRU222" s="35"/>
      <c r="SRV222" s="35"/>
      <c r="SRW222" s="35"/>
      <c r="SRX222" s="35"/>
      <c r="SRY222" s="34"/>
      <c r="SRZ222" s="34"/>
      <c r="SSA222" s="36"/>
      <c r="SSB222" s="36"/>
      <c r="SSC222" s="37"/>
      <c r="SSD222" s="37"/>
      <c r="SSE222" s="38"/>
      <c r="SSF222" s="38"/>
      <c r="SSG222" s="39"/>
      <c r="SSH222" s="34"/>
      <c r="SSI222" s="34"/>
      <c r="SSJ222" s="34"/>
      <c r="SSK222" s="35"/>
      <c r="SSL222" s="35"/>
      <c r="SSM222" s="35"/>
      <c r="SSN222" s="35"/>
      <c r="SSO222" s="35"/>
      <c r="SSP222" s="34"/>
      <c r="SSQ222" s="34"/>
      <c r="SSR222" s="36"/>
      <c r="SSS222" s="36"/>
      <c r="SST222" s="37"/>
      <c r="SSU222" s="37"/>
      <c r="SSV222" s="38"/>
      <c r="SSW222" s="38"/>
      <c r="SSX222" s="39"/>
      <c r="SSY222" s="34"/>
      <c r="SSZ222" s="34"/>
      <c r="STA222" s="34"/>
      <c r="STB222" s="35"/>
      <c r="STC222" s="35"/>
      <c r="STD222" s="35"/>
      <c r="STE222" s="35"/>
      <c r="STF222" s="35"/>
      <c r="STG222" s="34"/>
      <c r="STH222" s="34"/>
      <c r="STI222" s="36"/>
      <c r="STJ222" s="36"/>
      <c r="STK222" s="37"/>
      <c r="STL222" s="37"/>
      <c r="STM222" s="38"/>
      <c r="STN222" s="38"/>
      <c r="STO222" s="39"/>
      <c r="STP222" s="34"/>
      <c r="STQ222" s="34"/>
      <c r="STR222" s="34"/>
      <c r="STS222" s="35"/>
      <c r="STT222" s="35"/>
      <c r="STU222" s="35"/>
      <c r="STV222" s="35"/>
      <c r="STW222" s="35"/>
      <c r="STX222" s="34"/>
      <c r="STY222" s="34"/>
      <c r="STZ222" s="36"/>
      <c r="SUA222" s="36"/>
      <c r="SUB222" s="37"/>
      <c r="SUC222" s="37"/>
      <c r="SUD222" s="38"/>
      <c r="SUE222" s="38"/>
      <c r="SUF222" s="39"/>
      <c r="SUG222" s="34"/>
      <c r="SUH222" s="34"/>
      <c r="SUI222" s="34"/>
      <c r="SUJ222" s="35"/>
      <c r="SUK222" s="35"/>
      <c r="SUL222" s="35"/>
      <c r="SUM222" s="35"/>
      <c r="SUN222" s="35"/>
      <c r="SUO222" s="34"/>
      <c r="SUP222" s="34"/>
      <c r="SUQ222" s="36"/>
      <c r="SUR222" s="36"/>
      <c r="SUS222" s="37"/>
      <c r="SUT222" s="37"/>
      <c r="SUU222" s="38"/>
      <c r="SUV222" s="38"/>
      <c r="SUW222" s="39"/>
      <c r="SUX222" s="34"/>
      <c r="SUY222" s="34"/>
      <c r="SUZ222" s="34"/>
      <c r="SVA222" s="35"/>
      <c r="SVB222" s="35"/>
      <c r="SVC222" s="35"/>
      <c r="SVD222" s="35"/>
      <c r="SVE222" s="35"/>
      <c r="SVF222" s="34"/>
      <c r="SVG222" s="34"/>
      <c r="SVH222" s="36"/>
      <c r="SVI222" s="36"/>
      <c r="SVJ222" s="37"/>
      <c r="SVK222" s="37"/>
      <c r="SVL222" s="38"/>
      <c r="SVM222" s="38"/>
      <c r="SVN222" s="39"/>
      <c r="SVO222" s="34"/>
      <c r="SVP222" s="34"/>
      <c r="SVQ222" s="34"/>
      <c r="SVR222" s="35"/>
      <c r="SVS222" s="35"/>
      <c r="SVT222" s="35"/>
      <c r="SVU222" s="35"/>
      <c r="SVV222" s="35"/>
      <c r="SVW222" s="34"/>
      <c r="SVX222" s="34"/>
      <c r="SVY222" s="36"/>
      <c r="SVZ222" s="36"/>
      <c r="SWA222" s="37"/>
      <c r="SWB222" s="37"/>
      <c r="SWC222" s="38"/>
      <c r="SWD222" s="38"/>
      <c r="SWE222" s="39"/>
      <c r="SWF222" s="34"/>
      <c r="SWG222" s="34"/>
      <c r="SWH222" s="34"/>
      <c r="SWI222" s="35"/>
      <c r="SWJ222" s="35"/>
      <c r="SWK222" s="35"/>
      <c r="SWL222" s="35"/>
      <c r="SWM222" s="35"/>
      <c r="SWN222" s="34"/>
      <c r="SWO222" s="34"/>
      <c r="SWP222" s="36"/>
      <c r="SWQ222" s="36"/>
      <c r="SWR222" s="37"/>
      <c r="SWS222" s="37"/>
      <c r="SWT222" s="38"/>
      <c r="SWU222" s="38"/>
      <c r="SWV222" s="39"/>
      <c r="SWW222" s="34"/>
      <c r="SWX222" s="34"/>
      <c r="SWY222" s="34"/>
      <c r="SWZ222" s="35"/>
      <c r="SXA222" s="35"/>
      <c r="SXB222" s="35"/>
      <c r="SXC222" s="35"/>
      <c r="SXD222" s="35"/>
      <c r="SXE222" s="34"/>
      <c r="SXF222" s="34"/>
      <c r="SXG222" s="36"/>
      <c r="SXH222" s="36"/>
      <c r="SXI222" s="37"/>
      <c r="SXJ222" s="37"/>
      <c r="SXK222" s="38"/>
      <c r="SXL222" s="38"/>
      <c r="SXM222" s="39"/>
      <c r="SXN222" s="34"/>
      <c r="SXO222" s="34"/>
      <c r="SXP222" s="34"/>
      <c r="SXQ222" s="35"/>
      <c r="SXR222" s="35"/>
      <c r="SXS222" s="35"/>
      <c r="SXT222" s="35"/>
      <c r="SXU222" s="35"/>
      <c r="SXV222" s="34"/>
      <c r="SXW222" s="34"/>
      <c r="SXX222" s="36"/>
      <c r="SXY222" s="36"/>
      <c r="SXZ222" s="37"/>
      <c r="SYA222" s="37"/>
      <c r="SYB222" s="38"/>
      <c r="SYC222" s="38"/>
      <c r="SYD222" s="39"/>
      <c r="SYE222" s="34"/>
      <c r="SYF222" s="34"/>
      <c r="SYG222" s="34"/>
      <c r="SYH222" s="35"/>
      <c r="SYI222" s="35"/>
      <c r="SYJ222" s="35"/>
      <c r="SYK222" s="35"/>
      <c r="SYL222" s="35"/>
      <c r="SYM222" s="34"/>
      <c r="SYN222" s="34"/>
      <c r="SYO222" s="36"/>
      <c r="SYP222" s="36"/>
      <c r="SYQ222" s="37"/>
      <c r="SYR222" s="37"/>
      <c r="SYS222" s="38"/>
      <c r="SYT222" s="38"/>
      <c r="SYU222" s="39"/>
      <c r="SYV222" s="34"/>
      <c r="SYW222" s="34"/>
      <c r="SYX222" s="34"/>
      <c r="SYY222" s="35"/>
      <c r="SYZ222" s="35"/>
      <c r="SZA222" s="35"/>
      <c r="SZB222" s="35"/>
      <c r="SZC222" s="35"/>
      <c r="SZD222" s="34"/>
      <c r="SZE222" s="34"/>
      <c r="SZF222" s="36"/>
      <c r="SZG222" s="36"/>
      <c r="SZH222" s="37"/>
      <c r="SZI222" s="37"/>
      <c r="SZJ222" s="38"/>
      <c r="SZK222" s="38"/>
      <c r="SZL222" s="39"/>
      <c r="SZM222" s="34"/>
      <c r="SZN222" s="34"/>
      <c r="SZO222" s="34"/>
      <c r="SZP222" s="35"/>
      <c r="SZQ222" s="35"/>
      <c r="SZR222" s="35"/>
      <c r="SZS222" s="35"/>
      <c r="SZT222" s="35"/>
      <c r="SZU222" s="34"/>
      <c r="SZV222" s="34"/>
      <c r="SZW222" s="36"/>
      <c r="SZX222" s="36"/>
      <c r="SZY222" s="37"/>
      <c r="SZZ222" s="37"/>
      <c r="TAA222" s="38"/>
      <c r="TAB222" s="38"/>
      <c r="TAC222" s="39"/>
      <c r="TAD222" s="34"/>
      <c r="TAE222" s="34"/>
      <c r="TAF222" s="34"/>
      <c r="TAG222" s="35"/>
      <c r="TAH222" s="35"/>
      <c r="TAI222" s="35"/>
      <c r="TAJ222" s="35"/>
      <c r="TAK222" s="35"/>
      <c r="TAL222" s="34"/>
      <c r="TAM222" s="34"/>
      <c r="TAN222" s="36"/>
      <c r="TAO222" s="36"/>
      <c r="TAP222" s="37"/>
      <c r="TAQ222" s="37"/>
      <c r="TAR222" s="38"/>
      <c r="TAS222" s="38"/>
      <c r="TAT222" s="39"/>
      <c r="TAU222" s="34"/>
      <c r="TAV222" s="34"/>
      <c r="TAW222" s="34"/>
      <c r="TAX222" s="35"/>
      <c r="TAY222" s="35"/>
      <c r="TAZ222" s="35"/>
      <c r="TBA222" s="35"/>
      <c r="TBB222" s="35"/>
      <c r="TBC222" s="34"/>
      <c r="TBD222" s="34"/>
      <c r="TBE222" s="36"/>
      <c r="TBF222" s="36"/>
      <c r="TBG222" s="37"/>
      <c r="TBH222" s="37"/>
      <c r="TBI222" s="38"/>
      <c r="TBJ222" s="38"/>
      <c r="TBK222" s="39"/>
      <c r="TBL222" s="34"/>
      <c r="TBM222" s="34"/>
      <c r="TBN222" s="34"/>
      <c r="TBO222" s="35"/>
      <c r="TBP222" s="35"/>
      <c r="TBQ222" s="35"/>
      <c r="TBR222" s="35"/>
      <c r="TBS222" s="35"/>
      <c r="TBT222" s="34"/>
      <c r="TBU222" s="34"/>
      <c r="TBV222" s="36"/>
      <c r="TBW222" s="36"/>
      <c r="TBX222" s="37"/>
      <c r="TBY222" s="37"/>
      <c r="TBZ222" s="38"/>
      <c r="TCA222" s="38"/>
      <c r="TCB222" s="39"/>
      <c r="TCC222" s="34"/>
      <c r="TCD222" s="34"/>
      <c r="TCE222" s="34"/>
      <c r="TCF222" s="35"/>
      <c r="TCG222" s="35"/>
      <c r="TCH222" s="35"/>
      <c r="TCI222" s="35"/>
      <c r="TCJ222" s="35"/>
      <c r="TCK222" s="34"/>
      <c r="TCL222" s="34"/>
      <c r="TCM222" s="36"/>
      <c r="TCN222" s="36"/>
      <c r="TCO222" s="37"/>
      <c r="TCP222" s="37"/>
      <c r="TCQ222" s="38"/>
      <c r="TCR222" s="38"/>
      <c r="TCS222" s="39"/>
      <c r="TCT222" s="34"/>
      <c r="TCU222" s="34"/>
      <c r="TCV222" s="34"/>
      <c r="TCW222" s="35"/>
      <c r="TCX222" s="35"/>
      <c r="TCY222" s="35"/>
      <c r="TCZ222" s="35"/>
      <c r="TDA222" s="35"/>
      <c r="TDB222" s="34"/>
      <c r="TDC222" s="34"/>
      <c r="TDD222" s="36"/>
      <c r="TDE222" s="36"/>
      <c r="TDF222" s="37"/>
      <c r="TDG222" s="37"/>
      <c r="TDH222" s="38"/>
      <c r="TDI222" s="38"/>
      <c r="TDJ222" s="39"/>
      <c r="TDK222" s="34"/>
      <c r="TDL222" s="34"/>
      <c r="TDM222" s="34"/>
      <c r="TDN222" s="35"/>
      <c r="TDO222" s="35"/>
      <c r="TDP222" s="35"/>
      <c r="TDQ222" s="35"/>
      <c r="TDR222" s="35"/>
      <c r="TDS222" s="34"/>
      <c r="TDT222" s="34"/>
      <c r="TDU222" s="36"/>
      <c r="TDV222" s="36"/>
      <c r="TDW222" s="37"/>
      <c r="TDX222" s="37"/>
      <c r="TDY222" s="38"/>
      <c r="TDZ222" s="38"/>
      <c r="TEA222" s="39"/>
      <c r="TEB222" s="34"/>
      <c r="TEC222" s="34"/>
      <c r="TED222" s="34"/>
      <c r="TEE222" s="35"/>
      <c r="TEF222" s="35"/>
      <c r="TEG222" s="35"/>
      <c r="TEH222" s="35"/>
      <c r="TEI222" s="35"/>
      <c r="TEJ222" s="34"/>
      <c r="TEK222" s="34"/>
      <c r="TEL222" s="36"/>
      <c r="TEM222" s="36"/>
      <c r="TEN222" s="37"/>
      <c r="TEO222" s="37"/>
      <c r="TEP222" s="38"/>
      <c r="TEQ222" s="38"/>
      <c r="TER222" s="39"/>
      <c r="TES222" s="34"/>
      <c r="TET222" s="34"/>
      <c r="TEU222" s="34"/>
      <c r="TEV222" s="35"/>
      <c r="TEW222" s="35"/>
      <c r="TEX222" s="35"/>
      <c r="TEY222" s="35"/>
      <c r="TEZ222" s="35"/>
      <c r="TFA222" s="34"/>
      <c r="TFB222" s="34"/>
      <c r="TFC222" s="36"/>
      <c r="TFD222" s="36"/>
      <c r="TFE222" s="37"/>
      <c r="TFF222" s="37"/>
      <c r="TFG222" s="38"/>
      <c r="TFH222" s="38"/>
      <c r="TFI222" s="39"/>
      <c r="TFJ222" s="34"/>
      <c r="TFK222" s="34"/>
      <c r="TFL222" s="34"/>
      <c r="TFM222" s="35"/>
      <c r="TFN222" s="35"/>
      <c r="TFO222" s="35"/>
      <c r="TFP222" s="35"/>
      <c r="TFQ222" s="35"/>
      <c r="TFR222" s="34"/>
      <c r="TFS222" s="34"/>
      <c r="TFT222" s="36"/>
      <c r="TFU222" s="36"/>
      <c r="TFV222" s="37"/>
      <c r="TFW222" s="37"/>
      <c r="TFX222" s="38"/>
      <c r="TFY222" s="38"/>
      <c r="TFZ222" s="39"/>
      <c r="TGA222" s="34"/>
      <c r="TGB222" s="34"/>
      <c r="TGC222" s="34"/>
      <c r="TGD222" s="35"/>
      <c r="TGE222" s="35"/>
      <c r="TGF222" s="35"/>
      <c r="TGG222" s="35"/>
      <c r="TGH222" s="35"/>
      <c r="TGI222" s="34"/>
      <c r="TGJ222" s="34"/>
      <c r="TGK222" s="36"/>
      <c r="TGL222" s="36"/>
      <c r="TGM222" s="37"/>
      <c r="TGN222" s="37"/>
      <c r="TGO222" s="38"/>
      <c r="TGP222" s="38"/>
      <c r="TGQ222" s="39"/>
      <c r="TGR222" s="34"/>
      <c r="TGS222" s="34"/>
      <c r="TGT222" s="34"/>
      <c r="TGU222" s="35"/>
      <c r="TGV222" s="35"/>
      <c r="TGW222" s="35"/>
      <c r="TGX222" s="35"/>
      <c r="TGY222" s="35"/>
      <c r="TGZ222" s="34"/>
      <c r="THA222" s="34"/>
      <c r="THB222" s="36"/>
      <c r="THC222" s="36"/>
      <c r="THD222" s="37"/>
      <c r="THE222" s="37"/>
      <c r="THF222" s="38"/>
      <c r="THG222" s="38"/>
      <c r="THH222" s="39"/>
      <c r="THI222" s="34"/>
      <c r="THJ222" s="34"/>
      <c r="THK222" s="34"/>
      <c r="THL222" s="35"/>
      <c r="THM222" s="35"/>
      <c r="THN222" s="35"/>
      <c r="THO222" s="35"/>
      <c r="THP222" s="35"/>
      <c r="THQ222" s="34"/>
      <c r="THR222" s="34"/>
      <c r="THS222" s="36"/>
      <c r="THT222" s="36"/>
      <c r="THU222" s="37"/>
      <c r="THV222" s="37"/>
      <c r="THW222" s="38"/>
      <c r="THX222" s="38"/>
      <c r="THY222" s="39"/>
      <c r="THZ222" s="34"/>
      <c r="TIA222" s="34"/>
      <c r="TIB222" s="34"/>
      <c r="TIC222" s="35"/>
      <c r="TID222" s="35"/>
      <c r="TIE222" s="35"/>
      <c r="TIF222" s="35"/>
      <c r="TIG222" s="35"/>
      <c r="TIH222" s="34"/>
      <c r="TII222" s="34"/>
      <c r="TIJ222" s="36"/>
      <c r="TIK222" s="36"/>
      <c r="TIL222" s="37"/>
      <c r="TIM222" s="37"/>
      <c r="TIN222" s="38"/>
      <c r="TIO222" s="38"/>
      <c r="TIP222" s="39"/>
      <c r="TIQ222" s="34"/>
      <c r="TIR222" s="34"/>
      <c r="TIS222" s="34"/>
      <c r="TIT222" s="35"/>
      <c r="TIU222" s="35"/>
      <c r="TIV222" s="35"/>
      <c r="TIW222" s="35"/>
      <c r="TIX222" s="35"/>
      <c r="TIY222" s="34"/>
      <c r="TIZ222" s="34"/>
      <c r="TJA222" s="36"/>
      <c r="TJB222" s="36"/>
      <c r="TJC222" s="37"/>
      <c r="TJD222" s="37"/>
      <c r="TJE222" s="38"/>
      <c r="TJF222" s="38"/>
      <c r="TJG222" s="39"/>
      <c r="TJH222" s="34"/>
      <c r="TJI222" s="34"/>
      <c r="TJJ222" s="34"/>
      <c r="TJK222" s="35"/>
      <c r="TJL222" s="35"/>
      <c r="TJM222" s="35"/>
      <c r="TJN222" s="35"/>
      <c r="TJO222" s="35"/>
      <c r="TJP222" s="34"/>
      <c r="TJQ222" s="34"/>
      <c r="TJR222" s="36"/>
      <c r="TJS222" s="36"/>
      <c r="TJT222" s="37"/>
      <c r="TJU222" s="37"/>
      <c r="TJV222" s="38"/>
      <c r="TJW222" s="38"/>
      <c r="TJX222" s="39"/>
      <c r="TJY222" s="34"/>
      <c r="TJZ222" s="34"/>
      <c r="TKA222" s="34"/>
      <c r="TKB222" s="35"/>
      <c r="TKC222" s="35"/>
      <c r="TKD222" s="35"/>
      <c r="TKE222" s="35"/>
      <c r="TKF222" s="35"/>
      <c r="TKG222" s="34"/>
      <c r="TKH222" s="34"/>
      <c r="TKI222" s="36"/>
      <c r="TKJ222" s="36"/>
      <c r="TKK222" s="37"/>
      <c r="TKL222" s="37"/>
      <c r="TKM222" s="38"/>
      <c r="TKN222" s="38"/>
      <c r="TKO222" s="39"/>
      <c r="TKP222" s="34"/>
      <c r="TKQ222" s="34"/>
      <c r="TKR222" s="34"/>
      <c r="TKS222" s="35"/>
      <c r="TKT222" s="35"/>
      <c r="TKU222" s="35"/>
      <c r="TKV222" s="35"/>
      <c r="TKW222" s="35"/>
      <c r="TKX222" s="34"/>
      <c r="TKY222" s="34"/>
      <c r="TKZ222" s="36"/>
      <c r="TLA222" s="36"/>
      <c r="TLB222" s="37"/>
      <c r="TLC222" s="37"/>
      <c r="TLD222" s="38"/>
      <c r="TLE222" s="38"/>
      <c r="TLF222" s="39"/>
      <c r="TLG222" s="34"/>
      <c r="TLH222" s="34"/>
      <c r="TLI222" s="34"/>
      <c r="TLJ222" s="35"/>
      <c r="TLK222" s="35"/>
      <c r="TLL222" s="35"/>
      <c r="TLM222" s="35"/>
      <c r="TLN222" s="35"/>
      <c r="TLO222" s="34"/>
      <c r="TLP222" s="34"/>
      <c r="TLQ222" s="36"/>
      <c r="TLR222" s="36"/>
      <c r="TLS222" s="37"/>
      <c r="TLT222" s="37"/>
      <c r="TLU222" s="38"/>
      <c r="TLV222" s="38"/>
      <c r="TLW222" s="39"/>
      <c r="TLX222" s="34"/>
      <c r="TLY222" s="34"/>
      <c r="TLZ222" s="34"/>
      <c r="TMA222" s="35"/>
      <c r="TMB222" s="35"/>
      <c r="TMC222" s="35"/>
      <c r="TMD222" s="35"/>
      <c r="TME222" s="35"/>
      <c r="TMF222" s="34"/>
      <c r="TMG222" s="34"/>
      <c r="TMH222" s="36"/>
      <c r="TMI222" s="36"/>
      <c r="TMJ222" s="37"/>
      <c r="TMK222" s="37"/>
      <c r="TML222" s="38"/>
      <c r="TMM222" s="38"/>
      <c r="TMN222" s="39"/>
      <c r="TMO222" s="34"/>
      <c r="TMP222" s="34"/>
      <c r="TMQ222" s="34"/>
      <c r="TMR222" s="35"/>
      <c r="TMS222" s="35"/>
      <c r="TMT222" s="35"/>
      <c r="TMU222" s="35"/>
      <c r="TMV222" s="35"/>
      <c r="TMW222" s="34"/>
      <c r="TMX222" s="34"/>
      <c r="TMY222" s="36"/>
      <c r="TMZ222" s="36"/>
      <c r="TNA222" s="37"/>
      <c r="TNB222" s="37"/>
      <c r="TNC222" s="38"/>
      <c r="TND222" s="38"/>
      <c r="TNE222" s="39"/>
      <c r="TNF222" s="34"/>
      <c r="TNG222" s="34"/>
      <c r="TNH222" s="34"/>
      <c r="TNI222" s="35"/>
      <c r="TNJ222" s="35"/>
      <c r="TNK222" s="35"/>
      <c r="TNL222" s="35"/>
      <c r="TNM222" s="35"/>
      <c r="TNN222" s="34"/>
      <c r="TNO222" s="34"/>
      <c r="TNP222" s="36"/>
      <c r="TNQ222" s="36"/>
      <c r="TNR222" s="37"/>
      <c r="TNS222" s="37"/>
      <c r="TNT222" s="38"/>
      <c r="TNU222" s="38"/>
      <c r="TNV222" s="39"/>
      <c r="TNW222" s="34"/>
      <c r="TNX222" s="34"/>
      <c r="TNY222" s="34"/>
      <c r="TNZ222" s="35"/>
      <c r="TOA222" s="35"/>
      <c r="TOB222" s="35"/>
      <c r="TOC222" s="35"/>
      <c r="TOD222" s="35"/>
      <c r="TOE222" s="34"/>
      <c r="TOF222" s="34"/>
      <c r="TOG222" s="36"/>
      <c r="TOH222" s="36"/>
      <c r="TOI222" s="37"/>
      <c r="TOJ222" s="37"/>
      <c r="TOK222" s="38"/>
      <c r="TOL222" s="38"/>
      <c r="TOM222" s="39"/>
      <c r="TON222" s="34"/>
      <c r="TOO222" s="34"/>
      <c r="TOP222" s="34"/>
      <c r="TOQ222" s="35"/>
      <c r="TOR222" s="35"/>
      <c r="TOS222" s="35"/>
      <c r="TOT222" s="35"/>
      <c r="TOU222" s="35"/>
      <c r="TOV222" s="34"/>
      <c r="TOW222" s="34"/>
      <c r="TOX222" s="36"/>
      <c r="TOY222" s="36"/>
      <c r="TOZ222" s="37"/>
      <c r="TPA222" s="37"/>
      <c r="TPB222" s="38"/>
      <c r="TPC222" s="38"/>
      <c r="TPD222" s="39"/>
      <c r="TPE222" s="34"/>
      <c r="TPF222" s="34"/>
      <c r="TPG222" s="34"/>
      <c r="TPH222" s="35"/>
      <c r="TPI222" s="35"/>
      <c r="TPJ222" s="35"/>
      <c r="TPK222" s="35"/>
      <c r="TPL222" s="35"/>
      <c r="TPM222" s="34"/>
      <c r="TPN222" s="34"/>
      <c r="TPO222" s="36"/>
      <c r="TPP222" s="36"/>
      <c r="TPQ222" s="37"/>
      <c r="TPR222" s="37"/>
      <c r="TPS222" s="38"/>
      <c r="TPT222" s="38"/>
      <c r="TPU222" s="39"/>
      <c r="TPV222" s="34"/>
      <c r="TPW222" s="34"/>
      <c r="TPX222" s="34"/>
      <c r="TPY222" s="35"/>
      <c r="TPZ222" s="35"/>
      <c r="TQA222" s="35"/>
      <c r="TQB222" s="35"/>
      <c r="TQC222" s="35"/>
      <c r="TQD222" s="34"/>
      <c r="TQE222" s="34"/>
      <c r="TQF222" s="36"/>
      <c r="TQG222" s="36"/>
      <c r="TQH222" s="37"/>
      <c r="TQI222" s="37"/>
      <c r="TQJ222" s="38"/>
      <c r="TQK222" s="38"/>
      <c r="TQL222" s="39"/>
      <c r="TQM222" s="34"/>
      <c r="TQN222" s="34"/>
      <c r="TQO222" s="34"/>
      <c r="TQP222" s="35"/>
      <c r="TQQ222" s="35"/>
      <c r="TQR222" s="35"/>
      <c r="TQS222" s="35"/>
      <c r="TQT222" s="35"/>
      <c r="TQU222" s="34"/>
      <c r="TQV222" s="34"/>
      <c r="TQW222" s="36"/>
      <c r="TQX222" s="36"/>
      <c r="TQY222" s="37"/>
      <c r="TQZ222" s="37"/>
      <c r="TRA222" s="38"/>
      <c r="TRB222" s="38"/>
      <c r="TRC222" s="39"/>
      <c r="TRD222" s="34"/>
      <c r="TRE222" s="34"/>
      <c r="TRF222" s="34"/>
      <c r="TRG222" s="35"/>
      <c r="TRH222" s="35"/>
      <c r="TRI222" s="35"/>
      <c r="TRJ222" s="35"/>
      <c r="TRK222" s="35"/>
      <c r="TRL222" s="34"/>
      <c r="TRM222" s="34"/>
      <c r="TRN222" s="36"/>
      <c r="TRO222" s="36"/>
      <c r="TRP222" s="37"/>
      <c r="TRQ222" s="37"/>
      <c r="TRR222" s="38"/>
      <c r="TRS222" s="38"/>
      <c r="TRT222" s="39"/>
      <c r="TRU222" s="34"/>
      <c r="TRV222" s="34"/>
      <c r="TRW222" s="34"/>
      <c r="TRX222" s="35"/>
      <c r="TRY222" s="35"/>
      <c r="TRZ222" s="35"/>
      <c r="TSA222" s="35"/>
      <c r="TSB222" s="35"/>
      <c r="TSC222" s="34"/>
      <c r="TSD222" s="34"/>
      <c r="TSE222" s="36"/>
      <c r="TSF222" s="36"/>
      <c r="TSG222" s="37"/>
      <c r="TSH222" s="37"/>
      <c r="TSI222" s="38"/>
      <c r="TSJ222" s="38"/>
      <c r="TSK222" s="39"/>
      <c r="TSL222" s="34"/>
      <c r="TSM222" s="34"/>
      <c r="TSN222" s="34"/>
      <c r="TSO222" s="35"/>
      <c r="TSP222" s="35"/>
      <c r="TSQ222" s="35"/>
      <c r="TSR222" s="35"/>
      <c r="TSS222" s="35"/>
      <c r="TST222" s="34"/>
      <c r="TSU222" s="34"/>
      <c r="TSV222" s="36"/>
      <c r="TSW222" s="36"/>
      <c r="TSX222" s="37"/>
      <c r="TSY222" s="37"/>
      <c r="TSZ222" s="38"/>
      <c r="TTA222" s="38"/>
      <c r="TTB222" s="39"/>
      <c r="TTC222" s="34"/>
      <c r="TTD222" s="34"/>
      <c r="TTE222" s="34"/>
      <c r="TTF222" s="35"/>
      <c r="TTG222" s="35"/>
      <c r="TTH222" s="35"/>
      <c r="TTI222" s="35"/>
      <c r="TTJ222" s="35"/>
      <c r="TTK222" s="34"/>
      <c r="TTL222" s="34"/>
      <c r="TTM222" s="36"/>
      <c r="TTN222" s="36"/>
      <c r="TTO222" s="37"/>
      <c r="TTP222" s="37"/>
      <c r="TTQ222" s="38"/>
      <c r="TTR222" s="38"/>
      <c r="TTS222" s="39"/>
      <c r="TTT222" s="34"/>
      <c r="TTU222" s="34"/>
      <c r="TTV222" s="34"/>
      <c r="TTW222" s="35"/>
      <c r="TTX222" s="35"/>
      <c r="TTY222" s="35"/>
      <c r="TTZ222" s="35"/>
      <c r="TUA222" s="35"/>
      <c r="TUB222" s="34"/>
      <c r="TUC222" s="34"/>
      <c r="TUD222" s="36"/>
      <c r="TUE222" s="36"/>
      <c r="TUF222" s="37"/>
      <c r="TUG222" s="37"/>
      <c r="TUH222" s="38"/>
      <c r="TUI222" s="38"/>
      <c r="TUJ222" s="39"/>
      <c r="TUK222" s="34"/>
      <c r="TUL222" s="34"/>
      <c r="TUM222" s="34"/>
      <c r="TUN222" s="35"/>
      <c r="TUO222" s="35"/>
      <c r="TUP222" s="35"/>
      <c r="TUQ222" s="35"/>
      <c r="TUR222" s="35"/>
      <c r="TUS222" s="34"/>
      <c r="TUT222" s="34"/>
      <c r="TUU222" s="36"/>
      <c r="TUV222" s="36"/>
      <c r="TUW222" s="37"/>
      <c r="TUX222" s="37"/>
      <c r="TUY222" s="38"/>
      <c r="TUZ222" s="38"/>
      <c r="TVA222" s="39"/>
      <c r="TVB222" s="34"/>
      <c r="TVC222" s="34"/>
      <c r="TVD222" s="34"/>
      <c r="TVE222" s="35"/>
      <c r="TVF222" s="35"/>
      <c r="TVG222" s="35"/>
      <c r="TVH222" s="35"/>
      <c r="TVI222" s="35"/>
      <c r="TVJ222" s="34"/>
      <c r="TVK222" s="34"/>
      <c r="TVL222" s="36"/>
      <c r="TVM222" s="36"/>
      <c r="TVN222" s="37"/>
      <c r="TVO222" s="37"/>
      <c r="TVP222" s="38"/>
      <c r="TVQ222" s="38"/>
      <c r="TVR222" s="39"/>
      <c r="TVS222" s="34"/>
      <c r="TVT222" s="34"/>
      <c r="TVU222" s="34"/>
      <c r="TVV222" s="35"/>
      <c r="TVW222" s="35"/>
      <c r="TVX222" s="35"/>
      <c r="TVY222" s="35"/>
      <c r="TVZ222" s="35"/>
      <c r="TWA222" s="34"/>
      <c r="TWB222" s="34"/>
      <c r="TWC222" s="36"/>
      <c r="TWD222" s="36"/>
      <c r="TWE222" s="37"/>
      <c r="TWF222" s="37"/>
      <c r="TWG222" s="38"/>
      <c r="TWH222" s="38"/>
      <c r="TWI222" s="39"/>
      <c r="TWJ222" s="34"/>
      <c r="TWK222" s="34"/>
      <c r="TWL222" s="34"/>
      <c r="TWM222" s="35"/>
      <c r="TWN222" s="35"/>
      <c r="TWO222" s="35"/>
      <c r="TWP222" s="35"/>
      <c r="TWQ222" s="35"/>
      <c r="TWR222" s="34"/>
      <c r="TWS222" s="34"/>
      <c r="TWT222" s="36"/>
      <c r="TWU222" s="36"/>
      <c r="TWV222" s="37"/>
      <c r="TWW222" s="37"/>
      <c r="TWX222" s="38"/>
      <c r="TWY222" s="38"/>
      <c r="TWZ222" s="39"/>
      <c r="TXA222" s="34"/>
      <c r="TXB222" s="34"/>
      <c r="TXC222" s="34"/>
      <c r="TXD222" s="35"/>
      <c r="TXE222" s="35"/>
      <c r="TXF222" s="35"/>
      <c r="TXG222" s="35"/>
      <c r="TXH222" s="35"/>
      <c r="TXI222" s="34"/>
      <c r="TXJ222" s="34"/>
      <c r="TXK222" s="36"/>
      <c r="TXL222" s="36"/>
      <c r="TXM222" s="37"/>
      <c r="TXN222" s="37"/>
      <c r="TXO222" s="38"/>
      <c r="TXP222" s="38"/>
      <c r="TXQ222" s="39"/>
      <c r="TXR222" s="34"/>
      <c r="TXS222" s="34"/>
      <c r="TXT222" s="34"/>
      <c r="TXU222" s="35"/>
      <c r="TXV222" s="35"/>
      <c r="TXW222" s="35"/>
      <c r="TXX222" s="35"/>
      <c r="TXY222" s="35"/>
      <c r="TXZ222" s="34"/>
      <c r="TYA222" s="34"/>
      <c r="TYB222" s="36"/>
      <c r="TYC222" s="36"/>
      <c r="TYD222" s="37"/>
      <c r="TYE222" s="37"/>
      <c r="TYF222" s="38"/>
      <c r="TYG222" s="38"/>
      <c r="TYH222" s="39"/>
      <c r="TYI222" s="34"/>
      <c r="TYJ222" s="34"/>
      <c r="TYK222" s="34"/>
      <c r="TYL222" s="35"/>
      <c r="TYM222" s="35"/>
      <c r="TYN222" s="35"/>
      <c r="TYO222" s="35"/>
      <c r="TYP222" s="35"/>
      <c r="TYQ222" s="34"/>
      <c r="TYR222" s="34"/>
      <c r="TYS222" s="36"/>
      <c r="TYT222" s="36"/>
      <c r="TYU222" s="37"/>
      <c r="TYV222" s="37"/>
      <c r="TYW222" s="38"/>
      <c r="TYX222" s="38"/>
      <c r="TYY222" s="39"/>
      <c r="TYZ222" s="34"/>
      <c r="TZA222" s="34"/>
      <c r="TZB222" s="34"/>
      <c r="TZC222" s="35"/>
      <c r="TZD222" s="35"/>
      <c r="TZE222" s="35"/>
      <c r="TZF222" s="35"/>
      <c r="TZG222" s="35"/>
      <c r="TZH222" s="34"/>
      <c r="TZI222" s="34"/>
      <c r="TZJ222" s="36"/>
      <c r="TZK222" s="36"/>
      <c r="TZL222" s="37"/>
      <c r="TZM222" s="37"/>
      <c r="TZN222" s="38"/>
      <c r="TZO222" s="38"/>
      <c r="TZP222" s="39"/>
      <c r="TZQ222" s="34"/>
      <c r="TZR222" s="34"/>
      <c r="TZS222" s="34"/>
      <c r="TZT222" s="35"/>
      <c r="TZU222" s="35"/>
      <c r="TZV222" s="35"/>
      <c r="TZW222" s="35"/>
      <c r="TZX222" s="35"/>
      <c r="TZY222" s="34"/>
      <c r="TZZ222" s="34"/>
      <c r="UAA222" s="36"/>
      <c r="UAB222" s="36"/>
      <c r="UAC222" s="37"/>
      <c r="UAD222" s="37"/>
      <c r="UAE222" s="38"/>
      <c r="UAF222" s="38"/>
      <c r="UAG222" s="39"/>
      <c r="UAH222" s="34"/>
      <c r="UAI222" s="34"/>
      <c r="UAJ222" s="34"/>
      <c r="UAK222" s="35"/>
      <c r="UAL222" s="35"/>
      <c r="UAM222" s="35"/>
      <c r="UAN222" s="35"/>
      <c r="UAO222" s="35"/>
      <c r="UAP222" s="34"/>
      <c r="UAQ222" s="34"/>
      <c r="UAR222" s="36"/>
      <c r="UAS222" s="36"/>
      <c r="UAT222" s="37"/>
      <c r="UAU222" s="37"/>
      <c r="UAV222" s="38"/>
      <c r="UAW222" s="38"/>
      <c r="UAX222" s="39"/>
      <c r="UAY222" s="34"/>
      <c r="UAZ222" s="34"/>
      <c r="UBA222" s="34"/>
      <c r="UBB222" s="35"/>
      <c r="UBC222" s="35"/>
      <c r="UBD222" s="35"/>
      <c r="UBE222" s="35"/>
      <c r="UBF222" s="35"/>
      <c r="UBG222" s="34"/>
      <c r="UBH222" s="34"/>
      <c r="UBI222" s="36"/>
      <c r="UBJ222" s="36"/>
      <c r="UBK222" s="37"/>
      <c r="UBL222" s="37"/>
      <c r="UBM222" s="38"/>
      <c r="UBN222" s="38"/>
      <c r="UBO222" s="39"/>
      <c r="UBP222" s="34"/>
      <c r="UBQ222" s="34"/>
      <c r="UBR222" s="34"/>
      <c r="UBS222" s="35"/>
      <c r="UBT222" s="35"/>
      <c r="UBU222" s="35"/>
      <c r="UBV222" s="35"/>
      <c r="UBW222" s="35"/>
      <c r="UBX222" s="34"/>
      <c r="UBY222" s="34"/>
      <c r="UBZ222" s="36"/>
      <c r="UCA222" s="36"/>
      <c r="UCB222" s="37"/>
      <c r="UCC222" s="37"/>
      <c r="UCD222" s="38"/>
      <c r="UCE222" s="38"/>
      <c r="UCF222" s="39"/>
      <c r="UCG222" s="34"/>
      <c r="UCH222" s="34"/>
      <c r="UCI222" s="34"/>
      <c r="UCJ222" s="35"/>
      <c r="UCK222" s="35"/>
      <c r="UCL222" s="35"/>
      <c r="UCM222" s="35"/>
      <c r="UCN222" s="35"/>
      <c r="UCO222" s="34"/>
      <c r="UCP222" s="34"/>
      <c r="UCQ222" s="36"/>
      <c r="UCR222" s="36"/>
      <c r="UCS222" s="37"/>
      <c r="UCT222" s="37"/>
      <c r="UCU222" s="38"/>
      <c r="UCV222" s="38"/>
      <c r="UCW222" s="39"/>
      <c r="UCX222" s="34"/>
      <c r="UCY222" s="34"/>
      <c r="UCZ222" s="34"/>
      <c r="UDA222" s="35"/>
      <c r="UDB222" s="35"/>
      <c r="UDC222" s="35"/>
      <c r="UDD222" s="35"/>
      <c r="UDE222" s="35"/>
      <c r="UDF222" s="34"/>
      <c r="UDG222" s="34"/>
      <c r="UDH222" s="36"/>
      <c r="UDI222" s="36"/>
      <c r="UDJ222" s="37"/>
      <c r="UDK222" s="37"/>
      <c r="UDL222" s="38"/>
      <c r="UDM222" s="38"/>
      <c r="UDN222" s="39"/>
      <c r="UDO222" s="34"/>
      <c r="UDP222" s="34"/>
      <c r="UDQ222" s="34"/>
      <c r="UDR222" s="35"/>
      <c r="UDS222" s="35"/>
      <c r="UDT222" s="35"/>
      <c r="UDU222" s="35"/>
      <c r="UDV222" s="35"/>
      <c r="UDW222" s="34"/>
      <c r="UDX222" s="34"/>
      <c r="UDY222" s="36"/>
      <c r="UDZ222" s="36"/>
      <c r="UEA222" s="37"/>
      <c r="UEB222" s="37"/>
      <c r="UEC222" s="38"/>
      <c r="UED222" s="38"/>
      <c r="UEE222" s="39"/>
      <c r="UEF222" s="34"/>
      <c r="UEG222" s="34"/>
      <c r="UEH222" s="34"/>
      <c r="UEI222" s="35"/>
      <c r="UEJ222" s="35"/>
      <c r="UEK222" s="35"/>
      <c r="UEL222" s="35"/>
      <c r="UEM222" s="35"/>
      <c r="UEN222" s="34"/>
      <c r="UEO222" s="34"/>
      <c r="UEP222" s="36"/>
      <c r="UEQ222" s="36"/>
      <c r="UER222" s="37"/>
      <c r="UES222" s="37"/>
      <c r="UET222" s="38"/>
      <c r="UEU222" s="38"/>
      <c r="UEV222" s="39"/>
      <c r="UEW222" s="34"/>
      <c r="UEX222" s="34"/>
      <c r="UEY222" s="34"/>
      <c r="UEZ222" s="35"/>
      <c r="UFA222" s="35"/>
      <c r="UFB222" s="35"/>
      <c r="UFC222" s="35"/>
      <c r="UFD222" s="35"/>
      <c r="UFE222" s="34"/>
      <c r="UFF222" s="34"/>
      <c r="UFG222" s="36"/>
      <c r="UFH222" s="36"/>
      <c r="UFI222" s="37"/>
      <c r="UFJ222" s="37"/>
      <c r="UFK222" s="38"/>
      <c r="UFL222" s="38"/>
      <c r="UFM222" s="39"/>
      <c r="UFN222" s="34"/>
      <c r="UFO222" s="34"/>
      <c r="UFP222" s="34"/>
      <c r="UFQ222" s="35"/>
      <c r="UFR222" s="35"/>
      <c r="UFS222" s="35"/>
      <c r="UFT222" s="35"/>
      <c r="UFU222" s="35"/>
      <c r="UFV222" s="34"/>
      <c r="UFW222" s="34"/>
      <c r="UFX222" s="36"/>
      <c r="UFY222" s="36"/>
      <c r="UFZ222" s="37"/>
      <c r="UGA222" s="37"/>
      <c r="UGB222" s="38"/>
      <c r="UGC222" s="38"/>
      <c r="UGD222" s="39"/>
      <c r="UGE222" s="34"/>
      <c r="UGF222" s="34"/>
      <c r="UGG222" s="34"/>
      <c r="UGH222" s="35"/>
      <c r="UGI222" s="35"/>
      <c r="UGJ222" s="35"/>
      <c r="UGK222" s="35"/>
      <c r="UGL222" s="35"/>
      <c r="UGM222" s="34"/>
      <c r="UGN222" s="34"/>
      <c r="UGO222" s="36"/>
      <c r="UGP222" s="36"/>
      <c r="UGQ222" s="37"/>
      <c r="UGR222" s="37"/>
      <c r="UGS222" s="38"/>
      <c r="UGT222" s="38"/>
      <c r="UGU222" s="39"/>
      <c r="UGV222" s="34"/>
      <c r="UGW222" s="34"/>
      <c r="UGX222" s="34"/>
      <c r="UGY222" s="35"/>
      <c r="UGZ222" s="35"/>
      <c r="UHA222" s="35"/>
      <c r="UHB222" s="35"/>
      <c r="UHC222" s="35"/>
      <c r="UHD222" s="34"/>
      <c r="UHE222" s="34"/>
      <c r="UHF222" s="36"/>
      <c r="UHG222" s="36"/>
      <c r="UHH222" s="37"/>
      <c r="UHI222" s="37"/>
      <c r="UHJ222" s="38"/>
      <c r="UHK222" s="38"/>
      <c r="UHL222" s="39"/>
      <c r="UHM222" s="34"/>
      <c r="UHN222" s="34"/>
      <c r="UHO222" s="34"/>
      <c r="UHP222" s="35"/>
      <c r="UHQ222" s="35"/>
      <c r="UHR222" s="35"/>
      <c r="UHS222" s="35"/>
      <c r="UHT222" s="35"/>
      <c r="UHU222" s="34"/>
      <c r="UHV222" s="34"/>
      <c r="UHW222" s="36"/>
      <c r="UHX222" s="36"/>
      <c r="UHY222" s="37"/>
      <c r="UHZ222" s="37"/>
      <c r="UIA222" s="38"/>
      <c r="UIB222" s="38"/>
      <c r="UIC222" s="39"/>
      <c r="UID222" s="34"/>
      <c r="UIE222" s="34"/>
      <c r="UIF222" s="34"/>
      <c r="UIG222" s="35"/>
      <c r="UIH222" s="35"/>
      <c r="UII222" s="35"/>
      <c r="UIJ222" s="35"/>
      <c r="UIK222" s="35"/>
      <c r="UIL222" s="34"/>
      <c r="UIM222" s="34"/>
      <c r="UIN222" s="36"/>
      <c r="UIO222" s="36"/>
      <c r="UIP222" s="37"/>
      <c r="UIQ222" s="37"/>
      <c r="UIR222" s="38"/>
      <c r="UIS222" s="38"/>
      <c r="UIT222" s="39"/>
      <c r="UIU222" s="34"/>
      <c r="UIV222" s="34"/>
      <c r="UIW222" s="34"/>
      <c r="UIX222" s="35"/>
      <c r="UIY222" s="35"/>
      <c r="UIZ222" s="35"/>
      <c r="UJA222" s="35"/>
      <c r="UJB222" s="35"/>
      <c r="UJC222" s="34"/>
      <c r="UJD222" s="34"/>
      <c r="UJE222" s="36"/>
      <c r="UJF222" s="36"/>
      <c r="UJG222" s="37"/>
      <c r="UJH222" s="37"/>
      <c r="UJI222" s="38"/>
      <c r="UJJ222" s="38"/>
      <c r="UJK222" s="39"/>
      <c r="UJL222" s="34"/>
      <c r="UJM222" s="34"/>
      <c r="UJN222" s="34"/>
      <c r="UJO222" s="35"/>
      <c r="UJP222" s="35"/>
      <c r="UJQ222" s="35"/>
      <c r="UJR222" s="35"/>
      <c r="UJS222" s="35"/>
      <c r="UJT222" s="34"/>
      <c r="UJU222" s="34"/>
      <c r="UJV222" s="36"/>
      <c r="UJW222" s="36"/>
      <c r="UJX222" s="37"/>
      <c r="UJY222" s="37"/>
      <c r="UJZ222" s="38"/>
      <c r="UKA222" s="38"/>
      <c r="UKB222" s="39"/>
      <c r="UKC222" s="34"/>
      <c r="UKD222" s="34"/>
      <c r="UKE222" s="34"/>
      <c r="UKF222" s="35"/>
      <c r="UKG222" s="35"/>
      <c r="UKH222" s="35"/>
      <c r="UKI222" s="35"/>
      <c r="UKJ222" s="35"/>
      <c r="UKK222" s="34"/>
      <c r="UKL222" s="34"/>
      <c r="UKM222" s="36"/>
      <c r="UKN222" s="36"/>
      <c r="UKO222" s="37"/>
      <c r="UKP222" s="37"/>
      <c r="UKQ222" s="38"/>
      <c r="UKR222" s="38"/>
      <c r="UKS222" s="39"/>
      <c r="UKT222" s="34"/>
      <c r="UKU222" s="34"/>
      <c r="UKV222" s="34"/>
      <c r="UKW222" s="35"/>
      <c r="UKX222" s="35"/>
      <c r="UKY222" s="35"/>
      <c r="UKZ222" s="35"/>
      <c r="ULA222" s="35"/>
      <c r="ULB222" s="34"/>
      <c r="ULC222" s="34"/>
      <c r="ULD222" s="36"/>
      <c r="ULE222" s="36"/>
      <c r="ULF222" s="37"/>
      <c r="ULG222" s="37"/>
      <c r="ULH222" s="38"/>
      <c r="ULI222" s="38"/>
      <c r="ULJ222" s="39"/>
      <c r="ULK222" s="34"/>
      <c r="ULL222" s="34"/>
      <c r="ULM222" s="34"/>
      <c r="ULN222" s="35"/>
      <c r="ULO222" s="35"/>
      <c r="ULP222" s="35"/>
      <c r="ULQ222" s="35"/>
      <c r="ULR222" s="35"/>
      <c r="ULS222" s="34"/>
      <c r="ULT222" s="34"/>
      <c r="ULU222" s="36"/>
      <c r="ULV222" s="36"/>
      <c r="ULW222" s="37"/>
      <c r="ULX222" s="37"/>
      <c r="ULY222" s="38"/>
      <c r="ULZ222" s="38"/>
      <c r="UMA222" s="39"/>
      <c r="UMB222" s="34"/>
      <c r="UMC222" s="34"/>
      <c r="UMD222" s="34"/>
      <c r="UME222" s="35"/>
      <c r="UMF222" s="35"/>
      <c r="UMG222" s="35"/>
      <c r="UMH222" s="35"/>
      <c r="UMI222" s="35"/>
      <c r="UMJ222" s="34"/>
      <c r="UMK222" s="34"/>
      <c r="UML222" s="36"/>
      <c r="UMM222" s="36"/>
      <c r="UMN222" s="37"/>
      <c r="UMO222" s="37"/>
      <c r="UMP222" s="38"/>
      <c r="UMQ222" s="38"/>
      <c r="UMR222" s="39"/>
      <c r="UMS222" s="34"/>
      <c r="UMT222" s="34"/>
      <c r="UMU222" s="34"/>
      <c r="UMV222" s="35"/>
      <c r="UMW222" s="35"/>
      <c r="UMX222" s="35"/>
      <c r="UMY222" s="35"/>
      <c r="UMZ222" s="35"/>
      <c r="UNA222" s="34"/>
      <c r="UNB222" s="34"/>
      <c r="UNC222" s="36"/>
      <c r="UND222" s="36"/>
      <c r="UNE222" s="37"/>
      <c r="UNF222" s="37"/>
      <c r="UNG222" s="38"/>
      <c r="UNH222" s="38"/>
      <c r="UNI222" s="39"/>
      <c r="UNJ222" s="34"/>
      <c r="UNK222" s="34"/>
      <c r="UNL222" s="34"/>
      <c r="UNM222" s="35"/>
      <c r="UNN222" s="35"/>
      <c r="UNO222" s="35"/>
      <c r="UNP222" s="35"/>
      <c r="UNQ222" s="35"/>
      <c r="UNR222" s="34"/>
      <c r="UNS222" s="34"/>
      <c r="UNT222" s="36"/>
      <c r="UNU222" s="36"/>
      <c r="UNV222" s="37"/>
      <c r="UNW222" s="37"/>
      <c r="UNX222" s="38"/>
      <c r="UNY222" s="38"/>
      <c r="UNZ222" s="39"/>
      <c r="UOA222" s="34"/>
      <c r="UOB222" s="34"/>
      <c r="UOC222" s="34"/>
      <c r="UOD222" s="35"/>
      <c r="UOE222" s="35"/>
      <c r="UOF222" s="35"/>
      <c r="UOG222" s="35"/>
      <c r="UOH222" s="35"/>
      <c r="UOI222" s="34"/>
      <c r="UOJ222" s="34"/>
      <c r="UOK222" s="36"/>
      <c r="UOL222" s="36"/>
      <c r="UOM222" s="37"/>
      <c r="UON222" s="37"/>
      <c r="UOO222" s="38"/>
      <c r="UOP222" s="38"/>
      <c r="UOQ222" s="39"/>
      <c r="UOR222" s="34"/>
      <c r="UOS222" s="34"/>
      <c r="UOT222" s="34"/>
      <c r="UOU222" s="35"/>
      <c r="UOV222" s="35"/>
      <c r="UOW222" s="35"/>
      <c r="UOX222" s="35"/>
      <c r="UOY222" s="35"/>
      <c r="UOZ222" s="34"/>
      <c r="UPA222" s="34"/>
      <c r="UPB222" s="36"/>
      <c r="UPC222" s="36"/>
      <c r="UPD222" s="37"/>
      <c r="UPE222" s="37"/>
      <c r="UPF222" s="38"/>
      <c r="UPG222" s="38"/>
      <c r="UPH222" s="39"/>
      <c r="UPI222" s="34"/>
      <c r="UPJ222" s="34"/>
      <c r="UPK222" s="34"/>
      <c r="UPL222" s="35"/>
      <c r="UPM222" s="35"/>
      <c r="UPN222" s="35"/>
      <c r="UPO222" s="35"/>
      <c r="UPP222" s="35"/>
      <c r="UPQ222" s="34"/>
      <c r="UPR222" s="34"/>
      <c r="UPS222" s="36"/>
      <c r="UPT222" s="36"/>
      <c r="UPU222" s="37"/>
      <c r="UPV222" s="37"/>
      <c r="UPW222" s="38"/>
      <c r="UPX222" s="38"/>
      <c r="UPY222" s="39"/>
      <c r="UPZ222" s="34"/>
      <c r="UQA222" s="34"/>
      <c r="UQB222" s="34"/>
      <c r="UQC222" s="35"/>
      <c r="UQD222" s="35"/>
      <c r="UQE222" s="35"/>
      <c r="UQF222" s="35"/>
      <c r="UQG222" s="35"/>
      <c r="UQH222" s="34"/>
      <c r="UQI222" s="34"/>
      <c r="UQJ222" s="36"/>
      <c r="UQK222" s="36"/>
      <c r="UQL222" s="37"/>
      <c r="UQM222" s="37"/>
      <c r="UQN222" s="38"/>
      <c r="UQO222" s="38"/>
      <c r="UQP222" s="39"/>
      <c r="UQQ222" s="34"/>
      <c r="UQR222" s="34"/>
      <c r="UQS222" s="34"/>
      <c r="UQT222" s="35"/>
      <c r="UQU222" s="35"/>
      <c r="UQV222" s="35"/>
      <c r="UQW222" s="35"/>
      <c r="UQX222" s="35"/>
      <c r="UQY222" s="34"/>
      <c r="UQZ222" s="34"/>
      <c r="URA222" s="36"/>
      <c r="URB222" s="36"/>
      <c r="URC222" s="37"/>
      <c r="URD222" s="37"/>
      <c r="URE222" s="38"/>
      <c r="URF222" s="38"/>
      <c r="URG222" s="39"/>
      <c r="URH222" s="34"/>
      <c r="URI222" s="34"/>
      <c r="URJ222" s="34"/>
      <c r="URK222" s="35"/>
      <c r="URL222" s="35"/>
      <c r="URM222" s="35"/>
      <c r="URN222" s="35"/>
      <c r="URO222" s="35"/>
      <c r="URP222" s="34"/>
      <c r="URQ222" s="34"/>
      <c r="URR222" s="36"/>
      <c r="URS222" s="36"/>
      <c r="URT222" s="37"/>
      <c r="URU222" s="37"/>
      <c r="URV222" s="38"/>
      <c r="URW222" s="38"/>
      <c r="URX222" s="39"/>
      <c r="URY222" s="34"/>
      <c r="URZ222" s="34"/>
      <c r="USA222" s="34"/>
      <c r="USB222" s="35"/>
      <c r="USC222" s="35"/>
      <c r="USD222" s="35"/>
      <c r="USE222" s="35"/>
      <c r="USF222" s="35"/>
      <c r="USG222" s="34"/>
      <c r="USH222" s="34"/>
      <c r="USI222" s="36"/>
      <c r="USJ222" s="36"/>
      <c r="USK222" s="37"/>
      <c r="USL222" s="37"/>
      <c r="USM222" s="38"/>
      <c r="USN222" s="38"/>
      <c r="USO222" s="39"/>
      <c r="USP222" s="34"/>
      <c r="USQ222" s="34"/>
      <c r="USR222" s="34"/>
      <c r="USS222" s="35"/>
      <c r="UST222" s="35"/>
      <c r="USU222" s="35"/>
      <c r="USV222" s="35"/>
      <c r="USW222" s="35"/>
      <c r="USX222" s="34"/>
      <c r="USY222" s="34"/>
      <c r="USZ222" s="36"/>
      <c r="UTA222" s="36"/>
      <c r="UTB222" s="37"/>
      <c r="UTC222" s="37"/>
      <c r="UTD222" s="38"/>
      <c r="UTE222" s="38"/>
      <c r="UTF222" s="39"/>
      <c r="UTG222" s="34"/>
      <c r="UTH222" s="34"/>
      <c r="UTI222" s="34"/>
      <c r="UTJ222" s="35"/>
      <c r="UTK222" s="35"/>
      <c r="UTL222" s="35"/>
      <c r="UTM222" s="35"/>
      <c r="UTN222" s="35"/>
      <c r="UTO222" s="34"/>
      <c r="UTP222" s="34"/>
      <c r="UTQ222" s="36"/>
      <c r="UTR222" s="36"/>
      <c r="UTS222" s="37"/>
      <c r="UTT222" s="37"/>
      <c r="UTU222" s="38"/>
      <c r="UTV222" s="38"/>
      <c r="UTW222" s="39"/>
      <c r="UTX222" s="34"/>
      <c r="UTY222" s="34"/>
      <c r="UTZ222" s="34"/>
      <c r="UUA222" s="35"/>
      <c r="UUB222" s="35"/>
      <c r="UUC222" s="35"/>
      <c r="UUD222" s="35"/>
      <c r="UUE222" s="35"/>
      <c r="UUF222" s="34"/>
      <c r="UUG222" s="34"/>
      <c r="UUH222" s="36"/>
      <c r="UUI222" s="36"/>
      <c r="UUJ222" s="37"/>
      <c r="UUK222" s="37"/>
      <c r="UUL222" s="38"/>
      <c r="UUM222" s="38"/>
      <c r="UUN222" s="39"/>
      <c r="UUO222" s="34"/>
      <c r="UUP222" s="34"/>
      <c r="UUQ222" s="34"/>
      <c r="UUR222" s="35"/>
      <c r="UUS222" s="35"/>
      <c r="UUT222" s="35"/>
      <c r="UUU222" s="35"/>
      <c r="UUV222" s="35"/>
      <c r="UUW222" s="34"/>
      <c r="UUX222" s="34"/>
      <c r="UUY222" s="36"/>
      <c r="UUZ222" s="36"/>
      <c r="UVA222" s="37"/>
      <c r="UVB222" s="37"/>
      <c r="UVC222" s="38"/>
      <c r="UVD222" s="38"/>
      <c r="UVE222" s="39"/>
      <c r="UVF222" s="34"/>
      <c r="UVG222" s="34"/>
      <c r="UVH222" s="34"/>
      <c r="UVI222" s="35"/>
      <c r="UVJ222" s="35"/>
      <c r="UVK222" s="35"/>
      <c r="UVL222" s="35"/>
      <c r="UVM222" s="35"/>
      <c r="UVN222" s="34"/>
      <c r="UVO222" s="34"/>
      <c r="UVP222" s="36"/>
      <c r="UVQ222" s="36"/>
      <c r="UVR222" s="37"/>
      <c r="UVS222" s="37"/>
      <c r="UVT222" s="38"/>
      <c r="UVU222" s="38"/>
      <c r="UVV222" s="39"/>
      <c r="UVW222" s="34"/>
      <c r="UVX222" s="34"/>
      <c r="UVY222" s="34"/>
      <c r="UVZ222" s="35"/>
      <c r="UWA222" s="35"/>
      <c r="UWB222" s="35"/>
      <c r="UWC222" s="35"/>
      <c r="UWD222" s="35"/>
      <c r="UWE222" s="34"/>
      <c r="UWF222" s="34"/>
      <c r="UWG222" s="36"/>
      <c r="UWH222" s="36"/>
      <c r="UWI222" s="37"/>
      <c r="UWJ222" s="37"/>
      <c r="UWK222" s="38"/>
      <c r="UWL222" s="38"/>
      <c r="UWM222" s="39"/>
      <c r="UWN222" s="34"/>
      <c r="UWO222" s="34"/>
      <c r="UWP222" s="34"/>
      <c r="UWQ222" s="35"/>
      <c r="UWR222" s="35"/>
      <c r="UWS222" s="35"/>
      <c r="UWT222" s="35"/>
      <c r="UWU222" s="35"/>
      <c r="UWV222" s="34"/>
      <c r="UWW222" s="34"/>
      <c r="UWX222" s="36"/>
      <c r="UWY222" s="36"/>
      <c r="UWZ222" s="37"/>
      <c r="UXA222" s="37"/>
      <c r="UXB222" s="38"/>
      <c r="UXC222" s="38"/>
      <c r="UXD222" s="39"/>
      <c r="UXE222" s="34"/>
      <c r="UXF222" s="34"/>
      <c r="UXG222" s="34"/>
      <c r="UXH222" s="35"/>
      <c r="UXI222" s="35"/>
      <c r="UXJ222" s="35"/>
      <c r="UXK222" s="35"/>
      <c r="UXL222" s="35"/>
      <c r="UXM222" s="34"/>
      <c r="UXN222" s="34"/>
      <c r="UXO222" s="36"/>
      <c r="UXP222" s="36"/>
      <c r="UXQ222" s="37"/>
      <c r="UXR222" s="37"/>
      <c r="UXS222" s="38"/>
      <c r="UXT222" s="38"/>
      <c r="UXU222" s="39"/>
      <c r="UXV222" s="34"/>
      <c r="UXW222" s="34"/>
      <c r="UXX222" s="34"/>
      <c r="UXY222" s="35"/>
      <c r="UXZ222" s="35"/>
      <c r="UYA222" s="35"/>
      <c r="UYB222" s="35"/>
      <c r="UYC222" s="35"/>
      <c r="UYD222" s="34"/>
      <c r="UYE222" s="34"/>
      <c r="UYF222" s="36"/>
      <c r="UYG222" s="36"/>
      <c r="UYH222" s="37"/>
      <c r="UYI222" s="37"/>
      <c r="UYJ222" s="38"/>
      <c r="UYK222" s="38"/>
      <c r="UYL222" s="39"/>
      <c r="UYM222" s="34"/>
      <c r="UYN222" s="34"/>
      <c r="UYO222" s="34"/>
      <c r="UYP222" s="35"/>
      <c r="UYQ222" s="35"/>
      <c r="UYR222" s="35"/>
      <c r="UYS222" s="35"/>
      <c r="UYT222" s="35"/>
      <c r="UYU222" s="34"/>
      <c r="UYV222" s="34"/>
      <c r="UYW222" s="36"/>
      <c r="UYX222" s="36"/>
      <c r="UYY222" s="37"/>
      <c r="UYZ222" s="37"/>
      <c r="UZA222" s="38"/>
      <c r="UZB222" s="38"/>
      <c r="UZC222" s="39"/>
      <c r="UZD222" s="34"/>
      <c r="UZE222" s="34"/>
      <c r="UZF222" s="34"/>
      <c r="UZG222" s="35"/>
      <c r="UZH222" s="35"/>
      <c r="UZI222" s="35"/>
      <c r="UZJ222" s="35"/>
      <c r="UZK222" s="35"/>
      <c r="UZL222" s="34"/>
      <c r="UZM222" s="34"/>
      <c r="UZN222" s="36"/>
      <c r="UZO222" s="36"/>
      <c r="UZP222" s="37"/>
      <c r="UZQ222" s="37"/>
      <c r="UZR222" s="38"/>
      <c r="UZS222" s="38"/>
      <c r="UZT222" s="39"/>
      <c r="UZU222" s="34"/>
      <c r="UZV222" s="34"/>
      <c r="UZW222" s="34"/>
      <c r="UZX222" s="35"/>
      <c r="UZY222" s="35"/>
      <c r="UZZ222" s="35"/>
      <c r="VAA222" s="35"/>
      <c r="VAB222" s="35"/>
      <c r="VAC222" s="34"/>
      <c r="VAD222" s="34"/>
      <c r="VAE222" s="36"/>
      <c r="VAF222" s="36"/>
      <c r="VAG222" s="37"/>
      <c r="VAH222" s="37"/>
      <c r="VAI222" s="38"/>
      <c r="VAJ222" s="38"/>
      <c r="VAK222" s="39"/>
      <c r="VAL222" s="34"/>
      <c r="VAM222" s="34"/>
      <c r="VAN222" s="34"/>
      <c r="VAO222" s="35"/>
      <c r="VAP222" s="35"/>
      <c r="VAQ222" s="35"/>
      <c r="VAR222" s="35"/>
      <c r="VAS222" s="35"/>
      <c r="VAT222" s="34"/>
      <c r="VAU222" s="34"/>
      <c r="VAV222" s="36"/>
      <c r="VAW222" s="36"/>
      <c r="VAX222" s="37"/>
      <c r="VAY222" s="37"/>
      <c r="VAZ222" s="38"/>
      <c r="VBA222" s="38"/>
      <c r="VBB222" s="39"/>
      <c r="VBC222" s="34"/>
      <c r="VBD222" s="34"/>
      <c r="VBE222" s="34"/>
      <c r="VBF222" s="35"/>
      <c r="VBG222" s="35"/>
      <c r="VBH222" s="35"/>
      <c r="VBI222" s="35"/>
      <c r="VBJ222" s="35"/>
      <c r="VBK222" s="34"/>
      <c r="VBL222" s="34"/>
      <c r="VBM222" s="36"/>
      <c r="VBN222" s="36"/>
      <c r="VBO222" s="37"/>
      <c r="VBP222" s="37"/>
      <c r="VBQ222" s="38"/>
      <c r="VBR222" s="38"/>
      <c r="VBS222" s="39"/>
      <c r="VBT222" s="34"/>
      <c r="VBU222" s="34"/>
      <c r="VBV222" s="34"/>
      <c r="VBW222" s="35"/>
      <c r="VBX222" s="35"/>
      <c r="VBY222" s="35"/>
      <c r="VBZ222" s="35"/>
      <c r="VCA222" s="35"/>
      <c r="VCB222" s="34"/>
      <c r="VCC222" s="34"/>
      <c r="VCD222" s="36"/>
      <c r="VCE222" s="36"/>
      <c r="VCF222" s="37"/>
      <c r="VCG222" s="37"/>
      <c r="VCH222" s="38"/>
      <c r="VCI222" s="38"/>
      <c r="VCJ222" s="39"/>
      <c r="VCK222" s="34"/>
      <c r="VCL222" s="34"/>
      <c r="VCM222" s="34"/>
      <c r="VCN222" s="35"/>
      <c r="VCO222" s="35"/>
      <c r="VCP222" s="35"/>
      <c r="VCQ222" s="35"/>
      <c r="VCR222" s="35"/>
      <c r="VCS222" s="34"/>
      <c r="VCT222" s="34"/>
      <c r="VCU222" s="36"/>
      <c r="VCV222" s="36"/>
      <c r="VCW222" s="37"/>
      <c r="VCX222" s="37"/>
      <c r="VCY222" s="38"/>
      <c r="VCZ222" s="38"/>
      <c r="VDA222" s="39"/>
      <c r="VDB222" s="34"/>
      <c r="VDC222" s="34"/>
      <c r="VDD222" s="34"/>
      <c r="VDE222" s="35"/>
      <c r="VDF222" s="35"/>
      <c r="VDG222" s="35"/>
      <c r="VDH222" s="35"/>
      <c r="VDI222" s="35"/>
      <c r="VDJ222" s="34"/>
      <c r="VDK222" s="34"/>
      <c r="VDL222" s="36"/>
      <c r="VDM222" s="36"/>
      <c r="VDN222" s="37"/>
      <c r="VDO222" s="37"/>
      <c r="VDP222" s="38"/>
      <c r="VDQ222" s="38"/>
      <c r="VDR222" s="39"/>
      <c r="VDS222" s="34"/>
      <c r="VDT222" s="34"/>
      <c r="VDU222" s="34"/>
      <c r="VDV222" s="35"/>
      <c r="VDW222" s="35"/>
      <c r="VDX222" s="35"/>
      <c r="VDY222" s="35"/>
      <c r="VDZ222" s="35"/>
      <c r="VEA222" s="34"/>
      <c r="VEB222" s="34"/>
      <c r="VEC222" s="36"/>
      <c r="VED222" s="36"/>
      <c r="VEE222" s="37"/>
      <c r="VEF222" s="37"/>
      <c r="VEG222" s="38"/>
      <c r="VEH222" s="38"/>
      <c r="VEI222" s="39"/>
      <c r="VEJ222" s="34"/>
      <c r="VEK222" s="34"/>
      <c r="VEL222" s="34"/>
      <c r="VEM222" s="35"/>
      <c r="VEN222" s="35"/>
      <c r="VEO222" s="35"/>
      <c r="VEP222" s="35"/>
      <c r="VEQ222" s="35"/>
      <c r="VER222" s="34"/>
      <c r="VES222" s="34"/>
      <c r="VET222" s="36"/>
      <c r="VEU222" s="36"/>
      <c r="VEV222" s="37"/>
      <c r="VEW222" s="37"/>
      <c r="VEX222" s="38"/>
      <c r="VEY222" s="38"/>
      <c r="VEZ222" s="39"/>
      <c r="VFA222" s="34"/>
      <c r="VFB222" s="34"/>
      <c r="VFC222" s="34"/>
      <c r="VFD222" s="35"/>
      <c r="VFE222" s="35"/>
      <c r="VFF222" s="35"/>
      <c r="VFG222" s="35"/>
      <c r="VFH222" s="35"/>
      <c r="VFI222" s="34"/>
      <c r="VFJ222" s="34"/>
      <c r="VFK222" s="36"/>
      <c r="VFL222" s="36"/>
      <c r="VFM222" s="37"/>
      <c r="VFN222" s="37"/>
      <c r="VFO222" s="38"/>
      <c r="VFP222" s="38"/>
      <c r="VFQ222" s="39"/>
      <c r="VFR222" s="34"/>
      <c r="VFS222" s="34"/>
      <c r="VFT222" s="34"/>
      <c r="VFU222" s="35"/>
      <c r="VFV222" s="35"/>
      <c r="VFW222" s="35"/>
      <c r="VFX222" s="35"/>
      <c r="VFY222" s="35"/>
      <c r="VFZ222" s="34"/>
      <c r="VGA222" s="34"/>
      <c r="VGB222" s="36"/>
      <c r="VGC222" s="36"/>
      <c r="VGD222" s="37"/>
      <c r="VGE222" s="37"/>
      <c r="VGF222" s="38"/>
      <c r="VGG222" s="38"/>
      <c r="VGH222" s="39"/>
      <c r="VGI222" s="34"/>
      <c r="VGJ222" s="34"/>
      <c r="VGK222" s="34"/>
      <c r="VGL222" s="35"/>
      <c r="VGM222" s="35"/>
      <c r="VGN222" s="35"/>
      <c r="VGO222" s="35"/>
      <c r="VGP222" s="35"/>
      <c r="VGQ222" s="34"/>
      <c r="VGR222" s="34"/>
      <c r="VGS222" s="36"/>
      <c r="VGT222" s="36"/>
      <c r="VGU222" s="37"/>
      <c r="VGV222" s="37"/>
      <c r="VGW222" s="38"/>
      <c r="VGX222" s="38"/>
      <c r="VGY222" s="39"/>
      <c r="VGZ222" s="34"/>
      <c r="VHA222" s="34"/>
      <c r="VHB222" s="34"/>
      <c r="VHC222" s="35"/>
      <c r="VHD222" s="35"/>
      <c r="VHE222" s="35"/>
      <c r="VHF222" s="35"/>
      <c r="VHG222" s="35"/>
      <c r="VHH222" s="34"/>
      <c r="VHI222" s="34"/>
      <c r="VHJ222" s="36"/>
      <c r="VHK222" s="36"/>
      <c r="VHL222" s="37"/>
      <c r="VHM222" s="37"/>
      <c r="VHN222" s="38"/>
      <c r="VHO222" s="38"/>
      <c r="VHP222" s="39"/>
      <c r="VHQ222" s="34"/>
      <c r="VHR222" s="34"/>
      <c r="VHS222" s="34"/>
      <c r="VHT222" s="35"/>
      <c r="VHU222" s="35"/>
      <c r="VHV222" s="35"/>
      <c r="VHW222" s="35"/>
      <c r="VHX222" s="35"/>
      <c r="VHY222" s="34"/>
      <c r="VHZ222" s="34"/>
      <c r="VIA222" s="36"/>
      <c r="VIB222" s="36"/>
      <c r="VIC222" s="37"/>
      <c r="VID222" s="37"/>
      <c r="VIE222" s="38"/>
      <c r="VIF222" s="38"/>
      <c r="VIG222" s="39"/>
      <c r="VIH222" s="34"/>
      <c r="VII222" s="34"/>
      <c r="VIJ222" s="34"/>
      <c r="VIK222" s="35"/>
      <c r="VIL222" s="35"/>
      <c r="VIM222" s="35"/>
      <c r="VIN222" s="35"/>
      <c r="VIO222" s="35"/>
      <c r="VIP222" s="34"/>
      <c r="VIQ222" s="34"/>
      <c r="VIR222" s="36"/>
      <c r="VIS222" s="36"/>
      <c r="VIT222" s="37"/>
      <c r="VIU222" s="37"/>
      <c r="VIV222" s="38"/>
      <c r="VIW222" s="38"/>
      <c r="VIX222" s="39"/>
      <c r="VIY222" s="34"/>
      <c r="VIZ222" s="34"/>
      <c r="VJA222" s="34"/>
      <c r="VJB222" s="35"/>
      <c r="VJC222" s="35"/>
      <c r="VJD222" s="35"/>
      <c r="VJE222" s="35"/>
      <c r="VJF222" s="35"/>
      <c r="VJG222" s="34"/>
      <c r="VJH222" s="34"/>
      <c r="VJI222" s="36"/>
      <c r="VJJ222" s="36"/>
      <c r="VJK222" s="37"/>
      <c r="VJL222" s="37"/>
      <c r="VJM222" s="38"/>
      <c r="VJN222" s="38"/>
      <c r="VJO222" s="39"/>
      <c r="VJP222" s="34"/>
      <c r="VJQ222" s="34"/>
      <c r="VJR222" s="34"/>
      <c r="VJS222" s="35"/>
      <c r="VJT222" s="35"/>
      <c r="VJU222" s="35"/>
      <c r="VJV222" s="35"/>
      <c r="VJW222" s="35"/>
      <c r="VJX222" s="34"/>
      <c r="VJY222" s="34"/>
      <c r="VJZ222" s="36"/>
      <c r="VKA222" s="36"/>
      <c r="VKB222" s="37"/>
      <c r="VKC222" s="37"/>
      <c r="VKD222" s="38"/>
      <c r="VKE222" s="38"/>
      <c r="VKF222" s="39"/>
      <c r="VKG222" s="34"/>
      <c r="VKH222" s="34"/>
      <c r="VKI222" s="34"/>
      <c r="VKJ222" s="35"/>
      <c r="VKK222" s="35"/>
      <c r="VKL222" s="35"/>
      <c r="VKM222" s="35"/>
      <c r="VKN222" s="35"/>
      <c r="VKO222" s="34"/>
      <c r="VKP222" s="34"/>
      <c r="VKQ222" s="36"/>
      <c r="VKR222" s="36"/>
      <c r="VKS222" s="37"/>
      <c r="VKT222" s="37"/>
      <c r="VKU222" s="38"/>
      <c r="VKV222" s="38"/>
      <c r="VKW222" s="39"/>
      <c r="VKX222" s="34"/>
      <c r="VKY222" s="34"/>
      <c r="VKZ222" s="34"/>
      <c r="VLA222" s="35"/>
      <c r="VLB222" s="35"/>
      <c r="VLC222" s="35"/>
      <c r="VLD222" s="35"/>
      <c r="VLE222" s="35"/>
      <c r="VLF222" s="34"/>
      <c r="VLG222" s="34"/>
      <c r="VLH222" s="36"/>
      <c r="VLI222" s="36"/>
      <c r="VLJ222" s="37"/>
      <c r="VLK222" s="37"/>
      <c r="VLL222" s="38"/>
      <c r="VLM222" s="38"/>
      <c r="VLN222" s="39"/>
      <c r="VLO222" s="34"/>
      <c r="VLP222" s="34"/>
      <c r="VLQ222" s="34"/>
      <c r="VLR222" s="35"/>
      <c r="VLS222" s="35"/>
      <c r="VLT222" s="35"/>
      <c r="VLU222" s="35"/>
      <c r="VLV222" s="35"/>
      <c r="VLW222" s="34"/>
      <c r="VLX222" s="34"/>
      <c r="VLY222" s="36"/>
      <c r="VLZ222" s="36"/>
      <c r="VMA222" s="37"/>
      <c r="VMB222" s="37"/>
      <c r="VMC222" s="38"/>
      <c r="VMD222" s="38"/>
      <c r="VME222" s="39"/>
      <c r="VMF222" s="34"/>
      <c r="VMG222" s="34"/>
      <c r="VMH222" s="34"/>
      <c r="VMI222" s="35"/>
      <c r="VMJ222" s="35"/>
      <c r="VMK222" s="35"/>
      <c r="VML222" s="35"/>
      <c r="VMM222" s="35"/>
      <c r="VMN222" s="34"/>
      <c r="VMO222" s="34"/>
      <c r="VMP222" s="36"/>
      <c r="VMQ222" s="36"/>
      <c r="VMR222" s="37"/>
      <c r="VMS222" s="37"/>
      <c r="VMT222" s="38"/>
      <c r="VMU222" s="38"/>
      <c r="VMV222" s="39"/>
      <c r="VMW222" s="34"/>
      <c r="VMX222" s="34"/>
      <c r="VMY222" s="34"/>
      <c r="VMZ222" s="35"/>
      <c r="VNA222" s="35"/>
      <c r="VNB222" s="35"/>
      <c r="VNC222" s="35"/>
      <c r="VND222" s="35"/>
      <c r="VNE222" s="34"/>
      <c r="VNF222" s="34"/>
      <c r="VNG222" s="36"/>
      <c r="VNH222" s="36"/>
      <c r="VNI222" s="37"/>
      <c r="VNJ222" s="37"/>
      <c r="VNK222" s="38"/>
      <c r="VNL222" s="38"/>
      <c r="VNM222" s="39"/>
      <c r="VNN222" s="34"/>
      <c r="VNO222" s="34"/>
      <c r="VNP222" s="34"/>
      <c r="VNQ222" s="35"/>
      <c r="VNR222" s="35"/>
      <c r="VNS222" s="35"/>
      <c r="VNT222" s="35"/>
      <c r="VNU222" s="35"/>
      <c r="VNV222" s="34"/>
      <c r="VNW222" s="34"/>
      <c r="VNX222" s="36"/>
      <c r="VNY222" s="36"/>
      <c r="VNZ222" s="37"/>
      <c r="VOA222" s="37"/>
      <c r="VOB222" s="38"/>
      <c r="VOC222" s="38"/>
      <c r="VOD222" s="39"/>
      <c r="VOE222" s="34"/>
      <c r="VOF222" s="34"/>
      <c r="VOG222" s="34"/>
      <c r="VOH222" s="35"/>
      <c r="VOI222" s="35"/>
      <c r="VOJ222" s="35"/>
      <c r="VOK222" s="35"/>
      <c r="VOL222" s="35"/>
      <c r="VOM222" s="34"/>
      <c r="VON222" s="34"/>
      <c r="VOO222" s="36"/>
      <c r="VOP222" s="36"/>
      <c r="VOQ222" s="37"/>
      <c r="VOR222" s="37"/>
      <c r="VOS222" s="38"/>
      <c r="VOT222" s="38"/>
      <c r="VOU222" s="39"/>
      <c r="VOV222" s="34"/>
      <c r="VOW222" s="34"/>
      <c r="VOX222" s="34"/>
      <c r="VOY222" s="35"/>
      <c r="VOZ222" s="35"/>
      <c r="VPA222" s="35"/>
      <c r="VPB222" s="35"/>
      <c r="VPC222" s="35"/>
      <c r="VPD222" s="34"/>
      <c r="VPE222" s="34"/>
      <c r="VPF222" s="36"/>
      <c r="VPG222" s="36"/>
      <c r="VPH222" s="37"/>
      <c r="VPI222" s="37"/>
      <c r="VPJ222" s="38"/>
      <c r="VPK222" s="38"/>
      <c r="VPL222" s="39"/>
      <c r="VPM222" s="34"/>
      <c r="VPN222" s="34"/>
      <c r="VPO222" s="34"/>
      <c r="VPP222" s="35"/>
      <c r="VPQ222" s="35"/>
      <c r="VPR222" s="35"/>
      <c r="VPS222" s="35"/>
      <c r="VPT222" s="35"/>
      <c r="VPU222" s="34"/>
      <c r="VPV222" s="34"/>
      <c r="VPW222" s="36"/>
      <c r="VPX222" s="36"/>
      <c r="VPY222" s="37"/>
      <c r="VPZ222" s="37"/>
      <c r="VQA222" s="38"/>
      <c r="VQB222" s="38"/>
      <c r="VQC222" s="39"/>
      <c r="VQD222" s="34"/>
      <c r="VQE222" s="34"/>
      <c r="VQF222" s="34"/>
      <c r="VQG222" s="35"/>
      <c r="VQH222" s="35"/>
      <c r="VQI222" s="35"/>
      <c r="VQJ222" s="35"/>
      <c r="VQK222" s="35"/>
      <c r="VQL222" s="34"/>
      <c r="VQM222" s="34"/>
      <c r="VQN222" s="36"/>
      <c r="VQO222" s="36"/>
      <c r="VQP222" s="37"/>
      <c r="VQQ222" s="37"/>
      <c r="VQR222" s="38"/>
      <c r="VQS222" s="38"/>
      <c r="VQT222" s="39"/>
      <c r="VQU222" s="34"/>
      <c r="VQV222" s="34"/>
      <c r="VQW222" s="34"/>
      <c r="VQX222" s="35"/>
      <c r="VQY222" s="35"/>
      <c r="VQZ222" s="35"/>
      <c r="VRA222" s="35"/>
      <c r="VRB222" s="35"/>
      <c r="VRC222" s="34"/>
      <c r="VRD222" s="34"/>
      <c r="VRE222" s="36"/>
      <c r="VRF222" s="36"/>
      <c r="VRG222" s="37"/>
      <c r="VRH222" s="37"/>
      <c r="VRI222" s="38"/>
      <c r="VRJ222" s="38"/>
      <c r="VRK222" s="39"/>
      <c r="VRL222" s="34"/>
      <c r="VRM222" s="34"/>
      <c r="VRN222" s="34"/>
      <c r="VRO222" s="35"/>
      <c r="VRP222" s="35"/>
      <c r="VRQ222" s="35"/>
      <c r="VRR222" s="35"/>
      <c r="VRS222" s="35"/>
      <c r="VRT222" s="34"/>
      <c r="VRU222" s="34"/>
      <c r="VRV222" s="36"/>
      <c r="VRW222" s="36"/>
      <c r="VRX222" s="37"/>
      <c r="VRY222" s="37"/>
      <c r="VRZ222" s="38"/>
      <c r="VSA222" s="38"/>
      <c r="VSB222" s="39"/>
      <c r="VSC222" s="34"/>
      <c r="VSD222" s="34"/>
      <c r="VSE222" s="34"/>
      <c r="VSF222" s="35"/>
      <c r="VSG222" s="35"/>
      <c r="VSH222" s="35"/>
      <c r="VSI222" s="35"/>
      <c r="VSJ222" s="35"/>
      <c r="VSK222" s="34"/>
      <c r="VSL222" s="34"/>
      <c r="VSM222" s="36"/>
      <c r="VSN222" s="36"/>
      <c r="VSO222" s="37"/>
      <c r="VSP222" s="37"/>
      <c r="VSQ222" s="38"/>
      <c r="VSR222" s="38"/>
      <c r="VSS222" s="39"/>
      <c r="VST222" s="34"/>
      <c r="VSU222" s="34"/>
      <c r="VSV222" s="34"/>
      <c r="VSW222" s="35"/>
      <c r="VSX222" s="35"/>
      <c r="VSY222" s="35"/>
      <c r="VSZ222" s="35"/>
      <c r="VTA222" s="35"/>
      <c r="VTB222" s="34"/>
      <c r="VTC222" s="34"/>
      <c r="VTD222" s="36"/>
      <c r="VTE222" s="36"/>
      <c r="VTF222" s="37"/>
      <c r="VTG222" s="37"/>
      <c r="VTH222" s="38"/>
      <c r="VTI222" s="38"/>
      <c r="VTJ222" s="39"/>
      <c r="VTK222" s="34"/>
      <c r="VTL222" s="34"/>
      <c r="VTM222" s="34"/>
      <c r="VTN222" s="35"/>
      <c r="VTO222" s="35"/>
      <c r="VTP222" s="35"/>
      <c r="VTQ222" s="35"/>
      <c r="VTR222" s="35"/>
      <c r="VTS222" s="34"/>
      <c r="VTT222" s="34"/>
      <c r="VTU222" s="36"/>
      <c r="VTV222" s="36"/>
      <c r="VTW222" s="37"/>
      <c r="VTX222" s="37"/>
      <c r="VTY222" s="38"/>
      <c r="VTZ222" s="38"/>
      <c r="VUA222" s="39"/>
      <c r="VUB222" s="34"/>
      <c r="VUC222" s="34"/>
      <c r="VUD222" s="34"/>
      <c r="VUE222" s="35"/>
      <c r="VUF222" s="35"/>
      <c r="VUG222" s="35"/>
      <c r="VUH222" s="35"/>
      <c r="VUI222" s="35"/>
      <c r="VUJ222" s="34"/>
      <c r="VUK222" s="34"/>
      <c r="VUL222" s="36"/>
      <c r="VUM222" s="36"/>
      <c r="VUN222" s="37"/>
      <c r="VUO222" s="37"/>
      <c r="VUP222" s="38"/>
      <c r="VUQ222" s="38"/>
      <c r="VUR222" s="39"/>
      <c r="VUS222" s="34"/>
      <c r="VUT222" s="34"/>
      <c r="VUU222" s="34"/>
      <c r="VUV222" s="35"/>
      <c r="VUW222" s="35"/>
      <c r="VUX222" s="35"/>
      <c r="VUY222" s="35"/>
      <c r="VUZ222" s="35"/>
      <c r="VVA222" s="34"/>
      <c r="VVB222" s="34"/>
      <c r="VVC222" s="36"/>
      <c r="VVD222" s="36"/>
      <c r="VVE222" s="37"/>
      <c r="VVF222" s="37"/>
      <c r="VVG222" s="38"/>
      <c r="VVH222" s="38"/>
      <c r="VVI222" s="39"/>
      <c r="VVJ222" s="34"/>
      <c r="VVK222" s="34"/>
      <c r="VVL222" s="34"/>
      <c r="VVM222" s="35"/>
      <c r="VVN222" s="35"/>
      <c r="VVO222" s="35"/>
      <c r="VVP222" s="35"/>
      <c r="VVQ222" s="35"/>
      <c r="VVR222" s="34"/>
      <c r="VVS222" s="34"/>
      <c r="VVT222" s="36"/>
      <c r="VVU222" s="36"/>
      <c r="VVV222" s="37"/>
      <c r="VVW222" s="37"/>
      <c r="VVX222" s="38"/>
      <c r="VVY222" s="38"/>
      <c r="VVZ222" s="39"/>
      <c r="VWA222" s="34"/>
      <c r="VWB222" s="34"/>
      <c r="VWC222" s="34"/>
      <c r="VWD222" s="35"/>
      <c r="VWE222" s="35"/>
      <c r="VWF222" s="35"/>
      <c r="VWG222" s="35"/>
      <c r="VWH222" s="35"/>
      <c r="VWI222" s="34"/>
      <c r="VWJ222" s="34"/>
      <c r="VWK222" s="36"/>
      <c r="VWL222" s="36"/>
      <c r="VWM222" s="37"/>
      <c r="VWN222" s="37"/>
      <c r="VWO222" s="38"/>
      <c r="VWP222" s="38"/>
      <c r="VWQ222" s="39"/>
      <c r="VWR222" s="34"/>
      <c r="VWS222" s="34"/>
      <c r="VWT222" s="34"/>
      <c r="VWU222" s="35"/>
      <c r="VWV222" s="35"/>
      <c r="VWW222" s="35"/>
      <c r="VWX222" s="35"/>
      <c r="VWY222" s="35"/>
      <c r="VWZ222" s="34"/>
      <c r="VXA222" s="34"/>
      <c r="VXB222" s="36"/>
      <c r="VXC222" s="36"/>
      <c r="VXD222" s="37"/>
      <c r="VXE222" s="37"/>
      <c r="VXF222" s="38"/>
      <c r="VXG222" s="38"/>
      <c r="VXH222" s="39"/>
      <c r="VXI222" s="34"/>
      <c r="VXJ222" s="34"/>
      <c r="VXK222" s="34"/>
      <c r="VXL222" s="35"/>
      <c r="VXM222" s="35"/>
      <c r="VXN222" s="35"/>
      <c r="VXO222" s="35"/>
      <c r="VXP222" s="35"/>
      <c r="VXQ222" s="34"/>
      <c r="VXR222" s="34"/>
      <c r="VXS222" s="36"/>
      <c r="VXT222" s="36"/>
      <c r="VXU222" s="37"/>
      <c r="VXV222" s="37"/>
      <c r="VXW222" s="38"/>
      <c r="VXX222" s="38"/>
      <c r="VXY222" s="39"/>
      <c r="VXZ222" s="34"/>
      <c r="VYA222" s="34"/>
      <c r="VYB222" s="34"/>
      <c r="VYC222" s="35"/>
      <c r="VYD222" s="35"/>
      <c r="VYE222" s="35"/>
      <c r="VYF222" s="35"/>
      <c r="VYG222" s="35"/>
      <c r="VYH222" s="34"/>
      <c r="VYI222" s="34"/>
      <c r="VYJ222" s="36"/>
      <c r="VYK222" s="36"/>
      <c r="VYL222" s="37"/>
      <c r="VYM222" s="37"/>
      <c r="VYN222" s="38"/>
      <c r="VYO222" s="38"/>
      <c r="VYP222" s="39"/>
      <c r="VYQ222" s="34"/>
      <c r="VYR222" s="34"/>
      <c r="VYS222" s="34"/>
      <c r="VYT222" s="35"/>
      <c r="VYU222" s="35"/>
      <c r="VYV222" s="35"/>
      <c r="VYW222" s="35"/>
      <c r="VYX222" s="35"/>
      <c r="VYY222" s="34"/>
      <c r="VYZ222" s="34"/>
      <c r="VZA222" s="36"/>
      <c r="VZB222" s="36"/>
      <c r="VZC222" s="37"/>
      <c r="VZD222" s="37"/>
      <c r="VZE222" s="38"/>
      <c r="VZF222" s="38"/>
      <c r="VZG222" s="39"/>
      <c r="VZH222" s="34"/>
      <c r="VZI222" s="34"/>
      <c r="VZJ222" s="34"/>
      <c r="VZK222" s="35"/>
      <c r="VZL222" s="35"/>
      <c r="VZM222" s="35"/>
      <c r="VZN222" s="35"/>
      <c r="VZO222" s="35"/>
      <c r="VZP222" s="34"/>
      <c r="VZQ222" s="34"/>
      <c r="VZR222" s="36"/>
      <c r="VZS222" s="36"/>
      <c r="VZT222" s="37"/>
      <c r="VZU222" s="37"/>
      <c r="VZV222" s="38"/>
      <c r="VZW222" s="38"/>
      <c r="VZX222" s="39"/>
      <c r="VZY222" s="34"/>
      <c r="VZZ222" s="34"/>
      <c r="WAA222" s="34"/>
      <c r="WAB222" s="35"/>
      <c r="WAC222" s="35"/>
      <c r="WAD222" s="35"/>
      <c r="WAE222" s="35"/>
      <c r="WAF222" s="35"/>
      <c r="WAG222" s="34"/>
      <c r="WAH222" s="34"/>
      <c r="WAI222" s="36"/>
      <c r="WAJ222" s="36"/>
      <c r="WAK222" s="37"/>
      <c r="WAL222" s="37"/>
      <c r="WAM222" s="38"/>
      <c r="WAN222" s="38"/>
      <c r="WAO222" s="39"/>
      <c r="WAP222" s="34"/>
      <c r="WAQ222" s="34"/>
      <c r="WAR222" s="34"/>
      <c r="WAS222" s="35"/>
      <c r="WAT222" s="35"/>
      <c r="WAU222" s="35"/>
      <c r="WAV222" s="35"/>
      <c r="WAW222" s="35"/>
      <c r="WAX222" s="34"/>
      <c r="WAY222" s="34"/>
      <c r="WAZ222" s="36"/>
      <c r="WBA222" s="36"/>
      <c r="WBB222" s="37"/>
      <c r="WBC222" s="37"/>
      <c r="WBD222" s="38"/>
      <c r="WBE222" s="38"/>
      <c r="WBF222" s="39"/>
      <c r="WBG222" s="34"/>
      <c r="WBH222" s="34"/>
      <c r="WBI222" s="34"/>
      <c r="WBJ222" s="35"/>
      <c r="WBK222" s="35"/>
      <c r="WBL222" s="35"/>
      <c r="WBM222" s="35"/>
      <c r="WBN222" s="35"/>
      <c r="WBO222" s="34"/>
      <c r="WBP222" s="34"/>
      <c r="WBQ222" s="36"/>
      <c r="WBR222" s="36"/>
      <c r="WBS222" s="37"/>
      <c r="WBT222" s="37"/>
      <c r="WBU222" s="38"/>
      <c r="WBV222" s="38"/>
      <c r="WBW222" s="39"/>
      <c r="WBX222" s="34"/>
      <c r="WBY222" s="34"/>
      <c r="WBZ222" s="34"/>
      <c r="WCA222" s="35"/>
      <c r="WCB222" s="35"/>
      <c r="WCC222" s="35"/>
      <c r="WCD222" s="35"/>
      <c r="WCE222" s="35"/>
      <c r="WCF222" s="34"/>
      <c r="WCG222" s="34"/>
      <c r="WCH222" s="36"/>
      <c r="WCI222" s="36"/>
      <c r="WCJ222" s="37"/>
      <c r="WCK222" s="37"/>
      <c r="WCL222" s="38"/>
      <c r="WCM222" s="38"/>
      <c r="WCN222" s="39"/>
      <c r="WCO222" s="34"/>
      <c r="WCP222" s="34"/>
      <c r="WCQ222" s="34"/>
      <c r="WCR222" s="35"/>
      <c r="WCS222" s="35"/>
      <c r="WCT222" s="35"/>
      <c r="WCU222" s="35"/>
      <c r="WCV222" s="35"/>
      <c r="WCW222" s="34"/>
      <c r="WCX222" s="34"/>
      <c r="WCY222" s="36"/>
      <c r="WCZ222" s="36"/>
      <c r="WDA222" s="37"/>
      <c r="WDB222" s="37"/>
      <c r="WDC222" s="38"/>
      <c r="WDD222" s="38"/>
      <c r="WDE222" s="39"/>
      <c r="WDF222" s="34"/>
      <c r="WDG222" s="34"/>
      <c r="WDH222" s="34"/>
      <c r="WDI222" s="35"/>
      <c r="WDJ222" s="35"/>
      <c r="WDK222" s="35"/>
      <c r="WDL222" s="35"/>
      <c r="WDM222" s="35"/>
      <c r="WDN222" s="34"/>
      <c r="WDO222" s="34"/>
      <c r="WDP222" s="36"/>
      <c r="WDQ222" s="36"/>
      <c r="WDR222" s="37"/>
      <c r="WDS222" s="37"/>
      <c r="WDT222" s="38"/>
      <c r="WDU222" s="38"/>
      <c r="WDV222" s="39"/>
      <c r="WDW222" s="34"/>
      <c r="WDX222" s="34"/>
      <c r="WDY222" s="34"/>
      <c r="WDZ222" s="35"/>
      <c r="WEA222" s="35"/>
      <c r="WEB222" s="35"/>
      <c r="WEC222" s="35"/>
      <c r="WED222" s="35"/>
      <c r="WEE222" s="34"/>
      <c r="WEF222" s="34"/>
      <c r="WEG222" s="36"/>
      <c r="WEH222" s="36"/>
      <c r="WEI222" s="37"/>
      <c r="WEJ222" s="37"/>
      <c r="WEK222" s="38"/>
      <c r="WEL222" s="38"/>
      <c r="WEM222" s="39"/>
      <c r="WEN222" s="34"/>
      <c r="WEO222" s="34"/>
      <c r="WEP222" s="34"/>
      <c r="WEQ222" s="35"/>
      <c r="WER222" s="35"/>
      <c r="WES222" s="35"/>
      <c r="WET222" s="35"/>
      <c r="WEU222" s="35"/>
      <c r="WEV222" s="34"/>
      <c r="WEW222" s="34"/>
      <c r="WEX222" s="36"/>
      <c r="WEY222" s="36"/>
      <c r="WEZ222" s="37"/>
      <c r="WFA222" s="37"/>
      <c r="WFB222" s="38"/>
      <c r="WFC222" s="38"/>
      <c r="WFD222" s="39"/>
      <c r="WFE222" s="34"/>
      <c r="WFF222" s="34"/>
      <c r="WFG222" s="34"/>
      <c r="WFH222" s="35"/>
      <c r="WFI222" s="35"/>
      <c r="WFJ222" s="35"/>
      <c r="WFK222" s="35"/>
      <c r="WFL222" s="35"/>
      <c r="WFM222" s="34"/>
      <c r="WFN222" s="34"/>
      <c r="WFO222" s="36"/>
      <c r="WFP222" s="36"/>
      <c r="WFQ222" s="37"/>
      <c r="WFR222" s="37"/>
      <c r="WFS222" s="38"/>
      <c r="WFT222" s="38"/>
      <c r="WFU222" s="39"/>
      <c r="WFV222" s="34"/>
      <c r="WFW222" s="34"/>
      <c r="WFX222" s="34"/>
      <c r="WFY222" s="35"/>
      <c r="WFZ222" s="35"/>
      <c r="WGA222" s="35"/>
      <c r="WGB222" s="35"/>
      <c r="WGC222" s="35"/>
      <c r="WGD222" s="34"/>
      <c r="WGE222" s="34"/>
      <c r="WGF222" s="36"/>
      <c r="WGG222" s="36"/>
      <c r="WGH222" s="37"/>
      <c r="WGI222" s="37"/>
      <c r="WGJ222" s="38"/>
      <c r="WGK222" s="38"/>
      <c r="WGL222" s="39"/>
      <c r="WGM222" s="34"/>
      <c r="WGN222" s="34"/>
      <c r="WGO222" s="34"/>
      <c r="WGP222" s="35"/>
      <c r="WGQ222" s="35"/>
      <c r="WGR222" s="35"/>
      <c r="WGS222" s="35"/>
      <c r="WGT222" s="35"/>
      <c r="WGU222" s="34"/>
      <c r="WGV222" s="34"/>
      <c r="WGW222" s="36"/>
      <c r="WGX222" s="36"/>
      <c r="WGY222" s="37"/>
      <c r="WGZ222" s="37"/>
      <c r="WHA222" s="38"/>
      <c r="WHB222" s="38"/>
      <c r="WHC222" s="39"/>
      <c r="WHD222" s="34"/>
      <c r="WHE222" s="34"/>
      <c r="WHF222" s="34"/>
      <c r="WHG222" s="35"/>
      <c r="WHH222" s="35"/>
      <c r="WHI222" s="35"/>
      <c r="WHJ222" s="35"/>
      <c r="WHK222" s="35"/>
      <c r="WHL222" s="34"/>
      <c r="WHM222" s="34"/>
      <c r="WHN222" s="36"/>
      <c r="WHO222" s="36"/>
      <c r="WHP222" s="37"/>
      <c r="WHQ222" s="37"/>
      <c r="WHR222" s="38"/>
      <c r="WHS222" s="38"/>
      <c r="WHT222" s="39"/>
      <c r="WHU222" s="34"/>
      <c r="WHV222" s="34"/>
      <c r="WHW222" s="34"/>
      <c r="WHX222" s="35"/>
      <c r="WHY222" s="35"/>
      <c r="WHZ222" s="35"/>
      <c r="WIA222" s="35"/>
      <c r="WIB222" s="35"/>
      <c r="WIC222" s="34"/>
      <c r="WID222" s="34"/>
      <c r="WIE222" s="36"/>
      <c r="WIF222" s="36"/>
      <c r="WIG222" s="37"/>
      <c r="WIH222" s="37"/>
      <c r="WII222" s="38"/>
      <c r="WIJ222" s="38"/>
      <c r="WIK222" s="39"/>
      <c r="WIL222" s="34"/>
      <c r="WIM222" s="34"/>
      <c r="WIN222" s="34"/>
      <c r="WIO222" s="35"/>
      <c r="WIP222" s="35"/>
      <c r="WIQ222" s="35"/>
      <c r="WIR222" s="35"/>
      <c r="WIS222" s="35"/>
      <c r="WIT222" s="34"/>
      <c r="WIU222" s="34"/>
      <c r="WIV222" s="36"/>
      <c r="WIW222" s="36"/>
      <c r="WIX222" s="37"/>
      <c r="WIY222" s="37"/>
      <c r="WIZ222" s="38"/>
      <c r="WJA222" s="38"/>
      <c r="WJB222" s="39"/>
      <c r="WJC222" s="34"/>
      <c r="WJD222" s="34"/>
      <c r="WJE222" s="34"/>
      <c r="WJF222" s="35"/>
      <c r="WJG222" s="35"/>
      <c r="WJH222" s="35"/>
      <c r="WJI222" s="35"/>
      <c r="WJJ222" s="35"/>
      <c r="WJK222" s="34"/>
      <c r="WJL222" s="34"/>
      <c r="WJM222" s="36"/>
      <c r="WJN222" s="36"/>
      <c r="WJO222" s="37"/>
      <c r="WJP222" s="37"/>
      <c r="WJQ222" s="38"/>
      <c r="WJR222" s="38"/>
      <c r="WJS222" s="39"/>
      <c r="WJT222" s="34"/>
      <c r="WJU222" s="34"/>
      <c r="WJV222" s="34"/>
      <c r="WJW222" s="35"/>
      <c r="WJX222" s="35"/>
      <c r="WJY222" s="35"/>
      <c r="WJZ222" s="35"/>
      <c r="WKA222" s="35"/>
      <c r="WKB222" s="34"/>
      <c r="WKC222" s="34"/>
      <c r="WKD222" s="36"/>
      <c r="WKE222" s="36"/>
      <c r="WKF222" s="37"/>
      <c r="WKG222" s="37"/>
      <c r="WKH222" s="38"/>
      <c r="WKI222" s="38"/>
      <c r="WKJ222" s="39"/>
      <c r="WKK222" s="34"/>
      <c r="WKL222" s="34"/>
      <c r="WKM222" s="34"/>
      <c r="WKN222" s="35"/>
      <c r="WKO222" s="35"/>
      <c r="WKP222" s="35"/>
      <c r="WKQ222" s="35"/>
      <c r="WKR222" s="35"/>
      <c r="WKS222" s="34"/>
      <c r="WKT222" s="34"/>
      <c r="WKU222" s="36"/>
      <c r="WKV222" s="36"/>
      <c r="WKW222" s="37"/>
      <c r="WKX222" s="37"/>
      <c r="WKY222" s="38"/>
      <c r="WKZ222" s="38"/>
      <c r="WLA222" s="39"/>
      <c r="WLB222" s="34"/>
      <c r="WLC222" s="34"/>
      <c r="WLD222" s="34"/>
      <c r="WLE222" s="35"/>
      <c r="WLF222" s="35"/>
      <c r="WLG222" s="35"/>
      <c r="WLH222" s="35"/>
      <c r="WLI222" s="35"/>
      <c r="WLJ222" s="34"/>
      <c r="WLK222" s="34"/>
      <c r="WLL222" s="36"/>
      <c r="WLM222" s="36"/>
      <c r="WLN222" s="37"/>
      <c r="WLO222" s="37"/>
      <c r="WLP222" s="38"/>
      <c r="WLQ222" s="38"/>
      <c r="WLR222" s="39"/>
      <c r="WLS222" s="34"/>
      <c r="WLT222" s="34"/>
      <c r="WLU222" s="34"/>
      <c r="WLV222" s="35"/>
      <c r="WLW222" s="35"/>
      <c r="WLX222" s="35"/>
      <c r="WLY222" s="35"/>
      <c r="WLZ222" s="35"/>
      <c r="WMA222" s="34"/>
      <c r="WMB222" s="34"/>
      <c r="WMC222" s="36"/>
      <c r="WMD222" s="36"/>
      <c r="WME222" s="37"/>
      <c r="WMF222" s="37"/>
      <c r="WMG222" s="38"/>
      <c r="WMH222" s="38"/>
      <c r="WMI222" s="39"/>
      <c r="WMJ222" s="34"/>
      <c r="WMK222" s="34"/>
      <c r="WML222" s="34"/>
      <c r="WMM222" s="35"/>
      <c r="WMN222" s="35"/>
      <c r="WMO222" s="35"/>
      <c r="WMP222" s="35"/>
      <c r="WMQ222" s="35"/>
      <c r="WMR222" s="34"/>
      <c r="WMS222" s="34"/>
      <c r="WMT222" s="36"/>
      <c r="WMU222" s="36"/>
      <c r="WMV222" s="37"/>
      <c r="WMW222" s="37"/>
      <c r="WMX222" s="38"/>
      <c r="WMY222" s="38"/>
      <c r="WMZ222" s="39"/>
      <c r="WNA222" s="34"/>
      <c r="WNB222" s="34"/>
      <c r="WNC222" s="34"/>
      <c r="WND222" s="35"/>
      <c r="WNE222" s="35"/>
      <c r="WNF222" s="35"/>
      <c r="WNG222" s="35"/>
      <c r="WNH222" s="35"/>
      <c r="WNI222" s="34"/>
      <c r="WNJ222" s="34"/>
      <c r="WNK222" s="36"/>
      <c r="WNL222" s="36"/>
      <c r="WNM222" s="37"/>
      <c r="WNN222" s="37"/>
      <c r="WNO222" s="38"/>
      <c r="WNP222" s="38"/>
      <c r="WNQ222" s="39"/>
      <c r="WNR222" s="34"/>
      <c r="WNS222" s="34"/>
      <c r="WNT222" s="34"/>
      <c r="WNU222" s="35"/>
      <c r="WNV222" s="35"/>
      <c r="WNW222" s="35"/>
      <c r="WNX222" s="35"/>
      <c r="WNY222" s="35"/>
      <c r="WNZ222" s="34"/>
      <c r="WOA222" s="34"/>
      <c r="WOB222" s="36"/>
      <c r="WOC222" s="36"/>
      <c r="WOD222" s="37"/>
      <c r="WOE222" s="37"/>
      <c r="WOF222" s="38"/>
      <c r="WOG222" s="38"/>
      <c r="WOH222" s="39"/>
      <c r="WOI222" s="34"/>
      <c r="WOJ222" s="34"/>
      <c r="WOK222" s="34"/>
      <c r="WOL222" s="35"/>
      <c r="WOM222" s="35"/>
      <c r="WON222" s="35"/>
      <c r="WOO222" s="35"/>
      <c r="WOP222" s="35"/>
      <c r="WOQ222" s="34"/>
      <c r="WOR222" s="34"/>
      <c r="WOS222" s="36"/>
      <c r="WOT222" s="36"/>
      <c r="WOU222" s="37"/>
      <c r="WOV222" s="37"/>
      <c r="WOW222" s="38"/>
      <c r="WOX222" s="38"/>
      <c r="WOY222" s="39"/>
      <c r="WOZ222" s="34"/>
      <c r="WPA222" s="34"/>
      <c r="WPB222" s="34"/>
      <c r="WPC222" s="35"/>
      <c r="WPD222" s="35"/>
      <c r="WPE222" s="35"/>
      <c r="WPF222" s="35"/>
      <c r="WPG222" s="35"/>
      <c r="WPH222" s="34"/>
      <c r="WPI222" s="34"/>
      <c r="WPJ222" s="36"/>
      <c r="WPK222" s="36"/>
      <c r="WPL222" s="37"/>
      <c r="WPM222" s="37"/>
      <c r="WPN222" s="38"/>
      <c r="WPO222" s="38"/>
      <c r="WPP222" s="39"/>
      <c r="WPQ222" s="34"/>
      <c r="WPR222" s="34"/>
      <c r="WPS222" s="34"/>
      <c r="WPT222" s="35"/>
      <c r="WPU222" s="35"/>
      <c r="WPV222" s="35"/>
      <c r="WPW222" s="35"/>
      <c r="WPX222" s="35"/>
      <c r="WPY222" s="34"/>
      <c r="WPZ222" s="34"/>
      <c r="WQA222" s="36"/>
      <c r="WQB222" s="36"/>
      <c r="WQC222" s="37"/>
      <c r="WQD222" s="37"/>
      <c r="WQE222" s="38"/>
      <c r="WQF222" s="38"/>
      <c r="WQG222" s="39"/>
      <c r="WQH222" s="34"/>
      <c r="WQI222" s="34"/>
      <c r="WQJ222" s="34"/>
      <c r="WQK222" s="35"/>
      <c r="WQL222" s="35"/>
      <c r="WQM222" s="35"/>
      <c r="WQN222" s="35"/>
      <c r="WQO222" s="35"/>
      <c r="WQP222" s="34"/>
      <c r="WQQ222" s="34"/>
      <c r="WQR222" s="36"/>
      <c r="WQS222" s="36"/>
      <c r="WQT222" s="37"/>
      <c r="WQU222" s="37"/>
      <c r="WQV222" s="38"/>
      <c r="WQW222" s="38"/>
      <c r="WQX222" s="39"/>
      <c r="WQY222" s="34"/>
      <c r="WQZ222" s="34"/>
      <c r="WRA222" s="34"/>
      <c r="WRB222" s="35"/>
      <c r="WRC222" s="35"/>
      <c r="WRD222" s="35"/>
      <c r="WRE222" s="35"/>
      <c r="WRF222" s="35"/>
      <c r="WRG222" s="34"/>
      <c r="WRH222" s="34"/>
      <c r="WRI222" s="36"/>
      <c r="WRJ222" s="36"/>
      <c r="WRK222" s="37"/>
      <c r="WRL222" s="37"/>
      <c r="WRM222" s="38"/>
      <c r="WRN222" s="38"/>
      <c r="WRO222" s="39"/>
      <c r="WRP222" s="34"/>
      <c r="WRQ222" s="34"/>
      <c r="WRR222" s="34"/>
      <c r="WRS222" s="35"/>
      <c r="WRT222" s="35"/>
      <c r="WRU222" s="35"/>
      <c r="WRV222" s="35"/>
      <c r="WRW222" s="35"/>
      <c r="WRX222" s="34"/>
      <c r="WRY222" s="34"/>
      <c r="WRZ222" s="36"/>
      <c r="WSA222" s="36"/>
      <c r="WSB222" s="37"/>
      <c r="WSC222" s="37"/>
      <c r="WSD222" s="38"/>
      <c r="WSE222" s="38"/>
      <c r="WSF222" s="39"/>
      <c r="WSG222" s="34"/>
      <c r="WSH222" s="34"/>
      <c r="WSI222" s="34"/>
      <c r="WSJ222" s="35"/>
      <c r="WSK222" s="35"/>
      <c r="WSL222" s="35"/>
      <c r="WSM222" s="35"/>
      <c r="WSN222" s="35"/>
      <c r="WSO222" s="34"/>
      <c r="WSP222" s="34"/>
      <c r="WSQ222" s="36"/>
      <c r="WSR222" s="36"/>
      <c r="WSS222" s="37"/>
      <c r="WST222" s="37"/>
      <c r="WSU222" s="38"/>
      <c r="WSV222" s="38"/>
      <c r="WSW222" s="39"/>
      <c r="WSX222" s="34"/>
      <c r="WSY222" s="34"/>
      <c r="WSZ222" s="34"/>
      <c r="WTA222" s="35"/>
      <c r="WTB222" s="35"/>
      <c r="WTC222" s="35"/>
      <c r="WTD222" s="35"/>
      <c r="WTE222" s="35"/>
      <c r="WTF222" s="34"/>
      <c r="WTG222" s="34"/>
      <c r="WTH222" s="36"/>
      <c r="WTI222" s="36"/>
      <c r="WTJ222" s="37"/>
      <c r="WTK222" s="37"/>
      <c r="WTL222" s="38"/>
      <c r="WTM222" s="38"/>
      <c r="WTN222" s="39"/>
      <c r="WTO222" s="34"/>
      <c r="WTP222" s="34"/>
      <c r="WTQ222" s="34"/>
      <c r="WTR222" s="35"/>
      <c r="WTS222" s="35"/>
      <c r="WTT222" s="35"/>
      <c r="WTU222" s="35"/>
      <c r="WTV222" s="35"/>
      <c r="WTW222" s="34"/>
      <c r="WTX222" s="34"/>
      <c r="WTY222" s="36"/>
      <c r="WTZ222" s="36"/>
      <c r="WUA222" s="37"/>
      <c r="WUB222" s="37"/>
      <c r="WUC222" s="38"/>
      <c r="WUD222" s="38"/>
      <c r="WUE222" s="39"/>
      <c r="WUF222" s="34"/>
      <c r="WUG222" s="34"/>
      <c r="WUH222" s="34"/>
      <c r="WUI222" s="35"/>
      <c r="WUJ222" s="35"/>
      <c r="WUK222" s="35"/>
      <c r="WUL222" s="35"/>
      <c r="WUM222" s="35"/>
      <c r="WUN222" s="34"/>
      <c r="WUO222" s="34"/>
      <c r="WUP222" s="36"/>
      <c r="WUQ222" s="36"/>
      <c r="WUR222" s="37"/>
      <c r="WUS222" s="37"/>
      <c r="WUT222" s="38"/>
      <c r="WUU222" s="38"/>
      <c r="WUV222" s="39"/>
      <c r="WUW222" s="34"/>
      <c r="WUX222" s="34"/>
      <c r="WUY222" s="34"/>
      <c r="WUZ222" s="35"/>
      <c r="WVA222" s="35"/>
      <c r="WVB222" s="35"/>
      <c r="WVC222" s="35"/>
      <c r="WVD222" s="35"/>
      <c r="WVE222" s="34"/>
      <c r="WVF222" s="34"/>
      <c r="WVG222" s="36"/>
      <c r="WVH222" s="36"/>
      <c r="WVI222" s="37"/>
      <c r="WVJ222" s="37"/>
      <c r="WVK222" s="38"/>
      <c r="WVL222" s="38"/>
      <c r="WVM222" s="39"/>
      <c r="WVN222" s="34"/>
      <c r="WVO222" s="34"/>
      <c r="WVP222" s="34"/>
      <c r="WVQ222" s="35"/>
      <c r="WVR222" s="35"/>
      <c r="WVS222" s="35"/>
      <c r="WVT222" s="35"/>
      <c r="WVU222" s="35"/>
      <c r="WVV222" s="34"/>
      <c r="WVW222" s="34"/>
      <c r="WVX222" s="36"/>
      <c r="WVY222" s="36"/>
      <c r="WVZ222" s="37"/>
      <c r="WWA222" s="37"/>
      <c r="WWB222" s="38"/>
      <c r="WWC222" s="38"/>
      <c r="WWD222" s="39"/>
      <c r="WWE222" s="34"/>
      <c r="WWF222" s="34"/>
      <c r="WWG222" s="34"/>
      <c r="WWH222" s="35"/>
      <c r="WWI222" s="35"/>
      <c r="WWJ222" s="35"/>
      <c r="WWK222" s="35"/>
      <c r="WWL222" s="35"/>
      <c r="WWM222" s="34"/>
      <c r="WWN222" s="34"/>
      <c r="WWO222" s="36"/>
      <c r="WWP222" s="36"/>
      <c r="WWQ222" s="37"/>
      <c r="WWR222" s="37"/>
      <c r="WWS222" s="38"/>
      <c r="WWT222" s="38"/>
      <c r="WWU222" s="39"/>
      <c r="WWV222" s="34"/>
      <c r="WWW222" s="34"/>
      <c r="WWX222" s="34"/>
      <c r="WWY222" s="35"/>
      <c r="WWZ222" s="35"/>
      <c r="WXA222" s="35"/>
      <c r="WXB222" s="35"/>
      <c r="WXC222" s="35"/>
      <c r="WXD222" s="34"/>
      <c r="WXE222" s="34"/>
      <c r="WXF222" s="36"/>
      <c r="WXG222" s="36"/>
      <c r="WXH222" s="37"/>
      <c r="WXI222" s="37"/>
      <c r="WXJ222" s="38"/>
      <c r="WXK222" s="38"/>
      <c r="WXL222" s="39"/>
      <c r="WXM222" s="34"/>
      <c r="WXN222" s="34"/>
      <c r="WXO222" s="34"/>
      <c r="WXP222" s="35"/>
      <c r="WXQ222" s="35"/>
      <c r="WXR222" s="35"/>
      <c r="WXS222" s="35"/>
      <c r="WXT222" s="35"/>
      <c r="WXU222" s="34"/>
      <c r="WXV222" s="34"/>
      <c r="WXW222" s="36"/>
      <c r="WXX222" s="36"/>
      <c r="WXY222" s="37"/>
      <c r="WXZ222" s="37"/>
      <c r="WYA222" s="38"/>
      <c r="WYB222" s="38"/>
      <c r="WYC222" s="39"/>
      <c r="WYD222" s="34"/>
      <c r="WYE222" s="34"/>
      <c r="WYF222" s="34"/>
      <c r="WYG222" s="35"/>
      <c r="WYH222" s="35"/>
      <c r="WYI222" s="35"/>
      <c r="WYJ222" s="35"/>
      <c r="WYK222" s="35"/>
      <c r="WYL222" s="34"/>
      <c r="WYM222" s="34"/>
      <c r="WYN222" s="36"/>
      <c r="WYO222" s="36"/>
      <c r="WYP222" s="37"/>
      <c r="WYQ222" s="37"/>
      <c r="WYR222" s="38"/>
      <c r="WYS222" s="38"/>
      <c r="WYT222" s="39"/>
      <c r="WYU222" s="34"/>
      <c r="WYV222" s="34"/>
      <c r="WYW222" s="34"/>
      <c r="WYX222" s="35"/>
      <c r="WYY222" s="35"/>
      <c r="WYZ222" s="35"/>
      <c r="WZA222" s="35"/>
      <c r="WZB222" s="35"/>
      <c r="WZC222" s="34"/>
      <c r="WZD222" s="34"/>
      <c r="WZE222" s="36"/>
      <c r="WZF222" s="36"/>
      <c r="WZG222" s="37"/>
      <c r="WZH222" s="37"/>
      <c r="WZI222" s="38"/>
      <c r="WZJ222" s="38"/>
      <c r="WZK222" s="39"/>
      <c r="WZL222" s="34"/>
      <c r="WZM222" s="34"/>
      <c r="WZN222" s="34"/>
      <c r="WZO222" s="35"/>
      <c r="WZP222" s="35"/>
      <c r="WZQ222" s="35"/>
      <c r="WZR222" s="35"/>
      <c r="WZS222" s="35"/>
      <c r="WZT222" s="34"/>
      <c r="WZU222" s="34"/>
      <c r="WZV222" s="36"/>
      <c r="WZW222" s="36"/>
      <c r="WZX222" s="37"/>
      <c r="WZY222" s="37"/>
      <c r="WZZ222" s="38"/>
      <c r="XAA222" s="38"/>
      <c r="XAB222" s="39"/>
      <c r="XAC222" s="34"/>
      <c r="XAD222" s="34"/>
      <c r="XAE222" s="34"/>
      <c r="XAF222" s="35"/>
      <c r="XAG222" s="35"/>
      <c r="XAH222" s="35"/>
      <c r="XAI222" s="35"/>
      <c r="XAJ222" s="35"/>
      <c r="XAK222" s="34"/>
      <c r="XAL222" s="34"/>
      <c r="XAM222" s="36"/>
      <c r="XAN222" s="36"/>
      <c r="XAO222" s="37"/>
      <c r="XAP222" s="37"/>
      <c r="XAQ222" s="38"/>
      <c r="XAR222" s="38"/>
      <c r="XAS222" s="39"/>
      <c r="XAT222" s="34"/>
      <c r="XAU222" s="34"/>
      <c r="XAV222" s="34"/>
      <c r="XAW222" s="35"/>
      <c r="XAX222" s="35"/>
      <c r="XAY222" s="35"/>
      <c r="XAZ222" s="35"/>
      <c r="XBA222" s="35"/>
      <c r="XBB222" s="34"/>
      <c r="XBC222" s="34"/>
      <c r="XBD222" s="36"/>
      <c r="XBE222" s="36"/>
      <c r="XBF222" s="37"/>
      <c r="XBG222" s="37"/>
      <c r="XBH222" s="38"/>
      <c r="XBI222" s="38"/>
      <c r="XBJ222" s="39"/>
      <c r="XBK222" s="34"/>
      <c r="XBL222" s="34"/>
      <c r="XBM222" s="34"/>
      <c r="XBN222" s="35"/>
      <c r="XBO222" s="35"/>
      <c r="XBP222" s="35"/>
      <c r="XBQ222" s="35"/>
      <c r="XBR222" s="35"/>
      <c r="XBS222" s="34"/>
      <c r="XBT222" s="34"/>
      <c r="XBU222" s="36"/>
      <c r="XBV222" s="36"/>
      <c r="XBW222" s="37"/>
      <c r="XBX222" s="37"/>
      <c r="XBY222" s="38"/>
      <c r="XBZ222" s="38"/>
      <c r="XCA222" s="39"/>
      <c r="XCB222" s="34"/>
      <c r="XCC222" s="34"/>
      <c r="XCD222" s="34"/>
      <c r="XCE222" s="35"/>
      <c r="XCF222" s="35"/>
      <c r="XCG222" s="35"/>
      <c r="XCH222" s="35"/>
      <c r="XCI222" s="35"/>
      <c r="XCJ222" s="34"/>
      <c r="XCK222" s="34"/>
      <c r="XCL222" s="36"/>
      <c r="XCM222" s="36"/>
      <c r="XCN222" s="37"/>
      <c r="XCO222" s="37"/>
      <c r="XCP222" s="38"/>
      <c r="XCQ222" s="38"/>
      <c r="XCR222" s="39"/>
      <c r="XCS222" s="34"/>
      <c r="XCT222" s="34"/>
      <c r="XCU222" s="34"/>
      <c r="XCV222" s="35"/>
      <c r="XCW222" s="35"/>
      <c r="XCX222" s="35"/>
      <c r="XCY222" s="35"/>
      <c r="XCZ222" s="35"/>
      <c r="XDA222" s="34"/>
      <c r="XDB222" s="34"/>
      <c r="XDC222" s="36"/>
      <c r="XDD222" s="36"/>
      <c r="XDE222" s="37"/>
      <c r="XDF222" s="37"/>
      <c r="XDG222" s="38"/>
      <c r="XDH222" s="38"/>
      <c r="XDI222" s="39"/>
      <c r="XDJ222" s="34"/>
      <c r="XDK222" s="34"/>
      <c r="XDL222" s="34"/>
      <c r="XDM222" s="35"/>
      <c r="XDN222" s="35"/>
      <c r="XDO222" s="35"/>
      <c r="XDP222" s="35"/>
      <c r="XDQ222" s="35"/>
      <c r="XDR222" s="34"/>
      <c r="XDS222" s="34"/>
      <c r="XDT222" s="36"/>
      <c r="XDU222" s="36"/>
      <c r="XDV222" s="37"/>
      <c r="XDW222" s="37"/>
      <c r="XDX222" s="38"/>
      <c r="XDY222" s="38"/>
      <c r="XDZ222" s="39"/>
      <c r="XEA222" s="34"/>
      <c r="XEB222" s="34"/>
      <c r="XEC222" s="34"/>
      <c r="XED222" s="35"/>
      <c r="XEE222" s="35"/>
      <c r="XEF222" s="35"/>
      <c r="XEG222" s="35"/>
      <c r="XEH222" s="35"/>
      <c r="XEI222" s="34"/>
      <c r="XEJ222" s="34"/>
      <c r="XEK222" s="36"/>
      <c r="XEL222" s="36"/>
      <c r="XEM222" s="37"/>
      <c r="XEN222" s="37"/>
      <c r="XEO222" s="38"/>
      <c r="XEP222" s="38"/>
      <c r="XEQ222" s="39"/>
      <c r="XER222" s="34"/>
      <c r="XES222" s="34"/>
      <c r="XET222" s="34"/>
      <c r="XEU222" s="35"/>
      <c r="XEV222" s="35"/>
      <c r="XEW222" s="35"/>
      <c r="XEX222" s="35"/>
      <c r="XEY222" s="35"/>
      <c r="XEZ222" s="34"/>
      <c r="XFA222" s="34"/>
      <c r="XFB222" s="36"/>
      <c r="XFC222" s="36"/>
      <c r="XFD222" s="37"/>
    </row>
    <row r="223" spans="1:16384" ht="14.25" customHeight="1" x14ac:dyDescent="0.3">
      <c r="A223" s="47">
        <v>0</v>
      </c>
      <c r="B223" s="47">
        <v>1</v>
      </c>
      <c r="C223" s="47">
        <v>6</v>
      </c>
      <c r="D223" s="48" t="s">
        <v>904</v>
      </c>
      <c r="E223" s="48" t="s">
        <v>169</v>
      </c>
      <c r="F223" s="48" t="s">
        <v>945</v>
      </c>
      <c r="G223" s="48" t="s">
        <v>946</v>
      </c>
      <c r="H223" s="48" t="s">
        <v>357</v>
      </c>
      <c r="I223" s="47" t="s">
        <v>960</v>
      </c>
      <c r="J223" s="47">
        <v>99</v>
      </c>
      <c r="K223" s="49" t="s">
        <v>709</v>
      </c>
      <c r="L223" s="49" t="s">
        <v>696</v>
      </c>
      <c r="M223" s="50" t="s">
        <v>1418</v>
      </c>
      <c r="N223" s="50" t="s">
        <v>1753</v>
      </c>
      <c r="O223" s="51"/>
      <c r="P223" s="51"/>
      <c r="Q223" s="48"/>
      <c r="S223" s="1">
        <f t="shared" si="79"/>
        <v>0</v>
      </c>
      <c r="T223" s="1">
        <f t="shared" si="80"/>
        <v>0</v>
      </c>
      <c r="U223" s="1">
        <f t="shared" si="81"/>
        <v>0</v>
      </c>
      <c r="V223" s="1">
        <f t="shared" si="82"/>
        <v>0</v>
      </c>
      <c r="W223" s="1">
        <f t="shared" si="83"/>
        <v>0</v>
      </c>
      <c r="X223" s="1">
        <f t="shared" si="84"/>
        <v>0</v>
      </c>
      <c r="Y223" s="1">
        <f t="shared" si="85"/>
        <v>0</v>
      </c>
      <c r="Z223" s="1">
        <f t="shared" si="86"/>
        <v>0</v>
      </c>
      <c r="AA223" s="1">
        <f t="shared" si="87"/>
        <v>0</v>
      </c>
      <c r="AB223" s="1">
        <f t="shared" si="88"/>
        <v>0</v>
      </c>
      <c r="AD223" s="1">
        <f t="shared" si="89"/>
        <v>0</v>
      </c>
      <c r="AE223" s="1">
        <f t="shared" si="90"/>
        <v>0</v>
      </c>
      <c r="AF223" s="1">
        <f t="shared" si="75"/>
        <v>0</v>
      </c>
      <c r="AG223" s="1">
        <f t="shared" si="76"/>
        <v>0</v>
      </c>
      <c r="AH223" s="1">
        <f t="shared" si="77"/>
        <v>0</v>
      </c>
      <c r="AI223" s="1">
        <f t="shared" si="78"/>
        <v>1</v>
      </c>
    </row>
    <row r="224" spans="1:16384" ht="14.25" customHeight="1" x14ac:dyDescent="0.3">
      <c r="A224" s="34">
        <v>0</v>
      </c>
      <c r="B224" s="34">
        <v>1</v>
      </c>
      <c r="C224" s="34">
        <v>6</v>
      </c>
      <c r="D224" s="35" t="s">
        <v>101</v>
      </c>
      <c r="E224" s="35" t="s">
        <v>169</v>
      </c>
      <c r="F224" s="35" t="s">
        <v>668</v>
      </c>
      <c r="G224" s="35" t="s">
        <v>670</v>
      </c>
      <c r="H224" s="35" t="s">
        <v>357</v>
      </c>
      <c r="I224" s="34" t="s">
        <v>451</v>
      </c>
      <c r="J224" s="34">
        <v>99</v>
      </c>
      <c r="K224" s="36" t="s">
        <v>729</v>
      </c>
      <c r="L224" s="36" t="s">
        <v>703</v>
      </c>
      <c r="M224" s="37" t="s">
        <v>714</v>
      </c>
      <c r="N224" s="37" t="s">
        <v>1764</v>
      </c>
      <c r="O224" s="38">
        <v>1</v>
      </c>
      <c r="P224" s="38"/>
      <c r="Q224" s="35"/>
      <c r="S224" s="1">
        <f t="shared" si="79"/>
        <v>0</v>
      </c>
      <c r="T224" s="1">
        <f t="shared" si="80"/>
        <v>0</v>
      </c>
      <c r="U224" s="1">
        <f t="shared" si="81"/>
        <v>0</v>
      </c>
      <c r="V224" s="1">
        <f t="shared" si="82"/>
        <v>0</v>
      </c>
      <c r="W224" s="1">
        <f t="shared" si="83"/>
        <v>0</v>
      </c>
      <c r="X224" s="1">
        <f t="shared" si="84"/>
        <v>0</v>
      </c>
      <c r="Y224" s="1">
        <f t="shared" si="85"/>
        <v>0</v>
      </c>
      <c r="Z224" s="1">
        <f t="shared" si="86"/>
        <v>0</v>
      </c>
      <c r="AA224" s="1">
        <f t="shared" si="87"/>
        <v>0</v>
      </c>
      <c r="AB224" s="1">
        <f t="shared" si="88"/>
        <v>0</v>
      </c>
      <c r="AD224" s="1">
        <f t="shared" si="89"/>
        <v>0</v>
      </c>
      <c r="AE224" s="1">
        <f t="shared" si="90"/>
        <v>1</v>
      </c>
      <c r="AF224" s="1">
        <f t="shared" si="75"/>
        <v>0</v>
      </c>
      <c r="AG224" s="1">
        <f t="shared" si="76"/>
        <v>1</v>
      </c>
      <c r="AH224" s="1">
        <f t="shared" si="77"/>
        <v>0</v>
      </c>
      <c r="AI224" s="1">
        <f t="shared" si="78"/>
        <v>1</v>
      </c>
    </row>
    <row r="225" spans="1:35" ht="14.25" customHeight="1" x14ac:dyDescent="0.3">
      <c r="A225" s="41">
        <v>0</v>
      </c>
      <c r="B225" s="41">
        <v>1</v>
      </c>
      <c r="C225" s="41">
        <v>7</v>
      </c>
      <c r="D225" s="42" t="s">
        <v>87</v>
      </c>
      <c r="E225" s="42" t="s">
        <v>29</v>
      </c>
      <c r="F225" s="42" t="s">
        <v>669</v>
      </c>
      <c r="G225" s="42" t="s">
        <v>670</v>
      </c>
      <c r="H225" s="42" t="s">
        <v>357</v>
      </c>
      <c r="I225" s="41" t="s">
        <v>636</v>
      </c>
      <c r="J225" s="41">
        <v>99</v>
      </c>
      <c r="K225" s="43" t="s">
        <v>961</v>
      </c>
      <c r="L225" s="43" t="s">
        <v>700</v>
      </c>
      <c r="M225" s="44" t="s">
        <v>1419</v>
      </c>
      <c r="N225" s="45"/>
      <c r="O225" s="46"/>
      <c r="P225" s="46">
        <v>1</v>
      </c>
      <c r="Q225" s="42"/>
      <c r="S225" s="1">
        <f t="shared" si="79"/>
        <v>0</v>
      </c>
      <c r="T225" s="1">
        <f t="shared" si="80"/>
        <v>0</v>
      </c>
      <c r="U225" s="1">
        <f t="shared" si="81"/>
        <v>0</v>
      </c>
      <c r="V225" s="1">
        <f t="shared" si="82"/>
        <v>0</v>
      </c>
      <c r="W225" s="1">
        <f t="shared" si="83"/>
        <v>0</v>
      </c>
      <c r="X225" s="1">
        <f t="shared" si="84"/>
        <v>0</v>
      </c>
      <c r="Y225" s="1">
        <f t="shared" si="85"/>
        <v>0</v>
      </c>
      <c r="Z225" s="1">
        <f t="shared" si="86"/>
        <v>0</v>
      </c>
      <c r="AA225" s="1">
        <f t="shared" si="87"/>
        <v>0</v>
      </c>
      <c r="AB225" s="1">
        <f t="shared" si="88"/>
        <v>0</v>
      </c>
      <c r="AD225" s="1">
        <f t="shared" si="89"/>
        <v>0</v>
      </c>
      <c r="AE225" s="1">
        <f t="shared" si="90"/>
        <v>0</v>
      </c>
      <c r="AF225" s="1">
        <f t="shared" si="75"/>
        <v>0</v>
      </c>
      <c r="AG225" s="1">
        <f t="shared" si="76"/>
        <v>0</v>
      </c>
      <c r="AH225" s="1">
        <f t="shared" si="77"/>
        <v>1</v>
      </c>
      <c r="AI225" s="1">
        <f t="shared" si="78"/>
        <v>0</v>
      </c>
    </row>
    <row r="226" spans="1:35" ht="14.25" customHeight="1" x14ac:dyDescent="0.3">
      <c r="A226" s="47">
        <v>0</v>
      </c>
      <c r="B226" s="47">
        <v>1</v>
      </c>
      <c r="C226" s="47">
        <v>7</v>
      </c>
      <c r="D226" s="48" t="s">
        <v>655</v>
      </c>
      <c r="E226" s="48" t="s">
        <v>29</v>
      </c>
      <c r="F226" s="48" t="s">
        <v>631</v>
      </c>
      <c r="G226" s="48" t="s">
        <v>234</v>
      </c>
      <c r="H226" s="48" t="s">
        <v>357</v>
      </c>
      <c r="I226" s="47" t="s">
        <v>632</v>
      </c>
      <c r="J226" s="47">
        <v>99</v>
      </c>
      <c r="K226" s="49" t="s">
        <v>720</v>
      </c>
      <c r="L226" s="49" t="s">
        <v>703</v>
      </c>
      <c r="M226" s="50" t="s">
        <v>980</v>
      </c>
      <c r="N226" s="50" t="s">
        <v>1824</v>
      </c>
      <c r="O226" s="51"/>
      <c r="P226" s="51"/>
      <c r="Q226" s="48"/>
      <c r="S226" s="1">
        <f t="shared" si="79"/>
        <v>0</v>
      </c>
      <c r="T226" s="1">
        <f t="shared" si="80"/>
        <v>0</v>
      </c>
      <c r="U226" s="1">
        <f t="shared" si="81"/>
        <v>0</v>
      </c>
      <c r="V226" s="1">
        <f t="shared" si="82"/>
        <v>0</v>
      </c>
      <c r="W226" s="1">
        <f t="shared" si="83"/>
        <v>0</v>
      </c>
      <c r="X226" s="1">
        <f t="shared" si="84"/>
        <v>0</v>
      </c>
      <c r="Y226" s="1">
        <f t="shared" si="85"/>
        <v>0</v>
      </c>
      <c r="Z226" s="1">
        <f t="shared" si="86"/>
        <v>0</v>
      </c>
      <c r="AA226" s="1">
        <f t="shared" si="87"/>
        <v>0</v>
      </c>
      <c r="AB226" s="1">
        <f t="shared" si="88"/>
        <v>0</v>
      </c>
      <c r="AD226" s="1">
        <f t="shared" si="89"/>
        <v>0</v>
      </c>
      <c r="AE226" s="1">
        <f t="shared" si="90"/>
        <v>0</v>
      </c>
      <c r="AF226" s="1">
        <f t="shared" si="75"/>
        <v>0</v>
      </c>
      <c r="AG226" s="1">
        <f t="shared" si="76"/>
        <v>0</v>
      </c>
      <c r="AH226" s="1">
        <f t="shared" si="77"/>
        <v>0</v>
      </c>
      <c r="AI226" s="1">
        <f t="shared" si="78"/>
        <v>1</v>
      </c>
    </row>
    <row r="227" spans="1:35" ht="14.25" customHeight="1" x14ac:dyDescent="0.3">
      <c r="A227" s="15">
        <v>0</v>
      </c>
      <c r="B227" s="15">
        <v>1</v>
      </c>
      <c r="C227" s="15">
        <v>7</v>
      </c>
      <c r="D227" s="16" t="s">
        <v>990</v>
      </c>
      <c r="E227" s="16" t="s">
        <v>29</v>
      </c>
      <c r="F227" s="16" t="s">
        <v>991</v>
      </c>
      <c r="G227" s="16" t="s">
        <v>992</v>
      </c>
      <c r="H227" s="16" t="s">
        <v>357</v>
      </c>
      <c r="I227" s="15" t="s">
        <v>989</v>
      </c>
      <c r="J227" s="15">
        <v>99</v>
      </c>
      <c r="K227" s="10" t="s">
        <v>710</v>
      </c>
      <c r="L227" s="10">
        <v>20</v>
      </c>
      <c r="M227" s="19" t="s">
        <v>980</v>
      </c>
      <c r="N227" s="19"/>
      <c r="Q227" s="16"/>
      <c r="S227" s="1">
        <f t="shared" si="79"/>
        <v>0</v>
      </c>
      <c r="T227" s="1">
        <f t="shared" si="80"/>
        <v>0</v>
      </c>
      <c r="U227" s="1">
        <f t="shared" si="81"/>
        <v>0</v>
      </c>
      <c r="V227" s="1">
        <f t="shared" si="82"/>
        <v>0</v>
      </c>
      <c r="W227" s="1">
        <f t="shared" si="83"/>
        <v>0</v>
      </c>
      <c r="X227" s="1">
        <f t="shared" si="84"/>
        <v>0</v>
      </c>
      <c r="Y227" s="1">
        <f t="shared" si="85"/>
        <v>0</v>
      </c>
      <c r="Z227" s="1">
        <f t="shared" si="86"/>
        <v>0</v>
      </c>
      <c r="AA227" s="1">
        <f t="shared" si="87"/>
        <v>0</v>
      </c>
      <c r="AB227" s="1">
        <f t="shared" si="88"/>
        <v>0</v>
      </c>
      <c r="AD227" s="1">
        <f t="shared" si="89"/>
        <v>0</v>
      </c>
      <c r="AE227" s="1">
        <f t="shared" si="90"/>
        <v>0</v>
      </c>
      <c r="AF227" s="1">
        <f t="shared" si="75"/>
        <v>0</v>
      </c>
      <c r="AG227" s="1">
        <f t="shared" si="76"/>
        <v>0</v>
      </c>
      <c r="AH227" s="1">
        <f t="shared" si="77"/>
        <v>0</v>
      </c>
      <c r="AI227" s="1">
        <f t="shared" si="78"/>
        <v>1</v>
      </c>
    </row>
    <row r="228" spans="1:35" ht="14.25" customHeight="1" x14ac:dyDescent="0.3">
      <c r="A228" s="15">
        <v>0</v>
      </c>
      <c r="B228" s="15">
        <v>1</v>
      </c>
      <c r="C228" s="15">
        <v>7</v>
      </c>
      <c r="D228" s="16" t="s">
        <v>596</v>
      </c>
      <c r="E228" s="16" t="s">
        <v>29</v>
      </c>
      <c r="F228" s="16" t="s">
        <v>597</v>
      </c>
      <c r="G228" s="16" t="s">
        <v>1083</v>
      </c>
      <c r="H228" s="16" t="s">
        <v>357</v>
      </c>
      <c r="I228" s="15" t="s">
        <v>598</v>
      </c>
      <c r="J228" s="15">
        <v>99</v>
      </c>
      <c r="K228" s="10" t="s">
        <v>710</v>
      </c>
      <c r="L228" s="10">
        <v>35</v>
      </c>
      <c r="M228" s="19" t="s">
        <v>1419</v>
      </c>
      <c r="N228" s="19"/>
      <c r="Q228" s="16"/>
      <c r="S228" s="1">
        <f t="shared" si="79"/>
        <v>0</v>
      </c>
      <c r="T228" s="1">
        <f t="shared" si="80"/>
        <v>0</v>
      </c>
      <c r="U228" s="1">
        <f t="shared" si="81"/>
        <v>0</v>
      </c>
      <c r="V228" s="1">
        <f t="shared" si="82"/>
        <v>0</v>
      </c>
      <c r="W228" s="1">
        <f t="shared" si="83"/>
        <v>0</v>
      </c>
      <c r="X228" s="1">
        <f t="shared" si="84"/>
        <v>0</v>
      </c>
      <c r="Y228" s="1">
        <f t="shared" si="85"/>
        <v>0</v>
      </c>
      <c r="Z228" s="1">
        <f t="shared" si="86"/>
        <v>0</v>
      </c>
      <c r="AA228" s="1">
        <f t="shared" si="87"/>
        <v>0</v>
      </c>
      <c r="AB228" s="1">
        <f t="shared" si="88"/>
        <v>0</v>
      </c>
      <c r="AD228" s="1">
        <f t="shared" si="89"/>
        <v>0</v>
      </c>
      <c r="AE228" s="1">
        <f t="shared" si="90"/>
        <v>0</v>
      </c>
      <c r="AF228" s="1">
        <f t="shared" si="75"/>
        <v>0</v>
      </c>
      <c r="AG228" s="1">
        <f t="shared" si="76"/>
        <v>0</v>
      </c>
      <c r="AH228" s="1">
        <f t="shared" si="77"/>
        <v>0</v>
      </c>
      <c r="AI228" s="1">
        <f t="shared" si="78"/>
        <v>1</v>
      </c>
    </row>
    <row r="229" spans="1:35" ht="14.25" customHeight="1" x14ac:dyDescent="0.3">
      <c r="A229" s="41">
        <v>0</v>
      </c>
      <c r="B229" s="41">
        <v>1</v>
      </c>
      <c r="C229" s="41">
        <v>7</v>
      </c>
      <c r="D229" s="42" t="s">
        <v>1642</v>
      </c>
      <c r="E229" s="42" t="s">
        <v>29</v>
      </c>
      <c r="F229" s="42" t="s">
        <v>1697</v>
      </c>
      <c r="G229" s="42" t="s">
        <v>315</v>
      </c>
      <c r="H229" s="42" t="s">
        <v>357</v>
      </c>
      <c r="I229" s="41" t="s">
        <v>1643</v>
      </c>
      <c r="J229" s="41"/>
      <c r="K229" s="43" t="s">
        <v>720</v>
      </c>
      <c r="L229" s="43">
        <v>45</v>
      </c>
      <c r="M229" s="44" t="s">
        <v>1815</v>
      </c>
      <c r="N229" s="45"/>
      <c r="O229" s="46"/>
      <c r="P229" s="46">
        <v>1</v>
      </c>
      <c r="Q229" s="42"/>
      <c r="S229" s="1">
        <f t="shared" si="79"/>
        <v>0</v>
      </c>
      <c r="T229" s="1">
        <f t="shared" si="80"/>
        <v>0</v>
      </c>
      <c r="U229" s="1">
        <f t="shared" si="81"/>
        <v>0</v>
      </c>
      <c r="V229" s="1">
        <f t="shared" si="82"/>
        <v>0</v>
      </c>
      <c r="W229" s="1">
        <f t="shared" si="83"/>
        <v>0</v>
      </c>
      <c r="X229" s="1">
        <f t="shared" si="84"/>
        <v>0</v>
      </c>
      <c r="Y229" s="1">
        <f t="shared" si="85"/>
        <v>0</v>
      </c>
      <c r="Z229" s="1">
        <f t="shared" si="86"/>
        <v>0</v>
      </c>
      <c r="AA229" s="1">
        <f t="shared" si="87"/>
        <v>0</v>
      </c>
      <c r="AB229" s="1">
        <f t="shared" si="88"/>
        <v>0</v>
      </c>
      <c r="AD229" s="1">
        <f t="shared" si="89"/>
        <v>0</v>
      </c>
      <c r="AE229" s="1">
        <f t="shared" si="90"/>
        <v>0</v>
      </c>
      <c r="AF229" s="1">
        <f t="shared" si="75"/>
        <v>0</v>
      </c>
      <c r="AG229" s="1">
        <f t="shared" si="76"/>
        <v>0</v>
      </c>
      <c r="AH229" s="1">
        <f t="shared" si="77"/>
        <v>1</v>
      </c>
      <c r="AI229" s="1">
        <f t="shared" si="78"/>
        <v>0</v>
      </c>
    </row>
    <row r="230" spans="1:35" ht="14.25" customHeight="1" x14ac:dyDescent="0.3">
      <c r="A230" s="34">
        <v>0</v>
      </c>
      <c r="B230" s="34">
        <v>1</v>
      </c>
      <c r="C230" s="34">
        <v>7</v>
      </c>
      <c r="D230" s="35" t="s">
        <v>866</v>
      </c>
      <c r="E230" s="35" t="s">
        <v>29</v>
      </c>
      <c r="F230" s="35" t="s">
        <v>867</v>
      </c>
      <c r="G230" s="35" t="s">
        <v>204</v>
      </c>
      <c r="H230" s="35" t="s">
        <v>357</v>
      </c>
      <c r="I230" s="34" t="s">
        <v>868</v>
      </c>
      <c r="J230" s="34">
        <v>10</v>
      </c>
      <c r="K230" s="36" t="s">
        <v>720</v>
      </c>
      <c r="L230" s="36" t="s">
        <v>700</v>
      </c>
      <c r="M230" s="37" t="s">
        <v>1419</v>
      </c>
      <c r="N230" s="37" t="s">
        <v>1770</v>
      </c>
      <c r="O230" s="38">
        <v>1</v>
      </c>
      <c r="P230" s="38"/>
      <c r="Q230" s="35"/>
      <c r="S230" s="1">
        <f t="shared" si="79"/>
        <v>0</v>
      </c>
      <c r="T230" s="1">
        <f t="shared" si="80"/>
        <v>0</v>
      </c>
      <c r="U230" s="1">
        <f t="shared" si="81"/>
        <v>0</v>
      </c>
      <c r="V230" s="1">
        <f t="shared" si="82"/>
        <v>0</v>
      </c>
      <c r="W230" s="1">
        <f t="shared" si="83"/>
        <v>0</v>
      </c>
      <c r="X230" s="1">
        <f t="shared" si="84"/>
        <v>0</v>
      </c>
      <c r="Y230" s="1">
        <f t="shared" si="85"/>
        <v>0</v>
      </c>
      <c r="Z230" s="1">
        <f t="shared" si="86"/>
        <v>0</v>
      </c>
      <c r="AA230" s="1">
        <f t="shared" si="87"/>
        <v>0</v>
      </c>
      <c r="AB230" s="1">
        <f t="shared" si="88"/>
        <v>1</v>
      </c>
      <c r="AD230" s="1">
        <f t="shared" si="89"/>
        <v>0</v>
      </c>
      <c r="AE230" s="1">
        <f t="shared" si="90"/>
        <v>1</v>
      </c>
      <c r="AF230" s="1">
        <f t="shared" si="75"/>
        <v>0</v>
      </c>
      <c r="AG230" s="1">
        <f t="shared" si="76"/>
        <v>1</v>
      </c>
      <c r="AH230" s="1">
        <f t="shared" si="77"/>
        <v>0</v>
      </c>
      <c r="AI230" s="1">
        <f t="shared" si="78"/>
        <v>1</v>
      </c>
    </row>
    <row r="231" spans="1:35" ht="14.25" customHeight="1" x14ac:dyDescent="0.3">
      <c r="A231" s="41">
        <v>0</v>
      </c>
      <c r="B231" s="41">
        <v>1</v>
      </c>
      <c r="C231" s="41">
        <v>7</v>
      </c>
      <c r="D231" s="42" t="s">
        <v>40</v>
      </c>
      <c r="E231" s="42" t="s">
        <v>29</v>
      </c>
      <c r="F231" s="42" t="s">
        <v>283</v>
      </c>
      <c r="G231" s="42" t="s">
        <v>232</v>
      </c>
      <c r="H231" s="42" t="s">
        <v>357</v>
      </c>
      <c r="I231" s="41" t="s">
        <v>439</v>
      </c>
      <c r="J231" s="41">
        <v>7</v>
      </c>
      <c r="K231" s="43" t="s">
        <v>720</v>
      </c>
      <c r="L231" s="43" t="s">
        <v>703</v>
      </c>
      <c r="M231" s="44" t="s">
        <v>980</v>
      </c>
      <c r="N231" s="45"/>
      <c r="O231" s="46"/>
      <c r="P231" s="46">
        <v>1</v>
      </c>
      <c r="Q231" s="42"/>
      <c r="S231" s="1">
        <f t="shared" si="79"/>
        <v>0</v>
      </c>
      <c r="T231" s="1">
        <f t="shared" si="80"/>
        <v>0</v>
      </c>
      <c r="U231" s="1">
        <f t="shared" si="81"/>
        <v>0</v>
      </c>
      <c r="V231" s="1">
        <f t="shared" si="82"/>
        <v>0</v>
      </c>
      <c r="W231" s="1">
        <f t="shared" si="83"/>
        <v>0</v>
      </c>
      <c r="X231" s="1">
        <f t="shared" si="84"/>
        <v>0</v>
      </c>
      <c r="Y231" s="1">
        <f t="shared" si="85"/>
        <v>1</v>
      </c>
      <c r="Z231" s="1">
        <f t="shared" si="86"/>
        <v>0</v>
      </c>
      <c r="AA231" s="1">
        <f t="shared" si="87"/>
        <v>0</v>
      </c>
      <c r="AB231" s="1">
        <f t="shared" si="88"/>
        <v>0</v>
      </c>
      <c r="AD231" s="1">
        <f t="shared" si="89"/>
        <v>0</v>
      </c>
      <c r="AE231" s="1">
        <f t="shared" si="90"/>
        <v>0</v>
      </c>
      <c r="AF231" s="1">
        <f t="shared" si="75"/>
        <v>0</v>
      </c>
      <c r="AG231" s="1">
        <f t="shared" si="76"/>
        <v>0</v>
      </c>
      <c r="AH231" s="1">
        <f t="shared" si="77"/>
        <v>1</v>
      </c>
      <c r="AI231" s="1">
        <f t="shared" si="78"/>
        <v>0</v>
      </c>
    </row>
    <row r="232" spans="1:35" ht="14.25" customHeight="1" x14ac:dyDescent="0.3">
      <c r="A232" s="41">
        <v>1</v>
      </c>
      <c r="B232" s="41">
        <v>1</v>
      </c>
      <c r="C232" s="41">
        <v>7</v>
      </c>
      <c r="D232" s="42" t="s">
        <v>40</v>
      </c>
      <c r="E232" s="42" t="s">
        <v>29</v>
      </c>
      <c r="F232" s="42" t="s">
        <v>1616</v>
      </c>
      <c r="G232" s="42" t="s">
        <v>39</v>
      </c>
      <c r="H232" s="42" t="s">
        <v>357</v>
      </c>
      <c r="I232" s="41" t="s">
        <v>1617</v>
      </c>
      <c r="J232" s="41">
        <v>99</v>
      </c>
      <c r="K232" s="43" t="s">
        <v>720</v>
      </c>
      <c r="L232" s="43" t="s">
        <v>703</v>
      </c>
      <c r="M232" s="44" t="s">
        <v>980</v>
      </c>
      <c r="N232" s="45"/>
      <c r="O232" s="46"/>
      <c r="P232" s="46">
        <v>1</v>
      </c>
      <c r="Q232" s="42"/>
      <c r="S232" s="1">
        <f t="shared" si="79"/>
        <v>0</v>
      </c>
      <c r="T232" s="1">
        <f t="shared" si="80"/>
        <v>0</v>
      </c>
      <c r="U232" s="1">
        <f t="shared" si="81"/>
        <v>0</v>
      </c>
      <c r="V232" s="1">
        <f t="shared" si="82"/>
        <v>0</v>
      </c>
      <c r="W232" s="1">
        <f t="shared" si="83"/>
        <v>0</v>
      </c>
      <c r="X232" s="1">
        <f t="shared" si="84"/>
        <v>0</v>
      </c>
      <c r="Y232" s="1">
        <f t="shared" si="85"/>
        <v>0</v>
      </c>
      <c r="Z232" s="1">
        <f t="shared" si="86"/>
        <v>0</v>
      </c>
      <c r="AA232" s="1">
        <f t="shared" si="87"/>
        <v>0</v>
      </c>
      <c r="AB232" s="1">
        <f t="shared" si="88"/>
        <v>0</v>
      </c>
      <c r="AD232" s="1">
        <f t="shared" si="89"/>
        <v>0</v>
      </c>
      <c r="AE232" s="1">
        <f t="shared" si="90"/>
        <v>0</v>
      </c>
      <c r="AF232" s="1">
        <f t="shared" si="75"/>
        <v>0</v>
      </c>
      <c r="AG232" s="1">
        <f t="shared" si="76"/>
        <v>0</v>
      </c>
      <c r="AH232" s="1">
        <f t="shared" si="77"/>
        <v>0</v>
      </c>
      <c r="AI232" s="1">
        <f t="shared" si="78"/>
        <v>0</v>
      </c>
    </row>
    <row r="233" spans="1:35" ht="14.25" customHeight="1" x14ac:dyDescent="0.3">
      <c r="A233" s="52">
        <v>0</v>
      </c>
      <c r="B233" s="52">
        <v>1</v>
      </c>
      <c r="C233" s="52">
        <v>7</v>
      </c>
      <c r="D233" s="58" t="s">
        <v>1499</v>
      </c>
      <c r="E233" s="53" t="s">
        <v>29</v>
      </c>
      <c r="F233" s="58" t="s">
        <v>1011</v>
      </c>
      <c r="G233" s="58" t="s">
        <v>1112</v>
      </c>
      <c r="H233" s="58" t="s">
        <v>357</v>
      </c>
      <c r="I233" s="66" t="s">
        <v>1120</v>
      </c>
      <c r="J233" s="52">
        <v>10</v>
      </c>
      <c r="K233" s="54" t="s">
        <v>720</v>
      </c>
      <c r="L233" s="54" t="s">
        <v>701</v>
      </c>
      <c r="M233" s="55" t="s">
        <v>980</v>
      </c>
      <c r="N233" s="55" t="s">
        <v>1758</v>
      </c>
      <c r="O233" s="56">
        <v>1</v>
      </c>
      <c r="P233" s="56"/>
      <c r="Q233" s="58"/>
      <c r="S233" s="1">
        <f t="shared" si="79"/>
        <v>0</v>
      </c>
      <c r="T233" s="1">
        <f t="shared" si="80"/>
        <v>0</v>
      </c>
      <c r="U233" s="1">
        <f t="shared" si="81"/>
        <v>0</v>
      </c>
      <c r="V233" s="1">
        <f t="shared" si="82"/>
        <v>0</v>
      </c>
      <c r="W233" s="1">
        <f t="shared" si="83"/>
        <v>0</v>
      </c>
      <c r="X233" s="1">
        <f t="shared" si="84"/>
        <v>0</v>
      </c>
      <c r="Y233" s="1">
        <f t="shared" si="85"/>
        <v>0</v>
      </c>
      <c r="Z233" s="1">
        <f t="shared" si="86"/>
        <v>0</v>
      </c>
      <c r="AA233" s="1">
        <f t="shared" si="87"/>
        <v>0</v>
      </c>
      <c r="AB233" s="1">
        <f t="shared" si="88"/>
        <v>1</v>
      </c>
      <c r="AD233" s="1">
        <f t="shared" si="89"/>
        <v>0</v>
      </c>
      <c r="AE233" s="1">
        <f t="shared" si="90"/>
        <v>1</v>
      </c>
      <c r="AF233" s="1">
        <f t="shared" si="75"/>
        <v>0</v>
      </c>
      <c r="AG233" s="1">
        <f t="shared" si="76"/>
        <v>1</v>
      </c>
      <c r="AH233" s="1">
        <f t="shared" si="77"/>
        <v>0</v>
      </c>
      <c r="AI233" s="1">
        <f t="shared" si="78"/>
        <v>1</v>
      </c>
    </row>
    <row r="234" spans="1:35" ht="14.25" customHeight="1" x14ac:dyDescent="0.3">
      <c r="A234" s="34">
        <v>0</v>
      </c>
      <c r="B234" s="34">
        <v>1</v>
      </c>
      <c r="C234" s="34">
        <v>7</v>
      </c>
      <c r="D234" s="39" t="s">
        <v>1500</v>
      </c>
      <c r="E234" s="35" t="s">
        <v>29</v>
      </c>
      <c r="F234" s="39" t="s">
        <v>1009</v>
      </c>
      <c r="G234" s="39" t="s">
        <v>242</v>
      </c>
      <c r="H234" s="39" t="s">
        <v>357</v>
      </c>
      <c r="I234" s="40" t="s">
        <v>1010</v>
      </c>
      <c r="J234" s="34">
        <v>1</v>
      </c>
      <c r="K234" s="36" t="s">
        <v>968</v>
      </c>
      <c r="L234" s="36" t="s">
        <v>701</v>
      </c>
      <c r="M234" s="37" t="s">
        <v>980</v>
      </c>
      <c r="N234" s="37" t="s">
        <v>1816</v>
      </c>
      <c r="O234" s="38">
        <v>1</v>
      </c>
      <c r="P234" s="38"/>
      <c r="Q234" s="39"/>
      <c r="S234" s="1">
        <f t="shared" si="79"/>
        <v>1</v>
      </c>
      <c r="T234" s="1">
        <f t="shared" si="80"/>
        <v>0</v>
      </c>
      <c r="U234" s="1">
        <f t="shared" si="81"/>
        <v>0</v>
      </c>
      <c r="V234" s="1">
        <f t="shared" si="82"/>
        <v>0</v>
      </c>
      <c r="W234" s="1">
        <f t="shared" si="83"/>
        <v>0</v>
      </c>
      <c r="X234" s="1">
        <f t="shared" si="84"/>
        <v>0</v>
      </c>
      <c r="Y234" s="1">
        <f t="shared" si="85"/>
        <v>0</v>
      </c>
      <c r="Z234" s="1">
        <f t="shared" si="86"/>
        <v>0</v>
      </c>
      <c r="AA234" s="1">
        <f t="shared" si="87"/>
        <v>0</v>
      </c>
      <c r="AB234" s="1">
        <f t="shared" si="88"/>
        <v>0</v>
      </c>
      <c r="AD234" s="1">
        <f t="shared" si="89"/>
        <v>0</v>
      </c>
      <c r="AE234" s="1">
        <f t="shared" si="90"/>
        <v>1</v>
      </c>
      <c r="AF234" s="1">
        <f t="shared" si="75"/>
        <v>0</v>
      </c>
      <c r="AG234" s="1">
        <f t="shared" si="76"/>
        <v>1</v>
      </c>
      <c r="AH234" s="1">
        <f t="shared" si="77"/>
        <v>0</v>
      </c>
      <c r="AI234" s="1">
        <f t="shared" si="78"/>
        <v>1</v>
      </c>
    </row>
    <row r="235" spans="1:35" ht="14.25" customHeight="1" x14ac:dyDescent="0.3">
      <c r="A235" s="47">
        <v>0</v>
      </c>
      <c r="B235" s="47">
        <v>1</v>
      </c>
      <c r="C235" s="47">
        <v>7</v>
      </c>
      <c r="D235" s="48" t="s">
        <v>905</v>
      </c>
      <c r="E235" s="48" t="s">
        <v>29</v>
      </c>
      <c r="F235" s="48" t="s">
        <v>906</v>
      </c>
      <c r="G235" s="48" t="s">
        <v>39</v>
      </c>
      <c r="H235" s="48" t="s">
        <v>358</v>
      </c>
      <c r="I235" s="47" t="s">
        <v>907</v>
      </c>
      <c r="J235" s="47">
        <v>11</v>
      </c>
      <c r="K235" s="49" t="s">
        <v>710</v>
      </c>
      <c r="L235" s="49">
        <v>35</v>
      </c>
      <c r="M235" s="50" t="s">
        <v>1419</v>
      </c>
      <c r="N235" s="50" t="s">
        <v>1762</v>
      </c>
      <c r="O235" s="51"/>
      <c r="P235" s="51"/>
      <c r="Q235" s="68" t="s">
        <v>1918</v>
      </c>
      <c r="S235" s="1">
        <f t="shared" si="79"/>
        <v>0</v>
      </c>
      <c r="T235" s="1">
        <f t="shared" si="80"/>
        <v>0</v>
      </c>
      <c r="U235" s="1">
        <f t="shared" si="81"/>
        <v>0</v>
      </c>
      <c r="V235" s="1">
        <f t="shared" si="82"/>
        <v>0</v>
      </c>
      <c r="W235" s="1">
        <f t="shared" si="83"/>
        <v>0</v>
      </c>
      <c r="X235" s="1">
        <f t="shared" si="84"/>
        <v>0</v>
      </c>
      <c r="Y235" s="1">
        <f t="shared" si="85"/>
        <v>0</v>
      </c>
      <c r="Z235" s="1">
        <f t="shared" si="86"/>
        <v>0</v>
      </c>
      <c r="AA235" s="1">
        <f t="shared" si="87"/>
        <v>0</v>
      </c>
      <c r="AB235" s="1">
        <f t="shared" si="88"/>
        <v>0</v>
      </c>
      <c r="AD235" s="1">
        <f t="shared" si="89"/>
        <v>0</v>
      </c>
      <c r="AE235" s="1">
        <f t="shared" si="90"/>
        <v>0</v>
      </c>
      <c r="AF235" s="1">
        <f t="shared" si="75"/>
        <v>0</v>
      </c>
      <c r="AG235" s="1">
        <f t="shared" si="76"/>
        <v>0</v>
      </c>
      <c r="AH235" s="1">
        <f t="shared" si="77"/>
        <v>0</v>
      </c>
      <c r="AI235" s="1">
        <f t="shared" si="78"/>
        <v>1</v>
      </c>
    </row>
    <row r="236" spans="1:35" ht="14.25" customHeight="1" x14ac:dyDescent="0.3">
      <c r="A236" s="34">
        <v>0</v>
      </c>
      <c r="B236" s="34">
        <v>1</v>
      </c>
      <c r="C236" s="34">
        <v>7</v>
      </c>
      <c r="D236" s="39" t="s">
        <v>1094</v>
      </c>
      <c r="E236" s="35" t="s">
        <v>29</v>
      </c>
      <c r="F236" s="39" t="s">
        <v>993</v>
      </c>
      <c r="G236" s="39" t="s">
        <v>205</v>
      </c>
      <c r="H236" s="39" t="s">
        <v>357</v>
      </c>
      <c r="I236" s="40" t="s">
        <v>994</v>
      </c>
      <c r="J236" s="34">
        <v>99</v>
      </c>
      <c r="K236" s="36" t="s">
        <v>720</v>
      </c>
      <c r="L236" s="36" t="s">
        <v>701</v>
      </c>
      <c r="M236" s="37" t="s">
        <v>1457</v>
      </c>
      <c r="N236" s="37" t="s">
        <v>1742</v>
      </c>
      <c r="O236" s="38">
        <v>1</v>
      </c>
      <c r="P236" s="38">
        <v>1</v>
      </c>
      <c r="Q236" s="39"/>
      <c r="S236" s="1">
        <f t="shared" si="79"/>
        <v>0</v>
      </c>
      <c r="T236" s="1">
        <f t="shared" si="80"/>
        <v>0</v>
      </c>
      <c r="U236" s="1">
        <f t="shared" si="81"/>
        <v>0</v>
      </c>
      <c r="V236" s="1">
        <f t="shared" si="82"/>
        <v>0</v>
      </c>
      <c r="W236" s="1">
        <f t="shared" si="83"/>
        <v>0</v>
      </c>
      <c r="X236" s="1">
        <f t="shared" si="84"/>
        <v>0</v>
      </c>
      <c r="Y236" s="1">
        <f t="shared" si="85"/>
        <v>0</v>
      </c>
      <c r="Z236" s="1">
        <f t="shared" si="86"/>
        <v>0</v>
      </c>
      <c r="AA236" s="1">
        <f t="shared" si="87"/>
        <v>0</v>
      </c>
      <c r="AB236" s="1">
        <f t="shared" si="88"/>
        <v>0</v>
      </c>
      <c r="AD236" s="1">
        <f t="shared" si="89"/>
        <v>1</v>
      </c>
      <c r="AE236" s="1">
        <f t="shared" si="90"/>
        <v>0</v>
      </c>
      <c r="AF236" s="1">
        <f t="shared" si="75"/>
        <v>1</v>
      </c>
      <c r="AG236" s="1">
        <f t="shared" si="76"/>
        <v>0</v>
      </c>
      <c r="AH236" s="1">
        <f t="shared" si="77"/>
        <v>1</v>
      </c>
      <c r="AI236" s="1">
        <f t="shared" si="78"/>
        <v>0</v>
      </c>
    </row>
    <row r="237" spans="1:35" ht="14.25" customHeight="1" x14ac:dyDescent="0.3">
      <c r="A237" s="15">
        <v>0</v>
      </c>
      <c r="B237" s="15">
        <v>1</v>
      </c>
      <c r="C237" s="15">
        <v>7</v>
      </c>
      <c r="D237" s="16" t="s">
        <v>758</v>
      </c>
      <c r="E237" s="16" t="s">
        <v>29</v>
      </c>
      <c r="F237" s="16" t="s">
        <v>759</v>
      </c>
      <c r="G237" s="16" t="s">
        <v>760</v>
      </c>
      <c r="H237" s="16" t="s">
        <v>357</v>
      </c>
      <c r="I237" s="15" t="s">
        <v>761</v>
      </c>
      <c r="J237" s="15">
        <v>99</v>
      </c>
      <c r="K237" s="10" t="s">
        <v>710</v>
      </c>
      <c r="L237" s="10">
        <v>20</v>
      </c>
      <c r="M237" s="19" t="s">
        <v>1130</v>
      </c>
      <c r="N237" s="17"/>
      <c r="Q237" s="16"/>
      <c r="S237" s="1">
        <f t="shared" si="79"/>
        <v>0</v>
      </c>
      <c r="T237" s="1">
        <f t="shared" si="80"/>
        <v>0</v>
      </c>
      <c r="U237" s="1">
        <f t="shared" si="81"/>
        <v>0</v>
      </c>
      <c r="V237" s="1">
        <f t="shared" si="82"/>
        <v>0</v>
      </c>
      <c r="W237" s="1">
        <f t="shared" si="83"/>
        <v>0</v>
      </c>
      <c r="X237" s="1">
        <f t="shared" si="84"/>
        <v>0</v>
      </c>
      <c r="Y237" s="1">
        <f t="shared" si="85"/>
        <v>0</v>
      </c>
      <c r="Z237" s="1">
        <f t="shared" si="86"/>
        <v>0</v>
      </c>
      <c r="AA237" s="1">
        <f t="shared" si="87"/>
        <v>0</v>
      </c>
      <c r="AB237" s="1">
        <f t="shared" si="88"/>
        <v>0</v>
      </c>
      <c r="AD237" s="1">
        <f t="shared" si="89"/>
        <v>0</v>
      </c>
      <c r="AE237" s="1">
        <f t="shared" si="90"/>
        <v>0</v>
      </c>
      <c r="AF237" s="1">
        <f t="shared" si="75"/>
        <v>0</v>
      </c>
      <c r="AG237" s="1">
        <f t="shared" si="76"/>
        <v>0</v>
      </c>
      <c r="AH237" s="1">
        <f t="shared" si="77"/>
        <v>0</v>
      </c>
      <c r="AI237" s="1">
        <f t="shared" si="78"/>
        <v>1</v>
      </c>
    </row>
    <row r="238" spans="1:35" ht="14.25" customHeight="1" x14ac:dyDescent="0.3">
      <c r="A238" s="34">
        <v>0</v>
      </c>
      <c r="B238" s="34">
        <v>1</v>
      </c>
      <c r="C238" s="34">
        <v>7</v>
      </c>
      <c r="D238" s="39" t="s">
        <v>835</v>
      </c>
      <c r="E238" s="35" t="s">
        <v>29</v>
      </c>
      <c r="F238" s="39" t="s">
        <v>836</v>
      </c>
      <c r="G238" s="39" t="s">
        <v>935</v>
      </c>
      <c r="H238" s="39" t="s">
        <v>357</v>
      </c>
      <c r="I238" s="40" t="s">
        <v>837</v>
      </c>
      <c r="J238" s="34">
        <v>99</v>
      </c>
      <c r="K238" s="36" t="s">
        <v>962</v>
      </c>
      <c r="L238" s="36" t="s">
        <v>701</v>
      </c>
      <c r="M238" s="37" t="s">
        <v>980</v>
      </c>
      <c r="N238" s="37" t="s">
        <v>1840</v>
      </c>
      <c r="O238" s="38">
        <v>1</v>
      </c>
      <c r="P238" s="38"/>
      <c r="Q238" s="39"/>
      <c r="S238" s="1">
        <f t="shared" si="79"/>
        <v>0</v>
      </c>
      <c r="T238" s="1">
        <f t="shared" si="80"/>
        <v>0</v>
      </c>
      <c r="U238" s="1">
        <f t="shared" si="81"/>
        <v>0</v>
      </c>
      <c r="V238" s="1">
        <f t="shared" si="82"/>
        <v>0</v>
      </c>
      <c r="W238" s="1">
        <f t="shared" si="83"/>
        <v>0</v>
      </c>
      <c r="X238" s="1">
        <f t="shared" si="84"/>
        <v>0</v>
      </c>
      <c r="Y238" s="1">
        <f t="shared" si="85"/>
        <v>0</v>
      </c>
      <c r="Z238" s="1">
        <f t="shared" si="86"/>
        <v>0</v>
      </c>
      <c r="AA238" s="1">
        <f t="shared" si="87"/>
        <v>0</v>
      </c>
      <c r="AB238" s="1">
        <f t="shared" si="88"/>
        <v>0</v>
      </c>
      <c r="AD238" s="1">
        <f t="shared" si="89"/>
        <v>0</v>
      </c>
      <c r="AE238" s="1">
        <f t="shared" si="90"/>
        <v>1</v>
      </c>
      <c r="AF238" s="1">
        <f t="shared" si="75"/>
        <v>0</v>
      </c>
      <c r="AG238" s="1">
        <f t="shared" si="76"/>
        <v>1</v>
      </c>
      <c r="AH238" s="1">
        <f t="shared" si="77"/>
        <v>0</v>
      </c>
      <c r="AI238" s="1">
        <f t="shared" si="78"/>
        <v>1</v>
      </c>
    </row>
    <row r="239" spans="1:35" ht="14.25" customHeight="1" x14ac:dyDescent="0.3">
      <c r="A239" s="34">
        <v>0</v>
      </c>
      <c r="B239" s="34">
        <v>1</v>
      </c>
      <c r="C239" s="34">
        <v>7</v>
      </c>
      <c r="D239" s="39" t="s">
        <v>1735</v>
      </c>
      <c r="E239" s="35" t="s">
        <v>29</v>
      </c>
      <c r="F239" s="39" t="s">
        <v>1736</v>
      </c>
      <c r="G239" s="39" t="s">
        <v>251</v>
      </c>
      <c r="H239" s="39" t="s">
        <v>357</v>
      </c>
      <c r="I239" s="40" t="s">
        <v>1737</v>
      </c>
      <c r="J239" s="34"/>
      <c r="K239" s="36" t="s">
        <v>710</v>
      </c>
      <c r="L239" s="36"/>
      <c r="M239" s="37"/>
      <c r="N239" s="37" t="s">
        <v>1742</v>
      </c>
      <c r="O239" s="38">
        <v>1</v>
      </c>
      <c r="P239" s="38">
        <v>1</v>
      </c>
      <c r="Q239" s="39"/>
      <c r="S239" s="1">
        <f t="shared" si="79"/>
        <v>0</v>
      </c>
      <c r="T239" s="1">
        <f t="shared" si="80"/>
        <v>0</v>
      </c>
      <c r="U239" s="1">
        <f t="shared" si="81"/>
        <v>0</v>
      </c>
      <c r="V239" s="1">
        <f t="shared" si="82"/>
        <v>0</v>
      </c>
      <c r="W239" s="1">
        <f t="shared" si="83"/>
        <v>0</v>
      </c>
      <c r="X239" s="1">
        <f t="shared" si="84"/>
        <v>0</v>
      </c>
      <c r="Y239" s="1">
        <f t="shared" si="85"/>
        <v>0</v>
      </c>
      <c r="Z239" s="1">
        <f t="shared" si="86"/>
        <v>0</v>
      </c>
      <c r="AA239" s="1">
        <f t="shared" si="87"/>
        <v>0</v>
      </c>
      <c r="AB239" s="1">
        <f t="shared" si="88"/>
        <v>0</v>
      </c>
      <c r="AD239" s="1">
        <f t="shared" si="89"/>
        <v>1</v>
      </c>
      <c r="AE239" s="1">
        <f t="shared" si="90"/>
        <v>0</v>
      </c>
      <c r="AF239" s="1">
        <f t="shared" si="75"/>
        <v>1</v>
      </c>
      <c r="AG239" s="1">
        <f t="shared" si="76"/>
        <v>0</v>
      </c>
      <c r="AH239" s="1">
        <f t="shared" si="77"/>
        <v>1</v>
      </c>
      <c r="AI239" s="1">
        <f t="shared" si="78"/>
        <v>0</v>
      </c>
    </row>
    <row r="240" spans="1:35" ht="14.25" customHeight="1" x14ac:dyDescent="0.3">
      <c r="A240" s="34">
        <v>0</v>
      </c>
      <c r="B240" s="34">
        <v>1</v>
      </c>
      <c r="C240" s="34">
        <v>7</v>
      </c>
      <c r="D240" s="35" t="s">
        <v>908</v>
      </c>
      <c r="E240" s="35" t="s">
        <v>29</v>
      </c>
      <c r="F240" s="35" t="s">
        <v>909</v>
      </c>
      <c r="G240" s="35" t="s">
        <v>230</v>
      </c>
      <c r="H240" s="35" t="s">
        <v>357</v>
      </c>
      <c r="I240" s="34" t="s">
        <v>910</v>
      </c>
      <c r="J240" s="34">
        <v>99</v>
      </c>
      <c r="K240" s="36" t="s">
        <v>720</v>
      </c>
      <c r="L240" s="36" t="s">
        <v>701</v>
      </c>
      <c r="M240" s="37" t="s">
        <v>1420</v>
      </c>
      <c r="N240" s="37" t="s">
        <v>1763</v>
      </c>
      <c r="O240" s="38">
        <v>1</v>
      </c>
      <c r="P240" s="38"/>
      <c r="Q240" s="35"/>
      <c r="S240" s="1">
        <f t="shared" si="79"/>
        <v>0</v>
      </c>
      <c r="T240" s="1">
        <f t="shared" si="80"/>
        <v>0</v>
      </c>
      <c r="U240" s="1">
        <f t="shared" si="81"/>
        <v>0</v>
      </c>
      <c r="V240" s="1">
        <f t="shared" si="82"/>
        <v>0</v>
      </c>
      <c r="W240" s="1">
        <f t="shared" si="83"/>
        <v>0</v>
      </c>
      <c r="X240" s="1">
        <f t="shared" si="84"/>
        <v>0</v>
      </c>
      <c r="Y240" s="1">
        <f t="shared" si="85"/>
        <v>0</v>
      </c>
      <c r="Z240" s="1">
        <f t="shared" si="86"/>
        <v>0</v>
      </c>
      <c r="AA240" s="1">
        <f t="shared" si="87"/>
        <v>0</v>
      </c>
      <c r="AB240" s="1">
        <f t="shared" si="88"/>
        <v>0</v>
      </c>
      <c r="AD240" s="1">
        <f t="shared" si="89"/>
        <v>0</v>
      </c>
      <c r="AE240" s="1">
        <f t="shared" si="90"/>
        <v>1</v>
      </c>
      <c r="AF240" s="1">
        <f t="shared" si="75"/>
        <v>0</v>
      </c>
      <c r="AG240" s="1">
        <f t="shared" si="76"/>
        <v>1</v>
      </c>
      <c r="AH240" s="1">
        <f t="shared" si="77"/>
        <v>0</v>
      </c>
      <c r="AI240" s="1">
        <f t="shared" si="78"/>
        <v>1</v>
      </c>
    </row>
    <row r="241" spans="1:35" ht="14.25" customHeight="1" x14ac:dyDescent="0.3">
      <c r="A241" s="41">
        <v>0</v>
      </c>
      <c r="B241" s="41">
        <v>1</v>
      </c>
      <c r="C241" s="41">
        <v>7</v>
      </c>
      <c r="D241" s="42" t="s">
        <v>89</v>
      </c>
      <c r="E241" s="42" t="s">
        <v>29</v>
      </c>
      <c r="F241" s="42" t="s">
        <v>284</v>
      </c>
      <c r="G241" s="42" t="s">
        <v>240</v>
      </c>
      <c r="H241" s="42" t="s">
        <v>357</v>
      </c>
      <c r="I241" s="41" t="s">
        <v>441</v>
      </c>
      <c r="J241" s="41">
        <v>4</v>
      </c>
      <c r="K241" s="43" t="s">
        <v>961</v>
      </c>
      <c r="L241" s="43" t="s">
        <v>39</v>
      </c>
      <c r="M241" s="44" t="s">
        <v>39</v>
      </c>
      <c r="N241" s="45"/>
      <c r="O241" s="46"/>
      <c r="P241" s="46">
        <v>1</v>
      </c>
      <c r="Q241" s="42"/>
      <c r="S241" s="1">
        <f t="shared" si="79"/>
        <v>0</v>
      </c>
      <c r="T241" s="1">
        <f t="shared" si="80"/>
        <v>0</v>
      </c>
      <c r="U241" s="1">
        <f t="shared" si="81"/>
        <v>0</v>
      </c>
      <c r="V241" s="1">
        <f t="shared" si="82"/>
        <v>1</v>
      </c>
      <c r="W241" s="1">
        <f t="shared" si="83"/>
        <v>0</v>
      </c>
      <c r="X241" s="1">
        <f t="shared" si="84"/>
        <v>0</v>
      </c>
      <c r="Y241" s="1">
        <f t="shared" si="85"/>
        <v>0</v>
      </c>
      <c r="Z241" s="1">
        <f t="shared" si="86"/>
        <v>0</v>
      </c>
      <c r="AA241" s="1">
        <f t="shared" si="87"/>
        <v>0</v>
      </c>
      <c r="AB241" s="1">
        <f t="shared" si="88"/>
        <v>0</v>
      </c>
      <c r="AD241" s="1">
        <f t="shared" si="89"/>
        <v>0</v>
      </c>
      <c r="AE241" s="1">
        <f t="shared" si="90"/>
        <v>0</v>
      </c>
      <c r="AF241" s="1">
        <f t="shared" si="75"/>
        <v>0</v>
      </c>
      <c r="AG241" s="1">
        <f t="shared" si="76"/>
        <v>0</v>
      </c>
      <c r="AH241" s="1">
        <f t="shared" si="77"/>
        <v>1</v>
      </c>
      <c r="AI241" s="1">
        <f t="shared" si="78"/>
        <v>0</v>
      </c>
    </row>
    <row r="242" spans="1:35" ht="14.25" customHeight="1" x14ac:dyDescent="0.3">
      <c r="A242" s="47">
        <v>0</v>
      </c>
      <c r="B242" s="47">
        <v>1</v>
      </c>
      <c r="C242" s="47">
        <v>7</v>
      </c>
      <c r="D242" s="48" t="s">
        <v>90</v>
      </c>
      <c r="E242" s="48" t="s">
        <v>29</v>
      </c>
      <c r="F242" s="48" t="s">
        <v>285</v>
      </c>
      <c r="G242" s="48" t="s">
        <v>286</v>
      </c>
      <c r="H242" s="48" t="s">
        <v>357</v>
      </c>
      <c r="I242" s="47" t="s">
        <v>950</v>
      </c>
      <c r="J242" s="47">
        <v>99</v>
      </c>
      <c r="K242" s="49" t="s">
        <v>962</v>
      </c>
      <c r="L242" s="49" t="s">
        <v>701</v>
      </c>
      <c r="M242" s="50" t="s">
        <v>980</v>
      </c>
      <c r="N242" s="50" t="s">
        <v>1824</v>
      </c>
      <c r="O242" s="51"/>
      <c r="P242" s="51"/>
      <c r="Q242" s="48"/>
      <c r="S242" s="1">
        <f t="shared" si="79"/>
        <v>0</v>
      </c>
      <c r="T242" s="1">
        <f t="shared" si="80"/>
        <v>0</v>
      </c>
      <c r="U242" s="1">
        <f t="shared" si="81"/>
        <v>0</v>
      </c>
      <c r="V242" s="1">
        <f t="shared" si="82"/>
        <v>0</v>
      </c>
      <c r="W242" s="1">
        <f t="shared" si="83"/>
        <v>0</v>
      </c>
      <c r="X242" s="1">
        <f t="shared" si="84"/>
        <v>0</v>
      </c>
      <c r="Y242" s="1">
        <f t="shared" si="85"/>
        <v>0</v>
      </c>
      <c r="Z242" s="1">
        <f t="shared" si="86"/>
        <v>0</v>
      </c>
      <c r="AA242" s="1">
        <f t="shared" si="87"/>
        <v>0</v>
      </c>
      <c r="AB242" s="1">
        <f t="shared" si="88"/>
        <v>0</v>
      </c>
      <c r="AD242" s="1">
        <f t="shared" si="89"/>
        <v>0</v>
      </c>
      <c r="AE242" s="1">
        <f t="shared" si="90"/>
        <v>0</v>
      </c>
      <c r="AF242" s="1">
        <f t="shared" si="75"/>
        <v>0</v>
      </c>
      <c r="AG242" s="1">
        <f t="shared" si="76"/>
        <v>0</v>
      </c>
      <c r="AH242" s="1">
        <f t="shared" si="77"/>
        <v>0</v>
      </c>
      <c r="AI242" s="1">
        <f t="shared" si="78"/>
        <v>1</v>
      </c>
    </row>
    <row r="243" spans="1:35" ht="14.25" customHeight="1" x14ac:dyDescent="0.3">
      <c r="A243" s="34">
        <v>0</v>
      </c>
      <c r="B243" s="34">
        <v>1</v>
      </c>
      <c r="C243" s="34">
        <v>7</v>
      </c>
      <c r="D243" s="39" t="s">
        <v>1651</v>
      </c>
      <c r="E243" s="35" t="s">
        <v>29</v>
      </c>
      <c r="F243" s="39" t="s">
        <v>1550</v>
      </c>
      <c r="G243" s="39" t="s">
        <v>39</v>
      </c>
      <c r="H243" s="39" t="s">
        <v>893</v>
      </c>
      <c r="I243" s="40" t="s">
        <v>1551</v>
      </c>
      <c r="J243" s="34">
        <v>17</v>
      </c>
      <c r="K243" s="36" t="s">
        <v>720</v>
      </c>
      <c r="L243" s="36" t="s">
        <v>704</v>
      </c>
      <c r="M243" s="37" t="s">
        <v>1472</v>
      </c>
      <c r="N243" s="37" t="s">
        <v>1742</v>
      </c>
      <c r="O243" s="38">
        <v>1</v>
      </c>
      <c r="P243" s="38">
        <v>1</v>
      </c>
      <c r="Q243" s="39"/>
      <c r="S243" s="1">
        <f t="shared" si="79"/>
        <v>0</v>
      </c>
      <c r="T243" s="1">
        <f t="shared" si="80"/>
        <v>0</v>
      </c>
      <c r="U243" s="1">
        <f t="shared" si="81"/>
        <v>0</v>
      </c>
      <c r="V243" s="1">
        <f t="shared" si="82"/>
        <v>0</v>
      </c>
      <c r="W243" s="1">
        <f t="shared" si="83"/>
        <v>0</v>
      </c>
      <c r="X243" s="1">
        <f t="shared" si="84"/>
        <v>0</v>
      </c>
      <c r="Y243" s="1">
        <f t="shared" si="85"/>
        <v>0</v>
      </c>
      <c r="Z243" s="1">
        <f t="shared" si="86"/>
        <v>0</v>
      </c>
      <c r="AA243" s="1">
        <f t="shared" si="87"/>
        <v>0</v>
      </c>
      <c r="AB243" s="1">
        <f t="shared" si="88"/>
        <v>0</v>
      </c>
      <c r="AD243" s="1">
        <f t="shared" si="89"/>
        <v>1</v>
      </c>
      <c r="AE243" s="1">
        <f t="shared" si="90"/>
        <v>0</v>
      </c>
      <c r="AF243" s="1">
        <f t="shared" si="75"/>
        <v>1</v>
      </c>
      <c r="AG243" s="1">
        <f t="shared" si="76"/>
        <v>0</v>
      </c>
      <c r="AH243" s="1">
        <f t="shared" si="77"/>
        <v>1</v>
      </c>
      <c r="AI243" s="1">
        <f t="shared" si="78"/>
        <v>0</v>
      </c>
    </row>
    <row r="244" spans="1:35" ht="14.25" customHeight="1" x14ac:dyDescent="0.3">
      <c r="A244" s="47">
        <v>0</v>
      </c>
      <c r="B244" s="47">
        <v>1</v>
      </c>
      <c r="C244" s="47">
        <v>7</v>
      </c>
      <c r="D244" s="48" t="s">
        <v>1469</v>
      </c>
      <c r="E244" s="48" t="s">
        <v>29</v>
      </c>
      <c r="F244" s="48" t="s">
        <v>1470</v>
      </c>
      <c r="G244" s="48" t="s">
        <v>324</v>
      </c>
      <c r="H244" s="48" t="s">
        <v>357</v>
      </c>
      <c r="I244" s="47" t="s">
        <v>1471</v>
      </c>
      <c r="J244" s="47">
        <v>99</v>
      </c>
      <c r="K244" s="49" t="s">
        <v>710</v>
      </c>
      <c r="L244" s="49">
        <v>30</v>
      </c>
      <c r="M244" s="50" t="s">
        <v>1472</v>
      </c>
      <c r="N244" s="50" t="s">
        <v>1817</v>
      </c>
      <c r="O244" s="51"/>
      <c r="P244" s="51"/>
      <c r="Q244" s="48"/>
      <c r="S244" s="1">
        <f t="shared" si="79"/>
        <v>0</v>
      </c>
      <c r="T244" s="1">
        <f t="shared" si="80"/>
        <v>0</v>
      </c>
      <c r="U244" s="1">
        <f t="shared" si="81"/>
        <v>0</v>
      </c>
      <c r="V244" s="1">
        <f t="shared" si="82"/>
        <v>0</v>
      </c>
      <c r="W244" s="1">
        <f t="shared" si="83"/>
        <v>0</v>
      </c>
      <c r="X244" s="1">
        <f t="shared" si="84"/>
        <v>0</v>
      </c>
      <c r="Y244" s="1">
        <f t="shared" si="85"/>
        <v>0</v>
      </c>
      <c r="Z244" s="1">
        <f t="shared" si="86"/>
        <v>0</v>
      </c>
      <c r="AA244" s="1">
        <f t="shared" si="87"/>
        <v>0</v>
      </c>
      <c r="AB244" s="1">
        <f t="shared" si="88"/>
        <v>0</v>
      </c>
      <c r="AD244" s="1">
        <f t="shared" si="89"/>
        <v>0</v>
      </c>
      <c r="AE244" s="1">
        <f t="shared" si="90"/>
        <v>0</v>
      </c>
      <c r="AF244" s="1">
        <f t="shared" si="75"/>
        <v>0</v>
      </c>
      <c r="AG244" s="1">
        <f t="shared" si="76"/>
        <v>0</v>
      </c>
      <c r="AH244" s="1">
        <f t="shared" si="77"/>
        <v>0</v>
      </c>
      <c r="AI244" s="1">
        <f t="shared" si="78"/>
        <v>1</v>
      </c>
    </row>
    <row r="245" spans="1:35" ht="14.25" customHeight="1" x14ac:dyDescent="0.3">
      <c r="A245" s="34">
        <v>0</v>
      </c>
      <c r="B245" s="34">
        <v>1</v>
      </c>
      <c r="C245" s="34">
        <v>7</v>
      </c>
      <c r="D245" s="39" t="s">
        <v>853</v>
      </c>
      <c r="E245" s="35" t="s">
        <v>29</v>
      </c>
      <c r="F245" s="39" t="s">
        <v>854</v>
      </c>
      <c r="G245" s="39" t="s">
        <v>224</v>
      </c>
      <c r="H245" s="39" t="s">
        <v>357</v>
      </c>
      <c r="I245" s="40" t="s">
        <v>855</v>
      </c>
      <c r="J245" s="34">
        <v>99</v>
      </c>
      <c r="K245" s="36" t="s">
        <v>962</v>
      </c>
      <c r="L245" s="36" t="s">
        <v>701</v>
      </c>
      <c r="M245" s="37" t="s">
        <v>980</v>
      </c>
      <c r="N245" s="37" t="s">
        <v>1864</v>
      </c>
      <c r="O245" s="38">
        <v>1</v>
      </c>
      <c r="P245" s="38"/>
      <c r="Q245" s="39"/>
      <c r="S245" s="1">
        <f t="shared" si="79"/>
        <v>0</v>
      </c>
      <c r="T245" s="1">
        <f t="shared" si="80"/>
        <v>0</v>
      </c>
      <c r="U245" s="1">
        <f t="shared" si="81"/>
        <v>0</v>
      </c>
      <c r="V245" s="1">
        <f t="shared" si="82"/>
        <v>0</v>
      </c>
      <c r="W245" s="1">
        <f t="shared" si="83"/>
        <v>0</v>
      </c>
      <c r="X245" s="1">
        <f t="shared" si="84"/>
        <v>0</v>
      </c>
      <c r="Y245" s="1">
        <f t="shared" si="85"/>
        <v>0</v>
      </c>
      <c r="Z245" s="1">
        <f t="shared" si="86"/>
        <v>0</v>
      </c>
      <c r="AA245" s="1">
        <f t="shared" si="87"/>
        <v>0</v>
      </c>
      <c r="AB245" s="1">
        <f t="shared" si="88"/>
        <v>0</v>
      </c>
      <c r="AD245" s="1">
        <f t="shared" si="89"/>
        <v>0</v>
      </c>
      <c r="AE245" s="1">
        <f t="shared" si="90"/>
        <v>1</v>
      </c>
      <c r="AF245" s="1">
        <f t="shared" si="75"/>
        <v>0</v>
      </c>
      <c r="AG245" s="1">
        <f t="shared" si="76"/>
        <v>1</v>
      </c>
      <c r="AH245" s="1">
        <f t="shared" si="77"/>
        <v>0</v>
      </c>
      <c r="AI245" s="1">
        <f t="shared" si="78"/>
        <v>1</v>
      </c>
    </row>
    <row r="246" spans="1:35" ht="14.25" customHeight="1" x14ac:dyDescent="0.3">
      <c r="A246" s="34">
        <v>1</v>
      </c>
      <c r="B246" s="34">
        <v>1</v>
      </c>
      <c r="C246" s="34">
        <v>7</v>
      </c>
      <c r="D246" s="39" t="s">
        <v>853</v>
      </c>
      <c r="E246" s="35" t="s">
        <v>29</v>
      </c>
      <c r="F246" s="39" t="s">
        <v>937</v>
      </c>
      <c r="G246" s="39" t="s">
        <v>282</v>
      </c>
      <c r="H246" s="39" t="s">
        <v>357</v>
      </c>
      <c r="I246" s="40" t="s">
        <v>856</v>
      </c>
      <c r="J246" s="34">
        <v>99</v>
      </c>
      <c r="K246" s="36" t="s">
        <v>962</v>
      </c>
      <c r="L246" s="36" t="s">
        <v>701</v>
      </c>
      <c r="M246" s="37" t="s">
        <v>980</v>
      </c>
      <c r="N246" s="37" t="s">
        <v>1864</v>
      </c>
      <c r="O246" s="38">
        <v>1</v>
      </c>
      <c r="P246" s="38"/>
      <c r="Q246" s="39"/>
      <c r="S246" s="1">
        <f t="shared" si="79"/>
        <v>0</v>
      </c>
      <c r="T246" s="1">
        <f t="shared" si="80"/>
        <v>0</v>
      </c>
      <c r="U246" s="1">
        <f t="shared" si="81"/>
        <v>0</v>
      </c>
      <c r="V246" s="1">
        <f t="shared" si="82"/>
        <v>0</v>
      </c>
      <c r="W246" s="1">
        <f t="shared" si="83"/>
        <v>0</v>
      </c>
      <c r="X246" s="1">
        <f t="shared" si="84"/>
        <v>0</v>
      </c>
      <c r="Y246" s="1">
        <f t="shared" si="85"/>
        <v>0</v>
      </c>
      <c r="Z246" s="1">
        <f t="shared" si="86"/>
        <v>0</v>
      </c>
      <c r="AA246" s="1">
        <f t="shared" si="87"/>
        <v>0</v>
      </c>
      <c r="AB246" s="1">
        <f t="shared" si="88"/>
        <v>0</v>
      </c>
      <c r="AD246" s="1">
        <f t="shared" si="89"/>
        <v>0</v>
      </c>
      <c r="AE246" s="1">
        <f t="shared" si="90"/>
        <v>1</v>
      </c>
      <c r="AF246" s="1">
        <f t="shared" si="75"/>
        <v>0</v>
      </c>
      <c r="AG246" s="1">
        <f t="shared" si="76"/>
        <v>0</v>
      </c>
      <c r="AH246" s="1">
        <f t="shared" si="77"/>
        <v>0</v>
      </c>
      <c r="AI246" s="1">
        <f t="shared" si="78"/>
        <v>0</v>
      </c>
    </row>
    <row r="247" spans="1:35" ht="14.25" customHeight="1" x14ac:dyDescent="0.3">
      <c r="A247" s="34">
        <v>0</v>
      </c>
      <c r="B247" s="34">
        <v>1</v>
      </c>
      <c r="C247" s="34">
        <v>7</v>
      </c>
      <c r="D247" s="35" t="s">
        <v>1230</v>
      </c>
      <c r="E247" s="35" t="s">
        <v>29</v>
      </c>
      <c r="F247" s="35" t="s">
        <v>1231</v>
      </c>
      <c r="G247" s="35" t="s">
        <v>240</v>
      </c>
      <c r="H247" s="35" t="s">
        <v>357</v>
      </c>
      <c r="I247" s="34" t="s">
        <v>1375</v>
      </c>
      <c r="J247" s="34">
        <v>99</v>
      </c>
      <c r="K247" s="36" t="s">
        <v>720</v>
      </c>
      <c r="L247" s="36" t="s">
        <v>701</v>
      </c>
      <c r="M247" s="37" t="s">
        <v>1421</v>
      </c>
      <c r="N247" s="37" t="s">
        <v>1770</v>
      </c>
      <c r="O247" s="38">
        <v>1</v>
      </c>
      <c r="P247" s="38"/>
      <c r="Q247" s="35"/>
      <c r="S247" s="1">
        <f t="shared" si="79"/>
        <v>0</v>
      </c>
      <c r="T247" s="1">
        <f t="shared" si="80"/>
        <v>0</v>
      </c>
      <c r="U247" s="1">
        <f t="shared" si="81"/>
        <v>0</v>
      </c>
      <c r="V247" s="1">
        <f t="shared" si="82"/>
        <v>0</v>
      </c>
      <c r="W247" s="1">
        <f t="shared" si="83"/>
        <v>0</v>
      </c>
      <c r="X247" s="1">
        <f t="shared" si="84"/>
        <v>0</v>
      </c>
      <c r="Y247" s="1">
        <f t="shared" si="85"/>
        <v>0</v>
      </c>
      <c r="Z247" s="1">
        <f t="shared" si="86"/>
        <v>0</v>
      </c>
      <c r="AA247" s="1">
        <f t="shared" si="87"/>
        <v>0</v>
      </c>
      <c r="AB247" s="1">
        <f t="shared" si="88"/>
        <v>0</v>
      </c>
      <c r="AD247" s="1">
        <f t="shared" si="89"/>
        <v>0</v>
      </c>
      <c r="AE247" s="1">
        <f t="shared" si="90"/>
        <v>1</v>
      </c>
      <c r="AF247" s="1">
        <f t="shared" si="75"/>
        <v>0</v>
      </c>
      <c r="AG247" s="1">
        <f t="shared" si="76"/>
        <v>1</v>
      </c>
      <c r="AH247" s="1">
        <f t="shared" si="77"/>
        <v>0</v>
      </c>
      <c r="AI247" s="1">
        <f t="shared" si="78"/>
        <v>1</v>
      </c>
    </row>
    <row r="248" spans="1:35" ht="14.25" customHeight="1" x14ac:dyDescent="0.3">
      <c r="A248" s="34">
        <v>0</v>
      </c>
      <c r="B248" s="34">
        <v>1</v>
      </c>
      <c r="C248" s="34">
        <v>7</v>
      </c>
      <c r="D248" s="39" t="s">
        <v>1247</v>
      </c>
      <c r="E248" s="35" t="s">
        <v>29</v>
      </c>
      <c r="F248" s="39" t="s">
        <v>1248</v>
      </c>
      <c r="G248" s="39" t="s">
        <v>240</v>
      </c>
      <c r="H248" s="39" t="s">
        <v>357</v>
      </c>
      <c r="I248" s="40" t="s">
        <v>1249</v>
      </c>
      <c r="J248" s="34">
        <v>99</v>
      </c>
      <c r="K248" s="36" t="s">
        <v>720</v>
      </c>
      <c r="L248" s="36" t="s">
        <v>700</v>
      </c>
      <c r="M248" s="37" t="s">
        <v>1421</v>
      </c>
      <c r="N248" s="37" t="s">
        <v>1840</v>
      </c>
      <c r="O248" s="38">
        <v>1</v>
      </c>
      <c r="P248" s="38"/>
      <c r="Q248" s="39"/>
      <c r="S248" s="1">
        <f t="shared" si="79"/>
        <v>0</v>
      </c>
      <c r="T248" s="1">
        <f t="shared" si="80"/>
        <v>0</v>
      </c>
      <c r="U248" s="1">
        <f t="shared" si="81"/>
        <v>0</v>
      </c>
      <c r="V248" s="1">
        <f t="shared" si="82"/>
        <v>0</v>
      </c>
      <c r="W248" s="1">
        <f t="shared" si="83"/>
        <v>0</v>
      </c>
      <c r="X248" s="1">
        <f t="shared" si="84"/>
        <v>0</v>
      </c>
      <c r="Y248" s="1">
        <f t="shared" si="85"/>
        <v>0</v>
      </c>
      <c r="Z248" s="1">
        <f t="shared" si="86"/>
        <v>0</v>
      </c>
      <c r="AA248" s="1">
        <f t="shared" si="87"/>
        <v>0</v>
      </c>
      <c r="AB248" s="1">
        <f t="shared" si="88"/>
        <v>0</v>
      </c>
      <c r="AD248" s="1">
        <f t="shared" si="89"/>
        <v>0</v>
      </c>
      <c r="AE248" s="1">
        <f t="shared" si="90"/>
        <v>1</v>
      </c>
      <c r="AF248" s="1">
        <f t="shared" si="75"/>
        <v>0</v>
      </c>
      <c r="AG248" s="1">
        <f t="shared" si="76"/>
        <v>1</v>
      </c>
      <c r="AH248" s="1">
        <f t="shared" si="77"/>
        <v>0</v>
      </c>
      <c r="AI248" s="1">
        <f t="shared" si="78"/>
        <v>1</v>
      </c>
    </row>
    <row r="249" spans="1:35" ht="14.25" customHeight="1" x14ac:dyDescent="0.3">
      <c r="A249" s="34">
        <v>0</v>
      </c>
      <c r="B249" s="34">
        <v>1</v>
      </c>
      <c r="C249" s="34">
        <v>7</v>
      </c>
      <c r="D249" s="39" t="s">
        <v>94</v>
      </c>
      <c r="E249" s="35" t="s">
        <v>29</v>
      </c>
      <c r="F249" s="39" t="s">
        <v>291</v>
      </c>
      <c r="G249" s="39" t="s">
        <v>192</v>
      </c>
      <c r="H249" s="39" t="s">
        <v>357</v>
      </c>
      <c r="I249" s="40" t="s">
        <v>445</v>
      </c>
      <c r="J249" s="34">
        <v>99</v>
      </c>
      <c r="K249" s="36" t="s">
        <v>720</v>
      </c>
      <c r="L249" s="36" t="s">
        <v>701</v>
      </c>
      <c r="M249" s="37" t="s">
        <v>1422</v>
      </c>
      <c r="N249" s="37" t="s">
        <v>1765</v>
      </c>
      <c r="O249" s="38">
        <v>1</v>
      </c>
      <c r="P249" s="38"/>
      <c r="Q249" s="39"/>
      <c r="S249" s="1">
        <f t="shared" si="79"/>
        <v>0</v>
      </c>
      <c r="T249" s="1">
        <f t="shared" si="80"/>
        <v>0</v>
      </c>
      <c r="U249" s="1">
        <f t="shared" si="81"/>
        <v>0</v>
      </c>
      <c r="V249" s="1">
        <f t="shared" si="82"/>
        <v>0</v>
      </c>
      <c r="W249" s="1">
        <f t="shared" si="83"/>
        <v>0</v>
      </c>
      <c r="X249" s="1">
        <f t="shared" si="84"/>
        <v>0</v>
      </c>
      <c r="Y249" s="1">
        <f t="shared" si="85"/>
        <v>0</v>
      </c>
      <c r="Z249" s="1">
        <f t="shared" si="86"/>
        <v>0</v>
      </c>
      <c r="AA249" s="1">
        <f t="shared" si="87"/>
        <v>0</v>
      </c>
      <c r="AB249" s="1">
        <f t="shared" si="88"/>
        <v>0</v>
      </c>
      <c r="AD249" s="1">
        <f t="shared" si="89"/>
        <v>0</v>
      </c>
      <c r="AE249" s="1">
        <f t="shared" si="90"/>
        <v>1</v>
      </c>
      <c r="AF249" s="1">
        <f t="shared" si="75"/>
        <v>0</v>
      </c>
      <c r="AG249" s="1">
        <f t="shared" si="76"/>
        <v>1</v>
      </c>
      <c r="AH249" s="1">
        <f t="shared" si="77"/>
        <v>0</v>
      </c>
      <c r="AI249" s="1">
        <f t="shared" si="78"/>
        <v>1</v>
      </c>
    </row>
    <row r="250" spans="1:35" ht="14.25" customHeight="1" x14ac:dyDescent="0.3">
      <c r="A250" s="47">
        <v>0</v>
      </c>
      <c r="B250" s="47">
        <v>1</v>
      </c>
      <c r="C250" s="47">
        <v>7</v>
      </c>
      <c r="D250" s="48" t="s">
        <v>877</v>
      </c>
      <c r="E250" s="48" t="s">
        <v>29</v>
      </c>
      <c r="F250" s="48" t="s">
        <v>878</v>
      </c>
      <c r="G250" s="48" t="s">
        <v>196</v>
      </c>
      <c r="H250" s="48" t="s">
        <v>357</v>
      </c>
      <c r="I250" s="47" t="s">
        <v>879</v>
      </c>
      <c r="J250" s="47">
        <v>9</v>
      </c>
      <c r="K250" s="49" t="s">
        <v>720</v>
      </c>
      <c r="L250" s="49" t="s">
        <v>703</v>
      </c>
      <c r="M250" s="50" t="s">
        <v>715</v>
      </c>
      <c r="N250" s="50" t="s">
        <v>1750</v>
      </c>
      <c r="O250" s="51"/>
      <c r="P250" s="51"/>
      <c r="Q250" s="48"/>
      <c r="S250" s="1">
        <f t="shared" si="79"/>
        <v>0</v>
      </c>
      <c r="T250" s="1">
        <f t="shared" si="80"/>
        <v>0</v>
      </c>
      <c r="U250" s="1">
        <f t="shared" si="81"/>
        <v>0</v>
      </c>
      <c r="V250" s="1">
        <f t="shared" si="82"/>
        <v>0</v>
      </c>
      <c r="W250" s="1">
        <f t="shared" si="83"/>
        <v>0</v>
      </c>
      <c r="X250" s="1">
        <f t="shared" si="84"/>
        <v>0</v>
      </c>
      <c r="Y250" s="1">
        <f t="shared" si="85"/>
        <v>0</v>
      </c>
      <c r="Z250" s="1">
        <f t="shared" si="86"/>
        <v>0</v>
      </c>
      <c r="AA250" s="1">
        <f t="shared" si="87"/>
        <v>1</v>
      </c>
      <c r="AB250" s="1">
        <f t="shared" si="88"/>
        <v>0</v>
      </c>
      <c r="AD250" s="1">
        <f t="shared" si="89"/>
        <v>0</v>
      </c>
      <c r="AE250" s="1">
        <f t="shared" si="90"/>
        <v>0</v>
      </c>
      <c r="AF250" s="1">
        <f t="shared" si="75"/>
        <v>0</v>
      </c>
      <c r="AG250" s="1">
        <f t="shared" si="76"/>
        <v>0</v>
      </c>
      <c r="AH250" s="1">
        <f t="shared" si="77"/>
        <v>0</v>
      </c>
      <c r="AI250" s="1">
        <f t="shared" si="78"/>
        <v>1</v>
      </c>
    </row>
    <row r="251" spans="1:35" ht="14.25" customHeight="1" x14ac:dyDescent="0.3">
      <c r="A251" s="47">
        <v>1</v>
      </c>
      <c r="B251" s="47">
        <v>1</v>
      </c>
      <c r="C251" s="47">
        <v>7</v>
      </c>
      <c r="D251" s="48" t="s">
        <v>877</v>
      </c>
      <c r="E251" s="48" t="s">
        <v>29</v>
      </c>
      <c r="F251" s="48" t="s">
        <v>1078</v>
      </c>
      <c r="G251" s="48" t="s">
        <v>324</v>
      </c>
      <c r="H251" s="48" t="s">
        <v>357</v>
      </c>
      <c r="I251" s="47" t="s">
        <v>1079</v>
      </c>
      <c r="J251" s="47">
        <v>99</v>
      </c>
      <c r="K251" s="49" t="s">
        <v>720</v>
      </c>
      <c r="L251" s="49" t="s">
        <v>703</v>
      </c>
      <c r="M251" s="50" t="s">
        <v>715</v>
      </c>
      <c r="N251" s="50" t="s">
        <v>1750</v>
      </c>
      <c r="O251" s="51"/>
      <c r="P251" s="51"/>
      <c r="Q251" s="48"/>
      <c r="S251" s="1">
        <f t="shared" si="79"/>
        <v>0</v>
      </c>
      <c r="T251" s="1">
        <f t="shared" si="80"/>
        <v>0</v>
      </c>
      <c r="U251" s="1">
        <f t="shared" si="81"/>
        <v>0</v>
      </c>
      <c r="V251" s="1">
        <f t="shared" si="82"/>
        <v>0</v>
      </c>
      <c r="W251" s="1">
        <f t="shared" si="83"/>
        <v>0</v>
      </c>
      <c r="X251" s="1">
        <f t="shared" si="84"/>
        <v>0</v>
      </c>
      <c r="Y251" s="1">
        <f t="shared" si="85"/>
        <v>0</v>
      </c>
      <c r="Z251" s="1">
        <f t="shared" si="86"/>
        <v>0</v>
      </c>
      <c r="AA251" s="1">
        <f t="shared" si="87"/>
        <v>0</v>
      </c>
      <c r="AB251" s="1">
        <f t="shared" si="88"/>
        <v>0</v>
      </c>
      <c r="AD251" s="1">
        <f t="shared" si="89"/>
        <v>0</v>
      </c>
      <c r="AE251" s="1">
        <f t="shared" si="90"/>
        <v>0</v>
      </c>
      <c r="AF251" s="1">
        <f t="shared" si="75"/>
        <v>0</v>
      </c>
      <c r="AG251" s="1">
        <f t="shared" si="76"/>
        <v>0</v>
      </c>
      <c r="AH251" s="1">
        <f t="shared" si="77"/>
        <v>0</v>
      </c>
      <c r="AI251" s="1">
        <f t="shared" si="78"/>
        <v>0</v>
      </c>
    </row>
    <row r="252" spans="1:35" ht="14.25" customHeight="1" x14ac:dyDescent="0.3">
      <c r="A252" s="47">
        <v>0</v>
      </c>
      <c r="B252" s="47">
        <v>1</v>
      </c>
      <c r="C252" s="47">
        <v>7</v>
      </c>
      <c r="D252" s="48" t="s">
        <v>97</v>
      </c>
      <c r="E252" s="48" t="s">
        <v>29</v>
      </c>
      <c r="F252" s="48" t="s">
        <v>295</v>
      </c>
      <c r="G252" s="48" t="s">
        <v>296</v>
      </c>
      <c r="H252" s="48" t="s">
        <v>357</v>
      </c>
      <c r="I252" s="47" t="s">
        <v>1127</v>
      </c>
      <c r="J252" s="47">
        <v>99</v>
      </c>
      <c r="K252" s="49" t="s">
        <v>720</v>
      </c>
      <c r="L252" s="49" t="s">
        <v>703</v>
      </c>
      <c r="M252" s="50" t="s">
        <v>715</v>
      </c>
      <c r="N252" s="50" t="s">
        <v>1754</v>
      </c>
      <c r="O252" s="51"/>
      <c r="P252" s="51"/>
      <c r="Q252" s="48"/>
      <c r="S252" s="1">
        <f t="shared" si="79"/>
        <v>0</v>
      </c>
      <c r="T252" s="1">
        <f t="shared" si="80"/>
        <v>0</v>
      </c>
      <c r="U252" s="1">
        <f t="shared" si="81"/>
        <v>0</v>
      </c>
      <c r="V252" s="1">
        <f t="shared" si="82"/>
        <v>0</v>
      </c>
      <c r="W252" s="1">
        <f t="shared" si="83"/>
        <v>0</v>
      </c>
      <c r="X252" s="1">
        <f t="shared" si="84"/>
        <v>0</v>
      </c>
      <c r="Y252" s="1">
        <f t="shared" si="85"/>
        <v>0</v>
      </c>
      <c r="Z252" s="1">
        <f t="shared" si="86"/>
        <v>0</v>
      </c>
      <c r="AA252" s="1">
        <f t="shared" si="87"/>
        <v>0</v>
      </c>
      <c r="AB252" s="1">
        <f t="shared" si="88"/>
        <v>0</v>
      </c>
      <c r="AD252" s="1">
        <f t="shared" si="89"/>
        <v>0</v>
      </c>
      <c r="AE252" s="1">
        <f t="shared" si="90"/>
        <v>0</v>
      </c>
      <c r="AF252" s="1">
        <f t="shared" si="75"/>
        <v>0</v>
      </c>
      <c r="AG252" s="1">
        <f t="shared" si="76"/>
        <v>0</v>
      </c>
      <c r="AH252" s="1">
        <f t="shared" si="77"/>
        <v>0</v>
      </c>
      <c r="AI252" s="1">
        <f t="shared" si="78"/>
        <v>1</v>
      </c>
    </row>
    <row r="253" spans="1:35" ht="14.25" customHeight="1" x14ac:dyDescent="0.3">
      <c r="A253" s="47">
        <v>0</v>
      </c>
      <c r="B253" s="47">
        <v>1</v>
      </c>
      <c r="C253" s="47">
        <v>7</v>
      </c>
      <c r="D253" s="48" t="s">
        <v>537</v>
      </c>
      <c r="E253" s="48" t="s">
        <v>29</v>
      </c>
      <c r="F253" s="48" t="s">
        <v>671</v>
      </c>
      <c r="G253" s="48" t="s">
        <v>39</v>
      </c>
      <c r="H253" s="48" t="s">
        <v>538</v>
      </c>
      <c r="I253" s="47" t="s">
        <v>1705</v>
      </c>
      <c r="J253" s="47">
        <v>14</v>
      </c>
      <c r="K253" s="49" t="s">
        <v>961</v>
      </c>
      <c r="L253" s="49">
        <v>40</v>
      </c>
      <c r="M253" s="50" t="s">
        <v>715</v>
      </c>
      <c r="N253" s="50" t="s">
        <v>1750</v>
      </c>
      <c r="O253" s="51"/>
      <c r="P253" s="51"/>
      <c r="Q253" s="48"/>
      <c r="S253" s="1">
        <f t="shared" si="79"/>
        <v>0</v>
      </c>
      <c r="T253" s="1">
        <f t="shared" si="80"/>
        <v>0</v>
      </c>
      <c r="U253" s="1">
        <f t="shared" si="81"/>
        <v>0</v>
      </c>
      <c r="V253" s="1">
        <f t="shared" si="82"/>
        <v>0</v>
      </c>
      <c r="W253" s="1">
        <f t="shared" si="83"/>
        <v>0</v>
      </c>
      <c r="X253" s="1">
        <f t="shared" si="84"/>
        <v>0</v>
      </c>
      <c r="Y253" s="1">
        <f t="shared" si="85"/>
        <v>0</v>
      </c>
      <c r="Z253" s="1">
        <f t="shared" si="86"/>
        <v>0</v>
      </c>
      <c r="AA253" s="1">
        <f t="shared" si="87"/>
        <v>0</v>
      </c>
      <c r="AB253" s="1">
        <f t="shared" si="88"/>
        <v>0</v>
      </c>
      <c r="AD253" s="1">
        <f t="shared" si="89"/>
        <v>0</v>
      </c>
      <c r="AE253" s="1">
        <f t="shared" si="90"/>
        <v>0</v>
      </c>
      <c r="AF253" s="1">
        <f t="shared" si="75"/>
        <v>0</v>
      </c>
      <c r="AG253" s="1">
        <f t="shared" si="76"/>
        <v>0</v>
      </c>
      <c r="AH253" s="1">
        <f t="shared" si="77"/>
        <v>0</v>
      </c>
      <c r="AI253" s="1">
        <f t="shared" si="78"/>
        <v>1</v>
      </c>
    </row>
    <row r="254" spans="1:35" ht="14.25" customHeight="1" x14ac:dyDescent="0.3">
      <c r="A254" s="34">
        <v>0</v>
      </c>
      <c r="B254" s="34">
        <v>1</v>
      </c>
      <c r="C254" s="34">
        <v>7</v>
      </c>
      <c r="D254" s="39" t="s">
        <v>1335</v>
      </c>
      <c r="E254" s="35" t="s">
        <v>29</v>
      </c>
      <c r="F254" s="39" t="s">
        <v>1359</v>
      </c>
      <c r="G254" s="39" t="s">
        <v>39</v>
      </c>
      <c r="H254" s="39" t="s">
        <v>357</v>
      </c>
      <c r="I254" s="40" t="s">
        <v>1162</v>
      </c>
      <c r="J254" s="34">
        <v>99</v>
      </c>
      <c r="K254" s="36" t="s">
        <v>720</v>
      </c>
      <c r="L254" s="36" t="s">
        <v>700</v>
      </c>
      <c r="M254" s="37" t="s">
        <v>1423</v>
      </c>
      <c r="N254" s="37" t="s">
        <v>1748</v>
      </c>
      <c r="O254" s="38">
        <v>1</v>
      </c>
      <c r="P254" s="38">
        <v>1</v>
      </c>
      <c r="Q254" s="39"/>
      <c r="S254" s="1">
        <f t="shared" si="79"/>
        <v>0</v>
      </c>
      <c r="T254" s="1">
        <f t="shared" si="80"/>
        <v>0</v>
      </c>
      <c r="U254" s="1">
        <f t="shared" si="81"/>
        <v>0</v>
      </c>
      <c r="V254" s="1">
        <f t="shared" si="82"/>
        <v>0</v>
      </c>
      <c r="W254" s="1">
        <f t="shared" si="83"/>
        <v>0</v>
      </c>
      <c r="X254" s="1">
        <f t="shared" si="84"/>
        <v>0</v>
      </c>
      <c r="Y254" s="1">
        <f t="shared" si="85"/>
        <v>0</v>
      </c>
      <c r="Z254" s="1">
        <f t="shared" si="86"/>
        <v>0</v>
      </c>
      <c r="AA254" s="1">
        <f t="shared" si="87"/>
        <v>0</v>
      </c>
      <c r="AB254" s="1">
        <f t="shared" si="88"/>
        <v>0</v>
      </c>
      <c r="AD254" s="1">
        <f t="shared" si="89"/>
        <v>1</v>
      </c>
      <c r="AE254" s="1">
        <f t="shared" si="90"/>
        <v>0</v>
      </c>
      <c r="AF254" s="1">
        <f t="shared" si="75"/>
        <v>1</v>
      </c>
      <c r="AG254" s="1">
        <f t="shared" si="76"/>
        <v>0</v>
      </c>
      <c r="AH254" s="1">
        <f t="shared" si="77"/>
        <v>1</v>
      </c>
      <c r="AI254" s="1">
        <f t="shared" si="78"/>
        <v>0</v>
      </c>
    </row>
    <row r="255" spans="1:35" ht="14.25" customHeight="1" x14ac:dyDescent="0.3">
      <c r="A255" s="47">
        <v>0</v>
      </c>
      <c r="B255" s="47">
        <v>1</v>
      </c>
      <c r="C255" s="47">
        <v>7</v>
      </c>
      <c r="D255" s="48" t="s">
        <v>98</v>
      </c>
      <c r="E255" s="48" t="s">
        <v>29</v>
      </c>
      <c r="F255" s="48" t="s">
        <v>298</v>
      </c>
      <c r="G255" s="48" t="s">
        <v>266</v>
      </c>
      <c r="H255" s="48" t="s">
        <v>357</v>
      </c>
      <c r="I255" s="47" t="s">
        <v>449</v>
      </c>
      <c r="J255" s="47">
        <v>1</v>
      </c>
      <c r="K255" s="49" t="s">
        <v>720</v>
      </c>
      <c r="L255" s="49" t="s">
        <v>701</v>
      </c>
      <c r="M255" s="50" t="s">
        <v>715</v>
      </c>
      <c r="N255" s="50" t="s">
        <v>1750</v>
      </c>
      <c r="O255" s="51"/>
      <c r="P255" s="51"/>
      <c r="Q255" s="48"/>
      <c r="S255" s="1">
        <f t="shared" si="79"/>
        <v>1</v>
      </c>
      <c r="T255" s="1">
        <f t="shared" si="80"/>
        <v>0</v>
      </c>
      <c r="U255" s="1">
        <f t="shared" si="81"/>
        <v>0</v>
      </c>
      <c r="V255" s="1">
        <f t="shared" si="82"/>
        <v>0</v>
      </c>
      <c r="W255" s="1">
        <f t="shared" si="83"/>
        <v>0</v>
      </c>
      <c r="X255" s="1">
        <f t="shared" si="84"/>
        <v>0</v>
      </c>
      <c r="Y255" s="1">
        <f t="shared" si="85"/>
        <v>0</v>
      </c>
      <c r="Z255" s="1">
        <f t="shared" si="86"/>
        <v>0</v>
      </c>
      <c r="AA255" s="1">
        <f t="shared" si="87"/>
        <v>0</v>
      </c>
      <c r="AB255" s="1">
        <f t="shared" si="88"/>
        <v>0</v>
      </c>
      <c r="AD255" s="1">
        <f t="shared" si="89"/>
        <v>0</v>
      </c>
      <c r="AE255" s="1">
        <f t="shared" si="90"/>
        <v>0</v>
      </c>
      <c r="AF255" s="1">
        <f t="shared" si="75"/>
        <v>0</v>
      </c>
      <c r="AG255" s="1">
        <f t="shared" si="76"/>
        <v>0</v>
      </c>
      <c r="AH255" s="1">
        <f t="shared" si="77"/>
        <v>0</v>
      </c>
      <c r="AI255" s="1">
        <f t="shared" si="78"/>
        <v>1</v>
      </c>
    </row>
    <row r="256" spans="1:35" ht="14.25" customHeight="1" x14ac:dyDescent="0.3">
      <c r="A256" s="15">
        <v>0</v>
      </c>
      <c r="B256" s="15">
        <v>1</v>
      </c>
      <c r="C256" s="15">
        <v>7</v>
      </c>
      <c r="D256" s="16" t="s">
        <v>762</v>
      </c>
      <c r="E256" s="16" t="s">
        <v>29</v>
      </c>
      <c r="F256" s="16" t="s">
        <v>763</v>
      </c>
      <c r="G256" s="16" t="s">
        <v>39</v>
      </c>
      <c r="H256" s="16" t="s">
        <v>764</v>
      </c>
      <c r="I256" s="15" t="s">
        <v>765</v>
      </c>
      <c r="J256" s="15">
        <v>18</v>
      </c>
      <c r="K256" s="10" t="s">
        <v>710</v>
      </c>
      <c r="L256" s="10" t="s">
        <v>704</v>
      </c>
      <c r="M256" s="19" t="s">
        <v>715</v>
      </c>
      <c r="N256" s="17"/>
      <c r="Q256" s="16"/>
      <c r="S256" s="1">
        <f t="shared" si="79"/>
        <v>0</v>
      </c>
      <c r="T256" s="1">
        <f t="shared" si="80"/>
        <v>0</v>
      </c>
      <c r="U256" s="1">
        <f t="shared" si="81"/>
        <v>0</v>
      </c>
      <c r="V256" s="1">
        <f t="shared" si="82"/>
        <v>0</v>
      </c>
      <c r="W256" s="1">
        <f t="shared" si="83"/>
        <v>0</v>
      </c>
      <c r="X256" s="1">
        <f t="shared" si="84"/>
        <v>0</v>
      </c>
      <c r="Y256" s="1">
        <f t="shared" si="85"/>
        <v>0</v>
      </c>
      <c r="Z256" s="1">
        <f t="shared" si="86"/>
        <v>0</v>
      </c>
      <c r="AA256" s="1">
        <f t="shared" si="87"/>
        <v>0</v>
      </c>
      <c r="AB256" s="1">
        <f t="shared" si="88"/>
        <v>0</v>
      </c>
      <c r="AD256" s="1">
        <f t="shared" si="89"/>
        <v>0</v>
      </c>
      <c r="AE256" s="1">
        <f t="shared" si="90"/>
        <v>0</v>
      </c>
      <c r="AF256" s="1">
        <f t="shared" si="75"/>
        <v>0</v>
      </c>
      <c r="AG256" s="1">
        <f t="shared" si="76"/>
        <v>0</v>
      </c>
      <c r="AH256" s="1">
        <f t="shared" si="77"/>
        <v>0</v>
      </c>
      <c r="AI256" s="1">
        <f t="shared" si="78"/>
        <v>1</v>
      </c>
    </row>
    <row r="257" spans="1:35" ht="14.25" customHeight="1" x14ac:dyDescent="0.3">
      <c r="A257" s="15">
        <v>1</v>
      </c>
      <c r="B257" s="15">
        <v>1</v>
      </c>
      <c r="C257" s="15">
        <v>7</v>
      </c>
      <c r="D257" s="16" t="s">
        <v>762</v>
      </c>
      <c r="E257" s="16" t="s">
        <v>29</v>
      </c>
      <c r="F257" s="16" t="s">
        <v>766</v>
      </c>
      <c r="G257" s="16" t="s">
        <v>39</v>
      </c>
      <c r="H257" s="16" t="s">
        <v>752</v>
      </c>
      <c r="I257" s="15" t="s">
        <v>767</v>
      </c>
      <c r="J257" s="15">
        <v>17</v>
      </c>
      <c r="K257" s="10" t="s">
        <v>710</v>
      </c>
      <c r="L257" s="10" t="s">
        <v>704</v>
      </c>
      <c r="M257" s="19" t="s">
        <v>715</v>
      </c>
      <c r="N257" s="17"/>
      <c r="Q257" s="16"/>
      <c r="S257" s="1">
        <f t="shared" si="79"/>
        <v>0</v>
      </c>
      <c r="T257" s="1">
        <f t="shared" si="80"/>
        <v>0</v>
      </c>
      <c r="U257" s="1">
        <f t="shared" si="81"/>
        <v>0</v>
      </c>
      <c r="V257" s="1">
        <f t="shared" si="82"/>
        <v>0</v>
      </c>
      <c r="W257" s="1">
        <f t="shared" si="83"/>
        <v>0</v>
      </c>
      <c r="X257" s="1">
        <f t="shared" si="84"/>
        <v>0</v>
      </c>
      <c r="Y257" s="1">
        <f t="shared" si="85"/>
        <v>0</v>
      </c>
      <c r="Z257" s="1">
        <f t="shared" si="86"/>
        <v>0</v>
      </c>
      <c r="AA257" s="1">
        <f t="shared" si="87"/>
        <v>0</v>
      </c>
      <c r="AB257" s="1">
        <f t="shared" si="88"/>
        <v>0</v>
      </c>
      <c r="AD257" s="1">
        <f t="shared" si="89"/>
        <v>0</v>
      </c>
      <c r="AE257" s="1">
        <f t="shared" si="90"/>
        <v>0</v>
      </c>
      <c r="AF257" s="1">
        <f t="shared" si="75"/>
        <v>0</v>
      </c>
      <c r="AG257" s="1">
        <f t="shared" si="76"/>
        <v>0</v>
      </c>
      <c r="AH257" s="1">
        <f t="shared" si="77"/>
        <v>0</v>
      </c>
      <c r="AI257" s="1">
        <f t="shared" si="78"/>
        <v>0</v>
      </c>
    </row>
    <row r="258" spans="1:35" ht="14.25" customHeight="1" x14ac:dyDescent="0.3">
      <c r="A258" s="34">
        <v>0</v>
      </c>
      <c r="B258" s="34">
        <v>1</v>
      </c>
      <c r="C258" s="34">
        <v>7</v>
      </c>
      <c r="D258" s="39" t="s">
        <v>1533</v>
      </c>
      <c r="E258" s="35" t="s">
        <v>29</v>
      </c>
      <c r="F258" s="39" t="s">
        <v>1686</v>
      </c>
      <c r="G258" s="39" t="s">
        <v>1687</v>
      </c>
      <c r="H258" s="39" t="s">
        <v>357</v>
      </c>
      <c r="I258" s="40" t="s">
        <v>1534</v>
      </c>
      <c r="J258" s="34">
        <v>99</v>
      </c>
      <c r="K258" s="36" t="s">
        <v>720</v>
      </c>
      <c r="L258" s="36" t="s">
        <v>39</v>
      </c>
      <c r="M258" s="37" t="s">
        <v>39</v>
      </c>
      <c r="N258" s="37" t="s">
        <v>1742</v>
      </c>
      <c r="O258" s="38">
        <v>1</v>
      </c>
      <c r="P258" s="38">
        <v>1</v>
      </c>
      <c r="Q258" s="39"/>
      <c r="S258" s="1">
        <f t="shared" si="79"/>
        <v>0</v>
      </c>
      <c r="T258" s="1">
        <f t="shared" si="80"/>
        <v>0</v>
      </c>
      <c r="U258" s="1">
        <f t="shared" si="81"/>
        <v>0</v>
      </c>
      <c r="V258" s="1">
        <f t="shared" si="82"/>
        <v>0</v>
      </c>
      <c r="W258" s="1">
        <f t="shared" si="83"/>
        <v>0</v>
      </c>
      <c r="X258" s="1">
        <f t="shared" si="84"/>
        <v>0</v>
      </c>
      <c r="Y258" s="1">
        <f t="shared" si="85"/>
        <v>0</v>
      </c>
      <c r="Z258" s="1">
        <f t="shared" si="86"/>
        <v>0</v>
      </c>
      <c r="AA258" s="1">
        <f t="shared" si="87"/>
        <v>0</v>
      </c>
      <c r="AB258" s="1">
        <f t="shared" si="88"/>
        <v>0</v>
      </c>
      <c r="AD258" s="1">
        <f t="shared" si="89"/>
        <v>1</v>
      </c>
      <c r="AE258" s="1">
        <f t="shared" si="90"/>
        <v>0</v>
      </c>
      <c r="AF258" s="1">
        <f t="shared" si="75"/>
        <v>1</v>
      </c>
      <c r="AG258" s="1">
        <f t="shared" si="76"/>
        <v>0</v>
      </c>
      <c r="AH258" s="1">
        <f t="shared" si="77"/>
        <v>1</v>
      </c>
      <c r="AI258" s="1">
        <f t="shared" si="78"/>
        <v>0</v>
      </c>
    </row>
    <row r="259" spans="1:35" ht="14.25" customHeight="1" x14ac:dyDescent="0.3">
      <c r="A259" s="15">
        <v>0</v>
      </c>
      <c r="B259" s="15">
        <v>1</v>
      </c>
      <c r="C259" s="15">
        <v>7</v>
      </c>
      <c r="D259" s="16" t="s">
        <v>1156</v>
      </c>
      <c r="E259" s="16" t="s">
        <v>29</v>
      </c>
      <c r="F259" s="16" t="s">
        <v>1157</v>
      </c>
      <c r="G259" s="16" t="s">
        <v>1159</v>
      </c>
      <c r="H259" s="16" t="s">
        <v>357</v>
      </c>
      <c r="I259" s="15" t="s">
        <v>1158</v>
      </c>
      <c r="J259" s="15">
        <v>99</v>
      </c>
      <c r="K259" s="10" t="s">
        <v>710</v>
      </c>
      <c r="L259" s="10">
        <v>30</v>
      </c>
      <c r="M259" s="19" t="s">
        <v>1424</v>
      </c>
      <c r="N259" s="19"/>
      <c r="Q259" s="16"/>
      <c r="S259" s="1">
        <f t="shared" si="79"/>
        <v>0</v>
      </c>
      <c r="T259" s="1">
        <f t="shared" si="80"/>
        <v>0</v>
      </c>
      <c r="U259" s="1">
        <f t="shared" si="81"/>
        <v>0</v>
      </c>
      <c r="V259" s="1">
        <f t="shared" si="82"/>
        <v>0</v>
      </c>
      <c r="W259" s="1">
        <f t="shared" si="83"/>
        <v>0</v>
      </c>
      <c r="X259" s="1">
        <f t="shared" si="84"/>
        <v>0</v>
      </c>
      <c r="Y259" s="1">
        <f t="shared" si="85"/>
        <v>0</v>
      </c>
      <c r="Z259" s="1">
        <f t="shared" si="86"/>
        <v>0</v>
      </c>
      <c r="AA259" s="1">
        <f t="shared" si="87"/>
        <v>0</v>
      </c>
      <c r="AB259" s="1">
        <f t="shared" si="88"/>
        <v>0</v>
      </c>
      <c r="AD259" s="1">
        <f t="shared" si="89"/>
        <v>0</v>
      </c>
      <c r="AE259" s="1">
        <f t="shared" si="90"/>
        <v>0</v>
      </c>
      <c r="AF259" s="1">
        <f t="shared" si="75"/>
        <v>0</v>
      </c>
      <c r="AG259" s="1">
        <f t="shared" si="76"/>
        <v>0</v>
      </c>
      <c r="AH259" s="1">
        <f t="shared" si="77"/>
        <v>0</v>
      </c>
      <c r="AI259" s="1">
        <f t="shared" si="78"/>
        <v>1</v>
      </c>
    </row>
    <row r="260" spans="1:35" ht="14.25" customHeight="1" x14ac:dyDescent="0.3">
      <c r="A260" s="47">
        <v>0</v>
      </c>
      <c r="B260" s="47">
        <v>1</v>
      </c>
      <c r="C260" s="47">
        <v>7</v>
      </c>
      <c r="D260" s="48" t="s">
        <v>100</v>
      </c>
      <c r="E260" s="48" t="s">
        <v>29</v>
      </c>
      <c r="F260" s="48" t="s">
        <v>300</v>
      </c>
      <c r="G260" s="48" t="s">
        <v>199</v>
      </c>
      <c r="H260" s="48" t="s">
        <v>357</v>
      </c>
      <c r="I260" s="47" t="s">
        <v>450</v>
      </c>
      <c r="J260" s="47">
        <v>9</v>
      </c>
      <c r="K260" s="49" t="s">
        <v>710</v>
      </c>
      <c r="L260" s="49">
        <v>30</v>
      </c>
      <c r="M260" s="50" t="s">
        <v>715</v>
      </c>
      <c r="N260" s="50" t="s">
        <v>1750</v>
      </c>
      <c r="O260" s="51"/>
      <c r="P260" s="51"/>
      <c r="Q260" s="48"/>
      <c r="S260" s="1">
        <f t="shared" si="79"/>
        <v>0</v>
      </c>
      <c r="T260" s="1">
        <f t="shared" si="80"/>
        <v>0</v>
      </c>
      <c r="U260" s="1">
        <f t="shared" si="81"/>
        <v>0</v>
      </c>
      <c r="V260" s="1">
        <f t="shared" si="82"/>
        <v>0</v>
      </c>
      <c r="W260" s="1">
        <f t="shared" si="83"/>
        <v>0</v>
      </c>
      <c r="X260" s="1">
        <f t="shared" si="84"/>
        <v>0</v>
      </c>
      <c r="Y260" s="1">
        <f t="shared" si="85"/>
        <v>0</v>
      </c>
      <c r="Z260" s="1">
        <f t="shared" si="86"/>
        <v>0</v>
      </c>
      <c r="AA260" s="1">
        <f t="shared" si="87"/>
        <v>1</v>
      </c>
      <c r="AB260" s="1">
        <f t="shared" si="88"/>
        <v>0</v>
      </c>
      <c r="AD260" s="1">
        <f t="shared" si="89"/>
        <v>0</v>
      </c>
      <c r="AE260" s="1">
        <f t="shared" si="90"/>
        <v>0</v>
      </c>
      <c r="AF260" s="1">
        <f t="shared" si="75"/>
        <v>0</v>
      </c>
      <c r="AG260" s="1">
        <f t="shared" si="76"/>
        <v>0</v>
      </c>
      <c r="AH260" s="1">
        <f t="shared" si="77"/>
        <v>0</v>
      </c>
      <c r="AI260" s="1">
        <f t="shared" si="78"/>
        <v>1</v>
      </c>
    </row>
    <row r="261" spans="1:35" ht="14.25" customHeight="1" x14ac:dyDescent="0.3">
      <c r="A261" s="47">
        <v>0</v>
      </c>
      <c r="B261" s="47">
        <v>1</v>
      </c>
      <c r="C261" s="47">
        <v>7</v>
      </c>
      <c r="D261" s="48" t="s">
        <v>810</v>
      </c>
      <c r="E261" s="48" t="s">
        <v>29</v>
      </c>
      <c r="F261" s="48" t="s">
        <v>789</v>
      </c>
      <c r="G261" s="48" t="s">
        <v>811</v>
      </c>
      <c r="H261" s="48" t="s">
        <v>357</v>
      </c>
      <c r="I261" s="47" t="s">
        <v>959</v>
      </c>
      <c r="J261" s="47">
        <v>99</v>
      </c>
      <c r="K261" s="49" t="s">
        <v>720</v>
      </c>
      <c r="L261" s="49" t="s">
        <v>701</v>
      </c>
      <c r="M261" s="50" t="s">
        <v>715</v>
      </c>
      <c r="N261" s="50" t="s">
        <v>1817</v>
      </c>
      <c r="O261" s="51"/>
      <c r="P261" s="51"/>
      <c r="Q261" s="48"/>
      <c r="S261" s="1">
        <f t="shared" si="79"/>
        <v>0</v>
      </c>
      <c r="T261" s="1">
        <f t="shared" si="80"/>
        <v>0</v>
      </c>
      <c r="U261" s="1">
        <f t="shared" si="81"/>
        <v>0</v>
      </c>
      <c r="V261" s="1">
        <f t="shared" si="82"/>
        <v>0</v>
      </c>
      <c r="W261" s="1">
        <f t="shared" si="83"/>
        <v>0</v>
      </c>
      <c r="X261" s="1">
        <f t="shared" si="84"/>
        <v>0</v>
      </c>
      <c r="Y261" s="1">
        <f t="shared" si="85"/>
        <v>0</v>
      </c>
      <c r="Z261" s="1">
        <f t="shared" si="86"/>
        <v>0</v>
      </c>
      <c r="AA261" s="1">
        <f t="shared" si="87"/>
        <v>0</v>
      </c>
      <c r="AB261" s="1">
        <f t="shared" si="88"/>
        <v>0</v>
      </c>
      <c r="AD261" s="1">
        <f t="shared" si="89"/>
        <v>0</v>
      </c>
      <c r="AE261" s="1">
        <f t="shared" si="90"/>
        <v>0</v>
      </c>
      <c r="AF261" s="1">
        <f t="shared" si="75"/>
        <v>0</v>
      </c>
      <c r="AG261" s="1">
        <f t="shared" si="76"/>
        <v>0</v>
      </c>
      <c r="AH261" s="1">
        <f t="shared" si="77"/>
        <v>0</v>
      </c>
      <c r="AI261" s="1">
        <f t="shared" si="78"/>
        <v>1</v>
      </c>
    </row>
    <row r="262" spans="1:35" ht="14.25" customHeight="1" x14ac:dyDescent="0.3">
      <c r="A262" s="47">
        <v>0</v>
      </c>
      <c r="B262" s="47">
        <v>1</v>
      </c>
      <c r="C262" s="47">
        <v>7</v>
      </c>
      <c r="D262" s="48" t="s">
        <v>1338</v>
      </c>
      <c r="E262" s="48" t="s">
        <v>29</v>
      </c>
      <c r="F262" s="48" t="s">
        <v>1361</v>
      </c>
      <c r="G262" s="48" t="s">
        <v>1195</v>
      </c>
      <c r="H262" s="48" t="s">
        <v>357</v>
      </c>
      <c r="I262" s="47" t="s">
        <v>1707</v>
      </c>
      <c r="J262" s="47">
        <v>99</v>
      </c>
      <c r="K262" s="49" t="s">
        <v>720</v>
      </c>
      <c r="L262" s="49" t="s">
        <v>701</v>
      </c>
      <c r="M262" s="50" t="s">
        <v>1425</v>
      </c>
      <c r="N262" s="50" t="s">
        <v>1753</v>
      </c>
      <c r="O262" s="51"/>
      <c r="P262" s="51"/>
      <c r="Q262" s="48"/>
      <c r="S262" s="1">
        <f t="shared" si="79"/>
        <v>0</v>
      </c>
      <c r="T262" s="1">
        <f t="shared" si="80"/>
        <v>0</v>
      </c>
      <c r="U262" s="1">
        <f t="shared" si="81"/>
        <v>0</v>
      </c>
      <c r="V262" s="1">
        <f t="shared" si="82"/>
        <v>0</v>
      </c>
      <c r="W262" s="1">
        <f t="shared" si="83"/>
        <v>0</v>
      </c>
      <c r="X262" s="1">
        <f t="shared" si="84"/>
        <v>0</v>
      </c>
      <c r="Y262" s="1">
        <f t="shared" si="85"/>
        <v>0</v>
      </c>
      <c r="Z262" s="1">
        <f t="shared" si="86"/>
        <v>0</v>
      </c>
      <c r="AA262" s="1">
        <f t="shared" si="87"/>
        <v>0</v>
      </c>
      <c r="AB262" s="1">
        <f t="shared" si="88"/>
        <v>0</v>
      </c>
      <c r="AD262" s="1">
        <f t="shared" si="89"/>
        <v>0</v>
      </c>
      <c r="AE262" s="1">
        <f t="shared" si="90"/>
        <v>0</v>
      </c>
      <c r="AF262" s="1">
        <f t="shared" si="75"/>
        <v>0</v>
      </c>
      <c r="AG262" s="1">
        <f t="shared" si="76"/>
        <v>0</v>
      </c>
      <c r="AH262" s="1">
        <f t="shared" si="77"/>
        <v>0</v>
      </c>
      <c r="AI262" s="1">
        <f t="shared" si="78"/>
        <v>1</v>
      </c>
    </row>
    <row r="263" spans="1:35" ht="14.25" customHeight="1" x14ac:dyDescent="0.3">
      <c r="A263" s="15">
        <v>0</v>
      </c>
      <c r="B263" s="15">
        <v>1</v>
      </c>
      <c r="C263" s="15">
        <v>7</v>
      </c>
      <c r="D263" s="16" t="s">
        <v>1293</v>
      </c>
      <c r="E263" s="16" t="s">
        <v>29</v>
      </c>
      <c r="F263" s="16" t="s">
        <v>1294</v>
      </c>
      <c r="G263" s="16" t="s">
        <v>1295</v>
      </c>
      <c r="H263" s="16" t="s">
        <v>357</v>
      </c>
      <c r="I263" s="15" t="s">
        <v>1296</v>
      </c>
      <c r="J263" s="15">
        <v>99</v>
      </c>
      <c r="K263" s="10" t="s">
        <v>720</v>
      </c>
      <c r="L263" s="10" t="s">
        <v>701</v>
      </c>
      <c r="M263" s="19" t="s">
        <v>715</v>
      </c>
      <c r="N263" s="17"/>
      <c r="Q263" s="16"/>
      <c r="S263" s="1">
        <f t="shared" si="79"/>
        <v>0</v>
      </c>
      <c r="T263" s="1">
        <f t="shared" si="80"/>
        <v>0</v>
      </c>
      <c r="U263" s="1">
        <f t="shared" si="81"/>
        <v>0</v>
      </c>
      <c r="V263" s="1">
        <f t="shared" si="82"/>
        <v>0</v>
      </c>
      <c r="W263" s="1">
        <f t="shared" si="83"/>
        <v>0</v>
      </c>
      <c r="X263" s="1">
        <f t="shared" si="84"/>
        <v>0</v>
      </c>
      <c r="Y263" s="1">
        <f t="shared" si="85"/>
        <v>0</v>
      </c>
      <c r="Z263" s="1">
        <f t="shared" si="86"/>
        <v>0</v>
      </c>
      <c r="AA263" s="1">
        <f t="shared" si="87"/>
        <v>0</v>
      </c>
      <c r="AB263" s="1">
        <f t="shared" si="88"/>
        <v>0</v>
      </c>
      <c r="AD263" s="1">
        <f t="shared" si="89"/>
        <v>0</v>
      </c>
      <c r="AE263" s="1">
        <f t="shared" si="90"/>
        <v>0</v>
      </c>
      <c r="AF263" s="1">
        <f t="shared" si="75"/>
        <v>0</v>
      </c>
      <c r="AG263" s="1">
        <f t="shared" si="76"/>
        <v>0</v>
      </c>
      <c r="AH263" s="1">
        <f t="shared" si="77"/>
        <v>0</v>
      </c>
      <c r="AI263" s="1">
        <f t="shared" si="78"/>
        <v>1</v>
      </c>
    </row>
    <row r="264" spans="1:35" ht="14.25" customHeight="1" x14ac:dyDescent="0.3">
      <c r="A264" s="34">
        <v>0</v>
      </c>
      <c r="B264" s="34">
        <v>1</v>
      </c>
      <c r="C264" s="34">
        <v>7</v>
      </c>
      <c r="D264" s="35" t="s">
        <v>716</v>
      </c>
      <c r="E264" s="35" t="s">
        <v>29</v>
      </c>
      <c r="F264" s="35" t="s">
        <v>717</v>
      </c>
      <c r="G264" s="35" t="s">
        <v>186</v>
      </c>
      <c r="H264" s="35" t="s">
        <v>357</v>
      </c>
      <c r="I264" s="34" t="s">
        <v>718</v>
      </c>
      <c r="J264" s="34">
        <v>99</v>
      </c>
      <c r="K264" s="36" t="s">
        <v>962</v>
      </c>
      <c r="L264" s="36" t="s">
        <v>39</v>
      </c>
      <c r="M264" s="37" t="s">
        <v>39</v>
      </c>
      <c r="N264" s="37" t="s">
        <v>1748</v>
      </c>
      <c r="O264" s="38">
        <v>1</v>
      </c>
      <c r="P264" s="38">
        <v>1</v>
      </c>
      <c r="Q264" s="35"/>
      <c r="S264" s="1">
        <f t="shared" si="79"/>
        <v>0</v>
      </c>
      <c r="T264" s="1">
        <f t="shared" si="80"/>
        <v>0</v>
      </c>
      <c r="U264" s="1">
        <f t="shared" si="81"/>
        <v>0</v>
      </c>
      <c r="V264" s="1">
        <f t="shared" si="82"/>
        <v>0</v>
      </c>
      <c r="W264" s="1">
        <f t="shared" si="83"/>
        <v>0</v>
      </c>
      <c r="X264" s="1">
        <f t="shared" si="84"/>
        <v>0</v>
      </c>
      <c r="Y264" s="1">
        <f t="shared" si="85"/>
        <v>0</v>
      </c>
      <c r="Z264" s="1">
        <f t="shared" si="86"/>
        <v>0</v>
      </c>
      <c r="AA264" s="1">
        <f t="shared" si="87"/>
        <v>0</v>
      </c>
      <c r="AB264" s="1">
        <f t="shared" si="88"/>
        <v>0</v>
      </c>
      <c r="AD264" s="1">
        <f t="shared" si="89"/>
        <v>1</v>
      </c>
      <c r="AE264" s="1">
        <f t="shared" si="90"/>
        <v>0</v>
      </c>
      <c r="AF264" s="1">
        <f t="shared" ref="AF264:AF327" si="91">+O264*P264*(1-A264)</f>
        <v>1</v>
      </c>
      <c r="AG264" s="1">
        <f t="shared" ref="AG264:AG327" si="92">O264*(1-P264)*(1-A264)</f>
        <v>0</v>
      </c>
      <c r="AH264" s="1">
        <f t="shared" ref="AH264:AH327" si="93">+P264*(1-A264)</f>
        <v>1</v>
      </c>
      <c r="AI264" s="1">
        <f t="shared" ref="AI264:AI327" si="94">+(1-A264)*(1-P264)</f>
        <v>0</v>
      </c>
    </row>
    <row r="265" spans="1:35" ht="14.25" customHeight="1" x14ac:dyDescent="0.3">
      <c r="A265" s="34">
        <v>0</v>
      </c>
      <c r="B265" s="34">
        <v>2</v>
      </c>
      <c r="C265" s="34">
        <v>1</v>
      </c>
      <c r="D265" s="35" t="s">
        <v>541</v>
      </c>
      <c r="E265" s="35" t="s">
        <v>34</v>
      </c>
      <c r="F265" s="35" t="s">
        <v>542</v>
      </c>
      <c r="G265" s="35" t="s">
        <v>222</v>
      </c>
      <c r="H265" s="35" t="s">
        <v>357</v>
      </c>
      <c r="I265" s="34" t="s">
        <v>543</v>
      </c>
      <c r="J265" s="34">
        <v>8</v>
      </c>
      <c r="K265" s="36" t="s">
        <v>720</v>
      </c>
      <c r="L265" s="36" t="s">
        <v>720</v>
      </c>
      <c r="M265" s="37" t="s">
        <v>721</v>
      </c>
      <c r="N265" s="37" t="s">
        <v>1763</v>
      </c>
      <c r="O265" s="38">
        <v>1</v>
      </c>
      <c r="P265" s="38"/>
      <c r="Q265" s="35"/>
      <c r="S265" s="1">
        <f t="shared" si="79"/>
        <v>0</v>
      </c>
      <c r="T265" s="1">
        <f t="shared" si="80"/>
        <v>0</v>
      </c>
      <c r="U265" s="1">
        <f t="shared" si="81"/>
        <v>0</v>
      </c>
      <c r="V265" s="1">
        <f t="shared" si="82"/>
        <v>0</v>
      </c>
      <c r="W265" s="1">
        <f t="shared" si="83"/>
        <v>0</v>
      </c>
      <c r="X265" s="1">
        <f t="shared" si="84"/>
        <v>0</v>
      </c>
      <c r="Y265" s="1">
        <f t="shared" si="85"/>
        <v>0</v>
      </c>
      <c r="Z265" s="1">
        <f t="shared" si="86"/>
        <v>1</v>
      </c>
      <c r="AA265" s="1">
        <f t="shared" si="87"/>
        <v>0</v>
      </c>
      <c r="AB265" s="1">
        <f t="shared" si="88"/>
        <v>0</v>
      </c>
      <c r="AD265" s="1">
        <f t="shared" si="89"/>
        <v>0</v>
      </c>
      <c r="AE265" s="1">
        <f t="shared" si="90"/>
        <v>1</v>
      </c>
      <c r="AF265" s="1">
        <f t="shared" si="91"/>
        <v>0</v>
      </c>
      <c r="AG265" s="1">
        <f t="shared" si="92"/>
        <v>1</v>
      </c>
      <c r="AH265" s="1">
        <f t="shared" si="93"/>
        <v>0</v>
      </c>
      <c r="AI265" s="1">
        <f t="shared" si="94"/>
        <v>1</v>
      </c>
    </row>
    <row r="266" spans="1:35" ht="14.25" customHeight="1" x14ac:dyDescent="0.3">
      <c r="A266" s="34">
        <v>0</v>
      </c>
      <c r="B266" s="34">
        <v>2</v>
      </c>
      <c r="C266" s="34">
        <v>1</v>
      </c>
      <c r="D266" s="35" t="s">
        <v>1304</v>
      </c>
      <c r="E266" s="35" t="s">
        <v>566</v>
      </c>
      <c r="F266" s="35" t="s">
        <v>1305</v>
      </c>
      <c r="G266" s="35" t="s">
        <v>232</v>
      </c>
      <c r="H266" s="35" t="s">
        <v>357</v>
      </c>
      <c r="I266" s="34" t="s">
        <v>1306</v>
      </c>
      <c r="J266" s="34">
        <v>7</v>
      </c>
      <c r="K266" s="36" t="s">
        <v>720</v>
      </c>
      <c r="L266" s="36" t="s">
        <v>720</v>
      </c>
      <c r="M266" s="37" t="s">
        <v>721</v>
      </c>
      <c r="N266" s="37" t="s">
        <v>1771</v>
      </c>
      <c r="O266" s="38">
        <v>1</v>
      </c>
      <c r="P266" s="38"/>
      <c r="Q266" s="35"/>
      <c r="S266" s="1">
        <f t="shared" si="79"/>
        <v>0</v>
      </c>
      <c r="T266" s="1">
        <f t="shared" si="80"/>
        <v>0</v>
      </c>
      <c r="U266" s="1">
        <f t="shared" si="81"/>
        <v>0</v>
      </c>
      <c r="V266" s="1">
        <f t="shared" si="82"/>
        <v>0</v>
      </c>
      <c r="W266" s="1">
        <f t="shared" si="83"/>
        <v>0</v>
      </c>
      <c r="X266" s="1">
        <f t="shared" si="84"/>
        <v>0</v>
      </c>
      <c r="Y266" s="1">
        <f t="shared" si="85"/>
        <v>1</v>
      </c>
      <c r="Z266" s="1">
        <f t="shared" si="86"/>
        <v>0</v>
      </c>
      <c r="AA266" s="1">
        <f t="shared" si="87"/>
        <v>0</v>
      </c>
      <c r="AB266" s="1">
        <f t="shared" si="88"/>
        <v>0</v>
      </c>
      <c r="AD266" s="1">
        <f t="shared" si="89"/>
        <v>0</v>
      </c>
      <c r="AE266" s="1">
        <f t="shared" si="90"/>
        <v>1</v>
      </c>
      <c r="AF266" s="1">
        <f t="shared" si="91"/>
        <v>0</v>
      </c>
      <c r="AG266" s="1">
        <f t="shared" si="92"/>
        <v>1</v>
      </c>
      <c r="AH266" s="1">
        <f t="shared" si="93"/>
        <v>0</v>
      </c>
      <c r="AI266" s="1">
        <f t="shared" si="94"/>
        <v>1</v>
      </c>
    </row>
    <row r="267" spans="1:35" ht="14.25" customHeight="1" x14ac:dyDescent="0.3">
      <c r="A267" s="47">
        <v>0</v>
      </c>
      <c r="B267" s="47">
        <v>2</v>
      </c>
      <c r="C267" s="47">
        <v>1</v>
      </c>
      <c r="D267" s="48" t="s">
        <v>1340</v>
      </c>
      <c r="E267" s="48" t="s">
        <v>566</v>
      </c>
      <c r="F267" s="48" t="s">
        <v>1169</v>
      </c>
      <c r="G267" s="48" t="s">
        <v>215</v>
      </c>
      <c r="H267" s="48" t="s">
        <v>357</v>
      </c>
      <c r="I267" s="47" t="s">
        <v>1168</v>
      </c>
      <c r="J267" s="47">
        <v>1</v>
      </c>
      <c r="K267" s="49" t="s">
        <v>961</v>
      </c>
      <c r="L267" s="49" t="s">
        <v>720</v>
      </c>
      <c r="M267" s="50" t="s">
        <v>721</v>
      </c>
      <c r="N267" s="50" t="s">
        <v>1753</v>
      </c>
      <c r="O267" s="51"/>
      <c r="P267" s="51"/>
      <c r="Q267" s="48"/>
      <c r="S267" s="1">
        <f t="shared" si="79"/>
        <v>1</v>
      </c>
      <c r="T267" s="1">
        <f t="shared" si="80"/>
        <v>0</v>
      </c>
      <c r="U267" s="1">
        <f t="shared" si="81"/>
        <v>0</v>
      </c>
      <c r="V267" s="1">
        <f t="shared" si="82"/>
        <v>0</v>
      </c>
      <c r="W267" s="1">
        <f t="shared" si="83"/>
        <v>0</v>
      </c>
      <c r="X267" s="1">
        <f t="shared" si="84"/>
        <v>0</v>
      </c>
      <c r="Y267" s="1">
        <f t="shared" si="85"/>
        <v>0</v>
      </c>
      <c r="Z267" s="1">
        <f t="shared" si="86"/>
        <v>0</v>
      </c>
      <c r="AA267" s="1">
        <f t="shared" si="87"/>
        <v>0</v>
      </c>
      <c r="AB267" s="1">
        <f t="shared" si="88"/>
        <v>0</v>
      </c>
      <c r="AD267" s="1">
        <f t="shared" si="89"/>
        <v>0</v>
      </c>
      <c r="AE267" s="1">
        <f t="shared" si="90"/>
        <v>0</v>
      </c>
      <c r="AF267" s="1">
        <f t="shared" si="91"/>
        <v>0</v>
      </c>
      <c r="AG267" s="1">
        <f t="shared" si="92"/>
        <v>0</v>
      </c>
      <c r="AH267" s="1">
        <f t="shared" si="93"/>
        <v>0</v>
      </c>
      <c r="AI267" s="1">
        <f t="shared" si="94"/>
        <v>1</v>
      </c>
    </row>
    <row r="268" spans="1:35" ht="14.25" customHeight="1" x14ac:dyDescent="0.3">
      <c r="A268" s="34">
        <v>0</v>
      </c>
      <c r="B268" s="34">
        <v>2</v>
      </c>
      <c r="C268" s="34">
        <v>1</v>
      </c>
      <c r="D268" s="35" t="s">
        <v>1341</v>
      </c>
      <c r="E268" s="35" t="s">
        <v>566</v>
      </c>
      <c r="F268" s="35" t="s">
        <v>1163</v>
      </c>
      <c r="G268" s="35" t="s">
        <v>288</v>
      </c>
      <c r="H268" s="35" t="s">
        <v>357</v>
      </c>
      <c r="I268" s="34" t="s">
        <v>1164</v>
      </c>
      <c r="J268" s="34">
        <v>10</v>
      </c>
      <c r="K268" s="36" t="s">
        <v>961</v>
      </c>
      <c r="L268" s="36" t="s">
        <v>720</v>
      </c>
      <c r="M268" s="37" t="s">
        <v>721</v>
      </c>
      <c r="N268" s="37" t="s">
        <v>1776</v>
      </c>
      <c r="O268" s="38">
        <v>1</v>
      </c>
      <c r="P268" s="38"/>
      <c r="Q268" s="35"/>
      <c r="S268" s="1">
        <f t="shared" ref="S268:S331" si="95">IF(J268=$S$7,1,0)</f>
        <v>0</v>
      </c>
      <c r="T268" s="1">
        <f t="shared" ref="T268:T331" si="96">IF(J268=$T$7,1,0)</f>
        <v>0</v>
      </c>
      <c r="U268" s="1">
        <f t="shared" ref="U268:U331" si="97">IF(J268=$U$7,1,0)</f>
        <v>0</v>
      </c>
      <c r="V268" s="1">
        <f t="shared" ref="V268:V331" si="98">IF(J268=$V$7,1,0)</f>
        <v>0</v>
      </c>
      <c r="W268" s="1">
        <f t="shared" ref="W268:W331" si="99">IF(J268=$W$7,1,0)</f>
        <v>0</v>
      </c>
      <c r="X268" s="1">
        <f t="shared" ref="X268:X331" si="100">IF(J268=$X$7,1,0)</f>
        <v>0</v>
      </c>
      <c r="Y268" s="1">
        <f t="shared" ref="Y268:Y331" si="101">IF(J268=$Y$7,1,0)</f>
        <v>0</v>
      </c>
      <c r="Z268" s="1">
        <f t="shared" ref="Z268:Z331" si="102">IF(J268=$Z$7,1,0)</f>
        <v>0</v>
      </c>
      <c r="AA268" s="1">
        <f t="shared" ref="AA268:AA331" si="103">IF(J268=$AA$7,1,0)</f>
        <v>0</v>
      </c>
      <c r="AB268" s="1">
        <f t="shared" ref="AB268:AB331" si="104">IF(J268=$AB$7,1,0)</f>
        <v>1</v>
      </c>
      <c r="AD268" s="1">
        <f t="shared" ref="AD268:AD331" si="105">+O268*P268</f>
        <v>0</v>
      </c>
      <c r="AE268" s="1">
        <f t="shared" ref="AE268:AE331" si="106">O268*(1-P268)</f>
        <v>1</v>
      </c>
      <c r="AF268" s="1">
        <f t="shared" si="91"/>
        <v>0</v>
      </c>
      <c r="AG268" s="1">
        <f t="shared" si="92"/>
        <v>1</v>
      </c>
      <c r="AH268" s="1">
        <f t="shared" si="93"/>
        <v>0</v>
      </c>
      <c r="AI268" s="1">
        <f t="shared" si="94"/>
        <v>1</v>
      </c>
    </row>
    <row r="269" spans="1:35" ht="14.25" customHeight="1" x14ac:dyDescent="0.3">
      <c r="A269" s="15">
        <v>0</v>
      </c>
      <c r="B269" s="15">
        <v>2</v>
      </c>
      <c r="C269" s="15">
        <v>1</v>
      </c>
      <c r="D269" s="16" t="s">
        <v>517</v>
      </c>
      <c r="E269" s="16" t="s">
        <v>34</v>
      </c>
      <c r="F269" s="16" t="s">
        <v>516</v>
      </c>
      <c r="G269" s="16" t="s">
        <v>551</v>
      </c>
      <c r="H269" s="16" t="s">
        <v>357</v>
      </c>
      <c r="I269" s="15" t="s">
        <v>1378</v>
      </c>
      <c r="J269" s="15">
        <v>99</v>
      </c>
      <c r="K269" s="10" t="s">
        <v>962</v>
      </c>
      <c r="L269" s="10" t="s">
        <v>720</v>
      </c>
      <c r="M269" s="19" t="s">
        <v>721</v>
      </c>
      <c r="N269" s="19"/>
      <c r="Q269" s="16"/>
      <c r="S269" s="1">
        <f t="shared" si="95"/>
        <v>0</v>
      </c>
      <c r="T269" s="1">
        <f t="shared" si="96"/>
        <v>0</v>
      </c>
      <c r="U269" s="1">
        <f t="shared" si="97"/>
        <v>0</v>
      </c>
      <c r="V269" s="1">
        <f t="shared" si="98"/>
        <v>0</v>
      </c>
      <c r="W269" s="1">
        <f t="shared" si="99"/>
        <v>0</v>
      </c>
      <c r="X269" s="1">
        <f t="shared" si="100"/>
        <v>0</v>
      </c>
      <c r="Y269" s="1">
        <f t="shared" si="101"/>
        <v>0</v>
      </c>
      <c r="Z269" s="1">
        <f t="shared" si="102"/>
        <v>0</v>
      </c>
      <c r="AA269" s="1">
        <f t="shared" si="103"/>
        <v>0</v>
      </c>
      <c r="AB269" s="1">
        <f t="shared" si="104"/>
        <v>0</v>
      </c>
      <c r="AD269" s="1">
        <f t="shared" si="105"/>
        <v>0</v>
      </c>
      <c r="AE269" s="1">
        <f t="shared" si="106"/>
        <v>0</v>
      </c>
      <c r="AF269" s="1">
        <f t="shared" si="91"/>
        <v>0</v>
      </c>
      <c r="AG269" s="1">
        <f t="shared" si="92"/>
        <v>0</v>
      </c>
      <c r="AH269" s="1">
        <f t="shared" si="93"/>
        <v>0</v>
      </c>
      <c r="AI269" s="1">
        <f t="shared" si="94"/>
        <v>1</v>
      </c>
    </row>
    <row r="270" spans="1:35" ht="14.25" customHeight="1" x14ac:dyDescent="0.3">
      <c r="A270" s="41">
        <v>0</v>
      </c>
      <c r="B270" s="41">
        <v>2</v>
      </c>
      <c r="C270" s="41">
        <v>1</v>
      </c>
      <c r="D270" s="42" t="s">
        <v>1052</v>
      </c>
      <c r="E270" s="42" t="s">
        <v>36</v>
      </c>
      <c r="F270" s="42" t="s">
        <v>1674</v>
      </c>
      <c r="G270" s="42" t="s">
        <v>633</v>
      </c>
      <c r="H270" s="42" t="s">
        <v>357</v>
      </c>
      <c r="I270" s="41" t="s">
        <v>1053</v>
      </c>
      <c r="J270" s="41">
        <v>99</v>
      </c>
      <c r="K270" s="43" t="s">
        <v>966</v>
      </c>
      <c r="L270" s="43" t="s">
        <v>720</v>
      </c>
      <c r="M270" s="44" t="s">
        <v>721</v>
      </c>
      <c r="N270" s="45"/>
      <c r="O270" s="46"/>
      <c r="P270" s="46">
        <v>1</v>
      </c>
      <c r="Q270" s="57" t="s">
        <v>1914</v>
      </c>
      <c r="S270" s="1">
        <f t="shared" si="95"/>
        <v>0</v>
      </c>
      <c r="T270" s="1">
        <f t="shared" si="96"/>
        <v>0</v>
      </c>
      <c r="U270" s="1">
        <f t="shared" si="97"/>
        <v>0</v>
      </c>
      <c r="V270" s="1">
        <f t="shared" si="98"/>
        <v>0</v>
      </c>
      <c r="W270" s="1">
        <f t="shared" si="99"/>
        <v>0</v>
      </c>
      <c r="X270" s="1">
        <f t="shared" si="100"/>
        <v>0</v>
      </c>
      <c r="Y270" s="1">
        <f t="shared" si="101"/>
        <v>0</v>
      </c>
      <c r="Z270" s="1">
        <f t="shared" si="102"/>
        <v>0</v>
      </c>
      <c r="AA270" s="1">
        <f t="shared" si="103"/>
        <v>0</v>
      </c>
      <c r="AB270" s="1">
        <f t="shared" si="104"/>
        <v>0</v>
      </c>
      <c r="AD270" s="1">
        <f t="shared" si="105"/>
        <v>0</v>
      </c>
      <c r="AE270" s="1">
        <f t="shared" si="106"/>
        <v>0</v>
      </c>
      <c r="AF270" s="1">
        <f t="shared" si="91"/>
        <v>0</v>
      </c>
      <c r="AG270" s="1">
        <f t="shared" si="92"/>
        <v>0</v>
      </c>
      <c r="AH270" s="1">
        <f t="shared" si="93"/>
        <v>1</v>
      </c>
      <c r="AI270" s="1">
        <f t="shared" si="94"/>
        <v>0</v>
      </c>
    </row>
    <row r="271" spans="1:35" ht="14.25" customHeight="1" x14ac:dyDescent="0.3">
      <c r="A271" s="34">
        <v>1</v>
      </c>
      <c r="B271" s="34">
        <v>2</v>
      </c>
      <c r="C271" s="34">
        <v>1</v>
      </c>
      <c r="D271" s="35" t="s">
        <v>49</v>
      </c>
      <c r="E271" s="35" t="s">
        <v>1328</v>
      </c>
      <c r="F271" s="35" t="s">
        <v>193</v>
      </c>
      <c r="G271" s="35" t="s">
        <v>194</v>
      </c>
      <c r="H271" s="35" t="s">
        <v>357</v>
      </c>
      <c r="I271" s="34" t="s">
        <v>389</v>
      </c>
      <c r="J271" s="34">
        <v>99</v>
      </c>
      <c r="K271" s="36" t="s">
        <v>719</v>
      </c>
      <c r="L271" s="36" t="s">
        <v>720</v>
      </c>
      <c r="M271" s="37" t="s">
        <v>721</v>
      </c>
      <c r="N271" s="37" t="s">
        <v>1771</v>
      </c>
      <c r="O271" s="38">
        <v>1</v>
      </c>
      <c r="P271" s="38"/>
      <c r="Q271" s="35"/>
      <c r="S271" s="1">
        <f t="shared" si="95"/>
        <v>0</v>
      </c>
      <c r="T271" s="1">
        <f t="shared" si="96"/>
        <v>0</v>
      </c>
      <c r="U271" s="1">
        <f t="shared" si="97"/>
        <v>0</v>
      </c>
      <c r="V271" s="1">
        <f t="shared" si="98"/>
        <v>0</v>
      </c>
      <c r="W271" s="1">
        <f t="shared" si="99"/>
        <v>0</v>
      </c>
      <c r="X271" s="1">
        <f t="shared" si="100"/>
        <v>0</v>
      </c>
      <c r="Y271" s="1">
        <f t="shared" si="101"/>
        <v>0</v>
      </c>
      <c r="Z271" s="1">
        <f t="shared" si="102"/>
        <v>0</v>
      </c>
      <c r="AA271" s="1">
        <f t="shared" si="103"/>
        <v>0</v>
      </c>
      <c r="AB271" s="1">
        <f t="shared" si="104"/>
        <v>0</v>
      </c>
      <c r="AD271" s="1">
        <f t="shared" si="105"/>
        <v>0</v>
      </c>
      <c r="AE271" s="1">
        <f t="shared" si="106"/>
        <v>1</v>
      </c>
      <c r="AF271" s="1">
        <f t="shared" si="91"/>
        <v>0</v>
      </c>
      <c r="AG271" s="1">
        <f t="shared" si="92"/>
        <v>0</v>
      </c>
      <c r="AH271" s="1">
        <f t="shared" si="93"/>
        <v>0</v>
      </c>
      <c r="AI271" s="1">
        <f t="shared" si="94"/>
        <v>0</v>
      </c>
    </row>
    <row r="272" spans="1:35" ht="14.25" customHeight="1" x14ac:dyDescent="0.3">
      <c r="A272" s="34">
        <v>0</v>
      </c>
      <c r="B272" s="34">
        <v>2</v>
      </c>
      <c r="C272" s="34">
        <v>1</v>
      </c>
      <c r="D272" s="35" t="s">
        <v>1084</v>
      </c>
      <c r="E272" s="35" t="s">
        <v>1328</v>
      </c>
      <c r="F272" s="35" t="s">
        <v>1099</v>
      </c>
      <c r="G272" s="35" t="s">
        <v>204</v>
      </c>
      <c r="H272" s="35" t="s">
        <v>357</v>
      </c>
      <c r="I272" s="34" t="s">
        <v>389</v>
      </c>
      <c r="J272" s="34">
        <v>10</v>
      </c>
      <c r="K272" s="36" t="s">
        <v>719</v>
      </c>
      <c r="L272" s="36" t="s">
        <v>720</v>
      </c>
      <c r="M272" s="37" t="s">
        <v>721</v>
      </c>
      <c r="N272" s="37" t="s">
        <v>1771</v>
      </c>
      <c r="O272" s="38">
        <v>1</v>
      </c>
      <c r="P272" s="38"/>
      <c r="Q272" s="35"/>
      <c r="S272" s="1">
        <f t="shared" si="95"/>
        <v>0</v>
      </c>
      <c r="T272" s="1">
        <f t="shared" si="96"/>
        <v>0</v>
      </c>
      <c r="U272" s="1">
        <f t="shared" si="97"/>
        <v>0</v>
      </c>
      <c r="V272" s="1">
        <f t="shared" si="98"/>
        <v>0</v>
      </c>
      <c r="W272" s="1">
        <f t="shared" si="99"/>
        <v>0</v>
      </c>
      <c r="X272" s="1">
        <f t="shared" si="100"/>
        <v>0</v>
      </c>
      <c r="Y272" s="1">
        <f t="shared" si="101"/>
        <v>0</v>
      </c>
      <c r="Z272" s="1">
        <f t="shared" si="102"/>
        <v>0</v>
      </c>
      <c r="AA272" s="1">
        <f t="shared" si="103"/>
        <v>0</v>
      </c>
      <c r="AB272" s="1">
        <f t="shared" si="104"/>
        <v>1</v>
      </c>
      <c r="AD272" s="1">
        <f t="shared" si="105"/>
        <v>0</v>
      </c>
      <c r="AE272" s="1">
        <f t="shared" si="106"/>
        <v>1</v>
      </c>
      <c r="AF272" s="1">
        <f t="shared" si="91"/>
        <v>0</v>
      </c>
      <c r="AG272" s="1">
        <f t="shared" si="92"/>
        <v>1</v>
      </c>
      <c r="AH272" s="1">
        <f t="shared" si="93"/>
        <v>0</v>
      </c>
      <c r="AI272" s="1">
        <f t="shared" si="94"/>
        <v>1</v>
      </c>
    </row>
    <row r="273" spans="1:35" ht="14.25" customHeight="1" x14ac:dyDescent="0.3">
      <c r="A273" s="34">
        <v>0</v>
      </c>
      <c r="B273" s="34">
        <v>2</v>
      </c>
      <c r="C273" s="34">
        <v>1</v>
      </c>
      <c r="D273" s="35" t="s">
        <v>1287</v>
      </c>
      <c r="E273" s="35" t="s">
        <v>566</v>
      </c>
      <c r="F273" s="35" t="s">
        <v>1288</v>
      </c>
      <c r="G273" s="35" t="s">
        <v>260</v>
      </c>
      <c r="H273" s="35" t="s">
        <v>357</v>
      </c>
      <c r="I273" s="34" t="s">
        <v>1289</v>
      </c>
      <c r="J273" s="34">
        <v>8</v>
      </c>
      <c r="K273" s="36" t="s">
        <v>961</v>
      </c>
      <c r="L273" s="36" t="s">
        <v>720</v>
      </c>
      <c r="M273" s="37" t="s">
        <v>721</v>
      </c>
      <c r="N273" s="37" t="s">
        <v>1763</v>
      </c>
      <c r="O273" s="38">
        <v>1</v>
      </c>
      <c r="P273" s="38"/>
      <c r="Q273" s="35"/>
      <c r="S273" s="1">
        <f t="shared" si="95"/>
        <v>0</v>
      </c>
      <c r="T273" s="1">
        <f t="shared" si="96"/>
        <v>0</v>
      </c>
      <c r="U273" s="1">
        <f t="shared" si="97"/>
        <v>0</v>
      </c>
      <c r="V273" s="1">
        <f t="shared" si="98"/>
        <v>0</v>
      </c>
      <c r="W273" s="1">
        <f t="shared" si="99"/>
        <v>0</v>
      </c>
      <c r="X273" s="1">
        <f t="shared" si="100"/>
        <v>0</v>
      </c>
      <c r="Y273" s="1">
        <f t="shared" si="101"/>
        <v>0</v>
      </c>
      <c r="Z273" s="1">
        <f t="shared" si="102"/>
        <v>1</v>
      </c>
      <c r="AA273" s="1">
        <f t="shared" si="103"/>
        <v>0</v>
      </c>
      <c r="AB273" s="1">
        <f t="shared" si="104"/>
        <v>0</v>
      </c>
      <c r="AD273" s="1">
        <f t="shared" si="105"/>
        <v>0</v>
      </c>
      <c r="AE273" s="1">
        <f t="shared" si="106"/>
        <v>1</v>
      </c>
      <c r="AF273" s="1">
        <f t="shared" si="91"/>
        <v>0</v>
      </c>
      <c r="AG273" s="1">
        <f t="shared" si="92"/>
        <v>1</v>
      </c>
      <c r="AH273" s="1">
        <f t="shared" si="93"/>
        <v>0</v>
      </c>
      <c r="AI273" s="1">
        <f t="shared" si="94"/>
        <v>1</v>
      </c>
    </row>
    <row r="274" spans="1:35" ht="14.25" customHeight="1" x14ac:dyDescent="0.3">
      <c r="A274" s="47">
        <v>0</v>
      </c>
      <c r="B274" s="47">
        <v>2</v>
      </c>
      <c r="C274" s="47">
        <v>1</v>
      </c>
      <c r="D274" s="48" t="s">
        <v>48</v>
      </c>
      <c r="E274" s="48" t="s">
        <v>583</v>
      </c>
      <c r="F274" s="48" t="s">
        <v>191</v>
      </c>
      <c r="G274" s="48" t="s">
        <v>303</v>
      </c>
      <c r="H274" s="48" t="s">
        <v>357</v>
      </c>
      <c r="I274" s="47" t="s">
        <v>388</v>
      </c>
      <c r="J274" s="47">
        <v>99</v>
      </c>
      <c r="K274" s="49" t="s">
        <v>720</v>
      </c>
      <c r="L274" s="49" t="s">
        <v>720</v>
      </c>
      <c r="M274" s="50" t="s">
        <v>721</v>
      </c>
      <c r="N274" s="50" t="s">
        <v>1762</v>
      </c>
      <c r="O274" s="51"/>
      <c r="P274" s="51"/>
      <c r="Q274" s="48"/>
      <c r="S274" s="1">
        <f t="shared" si="95"/>
        <v>0</v>
      </c>
      <c r="T274" s="1">
        <f t="shared" si="96"/>
        <v>0</v>
      </c>
      <c r="U274" s="1">
        <f t="shared" si="97"/>
        <v>0</v>
      </c>
      <c r="V274" s="1">
        <f t="shared" si="98"/>
        <v>0</v>
      </c>
      <c r="W274" s="1">
        <f t="shared" si="99"/>
        <v>0</v>
      </c>
      <c r="X274" s="1">
        <f t="shared" si="100"/>
        <v>0</v>
      </c>
      <c r="Y274" s="1">
        <f t="shared" si="101"/>
        <v>0</v>
      </c>
      <c r="Z274" s="1">
        <f t="shared" si="102"/>
        <v>0</v>
      </c>
      <c r="AA274" s="1">
        <f t="shared" si="103"/>
        <v>0</v>
      </c>
      <c r="AB274" s="1">
        <f t="shared" si="104"/>
        <v>0</v>
      </c>
      <c r="AD274" s="1">
        <f t="shared" si="105"/>
        <v>0</v>
      </c>
      <c r="AE274" s="1">
        <f t="shared" si="106"/>
        <v>0</v>
      </c>
      <c r="AF274" s="1">
        <f t="shared" si="91"/>
        <v>0</v>
      </c>
      <c r="AG274" s="1">
        <f t="shared" si="92"/>
        <v>0</v>
      </c>
      <c r="AH274" s="1">
        <f t="shared" si="93"/>
        <v>0</v>
      </c>
      <c r="AI274" s="1">
        <f t="shared" si="94"/>
        <v>1</v>
      </c>
    </row>
    <row r="275" spans="1:35" ht="14.25" customHeight="1" x14ac:dyDescent="0.3">
      <c r="A275" s="15">
        <v>0</v>
      </c>
      <c r="B275" s="15">
        <v>2</v>
      </c>
      <c r="C275" s="15">
        <v>1</v>
      </c>
      <c r="D275" s="16" t="s">
        <v>57</v>
      </c>
      <c r="E275" s="16" t="s">
        <v>164</v>
      </c>
      <c r="F275" s="16" t="s">
        <v>672</v>
      </c>
      <c r="G275" s="16" t="s">
        <v>223</v>
      </c>
      <c r="H275" s="16" t="s">
        <v>357</v>
      </c>
      <c r="I275" s="15" t="s">
        <v>399</v>
      </c>
      <c r="J275" s="15">
        <v>99</v>
      </c>
      <c r="K275" s="10" t="s">
        <v>968</v>
      </c>
      <c r="L275" s="10" t="s">
        <v>720</v>
      </c>
      <c r="M275" s="19" t="s">
        <v>721</v>
      </c>
      <c r="N275" s="19"/>
      <c r="Q275" s="16"/>
      <c r="S275" s="1">
        <f t="shared" si="95"/>
        <v>0</v>
      </c>
      <c r="T275" s="1">
        <f t="shared" si="96"/>
        <v>0</v>
      </c>
      <c r="U275" s="1">
        <f t="shared" si="97"/>
        <v>0</v>
      </c>
      <c r="V275" s="1">
        <f t="shared" si="98"/>
        <v>0</v>
      </c>
      <c r="W275" s="1">
        <f t="shared" si="99"/>
        <v>0</v>
      </c>
      <c r="X275" s="1">
        <f t="shared" si="100"/>
        <v>0</v>
      </c>
      <c r="Y275" s="1">
        <f t="shared" si="101"/>
        <v>0</v>
      </c>
      <c r="Z275" s="1">
        <f t="shared" si="102"/>
        <v>0</v>
      </c>
      <c r="AA275" s="1">
        <f t="shared" si="103"/>
        <v>0</v>
      </c>
      <c r="AB275" s="1">
        <f t="shared" si="104"/>
        <v>0</v>
      </c>
      <c r="AD275" s="1">
        <f t="shared" si="105"/>
        <v>0</v>
      </c>
      <c r="AE275" s="1">
        <f t="shared" si="106"/>
        <v>0</v>
      </c>
      <c r="AF275" s="1">
        <f t="shared" si="91"/>
        <v>0</v>
      </c>
      <c r="AG275" s="1">
        <f t="shared" si="92"/>
        <v>0</v>
      </c>
      <c r="AH275" s="1">
        <f t="shared" si="93"/>
        <v>0</v>
      </c>
      <c r="AI275" s="1">
        <f t="shared" si="94"/>
        <v>1</v>
      </c>
    </row>
    <row r="276" spans="1:35" ht="14.25" customHeight="1" x14ac:dyDescent="0.3">
      <c r="A276" s="47">
        <v>0</v>
      </c>
      <c r="B276" s="47">
        <v>2</v>
      </c>
      <c r="C276" s="47">
        <v>1</v>
      </c>
      <c r="D276" s="48" t="s">
        <v>520</v>
      </c>
      <c r="E276" s="48" t="s">
        <v>566</v>
      </c>
      <c r="F276" s="48" t="s">
        <v>231</v>
      </c>
      <c r="G276" s="48" t="s">
        <v>232</v>
      </c>
      <c r="H276" s="48" t="s">
        <v>357</v>
      </c>
      <c r="I276" s="47" t="s">
        <v>403</v>
      </c>
      <c r="J276" s="47">
        <v>7</v>
      </c>
      <c r="K276" s="49" t="s">
        <v>961</v>
      </c>
      <c r="L276" s="49" t="s">
        <v>720</v>
      </c>
      <c r="M276" s="50" t="s">
        <v>721</v>
      </c>
      <c r="N276" s="50" t="s">
        <v>1749</v>
      </c>
      <c r="O276" s="51"/>
      <c r="P276" s="51"/>
      <c r="Q276" s="48"/>
      <c r="S276" s="1">
        <f t="shared" si="95"/>
        <v>0</v>
      </c>
      <c r="T276" s="1">
        <f t="shared" si="96"/>
        <v>0</v>
      </c>
      <c r="U276" s="1">
        <f t="shared" si="97"/>
        <v>0</v>
      </c>
      <c r="V276" s="1">
        <f t="shared" si="98"/>
        <v>0</v>
      </c>
      <c r="W276" s="1">
        <f t="shared" si="99"/>
        <v>0</v>
      </c>
      <c r="X276" s="1">
        <f t="shared" si="100"/>
        <v>0</v>
      </c>
      <c r="Y276" s="1">
        <f t="shared" si="101"/>
        <v>1</v>
      </c>
      <c r="Z276" s="1">
        <f t="shared" si="102"/>
        <v>0</v>
      </c>
      <c r="AA276" s="1">
        <f t="shared" si="103"/>
        <v>0</v>
      </c>
      <c r="AB276" s="1">
        <f t="shared" si="104"/>
        <v>0</v>
      </c>
      <c r="AD276" s="1">
        <f t="shared" si="105"/>
        <v>0</v>
      </c>
      <c r="AE276" s="1">
        <f t="shared" si="106"/>
        <v>0</v>
      </c>
      <c r="AF276" s="1">
        <f t="shared" si="91"/>
        <v>0</v>
      </c>
      <c r="AG276" s="1">
        <f t="shared" si="92"/>
        <v>0</v>
      </c>
      <c r="AH276" s="1">
        <f t="shared" si="93"/>
        <v>0</v>
      </c>
      <c r="AI276" s="1">
        <f t="shared" si="94"/>
        <v>1</v>
      </c>
    </row>
    <row r="277" spans="1:35" ht="14.25" customHeight="1" x14ac:dyDescent="0.3">
      <c r="A277" s="47">
        <v>0</v>
      </c>
      <c r="B277" s="47">
        <v>2</v>
      </c>
      <c r="C277" s="47">
        <v>1</v>
      </c>
      <c r="D277" s="48" t="s">
        <v>565</v>
      </c>
      <c r="E277" s="48" t="s">
        <v>566</v>
      </c>
      <c r="F277" s="48" t="s">
        <v>567</v>
      </c>
      <c r="G277" s="48" t="s">
        <v>210</v>
      </c>
      <c r="H277" s="48" t="s">
        <v>357</v>
      </c>
      <c r="I277" s="47" t="s">
        <v>568</v>
      </c>
      <c r="J277" s="47">
        <v>3</v>
      </c>
      <c r="K277" s="49" t="s">
        <v>719</v>
      </c>
      <c r="L277" s="49" t="s">
        <v>720</v>
      </c>
      <c r="M277" s="50" t="s">
        <v>721</v>
      </c>
      <c r="N277" s="50" t="s">
        <v>1762</v>
      </c>
      <c r="O277" s="51"/>
      <c r="P277" s="51"/>
      <c r="Q277" s="48"/>
      <c r="S277" s="1">
        <f t="shared" si="95"/>
        <v>0</v>
      </c>
      <c r="T277" s="1">
        <f t="shared" si="96"/>
        <v>0</v>
      </c>
      <c r="U277" s="1">
        <f t="shared" si="97"/>
        <v>1</v>
      </c>
      <c r="V277" s="1">
        <f t="shared" si="98"/>
        <v>0</v>
      </c>
      <c r="W277" s="1">
        <f t="shared" si="99"/>
        <v>0</v>
      </c>
      <c r="X277" s="1">
        <f t="shared" si="100"/>
        <v>0</v>
      </c>
      <c r="Y277" s="1">
        <f t="shared" si="101"/>
        <v>0</v>
      </c>
      <c r="Z277" s="1">
        <f t="shared" si="102"/>
        <v>0</v>
      </c>
      <c r="AA277" s="1">
        <f t="shared" si="103"/>
        <v>0</v>
      </c>
      <c r="AB277" s="1">
        <f t="shared" si="104"/>
        <v>0</v>
      </c>
      <c r="AD277" s="1">
        <f t="shared" si="105"/>
        <v>0</v>
      </c>
      <c r="AE277" s="1">
        <f t="shared" si="106"/>
        <v>0</v>
      </c>
      <c r="AF277" s="1">
        <f t="shared" si="91"/>
        <v>0</v>
      </c>
      <c r="AG277" s="1">
        <f t="shared" si="92"/>
        <v>0</v>
      </c>
      <c r="AH277" s="1">
        <f t="shared" si="93"/>
        <v>0</v>
      </c>
      <c r="AI277" s="1">
        <f t="shared" si="94"/>
        <v>1</v>
      </c>
    </row>
    <row r="278" spans="1:35" ht="14.25" customHeight="1" x14ac:dyDescent="0.3">
      <c r="A278" s="40">
        <v>0</v>
      </c>
      <c r="B278" s="40">
        <v>2</v>
      </c>
      <c r="C278" s="40">
        <v>1</v>
      </c>
      <c r="D278" s="39" t="s">
        <v>1063</v>
      </c>
      <c r="E278" s="39" t="s">
        <v>32</v>
      </c>
      <c r="F278" s="39" t="s">
        <v>1291</v>
      </c>
      <c r="G278" s="39" t="s">
        <v>540</v>
      </c>
      <c r="H278" s="39" t="s">
        <v>357</v>
      </c>
      <c r="I278" s="40" t="s">
        <v>1292</v>
      </c>
      <c r="J278" s="40">
        <v>6</v>
      </c>
      <c r="K278" s="59" t="s">
        <v>720</v>
      </c>
      <c r="L278" s="36" t="s">
        <v>720</v>
      </c>
      <c r="M278" s="37" t="s">
        <v>721</v>
      </c>
      <c r="N278" s="37" t="s">
        <v>1763</v>
      </c>
      <c r="O278" s="38">
        <v>1</v>
      </c>
      <c r="P278" s="38"/>
      <c r="Q278" s="39"/>
      <c r="S278" s="1">
        <f t="shared" si="95"/>
        <v>0</v>
      </c>
      <c r="T278" s="1">
        <f t="shared" si="96"/>
        <v>0</v>
      </c>
      <c r="U278" s="1">
        <f t="shared" si="97"/>
        <v>0</v>
      </c>
      <c r="V278" s="1">
        <f t="shared" si="98"/>
        <v>0</v>
      </c>
      <c r="W278" s="1">
        <f t="shared" si="99"/>
        <v>0</v>
      </c>
      <c r="X278" s="1">
        <f t="shared" si="100"/>
        <v>1</v>
      </c>
      <c r="Y278" s="1">
        <f t="shared" si="101"/>
        <v>0</v>
      </c>
      <c r="Z278" s="1">
        <f t="shared" si="102"/>
        <v>0</v>
      </c>
      <c r="AA278" s="1">
        <f t="shared" si="103"/>
        <v>0</v>
      </c>
      <c r="AB278" s="1">
        <f t="shared" si="104"/>
        <v>0</v>
      </c>
      <c r="AD278" s="1">
        <f t="shared" si="105"/>
        <v>0</v>
      </c>
      <c r="AE278" s="1">
        <f t="shared" si="106"/>
        <v>1</v>
      </c>
      <c r="AF278" s="1">
        <f t="shared" si="91"/>
        <v>0</v>
      </c>
      <c r="AG278" s="1">
        <f t="shared" si="92"/>
        <v>1</v>
      </c>
      <c r="AH278" s="1">
        <f t="shared" si="93"/>
        <v>0</v>
      </c>
      <c r="AI278" s="1">
        <f t="shared" si="94"/>
        <v>1</v>
      </c>
    </row>
    <row r="279" spans="1:35" ht="14.25" customHeight="1" x14ac:dyDescent="0.3">
      <c r="A279" s="47">
        <v>0</v>
      </c>
      <c r="B279" s="47">
        <v>2</v>
      </c>
      <c r="C279" s="47">
        <v>1</v>
      </c>
      <c r="D279" s="48" t="s">
        <v>924</v>
      </c>
      <c r="E279" s="48" t="s">
        <v>1347</v>
      </c>
      <c r="F279" s="48" t="s">
        <v>796</v>
      </c>
      <c r="G279" s="48" t="s">
        <v>259</v>
      </c>
      <c r="H279" s="48" t="s">
        <v>357</v>
      </c>
      <c r="I279" s="47" t="s">
        <v>951</v>
      </c>
      <c r="J279" s="47">
        <v>99</v>
      </c>
      <c r="K279" s="49" t="s">
        <v>719</v>
      </c>
      <c r="L279" s="49" t="s">
        <v>720</v>
      </c>
      <c r="M279" s="50" t="s">
        <v>721</v>
      </c>
      <c r="N279" s="50" t="s">
        <v>1749</v>
      </c>
      <c r="O279" s="51"/>
      <c r="P279" s="51"/>
      <c r="Q279" s="48"/>
      <c r="S279" s="1">
        <f t="shared" si="95"/>
        <v>0</v>
      </c>
      <c r="T279" s="1">
        <f t="shared" si="96"/>
        <v>0</v>
      </c>
      <c r="U279" s="1">
        <f t="shared" si="97"/>
        <v>0</v>
      </c>
      <c r="V279" s="1">
        <f t="shared" si="98"/>
        <v>0</v>
      </c>
      <c r="W279" s="1">
        <f t="shared" si="99"/>
        <v>0</v>
      </c>
      <c r="X279" s="1">
        <f t="shared" si="100"/>
        <v>0</v>
      </c>
      <c r="Y279" s="1">
        <f t="shared" si="101"/>
        <v>0</v>
      </c>
      <c r="Z279" s="1">
        <f t="shared" si="102"/>
        <v>0</v>
      </c>
      <c r="AA279" s="1">
        <f t="shared" si="103"/>
        <v>0</v>
      </c>
      <c r="AB279" s="1">
        <f t="shared" si="104"/>
        <v>0</v>
      </c>
      <c r="AD279" s="1">
        <f t="shared" si="105"/>
        <v>0</v>
      </c>
      <c r="AE279" s="1">
        <f t="shared" si="106"/>
        <v>0</v>
      </c>
      <c r="AF279" s="1">
        <f t="shared" si="91"/>
        <v>0</v>
      </c>
      <c r="AG279" s="1">
        <f t="shared" si="92"/>
        <v>0</v>
      </c>
      <c r="AH279" s="1">
        <f t="shared" si="93"/>
        <v>0</v>
      </c>
      <c r="AI279" s="1">
        <f t="shared" si="94"/>
        <v>1</v>
      </c>
    </row>
    <row r="280" spans="1:35" ht="14.25" customHeight="1" x14ac:dyDescent="0.3">
      <c r="A280" s="40">
        <v>0</v>
      </c>
      <c r="B280" s="40">
        <v>2</v>
      </c>
      <c r="C280" s="40">
        <v>1</v>
      </c>
      <c r="D280" s="39" t="s">
        <v>1786</v>
      </c>
      <c r="E280" s="39" t="s">
        <v>1787</v>
      </c>
      <c r="F280" s="39" t="s">
        <v>1788</v>
      </c>
      <c r="G280" s="39" t="s">
        <v>182</v>
      </c>
      <c r="H280" s="39" t="s">
        <v>357</v>
      </c>
      <c r="I280" s="40" t="s">
        <v>1789</v>
      </c>
      <c r="J280" s="40"/>
      <c r="K280" s="59" t="s">
        <v>710</v>
      </c>
      <c r="L280" s="36">
        <v>4</v>
      </c>
      <c r="M280" s="37" t="s">
        <v>721</v>
      </c>
      <c r="N280" s="37" t="s">
        <v>1758</v>
      </c>
      <c r="O280" s="38">
        <v>1</v>
      </c>
      <c r="P280" s="38"/>
      <c r="Q280" s="39"/>
      <c r="S280" s="1">
        <f t="shared" si="95"/>
        <v>0</v>
      </c>
      <c r="T280" s="1">
        <f t="shared" si="96"/>
        <v>0</v>
      </c>
      <c r="U280" s="1">
        <f t="shared" si="97"/>
        <v>0</v>
      </c>
      <c r="V280" s="1">
        <f t="shared" si="98"/>
        <v>0</v>
      </c>
      <c r="W280" s="1">
        <f t="shared" si="99"/>
        <v>0</v>
      </c>
      <c r="X280" s="1">
        <f t="shared" si="100"/>
        <v>0</v>
      </c>
      <c r="Y280" s="1">
        <f t="shared" si="101"/>
        <v>0</v>
      </c>
      <c r="Z280" s="1">
        <f t="shared" si="102"/>
        <v>0</v>
      </c>
      <c r="AA280" s="1">
        <f t="shared" si="103"/>
        <v>0</v>
      </c>
      <c r="AB280" s="1">
        <f t="shared" si="104"/>
        <v>0</v>
      </c>
      <c r="AD280" s="1">
        <f t="shared" si="105"/>
        <v>0</v>
      </c>
      <c r="AE280" s="1">
        <f t="shared" si="106"/>
        <v>1</v>
      </c>
      <c r="AF280" s="1">
        <f t="shared" si="91"/>
        <v>0</v>
      </c>
      <c r="AG280" s="1">
        <f t="shared" si="92"/>
        <v>1</v>
      </c>
      <c r="AH280" s="1">
        <f t="shared" si="93"/>
        <v>0</v>
      </c>
      <c r="AI280" s="1">
        <f t="shared" si="94"/>
        <v>1</v>
      </c>
    </row>
    <row r="281" spans="1:35" ht="14.25" customHeight="1" x14ac:dyDescent="0.3">
      <c r="A281" s="34">
        <v>0</v>
      </c>
      <c r="B281" s="34">
        <v>2</v>
      </c>
      <c r="C281" s="34">
        <v>1</v>
      </c>
      <c r="D281" s="35" t="s">
        <v>624</v>
      </c>
      <c r="E281" s="35" t="s">
        <v>625</v>
      </c>
      <c r="F281" s="35" t="s">
        <v>626</v>
      </c>
      <c r="G281" s="35" t="s">
        <v>627</v>
      </c>
      <c r="H281" s="35" t="s">
        <v>357</v>
      </c>
      <c r="I281" s="34" t="s">
        <v>628</v>
      </c>
      <c r="J281" s="34">
        <v>99</v>
      </c>
      <c r="K281" s="36" t="s">
        <v>719</v>
      </c>
      <c r="L281" s="36" t="s">
        <v>720</v>
      </c>
      <c r="M281" s="37" t="s">
        <v>721</v>
      </c>
      <c r="N281" s="37" t="s">
        <v>1771</v>
      </c>
      <c r="O281" s="38">
        <v>1</v>
      </c>
      <c r="P281" s="38"/>
      <c r="Q281" s="35"/>
      <c r="S281" s="1">
        <f t="shared" si="95"/>
        <v>0</v>
      </c>
      <c r="T281" s="1">
        <f t="shared" si="96"/>
        <v>0</v>
      </c>
      <c r="U281" s="1">
        <f t="shared" si="97"/>
        <v>0</v>
      </c>
      <c r="V281" s="1">
        <f t="shared" si="98"/>
        <v>0</v>
      </c>
      <c r="W281" s="1">
        <f t="shared" si="99"/>
        <v>0</v>
      </c>
      <c r="X281" s="1">
        <f t="shared" si="100"/>
        <v>0</v>
      </c>
      <c r="Y281" s="1">
        <f t="shared" si="101"/>
        <v>0</v>
      </c>
      <c r="Z281" s="1">
        <f t="shared" si="102"/>
        <v>0</v>
      </c>
      <c r="AA281" s="1">
        <f t="shared" si="103"/>
        <v>0</v>
      </c>
      <c r="AB281" s="1">
        <f t="shared" si="104"/>
        <v>0</v>
      </c>
      <c r="AD281" s="1">
        <f t="shared" si="105"/>
        <v>0</v>
      </c>
      <c r="AE281" s="1">
        <f t="shared" si="106"/>
        <v>1</v>
      </c>
      <c r="AF281" s="1">
        <f t="shared" si="91"/>
        <v>0</v>
      </c>
      <c r="AG281" s="1">
        <f t="shared" si="92"/>
        <v>1</v>
      </c>
      <c r="AH281" s="1">
        <f t="shared" si="93"/>
        <v>0</v>
      </c>
      <c r="AI281" s="1">
        <f t="shared" si="94"/>
        <v>1</v>
      </c>
    </row>
    <row r="282" spans="1:35" ht="14.25" customHeight="1" x14ac:dyDescent="0.3">
      <c r="A282" s="47">
        <v>0</v>
      </c>
      <c r="B282" s="47">
        <v>2</v>
      </c>
      <c r="C282" s="47">
        <v>1</v>
      </c>
      <c r="D282" s="48" t="s">
        <v>1090</v>
      </c>
      <c r="E282" s="48" t="s">
        <v>1348</v>
      </c>
      <c r="F282" s="48" t="s">
        <v>1678</v>
      </c>
      <c r="G282" s="48" t="s">
        <v>192</v>
      </c>
      <c r="H282" s="48" t="s">
        <v>357</v>
      </c>
      <c r="I282" s="67" t="s">
        <v>1876</v>
      </c>
      <c r="J282" s="47">
        <v>99</v>
      </c>
      <c r="K282" s="49" t="s">
        <v>719</v>
      </c>
      <c r="L282" s="49" t="s">
        <v>720</v>
      </c>
      <c r="M282" s="50" t="s">
        <v>721</v>
      </c>
      <c r="N282" s="50" t="s">
        <v>1750</v>
      </c>
      <c r="O282" s="51"/>
      <c r="P282" s="51"/>
      <c r="Q282" s="48"/>
      <c r="S282" s="1">
        <f t="shared" si="95"/>
        <v>0</v>
      </c>
      <c r="T282" s="1">
        <f t="shared" si="96"/>
        <v>0</v>
      </c>
      <c r="U282" s="1">
        <f t="shared" si="97"/>
        <v>0</v>
      </c>
      <c r="V282" s="1">
        <f t="shared" si="98"/>
        <v>0</v>
      </c>
      <c r="W282" s="1">
        <f t="shared" si="99"/>
        <v>0</v>
      </c>
      <c r="X282" s="1">
        <f t="shared" si="100"/>
        <v>0</v>
      </c>
      <c r="Y282" s="1">
        <f t="shared" si="101"/>
        <v>0</v>
      </c>
      <c r="Z282" s="1">
        <f t="shared" si="102"/>
        <v>0</v>
      </c>
      <c r="AA282" s="1">
        <f t="shared" si="103"/>
        <v>0</v>
      </c>
      <c r="AB282" s="1">
        <f t="shared" si="104"/>
        <v>0</v>
      </c>
      <c r="AD282" s="1">
        <f t="shared" si="105"/>
        <v>0</v>
      </c>
      <c r="AE282" s="1">
        <f t="shared" si="106"/>
        <v>0</v>
      </c>
      <c r="AF282" s="1">
        <f t="shared" si="91"/>
        <v>0</v>
      </c>
      <c r="AG282" s="1">
        <f t="shared" si="92"/>
        <v>0</v>
      </c>
      <c r="AH282" s="1">
        <f t="shared" si="93"/>
        <v>0</v>
      </c>
      <c r="AI282" s="1">
        <f t="shared" si="94"/>
        <v>1</v>
      </c>
    </row>
    <row r="283" spans="1:35" ht="14.25" customHeight="1" x14ac:dyDescent="0.3">
      <c r="A283" s="15">
        <v>0</v>
      </c>
      <c r="B283" s="15">
        <v>2</v>
      </c>
      <c r="C283" s="15">
        <v>1</v>
      </c>
      <c r="D283" s="16" t="s">
        <v>656</v>
      </c>
      <c r="E283" s="16" t="s">
        <v>36</v>
      </c>
      <c r="F283" s="16" t="s">
        <v>673</v>
      </c>
      <c r="G283" s="16" t="s">
        <v>203</v>
      </c>
      <c r="H283" s="16" t="s">
        <v>357</v>
      </c>
      <c r="I283" s="15" t="s">
        <v>1012</v>
      </c>
      <c r="J283" s="15">
        <v>99</v>
      </c>
      <c r="K283" s="10" t="s">
        <v>710</v>
      </c>
      <c r="L283" s="10">
        <v>4</v>
      </c>
      <c r="M283" s="19" t="s">
        <v>721</v>
      </c>
      <c r="N283" s="17"/>
      <c r="Q283" s="16"/>
      <c r="S283" s="1">
        <f t="shared" si="95"/>
        <v>0</v>
      </c>
      <c r="T283" s="1">
        <f t="shared" si="96"/>
        <v>0</v>
      </c>
      <c r="U283" s="1">
        <f t="shared" si="97"/>
        <v>0</v>
      </c>
      <c r="V283" s="1">
        <f t="shared" si="98"/>
        <v>0</v>
      </c>
      <c r="W283" s="1">
        <f t="shared" si="99"/>
        <v>0</v>
      </c>
      <c r="X283" s="1">
        <f t="shared" si="100"/>
        <v>0</v>
      </c>
      <c r="Y283" s="1">
        <f t="shared" si="101"/>
        <v>0</v>
      </c>
      <c r="Z283" s="1">
        <f t="shared" si="102"/>
        <v>0</v>
      </c>
      <c r="AA283" s="1">
        <f t="shared" si="103"/>
        <v>0</v>
      </c>
      <c r="AB283" s="1">
        <f t="shared" si="104"/>
        <v>0</v>
      </c>
      <c r="AD283" s="1">
        <f t="shared" si="105"/>
        <v>0</v>
      </c>
      <c r="AE283" s="1">
        <f t="shared" si="106"/>
        <v>0</v>
      </c>
      <c r="AF283" s="1">
        <f t="shared" si="91"/>
        <v>0</v>
      </c>
      <c r="AG283" s="1">
        <f t="shared" si="92"/>
        <v>0</v>
      </c>
      <c r="AH283" s="1">
        <f t="shared" si="93"/>
        <v>0</v>
      </c>
      <c r="AI283" s="1">
        <f t="shared" si="94"/>
        <v>1</v>
      </c>
    </row>
    <row r="284" spans="1:35" ht="14.25" customHeight="1" x14ac:dyDescent="0.3">
      <c r="A284" s="47">
        <v>0</v>
      </c>
      <c r="B284" s="47">
        <v>2</v>
      </c>
      <c r="C284" s="47">
        <v>1</v>
      </c>
      <c r="D284" s="48" t="s">
        <v>1278</v>
      </c>
      <c r="E284" s="48" t="s">
        <v>1279</v>
      </c>
      <c r="F284" s="48" t="s">
        <v>1280</v>
      </c>
      <c r="G284" s="48" t="s">
        <v>1178</v>
      </c>
      <c r="H284" s="48" t="s">
        <v>357</v>
      </c>
      <c r="I284" s="47" t="s">
        <v>1281</v>
      </c>
      <c r="J284" s="47">
        <v>11</v>
      </c>
      <c r="K284" s="49" t="s">
        <v>710</v>
      </c>
      <c r="L284" s="49">
        <v>6</v>
      </c>
      <c r="M284" s="50" t="s">
        <v>1743</v>
      </c>
      <c r="N284" s="50" t="s">
        <v>1824</v>
      </c>
      <c r="O284" s="51"/>
      <c r="P284" s="51"/>
      <c r="Q284" s="48"/>
      <c r="S284" s="1">
        <f t="shared" si="95"/>
        <v>0</v>
      </c>
      <c r="T284" s="1">
        <f t="shared" si="96"/>
        <v>0</v>
      </c>
      <c r="U284" s="1">
        <f t="shared" si="97"/>
        <v>0</v>
      </c>
      <c r="V284" s="1">
        <f t="shared" si="98"/>
        <v>0</v>
      </c>
      <c r="W284" s="1">
        <f t="shared" si="99"/>
        <v>0</v>
      </c>
      <c r="X284" s="1">
        <f t="shared" si="100"/>
        <v>0</v>
      </c>
      <c r="Y284" s="1">
        <f t="shared" si="101"/>
        <v>0</v>
      </c>
      <c r="Z284" s="1">
        <f t="shared" si="102"/>
        <v>0</v>
      </c>
      <c r="AA284" s="1">
        <f t="shared" si="103"/>
        <v>0</v>
      </c>
      <c r="AB284" s="1">
        <f t="shared" si="104"/>
        <v>0</v>
      </c>
      <c r="AD284" s="1">
        <f t="shared" si="105"/>
        <v>0</v>
      </c>
      <c r="AE284" s="1">
        <f t="shared" si="106"/>
        <v>0</v>
      </c>
      <c r="AF284" s="1">
        <f t="shared" si="91"/>
        <v>0</v>
      </c>
      <c r="AG284" s="1">
        <f t="shared" si="92"/>
        <v>0</v>
      </c>
      <c r="AH284" s="1">
        <f t="shared" si="93"/>
        <v>0</v>
      </c>
      <c r="AI284" s="1">
        <f t="shared" si="94"/>
        <v>1</v>
      </c>
    </row>
    <row r="285" spans="1:35" ht="14.25" customHeight="1" x14ac:dyDescent="0.3">
      <c r="A285" s="34">
        <v>0</v>
      </c>
      <c r="B285" s="34">
        <v>2</v>
      </c>
      <c r="C285" s="34">
        <v>1</v>
      </c>
      <c r="D285" s="35" t="s">
        <v>1133</v>
      </c>
      <c r="E285" s="35" t="s">
        <v>1328</v>
      </c>
      <c r="F285" s="35" t="s">
        <v>1131</v>
      </c>
      <c r="G285" s="35" t="s">
        <v>232</v>
      </c>
      <c r="H285" s="35" t="s">
        <v>357</v>
      </c>
      <c r="I285" s="34" t="s">
        <v>1132</v>
      </c>
      <c r="J285" s="34">
        <v>7</v>
      </c>
      <c r="K285" s="36" t="s">
        <v>720</v>
      </c>
      <c r="L285" s="36" t="s">
        <v>1724</v>
      </c>
      <c r="M285" s="37" t="s">
        <v>721</v>
      </c>
      <c r="N285" s="37" t="s">
        <v>1771</v>
      </c>
      <c r="O285" s="38">
        <v>1</v>
      </c>
      <c r="P285" s="38"/>
      <c r="Q285" s="35"/>
      <c r="S285" s="1">
        <f t="shared" si="95"/>
        <v>0</v>
      </c>
      <c r="T285" s="1">
        <f t="shared" si="96"/>
        <v>0</v>
      </c>
      <c r="U285" s="1">
        <f t="shared" si="97"/>
        <v>0</v>
      </c>
      <c r="V285" s="1">
        <f t="shared" si="98"/>
        <v>0</v>
      </c>
      <c r="W285" s="1">
        <f t="shared" si="99"/>
        <v>0</v>
      </c>
      <c r="X285" s="1">
        <f t="shared" si="100"/>
        <v>0</v>
      </c>
      <c r="Y285" s="1">
        <f t="shared" si="101"/>
        <v>1</v>
      </c>
      <c r="Z285" s="1">
        <f t="shared" si="102"/>
        <v>0</v>
      </c>
      <c r="AA285" s="1">
        <f t="shared" si="103"/>
        <v>0</v>
      </c>
      <c r="AB285" s="1">
        <f t="shared" si="104"/>
        <v>0</v>
      </c>
      <c r="AD285" s="1">
        <f t="shared" si="105"/>
        <v>0</v>
      </c>
      <c r="AE285" s="1">
        <f t="shared" si="106"/>
        <v>1</v>
      </c>
      <c r="AF285" s="1">
        <f t="shared" si="91"/>
        <v>0</v>
      </c>
      <c r="AG285" s="1">
        <f t="shared" si="92"/>
        <v>1</v>
      </c>
      <c r="AH285" s="1">
        <f t="shared" si="93"/>
        <v>0</v>
      </c>
      <c r="AI285" s="1">
        <f t="shared" si="94"/>
        <v>1</v>
      </c>
    </row>
    <row r="286" spans="1:35" ht="14.25" customHeight="1" x14ac:dyDescent="0.3">
      <c r="A286" s="34">
        <v>0</v>
      </c>
      <c r="B286" s="34">
        <v>2</v>
      </c>
      <c r="C286" s="34">
        <v>1</v>
      </c>
      <c r="D286" s="35" t="s">
        <v>1015</v>
      </c>
      <c r="E286" s="35" t="s">
        <v>1350</v>
      </c>
      <c r="F286" s="35" t="s">
        <v>1016</v>
      </c>
      <c r="G286" s="35" t="s">
        <v>1110</v>
      </c>
      <c r="H286" s="35" t="s">
        <v>357</v>
      </c>
      <c r="I286" s="34" t="s">
        <v>411</v>
      </c>
      <c r="J286" s="34">
        <v>99</v>
      </c>
      <c r="K286" s="36" t="s">
        <v>720</v>
      </c>
      <c r="L286" s="36" t="s">
        <v>720</v>
      </c>
      <c r="M286" s="37" t="s">
        <v>721</v>
      </c>
      <c r="N286" s="37" t="s">
        <v>1758</v>
      </c>
      <c r="O286" s="38">
        <v>1</v>
      </c>
      <c r="P286" s="38"/>
      <c r="Q286" s="35"/>
      <c r="S286" s="1">
        <f t="shared" si="95"/>
        <v>0</v>
      </c>
      <c r="T286" s="1">
        <f t="shared" si="96"/>
        <v>0</v>
      </c>
      <c r="U286" s="1">
        <f t="shared" si="97"/>
        <v>0</v>
      </c>
      <c r="V286" s="1">
        <f t="shared" si="98"/>
        <v>0</v>
      </c>
      <c r="W286" s="1">
        <f t="shared" si="99"/>
        <v>0</v>
      </c>
      <c r="X286" s="1">
        <f t="shared" si="100"/>
        <v>0</v>
      </c>
      <c r="Y286" s="1">
        <f t="shared" si="101"/>
        <v>0</v>
      </c>
      <c r="Z286" s="1">
        <f t="shared" si="102"/>
        <v>0</v>
      </c>
      <c r="AA286" s="1">
        <f t="shared" si="103"/>
        <v>0</v>
      </c>
      <c r="AB286" s="1">
        <f t="shared" si="104"/>
        <v>0</v>
      </c>
      <c r="AD286" s="1">
        <f t="shared" si="105"/>
        <v>0</v>
      </c>
      <c r="AE286" s="1">
        <f t="shared" si="106"/>
        <v>1</v>
      </c>
      <c r="AF286" s="1">
        <f t="shared" si="91"/>
        <v>0</v>
      </c>
      <c r="AG286" s="1">
        <f t="shared" si="92"/>
        <v>1</v>
      </c>
      <c r="AH286" s="1">
        <f t="shared" si="93"/>
        <v>0</v>
      </c>
      <c r="AI286" s="1">
        <f t="shared" si="94"/>
        <v>1</v>
      </c>
    </row>
    <row r="287" spans="1:35" ht="14.25" customHeight="1" x14ac:dyDescent="0.3">
      <c r="A287" s="52">
        <v>0</v>
      </c>
      <c r="B287" s="52">
        <v>2</v>
      </c>
      <c r="C287" s="52">
        <v>1</v>
      </c>
      <c r="D287" s="53" t="s">
        <v>1140</v>
      </c>
      <c r="E287" s="53" t="s">
        <v>566</v>
      </c>
      <c r="F287" s="53" t="s">
        <v>1368</v>
      </c>
      <c r="G287" s="53" t="s">
        <v>268</v>
      </c>
      <c r="H287" s="53" t="s">
        <v>357</v>
      </c>
      <c r="I287" s="52" t="s">
        <v>1141</v>
      </c>
      <c r="J287" s="52">
        <v>8</v>
      </c>
      <c r="K287" s="54" t="s">
        <v>719</v>
      </c>
      <c r="L287" s="54" t="s">
        <v>1724</v>
      </c>
      <c r="M287" s="55" t="s">
        <v>721</v>
      </c>
      <c r="N287" s="55" t="s">
        <v>1763</v>
      </c>
      <c r="O287" s="56">
        <v>1</v>
      </c>
      <c r="P287" s="56"/>
      <c r="Q287" s="53"/>
      <c r="S287" s="1">
        <f t="shared" si="95"/>
        <v>0</v>
      </c>
      <c r="T287" s="1">
        <f t="shared" si="96"/>
        <v>0</v>
      </c>
      <c r="U287" s="1">
        <f t="shared" si="97"/>
        <v>0</v>
      </c>
      <c r="V287" s="1">
        <f t="shared" si="98"/>
        <v>0</v>
      </c>
      <c r="W287" s="1">
        <f t="shared" si="99"/>
        <v>0</v>
      </c>
      <c r="X287" s="1">
        <f t="shared" si="100"/>
        <v>0</v>
      </c>
      <c r="Y287" s="1">
        <f t="shared" si="101"/>
        <v>0</v>
      </c>
      <c r="Z287" s="1">
        <f t="shared" si="102"/>
        <v>1</v>
      </c>
      <c r="AA287" s="1">
        <f t="shared" si="103"/>
        <v>0</v>
      </c>
      <c r="AB287" s="1">
        <f t="shared" si="104"/>
        <v>0</v>
      </c>
      <c r="AD287" s="1">
        <f t="shared" si="105"/>
        <v>0</v>
      </c>
      <c r="AE287" s="1">
        <f t="shared" si="106"/>
        <v>1</v>
      </c>
      <c r="AF287" s="1">
        <f t="shared" si="91"/>
        <v>0</v>
      </c>
      <c r="AG287" s="1">
        <f t="shared" si="92"/>
        <v>1</v>
      </c>
      <c r="AH287" s="1">
        <f t="shared" si="93"/>
        <v>0</v>
      </c>
      <c r="AI287" s="1">
        <f t="shared" si="94"/>
        <v>1</v>
      </c>
    </row>
    <row r="288" spans="1:35" ht="14.25" customHeight="1" x14ac:dyDescent="0.3">
      <c r="A288" s="47">
        <v>0</v>
      </c>
      <c r="B288" s="47">
        <v>2</v>
      </c>
      <c r="C288" s="47">
        <v>1</v>
      </c>
      <c r="D288" s="48" t="s">
        <v>1300</v>
      </c>
      <c r="E288" s="48" t="s">
        <v>1348</v>
      </c>
      <c r="F288" s="48" t="s">
        <v>1297</v>
      </c>
      <c r="G288" s="48" t="s">
        <v>1298</v>
      </c>
      <c r="H288" s="48" t="s">
        <v>357</v>
      </c>
      <c r="I288" s="47" t="s">
        <v>1299</v>
      </c>
      <c r="J288" s="47">
        <v>1</v>
      </c>
      <c r="K288" s="49" t="s">
        <v>719</v>
      </c>
      <c r="L288" s="49" t="s">
        <v>720</v>
      </c>
      <c r="M288" s="50" t="s">
        <v>721</v>
      </c>
      <c r="N288" s="50" t="s">
        <v>1753</v>
      </c>
      <c r="O288" s="51"/>
      <c r="P288" s="51"/>
      <c r="Q288" s="68" t="s">
        <v>1917</v>
      </c>
      <c r="S288" s="1">
        <f t="shared" si="95"/>
        <v>1</v>
      </c>
      <c r="T288" s="1">
        <f t="shared" si="96"/>
        <v>0</v>
      </c>
      <c r="U288" s="1">
        <f t="shared" si="97"/>
        <v>0</v>
      </c>
      <c r="V288" s="1">
        <f t="shared" si="98"/>
        <v>0</v>
      </c>
      <c r="W288" s="1">
        <f t="shared" si="99"/>
        <v>0</v>
      </c>
      <c r="X288" s="1">
        <f t="shared" si="100"/>
        <v>0</v>
      </c>
      <c r="Y288" s="1">
        <f t="shared" si="101"/>
        <v>0</v>
      </c>
      <c r="Z288" s="1">
        <f t="shared" si="102"/>
        <v>0</v>
      </c>
      <c r="AA288" s="1">
        <f t="shared" si="103"/>
        <v>0</v>
      </c>
      <c r="AB288" s="1">
        <f t="shared" si="104"/>
        <v>0</v>
      </c>
      <c r="AD288" s="1">
        <f t="shared" si="105"/>
        <v>0</v>
      </c>
      <c r="AE288" s="1">
        <f t="shared" si="106"/>
        <v>0</v>
      </c>
      <c r="AF288" s="1">
        <f t="shared" si="91"/>
        <v>0</v>
      </c>
      <c r="AG288" s="1">
        <f t="shared" si="92"/>
        <v>0</v>
      </c>
      <c r="AH288" s="1">
        <f t="shared" si="93"/>
        <v>0</v>
      </c>
      <c r="AI288" s="1">
        <f t="shared" si="94"/>
        <v>1</v>
      </c>
    </row>
    <row r="289" spans="1:35" ht="14.25" customHeight="1" x14ac:dyDescent="0.3">
      <c r="A289" s="47">
        <v>0</v>
      </c>
      <c r="B289" s="47">
        <v>2</v>
      </c>
      <c r="C289" s="47">
        <v>1</v>
      </c>
      <c r="D289" s="48" t="s">
        <v>52</v>
      </c>
      <c r="E289" s="48" t="s">
        <v>32</v>
      </c>
      <c r="F289" s="48" t="s">
        <v>208</v>
      </c>
      <c r="G289" s="48" t="s">
        <v>209</v>
      </c>
      <c r="H289" s="48" t="s">
        <v>357</v>
      </c>
      <c r="I289" s="47" t="s">
        <v>394</v>
      </c>
      <c r="J289" s="47">
        <v>99</v>
      </c>
      <c r="K289" s="49" t="s">
        <v>719</v>
      </c>
      <c r="L289" s="49" t="s">
        <v>720</v>
      </c>
      <c r="M289" s="50" t="s">
        <v>721</v>
      </c>
      <c r="N289" s="50" t="s">
        <v>1762</v>
      </c>
      <c r="O289" s="51"/>
      <c r="P289" s="51"/>
      <c r="Q289" s="48"/>
      <c r="S289" s="1">
        <f t="shared" si="95"/>
        <v>0</v>
      </c>
      <c r="T289" s="1">
        <f t="shared" si="96"/>
        <v>0</v>
      </c>
      <c r="U289" s="1">
        <f t="shared" si="97"/>
        <v>0</v>
      </c>
      <c r="V289" s="1">
        <f t="shared" si="98"/>
        <v>0</v>
      </c>
      <c r="W289" s="1">
        <f t="shared" si="99"/>
        <v>0</v>
      </c>
      <c r="X289" s="1">
        <f t="shared" si="100"/>
        <v>0</v>
      </c>
      <c r="Y289" s="1">
        <f t="shared" si="101"/>
        <v>0</v>
      </c>
      <c r="Z289" s="1">
        <f t="shared" si="102"/>
        <v>0</v>
      </c>
      <c r="AA289" s="1">
        <f t="shared" si="103"/>
        <v>0</v>
      </c>
      <c r="AB289" s="1">
        <f t="shared" si="104"/>
        <v>0</v>
      </c>
      <c r="AD289" s="1">
        <f t="shared" si="105"/>
        <v>0</v>
      </c>
      <c r="AE289" s="1">
        <f t="shared" si="106"/>
        <v>0</v>
      </c>
      <c r="AF289" s="1">
        <f t="shared" si="91"/>
        <v>0</v>
      </c>
      <c r="AG289" s="1">
        <f t="shared" si="92"/>
        <v>0</v>
      </c>
      <c r="AH289" s="1">
        <f t="shared" si="93"/>
        <v>0</v>
      </c>
      <c r="AI289" s="1">
        <f t="shared" si="94"/>
        <v>1</v>
      </c>
    </row>
    <row r="290" spans="1:35" ht="14.25" customHeight="1" x14ac:dyDescent="0.3">
      <c r="A290" s="47">
        <v>0</v>
      </c>
      <c r="B290" s="47">
        <v>2</v>
      </c>
      <c r="C290" s="47">
        <v>1</v>
      </c>
      <c r="D290" s="48" t="s">
        <v>74</v>
      </c>
      <c r="E290" s="48" t="s">
        <v>566</v>
      </c>
      <c r="F290" s="48" t="s">
        <v>1060</v>
      </c>
      <c r="G290" s="48" t="s">
        <v>192</v>
      </c>
      <c r="H290" s="48" t="s">
        <v>357</v>
      </c>
      <c r="I290" s="47" t="s">
        <v>425</v>
      </c>
      <c r="J290" s="47">
        <v>99</v>
      </c>
      <c r="K290" s="49" t="s">
        <v>961</v>
      </c>
      <c r="L290" s="49" t="s">
        <v>720</v>
      </c>
      <c r="M290" s="50" t="s">
        <v>721</v>
      </c>
      <c r="N290" s="50" t="s">
        <v>1750</v>
      </c>
      <c r="O290" s="51"/>
      <c r="P290" s="51"/>
      <c r="Q290" s="48"/>
      <c r="S290" s="1">
        <f t="shared" si="95"/>
        <v>0</v>
      </c>
      <c r="T290" s="1">
        <f t="shared" si="96"/>
        <v>0</v>
      </c>
      <c r="U290" s="1">
        <f t="shared" si="97"/>
        <v>0</v>
      </c>
      <c r="V290" s="1">
        <f t="shared" si="98"/>
        <v>0</v>
      </c>
      <c r="W290" s="1">
        <f t="shared" si="99"/>
        <v>0</v>
      </c>
      <c r="X290" s="1">
        <f t="shared" si="100"/>
        <v>0</v>
      </c>
      <c r="Y290" s="1">
        <f t="shared" si="101"/>
        <v>0</v>
      </c>
      <c r="Z290" s="1">
        <f t="shared" si="102"/>
        <v>0</v>
      </c>
      <c r="AA290" s="1">
        <f t="shared" si="103"/>
        <v>0</v>
      </c>
      <c r="AB290" s="1">
        <f t="shared" si="104"/>
        <v>0</v>
      </c>
      <c r="AD290" s="1">
        <f t="shared" si="105"/>
        <v>0</v>
      </c>
      <c r="AE290" s="1">
        <f t="shared" si="106"/>
        <v>0</v>
      </c>
      <c r="AF290" s="1">
        <f t="shared" si="91"/>
        <v>0</v>
      </c>
      <c r="AG290" s="1">
        <f t="shared" si="92"/>
        <v>0</v>
      </c>
      <c r="AH290" s="1">
        <f t="shared" si="93"/>
        <v>0</v>
      </c>
      <c r="AI290" s="1">
        <f t="shared" si="94"/>
        <v>1</v>
      </c>
    </row>
    <row r="291" spans="1:35" ht="14.25" customHeight="1" x14ac:dyDescent="0.3">
      <c r="A291" s="15">
        <v>0</v>
      </c>
      <c r="B291" s="15">
        <v>2</v>
      </c>
      <c r="C291" s="15">
        <v>1</v>
      </c>
      <c r="D291" s="16" t="s">
        <v>47</v>
      </c>
      <c r="E291" s="16" t="s">
        <v>32</v>
      </c>
      <c r="F291" s="16" t="s">
        <v>189</v>
      </c>
      <c r="G291" s="16" t="s">
        <v>182</v>
      </c>
      <c r="H291" s="16" t="s">
        <v>357</v>
      </c>
      <c r="I291" s="15" t="s">
        <v>386</v>
      </c>
      <c r="J291" s="15">
        <v>10</v>
      </c>
      <c r="K291" s="10" t="s">
        <v>962</v>
      </c>
      <c r="L291" s="10" t="s">
        <v>720</v>
      </c>
      <c r="M291" s="19" t="s">
        <v>721</v>
      </c>
      <c r="N291" s="19"/>
      <c r="Q291" s="16"/>
      <c r="S291" s="1">
        <f t="shared" si="95"/>
        <v>0</v>
      </c>
      <c r="T291" s="1">
        <f t="shared" si="96"/>
        <v>0</v>
      </c>
      <c r="U291" s="1">
        <f t="shared" si="97"/>
        <v>0</v>
      </c>
      <c r="V291" s="1">
        <f t="shared" si="98"/>
        <v>0</v>
      </c>
      <c r="W291" s="1">
        <f t="shared" si="99"/>
        <v>0</v>
      </c>
      <c r="X291" s="1">
        <f t="shared" si="100"/>
        <v>0</v>
      </c>
      <c r="Y291" s="1">
        <f t="shared" si="101"/>
        <v>0</v>
      </c>
      <c r="Z291" s="1">
        <f t="shared" si="102"/>
        <v>0</v>
      </c>
      <c r="AA291" s="1">
        <f t="shared" si="103"/>
        <v>0</v>
      </c>
      <c r="AB291" s="1">
        <f t="shared" si="104"/>
        <v>1</v>
      </c>
      <c r="AD291" s="1">
        <f t="shared" si="105"/>
        <v>0</v>
      </c>
      <c r="AE291" s="1">
        <f t="shared" si="106"/>
        <v>0</v>
      </c>
      <c r="AF291" s="1">
        <f t="shared" si="91"/>
        <v>0</v>
      </c>
      <c r="AG291" s="1">
        <f t="shared" si="92"/>
        <v>0</v>
      </c>
      <c r="AH291" s="1">
        <f t="shared" si="93"/>
        <v>0</v>
      </c>
      <c r="AI291" s="1">
        <f t="shared" si="94"/>
        <v>1</v>
      </c>
    </row>
    <row r="292" spans="1:35" ht="14.25" customHeight="1" x14ac:dyDescent="0.3">
      <c r="A292" s="47">
        <v>0</v>
      </c>
      <c r="B292" s="47">
        <v>2</v>
      </c>
      <c r="C292" s="47">
        <v>1</v>
      </c>
      <c r="D292" s="48" t="s">
        <v>657</v>
      </c>
      <c r="E292" s="48" t="s">
        <v>162</v>
      </c>
      <c r="F292" s="48" t="s">
        <v>190</v>
      </c>
      <c r="G292" s="48" t="s">
        <v>674</v>
      </c>
      <c r="H292" s="48" t="s">
        <v>357</v>
      </c>
      <c r="I292" s="47" t="s">
        <v>387</v>
      </c>
      <c r="J292" s="47">
        <v>99</v>
      </c>
      <c r="K292" s="49" t="s">
        <v>719</v>
      </c>
      <c r="L292" s="49" t="s">
        <v>720</v>
      </c>
      <c r="M292" s="50" t="s">
        <v>721</v>
      </c>
      <c r="N292" s="50" t="s">
        <v>1752</v>
      </c>
      <c r="O292" s="51"/>
      <c r="P292" s="51"/>
      <c r="Q292" s="48"/>
      <c r="S292" s="1">
        <f t="shared" si="95"/>
        <v>0</v>
      </c>
      <c r="T292" s="1">
        <f t="shared" si="96"/>
        <v>0</v>
      </c>
      <c r="U292" s="1">
        <f t="shared" si="97"/>
        <v>0</v>
      </c>
      <c r="V292" s="1">
        <f t="shared" si="98"/>
        <v>0</v>
      </c>
      <c r="W292" s="1">
        <f t="shared" si="99"/>
        <v>0</v>
      </c>
      <c r="X292" s="1">
        <f t="shared" si="100"/>
        <v>0</v>
      </c>
      <c r="Y292" s="1">
        <f t="shared" si="101"/>
        <v>0</v>
      </c>
      <c r="Z292" s="1">
        <f t="shared" si="102"/>
        <v>0</v>
      </c>
      <c r="AA292" s="1">
        <f t="shared" si="103"/>
        <v>0</v>
      </c>
      <c r="AB292" s="1">
        <f t="shared" si="104"/>
        <v>0</v>
      </c>
      <c r="AD292" s="1">
        <f t="shared" si="105"/>
        <v>0</v>
      </c>
      <c r="AE292" s="1">
        <f t="shared" si="106"/>
        <v>0</v>
      </c>
      <c r="AF292" s="1">
        <f t="shared" si="91"/>
        <v>0</v>
      </c>
      <c r="AG292" s="1">
        <f t="shared" si="92"/>
        <v>0</v>
      </c>
      <c r="AH292" s="1">
        <f t="shared" si="93"/>
        <v>0</v>
      </c>
      <c r="AI292" s="1">
        <f t="shared" si="94"/>
        <v>1</v>
      </c>
    </row>
    <row r="293" spans="1:35" ht="14.25" customHeight="1" x14ac:dyDescent="0.3">
      <c r="A293" s="41">
        <v>0</v>
      </c>
      <c r="B293" s="41">
        <v>2</v>
      </c>
      <c r="C293" s="41">
        <v>1</v>
      </c>
      <c r="D293" s="42" t="s">
        <v>1318</v>
      </c>
      <c r="E293" s="42" t="s">
        <v>36</v>
      </c>
      <c r="F293" s="42" t="s">
        <v>1319</v>
      </c>
      <c r="G293" s="42" t="s">
        <v>260</v>
      </c>
      <c r="H293" s="42" t="s">
        <v>357</v>
      </c>
      <c r="I293" s="41" t="s">
        <v>1320</v>
      </c>
      <c r="J293" s="41">
        <v>8</v>
      </c>
      <c r="K293" s="43" t="s">
        <v>966</v>
      </c>
      <c r="L293" s="43" t="s">
        <v>720</v>
      </c>
      <c r="M293" s="44" t="s">
        <v>721</v>
      </c>
      <c r="N293" s="45"/>
      <c r="O293" s="46"/>
      <c r="P293" s="46">
        <v>1</v>
      </c>
      <c r="Q293" s="42"/>
      <c r="S293" s="1">
        <f t="shared" si="95"/>
        <v>0</v>
      </c>
      <c r="T293" s="1">
        <f t="shared" si="96"/>
        <v>0</v>
      </c>
      <c r="U293" s="1">
        <f t="shared" si="97"/>
        <v>0</v>
      </c>
      <c r="V293" s="1">
        <f t="shared" si="98"/>
        <v>0</v>
      </c>
      <c r="W293" s="1">
        <f t="shared" si="99"/>
        <v>0</v>
      </c>
      <c r="X293" s="1">
        <f t="shared" si="100"/>
        <v>0</v>
      </c>
      <c r="Y293" s="1">
        <f t="shared" si="101"/>
        <v>0</v>
      </c>
      <c r="Z293" s="1">
        <f t="shared" si="102"/>
        <v>1</v>
      </c>
      <c r="AA293" s="1">
        <f t="shared" si="103"/>
        <v>0</v>
      </c>
      <c r="AB293" s="1">
        <f t="shared" si="104"/>
        <v>0</v>
      </c>
      <c r="AD293" s="1">
        <f t="shared" si="105"/>
        <v>0</v>
      </c>
      <c r="AE293" s="1">
        <f t="shared" si="106"/>
        <v>0</v>
      </c>
      <c r="AF293" s="1">
        <f t="shared" si="91"/>
        <v>0</v>
      </c>
      <c r="AG293" s="1">
        <f t="shared" si="92"/>
        <v>0</v>
      </c>
      <c r="AH293" s="1">
        <f t="shared" si="93"/>
        <v>1</v>
      </c>
      <c r="AI293" s="1">
        <f t="shared" si="94"/>
        <v>0</v>
      </c>
    </row>
    <row r="294" spans="1:35" ht="14.25" customHeight="1" x14ac:dyDescent="0.3">
      <c r="A294" s="34">
        <v>0</v>
      </c>
      <c r="B294" s="34">
        <v>2</v>
      </c>
      <c r="C294" s="34">
        <v>1</v>
      </c>
      <c r="D294" s="35" t="s">
        <v>54</v>
      </c>
      <c r="E294" s="35" t="s">
        <v>566</v>
      </c>
      <c r="F294" s="35" t="s">
        <v>214</v>
      </c>
      <c r="G294" s="35" t="s">
        <v>215</v>
      </c>
      <c r="H294" s="35" t="s">
        <v>357</v>
      </c>
      <c r="I294" s="34" t="s">
        <v>396</v>
      </c>
      <c r="J294" s="34">
        <v>1</v>
      </c>
      <c r="K294" s="36" t="s">
        <v>962</v>
      </c>
      <c r="L294" s="36" t="s">
        <v>720</v>
      </c>
      <c r="M294" s="37" t="s">
        <v>39</v>
      </c>
      <c r="N294" s="37" t="s">
        <v>1758</v>
      </c>
      <c r="O294" s="38">
        <v>1</v>
      </c>
      <c r="P294" s="38"/>
      <c r="Q294" s="35"/>
      <c r="S294" s="1">
        <f t="shared" si="95"/>
        <v>1</v>
      </c>
      <c r="T294" s="1">
        <f t="shared" si="96"/>
        <v>0</v>
      </c>
      <c r="U294" s="1">
        <f t="shared" si="97"/>
        <v>0</v>
      </c>
      <c r="V294" s="1">
        <f t="shared" si="98"/>
        <v>0</v>
      </c>
      <c r="W294" s="1">
        <f t="shared" si="99"/>
        <v>0</v>
      </c>
      <c r="X294" s="1">
        <f t="shared" si="100"/>
        <v>0</v>
      </c>
      <c r="Y294" s="1">
        <f t="shared" si="101"/>
        <v>0</v>
      </c>
      <c r="Z294" s="1">
        <f t="shared" si="102"/>
        <v>0</v>
      </c>
      <c r="AA294" s="1">
        <f t="shared" si="103"/>
        <v>0</v>
      </c>
      <c r="AB294" s="1">
        <f t="shared" si="104"/>
        <v>0</v>
      </c>
      <c r="AD294" s="1">
        <f t="shared" si="105"/>
        <v>0</v>
      </c>
      <c r="AE294" s="1">
        <f t="shared" si="106"/>
        <v>1</v>
      </c>
      <c r="AF294" s="1">
        <f t="shared" si="91"/>
        <v>0</v>
      </c>
      <c r="AG294" s="1">
        <f t="shared" si="92"/>
        <v>1</v>
      </c>
      <c r="AH294" s="1">
        <f t="shared" si="93"/>
        <v>0</v>
      </c>
      <c r="AI294" s="1">
        <f t="shared" si="94"/>
        <v>1</v>
      </c>
    </row>
    <row r="295" spans="1:35" ht="14.25" customHeight="1" x14ac:dyDescent="0.3">
      <c r="A295" s="47">
        <v>0</v>
      </c>
      <c r="B295" s="47">
        <v>2</v>
      </c>
      <c r="C295" s="47">
        <v>1</v>
      </c>
      <c r="D295" s="48" t="s">
        <v>61</v>
      </c>
      <c r="E295" s="48" t="s">
        <v>548</v>
      </c>
      <c r="F295" s="48" t="s">
        <v>235</v>
      </c>
      <c r="G295" s="48" t="s">
        <v>206</v>
      </c>
      <c r="H295" s="48" t="s">
        <v>357</v>
      </c>
      <c r="I295" s="47" t="s">
        <v>404</v>
      </c>
      <c r="J295" s="47">
        <v>7</v>
      </c>
      <c r="K295" s="49" t="s">
        <v>719</v>
      </c>
      <c r="L295" s="49" t="s">
        <v>720</v>
      </c>
      <c r="M295" s="50" t="s">
        <v>721</v>
      </c>
      <c r="N295" s="50" t="s">
        <v>1753</v>
      </c>
      <c r="O295" s="51"/>
      <c r="P295" s="51"/>
      <c r="Q295" s="48"/>
      <c r="S295" s="1">
        <f t="shared" si="95"/>
        <v>0</v>
      </c>
      <c r="T295" s="1">
        <f t="shared" si="96"/>
        <v>0</v>
      </c>
      <c r="U295" s="1">
        <f t="shared" si="97"/>
        <v>0</v>
      </c>
      <c r="V295" s="1">
        <f t="shared" si="98"/>
        <v>0</v>
      </c>
      <c r="W295" s="1">
        <f t="shared" si="99"/>
        <v>0</v>
      </c>
      <c r="X295" s="1">
        <f t="shared" si="100"/>
        <v>0</v>
      </c>
      <c r="Y295" s="1">
        <f t="shared" si="101"/>
        <v>1</v>
      </c>
      <c r="Z295" s="1">
        <f t="shared" si="102"/>
        <v>0</v>
      </c>
      <c r="AA295" s="1">
        <f t="shared" si="103"/>
        <v>0</v>
      </c>
      <c r="AB295" s="1">
        <f t="shared" si="104"/>
        <v>0</v>
      </c>
      <c r="AD295" s="1">
        <f t="shared" si="105"/>
        <v>0</v>
      </c>
      <c r="AE295" s="1">
        <f t="shared" si="106"/>
        <v>0</v>
      </c>
      <c r="AF295" s="1">
        <f t="shared" si="91"/>
        <v>0</v>
      </c>
      <c r="AG295" s="1">
        <f t="shared" si="92"/>
        <v>0</v>
      </c>
      <c r="AH295" s="1">
        <f t="shared" si="93"/>
        <v>0</v>
      </c>
      <c r="AI295" s="1">
        <f t="shared" si="94"/>
        <v>1</v>
      </c>
    </row>
    <row r="296" spans="1:35" ht="14.25" customHeight="1" x14ac:dyDescent="0.3">
      <c r="A296" s="52">
        <v>0</v>
      </c>
      <c r="B296" s="52">
        <v>2</v>
      </c>
      <c r="C296" s="52">
        <v>1</v>
      </c>
      <c r="D296" s="53" t="s">
        <v>1662</v>
      </c>
      <c r="E296" s="53" t="s">
        <v>566</v>
      </c>
      <c r="F296" s="53" t="s">
        <v>1372</v>
      </c>
      <c r="G296" s="53" t="s">
        <v>1298</v>
      </c>
      <c r="H296" s="53" t="s">
        <v>357</v>
      </c>
      <c r="I296" s="52" t="s">
        <v>1181</v>
      </c>
      <c r="J296" s="52">
        <v>99</v>
      </c>
      <c r="K296" s="54" t="s">
        <v>719</v>
      </c>
      <c r="L296" s="54" t="s">
        <v>720</v>
      </c>
      <c r="M296" s="55" t="s">
        <v>721</v>
      </c>
      <c r="N296" s="55" t="s">
        <v>1763</v>
      </c>
      <c r="O296" s="56">
        <v>1</v>
      </c>
      <c r="P296" s="56"/>
      <c r="Q296" s="58" t="s">
        <v>1916</v>
      </c>
      <c r="S296" s="1">
        <f t="shared" si="95"/>
        <v>0</v>
      </c>
      <c r="T296" s="1">
        <f t="shared" si="96"/>
        <v>0</v>
      </c>
      <c r="U296" s="1">
        <f t="shared" si="97"/>
        <v>0</v>
      </c>
      <c r="V296" s="1">
        <f t="shared" si="98"/>
        <v>0</v>
      </c>
      <c r="W296" s="1">
        <f t="shared" si="99"/>
        <v>0</v>
      </c>
      <c r="X296" s="1">
        <f t="shared" si="100"/>
        <v>0</v>
      </c>
      <c r="Y296" s="1">
        <f t="shared" si="101"/>
        <v>0</v>
      </c>
      <c r="Z296" s="1">
        <f t="shared" si="102"/>
        <v>0</v>
      </c>
      <c r="AA296" s="1">
        <f t="shared" si="103"/>
        <v>0</v>
      </c>
      <c r="AB296" s="1">
        <f t="shared" si="104"/>
        <v>0</v>
      </c>
      <c r="AD296" s="1">
        <f t="shared" si="105"/>
        <v>0</v>
      </c>
      <c r="AE296" s="1">
        <f t="shared" si="106"/>
        <v>1</v>
      </c>
      <c r="AF296" s="1">
        <f t="shared" si="91"/>
        <v>0</v>
      </c>
      <c r="AG296" s="1">
        <f t="shared" si="92"/>
        <v>1</v>
      </c>
      <c r="AH296" s="1">
        <f t="shared" si="93"/>
        <v>0</v>
      </c>
      <c r="AI296" s="1">
        <f t="shared" si="94"/>
        <v>1</v>
      </c>
    </row>
    <row r="297" spans="1:35" ht="14.25" customHeight="1" x14ac:dyDescent="0.3">
      <c r="A297" s="52">
        <v>0</v>
      </c>
      <c r="B297" s="52">
        <v>2</v>
      </c>
      <c r="C297" s="52">
        <v>1</v>
      </c>
      <c r="D297" s="53" t="s">
        <v>1797</v>
      </c>
      <c r="E297" s="53" t="s">
        <v>1798</v>
      </c>
      <c r="F297" s="53" t="s">
        <v>1799</v>
      </c>
      <c r="G297" s="53" t="s">
        <v>1800</v>
      </c>
      <c r="H297" s="53" t="s">
        <v>357</v>
      </c>
      <c r="I297" s="52"/>
      <c r="J297" s="52">
        <v>1</v>
      </c>
      <c r="K297" s="54" t="s">
        <v>710</v>
      </c>
      <c r="L297" s="54"/>
      <c r="M297" s="55"/>
      <c r="N297" s="55" t="s">
        <v>1758</v>
      </c>
      <c r="O297" s="56">
        <v>1</v>
      </c>
      <c r="P297" s="56"/>
      <c r="Q297" s="58" t="s">
        <v>1924</v>
      </c>
      <c r="S297" s="1">
        <f t="shared" si="95"/>
        <v>1</v>
      </c>
      <c r="T297" s="1">
        <f t="shared" si="96"/>
        <v>0</v>
      </c>
      <c r="U297" s="1">
        <f t="shared" si="97"/>
        <v>0</v>
      </c>
      <c r="V297" s="1">
        <f t="shared" si="98"/>
        <v>0</v>
      </c>
      <c r="W297" s="1">
        <f t="shared" si="99"/>
        <v>0</v>
      </c>
      <c r="X297" s="1">
        <f t="shared" si="100"/>
        <v>0</v>
      </c>
      <c r="Y297" s="1">
        <f t="shared" si="101"/>
        <v>0</v>
      </c>
      <c r="Z297" s="1">
        <f t="shared" si="102"/>
        <v>0</v>
      </c>
      <c r="AA297" s="1">
        <f t="shared" si="103"/>
        <v>0</v>
      </c>
      <c r="AB297" s="1">
        <f t="shared" si="104"/>
        <v>0</v>
      </c>
      <c r="AD297" s="1">
        <f t="shared" si="105"/>
        <v>0</v>
      </c>
      <c r="AE297" s="1">
        <f t="shared" si="106"/>
        <v>1</v>
      </c>
      <c r="AF297" s="1">
        <f t="shared" si="91"/>
        <v>0</v>
      </c>
      <c r="AG297" s="1">
        <f t="shared" si="92"/>
        <v>1</v>
      </c>
      <c r="AH297" s="1">
        <f t="shared" si="93"/>
        <v>0</v>
      </c>
      <c r="AI297" s="1">
        <f t="shared" si="94"/>
        <v>1</v>
      </c>
    </row>
    <row r="298" spans="1:35" ht="14.25" customHeight="1" x14ac:dyDescent="0.3">
      <c r="A298" s="34">
        <v>0</v>
      </c>
      <c r="B298" s="34">
        <v>2</v>
      </c>
      <c r="C298" s="34">
        <v>1</v>
      </c>
      <c r="D298" s="35" t="s">
        <v>1332</v>
      </c>
      <c r="E298" s="35" t="s">
        <v>1352</v>
      </c>
      <c r="F298" s="35" t="s">
        <v>1315</v>
      </c>
      <c r="G298" s="35" t="s">
        <v>1316</v>
      </c>
      <c r="H298" s="35" t="s">
        <v>357</v>
      </c>
      <c r="I298" s="34" t="s">
        <v>1317</v>
      </c>
      <c r="J298" s="34">
        <v>99</v>
      </c>
      <c r="K298" s="36" t="s">
        <v>962</v>
      </c>
      <c r="L298" s="36" t="s">
        <v>720</v>
      </c>
      <c r="M298" s="37" t="s">
        <v>721</v>
      </c>
      <c r="N298" s="37" t="s">
        <v>1934</v>
      </c>
      <c r="O298" s="38">
        <v>1</v>
      </c>
      <c r="P298" s="38"/>
      <c r="Q298" s="35"/>
      <c r="S298" s="1">
        <f t="shared" si="95"/>
        <v>0</v>
      </c>
      <c r="T298" s="1">
        <f t="shared" si="96"/>
        <v>0</v>
      </c>
      <c r="U298" s="1">
        <f t="shared" si="97"/>
        <v>0</v>
      </c>
      <c r="V298" s="1">
        <f t="shared" si="98"/>
        <v>0</v>
      </c>
      <c r="W298" s="1">
        <f t="shared" si="99"/>
        <v>0</v>
      </c>
      <c r="X298" s="1">
        <f t="shared" si="100"/>
        <v>0</v>
      </c>
      <c r="Y298" s="1">
        <f t="shared" si="101"/>
        <v>0</v>
      </c>
      <c r="Z298" s="1">
        <f t="shared" si="102"/>
        <v>0</v>
      </c>
      <c r="AA298" s="1">
        <f t="shared" si="103"/>
        <v>0</v>
      </c>
      <c r="AB298" s="1">
        <f t="shared" si="104"/>
        <v>0</v>
      </c>
      <c r="AD298" s="1">
        <f t="shared" si="105"/>
        <v>0</v>
      </c>
      <c r="AE298" s="1">
        <f t="shared" si="106"/>
        <v>1</v>
      </c>
      <c r="AF298" s="1">
        <f t="shared" si="91"/>
        <v>0</v>
      </c>
      <c r="AG298" s="1">
        <f t="shared" si="92"/>
        <v>1</v>
      </c>
      <c r="AH298" s="1">
        <f t="shared" si="93"/>
        <v>0</v>
      </c>
      <c r="AI298" s="1">
        <f t="shared" si="94"/>
        <v>1</v>
      </c>
    </row>
    <row r="299" spans="1:35" ht="14.25" customHeight="1" x14ac:dyDescent="0.3">
      <c r="A299" s="47">
        <v>0</v>
      </c>
      <c r="B299" s="47">
        <v>2</v>
      </c>
      <c r="C299" s="47">
        <v>1</v>
      </c>
      <c r="D299" s="48" t="s">
        <v>1327</v>
      </c>
      <c r="E299" s="48" t="s">
        <v>162</v>
      </c>
      <c r="F299" s="48" t="s">
        <v>1329</v>
      </c>
      <c r="G299" s="48" t="s">
        <v>1330</v>
      </c>
      <c r="H299" s="48" t="s">
        <v>357</v>
      </c>
      <c r="I299" s="47" t="s">
        <v>1331</v>
      </c>
      <c r="J299" s="47">
        <v>8</v>
      </c>
      <c r="K299" s="49" t="s">
        <v>720</v>
      </c>
      <c r="L299" s="49" t="s">
        <v>720</v>
      </c>
      <c r="M299" s="50" t="s">
        <v>721</v>
      </c>
      <c r="N299" s="50" t="s">
        <v>1762</v>
      </c>
      <c r="O299" s="51"/>
      <c r="P299" s="51"/>
      <c r="Q299" s="48"/>
      <c r="S299" s="1">
        <f t="shared" si="95"/>
        <v>0</v>
      </c>
      <c r="T299" s="1">
        <f t="shared" si="96"/>
        <v>0</v>
      </c>
      <c r="U299" s="1">
        <f t="shared" si="97"/>
        <v>0</v>
      </c>
      <c r="V299" s="1">
        <f t="shared" si="98"/>
        <v>0</v>
      </c>
      <c r="W299" s="1">
        <f t="shared" si="99"/>
        <v>0</v>
      </c>
      <c r="X299" s="1">
        <f t="shared" si="100"/>
        <v>0</v>
      </c>
      <c r="Y299" s="1">
        <f t="shared" si="101"/>
        <v>0</v>
      </c>
      <c r="Z299" s="1">
        <f t="shared" si="102"/>
        <v>1</v>
      </c>
      <c r="AA299" s="1">
        <f t="shared" si="103"/>
        <v>0</v>
      </c>
      <c r="AB299" s="1">
        <f t="shared" si="104"/>
        <v>0</v>
      </c>
      <c r="AD299" s="1">
        <f t="shared" si="105"/>
        <v>0</v>
      </c>
      <c r="AE299" s="1">
        <f t="shared" si="106"/>
        <v>0</v>
      </c>
      <c r="AF299" s="1">
        <f t="shared" si="91"/>
        <v>0</v>
      </c>
      <c r="AG299" s="1">
        <f t="shared" si="92"/>
        <v>0</v>
      </c>
      <c r="AH299" s="1">
        <f t="shared" si="93"/>
        <v>0</v>
      </c>
      <c r="AI299" s="1">
        <f t="shared" si="94"/>
        <v>1</v>
      </c>
    </row>
    <row r="300" spans="1:35" ht="14.25" customHeight="1" x14ac:dyDescent="0.3">
      <c r="A300" s="47">
        <v>0</v>
      </c>
      <c r="B300" s="47">
        <v>2</v>
      </c>
      <c r="C300" s="47">
        <v>2</v>
      </c>
      <c r="D300" s="48" t="s">
        <v>1661</v>
      </c>
      <c r="E300" s="48" t="s">
        <v>1182</v>
      </c>
      <c r="F300" s="48" t="s">
        <v>1695</v>
      </c>
      <c r="G300" s="48" t="s">
        <v>192</v>
      </c>
      <c r="H300" s="48" t="s">
        <v>357</v>
      </c>
      <c r="I300" s="47" t="s">
        <v>1622</v>
      </c>
      <c r="J300" s="47">
        <v>99</v>
      </c>
      <c r="K300" s="49" t="s">
        <v>720</v>
      </c>
      <c r="L300" s="49" t="s">
        <v>703</v>
      </c>
      <c r="M300" s="50" t="s">
        <v>1623</v>
      </c>
      <c r="N300" s="50" t="s">
        <v>1753</v>
      </c>
      <c r="O300" s="51"/>
      <c r="P300" s="51"/>
      <c r="Q300" s="48"/>
      <c r="S300" s="1">
        <f t="shared" si="95"/>
        <v>0</v>
      </c>
      <c r="T300" s="1">
        <f t="shared" si="96"/>
        <v>0</v>
      </c>
      <c r="U300" s="1">
        <f t="shared" si="97"/>
        <v>0</v>
      </c>
      <c r="V300" s="1">
        <f t="shared" si="98"/>
        <v>0</v>
      </c>
      <c r="W300" s="1">
        <f t="shared" si="99"/>
        <v>0</v>
      </c>
      <c r="X300" s="1">
        <f t="shared" si="100"/>
        <v>0</v>
      </c>
      <c r="Y300" s="1">
        <f t="shared" si="101"/>
        <v>0</v>
      </c>
      <c r="Z300" s="1">
        <f t="shared" si="102"/>
        <v>0</v>
      </c>
      <c r="AA300" s="1">
        <f t="shared" si="103"/>
        <v>0</v>
      </c>
      <c r="AB300" s="1">
        <f t="shared" si="104"/>
        <v>0</v>
      </c>
      <c r="AD300" s="1">
        <f t="shared" si="105"/>
        <v>0</v>
      </c>
      <c r="AE300" s="1">
        <f t="shared" si="106"/>
        <v>0</v>
      </c>
      <c r="AF300" s="1">
        <f t="shared" si="91"/>
        <v>0</v>
      </c>
      <c r="AG300" s="1">
        <f t="shared" si="92"/>
        <v>0</v>
      </c>
      <c r="AH300" s="1">
        <f t="shared" si="93"/>
        <v>0</v>
      </c>
      <c r="AI300" s="1">
        <f t="shared" si="94"/>
        <v>1</v>
      </c>
    </row>
    <row r="301" spans="1:35" ht="14.25" customHeight="1" x14ac:dyDescent="0.3">
      <c r="A301" s="52">
        <v>0</v>
      </c>
      <c r="B301" s="52">
        <v>2</v>
      </c>
      <c r="C301" s="52">
        <v>2</v>
      </c>
      <c r="D301" s="53" t="s">
        <v>65</v>
      </c>
      <c r="E301" s="53" t="s">
        <v>166</v>
      </c>
      <c r="F301" s="53" t="s">
        <v>245</v>
      </c>
      <c r="G301" s="53" t="s">
        <v>202</v>
      </c>
      <c r="H301" s="53" t="s">
        <v>357</v>
      </c>
      <c r="I301" s="52" t="s">
        <v>410</v>
      </c>
      <c r="J301" s="52">
        <v>2</v>
      </c>
      <c r="K301" s="54" t="s">
        <v>962</v>
      </c>
      <c r="L301" s="54" t="s">
        <v>703</v>
      </c>
      <c r="M301" s="55" t="s">
        <v>722</v>
      </c>
      <c r="N301" s="55" t="s">
        <v>1758</v>
      </c>
      <c r="O301" s="56">
        <v>1</v>
      </c>
      <c r="P301" s="56"/>
      <c r="Q301" s="53"/>
      <c r="S301" s="1">
        <f t="shared" si="95"/>
        <v>0</v>
      </c>
      <c r="T301" s="1">
        <f t="shared" si="96"/>
        <v>1</v>
      </c>
      <c r="U301" s="1">
        <f t="shared" si="97"/>
        <v>0</v>
      </c>
      <c r="V301" s="1">
        <f t="shared" si="98"/>
        <v>0</v>
      </c>
      <c r="W301" s="1">
        <f t="shared" si="99"/>
        <v>0</v>
      </c>
      <c r="X301" s="1">
        <f t="shared" si="100"/>
        <v>0</v>
      </c>
      <c r="Y301" s="1">
        <f t="shared" si="101"/>
        <v>0</v>
      </c>
      <c r="Z301" s="1">
        <f t="shared" si="102"/>
        <v>0</v>
      </c>
      <c r="AA301" s="1">
        <f t="shared" si="103"/>
        <v>0</v>
      </c>
      <c r="AB301" s="1">
        <f t="shared" si="104"/>
        <v>0</v>
      </c>
      <c r="AD301" s="1">
        <f t="shared" si="105"/>
        <v>0</v>
      </c>
      <c r="AE301" s="1">
        <f t="shared" si="106"/>
        <v>1</v>
      </c>
      <c r="AF301" s="1">
        <f t="shared" si="91"/>
        <v>0</v>
      </c>
      <c r="AG301" s="1">
        <f t="shared" si="92"/>
        <v>1</v>
      </c>
      <c r="AH301" s="1">
        <f t="shared" si="93"/>
        <v>0</v>
      </c>
      <c r="AI301" s="1">
        <f t="shared" si="94"/>
        <v>1</v>
      </c>
    </row>
    <row r="302" spans="1:35" ht="14.25" customHeight="1" x14ac:dyDescent="0.3">
      <c r="A302" s="47">
        <v>0</v>
      </c>
      <c r="B302" s="47">
        <v>2</v>
      </c>
      <c r="C302" s="47">
        <v>2</v>
      </c>
      <c r="D302" s="48" t="s">
        <v>1196</v>
      </c>
      <c r="E302" s="48" t="s">
        <v>1197</v>
      </c>
      <c r="F302" s="48" t="s">
        <v>1362</v>
      </c>
      <c r="G302" s="48" t="s">
        <v>1066</v>
      </c>
      <c r="H302" s="48" t="s">
        <v>357</v>
      </c>
      <c r="I302" s="47" t="s">
        <v>1198</v>
      </c>
      <c r="J302" s="47">
        <v>1</v>
      </c>
      <c r="K302" s="49" t="s">
        <v>719</v>
      </c>
      <c r="L302" s="49" t="s">
        <v>711</v>
      </c>
      <c r="M302" s="50" t="s">
        <v>1426</v>
      </c>
      <c r="N302" s="50" t="s">
        <v>1750</v>
      </c>
      <c r="O302" s="51"/>
      <c r="P302" s="51"/>
      <c r="Q302" s="48"/>
      <c r="S302" s="1">
        <f t="shared" si="95"/>
        <v>1</v>
      </c>
      <c r="T302" s="1">
        <f t="shared" si="96"/>
        <v>0</v>
      </c>
      <c r="U302" s="1">
        <f t="shared" si="97"/>
        <v>0</v>
      </c>
      <c r="V302" s="1">
        <f t="shared" si="98"/>
        <v>0</v>
      </c>
      <c r="W302" s="1">
        <f t="shared" si="99"/>
        <v>0</v>
      </c>
      <c r="X302" s="1">
        <f t="shared" si="100"/>
        <v>0</v>
      </c>
      <c r="Y302" s="1">
        <f t="shared" si="101"/>
        <v>0</v>
      </c>
      <c r="Z302" s="1">
        <f t="shared" si="102"/>
        <v>0</v>
      </c>
      <c r="AA302" s="1">
        <f t="shared" si="103"/>
        <v>0</v>
      </c>
      <c r="AB302" s="1">
        <f t="shared" si="104"/>
        <v>0</v>
      </c>
      <c r="AD302" s="1">
        <f t="shared" si="105"/>
        <v>0</v>
      </c>
      <c r="AE302" s="1">
        <f t="shared" si="106"/>
        <v>0</v>
      </c>
      <c r="AF302" s="1">
        <f t="shared" si="91"/>
        <v>0</v>
      </c>
      <c r="AG302" s="1">
        <f t="shared" si="92"/>
        <v>0</v>
      </c>
      <c r="AH302" s="1">
        <f t="shared" si="93"/>
        <v>0</v>
      </c>
      <c r="AI302" s="1">
        <f t="shared" si="94"/>
        <v>1</v>
      </c>
    </row>
    <row r="303" spans="1:35" ht="14.25" customHeight="1" x14ac:dyDescent="0.3">
      <c r="A303" s="34">
        <v>0</v>
      </c>
      <c r="B303" s="34">
        <v>2</v>
      </c>
      <c r="C303" s="34">
        <v>2</v>
      </c>
      <c r="D303" s="35" t="s">
        <v>1843</v>
      </c>
      <c r="E303" s="35" t="s">
        <v>1844</v>
      </c>
      <c r="F303" s="35" t="s">
        <v>1845</v>
      </c>
      <c r="G303" s="35" t="s">
        <v>198</v>
      </c>
      <c r="H303" s="35" t="s">
        <v>357</v>
      </c>
      <c r="I303" s="34" t="s">
        <v>1846</v>
      </c>
      <c r="J303" s="34"/>
      <c r="K303" s="36" t="s">
        <v>710</v>
      </c>
      <c r="L303" s="36">
        <v>20</v>
      </c>
      <c r="M303" s="37" t="s">
        <v>1847</v>
      </c>
      <c r="N303" s="37" t="s">
        <v>1763</v>
      </c>
      <c r="O303" s="38">
        <v>1</v>
      </c>
      <c r="P303" s="38"/>
      <c r="Q303" s="35"/>
      <c r="S303" s="1">
        <f t="shared" si="95"/>
        <v>0</v>
      </c>
      <c r="T303" s="1">
        <f t="shared" si="96"/>
        <v>0</v>
      </c>
      <c r="U303" s="1">
        <f t="shared" si="97"/>
        <v>0</v>
      </c>
      <c r="V303" s="1">
        <f t="shared" si="98"/>
        <v>0</v>
      </c>
      <c r="W303" s="1">
        <f t="shared" si="99"/>
        <v>0</v>
      </c>
      <c r="X303" s="1">
        <f t="shared" si="100"/>
        <v>0</v>
      </c>
      <c r="Y303" s="1">
        <f t="shared" si="101"/>
        <v>0</v>
      </c>
      <c r="Z303" s="1">
        <f t="shared" si="102"/>
        <v>0</v>
      </c>
      <c r="AA303" s="1">
        <f t="shared" si="103"/>
        <v>0</v>
      </c>
      <c r="AB303" s="1">
        <f t="shared" si="104"/>
        <v>0</v>
      </c>
      <c r="AD303" s="1">
        <f t="shared" si="105"/>
        <v>0</v>
      </c>
      <c r="AE303" s="1">
        <f t="shared" si="106"/>
        <v>1</v>
      </c>
      <c r="AF303" s="1">
        <f t="shared" si="91"/>
        <v>0</v>
      </c>
      <c r="AG303" s="1">
        <f t="shared" si="92"/>
        <v>1</v>
      </c>
      <c r="AH303" s="1">
        <f t="shared" si="93"/>
        <v>0</v>
      </c>
      <c r="AI303" s="1">
        <f t="shared" si="94"/>
        <v>1</v>
      </c>
    </row>
    <row r="304" spans="1:35" ht="14.25" customHeight="1" x14ac:dyDescent="0.3">
      <c r="A304" s="15">
        <v>0</v>
      </c>
      <c r="B304" s="15">
        <v>2</v>
      </c>
      <c r="C304" s="15">
        <v>2</v>
      </c>
      <c r="D304" s="16" t="s">
        <v>1591</v>
      </c>
      <c r="E304" s="16" t="s">
        <v>1592</v>
      </c>
      <c r="F304" s="16" t="s">
        <v>1594</v>
      </c>
      <c r="G304" s="16" t="s">
        <v>1595</v>
      </c>
      <c r="H304" s="16" t="s">
        <v>357</v>
      </c>
      <c r="I304" s="15" t="s">
        <v>1593</v>
      </c>
      <c r="J304" s="15">
        <v>99</v>
      </c>
      <c r="K304" s="10" t="s">
        <v>710</v>
      </c>
      <c r="L304" s="10">
        <v>18</v>
      </c>
      <c r="M304" s="19" t="s">
        <v>1596</v>
      </c>
      <c r="N304" s="17"/>
      <c r="Q304" s="16"/>
      <c r="S304" s="1">
        <f t="shared" si="95"/>
        <v>0</v>
      </c>
      <c r="T304" s="1">
        <f t="shared" si="96"/>
        <v>0</v>
      </c>
      <c r="U304" s="1">
        <f t="shared" si="97"/>
        <v>0</v>
      </c>
      <c r="V304" s="1">
        <f t="shared" si="98"/>
        <v>0</v>
      </c>
      <c r="W304" s="1">
        <f t="shared" si="99"/>
        <v>0</v>
      </c>
      <c r="X304" s="1">
        <f t="shared" si="100"/>
        <v>0</v>
      </c>
      <c r="Y304" s="1">
        <f t="shared" si="101"/>
        <v>0</v>
      </c>
      <c r="Z304" s="1">
        <f t="shared" si="102"/>
        <v>0</v>
      </c>
      <c r="AA304" s="1">
        <f t="shared" si="103"/>
        <v>0</v>
      </c>
      <c r="AB304" s="1">
        <f t="shared" si="104"/>
        <v>0</v>
      </c>
      <c r="AD304" s="1">
        <f t="shared" si="105"/>
        <v>0</v>
      </c>
      <c r="AE304" s="1">
        <f t="shared" si="106"/>
        <v>0</v>
      </c>
      <c r="AF304" s="1">
        <f t="shared" si="91"/>
        <v>0</v>
      </c>
      <c r="AG304" s="1">
        <f t="shared" si="92"/>
        <v>0</v>
      </c>
      <c r="AH304" s="1">
        <f t="shared" si="93"/>
        <v>0</v>
      </c>
      <c r="AI304" s="1">
        <f t="shared" si="94"/>
        <v>1</v>
      </c>
    </row>
    <row r="305" spans="1:35" ht="14.25" customHeight="1" x14ac:dyDescent="0.3">
      <c r="A305" s="52">
        <v>0</v>
      </c>
      <c r="B305" s="52">
        <v>2</v>
      </c>
      <c r="C305" s="52">
        <v>2</v>
      </c>
      <c r="D305" s="53" t="s">
        <v>64</v>
      </c>
      <c r="E305" s="53" t="s">
        <v>33</v>
      </c>
      <c r="F305" s="53" t="s">
        <v>243</v>
      </c>
      <c r="G305" s="53" t="s">
        <v>244</v>
      </c>
      <c r="H305" s="53" t="s">
        <v>357</v>
      </c>
      <c r="I305" s="52" t="s">
        <v>409</v>
      </c>
      <c r="J305" s="52">
        <v>1</v>
      </c>
      <c r="K305" s="54" t="s">
        <v>968</v>
      </c>
      <c r="L305" s="54" t="s">
        <v>723</v>
      </c>
      <c r="M305" s="55" t="s">
        <v>724</v>
      </c>
      <c r="N305" s="55" t="s">
        <v>1758</v>
      </c>
      <c r="O305" s="56">
        <v>1</v>
      </c>
      <c r="P305" s="56"/>
      <c r="Q305" s="53"/>
      <c r="S305" s="1">
        <f t="shared" si="95"/>
        <v>1</v>
      </c>
      <c r="T305" s="1">
        <f t="shared" si="96"/>
        <v>0</v>
      </c>
      <c r="U305" s="1">
        <f t="shared" si="97"/>
        <v>0</v>
      </c>
      <c r="V305" s="1">
        <f t="shared" si="98"/>
        <v>0</v>
      </c>
      <c r="W305" s="1">
        <f t="shared" si="99"/>
        <v>0</v>
      </c>
      <c r="X305" s="1">
        <f t="shared" si="100"/>
        <v>0</v>
      </c>
      <c r="Y305" s="1">
        <f t="shared" si="101"/>
        <v>0</v>
      </c>
      <c r="Z305" s="1">
        <f t="shared" si="102"/>
        <v>0</v>
      </c>
      <c r="AA305" s="1">
        <f t="shared" si="103"/>
        <v>0</v>
      </c>
      <c r="AB305" s="1">
        <f t="shared" si="104"/>
        <v>0</v>
      </c>
      <c r="AD305" s="1">
        <f t="shared" si="105"/>
        <v>0</v>
      </c>
      <c r="AE305" s="1">
        <f t="shared" si="106"/>
        <v>1</v>
      </c>
      <c r="AF305" s="1">
        <f t="shared" si="91"/>
        <v>0</v>
      </c>
      <c r="AG305" s="1">
        <f t="shared" si="92"/>
        <v>1</v>
      </c>
      <c r="AH305" s="1">
        <f t="shared" si="93"/>
        <v>0</v>
      </c>
      <c r="AI305" s="1">
        <f t="shared" si="94"/>
        <v>1</v>
      </c>
    </row>
    <row r="306" spans="1:35" ht="14.25" customHeight="1" x14ac:dyDescent="0.3">
      <c r="A306" s="52">
        <v>0</v>
      </c>
      <c r="B306" s="52">
        <v>2</v>
      </c>
      <c r="C306" s="52">
        <v>2</v>
      </c>
      <c r="D306" s="53" t="s">
        <v>62</v>
      </c>
      <c r="E306" s="53" t="s">
        <v>1096</v>
      </c>
      <c r="F306" s="53" t="s">
        <v>236</v>
      </c>
      <c r="G306" s="53" t="s">
        <v>237</v>
      </c>
      <c r="H306" s="53" t="s">
        <v>357</v>
      </c>
      <c r="I306" s="52" t="s">
        <v>1379</v>
      </c>
      <c r="J306" s="52">
        <v>99</v>
      </c>
      <c r="K306" s="54" t="s">
        <v>962</v>
      </c>
      <c r="L306" s="54" t="s">
        <v>723</v>
      </c>
      <c r="M306" s="55" t="s">
        <v>725</v>
      </c>
      <c r="N306" s="55" t="s">
        <v>1758</v>
      </c>
      <c r="O306" s="56">
        <v>1</v>
      </c>
      <c r="P306" s="56"/>
      <c r="Q306" s="53"/>
      <c r="S306" s="1">
        <f t="shared" si="95"/>
        <v>0</v>
      </c>
      <c r="T306" s="1">
        <f t="shared" si="96"/>
        <v>0</v>
      </c>
      <c r="U306" s="1">
        <f t="shared" si="97"/>
        <v>0</v>
      </c>
      <c r="V306" s="1">
        <f t="shared" si="98"/>
        <v>0</v>
      </c>
      <c r="W306" s="1">
        <f t="shared" si="99"/>
        <v>0</v>
      </c>
      <c r="X306" s="1">
        <f t="shared" si="100"/>
        <v>0</v>
      </c>
      <c r="Y306" s="1">
        <f t="shared" si="101"/>
        <v>0</v>
      </c>
      <c r="Z306" s="1">
        <f t="shared" si="102"/>
        <v>0</v>
      </c>
      <c r="AA306" s="1">
        <f t="shared" si="103"/>
        <v>0</v>
      </c>
      <c r="AB306" s="1">
        <f t="shared" si="104"/>
        <v>0</v>
      </c>
      <c r="AD306" s="1">
        <f t="shared" si="105"/>
        <v>0</v>
      </c>
      <c r="AE306" s="1">
        <f t="shared" si="106"/>
        <v>1</v>
      </c>
      <c r="AF306" s="1">
        <f t="shared" si="91"/>
        <v>0</v>
      </c>
      <c r="AG306" s="1">
        <f t="shared" si="92"/>
        <v>1</v>
      </c>
      <c r="AH306" s="1">
        <f t="shared" si="93"/>
        <v>0</v>
      </c>
      <c r="AI306" s="1">
        <f t="shared" si="94"/>
        <v>1</v>
      </c>
    </row>
    <row r="307" spans="1:35" ht="14.25" customHeight="1" x14ac:dyDescent="0.3">
      <c r="A307" s="34">
        <v>0</v>
      </c>
      <c r="B307" s="34">
        <v>2</v>
      </c>
      <c r="C307" s="34">
        <v>2</v>
      </c>
      <c r="D307" s="35" t="s">
        <v>1731</v>
      </c>
      <c r="E307" s="35" t="s">
        <v>1733</v>
      </c>
      <c r="F307" s="35" t="s">
        <v>1732</v>
      </c>
      <c r="G307" s="35"/>
      <c r="H307" s="35" t="s">
        <v>357</v>
      </c>
      <c r="I307" s="34" t="s">
        <v>1734</v>
      </c>
      <c r="J307" s="34"/>
      <c r="K307" s="36" t="s">
        <v>710</v>
      </c>
      <c r="L307" s="36"/>
      <c r="M307" s="37"/>
      <c r="N307" s="37" t="s">
        <v>1742</v>
      </c>
      <c r="O307" s="38">
        <v>1</v>
      </c>
      <c r="P307" s="38">
        <v>1</v>
      </c>
      <c r="Q307" s="35"/>
      <c r="S307" s="1">
        <f t="shared" si="95"/>
        <v>0</v>
      </c>
      <c r="T307" s="1">
        <f t="shared" si="96"/>
        <v>0</v>
      </c>
      <c r="U307" s="1">
        <f t="shared" si="97"/>
        <v>0</v>
      </c>
      <c r="V307" s="1">
        <f t="shared" si="98"/>
        <v>0</v>
      </c>
      <c r="W307" s="1">
        <f t="shared" si="99"/>
        <v>0</v>
      </c>
      <c r="X307" s="1">
        <f t="shared" si="100"/>
        <v>0</v>
      </c>
      <c r="Y307" s="1">
        <f t="shared" si="101"/>
        <v>0</v>
      </c>
      <c r="Z307" s="1">
        <f t="shared" si="102"/>
        <v>0</v>
      </c>
      <c r="AA307" s="1">
        <f t="shared" si="103"/>
        <v>0</v>
      </c>
      <c r="AB307" s="1">
        <f t="shared" si="104"/>
        <v>0</v>
      </c>
      <c r="AD307" s="1">
        <f t="shared" si="105"/>
        <v>1</v>
      </c>
      <c r="AE307" s="1">
        <f t="shared" si="106"/>
        <v>0</v>
      </c>
      <c r="AF307" s="1">
        <f t="shared" si="91"/>
        <v>1</v>
      </c>
      <c r="AG307" s="1">
        <f t="shared" si="92"/>
        <v>0</v>
      </c>
      <c r="AH307" s="1">
        <f t="shared" si="93"/>
        <v>1</v>
      </c>
      <c r="AI307" s="1">
        <f t="shared" si="94"/>
        <v>0</v>
      </c>
    </row>
    <row r="308" spans="1:35" ht="14.25" customHeight="1" x14ac:dyDescent="0.3">
      <c r="A308" s="47">
        <v>0</v>
      </c>
      <c r="B308" s="47">
        <v>2</v>
      </c>
      <c r="C308" s="47">
        <v>2</v>
      </c>
      <c r="D308" s="48" t="s">
        <v>794</v>
      </c>
      <c r="E308" s="48" t="s">
        <v>916</v>
      </c>
      <c r="F308" s="48" t="s">
        <v>1586</v>
      </c>
      <c r="G308" s="48" t="s">
        <v>232</v>
      </c>
      <c r="H308" s="48" t="s">
        <v>357</v>
      </c>
      <c r="I308" s="47" t="s">
        <v>1709</v>
      </c>
      <c r="J308" s="47">
        <v>7</v>
      </c>
      <c r="K308" s="49" t="s">
        <v>720</v>
      </c>
      <c r="L308" s="49">
        <v>20</v>
      </c>
      <c r="M308" s="50" t="s">
        <v>39</v>
      </c>
      <c r="N308" s="50" t="s">
        <v>1749</v>
      </c>
      <c r="O308" s="51"/>
      <c r="P308" s="51"/>
      <c r="Q308" s="48"/>
      <c r="S308" s="1">
        <f t="shared" si="95"/>
        <v>0</v>
      </c>
      <c r="T308" s="1">
        <f t="shared" si="96"/>
        <v>0</v>
      </c>
      <c r="U308" s="1">
        <f t="shared" si="97"/>
        <v>0</v>
      </c>
      <c r="V308" s="1">
        <f t="shared" si="98"/>
        <v>0</v>
      </c>
      <c r="W308" s="1">
        <f t="shared" si="99"/>
        <v>0</v>
      </c>
      <c r="X308" s="1">
        <f t="shared" si="100"/>
        <v>0</v>
      </c>
      <c r="Y308" s="1">
        <f t="shared" si="101"/>
        <v>1</v>
      </c>
      <c r="Z308" s="1">
        <f t="shared" si="102"/>
        <v>0</v>
      </c>
      <c r="AA308" s="1">
        <f t="shared" si="103"/>
        <v>0</v>
      </c>
      <c r="AB308" s="1">
        <f t="shared" si="104"/>
        <v>0</v>
      </c>
      <c r="AD308" s="1">
        <f t="shared" si="105"/>
        <v>0</v>
      </c>
      <c r="AE308" s="1">
        <f t="shared" si="106"/>
        <v>0</v>
      </c>
      <c r="AF308" s="1">
        <f t="shared" si="91"/>
        <v>0</v>
      </c>
      <c r="AG308" s="1">
        <f t="shared" si="92"/>
        <v>0</v>
      </c>
      <c r="AH308" s="1">
        <f t="shared" si="93"/>
        <v>0</v>
      </c>
      <c r="AI308" s="1">
        <f t="shared" si="94"/>
        <v>1</v>
      </c>
    </row>
    <row r="309" spans="1:35" ht="14.25" customHeight="1" x14ac:dyDescent="0.3">
      <c r="A309" s="34">
        <v>0</v>
      </c>
      <c r="B309" s="34">
        <v>2</v>
      </c>
      <c r="C309" s="34">
        <v>2</v>
      </c>
      <c r="D309" s="35" t="s">
        <v>859</v>
      </c>
      <c r="E309" s="35" t="s">
        <v>546</v>
      </c>
      <c r="F309" s="35" t="s">
        <v>861</v>
      </c>
      <c r="G309" s="35" t="s">
        <v>222</v>
      </c>
      <c r="H309" s="35" t="s">
        <v>357</v>
      </c>
      <c r="I309" s="34" t="s">
        <v>862</v>
      </c>
      <c r="J309" s="34">
        <v>8</v>
      </c>
      <c r="K309" s="36" t="s">
        <v>720</v>
      </c>
      <c r="L309" s="36" t="s">
        <v>723</v>
      </c>
      <c r="M309" s="37" t="s">
        <v>1427</v>
      </c>
      <c r="N309" s="37" t="s">
        <v>1758</v>
      </c>
      <c r="O309" s="38">
        <v>1</v>
      </c>
      <c r="P309" s="38"/>
      <c r="Q309" s="35"/>
      <c r="S309" s="1">
        <f t="shared" si="95"/>
        <v>0</v>
      </c>
      <c r="T309" s="1">
        <f t="shared" si="96"/>
        <v>0</v>
      </c>
      <c r="U309" s="1">
        <f t="shared" si="97"/>
        <v>0</v>
      </c>
      <c r="V309" s="1">
        <f t="shared" si="98"/>
        <v>0</v>
      </c>
      <c r="W309" s="1">
        <f t="shared" si="99"/>
        <v>0</v>
      </c>
      <c r="X309" s="1">
        <f t="shared" si="100"/>
        <v>0</v>
      </c>
      <c r="Y309" s="1">
        <f t="shared" si="101"/>
        <v>0</v>
      </c>
      <c r="Z309" s="1">
        <f t="shared" si="102"/>
        <v>1</v>
      </c>
      <c r="AA309" s="1">
        <f t="shared" si="103"/>
        <v>0</v>
      </c>
      <c r="AB309" s="1">
        <f t="shared" si="104"/>
        <v>0</v>
      </c>
      <c r="AD309" s="1">
        <f t="shared" si="105"/>
        <v>0</v>
      </c>
      <c r="AE309" s="1">
        <f t="shared" si="106"/>
        <v>1</v>
      </c>
      <c r="AF309" s="1">
        <f t="shared" si="91"/>
        <v>0</v>
      </c>
      <c r="AG309" s="1">
        <f t="shared" si="92"/>
        <v>1</v>
      </c>
      <c r="AH309" s="1">
        <f t="shared" si="93"/>
        <v>0</v>
      </c>
      <c r="AI309" s="1">
        <f t="shared" si="94"/>
        <v>1</v>
      </c>
    </row>
    <row r="310" spans="1:35" ht="14.25" customHeight="1" x14ac:dyDescent="0.3">
      <c r="A310" s="34">
        <v>1</v>
      </c>
      <c r="B310" s="34">
        <v>2</v>
      </c>
      <c r="C310" s="34">
        <v>2</v>
      </c>
      <c r="D310" s="35" t="s">
        <v>859</v>
      </c>
      <c r="E310" s="35" t="s">
        <v>546</v>
      </c>
      <c r="F310" s="35" t="s">
        <v>1367</v>
      </c>
      <c r="G310" s="35" t="s">
        <v>196</v>
      </c>
      <c r="H310" s="35" t="s">
        <v>357</v>
      </c>
      <c r="I310" s="34" t="s">
        <v>860</v>
      </c>
      <c r="J310" s="34">
        <v>9</v>
      </c>
      <c r="K310" s="36" t="s">
        <v>720</v>
      </c>
      <c r="L310" s="36" t="s">
        <v>723</v>
      </c>
      <c r="M310" s="37" t="s">
        <v>1427</v>
      </c>
      <c r="N310" s="37" t="s">
        <v>1758</v>
      </c>
      <c r="O310" s="38">
        <v>1</v>
      </c>
      <c r="P310" s="38"/>
      <c r="Q310" s="35"/>
      <c r="S310" s="1">
        <f t="shared" si="95"/>
        <v>0</v>
      </c>
      <c r="T310" s="1">
        <f t="shared" si="96"/>
        <v>0</v>
      </c>
      <c r="U310" s="1">
        <f t="shared" si="97"/>
        <v>0</v>
      </c>
      <c r="V310" s="1">
        <f t="shared" si="98"/>
        <v>0</v>
      </c>
      <c r="W310" s="1">
        <f t="shared" si="99"/>
        <v>0</v>
      </c>
      <c r="X310" s="1">
        <f t="shared" si="100"/>
        <v>0</v>
      </c>
      <c r="Y310" s="1">
        <f t="shared" si="101"/>
        <v>0</v>
      </c>
      <c r="Z310" s="1">
        <f t="shared" si="102"/>
        <v>0</v>
      </c>
      <c r="AA310" s="1">
        <f t="shared" si="103"/>
        <v>1</v>
      </c>
      <c r="AB310" s="1">
        <f t="shared" si="104"/>
        <v>0</v>
      </c>
      <c r="AD310" s="1">
        <f t="shared" si="105"/>
        <v>0</v>
      </c>
      <c r="AE310" s="1">
        <f t="shared" si="106"/>
        <v>1</v>
      </c>
      <c r="AF310" s="1">
        <f t="shared" si="91"/>
        <v>0</v>
      </c>
      <c r="AG310" s="1">
        <f t="shared" si="92"/>
        <v>0</v>
      </c>
      <c r="AH310" s="1">
        <f t="shared" si="93"/>
        <v>0</v>
      </c>
      <c r="AI310" s="1">
        <f t="shared" si="94"/>
        <v>0</v>
      </c>
    </row>
    <row r="311" spans="1:35" ht="14.25" customHeight="1" x14ac:dyDescent="0.3">
      <c r="A311" s="47">
        <v>0</v>
      </c>
      <c r="B311" s="47">
        <v>2</v>
      </c>
      <c r="C311" s="47">
        <v>2</v>
      </c>
      <c r="D311" s="48" t="s">
        <v>925</v>
      </c>
      <c r="E311" s="48" t="s">
        <v>792</v>
      </c>
      <c r="F311" s="48" t="s">
        <v>793</v>
      </c>
      <c r="G311" s="48" t="s">
        <v>232</v>
      </c>
      <c r="H311" s="48" t="s">
        <v>357</v>
      </c>
      <c r="I311" s="47" t="s">
        <v>795</v>
      </c>
      <c r="J311" s="47">
        <v>7</v>
      </c>
      <c r="K311" s="49" t="s">
        <v>719</v>
      </c>
      <c r="L311" s="49">
        <v>15</v>
      </c>
      <c r="M311" s="50" t="s">
        <v>39</v>
      </c>
      <c r="N311" s="50" t="s">
        <v>1750</v>
      </c>
      <c r="O311" s="51"/>
      <c r="P311" s="51"/>
      <c r="Q311" s="48"/>
      <c r="S311" s="1">
        <f t="shared" si="95"/>
        <v>0</v>
      </c>
      <c r="T311" s="1">
        <f t="shared" si="96"/>
        <v>0</v>
      </c>
      <c r="U311" s="1">
        <f t="shared" si="97"/>
        <v>0</v>
      </c>
      <c r="V311" s="1">
        <f t="shared" si="98"/>
        <v>0</v>
      </c>
      <c r="W311" s="1">
        <f t="shared" si="99"/>
        <v>0</v>
      </c>
      <c r="X311" s="1">
        <f t="shared" si="100"/>
        <v>0</v>
      </c>
      <c r="Y311" s="1">
        <f t="shared" si="101"/>
        <v>1</v>
      </c>
      <c r="Z311" s="1">
        <f t="shared" si="102"/>
        <v>0</v>
      </c>
      <c r="AA311" s="1">
        <f t="shared" si="103"/>
        <v>0</v>
      </c>
      <c r="AB311" s="1">
        <f t="shared" si="104"/>
        <v>0</v>
      </c>
      <c r="AD311" s="1">
        <f t="shared" si="105"/>
        <v>0</v>
      </c>
      <c r="AE311" s="1">
        <f t="shared" si="106"/>
        <v>0</v>
      </c>
      <c r="AF311" s="1">
        <f t="shared" si="91"/>
        <v>0</v>
      </c>
      <c r="AG311" s="1">
        <f t="shared" si="92"/>
        <v>0</v>
      </c>
      <c r="AH311" s="1">
        <f t="shared" si="93"/>
        <v>0</v>
      </c>
      <c r="AI311" s="1">
        <f t="shared" si="94"/>
        <v>1</v>
      </c>
    </row>
    <row r="312" spans="1:35" ht="14.25" customHeight="1" x14ac:dyDescent="0.3">
      <c r="A312" s="47">
        <v>0</v>
      </c>
      <c r="B312" s="47">
        <v>2</v>
      </c>
      <c r="C312" s="47">
        <v>2</v>
      </c>
      <c r="D312" s="48" t="s">
        <v>84</v>
      </c>
      <c r="E312" s="48" t="s">
        <v>159</v>
      </c>
      <c r="F312" s="68" t="s">
        <v>1887</v>
      </c>
      <c r="G312" s="48" t="s">
        <v>211</v>
      </c>
      <c r="H312" s="48" t="s">
        <v>357</v>
      </c>
      <c r="I312" s="47" t="s">
        <v>436</v>
      </c>
      <c r="J312" s="47">
        <v>99</v>
      </c>
      <c r="K312" s="49" t="s">
        <v>961</v>
      </c>
      <c r="L312" s="49" t="s">
        <v>711</v>
      </c>
      <c r="M312" s="50" t="s">
        <v>726</v>
      </c>
      <c r="N312" s="50" t="s">
        <v>1750</v>
      </c>
      <c r="O312" s="51"/>
      <c r="P312" s="51"/>
      <c r="Q312" s="48"/>
      <c r="S312" s="1">
        <f t="shared" si="95"/>
        <v>0</v>
      </c>
      <c r="T312" s="1">
        <f t="shared" si="96"/>
        <v>0</v>
      </c>
      <c r="U312" s="1">
        <f t="shared" si="97"/>
        <v>0</v>
      </c>
      <c r="V312" s="1">
        <f t="shared" si="98"/>
        <v>0</v>
      </c>
      <c r="W312" s="1">
        <f t="shared" si="99"/>
        <v>0</v>
      </c>
      <c r="X312" s="1">
        <f t="shared" si="100"/>
        <v>0</v>
      </c>
      <c r="Y312" s="1">
        <f t="shared" si="101"/>
        <v>0</v>
      </c>
      <c r="Z312" s="1">
        <f t="shared" si="102"/>
        <v>0</v>
      </c>
      <c r="AA312" s="1">
        <f t="shared" si="103"/>
        <v>0</v>
      </c>
      <c r="AB312" s="1">
        <f t="shared" si="104"/>
        <v>0</v>
      </c>
      <c r="AD312" s="1">
        <f t="shared" si="105"/>
        <v>0</v>
      </c>
      <c r="AE312" s="1">
        <f t="shared" si="106"/>
        <v>0</v>
      </c>
      <c r="AF312" s="1">
        <f t="shared" si="91"/>
        <v>0</v>
      </c>
      <c r="AG312" s="1">
        <f t="shared" si="92"/>
        <v>0</v>
      </c>
      <c r="AH312" s="1">
        <f t="shared" si="93"/>
        <v>0</v>
      </c>
      <c r="AI312" s="1">
        <f t="shared" si="94"/>
        <v>1</v>
      </c>
    </row>
    <row r="313" spans="1:35" ht="14.25" customHeight="1" x14ac:dyDescent="0.3">
      <c r="A313" s="41">
        <v>0</v>
      </c>
      <c r="B313" s="41">
        <v>2</v>
      </c>
      <c r="C313" s="41">
        <v>2</v>
      </c>
      <c r="D313" s="42" t="s">
        <v>1579</v>
      </c>
      <c r="E313" s="42" t="s">
        <v>1348</v>
      </c>
      <c r="F313" s="42" t="s">
        <v>1580</v>
      </c>
      <c r="G313" s="42" t="s">
        <v>1179</v>
      </c>
      <c r="H313" s="42" t="s">
        <v>357</v>
      </c>
      <c r="I313" s="41" t="s">
        <v>1581</v>
      </c>
      <c r="J313" s="41">
        <v>1</v>
      </c>
      <c r="K313" s="43" t="s">
        <v>720</v>
      </c>
      <c r="L313" s="43" t="s">
        <v>39</v>
      </c>
      <c r="M313" s="44" t="s">
        <v>39</v>
      </c>
      <c r="N313" s="45"/>
      <c r="O313" s="46"/>
      <c r="P313" s="46">
        <v>1</v>
      </c>
      <c r="Q313" s="42"/>
      <c r="S313" s="1">
        <f t="shared" si="95"/>
        <v>1</v>
      </c>
      <c r="T313" s="1">
        <f t="shared" si="96"/>
        <v>0</v>
      </c>
      <c r="U313" s="1">
        <f t="shared" si="97"/>
        <v>0</v>
      </c>
      <c r="V313" s="1">
        <f t="shared" si="98"/>
        <v>0</v>
      </c>
      <c r="W313" s="1">
        <f t="shared" si="99"/>
        <v>0</v>
      </c>
      <c r="X313" s="1">
        <f t="shared" si="100"/>
        <v>0</v>
      </c>
      <c r="Y313" s="1">
        <f t="shared" si="101"/>
        <v>0</v>
      </c>
      <c r="Z313" s="1">
        <f t="shared" si="102"/>
        <v>0</v>
      </c>
      <c r="AA313" s="1">
        <f t="shared" si="103"/>
        <v>0</v>
      </c>
      <c r="AB313" s="1">
        <f t="shared" si="104"/>
        <v>0</v>
      </c>
      <c r="AD313" s="1">
        <f t="shared" si="105"/>
        <v>0</v>
      </c>
      <c r="AE313" s="1">
        <f t="shared" si="106"/>
        <v>0</v>
      </c>
      <c r="AF313" s="1">
        <f t="shared" si="91"/>
        <v>0</v>
      </c>
      <c r="AG313" s="1">
        <f t="shared" si="92"/>
        <v>0</v>
      </c>
      <c r="AH313" s="1">
        <f t="shared" si="93"/>
        <v>1</v>
      </c>
      <c r="AI313" s="1">
        <f t="shared" si="94"/>
        <v>0</v>
      </c>
    </row>
    <row r="314" spans="1:35" ht="14.25" customHeight="1" x14ac:dyDescent="0.3">
      <c r="A314" s="34">
        <v>0</v>
      </c>
      <c r="B314" s="34">
        <v>2</v>
      </c>
      <c r="C314" s="34">
        <v>2</v>
      </c>
      <c r="D314" s="35" t="s">
        <v>1759</v>
      </c>
      <c r="E314" s="35" t="s">
        <v>27</v>
      </c>
      <c r="F314" s="35" t="s">
        <v>1054</v>
      </c>
      <c r="G314" s="35" t="s">
        <v>222</v>
      </c>
      <c r="H314" s="35" t="s">
        <v>357</v>
      </c>
      <c r="I314" s="34" t="s">
        <v>1055</v>
      </c>
      <c r="J314" s="34">
        <v>8</v>
      </c>
      <c r="K314" s="36" t="s">
        <v>720</v>
      </c>
      <c r="L314" s="36">
        <v>25</v>
      </c>
      <c r="M314" s="37" t="s">
        <v>1760</v>
      </c>
      <c r="N314" s="37" t="s">
        <v>1742</v>
      </c>
      <c r="O314" s="38">
        <v>1</v>
      </c>
      <c r="P314" s="38">
        <v>1</v>
      </c>
      <c r="Q314" s="35"/>
      <c r="S314" s="1">
        <f t="shared" si="95"/>
        <v>0</v>
      </c>
      <c r="T314" s="1">
        <f t="shared" si="96"/>
        <v>0</v>
      </c>
      <c r="U314" s="1">
        <f t="shared" si="97"/>
        <v>0</v>
      </c>
      <c r="V314" s="1">
        <f t="shared" si="98"/>
        <v>0</v>
      </c>
      <c r="W314" s="1">
        <f t="shared" si="99"/>
        <v>0</v>
      </c>
      <c r="X314" s="1">
        <f t="shared" si="100"/>
        <v>0</v>
      </c>
      <c r="Y314" s="1">
        <f t="shared" si="101"/>
        <v>0</v>
      </c>
      <c r="Z314" s="1">
        <f t="shared" si="102"/>
        <v>1</v>
      </c>
      <c r="AA314" s="1">
        <f t="shared" si="103"/>
        <v>0</v>
      </c>
      <c r="AB314" s="1">
        <f t="shared" si="104"/>
        <v>0</v>
      </c>
      <c r="AD314" s="1">
        <f t="shared" si="105"/>
        <v>1</v>
      </c>
      <c r="AE314" s="1">
        <f t="shared" si="106"/>
        <v>0</v>
      </c>
      <c r="AF314" s="1">
        <f t="shared" si="91"/>
        <v>1</v>
      </c>
      <c r="AG314" s="1">
        <f t="shared" si="92"/>
        <v>0</v>
      </c>
      <c r="AH314" s="1">
        <f t="shared" si="93"/>
        <v>1</v>
      </c>
      <c r="AI314" s="1">
        <f t="shared" si="94"/>
        <v>0</v>
      </c>
    </row>
    <row r="315" spans="1:35" ht="14.25" customHeight="1" x14ac:dyDescent="0.3">
      <c r="A315" s="34">
        <v>0</v>
      </c>
      <c r="B315" s="34">
        <v>2</v>
      </c>
      <c r="C315" s="34">
        <v>2</v>
      </c>
      <c r="D315" s="35" t="s">
        <v>45</v>
      </c>
      <c r="E315" s="35" t="s">
        <v>44</v>
      </c>
      <c r="F315" s="35" t="s">
        <v>675</v>
      </c>
      <c r="G315" s="35" t="s">
        <v>182</v>
      </c>
      <c r="H315" s="35" t="s">
        <v>357</v>
      </c>
      <c r="I315" s="34" t="s">
        <v>956</v>
      </c>
      <c r="J315" s="34">
        <v>10</v>
      </c>
      <c r="K315" s="36" t="s">
        <v>720</v>
      </c>
      <c r="L315" s="36" t="s">
        <v>727</v>
      </c>
      <c r="M315" s="37" t="s">
        <v>728</v>
      </c>
      <c r="N315" s="37" t="s">
        <v>1742</v>
      </c>
      <c r="O315" s="38">
        <v>1</v>
      </c>
      <c r="P315" s="38">
        <v>1</v>
      </c>
      <c r="Q315" s="35"/>
      <c r="S315" s="1">
        <f t="shared" si="95"/>
        <v>0</v>
      </c>
      <c r="T315" s="1">
        <f t="shared" si="96"/>
        <v>0</v>
      </c>
      <c r="U315" s="1">
        <f t="shared" si="97"/>
        <v>0</v>
      </c>
      <c r="V315" s="1">
        <f t="shared" si="98"/>
        <v>0</v>
      </c>
      <c r="W315" s="1">
        <f t="shared" si="99"/>
        <v>0</v>
      </c>
      <c r="X315" s="1">
        <f t="shared" si="100"/>
        <v>0</v>
      </c>
      <c r="Y315" s="1">
        <f t="shared" si="101"/>
        <v>0</v>
      </c>
      <c r="Z315" s="1">
        <f t="shared" si="102"/>
        <v>0</v>
      </c>
      <c r="AA315" s="1">
        <f t="shared" si="103"/>
        <v>0</v>
      </c>
      <c r="AB315" s="1">
        <f t="shared" si="104"/>
        <v>1</v>
      </c>
      <c r="AD315" s="1">
        <f t="shared" si="105"/>
        <v>1</v>
      </c>
      <c r="AE315" s="1">
        <f t="shared" si="106"/>
        <v>0</v>
      </c>
      <c r="AF315" s="1">
        <f t="shared" si="91"/>
        <v>1</v>
      </c>
      <c r="AG315" s="1">
        <f t="shared" si="92"/>
        <v>0</v>
      </c>
      <c r="AH315" s="1">
        <f t="shared" si="93"/>
        <v>1</v>
      </c>
      <c r="AI315" s="1">
        <f t="shared" si="94"/>
        <v>0</v>
      </c>
    </row>
    <row r="316" spans="1:35" ht="14.25" customHeight="1" x14ac:dyDescent="0.3">
      <c r="A316" s="34">
        <v>0</v>
      </c>
      <c r="B316" s="34">
        <v>2</v>
      </c>
      <c r="C316" s="34">
        <v>2</v>
      </c>
      <c r="D316" s="35" t="s">
        <v>1463</v>
      </c>
      <c r="E316" s="35" t="s">
        <v>1668</v>
      </c>
      <c r="F316" s="35" t="s">
        <v>1683</v>
      </c>
      <c r="G316" s="35" t="s">
        <v>232</v>
      </c>
      <c r="H316" s="35" t="s">
        <v>357</v>
      </c>
      <c r="I316" s="34" t="s">
        <v>1464</v>
      </c>
      <c r="J316" s="34">
        <v>99</v>
      </c>
      <c r="K316" s="36" t="s">
        <v>962</v>
      </c>
      <c r="L316" s="36">
        <v>20</v>
      </c>
      <c r="M316" s="37" t="s">
        <v>39</v>
      </c>
      <c r="N316" s="37" t="s">
        <v>1742</v>
      </c>
      <c r="O316" s="38">
        <v>1</v>
      </c>
      <c r="P316" s="38">
        <v>1</v>
      </c>
      <c r="Q316" s="35"/>
      <c r="S316" s="1">
        <f t="shared" si="95"/>
        <v>0</v>
      </c>
      <c r="T316" s="1">
        <f t="shared" si="96"/>
        <v>0</v>
      </c>
      <c r="U316" s="1">
        <f t="shared" si="97"/>
        <v>0</v>
      </c>
      <c r="V316" s="1">
        <f t="shared" si="98"/>
        <v>0</v>
      </c>
      <c r="W316" s="1">
        <f t="shared" si="99"/>
        <v>0</v>
      </c>
      <c r="X316" s="1">
        <f t="shared" si="100"/>
        <v>0</v>
      </c>
      <c r="Y316" s="1">
        <f t="shared" si="101"/>
        <v>0</v>
      </c>
      <c r="Z316" s="1">
        <f t="shared" si="102"/>
        <v>0</v>
      </c>
      <c r="AA316" s="1">
        <f t="shared" si="103"/>
        <v>0</v>
      </c>
      <c r="AB316" s="1">
        <f t="shared" si="104"/>
        <v>0</v>
      </c>
      <c r="AD316" s="1">
        <f t="shared" si="105"/>
        <v>1</v>
      </c>
      <c r="AE316" s="1">
        <f t="shared" si="106"/>
        <v>0</v>
      </c>
      <c r="AF316" s="1">
        <f t="shared" si="91"/>
        <v>1</v>
      </c>
      <c r="AG316" s="1">
        <f t="shared" si="92"/>
        <v>0</v>
      </c>
      <c r="AH316" s="1">
        <f t="shared" si="93"/>
        <v>1</v>
      </c>
      <c r="AI316" s="1">
        <f t="shared" si="94"/>
        <v>0</v>
      </c>
    </row>
    <row r="317" spans="1:35" ht="14.25" customHeight="1" x14ac:dyDescent="0.3">
      <c r="A317" s="52">
        <v>0</v>
      </c>
      <c r="B317" s="52">
        <v>2</v>
      </c>
      <c r="C317" s="52">
        <v>2</v>
      </c>
      <c r="D317" s="53" t="s">
        <v>611</v>
      </c>
      <c r="E317" s="53" t="s">
        <v>612</v>
      </c>
      <c r="F317" s="53" t="s">
        <v>613</v>
      </c>
      <c r="G317" s="53" t="s">
        <v>259</v>
      </c>
      <c r="H317" s="53" t="s">
        <v>357</v>
      </c>
      <c r="I317" s="52" t="s">
        <v>614</v>
      </c>
      <c r="J317" s="52">
        <v>99</v>
      </c>
      <c r="K317" s="54" t="s">
        <v>962</v>
      </c>
      <c r="L317" s="54" t="s">
        <v>711</v>
      </c>
      <c r="M317" s="55" t="s">
        <v>1428</v>
      </c>
      <c r="N317" s="55" t="s">
        <v>1758</v>
      </c>
      <c r="O317" s="56">
        <v>1</v>
      </c>
      <c r="P317" s="56"/>
      <c r="Q317" s="53"/>
      <c r="S317" s="1">
        <f t="shared" si="95"/>
        <v>0</v>
      </c>
      <c r="T317" s="1">
        <f t="shared" si="96"/>
        <v>0</v>
      </c>
      <c r="U317" s="1">
        <f t="shared" si="97"/>
        <v>0</v>
      </c>
      <c r="V317" s="1">
        <f t="shared" si="98"/>
        <v>0</v>
      </c>
      <c r="W317" s="1">
        <f t="shared" si="99"/>
        <v>0</v>
      </c>
      <c r="X317" s="1">
        <f t="shared" si="100"/>
        <v>0</v>
      </c>
      <c r="Y317" s="1">
        <f t="shared" si="101"/>
        <v>0</v>
      </c>
      <c r="Z317" s="1">
        <f t="shared" si="102"/>
        <v>0</v>
      </c>
      <c r="AA317" s="1">
        <f t="shared" si="103"/>
        <v>0</v>
      </c>
      <c r="AB317" s="1">
        <f t="shared" si="104"/>
        <v>0</v>
      </c>
      <c r="AD317" s="1">
        <f t="shared" si="105"/>
        <v>0</v>
      </c>
      <c r="AE317" s="1">
        <f t="shared" si="106"/>
        <v>1</v>
      </c>
      <c r="AF317" s="1">
        <f t="shared" si="91"/>
        <v>0</v>
      </c>
      <c r="AG317" s="1">
        <f t="shared" si="92"/>
        <v>1</v>
      </c>
      <c r="AH317" s="1">
        <f t="shared" si="93"/>
        <v>0</v>
      </c>
      <c r="AI317" s="1">
        <f t="shared" si="94"/>
        <v>1</v>
      </c>
    </row>
    <row r="318" spans="1:35" ht="14.25" customHeight="1" x14ac:dyDescent="0.3">
      <c r="A318" s="47">
        <v>0</v>
      </c>
      <c r="B318" s="47">
        <v>2</v>
      </c>
      <c r="C318" s="47">
        <v>2</v>
      </c>
      <c r="D318" s="48" t="s">
        <v>1658</v>
      </c>
      <c r="E318" s="48" t="s">
        <v>1182</v>
      </c>
      <c r="F318" s="48" t="s">
        <v>1689</v>
      </c>
      <c r="G318" s="48" t="s">
        <v>182</v>
      </c>
      <c r="H318" s="48" t="s">
        <v>357</v>
      </c>
      <c r="I318" s="47" t="s">
        <v>1509</v>
      </c>
      <c r="J318" s="47">
        <v>10</v>
      </c>
      <c r="K318" s="49" t="s">
        <v>719</v>
      </c>
      <c r="L318" s="49">
        <v>15</v>
      </c>
      <c r="M318" s="50" t="s">
        <v>39</v>
      </c>
      <c r="N318" s="50" t="s">
        <v>1755</v>
      </c>
      <c r="O318" s="51"/>
      <c r="P318" s="51"/>
      <c r="Q318" s="48"/>
      <c r="S318" s="1">
        <f t="shared" si="95"/>
        <v>0</v>
      </c>
      <c r="T318" s="1">
        <f t="shared" si="96"/>
        <v>0</v>
      </c>
      <c r="U318" s="1">
        <f t="shared" si="97"/>
        <v>0</v>
      </c>
      <c r="V318" s="1">
        <f t="shared" si="98"/>
        <v>0</v>
      </c>
      <c r="W318" s="1">
        <f t="shared" si="99"/>
        <v>0</v>
      </c>
      <c r="X318" s="1">
        <f t="shared" si="100"/>
        <v>0</v>
      </c>
      <c r="Y318" s="1">
        <f t="shared" si="101"/>
        <v>0</v>
      </c>
      <c r="Z318" s="1">
        <f t="shared" si="102"/>
        <v>0</v>
      </c>
      <c r="AA318" s="1">
        <f t="shared" si="103"/>
        <v>0</v>
      </c>
      <c r="AB318" s="1">
        <f t="shared" si="104"/>
        <v>1</v>
      </c>
      <c r="AD318" s="1">
        <f t="shared" si="105"/>
        <v>0</v>
      </c>
      <c r="AE318" s="1">
        <f t="shared" si="106"/>
        <v>0</v>
      </c>
      <c r="AF318" s="1">
        <f t="shared" si="91"/>
        <v>0</v>
      </c>
      <c r="AG318" s="1">
        <f t="shared" si="92"/>
        <v>0</v>
      </c>
      <c r="AH318" s="1">
        <f t="shared" si="93"/>
        <v>0</v>
      </c>
      <c r="AI318" s="1">
        <f t="shared" si="94"/>
        <v>1</v>
      </c>
    </row>
    <row r="319" spans="1:35" ht="14.25" customHeight="1" x14ac:dyDescent="0.3">
      <c r="A319" s="47">
        <v>0</v>
      </c>
      <c r="B319" s="47">
        <v>2</v>
      </c>
      <c r="C319" s="47">
        <v>2</v>
      </c>
      <c r="D319" s="48" t="s">
        <v>869</v>
      </c>
      <c r="E319" s="48" t="s">
        <v>549</v>
      </c>
      <c r="F319" s="48" t="s">
        <v>870</v>
      </c>
      <c r="G319" s="48" t="s">
        <v>317</v>
      </c>
      <c r="H319" s="48" t="s">
        <v>357</v>
      </c>
      <c r="I319" s="47" t="s">
        <v>871</v>
      </c>
      <c r="J319" s="47">
        <v>1</v>
      </c>
      <c r="K319" s="49" t="s">
        <v>719</v>
      </c>
      <c r="L319" s="49">
        <v>25</v>
      </c>
      <c r="M319" s="50" t="s">
        <v>39</v>
      </c>
      <c r="N319" s="50" t="s">
        <v>1750</v>
      </c>
      <c r="O319" s="51"/>
      <c r="P319" s="51"/>
      <c r="Q319" s="48"/>
      <c r="S319" s="1">
        <f t="shared" si="95"/>
        <v>1</v>
      </c>
      <c r="T319" s="1">
        <f t="shared" si="96"/>
        <v>0</v>
      </c>
      <c r="U319" s="1">
        <f t="shared" si="97"/>
        <v>0</v>
      </c>
      <c r="V319" s="1">
        <f t="shared" si="98"/>
        <v>0</v>
      </c>
      <c r="W319" s="1">
        <f t="shared" si="99"/>
        <v>0</v>
      </c>
      <c r="X319" s="1">
        <f t="shared" si="100"/>
        <v>0</v>
      </c>
      <c r="Y319" s="1">
        <f t="shared" si="101"/>
        <v>0</v>
      </c>
      <c r="Z319" s="1">
        <f t="shared" si="102"/>
        <v>0</v>
      </c>
      <c r="AA319" s="1">
        <f t="shared" si="103"/>
        <v>0</v>
      </c>
      <c r="AB319" s="1">
        <f t="shared" si="104"/>
        <v>0</v>
      </c>
      <c r="AD319" s="1">
        <f t="shared" si="105"/>
        <v>0</v>
      </c>
      <c r="AE319" s="1">
        <f t="shared" si="106"/>
        <v>0</v>
      </c>
      <c r="AF319" s="1">
        <f t="shared" si="91"/>
        <v>0</v>
      </c>
      <c r="AG319" s="1">
        <f t="shared" si="92"/>
        <v>0</v>
      </c>
      <c r="AH319" s="1">
        <f t="shared" si="93"/>
        <v>0</v>
      </c>
      <c r="AI319" s="1">
        <f t="shared" si="94"/>
        <v>1</v>
      </c>
    </row>
    <row r="320" spans="1:35" ht="14.25" customHeight="1" x14ac:dyDescent="0.3">
      <c r="A320" s="34">
        <v>0</v>
      </c>
      <c r="B320" s="34">
        <v>2</v>
      </c>
      <c r="C320" s="34">
        <v>3</v>
      </c>
      <c r="D320" s="35" t="s">
        <v>573</v>
      </c>
      <c r="E320" s="35" t="s">
        <v>38</v>
      </c>
      <c r="F320" s="35" t="s">
        <v>239</v>
      </c>
      <c r="G320" s="35" t="s">
        <v>544</v>
      </c>
      <c r="H320" s="35" t="s">
        <v>357</v>
      </c>
      <c r="I320" s="34" t="s">
        <v>406</v>
      </c>
      <c r="J320" s="34">
        <v>1</v>
      </c>
      <c r="K320" s="36" t="s">
        <v>719</v>
      </c>
      <c r="L320" s="36" t="s">
        <v>731</v>
      </c>
      <c r="M320" s="37" t="s">
        <v>732</v>
      </c>
      <c r="N320" s="37" t="s">
        <v>1742</v>
      </c>
      <c r="O320" s="38">
        <v>1</v>
      </c>
      <c r="P320" s="38">
        <v>1</v>
      </c>
      <c r="Q320" s="35"/>
      <c r="S320" s="1">
        <f t="shared" si="95"/>
        <v>1</v>
      </c>
      <c r="T320" s="1">
        <f t="shared" si="96"/>
        <v>0</v>
      </c>
      <c r="U320" s="1">
        <f t="shared" si="97"/>
        <v>0</v>
      </c>
      <c r="V320" s="1">
        <f t="shared" si="98"/>
        <v>0</v>
      </c>
      <c r="W320" s="1">
        <f t="shared" si="99"/>
        <v>0</v>
      </c>
      <c r="X320" s="1">
        <f t="shared" si="100"/>
        <v>0</v>
      </c>
      <c r="Y320" s="1">
        <f t="shared" si="101"/>
        <v>0</v>
      </c>
      <c r="Z320" s="1">
        <f t="shared" si="102"/>
        <v>0</v>
      </c>
      <c r="AA320" s="1">
        <f t="shared" si="103"/>
        <v>0</v>
      </c>
      <c r="AB320" s="1">
        <f t="shared" si="104"/>
        <v>0</v>
      </c>
      <c r="AD320" s="1">
        <f t="shared" si="105"/>
        <v>1</v>
      </c>
      <c r="AE320" s="1">
        <f t="shared" si="106"/>
        <v>0</v>
      </c>
      <c r="AF320" s="1">
        <f t="shared" si="91"/>
        <v>1</v>
      </c>
      <c r="AG320" s="1">
        <f t="shared" si="92"/>
        <v>0</v>
      </c>
      <c r="AH320" s="1">
        <f t="shared" si="93"/>
        <v>1</v>
      </c>
      <c r="AI320" s="1">
        <f t="shared" si="94"/>
        <v>0</v>
      </c>
    </row>
    <row r="321" spans="1:35" ht="14.25" customHeight="1" x14ac:dyDescent="0.3">
      <c r="A321" s="47">
        <v>0</v>
      </c>
      <c r="B321" s="47">
        <v>2</v>
      </c>
      <c r="C321" s="47">
        <v>3</v>
      </c>
      <c r="D321" s="48" t="s">
        <v>857</v>
      </c>
      <c r="E321" s="48" t="s">
        <v>34</v>
      </c>
      <c r="F321" s="48" t="s">
        <v>933</v>
      </c>
      <c r="G321" s="48" t="s">
        <v>643</v>
      </c>
      <c r="H321" s="48" t="s">
        <v>357</v>
      </c>
      <c r="I321" s="47" t="s">
        <v>858</v>
      </c>
      <c r="J321" s="47">
        <v>1</v>
      </c>
      <c r="K321" s="49" t="s">
        <v>961</v>
      </c>
      <c r="L321" s="49" t="s">
        <v>736</v>
      </c>
      <c r="M321" s="50" t="s">
        <v>730</v>
      </c>
      <c r="N321" s="50" t="s">
        <v>1750</v>
      </c>
      <c r="O321" s="51"/>
      <c r="P321" s="51"/>
      <c r="Q321" s="48"/>
      <c r="S321" s="1">
        <f t="shared" si="95"/>
        <v>1</v>
      </c>
      <c r="T321" s="1">
        <f t="shared" si="96"/>
        <v>0</v>
      </c>
      <c r="U321" s="1">
        <f t="shared" si="97"/>
        <v>0</v>
      </c>
      <c r="V321" s="1">
        <f t="shared" si="98"/>
        <v>0</v>
      </c>
      <c r="W321" s="1">
        <f t="shared" si="99"/>
        <v>0</v>
      </c>
      <c r="X321" s="1">
        <f t="shared" si="100"/>
        <v>0</v>
      </c>
      <c r="Y321" s="1">
        <f t="shared" si="101"/>
        <v>0</v>
      </c>
      <c r="Z321" s="1">
        <f t="shared" si="102"/>
        <v>0</v>
      </c>
      <c r="AA321" s="1">
        <f t="shared" si="103"/>
        <v>0</v>
      </c>
      <c r="AB321" s="1">
        <f t="shared" si="104"/>
        <v>0</v>
      </c>
      <c r="AD321" s="1">
        <f t="shared" si="105"/>
        <v>0</v>
      </c>
      <c r="AE321" s="1">
        <f t="shared" si="106"/>
        <v>0</v>
      </c>
      <c r="AF321" s="1">
        <f t="shared" si="91"/>
        <v>0</v>
      </c>
      <c r="AG321" s="1">
        <f t="shared" si="92"/>
        <v>0</v>
      </c>
      <c r="AH321" s="1">
        <f t="shared" si="93"/>
        <v>0</v>
      </c>
      <c r="AI321" s="1">
        <f t="shared" si="94"/>
        <v>1</v>
      </c>
    </row>
    <row r="322" spans="1:35" ht="14.25" customHeight="1" x14ac:dyDescent="0.3">
      <c r="A322" s="47">
        <v>0</v>
      </c>
      <c r="B322" s="47">
        <v>2</v>
      </c>
      <c r="C322" s="47">
        <v>3</v>
      </c>
      <c r="D322" s="48" t="s">
        <v>800</v>
      </c>
      <c r="E322" s="48" t="s">
        <v>32</v>
      </c>
      <c r="F322" s="48" t="s">
        <v>801</v>
      </c>
      <c r="G322" s="48" t="s">
        <v>253</v>
      </c>
      <c r="H322" s="48" t="s">
        <v>357</v>
      </c>
      <c r="I322" s="47" t="s">
        <v>802</v>
      </c>
      <c r="J322" s="47">
        <v>99</v>
      </c>
      <c r="K322" s="49" t="s">
        <v>720</v>
      </c>
      <c r="L322" s="49" t="s">
        <v>729</v>
      </c>
      <c r="M322" s="50" t="s">
        <v>730</v>
      </c>
      <c r="N322" s="50" t="s">
        <v>1752</v>
      </c>
      <c r="O322" s="51"/>
      <c r="P322" s="51"/>
      <c r="Q322" s="48"/>
      <c r="S322" s="1">
        <f t="shared" si="95"/>
        <v>0</v>
      </c>
      <c r="T322" s="1">
        <f t="shared" si="96"/>
        <v>0</v>
      </c>
      <c r="U322" s="1">
        <f t="shared" si="97"/>
        <v>0</v>
      </c>
      <c r="V322" s="1">
        <f t="shared" si="98"/>
        <v>0</v>
      </c>
      <c r="W322" s="1">
        <f t="shared" si="99"/>
        <v>0</v>
      </c>
      <c r="X322" s="1">
        <f t="shared" si="100"/>
        <v>0</v>
      </c>
      <c r="Y322" s="1">
        <f t="shared" si="101"/>
        <v>0</v>
      </c>
      <c r="Z322" s="1">
        <f t="shared" si="102"/>
        <v>0</v>
      </c>
      <c r="AA322" s="1">
        <f t="shared" si="103"/>
        <v>0</v>
      </c>
      <c r="AB322" s="1">
        <f t="shared" si="104"/>
        <v>0</v>
      </c>
      <c r="AD322" s="1">
        <f t="shared" si="105"/>
        <v>0</v>
      </c>
      <c r="AE322" s="1">
        <f t="shared" si="106"/>
        <v>0</v>
      </c>
      <c r="AF322" s="1">
        <f t="shared" si="91"/>
        <v>0</v>
      </c>
      <c r="AG322" s="1">
        <f t="shared" si="92"/>
        <v>0</v>
      </c>
      <c r="AH322" s="1">
        <f t="shared" si="93"/>
        <v>0</v>
      </c>
      <c r="AI322" s="1">
        <f t="shared" si="94"/>
        <v>1</v>
      </c>
    </row>
    <row r="323" spans="1:35" ht="14.25" customHeight="1" x14ac:dyDescent="0.3">
      <c r="A323" s="47">
        <v>0</v>
      </c>
      <c r="B323" s="47">
        <v>2</v>
      </c>
      <c r="C323" s="47">
        <v>3</v>
      </c>
      <c r="D323" s="48" t="s">
        <v>56</v>
      </c>
      <c r="E323" s="48" t="s">
        <v>163</v>
      </c>
      <c r="F323" s="48" t="s">
        <v>221</v>
      </c>
      <c r="G323" s="48" t="s">
        <v>198</v>
      </c>
      <c r="H323" s="48" t="s">
        <v>357</v>
      </c>
      <c r="I323" s="47" t="s">
        <v>556</v>
      </c>
      <c r="J323" s="47">
        <v>99</v>
      </c>
      <c r="K323" s="49" t="s">
        <v>720</v>
      </c>
      <c r="L323" s="49" t="s">
        <v>729</v>
      </c>
      <c r="M323" s="50" t="s">
        <v>730</v>
      </c>
      <c r="N323" s="50" t="s">
        <v>1817</v>
      </c>
      <c r="O323" s="51"/>
      <c r="P323" s="51"/>
      <c r="Q323" s="48"/>
      <c r="S323" s="1">
        <f t="shared" si="95"/>
        <v>0</v>
      </c>
      <c r="T323" s="1">
        <f t="shared" si="96"/>
        <v>0</v>
      </c>
      <c r="U323" s="1">
        <f t="shared" si="97"/>
        <v>0</v>
      </c>
      <c r="V323" s="1">
        <f t="shared" si="98"/>
        <v>0</v>
      </c>
      <c r="W323" s="1">
        <f t="shared" si="99"/>
        <v>0</v>
      </c>
      <c r="X323" s="1">
        <f t="shared" si="100"/>
        <v>0</v>
      </c>
      <c r="Y323" s="1">
        <f t="shared" si="101"/>
        <v>0</v>
      </c>
      <c r="Z323" s="1">
        <f t="shared" si="102"/>
        <v>0</v>
      </c>
      <c r="AA323" s="1">
        <f t="shared" si="103"/>
        <v>0</v>
      </c>
      <c r="AB323" s="1">
        <f t="shared" si="104"/>
        <v>0</v>
      </c>
      <c r="AD323" s="1">
        <f t="shared" si="105"/>
        <v>0</v>
      </c>
      <c r="AE323" s="1">
        <f t="shared" si="106"/>
        <v>0</v>
      </c>
      <c r="AF323" s="1">
        <f t="shared" si="91"/>
        <v>0</v>
      </c>
      <c r="AG323" s="1">
        <f t="shared" si="92"/>
        <v>0</v>
      </c>
      <c r="AH323" s="1">
        <f t="shared" si="93"/>
        <v>0</v>
      </c>
      <c r="AI323" s="1">
        <f t="shared" si="94"/>
        <v>1</v>
      </c>
    </row>
    <row r="324" spans="1:35" ht="14.25" customHeight="1" x14ac:dyDescent="0.3">
      <c r="A324" s="47">
        <v>0</v>
      </c>
      <c r="B324" s="47">
        <v>2</v>
      </c>
      <c r="C324" s="47">
        <v>3</v>
      </c>
      <c r="D324" s="48" t="s">
        <v>1189</v>
      </c>
      <c r="E324" s="48" t="s">
        <v>1349</v>
      </c>
      <c r="F324" s="48" t="s">
        <v>1190</v>
      </c>
      <c r="G324" s="48" t="s">
        <v>305</v>
      </c>
      <c r="H324" s="48" t="s">
        <v>357</v>
      </c>
      <c r="I324" s="47" t="s">
        <v>1191</v>
      </c>
      <c r="J324" s="47">
        <v>1</v>
      </c>
      <c r="K324" s="49" t="s">
        <v>962</v>
      </c>
      <c r="L324" s="49" t="s">
        <v>700</v>
      </c>
      <c r="M324" s="50" t="s">
        <v>1429</v>
      </c>
      <c r="N324" s="50" t="s">
        <v>1750</v>
      </c>
      <c r="O324" s="51"/>
      <c r="P324" s="51"/>
      <c r="Q324" s="48"/>
      <c r="S324" s="1">
        <f t="shared" si="95"/>
        <v>1</v>
      </c>
      <c r="T324" s="1">
        <f t="shared" si="96"/>
        <v>0</v>
      </c>
      <c r="U324" s="1">
        <f t="shared" si="97"/>
        <v>0</v>
      </c>
      <c r="V324" s="1">
        <f t="shared" si="98"/>
        <v>0</v>
      </c>
      <c r="W324" s="1">
        <f t="shared" si="99"/>
        <v>0</v>
      </c>
      <c r="X324" s="1">
        <f t="shared" si="100"/>
        <v>0</v>
      </c>
      <c r="Y324" s="1">
        <f t="shared" si="101"/>
        <v>0</v>
      </c>
      <c r="Z324" s="1">
        <f t="shared" si="102"/>
        <v>0</v>
      </c>
      <c r="AA324" s="1">
        <f t="shared" si="103"/>
        <v>0</v>
      </c>
      <c r="AB324" s="1">
        <f t="shared" si="104"/>
        <v>0</v>
      </c>
      <c r="AD324" s="1">
        <f t="shared" si="105"/>
        <v>0</v>
      </c>
      <c r="AE324" s="1">
        <f t="shared" si="106"/>
        <v>0</v>
      </c>
      <c r="AF324" s="1">
        <f t="shared" si="91"/>
        <v>0</v>
      </c>
      <c r="AG324" s="1">
        <f t="shared" si="92"/>
        <v>0</v>
      </c>
      <c r="AH324" s="1">
        <f t="shared" si="93"/>
        <v>0</v>
      </c>
      <c r="AI324" s="1">
        <f t="shared" si="94"/>
        <v>1</v>
      </c>
    </row>
    <row r="325" spans="1:35" ht="14.25" customHeight="1" x14ac:dyDescent="0.3">
      <c r="A325" s="47">
        <v>0</v>
      </c>
      <c r="B325" s="47">
        <v>2</v>
      </c>
      <c r="C325" s="47">
        <v>3</v>
      </c>
      <c r="D325" s="48" t="s">
        <v>1186</v>
      </c>
      <c r="E325" s="48" t="s">
        <v>1349</v>
      </c>
      <c r="F325" s="48" t="s">
        <v>1187</v>
      </c>
      <c r="G325" s="48" t="s">
        <v>1066</v>
      </c>
      <c r="H325" s="48" t="s">
        <v>357</v>
      </c>
      <c r="I325" s="47" t="s">
        <v>1188</v>
      </c>
      <c r="J325" s="47">
        <v>1</v>
      </c>
      <c r="K325" s="49" t="s">
        <v>720</v>
      </c>
      <c r="L325" s="49" t="s">
        <v>700</v>
      </c>
      <c r="M325" s="50" t="s">
        <v>1429</v>
      </c>
      <c r="N325" s="50" t="s">
        <v>1750</v>
      </c>
      <c r="O325" s="51"/>
      <c r="P325" s="51"/>
      <c r="Q325" s="48"/>
      <c r="S325" s="1">
        <f t="shared" si="95"/>
        <v>1</v>
      </c>
      <c r="T325" s="1">
        <f t="shared" si="96"/>
        <v>0</v>
      </c>
      <c r="U325" s="1">
        <f t="shared" si="97"/>
        <v>0</v>
      </c>
      <c r="V325" s="1">
        <f t="shared" si="98"/>
        <v>0</v>
      </c>
      <c r="W325" s="1">
        <f t="shared" si="99"/>
        <v>0</v>
      </c>
      <c r="X325" s="1">
        <f t="shared" si="100"/>
        <v>0</v>
      </c>
      <c r="Y325" s="1">
        <f t="shared" si="101"/>
        <v>0</v>
      </c>
      <c r="Z325" s="1">
        <f t="shared" si="102"/>
        <v>0</v>
      </c>
      <c r="AA325" s="1">
        <f t="shared" si="103"/>
        <v>0</v>
      </c>
      <c r="AB325" s="1">
        <f t="shared" si="104"/>
        <v>0</v>
      </c>
      <c r="AD325" s="1">
        <f t="shared" si="105"/>
        <v>0</v>
      </c>
      <c r="AE325" s="1">
        <f t="shared" si="106"/>
        <v>0</v>
      </c>
      <c r="AF325" s="1">
        <f t="shared" si="91"/>
        <v>0</v>
      </c>
      <c r="AG325" s="1">
        <f t="shared" si="92"/>
        <v>0</v>
      </c>
      <c r="AH325" s="1">
        <f t="shared" si="93"/>
        <v>0</v>
      </c>
      <c r="AI325" s="1">
        <f t="shared" si="94"/>
        <v>1</v>
      </c>
    </row>
    <row r="326" spans="1:35" ht="14.25" customHeight="1" x14ac:dyDescent="0.3">
      <c r="A326" s="34">
        <v>0</v>
      </c>
      <c r="B326" s="34">
        <v>2</v>
      </c>
      <c r="C326" s="34">
        <v>3</v>
      </c>
      <c r="D326" s="35" t="s">
        <v>1308</v>
      </c>
      <c r="E326" s="35" t="s">
        <v>32</v>
      </c>
      <c r="F326" s="35" t="s">
        <v>1309</v>
      </c>
      <c r="G326" s="35" t="s">
        <v>224</v>
      </c>
      <c r="H326" s="35" t="s">
        <v>357</v>
      </c>
      <c r="I326" s="34" t="s">
        <v>1704</v>
      </c>
      <c r="J326" s="34">
        <v>99</v>
      </c>
      <c r="K326" s="36" t="s">
        <v>720</v>
      </c>
      <c r="L326" s="36" t="s">
        <v>723</v>
      </c>
      <c r="M326" s="37" t="s">
        <v>1310</v>
      </c>
      <c r="N326" s="37" t="s">
        <v>1742</v>
      </c>
      <c r="O326" s="38">
        <v>1</v>
      </c>
      <c r="P326" s="38">
        <v>1</v>
      </c>
      <c r="Q326" s="35"/>
      <c r="S326" s="1">
        <f t="shared" si="95"/>
        <v>0</v>
      </c>
      <c r="T326" s="1">
        <f t="shared" si="96"/>
        <v>0</v>
      </c>
      <c r="U326" s="1">
        <f t="shared" si="97"/>
        <v>0</v>
      </c>
      <c r="V326" s="1">
        <f t="shared" si="98"/>
        <v>0</v>
      </c>
      <c r="W326" s="1">
        <f t="shared" si="99"/>
        <v>0</v>
      </c>
      <c r="X326" s="1">
        <f t="shared" si="100"/>
        <v>0</v>
      </c>
      <c r="Y326" s="1">
        <f t="shared" si="101"/>
        <v>0</v>
      </c>
      <c r="Z326" s="1">
        <f t="shared" si="102"/>
        <v>0</v>
      </c>
      <c r="AA326" s="1">
        <f t="shared" si="103"/>
        <v>0</v>
      </c>
      <c r="AB326" s="1">
        <f t="shared" si="104"/>
        <v>0</v>
      </c>
      <c r="AD326" s="1">
        <f t="shared" si="105"/>
        <v>1</v>
      </c>
      <c r="AE326" s="1">
        <f t="shared" si="106"/>
        <v>0</v>
      </c>
      <c r="AF326" s="1">
        <f t="shared" si="91"/>
        <v>1</v>
      </c>
      <c r="AG326" s="1">
        <f t="shared" si="92"/>
        <v>0</v>
      </c>
      <c r="AH326" s="1">
        <f t="shared" si="93"/>
        <v>1</v>
      </c>
      <c r="AI326" s="1">
        <f t="shared" si="94"/>
        <v>0</v>
      </c>
    </row>
    <row r="327" spans="1:35" ht="14.25" customHeight="1" x14ac:dyDescent="0.3">
      <c r="A327" s="34">
        <v>0</v>
      </c>
      <c r="B327" s="34">
        <v>2</v>
      </c>
      <c r="C327" s="34">
        <v>3</v>
      </c>
      <c r="D327" s="35" t="s">
        <v>768</v>
      </c>
      <c r="E327" s="35" t="s">
        <v>920</v>
      </c>
      <c r="F327" s="35" t="s">
        <v>769</v>
      </c>
      <c r="G327" s="35" t="s">
        <v>222</v>
      </c>
      <c r="H327" s="35" t="s">
        <v>357</v>
      </c>
      <c r="I327" s="34" t="s">
        <v>770</v>
      </c>
      <c r="J327" s="34">
        <v>8</v>
      </c>
      <c r="K327" s="36" t="s">
        <v>962</v>
      </c>
      <c r="L327" s="36" t="s">
        <v>736</v>
      </c>
      <c r="M327" s="37" t="s">
        <v>730</v>
      </c>
      <c r="N327" s="37" t="s">
        <v>1763</v>
      </c>
      <c r="O327" s="38">
        <v>1</v>
      </c>
      <c r="P327" s="38"/>
      <c r="Q327" s="35"/>
      <c r="S327" s="1">
        <f t="shared" si="95"/>
        <v>0</v>
      </c>
      <c r="T327" s="1">
        <f t="shared" si="96"/>
        <v>0</v>
      </c>
      <c r="U327" s="1">
        <f t="shared" si="97"/>
        <v>0</v>
      </c>
      <c r="V327" s="1">
        <f t="shared" si="98"/>
        <v>0</v>
      </c>
      <c r="W327" s="1">
        <f t="shared" si="99"/>
        <v>0</v>
      </c>
      <c r="X327" s="1">
        <f t="shared" si="100"/>
        <v>0</v>
      </c>
      <c r="Y327" s="1">
        <f t="shared" si="101"/>
        <v>0</v>
      </c>
      <c r="Z327" s="1">
        <f t="shared" si="102"/>
        <v>1</v>
      </c>
      <c r="AA327" s="1">
        <f t="shared" si="103"/>
        <v>0</v>
      </c>
      <c r="AB327" s="1">
        <f t="shared" si="104"/>
        <v>0</v>
      </c>
      <c r="AD327" s="1">
        <f t="shared" si="105"/>
        <v>0</v>
      </c>
      <c r="AE327" s="1">
        <f t="shared" si="106"/>
        <v>1</v>
      </c>
      <c r="AF327" s="1">
        <f t="shared" si="91"/>
        <v>0</v>
      </c>
      <c r="AG327" s="1">
        <f t="shared" si="92"/>
        <v>1</v>
      </c>
      <c r="AH327" s="1">
        <f t="shared" si="93"/>
        <v>0</v>
      </c>
      <c r="AI327" s="1">
        <f t="shared" si="94"/>
        <v>1</v>
      </c>
    </row>
    <row r="328" spans="1:35" ht="14.25" customHeight="1" x14ac:dyDescent="0.3">
      <c r="A328" s="47">
        <v>0</v>
      </c>
      <c r="B328" s="47">
        <v>2</v>
      </c>
      <c r="C328" s="47">
        <v>3</v>
      </c>
      <c r="D328" s="48" t="s">
        <v>1510</v>
      </c>
      <c r="E328" s="48" t="s">
        <v>1511</v>
      </c>
      <c r="F328" s="48" t="s">
        <v>1512</v>
      </c>
      <c r="G328" s="48" t="s">
        <v>240</v>
      </c>
      <c r="H328" s="48" t="s">
        <v>357</v>
      </c>
      <c r="I328" s="47" t="s">
        <v>1513</v>
      </c>
      <c r="J328" s="47">
        <v>4</v>
      </c>
      <c r="K328" s="49" t="s">
        <v>719</v>
      </c>
      <c r="L328" s="49">
        <v>15</v>
      </c>
      <c r="M328" s="50" t="s">
        <v>39</v>
      </c>
      <c r="N328" s="50" t="s">
        <v>1817</v>
      </c>
      <c r="O328" s="51"/>
      <c r="P328" s="51"/>
      <c r="Q328" s="48"/>
      <c r="S328" s="1">
        <f t="shared" si="95"/>
        <v>0</v>
      </c>
      <c r="T328" s="1">
        <f t="shared" si="96"/>
        <v>0</v>
      </c>
      <c r="U328" s="1">
        <f t="shared" si="97"/>
        <v>0</v>
      </c>
      <c r="V328" s="1">
        <f t="shared" si="98"/>
        <v>1</v>
      </c>
      <c r="W328" s="1">
        <f t="shared" si="99"/>
        <v>0</v>
      </c>
      <c r="X328" s="1">
        <f t="shared" si="100"/>
        <v>0</v>
      </c>
      <c r="Y328" s="1">
        <f t="shared" si="101"/>
        <v>0</v>
      </c>
      <c r="Z328" s="1">
        <f t="shared" si="102"/>
        <v>0</v>
      </c>
      <c r="AA328" s="1">
        <f t="shared" si="103"/>
        <v>0</v>
      </c>
      <c r="AB328" s="1">
        <f t="shared" si="104"/>
        <v>0</v>
      </c>
      <c r="AD328" s="1">
        <f t="shared" si="105"/>
        <v>0</v>
      </c>
      <c r="AE328" s="1">
        <f t="shared" si="106"/>
        <v>0</v>
      </c>
      <c r="AF328" s="1">
        <f t="shared" ref="AF328:AF392" si="107">+O328*P328*(1-A328)</f>
        <v>0</v>
      </c>
      <c r="AG328" s="1">
        <f t="shared" ref="AG328:AG392" si="108">O328*(1-P328)*(1-A328)</f>
        <v>0</v>
      </c>
      <c r="AH328" s="1">
        <f t="shared" ref="AH328:AH392" si="109">+P328*(1-A328)</f>
        <v>0</v>
      </c>
      <c r="AI328" s="1">
        <f t="shared" ref="AI328:AI392" si="110">+(1-A328)*(1-P328)</f>
        <v>1</v>
      </c>
    </row>
    <row r="329" spans="1:35" ht="14.25" customHeight="1" x14ac:dyDescent="0.3">
      <c r="A329" s="34">
        <v>0</v>
      </c>
      <c r="B329" s="34">
        <v>2</v>
      </c>
      <c r="C329" s="34">
        <v>3</v>
      </c>
      <c r="D329" s="35" t="s">
        <v>1568</v>
      </c>
      <c r="E329" s="35" t="s">
        <v>1569</v>
      </c>
      <c r="F329" s="35" t="s">
        <v>1570</v>
      </c>
      <c r="G329" s="35" t="s">
        <v>1571</v>
      </c>
      <c r="H329" s="35" t="s">
        <v>357</v>
      </c>
      <c r="I329" s="34" t="s">
        <v>1572</v>
      </c>
      <c r="J329" s="34">
        <v>7</v>
      </c>
      <c r="K329" s="36" t="s">
        <v>962</v>
      </c>
      <c r="L329" s="36">
        <v>10</v>
      </c>
      <c r="M329" s="37" t="s">
        <v>39</v>
      </c>
      <c r="N329" s="37" t="s">
        <v>1758</v>
      </c>
      <c r="O329" s="38">
        <v>1</v>
      </c>
      <c r="P329" s="38"/>
      <c r="Q329" s="35"/>
      <c r="S329" s="1">
        <f t="shared" si="95"/>
        <v>0</v>
      </c>
      <c r="T329" s="1">
        <f t="shared" si="96"/>
        <v>0</v>
      </c>
      <c r="U329" s="1">
        <f t="shared" si="97"/>
        <v>0</v>
      </c>
      <c r="V329" s="1">
        <f t="shared" si="98"/>
        <v>0</v>
      </c>
      <c r="W329" s="1">
        <f t="shared" si="99"/>
        <v>0</v>
      </c>
      <c r="X329" s="1">
        <f t="shared" si="100"/>
        <v>0</v>
      </c>
      <c r="Y329" s="1">
        <f t="shared" si="101"/>
        <v>1</v>
      </c>
      <c r="Z329" s="1">
        <f t="shared" si="102"/>
        <v>0</v>
      </c>
      <c r="AA329" s="1">
        <f t="shared" si="103"/>
        <v>0</v>
      </c>
      <c r="AB329" s="1">
        <f t="shared" si="104"/>
        <v>0</v>
      </c>
      <c r="AD329" s="1">
        <f t="shared" si="105"/>
        <v>0</v>
      </c>
      <c r="AE329" s="1">
        <f t="shared" si="106"/>
        <v>1</v>
      </c>
      <c r="AF329" s="1">
        <f t="shared" si="107"/>
        <v>0</v>
      </c>
      <c r="AG329" s="1">
        <f t="shared" si="108"/>
        <v>1</v>
      </c>
      <c r="AH329" s="1">
        <f t="shared" si="109"/>
        <v>0</v>
      </c>
      <c r="AI329" s="1">
        <f t="shared" si="110"/>
        <v>1</v>
      </c>
    </row>
    <row r="330" spans="1:35" ht="14.25" customHeight="1" x14ac:dyDescent="0.3">
      <c r="A330" s="47">
        <v>0</v>
      </c>
      <c r="B330" s="47">
        <v>2</v>
      </c>
      <c r="C330" s="47">
        <v>3</v>
      </c>
      <c r="D330" s="48" t="s">
        <v>848</v>
      </c>
      <c r="E330" s="48" t="s">
        <v>32</v>
      </c>
      <c r="F330" s="48" t="s">
        <v>850</v>
      </c>
      <c r="G330" s="48" t="s">
        <v>39</v>
      </c>
      <c r="H330" s="48" t="s">
        <v>357</v>
      </c>
      <c r="I330" s="47" t="s">
        <v>849</v>
      </c>
      <c r="J330" s="47">
        <v>1</v>
      </c>
      <c r="K330" s="49" t="s">
        <v>720</v>
      </c>
      <c r="L330" s="49" t="s">
        <v>701</v>
      </c>
      <c r="M330" s="50" t="s">
        <v>1429</v>
      </c>
      <c r="N330" s="50" t="s">
        <v>1750</v>
      </c>
      <c r="O330" s="51"/>
      <c r="P330" s="51"/>
      <c r="Q330" s="48"/>
      <c r="S330" s="1">
        <f t="shared" si="95"/>
        <v>1</v>
      </c>
      <c r="T330" s="1">
        <f t="shared" si="96"/>
        <v>0</v>
      </c>
      <c r="U330" s="1">
        <f t="shared" si="97"/>
        <v>0</v>
      </c>
      <c r="V330" s="1">
        <f t="shared" si="98"/>
        <v>0</v>
      </c>
      <c r="W330" s="1">
        <f t="shared" si="99"/>
        <v>0</v>
      </c>
      <c r="X330" s="1">
        <f t="shared" si="100"/>
        <v>0</v>
      </c>
      <c r="Y330" s="1">
        <f t="shared" si="101"/>
        <v>0</v>
      </c>
      <c r="Z330" s="1">
        <f t="shared" si="102"/>
        <v>0</v>
      </c>
      <c r="AA330" s="1">
        <f t="shared" si="103"/>
        <v>0</v>
      </c>
      <c r="AB330" s="1">
        <f t="shared" si="104"/>
        <v>0</v>
      </c>
      <c r="AD330" s="1">
        <f t="shared" si="105"/>
        <v>0</v>
      </c>
      <c r="AE330" s="1">
        <f t="shared" si="106"/>
        <v>0</v>
      </c>
      <c r="AF330" s="1">
        <f t="shared" si="107"/>
        <v>0</v>
      </c>
      <c r="AG330" s="1">
        <f t="shared" si="108"/>
        <v>0</v>
      </c>
      <c r="AH330" s="1">
        <f t="shared" si="109"/>
        <v>0</v>
      </c>
      <c r="AI330" s="1">
        <f t="shared" si="110"/>
        <v>1</v>
      </c>
    </row>
    <row r="331" spans="1:35" ht="14.25" customHeight="1" x14ac:dyDescent="0.3">
      <c r="A331" s="15">
        <v>0</v>
      </c>
      <c r="B331" s="15">
        <v>2</v>
      </c>
      <c r="C331" s="15">
        <v>4</v>
      </c>
      <c r="D331" s="16" t="s">
        <v>771</v>
      </c>
      <c r="E331" s="16" t="s">
        <v>772</v>
      </c>
      <c r="F331" s="16" t="s">
        <v>773</v>
      </c>
      <c r="G331" s="16" t="s">
        <v>774</v>
      </c>
      <c r="H331" s="16" t="s">
        <v>357</v>
      </c>
      <c r="I331" s="15" t="s">
        <v>775</v>
      </c>
      <c r="J331" s="15">
        <v>99</v>
      </c>
      <c r="K331" s="10" t="s">
        <v>710</v>
      </c>
      <c r="L331" s="10">
        <v>15</v>
      </c>
      <c r="M331" s="19" t="s">
        <v>776</v>
      </c>
      <c r="N331" s="19"/>
      <c r="Q331" s="16"/>
      <c r="S331" s="1">
        <f t="shared" si="95"/>
        <v>0</v>
      </c>
      <c r="T331" s="1">
        <f t="shared" si="96"/>
        <v>0</v>
      </c>
      <c r="U331" s="1">
        <f t="shared" si="97"/>
        <v>0</v>
      </c>
      <c r="V331" s="1">
        <f t="shared" si="98"/>
        <v>0</v>
      </c>
      <c r="W331" s="1">
        <f t="shared" si="99"/>
        <v>0</v>
      </c>
      <c r="X331" s="1">
        <f t="shared" si="100"/>
        <v>0</v>
      </c>
      <c r="Y331" s="1">
        <f t="shared" si="101"/>
        <v>0</v>
      </c>
      <c r="Z331" s="1">
        <f t="shared" si="102"/>
        <v>0</v>
      </c>
      <c r="AA331" s="1">
        <f t="shared" si="103"/>
        <v>0</v>
      </c>
      <c r="AB331" s="1">
        <f t="shared" si="104"/>
        <v>0</v>
      </c>
      <c r="AD331" s="1">
        <f t="shared" si="105"/>
        <v>0</v>
      </c>
      <c r="AE331" s="1">
        <f t="shared" si="106"/>
        <v>0</v>
      </c>
      <c r="AF331" s="1">
        <f t="shared" si="107"/>
        <v>0</v>
      </c>
      <c r="AG331" s="1">
        <f t="shared" si="108"/>
        <v>0</v>
      </c>
      <c r="AH331" s="1">
        <f t="shared" si="109"/>
        <v>0</v>
      </c>
      <c r="AI331" s="1">
        <f t="shared" si="110"/>
        <v>1</v>
      </c>
    </row>
    <row r="332" spans="1:35" ht="14.25" customHeight="1" x14ac:dyDescent="0.3">
      <c r="A332" s="47">
        <v>0</v>
      </c>
      <c r="B332" s="47">
        <v>2</v>
      </c>
      <c r="C332" s="47">
        <v>4</v>
      </c>
      <c r="D332" s="48" t="s">
        <v>805</v>
      </c>
      <c r="E332" s="48" t="s">
        <v>915</v>
      </c>
      <c r="F332" s="48" t="s">
        <v>932</v>
      </c>
      <c r="G332" s="48" t="s">
        <v>210</v>
      </c>
      <c r="H332" s="48" t="s">
        <v>357</v>
      </c>
      <c r="I332" s="47" t="s">
        <v>1377</v>
      </c>
      <c r="J332" s="47">
        <v>3</v>
      </c>
      <c r="K332" s="49" t="s">
        <v>710</v>
      </c>
      <c r="L332" s="49">
        <v>20</v>
      </c>
      <c r="M332" s="50" t="s">
        <v>1431</v>
      </c>
      <c r="N332" s="50" t="s">
        <v>1817</v>
      </c>
      <c r="O332" s="51"/>
      <c r="P332" s="51"/>
      <c r="Q332" s="48"/>
      <c r="S332" s="1">
        <f t="shared" ref="S332:S396" si="111">IF(J332=$S$7,1,0)</f>
        <v>0</v>
      </c>
      <c r="T332" s="1">
        <f t="shared" ref="T332:T396" si="112">IF(J332=$T$7,1,0)</f>
        <v>0</v>
      </c>
      <c r="U332" s="1">
        <f t="shared" ref="U332:U396" si="113">IF(J332=$U$7,1,0)</f>
        <v>1</v>
      </c>
      <c r="V332" s="1">
        <f t="shared" ref="V332:V396" si="114">IF(J332=$V$7,1,0)</f>
        <v>0</v>
      </c>
      <c r="W332" s="1">
        <f t="shared" ref="W332:W396" si="115">IF(J332=$W$7,1,0)</f>
        <v>0</v>
      </c>
      <c r="X332" s="1">
        <f t="shared" ref="X332:X396" si="116">IF(J332=$X$7,1,0)</f>
        <v>0</v>
      </c>
      <c r="Y332" s="1">
        <f t="shared" ref="Y332:Y396" si="117">IF(J332=$Y$7,1,0)</f>
        <v>0</v>
      </c>
      <c r="Z332" s="1">
        <f t="shared" ref="Z332:Z396" si="118">IF(J332=$Z$7,1,0)</f>
        <v>0</v>
      </c>
      <c r="AA332" s="1">
        <f t="shared" ref="AA332:AA396" si="119">IF(J332=$AA$7,1,0)</f>
        <v>0</v>
      </c>
      <c r="AB332" s="1">
        <f t="shared" ref="AB332:AB396" si="120">IF(J332=$AB$7,1,0)</f>
        <v>0</v>
      </c>
      <c r="AD332" s="1">
        <f t="shared" ref="AD332:AD396" si="121">+O332*P332</f>
        <v>0</v>
      </c>
      <c r="AE332" s="1">
        <f t="shared" ref="AE332:AE396" si="122">O332*(1-P332)</f>
        <v>0</v>
      </c>
      <c r="AF332" s="1">
        <f t="shared" si="107"/>
        <v>0</v>
      </c>
      <c r="AG332" s="1">
        <f t="shared" si="108"/>
        <v>0</v>
      </c>
      <c r="AH332" s="1">
        <f t="shared" si="109"/>
        <v>0</v>
      </c>
      <c r="AI332" s="1">
        <f t="shared" si="110"/>
        <v>1</v>
      </c>
    </row>
    <row r="333" spans="1:35" ht="14.25" customHeight="1" x14ac:dyDescent="0.3">
      <c r="A333" s="60">
        <v>0</v>
      </c>
      <c r="B333" s="60">
        <v>2</v>
      </c>
      <c r="C333" s="60">
        <v>4</v>
      </c>
      <c r="D333" s="61" t="s">
        <v>572</v>
      </c>
      <c r="E333" s="61" t="s">
        <v>37</v>
      </c>
      <c r="F333" s="61" t="s">
        <v>207</v>
      </c>
      <c r="G333" s="61" t="s">
        <v>39</v>
      </c>
      <c r="H333" s="61" t="s">
        <v>357</v>
      </c>
      <c r="I333" s="60" t="s">
        <v>392</v>
      </c>
      <c r="J333" s="60">
        <v>6</v>
      </c>
      <c r="K333" s="62" t="s">
        <v>710</v>
      </c>
      <c r="L333" s="62" t="s">
        <v>39</v>
      </c>
      <c r="M333" s="63" t="s">
        <v>39</v>
      </c>
      <c r="N333" s="64"/>
      <c r="O333" s="65"/>
      <c r="P333" s="65"/>
      <c r="Q333" s="61"/>
      <c r="S333" s="1">
        <f t="shared" si="111"/>
        <v>0</v>
      </c>
      <c r="T333" s="1">
        <f t="shared" si="112"/>
        <v>0</v>
      </c>
      <c r="U333" s="1">
        <f t="shared" si="113"/>
        <v>0</v>
      </c>
      <c r="V333" s="1">
        <f t="shared" si="114"/>
        <v>0</v>
      </c>
      <c r="W333" s="1">
        <f t="shared" si="115"/>
        <v>0</v>
      </c>
      <c r="X333" s="1">
        <f t="shared" si="116"/>
        <v>1</v>
      </c>
      <c r="Y333" s="1">
        <f t="shared" si="117"/>
        <v>0</v>
      </c>
      <c r="Z333" s="1">
        <f t="shared" si="118"/>
        <v>0</v>
      </c>
      <c r="AA333" s="1">
        <f t="shared" si="119"/>
        <v>0</v>
      </c>
      <c r="AB333" s="1">
        <f t="shared" si="120"/>
        <v>0</v>
      </c>
      <c r="AD333" s="1">
        <f t="shared" si="121"/>
        <v>0</v>
      </c>
      <c r="AE333" s="1">
        <f t="shared" si="122"/>
        <v>0</v>
      </c>
      <c r="AF333" s="1">
        <f t="shared" si="107"/>
        <v>0</v>
      </c>
      <c r="AG333" s="1">
        <f t="shared" si="108"/>
        <v>0</v>
      </c>
      <c r="AH333" s="1">
        <f t="shared" si="109"/>
        <v>0</v>
      </c>
      <c r="AI333" s="1">
        <f t="shared" si="110"/>
        <v>1</v>
      </c>
    </row>
    <row r="334" spans="1:35" ht="14.25" customHeight="1" x14ac:dyDescent="0.3">
      <c r="A334" s="47">
        <v>0</v>
      </c>
      <c r="B334" s="47">
        <v>2</v>
      </c>
      <c r="C334" s="47">
        <v>4</v>
      </c>
      <c r="D334" s="48" t="s">
        <v>658</v>
      </c>
      <c r="E334" s="48" t="s">
        <v>917</v>
      </c>
      <c r="F334" s="48" t="s">
        <v>629</v>
      </c>
      <c r="G334" s="48" t="s">
        <v>344</v>
      </c>
      <c r="H334" s="48" t="s">
        <v>357</v>
      </c>
      <c r="I334" s="47" t="s">
        <v>630</v>
      </c>
      <c r="J334" s="47">
        <v>10</v>
      </c>
      <c r="K334" s="49" t="s">
        <v>961</v>
      </c>
      <c r="L334" s="49" t="s">
        <v>711</v>
      </c>
      <c r="M334" s="50" t="s">
        <v>1433</v>
      </c>
      <c r="N334" s="50" t="s">
        <v>1749</v>
      </c>
      <c r="O334" s="51"/>
      <c r="P334" s="51"/>
      <c r="Q334" s="48"/>
      <c r="S334" s="1">
        <f t="shared" si="111"/>
        <v>0</v>
      </c>
      <c r="T334" s="1">
        <f t="shared" si="112"/>
        <v>0</v>
      </c>
      <c r="U334" s="1">
        <f t="shared" si="113"/>
        <v>0</v>
      </c>
      <c r="V334" s="1">
        <f t="shared" si="114"/>
        <v>0</v>
      </c>
      <c r="W334" s="1">
        <f t="shared" si="115"/>
        <v>0</v>
      </c>
      <c r="X334" s="1">
        <f t="shared" si="116"/>
        <v>0</v>
      </c>
      <c r="Y334" s="1">
        <f t="shared" si="117"/>
        <v>0</v>
      </c>
      <c r="Z334" s="1">
        <f t="shared" si="118"/>
        <v>0</v>
      </c>
      <c r="AA334" s="1">
        <f t="shared" si="119"/>
        <v>0</v>
      </c>
      <c r="AB334" s="1">
        <f t="shared" si="120"/>
        <v>1</v>
      </c>
      <c r="AD334" s="1">
        <f t="shared" si="121"/>
        <v>0</v>
      </c>
      <c r="AE334" s="1">
        <f t="shared" si="122"/>
        <v>0</v>
      </c>
      <c r="AF334" s="1">
        <f t="shared" si="107"/>
        <v>0</v>
      </c>
      <c r="AG334" s="1">
        <f t="shared" si="108"/>
        <v>0</v>
      </c>
      <c r="AH334" s="1">
        <f t="shared" si="109"/>
        <v>0</v>
      </c>
      <c r="AI334" s="1">
        <f t="shared" si="110"/>
        <v>1</v>
      </c>
    </row>
    <row r="335" spans="1:35" ht="14.25" customHeight="1" x14ac:dyDescent="0.3">
      <c r="A335" s="34">
        <v>0</v>
      </c>
      <c r="B335" s="34">
        <v>2</v>
      </c>
      <c r="C335" s="34">
        <v>4</v>
      </c>
      <c r="D335" s="35" t="s">
        <v>76</v>
      </c>
      <c r="E335" s="35" t="s">
        <v>35</v>
      </c>
      <c r="F335" s="35" t="s">
        <v>269</v>
      </c>
      <c r="G335" s="35" t="s">
        <v>215</v>
      </c>
      <c r="H335" s="35" t="s">
        <v>357</v>
      </c>
      <c r="I335" s="34" t="s">
        <v>952</v>
      </c>
      <c r="J335" s="34">
        <v>1</v>
      </c>
      <c r="K335" s="36" t="s">
        <v>720</v>
      </c>
      <c r="L335" s="36" t="s">
        <v>711</v>
      </c>
      <c r="M335" s="37" t="s">
        <v>1434</v>
      </c>
      <c r="N335" s="37" t="s">
        <v>1758</v>
      </c>
      <c r="O335" s="38">
        <v>1</v>
      </c>
      <c r="P335" s="38"/>
      <c r="Q335" s="35"/>
      <c r="S335" s="1">
        <f t="shared" si="111"/>
        <v>1</v>
      </c>
      <c r="T335" s="1">
        <f t="shared" si="112"/>
        <v>0</v>
      </c>
      <c r="U335" s="1">
        <f t="shared" si="113"/>
        <v>0</v>
      </c>
      <c r="V335" s="1">
        <f t="shared" si="114"/>
        <v>0</v>
      </c>
      <c r="W335" s="1">
        <f t="shared" si="115"/>
        <v>0</v>
      </c>
      <c r="X335" s="1">
        <f t="shared" si="116"/>
        <v>0</v>
      </c>
      <c r="Y335" s="1">
        <f t="shared" si="117"/>
        <v>0</v>
      </c>
      <c r="Z335" s="1">
        <f t="shared" si="118"/>
        <v>0</v>
      </c>
      <c r="AA335" s="1">
        <f t="shared" si="119"/>
        <v>0</v>
      </c>
      <c r="AB335" s="1">
        <f t="shared" si="120"/>
        <v>0</v>
      </c>
      <c r="AD335" s="1">
        <f t="shared" si="121"/>
        <v>0</v>
      </c>
      <c r="AE335" s="1">
        <f t="shared" si="122"/>
        <v>1</v>
      </c>
      <c r="AF335" s="1">
        <f t="shared" si="107"/>
        <v>0</v>
      </c>
      <c r="AG335" s="1">
        <f t="shared" si="108"/>
        <v>1</v>
      </c>
      <c r="AH335" s="1">
        <f t="shared" si="109"/>
        <v>0</v>
      </c>
      <c r="AI335" s="1">
        <f t="shared" si="110"/>
        <v>1</v>
      </c>
    </row>
    <row r="336" spans="1:35" ht="14.25" customHeight="1" x14ac:dyDescent="0.3">
      <c r="A336" s="47">
        <v>0</v>
      </c>
      <c r="B336" s="47">
        <v>2</v>
      </c>
      <c r="C336" s="47">
        <v>4</v>
      </c>
      <c r="D336" s="48" t="s">
        <v>926</v>
      </c>
      <c r="E336" s="48" t="s">
        <v>919</v>
      </c>
      <c r="F336" s="48" t="s">
        <v>789</v>
      </c>
      <c r="G336" s="48" t="s">
        <v>288</v>
      </c>
      <c r="H336" s="48" t="s">
        <v>357</v>
      </c>
      <c r="I336" s="47" t="s">
        <v>953</v>
      </c>
      <c r="J336" s="47">
        <v>4</v>
      </c>
      <c r="K336" s="49" t="s">
        <v>720</v>
      </c>
      <c r="L336" s="49" t="s">
        <v>703</v>
      </c>
      <c r="M336" s="50" t="s">
        <v>1435</v>
      </c>
      <c r="N336" s="50" t="s">
        <v>1749</v>
      </c>
      <c r="O336" s="51"/>
      <c r="P336" s="51"/>
      <c r="Q336" s="48"/>
      <c r="S336" s="1">
        <f t="shared" si="111"/>
        <v>0</v>
      </c>
      <c r="T336" s="1">
        <f t="shared" si="112"/>
        <v>0</v>
      </c>
      <c r="U336" s="1">
        <f t="shared" si="113"/>
        <v>0</v>
      </c>
      <c r="V336" s="1">
        <f t="shared" si="114"/>
        <v>1</v>
      </c>
      <c r="W336" s="1">
        <f t="shared" si="115"/>
        <v>0</v>
      </c>
      <c r="X336" s="1">
        <f t="shared" si="116"/>
        <v>0</v>
      </c>
      <c r="Y336" s="1">
        <f t="shared" si="117"/>
        <v>0</v>
      </c>
      <c r="Z336" s="1">
        <f t="shared" si="118"/>
        <v>0</v>
      </c>
      <c r="AA336" s="1">
        <f t="shared" si="119"/>
        <v>0</v>
      </c>
      <c r="AB336" s="1">
        <f t="shared" si="120"/>
        <v>0</v>
      </c>
      <c r="AD336" s="1">
        <f t="shared" si="121"/>
        <v>0</v>
      </c>
      <c r="AE336" s="1">
        <f t="shared" si="122"/>
        <v>0</v>
      </c>
      <c r="AF336" s="1">
        <f t="shared" si="107"/>
        <v>0</v>
      </c>
      <c r="AG336" s="1">
        <f t="shared" si="108"/>
        <v>0</v>
      </c>
      <c r="AH336" s="1">
        <f t="shared" si="109"/>
        <v>0</v>
      </c>
      <c r="AI336" s="1">
        <f t="shared" si="110"/>
        <v>1</v>
      </c>
    </row>
    <row r="337" spans="1:35" ht="14.25" customHeight="1" x14ac:dyDescent="0.3">
      <c r="A337" s="41">
        <v>0</v>
      </c>
      <c r="B337" s="41">
        <v>2</v>
      </c>
      <c r="C337" s="41">
        <v>4</v>
      </c>
      <c r="D337" s="42" t="s">
        <v>1151</v>
      </c>
      <c r="E337" s="42" t="s">
        <v>779</v>
      </c>
      <c r="F337" s="42" t="s">
        <v>1152</v>
      </c>
      <c r="G337" s="42" t="s">
        <v>187</v>
      </c>
      <c r="H337" s="42" t="s">
        <v>357</v>
      </c>
      <c r="I337" s="41" t="s">
        <v>1180</v>
      </c>
      <c r="J337" s="41">
        <v>99</v>
      </c>
      <c r="K337" s="43" t="s">
        <v>720</v>
      </c>
      <c r="L337" s="43" t="s">
        <v>39</v>
      </c>
      <c r="M337" s="44" t="s">
        <v>39</v>
      </c>
      <c r="N337" s="45"/>
      <c r="O337" s="46"/>
      <c r="P337" s="46">
        <v>1</v>
      </c>
      <c r="Q337" s="42"/>
      <c r="S337" s="1">
        <f t="shared" si="111"/>
        <v>0</v>
      </c>
      <c r="T337" s="1">
        <f t="shared" si="112"/>
        <v>0</v>
      </c>
      <c r="U337" s="1">
        <f t="shared" si="113"/>
        <v>0</v>
      </c>
      <c r="V337" s="1">
        <f t="shared" si="114"/>
        <v>0</v>
      </c>
      <c r="W337" s="1">
        <f t="shared" si="115"/>
        <v>0</v>
      </c>
      <c r="X337" s="1">
        <f t="shared" si="116"/>
        <v>0</v>
      </c>
      <c r="Y337" s="1">
        <f t="shared" si="117"/>
        <v>0</v>
      </c>
      <c r="Z337" s="1">
        <f t="shared" si="118"/>
        <v>0</v>
      </c>
      <c r="AA337" s="1">
        <f t="shared" si="119"/>
        <v>0</v>
      </c>
      <c r="AB337" s="1">
        <f t="shared" si="120"/>
        <v>0</v>
      </c>
      <c r="AD337" s="1">
        <f t="shared" si="121"/>
        <v>0</v>
      </c>
      <c r="AE337" s="1">
        <f t="shared" si="122"/>
        <v>0</v>
      </c>
      <c r="AF337" s="1">
        <f t="shared" si="107"/>
        <v>0</v>
      </c>
      <c r="AG337" s="1">
        <f t="shared" si="108"/>
        <v>0</v>
      </c>
      <c r="AH337" s="1">
        <f t="shared" si="109"/>
        <v>1</v>
      </c>
      <c r="AI337" s="1">
        <f t="shared" si="110"/>
        <v>0</v>
      </c>
    </row>
    <row r="338" spans="1:35" ht="14.25" customHeight="1" x14ac:dyDescent="0.3">
      <c r="A338" s="15">
        <v>0</v>
      </c>
      <c r="B338" s="15">
        <v>2</v>
      </c>
      <c r="C338" s="15">
        <v>4</v>
      </c>
      <c r="D338" s="16" t="s">
        <v>634</v>
      </c>
      <c r="E338" s="16" t="s">
        <v>691</v>
      </c>
      <c r="F338" s="16" t="s">
        <v>676</v>
      </c>
      <c r="G338" s="16" t="s">
        <v>633</v>
      </c>
      <c r="H338" s="16" t="s">
        <v>357</v>
      </c>
      <c r="I338" s="15" t="s">
        <v>635</v>
      </c>
      <c r="J338" s="15">
        <v>99</v>
      </c>
      <c r="K338" s="10" t="s">
        <v>962</v>
      </c>
      <c r="L338" s="10" t="s">
        <v>39</v>
      </c>
      <c r="M338" s="19" t="s">
        <v>39</v>
      </c>
      <c r="N338" s="17"/>
      <c r="Q338" s="20" t="s">
        <v>1912</v>
      </c>
      <c r="S338" s="1">
        <f t="shared" si="111"/>
        <v>0</v>
      </c>
      <c r="T338" s="1">
        <f t="shared" si="112"/>
        <v>0</v>
      </c>
      <c r="U338" s="1">
        <f t="shared" si="113"/>
        <v>0</v>
      </c>
      <c r="V338" s="1">
        <f t="shared" si="114"/>
        <v>0</v>
      </c>
      <c r="W338" s="1">
        <f t="shared" si="115"/>
        <v>0</v>
      </c>
      <c r="X338" s="1">
        <f t="shared" si="116"/>
        <v>0</v>
      </c>
      <c r="Y338" s="1">
        <f t="shared" si="117"/>
        <v>0</v>
      </c>
      <c r="Z338" s="1">
        <f t="shared" si="118"/>
        <v>0</v>
      </c>
      <c r="AA338" s="1">
        <f t="shared" si="119"/>
        <v>0</v>
      </c>
      <c r="AB338" s="1">
        <f t="shared" si="120"/>
        <v>0</v>
      </c>
      <c r="AD338" s="1">
        <f t="shared" si="121"/>
        <v>0</v>
      </c>
      <c r="AE338" s="1">
        <f t="shared" si="122"/>
        <v>0</v>
      </c>
      <c r="AF338" s="1">
        <f t="shared" si="107"/>
        <v>0</v>
      </c>
      <c r="AG338" s="1">
        <f t="shared" si="108"/>
        <v>0</v>
      </c>
      <c r="AH338" s="1">
        <f t="shared" si="109"/>
        <v>0</v>
      </c>
      <c r="AI338" s="1">
        <f t="shared" si="110"/>
        <v>1</v>
      </c>
    </row>
    <row r="339" spans="1:35" ht="14.25" customHeight="1" x14ac:dyDescent="0.3">
      <c r="A339" s="34">
        <v>0</v>
      </c>
      <c r="B339" s="34">
        <v>2</v>
      </c>
      <c r="C339" s="34">
        <v>4</v>
      </c>
      <c r="D339" s="35" t="s">
        <v>85</v>
      </c>
      <c r="E339" s="35" t="s">
        <v>35</v>
      </c>
      <c r="F339" s="35" t="s">
        <v>280</v>
      </c>
      <c r="G339" s="35" t="s">
        <v>226</v>
      </c>
      <c r="H339" s="35" t="s">
        <v>357</v>
      </c>
      <c r="I339" s="34" t="s">
        <v>437</v>
      </c>
      <c r="J339" s="34">
        <v>99</v>
      </c>
      <c r="K339" s="36" t="s">
        <v>961</v>
      </c>
      <c r="L339" s="36" t="s">
        <v>711</v>
      </c>
      <c r="M339" s="37" t="s">
        <v>733</v>
      </c>
      <c r="N339" s="37" t="s">
        <v>1776</v>
      </c>
      <c r="O339" s="38">
        <v>1</v>
      </c>
      <c r="P339" s="38"/>
      <c r="Q339" s="35"/>
      <c r="S339" s="1">
        <f t="shared" si="111"/>
        <v>0</v>
      </c>
      <c r="T339" s="1">
        <f t="shared" si="112"/>
        <v>0</v>
      </c>
      <c r="U339" s="1">
        <f t="shared" si="113"/>
        <v>0</v>
      </c>
      <c r="V339" s="1">
        <f t="shared" si="114"/>
        <v>0</v>
      </c>
      <c r="W339" s="1">
        <f t="shared" si="115"/>
        <v>0</v>
      </c>
      <c r="X339" s="1">
        <f t="shared" si="116"/>
        <v>0</v>
      </c>
      <c r="Y339" s="1">
        <f t="shared" si="117"/>
        <v>0</v>
      </c>
      <c r="Z339" s="1">
        <f t="shared" si="118"/>
        <v>0</v>
      </c>
      <c r="AA339" s="1">
        <f t="shared" si="119"/>
        <v>0</v>
      </c>
      <c r="AB339" s="1">
        <f t="shared" si="120"/>
        <v>0</v>
      </c>
      <c r="AD339" s="1">
        <f t="shared" si="121"/>
        <v>0</v>
      </c>
      <c r="AE339" s="1">
        <f t="shared" si="122"/>
        <v>1</v>
      </c>
      <c r="AF339" s="1">
        <f t="shared" si="107"/>
        <v>0</v>
      </c>
      <c r="AG339" s="1">
        <f t="shared" si="108"/>
        <v>1</v>
      </c>
      <c r="AH339" s="1">
        <f t="shared" si="109"/>
        <v>0</v>
      </c>
      <c r="AI339" s="1">
        <f t="shared" si="110"/>
        <v>1</v>
      </c>
    </row>
    <row r="340" spans="1:35" ht="14.25" customHeight="1" x14ac:dyDescent="0.3">
      <c r="A340" s="15">
        <v>0</v>
      </c>
      <c r="B340" s="15">
        <v>2</v>
      </c>
      <c r="C340" s="15">
        <v>4</v>
      </c>
      <c r="D340" s="16" t="s">
        <v>886</v>
      </c>
      <c r="E340" s="16" t="s">
        <v>779</v>
      </c>
      <c r="F340" s="16" t="s">
        <v>884</v>
      </c>
      <c r="G340" s="16" t="s">
        <v>282</v>
      </c>
      <c r="H340" s="16" t="s">
        <v>357</v>
      </c>
      <c r="I340" s="15" t="s">
        <v>885</v>
      </c>
      <c r="J340" s="15">
        <v>99</v>
      </c>
      <c r="K340" s="10" t="s">
        <v>710</v>
      </c>
      <c r="L340" s="10">
        <v>25</v>
      </c>
      <c r="M340" s="19" t="s">
        <v>1436</v>
      </c>
      <c r="N340" s="19"/>
      <c r="Q340" s="16"/>
      <c r="S340" s="1">
        <f t="shared" si="111"/>
        <v>0</v>
      </c>
      <c r="T340" s="1">
        <f t="shared" si="112"/>
        <v>0</v>
      </c>
      <c r="U340" s="1">
        <f t="shared" si="113"/>
        <v>0</v>
      </c>
      <c r="V340" s="1">
        <f t="shared" si="114"/>
        <v>0</v>
      </c>
      <c r="W340" s="1">
        <f t="shared" si="115"/>
        <v>0</v>
      </c>
      <c r="X340" s="1">
        <f t="shared" si="116"/>
        <v>0</v>
      </c>
      <c r="Y340" s="1">
        <f t="shared" si="117"/>
        <v>0</v>
      </c>
      <c r="Z340" s="1">
        <f t="shared" si="118"/>
        <v>0</v>
      </c>
      <c r="AA340" s="1">
        <f t="shared" si="119"/>
        <v>0</v>
      </c>
      <c r="AB340" s="1">
        <f t="shared" si="120"/>
        <v>0</v>
      </c>
      <c r="AD340" s="1">
        <f t="shared" si="121"/>
        <v>0</v>
      </c>
      <c r="AE340" s="1">
        <f t="shared" si="122"/>
        <v>0</v>
      </c>
      <c r="AF340" s="1">
        <f t="shared" si="107"/>
        <v>0</v>
      </c>
      <c r="AG340" s="1">
        <f t="shared" si="108"/>
        <v>0</v>
      </c>
      <c r="AH340" s="1">
        <f t="shared" si="109"/>
        <v>0</v>
      </c>
      <c r="AI340" s="1">
        <f t="shared" si="110"/>
        <v>1</v>
      </c>
    </row>
    <row r="341" spans="1:35" ht="14.25" customHeight="1" x14ac:dyDescent="0.3">
      <c r="A341" s="34">
        <v>0</v>
      </c>
      <c r="B341" s="34">
        <v>2</v>
      </c>
      <c r="C341" s="34">
        <v>4</v>
      </c>
      <c r="D341" s="35" t="s">
        <v>929</v>
      </c>
      <c r="E341" s="35" t="s">
        <v>779</v>
      </c>
      <c r="F341" s="35" t="s">
        <v>851</v>
      </c>
      <c r="G341" s="35" t="s">
        <v>211</v>
      </c>
      <c r="H341" s="35" t="s">
        <v>357</v>
      </c>
      <c r="I341" s="34" t="s">
        <v>852</v>
      </c>
      <c r="J341" s="34">
        <v>99</v>
      </c>
      <c r="K341" s="36" t="s">
        <v>719</v>
      </c>
      <c r="L341" s="36" t="s">
        <v>711</v>
      </c>
      <c r="M341" s="37" t="s">
        <v>733</v>
      </c>
      <c r="N341" s="37" t="s">
        <v>1771</v>
      </c>
      <c r="O341" s="38">
        <v>1</v>
      </c>
      <c r="P341" s="38"/>
      <c r="Q341" s="35"/>
      <c r="S341" s="1">
        <f t="shared" si="111"/>
        <v>0</v>
      </c>
      <c r="T341" s="1">
        <f t="shared" si="112"/>
        <v>0</v>
      </c>
      <c r="U341" s="1">
        <f t="shared" si="113"/>
        <v>0</v>
      </c>
      <c r="V341" s="1">
        <f t="shared" si="114"/>
        <v>0</v>
      </c>
      <c r="W341" s="1">
        <f t="shared" si="115"/>
        <v>0</v>
      </c>
      <c r="X341" s="1">
        <f t="shared" si="116"/>
        <v>0</v>
      </c>
      <c r="Y341" s="1">
        <f t="shared" si="117"/>
        <v>0</v>
      </c>
      <c r="Z341" s="1">
        <f t="shared" si="118"/>
        <v>0</v>
      </c>
      <c r="AA341" s="1">
        <f t="shared" si="119"/>
        <v>0</v>
      </c>
      <c r="AB341" s="1">
        <f t="shared" si="120"/>
        <v>0</v>
      </c>
      <c r="AD341" s="1">
        <f t="shared" si="121"/>
        <v>0</v>
      </c>
      <c r="AE341" s="1">
        <f t="shared" si="122"/>
        <v>1</v>
      </c>
      <c r="AF341" s="1">
        <f t="shared" si="107"/>
        <v>0</v>
      </c>
      <c r="AG341" s="1">
        <f t="shared" si="108"/>
        <v>1</v>
      </c>
      <c r="AH341" s="1">
        <f t="shared" si="109"/>
        <v>0</v>
      </c>
      <c r="AI341" s="1">
        <f t="shared" si="110"/>
        <v>1</v>
      </c>
    </row>
    <row r="342" spans="1:35" ht="14.25" customHeight="1" x14ac:dyDescent="0.3">
      <c r="A342" s="47">
        <v>0</v>
      </c>
      <c r="B342" s="47">
        <v>2</v>
      </c>
      <c r="C342" s="47">
        <v>4</v>
      </c>
      <c r="D342" s="48" t="s">
        <v>1237</v>
      </c>
      <c r="E342" s="48" t="s">
        <v>1236</v>
      </c>
      <c r="F342" s="48" t="s">
        <v>1238</v>
      </c>
      <c r="G342" s="48" t="s">
        <v>540</v>
      </c>
      <c r="H342" s="48" t="s">
        <v>357</v>
      </c>
      <c r="I342" s="47" t="s">
        <v>1239</v>
      </c>
      <c r="J342" s="47">
        <v>99</v>
      </c>
      <c r="K342" s="49" t="s">
        <v>720</v>
      </c>
      <c r="L342" s="49" t="s">
        <v>701</v>
      </c>
      <c r="M342" s="50" t="s">
        <v>1437</v>
      </c>
      <c r="N342" s="50" t="s">
        <v>1762</v>
      </c>
      <c r="O342" s="51"/>
      <c r="P342" s="51"/>
      <c r="Q342" s="48"/>
      <c r="S342" s="1">
        <f t="shared" si="111"/>
        <v>0</v>
      </c>
      <c r="T342" s="1">
        <f t="shared" si="112"/>
        <v>0</v>
      </c>
      <c r="U342" s="1">
        <f t="shared" si="113"/>
        <v>0</v>
      </c>
      <c r="V342" s="1">
        <f t="shared" si="114"/>
        <v>0</v>
      </c>
      <c r="W342" s="1">
        <f t="shared" si="115"/>
        <v>0</v>
      </c>
      <c r="X342" s="1">
        <f t="shared" si="116"/>
        <v>0</v>
      </c>
      <c r="Y342" s="1">
        <f t="shared" si="117"/>
        <v>0</v>
      </c>
      <c r="Z342" s="1">
        <f t="shared" si="118"/>
        <v>0</v>
      </c>
      <c r="AA342" s="1">
        <f t="shared" si="119"/>
        <v>0</v>
      </c>
      <c r="AB342" s="1">
        <f t="shared" si="120"/>
        <v>0</v>
      </c>
      <c r="AD342" s="1">
        <f t="shared" si="121"/>
        <v>0</v>
      </c>
      <c r="AE342" s="1">
        <f t="shared" si="122"/>
        <v>0</v>
      </c>
      <c r="AF342" s="1">
        <f t="shared" si="107"/>
        <v>0</v>
      </c>
      <c r="AG342" s="1">
        <f t="shared" si="108"/>
        <v>0</v>
      </c>
      <c r="AH342" s="1">
        <f t="shared" si="109"/>
        <v>0</v>
      </c>
      <c r="AI342" s="1">
        <f t="shared" si="110"/>
        <v>1</v>
      </c>
    </row>
    <row r="343" spans="1:35" ht="14.25" customHeight="1" x14ac:dyDescent="0.3">
      <c r="A343" s="34">
        <v>0</v>
      </c>
      <c r="B343" s="34">
        <v>2</v>
      </c>
      <c r="C343" s="34">
        <v>4</v>
      </c>
      <c r="D343" s="35" t="s">
        <v>830</v>
      </c>
      <c r="E343" s="35" t="s">
        <v>595</v>
      </c>
      <c r="F343" s="35" t="s">
        <v>831</v>
      </c>
      <c r="G343" s="35" t="s">
        <v>944</v>
      </c>
      <c r="H343" s="35" t="s">
        <v>357</v>
      </c>
      <c r="I343" s="34" t="s">
        <v>958</v>
      </c>
      <c r="J343" s="34">
        <v>7</v>
      </c>
      <c r="K343" s="36" t="s">
        <v>719</v>
      </c>
      <c r="L343" s="36" t="s">
        <v>39</v>
      </c>
      <c r="M343" s="37" t="s">
        <v>39</v>
      </c>
      <c r="N343" s="37" t="s">
        <v>1742</v>
      </c>
      <c r="O343" s="38">
        <v>1</v>
      </c>
      <c r="P343" s="38">
        <v>1</v>
      </c>
      <c r="Q343" s="35"/>
      <c r="S343" s="1">
        <f t="shared" si="111"/>
        <v>0</v>
      </c>
      <c r="T343" s="1">
        <f t="shared" si="112"/>
        <v>0</v>
      </c>
      <c r="U343" s="1">
        <f t="shared" si="113"/>
        <v>0</v>
      </c>
      <c r="V343" s="1">
        <f t="shared" si="114"/>
        <v>0</v>
      </c>
      <c r="W343" s="1">
        <f t="shared" si="115"/>
        <v>0</v>
      </c>
      <c r="X343" s="1">
        <f t="shared" si="116"/>
        <v>0</v>
      </c>
      <c r="Y343" s="1">
        <f t="shared" si="117"/>
        <v>1</v>
      </c>
      <c r="Z343" s="1">
        <f t="shared" si="118"/>
        <v>0</v>
      </c>
      <c r="AA343" s="1">
        <f t="shared" si="119"/>
        <v>0</v>
      </c>
      <c r="AB343" s="1">
        <f t="shared" si="120"/>
        <v>0</v>
      </c>
      <c r="AD343" s="1">
        <f t="shared" si="121"/>
        <v>1</v>
      </c>
      <c r="AE343" s="1">
        <f t="shared" si="122"/>
        <v>0</v>
      </c>
      <c r="AF343" s="1">
        <f t="shared" si="107"/>
        <v>1</v>
      </c>
      <c r="AG343" s="1">
        <f t="shared" si="108"/>
        <v>0</v>
      </c>
      <c r="AH343" s="1">
        <f t="shared" si="109"/>
        <v>1</v>
      </c>
      <c r="AI343" s="1">
        <f t="shared" si="110"/>
        <v>0</v>
      </c>
    </row>
    <row r="344" spans="1:35" ht="14.25" customHeight="1" x14ac:dyDescent="0.3">
      <c r="A344" s="47">
        <v>0</v>
      </c>
      <c r="B344" s="47">
        <v>2</v>
      </c>
      <c r="C344" s="47">
        <v>4</v>
      </c>
      <c r="D344" s="48" t="s">
        <v>1620</v>
      </c>
      <c r="E344" s="48" t="s">
        <v>1670</v>
      </c>
      <c r="F344" s="48" t="s">
        <v>1621</v>
      </c>
      <c r="G344" s="48" t="s">
        <v>336</v>
      </c>
      <c r="H344" s="48" t="s">
        <v>357</v>
      </c>
      <c r="I344" s="47" t="s">
        <v>30</v>
      </c>
      <c r="J344" s="47">
        <v>99</v>
      </c>
      <c r="K344" s="49" t="s">
        <v>720</v>
      </c>
      <c r="L344" s="49">
        <v>20</v>
      </c>
      <c r="M344" s="50" t="s">
        <v>39</v>
      </c>
      <c r="N344" s="50" t="s">
        <v>1756</v>
      </c>
      <c r="O344" s="51"/>
      <c r="P344" s="51"/>
      <c r="Q344" s="48"/>
      <c r="S344" s="1">
        <f t="shared" si="111"/>
        <v>0</v>
      </c>
      <c r="T344" s="1">
        <f t="shared" si="112"/>
        <v>0</v>
      </c>
      <c r="U344" s="1">
        <f t="shared" si="113"/>
        <v>0</v>
      </c>
      <c r="V344" s="1">
        <f t="shared" si="114"/>
        <v>0</v>
      </c>
      <c r="W344" s="1">
        <f t="shared" si="115"/>
        <v>0</v>
      </c>
      <c r="X344" s="1">
        <f t="shared" si="116"/>
        <v>0</v>
      </c>
      <c r="Y344" s="1">
        <f t="shared" si="117"/>
        <v>0</v>
      </c>
      <c r="Z344" s="1">
        <f t="shared" si="118"/>
        <v>0</v>
      </c>
      <c r="AA344" s="1">
        <f t="shared" si="119"/>
        <v>0</v>
      </c>
      <c r="AB344" s="1">
        <f t="shared" si="120"/>
        <v>0</v>
      </c>
      <c r="AD344" s="1">
        <f t="shared" si="121"/>
        <v>0</v>
      </c>
      <c r="AE344" s="1">
        <f t="shared" si="122"/>
        <v>0</v>
      </c>
      <c r="AF344" s="1">
        <f t="shared" si="107"/>
        <v>0</v>
      </c>
      <c r="AG344" s="1">
        <f t="shared" si="108"/>
        <v>0</v>
      </c>
      <c r="AH344" s="1">
        <f t="shared" si="109"/>
        <v>0</v>
      </c>
      <c r="AI344" s="1">
        <f t="shared" si="110"/>
        <v>1</v>
      </c>
    </row>
    <row r="345" spans="1:35" ht="14.25" customHeight="1" x14ac:dyDescent="0.3">
      <c r="A345" s="34">
        <v>0</v>
      </c>
      <c r="B345" s="34">
        <v>2</v>
      </c>
      <c r="C345" s="34">
        <v>5</v>
      </c>
      <c r="D345" s="35" t="s">
        <v>58</v>
      </c>
      <c r="E345" s="35" t="s">
        <v>44</v>
      </c>
      <c r="F345" s="35" t="s">
        <v>677</v>
      </c>
      <c r="G345" s="35" t="s">
        <v>225</v>
      </c>
      <c r="H345" s="35" t="s">
        <v>357</v>
      </c>
      <c r="I345" s="34" t="s">
        <v>400</v>
      </c>
      <c r="J345" s="34">
        <v>8</v>
      </c>
      <c r="K345" s="36" t="s">
        <v>720</v>
      </c>
      <c r="L345" s="36" t="s">
        <v>723</v>
      </c>
      <c r="M345" s="37" t="s">
        <v>1438</v>
      </c>
      <c r="N345" s="37" t="s">
        <v>1763</v>
      </c>
      <c r="O345" s="38">
        <v>1</v>
      </c>
      <c r="P345" s="38"/>
      <c r="Q345" s="35"/>
      <c r="S345" s="1">
        <f t="shared" si="111"/>
        <v>0</v>
      </c>
      <c r="T345" s="1">
        <f t="shared" si="112"/>
        <v>0</v>
      </c>
      <c r="U345" s="1">
        <f t="shared" si="113"/>
        <v>0</v>
      </c>
      <c r="V345" s="1">
        <f t="shared" si="114"/>
        <v>0</v>
      </c>
      <c r="W345" s="1">
        <f t="shared" si="115"/>
        <v>0</v>
      </c>
      <c r="X345" s="1">
        <f t="shared" si="116"/>
        <v>0</v>
      </c>
      <c r="Y345" s="1">
        <f t="shared" si="117"/>
        <v>0</v>
      </c>
      <c r="Z345" s="1">
        <f t="shared" si="118"/>
        <v>1</v>
      </c>
      <c r="AA345" s="1">
        <f t="shared" si="119"/>
        <v>0</v>
      </c>
      <c r="AB345" s="1">
        <f t="shared" si="120"/>
        <v>0</v>
      </c>
      <c r="AD345" s="1">
        <f t="shared" si="121"/>
        <v>0</v>
      </c>
      <c r="AE345" s="1">
        <f t="shared" si="122"/>
        <v>1</v>
      </c>
      <c r="AF345" s="1">
        <f t="shared" si="107"/>
        <v>0</v>
      </c>
      <c r="AG345" s="1">
        <f t="shared" si="108"/>
        <v>1</v>
      </c>
      <c r="AH345" s="1">
        <f t="shared" si="109"/>
        <v>0</v>
      </c>
      <c r="AI345" s="1">
        <f t="shared" si="110"/>
        <v>1</v>
      </c>
    </row>
    <row r="346" spans="1:35" ht="14.25" customHeight="1" x14ac:dyDescent="0.3">
      <c r="A346" s="47">
        <v>0</v>
      </c>
      <c r="B346" s="47">
        <v>2</v>
      </c>
      <c r="C346" s="47">
        <v>5</v>
      </c>
      <c r="D346" s="48" t="s">
        <v>839</v>
      </c>
      <c r="E346" s="48" t="s">
        <v>838</v>
      </c>
      <c r="F346" s="48" t="s">
        <v>931</v>
      </c>
      <c r="G346" s="48" t="s">
        <v>215</v>
      </c>
      <c r="H346" s="48" t="s">
        <v>357</v>
      </c>
      <c r="I346" s="47" t="s">
        <v>840</v>
      </c>
      <c r="J346" s="47">
        <v>1</v>
      </c>
      <c r="K346" s="49" t="s">
        <v>719</v>
      </c>
      <c r="L346" s="49" t="s">
        <v>700</v>
      </c>
      <c r="M346" s="50" t="s">
        <v>1439</v>
      </c>
      <c r="N346" s="50" t="s">
        <v>1750</v>
      </c>
      <c r="O346" s="51"/>
      <c r="P346" s="51"/>
      <c r="Q346" s="48"/>
      <c r="S346" s="1">
        <f t="shared" si="111"/>
        <v>1</v>
      </c>
      <c r="T346" s="1">
        <f t="shared" si="112"/>
        <v>0</v>
      </c>
      <c r="U346" s="1">
        <f t="shared" si="113"/>
        <v>0</v>
      </c>
      <c r="V346" s="1">
        <f t="shared" si="114"/>
        <v>0</v>
      </c>
      <c r="W346" s="1">
        <f t="shared" si="115"/>
        <v>0</v>
      </c>
      <c r="X346" s="1">
        <f t="shared" si="116"/>
        <v>0</v>
      </c>
      <c r="Y346" s="1">
        <f t="shared" si="117"/>
        <v>0</v>
      </c>
      <c r="Z346" s="1">
        <f t="shared" si="118"/>
        <v>0</v>
      </c>
      <c r="AA346" s="1">
        <f t="shared" si="119"/>
        <v>0</v>
      </c>
      <c r="AB346" s="1">
        <f t="shared" si="120"/>
        <v>0</v>
      </c>
      <c r="AD346" s="1">
        <f t="shared" si="121"/>
        <v>0</v>
      </c>
      <c r="AE346" s="1">
        <f t="shared" si="122"/>
        <v>0</v>
      </c>
      <c r="AF346" s="1">
        <f t="shared" si="107"/>
        <v>0</v>
      </c>
      <c r="AG346" s="1">
        <f t="shared" si="108"/>
        <v>0</v>
      </c>
      <c r="AH346" s="1">
        <f t="shared" si="109"/>
        <v>0</v>
      </c>
      <c r="AI346" s="1">
        <f t="shared" si="110"/>
        <v>1</v>
      </c>
    </row>
    <row r="347" spans="1:35" ht="14.25" customHeight="1" x14ac:dyDescent="0.3">
      <c r="A347" s="47">
        <v>0</v>
      </c>
      <c r="B347" s="47">
        <v>2</v>
      </c>
      <c r="C347" s="47">
        <v>5</v>
      </c>
      <c r="D347" s="48" t="s">
        <v>65</v>
      </c>
      <c r="E347" s="48" t="s">
        <v>166</v>
      </c>
      <c r="F347" s="48" t="s">
        <v>552</v>
      </c>
      <c r="G347" s="48" t="s">
        <v>196</v>
      </c>
      <c r="H347" s="48" t="s">
        <v>357</v>
      </c>
      <c r="I347" s="47" t="s">
        <v>557</v>
      </c>
      <c r="J347" s="47">
        <v>9</v>
      </c>
      <c r="K347" s="49" t="s">
        <v>720</v>
      </c>
      <c r="L347" s="49" t="s">
        <v>693</v>
      </c>
      <c r="M347" s="50" t="s">
        <v>1458</v>
      </c>
      <c r="N347" s="50" t="s">
        <v>1753</v>
      </c>
      <c r="O347" s="51"/>
      <c r="P347" s="51"/>
      <c r="Q347" s="48"/>
      <c r="S347" s="1">
        <f t="shared" si="111"/>
        <v>0</v>
      </c>
      <c r="T347" s="1">
        <f t="shared" si="112"/>
        <v>0</v>
      </c>
      <c r="U347" s="1">
        <f t="shared" si="113"/>
        <v>0</v>
      </c>
      <c r="V347" s="1">
        <f t="shared" si="114"/>
        <v>0</v>
      </c>
      <c r="W347" s="1">
        <f t="shared" si="115"/>
        <v>0</v>
      </c>
      <c r="X347" s="1">
        <f t="shared" si="116"/>
        <v>0</v>
      </c>
      <c r="Y347" s="1">
        <f t="shared" si="117"/>
        <v>0</v>
      </c>
      <c r="Z347" s="1">
        <f t="shared" si="118"/>
        <v>0</v>
      </c>
      <c r="AA347" s="1">
        <f t="shared" si="119"/>
        <v>1</v>
      </c>
      <c r="AB347" s="1">
        <f t="shared" si="120"/>
        <v>0</v>
      </c>
      <c r="AD347" s="1">
        <f t="shared" si="121"/>
        <v>0</v>
      </c>
      <c r="AE347" s="1">
        <f t="shared" si="122"/>
        <v>0</v>
      </c>
      <c r="AF347" s="1">
        <f t="shared" si="107"/>
        <v>0</v>
      </c>
      <c r="AG347" s="1">
        <f t="shared" si="108"/>
        <v>0</v>
      </c>
      <c r="AH347" s="1">
        <f t="shared" si="109"/>
        <v>0</v>
      </c>
      <c r="AI347" s="1">
        <f t="shared" si="110"/>
        <v>1</v>
      </c>
    </row>
    <row r="348" spans="1:35" ht="14.25" customHeight="1" x14ac:dyDescent="0.3">
      <c r="A348" s="47">
        <v>0</v>
      </c>
      <c r="B348" s="47">
        <v>2</v>
      </c>
      <c r="C348" s="47">
        <v>5</v>
      </c>
      <c r="D348" s="48" t="s">
        <v>1047</v>
      </c>
      <c r="E348" s="48" t="s">
        <v>779</v>
      </c>
      <c r="F348" s="48" t="s">
        <v>1048</v>
      </c>
      <c r="G348" s="48" t="s">
        <v>224</v>
      </c>
      <c r="H348" s="48" t="s">
        <v>357</v>
      </c>
      <c r="I348" s="47" t="s">
        <v>1049</v>
      </c>
      <c r="J348" s="47">
        <v>99</v>
      </c>
      <c r="K348" s="49" t="s">
        <v>720</v>
      </c>
      <c r="L348" s="49" t="s">
        <v>700</v>
      </c>
      <c r="M348" s="50" t="s">
        <v>1432</v>
      </c>
      <c r="N348" s="50" t="s">
        <v>1753</v>
      </c>
      <c r="O348" s="51"/>
      <c r="P348" s="51"/>
      <c r="Q348" s="48"/>
      <c r="S348" s="1">
        <f t="shared" si="111"/>
        <v>0</v>
      </c>
      <c r="T348" s="1">
        <f t="shared" si="112"/>
        <v>0</v>
      </c>
      <c r="U348" s="1">
        <f t="shared" si="113"/>
        <v>0</v>
      </c>
      <c r="V348" s="1">
        <f t="shared" si="114"/>
        <v>0</v>
      </c>
      <c r="W348" s="1">
        <f t="shared" si="115"/>
        <v>0</v>
      </c>
      <c r="X348" s="1">
        <f t="shared" si="116"/>
        <v>0</v>
      </c>
      <c r="Y348" s="1">
        <f t="shared" si="117"/>
        <v>0</v>
      </c>
      <c r="Z348" s="1">
        <f t="shared" si="118"/>
        <v>0</v>
      </c>
      <c r="AA348" s="1">
        <f t="shared" si="119"/>
        <v>0</v>
      </c>
      <c r="AB348" s="1">
        <f t="shared" si="120"/>
        <v>0</v>
      </c>
      <c r="AD348" s="1">
        <f t="shared" si="121"/>
        <v>0</v>
      </c>
      <c r="AE348" s="1">
        <f t="shared" si="122"/>
        <v>0</v>
      </c>
      <c r="AF348" s="1">
        <f t="shared" si="107"/>
        <v>0</v>
      </c>
      <c r="AG348" s="1">
        <f t="shared" si="108"/>
        <v>0</v>
      </c>
      <c r="AH348" s="1">
        <f t="shared" si="109"/>
        <v>0</v>
      </c>
      <c r="AI348" s="1">
        <f t="shared" si="110"/>
        <v>1</v>
      </c>
    </row>
    <row r="349" spans="1:35" ht="14.25" customHeight="1" x14ac:dyDescent="0.3">
      <c r="A349" s="47">
        <v>0</v>
      </c>
      <c r="B349" s="47">
        <v>2</v>
      </c>
      <c r="C349" s="47">
        <v>5</v>
      </c>
      <c r="D349" s="48" t="s">
        <v>1501</v>
      </c>
      <c r="E349" s="48" t="s">
        <v>35</v>
      </c>
      <c r="F349" s="68" t="s">
        <v>1888</v>
      </c>
      <c r="G349" s="48" t="s">
        <v>224</v>
      </c>
      <c r="H349" s="48" t="s">
        <v>357</v>
      </c>
      <c r="I349" s="47" t="s">
        <v>1701</v>
      </c>
      <c r="J349" s="47">
        <v>99</v>
      </c>
      <c r="K349" s="49" t="s">
        <v>720</v>
      </c>
      <c r="L349" s="49">
        <v>25</v>
      </c>
      <c r="M349" s="50" t="s">
        <v>39</v>
      </c>
      <c r="N349" s="50" t="s">
        <v>1752</v>
      </c>
      <c r="O349" s="51"/>
      <c r="P349" s="51"/>
      <c r="Q349" s="48"/>
      <c r="S349" s="1">
        <f t="shared" si="111"/>
        <v>0</v>
      </c>
      <c r="T349" s="1">
        <f t="shared" si="112"/>
        <v>0</v>
      </c>
      <c r="U349" s="1">
        <f t="shared" si="113"/>
        <v>0</v>
      </c>
      <c r="V349" s="1">
        <f t="shared" si="114"/>
        <v>0</v>
      </c>
      <c r="W349" s="1">
        <f t="shared" si="115"/>
        <v>0</v>
      </c>
      <c r="X349" s="1">
        <f t="shared" si="116"/>
        <v>0</v>
      </c>
      <c r="Y349" s="1">
        <f t="shared" si="117"/>
        <v>0</v>
      </c>
      <c r="Z349" s="1">
        <f t="shared" si="118"/>
        <v>0</v>
      </c>
      <c r="AA349" s="1">
        <f t="shared" si="119"/>
        <v>0</v>
      </c>
      <c r="AB349" s="1">
        <f t="shared" si="120"/>
        <v>0</v>
      </c>
      <c r="AD349" s="1">
        <f t="shared" si="121"/>
        <v>0</v>
      </c>
      <c r="AE349" s="1">
        <f t="shared" si="122"/>
        <v>0</v>
      </c>
      <c r="AF349" s="1">
        <f t="shared" si="107"/>
        <v>0</v>
      </c>
      <c r="AG349" s="1">
        <f t="shared" si="108"/>
        <v>0</v>
      </c>
      <c r="AH349" s="1">
        <f t="shared" si="109"/>
        <v>0</v>
      </c>
      <c r="AI349" s="1">
        <f t="shared" si="110"/>
        <v>1</v>
      </c>
    </row>
    <row r="350" spans="1:35" ht="14.25" customHeight="1" x14ac:dyDescent="0.3">
      <c r="A350" s="47">
        <v>0</v>
      </c>
      <c r="B350" s="47">
        <v>2</v>
      </c>
      <c r="C350" s="47">
        <v>5</v>
      </c>
      <c r="D350" s="48" t="s">
        <v>1834</v>
      </c>
      <c r="E350" s="48" t="s">
        <v>779</v>
      </c>
      <c r="F350" s="48" t="s">
        <v>1835</v>
      </c>
      <c r="G350" s="48" t="s">
        <v>226</v>
      </c>
      <c r="H350" s="48" t="s">
        <v>357</v>
      </c>
      <c r="I350" s="47" t="s">
        <v>1836</v>
      </c>
      <c r="J350" s="47">
        <v>99</v>
      </c>
      <c r="K350" s="49" t="s">
        <v>1837</v>
      </c>
      <c r="L350" s="49">
        <v>40</v>
      </c>
      <c r="M350" s="50" t="s">
        <v>1838</v>
      </c>
      <c r="N350" s="50" t="s">
        <v>1824</v>
      </c>
      <c r="O350" s="51"/>
      <c r="P350" s="51"/>
      <c r="Q350" s="48"/>
      <c r="S350" s="1">
        <f t="shared" si="111"/>
        <v>0</v>
      </c>
      <c r="T350" s="1">
        <f t="shared" si="112"/>
        <v>0</v>
      </c>
      <c r="U350" s="1">
        <f t="shared" si="113"/>
        <v>0</v>
      </c>
      <c r="V350" s="1">
        <f t="shared" si="114"/>
        <v>0</v>
      </c>
      <c r="W350" s="1">
        <f t="shared" si="115"/>
        <v>0</v>
      </c>
      <c r="X350" s="1">
        <f t="shared" si="116"/>
        <v>0</v>
      </c>
      <c r="Y350" s="1">
        <f t="shared" si="117"/>
        <v>0</v>
      </c>
      <c r="Z350" s="1">
        <f t="shared" si="118"/>
        <v>0</v>
      </c>
      <c r="AA350" s="1">
        <f t="shared" si="119"/>
        <v>0</v>
      </c>
      <c r="AB350" s="1">
        <f t="shared" si="120"/>
        <v>0</v>
      </c>
      <c r="AD350" s="1">
        <f t="shared" si="121"/>
        <v>0</v>
      </c>
      <c r="AE350" s="1">
        <f t="shared" si="122"/>
        <v>0</v>
      </c>
      <c r="AF350" s="1">
        <f t="shared" si="107"/>
        <v>0</v>
      </c>
      <c r="AG350" s="1">
        <f t="shared" si="108"/>
        <v>0</v>
      </c>
      <c r="AH350" s="1">
        <f t="shared" si="109"/>
        <v>0</v>
      </c>
      <c r="AI350" s="1">
        <f t="shared" si="110"/>
        <v>1</v>
      </c>
    </row>
    <row r="351" spans="1:35" ht="14.25" customHeight="1" x14ac:dyDescent="0.3">
      <c r="A351" s="34">
        <v>0</v>
      </c>
      <c r="B351" s="34">
        <v>2</v>
      </c>
      <c r="C351" s="34">
        <v>5</v>
      </c>
      <c r="D351" s="35" t="s">
        <v>621</v>
      </c>
      <c r="E351" s="35" t="s">
        <v>692</v>
      </c>
      <c r="F351" s="35" t="s">
        <v>622</v>
      </c>
      <c r="G351" s="35" t="s">
        <v>290</v>
      </c>
      <c r="H351" s="35" t="s">
        <v>357</v>
      </c>
      <c r="I351" s="34" t="s">
        <v>623</v>
      </c>
      <c r="J351" s="34">
        <v>99</v>
      </c>
      <c r="K351" s="36" t="s">
        <v>719</v>
      </c>
      <c r="L351" s="36" t="s">
        <v>711</v>
      </c>
      <c r="M351" s="37" t="s">
        <v>1440</v>
      </c>
      <c r="N351" s="37" t="s">
        <v>1758</v>
      </c>
      <c r="O351" s="38">
        <v>1</v>
      </c>
      <c r="P351" s="38"/>
      <c r="Q351" s="35"/>
      <c r="S351" s="1">
        <f t="shared" si="111"/>
        <v>0</v>
      </c>
      <c r="T351" s="1">
        <f t="shared" si="112"/>
        <v>0</v>
      </c>
      <c r="U351" s="1">
        <f t="shared" si="113"/>
        <v>0</v>
      </c>
      <c r="V351" s="1">
        <f t="shared" si="114"/>
        <v>0</v>
      </c>
      <c r="W351" s="1">
        <f t="shared" si="115"/>
        <v>0</v>
      </c>
      <c r="X351" s="1">
        <f t="shared" si="116"/>
        <v>0</v>
      </c>
      <c r="Y351" s="1">
        <f t="shared" si="117"/>
        <v>0</v>
      </c>
      <c r="Z351" s="1">
        <f t="shared" si="118"/>
        <v>0</v>
      </c>
      <c r="AA351" s="1">
        <f t="shared" si="119"/>
        <v>0</v>
      </c>
      <c r="AB351" s="1">
        <f t="shared" si="120"/>
        <v>0</v>
      </c>
      <c r="AD351" s="1">
        <f t="shared" si="121"/>
        <v>0</v>
      </c>
      <c r="AE351" s="1">
        <f t="shared" si="122"/>
        <v>1</v>
      </c>
      <c r="AF351" s="1">
        <f t="shared" si="107"/>
        <v>0</v>
      </c>
      <c r="AG351" s="1">
        <f t="shared" si="108"/>
        <v>1</v>
      </c>
      <c r="AH351" s="1">
        <f t="shared" si="109"/>
        <v>0</v>
      </c>
      <c r="AI351" s="1">
        <f t="shared" si="110"/>
        <v>1</v>
      </c>
    </row>
    <row r="352" spans="1:35" ht="14.25" customHeight="1" x14ac:dyDescent="0.3">
      <c r="A352" s="47">
        <v>0</v>
      </c>
      <c r="B352" s="47">
        <v>2</v>
      </c>
      <c r="C352" s="47">
        <v>5</v>
      </c>
      <c r="D352" s="48" t="s">
        <v>1503</v>
      </c>
      <c r="E352" s="48" t="s">
        <v>779</v>
      </c>
      <c r="F352" s="48" t="s">
        <v>1504</v>
      </c>
      <c r="G352" s="48" t="s">
        <v>198</v>
      </c>
      <c r="H352" s="48" t="s">
        <v>357</v>
      </c>
      <c r="I352" s="47" t="s">
        <v>1505</v>
      </c>
      <c r="J352" s="47">
        <v>99</v>
      </c>
      <c r="K352" s="49" t="s">
        <v>961</v>
      </c>
      <c r="L352" s="49" t="s">
        <v>700</v>
      </c>
      <c r="M352" s="50" t="s">
        <v>1430</v>
      </c>
      <c r="N352" s="50" t="s">
        <v>1750</v>
      </c>
      <c r="O352" s="51"/>
      <c r="P352" s="51"/>
      <c r="Q352" s="48"/>
      <c r="S352" s="1">
        <f t="shared" si="111"/>
        <v>0</v>
      </c>
      <c r="T352" s="1">
        <f t="shared" si="112"/>
        <v>0</v>
      </c>
      <c r="U352" s="1">
        <f t="shared" si="113"/>
        <v>0</v>
      </c>
      <c r="V352" s="1">
        <f t="shared" si="114"/>
        <v>0</v>
      </c>
      <c r="W352" s="1">
        <f t="shared" si="115"/>
        <v>0</v>
      </c>
      <c r="X352" s="1">
        <f t="shared" si="116"/>
        <v>0</v>
      </c>
      <c r="Y352" s="1">
        <f t="shared" si="117"/>
        <v>0</v>
      </c>
      <c r="Z352" s="1">
        <f t="shared" si="118"/>
        <v>0</v>
      </c>
      <c r="AA352" s="1">
        <f t="shared" si="119"/>
        <v>0</v>
      </c>
      <c r="AB352" s="1">
        <f t="shared" si="120"/>
        <v>0</v>
      </c>
      <c r="AD352" s="1">
        <f t="shared" si="121"/>
        <v>0</v>
      </c>
      <c r="AE352" s="1">
        <f t="shared" si="122"/>
        <v>0</v>
      </c>
      <c r="AF352" s="1">
        <f t="shared" si="107"/>
        <v>0</v>
      </c>
      <c r="AG352" s="1">
        <f t="shared" si="108"/>
        <v>0</v>
      </c>
      <c r="AH352" s="1">
        <f t="shared" si="109"/>
        <v>0</v>
      </c>
      <c r="AI352" s="1">
        <f t="shared" si="110"/>
        <v>1</v>
      </c>
    </row>
    <row r="353" spans="1:16384" ht="14.25" customHeight="1" x14ac:dyDescent="0.3">
      <c r="A353" s="47">
        <v>0</v>
      </c>
      <c r="B353" s="47">
        <v>2</v>
      </c>
      <c r="C353" s="47">
        <v>5</v>
      </c>
      <c r="D353" s="48" t="s">
        <v>782</v>
      </c>
      <c r="E353" s="48" t="s">
        <v>779</v>
      </c>
      <c r="F353" s="48" t="s">
        <v>784</v>
      </c>
      <c r="G353" s="48" t="s">
        <v>209</v>
      </c>
      <c r="H353" s="48" t="s">
        <v>357</v>
      </c>
      <c r="I353" s="47" t="s">
        <v>783</v>
      </c>
      <c r="J353" s="47">
        <v>99</v>
      </c>
      <c r="K353" s="49" t="s">
        <v>719</v>
      </c>
      <c r="L353" s="49" t="s">
        <v>701</v>
      </c>
      <c r="M353" s="50" t="s">
        <v>1441</v>
      </c>
      <c r="N353" s="50" t="s">
        <v>1750</v>
      </c>
      <c r="O353" s="51"/>
      <c r="P353" s="51"/>
      <c r="Q353" s="48"/>
      <c r="S353" s="1">
        <f t="shared" si="111"/>
        <v>0</v>
      </c>
      <c r="T353" s="1">
        <f t="shared" si="112"/>
        <v>0</v>
      </c>
      <c r="U353" s="1">
        <f t="shared" si="113"/>
        <v>0</v>
      </c>
      <c r="V353" s="1">
        <f t="shared" si="114"/>
        <v>0</v>
      </c>
      <c r="W353" s="1">
        <f t="shared" si="115"/>
        <v>0</v>
      </c>
      <c r="X353" s="1">
        <f t="shared" si="116"/>
        <v>0</v>
      </c>
      <c r="Y353" s="1">
        <f t="shared" si="117"/>
        <v>0</v>
      </c>
      <c r="Z353" s="1">
        <f t="shared" si="118"/>
        <v>0</v>
      </c>
      <c r="AA353" s="1">
        <f t="shared" si="119"/>
        <v>0</v>
      </c>
      <c r="AB353" s="1">
        <f t="shared" si="120"/>
        <v>0</v>
      </c>
      <c r="AD353" s="1">
        <f t="shared" si="121"/>
        <v>0</v>
      </c>
      <c r="AE353" s="1">
        <f t="shared" si="122"/>
        <v>0</v>
      </c>
      <c r="AF353" s="1">
        <f t="shared" si="107"/>
        <v>0</v>
      </c>
      <c r="AG353" s="1">
        <f t="shared" si="108"/>
        <v>0</v>
      </c>
      <c r="AH353" s="1">
        <f t="shared" si="109"/>
        <v>0</v>
      </c>
      <c r="AI353" s="1">
        <f t="shared" si="110"/>
        <v>1</v>
      </c>
    </row>
    <row r="354" spans="1:16384" ht="14.25" customHeight="1" x14ac:dyDescent="0.3">
      <c r="A354" s="47">
        <v>1</v>
      </c>
      <c r="B354" s="47">
        <v>2</v>
      </c>
      <c r="C354" s="47">
        <v>5</v>
      </c>
      <c r="D354" s="48" t="s">
        <v>782</v>
      </c>
      <c r="E354" s="48" t="s">
        <v>779</v>
      </c>
      <c r="F354" s="48" t="s">
        <v>1013</v>
      </c>
      <c r="G354" s="48" t="s">
        <v>192</v>
      </c>
      <c r="H354" s="48" t="s">
        <v>357</v>
      </c>
      <c r="I354" s="47" t="s">
        <v>1014</v>
      </c>
      <c r="J354" s="47">
        <v>99</v>
      </c>
      <c r="K354" s="49" t="s">
        <v>719</v>
      </c>
      <c r="L354" s="49" t="s">
        <v>701</v>
      </c>
      <c r="M354" s="50" t="s">
        <v>1441</v>
      </c>
      <c r="N354" s="50" t="s">
        <v>1750</v>
      </c>
      <c r="O354" s="51"/>
      <c r="P354" s="51"/>
      <c r="Q354" s="48"/>
      <c r="S354" s="1">
        <f t="shared" si="111"/>
        <v>0</v>
      </c>
      <c r="T354" s="1">
        <f t="shared" si="112"/>
        <v>0</v>
      </c>
      <c r="U354" s="1">
        <f t="shared" si="113"/>
        <v>0</v>
      </c>
      <c r="V354" s="1">
        <f t="shared" si="114"/>
        <v>0</v>
      </c>
      <c r="W354" s="1">
        <f t="shared" si="115"/>
        <v>0</v>
      </c>
      <c r="X354" s="1">
        <f t="shared" si="116"/>
        <v>0</v>
      </c>
      <c r="Y354" s="1">
        <f t="shared" si="117"/>
        <v>0</v>
      </c>
      <c r="Z354" s="1">
        <f t="shared" si="118"/>
        <v>0</v>
      </c>
      <c r="AA354" s="1">
        <f t="shared" si="119"/>
        <v>0</v>
      </c>
      <c r="AB354" s="1">
        <f t="shared" si="120"/>
        <v>0</v>
      </c>
      <c r="AD354" s="1">
        <f t="shared" si="121"/>
        <v>0</v>
      </c>
      <c r="AE354" s="1">
        <f t="shared" si="122"/>
        <v>0</v>
      </c>
      <c r="AF354" s="1">
        <f t="shared" si="107"/>
        <v>0</v>
      </c>
      <c r="AG354" s="1">
        <f t="shared" si="108"/>
        <v>0</v>
      </c>
      <c r="AH354" s="1">
        <f t="shared" si="109"/>
        <v>0</v>
      </c>
      <c r="AI354" s="1">
        <f t="shared" si="110"/>
        <v>0</v>
      </c>
    </row>
    <row r="355" spans="1:16384" ht="14.25" customHeight="1" x14ac:dyDescent="0.3">
      <c r="A355" s="15">
        <v>0</v>
      </c>
      <c r="B355" s="15">
        <v>2</v>
      </c>
      <c r="C355" s="15">
        <v>5</v>
      </c>
      <c r="D355" s="16" t="s">
        <v>923</v>
      </c>
      <c r="E355" s="16" t="s">
        <v>918</v>
      </c>
      <c r="F355" s="16" t="s">
        <v>936</v>
      </c>
      <c r="G355" s="16" t="s">
        <v>1364</v>
      </c>
      <c r="H355" s="16" t="s">
        <v>357</v>
      </c>
      <c r="I355" s="15" t="s">
        <v>777</v>
      </c>
      <c r="J355" s="15">
        <v>99</v>
      </c>
      <c r="K355" s="10" t="s">
        <v>710</v>
      </c>
      <c r="L355" s="10">
        <v>20</v>
      </c>
      <c r="M355" s="19" t="s">
        <v>1442</v>
      </c>
      <c r="N355" s="19"/>
      <c r="Q355" s="16"/>
      <c r="S355" s="1">
        <f t="shared" si="111"/>
        <v>0</v>
      </c>
      <c r="T355" s="1">
        <f t="shared" si="112"/>
        <v>0</v>
      </c>
      <c r="U355" s="1">
        <f t="shared" si="113"/>
        <v>0</v>
      </c>
      <c r="V355" s="1">
        <f t="shared" si="114"/>
        <v>0</v>
      </c>
      <c r="W355" s="1">
        <f t="shared" si="115"/>
        <v>0</v>
      </c>
      <c r="X355" s="1">
        <f t="shared" si="116"/>
        <v>0</v>
      </c>
      <c r="Y355" s="1">
        <f t="shared" si="117"/>
        <v>0</v>
      </c>
      <c r="Z355" s="1">
        <f t="shared" si="118"/>
        <v>0</v>
      </c>
      <c r="AA355" s="1">
        <f t="shared" si="119"/>
        <v>0</v>
      </c>
      <c r="AB355" s="1">
        <f t="shared" si="120"/>
        <v>0</v>
      </c>
      <c r="AD355" s="1">
        <f t="shared" ref="AD355:AD358" si="123">+O355*P355</f>
        <v>0</v>
      </c>
      <c r="AE355" s="1">
        <f t="shared" ref="AE355:AE358" si="124">O355*(1-P355)</f>
        <v>0</v>
      </c>
      <c r="AF355" s="1">
        <f t="shared" ref="AF355:AF358" si="125">+O355*P355*(1-A355)</f>
        <v>0</v>
      </c>
      <c r="AG355" s="1">
        <f t="shared" ref="AG355:AG358" si="126">O355*(1-P355)*(1-A355)</f>
        <v>0</v>
      </c>
      <c r="AH355" s="1">
        <f t="shared" ref="AH355:AH358" si="127">+P355*(1-A355)</f>
        <v>0</v>
      </c>
      <c r="AI355" s="1">
        <f t="shared" ref="AI355:AI358" si="128">+(1-A355)*(1-P355)</f>
        <v>1</v>
      </c>
    </row>
    <row r="356" spans="1:16384" ht="14.25" customHeight="1" x14ac:dyDescent="0.3">
      <c r="A356" s="34"/>
      <c r="B356" s="34">
        <v>2</v>
      </c>
      <c r="C356" s="34">
        <v>5</v>
      </c>
      <c r="D356" s="35" t="s">
        <v>1936</v>
      </c>
      <c r="E356" s="35"/>
      <c r="F356" s="35" t="s">
        <v>1937</v>
      </c>
      <c r="G356" s="35" t="s">
        <v>210</v>
      </c>
      <c r="H356" s="35" t="s">
        <v>357</v>
      </c>
      <c r="I356" s="34" t="s">
        <v>1938</v>
      </c>
      <c r="J356" s="34">
        <v>3</v>
      </c>
      <c r="K356" s="36" t="s">
        <v>710</v>
      </c>
      <c r="L356" s="36"/>
      <c r="M356" s="37"/>
      <c r="N356" s="37" t="s">
        <v>1742</v>
      </c>
      <c r="O356" s="38">
        <v>1</v>
      </c>
      <c r="P356" s="38">
        <v>1</v>
      </c>
      <c r="Q356" s="35" t="s">
        <v>1939</v>
      </c>
      <c r="S356" s="1">
        <f t="shared" si="111"/>
        <v>0</v>
      </c>
      <c r="T356" s="1">
        <f t="shared" si="112"/>
        <v>0</v>
      </c>
      <c r="U356" s="1">
        <f t="shared" si="113"/>
        <v>1</v>
      </c>
      <c r="V356" s="1">
        <f t="shared" si="114"/>
        <v>0</v>
      </c>
      <c r="W356" s="1">
        <f t="shared" si="115"/>
        <v>0</v>
      </c>
      <c r="X356" s="1">
        <f t="shared" si="116"/>
        <v>0</v>
      </c>
      <c r="Y356" s="1">
        <f t="shared" si="117"/>
        <v>0</v>
      </c>
      <c r="Z356" s="1">
        <f t="shared" si="118"/>
        <v>0</v>
      </c>
      <c r="AA356" s="1">
        <f t="shared" si="119"/>
        <v>0</v>
      </c>
      <c r="AB356" s="1">
        <f t="shared" si="120"/>
        <v>0</v>
      </c>
      <c r="AD356" s="1">
        <f t="shared" si="123"/>
        <v>1</v>
      </c>
      <c r="AE356" s="1">
        <f t="shared" si="124"/>
        <v>0</v>
      </c>
      <c r="AF356" s="1">
        <f t="shared" si="125"/>
        <v>1</v>
      </c>
      <c r="AG356" s="1">
        <f t="shared" si="126"/>
        <v>0</v>
      </c>
      <c r="AH356" s="1">
        <f t="shared" si="127"/>
        <v>1</v>
      </c>
      <c r="AI356" s="1">
        <f t="shared" si="128"/>
        <v>0</v>
      </c>
    </row>
    <row r="357" spans="1:16384" ht="14.25" customHeight="1" x14ac:dyDescent="0.3">
      <c r="A357" s="52">
        <v>0</v>
      </c>
      <c r="B357" s="52">
        <v>2</v>
      </c>
      <c r="C357" s="52">
        <v>5</v>
      </c>
      <c r="D357" s="58" t="s">
        <v>1805</v>
      </c>
      <c r="E357" s="53" t="s">
        <v>169</v>
      </c>
      <c r="F357" s="53" t="s">
        <v>1783</v>
      </c>
      <c r="G357" s="53"/>
      <c r="H357" s="53" t="s">
        <v>357</v>
      </c>
      <c r="I357" s="52" t="s">
        <v>1784</v>
      </c>
      <c r="J357" s="52"/>
      <c r="K357" s="54" t="s">
        <v>710</v>
      </c>
      <c r="L357" s="54">
        <v>30</v>
      </c>
      <c r="M357" s="55" t="s">
        <v>1785</v>
      </c>
      <c r="N357" s="55" t="s">
        <v>1763</v>
      </c>
      <c r="O357" s="56">
        <v>1</v>
      </c>
      <c r="P357" s="56"/>
      <c r="Q357" s="53"/>
      <c r="S357" s="1">
        <f t="shared" si="111"/>
        <v>0</v>
      </c>
      <c r="T357" s="1">
        <f t="shared" si="112"/>
        <v>0</v>
      </c>
      <c r="U357" s="1">
        <f t="shared" si="113"/>
        <v>0</v>
      </c>
      <c r="V357" s="1">
        <f t="shared" si="114"/>
        <v>0</v>
      </c>
      <c r="W357" s="1">
        <f t="shared" si="115"/>
        <v>0</v>
      </c>
      <c r="X357" s="1">
        <f t="shared" si="116"/>
        <v>0</v>
      </c>
      <c r="Y357" s="1">
        <f t="shared" si="117"/>
        <v>0</v>
      </c>
      <c r="Z357" s="1">
        <f t="shared" si="118"/>
        <v>0</v>
      </c>
      <c r="AA357" s="1">
        <f t="shared" si="119"/>
        <v>0</v>
      </c>
      <c r="AB357" s="1">
        <f t="shared" si="120"/>
        <v>0</v>
      </c>
      <c r="AD357" s="1">
        <f t="shared" si="123"/>
        <v>0</v>
      </c>
      <c r="AE357" s="1">
        <f t="shared" si="124"/>
        <v>1</v>
      </c>
      <c r="AF357" s="1">
        <f t="shared" si="125"/>
        <v>0</v>
      </c>
      <c r="AG357" s="1">
        <f t="shared" si="126"/>
        <v>1</v>
      </c>
      <c r="AH357" s="1">
        <f t="shared" si="127"/>
        <v>0</v>
      </c>
      <c r="AI357" s="1">
        <f t="shared" si="128"/>
        <v>1</v>
      </c>
    </row>
    <row r="358" spans="1:16384" ht="14.25" customHeight="1" x14ac:dyDescent="0.3">
      <c r="A358" s="34">
        <v>0</v>
      </c>
      <c r="B358" s="34">
        <v>2</v>
      </c>
      <c r="C358" s="34">
        <v>5</v>
      </c>
      <c r="D358" s="35" t="s">
        <v>1284</v>
      </c>
      <c r="E358" s="35" t="s">
        <v>1285</v>
      </c>
      <c r="F358" s="35" t="s">
        <v>1286</v>
      </c>
      <c r="G358" s="35" t="s">
        <v>222</v>
      </c>
      <c r="H358" s="35" t="s">
        <v>357</v>
      </c>
      <c r="I358" s="34" t="s">
        <v>1738</v>
      </c>
      <c r="J358" s="34">
        <v>8</v>
      </c>
      <c r="K358" s="36" t="s">
        <v>720</v>
      </c>
      <c r="L358" s="36" t="s">
        <v>39</v>
      </c>
      <c r="M358" s="37" t="s">
        <v>39</v>
      </c>
      <c r="N358" s="37" t="s">
        <v>1742</v>
      </c>
      <c r="O358" s="38">
        <v>1</v>
      </c>
      <c r="P358" s="38">
        <v>1</v>
      </c>
      <c r="Q358" s="35"/>
      <c r="S358" s="1">
        <f t="shared" si="111"/>
        <v>0</v>
      </c>
      <c r="T358" s="1">
        <f t="shared" si="112"/>
        <v>0</v>
      </c>
      <c r="U358" s="1">
        <f t="shared" si="113"/>
        <v>0</v>
      </c>
      <c r="V358" s="1">
        <f t="shared" si="114"/>
        <v>0</v>
      </c>
      <c r="W358" s="1">
        <f t="shared" si="115"/>
        <v>0</v>
      </c>
      <c r="X358" s="1">
        <f t="shared" si="116"/>
        <v>0</v>
      </c>
      <c r="Y358" s="1">
        <f t="shared" si="117"/>
        <v>0</v>
      </c>
      <c r="Z358" s="1">
        <f t="shared" si="118"/>
        <v>1</v>
      </c>
      <c r="AA358" s="1">
        <f t="shared" si="119"/>
        <v>0</v>
      </c>
      <c r="AB358" s="1">
        <f t="shared" si="120"/>
        <v>0</v>
      </c>
      <c r="AD358" s="1">
        <f t="shared" si="123"/>
        <v>1</v>
      </c>
      <c r="AE358" s="1">
        <f t="shared" si="124"/>
        <v>0</v>
      </c>
      <c r="AF358" s="1">
        <f t="shared" si="125"/>
        <v>1</v>
      </c>
      <c r="AG358" s="1">
        <f t="shared" si="126"/>
        <v>0</v>
      </c>
      <c r="AH358" s="1">
        <f t="shared" si="127"/>
        <v>1</v>
      </c>
      <c r="AI358" s="1">
        <f t="shared" si="128"/>
        <v>0</v>
      </c>
    </row>
    <row r="359" spans="1:16384" ht="14.25" customHeight="1" x14ac:dyDescent="0.3">
      <c r="A359" s="34">
        <v>0</v>
      </c>
      <c r="B359" s="34">
        <v>2</v>
      </c>
      <c r="C359" s="34">
        <v>5</v>
      </c>
      <c r="D359" s="35" t="s">
        <v>1092</v>
      </c>
      <c r="E359" s="35" t="s">
        <v>157</v>
      </c>
      <c r="F359" s="35" t="s">
        <v>1076</v>
      </c>
      <c r="G359" s="35" t="s">
        <v>324</v>
      </c>
      <c r="H359" s="35" t="s">
        <v>357</v>
      </c>
      <c r="I359" s="34" t="s">
        <v>1077</v>
      </c>
      <c r="J359" s="34">
        <v>99</v>
      </c>
      <c r="K359" s="36" t="s">
        <v>720</v>
      </c>
      <c r="L359" s="36" t="s">
        <v>701</v>
      </c>
      <c r="M359" s="37" t="s">
        <v>1443</v>
      </c>
      <c r="N359" s="37" t="s">
        <v>1771</v>
      </c>
      <c r="O359" s="38">
        <v>1</v>
      </c>
      <c r="P359" s="38"/>
      <c r="Q359" s="35"/>
      <c r="S359" s="1">
        <f t="shared" si="111"/>
        <v>0</v>
      </c>
      <c r="T359" s="1">
        <f t="shared" si="112"/>
        <v>0</v>
      </c>
      <c r="U359" s="1">
        <f t="shared" si="113"/>
        <v>0</v>
      </c>
      <c r="V359" s="1">
        <f t="shared" si="114"/>
        <v>0</v>
      </c>
      <c r="W359" s="1">
        <f t="shared" si="115"/>
        <v>0</v>
      </c>
      <c r="X359" s="1">
        <f t="shared" si="116"/>
        <v>0</v>
      </c>
      <c r="Y359" s="1">
        <f t="shared" si="117"/>
        <v>0</v>
      </c>
      <c r="Z359" s="1">
        <f t="shared" si="118"/>
        <v>0</v>
      </c>
      <c r="AA359" s="1">
        <f t="shared" si="119"/>
        <v>0</v>
      </c>
      <c r="AB359" s="1">
        <f t="shared" si="120"/>
        <v>0</v>
      </c>
      <c r="AD359" s="1">
        <f t="shared" si="121"/>
        <v>0</v>
      </c>
      <c r="AE359" s="1">
        <f t="shared" si="122"/>
        <v>1</v>
      </c>
      <c r="AF359" s="1">
        <f t="shared" si="107"/>
        <v>0</v>
      </c>
      <c r="AG359" s="1">
        <f t="shared" si="108"/>
        <v>1</v>
      </c>
      <c r="AH359" s="1">
        <f t="shared" si="109"/>
        <v>0</v>
      </c>
      <c r="AI359" s="1">
        <f t="shared" si="110"/>
        <v>1</v>
      </c>
    </row>
    <row r="360" spans="1:16384" ht="14.25" customHeight="1" x14ac:dyDescent="0.3">
      <c r="A360" s="15">
        <v>0</v>
      </c>
      <c r="B360" s="15">
        <v>2</v>
      </c>
      <c r="C360" s="15">
        <v>5</v>
      </c>
      <c r="D360" s="16" t="s">
        <v>803</v>
      </c>
      <c r="E360" s="16" t="s">
        <v>779</v>
      </c>
      <c r="F360" s="16" t="s">
        <v>939</v>
      </c>
      <c r="G360" s="16" t="s">
        <v>222</v>
      </c>
      <c r="H360" s="16" t="s">
        <v>357</v>
      </c>
      <c r="I360" s="15" t="s">
        <v>804</v>
      </c>
      <c r="J360" s="15">
        <v>8</v>
      </c>
      <c r="K360" s="10" t="s">
        <v>710</v>
      </c>
      <c r="L360" s="10">
        <v>20</v>
      </c>
      <c r="M360" s="19" t="s">
        <v>1434</v>
      </c>
      <c r="N360" s="19"/>
      <c r="Q360" s="16"/>
      <c r="S360" s="1">
        <f t="shared" si="111"/>
        <v>0</v>
      </c>
      <c r="T360" s="1">
        <f t="shared" si="112"/>
        <v>0</v>
      </c>
      <c r="U360" s="1">
        <f t="shared" si="113"/>
        <v>0</v>
      </c>
      <c r="V360" s="1">
        <f t="shared" si="114"/>
        <v>0</v>
      </c>
      <c r="W360" s="1">
        <f t="shared" si="115"/>
        <v>0</v>
      </c>
      <c r="X360" s="1">
        <f t="shared" si="116"/>
        <v>0</v>
      </c>
      <c r="Y360" s="1">
        <f t="shared" si="117"/>
        <v>0</v>
      </c>
      <c r="Z360" s="1">
        <f t="shared" si="118"/>
        <v>1</v>
      </c>
      <c r="AA360" s="1">
        <f t="shared" si="119"/>
        <v>0</v>
      </c>
      <c r="AB360" s="1">
        <f t="shared" si="120"/>
        <v>0</v>
      </c>
      <c r="AD360" s="1">
        <f t="shared" si="121"/>
        <v>0</v>
      </c>
      <c r="AE360" s="1">
        <f t="shared" si="122"/>
        <v>0</v>
      </c>
      <c r="AF360" s="1">
        <f t="shared" si="107"/>
        <v>0</v>
      </c>
      <c r="AG360" s="1">
        <f t="shared" si="108"/>
        <v>0</v>
      </c>
      <c r="AH360" s="1">
        <f t="shared" si="109"/>
        <v>0</v>
      </c>
      <c r="AI360" s="1">
        <f t="shared" si="110"/>
        <v>1</v>
      </c>
    </row>
    <row r="361" spans="1:16384" ht="14.25" customHeight="1" x14ac:dyDescent="0.3">
      <c r="A361" s="52">
        <v>0</v>
      </c>
      <c r="B361" s="52">
        <v>2</v>
      </c>
      <c r="C361" s="52">
        <v>5</v>
      </c>
      <c r="D361" s="53" t="s">
        <v>80</v>
      </c>
      <c r="E361" s="53" t="s">
        <v>161</v>
      </c>
      <c r="F361" s="53" t="s">
        <v>271</v>
      </c>
      <c r="G361" s="53" t="s">
        <v>215</v>
      </c>
      <c r="H361" s="53" t="s">
        <v>357</v>
      </c>
      <c r="I361" s="52" t="s">
        <v>429</v>
      </c>
      <c r="J361" s="52">
        <v>1</v>
      </c>
      <c r="K361" s="54" t="s">
        <v>962</v>
      </c>
      <c r="L361" s="54" t="s">
        <v>711</v>
      </c>
      <c r="M361" s="55" t="s">
        <v>734</v>
      </c>
      <c r="N361" s="55" t="s">
        <v>1758</v>
      </c>
      <c r="O361" s="56">
        <v>1</v>
      </c>
      <c r="P361" s="56"/>
      <c r="Q361" s="53"/>
      <c r="S361" s="1">
        <f t="shared" si="111"/>
        <v>1</v>
      </c>
      <c r="T361" s="1">
        <f t="shared" si="112"/>
        <v>0</v>
      </c>
      <c r="U361" s="1">
        <f t="shared" si="113"/>
        <v>0</v>
      </c>
      <c r="V361" s="1">
        <f t="shared" si="114"/>
        <v>0</v>
      </c>
      <c r="W361" s="1">
        <f t="shared" si="115"/>
        <v>0</v>
      </c>
      <c r="X361" s="1">
        <f t="shared" si="116"/>
        <v>0</v>
      </c>
      <c r="Y361" s="1">
        <f t="shared" si="117"/>
        <v>0</v>
      </c>
      <c r="Z361" s="1">
        <f t="shared" si="118"/>
        <v>0</v>
      </c>
      <c r="AA361" s="1">
        <f t="shared" si="119"/>
        <v>0</v>
      </c>
      <c r="AB361" s="1">
        <f t="shared" si="120"/>
        <v>0</v>
      </c>
      <c r="AD361" s="1">
        <f t="shared" si="121"/>
        <v>0</v>
      </c>
      <c r="AE361" s="1">
        <f t="shared" si="122"/>
        <v>1</v>
      </c>
      <c r="AF361" s="1">
        <f t="shared" si="107"/>
        <v>0</v>
      </c>
      <c r="AG361" s="1">
        <f t="shared" si="108"/>
        <v>1</v>
      </c>
      <c r="AH361" s="1">
        <f t="shared" si="109"/>
        <v>0</v>
      </c>
      <c r="AI361" s="1">
        <f t="shared" si="110"/>
        <v>1</v>
      </c>
    </row>
    <row r="362" spans="1:16384" ht="14.25" customHeight="1" x14ac:dyDescent="0.3">
      <c r="A362" s="34">
        <v>0</v>
      </c>
      <c r="B362" s="34">
        <v>2</v>
      </c>
      <c r="C362" s="34">
        <v>5</v>
      </c>
      <c r="D362" s="35" t="s">
        <v>1657</v>
      </c>
      <c r="E362" s="35" t="s">
        <v>1669</v>
      </c>
      <c r="F362" s="35" t="s">
        <v>1566</v>
      </c>
      <c r="G362" s="35" t="s">
        <v>265</v>
      </c>
      <c r="H362" s="35" t="s">
        <v>357</v>
      </c>
      <c r="I362" s="34" t="s">
        <v>1567</v>
      </c>
      <c r="J362" s="34">
        <v>99</v>
      </c>
      <c r="K362" s="36" t="s">
        <v>962</v>
      </c>
      <c r="L362" s="36">
        <v>40</v>
      </c>
      <c r="M362" s="37" t="s">
        <v>39</v>
      </c>
      <c r="N362" s="37" t="s">
        <v>1840</v>
      </c>
      <c r="O362" s="38">
        <v>1</v>
      </c>
      <c r="P362" s="38"/>
      <c r="Q362" s="35"/>
      <c r="S362" s="1">
        <f t="shared" si="111"/>
        <v>0</v>
      </c>
      <c r="T362" s="1">
        <f t="shared" si="112"/>
        <v>0</v>
      </c>
      <c r="U362" s="1">
        <f t="shared" si="113"/>
        <v>0</v>
      </c>
      <c r="V362" s="1">
        <f t="shared" si="114"/>
        <v>0</v>
      </c>
      <c r="W362" s="1">
        <f t="shared" si="115"/>
        <v>0</v>
      </c>
      <c r="X362" s="1">
        <f t="shared" si="116"/>
        <v>0</v>
      </c>
      <c r="Y362" s="1">
        <f t="shared" si="117"/>
        <v>0</v>
      </c>
      <c r="Z362" s="1">
        <f t="shared" si="118"/>
        <v>0</v>
      </c>
      <c r="AA362" s="1">
        <f t="shared" si="119"/>
        <v>0</v>
      </c>
      <c r="AB362" s="1">
        <f t="shared" si="120"/>
        <v>0</v>
      </c>
      <c r="AD362" s="1">
        <f t="shared" si="121"/>
        <v>0</v>
      </c>
      <c r="AE362" s="1">
        <f t="shared" si="122"/>
        <v>1</v>
      </c>
      <c r="AF362" s="1">
        <f t="shared" si="107"/>
        <v>0</v>
      </c>
      <c r="AG362" s="1">
        <f t="shared" si="108"/>
        <v>1</v>
      </c>
      <c r="AH362" s="1">
        <f t="shared" si="109"/>
        <v>0</v>
      </c>
      <c r="AI362" s="1">
        <f t="shared" si="110"/>
        <v>1</v>
      </c>
    </row>
    <row r="363" spans="1:16384" s="2" customFormat="1" ht="14.25" customHeight="1" x14ac:dyDescent="0.3">
      <c r="A363" s="34">
        <v>0</v>
      </c>
      <c r="B363" s="34">
        <v>2</v>
      </c>
      <c r="C363" s="34">
        <v>5</v>
      </c>
      <c r="D363" s="35" t="s">
        <v>1311</v>
      </c>
      <c r="E363" s="35" t="s">
        <v>27</v>
      </c>
      <c r="F363" s="35" t="s">
        <v>1312</v>
      </c>
      <c r="G363" s="35" t="s">
        <v>1313</v>
      </c>
      <c r="H363" s="35" t="s">
        <v>357</v>
      </c>
      <c r="I363" s="34" t="s">
        <v>1314</v>
      </c>
      <c r="J363" s="34">
        <v>99</v>
      </c>
      <c r="K363" s="36" t="s">
        <v>962</v>
      </c>
      <c r="L363" s="36" t="s">
        <v>39</v>
      </c>
      <c r="M363" s="37" t="s">
        <v>39</v>
      </c>
      <c r="N363" s="37" t="s">
        <v>1742</v>
      </c>
      <c r="O363" s="38">
        <v>1</v>
      </c>
      <c r="P363" s="38">
        <v>1</v>
      </c>
      <c r="Q363" s="39"/>
      <c r="R363" s="34"/>
      <c r="S363" s="34">
        <f t="shared" si="111"/>
        <v>0</v>
      </c>
      <c r="T363" s="34">
        <f t="shared" si="112"/>
        <v>0</v>
      </c>
      <c r="U363" s="35">
        <f t="shared" si="113"/>
        <v>0</v>
      </c>
      <c r="V363" s="35">
        <f t="shared" si="114"/>
        <v>0</v>
      </c>
      <c r="W363" s="35">
        <f t="shared" si="115"/>
        <v>0</v>
      </c>
      <c r="X363" s="35">
        <f t="shared" si="116"/>
        <v>0</v>
      </c>
      <c r="Y363" s="35">
        <f t="shared" si="117"/>
        <v>0</v>
      </c>
      <c r="Z363" s="34">
        <f t="shared" si="118"/>
        <v>0</v>
      </c>
      <c r="AA363" s="34">
        <f t="shared" si="119"/>
        <v>0</v>
      </c>
      <c r="AB363" s="36">
        <f t="shared" si="120"/>
        <v>0</v>
      </c>
      <c r="AC363" s="36"/>
      <c r="AD363" s="37">
        <f t="shared" si="121"/>
        <v>1</v>
      </c>
      <c r="AE363" s="37">
        <f t="shared" si="122"/>
        <v>0</v>
      </c>
      <c r="AF363" s="38">
        <f t="shared" si="107"/>
        <v>1</v>
      </c>
      <c r="AG363" s="38">
        <f t="shared" si="108"/>
        <v>0</v>
      </c>
      <c r="AH363" s="39">
        <f t="shared" si="109"/>
        <v>1</v>
      </c>
      <c r="AI363" s="34">
        <f t="shared" si="110"/>
        <v>0</v>
      </c>
      <c r="AJ363" s="34"/>
      <c r="AK363" s="34"/>
      <c r="AL363" s="35"/>
      <c r="AM363" s="35"/>
      <c r="AN363" s="35"/>
      <c r="AO363" s="35"/>
      <c r="AP363" s="35"/>
      <c r="AQ363" s="34"/>
      <c r="AR363" s="34"/>
      <c r="AS363" s="36"/>
      <c r="AT363" s="36"/>
      <c r="AU363" s="37"/>
      <c r="AV363" s="37"/>
      <c r="AW363" s="38"/>
      <c r="AX363" s="38"/>
      <c r="AY363" s="39"/>
      <c r="AZ363" s="34"/>
      <c r="BA363" s="34"/>
      <c r="BB363" s="34"/>
      <c r="BC363" s="35"/>
      <c r="BD363" s="35"/>
      <c r="BE363" s="35"/>
      <c r="BF363" s="35"/>
      <c r="BG363" s="35"/>
      <c r="BH363" s="34"/>
      <c r="BI363" s="34"/>
      <c r="BJ363" s="36"/>
      <c r="BK363" s="36"/>
      <c r="BL363" s="37"/>
      <c r="BM363" s="37"/>
      <c r="BN363" s="38"/>
      <c r="BO363" s="38"/>
      <c r="BP363" s="39"/>
      <c r="BQ363" s="34"/>
      <c r="BR363" s="34"/>
      <c r="BS363" s="34"/>
      <c r="BT363" s="35"/>
      <c r="BU363" s="35"/>
      <c r="BV363" s="35"/>
      <c r="BW363" s="35"/>
      <c r="BX363" s="35"/>
      <c r="BY363" s="34"/>
      <c r="BZ363" s="34"/>
      <c r="CA363" s="36"/>
      <c r="CB363" s="36"/>
      <c r="CC363" s="37"/>
      <c r="CD363" s="37"/>
      <c r="CE363" s="38"/>
      <c r="CF363" s="38"/>
      <c r="CG363" s="39"/>
      <c r="CH363" s="34"/>
      <c r="CI363" s="34"/>
      <c r="CJ363" s="34"/>
      <c r="CK363" s="35"/>
      <c r="CL363" s="35"/>
      <c r="CM363" s="35"/>
      <c r="CN363" s="35"/>
      <c r="CO363" s="35"/>
      <c r="CP363" s="34"/>
      <c r="CQ363" s="34"/>
      <c r="CR363" s="36"/>
      <c r="CS363" s="36"/>
      <c r="CT363" s="37"/>
      <c r="CU363" s="37"/>
      <c r="CV363" s="38"/>
      <c r="CW363" s="38"/>
      <c r="CX363" s="39"/>
      <c r="CY363" s="34"/>
      <c r="CZ363" s="34"/>
      <c r="DA363" s="34"/>
      <c r="DB363" s="35"/>
      <c r="DC363" s="35"/>
      <c r="DD363" s="35"/>
      <c r="DE363" s="35"/>
      <c r="DF363" s="35"/>
      <c r="DG363" s="34"/>
      <c r="DH363" s="34"/>
      <c r="DI363" s="36"/>
      <c r="DJ363" s="36"/>
      <c r="DK363" s="37"/>
      <c r="DL363" s="37"/>
      <c r="DM363" s="38"/>
      <c r="DN363" s="38"/>
      <c r="DO363" s="39"/>
      <c r="DP363" s="34"/>
      <c r="DQ363" s="34"/>
      <c r="DR363" s="34"/>
      <c r="DS363" s="35"/>
      <c r="DT363" s="35"/>
      <c r="DU363" s="35"/>
      <c r="DV363" s="35"/>
      <c r="DW363" s="35"/>
      <c r="DX363" s="34"/>
      <c r="DY363" s="34"/>
      <c r="DZ363" s="36"/>
      <c r="EA363" s="36"/>
      <c r="EB363" s="37"/>
      <c r="EC363" s="37"/>
      <c r="ED363" s="38"/>
      <c r="EE363" s="38"/>
      <c r="EF363" s="39"/>
      <c r="EG363" s="34"/>
      <c r="EH363" s="34"/>
      <c r="EI363" s="34"/>
      <c r="EJ363" s="35"/>
      <c r="EK363" s="35"/>
      <c r="EL363" s="35"/>
      <c r="EM363" s="35"/>
      <c r="EN363" s="35"/>
      <c r="EO363" s="34"/>
      <c r="EP363" s="34"/>
      <c r="EQ363" s="36"/>
      <c r="ER363" s="36"/>
      <c r="ES363" s="37"/>
      <c r="ET363" s="37"/>
      <c r="EU363" s="38"/>
      <c r="EV363" s="38"/>
      <c r="EW363" s="39"/>
      <c r="EX363" s="34"/>
      <c r="EY363" s="34"/>
      <c r="EZ363" s="34"/>
      <c r="FA363" s="35"/>
      <c r="FB363" s="35"/>
      <c r="FC363" s="35"/>
      <c r="FD363" s="35"/>
      <c r="FE363" s="35"/>
      <c r="FF363" s="34"/>
      <c r="FG363" s="34"/>
      <c r="FH363" s="36"/>
      <c r="FI363" s="36"/>
      <c r="FJ363" s="37"/>
      <c r="FK363" s="37"/>
      <c r="FL363" s="38"/>
      <c r="FM363" s="38"/>
      <c r="FN363" s="39"/>
      <c r="FO363" s="34"/>
      <c r="FP363" s="34"/>
      <c r="FQ363" s="34"/>
      <c r="FR363" s="35"/>
      <c r="FS363" s="35"/>
      <c r="FT363" s="35"/>
      <c r="FU363" s="35"/>
      <c r="FV363" s="35"/>
      <c r="FW363" s="34"/>
      <c r="FX363" s="34"/>
      <c r="FY363" s="36"/>
      <c r="FZ363" s="36"/>
      <c r="GA363" s="37"/>
      <c r="GB363" s="37"/>
      <c r="GC363" s="38"/>
      <c r="GD363" s="38"/>
      <c r="GE363" s="39"/>
      <c r="GF363" s="34"/>
      <c r="GG363" s="34"/>
      <c r="GH363" s="34"/>
      <c r="GI363" s="35"/>
      <c r="GJ363" s="35"/>
      <c r="GK363" s="35"/>
      <c r="GL363" s="35"/>
      <c r="GM363" s="35"/>
      <c r="GN363" s="34"/>
      <c r="GO363" s="34"/>
      <c r="GP363" s="36"/>
      <c r="GQ363" s="36"/>
      <c r="GR363" s="37"/>
      <c r="GS363" s="37"/>
      <c r="GT363" s="38"/>
      <c r="GU363" s="38"/>
      <c r="GV363" s="39"/>
      <c r="GW363" s="34"/>
      <c r="GX363" s="34"/>
      <c r="GY363" s="34"/>
      <c r="GZ363" s="35"/>
      <c r="HA363" s="35"/>
      <c r="HB363" s="35"/>
      <c r="HC363" s="35"/>
      <c r="HD363" s="35"/>
      <c r="HE363" s="34"/>
      <c r="HF363" s="34"/>
      <c r="HG363" s="36"/>
      <c r="HH363" s="36"/>
      <c r="HI363" s="37"/>
      <c r="HJ363" s="37"/>
      <c r="HK363" s="38"/>
      <c r="HL363" s="38"/>
      <c r="HM363" s="39"/>
      <c r="HN363" s="34"/>
      <c r="HO363" s="34"/>
      <c r="HP363" s="34"/>
      <c r="HQ363" s="35"/>
      <c r="HR363" s="35"/>
      <c r="HS363" s="35"/>
      <c r="HT363" s="35"/>
      <c r="HU363" s="35"/>
      <c r="HV363" s="34"/>
      <c r="HW363" s="34"/>
      <c r="HX363" s="36"/>
      <c r="HY363" s="36"/>
      <c r="HZ363" s="37"/>
      <c r="IA363" s="37"/>
      <c r="IB363" s="38"/>
      <c r="IC363" s="38"/>
      <c r="ID363" s="39"/>
      <c r="IE363" s="34"/>
      <c r="IF363" s="34"/>
      <c r="IG363" s="34"/>
      <c r="IH363" s="35"/>
      <c r="II363" s="35"/>
      <c r="IJ363" s="35"/>
      <c r="IK363" s="35"/>
      <c r="IL363" s="35"/>
      <c r="IM363" s="34"/>
      <c r="IN363" s="34"/>
      <c r="IO363" s="36"/>
      <c r="IP363" s="36"/>
      <c r="IQ363" s="37"/>
      <c r="IR363" s="37"/>
      <c r="IS363" s="38"/>
      <c r="IT363" s="38"/>
      <c r="IU363" s="39"/>
      <c r="IV363" s="34"/>
      <c r="IW363" s="34"/>
      <c r="IX363" s="34"/>
      <c r="IY363" s="35"/>
      <c r="IZ363" s="35"/>
      <c r="JA363" s="35"/>
      <c r="JB363" s="35"/>
      <c r="JC363" s="35"/>
      <c r="JD363" s="34"/>
      <c r="JE363" s="34"/>
      <c r="JF363" s="36"/>
      <c r="JG363" s="36"/>
      <c r="JH363" s="37"/>
      <c r="JI363" s="37"/>
      <c r="JJ363" s="38"/>
      <c r="JK363" s="38"/>
      <c r="JL363" s="39"/>
      <c r="JM363" s="34"/>
      <c r="JN363" s="34"/>
      <c r="JO363" s="34"/>
      <c r="JP363" s="35"/>
      <c r="JQ363" s="35"/>
      <c r="JR363" s="35"/>
      <c r="JS363" s="35"/>
      <c r="JT363" s="35"/>
      <c r="JU363" s="34"/>
      <c r="JV363" s="34"/>
      <c r="JW363" s="36"/>
      <c r="JX363" s="36"/>
      <c r="JY363" s="37"/>
      <c r="JZ363" s="37"/>
      <c r="KA363" s="38"/>
      <c r="KB363" s="38"/>
      <c r="KC363" s="39"/>
      <c r="KD363" s="34"/>
      <c r="KE363" s="34"/>
      <c r="KF363" s="34"/>
      <c r="KG363" s="35"/>
      <c r="KH363" s="35"/>
      <c r="KI363" s="35"/>
      <c r="KJ363" s="35"/>
      <c r="KK363" s="35"/>
      <c r="KL363" s="34"/>
      <c r="KM363" s="34"/>
      <c r="KN363" s="36"/>
      <c r="KO363" s="36"/>
      <c r="KP363" s="37"/>
      <c r="KQ363" s="37"/>
      <c r="KR363" s="38"/>
      <c r="KS363" s="38"/>
      <c r="KT363" s="39"/>
      <c r="KU363" s="34"/>
      <c r="KV363" s="34"/>
      <c r="KW363" s="34"/>
      <c r="KX363" s="35"/>
      <c r="KY363" s="35"/>
      <c r="KZ363" s="35"/>
      <c r="LA363" s="35"/>
      <c r="LB363" s="35"/>
      <c r="LC363" s="34"/>
      <c r="LD363" s="34"/>
      <c r="LE363" s="36"/>
      <c r="LF363" s="36"/>
      <c r="LG363" s="37"/>
      <c r="LH363" s="37"/>
      <c r="LI363" s="38"/>
      <c r="LJ363" s="38"/>
      <c r="LK363" s="39"/>
      <c r="LL363" s="34"/>
      <c r="LM363" s="34"/>
      <c r="LN363" s="34"/>
      <c r="LO363" s="35"/>
      <c r="LP363" s="35"/>
      <c r="LQ363" s="35"/>
      <c r="LR363" s="35"/>
      <c r="LS363" s="35"/>
      <c r="LT363" s="34"/>
      <c r="LU363" s="34"/>
      <c r="LV363" s="36"/>
      <c r="LW363" s="36"/>
      <c r="LX363" s="37"/>
      <c r="LY363" s="37"/>
      <c r="LZ363" s="38"/>
      <c r="MA363" s="38"/>
      <c r="MB363" s="39"/>
      <c r="MC363" s="34"/>
      <c r="MD363" s="34"/>
      <c r="ME363" s="34"/>
      <c r="MF363" s="35"/>
      <c r="MG363" s="35"/>
      <c r="MH363" s="35"/>
      <c r="MI363" s="35"/>
      <c r="MJ363" s="35"/>
      <c r="MK363" s="34"/>
      <c r="ML363" s="34"/>
      <c r="MM363" s="36"/>
      <c r="MN363" s="36"/>
      <c r="MO363" s="37"/>
      <c r="MP363" s="37"/>
      <c r="MQ363" s="38"/>
      <c r="MR363" s="38"/>
      <c r="MS363" s="39"/>
      <c r="MT363" s="34"/>
      <c r="MU363" s="34"/>
      <c r="MV363" s="34"/>
      <c r="MW363" s="35"/>
      <c r="MX363" s="35"/>
      <c r="MY363" s="35"/>
      <c r="MZ363" s="35"/>
      <c r="NA363" s="35"/>
      <c r="NB363" s="34"/>
      <c r="NC363" s="34"/>
      <c r="ND363" s="36"/>
      <c r="NE363" s="36"/>
      <c r="NF363" s="37"/>
      <c r="NG363" s="37"/>
      <c r="NH363" s="38"/>
      <c r="NI363" s="38"/>
      <c r="NJ363" s="39"/>
      <c r="NK363" s="34"/>
      <c r="NL363" s="34"/>
      <c r="NM363" s="34"/>
      <c r="NN363" s="35"/>
      <c r="NO363" s="35"/>
      <c r="NP363" s="35"/>
      <c r="NQ363" s="35"/>
      <c r="NR363" s="35"/>
      <c r="NS363" s="34"/>
      <c r="NT363" s="34"/>
      <c r="NU363" s="36"/>
      <c r="NV363" s="36"/>
      <c r="NW363" s="37"/>
      <c r="NX363" s="37"/>
      <c r="NY363" s="38"/>
      <c r="NZ363" s="38"/>
      <c r="OA363" s="39"/>
      <c r="OB363" s="34"/>
      <c r="OC363" s="34"/>
      <c r="OD363" s="34"/>
      <c r="OE363" s="35"/>
      <c r="OF363" s="35"/>
      <c r="OG363" s="35"/>
      <c r="OH363" s="35"/>
      <c r="OI363" s="35"/>
      <c r="OJ363" s="34"/>
      <c r="OK363" s="34"/>
      <c r="OL363" s="36"/>
      <c r="OM363" s="36"/>
      <c r="ON363" s="37"/>
      <c r="OO363" s="37"/>
      <c r="OP363" s="38"/>
      <c r="OQ363" s="38"/>
      <c r="OR363" s="39"/>
      <c r="OS363" s="34"/>
      <c r="OT363" s="34"/>
      <c r="OU363" s="34"/>
      <c r="OV363" s="35"/>
      <c r="OW363" s="35"/>
      <c r="OX363" s="35"/>
      <c r="OY363" s="35"/>
      <c r="OZ363" s="35"/>
      <c r="PA363" s="34"/>
      <c r="PB363" s="34"/>
      <c r="PC363" s="36"/>
      <c r="PD363" s="36"/>
      <c r="PE363" s="37"/>
      <c r="PF363" s="37"/>
      <c r="PG363" s="38"/>
      <c r="PH363" s="38"/>
      <c r="PI363" s="39"/>
      <c r="PJ363" s="34"/>
      <c r="PK363" s="34"/>
      <c r="PL363" s="34"/>
      <c r="PM363" s="35"/>
      <c r="PN363" s="35"/>
      <c r="PO363" s="35"/>
      <c r="PP363" s="35"/>
      <c r="PQ363" s="35"/>
      <c r="PR363" s="34"/>
      <c r="PS363" s="34"/>
      <c r="PT363" s="36"/>
      <c r="PU363" s="36"/>
      <c r="PV363" s="37"/>
      <c r="PW363" s="37"/>
      <c r="PX363" s="38"/>
      <c r="PY363" s="38"/>
      <c r="PZ363" s="39"/>
      <c r="QA363" s="34"/>
      <c r="QB363" s="34"/>
      <c r="QC363" s="34"/>
      <c r="QD363" s="35"/>
      <c r="QE363" s="35"/>
      <c r="QF363" s="35"/>
      <c r="QG363" s="35"/>
      <c r="QH363" s="35"/>
      <c r="QI363" s="34"/>
      <c r="QJ363" s="34"/>
      <c r="QK363" s="36"/>
      <c r="QL363" s="36"/>
      <c r="QM363" s="37"/>
      <c r="QN363" s="37"/>
      <c r="QO363" s="38"/>
      <c r="QP363" s="38"/>
      <c r="QQ363" s="39"/>
      <c r="QR363" s="34"/>
      <c r="QS363" s="34"/>
      <c r="QT363" s="34"/>
      <c r="QU363" s="35"/>
      <c r="QV363" s="35"/>
      <c r="QW363" s="35"/>
      <c r="QX363" s="35"/>
      <c r="QY363" s="35"/>
      <c r="QZ363" s="34"/>
      <c r="RA363" s="34"/>
      <c r="RB363" s="36"/>
      <c r="RC363" s="36"/>
      <c r="RD363" s="37"/>
      <c r="RE363" s="37"/>
      <c r="RF363" s="38"/>
      <c r="RG363" s="38"/>
      <c r="RH363" s="39"/>
      <c r="RI363" s="34"/>
      <c r="RJ363" s="34"/>
      <c r="RK363" s="34"/>
      <c r="RL363" s="35"/>
      <c r="RM363" s="35"/>
      <c r="RN363" s="35"/>
      <c r="RO363" s="35"/>
      <c r="RP363" s="35"/>
      <c r="RQ363" s="34"/>
      <c r="RR363" s="34"/>
      <c r="RS363" s="36"/>
      <c r="RT363" s="36"/>
      <c r="RU363" s="37"/>
      <c r="RV363" s="37"/>
      <c r="RW363" s="38"/>
      <c r="RX363" s="38"/>
      <c r="RY363" s="39"/>
      <c r="RZ363" s="34"/>
      <c r="SA363" s="34"/>
      <c r="SB363" s="34"/>
      <c r="SC363" s="35"/>
      <c r="SD363" s="35"/>
      <c r="SE363" s="35"/>
      <c r="SF363" s="35"/>
      <c r="SG363" s="35"/>
      <c r="SH363" s="34"/>
      <c r="SI363" s="34"/>
      <c r="SJ363" s="36"/>
      <c r="SK363" s="36"/>
      <c r="SL363" s="37"/>
      <c r="SM363" s="37"/>
      <c r="SN363" s="38"/>
      <c r="SO363" s="38"/>
      <c r="SP363" s="39"/>
      <c r="SQ363" s="34"/>
      <c r="SR363" s="34"/>
      <c r="SS363" s="34"/>
      <c r="ST363" s="35"/>
      <c r="SU363" s="35"/>
      <c r="SV363" s="35"/>
      <c r="SW363" s="35"/>
      <c r="SX363" s="35"/>
      <c r="SY363" s="34"/>
      <c r="SZ363" s="34"/>
      <c r="TA363" s="36"/>
      <c r="TB363" s="36"/>
      <c r="TC363" s="37"/>
      <c r="TD363" s="37"/>
      <c r="TE363" s="38"/>
      <c r="TF363" s="38"/>
      <c r="TG363" s="39"/>
      <c r="TH363" s="34"/>
      <c r="TI363" s="34"/>
      <c r="TJ363" s="34"/>
      <c r="TK363" s="35"/>
      <c r="TL363" s="35"/>
      <c r="TM363" s="35"/>
      <c r="TN363" s="35"/>
      <c r="TO363" s="35"/>
      <c r="TP363" s="34"/>
      <c r="TQ363" s="34"/>
      <c r="TR363" s="36"/>
      <c r="TS363" s="36"/>
      <c r="TT363" s="37"/>
      <c r="TU363" s="37"/>
      <c r="TV363" s="38"/>
      <c r="TW363" s="38"/>
      <c r="TX363" s="39"/>
      <c r="TY363" s="34"/>
      <c r="TZ363" s="34"/>
      <c r="UA363" s="34"/>
      <c r="UB363" s="35"/>
      <c r="UC363" s="35"/>
      <c r="UD363" s="35"/>
      <c r="UE363" s="35"/>
      <c r="UF363" s="35"/>
      <c r="UG363" s="34"/>
      <c r="UH363" s="34"/>
      <c r="UI363" s="36"/>
      <c r="UJ363" s="36"/>
      <c r="UK363" s="37"/>
      <c r="UL363" s="37"/>
      <c r="UM363" s="38"/>
      <c r="UN363" s="38"/>
      <c r="UO363" s="39"/>
      <c r="UP363" s="34"/>
      <c r="UQ363" s="34"/>
      <c r="UR363" s="34"/>
      <c r="US363" s="35"/>
      <c r="UT363" s="35"/>
      <c r="UU363" s="35"/>
      <c r="UV363" s="35"/>
      <c r="UW363" s="35"/>
      <c r="UX363" s="34"/>
      <c r="UY363" s="34"/>
      <c r="UZ363" s="36"/>
      <c r="VA363" s="36"/>
      <c r="VB363" s="37"/>
      <c r="VC363" s="37"/>
      <c r="VD363" s="38"/>
      <c r="VE363" s="38"/>
      <c r="VF363" s="39"/>
      <c r="VG363" s="34"/>
      <c r="VH363" s="34"/>
      <c r="VI363" s="34"/>
      <c r="VJ363" s="35"/>
      <c r="VK363" s="35"/>
      <c r="VL363" s="35"/>
      <c r="VM363" s="35"/>
      <c r="VN363" s="35"/>
      <c r="VO363" s="34"/>
      <c r="VP363" s="34"/>
      <c r="VQ363" s="36"/>
      <c r="VR363" s="36"/>
      <c r="VS363" s="37"/>
      <c r="VT363" s="37"/>
      <c r="VU363" s="38"/>
      <c r="VV363" s="38"/>
      <c r="VW363" s="39"/>
      <c r="VX363" s="34"/>
      <c r="VY363" s="34"/>
      <c r="VZ363" s="34"/>
      <c r="WA363" s="35"/>
      <c r="WB363" s="35"/>
      <c r="WC363" s="35"/>
      <c r="WD363" s="35"/>
      <c r="WE363" s="35"/>
      <c r="WF363" s="34"/>
      <c r="WG363" s="34"/>
      <c r="WH363" s="36"/>
      <c r="WI363" s="36"/>
      <c r="WJ363" s="37"/>
      <c r="WK363" s="37"/>
      <c r="WL363" s="38"/>
      <c r="WM363" s="38"/>
      <c r="WN363" s="39"/>
      <c r="WO363" s="34"/>
      <c r="WP363" s="34"/>
      <c r="WQ363" s="34"/>
      <c r="WR363" s="35"/>
      <c r="WS363" s="35"/>
      <c r="WT363" s="35"/>
      <c r="WU363" s="35"/>
      <c r="WV363" s="35"/>
      <c r="WW363" s="34"/>
      <c r="WX363" s="34"/>
      <c r="WY363" s="36"/>
      <c r="WZ363" s="36"/>
      <c r="XA363" s="37"/>
      <c r="XB363" s="37"/>
      <c r="XC363" s="38"/>
      <c r="XD363" s="38"/>
      <c r="XE363" s="39"/>
      <c r="XF363" s="34"/>
      <c r="XG363" s="34"/>
      <c r="XH363" s="34"/>
      <c r="XI363" s="35"/>
      <c r="XJ363" s="35"/>
      <c r="XK363" s="35"/>
      <c r="XL363" s="35"/>
      <c r="XM363" s="35"/>
      <c r="XN363" s="34"/>
      <c r="XO363" s="34"/>
      <c r="XP363" s="36"/>
      <c r="XQ363" s="36"/>
      <c r="XR363" s="37"/>
      <c r="XS363" s="37"/>
      <c r="XT363" s="38"/>
      <c r="XU363" s="38"/>
      <c r="XV363" s="39"/>
      <c r="XW363" s="34"/>
      <c r="XX363" s="34"/>
      <c r="XY363" s="34"/>
      <c r="XZ363" s="35"/>
      <c r="YA363" s="35"/>
      <c r="YB363" s="35"/>
      <c r="YC363" s="35"/>
      <c r="YD363" s="35"/>
      <c r="YE363" s="34"/>
      <c r="YF363" s="34"/>
      <c r="YG363" s="36"/>
      <c r="YH363" s="36"/>
      <c r="YI363" s="37"/>
      <c r="YJ363" s="37"/>
      <c r="YK363" s="38"/>
      <c r="YL363" s="38"/>
      <c r="YM363" s="39"/>
      <c r="YN363" s="34"/>
      <c r="YO363" s="34"/>
      <c r="YP363" s="34"/>
      <c r="YQ363" s="35"/>
      <c r="YR363" s="35"/>
      <c r="YS363" s="35"/>
      <c r="YT363" s="35"/>
      <c r="YU363" s="35"/>
      <c r="YV363" s="34"/>
      <c r="YW363" s="34"/>
      <c r="YX363" s="36"/>
      <c r="YY363" s="36"/>
      <c r="YZ363" s="37"/>
      <c r="ZA363" s="37"/>
      <c r="ZB363" s="38"/>
      <c r="ZC363" s="38"/>
      <c r="ZD363" s="39"/>
      <c r="ZE363" s="34"/>
      <c r="ZF363" s="34"/>
      <c r="ZG363" s="34"/>
      <c r="ZH363" s="35"/>
      <c r="ZI363" s="35"/>
      <c r="ZJ363" s="35"/>
      <c r="ZK363" s="35"/>
      <c r="ZL363" s="35"/>
      <c r="ZM363" s="34"/>
      <c r="ZN363" s="34"/>
      <c r="ZO363" s="36"/>
      <c r="ZP363" s="36"/>
      <c r="ZQ363" s="37"/>
      <c r="ZR363" s="37"/>
      <c r="ZS363" s="38"/>
      <c r="ZT363" s="38"/>
      <c r="ZU363" s="39"/>
      <c r="ZV363" s="34"/>
      <c r="ZW363" s="34"/>
      <c r="ZX363" s="34"/>
      <c r="ZY363" s="35"/>
      <c r="ZZ363" s="35"/>
      <c r="AAA363" s="35"/>
      <c r="AAB363" s="35"/>
      <c r="AAC363" s="35"/>
      <c r="AAD363" s="34"/>
      <c r="AAE363" s="34"/>
      <c r="AAF363" s="36"/>
      <c r="AAG363" s="36"/>
      <c r="AAH363" s="37"/>
      <c r="AAI363" s="37"/>
      <c r="AAJ363" s="38"/>
      <c r="AAK363" s="38"/>
      <c r="AAL363" s="39"/>
      <c r="AAM363" s="34"/>
      <c r="AAN363" s="34"/>
      <c r="AAO363" s="34"/>
      <c r="AAP363" s="35"/>
      <c r="AAQ363" s="35"/>
      <c r="AAR363" s="35"/>
      <c r="AAS363" s="35"/>
      <c r="AAT363" s="35"/>
      <c r="AAU363" s="34"/>
      <c r="AAV363" s="34"/>
      <c r="AAW363" s="36"/>
      <c r="AAX363" s="36"/>
      <c r="AAY363" s="37"/>
      <c r="AAZ363" s="37"/>
      <c r="ABA363" s="38"/>
      <c r="ABB363" s="38"/>
      <c r="ABC363" s="39"/>
      <c r="ABD363" s="34"/>
      <c r="ABE363" s="34"/>
      <c r="ABF363" s="34"/>
      <c r="ABG363" s="35"/>
      <c r="ABH363" s="35"/>
      <c r="ABI363" s="35"/>
      <c r="ABJ363" s="35"/>
      <c r="ABK363" s="35"/>
      <c r="ABL363" s="34"/>
      <c r="ABM363" s="34"/>
      <c r="ABN363" s="36"/>
      <c r="ABO363" s="36"/>
      <c r="ABP363" s="37"/>
      <c r="ABQ363" s="37"/>
      <c r="ABR363" s="38"/>
      <c r="ABS363" s="38"/>
      <c r="ABT363" s="39"/>
      <c r="ABU363" s="34"/>
      <c r="ABV363" s="34"/>
      <c r="ABW363" s="34"/>
      <c r="ABX363" s="35"/>
      <c r="ABY363" s="35"/>
      <c r="ABZ363" s="35"/>
      <c r="ACA363" s="35"/>
      <c r="ACB363" s="35"/>
      <c r="ACC363" s="34"/>
      <c r="ACD363" s="34"/>
      <c r="ACE363" s="36"/>
      <c r="ACF363" s="36"/>
      <c r="ACG363" s="37"/>
      <c r="ACH363" s="37"/>
      <c r="ACI363" s="38"/>
      <c r="ACJ363" s="38"/>
      <c r="ACK363" s="39"/>
      <c r="ACL363" s="34"/>
      <c r="ACM363" s="34"/>
      <c r="ACN363" s="34"/>
      <c r="ACO363" s="35"/>
      <c r="ACP363" s="35"/>
      <c r="ACQ363" s="35"/>
      <c r="ACR363" s="35"/>
      <c r="ACS363" s="35"/>
      <c r="ACT363" s="34"/>
      <c r="ACU363" s="34"/>
      <c r="ACV363" s="36"/>
      <c r="ACW363" s="36"/>
      <c r="ACX363" s="37"/>
      <c r="ACY363" s="37"/>
      <c r="ACZ363" s="38"/>
      <c r="ADA363" s="38"/>
      <c r="ADB363" s="39"/>
      <c r="ADC363" s="34"/>
      <c r="ADD363" s="34"/>
      <c r="ADE363" s="34"/>
      <c r="ADF363" s="35"/>
      <c r="ADG363" s="35"/>
      <c r="ADH363" s="35"/>
      <c r="ADI363" s="35"/>
      <c r="ADJ363" s="35"/>
      <c r="ADK363" s="34"/>
      <c r="ADL363" s="34"/>
      <c r="ADM363" s="36"/>
      <c r="ADN363" s="36"/>
      <c r="ADO363" s="37"/>
      <c r="ADP363" s="37"/>
      <c r="ADQ363" s="38"/>
      <c r="ADR363" s="38"/>
      <c r="ADS363" s="39"/>
      <c r="ADT363" s="34"/>
      <c r="ADU363" s="34"/>
      <c r="ADV363" s="34"/>
      <c r="ADW363" s="35"/>
      <c r="ADX363" s="35"/>
      <c r="ADY363" s="35"/>
      <c r="ADZ363" s="35"/>
      <c r="AEA363" s="35"/>
      <c r="AEB363" s="34"/>
      <c r="AEC363" s="34"/>
      <c r="AED363" s="36"/>
      <c r="AEE363" s="36"/>
      <c r="AEF363" s="37"/>
      <c r="AEG363" s="37"/>
      <c r="AEH363" s="38"/>
      <c r="AEI363" s="38"/>
      <c r="AEJ363" s="39"/>
      <c r="AEK363" s="34"/>
      <c r="AEL363" s="34"/>
      <c r="AEM363" s="34"/>
      <c r="AEN363" s="35"/>
      <c r="AEO363" s="35"/>
      <c r="AEP363" s="35"/>
      <c r="AEQ363" s="35"/>
      <c r="AER363" s="35"/>
      <c r="AES363" s="34"/>
      <c r="AET363" s="34"/>
      <c r="AEU363" s="36"/>
      <c r="AEV363" s="36"/>
      <c r="AEW363" s="37"/>
      <c r="AEX363" s="37"/>
      <c r="AEY363" s="38"/>
      <c r="AEZ363" s="38"/>
      <c r="AFA363" s="39"/>
      <c r="AFB363" s="34"/>
      <c r="AFC363" s="34"/>
      <c r="AFD363" s="34"/>
      <c r="AFE363" s="35"/>
      <c r="AFF363" s="35"/>
      <c r="AFG363" s="35"/>
      <c r="AFH363" s="35"/>
      <c r="AFI363" s="35"/>
      <c r="AFJ363" s="34"/>
      <c r="AFK363" s="34"/>
      <c r="AFL363" s="36"/>
      <c r="AFM363" s="36"/>
      <c r="AFN363" s="37"/>
      <c r="AFO363" s="37"/>
      <c r="AFP363" s="38"/>
      <c r="AFQ363" s="38"/>
      <c r="AFR363" s="39"/>
      <c r="AFS363" s="34"/>
      <c r="AFT363" s="34"/>
      <c r="AFU363" s="34"/>
      <c r="AFV363" s="35"/>
      <c r="AFW363" s="35"/>
      <c r="AFX363" s="35"/>
      <c r="AFY363" s="35"/>
      <c r="AFZ363" s="35"/>
      <c r="AGA363" s="34"/>
      <c r="AGB363" s="34"/>
      <c r="AGC363" s="36"/>
      <c r="AGD363" s="36"/>
      <c r="AGE363" s="37"/>
      <c r="AGF363" s="37"/>
      <c r="AGG363" s="38"/>
      <c r="AGH363" s="38"/>
      <c r="AGI363" s="39"/>
      <c r="AGJ363" s="34"/>
      <c r="AGK363" s="34"/>
      <c r="AGL363" s="34"/>
      <c r="AGM363" s="35"/>
      <c r="AGN363" s="35"/>
      <c r="AGO363" s="35"/>
      <c r="AGP363" s="35"/>
      <c r="AGQ363" s="35"/>
      <c r="AGR363" s="34"/>
      <c r="AGS363" s="34"/>
      <c r="AGT363" s="36"/>
      <c r="AGU363" s="36"/>
      <c r="AGV363" s="37"/>
      <c r="AGW363" s="37"/>
      <c r="AGX363" s="38"/>
      <c r="AGY363" s="38"/>
      <c r="AGZ363" s="39"/>
      <c r="AHA363" s="34"/>
      <c r="AHB363" s="34"/>
      <c r="AHC363" s="34"/>
      <c r="AHD363" s="35"/>
      <c r="AHE363" s="35"/>
      <c r="AHF363" s="35"/>
      <c r="AHG363" s="35"/>
      <c r="AHH363" s="35"/>
      <c r="AHI363" s="34"/>
      <c r="AHJ363" s="34"/>
      <c r="AHK363" s="36"/>
      <c r="AHL363" s="36"/>
      <c r="AHM363" s="37"/>
      <c r="AHN363" s="37"/>
      <c r="AHO363" s="38"/>
      <c r="AHP363" s="38"/>
      <c r="AHQ363" s="39"/>
      <c r="AHR363" s="34"/>
      <c r="AHS363" s="34"/>
      <c r="AHT363" s="34"/>
      <c r="AHU363" s="35"/>
      <c r="AHV363" s="35"/>
      <c r="AHW363" s="35"/>
      <c r="AHX363" s="35"/>
      <c r="AHY363" s="35"/>
      <c r="AHZ363" s="34"/>
      <c r="AIA363" s="34"/>
      <c r="AIB363" s="36"/>
      <c r="AIC363" s="36"/>
      <c r="AID363" s="37"/>
      <c r="AIE363" s="37"/>
      <c r="AIF363" s="38"/>
      <c r="AIG363" s="38"/>
      <c r="AIH363" s="39"/>
      <c r="AII363" s="34"/>
      <c r="AIJ363" s="34"/>
      <c r="AIK363" s="34"/>
      <c r="AIL363" s="35"/>
      <c r="AIM363" s="35"/>
      <c r="AIN363" s="35"/>
      <c r="AIO363" s="35"/>
      <c r="AIP363" s="35"/>
      <c r="AIQ363" s="34"/>
      <c r="AIR363" s="34"/>
      <c r="AIS363" s="36"/>
      <c r="AIT363" s="36"/>
      <c r="AIU363" s="37"/>
      <c r="AIV363" s="37"/>
      <c r="AIW363" s="38"/>
      <c r="AIX363" s="38"/>
      <c r="AIY363" s="39"/>
      <c r="AIZ363" s="34"/>
      <c r="AJA363" s="34"/>
      <c r="AJB363" s="34"/>
      <c r="AJC363" s="35"/>
      <c r="AJD363" s="35"/>
      <c r="AJE363" s="35"/>
      <c r="AJF363" s="35"/>
      <c r="AJG363" s="35"/>
      <c r="AJH363" s="34"/>
      <c r="AJI363" s="34"/>
      <c r="AJJ363" s="36"/>
      <c r="AJK363" s="36"/>
      <c r="AJL363" s="37"/>
      <c r="AJM363" s="37"/>
      <c r="AJN363" s="38"/>
      <c r="AJO363" s="38"/>
      <c r="AJP363" s="39"/>
      <c r="AJQ363" s="34"/>
      <c r="AJR363" s="34"/>
      <c r="AJS363" s="34"/>
      <c r="AJT363" s="35"/>
      <c r="AJU363" s="35"/>
      <c r="AJV363" s="35"/>
      <c r="AJW363" s="35"/>
      <c r="AJX363" s="35"/>
      <c r="AJY363" s="34"/>
      <c r="AJZ363" s="34"/>
      <c r="AKA363" s="36"/>
      <c r="AKB363" s="36"/>
      <c r="AKC363" s="37"/>
      <c r="AKD363" s="37"/>
      <c r="AKE363" s="38"/>
      <c r="AKF363" s="38"/>
      <c r="AKG363" s="39"/>
      <c r="AKH363" s="34"/>
      <c r="AKI363" s="34"/>
      <c r="AKJ363" s="34"/>
      <c r="AKK363" s="35"/>
      <c r="AKL363" s="35"/>
      <c r="AKM363" s="35"/>
      <c r="AKN363" s="35"/>
      <c r="AKO363" s="35"/>
      <c r="AKP363" s="34"/>
      <c r="AKQ363" s="34"/>
      <c r="AKR363" s="36"/>
      <c r="AKS363" s="36"/>
      <c r="AKT363" s="37"/>
      <c r="AKU363" s="37"/>
      <c r="AKV363" s="38"/>
      <c r="AKW363" s="38"/>
      <c r="AKX363" s="39"/>
      <c r="AKY363" s="34"/>
      <c r="AKZ363" s="34"/>
      <c r="ALA363" s="34"/>
      <c r="ALB363" s="35"/>
      <c r="ALC363" s="35"/>
      <c r="ALD363" s="35"/>
      <c r="ALE363" s="35"/>
      <c r="ALF363" s="35"/>
      <c r="ALG363" s="34"/>
      <c r="ALH363" s="34"/>
      <c r="ALI363" s="36"/>
      <c r="ALJ363" s="36"/>
      <c r="ALK363" s="37"/>
      <c r="ALL363" s="37"/>
      <c r="ALM363" s="38"/>
      <c r="ALN363" s="38"/>
      <c r="ALO363" s="39"/>
      <c r="ALP363" s="34"/>
      <c r="ALQ363" s="34"/>
      <c r="ALR363" s="34"/>
      <c r="ALS363" s="35"/>
      <c r="ALT363" s="35"/>
      <c r="ALU363" s="35"/>
      <c r="ALV363" s="35"/>
      <c r="ALW363" s="35"/>
      <c r="ALX363" s="34"/>
      <c r="ALY363" s="34"/>
      <c r="ALZ363" s="36"/>
      <c r="AMA363" s="36"/>
      <c r="AMB363" s="37"/>
      <c r="AMC363" s="37"/>
      <c r="AMD363" s="38"/>
      <c r="AME363" s="38"/>
      <c r="AMF363" s="39"/>
      <c r="AMG363" s="34"/>
      <c r="AMH363" s="34"/>
      <c r="AMI363" s="34"/>
      <c r="AMJ363" s="35"/>
      <c r="AMK363" s="35"/>
      <c r="AML363" s="35"/>
      <c r="AMM363" s="35"/>
      <c r="AMN363" s="35"/>
      <c r="AMO363" s="34"/>
      <c r="AMP363" s="34"/>
      <c r="AMQ363" s="36"/>
      <c r="AMR363" s="36"/>
      <c r="AMS363" s="37"/>
      <c r="AMT363" s="37"/>
      <c r="AMU363" s="38"/>
      <c r="AMV363" s="38"/>
      <c r="AMW363" s="39"/>
      <c r="AMX363" s="34"/>
      <c r="AMY363" s="34"/>
      <c r="AMZ363" s="34"/>
      <c r="ANA363" s="35"/>
      <c r="ANB363" s="35"/>
      <c r="ANC363" s="35"/>
      <c r="AND363" s="35"/>
      <c r="ANE363" s="35"/>
      <c r="ANF363" s="34"/>
      <c r="ANG363" s="34"/>
      <c r="ANH363" s="36"/>
      <c r="ANI363" s="36"/>
      <c r="ANJ363" s="37"/>
      <c r="ANK363" s="37"/>
      <c r="ANL363" s="38"/>
      <c r="ANM363" s="38"/>
      <c r="ANN363" s="39"/>
      <c r="ANO363" s="34"/>
      <c r="ANP363" s="34"/>
      <c r="ANQ363" s="34"/>
      <c r="ANR363" s="35"/>
      <c r="ANS363" s="35"/>
      <c r="ANT363" s="35"/>
      <c r="ANU363" s="35"/>
      <c r="ANV363" s="35"/>
      <c r="ANW363" s="34"/>
      <c r="ANX363" s="34"/>
      <c r="ANY363" s="36"/>
      <c r="ANZ363" s="36"/>
      <c r="AOA363" s="37"/>
      <c r="AOB363" s="37"/>
      <c r="AOC363" s="38"/>
      <c r="AOD363" s="38"/>
      <c r="AOE363" s="39"/>
      <c r="AOF363" s="34"/>
      <c r="AOG363" s="34"/>
      <c r="AOH363" s="34"/>
      <c r="AOI363" s="35"/>
      <c r="AOJ363" s="35"/>
      <c r="AOK363" s="35"/>
      <c r="AOL363" s="35"/>
      <c r="AOM363" s="35"/>
      <c r="AON363" s="34"/>
      <c r="AOO363" s="34"/>
      <c r="AOP363" s="36"/>
      <c r="AOQ363" s="36"/>
      <c r="AOR363" s="37"/>
      <c r="AOS363" s="37"/>
      <c r="AOT363" s="38"/>
      <c r="AOU363" s="38"/>
      <c r="AOV363" s="39"/>
      <c r="AOW363" s="34"/>
      <c r="AOX363" s="34"/>
      <c r="AOY363" s="34"/>
      <c r="AOZ363" s="35"/>
      <c r="APA363" s="35"/>
      <c r="APB363" s="35"/>
      <c r="APC363" s="35"/>
      <c r="APD363" s="35"/>
      <c r="APE363" s="34"/>
      <c r="APF363" s="34"/>
      <c r="APG363" s="36"/>
      <c r="APH363" s="36"/>
      <c r="API363" s="37"/>
      <c r="APJ363" s="37"/>
      <c r="APK363" s="38"/>
      <c r="APL363" s="38"/>
      <c r="APM363" s="39"/>
      <c r="APN363" s="34"/>
      <c r="APO363" s="34"/>
      <c r="APP363" s="34"/>
      <c r="APQ363" s="35"/>
      <c r="APR363" s="35"/>
      <c r="APS363" s="35"/>
      <c r="APT363" s="35"/>
      <c r="APU363" s="35"/>
      <c r="APV363" s="34"/>
      <c r="APW363" s="34"/>
      <c r="APX363" s="36"/>
      <c r="APY363" s="36"/>
      <c r="APZ363" s="37"/>
      <c r="AQA363" s="37"/>
      <c r="AQB363" s="38"/>
      <c r="AQC363" s="38"/>
      <c r="AQD363" s="39"/>
      <c r="AQE363" s="34"/>
      <c r="AQF363" s="34"/>
      <c r="AQG363" s="34"/>
      <c r="AQH363" s="35"/>
      <c r="AQI363" s="35"/>
      <c r="AQJ363" s="35"/>
      <c r="AQK363" s="35"/>
      <c r="AQL363" s="35"/>
      <c r="AQM363" s="34"/>
      <c r="AQN363" s="34"/>
      <c r="AQO363" s="36"/>
      <c r="AQP363" s="36"/>
      <c r="AQQ363" s="37"/>
      <c r="AQR363" s="37"/>
      <c r="AQS363" s="38"/>
      <c r="AQT363" s="38"/>
      <c r="AQU363" s="39"/>
      <c r="AQV363" s="34"/>
      <c r="AQW363" s="34"/>
      <c r="AQX363" s="34"/>
      <c r="AQY363" s="35"/>
      <c r="AQZ363" s="35"/>
      <c r="ARA363" s="35"/>
      <c r="ARB363" s="35"/>
      <c r="ARC363" s="35"/>
      <c r="ARD363" s="34"/>
      <c r="ARE363" s="34"/>
      <c r="ARF363" s="36"/>
      <c r="ARG363" s="36"/>
      <c r="ARH363" s="37"/>
      <c r="ARI363" s="37"/>
      <c r="ARJ363" s="38"/>
      <c r="ARK363" s="38"/>
      <c r="ARL363" s="39"/>
      <c r="ARM363" s="34"/>
      <c r="ARN363" s="34"/>
      <c r="ARO363" s="34"/>
      <c r="ARP363" s="35"/>
      <c r="ARQ363" s="35"/>
      <c r="ARR363" s="35"/>
      <c r="ARS363" s="35"/>
      <c r="ART363" s="35"/>
      <c r="ARU363" s="34"/>
      <c r="ARV363" s="34"/>
      <c r="ARW363" s="36"/>
      <c r="ARX363" s="36"/>
      <c r="ARY363" s="37"/>
      <c r="ARZ363" s="37"/>
      <c r="ASA363" s="38"/>
      <c r="ASB363" s="38"/>
      <c r="ASC363" s="39"/>
      <c r="ASD363" s="34"/>
      <c r="ASE363" s="34"/>
      <c r="ASF363" s="34"/>
      <c r="ASG363" s="35"/>
      <c r="ASH363" s="35"/>
      <c r="ASI363" s="35"/>
      <c r="ASJ363" s="35"/>
      <c r="ASK363" s="35"/>
      <c r="ASL363" s="34"/>
      <c r="ASM363" s="34"/>
      <c r="ASN363" s="36"/>
      <c r="ASO363" s="36"/>
      <c r="ASP363" s="37"/>
      <c r="ASQ363" s="37"/>
      <c r="ASR363" s="38"/>
      <c r="ASS363" s="38"/>
      <c r="AST363" s="39"/>
      <c r="ASU363" s="34"/>
      <c r="ASV363" s="34"/>
      <c r="ASW363" s="34"/>
      <c r="ASX363" s="35"/>
      <c r="ASY363" s="35"/>
      <c r="ASZ363" s="35"/>
      <c r="ATA363" s="35"/>
      <c r="ATB363" s="35"/>
      <c r="ATC363" s="34"/>
      <c r="ATD363" s="34"/>
      <c r="ATE363" s="36"/>
      <c r="ATF363" s="36"/>
      <c r="ATG363" s="37"/>
      <c r="ATH363" s="37"/>
      <c r="ATI363" s="38"/>
      <c r="ATJ363" s="38"/>
      <c r="ATK363" s="39"/>
      <c r="ATL363" s="34"/>
      <c r="ATM363" s="34"/>
      <c r="ATN363" s="34"/>
      <c r="ATO363" s="35"/>
      <c r="ATP363" s="35"/>
      <c r="ATQ363" s="35"/>
      <c r="ATR363" s="35"/>
      <c r="ATS363" s="35"/>
      <c r="ATT363" s="34"/>
      <c r="ATU363" s="34"/>
      <c r="ATV363" s="36"/>
      <c r="ATW363" s="36"/>
      <c r="ATX363" s="37"/>
      <c r="ATY363" s="37"/>
      <c r="ATZ363" s="38"/>
      <c r="AUA363" s="38"/>
      <c r="AUB363" s="39"/>
      <c r="AUC363" s="34"/>
      <c r="AUD363" s="34"/>
      <c r="AUE363" s="34"/>
      <c r="AUF363" s="35"/>
      <c r="AUG363" s="35"/>
      <c r="AUH363" s="35"/>
      <c r="AUI363" s="35"/>
      <c r="AUJ363" s="35"/>
      <c r="AUK363" s="34"/>
      <c r="AUL363" s="34"/>
      <c r="AUM363" s="36"/>
      <c r="AUN363" s="36"/>
      <c r="AUO363" s="37"/>
      <c r="AUP363" s="37"/>
      <c r="AUQ363" s="38"/>
      <c r="AUR363" s="38"/>
      <c r="AUS363" s="39"/>
      <c r="AUT363" s="34"/>
      <c r="AUU363" s="34"/>
      <c r="AUV363" s="34"/>
      <c r="AUW363" s="35"/>
      <c r="AUX363" s="35"/>
      <c r="AUY363" s="35"/>
      <c r="AUZ363" s="35"/>
      <c r="AVA363" s="35"/>
      <c r="AVB363" s="34"/>
      <c r="AVC363" s="34"/>
      <c r="AVD363" s="36"/>
      <c r="AVE363" s="36"/>
      <c r="AVF363" s="37"/>
      <c r="AVG363" s="37"/>
      <c r="AVH363" s="38"/>
      <c r="AVI363" s="38"/>
      <c r="AVJ363" s="39"/>
      <c r="AVK363" s="34"/>
      <c r="AVL363" s="34"/>
      <c r="AVM363" s="34"/>
      <c r="AVN363" s="35"/>
      <c r="AVO363" s="35"/>
      <c r="AVP363" s="35"/>
      <c r="AVQ363" s="35"/>
      <c r="AVR363" s="35"/>
      <c r="AVS363" s="34"/>
      <c r="AVT363" s="34"/>
      <c r="AVU363" s="36"/>
      <c r="AVV363" s="36"/>
      <c r="AVW363" s="37"/>
      <c r="AVX363" s="37"/>
      <c r="AVY363" s="38"/>
      <c r="AVZ363" s="38"/>
      <c r="AWA363" s="39"/>
      <c r="AWB363" s="34"/>
      <c r="AWC363" s="34"/>
      <c r="AWD363" s="34"/>
      <c r="AWE363" s="35"/>
      <c r="AWF363" s="35"/>
      <c r="AWG363" s="35"/>
      <c r="AWH363" s="35"/>
      <c r="AWI363" s="35"/>
      <c r="AWJ363" s="34"/>
      <c r="AWK363" s="34"/>
      <c r="AWL363" s="36"/>
      <c r="AWM363" s="36"/>
      <c r="AWN363" s="37"/>
      <c r="AWO363" s="37"/>
      <c r="AWP363" s="38"/>
      <c r="AWQ363" s="38"/>
      <c r="AWR363" s="39"/>
      <c r="AWS363" s="34"/>
      <c r="AWT363" s="34"/>
      <c r="AWU363" s="34"/>
      <c r="AWV363" s="35"/>
      <c r="AWW363" s="35"/>
      <c r="AWX363" s="35"/>
      <c r="AWY363" s="35"/>
      <c r="AWZ363" s="35"/>
      <c r="AXA363" s="34"/>
      <c r="AXB363" s="34"/>
      <c r="AXC363" s="36"/>
      <c r="AXD363" s="36"/>
      <c r="AXE363" s="37"/>
      <c r="AXF363" s="37"/>
      <c r="AXG363" s="38"/>
      <c r="AXH363" s="38"/>
      <c r="AXI363" s="39"/>
      <c r="AXJ363" s="34"/>
      <c r="AXK363" s="34"/>
      <c r="AXL363" s="34"/>
      <c r="AXM363" s="35"/>
      <c r="AXN363" s="35"/>
      <c r="AXO363" s="35"/>
      <c r="AXP363" s="35"/>
      <c r="AXQ363" s="35"/>
      <c r="AXR363" s="34"/>
      <c r="AXS363" s="34"/>
      <c r="AXT363" s="36"/>
      <c r="AXU363" s="36"/>
      <c r="AXV363" s="37"/>
      <c r="AXW363" s="37"/>
      <c r="AXX363" s="38"/>
      <c r="AXY363" s="38"/>
      <c r="AXZ363" s="39"/>
      <c r="AYA363" s="34"/>
      <c r="AYB363" s="34"/>
      <c r="AYC363" s="34"/>
      <c r="AYD363" s="35"/>
      <c r="AYE363" s="35"/>
      <c r="AYF363" s="35"/>
      <c r="AYG363" s="35"/>
      <c r="AYH363" s="35"/>
      <c r="AYI363" s="34"/>
      <c r="AYJ363" s="34"/>
      <c r="AYK363" s="36"/>
      <c r="AYL363" s="36"/>
      <c r="AYM363" s="37"/>
      <c r="AYN363" s="37"/>
      <c r="AYO363" s="38"/>
      <c r="AYP363" s="38"/>
      <c r="AYQ363" s="39"/>
      <c r="AYR363" s="34"/>
      <c r="AYS363" s="34"/>
      <c r="AYT363" s="34"/>
      <c r="AYU363" s="35"/>
      <c r="AYV363" s="35"/>
      <c r="AYW363" s="35"/>
      <c r="AYX363" s="35"/>
      <c r="AYY363" s="35"/>
      <c r="AYZ363" s="34"/>
      <c r="AZA363" s="34"/>
      <c r="AZB363" s="36"/>
      <c r="AZC363" s="36"/>
      <c r="AZD363" s="37"/>
      <c r="AZE363" s="37"/>
      <c r="AZF363" s="38"/>
      <c r="AZG363" s="38"/>
      <c r="AZH363" s="39"/>
      <c r="AZI363" s="34"/>
      <c r="AZJ363" s="34"/>
      <c r="AZK363" s="34"/>
      <c r="AZL363" s="35"/>
      <c r="AZM363" s="35"/>
      <c r="AZN363" s="35"/>
      <c r="AZO363" s="35"/>
      <c r="AZP363" s="35"/>
      <c r="AZQ363" s="34"/>
      <c r="AZR363" s="34"/>
      <c r="AZS363" s="36"/>
      <c r="AZT363" s="36"/>
      <c r="AZU363" s="37"/>
      <c r="AZV363" s="37"/>
      <c r="AZW363" s="38"/>
      <c r="AZX363" s="38"/>
      <c r="AZY363" s="39"/>
      <c r="AZZ363" s="34"/>
      <c r="BAA363" s="34"/>
      <c r="BAB363" s="34"/>
      <c r="BAC363" s="35"/>
      <c r="BAD363" s="35"/>
      <c r="BAE363" s="35"/>
      <c r="BAF363" s="35"/>
      <c r="BAG363" s="35"/>
      <c r="BAH363" s="34"/>
      <c r="BAI363" s="34"/>
      <c r="BAJ363" s="36"/>
      <c r="BAK363" s="36"/>
      <c r="BAL363" s="37"/>
      <c r="BAM363" s="37"/>
      <c r="BAN363" s="38"/>
      <c r="BAO363" s="38"/>
      <c r="BAP363" s="39"/>
      <c r="BAQ363" s="34"/>
      <c r="BAR363" s="34"/>
      <c r="BAS363" s="34"/>
      <c r="BAT363" s="35"/>
      <c r="BAU363" s="35"/>
      <c r="BAV363" s="35"/>
      <c r="BAW363" s="35"/>
      <c r="BAX363" s="35"/>
      <c r="BAY363" s="34"/>
      <c r="BAZ363" s="34"/>
      <c r="BBA363" s="36"/>
      <c r="BBB363" s="36"/>
      <c r="BBC363" s="37"/>
      <c r="BBD363" s="37"/>
      <c r="BBE363" s="38"/>
      <c r="BBF363" s="38"/>
      <c r="BBG363" s="39"/>
      <c r="BBH363" s="34"/>
      <c r="BBI363" s="34"/>
      <c r="BBJ363" s="34"/>
      <c r="BBK363" s="35"/>
      <c r="BBL363" s="35"/>
      <c r="BBM363" s="35"/>
      <c r="BBN363" s="35"/>
      <c r="BBO363" s="35"/>
      <c r="BBP363" s="34"/>
      <c r="BBQ363" s="34"/>
      <c r="BBR363" s="36"/>
      <c r="BBS363" s="36"/>
      <c r="BBT363" s="37"/>
      <c r="BBU363" s="37"/>
      <c r="BBV363" s="38"/>
      <c r="BBW363" s="38"/>
      <c r="BBX363" s="39"/>
      <c r="BBY363" s="34"/>
      <c r="BBZ363" s="34"/>
      <c r="BCA363" s="34"/>
      <c r="BCB363" s="35"/>
      <c r="BCC363" s="35"/>
      <c r="BCD363" s="35"/>
      <c r="BCE363" s="35"/>
      <c r="BCF363" s="35"/>
      <c r="BCG363" s="34"/>
      <c r="BCH363" s="34"/>
      <c r="BCI363" s="36"/>
      <c r="BCJ363" s="36"/>
      <c r="BCK363" s="37"/>
      <c r="BCL363" s="37"/>
      <c r="BCM363" s="38"/>
      <c r="BCN363" s="38"/>
      <c r="BCO363" s="39"/>
      <c r="BCP363" s="34"/>
      <c r="BCQ363" s="34"/>
      <c r="BCR363" s="34"/>
      <c r="BCS363" s="35"/>
      <c r="BCT363" s="35"/>
      <c r="BCU363" s="35"/>
      <c r="BCV363" s="35"/>
      <c r="BCW363" s="35"/>
      <c r="BCX363" s="34"/>
      <c r="BCY363" s="34"/>
      <c r="BCZ363" s="36"/>
      <c r="BDA363" s="36"/>
      <c r="BDB363" s="37"/>
      <c r="BDC363" s="37"/>
      <c r="BDD363" s="38"/>
      <c r="BDE363" s="38"/>
      <c r="BDF363" s="39"/>
      <c r="BDG363" s="34"/>
      <c r="BDH363" s="34"/>
      <c r="BDI363" s="34"/>
      <c r="BDJ363" s="35"/>
      <c r="BDK363" s="35"/>
      <c r="BDL363" s="35"/>
      <c r="BDM363" s="35"/>
      <c r="BDN363" s="35"/>
      <c r="BDO363" s="34"/>
      <c r="BDP363" s="34"/>
      <c r="BDQ363" s="36"/>
      <c r="BDR363" s="36"/>
      <c r="BDS363" s="37"/>
      <c r="BDT363" s="37"/>
      <c r="BDU363" s="38"/>
      <c r="BDV363" s="38"/>
      <c r="BDW363" s="39"/>
      <c r="BDX363" s="34"/>
      <c r="BDY363" s="34"/>
      <c r="BDZ363" s="34"/>
      <c r="BEA363" s="35"/>
      <c r="BEB363" s="35"/>
      <c r="BEC363" s="35"/>
      <c r="BED363" s="35"/>
      <c r="BEE363" s="35"/>
      <c r="BEF363" s="34"/>
      <c r="BEG363" s="34"/>
      <c r="BEH363" s="36"/>
      <c r="BEI363" s="36"/>
      <c r="BEJ363" s="37"/>
      <c r="BEK363" s="37"/>
      <c r="BEL363" s="38"/>
      <c r="BEM363" s="38"/>
      <c r="BEN363" s="39"/>
      <c r="BEO363" s="34"/>
      <c r="BEP363" s="34"/>
      <c r="BEQ363" s="34"/>
      <c r="BER363" s="35"/>
      <c r="BES363" s="35"/>
      <c r="BET363" s="35"/>
      <c r="BEU363" s="35"/>
      <c r="BEV363" s="35"/>
      <c r="BEW363" s="34"/>
      <c r="BEX363" s="34"/>
      <c r="BEY363" s="36"/>
      <c r="BEZ363" s="36"/>
      <c r="BFA363" s="37"/>
      <c r="BFB363" s="37"/>
      <c r="BFC363" s="38"/>
      <c r="BFD363" s="38"/>
      <c r="BFE363" s="39"/>
      <c r="BFF363" s="34"/>
      <c r="BFG363" s="34"/>
      <c r="BFH363" s="34"/>
      <c r="BFI363" s="35"/>
      <c r="BFJ363" s="35"/>
      <c r="BFK363" s="35"/>
      <c r="BFL363" s="35"/>
      <c r="BFM363" s="35"/>
      <c r="BFN363" s="34"/>
      <c r="BFO363" s="34"/>
      <c r="BFP363" s="36"/>
      <c r="BFQ363" s="36"/>
      <c r="BFR363" s="37"/>
      <c r="BFS363" s="37"/>
      <c r="BFT363" s="38"/>
      <c r="BFU363" s="38"/>
      <c r="BFV363" s="39"/>
      <c r="BFW363" s="34"/>
      <c r="BFX363" s="34"/>
      <c r="BFY363" s="34"/>
      <c r="BFZ363" s="35"/>
      <c r="BGA363" s="35"/>
      <c r="BGB363" s="35"/>
      <c r="BGC363" s="35"/>
      <c r="BGD363" s="35"/>
      <c r="BGE363" s="34"/>
      <c r="BGF363" s="34"/>
      <c r="BGG363" s="36"/>
      <c r="BGH363" s="36"/>
      <c r="BGI363" s="37"/>
      <c r="BGJ363" s="37"/>
      <c r="BGK363" s="38"/>
      <c r="BGL363" s="38"/>
      <c r="BGM363" s="39"/>
      <c r="BGN363" s="34"/>
      <c r="BGO363" s="34"/>
      <c r="BGP363" s="34"/>
      <c r="BGQ363" s="35"/>
      <c r="BGR363" s="35"/>
      <c r="BGS363" s="35"/>
      <c r="BGT363" s="35"/>
      <c r="BGU363" s="35"/>
      <c r="BGV363" s="34"/>
      <c r="BGW363" s="34"/>
      <c r="BGX363" s="36"/>
      <c r="BGY363" s="36"/>
      <c r="BGZ363" s="37"/>
      <c r="BHA363" s="37"/>
      <c r="BHB363" s="38"/>
      <c r="BHC363" s="38"/>
      <c r="BHD363" s="39"/>
      <c r="BHE363" s="34"/>
      <c r="BHF363" s="34"/>
      <c r="BHG363" s="34"/>
      <c r="BHH363" s="35"/>
      <c r="BHI363" s="35"/>
      <c r="BHJ363" s="35"/>
      <c r="BHK363" s="35"/>
      <c r="BHL363" s="35"/>
      <c r="BHM363" s="34"/>
      <c r="BHN363" s="34"/>
      <c r="BHO363" s="36"/>
      <c r="BHP363" s="36"/>
      <c r="BHQ363" s="37"/>
      <c r="BHR363" s="37"/>
      <c r="BHS363" s="38"/>
      <c r="BHT363" s="38"/>
      <c r="BHU363" s="39"/>
      <c r="BHV363" s="34"/>
      <c r="BHW363" s="34"/>
      <c r="BHX363" s="34"/>
      <c r="BHY363" s="35"/>
      <c r="BHZ363" s="35"/>
      <c r="BIA363" s="35"/>
      <c r="BIB363" s="35"/>
      <c r="BIC363" s="35"/>
      <c r="BID363" s="34"/>
      <c r="BIE363" s="34"/>
      <c r="BIF363" s="36"/>
      <c r="BIG363" s="36"/>
      <c r="BIH363" s="37"/>
      <c r="BII363" s="37"/>
      <c r="BIJ363" s="38"/>
      <c r="BIK363" s="38"/>
      <c r="BIL363" s="39"/>
      <c r="BIM363" s="34"/>
      <c r="BIN363" s="34"/>
      <c r="BIO363" s="34"/>
      <c r="BIP363" s="35"/>
      <c r="BIQ363" s="35"/>
      <c r="BIR363" s="35"/>
      <c r="BIS363" s="35"/>
      <c r="BIT363" s="35"/>
      <c r="BIU363" s="34"/>
      <c r="BIV363" s="34"/>
      <c r="BIW363" s="36"/>
      <c r="BIX363" s="36"/>
      <c r="BIY363" s="37"/>
      <c r="BIZ363" s="37"/>
      <c r="BJA363" s="38"/>
      <c r="BJB363" s="38"/>
      <c r="BJC363" s="39"/>
      <c r="BJD363" s="34"/>
      <c r="BJE363" s="34"/>
      <c r="BJF363" s="34"/>
      <c r="BJG363" s="35"/>
      <c r="BJH363" s="35"/>
      <c r="BJI363" s="35"/>
      <c r="BJJ363" s="35"/>
      <c r="BJK363" s="35"/>
      <c r="BJL363" s="34"/>
      <c r="BJM363" s="34"/>
      <c r="BJN363" s="36"/>
      <c r="BJO363" s="36"/>
      <c r="BJP363" s="37"/>
      <c r="BJQ363" s="37"/>
      <c r="BJR363" s="38"/>
      <c r="BJS363" s="38"/>
      <c r="BJT363" s="39"/>
      <c r="BJU363" s="34"/>
      <c r="BJV363" s="34"/>
      <c r="BJW363" s="34"/>
      <c r="BJX363" s="35"/>
      <c r="BJY363" s="35"/>
      <c r="BJZ363" s="35"/>
      <c r="BKA363" s="35"/>
      <c r="BKB363" s="35"/>
      <c r="BKC363" s="34"/>
      <c r="BKD363" s="34"/>
      <c r="BKE363" s="36"/>
      <c r="BKF363" s="36"/>
      <c r="BKG363" s="37"/>
      <c r="BKH363" s="37"/>
      <c r="BKI363" s="38"/>
      <c r="BKJ363" s="38"/>
      <c r="BKK363" s="39"/>
      <c r="BKL363" s="34"/>
      <c r="BKM363" s="34"/>
      <c r="BKN363" s="34"/>
      <c r="BKO363" s="35"/>
      <c r="BKP363" s="35"/>
      <c r="BKQ363" s="35"/>
      <c r="BKR363" s="35"/>
      <c r="BKS363" s="35"/>
      <c r="BKT363" s="34"/>
      <c r="BKU363" s="34"/>
      <c r="BKV363" s="36"/>
      <c r="BKW363" s="36"/>
      <c r="BKX363" s="37"/>
      <c r="BKY363" s="37"/>
      <c r="BKZ363" s="38"/>
      <c r="BLA363" s="38"/>
      <c r="BLB363" s="39"/>
      <c r="BLC363" s="34"/>
      <c r="BLD363" s="34"/>
      <c r="BLE363" s="34"/>
      <c r="BLF363" s="35"/>
      <c r="BLG363" s="35"/>
      <c r="BLH363" s="35"/>
      <c r="BLI363" s="35"/>
      <c r="BLJ363" s="35"/>
      <c r="BLK363" s="34"/>
      <c r="BLL363" s="34"/>
      <c r="BLM363" s="36"/>
      <c r="BLN363" s="36"/>
      <c r="BLO363" s="37"/>
      <c r="BLP363" s="37"/>
      <c r="BLQ363" s="38"/>
      <c r="BLR363" s="38"/>
      <c r="BLS363" s="39"/>
      <c r="BLT363" s="34"/>
      <c r="BLU363" s="34"/>
      <c r="BLV363" s="34"/>
      <c r="BLW363" s="35"/>
      <c r="BLX363" s="35"/>
      <c r="BLY363" s="35"/>
      <c r="BLZ363" s="35"/>
      <c r="BMA363" s="35"/>
      <c r="BMB363" s="34"/>
      <c r="BMC363" s="34"/>
      <c r="BMD363" s="36"/>
      <c r="BME363" s="36"/>
      <c r="BMF363" s="37"/>
      <c r="BMG363" s="37"/>
      <c r="BMH363" s="38"/>
      <c r="BMI363" s="38"/>
      <c r="BMJ363" s="39"/>
      <c r="BMK363" s="34"/>
      <c r="BML363" s="34"/>
      <c r="BMM363" s="34"/>
      <c r="BMN363" s="35"/>
      <c r="BMO363" s="35"/>
      <c r="BMP363" s="35"/>
      <c r="BMQ363" s="35"/>
      <c r="BMR363" s="35"/>
      <c r="BMS363" s="34"/>
      <c r="BMT363" s="34"/>
      <c r="BMU363" s="36"/>
      <c r="BMV363" s="36"/>
      <c r="BMW363" s="37"/>
      <c r="BMX363" s="37"/>
      <c r="BMY363" s="38"/>
      <c r="BMZ363" s="38"/>
      <c r="BNA363" s="39"/>
      <c r="BNB363" s="34"/>
      <c r="BNC363" s="34"/>
      <c r="BND363" s="34"/>
      <c r="BNE363" s="35"/>
      <c r="BNF363" s="35"/>
      <c r="BNG363" s="35"/>
      <c r="BNH363" s="35"/>
      <c r="BNI363" s="35"/>
      <c r="BNJ363" s="34"/>
      <c r="BNK363" s="34"/>
      <c r="BNL363" s="36"/>
      <c r="BNM363" s="36"/>
      <c r="BNN363" s="37"/>
      <c r="BNO363" s="37"/>
      <c r="BNP363" s="38"/>
      <c r="BNQ363" s="38"/>
      <c r="BNR363" s="39"/>
      <c r="BNS363" s="34"/>
      <c r="BNT363" s="34"/>
      <c r="BNU363" s="34"/>
      <c r="BNV363" s="35"/>
      <c r="BNW363" s="35"/>
      <c r="BNX363" s="35"/>
      <c r="BNY363" s="35"/>
      <c r="BNZ363" s="35"/>
      <c r="BOA363" s="34"/>
      <c r="BOB363" s="34"/>
      <c r="BOC363" s="36"/>
      <c r="BOD363" s="36"/>
      <c r="BOE363" s="37"/>
      <c r="BOF363" s="37"/>
      <c r="BOG363" s="38"/>
      <c r="BOH363" s="38"/>
      <c r="BOI363" s="39"/>
      <c r="BOJ363" s="34"/>
      <c r="BOK363" s="34"/>
      <c r="BOL363" s="34"/>
      <c r="BOM363" s="35"/>
      <c r="BON363" s="35"/>
      <c r="BOO363" s="35"/>
      <c r="BOP363" s="35"/>
      <c r="BOQ363" s="35"/>
      <c r="BOR363" s="34"/>
      <c r="BOS363" s="34"/>
      <c r="BOT363" s="36"/>
      <c r="BOU363" s="36"/>
      <c r="BOV363" s="37"/>
      <c r="BOW363" s="37"/>
      <c r="BOX363" s="38"/>
      <c r="BOY363" s="38"/>
      <c r="BOZ363" s="39"/>
      <c r="BPA363" s="34"/>
      <c r="BPB363" s="34"/>
      <c r="BPC363" s="34"/>
      <c r="BPD363" s="35"/>
      <c r="BPE363" s="35"/>
      <c r="BPF363" s="35"/>
      <c r="BPG363" s="35"/>
      <c r="BPH363" s="35"/>
      <c r="BPI363" s="34"/>
      <c r="BPJ363" s="34"/>
      <c r="BPK363" s="36"/>
      <c r="BPL363" s="36"/>
      <c r="BPM363" s="37"/>
      <c r="BPN363" s="37"/>
      <c r="BPO363" s="38"/>
      <c r="BPP363" s="38"/>
      <c r="BPQ363" s="39"/>
      <c r="BPR363" s="34"/>
      <c r="BPS363" s="34"/>
      <c r="BPT363" s="34"/>
      <c r="BPU363" s="35"/>
      <c r="BPV363" s="35"/>
      <c r="BPW363" s="35"/>
      <c r="BPX363" s="35"/>
      <c r="BPY363" s="35"/>
      <c r="BPZ363" s="34"/>
      <c r="BQA363" s="34"/>
      <c r="BQB363" s="36"/>
      <c r="BQC363" s="36"/>
      <c r="BQD363" s="37"/>
      <c r="BQE363" s="37"/>
      <c r="BQF363" s="38"/>
      <c r="BQG363" s="38"/>
      <c r="BQH363" s="39"/>
      <c r="BQI363" s="34"/>
      <c r="BQJ363" s="34"/>
      <c r="BQK363" s="34"/>
      <c r="BQL363" s="35"/>
      <c r="BQM363" s="35"/>
      <c r="BQN363" s="35"/>
      <c r="BQO363" s="35"/>
      <c r="BQP363" s="35"/>
      <c r="BQQ363" s="34"/>
      <c r="BQR363" s="34"/>
      <c r="BQS363" s="36"/>
      <c r="BQT363" s="36"/>
      <c r="BQU363" s="37"/>
      <c r="BQV363" s="37"/>
      <c r="BQW363" s="38"/>
      <c r="BQX363" s="38"/>
      <c r="BQY363" s="39"/>
      <c r="BQZ363" s="34"/>
      <c r="BRA363" s="34"/>
      <c r="BRB363" s="34"/>
      <c r="BRC363" s="35"/>
      <c r="BRD363" s="35"/>
      <c r="BRE363" s="35"/>
      <c r="BRF363" s="35"/>
      <c r="BRG363" s="35"/>
      <c r="BRH363" s="34"/>
      <c r="BRI363" s="34"/>
      <c r="BRJ363" s="36"/>
      <c r="BRK363" s="36"/>
      <c r="BRL363" s="37"/>
      <c r="BRM363" s="37"/>
      <c r="BRN363" s="38"/>
      <c r="BRO363" s="38"/>
      <c r="BRP363" s="39"/>
      <c r="BRQ363" s="34"/>
      <c r="BRR363" s="34"/>
      <c r="BRS363" s="34"/>
      <c r="BRT363" s="35"/>
      <c r="BRU363" s="35"/>
      <c r="BRV363" s="35"/>
      <c r="BRW363" s="35"/>
      <c r="BRX363" s="35"/>
      <c r="BRY363" s="34"/>
      <c r="BRZ363" s="34"/>
      <c r="BSA363" s="36"/>
      <c r="BSB363" s="36"/>
      <c r="BSC363" s="37"/>
      <c r="BSD363" s="37"/>
      <c r="BSE363" s="38"/>
      <c r="BSF363" s="38"/>
      <c r="BSG363" s="39"/>
      <c r="BSH363" s="34"/>
      <c r="BSI363" s="34"/>
      <c r="BSJ363" s="34"/>
      <c r="BSK363" s="35"/>
      <c r="BSL363" s="35"/>
      <c r="BSM363" s="35"/>
      <c r="BSN363" s="35"/>
      <c r="BSO363" s="35"/>
      <c r="BSP363" s="34"/>
      <c r="BSQ363" s="34"/>
      <c r="BSR363" s="36"/>
      <c r="BSS363" s="36"/>
      <c r="BST363" s="37"/>
      <c r="BSU363" s="37"/>
      <c r="BSV363" s="38"/>
      <c r="BSW363" s="38"/>
      <c r="BSX363" s="39"/>
      <c r="BSY363" s="34"/>
      <c r="BSZ363" s="34"/>
      <c r="BTA363" s="34"/>
      <c r="BTB363" s="35"/>
      <c r="BTC363" s="35"/>
      <c r="BTD363" s="35"/>
      <c r="BTE363" s="35"/>
      <c r="BTF363" s="35"/>
      <c r="BTG363" s="34"/>
      <c r="BTH363" s="34"/>
      <c r="BTI363" s="36"/>
      <c r="BTJ363" s="36"/>
      <c r="BTK363" s="37"/>
      <c r="BTL363" s="37"/>
      <c r="BTM363" s="38"/>
      <c r="BTN363" s="38"/>
      <c r="BTO363" s="39"/>
      <c r="BTP363" s="34"/>
      <c r="BTQ363" s="34"/>
      <c r="BTR363" s="34"/>
      <c r="BTS363" s="35"/>
      <c r="BTT363" s="35"/>
      <c r="BTU363" s="35"/>
      <c r="BTV363" s="35"/>
      <c r="BTW363" s="35"/>
      <c r="BTX363" s="34"/>
      <c r="BTY363" s="34"/>
      <c r="BTZ363" s="36"/>
      <c r="BUA363" s="36"/>
      <c r="BUB363" s="37"/>
      <c r="BUC363" s="37"/>
      <c r="BUD363" s="38"/>
      <c r="BUE363" s="38"/>
      <c r="BUF363" s="39"/>
      <c r="BUG363" s="34"/>
      <c r="BUH363" s="34"/>
      <c r="BUI363" s="34"/>
      <c r="BUJ363" s="35"/>
      <c r="BUK363" s="35"/>
      <c r="BUL363" s="35"/>
      <c r="BUM363" s="35"/>
      <c r="BUN363" s="35"/>
      <c r="BUO363" s="34"/>
      <c r="BUP363" s="34"/>
      <c r="BUQ363" s="36"/>
      <c r="BUR363" s="36"/>
      <c r="BUS363" s="37"/>
      <c r="BUT363" s="37"/>
      <c r="BUU363" s="38"/>
      <c r="BUV363" s="38"/>
      <c r="BUW363" s="39"/>
      <c r="BUX363" s="34"/>
      <c r="BUY363" s="34"/>
      <c r="BUZ363" s="34"/>
      <c r="BVA363" s="35"/>
      <c r="BVB363" s="35"/>
      <c r="BVC363" s="35"/>
      <c r="BVD363" s="35"/>
      <c r="BVE363" s="35"/>
      <c r="BVF363" s="34"/>
      <c r="BVG363" s="34"/>
      <c r="BVH363" s="36"/>
      <c r="BVI363" s="36"/>
      <c r="BVJ363" s="37"/>
      <c r="BVK363" s="37"/>
      <c r="BVL363" s="38"/>
      <c r="BVM363" s="38"/>
      <c r="BVN363" s="39"/>
      <c r="BVO363" s="34"/>
      <c r="BVP363" s="34"/>
      <c r="BVQ363" s="34"/>
      <c r="BVR363" s="35"/>
      <c r="BVS363" s="35"/>
      <c r="BVT363" s="35"/>
      <c r="BVU363" s="35"/>
      <c r="BVV363" s="35"/>
      <c r="BVW363" s="34"/>
      <c r="BVX363" s="34"/>
      <c r="BVY363" s="36"/>
      <c r="BVZ363" s="36"/>
      <c r="BWA363" s="37"/>
      <c r="BWB363" s="37"/>
      <c r="BWC363" s="38"/>
      <c r="BWD363" s="38"/>
      <c r="BWE363" s="39"/>
      <c r="BWF363" s="34"/>
      <c r="BWG363" s="34"/>
      <c r="BWH363" s="34"/>
      <c r="BWI363" s="35"/>
      <c r="BWJ363" s="35"/>
      <c r="BWK363" s="35"/>
      <c r="BWL363" s="35"/>
      <c r="BWM363" s="35"/>
      <c r="BWN363" s="34"/>
      <c r="BWO363" s="34"/>
      <c r="BWP363" s="36"/>
      <c r="BWQ363" s="36"/>
      <c r="BWR363" s="37"/>
      <c r="BWS363" s="37"/>
      <c r="BWT363" s="38"/>
      <c r="BWU363" s="38"/>
      <c r="BWV363" s="39"/>
      <c r="BWW363" s="34"/>
      <c r="BWX363" s="34"/>
      <c r="BWY363" s="34"/>
      <c r="BWZ363" s="35"/>
      <c r="BXA363" s="35"/>
      <c r="BXB363" s="35"/>
      <c r="BXC363" s="35"/>
      <c r="BXD363" s="35"/>
      <c r="BXE363" s="34"/>
      <c r="BXF363" s="34"/>
      <c r="BXG363" s="36"/>
      <c r="BXH363" s="36"/>
      <c r="BXI363" s="37"/>
      <c r="BXJ363" s="37"/>
      <c r="BXK363" s="38"/>
      <c r="BXL363" s="38"/>
      <c r="BXM363" s="39"/>
      <c r="BXN363" s="34"/>
      <c r="BXO363" s="34"/>
      <c r="BXP363" s="34"/>
      <c r="BXQ363" s="35"/>
      <c r="BXR363" s="35"/>
      <c r="BXS363" s="35"/>
      <c r="BXT363" s="35"/>
      <c r="BXU363" s="35"/>
      <c r="BXV363" s="34"/>
      <c r="BXW363" s="34"/>
      <c r="BXX363" s="36"/>
      <c r="BXY363" s="36"/>
      <c r="BXZ363" s="37"/>
      <c r="BYA363" s="37"/>
      <c r="BYB363" s="38"/>
      <c r="BYC363" s="38"/>
      <c r="BYD363" s="39"/>
      <c r="BYE363" s="34"/>
      <c r="BYF363" s="34"/>
      <c r="BYG363" s="34"/>
      <c r="BYH363" s="35"/>
      <c r="BYI363" s="35"/>
      <c r="BYJ363" s="35"/>
      <c r="BYK363" s="35"/>
      <c r="BYL363" s="35"/>
      <c r="BYM363" s="34"/>
      <c r="BYN363" s="34"/>
      <c r="BYO363" s="36"/>
      <c r="BYP363" s="36"/>
      <c r="BYQ363" s="37"/>
      <c r="BYR363" s="37"/>
      <c r="BYS363" s="38"/>
      <c r="BYT363" s="38"/>
      <c r="BYU363" s="39"/>
      <c r="BYV363" s="34"/>
      <c r="BYW363" s="34"/>
      <c r="BYX363" s="34"/>
      <c r="BYY363" s="35"/>
      <c r="BYZ363" s="35"/>
      <c r="BZA363" s="35"/>
      <c r="BZB363" s="35"/>
      <c r="BZC363" s="35"/>
      <c r="BZD363" s="34"/>
      <c r="BZE363" s="34"/>
      <c r="BZF363" s="36"/>
      <c r="BZG363" s="36"/>
      <c r="BZH363" s="37"/>
      <c r="BZI363" s="37"/>
      <c r="BZJ363" s="38"/>
      <c r="BZK363" s="38"/>
      <c r="BZL363" s="39"/>
      <c r="BZM363" s="34"/>
      <c r="BZN363" s="34"/>
      <c r="BZO363" s="34"/>
      <c r="BZP363" s="35"/>
      <c r="BZQ363" s="35"/>
      <c r="BZR363" s="35"/>
      <c r="BZS363" s="35"/>
      <c r="BZT363" s="35"/>
      <c r="BZU363" s="34"/>
      <c r="BZV363" s="34"/>
      <c r="BZW363" s="36"/>
      <c r="BZX363" s="36"/>
      <c r="BZY363" s="37"/>
      <c r="BZZ363" s="37"/>
      <c r="CAA363" s="38"/>
      <c r="CAB363" s="38"/>
      <c r="CAC363" s="39"/>
      <c r="CAD363" s="34"/>
      <c r="CAE363" s="34"/>
      <c r="CAF363" s="34"/>
      <c r="CAG363" s="35"/>
      <c r="CAH363" s="35"/>
      <c r="CAI363" s="35"/>
      <c r="CAJ363" s="35"/>
      <c r="CAK363" s="35"/>
      <c r="CAL363" s="34"/>
      <c r="CAM363" s="34"/>
      <c r="CAN363" s="36"/>
      <c r="CAO363" s="36"/>
      <c r="CAP363" s="37"/>
      <c r="CAQ363" s="37"/>
      <c r="CAR363" s="38"/>
      <c r="CAS363" s="38"/>
      <c r="CAT363" s="39"/>
      <c r="CAU363" s="34"/>
      <c r="CAV363" s="34"/>
      <c r="CAW363" s="34"/>
      <c r="CAX363" s="35"/>
      <c r="CAY363" s="35"/>
      <c r="CAZ363" s="35"/>
      <c r="CBA363" s="35"/>
      <c r="CBB363" s="35"/>
      <c r="CBC363" s="34"/>
      <c r="CBD363" s="34"/>
      <c r="CBE363" s="36"/>
      <c r="CBF363" s="36"/>
      <c r="CBG363" s="37"/>
      <c r="CBH363" s="37"/>
      <c r="CBI363" s="38"/>
      <c r="CBJ363" s="38"/>
      <c r="CBK363" s="39"/>
      <c r="CBL363" s="34"/>
      <c r="CBM363" s="34"/>
      <c r="CBN363" s="34"/>
      <c r="CBO363" s="35"/>
      <c r="CBP363" s="35"/>
      <c r="CBQ363" s="35"/>
      <c r="CBR363" s="35"/>
      <c r="CBS363" s="35"/>
      <c r="CBT363" s="34"/>
      <c r="CBU363" s="34"/>
      <c r="CBV363" s="36"/>
      <c r="CBW363" s="36"/>
      <c r="CBX363" s="37"/>
      <c r="CBY363" s="37"/>
      <c r="CBZ363" s="38"/>
      <c r="CCA363" s="38"/>
      <c r="CCB363" s="39"/>
      <c r="CCC363" s="34"/>
      <c r="CCD363" s="34"/>
      <c r="CCE363" s="34"/>
      <c r="CCF363" s="35"/>
      <c r="CCG363" s="35"/>
      <c r="CCH363" s="35"/>
      <c r="CCI363" s="35"/>
      <c r="CCJ363" s="35"/>
      <c r="CCK363" s="34"/>
      <c r="CCL363" s="34"/>
      <c r="CCM363" s="36"/>
      <c r="CCN363" s="36"/>
      <c r="CCO363" s="37"/>
      <c r="CCP363" s="37"/>
      <c r="CCQ363" s="38"/>
      <c r="CCR363" s="38"/>
      <c r="CCS363" s="39"/>
      <c r="CCT363" s="34"/>
      <c r="CCU363" s="34"/>
      <c r="CCV363" s="34"/>
      <c r="CCW363" s="35"/>
      <c r="CCX363" s="35"/>
      <c r="CCY363" s="35"/>
      <c r="CCZ363" s="35"/>
      <c r="CDA363" s="35"/>
      <c r="CDB363" s="34"/>
      <c r="CDC363" s="34"/>
      <c r="CDD363" s="36"/>
      <c r="CDE363" s="36"/>
      <c r="CDF363" s="37"/>
      <c r="CDG363" s="37"/>
      <c r="CDH363" s="38"/>
      <c r="CDI363" s="38"/>
      <c r="CDJ363" s="39"/>
      <c r="CDK363" s="34"/>
      <c r="CDL363" s="34"/>
      <c r="CDM363" s="34"/>
      <c r="CDN363" s="35"/>
      <c r="CDO363" s="35"/>
      <c r="CDP363" s="35"/>
      <c r="CDQ363" s="35"/>
      <c r="CDR363" s="35"/>
      <c r="CDS363" s="34"/>
      <c r="CDT363" s="34"/>
      <c r="CDU363" s="36"/>
      <c r="CDV363" s="36"/>
      <c r="CDW363" s="37"/>
      <c r="CDX363" s="37"/>
      <c r="CDY363" s="38"/>
      <c r="CDZ363" s="38"/>
      <c r="CEA363" s="39"/>
      <c r="CEB363" s="34"/>
      <c r="CEC363" s="34"/>
      <c r="CED363" s="34"/>
      <c r="CEE363" s="35"/>
      <c r="CEF363" s="35"/>
      <c r="CEG363" s="35"/>
      <c r="CEH363" s="35"/>
      <c r="CEI363" s="35"/>
      <c r="CEJ363" s="34"/>
      <c r="CEK363" s="34"/>
      <c r="CEL363" s="36"/>
      <c r="CEM363" s="36"/>
      <c r="CEN363" s="37"/>
      <c r="CEO363" s="37"/>
      <c r="CEP363" s="38"/>
      <c r="CEQ363" s="38"/>
      <c r="CER363" s="39"/>
      <c r="CES363" s="34"/>
      <c r="CET363" s="34"/>
      <c r="CEU363" s="34"/>
      <c r="CEV363" s="35"/>
      <c r="CEW363" s="35"/>
      <c r="CEX363" s="35"/>
      <c r="CEY363" s="35"/>
      <c r="CEZ363" s="35"/>
      <c r="CFA363" s="34"/>
      <c r="CFB363" s="34"/>
      <c r="CFC363" s="36"/>
      <c r="CFD363" s="36"/>
      <c r="CFE363" s="37"/>
      <c r="CFF363" s="37"/>
      <c r="CFG363" s="38"/>
      <c r="CFH363" s="38"/>
      <c r="CFI363" s="39"/>
      <c r="CFJ363" s="34"/>
      <c r="CFK363" s="34"/>
      <c r="CFL363" s="34"/>
      <c r="CFM363" s="35"/>
      <c r="CFN363" s="35"/>
      <c r="CFO363" s="35"/>
      <c r="CFP363" s="35"/>
      <c r="CFQ363" s="35"/>
      <c r="CFR363" s="34"/>
      <c r="CFS363" s="34"/>
      <c r="CFT363" s="36"/>
      <c r="CFU363" s="36"/>
      <c r="CFV363" s="37"/>
      <c r="CFW363" s="37"/>
      <c r="CFX363" s="38"/>
      <c r="CFY363" s="38"/>
      <c r="CFZ363" s="39"/>
      <c r="CGA363" s="34"/>
      <c r="CGB363" s="34"/>
      <c r="CGC363" s="34"/>
      <c r="CGD363" s="35"/>
      <c r="CGE363" s="35"/>
      <c r="CGF363" s="35"/>
      <c r="CGG363" s="35"/>
      <c r="CGH363" s="35"/>
      <c r="CGI363" s="34"/>
      <c r="CGJ363" s="34"/>
      <c r="CGK363" s="36"/>
      <c r="CGL363" s="36"/>
      <c r="CGM363" s="37"/>
      <c r="CGN363" s="37"/>
      <c r="CGO363" s="38"/>
      <c r="CGP363" s="38"/>
      <c r="CGQ363" s="39"/>
      <c r="CGR363" s="34"/>
      <c r="CGS363" s="34"/>
      <c r="CGT363" s="34"/>
      <c r="CGU363" s="35"/>
      <c r="CGV363" s="35"/>
      <c r="CGW363" s="35"/>
      <c r="CGX363" s="35"/>
      <c r="CGY363" s="35"/>
      <c r="CGZ363" s="34"/>
      <c r="CHA363" s="34"/>
      <c r="CHB363" s="36"/>
      <c r="CHC363" s="36"/>
      <c r="CHD363" s="37"/>
      <c r="CHE363" s="37"/>
      <c r="CHF363" s="38"/>
      <c r="CHG363" s="38"/>
      <c r="CHH363" s="39"/>
      <c r="CHI363" s="34"/>
      <c r="CHJ363" s="34"/>
      <c r="CHK363" s="34"/>
      <c r="CHL363" s="35"/>
      <c r="CHM363" s="35"/>
      <c r="CHN363" s="35"/>
      <c r="CHO363" s="35"/>
      <c r="CHP363" s="35"/>
      <c r="CHQ363" s="34"/>
      <c r="CHR363" s="34"/>
      <c r="CHS363" s="36"/>
      <c r="CHT363" s="36"/>
      <c r="CHU363" s="37"/>
      <c r="CHV363" s="37"/>
      <c r="CHW363" s="38"/>
      <c r="CHX363" s="38"/>
      <c r="CHY363" s="39"/>
      <c r="CHZ363" s="34"/>
      <c r="CIA363" s="34"/>
      <c r="CIB363" s="34"/>
      <c r="CIC363" s="35"/>
      <c r="CID363" s="35"/>
      <c r="CIE363" s="35"/>
      <c r="CIF363" s="35"/>
      <c r="CIG363" s="35"/>
      <c r="CIH363" s="34"/>
      <c r="CII363" s="34"/>
      <c r="CIJ363" s="36"/>
      <c r="CIK363" s="36"/>
      <c r="CIL363" s="37"/>
      <c r="CIM363" s="37"/>
      <c r="CIN363" s="38"/>
      <c r="CIO363" s="38"/>
      <c r="CIP363" s="39"/>
      <c r="CIQ363" s="34"/>
      <c r="CIR363" s="34"/>
      <c r="CIS363" s="34"/>
      <c r="CIT363" s="35"/>
      <c r="CIU363" s="35"/>
      <c r="CIV363" s="35"/>
      <c r="CIW363" s="35"/>
      <c r="CIX363" s="35"/>
      <c r="CIY363" s="34"/>
      <c r="CIZ363" s="34"/>
      <c r="CJA363" s="36"/>
      <c r="CJB363" s="36"/>
      <c r="CJC363" s="37"/>
      <c r="CJD363" s="37"/>
      <c r="CJE363" s="38"/>
      <c r="CJF363" s="38"/>
      <c r="CJG363" s="39"/>
      <c r="CJH363" s="34"/>
      <c r="CJI363" s="34"/>
      <c r="CJJ363" s="34"/>
      <c r="CJK363" s="35"/>
      <c r="CJL363" s="35"/>
      <c r="CJM363" s="35"/>
      <c r="CJN363" s="35"/>
      <c r="CJO363" s="35"/>
      <c r="CJP363" s="34"/>
      <c r="CJQ363" s="34"/>
      <c r="CJR363" s="36"/>
      <c r="CJS363" s="36"/>
      <c r="CJT363" s="37"/>
      <c r="CJU363" s="37"/>
      <c r="CJV363" s="38"/>
      <c r="CJW363" s="38"/>
      <c r="CJX363" s="39"/>
      <c r="CJY363" s="34"/>
      <c r="CJZ363" s="34"/>
      <c r="CKA363" s="34"/>
      <c r="CKB363" s="35"/>
      <c r="CKC363" s="35"/>
      <c r="CKD363" s="35"/>
      <c r="CKE363" s="35"/>
      <c r="CKF363" s="35"/>
      <c r="CKG363" s="34"/>
      <c r="CKH363" s="34"/>
      <c r="CKI363" s="36"/>
      <c r="CKJ363" s="36"/>
      <c r="CKK363" s="37"/>
      <c r="CKL363" s="37"/>
      <c r="CKM363" s="38"/>
      <c r="CKN363" s="38"/>
      <c r="CKO363" s="39"/>
      <c r="CKP363" s="34"/>
      <c r="CKQ363" s="34"/>
      <c r="CKR363" s="34"/>
      <c r="CKS363" s="35"/>
      <c r="CKT363" s="35"/>
      <c r="CKU363" s="35"/>
      <c r="CKV363" s="35"/>
      <c r="CKW363" s="35"/>
      <c r="CKX363" s="34"/>
      <c r="CKY363" s="34"/>
      <c r="CKZ363" s="36"/>
      <c r="CLA363" s="36"/>
      <c r="CLB363" s="37"/>
      <c r="CLC363" s="37"/>
      <c r="CLD363" s="38"/>
      <c r="CLE363" s="38"/>
      <c r="CLF363" s="39"/>
      <c r="CLG363" s="34"/>
      <c r="CLH363" s="34"/>
      <c r="CLI363" s="34"/>
      <c r="CLJ363" s="35"/>
      <c r="CLK363" s="35"/>
      <c r="CLL363" s="35"/>
      <c r="CLM363" s="35"/>
      <c r="CLN363" s="35"/>
      <c r="CLO363" s="34"/>
      <c r="CLP363" s="34"/>
      <c r="CLQ363" s="36"/>
      <c r="CLR363" s="36"/>
      <c r="CLS363" s="37"/>
      <c r="CLT363" s="37"/>
      <c r="CLU363" s="38"/>
      <c r="CLV363" s="38"/>
      <c r="CLW363" s="39"/>
      <c r="CLX363" s="34"/>
      <c r="CLY363" s="34"/>
      <c r="CLZ363" s="34"/>
      <c r="CMA363" s="35"/>
      <c r="CMB363" s="35"/>
      <c r="CMC363" s="35"/>
      <c r="CMD363" s="35"/>
      <c r="CME363" s="35"/>
      <c r="CMF363" s="34"/>
      <c r="CMG363" s="34"/>
      <c r="CMH363" s="36"/>
      <c r="CMI363" s="36"/>
      <c r="CMJ363" s="37"/>
      <c r="CMK363" s="37"/>
      <c r="CML363" s="38"/>
      <c r="CMM363" s="38"/>
      <c r="CMN363" s="39"/>
      <c r="CMO363" s="34"/>
      <c r="CMP363" s="34"/>
      <c r="CMQ363" s="34"/>
      <c r="CMR363" s="35"/>
      <c r="CMS363" s="35"/>
      <c r="CMT363" s="35"/>
      <c r="CMU363" s="35"/>
      <c r="CMV363" s="35"/>
      <c r="CMW363" s="34"/>
      <c r="CMX363" s="34"/>
      <c r="CMY363" s="36"/>
      <c r="CMZ363" s="36"/>
      <c r="CNA363" s="37"/>
      <c r="CNB363" s="37"/>
      <c r="CNC363" s="38"/>
      <c r="CND363" s="38"/>
      <c r="CNE363" s="39"/>
      <c r="CNF363" s="34"/>
      <c r="CNG363" s="34"/>
      <c r="CNH363" s="34"/>
      <c r="CNI363" s="35"/>
      <c r="CNJ363" s="35"/>
      <c r="CNK363" s="35"/>
      <c r="CNL363" s="35"/>
      <c r="CNM363" s="35"/>
      <c r="CNN363" s="34"/>
      <c r="CNO363" s="34"/>
      <c r="CNP363" s="36"/>
      <c r="CNQ363" s="36"/>
      <c r="CNR363" s="37"/>
      <c r="CNS363" s="37"/>
      <c r="CNT363" s="38"/>
      <c r="CNU363" s="38"/>
      <c r="CNV363" s="39"/>
      <c r="CNW363" s="34"/>
      <c r="CNX363" s="34"/>
      <c r="CNY363" s="34"/>
      <c r="CNZ363" s="35"/>
      <c r="COA363" s="35"/>
      <c r="COB363" s="35"/>
      <c r="COC363" s="35"/>
      <c r="COD363" s="35"/>
      <c r="COE363" s="34"/>
      <c r="COF363" s="34"/>
      <c r="COG363" s="36"/>
      <c r="COH363" s="36"/>
      <c r="COI363" s="37"/>
      <c r="COJ363" s="37"/>
      <c r="COK363" s="38"/>
      <c r="COL363" s="38"/>
      <c r="COM363" s="39"/>
      <c r="CON363" s="34"/>
      <c r="COO363" s="34"/>
      <c r="COP363" s="34"/>
      <c r="COQ363" s="35"/>
      <c r="COR363" s="35"/>
      <c r="COS363" s="35"/>
      <c r="COT363" s="35"/>
      <c r="COU363" s="35"/>
      <c r="COV363" s="34"/>
      <c r="COW363" s="34"/>
      <c r="COX363" s="36"/>
      <c r="COY363" s="36"/>
      <c r="COZ363" s="37"/>
      <c r="CPA363" s="37"/>
      <c r="CPB363" s="38"/>
      <c r="CPC363" s="38"/>
      <c r="CPD363" s="39"/>
      <c r="CPE363" s="34"/>
      <c r="CPF363" s="34"/>
      <c r="CPG363" s="34"/>
      <c r="CPH363" s="35"/>
      <c r="CPI363" s="35"/>
      <c r="CPJ363" s="35"/>
      <c r="CPK363" s="35"/>
      <c r="CPL363" s="35"/>
      <c r="CPM363" s="34"/>
      <c r="CPN363" s="34"/>
      <c r="CPO363" s="36"/>
      <c r="CPP363" s="36"/>
      <c r="CPQ363" s="37"/>
      <c r="CPR363" s="37"/>
      <c r="CPS363" s="38"/>
      <c r="CPT363" s="38"/>
      <c r="CPU363" s="39"/>
      <c r="CPV363" s="34"/>
      <c r="CPW363" s="34"/>
      <c r="CPX363" s="34"/>
      <c r="CPY363" s="35"/>
      <c r="CPZ363" s="35"/>
      <c r="CQA363" s="35"/>
      <c r="CQB363" s="35"/>
      <c r="CQC363" s="35"/>
      <c r="CQD363" s="34"/>
      <c r="CQE363" s="34"/>
      <c r="CQF363" s="36"/>
      <c r="CQG363" s="36"/>
      <c r="CQH363" s="37"/>
      <c r="CQI363" s="37"/>
      <c r="CQJ363" s="38"/>
      <c r="CQK363" s="38"/>
      <c r="CQL363" s="39"/>
      <c r="CQM363" s="34"/>
      <c r="CQN363" s="34"/>
      <c r="CQO363" s="34"/>
      <c r="CQP363" s="35"/>
      <c r="CQQ363" s="35"/>
      <c r="CQR363" s="35"/>
      <c r="CQS363" s="35"/>
      <c r="CQT363" s="35"/>
      <c r="CQU363" s="34"/>
      <c r="CQV363" s="34"/>
      <c r="CQW363" s="36"/>
      <c r="CQX363" s="36"/>
      <c r="CQY363" s="37"/>
      <c r="CQZ363" s="37"/>
      <c r="CRA363" s="38"/>
      <c r="CRB363" s="38"/>
      <c r="CRC363" s="39"/>
      <c r="CRD363" s="34"/>
      <c r="CRE363" s="34"/>
      <c r="CRF363" s="34"/>
      <c r="CRG363" s="35"/>
      <c r="CRH363" s="35"/>
      <c r="CRI363" s="35"/>
      <c r="CRJ363" s="35"/>
      <c r="CRK363" s="35"/>
      <c r="CRL363" s="34"/>
      <c r="CRM363" s="34"/>
      <c r="CRN363" s="36"/>
      <c r="CRO363" s="36"/>
      <c r="CRP363" s="37"/>
      <c r="CRQ363" s="37"/>
      <c r="CRR363" s="38"/>
      <c r="CRS363" s="38"/>
      <c r="CRT363" s="39"/>
      <c r="CRU363" s="34"/>
      <c r="CRV363" s="34"/>
      <c r="CRW363" s="34"/>
      <c r="CRX363" s="35"/>
      <c r="CRY363" s="35"/>
      <c r="CRZ363" s="35"/>
      <c r="CSA363" s="35"/>
      <c r="CSB363" s="35"/>
      <c r="CSC363" s="34"/>
      <c r="CSD363" s="34"/>
      <c r="CSE363" s="36"/>
      <c r="CSF363" s="36"/>
      <c r="CSG363" s="37"/>
      <c r="CSH363" s="37"/>
      <c r="CSI363" s="38"/>
      <c r="CSJ363" s="38"/>
      <c r="CSK363" s="39"/>
      <c r="CSL363" s="34"/>
      <c r="CSM363" s="34"/>
      <c r="CSN363" s="34"/>
      <c r="CSO363" s="35"/>
      <c r="CSP363" s="35"/>
      <c r="CSQ363" s="35"/>
      <c r="CSR363" s="35"/>
      <c r="CSS363" s="35"/>
      <c r="CST363" s="34"/>
      <c r="CSU363" s="34"/>
      <c r="CSV363" s="36"/>
      <c r="CSW363" s="36"/>
      <c r="CSX363" s="37"/>
      <c r="CSY363" s="37"/>
      <c r="CSZ363" s="38"/>
      <c r="CTA363" s="38"/>
      <c r="CTB363" s="39"/>
      <c r="CTC363" s="34"/>
      <c r="CTD363" s="34"/>
      <c r="CTE363" s="34"/>
      <c r="CTF363" s="35"/>
      <c r="CTG363" s="35"/>
      <c r="CTH363" s="35"/>
      <c r="CTI363" s="35"/>
      <c r="CTJ363" s="35"/>
      <c r="CTK363" s="34"/>
      <c r="CTL363" s="34"/>
      <c r="CTM363" s="36"/>
      <c r="CTN363" s="36"/>
      <c r="CTO363" s="37"/>
      <c r="CTP363" s="37"/>
      <c r="CTQ363" s="38"/>
      <c r="CTR363" s="38"/>
      <c r="CTS363" s="39"/>
      <c r="CTT363" s="34"/>
      <c r="CTU363" s="34"/>
      <c r="CTV363" s="34"/>
      <c r="CTW363" s="35"/>
      <c r="CTX363" s="35"/>
      <c r="CTY363" s="35"/>
      <c r="CTZ363" s="35"/>
      <c r="CUA363" s="35"/>
      <c r="CUB363" s="34"/>
      <c r="CUC363" s="34"/>
      <c r="CUD363" s="36"/>
      <c r="CUE363" s="36"/>
      <c r="CUF363" s="37"/>
      <c r="CUG363" s="37"/>
      <c r="CUH363" s="38"/>
      <c r="CUI363" s="38"/>
      <c r="CUJ363" s="39"/>
      <c r="CUK363" s="34"/>
      <c r="CUL363" s="34"/>
      <c r="CUM363" s="34"/>
      <c r="CUN363" s="35"/>
      <c r="CUO363" s="35"/>
      <c r="CUP363" s="35"/>
      <c r="CUQ363" s="35"/>
      <c r="CUR363" s="35"/>
      <c r="CUS363" s="34"/>
      <c r="CUT363" s="34"/>
      <c r="CUU363" s="36"/>
      <c r="CUV363" s="36"/>
      <c r="CUW363" s="37"/>
      <c r="CUX363" s="37"/>
      <c r="CUY363" s="38"/>
      <c r="CUZ363" s="38"/>
      <c r="CVA363" s="39"/>
      <c r="CVB363" s="34"/>
      <c r="CVC363" s="34"/>
      <c r="CVD363" s="34"/>
      <c r="CVE363" s="35"/>
      <c r="CVF363" s="35"/>
      <c r="CVG363" s="35"/>
      <c r="CVH363" s="35"/>
      <c r="CVI363" s="35"/>
      <c r="CVJ363" s="34"/>
      <c r="CVK363" s="34"/>
      <c r="CVL363" s="36"/>
      <c r="CVM363" s="36"/>
      <c r="CVN363" s="37"/>
      <c r="CVO363" s="37"/>
      <c r="CVP363" s="38"/>
      <c r="CVQ363" s="38"/>
      <c r="CVR363" s="39"/>
      <c r="CVS363" s="34"/>
      <c r="CVT363" s="34"/>
      <c r="CVU363" s="34"/>
      <c r="CVV363" s="35"/>
      <c r="CVW363" s="35"/>
      <c r="CVX363" s="35"/>
      <c r="CVY363" s="35"/>
      <c r="CVZ363" s="35"/>
      <c r="CWA363" s="34"/>
      <c r="CWB363" s="34"/>
      <c r="CWC363" s="36"/>
      <c r="CWD363" s="36"/>
      <c r="CWE363" s="37"/>
      <c r="CWF363" s="37"/>
      <c r="CWG363" s="38"/>
      <c r="CWH363" s="38"/>
      <c r="CWI363" s="39"/>
      <c r="CWJ363" s="34"/>
      <c r="CWK363" s="34"/>
      <c r="CWL363" s="34"/>
      <c r="CWM363" s="35"/>
      <c r="CWN363" s="35"/>
      <c r="CWO363" s="35"/>
      <c r="CWP363" s="35"/>
      <c r="CWQ363" s="35"/>
      <c r="CWR363" s="34"/>
      <c r="CWS363" s="34"/>
      <c r="CWT363" s="36"/>
      <c r="CWU363" s="36"/>
      <c r="CWV363" s="37"/>
      <c r="CWW363" s="37"/>
      <c r="CWX363" s="38"/>
      <c r="CWY363" s="38"/>
      <c r="CWZ363" s="39"/>
      <c r="CXA363" s="34"/>
      <c r="CXB363" s="34"/>
      <c r="CXC363" s="34"/>
      <c r="CXD363" s="35"/>
      <c r="CXE363" s="35"/>
      <c r="CXF363" s="35"/>
      <c r="CXG363" s="35"/>
      <c r="CXH363" s="35"/>
      <c r="CXI363" s="34"/>
      <c r="CXJ363" s="34"/>
      <c r="CXK363" s="36"/>
      <c r="CXL363" s="36"/>
      <c r="CXM363" s="37"/>
      <c r="CXN363" s="37"/>
      <c r="CXO363" s="38"/>
      <c r="CXP363" s="38"/>
      <c r="CXQ363" s="39"/>
      <c r="CXR363" s="34"/>
      <c r="CXS363" s="34"/>
      <c r="CXT363" s="34"/>
      <c r="CXU363" s="35"/>
      <c r="CXV363" s="35"/>
      <c r="CXW363" s="35"/>
      <c r="CXX363" s="35"/>
      <c r="CXY363" s="35"/>
      <c r="CXZ363" s="34"/>
      <c r="CYA363" s="34"/>
      <c r="CYB363" s="36"/>
      <c r="CYC363" s="36"/>
      <c r="CYD363" s="37"/>
      <c r="CYE363" s="37"/>
      <c r="CYF363" s="38"/>
      <c r="CYG363" s="38"/>
      <c r="CYH363" s="39"/>
      <c r="CYI363" s="34"/>
      <c r="CYJ363" s="34"/>
      <c r="CYK363" s="34"/>
      <c r="CYL363" s="35"/>
      <c r="CYM363" s="35"/>
      <c r="CYN363" s="35"/>
      <c r="CYO363" s="35"/>
      <c r="CYP363" s="35"/>
      <c r="CYQ363" s="34"/>
      <c r="CYR363" s="34"/>
      <c r="CYS363" s="36"/>
      <c r="CYT363" s="36"/>
      <c r="CYU363" s="37"/>
      <c r="CYV363" s="37"/>
      <c r="CYW363" s="38"/>
      <c r="CYX363" s="38"/>
      <c r="CYY363" s="39"/>
      <c r="CYZ363" s="34"/>
      <c r="CZA363" s="34"/>
      <c r="CZB363" s="34"/>
      <c r="CZC363" s="35"/>
      <c r="CZD363" s="35"/>
      <c r="CZE363" s="35"/>
      <c r="CZF363" s="35"/>
      <c r="CZG363" s="35"/>
      <c r="CZH363" s="34"/>
      <c r="CZI363" s="34"/>
      <c r="CZJ363" s="36"/>
      <c r="CZK363" s="36"/>
      <c r="CZL363" s="37"/>
      <c r="CZM363" s="37"/>
      <c r="CZN363" s="38"/>
      <c r="CZO363" s="38"/>
      <c r="CZP363" s="39"/>
      <c r="CZQ363" s="34"/>
      <c r="CZR363" s="34"/>
      <c r="CZS363" s="34"/>
      <c r="CZT363" s="35"/>
      <c r="CZU363" s="35"/>
      <c r="CZV363" s="35"/>
      <c r="CZW363" s="35"/>
      <c r="CZX363" s="35"/>
      <c r="CZY363" s="34"/>
      <c r="CZZ363" s="34"/>
      <c r="DAA363" s="36"/>
      <c r="DAB363" s="36"/>
      <c r="DAC363" s="37"/>
      <c r="DAD363" s="37"/>
      <c r="DAE363" s="38"/>
      <c r="DAF363" s="38"/>
      <c r="DAG363" s="39"/>
      <c r="DAH363" s="34"/>
      <c r="DAI363" s="34"/>
      <c r="DAJ363" s="34"/>
      <c r="DAK363" s="35"/>
      <c r="DAL363" s="35"/>
      <c r="DAM363" s="35"/>
      <c r="DAN363" s="35"/>
      <c r="DAO363" s="35"/>
      <c r="DAP363" s="34"/>
      <c r="DAQ363" s="34"/>
      <c r="DAR363" s="36"/>
      <c r="DAS363" s="36"/>
      <c r="DAT363" s="37"/>
      <c r="DAU363" s="37"/>
      <c r="DAV363" s="38"/>
      <c r="DAW363" s="38"/>
      <c r="DAX363" s="39"/>
      <c r="DAY363" s="34"/>
      <c r="DAZ363" s="34"/>
      <c r="DBA363" s="34"/>
      <c r="DBB363" s="35"/>
      <c r="DBC363" s="35"/>
      <c r="DBD363" s="35"/>
      <c r="DBE363" s="35"/>
      <c r="DBF363" s="35"/>
      <c r="DBG363" s="34"/>
      <c r="DBH363" s="34"/>
      <c r="DBI363" s="36"/>
      <c r="DBJ363" s="36"/>
      <c r="DBK363" s="37"/>
      <c r="DBL363" s="37"/>
      <c r="DBM363" s="38"/>
      <c r="DBN363" s="38"/>
      <c r="DBO363" s="39"/>
      <c r="DBP363" s="34"/>
      <c r="DBQ363" s="34"/>
      <c r="DBR363" s="34"/>
      <c r="DBS363" s="35"/>
      <c r="DBT363" s="35"/>
      <c r="DBU363" s="35"/>
      <c r="DBV363" s="35"/>
      <c r="DBW363" s="35"/>
      <c r="DBX363" s="34"/>
      <c r="DBY363" s="34"/>
      <c r="DBZ363" s="36"/>
      <c r="DCA363" s="36"/>
      <c r="DCB363" s="37"/>
      <c r="DCC363" s="37"/>
      <c r="DCD363" s="38"/>
      <c r="DCE363" s="38"/>
      <c r="DCF363" s="39"/>
      <c r="DCG363" s="34"/>
      <c r="DCH363" s="34"/>
      <c r="DCI363" s="34"/>
      <c r="DCJ363" s="35"/>
      <c r="DCK363" s="35"/>
      <c r="DCL363" s="35"/>
      <c r="DCM363" s="35"/>
      <c r="DCN363" s="35"/>
      <c r="DCO363" s="34"/>
      <c r="DCP363" s="34"/>
      <c r="DCQ363" s="36"/>
      <c r="DCR363" s="36"/>
      <c r="DCS363" s="37"/>
      <c r="DCT363" s="37"/>
      <c r="DCU363" s="38"/>
      <c r="DCV363" s="38"/>
      <c r="DCW363" s="39"/>
      <c r="DCX363" s="34"/>
      <c r="DCY363" s="34"/>
      <c r="DCZ363" s="34"/>
      <c r="DDA363" s="35"/>
      <c r="DDB363" s="35"/>
      <c r="DDC363" s="35"/>
      <c r="DDD363" s="35"/>
      <c r="DDE363" s="35"/>
      <c r="DDF363" s="34"/>
      <c r="DDG363" s="34"/>
      <c r="DDH363" s="36"/>
      <c r="DDI363" s="36"/>
      <c r="DDJ363" s="37"/>
      <c r="DDK363" s="37"/>
      <c r="DDL363" s="38"/>
      <c r="DDM363" s="38"/>
      <c r="DDN363" s="39"/>
      <c r="DDO363" s="34"/>
      <c r="DDP363" s="34"/>
      <c r="DDQ363" s="34"/>
      <c r="DDR363" s="35"/>
      <c r="DDS363" s="35"/>
      <c r="DDT363" s="35"/>
      <c r="DDU363" s="35"/>
      <c r="DDV363" s="35"/>
      <c r="DDW363" s="34"/>
      <c r="DDX363" s="34"/>
      <c r="DDY363" s="36"/>
      <c r="DDZ363" s="36"/>
      <c r="DEA363" s="37"/>
      <c r="DEB363" s="37"/>
      <c r="DEC363" s="38"/>
      <c r="DED363" s="38"/>
      <c r="DEE363" s="39"/>
      <c r="DEF363" s="34"/>
      <c r="DEG363" s="34"/>
      <c r="DEH363" s="34"/>
      <c r="DEI363" s="35"/>
      <c r="DEJ363" s="35"/>
      <c r="DEK363" s="35"/>
      <c r="DEL363" s="35"/>
      <c r="DEM363" s="35"/>
      <c r="DEN363" s="34"/>
      <c r="DEO363" s="34"/>
      <c r="DEP363" s="36"/>
      <c r="DEQ363" s="36"/>
      <c r="DER363" s="37"/>
      <c r="DES363" s="37"/>
      <c r="DET363" s="38"/>
      <c r="DEU363" s="38"/>
      <c r="DEV363" s="39"/>
      <c r="DEW363" s="34"/>
      <c r="DEX363" s="34"/>
      <c r="DEY363" s="34"/>
      <c r="DEZ363" s="35"/>
      <c r="DFA363" s="35"/>
      <c r="DFB363" s="35"/>
      <c r="DFC363" s="35"/>
      <c r="DFD363" s="35"/>
      <c r="DFE363" s="34"/>
      <c r="DFF363" s="34"/>
      <c r="DFG363" s="36"/>
      <c r="DFH363" s="36"/>
      <c r="DFI363" s="37"/>
      <c r="DFJ363" s="37"/>
      <c r="DFK363" s="38"/>
      <c r="DFL363" s="38"/>
      <c r="DFM363" s="39"/>
      <c r="DFN363" s="34"/>
      <c r="DFO363" s="34"/>
      <c r="DFP363" s="34"/>
      <c r="DFQ363" s="35"/>
      <c r="DFR363" s="35"/>
      <c r="DFS363" s="35"/>
      <c r="DFT363" s="35"/>
      <c r="DFU363" s="35"/>
      <c r="DFV363" s="34"/>
      <c r="DFW363" s="34"/>
      <c r="DFX363" s="36"/>
      <c r="DFY363" s="36"/>
      <c r="DFZ363" s="37"/>
      <c r="DGA363" s="37"/>
      <c r="DGB363" s="38"/>
      <c r="DGC363" s="38"/>
      <c r="DGD363" s="39"/>
      <c r="DGE363" s="34"/>
      <c r="DGF363" s="34"/>
      <c r="DGG363" s="34"/>
      <c r="DGH363" s="35"/>
      <c r="DGI363" s="35"/>
      <c r="DGJ363" s="35"/>
      <c r="DGK363" s="35"/>
      <c r="DGL363" s="35"/>
      <c r="DGM363" s="34"/>
      <c r="DGN363" s="34"/>
      <c r="DGO363" s="36"/>
      <c r="DGP363" s="36"/>
      <c r="DGQ363" s="37"/>
      <c r="DGR363" s="37"/>
      <c r="DGS363" s="38"/>
      <c r="DGT363" s="38"/>
      <c r="DGU363" s="39"/>
      <c r="DGV363" s="34"/>
      <c r="DGW363" s="34"/>
      <c r="DGX363" s="34"/>
      <c r="DGY363" s="35"/>
      <c r="DGZ363" s="35"/>
      <c r="DHA363" s="35"/>
      <c r="DHB363" s="35"/>
      <c r="DHC363" s="35"/>
      <c r="DHD363" s="34"/>
      <c r="DHE363" s="34"/>
      <c r="DHF363" s="36"/>
      <c r="DHG363" s="36"/>
      <c r="DHH363" s="37"/>
      <c r="DHI363" s="37"/>
      <c r="DHJ363" s="38"/>
      <c r="DHK363" s="38"/>
      <c r="DHL363" s="39"/>
      <c r="DHM363" s="34"/>
      <c r="DHN363" s="34"/>
      <c r="DHO363" s="34"/>
      <c r="DHP363" s="35"/>
      <c r="DHQ363" s="35"/>
      <c r="DHR363" s="35"/>
      <c r="DHS363" s="35"/>
      <c r="DHT363" s="35"/>
      <c r="DHU363" s="34"/>
      <c r="DHV363" s="34"/>
      <c r="DHW363" s="36"/>
      <c r="DHX363" s="36"/>
      <c r="DHY363" s="37"/>
      <c r="DHZ363" s="37"/>
      <c r="DIA363" s="38"/>
      <c r="DIB363" s="38"/>
      <c r="DIC363" s="39"/>
      <c r="DID363" s="34"/>
      <c r="DIE363" s="34"/>
      <c r="DIF363" s="34"/>
      <c r="DIG363" s="35"/>
      <c r="DIH363" s="35"/>
      <c r="DII363" s="35"/>
      <c r="DIJ363" s="35"/>
      <c r="DIK363" s="35"/>
      <c r="DIL363" s="34"/>
      <c r="DIM363" s="34"/>
      <c r="DIN363" s="36"/>
      <c r="DIO363" s="36"/>
      <c r="DIP363" s="37"/>
      <c r="DIQ363" s="37"/>
      <c r="DIR363" s="38"/>
      <c r="DIS363" s="38"/>
      <c r="DIT363" s="39"/>
      <c r="DIU363" s="34"/>
      <c r="DIV363" s="34"/>
      <c r="DIW363" s="34"/>
      <c r="DIX363" s="35"/>
      <c r="DIY363" s="35"/>
      <c r="DIZ363" s="35"/>
      <c r="DJA363" s="35"/>
      <c r="DJB363" s="35"/>
      <c r="DJC363" s="34"/>
      <c r="DJD363" s="34"/>
      <c r="DJE363" s="36"/>
      <c r="DJF363" s="36"/>
      <c r="DJG363" s="37"/>
      <c r="DJH363" s="37"/>
      <c r="DJI363" s="38"/>
      <c r="DJJ363" s="38"/>
      <c r="DJK363" s="39"/>
      <c r="DJL363" s="34"/>
      <c r="DJM363" s="34"/>
      <c r="DJN363" s="34"/>
      <c r="DJO363" s="35"/>
      <c r="DJP363" s="35"/>
      <c r="DJQ363" s="35"/>
      <c r="DJR363" s="35"/>
      <c r="DJS363" s="35"/>
      <c r="DJT363" s="34"/>
      <c r="DJU363" s="34"/>
      <c r="DJV363" s="36"/>
      <c r="DJW363" s="36"/>
      <c r="DJX363" s="37"/>
      <c r="DJY363" s="37"/>
      <c r="DJZ363" s="38"/>
      <c r="DKA363" s="38"/>
      <c r="DKB363" s="39"/>
      <c r="DKC363" s="34"/>
      <c r="DKD363" s="34"/>
      <c r="DKE363" s="34"/>
      <c r="DKF363" s="35"/>
      <c r="DKG363" s="35"/>
      <c r="DKH363" s="35"/>
      <c r="DKI363" s="35"/>
      <c r="DKJ363" s="35"/>
      <c r="DKK363" s="34"/>
      <c r="DKL363" s="34"/>
      <c r="DKM363" s="36"/>
      <c r="DKN363" s="36"/>
      <c r="DKO363" s="37"/>
      <c r="DKP363" s="37"/>
      <c r="DKQ363" s="38"/>
      <c r="DKR363" s="38"/>
      <c r="DKS363" s="39"/>
      <c r="DKT363" s="34"/>
      <c r="DKU363" s="34"/>
      <c r="DKV363" s="34"/>
      <c r="DKW363" s="35"/>
      <c r="DKX363" s="35"/>
      <c r="DKY363" s="35"/>
      <c r="DKZ363" s="35"/>
      <c r="DLA363" s="35"/>
      <c r="DLB363" s="34"/>
      <c r="DLC363" s="34"/>
      <c r="DLD363" s="36"/>
      <c r="DLE363" s="36"/>
      <c r="DLF363" s="37"/>
      <c r="DLG363" s="37"/>
      <c r="DLH363" s="38"/>
      <c r="DLI363" s="38"/>
      <c r="DLJ363" s="39"/>
      <c r="DLK363" s="34"/>
      <c r="DLL363" s="34"/>
      <c r="DLM363" s="34"/>
      <c r="DLN363" s="35"/>
      <c r="DLO363" s="35"/>
      <c r="DLP363" s="35"/>
      <c r="DLQ363" s="35"/>
      <c r="DLR363" s="35"/>
      <c r="DLS363" s="34"/>
      <c r="DLT363" s="34"/>
      <c r="DLU363" s="36"/>
      <c r="DLV363" s="36"/>
      <c r="DLW363" s="37"/>
      <c r="DLX363" s="37"/>
      <c r="DLY363" s="38"/>
      <c r="DLZ363" s="38"/>
      <c r="DMA363" s="39"/>
      <c r="DMB363" s="34"/>
      <c r="DMC363" s="34"/>
      <c r="DMD363" s="34"/>
      <c r="DME363" s="35"/>
      <c r="DMF363" s="35"/>
      <c r="DMG363" s="35"/>
      <c r="DMH363" s="35"/>
      <c r="DMI363" s="35"/>
      <c r="DMJ363" s="34"/>
      <c r="DMK363" s="34"/>
      <c r="DML363" s="36"/>
      <c r="DMM363" s="36"/>
      <c r="DMN363" s="37"/>
      <c r="DMO363" s="37"/>
      <c r="DMP363" s="38"/>
      <c r="DMQ363" s="38"/>
      <c r="DMR363" s="39"/>
      <c r="DMS363" s="34"/>
      <c r="DMT363" s="34"/>
      <c r="DMU363" s="34"/>
      <c r="DMV363" s="35"/>
      <c r="DMW363" s="35"/>
      <c r="DMX363" s="35"/>
      <c r="DMY363" s="35"/>
      <c r="DMZ363" s="35"/>
      <c r="DNA363" s="34"/>
      <c r="DNB363" s="34"/>
      <c r="DNC363" s="36"/>
      <c r="DND363" s="36"/>
      <c r="DNE363" s="37"/>
      <c r="DNF363" s="37"/>
      <c r="DNG363" s="38"/>
      <c r="DNH363" s="38"/>
      <c r="DNI363" s="39"/>
      <c r="DNJ363" s="34"/>
      <c r="DNK363" s="34"/>
      <c r="DNL363" s="34"/>
      <c r="DNM363" s="35"/>
      <c r="DNN363" s="35"/>
      <c r="DNO363" s="35"/>
      <c r="DNP363" s="35"/>
      <c r="DNQ363" s="35"/>
      <c r="DNR363" s="34"/>
      <c r="DNS363" s="34"/>
      <c r="DNT363" s="36"/>
      <c r="DNU363" s="36"/>
      <c r="DNV363" s="37"/>
      <c r="DNW363" s="37"/>
      <c r="DNX363" s="38"/>
      <c r="DNY363" s="38"/>
      <c r="DNZ363" s="39"/>
      <c r="DOA363" s="34"/>
      <c r="DOB363" s="34"/>
      <c r="DOC363" s="34"/>
      <c r="DOD363" s="35"/>
      <c r="DOE363" s="35"/>
      <c r="DOF363" s="35"/>
      <c r="DOG363" s="35"/>
      <c r="DOH363" s="35"/>
      <c r="DOI363" s="34"/>
      <c r="DOJ363" s="34"/>
      <c r="DOK363" s="36"/>
      <c r="DOL363" s="36"/>
      <c r="DOM363" s="37"/>
      <c r="DON363" s="37"/>
      <c r="DOO363" s="38"/>
      <c r="DOP363" s="38"/>
      <c r="DOQ363" s="39"/>
      <c r="DOR363" s="34"/>
      <c r="DOS363" s="34"/>
      <c r="DOT363" s="34"/>
      <c r="DOU363" s="35"/>
      <c r="DOV363" s="35"/>
      <c r="DOW363" s="35"/>
      <c r="DOX363" s="35"/>
      <c r="DOY363" s="35"/>
      <c r="DOZ363" s="34"/>
      <c r="DPA363" s="34"/>
      <c r="DPB363" s="36"/>
      <c r="DPC363" s="36"/>
      <c r="DPD363" s="37"/>
      <c r="DPE363" s="37"/>
      <c r="DPF363" s="38"/>
      <c r="DPG363" s="38"/>
      <c r="DPH363" s="39"/>
      <c r="DPI363" s="34"/>
      <c r="DPJ363" s="34"/>
      <c r="DPK363" s="34"/>
      <c r="DPL363" s="35"/>
      <c r="DPM363" s="35"/>
      <c r="DPN363" s="35"/>
      <c r="DPO363" s="35"/>
      <c r="DPP363" s="35"/>
      <c r="DPQ363" s="34"/>
      <c r="DPR363" s="34"/>
      <c r="DPS363" s="36"/>
      <c r="DPT363" s="36"/>
      <c r="DPU363" s="37"/>
      <c r="DPV363" s="37"/>
      <c r="DPW363" s="38"/>
      <c r="DPX363" s="38"/>
      <c r="DPY363" s="39"/>
      <c r="DPZ363" s="34"/>
      <c r="DQA363" s="34"/>
      <c r="DQB363" s="34"/>
      <c r="DQC363" s="35"/>
      <c r="DQD363" s="35"/>
      <c r="DQE363" s="35"/>
      <c r="DQF363" s="35"/>
      <c r="DQG363" s="35"/>
      <c r="DQH363" s="34"/>
      <c r="DQI363" s="34"/>
      <c r="DQJ363" s="36"/>
      <c r="DQK363" s="36"/>
      <c r="DQL363" s="37"/>
      <c r="DQM363" s="37"/>
      <c r="DQN363" s="38"/>
      <c r="DQO363" s="38"/>
      <c r="DQP363" s="39"/>
      <c r="DQQ363" s="34"/>
      <c r="DQR363" s="34"/>
      <c r="DQS363" s="34"/>
      <c r="DQT363" s="35"/>
      <c r="DQU363" s="35"/>
      <c r="DQV363" s="35"/>
      <c r="DQW363" s="35"/>
      <c r="DQX363" s="35"/>
      <c r="DQY363" s="34"/>
      <c r="DQZ363" s="34"/>
      <c r="DRA363" s="36"/>
      <c r="DRB363" s="36"/>
      <c r="DRC363" s="37"/>
      <c r="DRD363" s="37"/>
      <c r="DRE363" s="38"/>
      <c r="DRF363" s="38"/>
      <c r="DRG363" s="39"/>
      <c r="DRH363" s="34"/>
      <c r="DRI363" s="34"/>
      <c r="DRJ363" s="34"/>
      <c r="DRK363" s="35"/>
      <c r="DRL363" s="35"/>
      <c r="DRM363" s="35"/>
      <c r="DRN363" s="35"/>
      <c r="DRO363" s="35"/>
      <c r="DRP363" s="34"/>
      <c r="DRQ363" s="34"/>
      <c r="DRR363" s="36"/>
      <c r="DRS363" s="36"/>
      <c r="DRT363" s="37"/>
      <c r="DRU363" s="37"/>
      <c r="DRV363" s="38"/>
      <c r="DRW363" s="38"/>
      <c r="DRX363" s="39"/>
      <c r="DRY363" s="34"/>
      <c r="DRZ363" s="34"/>
      <c r="DSA363" s="34"/>
      <c r="DSB363" s="35"/>
      <c r="DSC363" s="35"/>
      <c r="DSD363" s="35"/>
      <c r="DSE363" s="35"/>
      <c r="DSF363" s="35"/>
      <c r="DSG363" s="34"/>
      <c r="DSH363" s="34"/>
      <c r="DSI363" s="36"/>
      <c r="DSJ363" s="36"/>
      <c r="DSK363" s="37"/>
      <c r="DSL363" s="37"/>
      <c r="DSM363" s="38"/>
      <c r="DSN363" s="38"/>
      <c r="DSO363" s="39"/>
      <c r="DSP363" s="34"/>
      <c r="DSQ363" s="34"/>
      <c r="DSR363" s="34"/>
      <c r="DSS363" s="35"/>
      <c r="DST363" s="35"/>
      <c r="DSU363" s="35"/>
      <c r="DSV363" s="35"/>
      <c r="DSW363" s="35"/>
      <c r="DSX363" s="34"/>
      <c r="DSY363" s="34"/>
      <c r="DSZ363" s="36"/>
      <c r="DTA363" s="36"/>
      <c r="DTB363" s="37"/>
      <c r="DTC363" s="37"/>
      <c r="DTD363" s="38"/>
      <c r="DTE363" s="38"/>
      <c r="DTF363" s="39"/>
      <c r="DTG363" s="34"/>
      <c r="DTH363" s="34"/>
      <c r="DTI363" s="34"/>
      <c r="DTJ363" s="35"/>
      <c r="DTK363" s="35"/>
      <c r="DTL363" s="35"/>
      <c r="DTM363" s="35"/>
      <c r="DTN363" s="35"/>
      <c r="DTO363" s="34"/>
      <c r="DTP363" s="34"/>
      <c r="DTQ363" s="36"/>
      <c r="DTR363" s="36"/>
      <c r="DTS363" s="37"/>
      <c r="DTT363" s="37"/>
      <c r="DTU363" s="38"/>
      <c r="DTV363" s="38"/>
      <c r="DTW363" s="39"/>
      <c r="DTX363" s="34"/>
      <c r="DTY363" s="34"/>
      <c r="DTZ363" s="34"/>
      <c r="DUA363" s="35"/>
      <c r="DUB363" s="35"/>
      <c r="DUC363" s="35"/>
      <c r="DUD363" s="35"/>
      <c r="DUE363" s="35"/>
      <c r="DUF363" s="34"/>
      <c r="DUG363" s="34"/>
      <c r="DUH363" s="36"/>
      <c r="DUI363" s="36"/>
      <c r="DUJ363" s="37"/>
      <c r="DUK363" s="37"/>
      <c r="DUL363" s="38"/>
      <c r="DUM363" s="38"/>
      <c r="DUN363" s="39"/>
      <c r="DUO363" s="34"/>
      <c r="DUP363" s="34"/>
      <c r="DUQ363" s="34"/>
      <c r="DUR363" s="35"/>
      <c r="DUS363" s="35"/>
      <c r="DUT363" s="35"/>
      <c r="DUU363" s="35"/>
      <c r="DUV363" s="35"/>
      <c r="DUW363" s="34"/>
      <c r="DUX363" s="34"/>
      <c r="DUY363" s="36"/>
      <c r="DUZ363" s="36"/>
      <c r="DVA363" s="37"/>
      <c r="DVB363" s="37"/>
      <c r="DVC363" s="38"/>
      <c r="DVD363" s="38"/>
      <c r="DVE363" s="39"/>
      <c r="DVF363" s="34"/>
      <c r="DVG363" s="34"/>
      <c r="DVH363" s="34"/>
      <c r="DVI363" s="35"/>
      <c r="DVJ363" s="35"/>
      <c r="DVK363" s="35"/>
      <c r="DVL363" s="35"/>
      <c r="DVM363" s="35"/>
      <c r="DVN363" s="34"/>
      <c r="DVO363" s="34"/>
      <c r="DVP363" s="36"/>
      <c r="DVQ363" s="36"/>
      <c r="DVR363" s="37"/>
      <c r="DVS363" s="37"/>
      <c r="DVT363" s="38"/>
      <c r="DVU363" s="38"/>
      <c r="DVV363" s="39"/>
      <c r="DVW363" s="34"/>
      <c r="DVX363" s="34"/>
      <c r="DVY363" s="34"/>
      <c r="DVZ363" s="35"/>
      <c r="DWA363" s="35"/>
      <c r="DWB363" s="35"/>
      <c r="DWC363" s="35"/>
      <c r="DWD363" s="35"/>
      <c r="DWE363" s="34"/>
      <c r="DWF363" s="34"/>
      <c r="DWG363" s="36"/>
      <c r="DWH363" s="36"/>
      <c r="DWI363" s="37"/>
      <c r="DWJ363" s="37"/>
      <c r="DWK363" s="38"/>
      <c r="DWL363" s="38"/>
      <c r="DWM363" s="39"/>
      <c r="DWN363" s="34"/>
      <c r="DWO363" s="34"/>
      <c r="DWP363" s="34"/>
      <c r="DWQ363" s="35"/>
      <c r="DWR363" s="35"/>
      <c r="DWS363" s="35"/>
      <c r="DWT363" s="35"/>
      <c r="DWU363" s="35"/>
      <c r="DWV363" s="34"/>
      <c r="DWW363" s="34"/>
      <c r="DWX363" s="36"/>
      <c r="DWY363" s="36"/>
      <c r="DWZ363" s="37"/>
      <c r="DXA363" s="37"/>
      <c r="DXB363" s="38"/>
      <c r="DXC363" s="38"/>
      <c r="DXD363" s="39"/>
      <c r="DXE363" s="34"/>
      <c r="DXF363" s="34"/>
      <c r="DXG363" s="34"/>
      <c r="DXH363" s="35"/>
      <c r="DXI363" s="35"/>
      <c r="DXJ363" s="35"/>
      <c r="DXK363" s="35"/>
      <c r="DXL363" s="35"/>
      <c r="DXM363" s="34"/>
      <c r="DXN363" s="34"/>
      <c r="DXO363" s="36"/>
      <c r="DXP363" s="36"/>
      <c r="DXQ363" s="37"/>
      <c r="DXR363" s="37"/>
      <c r="DXS363" s="38"/>
      <c r="DXT363" s="38"/>
      <c r="DXU363" s="39"/>
      <c r="DXV363" s="34"/>
      <c r="DXW363" s="34"/>
      <c r="DXX363" s="34"/>
      <c r="DXY363" s="35"/>
      <c r="DXZ363" s="35"/>
      <c r="DYA363" s="35"/>
      <c r="DYB363" s="35"/>
      <c r="DYC363" s="35"/>
      <c r="DYD363" s="34"/>
      <c r="DYE363" s="34"/>
      <c r="DYF363" s="36"/>
      <c r="DYG363" s="36"/>
      <c r="DYH363" s="37"/>
      <c r="DYI363" s="37"/>
      <c r="DYJ363" s="38"/>
      <c r="DYK363" s="38"/>
      <c r="DYL363" s="39"/>
      <c r="DYM363" s="34"/>
      <c r="DYN363" s="34"/>
      <c r="DYO363" s="34"/>
      <c r="DYP363" s="35"/>
      <c r="DYQ363" s="35"/>
      <c r="DYR363" s="35"/>
      <c r="DYS363" s="35"/>
      <c r="DYT363" s="35"/>
      <c r="DYU363" s="34"/>
      <c r="DYV363" s="34"/>
      <c r="DYW363" s="36"/>
      <c r="DYX363" s="36"/>
      <c r="DYY363" s="37"/>
      <c r="DYZ363" s="37"/>
      <c r="DZA363" s="38"/>
      <c r="DZB363" s="38"/>
      <c r="DZC363" s="39"/>
      <c r="DZD363" s="34"/>
      <c r="DZE363" s="34"/>
      <c r="DZF363" s="34"/>
      <c r="DZG363" s="35"/>
      <c r="DZH363" s="35"/>
      <c r="DZI363" s="35"/>
      <c r="DZJ363" s="35"/>
      <c r="DZK363" s="35"/>
      <c r="DZL363" s="34"/>
      <c r="DZM363" s="34"/>
      <c r="DZN363" s="36"/>
      <c r="DZO363" s="36"/>
      <c r="DZP363" s="37"/>
      <c r="DZQ363" s="37"/>
      <c r="DZR363" s="38"/>
      <c r="DZS363" s="38"/>
      <c r="DZT363" s="39"/>
      <c r="DZU363" s="34"/>
      <c r="DZV363" s="34"/>
      <c r="DZW363" s="34"/>
      <c r="DZX363" s="35"/>
      <c r="DZY363" s="35"/>
      <c r="DZZ363" s="35"/>
      <c r="EAA363" s="35"/>
      <c r="EAB363" s="35"/>
      <c r="EAC363" s="34"/>
      <c r="EAD363" s="34"/>
      <c r="EAE363" s="36"/>
      <c r="EAF363" s="36"/>
      <c r="EAG363" s="37"/>
      <c r="EAH363" s="37"/>
      <c r="EAI363" s="38"/>
      <c r="EAJ363" s="38"/>
      <c r="EAK363" s="39"/>
      <c r="EAL363" s="34"/>
      <c r="EAM363" s="34"/>
      <c r="EAN363" s="34"/>
      <c r="EAO363" s="35"/>
      <c r="EAP363" s="35"/>
      <c r="EAQ363" s="35"/>
      <c r="EAR363" s="35"/>
      <c r="EAS363" s="35"/>
      <c r="EAT363" s="34"/>
      <c r="EAU363" s="34"/>
      <c r="EAV363" s="36"/>
      <c r="EAW363" s="36"/>
      <c r="EAX363" s="37"/>
      <c r="EAY363" s="37"/>
      <c r="EAZ363" s="38"/>
      <c r="EBA363" s="38"/>
      <c r="EBB363" s="39"/>
      <c r="EBC363" s="34"/>
      <c r="EBD363" s="34"/>
      <c r="EBE363" s="34"/>
      <c r="EBF363" s="35"/>
      <c r="EBG363" s="35"/>
      <c r="EBH363" s="35"/>
      <c r="EBI363" s="35"/>
      <c r="EBJ363" s="35"/>
      <c r="EBK363" s="34"/>
      <c r="EBL363" s="34"/>
      <c r="EBM363" s="36"/>
      <c r="EBN363" s="36"/>
      <c r="EBO363" s="37"/>
      <c r="EBP363" s="37"/>
      <c r="EBQ363" s="38"/>
      <c r="EBR363" s="38"/>
      <c r="EBS363" s="39"/>
      <c r="EBT363" s="34"/>
      <c r="EBU363" s="34"/>
      <c r="EBV363" s="34"/>
      <c r="EBW363" s="35"/>
      <c r="EBX363" s="35"/>
      <c r="EBY363" s="35"/>
      <c r="EBZ363" s="35"/>
      <c r="ECA363" s="35"/>
      <c r="ECB363" s="34"/>
      <c r="ECC363" s="34"/>
      <c r="ECD363" s="36"/>
      <c r="ECE363" s="36"/>
      <c r="ECF363" s="37"/>
      <c r="ECG363" s="37"/>
      <c r="ECH363" s="38"/>
      <c r="ECI363" s="38"/>
      <c r="ECJ363" s="39"/>
      <c r="ECK363" s="34"/>
      <c r="ECL363" s="34"/>
      <c r="ECM363" s="34"/>
      <c r="ECN363" s="35"/>
      <c r="ECO363" s="35"/>
      <c r="ECP363" s="35"/>
      <c r="ECQ363" s="35"/>
      <c r="ECR363" s="35"/>
      <c r="ECS363" s="34"/>
      <c r="ECT363" s="34"/>
      <c r="ECU363" s="36"/>
      <c r="ECV363" s="36"/>
      <c r="ECW363" s="37"/>
      <c r="ECX363" s="37"/>
      <c r="ECY363" s="38"/>
      <c r="ECZ363" s="38"/>
      <c r="EDA363" s="39"/>
      <c r="EDB363" s="34"/>
      <c r="EDC363" s="34"/>
      <c r="EDD363" s="34"/>
      <c r="EDE363" s="35"/>
      <c r="EDF363" s="35"/>
      <c r="EDG363" s="35"/>
      <c r="EDH363" s="35"/>
      <c r="EDI363" s="35"/>
      <c r="EDJ363" s="34"/>
      <c r="EDK363" s="34"/>
      <c r="EDL363" s="36"/>
      <c r="EDM363" s="36"/>
      <c r="EDN363" s="37"/>
      <c r="EDO363" s="37"/>
      <c r="EDP363" s="38"/>
      <c r="EDQ363" s="38"/>
      <c r="EDR363" s="39"/>
      <c r="EDS363" s="34"/>
      <c r="EDT363" s="34"/>
      <c r="EDU363" s="34"/>
      <c r="EDV363" s="35"/>
      <c r="EDW363" s="35"/>
      <c r="EDX363" s="35"/>
      <c r="EDY363" s="35"/>
      <c r="EDZ363" s="35"/>
      <c r="EEA363" s="34"/>
      <c r="EEB363" s="34"/>
      <c r="EEC363" s="36"/>
      <c r="EED363" s="36"/>
      <c r="EEE363" s="37"/>
      <c r="EEF363" s="37"/>
      <c r="EEG363" s="38"/>
      <c r="EEH363" s="38"/>
      <c r="EEI363" s="39"/>
      <c r="EEJ363" s="34"/>
      <c r="EEK363" s="34"/>
      <c r="EEL363" s="34"/>
      <c r="EEM363" s="35"/>
      <c r="EEN363" s="35"/>
      <c r="EEO363" s="35"/>
      <c r="EEP363" s="35"/>
      <c r="EEQ363" s="35"/>
      <c r="EER363" s="34"/>
      <c r="EES363" s="34"/>
      <c r="EET363" s="36"/>
      <c r="EEU363" s="36"/>
      <c r="EEV363" s="37"/>
      <c r="EEW363" s="37"/>
      <c r="EEX363" s="38"/>
      <c r="EEY363" s="38"/>
      <c r="EEZ363" s="39"/>
      <c r="EFA363" s="34"/>
      <c r="EFB363" s="34"/>
      <c r="EFC363" s="34"/>
      <c r="EFD363" s="35"/>
      <c r="EFE363" s="35"/>
      <c r="EFF363" s="35"/>
      <c r="EFG363" s="35"/>
      <c r="EFH363" s="35"/>
      <c r="EFI363" s="34"/>
      <c r="EFJ363" s="34"/>
      <c r="EFK363" s="36"/>
      <c r="EFL363" s="36"/>
      <c r="EFM363" s="37"/>
      <c r="EFN363" s="37"/>
      <c r="EFO363" s="38"/>
      <c r="EFP363" s="38"/>
      <c r="EFQ363" s="39"/>
      <c r="EFR363" s="34"/>
      <c r="EFS363" s="34"/>
      <c r="EFT363" s="34"/>
      <c r="EFU363" s="35"/>
      <c r="EFV363" s="35"/>
      <c r="EFW363" s="35"/>
      <c r="EFX363" s="35"/>
      <c r="EFY363" s="35"/>
      <c r="EFZ363" s="34"/>
      <c r="EGA363" s="34"/>
      <c r="EGB363" s="36"/>
      <c r="EGC363" s="36"/>
      <c r="EGD363" s="37"/>
      <c r="EGE363" s="37"/>
      <c r="EGF363" s="38"/>
      <c r="EGG363" s="38"/>
      <c r="EGH363" s="39"/>
      <c r="EGI363" s="34"/>
      <c r="EGJ363" s="34"/>
      <c r="EGK363" s="34"/>
      <c r="EGL363" s="35"/>
      <c r="EGM363" s="35"/>
      <c r="EGN363" s="35"/>
      <c r="EGO363" s="35"/>
      <c r="EGP363" s="35"/>
      <c r="EGQ363" s="34"/>
      <c r="EGR363" s="34"/>
      <c r="EGS363" s="36"/>
      <c r="EGT363" s="36"/>
      <c r="EGU363" s="37"/>
      <c r="EGV363" s="37"/>
      <c r="EGW363" s="38"/>
      <c r="EGX363" s="38"/>
      <c r="EGY363" s="39"/>
      <c r="EGZ363" s="34"/>
      <c r="EHA363" s="34"/>
      <c r="EHB363" s="34"/>
      <c r="EHC363" s="35"/>
      <c r="EHD363" s="35"/>
      <c r="EHE363" s="35"/>
      <c r="EHF363" s="35"/>
      <c r="EHG363" s="35"/>
      <c r="EHH363" s="34"/>
      <c r="EHI363" s="34"/>
      <c r="EHJ363" s="36"/>
      <c r="EHK363" s="36"/>
      <c r="EHL363" s="37"/>
      <c r="EHM363" s="37"/>
      <c r="EHN363" s="38"/>
      <c r="EHO363" s="38"/>
      <c r="EHP363" s="39"/>
      <c r="EHQ363" s="34"/>
      <c r="EHR363" s="34"/>
      <c r="EHS363" s="34"/>
      <c r="EHT363" s="35"/>
      <c r="EHU363" s="35"/>
      <c r="EHV363" s="35"/>
      <c r="EHW363" s="35"/>
      <c r="EHX363" s="35"/>
      <c r="EHY363" s="34"/>
      <c r="EHZ363" s="34"/>
      <c r="EIA363" s="36"/>
      <c r="EIB363" s="36"/>
      <c r="EIC363" s="37"/>
      <c r="EID363" s="37"/>
      <c r="EIE363" s="38"/>
      <c r="EIF363" s="38"/>
      <c r="EIG363" s="39"/>
      <c r="EIH363" s="34"/>
      <c r="EII363" s="34"/>
      <c r="EIJ363" s="34"/>
      <c r="EIK363" s="35"/>
      <c r="EIL363" s="35"/>
      <c r="EIM363" s="35"/>
      <c r="EIN363" s="35"/>
      <c r="EIO363" s="35"/>
      <c r="EIP363" s="34"/>
      <c r="EIQ363" s="34"/>
      <c r="EIR363" s="36"/>
      <c r="EIS363" s="36"/>
      <c r="EIT363" s="37"/>
      <c r="EIU363" s="37"/>
      <c r="EIV363" s="38"/>
      <c r="EIW363" s="38"/>
      <c r="EIX363" s="39"/>
      <c r="EIY363" s="34"/>
      <c r="EIZ363" s="34"/>
      <c r="EJA363" s="34"/>
      <c r="EJB363" s="35"/>
      <c r="EJC363" s="35"/>
      <c r="EJD363" s="35"/>
      <c r="EJE363" s="35"/>
      <c r="EJF363" s="35"/>
      <c r="EJG363" s="34"/>
      <c r="EJH363" s="34"/>
      <c r="EJI363" s="36"/>
      <c r="EJJ363" s="36"/>
      <c r="EJK363" s="37"/>
      <c r="EJL363" s="37"/>
      <c r="EJM363" s="38"/>
      <c r="EJN363" s="38"/>
      <c r="EJO363" s="39"/>
      <c r="EJP363" s="34"/>
      <c r="EJQ363" s="34"/>
      <c r="EJR363" s="34"/>
      <c r="EJS363" s="35"/>
      <c r="EJT363" s="35"/>
      <c r="EJU363" s="35"/>
      <c r="EJV363" s="35"/>
      <c r="EJW363" s="35"/>
      <c r="EJX363" s="34"/>
      <c r="EJY363" s="34"/>
      <c r="EJZ363" s="36"/>
      <c r="EKA363" s="36"/>
      <c r="EKB363" s="37"/>
      <c r="EKC363" s="37"/>
      <c r="EKD363" s="38"/>
      <c r="EKE363" s="38"/>
      <c r="EKF363" s="39"/>
      <c r="EKG363" s="34"/>
      <c r="EKH363" s="34"/>
      <c r="EKI363" s="34"/>
      <c r="EKJ363" s="35"/>
      <c r="EKK363" s="35"/>
      <c r="EKL363" s="35"/>
      <c r="EKM363" s="35"/>
      <c r="EKN363" s="35"/>
      <c r="EKO363" s="34"/>
      <c r="EKP363" s="34"/>
      <c r="EKQ363" s="36"/>
      <c r="EKR363" s="36"/>
      <c r="EKS363" s="37"/>
      <c r="EKT363" s="37"/>
      <c r="EKU363" s="38"/>
      <c r="EKV363" s="38"/>
      <c r="EKW363" s="39"/>
      <c r="EKX363" s="34"/>
      <c r="EKY363" s="34"/>
      <c r="EKZ363" s="34"/>
      <c r="ELA363" s="35"/>
      <c r="ELB363" s="35"/>
      <c r="ELC363" s="35"/>
      <c r="ELD363" s="35"/>
      <c r="ELE363" s="35"/>
      <c r="ELF363" s="34"/>
      <c r="ELG363" s="34"/>
      <c r="ELH363" s="36"/>
      <c r="ELI363" s="36"/>
      <c r="ELJ363" s="37"/>
      <c r="ELK363" s="37"/>
      <c r="ELL363" s="38"/>
      <c r="ELM363" s="38"/>
      <c r="ELN363" s="39"/>
      <c r="ELO363" s="34"/>
      <c r="ELP363" s="34"/>
      <c r="ELQ363" s="34"/>
      <c r="ELR363" s="35"/>
      <c r="ELS363" s="35"/>
      <c r="ELT363" s="35"/>
      <c r="ELU363" s="35"/>
      <c r="ELV363" s="35"/>
      <c r="ELW363" s="34"/>
      <c r="ELX363" s="34"/>
      <c r="ELY363" s="36"/>
      <c r="ELZ363" s="36"/>
      <c r="EMA363" s="37"/>
      <c r="EMB363" s="37"/>
      <c r="EMC363" s="38"/>
      <c r="EMD363" s="38"/>
      <c r="EME363" s="39"/>
      <c r="EMF363" s="34"/>
      <c r="EMG363" s="34"/>
      <c r="EMH363" s="34"/>
      <c r="EMI363" s="35"/>
      <c r="EMJ363" s="35"/>
      <c r="EMK363" s="35"/>
      <c r="EML363" s="35"/>
      <c r="EMM363" s="35"/>
      <c r="EMN363" s="34"/>
      <c r="EMO363" s="34"/>
      <c r="EMP363" s="36"/>
      <c r="EMQ363" s="36"/>
      <c r="EMR363" s="37"/>
      <c r="EMS363" s="37"/>
      <c r="EMT363" s="38"/>
      <c r="EMU363" s="38"/>
      <c r="EMV363" s="39"/>
      <c r="EMW363" s="34"/>
      <c r="EMX363" s="34"/>
      <c r="EMY363" s="34"/>
      <c r="EMZ363" s="35"/>
      <c r="ENA363" s="35"/>
      <c r="ENB363" s="35"/>
      <c r="ENC363" s="35"/>
      <c r="END363" s="35"/>
      <c r="ENE363" s="34"/>
      <c r="ENF363" s="34"/>
      <c r="ENG363" s="36"/>
      <c r="ENH363" s="36"/>
      <c r="ENI363" s="37"/>
      <c r="ENJ363" s="37"/>
      <c r="ENK363" s="38"/>
      <c r="ENL363" s="38"/>
      <c r="ENM363" s="39"/>
      <c r="ENN363" s="34"/>
      <c r="ENO363" s="34"/>
      <c r="ENP363" s="34"/>
      <c r="ENQ363" s="35"/>
      <c r="ENR363" s="35"/>
      <c r="ENS363" s="35"/>
      <c r="ENT363" s="35"/>
      <c r="ENU363" s="35"/>
      <c r="ENV363" s="34"/>
      <c r="ENW363" s="34"/>
      <c r="ENX363" s="36"/>
      <c r="ENY363" s="36"/>
      <c r="ENZ363" s="37"/>
      <c r="EOA363" s="37"/>
      <c r="EOB363" s="38"/>
      <c r="EOC363" s="38"/>
      <c r="EOD363" s="39"/>
      <c r="EOE363" s="34"/>
      <c r="EOF363" s="34"/>
      <c r="EOG363" s="34"/>
      <c r="EOH363" s="35"/>
      <c r="EOI363" s="35"/>
      <c r="EOJ363" s="35"/>
      <c r="EOK363" s="35"/>
      <c r="EOL363" s="35"/>
      <c r="EOM363" s="34"/>
      <c r="EON363" s="34"/>
      <c r="EOO363" s="36"/>
      <c r="EOP363" s="36"/>
      <c r="EOQ363" s="37"/>
      <c r="EOR363" s="37"/>
      <c r="EOS363" s="38"/>
      <c r="EOT363" s="38"/>
      <c r="EOU363" s="39"/>
      <c r="EOV363" s="34"/>
      <c r="EOW363" s="34"/>
      <c r="EOX363" s="34"/>
      <c r="EOY363" s="35"/>
      <c r="EOZ363" s="35"/>
      <c r="EPA363" s="35"/>
      <c r="EPB363" s="35"/>
      <c r="EPC363" s="35"/>
      <c r="EPD363" s="34"/>
      <c r="EPE363" s="34"/>
      <c r="EPF363" s="36"/>
      <c r="EPG363" s="36"/>
      <c r="EPH363" s="37"/>
      <c r="EPI363" s="37"/>
      <c r="EPJ363" s="38"/>
      <c r="EPK363" s="38"/>
      <c r="EPL363" s="39"/>
      <c r="EPM363" s="34"/>
      <c r="EPN363" s="34"/>
      <c r="EPO363" s="34"/>
      <c r="EPP363" s="35"/>
      <c r="EPQ363" s="35"/>
      <c r="EPR363" s="35"/>
      <c r="EPS363" s="35"/>
      <c r="EPT363" s="35"/>
      <c r="EPU363" s="34"/>
      <c r="EPV363" s="34"/>
      <c r="EPW363" s="36"/>
      <c r="EPX363" s="36"/>
      <c r="EPY363" s="37"/>
      <c r="EPZ363" s="37"/>
      <c r="EQA363" s="38"/>
      <c r="EQB363" s="38"/>
      <c r="EQC363" s="39"/>
      <c r="EQD363" s="34"/>
      <c r="EQE363" s="34"/>
      <c r="EQF363" s="34"/>
      <c r="EQG363" s="35"/>
      <c r="EQH363" s="35"/>
      <c r="EQI363" s="35"/>
      <c r="EQJ363" s="35"/>
      <c r="EQK363" s="35"/>
      <c r="EQL363" s="34"/>
      <c r="EQM363" s="34"/>
      <c r="EQN363" s="36"/>
      <c r="EQO363" s="36"/>
      <c r="EQP363" s="37"/>
      <c r="EQQ363" s="37"/>
      <c r="EQR363" s="38"/>
      <c r="EQS363" s="38"/>
      <c r="EQT363" s="39"/>
      <c r="EQU363" s="34"/>
      <c r="EQV363" s="34"/>
      <c r="EQW363" s="34"/>
      <c r="EQX363" s="35"/>
      <c r="EQY363" s="35"/>
      <c r="EQZ363" s="35"/>
      <c r="ERA363" s="35"/>
      <c r="ERB363" s="35"/>
      <c r="ERC363" s="34"/>
      <c r="ERD363" s="34"/>
      <c r="ERE363" s="36"/>
      <c r="ERF363" s="36"/>
      <c r="ERG363" s="37"/>
      <c r="ERH363" s="37"/>
      <c r="ERI363" s="38"/>
      <c r="ERJ363" s="38"/>
      <c r="ERK363" s="39"/>
      <c r="ERL363" s="34"/>
      <c r="ERM363" s="34"/>
      <c r="ERN363" s="34"/>
      <c r="ERO363" s="35"/>
      <c r="ERP363" s="35"/>
      <c r="ERQ363" s="35"/>
      <c r="ERR363" s="35"/>
      <c r="ERS363" s="35"/>
      <c r="ERT363" s="34"/>
      <c r="ERU363" s="34"/>
      <c r="ERV363" s="36"/>
      <c r="ERW363" s="36"/>
      <c r="ERX363" s="37"/>
      <c r="ERY363" s="37"/>
      <c r="ERZ363" s="38"/>
      <c r="ESA363" s="38"/>
      <c r="ESB363" s="39"/>
      <c r="ESC363" s="34"/>
      <c r="ESD363" s="34"/>
      <c r="ESE363" s="34"/>
      <c r="ESF363" s="35"/>
      <c r="ESG363" s="35"/>
      <c r="ESH363" s="35"/>
      <c r="ESI363" s="35"/>
      <c r="ESJ363" s="35"/>
      <c r="ESK363" s="34"/>
      <c r="ESL363" s="34"/>
      <c r="ESM363" s="36"/>
      <c r="ESN363" s="36"/>
      <c r="ESO363" s="37"/>
      <c r="ESP363" s="37"/>
      <c r="ESQ363" s="38"/>
      <c r="ESR363" s="38"/>
      <c r="ESS363" s="39"/>
      <c r="EST363" s="34"/>
      <c r="ESU363" s="34"/>
      <c r="ESV363" s="34"/>
      <c r="ESW363" s="35"/>
      <c r="ESX363" s="35"/>
      <c r="ESY363" s="35"/>
      <c r="ESZ363" s="35"/>
      <c r="ETA363" s="35"/>
      <c r="ETB363" s="34"/>
      <c r="ETC363" s="34"/>
      <c r="ETD363" s="36"/>
      <c r="ETE363" s="36"/>
      <c r="ETF363" s="37"/>
      <c r="ETG363" s="37"/>
      <c r="ETH363" s="38"/>
      <c r="ETI363" s="38"/>
      <c r="ETJ363" s="39"/>
      <c r="ETK363" s="34"/>
      <c r="ETL363" s="34"/>
      <c r="ETM363" s="34"/>
      <c r="ETN363" s="35"/>
      <c r="ETO363" s="35"/>
      <c r="ETP363" s="35"/>
      <c r="ETQ363" s="35"/>
      <c r="ETR363" s="35"/>
      <c r="ETS363" s="34"/>
      <c r="ETT363" s="34"/>
      <c r="ETU363" s="36"/>
      <c r="ETV363" s="36"/>
      <c r="ETW363" s="37"/>
      <c r="ETX363" s="37"/>
      <c r="ETY363" s="38"/>
      <c r="ETZ363" s="38"/>
      <c r="EUA363" s="39"/>
      <c r="EUB363" s="34"/>
      <c r="EUC363" s="34"/>
      <c r="EUD363" s="34"/>
      <c r="EUE363" s="35"/>
      <c r="EUF363" s="35"/>
      <c r="EUG363" s="35"/>
      <c r="EUH363" s="35"/>
      <c r="EUI363" s="35"/>
      <c r="EUJ363" s="34"/>
      <c r="EUK363" s="34"/>
      <c r="EUL363" s="36"/>
      <c r="EUM363" s="36"/>
      <c r="EUN363" s="37"/>
      <c r="EUO363" s="37"/>
      <c r="EUP363" s="38"/>
      <c r="EUQ363" s="38"/>
      <c r="EUR363" s="39"/>
      <c r="EUS363" s="34"/>
      <c r="EUT363" s="34"/>
      <c r="EUU363" s="34"/>
      <c r="EUV363" s="35"/>
      <c r="EUW363" s="35"/>
      <c r="EUX363" s="35"/>
      <c r="EUY363" s="35"/>
      <c r="EUZ363" s="35"/>
      <c r="EVA363" s="34"/>
      <c r="EVB363" s="34"/>
      <c r="EVC363" s="36"/>
      <c r="EVD363" s="36"/>
      <c r="EVE363" s="37"/>
      <c r="EVF363" s="37"/>
      <c r="EVG363" s="38"/>
      <c r="EVH363" s="38"/>
      <c r="EVI363" s="39"/>
      <c r="EVJ363" s="34"/>
      <c r="EVK363" s="34"/>
      <c r="EVL363" s="34"/>
      <c r="EVM363" s="35"/>
      <c r="EVN363" s="35"/>
      <c r="EVO363" s="35"/>
      <c r="EVP363" s="35"/>
      <c r="EVQ363" s="35"/>
      <c r="EVR363" s="34"/>
      <c r="EVS363" s="34"/>
      <c r="EVT363" s="36"/>
      <c r="EVU363" s="36"/>
      <c r="EVV363" s="37"/>
      <c r="EVW363" s="37"/>
      <c r="EVX363" s="38"/>
      <c r="EVY363" s="38"/>
      <c r="EVZ363" s="39"/>
      <c r="EWA363" s="34"/>
      <c r="EWB363" s="34"/>
      <c r="EWC363" s="34"/>
      <c r="EWD363" s="35"/>
      <c r="EWE363" s="35"/>
      <c r="EWF363" s="35"/>
      <c r="EWG363" s="35"/>
      <c r="EWH363" s="35"/>
      <c r="EWI363" s="34"/>
      <c r="EWJ363" s="34"/>
      <c r="EWK363" s="36"/>
      <c r="EWL363" s="36"/>
      <c r="EWM363" s="37"/>
      <c r="EWN363" s="37"/>
      <c r="EWO363" s="38"/>
      <c r="EWP363" s="38"/>
      <c r="EWQ363" s="39"/>
      <c r="EWR363" s="34"/>
      <c r="EWS363" s="34"/>
      <c r="EWT363" s="34"/>
      <c r="EWU363" s="35"/>
      <c r="EWV363" s="35"/>
      <c r="EWW363" s="35"/>
      <c r="EWX363" s="35"/>
      <c r="EWY363" s="35"/>
      <c r="EWZ363" s="34"/>
      <c r="EXA363" s="34"/>
      <c r="EXB363" s="36"/>
      <c r="EXC363" s="36"/>
      <c r="EXD363" s="37"/>
      <c r="EXE363" s="37"/>
      <c r="EXF363" s="38"/>
      <c r="EXG363" s="38"/>
      <c r="EXH363" s="39"/>
      <c r="EXI363" s="34"/>
      <c r="EXJ363" s="34"/>
      <c r="EXK363" s="34"/>
      <c r="EXL363" s="35"/>
      <c r="EXM363" s="35"/>
      <c r="EXN363" s="35"/>
      <c r="EXO363" s="35"/>
      <c r="EXP363" s="35"/>
      <c r="EXQ363" s="34"/>
      <c r="EXR363" s="34"/>
      <c r="EXS363" s="36"/>
      <c r="EXT363" s="36"/>
      <c r="EXU363" s="37"/>
      <c r="EXV363" s="37"/>
      <c r="EXW363" s="38"/>
      <c r="EXX363" s="38"/>
      <c r="EXY363" s="39"/>
      <c r="EXZ363" s="34"/>
      <c r="EYA363" s="34"/>
      <c r="EYB363" s="34"/>
      <c r="EYC363" s="35"/>
      <c r="EYD363" s="35"/>
      <c r="EYE363" s="35"/>
      <c r="EYF363" s="35"/>
      <c r="EYG363" s="35"/>
      <c r="EYH363" s="34"/>
      <c r="EYI363" s="34"/>
      <c r="EYJ363" s="36"/>
      <c r="EYK363" s="36"/>
      <c r="EYL363" s="37"/>
      <c r="EYM363" s="37"/>
      <c r="EYN363" s="38"/>
      <c r="EYO363" s="38"/>
      <c r="EYP363" s="39"/>
      <c r="EYQ363" s="34"/>
      <c r="EYR363" s="34"/>
      <c r="EYS363" s="34"/>
      <c r="EYT363" s="35"/>
      <c r="EYU363" s="35"/>
      <c r="EYV363" s="35"/>
      <c r="EYW363" s="35"/>
      <c r="EYX363" s="35"/>
      <c r="EYY363" s="34"/>
      <c r="EYZ363" s="34"/>
      <c r="EZA363" s="36"/>
      <c r="EZB363" s="36"/>
      <c r="EZC363" s="37"/>
      <c r="EZD363" s="37"/>
      <c r="EZE363" s="38"/>
      <c r="EZF363" s="38"/>
      <c r="EZG363" s="39"/>
      <c r="EZH363" s="34"/>
      <c r="EZI363" s="34"/>
      <c r="EZJ363" s="34"/>
      <c r="EZK363" s="35"/>
      <c r="EZL363" s="35"/>
      <c r="EZM363" s="35"/>
      <c r="EZN363" s="35"/>
      <c r="EZO363" s="35"/>
      <c r="EZP363" s="34"/>
      <c r="EZQ363" s="34"/>
      <c r="EZR363" s="36"/>
      <c r="EZS363" s="36"/>
      <c r="EZT363" s="37"/>
      <c r="EZU363" s="37"/>
      <c r="EZV363" s="38"/>
      <c r="EZW363" s="38"/>
      <c r="EZX363" s="39"/>
      <c r="EZY363" s="34"/>
      <c r="EZZ363" s="34"/>
      <c r="FAA363" s="34"/>
      <c r="FAB363" s="35"/>
      <c r="FAC363" s="35"/>
      <c r="FAD363" s="35"/>
      <c r="FAE363" s="35"/>
      <c r="FAF363" s="35"/>
      <c r="FAG363" s="34"/>
      <c r="FAH363" s="34"/>
      <c r="FAI363" s="36"/>
      <c r="FAJ363" s="36"/>
      <c r="FAK363" s="37"/>
      <c r="FAL363" s="37"/>
      <c r="FAM363" s="38"/>
      <c r="FAN363" s="38"/>
      <c r="FAO363" s="39"/>
      <c r="FAP363" s="34"/>
      <c r="FAQ363" s="34"/>
      <c r="FAR363" s="34"/>
      <c r="FAS363" s="35"/>
      <c r="FAT363" s="35"/>
      <c r="FAU363" s="35"/>
      <c r="FAV363" s="35"/>
      <c r="FAW363" s="35"/>
      <c r="FAX363" s="34"/>
      <c r="FAY363" s="34"/>
      <c r="FAZ363" s="36"/>
      <c r="FBA363" s="36"/>
      <c r="FBB363" s="37"/>
      <c r="FBC363" s="37"/>
      <c r="FBD363" s="38"/>
      <c r="FBE363" s="38"/>
      <c r="FBF363" s="39"/>
      <c r="FBG363" s="34"/>
      <c r="FBH363" s="34"/>
      <c r="FBI363" s="34"/>
      <c r="FBJ363" s="35"/>
      <c r="FBK363" s="35"/>
      <c r="FBL363" s="35"/>
      <c r="FBM363" s="35"/>
      <c r="FBN363" s="35"/>
      <c r="FBO363" s="34"/>
      <c r="FBP363" s="34"/>
      <c r="FBQ363" s="36"/>
      <c r="FBR363" s="36"/>
      <c r="FBS363" s="37"/>
      <c r="FBT363" s="37"/>
      <c r="FBU363" s="38"/>
      <c r="FBV363" s="38"/>
      <c r="FBW363" s="39"/>
      <c r="FBX363" s="34"/>
      <c r="FBY363" s="34"/>
      <c r="FBZ363" s="34"/>
      <c r="FCA363" s="35"/>
      <c r="FCB363" s="35"/>
      <c r="FCC363" s="35"/>
      <c r="FCD363" s="35"/>
      <c r="FCE363" s="35"/>
      <c r="FCF363" s="34"/>
      <c r="FCG363" s="34"/>
      <c r="FCH363" s="36"/>
      <c r="FCI363" s="36"/>
      <c r="FCJ363" s="37"/>
      <c r="FCK363" s="37"/>
      <c r="FCL363" s="38"/>
      <c r="FCM363" s="38"/>
      <c r="FCN363" s="39"/>
      <c r="FCO363" s="34"/>
      <c r="FCP363" s="34"/>
      <c r="FCQ363" s="34"/>
      <c r="FCR363" s="35"/>
      <c r="FCS363" s="35"/>
      <c r="FCT363" s="35"/>
      <c r="FCU363" s="35"/>
      <c r="FCV363" s="35"/>
      <c r="FCW363" s="34"/>
      <c r="FCX363" s="34"/>
      <c r="FCY363" s="36"/>
      <c r="FCZ363" s="36"/>
      <c r="FDA363" s="37"/>
      <c r="FDB363" s="37"/>
      <c r="FDC363" s="38"/>
      <c r="FDD363" s="38"/>
      <c r="FDE363" s="39"/>
      <c r="FDF363" s="34"/>
      <c r="FDG363" s="34"/>
      <c r="FDH363" s="34"/>
      <c r="FDI363" s="35"/>
      <c r="FDJ363" s="35"/>
      <c r="FDK363" s="35"/>
      <c r="FDL363" s="35"/>
      <c r="FDM363" s="35"/>
      <c r="FDN363" s="34"/>
      <c r="FDO363" s="34"/>
      <c r="FDP363" s="36"/>
      <c r="FDQ363" s="36"/>
      <c r="FDR363" s="37"/>
      <c r="FDS363" s="37"/>
      <c r="FDT363" s="38"/>
      <c r="FDU363" s="38"/>
      <c r="FDV363" s="39"/>
      <c r="FDW363" s="34"/>
      <c r="FDX363" s="34"/>
      <c r="FDY363" s="34"/>
      <c r="FDZ363" s="35"/>
      <c r="FEA363" s="35"/>
      <c r="FEB363" s="35"/>
      <c r="FEC363" s="35"/>
      <c r="FED363" s="35"/>
      <c r="FEE363" s="34"/>
      <c r="FEF363" s="34"/>
      <c r="FEG363" s="36"/>
      <c r="FEH363" s="36"/>
      <c r="FEI363" s="37"/>
      <c r="FEJ363" s="37"/>
      <c r="FEK363" s="38"/>
      <c r="FEL363" s="38"/>
      <c r="FEM363" s="39"/>
      <c r="FEN363" s="34"/>
      <c r="FEO363" s="34"/>
      <c r="FEP363" s="34"/>
      <c r="FEQ363" s="35"/>
      <c r="FER363" s="35"/>
      <c r="FES363" s="35"/>
      <c r="FET363" s="35"/>
      <c r="FEU363" s="35"/>
      <c r="FEV363" s="34"/>
      <c r="FEW363" s="34"/>
      <c r="FEX363" s="36"/>
      <c r="FEY363" s="36"/>
      <c r="FEZ363" s="37"/>
      <c r="FFA363" s="37"/>
      <c r="FFB363" s="38"/>
      <c r="FFC363" s="38"/>
      <c r="FFD363" s="39"/>
      <c r="FFE363" s="34"/>
      <c r="FFF363" s="34"/>
      <c r="FFG363" s="34"/>
      <c r="FFH363" s="35"/>
      <c r="FFI363" s="35"/>
      <c r="FFJ363" s="35"/>
      <c r="FFK363" s="35"/>
      <c r="FFL363" s="35"/>
      <c r="FFM363" s="34"/>
      <c r="FFN363" s="34"/>
      <c r="FFO363" s="36"/>
      <c r="FFP363" s="36"/>
      <c r="FFQ363" s="37"/>
      <c r="FFR363" s="37"/>
      <c r="FFS363" s="38"/>
      <c r="FFT363" s="38"/>
      <c r="FFU363" s="39"/>
      <c r="FFV363" s="34"/>
      <c r="FFW363" s="34"/>
      <c r="FFX363" s="34"/>
      <c r="FFY363" s="35"/>
      <c r="FFZ363" s="35"/>
      <c r="FGA363" s="35"/>
      <c r="FGB363" s="35"/>
      <c r="FGC363" s="35"/>
      <c r="FGD363" s="34"/>
      <c r="FGE363" s="34"/>
      <c r="FGF363" s="36"/>
      <c r="FGG363" s="36"/>
      <c r="FGH363" s="37"/>
      <c r="FGI363" s="37"/>
      <c r="FGJ363" s="38"/>
      <c r="FGK363" s="38"/>
      <c r="FGL363" s="39"/>
      <c r="FGM363" s="34"/>
      <c r="FGN363" s="34"/>
      <c r="FGO363" s="34"/>
      <c r="FGP363" s="35"/>
      <c r="FGQ363" s="35"/>
      <c r="FGR363" s="35"/>
      <c r="FGS363" s="35"/>
      <c r="FGT363" s="35"/>
      <c r="FGU363" s="34"/>
      <c r="FGV363" s="34"/>
      <c r="FGW363" s="36"/>
      <c r="FGX363" s="36"/>
      <c r="FGY363" s="37"/>
      <c r="FGZ363" s="37"/>
      <c r="FHA363" s="38"/>
      <c r="FHB363" s="38"/>
      <c r="FHC363" s="39"/>
      <c r="FHD363" s="34"/>
      <c r="FHE363" s="34"/>
      <c r="FHF363" s="34"/>
      <c r="FHG363" s="35"/>
      <c r="FHH363" s="35"/>
      <c r="FHI363" s="35"/>
      <c r="FHJ363" s="35"/>
      <c r="FHK363" s="35"/>
      <c r="FHL363" s="34"/>
      <c r="FHM363" s="34"/>
      <c r="FHN363" s="36"/>
      <c r="FHO363" s="36"/>
      <c r="FHP363" s="37"/>
      <c r="FHQ363" s="37"/>
      <c r="FHR363" s="38"/>
      <c r="FHS363" s="38"/>
      <c r="FHT363" s="39"/>
      <c r="FHU363" s="34"/>
      <c r="FHV363" s="34"/>
      <c r="FHW363" s="34"/>
      <c r="FHX363" s="35"/>
      <c r="FHY363" s="35"/>
      <c r="FHZ363" s="35"/>
      <c r="FIA363" s="35"/>
      <c r="FIB363" s="35"/>
      <c r="FIC363" s="34"/>
      <c r="FID363" s="34"/>
      <c r="FIE363" s="36"/>
      <c r="FIF363" s="36"/>
      <c r="FIG363" s="37"/>
      <c r="FIH363" s="37"/>
      <c r="FII363" s="38"/>
      <c r="FIJ363" s="38"/>
      <c r="FIK363" s="39"/>
      <c r="FIL363" s="34"/>
      <c r="FIM363" s="34"/>
      <c r="FIN363" s="34"/>
      <c r="FIO363" s="35"/>
      <c r="FIP363" s="35"/>
      <c r="FIQ363" s="35"/>
      <c r="FIR363" s="35"/>
      <c r="FIS363" s="35"/>
      <c r="FIT363" s="34"/>
      <c r="FIU363" s="34"/>
      <c r="FIV363" s="36"/>
      <c r="FIW363" s="36"/>
      <c r="FIX363" s="37"/>
      <c r="FIY363" s="37"/>
      <c r="FIZ363" s="38"/>
      <c r="FJA363" s="38"/>
      <c r="FJB363" s="39"/>
      <c r="FJC363" s="34"/>
      <c r="FJD363" s="34"/>
      <c r="FJE363" s="34"/>
      <c r="FJF363" s="35"/>
      <c r="FJG363" s="35"/>
      <c r="FJH363" s="35"/>
      <c r="FJI363" s="35"/>
      <c r="FJJ363" s="35"/>
      <c r="FJK363" s="34"/>
      <c r="FJL363" s="34"/>
      <c r="FJM363" s="36"/>
      <c r="FJN363" s="36"/>
      <c r="FJO363" s="37"/>
      <c r="FJP363" s="37"/>
      <c r="FJQ363" s="38"/>
      <c r="FJR363" s="38"/>
      <c r="FJS363" s="39"/>
      <c r="FJT363" s="34"/>
      <c r="FJU363" s="34"/>
      <c r="FJV363" s="34"/>
      <c r="FJW363" s="35"/>
      <c r="FJX363" s="35"/>
      <c r="FJY363" s="35"/>
      <c r="FJZ363" s="35"/>
      <c r="FKA363" s="35"/>
      <c r="FKB363" s="34"/>
      <c r="FKC363" s="34"/>
      <c r="FKD363" s="36"/>
      <c r="FKE363" s="36"/>
      <c r="FKF363" s="37"/>
      <c r="FKG363" s="37"/>
      <c r="FKH363" s="38"/>
      <c r="FKI363" s="38"/>
      <c r="FKJ363" s="39"/>
      <c r="FKK363" s="34"/>
      <c r="FKL363" s="34"/>
      <c r="FKM363" s="34"/>
      <c r="FKN363" s="35"/>
      <c r="FKO363" s="35"/>
      <c r="FKP363" s="35"/>
      <c r="FKQ363" s="35"/>
      <c r="FKR363" s="35"/>
      <c r="FKS363" s="34"/>
      <c r="FKT363" s="34"/>
      <c r="FKU363" s="36"/>
      <c r="FKV363" s="36"/>
      <c r="FKW363" s="37"/>
      <c r="FKX363" s="37"/>
      <c r="FKY363" s="38"/>
      <c r="FKZ363" s="38"/>
      <c r="FLA363" s="39"/>
      <c r="FLB363" s="34"/>
      <c r="FLC363" s="34"/>
      <c r="FLD363" s="34"/>
      <c r="FLE363" s="35"/>
      <c r="FLF363" s="35"/>
      <c r="FLG363" s="35"/>
      <c r="FLH363" s="35"/>
      <c r="FLI363" s="35"/>
      <c r="FLJ363" s="34"/>
      <c r="FLK363" s="34"/>
      <c r="FLL363" s="36"/>
      <c r="FLM363" s="36"/>
      <c r="FLN363" s="37"/>
      <c r="FLO363" s="37"/>
      <c r="FLP363" s="38"/>
      <c r="FLQ363" s="38"/>
      <c r="FLR363" s="39"/>
      <c r="FLS363" s="34"/>
      <c r="FLT363" s="34"/>
      <c r="FLU363" s="34"/>
      <c r="FLV363" s="35"/>
      <c r="FLW363" s="35"/>
      <c r="FLX363" s="35"/>
      <c r="FLY363" s="35"/>
      <c r="FLZ363" s="35"/>
      <c r="FMA363" s="34"/>
      <c r="FMB363" s="34"/>
      <c r="FMC363" s="36"/>
      <c r="FMD363" s="36"/>
      <c r="FME363" s="37"/>
      <c r="FMF363" s="37"/>
      <c r="FMG363" s="38"/>
      <c r="FMH363" s="38"/>
      <c r="FMI363" s="39"/>
      <c r="FMJ363" s="34"/>
      <c r="FMK363" s="34"/>
      <c r="FML363" s="34"/>
      <c r="FMM363" s="35"/>
      <c r="FMN363" s="35"/>
      <c r="FMO363" s="35"/>
      <c r="FMP363" s="35"/>
      <c r="FMQ363" s="35"/>
      <c r="FMR363" s="34"/>
      <c r="FMS363" s="34"/>
      <c r="FMT363" s="36"/>
      <c r="FMU363" s="36"/>
      <c r="FMV363" s="37"/>
      <c r="FMW363" s="37"/>
      <c r="FMX363" s="38"/>
      <c r="FMY363" s="38"/>
      <c r="FMZ363" s="39"/>
      <c r="FNA363" s="34"/>
      <c r="FNB363" s="34"/>
      <c r="FNC363" s="34"/>
      <c r="FND363" s="35"/>
      <c r="FNE363" s="35"/>
      <c r="FNF363" s="35"/>
      <c r="FNG363" s="35"/>
      <c r="FNH363" s="35"/>
      <c r="FNI363" s="34"/>
      <c r="FNJ363" s="34"/>
      <c r="FNK363" s="36"/>
      <c r="FNL363" s="36"/>
      <c r="FNM363" s="37"/>
      <c r="FNN363" s="37"/>
      <c r="FNO363" s="38"/>
      <c r="FNP363" s="38"/>
      <c r="FNQ363" s="39"/>
      <c r="FNR363" s="34"/>
      <c r="FNS363" s="34"/>
      <c r="FNT363" s="34"/>
      <c r="FNU363" s="35"/>
      <c r="FNV363" s="35"/>
      <c r="FNW363" s="35"/>
      <c r="FNX363" s="35"/>
      <c r="FNY363" s="35"/>
      <c r="FNZ363" s="34"/>
      <c r="FOA363" s="34"/>
      <c r="FOB363" s="36"/>
      <c r="FOC363" s="36"/>
      <c r="FOD363" s="37"/>
      <c r="FOE363" s="37"/>
      <c r="FOF363" s="38"/>
      <c r="FOG363" s="38"/>
      <c r="FOH363" s="39"/>
      <c r="FOI363" s="34"/>
      <c r="FOJ363" s="34"/>
      <c r="FOK363" s="34"/>
      <c r="FOL363" s="35"/>
      <c r="FOM363" s="35"/>
      <c r="FON363" s="35"/>
      <c r="FOO363" s="35"/>
      <c r="FOP363" s="35"/>
      <c r="FOQ363" s="34"/>
      <c r="FOR363" s="34"/>
      <c r="FOS363" s="36"/>
      <c r="FOT363" s="36"/>
      <c r="FOU363" s="37"/>
      <c r="FOV363" s="37"/>
      <c r="FOW363" s="38"/>
      <c r="FOX363" s="38"/>
      <c r="FOY363" s="39"/>
      <c r="FOZ363" s="34"/>
      <c r="FPA363" s="34"/>
      <c r="FPB363" s="34"/>
      <c r="FPC363" s="35"/>
      <c r="FPD363" s="35"/>
      <c r="FPE363" s="35"/>
      <c r="FPF363" s="35"/>
      <c r="FPG363" s="35"/>
      <c r="FPH363" s="34"/>
      <c r="FPI363" s="34"/>
      <c r="FPJ363" s="36"/>
      <c r="FPK363" s="36"/>
      <c r="FPL363" s="37"/>
      <c r="FPM363" s="37"/>
      <c r="FPN363" s="38"/>
      <c r="FPO363" s="38"/>
      <c r="FPP363" s="39"/>
      <c r="FPQ363" s="34"/>
      <c r="FPR363" s="34"/>
      <c r="FPS363" s="34"/>
      <c r="FPT363" s="35"/>
      <c r="FPU363" s="35"/>
      <c r="FPV363" s="35"/>
      <c r="FPW363" s="35"/>
      <c r="FPX363" s="35"/>
      <c r="FPY363" s="34"/>
      <c r="FPZ363" s="34"/>
      <c r="FQA363" s="36"/>
      <c r="FQB363" s="36"/>
      <c r="FQC363" s="37"/>
      <c r="FQD363" s="37"/>
      <c r="FQE363" s="38"/>
      <c r="FQF363" s="38"/>
      <c r="FQG363" s="39"/>
      <c r="FQH363" s="34"/>
      <c r="FQI363" s="34"/>
      <c r="FQJ363" s="34"/>
      <c r="FQK363" s="35"/>
      <c r="FQL363" s="35"/>
      <c r="FQM363" s="35"/>
      <c r="FQN363" s="35"/>
      <c r="FQO363" s="35"/>
      <c r="FQP363" s="34"/>
      <c r="FQQ363" s="34"/>
      <c r="FQR363" s="36"/>
      <c r="FQS363" s="36"/>
      <c r="FQT363" s="37"/>
      <c r="FQU363" s="37"/>
      <c r="FQV363" s="38"/>
      <c r="FQW363" s="38"/>
      <c r="FQX363" s="39"/>
      <c r="FQY363" s="34"/>
      <c r="FQZ363" s="34"/>
      <c r="FRA363" s="34"/>
      <c r="FRB363" s="35"/>
      <c r="FRC363" s="35"/>
      <c r="FRD363" s="35"/>
      <c r="FRE363" s="35"/>
      <c r="FRF363" s="35"/>
      <c r="FRG363" s="34"/>
      <c r="FRH363" s="34"/>
      <c r="FRI363" s="36"/>
      <c r="FRJ363" s="36"/>
      <c r="FRK363" s="37"/>
      <c r="FRL363" s="37"/>
      <c r="FRM363" s="38"/>
      <c r="FRN363" s="38"/>
      <c r="FRO363" s="39"/>
      <c r="FRP363" s="34"/>
      <c r="FRQ363" s="34"/>
      <c r="FRR363" s="34"/>
      <c r="FRS363" s="35"/>
      <c r="FRT363" s="35"/>
      <c r="FRU363" s="35"/>
      <c r="FRV363" s="35"/>
      <c r="FRW363" s="35"/>
      <c r="FRX363" s="34"/>
      <c r="FRY363" s="34"/>
      <c r="FRZ363" s="36"/>
      <c r="FSA363" s="36"/>
      <c r="FSB363" s="37"/>
      <c r="FSC363" s="37"/>
      <c r="FSD363" s="38"/>
      <c r="FSE363" s="38"/>
      <c r="FSF363" s="39"/>
      <c r="FSG363" s="34"/>
      <c r="FSH363" s="34"/>
      <c r="FSI363" s="34"/>
      <c r="FSJ363" s="35"/>
      <c r="FSK363" s="35"/>
      <c r="FSL363" s="35"/>
      <c r="FSM363" s="35"/>
      <c r="FSN363" s="35"/>
      <c r="FSO363" s="34"/>
      <c r="FSP363" s="34"/>
      <c r="FSQ363" s="36"/>
      <c r="FSR363" s="36"/>
      <c r="FSS363" s="37"/>
      <c r="FST363" s="37"/>
      <c r="FSU363" s="38"/>
      <c r="FSV363" s="38"/>
      <c r="FSW363" s="39"/>
      <c r="FSX363" s="34"/>
      <c r="FSY363" s="34"/>
      <c r="FSZ363" s="34"/>
      <c r="FTA363" s="35"/>
      <c r="FTB363" s="35"/>
      <c r="FTC363" s="35"/>
      <c r="FTD363" s="35"/>
      <c r="FTE363" s="35"/>
      <c r="FTF363" s="34"/>
      <c r="FTG363" s="34"/>
      <c r="FTH363" s="36"/>
      <c r="FTI363" s="36"/>
      <c r="FTJ363" s="37"/>
      <c r="FTK363" s="37"/>
      <c r="FTL363" s="38"/>
      <c r="FTM363" s="38"/>
      <c r="FTN363" s="39"/>
      <c r="FTO363" s="34"/>
      <c r="FTP363" s="34"/>
      <c r="FTQ363" s="34"/>
      <c r="FTR363" s="35"/>
      <c r="FTS363" s="35"/>
      <c r="FTT363" s="35"/>
      <c r="FTU363" s="35"/>
      <c r="FTV363" s="35"/>
      <c r="FTW363" s="34"/>
      <c r="FTX363" s="34"/>
      <c r="FTY363" s="36"/>
      <c r="FTZ363" s="36"/>
      <c r="FUA363" s="37"/>
      <c r="FUB363" s="37"/>
      <c r="FUC363" s="38"/>
      <c r="FUD363" s="38"/>
      <c r="FUE363" s="39"/>
      <c r="FUF363" s="34"/>
      <c r="FUG363" s="34"/>
      <c r="FUH363" s="34"/>
      <c r="FUI363" s="35"/>
      <c r="FUJ363" s="35"/>
      <c r="FUK363" s="35"/>
      <c r="FUL363" s="35"/>
      <c r="FUM363" s="35"/>
      <c r="FUN363" s="34"/>
      <c r="FUO363" s="34"/>
      <c r="FUP363" s="36"/>
      <c r="FUQ363" s="36"/>
      <c r="FUR363" s="37"/>
      <c r="FUS363" s="37"/>
      <c r="FUT363" s="38"/>
      <c r="FUU363" s="38"/>
      <c r="FUV363" s="39"/>
      <c r="FUW363" s="34"/>
      <c r="FUX363" s="34"/>
      <c r="FUY363" s="34"/>
      <c r="FUZ363" s="35"/>
      <c r="FVA363" s="35"/>
      <c r="FVB363" s="35"/>
      <c r="FVC363" s="35"/>
      <c r="FVD363" s="35"/>
      <c r="FVE363" s="34"/>
      <c r="FVF363" s="34"/>
      <c r="FVG363" s="36"/>
      <c r="FVH363" s="36"/>
      <c r="FVI363" s="37"/>
      <c r="FVJ363" s="37"/>
      <c r="FVK363" s="38"/>
      <c r="FVL363" s="38"/>
      <c r="FVM363" s="39"/>
      <c r="FVN363" s="34"/>
      <c r="FVO363" s="34"/>
      <c r="FVP363" s="34"/>
      <c r="FVQ363" s="35"/>
      <c r="FVR363" s="35"/>
      <c r="FVS363" s="35"/>
      <c r="FVT363" s="35"/>
      <c r="FVU363" s="35"/>
      <c r="FVV363" s="34"/>
      <c r="FVW363" s="34"/>
      <c r="FVX363" s="36"/>
      <c r="FVY363" s="36"/>
      <c r="FVZ363" s="37"/>
      <c r="FWA363" s="37"/>
      <c r="FWB363" s="38"/>
      <c r="FWC363" s="38"/>
      <c r="FWD363" s="39"/>
      <c r="FWE363" s="34"/>
      <c r="FWF363" s="34"/>
      <c r="FWG363" s="34"/>
      <c r="FWH363" s="35"/>
      <c r="FWI363" s="35"/>
      <c r="FWJ363" s="35"/>
      <c r="FWK363" s="35"/>
      <c r="FWL363" s="35"/>
      <c r="FWM363" s="34"/>
      <c r="FWN363" s="34"/>
      <c r="FWO363" s="36"/>
      <c r="FWP363" s="36"/>
      <c r="FWQ363" s="37"/>
      <c r="FWR363" s="37"/>
      <c r="FWS363" s="38"/>
      <c r="FWT363" s="38"/>
      <c r="FWU363" s="39"/>
      <c r="FWV363" s="34"/>
      <c r="FWW363" s="34"/>
      <c r="FWX363" s="34"/>
      <c r="FWY363" s="35"/>
      <c r="FWZ363" s="35"/>
      <c r="FXA363" s="35"/>
      <c r="FXB363" s="35"/>
      <c r="FXC363" s="35"/>
      <c r="FXD363" s="34"/>
      <c r="FXE363" s="34"/>
      <c r="FXF363" s="36"/>
      <c r="FXG363" s="36"/>
      <c r="FXH363" s="37"/>
      <c r="FXI363" s="37"/>
      <c r="FXJ363" s="38"/>
      <c r="FXK363" s="38"/>
      <c r="FXL363" s="39"/>
      <c r="FXM363" s="34"/>
      <c r="FXN363" s="34"/>
      <c r="FXO363" s="34"/>
      <c r="FXP363" s="35"/>
      <c r="FXQ363" s="35"/>
      <c r="FXR363" s="35"/>
      <c r="FXS363" s="35"/>
      <c r="FXT363" s="35"/>
      <c r="FXU363" s="34"/>
      <c r="FXV363" s="34"/>
      <c r="FXW363" s="36"/>
      <c r="FXX363" s="36"/>
      <c r="FXY363" s="37"/>
      <c r="FXZ363" s="37"/>
      <c r="FYA363" s="38"/>
      <c r="FYB363" s="38"/>
      <c r="FYC363" s="39"/>
      <c r="FYD363" s="34"/>
      <c r="FYE363" s="34"/>
      <c r="FYF363" s="34"/>
      <c r="FYG363" s="35"/>
      <c r="FYH363" s="35"/>
      <c r="FYI363" s="35"/>
      <c r="FYJ363" s="35"/>
      <c r="FYK363" s="35"/>
      <c r="FYL363" s="34"/>
      <c r="FYM363" s="34"/>
      <c r="FYN363" s="36"/>
      <c r="FYO363" s="36"/>
      <c r="FYP363" s="37"/>
      <c r="FYQ363" s="37"/>
      <c r="FYR363" s="38"/>
      <c r="FYS363" s="38"/>
      <c r="FYT363" s="39"/>
      <c r="FYU363" s="34"/>
      <c r="FYV363" s="34"/>
      <c r="FYW363" s="34"/>
      <c r="FYX363" s="35"/>
      <c r="FYY363" s="35"/>
      <c r="FYZ363" s="35"/>
      <c r="FZA363" s="35"/>
      <c r="FZB363" s="35"/>
      <c r="FZC363" s="34"/>
      <c r="FZD363" s="34"/>
      <c r="FZE363" s="36"/>
      <c r="FZF363" s="36"/>
      <c r="FZG363" s="37"/>
      <c r="FZH363" s="37"/>
      <c r="FZI363" s="38"/>
      <c r="FZJ363" s="38"/>
      <c r="FZK363" s="39"/>
      <c r="FZL363" s="34"/>
      <c r="FZM363" s="34"/>
      <c r="FZN363" s="34"/>
      <c r="FZO363" s="35"/>
      <c r="FZP363" s="35"/>
      <c r="FZQ363" s="35"/>
      <c r="FZR363" s="35"/>
      <c r="FZS363" s="35"/>
      <c r="FZT363" s="34"/>
      <c r="FZU363" s="34"/>
      <c r="FZV363" s="36"/>
      <c r="FZW363" s="36"/>
      <c r="FZX363" s="37"/>
      <c r="FZY363" s="37"/>
      <c r="FZZ363" s="38"/>
      <c r="GAA363" s="38"/>
      <c r="GAB363" s="39"/>
      <c r="GAC363" s="34"/>
      <c r="GAD363" s="34"/>
      <c r="GAE363" s="34"/>
      <c r="GAF363" s="35"/>
      <c r="GAG363" s="35"/>
      <c r="GAH363" s="35"/>
      <c r="GAI363" s="35"/>
      <c r="GAJ363" s="35"/>
      <c r="GAK363" s="34"/>
      <c r="GAL363" s="34"/>
      <c r="GAM363" s="36"/>
      <c r="GAN363" s="36"/>
      <c r="GAO363" s="37"/>
      <c r="GAP363" s="37"/>
      <c r="GAQ363" s="38"/>
      <c r="GAR363" s="38"/>
      <c r="GAS363" s="39"/>
      <c r="GAT363" s="34"/>
      <c r="GAU363" s="34"/>
      <c r="GAV363" s="34"/>
      <c r="GAW363" s="35"/>
      <c r="GAX363" s="35"/>
      <c r="GAY363" s="35"/>
      <c r="GAZ363" s="35"/>
      <c r="GBA363" s="35"/>
      <c r="GBB363" s="34"/>
      <c r="GBC363" s="34"/>
      <c r="GBD363" s="36"/>
      <c r="GBE363" s="36"/>
      <c r="GBF363" s="37"/>
      <c r="GBG363" s="37"/>
      <c r="GBH363" s="38"/>
      <c r="GBI363" s="38"/>
      <c r="GBJ363" s="39"/>
      <c r="GBK363" s="34"/>
      <c r="GBL363" s="34"/>
      <c r="GBM363" s="34"/>
      <c r="GBN363" s="35"/>
      <c r="GBO363" s="35"/>
      <c r="GBP363" s="35"/>
      <c r="GBQ363" s="35"/>
      <c r="GBR363" s="35"/>
      <c r="GBS363" s="34"/>
      <c r="GBT363" s="34"/>
      <c r="GBU363" s="36"/>
      <c r="GBV363" s="36"/>
      <c r="GBW363" s="37"/>
      <c r="GBX363" s="37"/>
      <c r="GBY363" s="38"/>
      <c r="GBZ363" s="38"/>
      <c r="GCA363" s="39"/>
      <c r="GCB363" s="34"/>
      <c r="GCC363" s="34"/>
      <c r="GCD363" s="34"/>
      <c r="GCE363" s="35"/>
      <c r="GCF363" s="35"/>
      <c r="GCG363" s="35"/>
      <c r="GCH363" s="35"/>
      <c r="GCI363" s="35"/>
      <c r="GCJ363" s="34"/>
      <c r="GCK363" s="34"/>
      <c r="GCL363" s="36"/>
      <c r="GCM363" s="36"/>
      <c r="GCN363" s="37"/>
      <c r="GCO363" s="37"/>
      <c r="GCP363" s="38"/>
      <c r="GCQ363" s="38"/>
      <c r="GCR363" s="39"/>
      <c r="GCS363" s="34"/>
      <c r="GCT363" s="34"/>
      <c r="GCU363" s="34"/>
      <c r="GCV363" s="35"/>
      <c r="GCW363" s="35"/>
      <c r="GCX363" s="35"/>
      <c r="GCY363" s="35"/>
      <c r="GCZ363" s="35"/>
      <c r="GDA363" s="34"/>
      <c r="GDB363" s="34"/>
      <c r="GDC363" s="36"/>
      <c r="GDD363" s="36"/>
      <c r="GDE363" s="37"/>
      <c r="GDF363" s="37"/>
      <c r="GDG363" s="38"/>
      <c r="GDH363" s="38"/>
      <c r="GDI363" s="39"/>
      <c r="GDJ363" s="34"/>
      <c r="GDK363" s="34"/>
      <c r="GDL363" s="34"/>
      <c r="GDM363" s="35"/>
      <c r="GDN363" s="35"/>
      <c r="GDO363" s="35"/>
      <c r="GDP363" s="35"/>
      <c r="GDQ363" s="35"/>
      <c r="GDR363" s="34"/>
      <c r="GDS363" s="34"/>
      <c r="GDT363" s="36"/>
      <c r="GDU363" s="36"/>
      <c r="GDV363" s="37"/>
      <c r="GDW363" s="37"/>
      <c r="GDX363" s="38"/>
      <c r="GDY363" s="38"/>
      <c r="GDZ363" s="39"/>
      <c r="GEA363" s="34"/>
      <c r="GEB363" s="34"/>
      <c r="GEC363" s="34"/>
      <c r="GED363" s="35"/>
      <c r="GEE363" s="35"/>
      <c r="GEF363" s="35"/>
      <c r="GEG363" s="35"/>
      <c r="GEH363" s="35"/>
      <c r="GEI363" s="34"/>
      <c r="GEJ363" s="34"/>
      <c r="GEK363" s="36"/>
      <c r="GEL363" s="36"/>
      <c r="GEM363" s="37"/>
      <c r="GEN363" s="37"/>
      <c r="GEO363" s="38"/>
      <c r="GEP363" s="38"/>
      <c r="GEQ363" s="39"/>
      <c r="GER363" s="34"/>
      <c r="GES363" s="34"/>
      <c r="GET363" s="34"/>
      <c r="GEU363" s="35"/>
      <c r="GEV363" s="35"/>
      <c r="GEW363" s="35"/>
      <c r="GEX363" s="35"/>
      <c r="GEY363" s="35"/>
      <c r="GEZ363" s="34"/>
      <c r="GFA363" s="34"/>
      <c r="GFB363" s="36"/>
      <c r="GFC363" s="36"/>
      <c r="GFD363" s="37"/>
      <c r="GFE363" s="37"/>
      <c r="GFF363" s="38"/>
      <c r="GFG363" s="38"/>
      <c r="GFH363" s="39"/>
      <c r="GFI363" s="34"/>
      <c r="GFJ363" s="34"/>
      <c r="GFK363" s="34"/>
      <c r="GFL363" s="35"/>
      <c r="GFM363" s="35"/>
      <c r="GFN363" s="35"/>
      <c r="GFO363" s="35"/>
      <c r="GFP363" s="35"/>
      <c r="GFQ363" s="34"/>
      <c r="GFR363" s="34"/>
      <c r="GFS363" s="36"/>
      <c r="GFT363" s="36"/>
      <c r="GFU363" s="37"/>
      <c r="GFV363" s="37"/>
      <c r="GFW363" s="38"/>
      <c r="GFX363" s="38"/>
      <c r="GFY363" s="39"/>
      <c r="GFZ363" s="34"/>
      <c r="GGA363" s="34"/>
      <c r="GGB363" s="34"/>
      <c r="GGC363" s="35"/>
      <c r="GGD363" s="35"/>
      <c r="GGE363" s="35"/>
      <c r="GGF363" s="35"/>
      <c r="GGG363" s="35"/>
      <c r="GGH363" s="34"/>
      <c r="GGI363" s="34"/>
      <c r="GGJ363" s="36"/>
      <c r="GGK363" s="36"/>
      <c r="GGL363" s="37"/>
      <c r="GGM363" s="37"/>
      <c r="GGN363" s="38"/>
      <c r="GGO363" s="38"/>
      <c r="GGP363" s="39"/>
      <c r="GGQ363" s="34"/>
      <c r="GGR363" s="34"/>
      <c r="GGS363" s="34"/>
      <c r="GGT363" s="35"/>
      <c r="GGU363" s="35"/>
      <c r="GGV363" s="35"/>
      <c r="GGW363" s="35"/>
      <c r="GGX363" s="35"/>
      <c r="GGY363" s="34"/>
      <c r="GGZ363" s="34"/>
      <c r="GHA363" s="36"/>
      <c r="GHB363" s="36"/>
      <c r="GHC363" s="37"/>
      <c r="GHD363" s="37"/>
      <c r="GHE363" s="38"/>
      <c r="GHF363" s="38"/>
      <c r="GHG363" s="39"/>
      <c r="GHH363" s="34"/>
      <c r="GHI363" s="34"/>
      <c r="GHJ363" s="34"/>
      <c r="GHK363" s="35"/>
      <c r="GHL363" s="35"/>
      <c r="GHM363" s="35"/>
      <c r="GHN363" s="35"/>
      <c r="GHO363" s="35"/>
      <c r="GHP363" s="34"/>
      <c r="GHQ363" s="34"/>
      <c r="GHR363" s="36"/>
      <c r="GHS363" s="36"/>
      <c r="GHT363" s="37"/>
      <c r="GHU363" s="37"/>
      <c r="GHV363" s="38"/>
      <c r="GHW363" s="38"/>
      <c r="GHX363" s="39"/>
      <c r="GHY363" s="34"/>
      <c r="GHZ363" s="34"/>
      <c r="GIA363" s="34"/>
      <c r="GIB363" s="35"/>
      <c r="GIC363" s="35"/>
      <c r="GID363" s="35"/>
      <c r="GIE363" s="35"/>
      <c r="GIF363" s="35"/>
      <c r="GIG363" s="34"/>
      <c r="GIH363" s="34"/>
      <c r="GII363" s="36"/>
      <c r="GIJ363" s="36"/>
      <c r="GIK363" s="37"/>
      <c r="GIL363" s="37"/>
      <c r="GIM363" s="38"/>
      <c r="GIN363" s="38"/>
      <c r="GIO363" s="39"/>
      <c r="GIP363" s="34"/>
      <c r="GIQ363" s="34"/>
      <c r="GIR363" s="34"/>
      <c r="GIS363" s="35"/>
      <c r="GIT363" s="35"/>
      <c r="GIU363" s="35"/>
      <c r="GIV363" s="35"/>
      <c r="GIW363" s="35"/>
      <c r="GIX363" s="34"/>
      <c r="GIY363" s="34"/>
      <c r="GIZ363" s="36"/>
      <c r="GJA363" s="36"/>
      <c r="GJB363" s="37"/>
      <c r="GJC363" s="37"/>
      <c r="GJD363" s="38"/>
      <c r="GJE363" s="38"/>
      <c r="GJF363" s="39"/>
      <c r="GJG363" s="34"/>
      <c r="GJH363" s="34"/>
      <c r="GJI363" s="34"/>
      <c r="GJJ363" s="35"/>
      <c r="GJK363" s="35"/>
      <c r="GJL363" s="35"/>
      <c r="GJM363" s="35"/>
      <c r="GJN363" s="35"/>
      <c r="GJO363" s="34"/>
      <c r="GJP363" s="34"/>
      <c r="GJQ363" s="36"/>
      <c r="GJR363" s="36"/>
      <c r="GJS363" s="37"/>
      <c r="GJT363" s="37"/>
      <c r="GJU363" s="38"/>
      <c r="GJV363" s="38"/>
      <c r="GJW363" s="39"/>
      <c r="GJX363" s="34"/>
      <c r="GJY363" s="34"/>
      <c r="GJZ363" s="34"/>
      <c r="GKA363" s="35"/>
      <c r="GKB363" s="35"/>
      <c r="GKC363" s="35"/>
      <c r="GKD363" s="35"/>
      <c r="GKE363" s="35"/>
      <c r="GKF363" s="34"/>
      <c r="GKG363" s="34"/>
      <c r="GKH363" s="36"/>
      <c r="GKI363" s="36"/>
      <c r="GKJ363" s="37"/>
      <c r="GKK363" s="37"/>
      <c r="GKL363" s="38"/>
      <c r="GKM363" s="38"/>
      <c r="GKN363" s="39"/>
      <c r="GKO363" s="34"/>
      <c r="GKP363" s="34"/>
      <c r="GKQ363" s="34"/>
      <c r="GKR363" s="35"/>
      <c r="GKS363" s="35"/>
      <c r="GKT363" s="35"/>
      <c r="GKU363" s="35"/>
      <c r="GKV363" s="35"/>
      <c r="GKW363" s="34"/>
      <c r="GKX363" s="34"/>
      <c r="GKY363" s="36"/>
      <c r="GKZ363" s="36"/>
      <c r="GLA363" s="37"/>
      <c r="GLB363" s="37"/>
      <c r="GLC363" s="38"/>
      <c r="GLD363" s="38"/>
      <c r="GLE363" s="39"/>
      <c r="GLF363" s="34"/>
      <c r="GLG363" s="34"/>
      <c r="GLH363" s="34"/>
      <c r="GLI363" s="35"/>
      <c r="GLJ363" s="35"/>
      <c r="GLK363" s="35"/>
      <c r="GLL363" s="35"/>
      <c r="GLM363" s="35"/>
      <c r="GLN363" s="34"/>
      <c r="GLO363" s="34"/>
      <c r="GLP363" s="36"/>
      <c r="GLQ363" s="36"/>
      <c r="GLR363" s="37"/>
      <c r="GLS363" s="37"/>
      <c r="GLT363" s="38"/>
      <c r="GLU363" s="38"/>
      <c r="GLV363" s="39"/>
      <c r="GLW363" s="34"/>
      <c r="GLX363" s="34"/>
      <c r="GLY363" s="34"/>
      <c r="GLZ363" s="35"/>
      <c r="GMA363" s="35"/>
      <c r="GMB363" s="35"/>
      <c r="GMC363" s="35"/>
      <c r="GMD363" s="35"/>
      <c r="GME363" s="34"/>
      <c r="GMF363" s="34"/>
      <c r="GMG363" s="36"/>
      <c r="GMH363" s="36"/>
      <c r="GMI363" s="37"/>
      <c r="GMJ363" s="37"/>
      <c r="GMK363" s="38"/>
      <c r="GML363" s="38"/>
      <c r="GMM363" s="39"/>
      <c r="GMN363" s="34"/>
      <c r="GMO363" s="34"/>
      <c r="GMP363" s="34"/>
      <c r="GMQ363" s="35"/>
      <c r="GMR363" s="35"/>
      <c r="GMS363" s="35"/>
      <c r="GMT363" s="35"/>
      <c r="GMU363" s="35"/>
      <c r="GMV363" s="34"/>
      <c r="GMW363" s="34"/>
      <c r="GMX363" s="36"/>
      <c r="GMY363" s="36"/>
      <c r="GMZ363" s="37"/>
      <c r="GNA363" s="37"/>
      <c r="GNB363" s="38"/>
      <c r="GNC363" s="38"/>
      <c r="GND363" s="39"/>
      <c r="GNE363" s="34"/>
      <c r="GNF363" s="34"/>
      <c r="GNG363" s="34"/>
      <c r="GNH363" s="35"/>
      <c r="GNI363" s="35"/>
      <c r="GNJ363" s="35"/>
      <c r="GNK363" s="35"/>
      <c r="GNL363" s="35"/>
      <c r="GNM363" s="34"/>
      <c r="GNN363" s="34"/>
      <c r="GNO363" s="36"/>
      <c r="GNP363" s="36"/>
      <c r="GNQ363" s="37"/>
      <c r="GNR363" s="37"/>
      <c r="GNS363" s="38"/>
      <c r="GNT363" s="38"/>
      <c r="GNU363" s="39"/>
      <c r="GNV363" s="34"/>
      <c r="GNW363" s="34"/>
      <c r="GNX363" s="34"/>
      <c r="GNY363" s="35"/>
      <c r="GNZ363" s="35"/>
      <c r="GOA363" s="35"/>
      <c r="GOB363" s="35"/>
      <c r="GOC363" s="35"/>
      <c r="GOD363" s="34"/>
      <c r="GOE363" s="34"/>
      <c r="GOF363" s="36"/>
      <c r="GOG363" s="36"/>
      <c r="GOH363" s="37"/>
      <c r="GOI363" s="37"/>
      <c r="GOJ363" s="38"/>
      <c r="GOK363" s="38"/>
      <c r="GOL363" s="39"/>
      <c r="GOM363" s="34"/>
      <c r="GON363" s="34"/>
      <c r="GOO363" s="34"/>
      <c r="GOP363" s="35"/>
      <c r="GOQ363" s="35"/>
      <c r="GOR363" s="35"/>
      <c r="GOS363" s="35"/>
      <c r="GOT363" s="35"/>
      <c r="GOU363" s="34"/>
      <c r="GOV363" s="34"/>
      <c r="GOW363" s="36"/>
      <c r="GOX363" s="36"/>
      <c r="GOY363" s="37"/>
      <c r="GOZ363" s="37"/>
      <c r="GPA363" s="38"/>
      <c r="GPB363" s="38"/>
      <c r="GPC363" s="39"/>
      <c r="GPD363" s="34"/>
      <c r="GPE363" s="34"/>
      <c r="GPF363" s="34"/>
      <c r="GPG363" s="35"/>
      <c r="GPH363" s="35"/>
      <c r="GPI363" s="35"/>
      <c r="GPJ363" s="35"/>
      <c r="GPK363" s="35"/>
      <c r="GPL363" s="34"/>
      <c r="GPM363" s="34"/>
      <c r="GPN363" s="36"/>
      <c r="GPO363" s="36"/>
      <c r="GPP363" s="37"/>
      <c r="GPQ363" s="37"/>
      <c r="GPR363" s="38"/>
      <c r="GPS363" s="38"/>
      <c r="GPT363" s="39"/>
      <c r="GPU363" s="34"/>
      <c r="GPV363" s="34"/>
      <c r="GPW363" s="34"/>
      <c r="GPX363" s="35"/>
      <c r="GPY363" s="35"/>
      <c r="GPZ363" s="35"/>
      <c r="GQA363" s="35"/>
      <c r="GQB363" s="35"/>
      <c r="GQC363" s="34"/>
      <c r="GQD363" s="34"/>
      <c r="GQE363" s="36"/>
      <c r="GQF363" s="36"/>
      <c r="GQG363" s="37"/>
      <c r="GQH363" s="37"/>
      <c r="GQI363" s="38"/>
      <c r="GQJ363" s="38"/>
      <c r="GQK363" s="39"/>
      <c r="GQL363" s="34"/>
      <c r="GQM363" s="34"/>
      <c r="GQN363" s="34"/>
      <c r="GQO363" s="35"/>
      <c r="GQP363" s="35"/>
      <c r="GQQ363" s="35"/>
      <c r="GQR363" s="35"/>
      <c r="GQS363" s="35"/>
      <c r="GQT363" s="34"/>
      <c r="GQU363" s="34"/>
      <c r="GQV363" s="36"/>
      <c r="GQW363" s="36"/>
      <c r="GQX363" s="37"/>
      <c r="GQY363" s="37"/>
      <c r="GQZ363" s="38"/>
      <c r="GRA363" s="38"/>
      <c r="GRB363" s="39"/>
      <c r="GRC363" s="34"/>
      <c r="GRD363" s="34"/>
      <c r="GRE363" s="34"/>
      <c r="GRF363" s="35"/>
      <c r="GRG363" s="35"/>
      <c r="GRH363" s="35"/>
      <c r="GRI363" s="35"/>
      <c r="GRJ363" s="35"/>
      <c r="GRK363" s="34"/>
      <c r="GRL363" s="34"/>
      <c r="GRM363" s="36"/>
      <c r="GRN363" s="36"/>
      <c r="GRO363" s="37"/>
      <c r="GRP363" s="37"/>
      <c r="GRQ363" s="38"/>
      <c r="GRR363" s="38"/>
      <c r="GRS363" s="39"/>
      <c r="GRT363" s="34"/>
      <c r="GRU363" s="34"/>
      <c r="GRV363" s="34"/>
      <c r="GRW363" s="35"/>
      <c r="GRX363" s="35"/>
      <c r="GRY363" s="35"/>
      <c r="GRZ363" s="35"/>
      <c r="GSA363" s="35"/>
      <c r="GSB363" s="34"/>
      <c r="GSC363" s="34"/>
      <c r="GSD363" s="36"/>
      <c r="GSE363" s="36"/>
      <c r="GSF363" s="37"/>
      <c r="GSG363" s="37"/>
      <c r="GSH363" s="38"/>
      <c r="GSI363" s="38"/>
      <c r="GSJ363" s="39"/>
      <c r="GSK363" s="34"/>
      <c r="GSL363" s="34"/>
      <c r="GSM363" s="34"/>
      <c r="GSN363" s="35"/>
      <c r="GSO363" s="35"/>
      <c r="GSP363" s="35"/>
      <c r="GSQ363" s="35"/>
      <c r="GSR363" s="35"/>
      <c r="GSS363" s="34"/>
      <c r="GST363" s="34"/>
      <c r="GSU363" s="36"/>
      <c r="GSV363" s="36"/>
      <c r="GSW363" s="37"/>
      <c r="GSX363" s="37"/>
      <c r="GSY363" s="38"/>
      <c r="GSZ363" s="38"/>
      <c r="GTA363" s="39"/>
      <c r="GTB363" s="34"/>
      <c r="GTC363" s="34"/>
      <c r="GTD363" s="34"/>
      <c r="GTE363" s="35"/>
      <c r="GTF363" s="35"/>
      <c r="GTG363" s="35"/>
      <c r="GTH363" s="35"/>
      <c r="GTI363" s="35"/>
      <c r="GTJ363" s="34"/>
      <c r="GTK363" s="34"/>
      <c r="GTL363" s="36"/>
      <c r="GTM363" s="36"/>
      <c r="GTN363" s="37"/>
      <c r="GTO363" s="37"/>
      <c r="GTP363" s="38"/>
      <c r="GTQ363" s="38"/>
      <c r="GTR363" s="39"/>
      <c r="GTS363" s="34"/>
      <c r="GTT363" s="34"/>
      <c r="GTU363" s="34"/>
      <c r="GTV363" s="35"/>
      <c r="GTW363" s="35"/>
      <c r="GTX363" s="35"/>
      <c r="GTY363" s="35"/>
      <c r="GTZ363" s="35"/>
      <c r="GUA363" s="34"/>
      <c r="GUB363" s="34"/>
      <c r="GUC363" s="36"/>
      <c r="GUD363" s="36"/>
      <c r="GUE363" s="37"/>
      <c r="GUF363" s="37"/>
      <c r="GUG363" s="38"/>
      <c r="GUH363" s="38"/>
      <c r="GUI363" s="39"/>
      <c r="GUJ363" s="34"/>
      <c r="GUK363" s="34"/>
      <c r="GUL363" s="34"/>
      <c r="GUM363" s="35"/>
      <c r="GUN363" s="35"/>
      <c r="GUO363" s="35"/>
      <c r="GUP363" s="35"/>
      <c r="GUQ363" s="35"/>
      <c r="GUR363" s="34"/>
      <c r="GUS363" s="34"/>
      <c r="GUT363" s="36"/>
      <c r="GUU363" s="36"/>
      <c r="GUV363" s="37"/>
      <c r="GUW363" s="37"/>
      <c r="GUX363" s="38"/>
      <c r="GUY363" s="38"/>
      <c r="GUZ363" s="39"/>
      <c r="GVA363" s="34"/>
      <c r="GVB363" s="34"/>
      <c r="GVC363" s="34"/>
      <c r="GVD363" s="35"/>
      <c r="GVE363" s="35"/>
      <c r="GVF363" s="35"/>
      <c r="GVG363" s="35"/>
      <c r="GVH363" s="35"/>
      <c r="GVI363" s="34"/>
      <c r="GVJ363" s="34"/>
      <c r="GVK363" s="36"/>
      <c r="GVL363" s="36"/>
      <c r="GVM363" s="37"/>
      <c r="GVN363" s="37"/>
      <c r="GVO363" s="38"/>
      <c r="GVP363" s="38"/>
      <c r="GVQ363" s="39"/>
      <c r="GVR363" s="34"/>
      <c r="GVS363" s="34"/>
      <c r="GVT363" s="34"/>
      <c r="GVU363" s="35"/>
      <c r="GVV363" s="35"/>
      <c r="GVW363" s="35"/>
      <c r="GVX363" s="35"/>
      <c r="GVY363" s="35"/>
      <c r="GVZ363" s="34"/>
      <c r="GWA363" s="34"/>
      <c r="GWB363" s="36"/>
      <c r="GWC363" s="36"/>
      <c r="GWD363" s="37"/>
      <c r="GWE363" s="37"/>
      <c r="GWF363" s="38"/>
      <c r="GWG363" s="38"/>
      <c r="GWH363" s="39"/>
      <c r="GWI363" s="34"/>
      <c r="GWJ363" s="34"/>
      <c r="GWK363" s="34"/>
      <c r="GWL363" s="35"/>
      <c r="GWM363" s="35"/>
      <c r="GWN363" s="35"/>
      <c r="GWO363" s="35"/>
      <c r="GWP363" s="35"/>
      <c r="GWQ363" s="34"/>
      <c r="GWR363" s="34"/>
      <c r="GWS363" s="36"/>
      <c r="GWT363" s="36"/>
      <c r="GWU363" s="37"/>
      <c r="GWV363" s="37"/>
      <c r="GWW363" s="38"/>
      <c r="GWX363" s="38"/>
      <c r="GWY363" s="39"/>
      <c r="GWZ363" s="34"/>
      <c r="GXA363" s="34"/>
      <c r="GXB363" s="34"/>
      <c r="GXC363" s="35"/>
      <c r="GXD363" s="35"/>
      <c r="GXE363" s="35"/>
      <c r="GXF363" s="35"/>
      <c r="GXG363" s="35"/>
      <c r="GXH363" s="34"/>
      <c r="GXI363" s="34"/>
      <c r="GXJ363" s="36"/>
      <c r="GXK363" s="36"/>
      <c r="GXL363" s="37"/>
      <c r="GXM363" s="37"/>
      <c r="GXN363" s="38"/>
      <c r="GXO363" s="38"/>
      <c r="GXP363" s="39"/>
      <c r="GXQ363" s="34"/>
      <c r="GXR363" s="34"/>
      <c r="GXS363" s="34"/>
      <c r="GXT363" s="35"/>
      <c r="GXU363" s="35"/>
      <c r="GXV363" s="35"/>
      <c r="GXW363" s="35"/>
      <c r="GXX363" s="35"/>
      <c r="GXY363" s="34"/>
      <c r="GXZ363" s="34"/>
      <c r="GYA363" s="36"/>
      <c r="GYB363" s="36"/>
      <c r="GYC363" s="37"/>
      <c r="GYD363" s="37"/>
      <c r="GYE363" s="38"/>
      <c r="GYF363" s="38"/>
      <c r="GYG363" s="39"/>
      <c r="GYH363" s="34"/>
      <c r="GYI363" s="34"/>
      <c r="GYJ363" s="34"/>
      <c r="GYK363" s="35"/>
      <c r="GYL363" s="35"/>
      <c r="GYM363" s="35"/>
      <c r="GYN363" s="35"/>
      <c r="GYO363" s="35"/>
      <c r="GYP363" s="34"/>
      <c r="GYQ363" s="34"/>
      <c r="GYR363" s="36"/>
      <c r="GYS363" s="36"/>
      <c r="GYT363" s="37"/>
      <c r="GYU363" s="37"/>
      <c r="GYV363" s="38"/>
      <c r="GYW363" s="38"/>
      <c r="GYX363" s="39"/>
      <c r="GYY363" s="34"/>
      <c r="GYZ363" s="34"/>
      <c r="GZA363" s="34"/>
      <c r="GZB363" s="35"/>
      <c r="GZC363" s="35"/>
      <c r="GZD363" s="35"/>
      <c r="GZE363" s="35"/>
      <c r="GZF363" s="35"/>
      <c r="GZG363" s="34"/>
      <c r="GZH363" s="34"/>
      <c r="GZI363" s="36"/>
      <c r="GZJ363" s="36"/>
      <c r="GZK363" s="37"/>
      <c r="GZL363" s="37"/>
      <c r="GZM363" s="38"/>
      <c r="GZN363" s="38"/>
      <c r="GZO363" s="39"/>
      <c r="GZP363" s="34"/>
      <c r="GZQ363" s="34"/>
      <c r="GZR363" s="34"/>
      <c r="GZS363" s="35"/>
      <c r="GZT363" s="35"/>
      <c r="GZU363" s="35"/>
      <c r="GZV363" s="35"/>
      <c r="GZW363" s="35"/>
      <c r="GZX363" s="34"/>
      <c r="GZY363" s="34"/>
      <c r="GZZ363" s="36"/>
      <c r="HAA363" s="36"/>
      <c r="HAB363" s="37"/>
      <c r="HAC363" s="37"/>
      <c r="HAD363" s="38"/>
      <c r="HAE363" s="38"/>
      <c r="HAF363" s="39"/>
      <c r="HAG363" s="34"/>
      <c r="HAH363" s="34"/>
      <c r="HAI363" s="34"/>
      <c r="HAJ363" s="35"/>
      <c r="HAK363" s="35"/>
      <c r="HAL363" s="35"/>
      <c r="HAM363" s="35"/>
      <c r="HAN363" s="35"/>
      <c r="HAO363" s="34"/>
      <c r="HAP363" s="34"/>
      <c r="HAQ363" s="36"/>
      <c r="HAR363" s="36"/>
      <c r="HAS363" s="37"/>
      <c r="HAT363" s="37"/>
      <c r="HAU363" s="38"/>
      <c r="HAV363" s="38"/>
      <c r="HAW363" s="39"/>
      <c r="HAX363" s="34"/>
      <c r="HAY363" s="34"/>
      <c r="HAZ363" s="34"/>
      <c r="HBA363" s="35"/>
      <c r="HBB363" s="35"/>
      <c r="HBC363" s="35"/>
      <c r="HBD363" s="35"/>
      <c r="HBE363" s="35"/>
      <c r="HBF363" s="34"/>
      <c r="HBG363" s="34"/>
      <c r="HBH363" s="36"/>
      <c r="HBI363" s="36"/>
      <c r="HBJ363" s="37"/>
      <c r="HBK363" s="37"/>
      <c r="HBL363" s="38"/>
      <c r="HBM363" s="38"/>
      <c r="HBN363" s="39"/>
      <c r="HBO363" s="34"/>
      <c r="HBP363" s="34"/>
      <c r="HBQ363" s="34"/>
      <c r="HBR363" s="35"/>
      <c r="HBS363" s="35"/>
      <c r="HBT363" s="35"/>
      <c r="HBU363" s="35"/>
      <c r="HBV363" s="35"/>
      <c r="HBW363" s="34"/>
      <c r="HBX363" s="34"/>
      <c r="HBY363" s="36"/>
      <c r="HBZ363" s="36"/>
      <c r="HCA363" s="37"/>
      <c r="HCB363" s="37"/>
      <c r="HCC363" s="38"/>
      <c r="HCD363" s="38"/>
      <c r="HCE363" s="39"/>
      <c r="HCF363" s="34"/>
      <c r="HCG363" s="34"/>
      <c r="HCH363" s="34"/>
      <c r="HCI363" s="35"/>
      <c r="HCJ363" s="35"/>
      <c r="HCK363" s="35"/>
      <c r="HCL363" s="35"/>
      <c r="HCM363" s="35"/>
      <c r="HCN363" s="34"/>
      <c r="HCO363" s="34"/>
      <c r="HCP363" s="36"/>
      <c r="HCQ363" s="36"/>
      <c r="HCR363" s="37"/>
      <c r="HCS363" s="37"/>
      <c r="HCT363" s="38"/>
      <c r="HCU363" s="38"/>
      <c r="HCV363" s="39"/>
      <c r="HCW363" s="34"/>
      <c r="HCX363" s="34"/>
      <c r="HCY363" s="34"/>
      <c r="HCZ363" s="35"/>
      <c r="HDA363" s="35"/>
      <c r="HDB363" s="35"/>
      <c r="HDC363" s="35"/>
      <c r="HDD363" s="35"/>
      <c r="HDE363" s="34"/>
      <c r="HDF363" s="34"/>
      <c r="HDG363" s="36"/>
      <c r="HDH363" s="36"/>
      <c r="HDI363" s="37"/>
      <c r="HDJ363" s="37"/>
      <c r="HDK363" s="38"/>
      <c r="HDL363" s="38"/>
      <c r="HDM363" s="39"/>
      <c r="HDN363" s="34"/>
      <c r="HDO363" s="34"/>
      <c r="HDP363" s="34"/>
      <c r="HDQ363" s="35"/>
      <c r="HDR363" s="35"/>
      <c r="HDS363" s="35"/>
      <c r="HDT363" s="35"/>
      <c r="HDU363" s="35"/>
      <c r="HDV363" s="34"/>
      <c r="HDW363" s="34"/>
      <c r="HDX363" s="36"/>
      <c r="HDY363" s="36"/>
      <c r="HDZ363" s="37"/>
      <c r="HEA363" s="37"/>
      <c r="HEB363" s="38"/>
      <c r="HEC363" s="38"/>
      <c r="HED363" s="39"/>
      <c r="HEE363" s="34"/>
      <c r="HEF363" s="34"/>
      <c r="HEG363" s="34"/>
      <c r="HEH363" s="35"/>
      <c r="HEI363" s="35"/>
      <c r="HEJ363" s="35"/>
      <c r="HEK363" s="35"/>
      <c r="HEL363" s="35"/>
      <c r="HEM363" s="34"/>
      <c r="HEN363" s="34"/>
      <c r="HEO363" s="36"/>
      <c r="HEP363" s="36"/>
      <c r="HEQ363" s="37"/>
      <c r="HER363" s="37"/>
      <c r="HES363" s="38"/>
      <c r="HET363" s="38"/>
      <c r="HEU363" s="39"/>
      <c r="HEV363" s="34"/>
      <c r="HEW363" s="34"/>
      <c r="HEX363" s="34"/>
      <c r="HEY363" s="35"/>
      <c r="HEZ363" s="35"/>
      <c r="HFA363" s="35"/>
      <c r="HFB363" s="35"/>
      <c r="HFC363" s="35"/>
      <c r="HFD363" s="34"/>
      <c r="HFE363" s="34"/>
      <c r="HFF363" s="36"/>
      <c r="HFG363" s="36"/>
      <c r="HFH363" s="37"/>
      <c r="HFI363" s="37"/>
      <c r="HFJ363" s="38"/>
      <c r="HFK363" s="38"/>
      <c r="HFL363" s="39"/>
      <c r="HFM363" s="34"/>
      <c r="HFN363" s="34"/>
      <c r="HFO363" s="34"/>
      <c r="HFP363" s="35"/>
      <c r="HFQ363" s="35"/>
      <c r="HFR363" s="35"/>
      <c r="HFS363" s="35"/>
      <c r="HFT363" s="35"/>
      <c r="HFU363" s="34"/>
      <c r="HFV363" s="34"/>
      <c r="HFW363" s="36"/>
      <c r="HFX363" s="36"/>
      <c r="HFY363" s="37"/>
      <c r="HFZ363" s="37"/>
      <c r="HGA363" s="38"/>
      <c r="HGB363" s="38"/>
      <c r="HGC363" s="39"/>
      <c r="HGD363" s="34"/>
      <c r="HGE363" s="34"/>
      <c r="HGF363" s="34"/>
      <c r="HGG363" s="35"/>
      <c r="HGH363" s="35"/>
      <c r="HGI363" s="35"/>
      <c r="HGJ363" s="35"/>
      <c r="HGK363" s="35"/>
      <c r="HGL363" s="34"/>
      <c r="HGM363" s="34"/>
      <c r="HGN363" s="36"/>
      <c r="HGO363" s="36"/>
      <c r="HGP363" s="37"/>
      <c r="HGQ363" s="37"/>
      <c r="HGR363" s="38"/>
      <c r="HGS363" s="38"/>
      <c r="HGT363" s="39"/>
      <c r="HGU363" s="34"/>
      <c r="HGV363" s="34"/>
      <c r="HGW363" s="34"/>
      <c r="HGX363" s="35"/>
      <c r="HGY363" s="35"/>
      <c r="HGZ363" s="35"/>
      <c r="HHA363" s="35"/>
      <c r="HHB363" s="35"/>
      <c r="HHC363" s="34"/>
      <c r="HHD363" s="34"/>
      <c r="HHE363" s="36"/>
      <c r="HHF363" s="36"/>
      <c r="HHG363" s="37"/>
      <c r="HHH363" s="37"/>
      <c r="HHI363" s="38"/>
      <c r="HHJ363" s="38"/>
      <c r="HHK363" s="39"/>
      <c r="HHL363" s="34"/>
      <c r="HHM363" s="34"/>
      <c r="HHN363" s="34"/>
      <c r="HHO363" s="35"/>
      <c r="HHP363" s="35"/>
      <c r="HHQ363" s="35"/>
      <c r="HHR363" s="35"/>
      <c r="HHS363" s="35"/>
      <c r="HHT363" s="34"/>
      <c r="HHU363" s="34"/>
      <c r="HHV363" s="36"/>
      <c r="HHW363" s="36"/>
      <c r="HHX363" s="37"/>
      <c r="HHY363" s="37"/>
      <c r="HHZ363" s="38"/>
      <c r="HIA363" s="38"/>
      <c r="HIB363" s="39"/>
      <c r="HIC363" s="34"/>
      <c r="HID363" s="34"/>
      <c r="HIE363" s="34"/>
      <c r="HIF363" s="35"/>
      <c r="HIG363" s="35"/>
      <c r="HIH363" s="35"/>
      <c r="HII363" s="35"/>
      <c r="HIJ363" s="35"/>
      <c r="HIK363" s="34"/>
      <c r="HIL363" s="34"/>
      <c r="HIM363" s="36"/>
      <c r="HIN363" s="36"/>
      <c r="HIO363" s="37"/>
      <c r="HIP363" s="37"/>
      <c r="HIQ363" s="38"/>
      <c r="HIR363" s="38"/>
      <c r="HIS363" s="39"/>
      <c r="HIT363" s="34"/>
      <c r="HIU363" s="34"/>
      <c r="HIV363" s="34"/>
      <c r="HIW363" s="35"/>
      <c r="HIX363" s="35"/>
      <c r="HIY363" s="35"/>
      <c r="HIZ363" s="35"/>
      <c r="HJA363" s="35"/>
      <c r="HJB363" s="34"/>
      <c r="HJC363" s="34"/>
      <c r="HJD363" s="36"/>
      <c r="HJE363" s="36"/>
      <c r="HJF363" s="37"/>
      <c r="HJG363" s="37"/>
      <c r="HJH363" s="38"/>
      <c r="HJI363" s="38"/>
      <c r="HJJ363" s="39"/>
      <c r="HJK363" s="34"/>
      <c r="HJL363" s="34"/>
      <c r="HJM363" s="34"/>
      <c r="HJN363" s="35"/>
      <c r="HJO363" s="35"/>
      <c r="HJP363" s="35"/>
      <c r="HJQ363" s="35"/>
      <c r="HJR363" s="35"/>
      <c r="HJS363" s="34"/>
      <c r="HJT363" s="34"/>
      <c r="HJU363" s="36"/>
      <c r="HJV363" s="36"/>
      <c r="HJW363" s="37"/>
      <c r="HJX363" s="37"/>
      <c r="HJY363" s="38"/>
      <c r="HJZ363" s="38"/>
      <c r="HKA363" s="39"/>
      <c r="HKB363" s="34"/>
      <c r="HKC363" s="34"/>
      <c r="HKD363" s="34"/>
      <c r="HKE363" s="35"/>
      <c r="HKF363" s="35"/>
      <c r="HKG363" s="35"/>
      <c r="HKH363" s="35"/>
      <c r="HKI363" s="35"/>
      <c r="HKJ363" s="34"/>
      <c r="HKK363" s="34"/>
      <c r="HKL363" s="36"/>
      <c r="HKM363" s="36"/>
      <c r="HKN363" s="37"/>
      <c r="HKO363" s="37"/>
      <c r="HKP363" s="38"/>
      <c r="HKQ363" s="38"/>
      <c r="HKR363" s="39"/>
      <c r="HKS363" s="34"/>
      <c r="HKT363" s="34"/>
      <c r="HKU363" s="34"/>
      <c r="HKV363" s="35"/>
      <c r="HKW363" s="35"/>
      <c r="HKX363" s="35"/>
      <c r="HKY363" s="35"/>
      <c r="HKZ363" s="35"/>
      <c r="HLA363" s="34"/>
      <c r="HLB363" s="34"/>
      <c r="HLC363" s="36"/>
      <c r="HLD363" s="36"/>
      <c r="HLE363" s="37"/>
      <c r="HLF363" s="37"/>
      <c r="HLG363" s="38"/>
      <c r="HLH363" s="38"/>
      <c r="HLI363" s="39"/>
      <c r="HLJ363" s="34"/>
      <c r="HLK363" s="34"/>
      <c r="HLL363" s="34"/>
      <c r="HLM363" s="35"/>
      <c r="HLN363" s="35"/>
      <c r="HLO363" s="35"/>
      <c r="HLP363" s="35"/>
      <c r="HLQ363" s="35"/>
      <c r="HLR363" s="34"/>
      <c r="HLS363" s="34"/>
      <c r="HLT363" s="36"/>
      <c r="HLU363" s="36"/>
      <c r="HLV363" s="37"/>
      <c r="HLW363" s="37"/>
      <c r="HLX363" s="38"/>
      <c r="HLY363" s="38"/>
      <c r="HLZ363" s="39"/>
      <c r="HMA363" s="34"/>
      <c r="HMB363" s="34"/>
      <c r="HMC363" s="34"/>
      <c r="HMD363" s="35"/>
      <c r="HME363" s="35"/>
      <c r="HMF363" s="35"/>
      <c r="HMG363" s="35"/>
      <c r="HMH363" s="35"/>
      <c r="HMI363" s="34"/>
      <c r="HMJ363" s="34"/>
      <c r="HMK363" s="36"/>
      <c r="HML363" s="36"/>
      <c r="HMM363" s="37"/>
      <c r="HMN363" s="37"/>
      <c r="HMO363" s="38"/>
      <c r="HMP363" s="38"/>
      <c r="HMQ363" s="39"/>
      <c r="HMR363" s="34"/>
      <c r="HMS363" s="34"/>
      <c r="HMT363" s="34"/>
      <c r="HMU363" s="35"/>
      <c r="HMV363" s="35"/>
      <c r="HMW363" s="35"/>
      <c r="HMX363" s="35"/>
      <c r="HMY363" s="35"/>
      <c r="HMZ363" s="34"/>
      <c r="HNA363" s="34"/>
      <c r="HNB363" s="36"/>
      <c r="HNC363" s="36"/>
      <c r="HND363" s="37"/>
      <c r="HNE363" s="37"/>
      <c r="HNF363" s="38"/>
      <c r="HNG363" s="38"/>
      <c r="HNH363" s="39"/>
      <c r="HNI363" s="34"/>
      <c r="HNJ363" s="34"/>
      <c r="HNK363" s="34"/>
      <c r="HNL363" s="35"/>
      <c r="HNM363" s="35"/>
      <c r="HNN363" s="35"/>
      <c r="HNO363" s="35"/>
      <c r="HNP363" s="35"/>
      <c r="HNQ363" s="34"/>
      <c r="HNR363" s="34"/>
      <c r="HNS363" s="36"/>
      <c r="HNT363" s="36"/>
      <c r="HNU363" s="37"/>
      <c r="HNV363" s="37"/>
      <c r="HNW363" s="38"/>
      <c r="HNX363" s="38"/>
      <c r="HNY363" s="39"/>
      <c r="HNZ363" s="34"/>
      <c r="HOA363" s="34"/>
      <c r="HOB363" s="34"/>
      <c r="HOC363" s="35"/>
      <c r="HOD363" s="35"/>
      <c r="HOE363" s="35"/>
      <c r="HOF363" s="35"/>
      <c r="HOG363" s="35"/>
      <c r="HOH363" s="34"/>
      <c r="HOI363" s="34"/>
      <c r="HOJ363" s="36"/>
      <c r="HOK363" s="36"/>
      <c r="HOL363" s="37"/>
      <c r="HOM363" s="37"/>
      <c r="HON363" s="38"/>
      <c r="HOO363" s="38"/>
      <c r="HOP363" s="39"/>
      <c r="HOQ363" s="34"/>
      <c r="HOR363" s="34"/>
      <c r="HOS363" s="34"/>
      <c r="HOT363" s="35"/>
      <c r="HOU363" s="35"/>
      <c r="HOV363" s="35"/>
      <c r="HOW363" s="35"/>
      <c r="HOX363" s="35"/>
      <c r="HOY363" s="34"/>
      <c r="HOZ363" s="34"/>
      <c r="HPA363" s="36"/>
      <c r="HPB363" s="36"/>
      <c r="HPC363" s="37"/>
      <c r="HPD363" s="37"/>
      <c r="HPE363" s="38"/>
      <c r="HPF363" s="38"/>
      <c r="HPG363" s="39"/>
      <c r="HPH363" s="34"/>
      <c r="HPI363" s="34"/>
      <c r="HPJ363" s="34"/>
      <c r="HPK363" s="35"/>
      <c r="HPL363" s="35"/>
      <c r="HPM363" s="35"/>
      <c r="HPN363" s="35"/>
      <c r="HPO363" s="35"/>
      <c r="HPP363" s="34"/>
      <c r="HPQ363" s="34"/>
      <c r="HPR363" s="36"/>
      <c r="HPS363" s="36"/>
      <c r="HPT363" s="37"/>
      <c r="HPU363" s="37"/>
      <c r="HPV363" s="38"/>
      <c r="HPW363" s="38"/>
      <c r="HPX363" s="39"/>
      <c r="HPY363" s="34"/>
      <c r="HPZ363" s="34"/>
      <c r="HQA363" s="34"/>
      <c r="HQB363" s="35"/>
      <c r="HQC363" s="35"/>
      <c r="HQD363" s="35"/>
      <c r="HQE363" s="35"/>
      <c r="HQF363" s="35"/>
      <c r="HQG363" s="34"/>
      <c r="HQH363" s="34"/>
      <c r="HQI363" s="36"/>
      <c r="HQJ363" s="36"/>
      <c r="HQK363" s="37"/>
      <c r="HQL363" s="37"/>
      <c r="HQM363" s="38"/>
      <c r="HQN363" s="38"/>
      <c r="HQO363" s="39"/>
      <c r="HQP363" s="34"/>
      <c r="HQQ363" s="34"/>
      <c r="HQR363" s="34"/>
      <c r="HQS363" s="35"/>
      <c r="HQT363" s="35"/>
      <c r="HQU363" s="35"/>
      <c r="HQV363" s="35"/>
      <c r="HQW363" s="35"/>
      <c r="HQX363" s="34"/>
      <c r="HQY363" s="34"/>
      <c r="HQZ363" s="36"/>
      <c r="HRA363" s="36"/>
      <c r="HRB363" s="37"/>
      <c r="HRC363" s="37"/>
      <c r="HRD363" s="38"/>
      <c r="HRE363" s="38"/>
      <c r="HRF363" s="39"/>
      <c r="HRG363" s="34"/>
      <c r="HRH363" s="34"/>
      <c r="HRI363" s="34"/>
      <c r="HRJ363" s="35"/>
      <c r="HRK363" s="35"/>
      <c r="HRL363" s="35"/>
      <c r="HRM363" s="35"/>
      <c r="HRN363" s="35"/>
      <c r="HRO363" s="34"/>
      <c r="HRP363" s="34"/>
      <c r="HRQ363" s="36"/>
      <c r="HRR363" s="36"/>
      <c r="HRS363" s="37"/>
      <c r="HRT363" s="37"/>
      <c r="HRU363" s="38"/>
      <c r="HRV363" s="38"/>
      <c r="HRW363" s="39"/>
      <c r="HRX363" s="34"/>
      <c r="HRY363" s="34"/>
      <c r="HRZ363" s="34"/>
      <c r="HSA363" s="35"/>
      <c r="HSB363" s="35"/>
      <c r="HSC363" s="35"/>
      <c r="HSD363" s="35"/>
      <c r="HSE363" s="35"/>
      <c r="HSF363" s="34"/>
      <c r="HSG363" s="34"/>
      <c r="HSH363" s="36"/>
      <c r="HSI363" s="36"/>
      <c r="HSJ363" s="37"/>
      <c r="HSK363" s="37"/>
      <c r="HSL363" s="38"/>
      <c r="HSM363" s="38"/>
      <c r="HSN363" s="39"/>
      <c r="HSO363" s="34"/>
      <c r="HSP363" s="34"/>
      <c r="HSQ363" s="34"/>
      <c r="HSR363" s="35"/>
      <c r="HSS363" s="35"/>
      <c r="HST363" s="35"/>
      <c r="HSU363" s="35"/>
      <c r="HSV363" s="35"/>
      <c r="HSW363" s="34"/>
      <c r="HSX363" s="34"/>
      <c r="HSY363" s="36"/>
      <c r="HSZ363" s="36"/>
      <c r="HTA363" s="37"/>
      <c r="HTB363" s="37"/>
      <c r="HTC363" s="38"/>
      <c r="HTD363" s="38"/>
      <c r="HTE363" s="39"/>
      <c r="HTF363" s="34"/>
      <c r="HTG363" s="34"/>
      <c r="HTH363" s="34"/>
      <c r="HTI363" s="35"/>
      <c r="HTJ363" s="35"/>
      <c r="HTK363" s="35"/>
      <c r="HTL363" s="35"/>
      <c r="HTM363" s="35"/>
      <c r="HTN363" s="34"/>
      <c r="HTO363" s="34"/>
      <c r="HTP363" s="36"/>
      <c r="HTQ363" s="36"/>
      <c r="HTR363" s="37"/>
      <c r="HTS363" s="37"/>
      <c r="HTT363" s="38"/>
      <c r="HTU363" s="38"/>
      <c r="HTV363" s="39"/>
      <c r="HTW363" s="34"/>
      <c r="HTX363" s="34"/>
      <c r="HTY363" s="34"/>
      <c r="HTZ363" s="35"/>
      <c r="HUA363" s="35"/>
      <c r="HUB363" s="35"/>
      <c r="HUC363" s="35"/>
      <c r="HUD363" s="35"/>
      <c r="HUE363" s="34"/>
      <c r="HUF363" s="34"/>
      <c r="HUG363" s="36"/>
      <c r="HUH363" s="36"/>
      <c r="HUI363" s="37"/>
      <c r="HUJ363" s="37"/>
      <c r="HUK363" s="38"/>
      <c r="HUL363" s="38"/>
      <c r="HUM363" s="39"/>
      <c r="HUN363" s="34"/>
      <c r="HUO363" s="34"/>
      <c r="HUP363" s="34"/>
      <c r="HUQ363" s="35"/>
      <c r="HUR363" s="35"/>
      <c r="HUS363" s="35"/>
      <c r="HUT363" s="35"/>
      <c r="HUU363" s="35"/>
      <c r="HUV363" s="34"/>
      <c r="HUW363" s="34"/>
      <c r="HUX363" s="36"/>
      <c r="HUY363" s="36"/>
      <c r="HUZ363" s="37"/>
      <c r="HVA363" s="37"/>
      <c r="HVB363" s="38"/>
      <c r="HVC363" s="38"/>
      <c r="HVD363" s="39"/>
      <c r="HVE363" s="34"/>
      <c r="HVF363" s="34"/>
      <c r="HVG363" s="34"/>
      <c r="HVH363" s="35"/>
      <c r="HVI363" s="35"/>
      <c r="HVJ363" s="35"/>
      <c r="HVK363" s="35"/>
      <c r="HVL363" s="35"/>
      <c r="HVM363" s="34"/>
      <c r="HVN363" s="34"/>
      <c r="HVO363" s="36"/>
      <c r="HVP363" s="36"/>
      <c r="HVQ363" s="37"/>
      <c r="HVR363" s="37"/>
      <c r="HVS363" s="38"/>
      <c r="HVT363" s="38"/>
      <c r="HVU363" s="39"/>
      <c r="HVV363" s="34"/>
      <c r="HVW363" s="34"/>
      <c r="HVX363" s="34"/>
      <c r="HVY363" s="35"/>
      <c r="HVZ363" s="35"/>
      <c r="HWA363" s="35"/>
      <c r="HWB363" s="35"/>
      <c r="HWC363" s="35"/>
      <c r="HWD363" s="34"/>
      <c r="HWE363" s="34"/>
      <c r="HWF363" s="36"/>
      <c r="HWG363" s="36"/>
      <c r="HWH363" s="37"/>
      <c r="HWI363" s="37"/>
      <c r="HWJ363" s="38"/>
      <c r="HWK363" s="38"/>
      <c r="HWL363" s="39"/>
      <c r="HWM363" s="34"/>
      <c r="HWN363" s="34"/>
      <c r="HWO363" s="34"/>
      <c r="HWP363" s="35"/>
      <c r="HWQ363" s="35"/>
      <c r="HWR363" s="35"/>
      <c r="HWS363" s="35"/>
      <c r="HWT363" s="35"/>
      <c r="HWU363" s="34"/>
      <c r="HWV363" s="34"/>
      <c r="HWW363" s="36"/>
      <c r="HWX363" s="36"/>
      <c r="HWY363" s="37"/>
      <c r="HWZ363" s="37"/>
      <c r="HXA363" s="38"/>
      <c r="HXB363" s="38"/>
      <c r="HXC363" s="39"/>
      <c r="HXD363" s="34"/>
      <c r="HXE363" s="34"/>
      <c r="HXF363" s="34"/>
      <c r="HXG363" s="35"/>
      <c r="HXH363" s="35"/>
      <c r="HXI363" s="35"/>
      <c r="HXJ363" s="35"/>
      <c r="HXK363" s="35"/>
      <c r="HXL363" s="34"/>
      <c r="HXM363" s="34"/>
      <c r="HXN363" s="36"/>
      <c r="HXO363" s="36"/>
      <c r="HXP363" s="37"/>
      <c r="HXQ363" s="37"/>
      <c r="HXR363" s="38"/>
      <c r="HXS363" s="38"/>
      <c r="HXT363" s="39"/>
      <c r="HXU363" s="34"/>
      <c r="HXV363" s="34"/>
      <c r="HXW363" s="34"/>
      <c r="HXX363" s="35"/>
      <c r="HXY363" s="35"/>
      <c r="HXZ363" s="35"/>
      <c r="HYA363" s="35"/>
      <c r="HYB363" s="35"/>
      <c r="HYC363" s="34"/>
      <c r="HYD363" s="34"/>
      <c r="HYE363" s="36"/>
      <c r="HYF363" s="36"/>
      <c r="HYG363" s="37"/>
      <c r="HYH363" s="37"/>
      <c r="HYI363" s="38"/>
      <c r="HYJ363" s="38"/>
      <c r="HYK363" s="39"/>
      <c r="HYL363" s="34"/>
      <c r="HYM363" s="34"/>
      <c r="HYN363" s="34"/>
      <c r="HYO363" s="35"/>
      <c r="HYP363" s="35"/>
      <c r="HYQ363" s="35"/>
      <c r="HYR363" s="35"/>
      <c r="HYS363" s="35"/>
      <c r="HYT363" s="34"/>
      <c r="HYU363" s="34"/>
      <c r="HYV363" s="36"/>
      <c r="HYW363" s="36"/>
      <c r="HYX363" s="37"/>
      <c r="HYY363" s="37"/>
      <c r="HYZ363" s="38"/>
      <c r="HZA363" s="38"/>
      <c r="HZB363" s="39"/>
      <c r="HZC363" s="34"/>
      <c r="HZD363" s="34"/>
      <c r="HZE363" s="34"/>
      <c r="HZF363" s="35"/>
      <c r="HZG363" s="35"/>
      <c r="HZH363" s="35"/>
      <c r="HZI363" s="35"/>
      <c r="HZJ363" s="35"/>
      <c r="HZK363" s="34"/>
      <c r="HZL363" s="34"/>
      <c r="HZM363" s="36"/>
      <c r="HZN363" s="36"/>
      <c r="HZO363" s="37"/>
      <c r="HZP363" s="37"/>
      <c r="HZQ363" s="38"/>
      <c r="HZR363" s="38"/>
      <c r="HZS363" s="39"/>
      <c r="HZT363" s="34"/>
      <c r="HZU363" s="34"/>
      <c r="HZV363" s="34"/>
      <c r="HZW363" s="35"/>
      <c r="HZX363" s="35"/>
      <c r="HZY363" s="35"/>
      <c r="HZZ363" s="35"/>
      <c r="IAA363" s="35"/>
      <c r="IAB363" s="34"/>
      <c r="IAC363" s="34"/>
      <c r="IAD363" s="36"/>
      <c r="IAE363" s="36"/>
      <c r="IAF363" s="37"/>
      <c r="IAG363" s="37"/>
      <c r="IAH363" s="38"/>
      <c r="IAI363" s="38"/>
      <c r="IAJ363" s="39"/>
      <c r="IAK363" s="34"/>
      <c r="IAL363" s="34"/>
      <c r="IAM363" s="34"/>
      <c r="IAN363" s="35"/>
      <c r="IAO363" s="35"/>
      <c r="IAP363" s="35"/>
      <c r="IAQ363" s="35"/>
      <c r="IAR363" s="35"/>
      <c r="IAS363" s="34"/>
      <c r="IAT363" s="34"/>
      <c r="IAU363" s="36"/>
      <c r="IAV363" s="36"/>
      <c r="IAW363" s="37"/>
      <c r="IAX363" s="37"/>
      <c r="IAY363" s="38"/>
      <c r="IAZ363" s="38"/>
      <c r="IBA363" s="39"/>
      <c r="IBB363" s="34"/>
      <c r="IBC363" s="34"/>
      <c r="IBD363" s="34"/>
      <c r="IBE363" s="35"/>
      <c r="IBF363" s="35"/>
      <c r="IBG363" s="35"/>
      <c r="IBH363" s="35"/>
      <c r="IBI363" s="35"/>
      <c r="IBJ363" s="34"/>
      <c r="IBK363" s="34"/>
      <c r="IBL363" s="36"/>
      <c r="IBM363" s="36"/>
      <c r="IBN363" s="37"/>
      <c r="IBO363" s="37"/>
      <c r="IBP363" s="38"/>
      <c r="IBQ363" s="38"/>
      <c r="IBR363" s="39"/>
      <c r="IBS363" s="34"/>
      <c r="IBT363" s="34"/>
      <c r="IBU363" s="34"/>
      <c r="IBV363" s="35"/>
      <c r="IBW363" s="35"/>
      <c r="IBX363" s="35"/>
      <c r="IBY363" s="35"/>
      <c r="IBZ363" s="35"/>
      <c r="ICA363" s="34"/>
      <c r="ICB363" s="34"/>
      <c r="ICC363" s="36"/>
      <c r="ICD363" s="36"/>
      <c r="ICE363" s="37"/>
      <c r="ICF363" s="37"/>
      <c r="ICG363" s="38"/>
      <c r="ICH363" s="38"/>
      <c r="ICI363" s="39"/>
      <c r="ICJ363" s="34"/>
      <c r="ICK363" s="34"/>
      <c r="ICL363" s="34"/>
      <c r="ICM363" s="35"/>
      <c r="ICN363" s="35"/>
      <c r="ICO363" s="35"/>
      <c r="ICP363" s="35"/>
      <c r="ICQ363" s="35"/>
      <c r="ICR363" s="34"/>
      <c r="ICS363" s="34"/>
      <c r="ICT363" s="36"/>
      <c r="ICU363" s="36"/>
      <c r="ICV363" s="37"/>
      <c r="ICW363" s="37"/>
      <c r="ICX363" s="38"/>
      <c r="ICY363" s="38"/>
      <c r="ICZ363" s="39"/>
      <c r="IDA363" s="34"/>
      <c r="IDB363" s="34"/>
      <c r="IDC363" s="34"/>
      <c r="IDD363" s="35"/>
      <c r="IDE363" s="35"/>
      <c r="IDF363" s="35"/>
      <c r="IDG363" s="35"/>
      <c r="IDH363" s="35"/>
      <c r="IDI363" s="34"/>
      <c r="IDJ363" s="34"/>
      <c r="IDK363" s="36"/>
      <c r="IDL363" s="36"/>
      <c r="IDM363" s="37"/>
      <c r="IDN363" s="37"/>
      <c r="IDO363" s="38"/>
      <c r="IDP363" s="38"/>
      <c r="IDQ363" s="39"/>
      <c r="IDR363" s="34"/>
      <c r="IDS363" s="34"/>
      <c r="IDT363" s="34"/>
      <c r="IDU363" s="35"/>
      <c r="IDV363" s="35"/>
      <c r="IDW363" s="35"/>
      <c r="IDX363" s="35"/>
      <c r="IDY363" s="35"/>
      <c r="IDZ363" s="34"/>
      <c r="IEA363" s="34"/>
      <c r="IEB363" s="36"/>
      <c r="IEC363" s="36"/>
      <c r="IED363" s="37"/>
      <c r="IEE363" s="37"/>
      <c r="IEF363" s="38"/>
      <c r="IEG363" s="38"/>
      <c r="IEH363" s="39"/>
      <c r="IEI363" s="34"/>
      <c r="IEJ363" s="34"/>
      <c r="IEK363" s="34"/>
      <c r="IEL363" s="35"/>
      <c r="IEM363" s="35"/>
      <c r="IEN363" s="35"/>
      <c r="IEO363" s="35"/>
      <c r="IEP363" s="35"/>
      <c r="IEQ363" s="34"/>
      <c r="IER363" s="34"/>
      <c r="IES363" s="36"/>
      <c r="IET363" s="36"/>
      <c r="IEU363" s="37"/>
      <c r="IEV363" s="37"/>
      <c r="IEW363" s="38"/>
      <c r="IEX363" s="38"/>
      <c r="IEY363" s="39"/>
      <c r="IEZ363" s="34"/>
      <c r="IFA363" s="34"/>
      <c r="IFB363" s="34"/>
      <c r="IFC363" s="35"/>
      <c r="IFD363" s="35"/>
      <c r="IFE363" s="35"/>
      <c r="IFF363" s="35"/>
      <c r="IFG363" s="35"/>
      <c r="IFH363" s="34"/>
      <c r="IFI363" s="34"/>
      <c r="IFJ363" s="36"/>
      <c r="IFK363" s="36"/>
      <c r="IFL363" s="37"/>
      <c r="IFM363" s="37"/>
      <c r="IFN363" s="38"/>
      <c r="IFO363" s="38"/>
      <c r="IFP363" s="39"/>
      <c r="IFQ363" s="34"/>
      <c r="IFR363" s="34"/>
      <c r="IFS363" s="34"/>
      <c r="IFT363" s="35"/>
      <c r="IFU363" s="35"/>
      <c r="IFV363" s="35"/>
      <c r="IFW363" s="35"/>
      <c r="IFX363" s="35"/>
      <c r="IFY363" s="34"/>
      <c r="IFZ363" s="34"/>
      <c r="IGA363" s="36"/>
      <c r="IGB363" s="36"/>
      <c r="IGC363" s="37"/>
      <c r="IGD363" s="37"/>
      <c r="IGE363" s="38"/>
      <c r="IGF363" s="38"/>
      <c r="IGG363" s="39"/>
      <c r="IGH363" s="34"/>
      <c r="IGI363" s="34"/>
      <c r="IGJ363" s="34"/>
      <c r="IGK363" s="35"/>
      <c r="IGL363" s="35"/>
      <c r="IGM363" s="35"/>
      <c r="IGN363" s="35"/>
      <c r="IGO363" s="35"/>
      <c r="IGP363" s="34"/>
      <c r="IGQ363" s="34"/>
      <c r="IGR363" s="36"/>
      <c r="IGS363" s="36"/>
      <c r="IGT363" s="37"/>
      <c r="IGU363" s="37"/>
      <c r="IGV363" s="38"/>
      <c r="IGW363" s="38"/>
      <c r="IGX363" s="39"/>
      <c r="IGY363" s="34"/>
      <c r="IGZ363" s="34"/>
      <c r="IHA363" s="34"/>
      <c r="IHB363" s="35"/>
      <c r="IHC363" s="35"/>
      <c r="IHD363" s="35"/>
      <c r="IHE363" s="35"/>
      <c r="IHF363" s="35"/>
      <c r="IHG363" s="34"/>
      <c r="IHH363" s="34"/>
      <c r="IHI363" s="36"/>
      <c r="IHJ363" s="36"/>
      <c r="IHK363" s="37"/>
      <c r="IHL363" s="37"/>
      <c r="IHM363" s="38"/>
      <c r="IHN363" s="38"/>
      <c r="IHO363" s="39"/>
      <c r="IHP363" s="34"/>
      <c r="IHQ363" s="34"/>
      <c r="IHR363" s="34"/>
      <c r="IHS363" s="35"/>
      <c r="IHT363" s="35"/>
      <c r="IHU363" s="35"/>
      <c r="IHV363" s="35"/>
      <c r="IHW363" s="35"/>
      <c r="IHX363" s="34"/>
      <c r="IHY363" s="34"/>
      <c r="IHZ363" s="36"/>
      <c r="IIA363" s="36"/>
      <c r="IIB363" s="37"/>
      <c r="IIC363" s="37"/>
      <c r="IID363" s="38"/>
      <c r="IIE363" s="38"/>
      <c r="IIF363" s="39"/>
      <c r="IIG363" s="34"/>
      <c r="IIH363" s="34"/>
      <c r="III363" s="34"/>
      <c r="IIJ363" s="35"/>
      <c r="IIK363" s="35"/>
      <c r="IIL363" s="35"/>
      <c r="IIM363" s="35"/>
      <c r="IIN363" s="35"/>
      <c r="IIO363" s="34"/>
      <c r="IIP363" s="34"/>
      <c r="IIQ363" s="36"/>
      <c r="IIR363" s="36"/>
      <c r="IIS363" s="37"/>
      <c r="IIT363" s="37"/>
      <c r="IIU363" s="38"/>
      <c r="IIV363" s="38"/>
      <c r="IIW363" s="39"/>
      <c r="IIX363" s="34"/>
      <c r="IIY363" s="34"/>
      <c r="IIZ363" s="34"/>
      <c r="IJA363" s="35"/>
      <c r="IJB363" s="35"/>
      <c r="IJC363" s="35"/>
      <c r="IJD363" s="35"/>
      <c r="IJE363" s="35"/>
      <c r="IJF363" s="34"/>
      <c r="IJG363" s="34"/>
      <c r="IJH363" s="36"/>
      <c r="IJI363" s="36"/>
      <c r="IJJ363" s="37"/>
      <c r="IJK363" s="37"/>
      <c r="IJL363" s="38"/>
      <c r="IJM363" s="38"/>
      <c r="IJN363" s="39"/>
      <c r="IJO363" s="34"/>
      <c r="IJP363" s="34"/>
      <c r="IJQ363" s="34"/>
      <c r="IJR363" s="35"/>
      <c r="IJS363" s="35"/>
      <c r="IJT363" s="35"/>
      <c r="IJU363" s="35"/>
      <c r="IJV363" s="35"/>
      <c r="IJW363" s="34"/>
      <c r="IJX363" s="34"/>
      <c r="IJY363" s="36"/>
      <c r="IJZ363" s="36"/>
      <c r="IKA363" s="37"/>
      <c r="IKB363" s="37"/>
      <c r="IKC363" s="38"/>
      <c r="IKD363" s="38"/>
      <c r="IKE363" s="39"/>
      <c r="IKF363" s="34"/>
      <c r="IKG363" s="34"/>
      <c r="IKH363" s="34"/>
      <c r="IKI363" s="35"/>
      <c r="IKJ363" s="35"/>
      <c r="IKK363" s="35"/>
      <c r="IKL363" s="35"/>
      <c r="IKM363" s="35"/>
      <c r="IKN363" s="34"/>
      <c r="IKO363" s="34"/>
      <c r="IKP363" s="36"/>
      <c r="IKQ363" s="36"/>
      <c r="IKR363" s="37"/>
      <c r="IKS363" s="37"/>
      <c r="IKT363" s="38"/>
      <c r="IKU363" s="38"/>
      <c r="IKV363" s="39"/>
      <c r="IKW363" s="34"/>
      <c r="IKX363" s="34"/>
      <c r="IKY363" s="34"/>
      <c r="IKZ363" s="35"/>
      <c r="ILA363" s="35"/>
      <c r="ILB363" s="35"/>
      <c r="ILC363" s="35"/>
      <c r="ILD363" s="35"/>
      <c r="ILE363" s="34"/>
      <c r="ILF363" s="34"/>
      <c r="ILG363" s="36"/>
      <c r="ILH363" s="36"/>
      <c r="ILI363" s="37"/>
      <c r="ILJ363" s="37"/>
      <c r="ILK363" s="38"/>
      <c r="ILL363" s="38"/>
      <c r="ILM363" s="39"/>
      <c r="ILN363" s="34"/>
      <c r="ILO363" s="34"/>
      <c r="ILP363" s="34"/>
      <c r="ILQ363" s="35"/>
      <c r="ILR363" s="35"/>
      <c r="ILS363" s="35"/>
      <c r="ILT363" s="35"/>
      <c r="ILU363" s="35"/>
      <c r="ILV363" s="34"/>
      <c r="ILW363" s="34"/>
      <c r="ILX363" s="36"/>
      <c r="ILY363" s="36"/>
      <c r="ILZ363" s="37"/>
      <c r="IMA363" s="37"/>
      <c r="IMB363" s="38"/>
      <c r="IMC363" s="38"/>
      <c r="IMD363" s="39"/>
      <c r="IME363" s="34"/>
      <c r="IMF363" s="34"/>
      <c r="IMG363" s="34"/>
      <c r="IMH363" s="35"/>
      <c r="IMI363" s="35"/>
      <c r="IMJ363" s="35"/>
      <c r="IMK363" s="35"/>
      <c r="IML363" s="35"/>
      <c r="IMM363" s="34"/>
      <c r="IMN363" s="34"/>
      <c r="IMO363" s="36"/>
      <c r="IMP363" s="36"/>
      <c r="IMQ363" s="37"/>
      <c r="IMR363" s="37"/>
      <c r="IMS363" s="38"/>
      <c r="IMT363" s="38"/>
      <c r="IMU363" s="39"/>
      <c r="IMV363" s="34"/>
      <c r="IMW363" s="34"/>
      <c r="IMX363" s="34"/>
      <c r="IMY363" s="35"/>
      <c r="IMZ363" s="35"/>
      <c r="INA363" s="35"/>
      <c r="INB363" s="35"/>
      <c r="INC363" s="35"/>
      <c r="IND363" s="34"/>
      <c r="INE363" s="34"/>
      <c r="INF363" s="36"/>
      <c r="ING363" s="36"/>
      <c r="INH363" s="37"/>
      <c r="INI363" s="37"/>
      <c r="INJ363" s="38"/>
      <c r="INK363" s="38"/>
      <c r="INL363" s="39"/>
      <c r="INM363" s="34"/>
      <c r="INN363" s="34"/>
      <c r="INO363" s="34"/>
      <c r="INP363" s="35"/>
      <c r="INQ363" s="35"/>
      <c r="INR363" s="35"/>
      <c r="INS363" s="35"/>
      <c r="INT363" s="35"/>
      <c r="INU363" s="34"/>
      <c r="INV363" s="34"/>
      <c r="INW363" s="36"/>
      <c r="INX363" s="36"/>
      <c r="INY363" s="37"/>
      <c r="INZ363" s="37"/>
      <c r="IOA363" s="38"/>
      <c r="IOB363" s="38"/>
      <c r="IOC363" s="39"/>
      <c r="IOD363" s="34"/>
      <c r="IOE363" s="34"/>
      <c r="IOF363" s="34"/>
      <c r="IOG363" s="35"/>
      <c r="IOH363" s="35"/>
      <c r="IOI363" s="35"/>
      <c r="IOJ363" s="35"/>
      <c r="IOK363" s="35"/>
      <c r="IOL363" s="34"/>
      <c r="IOM363" s="34"/>
      <c r="ION363" s="36"/>
      <c r="IOO363" s="36"/>
      <c r="IOP363" s="37"/>
      <c r="IOQ363" s="37"/>
      <c r="IOR363" s="38"/>
      <c r="IOS363" s="38"/>
      <c r="IOT363" s="39"/>
      <c r="IOU363" s="34"/>
      <c r="IOV363" s="34"/>
      <c r="IOW363" s="34"/>
      <c r="IOX363" s="35"/>
      <c r="IOY363" s="35"/>
      <c r="IOZ363" s="35"/>
      <c r="IPA363" s="35"/>
      <c r="IPB363" s="35"/>
      <c r="IPC363" s="34"/>
      <c r="IPD363" s="34"/>
      <c r="IPE363" s="36"/>
      <c r="IPF363" s="36"/>
      <c r="IPG363" s="37"/>
      <c r="IPH363" s="37"/>
      <c r="IPI363" s="38"/>
      <c r="IPJ363" s="38"/>
      <c r="IPK363" s="39"/>
      <c r="IPL363" s="34"/>
      <c r="IPM363" s="34"/>
      <c r="IPN363" s="34"/>
      <c r="IPO363" s="35"/>
      <c r="IPP363" s="35"/>
      <c r="IPQ363" s="35"/>
      <c r="IPR363" s="35"/>
      <c r="IPS363" s="35"/>
      <c r="IPT363" s="34"/>
      <c r="IPU363" s="34"/>
      <c r="IPV363" s="36"/>
      <c r="IPW363" s="36"/>
      <c r="IPX363" s="37"/>
      <c r="IPY363" s="37"/>
      <c r="IPZ363" s="38"/>
      <c r="IQA363" s="38"/>
      <c r="IQB363" s="39"/>
      <c r="IQC363" s="34"/>
      <c r="IQD363" s="34"/>
      <c r="IQE363" s="34"/>
      <c r="IQF363" s="35"/>
      <c r="IQG363" s="35"/>
      <c r="IQH363" s="35"/>
      <c r="IQI363" s="35"/>
      <c r="IQJ363" s="35"/>
      <c r="IQK363" s="34"/>
      <c r="IQL363" s="34"/>
      <c r="IQM363" s="36"/>
      <c r="IQN363" s="36"/>
      <c r="IQO363" s="37"/>
      <c r="IQP363" s="37"/>
      <c r="IQQ363" s="38"/>
      <c r="IQR363" s="38"/>
      <c r="IQS363" s="39"/>
      <c r="IQT363" s="34"/>
      <c r="IQU363" s="34"/>
      <c r="IQV363" s="34"/>
      <c r="IQW363" s="35"/>
      <c r="IQX363" s="35"/>
      <c r="IQY363" s="35"/>
      <c r="IQZ363" s="35"/>
      <c r="IRA363" s="35"/>
      <c r="IRB363" s="34"/>
      <c r="IRC363" s="34"/>
      <c r="IRD363" s="36"/>
      <c r="IRE363" s="36"/>
      <c r="IRF363" s="37"/>
      <c r="IRG363" s="37"/>
      <c r="IRH363" s="38"/>
      <c r="IRI363" s="38"/>
      <c r="IRJ363" s="39"/>
      <c r="IRK363" s="34"/>
      <c r="IRL363" s="34"/>
      <c r="IRM363" s="34"/>
      <c r="IRN363" s="35"/>
      <c r="IRO363" s="35"/>
      <c r="IRP363" s="35"/>
      <c r="IRQ363" s="35"/>
      <c r="IRR363" s="35"/>
      <c r="IRS363" s="34"/>
      <c r="IRT363" s="34"/>
      <c r="IRU363" s="36"/>
      <c r="IRV363" s="36"/>
      <c r="IRW363" s="37"/>
      <c r="IRX363" s="37"/>
      <c r="IRY363" s="38"/>
      <c r="IRZ363" s="38"/>
      <c r="ISA363" s="39"/>
      <c r="ISB363" s="34"/>
      <c r="ISC363" s="34"/>
      <c r="ISD363" s="34"/>
      <c r="ISE363" s="35"/>
      <c r="ISF363" s="35"/>
      <c r="ISG363" s="35"/>
      <c r="ISH363" s="35"/>
      <c r="ISI363" s="35"/>
      <c r="ISJ363" s="34"/>
      <c r="ISK363" s="34"/>
      <c r="ISL363" s="36"/>
      <c r="ISM363" s="36"/>
      <c r="ISN363" s="37"/>
      <c r="ISO363" s="37"/>
      <c r="ISP363" s="38"/>
      <c r="ISQ363" s="38"/>
      <c r="ISR363" s="39"/>
      <c r="ISS363" s="34"/>
      <c r="IST363" s="34"/>
      <c r="ISU363" s="34"/>
      <c r="ISV363" s="35"/>
      <c r="ISW363" s="35"/>
      <c r="ISX363" s="35"/>
      <c r="ISY363" s="35"/>
      <c r="ISZ363" s="35"/>
      <c r="ITA363" s="34"/>
      <c r="ITB363" s="34"/>
      <c r="ITC363" s="36"/>
      <c r="ITD363" s="36"/>
      <c r="ITE363" s="37"/>
      <c r="ITF363" s="37"/>
      <c r="ITG363" s="38"/>
      <c r="ITH363" s="38"/>
      <c r="ITI363" s="39"/>
      <c r="ITJ363" s="34"/>
      <c r="ITK363" s="34"/>
      <c r="ITL363" s="34"/>
      <c r="ITM363" s="35"/>
      <c r="ITN363" s="35"/>
      <c r="ITO363" s="35"/>
      <c r="ITP363" s="35"/>
      <c r="ITQ363" s="35"/>
      <c r="ITR363" s="34"/>
      <c r="ITS363" s="34"/>
      <c r="ITT363" s="36"/>
      <c r="ITU363" s="36"/>
      <c r="ITV363" s="37"/>
      <c r="ITW363" s="37"/>
      <c r="ITX363" s="38"/>
      <c r="ITY363" s="38"/>
      <c r="ITZ363" s="39"/>
      <c r="IUA363" s="34"/>
      <c r="IUB363" s="34"/>
      <c r="IUC363" s="34"/>
      <c r="IUD363" s="35"/>
      <c r="IUE363" s="35"/>
      <c r="IUF363" s="35"/>
      <c r="IUG363" s="35"/>
      <c r="IUH363" s="35"/>
      <c r="IUI363" s="34"/>
      <c r="IUJ363" s="34"/>
      <c r="IUK363" s="36"/>
      <c r="IUL363" s="36"/>
      <c r="IUM363" s="37"/>
      <c r="IUN363" s="37"/>
      <c r="IUO363" s="38"/>
      <c r="IUP363" s="38"/>
      <c r="IUQ363" s="39"/>
      <c r="IUR363" s="34"/>
      <c r="IUS363" s="34"/>
      <c r="IUT363" s="34"/>
      <c r="IUU363" s="35"/>
      <c r="IUV363" s="35"/>
      <c r="IUW363" s="35"/>
      <c r="IUX363" s="35"/>
      <c r="IUY363" s="35"/>
      <c r="IUZ363" s="34"/>
      <c r="IVA363" s="34"/>
      <c r="IVB363" s="36"/>
      <c r="IVC363" s="36"/>
      <c r="IVD363" s="37"/>
      <c r="IVE363" s="37"/>
      <c r="IVF363" s="38"/>
      <c r="IVG363" s="38"/>
      <c r="IVH363" s="39"/>
      <c r="IVI363" s="34"/>
      <c r="IVJ363" s="34"/>
      <c r="IVK363" s="34"/>
      <c r="IVL363" s="35"/>
      <c r="IVM363" s="35"/>
      <c r="IVN363" s="35"/>
      <c r="IVO363" s="35"/>
      <c r="IVP363" s="35"/>
      <c r="IVQ363" s="34"/>
      <c r="IVR363" s="34"/>
      <c r="IVS363" s="36"/>
      <c r="IVT363" s="36"/>
      <c r="IVU363" s="37"/>
      <c r="IVV363" s="37"/>
      <c r="IVW363" s="38"/>
      <c r="IVX363" s="38"/>
      <c r="IVY363" s="39"/>
      <c r="IVZ363" s="34"/>
      <c r="IWA363" s="34"/>
      <c r="IWB363" s="34"/>
      <c r="IWC363" s="35"/>
      <c r="IWD363" s="35"/>
      <c r="IWE363" s="35"/>
      <c r="IWF363" s="35"/>
      <c r="IWG363" s="35"/>
      <c r="IWH363" s="34"/>
      <c r="IWI363" s="34"/>
      <c r="IWJ363" s="36"/>
      <c r="IWK363" s="36"/>
      <c r="IWL363" s="37"/>
      <c r="IWM363" s="37"/>
      <c r="IWN363" s="38"/>
      <c r="IWO363" s="38"/>
      <c r="IWP363" s="39"/>
      <c r="IWQ363" s="34"/>
      <c r="IWR363" s="34"/>
      <c r="IWS363" s="34"/>
      <c r="IWT363" s="35"/>
      <c r="IWU363" s="35"/>
      <c r="IWV363" s="35"/>
      <c r="IWW363" s="35"/>
      <c r="IWX363" s="35"/>
      <c r="IWY363" s="34"/>
      <c r="IWZ363" s="34"/>
      <c r="IXA363" s="36"/>
      <c r="IXB363" s="36"/>
      <c r="IXC363" s="37"/>
      <c r="IXD363" s="37"/>
      <c r="IXE363" s="38"/>
      <c r="IXF363" s="38"/>
      <c r="IXG363" s="39"/>
      <c r="IXH363" s="34"/>
      <c r="IXI363" s="34"/>
      <c r="IXJ363" s="34"/>
      <c r="IXK363" s="35"/>
      <c r="IXL363" s="35"/>
      <c r="IXM363" s="35"/>
      <c r="IXN363" s="35"/>
      <c r="IXO363" s="35"/>
      <c r="IXP363" s="34"/>
      <c r="IXQ363" s="34"/>
      <c r="IXR363" s="36"/>
      <c r="IXS363" s="36"/>
      <c r="IXT363" s="37"/>
      <c r="IXU363" s="37"/>
      <c r="IXV363" s="38"/>
      <c r="IXW363" s="38"/>
      <c r="IXX363" s="39"/>
      <c r="IXY363" s="34"/>
      <c r="IXZ363" s="34"/>
      <c r="IYA363" s="34"/>
      <c r="IYB363" s="35"/>
      <c r="IYC363" s="35"/>
      <c r="IYD363" s="35"/>
      <c r="IYE363" s="35"/>
      <c r="IYF363" s="35"/>
      <c r="IYG363" s="34"/>
      <c r="IYH363" s="34"/>
      <c r="IYI363" s="36"/>
      <c r="IYJ363" s="36"/>
      <c r="IYK363" s="37"/>
      <c r="IYL363" s="37"/>
      <c r="IYM363" s="38"/>
      <c r="IYN363" s="38"/>
      <c r="IYO363" s="39"/>
      <c r="IYP363" s="34"/>
      <c r="IYQ363" s="34"/>
      <c r="IYR363" s="34"/>
      <c r="IYS363" s="35"/>
      <c r="IYT363" s="35"/>
      <c r="IYU363" s="35"/>
      <c r="IYV363" s="35"/>
      <c r="IYW363" s="35"/>
      <c r="IYX363" s="34"/>
      <c r="IYY363" s="34"/>
      <c r="IYZ363" s="36"/>
      <c r="IZA363" s="36"/>
      <c r="IZB363" s="37"/>
      <c r="IZC363" s="37"/>
      <c r="IZD363" s="38"/>
      <c r="IZE363" s="38"/>
      <c r="IZF363" s="39"/>
      <c r="IZG363" s="34"/>
      <c r="IZH363" s="34"/>
      <c r="IZI363" s="34"/>
      <c r="IZJ363" s="35"/>
      <c r="IZK363" s="35"/>
      <c r="IZL363" s="35"/>
      <c r="IZM363" s="35"/>
      <c r="IZN363" s="35"/>
      <c r="IZO363" s="34"/>
      <c r="IZP363" s="34"/>
      <c r="IZQ363" s="36"/>
      <c r="IZR363" s="36"/>
      <c r="IZS363" s="37"/>
      <c r="IZT363" s="37"/>
      <c r="IZU363" s="38"/>
      <c r="IZV363" s="38"/>
      <c r="IZW363" s="39"/>
      <c r="IZX363" s="34"/>
      <c r="IZY363" s="34"/>
      <c r="IZZ363" s="34"/>
      <c r="JAA363" s="35"/>
      <c r="JAB363" s="35"/>
      <c r="JAC363" s="35"/>
      <c r="JAD363" s="35"/>
      <c r="JAE363" s="35"/>
      <c r="JAF363" s="34"/>
      <c r="JAG363" s="34"/>
      <c r="JAH363" s="36"/>
      <c r="JAI363" s="36"/>
      <c r="JAJ363" s="37"/>
      <c r="JAK363" s="37"/>
      <c r="JAL363" s="38"/>
      <c r="JAM363" s="38"/>
      <c r="JAN363" s="39"/>
      <c r="JAO363" s="34"/>
      <c r="JAP363" s="34"/>
      <c r="JAQ363" s="34"/>
      <c r="JAR363" s="35"/>
      <c r="JAS363" s="35"/>
      <c r="JAT363" s="35"/>
      <c r="JAU363" s="35"/>
      <c r="JAV363" s="35"/>
      <c r="JAW363" s="34"/>
      <c r="JAX363" s="34"/>
      <c r="JAY363" s="36"/>
      <c r="JAZ363" s="36"/>
      <c r="JBA363" s="37"/>
      <c r="JBB363" s="37"/>
      <c r="JBC363" s="38"/>
      <c r="JBD363" s="38"/>
      <c r="JBE363" s="39"/>
      <c r="JBF363" s="34"/>
      <c r="JBG363" s="34"/>
      <c r="JBH363" s="34"/>
      <c r="JBI363" s="35"/>
      <c r="JBJ363" s="35"/>
      <c r="JBK363" s="35"/>
      <c r="JBL363" s="35"/>
      <c r="JBM363" s="35"/>
      <c r="JBN363" s="34"/>
      <c r="JBO363" s="34"/>
      <c r="JBP363" s="36"/>
      <c r="JBQ363" s="36"/>
      <c r="JBR363" s="37"/>
      <c r="JBS363" s="37"/>
      <c r="JBT363" s="38"/>
      <c r="JBU363" s="38"/>
      <c r="JBV363" s="39"/>
      <c r="JBW363" s="34"/>
      <c r="JBX363" s="34"/>
      <c r="JBY363" s="34"/>
      <c r="JBZ363" s="35"/>
      <c r="JCA363" s="35"/>
      <c r="JCB363" s="35"/>
      <c r="JCC363" s="35"/>
      <c r="JCD363" s="35"/>
      <c r="JCE363" s="34"/>
      <c r="JCF363" s="34"/>
      <c r="JCG363" s="36"/>
      <c r="JCH363" s="36"/>
      <c r="JCI363" s="37"/>
      <c r="JCJ363" s="37"/>
      <c r="JCK363" s="38"/>
      <c r="JCL363" s="38"/>
      <c r="JCM363" s="39"/>
      <c r="JCN363" s="34"/>
      <c r="JCO363" s="34"/>
      <c r="JCP363" s="34"/>
      <c r="JCQ363" s="35"/>
      <c r="JCR363" s="35"/>
      <c r="JCS363" s="35"/>
      <c r="JCT363" s="35"/>
      <c r="JCU363" s="35"/>
      <c r="JCV363" s="34"/>
      <c r="JCW363" s="34"/>
      <c r="JCX363" s="36"/>
      <c r="JCY363" s="36"/>
      <c r="JCZ363" s="37"/>
      <c r="JDA363" s="37"/>
      <c r="JDB363" s="38"/>
      <c r="JDC363" s="38"/>
      <c r="JDD363" s="39"/>
      <c r="JDE363" s="34"/>
      <c r="JDF363" s="34"/>
      <c r="JDG363" s="34"/>
      <c r="JDH363" s="35"/>
      <c r="JDI363" s="35"/>
      <c r="JDJ363" s="35"/>
      <c r="JDK363" s="35"/>
      <c r="JDL363" s="35"/>
      <c r="JDM363" s="34"/>
      <c r="JDN363" s="34"/>
      <c r="JDO363" s="36"/>
      <c r="JDP363" s="36"/>
      <c r="JDQ363" s="37"/>
      <c r="JDR363" s="37"/>
      <c r="JDS363" s="38"/>
      <c r="JDT363" s="38"/>
      <c r="JDU363" s="39"/>
      <c r="JDV363" s="34"/>
      <c r="JDW363" s="34"/>
      <c r="JDX363" s="34"/>
      <c r="JDY363" s="35"/>
      <c r="JDZ363" s="35"/>
      <c r="JEA363" s="35"/>
      <c r="JEB363" s="35"/>
      <c r="JEC363" s="35"/>
      <c r="JED363" s="34"/>
      <c r="JEE363" s="34"/>
      <c r="JEF363" s="36"/>
      <c r="JEG363" s="36"/>
      <c r="JEH363" s="37"/>
      <c r="JEI363" s="37"/>
      <c r="JEJ363" s="38"/>
      <c r="JEK363" s="38"/>
      <c r="JEL363" s="39"/>
      <c r="JEM363" s="34"/>
      <c r="JEN363" s="34"/>
      <c r="JEO363" s="34"/>
      <c r="JEP363" s="35"/>
      <c r="JEQ363" s="35"/>
      <c r="JER363" s="35"/>
      <c r="JES363" s="35"/>
      <c r="JET363" s="35"/>
      <c r="JEU363" s="34"/>
      <c r="JEV363" s="34"/>
      <c r="JEW363" s="36"/>
      <c r="JEX363" s="36"/>
      <c r="JEY363" s="37"/>
      <c r="JEZ363" s="37"/>
      <c r="JFA363" s="38"/>
      <c r="JFB363" s="38"/>
      <c r="JFC363" s="39"/>
      <c r="JFD363" s="34"/>
      <c r="JFE363" s="34"/>
      <c r="JFF363" s="34"/>
      <c r="JFG363" s="35"/>
      <c r="JFH363" s="35"/>
      <c r="JFI363" s="35"/>
      <c r="JFJ363" s="35"/>
      <c r="JFK363" s="35"/>
      <c r="JFL363" s="34"/>
      <c r="JFM363" s="34"/>
      <c r="JFN363" s="36"/>
      <c r="JFO363" s="36"/>
      <c r="JFP363" s="37"/>
      <c r="JFQ363" s="37"/>
      <c r="JFR363" s="38"/>
      <c r="JFS363" s="38"/>
      <c r="JFT363" s="39"/>
      <c r="JFU363" s="34"/>
      <c r="JFV363" s="34"/>
      <c r="JFW363" s="34"/>
      <c r="JFX363" s="35"/>
      <c r="JFY363" s="35"/>
      <c r="JFZ363" s="35"/>
      <c r="JGA363" s="35"/>
      <c r="JGB363" s="35"/>
      <c r="JGC363" s="34"/>
      <c r="JGD363" s="34"/>
      <c r="JGE363" s="36"/>
      <c r="JGF363" s="36"/>
      <c r="JGG363" s="37"/>
      <c r="JGH363" s="37"/>
      <c r="JGI363" s="38"/>
      <c r="JGJ363" s="38"/>
      <c r="JGK363" s="39"/>
      <c r="JGL363" s="34"/>
      <c r="JGM363" s="34"/>
      <c r="JGN363" s="34"/>
      <c r="JGO363" s="35"/>
      <c r="JGP363" s="35"/>
      <c r="JGQ363" s="35"/>
      <c r="JGR363" s="35"/>
      <c r="JGS363" s="35"/>
      <c r="JGT363" s="34"/>
      <c r="JGU363" s="34"/>
      <c r="JGV363" s="36"/>
      <c r="JGW363" s="36"/>
      <c r="JGX363" s="37"/>
      <c r="JGY363" s="37"/>
      <c r="JGZ363" s="38"/>
      <c r="JHA363" s="38"/>
      <c r="JHB363" s="39"/>
      <c r="JHC363" s="34"/>
      <c r="JHD363" s="34"/>
      <c r="JHE363" s="34"/>
      <c r="JHF363" s="35"/>
      <c r="JHG363" s="35"/>
      <c r="JHH363" s="35"/>
      <c r="JHI363" s="35"/>
      <c r="JHJ363" s="35"/>
      <c r="JHK363" s="34"/>
      <c r="JHL363" s="34"/>
      <c r="JHM363" s="36"/>
      <c r="JHN363" s="36"/>
      <c r="JHO363" s="37"/>
      <c r="JHP363" s="37"/>
      <c r="JHQ363" s="38"/>
      <c r="JHR363" s="38"/>
      <c r="JHS363" s="39"/>
      <c r="JHT363" s="34"/>
      <c r="JHU363" s="34"/>
      <c r="JHV363" s="34"/>
      <c r="JHW363" s="35"/>
      <c r="JHX363" s="35"/>
      <c r="JHY363" s="35"/>
      <c r="JHZ363" s="35"/>
      <c r="JIA363" s="35"/>
      <c r="JIB363" s="34"/>
      <c r="JIC363" s="34"/>
      <c r="JID363" s="36"/>
      <c r="JIE363" s="36"/>
      <c r="JIF363" s="37"/>
      <c r="JIG363" s="37"/>
      <c r="JIH363" s="38"/>
      <c r="JII363" s="38"/>
      <c r="JIJ363" s="39"/>
      <c r="JIK363" s="34"/>
      <c r="JIL363" s="34"/>
      <c r="JIM363" s="34"/>
      <c r="JIN363" s="35"/>
      <c r="JIO363" s="35"/>
      <c r="JIP363" s="35"/>
      <c r="JIQ363" s="35"/>
      <c r="JIR363" s="35"/>
      <c r="JIS363" s="34"/>
      <c r="JIT363" s="34"/>
      <c r="JIU363" s="36"/>
      <c r="JIV363" s="36"/>
      <c r="JIW363" s="37"/>
      <c r="JIX363" s="37"/>
      <c r="JIY363" s="38"/>
      <c r="JIZ363" s="38"/>
      <c r="JJA363" s="39"/>
      <c r="JJB363" s="34"/>
      <c r="JJC363" s="34"/>
      <c r="JJD363" s="34"/>
      <c r="JJE363" s="35"/>
      <c r="JJF363" s="35"/>
      <c r="JJG363" s="35"/>
      <c r="JJH363" s="35"/>
      <c r="JJI363" s="35"/>
      <c r="JJJ363" s="34"/>
      <c r="JJK363" s="34"/>
      <c r="JJL363" s="36"/>
      <c r="JJM363" s="36"/>
      <c r="JJN363" s="37"/>
      <c r="JJO363" s="37"/>
      <c r="JJP363" s="38"/>
      <c r="JJQ363" s="38"/>
      <c r="JJR363" s="39"/>
      <c r="JJS363" s="34"/>
      <c r="JJT363" s="34"/>
      <c r="JJU363" s="34"/>
      <c r="JJV363" s="35"/>
      <c r="JJW363" s="35"/>
      <c r="JJX363" s="35"/>
      <c r="JJY363" s="35"/>
      <c r="JJZ363" s="35"/>
      <c r="JKA363" s="34"/>
      <c r="JKB363" s="34"/>
      <c r="JKC363" s="36"/>
      <c r="JKD363" s="36"/>
      <c r="JKE363" s="37"/>
      <c r="JKF363" s="37"/>
      <c r="JKG363" s="38"/>
      <c r="JKH363" s="38"/>
      <c r="JKI363" s="39"/>
      <c r="JKJ363" s="34"/>
      <c r="JKK363" s="34"/>
      <c r="JKL363" s="34"/>
      <c r="JKM363" s="35"/>
      <c r="JKN363" s="35"/>
      <c r="JKO363" s="35"/>
      <c r="JKP363" s="35"/>
      <c r="JKQ363" s="35"/>
      <c r="JKR363" s="34"/>
      <c r="JKS363" s="34"/>
      <c r="JKT363" s="36"/>
      <c r="JKU363" s="36"/>
      <c r="JKV363" s="37"/>
      <c r="JKW363" s="37"/>
      <c r="JKX363" s="38"/>
      <c r="JKY363" s="38"/>
      <c r="JKZ363" s="39"/>
      <c r="JLA363" s="34"/>
      <c r="JLB363" s="34"/>
      <c r="JLC363" s="34"/>
      <c r="JLD363" s="35"/>
      <c r="JLE363" s="35"/>
      <c r="JLF363" s="35"/>
      <c r="JLG363" s="35"/>
      <c r="JLH363" s="35"/>
      <c r="JLI363" s="34"/>
      <c r="JLJ363" s="34"/>
      <c r="JLK363" s="36"/>
      <c r="JLL363" s="36"/>
      <c r="JLM363" s="37"/>
      <c r="JLN363" s="37"/>
      <c r="JLO363" s="38"/>
      <c r="JLP363" s="38"/>
      <c r="JLQ363" s="39"/>
      <c r="JLR363" s="34"/>
      <c r="JLS363" s="34"/>
      <c r="JLT363" s="34"/>
      <c r="JLU363" s="35"/>
      <c r="JLV363" s="35"/>
      <c r="JLW363" s="35"/>
      <c r="JLX363" s="35"/>
      <c r="JLY363" s="35"/>
      <c r="JLZ363" s="34"/>
      <c r="JMA363" s="34"/>
      <c r="JMB363" s="36"/>
      <c r="JMC363" s="36"/>
      <c r="JMD363" s="37"/>
      <c r="JME363" s="37"/>
      <c r="JMF363" s="38"/>
      <c r="JMG363" s="38"/>
      <c r="JMH363" s="39"/>
      <c r="JMI363" s="34"/>
      <c r="JMJ363" s="34"/>
      <c r="JMK363" s="34"/>
      <c r="JML363" s="35"/>
      <c r="JMM363" s="35"/>
      <c r="JMN363" s="35"/>
      <c r="JMO363" s="35"/>
      <c r="JMP363" s="35"/>
      <c r="JMQ363" s="34"/>
      <c r="JMR363" s="34"/>
      <c r="JMS363" s="36"/>
      <c r="JMT363" s="36"/>
      <c r="JMU363" s="37"/>
      <c r="JMV363" s="37"/>
      <c r="JMW363" s="38"/>
      <c r="JMX363" s="38"/>
      <c r="JMY363" s="39"/>
      <c r="JMZ363" s="34"/>
      <c r="JNA363" s="34"/>
      <c r="JNB363" s="34"/>
      <c r="JNC363" s="35"/>
      <c r="JND363" s="35"/>
      <c r="JNE363" s="35"/>
      <c r="JNF363" s="35"/>
      <c r="JNG363" s="35"/>
      <c r="JNH363" s="34"/>
      <c r="JNI363" s="34"/>
      <c r="JNJ363" s="36"/>
      <c r="JNK363" s="36"/>
      <c r="JNL363" s="37"/>
      <c r="JNM363" s="37"/>
      <c r="JNN363" s="38"/>
      <c r="JNO363" s="38"/>
      <c r="JNP363" s="39"/>
      <c r="JNQ363" s="34"/>
      <c r="JNR363" s="34"/>
      <c r="JNS363" s="34"/>
      <c r="JNT363" s="35"/>
      <c r="JNU363" s="35"/>
      <c r="JNV363" s="35"/>
      <c r="JNW363" s="35"/>
      <c r="JNX363" s="35"/>
      <c r="JNY363" s="34"/>
      <c r="JNZ363" s="34"/>
      <c r="JOA363" s="36"/>
      <c r="JOB363" s="36"/>
      <c r="JOC363" s="37"/>
      <c r="JOD363" s="37"/>
      <c r="JOE363" s="38"/>
      <c r="JOF363" s="38"/>
      <c r="JOG363" s="39"/>
      <c r="JOH363" s="34"/>
      <c r="JOI363" s="34"/>
      <c r="JOJ363" s="34"/>
      <c r="JOK363" s="35"/>
      <c r="JOL363" s="35"/>
      <c r="JOM363" s="35"/>
      <c r="JON363" s="35"/>
      <c r="JOO363" s="35"/>
      <c r="JOP363" s="34"/>
      <c r="JOQ363" s="34"/>
      <c r="JOR363" s="36"/>
      <c r="JOS363" s="36"/>
      <c r="JOT363" s="37"/>
      <c r="JOU363" s="37"/>
      <c r="JOV363" s="38"/>
      <c r="JOW363" s="38"/>
      <c r="JOX363" s="39"/>
      <c r="JOY363" s="34"/>
      <c r="JOZ363" s="34"/>
      <c r="JPA363" s="34"/>
      <c r="JPB363" s="35"/>
      <c r="JPC363" s="35"/>
      <c r="JPD363" s="35"/>
      <c r="JPE363" s="35"/>
      <c r="JPF363" s="35"/>
      <c r="JPG363" s="34"/>
      <c r="JPH363" s="34"/>
      <c r="JPI363" s="36"/>
      <c r="JPJ363" s="36"/>
      <c r="JPK363" s="37"/>
      <c r="JPL363" s="37"/>
      <c r="JPM363" s="38"/>
      <c r="JPN363" s="38"/>
      <c r="JPO363" s="39"/>
      <c r="JPP363" s="34"/>
      <c r="JPQ363" s="34"/>
      <c r="JPR363" s="34"/>
      <c r="JPS363" s="35"/>
      <c r="JPT363" s="35"/>
      <c r="JPU363" s="35"/>
      <c r="JPV363" s="35"/>
      <c r="JPW363" s="35"/>
      <c r="JPX363" s="34"/>
      <c r="JPY363" s="34"/>
      <c r="JPZ363" s="36"/>
      <c r="JQA363" s="36"/>
      <c r="JQB363" s="37"/>
      <c r="JQC363" s="37"/>
      <c r="JQD363" s="38"/>
      <c r="JQE363" s="38"/>
      <c r="JQF363" s="39"/>
      <c r="JQG363" s="34"/>
      <c r="JQH363" s="34"/>
      <c r="JQI363" s="34"/>
      <c r="JQJ363" s="35"/>
      <c r="JQK363" s="35"/>
      <c r="JQL363" s="35"/>
      <c r="JQM363" s="35"/>
      <c r="JQN363" s="35"/>
      <c r="JQO363" s="34"/>
      <c r="JQP363" s="34"/>
      <c r="JQQ363" s="36"/>
      <c r="JQR363" s="36"/>
      <c r="JQS363" s="37"/>
      <c r="JQT363" s="37"/>
      <c r="JQU363" s="38"/>
      <c r="JQV363" s="38"/>
      <c r="JQW363" s="39"/>
      <c r="JQX363" s="34"/>
      <c r="JQY363" s="34"/>
      <c r="JQZ363" s="34"/>
      <c r="JRA363" s="35"/>
      <c r="JRB363" s="35"/>
      <c r="JRC363" s="35"/>
      <c r="JRD363" s="35"/>
      <c r="JRE363" s="35"/>
      <c r="JRF363" s="34"/>
      <c r="JRG363" s="34"/>
      <c r="JRH363" s="36"/>
      <c r="JRI363" s="36"/>
      <c r="JRJ363" s="37"/>
      <c r="JRK363" s="37"/>
      <c r="JRL363" s="38"/>
      <c r="JRM363" s="38"/>
      <c r="JRN363" s="39"/>
      <c r="JRO363" s="34"/>
      <c r="JRP363" s="34"/>
      <c r="JRQ363" s="34"/>
      <c r="JRR363" s="35"/>
      <c r="JRS363" s="35"/>
      <c r="JRT363" s="35"/>
      <c r="JRU363" s="35"/>
      <c r="JRV363" s="35"/>
      <c r="JRW363" s="34"/>
      <c r="JRX363" s="34"/>
      <c r="JRY363" s="36"/>
      <c r="JRZ363" s="36"/>
      <c r="JSA363" s="37"/>
      <c r="JSB363" s="37"/>
      <c r="JSC363" s="38"/>
      <c r="JSD363" s="38"/>
      <c r="JSE363" s="39"/>
      <c r="JSF363" s="34"/>
      <c r="JSG363" s="34"/>
      <c r="JSH363" s="34"/>
      <c r="JSI363" s="35"/>
      <c r="JSJ363" s="35"/>
      <c r="JSK363" s="35"/>
      <c r="JSL363" s="35"/>
      <c r="JSM363" s="35"/>
      <c r="JSN363" s="34"/>
      <c r="JSO363" s="34"/>
      <c r="JSP363" s="36"/>
      <c r="JSQ363" s="36"/>
      <c r="JSR363" s="37"/>
      <c r="JSS363" s="37"/>
      <c r="JST363" s="38"/>
      <c r="JSU363" s="38"/>
      <c r="JSV363" s="39"/>
      <c r="JSW363" s="34"/>
      <c r="JSX363" s="34"/>
      <c r="JSY363" s="34"/>
      <c r="JSZ363" s="35"/>
      <c r="JTA363" s="35"/>
      <c r="JTB363" s="35"/>
      <c r="JTC363" s="35"/>
      <c r="JTD363" s="35"/>
      <c r="JTE363" s="34"/>
      <c r="JTF363" s="34"/>
      <c r="JTG363" s="36"/>
      <c r="JTH363" s="36"/>
      <c r="JTI363" s="37"/>
      <c r="JTJ363" s="37"/>
      <c r="JTK363" s="38"/>
      <c r="JTL363" s="38"/>
      <c r="JTM363" s="39"/>
      <c r="JTN363" s="34"/>
      <c r="JTO363" s="34"/>
      <c r="JTP363" s="34"/>
      <c r="JTQ363" s="35"/>
      <c r="JTR363" s="35"/>
      <c r="JTS363" s="35"/>
      <c r="JTT363" s="35"/>
      <c r="JTU363" s="35"/>
      <c r="JTV363" s="34"/>
      <c r="JTW363" s="34"/>
      <c r="JTX363" s="36"/>
      <c r="JTY363" s="36"/>
      <c r="JTZ363" s="37"/>
      <c r="JUA363" s="37"/>
      <c r="JUB363" s="38"/>
      <c r="JUC363" s="38"/>
      <c r="JUD363" s="39"/>
      <c r="JUE363" s="34"/>
      <c r="JUF363" s="34"/>
      <c r="JUG363" s="34"/>
      <c r="JUH363" s="35"/>
      <c r="JUI363" s="35"/>
      <c r="JUJ363" s="35"/>
      <c r="JUK363" s="35"/>
      <c r="JUL363" s="35"/>
      <c r="JUM363" s="34"/>
      <c r="JUN363" s="34"/>
      <c r="JUO363" s="36"/>
      <c r="JUP363" s="36"/>
      <c r="JUQ363" s="37"/>
      <c r="JUR363" s="37"/>
      <c r="JUS363" s="38"/>
      <c r="JUT363" s="38"/>
      <c r="JUU363" s="39"/>
      <c r="JUV363" s="34"/>
      <c r="JUW363" s="34"/>
      <c r="JUX363" s="34"/>
      <c r="JUY363" s="35"/>
      <c r="JUZ363" s="35"/>
      <c r="JVA363" s="35"/>
      <c r="JVB363" s="35"/>
      <c r="JVC363" s="35"/>
      <c r="JVD363" s="34"/>
      <c r="JVE363" s="34"/>
      <c r="JVF363" s="36"/>
      <c r="JVG363" s="36"/>
      <c r="JVH363" s="37"/>
      <c r="JVI363" s="37"/>
      <c r="JVJ363" s="38"/>
      <c r="JVK363" s="38"/>
      <c r="JVL363" s="39"/>
      <c r="JVM363" s="34"/>
      <c r="JVN363" s="34"/>
      <c r="JVO363" s="34"/>
      <c r="JVP363" s="35"/>
      <c r="JVQ363" s="35"/>
      <c r="JVR363" s="35"/>
      <c r="JVS363" s="35"/>
      <c r="JVT363" s="35"/>
      <c r="JVU363" s="34"/>
      <c r="JVV363" s="34"/>
      <c r="JVW363" s="36"/>
      <c r="JVX363" s="36"/>
      <c r="JVY363" s="37"/>
      <c r="JVZ363" s="37"/>
      <c r="JWA363" s="38"/>
      <c r="JWB363" s="38"/>
      <c r="JWC363" s="39"/>
      <c r="JWD363" s="34"/>
      <c r="JWE363" s="34"/>
      <c r="JWF363" s="34"/>
      <c r="JWG363" s="35"/>
      <c r="JWH363" s="35"/>
      <c r="JWI363" s="35"/>
      <c r="JWJ363" s="35"/>
      <c r="JWK363" s="35"/>
      <c r="JWL363" s="34"/>
      <c r="JWM363" s="34"/>
      <c r="JWN363" s="36"/>
      <c r="JWO363" s="36"/>
      <c r="JWP363" s="37"/>
      <c r="JWQ363" s="37"/>
      <c r="JWR363" s="38"/>
      <c r="JWS363" s="38"/>
      <c r="JWT363" s="39"/>
      <c r="JWU363" s="34"/>
      <c r="JWV363" s="34"/>
      <c r="JWW363" s="34"/>
      <c r="JWX363" s="35"/>
      <c r="JWY363" s="35"/>
      <c r="JWZ363" s="35"/>
      <c r="JXA363" s="35"/>
      <c r="JXB363" s="35"/>
      <c r="JXC363" s="34"/>
      <c r="JXD363" s="34"/>
      <c r="JXE363" s="36"/>
      <c r="JXF363" s="36"/>
      <c r="JXG363" s="37"/>
      <c r="JXH363" s="37"/>
      <c r="JXI363" s="38"/>
      <c r="JXJ363" s="38"/>
      <c r="JXK363" s="39"/>
      <c r="JXL363" s="34"/>
      <c r="JXM363" s="34"/>
      <c r="JXN363" s="34"/>
      <c r="JXO363" s="35"/>
      <c r="JXP363" s="35"/>
      <c r="JXQ363" s="35"/>
      <c r="JXR363" s="35"/>
      <c r="JXS363" s="35"/>
      <c r="JXT363" s="34"/>
      <c r="JXU363" s="34"/>
      <c r="JXV363" s="36"/>
      <c r="JXW363" s="36"/>
      <c r="JXX363" s="37"/>
      <c r="JXY363" s="37"/>
      <c r="JXZ363" s="38"/>
      <c r="JYA363" s="38"/>
      <c r="JYB363" s="39"/>
      <c r="JYC363" s="34"/>
      <c r="JYD363" s="34"/>
      <c r="JYE363" s="34"/>
      <c r="JYF363" s="35"/>
      <c r="JYG363" s="35"/>
      <c r="JYH363" s="35"/>
      <c r="JYI363" s="35"/>
      <c r="JYJ363" s="35"/>
      <c r="JYK363" s="34"/>
      <c r="JYL363" s="34"/>
      <c r="JYM363" s="36"/>
      <c r="JYN363" s="36"/>
      <c r="JYO363" s="37"/>
      <c r="JYP363" s="37"/>
      <c r="JYQ363" s="38"/>
      <c r="JYR363" s="38"/>
      <c r="JYS363" s="39"/>
      <c r="JYT363" s="34"/>
      <c r="JYU363" s="34"/>
      <c r="JYV363" s="34"/>
      <c r="JYW363" s="35"/>
      <c r="JYX363" s="35"/>
      <c r="JYY363" s="35"/>
      <c r="JYZ363" s="35"/>
      <c r="JZA363" s="35"/>
      <c r="JZB363" s="34"/>
      <c r="JZC363" s="34"/>
      <c r="JZD363" s="36"/>
      <c r="JZE363" s="36"/>
      <c r="JZF363" s="37"/>
      <c r="JZG363" s="37"/>
      <c r="JZH363" s="38"/>
      <c r="JZI363" s="38"/>
      <c r="JZJ363" s="39"/>
      <c r="JZK363" s="34"/>
      <c r="JZL363" s="34"/>
      <c r="JZM363" s="34"/>
      <c r="JZN363" s="35"/>
      <c r="JZO363" s="35"/>
      <c r="JZP363" s="35"/>
      <c r="JZQ363" s="35"/>
      <c r="JZR363" s="35"/>
      <c r="JZS363" s="34"/>
      <c r="JZT363" s="34"/>
      <c r="JZU363" s="36"/>
      <c r="JZV363" s="36"/>
      <c r="JZW363" s="37"/>
      <c r="JZX363" s="37"/>
      <c r="JZY363" s="38"/>
      <c r="JZZ363" s="38"/>
      <c r="KAA363" s="39"/>
      <c r="KAB363" s="34"/>
      <c r="KAC363" s="34"/>
      <c r="KAD363" s="34"/>
      <c r="KAE363" s="35"/>
      <c r="KAF363" s="35"/>
      <c r="KAG363" s="35"/>
      <c r="KAH363" s="35"/>
      <c r="KAI363" s="35"/>
      <c r="KAJ363" s="34"/>
      <c r="KAK363" s="34"/>
      <c r="KAL363" s="36"/>
      <c r="KAM363" s="36"/>
      <c r="KAN363" s="37"/>
      <c r="KAO363" s="37"/>
      <c r="KAP363" s="38"/>
      <c r="KAQ363" s="38"/>
      <c r="KAR363" s="39"/>
      <c r="KAS363" s="34"/>
      <c r="KAT363" s="34"/>
      <c r="KAU363" s="34"/>
      <c r="KAV363" s="35"/>
      <c r="KAW363" s="35"/>
      <c r="KAX363" s="35"/>
      <c r="KAY363" s="35"/>
      <c r="KAZ363" s="35"/>
      <c r="KBA363" s="34"/>
      <c r="KBB363" s="34"/>
      <c r="KBC363" s="36"/>
      <c r="KBD363" s="36"/>
      <c r="KBE363" s="37"/>
      <c r="KBF363" s="37"/>
      <c r="KBG363" s="38"/>
      <c r="KBH363" s="38"/>
      <c r="KBI363" s="39"/>
      <c r="KBJ363" s="34"/>
      <c r="KBK363" s="34"/>
      <c r="KBL363" s="34"/>
      <c r="KBM363" s="35"/>
      <c r="KBN363" s="35"/>
      <c r="KBO363" s="35"/>
      <c r="KBP363" s="35"/>
      <c r="KBQ363" s="35"/>
      <c r="KBR363" s="34"/>
      <c r="KBS363" s="34"/>
      <c r="KBT363" s="36"/>
      <c r="KBU363" s="36"/>
      <c r="KBV363" s="37"/>
      <c r="KBW363" s="37"/>
      <c r="KBX363" s="38"/>
      <c r="KBY363" s="38"/>
      <c r="KBZ363" s="39"/>
      <c r="KCA363" s="34"/>
      <c r="KCB363" s="34"/>
      <c r="KCC363" s="34"/>
      <c r="KCD363" s="35"/>
      <c r="KCE363" s="35"/>
      <c r="KCF363" s="35"/>
      <c r="KCG363" s="35"/>
      <c r="KCH363" s="35"/>
      <c r="KCI363" s="34"/>
      <c r="KCJ363" s="34"/>
      <c r="KCK363" s="36"/>
      <c r="KCL363" s="36"/>
      <c r="KCM363" s="37"/>
      <c r="KCN363" s="37"/>
      <c r="KCO363" s="38"/>
      <c r="KCP363" s="38"/>
      <c r="KCQ363" s="39"/>
      <c r="KCR363" s="34"/>
      <c r="KCS363" s="34"/>
      <c r="KCT363" s="34"/>
      <c r="KCU363" s="35"/>
      <c r="KCV363" s="35"/>
      <c r="KCW363" s="35"/>
      <c r="KCX363" s="35"/>
      <c r="KCY363" s="35"/>
      <c r="KCZ363" s="34"/>
      <c r="KDA363" s="34"/>
      <c r="KDB363" s="36"/>
      <c r="KDC363" s="36"/>
      <c r="KDD363" s="37"/>
      <c r="KDE363" s="37"/>
      <c r="KDF363" s="38"/>
      <c r="KDG363" s="38"/>
      <c r="KDH363" s="39"/>
      <c r="KDI363" s="34"/>
      <c r="KDJ363" s="34"/>
      <c r="KDK363" s="34"/>
      <c r="KDL363" s="35"/>
      <c r="KDM363" s="35"/>
      <c r="KDN363" s="35"/>
      <c r="KDO363" s="35"/>
      <c r="KDP363" s="35"/>
      <c r="KDQ363" s="34"/>
      <c r="KDR363" s="34"/>
      <c r="KDS363" s="36"/>
      <c r="KDT363" s="36"/>
      <c r="KDU363" s="37"/>
      <c r="KDV363" s="37"/>
      <c r="KDW363" s="38"/>
      <c r="KDX363" s="38"/>
      <c r="KDY363" s="39"/>
      <c r="KDZ363" s="34"/>
      <c r="KEA363" s="34"/>
      <c r="KEB363" s="34"/>
      <c r="KEC363" s="35"/>
      <c r="KED363" s="35"/>
      <c r="KEE363" s="35"/>
      <c r="KEF363" s="35"/>
      <c r="KEG363" s="35"/>
      <c r="KEH363" s="34"/>
      <c r="KEI363" s="34"/>
      <c r="KEJ363" s="36"/>
      <c r="KEK363" s="36"/>
      <c r="KEL363" s="37"/>
      <c r="KEM363" s="37"/>
      <c r="KEN363" s="38"/>
      <c r="KEO363" s="38"/>
      <c r="KEP363" s="39"/>
      <c r="KEQ363" s="34"/>
      <c r="KER363" s="34"/>
      <c r="KES363" s="34"/>
      <c r="KET363" s="35"/>
      <c r="KEU363" s="35"/>
      <c r="KEV363" s="35"/>
      <c r="KEW363" s="35"/>
      <c r="KEX363" s="35"/>
      <c r="KEY363" s="34"/>
      <c r="KEZ363" s="34"/>
      <c r="KFA363" s="36"/>
      <c r="KFB363" s="36"/>
      <c r="KFC363" s="37"/>
      <c r="KFD363" s="37"/>
      <c r="KFE363" s="38"/>
      <c r="KFF363" s="38"/>
      <c r="KFG363" s="39"/>
      <c r="KFH363" s="34"/>
      <c r="KFI363" s="34"/>
      <c r="KFJ363" s="34"/>
      <c r="KFK363" s="35"/>
      <c r="KFL363" s="35"/>
      <c r="KFM363" s="35"/>
      <c r="KFN363" s="35"/>
      <c r="KFO363" s="35"/>
      <c r="KFP363" s="34"/>
      <c r="KFQ363" s="34"/>
      <c r="KFR363" s="36"/>
      <c r="KFS363" s="36"/>
      <c r="KFT363" s="37"/>
      <c r="KFU363" s="37"/>
      <c r="KFV363" s="38"/>
      <c r="KFW363" s="38"/>
      <c r="KFX363" s="39"/>
      <c r="KFY363" s="34"/>
      <c r="KFZ363" s="34"/>
      <c r="KGA363" s="34"/>
      <c r="KGB363" s="35"/>
      <c r="KGC363" s="35"/>
      <c r="KGD363" s="35"/>
      <c r="KGE363" s="35"/>
      <c r="KGF363" s="35"/>
      <c r="KGG363" s="34"/>
      <c r="KGH363" s="34"/>
      <c r="KGI363" s="36"/>
      <c r="KGJ363" s="36"/>
      <c r="KGK363" s="37"/>
      <c r="KGL363" s="37"/>
      <c r="KGM363" s="38"/>
      <c r="KGN363" s="38"/>
      <c r="KGO363" s="39"/>
      <c r="KGP363" s="34"/>
      <c r="KGQ363" s="34"/>
      <c r="KGR363" s="34"/>
      <c r="KGS363" s="35"/>
      <c r="KGT363" s="35"/>
      <c r="KGU363" s="35"/>
      <c r="KGV363" s="35"/>
      <c r="KGW363" s="35"/>
      <c r="KGX363" s="34"/>
      <c r="KGY363" s="34"/>
      <c r="KGZ363" s="36"/>
      <c r="KHA363" s="36"/>
      <c r="KHB363" s="37"/>
      <c r="KHC363" s="37"/>
      <c r="KHD363" s="38"/>
      <c r="KHE363" s="38"/>
      <c r="KHF363" s="39"/>
      <c r="KHG363" s="34"/>
      <c r="KHH363" s="34"/>
      <c r="KHI363" s="34"/>
      <c r="KHJ363" s="35"/>
      <c r="KHK363" s="35"/>
      <c r="KHL363" s="35"/>
      <c r="KHM363" s="35"/>
      <c r="KHN363" s="35"/>
      <c r="KHO363" s="34"/>
      <c r="KHP363" s="34"/>
      <c r="KHQ363" s="36"/>
      <c r="KHR363" s="36"/>
      <c r="KHS363" s="37"/>
      <c r="KHT363" s="37"/>
      <c r="KHU363" s="38"/>
      <c r="KHV363" s="38"/>
      <c r="KHW363" s="39"/>
      <c r="KHX363" s="34"/>
      <c r="KHY363" s="34"/>
      <c r="KHZ363" s="34"/>
      <c r="KIA363" s="35"/>
      <c r="KIB363" s="35"/>
      <c r="KIC363" s="35"/>
      <c r="KID363" s="35"/>
      <c r="KIE363" s="35"/>
      <c r="KIF363" s="34"/>
      <c r="KIG363" s="34"/>
      <c r="KIH363" s="36"/>
      <c r="KII363" s="36"/>
      <c r="KIJ363" s="37"/>
      <c r="KIK363" s="37"/>
      <c r="KIL363" s="38"/>
      <c r="KIM363" s="38"/>
      <c r="KIN363" s="39"/>
      <c r="KIO363" s="34"/>
      <c r="KIP363" s="34"/>
      <c r="KIQ363" s="34"/>
      <c r="KIR363" s="35"/>
      <c r="KIS363" s="35"/>
      <c r="KIT363" s="35"/>
      <c r="KIU363" s="35"/>
      <c r="KIV363" s="35"/>
      <c r="KIW363" s="34"/>
      <c r="KIX363" s="34"/>
      <c r="KIY363" s="36"/>
      <c r="KIZ363" s="36"/>
      <c r="KJA363" s="37"/>
      <c r="KJB363" s="37"/>
      <c r="KJC363" s="38"/>
      <c r="KJD363" s="38"/>
      <c r="KJE363" s="39"/>
      <c r="KJF363" s="34"/>
      <c r="KJG363" s="34"/>
      <c r="KJH363" s="34"/>
      <c r="KJI363" s="35"/>
      <c r="KJJ363" s="35"/>
      <c r="KJK363" s="35"/>
      <c r="KJL363" s="35"/>
      <c r="KJM363" s="35"/>
      <c r="KJN363" s="34"/>
      <c r="KJO363" s="34"/>
      <c r="KJP363" s="36"/>
      <c r="KJQ363" s="36"/>
      <c r="KJR363" s="37"/>
      <c r="KJS363" s="37"/>
      <c r="KJT363" s="38"/>
      <c r="KJU363" s="38"/>
      <c r="KJV363" s="39"/>
      <c r="KJW363" s="34"/>
      <c r="KJX363" s="34"/>
      <c r="KJY363" s="34"/>
      <c r="KJZ363" s="35"/>
      <c r="KKA363" s="35"/>
      <c r="KKB363" s="35"/>
      <c r="KKC363" s="35"/>
      <c r="KKD363" s="35"/>
      <c r="KKE363" s="34"/>
      <c r="KKF363" s="34"/>
      <c r="KKG363" s="36"/>
      <c r="KKH363" s="36"/>
      <c r="KKI363" s="37"/>
      <c r="KKJ363" s="37"/>
      <c r="KKK363" s="38"/>
      <c r="KKL363" s="38"/>
      <c r="KKM363" s="39"/>
      <c r="KKN363" s="34"/>
      <c r="KKO363" s="34"/>
      <c r="KKP363" s="34"/>
      <c r="KKQ363" s="35"/>
      <c r="KKR363" s="35"/>
      <c r="KKS363" s="35"/>
      <c r="KKT363" s="35"/>
      <c r="KKU363" s="35"/>
      <c r="KKV363" s="34"/>
      <c r="KKW363" s="34"/>
      <c r="KKX363" s="36"/>
      <c r="KKY363" s="36"/>
      <c r="KKZ363" s="37"/>
      <c r="KLA363" s="37"/>
      <c r="KLB363" s="38"/>
      <c r="KLC363" s="38"/>
      <c r="KLD363" s="39"/>
      <c r="KLE363" s="34"/>
      <c r="KLF363" s="34"/>
      <c r="KLG363" s="34"/>
      <c r="KLH363" s="35"/>
      <c r="KLI363" s="35"/>
      <c r="KLJ363" s="35"/>
      <c r="KLK363" s="35"/>
      <c r="KLL363" s="35"/>
      <c r="KLM363" s="34"/>
      <c r="KLN363" s="34"/>
      <c r="KLO363" s="36"/>
      <c r="KLP363" s="36"/>
      <c r="KLQ363" s="37"/>
      <c r="KLR363" s="37"/>
      <c r="KLS363" s="38"/>
      <c r="KLT363" s="38"/>
      <c r="KLU363" s="39"/>
      <c r="KLV363" s="34"/>
      <c r="KLW363" s="34"/>
      <c r="KLX363" s="34"/>
      <c r="KLY363" s="35"/>
      <c r="KLZ363" s="35"/>
      <c r="KMA363" s="35"/>
      <c r="KMB363" s="35"/>
      <c r="KMC363" s="35"/>
      <c r="KMD363" s="34"/>
      <c r="KME363" s="34"/>
      <c r="KMF363" s="36"/>
      <c r="KMG363" s="36"/>
      <c r="KMH363" s="37"/>
      <c r="KMI363" s="37"/>
      <c r="KMJ363" s="38"/>
      <c r="KMK363" s="38"/>
      <c r="KML363" s="39"/>
      <c r="KMM363" s="34"/>
      <c r="KMN363" s="34"/>
      <c r="KMO363" s="34"/>
      <c r="KMP363" s="35"/>
      <c r="KMQ363" s="35"/>
      <c r="KMR363" s="35"/>
      <c r="KMS363" s="35"/>
      <c r="KMT363" s="35"/>
      <c r="KMU363" s="34"/>
      <c r="KMV363" s="34"/>
      <c r="KMW363" s="36"/>
      <c r="KMX363" s="36"/>
      <c r="KMY363" s="37"/>
      <c r="KMZ363" s="37"/>
      <c r="KNA363" s="38"/>
      <c r="KNB363" s="38"/>
      <c r="KNC363" s="39"/>
      <c r="KND363" s="34"/>
      <c r="KNE363" s="34"/>
      <c r="KNF363" s="34"/>
      <c r="KNG363" s="35"/>
      <c r="KNH363" s="35"/>
      <c r="KNI363" s="35"/>
      <c r="KNJ363" s="35"/>
      <c r="KNK363" s="35"/>
      <c r="KNL363" s="34"/>
      <c r="KNM363" s="34"/>
      <c r="KNN363" s="36"/>
      <c r="KNO363" s="36"/>
      <c r="KNP363" s="37"/>
      <c r="KNQ363" s="37"/>
      <c r="KNR363" s="38"/>
      <c r="KNS363" s="38"/>
      <c r="KNT363" s="39"/>
      <c r="KNU363" s="34"/>
      <c r="KNV363" s="34"/>
      <c r="KNW363" s="34"/>
      <c r="KNX363" s="35"/>
      <c r="KNY363" s="35"/>
      <c r="KNZ363" s="35"/>
      <c r="KOA363" s="35"/>
      <c r="KOB363" s="35"/>
      <c r="KOC363" s="34"/>
      <c r="KOD363" s="34"/>
      <c r="KOE363" s="36"/>
      <c r="KOF363" s="36"/>
      <c r="KOG363" s="37"/>
      <c r="KOH363" s="37"/>
      <c r="KOI363" s="38"/>
      <c r="KOJ363" s="38"/>
      <c r="KOK363" s="39"/>
      <c r="KOL363" s="34"/>
      <c r="KOM363" s="34"/>
      <c r="KON363" s="34"/>
      <c r="KOO363" s="35"/>
      <c r="KOP363" s="35"/>
      <c r="KOQ363" s="35"/>
      <c r="KOR363" s="35"/>
      <c r="KOS363" s="35"/>
      <c r="KOT363" s="34"/>
      <c r="KOU363" s="34"/>
      <c r="KOV363" s="36"/>
      <c r="KOW363" s="36"/>
      <c r="KOX363" s="37"/>
      <c r="KOY363" s="37"/>
      <c r="KOZ363" s="38"/>
      <c r="KPA363" s="38"/>
      <c r="KPB363" s="39"/>
      <c r="KPC363" s="34"/>
      <c r="KPD363" s="34"/>
      <c r="KPE363" s="34"/>
      <c r="KPF363" s="35"/>
      <c r="KPG363" s="35"/>
      <c r="KPH363" s="35"/>
      <c r="KPI363" s="35"/>
      <c r="KPJ363" s="35"/>
      <c r="KPK363" s="34"/>
      <c r="KPL363" s="34"/>
      <c r="KPM363" s="36"/>
      <c r="KPN363" s="36"/>
      <c r="KPO363" s="37"/>
      <c r="KPP363" s="37"/>
      <c r="KPQ363" s="38"/>
      <c r="KPR363" s="38"/>
      <c r="KPS363" s="39"/>
      <c r="KPT363" s="34"/>
      <c r="KPU363" s="34"/>
      <c r="KPV363" s="34"/>
      <c r="KPW363" s="35"/>
      <c r="KPX363" s="35"/>
      <c r="KPY363" s="35"/>
      <c r="KPZ363" s="35"/>
      <c r="KQA363" s="35"/>
      <c r="KQB363" s="34"/>
      <c r="KQC363" s="34"/>
      <c r="KQD363" s="36"/>
      <c r="KQE363" s="36"/>
      <c r="KQF363" s="37"/>
      <c r="KQG363" s="37"/>
      <c r="KQH363" s="38"/>
      <c r="KQI363" s="38"/>
      <c r="KQJ363" s="39"/>
      <c r="KQK363" s="34"/>
      <c r="KQL363" s="34"/>
      <c r="KQM363" s="34"/>
      <c r="KQN363" s="35"/>
      <c r="KQO363" s="35"/>
      <c r="KQP363" s="35"/>
      <c r="KQQ363" s="35"/>
      <c r="KQR363" s="35"/>
      <c r="KQS363" s="34"/>
      <c r="KQT363" s="34"/>
      <c r="KQU363" s="36"/>
      <c r="KQV363" s="36"/>
      <c r="KQW363" s="37"/>
      <c r="KQX363" s="37"/>
      <c r="KQY363" s="38"/>
      <c r="KQZ363" s="38"/>
      <c r="KRA363" s="39"/>
      <c r="KRB363" s="34"/>
      <c r="KRC363" s="34"/>
      <c r="KRD363" s="34"/>
      <c r="KRE363" s="35"/>
      <c r="KRF363" s="35"/>
      <c r="KRG363" s="35"/>
      <c r="KRH363" s="35"/>
      <c r="KRI363" s="35"/>
      <c r="KRJ363" s="34"/>
      <c r="KRK363" s="34"/>
      <c r="KRL363" s="36"/>
      <c r="KRM363" s="36"/>
      <c r="KRN363" s="37"/>
      <c r="KRO363" s="37"/>
      <c r="KRP363" s="38"/>
      <c r="KRQ363" s="38"/>
      <c r="KRR363" s="39"/>
      <c r="KRS363" s="34"/>
      <c r="KRT363" s="34"/>
      <c r="KRU363" s="34"/>
      <c r="KRV363" s="35"/>
      <c r="KRW363" s="35"/>
      <c r="KRX363" s="35"/>
      <c r="KRY363" s="35"/>
      <c r="KRZ363" s="35"/>
      <c r="KSA363" s="34"/>
      <c r="KSB363" s="34"/>
      <c r="KSC363" s="36"/>
      <c r="KSD363" s="36"/>
      <c r="KSE363" s="37"/>
      <c r="KSF363" s="37"/>
      <c r="KSG363" s="38"/>
      <c r="KSH363" s="38"/>
      <c r="KSI363" s="39"/>
      <c r="KSJ363" s="34"/>
      <c r="KSK363" s="34"/>
      <c r="KSL363" s="34"/>
      <c r="KSM363" s="35"/>
      <c r="KSN363" s="35"/>
      <c r="KSO363" s="35"/>
      <c r="KSP363" s="35"/>
      <c r="KSQ363" s="35"/>
      <c r="KSR363" s="34"/>
      <c r="KSS363" s="34"/>
      <c r="KST363" s="36"/>
      <c r="KSU363" s="36"/>
      <c r="KSV363" s="37"/>
      <c r="KSW363" s="37"/>
      <c r="KSX363" s="38"/>
      <c r="KSY363" s="38"/>
      <c r="KSZ363" s="39"/>
      <c r="KTA363" s="34"/>
      <c r="KTB363" s="34"/>
      <c r="KTC363" s="34"/>
      <c r="KTD363" s="35"/>
      <c r="KTE363" s="35"/>
      <c r="KTF363" s="35"/>
      <c r="KTG363" s="35"/>
      <c r="KTH363" s="35"/>
      <c r="KTI363" s="34"/>
      <c r="KTJ363" s="34"/>
      <c r="KTK363" s="36"/>
      <c r="KTL363" s="36"/>
      <c r="KTM363" s="37"/>
      <c r="KTN363" s="37"/>
      <c r="KTO363" s="38"/>
      <c r="KTP363" s="38"/>
      <c r="KTQ363" s="39"/>
      <c r="KTR363" s="34"/>
      <c r="KTS363" s="34"/>
      <c r="KTT363" s="34"/>
      <c r="KTU363" s="35"/>
      <c r="KTV363" s="35"/>
      <c r="KTW363" s="35"/>
      <c r="KTX363" s="35"/>
      <c r="KTY363" s="35"/>
      <c r="KTZ363" s="34"/>
      <c r="KUA363" s="34"/>
      <c r="KUB363" s="36"/>
      <c r="KUC363" s="36"/>
      <c r="KUD363" s="37"/>
      <c r="KUE363" s="37"/>
      <c r="KUF363" s="38"/>
      <c r="KUG363" s="38"/>
      <c r="KUH363" s="39"/>
      <c r="KUI363" s="34"/>
      <c r="KUJ363" s="34"/>
      <c r="KUK363" s="34"/>
      <c r="KUL363" s="35"/>
      <c r="KUM363" s="35"/>
      <c r="KUN363" s="35"/>
      <c r="KUO363" s="35"/>
      <c r="KUP363" s="35"/>
      <c r="KUQ363" s="34"/>
      <c r="KUR363" s="34"/>
      <c r="KUS363" s="36"/>
      <c r="KUT363" s="36"/>
      <c r="KUU363" s="37"/>
      <c r="KUV363" s="37"/>
      <c r="KUW363" s="38"/>
      <c r="KUX363" s="38"/>
      <c r="KUY363" s="39"/>
      <c r="KUZ363" s="34"/>
      <c r="KVA363" s="34"/>
      <c r="KVB363" s="34"/>
      <c r="KVC363" s="35"/>
      <c r="KVD363" s="35"/>
      <c r="KVE363" s="35"/>
      <c r="KVF363" s="35"/>
      <c r="KVG363" s="35"/>
      <c r="KVH363" s="34"/>
      <c r="KVI363" s="34"/>
      <c r="KVJ363" s="36"/>
      <c r="KVK363" s="36"/>
      <c r="KVL363" s="37"/>
      <c r="KVM363" s="37"/>
      <c r="KVN363" s="38"/>
      <c r="KVO363" s="38"/>
      <c r="KVP363" s="39"/>
      <c r="KVQ363" s="34"/>
      <c r="KVR363" s="34"/>
      <c r="KVS363" s="34"/>
      <c r="KVT363" s="35"/>
      <c r="KVU363" s="35"/>
      <c r="KVV363" s="35"/>
      <c r="KVW363" s="35"/>
      <c r="KVX363" s="35"/>
      <c r="KVY363" s="34"/>
      <c r="KVZ363" s="34"/>
      <c r="KWA363" s="36"/>
      <c r="KWB363" s="36"/>
      <c r="KWC363" s="37"/>
      <c r="KWD363" s="37"/>
      <c r="KWE363" s="38"/>
      <c r="KWF363" s="38"/>
      <c r="KWG363" s="39"/>
      <c r="KWH363" s="34"/>
      <c r="KWI363" s="34"/>
      <c r="KWJ363" s="34"/>
      <c r="KWK363" s="35"/>
      <c r="KWL363" s="35"/>
      <c r="KWM363" s="35"/>
      <c r="KWN363" s="35"/>
      <c r="KWO363" s="35"/>
      <c r="KWP363" s="34"/>
      <c r="KWQ363" s="34"/>
      <c r="KWR363" s="36"/>
      <c r="KWS363" s="36"/>
      <c r="KWT363" s="37"/>
      <c r="KWU363" s="37"/>
      <c r="KWV363" s="38"/>
      <c r="KWW363" s="38"/>
      <c r="KWX363" s="39"/>
      <c r="KWY363" s="34"/>
      <c r="KWZ363" s="34"/>
      <c r="KXA363" s="34"/>
      <c r="KXB363" s="35"/>
      <c r="KXC363" s="35"/>
      <c r="KXD363" s="35"/>
      <c r="KXE363" s="35"/>
      <c r="KXF363" s="35"/>
      <c r="KXG363" s="34"/>
      <c r="KXH363" s="34"/>
      <c r="KXI363" s="36"/>
      <c r="KXJ363" s="36"/>
      <c r="KXK363" s="37"/>
      <c r="KXL363" s="37"/>
      <c r="KXM363" s="38"/>
      <c r="KXN363" s="38"/>
      <c r="KXO363" s="39"/>
      <c r="KXP363" s="34"/>
      <c r="KXQ363" s="34"/>
      <c r="KXR363" s="34"/>
      <c r="KXS363" s="35"/>
      <c r="KXT363" s="35"/>
      <c r="KXU363" s="35"/>
      <c r="KXV363" s="35"/>
      <c r="KXW363" s="35"/>
      <c r="KXX363" s="34"/>
      <c r="KXY363" s="34"/>
      <c r="KXZ363" s="36"/>
      <c r="KYA363" s="36"/>
      <c r="KYB363" s="37"/>
      <c r="KYC363" s="37"/>
      <c r="KYD363" s="38"/>
      <c r="KYE363" s="38"/>
      <c r="KYF363" s="39"/>
      <c r="KYG363" s="34"/>
      <c r="KYH363" s="34"/>
      <c r="KYI363" s="34"/>
      <c r="KYJ363" s="35"/>
      <c r="KYK363" s="35"/>
      <c r="KYL363" s="35"/>
      <c r="KYM363" s="35"/>
      <c r="KYN363" s="35"/>
      <c r="KYO363" s="34"/>
      <c r="KYP363" s="34"/>
      <c r="KYQ363" s="36"/>
      <c r="KYR363" s="36"/>
      <c r="KYS363" s="37"/>
      <c r="KYT363" s="37"/>
      <c r="KYU363" s="38"/>
      <c r="KYV363" s="38"/>
      <c r="KYW363" s="39"/>
      <c r="KYX363" s="34"/>
      <c r="KYY363" s="34"/>
      <c r="KYZ363" s="34"/>
      <c r="KZA363" s="35"/>
      <c r="KZB363" s="35"/>
      <c r="KZC363" s="35"/>
      <c r="KZD363" s="35"/>
      <c r="KZE363" s="35"/>
      <c r="KZF363" s="34"/>
      <c r="KZG363" s="34"/>
      <c r="KZH363" s="36"/>
      <c r="KZI363" s="36"/>
      <c r="KZJ363" s="37"/>
      <c r="KZK363" s="37"/>
      <c r="KZL363" s="38"/>
      <c r="KZM363" s="38"/>
      <c r="KZN363" s="39"/>
      <c r="KZO363" s="34"/>
      <c r="KZP363" s="34"/>
      <c r="KZQ363" s="34"/>
      <c r="KZR363" s="35"/>
      <c r="KZS363" s="35"/>
      <c r="KZT363" s="35"/>
      <c r="KZU363" s="35"/>
      <c r="KZV363" s="35"/>
      <c r="KZW363" s="34"/>
      <c r="KZX363" s="34"/>
      <c r="KZY363" s="36"/>
      <c r="KZZ363" s="36"/>
      <c r="LAA363" s="37"/>
      <c r="LAB363" s="37"/>
      <c r="LAC363" s="38"/>
      <c r="LAD363" s="38"/>
      <c r="LAE363" s="39"/>
      <c r="LAF363" s="34"/>
      <c r="LAG363" s="34"/>
      <c r="LAH363" s="34"/>
      <c r="LAI363" s="35"/>
      <c r="LAJ363" s="35"/>
      <c r="LAK363" s="35"/>
      <c r="LAL363" s="35"/>
      <c r="LAM363" s="35"/>
      <c r="LAN363" s="34"/>
      <c r="LAO363" s="34"/>
      <c r="LAP363" s="36"/>
      <c r="LAQ363" s="36"/>
      <c r="LAR363" s="37"/>
      <c r="LAS363" s="37"/>
      <c r="LAT363" s="38"/>
      <c r="LAU363" s="38"/>
      <c r="LAV363" s="39"/>
      <c r="LAW363" s="34"/>
      <c r="LAX363" s="34"/>
      <c r="LAY363" s="34"/>
      <c r="LAZ363" s="35"/>
      <c r="LBA363" s="35"/>
      <c r="LBB363" s="35"/>
      <c r="LBC363" s="35"/>
      <c r="LBD363" s="35"/>
      <c r="LBE363" s="34"/>
      <c r="LBF363" s="34"/>
      <c r="LBG363" s="36"/>
      <c r="LBH363" s="36"/>
      <c r="LBI363" s="37"/>
      <c r="LBJ363" s="37"/>
      <c r="LBK363" s="38"/>
      <c r="LBL363" s="38"/>
      <c r="LBM363" s="39"/>
      <c r="LBN363" s="34"/>
      <c r="LBO363" s="34"/>
      <c r="LBP363" s="34"/>
      <c r="LBQ363" s="35"/>
      <c r="LBR363" s="35"/>
      <c r="LBS363" s="35"/>
      <c r="LBT363" s="35"/>
      <c r="LBU363" s="35"/>
      <c r="LBV363" s="34"/>
      <c r="LBW363" s="34"/>
      <c r="LBX363" s="36"/>
      <c r="LBY363" s="36"/>
      <c r="LBZ363" s="37"/>
      <c r="LCA363" s="37"/>
      <c r="LCB363" s="38"/>
      <c r="LCC363" s="38"/>
      <c r="LCD363" s="39"/>
      <c r="LCE363" s="34"/>
      <c r="LCF363" s="34"/>
      <c r="LCG363" s="34"/>
      <c r="LCH363" s="35"/>
      <c r="LCI363" s="35"/>
      <c r="LCJ363" s="35"/>
      <c r="LCK363" s="35"/>
      <c r="LCL363" s="35"/>
      <c r="LCM363" s="34"/>
      <c r="LCN363" s="34"/>
      <c r="LCO363" s="36"/>
      <c r="LCP363" s="36"/>
      <c r="LCQ363" s="37"/>
      <c r="LCR363" s="37"/>
      <c r="LCS363" s="38"/>
      <c r="LCT363" s="38"/>
      <c r="LCU363" s="39"/>
      <c r="LCV363" s="34"/>
      <c r="LCW363" s="34"/>
      <c r="LCX363" s="34"/>
      <c r="LCY363" s="35"/>
      <c r="LCZ363" s="35"/>
      <c r="LDA363" s="35"/>
      <c r="LDB363" s="35"/>
      <c r="LDC363" s="35"/>
      <c r="LDD363" s="34"/>
      <c r="LDE363" s="34"/>
      <c r="LDF363" s="36"/>
      <c r="LDG363" s="36"/>
      <c r="LDH363" s="37"/>
      <c r="LDI363" s="37"/>
      <c r="LDJ363" s="38"/>
      <c r="LDK363" s="38"/>
      <c r="LDL363" s="39"/>
      <c r="LDM363" s="34"/>
      <c r="LDN363" s="34"/>
      <c r="LDO363" s="34"/>
      <c r="LDP363" s="35"/>
      <c r="LDQ363" s="35"/>
      <c r="LDR363" s="35"/>
      <c r="LDS363" s="35"/>
      <c r="LDT363" s="35"/>
      <c r="LDU363" s="34"/>
      <c r="LDV363" s="34"/>
      <c r="LDW363" s="36"/>
      <c r="LDX363" s="36"/>
      <c r="LDY363" s="37"/>
      <c r="LDZ363" s="37"/>
      <c r="LEA363" s="38"/>
      <c r="LEB363" s="38"/>
      <c r="LEC363" s="39"/>
      <c r="LED363" s="34"/>
      <c r="LEE363" s="34"/>
      <c r="LEF363" s="34"/>
      <c r="LEG363" s="35"/>
      <c r="LEH363" s="35"/>
      <c r="LEI363" s="35"/>
      <c r="LEJ363" s="35"/>
      <c r="LEK363" s="35"/>
      <c r="LEL363" s="34"/>
      <c r="LEM363" s="34"/>
      <c r="LEN363" s="36"/>
      <c r="LEO363" s="36"/>
      <c r="LEP363" s="37"/>
      <c r="LEQ363" s="37"/>
      <c r="LER363" s="38"/>
      <c r="LES363" s="38"/>
      <c r="LET363" s="39"/>
      <c r="LEU363" s="34"/>
      <c r="LEV363" s="34"/>
      <c r="LEW363" s="34"/>
      <c r="LEX363" s="35"/>
      <c r="LEY363" s="35"/>
      <c r="LEZ363" s="35"/>
      <c r="LFA363" s="35"/>
      <c r="LFB363" s="35"/>
      <c r="LFC363" s="34"/>
      <c r="LFD363" s="34"/>
      <c r="LFE363" s="36"/>
      <c r="LFF363" s="36"/>
      <c r="LFG363" s="37"/>
      <c r="LFH363" s="37"/>
      <c r="LFI363" s="38"/>
      <c r="LFJ363" s="38"/>
      <c r="LFK363" s="39"/>
      <c r="LFL363" s="34"/>
      <c r="LFM363" s="34"/>
      <c r="LFN363" s="34"/>
      <c r="LFO363" s="35"/>
      <c r="LFP363" s="35"/>
      <c r="LFQ363" s="35"/>
      <c r="LFR363" s="35"/>
      <c r="LFS363" s="35"/>
      <c r="LFT363" s="34"/>
      <c r="LFU363" s="34"/>
      <c r="LFV363" s="36"/>
      <c r="LFW363" s="36"/>
      <c r="LFX363" s="37"/>
      <c r="LFY363" s="37"/>
      <c r="LFZ363" s="38"/>
      <c r="LGA363" s="38"/>
      <c r="LGB363" s="39"/>
      <c r="LGC363" s="34"/>
      <c r="LGD363" s="34"/>
      <c r="LGE363" s="34"/>
      <c r="LGF363" s="35"/>
      <c r="LGG363" s="35"/>
      <c r="LGH363" s="35"/>
      <c r="LGI363" s="35"/>
      <c r="LGJ363" s="35"/>
      <c r="LGK363" s="34"/>
      <c r="LGL363" s="34"/>
      <c r="LGM363" s="36"/>
      <c r="LGN363" s="36"/>
      <c r="LGO363" s="37"/>
      <c r="LGP363" s="37"/>
      <c r="LGQ363" s="38"/>
      <c r="LGR363" s="38"/>
      <c r="LGS363" s="39"/>
      <c r="LGT363" s="34"/>
      <c r="LGU363" s="34"/>
      <c r="LGV363" s="34"/>
      <c r="LGW363" s="35"/>
      <c r="LGX363" s="35"/>
      <c r="LGY363" s="35"/>
      <c r="LGZ363" s="35"/>
      <c r="LHA363" s="35"/>
      <c r="LHB363" s="34"/>
      <c r="LHC363" s="34"/>
      <c r="LHD363" s="36"/>
      <c r="LHE363" s="36"/>
      <c r="LHF363" s="37"/>
      <c r="LHG363" s="37"/>
      <c r="LHH363" s="38"/>
      <c r="LHI363" s="38"/>
      <c r="LHJ363" s="39"/>
      <c r="LHK363" s="34"/>
      <c r="LHL363" s="34"/>
      <c r="LHM363" s="34"/>
      <c r="LHN363" s="35"/>
      <c r="LHO363" s="35"/>
      <c r="LHP363" s="35"/>
      <c r="LHQ363" s="35"/>
      <c r="LHR363" s="35"/>
      <c r="LHS363" s="34"/>
      <c r="LHT363" s="34"/>
      <c r="LHU363" s="36"/>
      <c r="LHV363" s="36"/>
      <c r="LHW363" s="37"/>
      <c r="LHX363" s="37"/>
      <c r="LHY363" s="38"/>
      <c r="LHZ363" s="38"/>
      <c r="LIA363" s="39"/>
      <c r="LIB363" s="34"/>
      <c r="LIC363" s="34"/>
      <c r="LID363" s="34"/>
      <c r="LIE363" s="35"/>
      <c r="LIF363" s="35"/>
      <c r="LIG363" s="35"/>
      <c r="LIH363" s="35"/>
      <c r="LII363" s="35"/>
      <c r="LIJ363" s="34"/>
      <c r="LIK363" s="34"/>
      <c r="LIL363" s="36"/>
      <c r="LIM363" s="36"/>
      <c r="LIN363" s="37"/>
      <c r="LIO363" s="37"/>
      <c r="LIP363" s="38"/>
      <c r="LIQ363" s="38"/>
      <c r="LIR363" s="39"/>
      <c r="LIS363" s="34"/>
      <c r="LIT363" s="34"/>
      <c r="LIU363" s="34"/>
      <c r="LIV363" s="35"/>
      <c r="LIW363" s="35"/>
      <c r="LIX363" s="35"/>
      <c r="LIY363" s="35"/>
      <c r="LIZ363" s="35"/>
      <c r="LJA363" s="34"/>
      <c r="LJB363" s="34"/>
      <c r="LJC363" s="36"/>
      <c r="LJD363" s="36"/>
      <c r="LJE363" s="37"/>
      <c r="LJF363" s="37"/>
      <c r="LJG363" s="38"/>
      <c r="LJH363" s="38"/>
      <c r="LJI363" s="39"/>
      <c r="LJJ363" s="34"/>
      <c r="LJK363" s="34"/>
      <c r="LJL363" s="34"/>
      <c r="LJM363" s="35"/>
      <c r="LJN363" s="35"/>
      <c r="LJO363" s="35"/>
      <c r="LJP363" s="35"/>
      <c r="LJQ363" s="35"/>
      <c r="LJR363" s="34"/>
      <c r="LJS363" s="34"/>
      <c r="LJT363" s="36"/>
      <c r="LJU363" s="36"/>
      <c r="LJV363" s="37"/>
      <c r="LJW363" s="37"/>
      <c r="LJX363" s="38"/>
      <c r="LJY363" s="38"/>
      <c r="LJZ363" s="39"/>
      <c r="LKA363" s="34"/>
      <c r="LKB363" s="34"/>
      <c r="LKC363" s="34"/>
      <c r="LKD363" s="35"/>
      <c r="LKE363" s="35"/>
      <c r="LKF363" s="35"/>
      <c r="LKG363" s="35"/>
      <c r="LKH363" s="35"/>
      <c r="LKI363" s="34"/>
      <c r="LKJ363" s="34"/>
      <c r="LKK363" s="36"/>
      <c r="LKL363" s="36"/>
      <c r="LKM363" s="37"/>
      <c r="LKN363" s="37"/>
      <c r="LKO363" s="38"/>
      <c r="LKP363" s="38"/>
      <c r="LKQ363" s="39"/>
      <c r="LKR363" s="34"/>
      <c r="LKS363" s="34"/>
      <c r="LKT363" s="34"/>
      <c r="LKU363" s="35"/>
      <c r="LKV363" s="35"/>
      <c r="LKW363" s="35"/>
      <c r="LKX363" s="35"/>
      <c r="LKY363" s="35"/>
      <c r="LKZ363" s="34"/>
      <c r="LLA363" s="34"/>
      <c r="LLB363" s="36"/>
      <c r="LLC363" s="36"/>
      <c r="LLD363" s="37"/>
      <c r="LLE363" s="37"/>
      <c r="LLF363" s="38"/>
      <c r="LLG363" s="38"/>
      <c r="LLH363" s="39"/>
      <c r="LLI363" s="34"/>
      <c r="LLJ363" s="34"/>
      <c r="LLK363" s="34"/>
      <c r="LLL363" s="35"/>
      <c r="LLM363" s="35"/>
      <c r="LLN363" s="35"/>
      <c r="LLO363" s="35"/>
      <c r="LLP363" s="35"/>
      <c r="LLQ363" s="34"/>
      <c r="LLR363" s="34"/>
      <c r="LLS363" s="36"/>
      <c r="LLT363" s="36"/>
      <c r="LLU363" s="37"/>
      <c r="LLV363" s="37"/>
      <c r="LLW363" s="38"/>
      <c r="LLX363" s="38"/>
      <c r="LLY363" s="39"/>
      <c r="LLZ363" s="34"/>
      <c r="LMA363" s="34"/>
      <c r="LMB363" s="34"/>
      <c r="LMC363" s="35"/>
      <c r="LMD363" s="35"/>
      <c r="LME363" s="35"/>
      <c r="LMF363" s="35"/>
      <c r="LMG363" s="35"/>
      <c r="LMH363" s="34"/>
      <c r="LMI363" s="34"/>
      <c r="LMJ363" s="36"/>
      <c r="LMK363" s="36"/>
      <c r="LML363" s="37"/>
      <c r="LMM363" s="37"/>
      <c r="LMN363" s="38"/>
      <c r="LMO363" s="38"/>
      <c r="LMP363" s="39"/>
      <c r="LMQ363" s="34"/>
      <c r="LMR363" s="34"/>
      <c r="LMS363" s="34"/>
      <c r="LMT363" s="35"/>
      <c r="LMU363" s="35"/>
      <c r="LMV363" s="35"/>
      <c r="LMW363" s="35"/>
      <c r="LMX363" s="35"/>
      <c r="LMY363" s="34"/>
      <c r="LMZ363" s="34"/>
      <c r="LNA363" s="36"/>
      <c r="LNB363" s="36"/>
      <c r="LNC363" s="37"/>
      <c r="LND363" s="37"/>
      <c r="LNE363" s="38"/>
      <c r="LNF363" s="38"/>
      <c r="LNG363" s="39"/>
      <c r="LNH363" s="34"/>
      <c r="LNI363" s="34"/>
      <c r="LNJ363" s="34"/>
      <c r="LNK363" s="35"/>
      <c r="LNL363" s="35"/>
      <c r="LNM363" s="35"/>
      <c r="LNN363" s="35"/>
      <c r="LNO363" s="35"/>
      <c r="LNP363" s="34"/>
      <c r="LNQ363" s="34"/>
      <c r="LNR363" s="36"/>
      <c r="LNS363" s="36"/>
      <c r="LNT363" s="37"/>
      <c r="LNU363" s="37"/>
      <c r="LNV363" s="38"/>
      <c r="LNW363" s="38"/>
      <c r="LNX363" s="39"/>
      <c r="LNY363" s="34"/>
      <c r="LNZ363" s="34"/>
      <c r="LOA363" s="34"/>
      <c r="LOB363" s="35"/>
      <c r="LOC363" s="35"/>
      <c r="LOD363" s="35"/>
      <c r="LOE363" s="35"/>
      <c r="LOF363" s="35"/>
      <c r="LOG363" s="34"/>
      <c r="LOH363" s="34"/>
      <c r="LOI363" s="36"/>
      <c r="LOJ363" s="36"/>
      <c r="LOK363" s="37"/>
      <c r="LOL363" s="37"/>
      <c r="LOM363" s="38"/>
      <c r="LON363" s="38"/>
      <c r="LOO363" s="39"/>
      <c r="LOP363" s="34"/>
      <c r="LOQ363" s="34"/>
      <c r="LOR363" s="34"/>
      <c r="LOS363" s="35"/>
      <c r="LOT363" s="35"/>
      <c r="LOU363" s="35"/>
      <c r="LOV363" s="35"/>
      <c r="LOW363" s="35"/>
      <c r="LOX363" s="34"/>
      <c r="LOY363" s="34"/>
      <c r="LOZ363" s="36"/>
      <c r="LPA363" s="36"/>
      <c r="LPB363" s="37"/>
      <c r="LPC363" s="37"/>
      <c r="LPD363" s="38"/>
      <c r="LPE363" s="38"/>
      <c r="LPF363" s="39"/>
      <c r="LPG363" s="34"/>
      <c r="LPH363" s="34"/>
      <c r="LPI363" s="34"/>
      <c r="LPJ363" s="35"/>
      <c r="LPK363" s="35"/>
      <c r="LPL363" s="35"/>
      <c r="LPM363" s="35"/>
      <c r="LPN363" s="35"/>
      <c r="LPO363" s="34"/>
      <c r="LPP363" s="34"/>
      <c r="LPQ363" s="36"/>
      <c r="LPR363" s="36"/>
      <c r="LPS363" s="37"/>
      <c r="LPT363" s="37"/>
      <c r="LPU363" s="38"/>
      <c r="LPV363" s="38"/>
      <c r="LPW363" s="39"/>
      <c r="LPX363" s="34"/>
      <c r="LPY363" s="34"/>
      <c r="LPZ363" s="34"/>
      <c r="LQA363" s="35"/>
      <c r="LQB363" s="35"/>
      <c r="LQC363" s="35"/>
      <c r="LQD363" s="35"/>
      <c r="LQE363" s="35"/>
      <c r="LQF363" s="34"/>
      <c r="LQG363" s="34"/>
      <c r="LQH363" s="36"/>
      <c r="LQI363" s="36"/>
      <c r="LQJ363" s="37"/>
      <c r="LQK363" s="37"/>
      <c r="LQL363" s="38"/>
      <c r="LQM363" s="38"/>
      <c r="LQN363" s="39"/>
      <c r="LQO363" s="34"/>
      <c r="LQP363" s="34"/>
      <c r="LQQ363" s="34"/>
      <c r="LQR363" s="35"/>
      <c r="LQS363" s="35"/>
      <c r="LQT363" s="35"/>
      <c r="LQU363" s="35"/>
      <c r="LQV363" s="35"/>
      <c r="LQW363" s="34"/>
      <c r="LQX363" s="34"/>
      <c r="LQY363" s="36"/>
      <c r="LQZ363" s="36"/>
      <c r="LRA363" s="37"/>
      <c r="LRB363" s="37"/>
      <c r="LRC363" s="38"/>
      <c r="LRD363" s="38"/>
      <c r="LRE363" s="39"/>
      <c r="LRF363" s="34"/>
      <c r="LRG363" s="34"/>
      <c r="LRH363" s="34"/>
      <c r="LRI363" s="35"/>
      <c r="LRJ363" s="35"/>
      <c r="LRK363" s="35"/>
      <c r="LRL363" s="35"/>
      <c r="LRM363" s="35"/>
      <c r="LRN363" s="34"/>
      <c r="LRO363" s="34"/>
      <c r="LRP363" s="36"/>
      <c r="LRQ363" s="36"/>
      <c r="LRR363" s="37"/>
      <c r="LRS363" s="37"/>
      <c r="LRT363" s="38"/>
      <c r="LRU363" s="38"/>
      <c r="LRV363" s="39"/>
      <c r="LRW363" s="34"/>
      <c r="LRX363" s="34"/>
      <c r="LRY363" s="34"/>
      <c r="LRZ363" s="35"/>
      <c r="LSA363" s="35"/>
      <c r="LSB363" s="35"/>
      <c r="LSC363" s="35"/>
      <c r="LSD363" s="35"/>
      <c r="LSE363" s="34"/>
      <c r="LSF363" s="34"/>
      <c r="LSG363" s="36"/>
      <c r="LSH363" s="36"/>
      <c r="LSI363" s="37"/>
      <c r="LSJ363" s="37"/>
      <c r="LSK363" s="38"/>
      <c r="LSL363" s="38"/>
      <c r="LSM363" s="39"/>
      <c r="LSN363" s="34"/>
      <c r="LSO363" s="34"/>
      <c r="LSP363" s="34"/>
      <c r="LSQ363" s="35"/>
      <c r="LSR363" s="35"/>
      <c r="LSS363" s="35"/>
      <c r="LST363" s="35"/>
      <c r="LSU363" s="35"/>
      <c r="LSV363" s="34"/>
      <c r="LSW363" s="34"/>
      <c r="LSX363" s="36"/>
      <c r="LSY363" s="36"/>
      <c r="LSZ363" s="37"/>
      <c r="LTA363" s="37"/>
      <c r="LTB363" s="38"/>
      <c r="LTC363" s="38"/>
      <c r="LTD363" s="39"/>
      <c r="LTE363" s="34"/>
      <c r="LTF363" s="34"/>
      <c r="LTG363" s="34"/>
      <c r="LTH363" s="35"/>
      <c r="LTI363" s="35"/>
      <c r="LTJ363" s="35"/>
      <c r="LTK363" s="35"/>
      <c r="LTL363" s="35"/>
      <c r="LTM363" s="34"/>
      <c r="LTN363" s="34"/>
      <c r="LTO363" s="36"/>
      <c r="LTP363" s="36"/>
      <c r="LTQ363" s="37"/>
      <c r="LTR363" s="37"/>
      <c r="LTS363" s="38"/>
      <c r="LTT363" s="38"/>
      <c r="LTU363" s="39"/>
      <c r="LTV363" s="34"/>
      <c r="LTW363" s="34"/>
      <c r="LTX363" s="34"/>
      <c r="LTY363" s="35"/>
      <c r="LTZ363" s="35"/>
      <c r="LUA363" s="35"/>
      <c r="LUB363" s="35"/>
      <c r="LUC363" s="35"/>
      <c r="LUD363" s="34"/>
      <c r="LUE363" s="34"/>
      <c r="LUF363" s="36"/>
      <c r="LUG363" s="36"/>
      <c r="LUH363" s="37"/>
      <c r="LUI363" s="37"/>
      <c r="LUJ363" s="38"/>
      <c r="LUK363" s="38"/>
      <c r="LUL363" s="39"/>
      <c r="LUM363" s="34"/>
      <c r="LUN363" s="34"/>
      <c r="LUO363" s="34"/>
      <c r="LUP363" s="35"/>
      <c r="LUQ363" s="35"/>
      <c r="LUR363" s="35"/>
      <c r="LUS363" s="35"/>
      <c r="LUT363" s="35"/>
      <c r="LUU363" s="34"/>
      <c r="LUV363" s="34"/>
      <c r="LUW363" s="36"/>
      <c r="LUX363" s="36"/>
      <c r="LUY363" s="37"/>
      <c r="LUZ363" s="37"/>
      <c r="LVA363" s="38"/>
      <c r="LVB363" s="38"/>
      <c r="LVC363" s="39"/>
      <c r="LVD363" s="34"/>
      <c r="LVE363" s="34"/>
      <c r="LVF363" s="34"/>
      <c r="LVG363" s="35"/>
      <c r="LVH363" s="35"/>
      <c r="LVI363" s="35"/>
      <c r="LVJ363" s="35"/>
      <c r="LVK363" s="35"/>
      <c r="LVL363" s="34"/>
      <c r="LVM363" s="34"/>
      <c r="LVN363" s="36"/>
      <c r="LVO363" s="36"/>
      <c r="LVP363" s="37"/>
      <c r="LVQ363" s="37"/>
      <c r="LVR363" s="38"/>
      <c r="LVS363" s="38"/>
      <c r="LVT363" s="39"/>
      <c r="LVU363" s="34"/>
      <c r="LVV363" s="34"/>
      <c r="LVW363" s="34"/>
      <c r="LVX363" s="35"/>
      <c r="LVY363" s="35"/>
      <c r="LVZ363" s="35"/>
      <c r="LWA363" s="35"/>
      <c r="LWB363" s="35"/>
      <c r="LWC363" s="34"/>
      <c r="LWD363" s="34"/>
      <c r="LWE363" s="36"/>
      <c r="LWF363" s="36"/>
      <c r="LWG363" s="37"/>
      <c r="LWH363" s="37"/>
      <c r="LWI363" s="38"/>
      <c r="LWJ363" s="38"/>
      <c r="LWK363" s="39"/>
      <c r="LWL363" s="34"/>
      <c r="LWM363" s="34"/>
      <c r="LWN363" s="34"/>
      <c r="LWO363" s="35"/>
      <c r="LWP363" s="35"/>
      <c r="LWQ363" s="35"/>
      <c r="LWR363" s="35"/>
      <c r="LWS363" s="35"/>
      <c r="LWT363" s="34"/>
      <c r="LWU363" s="34"/>
      <c r="LWV363" s="36"/>
      <c r="LWW363" s="36"/>
      <c r="LWX363" s="37"/>
      <c r="LWY363" s="37"/>
      <c r="LWZ363" s="38"/>
      <c r="LXA363" s="38"/>
      <c r="LXB363" s="39"/>
      <c r="LXC363" s="34"/>
      <c r="LXD363" s="34"/>
      <c r="LXE363" s="34"/>
      <c r="LXF363" s="35"/>
      <c r="LXG363" s="35"/>
      <c r="LXH363" s="35"/>
      <c r="LXI363" s="35"/>
      <c r="LXJ363" s="35"/>
      <c r="LXK363" s="34"/>
      <c r="LXL363" s="34"/>
      <c r="LXM363" s="36"/>
      <c r="LXN363" s="36"/>
      <c r="LXO363" s="37"/>
      <c r="LXP363" s="37"/>
      <c r="LXQ363" s="38"/>
      <c r="LXR363" s="38"/>
      <c r="LXS363" s="39"/>
      <c r="LXT363" s="34"/>
      <c r="LXU363" s="34"/>
      <c r="LXV363" s="34"/>
      <c r="LXW363" s="35"/>
      <c r="LXX363" s="35"/>
      <c r="LXY363" s="35"/>
      <c r="LXZ363" s="35"/>
      <c r="LYA363" s="35"/>
      <c r="LYB363" s="34"/>
      <c r="LYC363" s="34"/>
      <c r="LYD363" s="36"/>
      <c r="LYE363" s="36"/>
      <c r="LYF363" s="37"/>
      <c r="LYG363" s="37"/>
      <c r="LYH363" s="38"/>
      <c r="LYI363" s="38"/>
      <c r="LYJ363" s="39"/>
      <c r="LYK363" s="34"/>
      <c r="LYL363" s="34"/>
      <c r="LYM363" s="34"/>
      <c r="LYN363" s="35"/>
      <c r="LYO363" s="35"/>
      <c r="LYP363" s="35"/>
      <c r="LYQ363" s="35"/>
      <c r="LYR363" s="35"/>
      <c r="LYS363" s="34"/>
      <c r="LYT363" s="34"/>
      <c r="LYU363" s="36"/>
      <c r="LYV363" s="36"/>
      <c r="LYW363" s="37"/>
      <c r="LYX363" s="37"/>
      <c r="LYY363" s="38"/>
      <c r="LYZ363" s="38"/>
      <c r="LZA363" s="39"/>
      <c r="LZB363" s="34"/>
      <c r="LZC363" s="34"/>
      <c r="LZD363" s="34"/>
      <c r="LZE363" s="35"/>
      <c r="LZF363" s="35"/>
      <c r="LZG363" s="35"/>
      <c r="LZH363" s="35"/>
      <c r="LZI363" s="35"/>
      <c r="LZJ363" s="34"/>
      <c r="LZK363" s="34"/>
      <c r="LZL363" s="36"/>
      <c r="LZM363" s="36"/>
      <c r="LZN363" s="37"/>
      <c r="LZO363" s="37"/>
      <c r="LZP363" s="38"/>
      <c r="LZQ363" s="38"/>
      <c r="LZR363" s="39"/>
      <c r="LZS363" s="34"/>
      <c r="LZT363" s="34"/>
      <c r="LZU363" s="34"/>
      <c r="LZV363" s="35"/>
      <c r="LZW363" s="35"/>
      <c r="LZX363" s="35"/>
      <c r="LZY363" s="35"/>
      <c r="LZZ363" s="35"/>
      <c r="MAA363" s="34"/>
      <c r="MAB363" s="34"/>
      <c r="MAC363" s="36"/>
      <c r="MAD363" s="36"/>
      <c r="MAE363" s="37"/>
      <c r="MAF363" s="37"/>
      <c r="MAG363" s="38"/>
      <c r="MAH363" s="38"/>
      <c r="MAI363" s="39"/>
      <c r="MAJ363" s="34"/>
      <c r="MAK363" s="34"/>
      <c r="MAL363" s="34"/>
      <c r="MAM363" s="35"/>
      <c r="MAN363" s="35"/>
      <c r="MAO363" s="35"/>
      <c r="MAP363" s="35"/>
      <c r="MAQ363" s="35"/>
      <c r="MAR363" s="34"/>
      <c r="MAS363" s="34"/>
      <c r="MAT363" s="36"/>
      <c r="MAU363" s="36"/>
      <c r="MAV363" s="37"/>
      <c r="MAW363" s="37"/>
      <c r="MAX363" s="38"/>
      <c r="MAY363" s="38"/>
      <c r="MAZ363" s="39"/>
      <c r="MBA363" s="34"/>
      <c r="MBB363" s="34"/>
      <c r="MBC363" s="34"/>
      <c r="MBD363" s="35"/>
      <c r="MBE363" s="35"/>
      <c r="MBF363" s="35"/>
      <c r="MBG363" s="35"/>
      <c r="MBH363" s="35"/>
      <c r="MBI363" s="34"/>
      <c r="MBJ363" s="34"/>
      <c r="MBK363" s="36"/>
      <c r="MBL363" s="36"/>
      <c r="MBM363" s="37"/>
      <c r="MBN363" s="37"/>
      <c r="MBO363" s="38"/>
      <c r="MBP363" s="38"/>
      <c r="MBQ363" s="39"/>
      <c r="MBR363" s="34"/>
      <c r="MBS363" s="34"/>
      <c r="MBT363" s="34"/>
      <c r="MBU363" s="35"/>
      <c r="MBV363" s="35"/>
      <c r="MBW363" s="35"/>
      <c r="MBX363" s="35"/>
      <c r="MBY363" s="35"/>
      <c r="MBZ363" s="34"/>
      <c r="MCA363" s="34"/>
      <c r="MCB363" s="36"/>
      <c r="MCC363" s="36"/>
      <c r="MCD363" s="37"/>
      <c r="MCE363" s="37"/>
      <c r="MCF363" s="38"/>
      <c r="MCG363" s="38"/>
      <c r="MCH363" s="39"/>
      <c r="MCI363" s="34"/>
      <c r="MCJ363" s="34"/>
      <c r="MCK363" s="34"/>
      <c r="MCL363" s="35"/>
      <c r="MCM363" s="35"/>
      <c r="MCN363" s="35"/>
      <c r="MCO363" s="35"/>
      <c r="MCP363" s="35"/>
      <c r="MCQ363" s="34"/>
      <c r="MCR363" s="34"/>
      <c r="MCS363" s="36"/>
      <c r="MCT363" s="36"/>
      <c r="MCU363" s="37"/>
      <c r="MCV363" s="37"/>
      <c r="MCW363" s="38"/>
      <c r="MCX363" s="38"/>
      <c r="MCY363" s="39"/>
      <c r="MCZ363" s="34"/>
      <c r="MDA363" s="34"/>
      <c r="MDB363" s="34"/>
      <c r="MDC363" s="35"/>
      <c r="MDD363" s="35"/>
      <c r="MDE363" s="35"/>
      <c r="MDF363" s="35"/>
      <c r="MDG363" s="35"/>
      <c r="MDH363" s="34"/>
      <c r="MDI363" s="34"/>
      <c r="MDJ363" s="36"/>
      <c r="MDK363" s="36"/>
      <c r="MDL363" s="37"/>
      <c r="MDM363" s="37"/>
      <c r="MDN363" s="38"/>
      <c r="MDO363" s="38"/>
      <c r="MDP363" s="39"/>
      <c r="MDQ363" s="34"/>
      <c r="MDR363" s="34"/>
      <c r="MDS363" s="34"/>
      <c r="MDT363" s="35"/>
      <c r="MDU363" s="35"/>
      <c r="MDV363" s="35"/>
      <c r="MDW363" s="35"/>
      <c r="MDX363" s="35"/>
      <c r="MDY363" s="34"/>
      <c r="MDZ363" s="34"/>
      <c r="MEA363" s="36"/>
      <c r="MEB363" s="36"/>
      <c r="MEC363" s="37"/>
      <c r="MED363" s="37"/>
      <c r="MEE363" s="38"/>
      <c r="MEF363" s="38"/>
      <c r="MEG363" s="39"/>
      <c r="MEH363" s="34"/>
      <c r="MEI363" s="34"/>
      <c r="MEJ363" s="34"/>
      <c r="MEK363" s="35"/>
      <c r="MEL363" s="35"/>
      <c r="MEM363" s="35"/>
      <c r="MEN363" s="35"/>
      <c r="MEO363" s="35"/>
      <c r="MEP363" s="34"/>
      <c r="MEQ363" s="34"/>
      <c r="MER363" s="36"/>
      <c r="MES363" s="36"/>
      <c r="MET363" s="37"/>
      <c r="MEU363" s="37"/>
      <c r="MEV363" s="38"/>
      <c r="MEW363" s="38"/>
      <c r="MEX363" s="39"/>
      <c r="MEY363" s="34"/>
      <c r="MEZ363" s="34"/>
      <c r="MFA363" s="34"/>
      <c r="MFB363" s="35"/>
      <c r="MFC363" s="35"/>
      <c r="MFD363" s="35"/>
      <c r="MFE363" s="35"/>
      <c r="MFF363" s="35"/>
      <c r="MFG363" s="34"/>
      <c r="MFH363" s="34"/>
      <c r="MFI363" s="36"/>
      <c r="MFJ363" s="36"/>
      <c r="MFK363" s="37"/>
      <c r="MFL363" s="37"/>
      <c r="MFM363" s="38"/>
      <c r="MFN363" s="38"/>
      <c r="MFO363" s="39"/>
      <c r="MFP363" s="34"/>
      <c r="MFQ363" s="34"/>
      <c r="MFR363" s="34"/>
      <c r="MFS363" s="35"/>
      <c r="MFT363" s="35"/>
      <c r="MFU363" s="35"/>
      <c r="MFV363" s="35"/>
      <c r="MFW363" s="35"/>
      <c r="MFX363" s="34"/>
      <c r="MFY363" s="34"/>
      <c r="MFZ363" s="36"/>
      <c r="MGA363" s="36"/>
      <c r="MGB363" s="37"/>
      <c r="MGC363" s="37"/>
      <c r="MGD363" s="38"/>
      <c r="MGE363" s="38"/>
      <c r="MGF363" s="39"/>
      <c r="MGG363" s="34"/>
      <c r="MGH363" s="34"/>
      <c r="MGI363" s="34"/>
      <c r="MGJ363" s="35"/>
      <c r="MGK363" s="35"/>
      <c r="MGL363" s="35"/>
      <c r="MGM363" s="35"/>
      <c r="MGN363" s="35"/>
      <c r="MGO363" s="34"/>
      <c r="MGP363" s="34"/>
      <c r="MGQ363" s="36"/>
      <c r="MGR363" s="36"/>
      <c r="MGS363" s="37"/>
      <c r="MGT363" s="37"/>
      <c r="MGU363" s="38"/>
      <c r="MGV363" s="38"/>
      <c r="MGW363" s="39"/>
      <c r="MGX363" s="34"/>
      <c r="MGY363" s="34"/>
      <c r="MGZ363" s="34"/>
      <c r="MHA363" s="35"/>
      <c r="MHB363" s="35"/>
      <c r="MHC363" s="35"/>
      <c r="MHD363" s="35"/>
      <c r="MHE363" s="35"/>
      <c r="MHF363" s="34"/>
      <c r="MHG363" s="34"/>
      <c r="MHH363" s="36"/>
      <c r="MHI363" s="36"/>
      <c r="MHJ363" s="37"/>
      <c r="MHK363" s="37"/>
      <c r="MHL363" s="38"/>
      <c r="MHM363" s="38"/>
      <c r="MHN363" s="39"/>
      <c r="MHO363" s="34"/>
      <c r="MHP363" s="34"/>
      <c r="MHQ363" s="34"/>
      <c r="MHR363" s="35"/>
      <c r="MHS363" s="35"/>
      <c r="MHT363" s="35"/>
      <c r="MHU363" s="35"/>
      <c r="MHV363" s="35"/>
      <c r="MHW363" s="34"/>
      <c r="MHX363" s="34"/>
      <c r="MHY363" s="36"/>
      <c r="MHZ363" s="36"/>
      <c r="MIA363" s="37"/>
      <c r="MIB363" s="37"/>
      <c r="MIC363" s="38"/>
      <c r="MID363" s="38"/>
      <c r="MIE363" s="39"/>
      <c r="MIF363" s="34"/>
      <c r="MIG363" s="34"/>
      <c r="MIH363" s="34"/>
      <c r="MII363" s="35"/>
      <c r="MIJ363" s="35"/>
      <c r="MIK363" s="35"/>
      <c r="MIL363" s="35"/>
      <c r="MIM363" s="35"/>
      <c r="MIN363" s="34"/>
      <c r="MIO363" s="34"/>
      <c r="MIP363" s="36"/>
      <c r="MIQ363" s="36"/>
      <c r="MIR363" s="37"/>
      <c r="MIS363" s="37"/>
      <c r="MIT363" s="38"/>
      <c r="MIU363" s="38"/>
      <c r="MIV363" s="39"/>
      <c r="MIW363" s="34"/>
      <c r="MIX363" s="34"/>
      <c r="MIY363" s="34"/>
      <c r="MIZ363" s="35"/>
      <c r="MJA363" s="35"/>
      <c r="MJB363" s="35"/>
      <c r="MJC363" s="35"/>
      <c r="MJD363" s="35"/>
      <c r="MJE363" s="34"/>
      <c r="MJF363" s="34"/>
      <c r="MJG363" s="36"/>
      <c r="MJH363" s="36"/>
      <c r="MJI363" s="37"/>
      <c r="MJJ363" s="37"/>
      <c r="MJK363" s="38"/>
      <c r="MJL363" s="38"/>
      <c r="MJM363" s="39"/>
      <c r="MJN363" s="34"/>
      <c r="MJO363" s="34"/>
      <c r="MJP363" s="34"/>
      <c r="MJQ363" s="35"/>
      <c r="MJR363" s="35"/>
      <c r="MJS363" s="35"/>
      <c r="MJT363" s="35"/>
      <c r="MJU363" s="35"/>
      <c r="MJV363" s="34"/>
      <c r="MJW363" s="34"/>
      <c r="MJX363" s="36"/>
      <c r="MJY363" s="36"/>
      <c r="MJZ363" s="37"/>
      <c r="MKA363" s="37"/>
      <c r="MKB363" s="38"/>
      <c r="MKC363" s="38"/>
      <c r="MKD363" s="39"/>
      <c r="MKE363" s="34"/>
      <c r="MKF363" s="34"/>
      <c r="MKG363" s="34"/>
      <c r="MKH363" s="35"/>
      <c r="MKI363" s="35"/>
      <c r="MKJ363" s="35"/>
      <c r="MKK363" s="35"/>
      <c r="MKL363" s="35"/>
      <c r="MKM363" s="34"/>
      <c r="MKN363" s="34"/>
      <c r="MKO363" s="36"/>
      <c r="MKP363" s="36"/>
      <c r="MKQ363" s="37"/>
      <c r="MKR363" s="37"/>
      <c r="MKS363" s="38"/>
      <c r="MKT363" s="38"/>
      <c r="MKU363" s="39"/>
      <c r="MKV363" s="34"/>
      <c r="MKW363" s="34"/>
      <c r="MKX363" s="34"/>
      <c r="MKY363" s="35"/>
      <c r="MKZ363" s="35"/>
      <c r="MLA363" s="35"/>
      <c r="MLB363" s="35"/>
      <c r="MLC363" s="35"/>
      <c r="MLD363" s="34"/>
      <c r="MLE363" s="34"/>
      <c r="MLF363" s="36"/>
      <c r="MLG363" s="36"/>
      <c r="MLH363" s="37"/>
      <c r="MLI363" s="37"/>
      <c r="MLJ363" s="38"/>
      <c r="MLK363" s="38"/>
      <c r="MLL363" s="39"/>
      <c r="MLM363" s="34"/>
      <c r="MLN363" s="34"/>
      <c r="MLO363" s="34"/>
      <c r="MLP363" s="35"/>
      <c r="MLQ363" s="35"/>
      <c r="MLR363" s="35"/>
      <c r="MLS363" s="35"/>
      <c r="MLT363" s="35"/>
      <c r="MLU363" s="34"/>
      <c r="MLV363" s="34"/>
      <c r="MLW363" s="36"/>
      <c r="MLX363" s="36"/>
      <c r="MLY363" s="37"/>
      <c r="MLZ363" s="37"/>
      <c r="MMA363" s="38"/>
      <c r="MMB363" s="38"/>
      <c r="MMC363" s="39"/>
      <c r="MMD363" s="34"/>
      <c r="MME363" s="34"/>
      <c r="MMF363" s="34"/>
      <c r="MMG363" s="35"/>
      <c r="MMH363" s="35"/>
      <c r="MMI363" s="35"/>
      <c r="MMJ363" s="35"/>
      <c r="MMK363" s="35"/>
      <c r="MML363" s="34"/>
      <c r="MMM363" s="34"/>
      <c r="MMN363" s="36"/>
      <c r="MMO363" s="36"/>
      <c r="MMP363" s="37"/>
      <c r="MMQ363" s="37"/>
      <c r="MMR363" s="38"/>
      <c r="MMS363" s="38"/>
      <c r="MMT363" s="39"/>
      <c r="MMU363" s="34"/>
      <c r="MMV363" s="34"/>
      <c r="MMW363" s="34"/>
      <c r="MMX363" s="35"/>
      <c r="MMY363" s="35"/>
      <c r="MMZ363" s="35"/>
      <c r="MNA363" s="35"/>
      <c r="MNB363" s="35"/>
      <c r="MNC363" s="34"/>
      <c r="MND363" s="34"/>
      <c r="MNE363" s="36"/>
      <c r="MNF363" s="36"/>
      <c r="MNG363" s="37"/>
      <c r="MNH363" s="37"/>
      <c r="MNI363" s="38"/>
      <c r="MNJ363" s="38"/>
      <c r="MNK363" s="39"/>
      <c r="MNL363" s="34"/>
      <c r="MNM363" s="34"/>
      <c r="MNN363" s="34"/>
      <c r="MNO363" s="35"/>
      <c r="MNP363" s="35"/>
      <c r="MNQ363" s="35"/>
      <c r="MNR363" s="35"/>
      <c r="MNS363" s="35"/>
      <c r="MNT363" s="34"/>
      <c r="MNU363" s="34"/>
      <c r="MNV363" s="36"/>
      <c r="MNW363" s="36"/>
      <c r="MNX363" s="37"/>
      <c r="MNY363" s="37"/>
      <c r="MNZ363" s="38"/>
      <c r="MOA363" s="38"/>
      <c r="MOB363" s="39"/>
      <c r="MOC363" s="34"/>
      <c r="MOD363" s="34"/>
      <c r="MOE363" s="34"/>
      <c r="MOF363" s="35"/>
      <c r="MOG363" s="35"/>
      <c r="MOH363" s="35"/>
      <c r="MOI363" s="35"/>
      <c r="MOJ363" s="35"/>
      <c r="MOK363" s="34"/>
      <c r="MOL363" s="34"/>
      <c r="MOM363" s="36"/>
      <c r="MON363" s="36"/>
      <c r="MOO363" s="37"/>
      <c r="MOP363" s="37"/>
      <c r="MOQ363" s="38"/>
      <c r="MOR363" s="38"/>
      <c r="MOS363" s="39"/>
      <c r="MOT363" s="34"/>
      <c r="MOU363" s="34"/>
      <c r="MOV363" s="34"/>
      <c r="MOW363" s="35"/>
      <c r="MOX363" s="35"/>
      <c r="MOY363" s="35"/>
      <c r="MOZ363" s="35"/>
      <c r="MPA363" s="35"/>
      <c r="MPB363" s="34"/>
      <c r="MPC363" s="34"/>
      <c r="MPD363" s="36"/>
      <c r="MPE363" s="36"/>
      <c r="MPF363" s="37"/>
      <c r="MPG363" s="37"/>
      <c r="MPH363" s="38"/>
      <c r="MPI363" s="38"/>
      <c r="MPJ363" s="39"/>
      <c r="MPK363" s="34"/>
      <c r="MPL363" s="34"/>
      <c r="MPM363" s="34"/>
      <c r="MPN363" s="35"/>
      <c r="MPO363" s="35"/>
      <c r="MPP363" s="35"/>
      <c r="MPQ363" s="35"/>
      <c r="MPR363" s="35"/>
      <c r="MPS363" s="34"/>
      <c r="MPT363" s="34"/>
      <c r="MPU363" s="36"/>
      <c r="MPV363" s="36"/>
      <c r="MPW363" s="37"/>
      <c r="MPX363" s="37"/>
      <c r="MPY363" s="38"/>
      <c r="MPZ363" s="38"/>
      <c r="MQA363" s="39"/>
      <c r="MQB363" s="34"/>
      <c r="MQC363" s="34"/>
      <c r="MQD363" s="34"/>
      <c r="MQE363" s="35"/>
      <c r="MQF363" s="35"/>
      <c r="MQG363" s="35"/>
      <c r="MQH363" s="35"/>
      <c r="MQI363" s="35"/>
      <c r="MQJ363" s="34"/>
      <c r="MQK363" s="34"/>
      <c r="MQL363" s="36"/>
      <c r="MQM363" s="36"/>
      <c r="MQN363" s="37"/>
      <c r="MQO363" s="37"/>
      <c r="MQP363" s="38"/>
      <c r="MQQ363" s="38"/>
      <c r="MQR363" s="39"/>
      <c r="MQS363" s="34"/>
      <c r="MQT363" s="34"/>
      <c r="MQU363" s="34"/>
      <c r="MQV363" s="35"/>
      <c r="MQW363" s="35"/>
      <c r="MQX363" s="35"/>
      <c r="MQY363" s="35"/>
      <c r="MQZ363" s="35"/>
      <c r="MRA363" s="34"/>
      <c r="MRB363" s="34"/>
      <c r="MRC363" s="36"/>
      <c r="MRD363" s="36"/>
      <c r="MRE363" s="37"/>
      <c r="MRF363" s="37"/>
      <c r="MRG363" s="38"/>
      <c r="MRH363" s="38"/>
      <c r="MRI363" s="39"/>
      <c r="MRJ363" s="34"/>
      <c r="MRK363" s="34"/>
      <c r="MRL363" s="34"/>
      <c r="MRM363" s="35"/>
      <c r="MRN363" s="35"/>
      <c r="MRO363" s="35"/>
      <c r="MRP363" s="35"/>
      <c r="MRQ363" s="35"/>
      <c r="MRR363" s="34"/>
      <c r="MRS363" s="34"/>
      <c r="MRT363" s="36"/>
      <c r="MRU363" s="36"/>
      <c r="MRV363" s="37"/>
      <c r="MRW363" s="37"/>
      <c r="MRX363" s="38"/>
      <c r="MRY363" s="38"/>
      <c r="MRZ363" s="39"/>
      <c r="MSA363" s="34"/>
      <c r="MSB363" s="34"/>
      <c r="MSC363" s="34"/>
      <c r="MSD363" s="35"/>
      <c r="MSE363" s="35"/>
      <c r="MSF363" s="35"/>
      <c r="MSG363" s="35"/>
      <c r="MSH363" s="35"/>
      <c r="MSI363" s="34"/>
      <c r="MSJ363" s="34"/>
      <c r="MSK363" s="36"/>
      <c r="MSL363" s="36"/>
      <c r="MSM363" s="37"/>
      <c r="MSN363" s="37"/>
      <c r="MSO363" s="38"/>
      <c r="MSP363" s="38"/>
      <c r="MSQ363" s="39"/>
      <c r="MSR363" s="34"/>
      <c r="MSS363" s="34"/>
      <c r="MST363" s="34"/>
      <c r="MSU363" s="35"/>
      <c r="MSV363" s="35"/>
      <c r="MSW363" s="35"/>
      <c r="MSX363" s="35"/>
      <c r="MSY363" s="35"/>
      <c r="MSZ363" s="34"/>
      <c r="MTA363" s="34"/>
      <c r="MTB363" s="36"/>
      <c r="MTC363" s="36"/>
      <c r="MTD363" s="37"/>
      <c r="MTE363" s="37"/>
      <c r="MTF363" s="38"/>
      <c r="MTG363" s="38"/>
      <c r="MTH363" s="39"/>
      <c r="MTI363" s="34"/>
      <c r="MTJ363" s="34"/>
      <c r="MTK363" s="34"/>
      <c r="MTL363" s="35"/>
      <c r="MTM363" s="35"/>
      <c r="MTN363" s="35"/>
      <c r="MTO363" s="35"/>
      <c r="MTP363" s="35"/>
      <c r="MTQ363" s="34"/>
      <c r="MTR363" s="34"/>
      <c r="MTS363" s="36"/>
      <c r="MTT363" s="36"/>
      <c r="MTU363" s="37"/>
      <c r="MTV363" s="37"/>
      <c r="MTW363" s="38"/>
      <c r="MTX363" s="38"/>
      <c r="MTY363" s="39"/>
      <c r="MTZ363" s="34"/>
      <c r="MUA363" s="34"/>
      <c r="MUB363" s="34"/>
      <c r="MUC363" s="35"/>
      <c r="MUD363" s="35"/>
      <c r="MUE363" s="35"/>
      <c r="MUF363" s="35"/>
      <c r="MUG363" s="35"/>
      <c r="MUH363" s="34"/>
      <c r="MUI363" s="34"/>
      <c r="MUJ363" s="36"/>
      <c r="MUK363" s="36"/>
      <c r="MUL363" s="37"/>
      <c r="MUM363" s="37"/>
      <c r="MUN363" s="38"/>
      <c r="MUO363" s="38"/>
      <c r="MUP363" s="39"/>
      <c r="MUQ363" s="34"/>
      <c r="MUR363" s="34"/>
      <c r="MUS363" s="34"/>
      <c r="MUT363" s="35"/>
      <c r="MUU363" s="35"/>
      <c r="MUV363" s="35"/>
      <c r="MUW363" s="35"/>
      <c r="MUX363" s="35"/>
      <c r="MUY363" s="34"/>
      <c r="MUZ363" s="34"/>
      <c r="MVA363" s="36"/>
      <c r="MVB363" s="36"/>
      <c r="MVC363" s="37"/>
      <c r="MVD363" s="37"/>
      <c r="MVE363" s="38"/>
      <c r="MVF363" s="38"/>
      <c r="MVG363" s="39"/>
      <c r="MVH363" s="34"/>
      <c r="MVI363" s="34"/>
      <c r="MVJ363" s="34"/>
      <c r="MVK363" s="35"/>
      <c r="MVL363" s="35"/>
      <c r="MVM363" s="35"/>
      <c r="MVN363" s="35"/>
      <c r="MVO363" s="35"/>
      <c r="MVP363" s="34"/>
      <c r="MVQ363" s="34"/>
      <c r="MVR363" s="36"/>
      <c r="MVS363" s="36"/>
      <c r="MVT363" s="37"/>
      <c r="MVU363" s="37"/>
      <c r="MVV363" s="38"/>
      <c r="MVW363" s="38"/>
      <c r="MVX363" s="39"/>
      <c r="MVY363" s="34"/>
      <c r="MVZ363" s="34"/>
      <c r="MWA363" s="34"/>
      <c r="MWB363" s="35"/>
      <c r="MWC363" s="35"/>
      <c r="MWD363" s="35"/>
      <c r="MWE363" s="35"/>
      <c r="MWF363" s="35"/>
      <c r="MWG363" s="34"/>
      <c r="MWH363" s="34"/>
      <c r="MWI363" s="36"/>
      <c r="MWJ363" s="36"/>
      <c r="MWK363" s="37"/>
      <c r="MWL363" s="37"/>
      <c r="MWM363" s="38"/>
      <c r="MWN363" s="38"/>
      <c r="MWO363" s="39"/>
      <c r="MWP363" s="34"/>
      <c r="MWQ363" s="34"/>
      <c r="MWR363" s="34"/>
      <c r="MWS363" s="35"/>
      <c r="MWT363" s="35"/>
      <c r="MWU363" s="35"/>
      <c r="MWV363" s="35"/>
      <c r="MWW363" s="35"/>
      <c r="MWX363" s="34"/>
      <c r="MWY363" s="34"/>
      <c r="MWZ363" s="36"/>
      <c r="MXA363" s="36"/>
      <c r="MXB363" s="37"/>
      <c r="MXC363" s="37"/>
      <c r="MXD363" s="38"/>
      <c r="MXE363" s="38"/>
      <c r="MXF363" s="39"/>
      <c r="MXG363" s="34"/>
      <c r="MXH363" s="34"/>
      <c r="MXI363" s="34"/>
      <c r="MXJ363" s="35"/>
      <c r="MXK363" s="35"/>
      <c r="MXL363" s="35"/>
      <c r="MXM363" s="35"/>
      <c r="MXN363" s="35"/>
      <c r="MXO363" s="34"/>
      <c r="MXP363" s="34"/>
      <c r="MXQ363" s="36"/>
      <c r="MXR363" s="36"/>
      <c r="MXS363" s="37"/>
      <c r="MXT363" s="37"/>
      <c r="MXU363" s="38"/>
      <c r="MXV363" s="38"/>
      <c r="MXW363" s="39"/>
      <c r="MXX363" s="34"/>
      <c r="MXY363" s="34"/>
      <c r="MXZ363" s="34"/>
      <c r="MYA363" s="35"/>
      <c r="MYB363" s="35"/>
      <c r="MYC363" s="35"/>
      <c r="MYD363" s="35"/>
      <c r="MYE363" s="35"/>
      <c r="MYF363" s="34"/>
      <c r="MYG363" s="34"/>
      <c r="MYH363" s="36"/>
      <c r="MYI363" s="36"/>
      <c r="MYJ363" s="37"/>
      <c r="MYK363" s="37"/>
      <c r="MYL363" s="38"/>
      <c r="MYM363" s="38"/>
      <c r="MYN363" s="39"/>
      <c r="MYO363" s="34"/>
      <c r="MYP363" s="34"/>
      <c r="MYQ363" s="34"/>
      <c r="MYR363" s="35"/>
      <c r="MYS363" s="35"/>
      <c r="MYT363" s="35"/>
      <c r="MYU363" s="35"/>
      <c r="MYV363" s="35"/>
      <c r="MYW363" s="34"/>
      <c r="MYX363" s="34"/>
      <c r="MYY363" s="36"/>
      <c r="MYZ363" s="36"/>
      <c r="MZA363" s="37"/>
      <c r="MZB363" s="37"/>
      <c r="MZC363" s="38"/>
      <c r="MZD363" s="38"/>
      <c r="MZE363" s="39"/>
      <c r="MZF363" s="34"/>
      <c r="MZG363" s="34"/>
      <c r="MZH363" s="34"/>
      <c r="MZI363" s="35"/>
      <c r="MZJ363" s="35"/>
      <c r="MZK363" s="35"/>
      <c r="MZL363" s="35"/>
      <c r="MZM363" s="35"/>
      <c r="MZN363" s="34"/>
      <c r="MZO363" s="34"/>
      <c r="MZP363" s="36"/>
      <c r="MZQ363" s="36"/>
      <c r="MZR363" s="37"/>
      <c r="MZS363" s="37"/>
      <c r="MZT363" s="38"/>
      <c r="MZU363" s="38"/>
      <c r="MZV363" s="39"/>
      <c r="MZW363" s="34"/>
      <c r="MZX363" s="34"/>
      <c r="MZY363" s="34"/>
      <c r="MZZ363" s="35"/>
      <c r="NAA363" s="35"/>
      <c r="NAB363" s="35"/>
      <c r="NAC363" s="35"/>
      <c r="NAD363" s="35"/>
      <c r="NAE363" s="34"/>
      <c r="NAF363" s="34"/>
      <c r="NAG363" s="36"/>
      <c r="NAH363" s="36"/>
      <c r="NAI363" s="37"/>
      <c r="NAJ363" s="37"/>
      <c r="NAK363" s="38"/>
      <c r="NAL363" s="38"/>
      <c r="NAM363" s="39"/>
      <c r="NAN363" s="34"/>
      <c r="NAO363" s="34"/>
      <c r="NAP363" s="34"/>
      <c r="NAQ363" s="35"/>
      <c r="NAR363" s="35"/>
      <c r="NAS363" s="35"/>
      <c r="NAT363" s="35"/>
      <c r="NAU363" s="35"/>
      <c r="NAV363" s="34"/>
      <c r="NAW363" s="34"/>
      <c r="NAX363" s="36"/>
      <c r="NAY363" s="36"/>
      <c r="NAZ363" s="37"/>
      <c r="NBA363" s="37"/>
      <c r="NBB363" s="38"/>
      <c r="NBC363" s="38"/>
      <c r="NBD363" s="39"/>
      <c r="NBE363" s="34"/>
      <c r="NBF363" s="34"/>
      <c r="NBG363" s="34"/>
      <c r="NBH363" s="35"/>
      <c r="NBI363" s="35"/>
      <c r="NBJ363" s="35"/>
      <c r="NBK363" s="35"/>
      <c r="NBL363" s="35"/>
      <c r="NBM363" s="34"/>
      <c r="NBN363" s="34"/>
      <c r="NBO363" s="36"/>
      <c r="NBP363" s="36"/>
      <c r="NBQ363" s="37"/>
      <c r="NBR363" s="37"/>
      <c r="NBS363" s="38"/>
      <c r="NBT363" s="38"/>
      <c r="NBU363" s="39"/>
      <c r="NBV363" s="34"/>
      <c r="NBW363" s="34"/>
      <c r="NBX363" s="34"/>
      <c r="NBY363" s="35"/>
      <c r="NBZ363" s="35"/>
      <c r="NCA363" s="35"/>
      <c r="NCB363" s="35"/>
      <c r="NCC363" s="35"/>
      <c r="NCD363" s="34"/>
      <c r="NCE363" s="34"/>
      <c r="NCF363" s="36"/>
      <c r="NCG363" s="36"/>
      <c r="NCH363" s="37"/>
      <c r="NCI363" s="37"/>
      <c r="NCJ363" s="38"/>
      <c r="NCK363" s="38"/>
      <c r="NCL363" s="39"/>
      <c r="NCM363" s="34"/>
      <c r="NCN363" s="34"/>
      <c r="NCO363" s="34"/>
      <c r="NCP363" s="35"/>
      <c r="NCQ363" s="35"/>
      <c r="NCR363" s="35"/>
      <c r="NCS363" s="35"/>
      <c r="NCT363" s="35"/>
      <c r="NCU363" s="34"/>
      <c r="NCV363" s="34"/>
      <c r="NCW363" s="36"/>
      <c r="NCX363" s="36"/>
      <c r="NCY363" s="37"/>
      <c r="NCZ363" s="37"/>
      <c r="NDA363" s="38"/>
      <c r="NDB363" s="38"/>
      <c r="NDC363" s="39"/>
      <c r="NDD363" s="34"/>
      <c r="NDE363" s="34"/>
      <c r="NDF363" s="34"/>
      <c r="NDG363" s="35"/>
      <c r="NDH363" s="35"/>
      <c r="NDI363" s="35"/>
      <c r="NDJ363" s="35"/>
      <c r="NDK363" s="35"/>
      <c r="NDL363" s="34"/>
      <c r="NDM363" s="34"/>
      <c r="NDN363" s="36"/>
      <c r="NDO363" s="36"/>
      <c r="NDP363" s="37"/>
      <c r="NDQ363" s="37"/>
      <c r="NDR363" s="38"/>
      <c r="NDS363" s="38"/>
      <c r="NDT363" s="39"/>
      <c r="NDU363" s="34"/>
      <c r="NDV363" s="34"/>
      <c r="NDW363" s="34"/>
      <c r="NDX363" s="35"/>
      <c r="NDY363" s="35"/>
      <c r="NDZ363" s="35"/>
      <c r="NEA363" s="35"/>
      <c r="NEB363" s="35"/>
      <c r="NEC363" s="34"/>
      <c r="NED363" s="34"/>
      <c r="NEE363" s="36"/>
      <c r="NEF363" s="36"/>
      <c r="NEG363" s="37"/>
      <c r="NEH363" s="37"/>
      <c r="NEI363" s="38"/>
      <c r="NEJ363" s="38"/>
      <c r="NEK363" s="39"/>
      <c r="NEL363" s="34"/>
      <c r="NEM363" s="34"/>
      <c r="NEN363" s="34"/>
      <c r="NEO363" s="35"/>
      <c r="NEP363" s="35"/>
      <c r="NEQ363" s="35"/>
      <c r="NER363" s="35"/>
      <c r="NES363" s="35"/>
      <c r="NET363" s="34"/>
      <c r="NEU363" s="34"/>
      <c r="NEV363" s="36"/>
      <c r="NEW363" s="36"/>
      <c r="NEX363" s="37"/>
      <c r="NEY363" s="37"/>
      <c r="NEZ363" s="38"/>
      <c r="NFA363" s="38"/>
      <c r="NFB363" s="39"/>
      <c r="NFC363" s="34"/>
      <c r="NFD363" s="34"/>
      <c r="NFE363" s="34"/>
      <c r="NFF363" s="35"/>
      <c r="NFG363" s="35"/>
      <c r="NFH363" s="35"/>
      <c r="NFI363" s="35"/>
      <c r="NFJ363" s="35"/>
      <c r="NFK363" s="34"/>
      <c r="NFL363" s="34"/>
      <c r="NFM363" s="36"/>
      <c r="NFN363" s="36"/>
      <c r="NFO363" s="37"/>
      <c r="NFP363" s="37"/>
      <c r="NFQ363" s="38"/>
      <c r="NFR363" s="38"/>
      <c r="NFS363" s="39"/>
      <c r="NFT363" s="34"/>
      <c r="NFU363" s="34"/>
      <c r="NFV363" s="34"/>
      <c r="NFW363" s="35"/>
      <c r="NFX363" s="35"/>
      <c r="NFY363" s="35"/>
      <c r="NFZ363" s="35"/>
      <c r="NGA363" s="35"/>
      <c r="NGB363" s="34"/>
      <c r="NGC363" s="34"/>
      <c r="NGD363" s="36"/>
      <c r="NGE363" s="36"/>
      <c r="NGF363" s="37"/>
      <c r="NGG363" s="37"/>
      <c r="NGH363" s="38"/>
      <c r="NGI363" s="38"/>
      <c r="NGJ363" s="39"/>
      <c r="NGK363" s="34"/>
      <c r="NGL363" s="34"/>
      <c r="NGM363" s="34"/>
      <c r="NGN363" s="35"/>
      <c r="NGO363" s="35"/>
      <c r="NGP363" s="35"/>
      <c r="NGQ363" s="35"/>
      <c r="NGR363" s="35"/>
      <c r="NGS363" s="34"/>
      <c r="NGT363" s="34"/>
      <c r="NGU363" s="36"/>
      <c r="NGV363" s="36"/>
      <c r="NGW363" s="37"/>
      <c r="NGX363" s="37"/>
      <c r="NGY363" s="38"/>
      <c r="NGZ363" s="38"/>
      <c r="NHA363" s="39"/>
      <c r="NHB363" s="34"/>
      <c r="NHC363" s="34"/>
      <c r="NHD363" s="34"/>
      <c r="NHE363" s="35"/>
      <c r="NHF363" s="35"/>
      <c r="NHG363" s="35"/>
      <c r="NHH363" s="35"/>
      <c r="NHI363" s="35"/>
      <c r="NHJ363" s="34"/>
      <c r="NHK363" s="34"/>
      <c r="NHL363" s="36"/>
      <c r="NHM363" s="36"/>
      <c r="NHN363" s="37"/>
      <c r="NHO363" s="37"/>
      <c r="NHP363" s="38"/>
      <c r="NHQ363" s="38"/>
      <c r="NHR363" s="39"/>
      <c r="NHS363" s="34"/>
      <c r="NHT363" s="34"/>
      <c r="NHU363" s="34"/>
      <c r="NHV363" s="35"/>
      <c r="NHW363" s="35"/>
      <c r="NHX363" s="35"/>
      <c r="NHY363" s="35"/>
      <c r="NHZ363" s="35"/>
      <c r="NIA363" s="34"/>
      <c r="NIB363" s="34"/>
      <c r="NIC363" s="36"/>
      <c r="NID363" s="36"/>
      <c r="NIE363" s="37"/>
      <c r="NIF363" s="37"/>
      <c r="NIG363" s="38"/>
      <c r="NIH363" s="38"/>
      <c r="NII363" s="39"/>
      <c r="NIJ363" s="34"/>
      <c r="NIK363" s="34"/>
      <c r="NIL363" s="34"/>
      <c r="NIM363" s="35"/>
      <c r="NIN363" s="35"/>
      <c r="NIO363" s="35"/>
      <c r="NIP363" s="35"/>
      <c r="NIQ363" s="35"/>
      <c r="NIR363" s="34"/>
      <c r="NIS363" s="34"/>
      <c r="NIT363" s="36"/>
      <c r="NIU363" s="36"/>
      <c r="NIV363" s="37"/>
      <c r="NIW363" s="37"/>
      <c r="NIX363" s="38"/>
      <c r="NIY363" s="38"/>
      <c r="NIZ363" s="39"/>
      <c r="NJA363" s="34"/>
      <c r="NJB363" s="34"/>
      <c r="NJC363" s="34"/>
      <c r="NJD363" s="35"/>
      <c r="NJE363" s="35"/>
      <c r="NJF363" s="35"/>
      <c r="NJG363" s="35"/>
      <c r="NJH363" s="35"/>
      <c r="NJI363" s="34"/>
      <c r="NJJ363" s="34"/>
      <c r="NJK363" s="36"/>
      <c r="NJL363" s="36"/>
      <c r="NJM363" s="37"/>
      <c r="NJN363" s="37"/>
      <c r="NJO363" s="38"/>
      <c r="NJP363" s="38"/>
      <c r="NJQ363" s="39"/>
      <c r="NJR363" s="34"/>
      <c r="NJS363" s="34"/>
      <c r="NJT363" s="34"/>
      <c r="NJU363" s="35"/>
      <c r="NJV363" s="35"/>
      <c r="NJW363" s="35"/>
      <c r="NJX363" s="35"/>
      <c r="NJY363" s="35"/>
      <c r="NJZ363" s="34"/>
      <c r="NKA363" s="34"/>
      <c r="NKB363" s="36"/>
      <c r="NKC363" s="36"/>
      <c r="NKD363" s="37"/>
      <c r="NKE363" s="37"/>
      <c r="NKF363" s="38"/>
      <c r="NKG363" s="38"/>
      <c r="NKH363" s="39"/>
      <c r="NKI363" s="34"/>
      <c r="NKJ363" s="34"/>
      <c r="NKK363" s="34"/>
      <c r="NKL363" s="35"/>
      <c r="NKM363" s="35"/>
      <c r="NKN363" s="35"/>
      <c r="NKO363" s="35"/>
      <c r="NKP363" s="35"/>
      <c r="NKQ363" s="34"/>
      <c r="NKR363" s="34"/>
      <c r="NKS363" s="36"/>
      <c r="NKT363" s="36"/>
      <c r="NKU363" s="37"/>
      <c r="NKV363" s="37"/>
      <c r="NKW363" s="38"/>
      <c r="NKX363" s="38"/>
      <c r="NKY363" s="39"/>
      <c r="NKZ363" s="34"/>
      <c r="NLA363" s="34"/>
      <c r="NLB363" s="34"/>
      <c r="NLC363" s="35"/>
      <c r="NLD363" s="35"/>
      <c r="NLE363" s="35"/>
      <c r="NLF363" s="35"/>
      <c r="NLG363" s="35"/>
      <c r="NLH363" s="34"/>
      <c r="NLI363" s="34"/>
      <c r="NLJ363" s="36"/>
      <c r="NLK363" s="36"/>
      <c r="NLL363" s="37"/>
      <c r="NLM363" s="37"/>
      <c r="NLN363" s="38"/>
      <c r="NLO363" s="38"/>
      <c r="NLP363" s="39"/>
      <c r="NLQ363" s="34"/>
      <c r="NLR363" s="34"/>
      <c r="NLS363" s="34"/>
      <c r="NLT363" s="35"/>
      <c r="NLU363" s="35"/>
      <c r="NLV363" s="35"/>
      <c r="NLW363" s="35"/>
      <c r="NLX363" s="35"/>
      <c r="NLY363" s="34"/>
      <c r="NLZ363" s="34"/>
      <c r="NMA363" s="36"/>
      <c r="NMB363" s="36"/>
      <c r="NMC363" s="37"/>
      <c r="NMD363" s="37"/>
      <c r="NME363" s="38"/>
      <c r="NMF363" s="38"/>
      <c r="NMG363" s="39"/>
      <c r="NMH363" s="34"/>
      <c r="NMI363" s="34"/>
      <c r="NMJ363" s="34"/>
      <c r="NMK363" s="35"/>
      <c r="NML363" s="35"/>
      <c r="NMM363" s="35"/>
      <c r="NMN363" s="35"/>
      <c r="NMO363" s="35"/>
      <c r="NMP363" s="34"/>
      <c r="NMQ363" s="34"/>
      <c r="NMR363" s="36"/>
      <c r="NMS363" s="36"/>
      <c r="NMT363" s="37"/>
      <c r="NMU363" s="37"/>
      <c r="NMV363" s="38"/>
      <c r="NMW363" s="38"/>
      <c r="NMX363" s="39"/>
      <c r="NMY363" s="34"/>
      <c r="NMZ363" s="34"/>
      <c r="NNA363" s="34"/>
      <c r="NNB363" s="35"/>
      <c r="NNC363" s="35"/>
      <c r="NND363" s="35"/>
      <c r="NNE363" s="35"/>
      <c r="NNF363" s="35"/>
      <c r="NNG363" s="34"/>
      <c r="NNH363" s="34"/>
      <c r="NNI363" s="36"/>
      <c r="NNJ363" s="36"/>
      <c r="NNK363" s="37"/>
      <c r="NNL363" s="37"/>
      <c r="NNM363" s="38"/>
      <c r="NNN363" s="38"/>
      <c r="NNO363" s="39"/>
      <c r="NNP363" s="34"/>
      <c r="NNQ363" s="34"/>
      <c r="NNR363" s="34"/>
      <c r="NNS363" s="35"/>
      <c r="NNT363" s="35"/>
      <c r="NNU363" s="35"/>
      <c r="NNV363" s="35"/>
      <c r="NNW363" s="35"/>
      <c r="NNX363" s="34"/>
      <c r="NNY363" s="34"/>
      <c r="NNZ363" s="36"/>
      <c r="NOA363" s="36"/>
      <c r="NOB363" s="37"/>
      <c r="NOC363" s="37"/>
      <c r="NOD363" s="38"/>
      <c r="NOE363" s="38"/>
      <c r="NOF363" s="39"/>
      <c r="NOG363" s="34"/>
      <c r="NOH363" s="34"/>
      <c r="NOI363" s="34"/>
      <c r="NOJ363" s="35"/>
      <c r="NOK363" s="35"/>
      <c r="NOL363" s="35"/>
      <c r="NOM363" s="35"/>
      <c r="NON363" s="35"/>
      <c r="NOO363" s="34"/>
      <c r="NOP363" s="34"/>
      <c r="NOQ363" s="36"/>
      <c r="NOR363" s="36"/>
      <c r="NOS363" s="37"/>
      <c r="NOT363" s="37"/>
      <c r="NOU363" s="38"/>
      <c r="NOV363" s="38"/>
      <c r="NOW363" s="39"/>
      <c r="NOX363" s="34"/>
      <c r="NOY363" s="34"/>
      <c r="NOZ363" s="34"/>
      <c r="NPA363" s="35"/>
      <c r="NPB363" s="35"/>
      <c r="NPC363" s="35"/>
      <c r="NPD363" s="35"/>
      <c r="NPE363" s="35"/>
      <c r="NPF363" s="34"/>
      <c r="NPG363" s="34"/>
      <c r="NPH363" s="36"/>
      <c r="NPI363" s="36"/>
      <c r="NPJ363" s="37"/>
      <c r="NPK363" s="37"/>
      <c r="NPL363" s="38"/>
      <c r="NPM363" s="38"/>
      <c r="NPN363" s="39"/>
      <c r="NPO363" s="34"/>
      <c r="NPP363" s="34"/>
      <c r="NPQ363" s="34"/>
      <c r="NPR363" s="35"/>
      <c r="NPS363" s="35"/>
      <c r="NPT363" s="35"/>
      <c r="NPU363" s="35"/>
      <c r="NPV363" s="35"/>
      <c r="NPW363" s="34"/>
      <c r="NPX363" s="34"/>
      <c r="NPY363" s="36"/>
      <c r="NPZ363" s="36"/>
      <c r="NQA363" s="37"/>
      <c r="NQB363" s="37"/>
      <c r="NQC363" s="38"/>
      <c r="NQD363" s="38"/>
      <c r="NQE363" s="39"/>
      <c r="NQF363" s="34"/>
      <c r="NQG363" s="34"/>
      <c r="NQH363" s="34"/>
      <c r="NQI363" s="35"/>
      <c r="NQJ363" s="35"/>
      <c r="NQK363" s="35"/>
      <c r="NQL363" s="35"/>
      <c r="NQM363" s="35"/>
      <c r="NQN363" s="34"/>
      <c r="NQO363" s="34"/>
      <c r="NQP363" s="36"/>
      <c r="NQQ363" s="36"/>
      <c r="NQR363" s="37"/>
      <c r="NQS363" s="37"/>
      <c r="NQT363" s="38"/>
      <c r="NQU363" s="38"/>
      <c r="NQV363" s="39"/>
      <c r="NQW363" s="34"/>
      <c r="NQX363" s="34"/>
      <c r="NQY363" s="34"/>
      <c r="NQZ363" s="35"/>
      <c r="NRA363" s="35"/>
      <c r="NRB363" s="35"/>
      <c r="NRC363" s="35"/>
      <c r="NRD363" s="35"/>
      <c r="NRE363" s="34"/>
      <c r="NRF363" s="34"/>
      <c r="NRG363" s="36"/>
      <c r="NRH363" s="36"/>
      <c r="NRI363" s="37"/>
      <c r="NRJ363" s="37"/>
      <c r="NRK363" s="38"/>
      <c r="NRL363" s="38"/>
      <c r="NRM363" s="39"/>
      <c r="NRN363" s="34"/>
      <c r="NRO363" s="34"/>
      <c r="NRP363" s="34"/>
      <c r="NRQ363" s="35"/>
      <c r="NRR363" s="35"/>
      <c r="NRS363" s="35"/>
      <c r="NRT363" s="35"/>
      <c r="NRU363" s="35"/>
      <c r="NRV363" s="34"/>
      <c r="NRW363" s="34"/>
      <c r="NRX363" s="36"/>
      <c r="NRY363" s="36"/>
      <c r="NRZ363" s="37"/>
      <c r="NSA363" s="37"/>
      <c r="NSB363" s="38"/>
      <c r="NSC363" s="38"/>
      <c r="NSD363" s="39"/>
      <c r="NSE363" s="34"/>
      <c r="NSF363" s="34"/>
      <c r="NSG363" s="34"/>
      <c r="NSH363" s="35"/>
      <c r="NSI363" s="35"/>
      <c r="NSJ363" s="35"/>
      <c r="NSK363" s="35"/>
      <c r="NSL363" s="35"/>
      <c r="NSM363" s="34"/>
      <c r="NSN363" s="34"/>
      <c r="NSO363" s="36"/>
      <c r="NSP363" s="36"/>
      <c r="NSQ363" s="37"/>
      <c r="NSR363" s="37"/>
      <c r="NSS363" s="38"/>
      <c r="NST363" s="38"/>
      <c r="NSU363" s="39"/>
      <c r="NSV363" s="34"/>
      <c r="NSW363" s="34"/>
      <c r="NSX363" s="34"/>
      <c r="NSY363" s="35"/>
      <c r="NSZ363" s="35"/>
      <c r="NTA363" s="35"/>
      <c r="NTB363" s="35"/>
      <c r="NTC363" s="35"/>
      <c r="NTD363" s="34"/>
      <c r="NTE363" s="34"/>
      <c r="NTF363" s="36"/>
      <c r="NTG363" s="36"/>
      <c r="NTH363" s="37"/>
      <c r="NTI363" s="37"/>
      <c r="NTJ363" s="38"/>
      <c r="NTK363" s="38"/>
      <c r="NTL363" s="39"/>
      <c r="NTM363" s="34"/>
      <c r="NTN363" s="34"/>
      <c r="NTO363" s="34"/>
      <c r="NTP363" s="35"/>
      <c r="NTQ363" s="35"/>
      <c r="NTR363" s="35"/>
      <c r="NTS363" s="35"/>
      <c r="NTT363" s="35"/>
      <c r="NTU363" s="34"/>
      <c r="NTV363" s="34"/>
      <c r="NTW363" s="36"/>
      <c r="NTX363" s="36"/>
      <c r="NTY363" s="37"/>
      <c r="NTZ363" s="37"/>
      <c r="NUA363" s="38"/>
      <c r="NUB363" s="38"/>
      <c r="NUC363" s="39"/>
      <c r="NUD363" s="34"/>
      <c r="NUE363" s="34"/>
      <c r="NUF363" s="34"/>
      <c r="NUG363" s="35"/>
      <c r="NUH363" s="35"/>
      <c r="NUI363" s="35"/>
      <c r="NUJ363" s="35"/>
      <c r="NUK363" s="35"/>
      <c r="NUL363" s="34"/>
      <c r="NUM363" s="34"/>
      <c r="NUN363" s="36"/>
      <c r="NUO363" s="36"/>
      <c r="NUP363" s="37"/>
      <c r="NUQ363" s="37"/>
      <c r="NUR363" s="38"/>
      <c r="NUS363" s="38"/>
      <c r="NUT363" s="39"/>
      <c r="NUU363" s="34"/>
      <c r="NUV363" s="34"/>
      <c r="NUW363" s="34"/>
      <c r="NUX363" s="35"/>
      <c r="NUY363" s="35"/>
      <c r="NUZ363" s="35"/>
      <c r="NVA363" s="35"/>
      <c r="NVB363" s="35"/>
      <c r="NVC363" s="34"/>
      <c r="NVD363" s="34"/>
      <c r="NVE363" s="36"/>
      <c r="NVF363" s="36"/>
      <c r="NVG363" s="37"/>
      <c r="NVH363" s="37"/>
      <c r="NVI363" s="38"/>
      <c r="NVJ363" s="38"/>
      <c r="NVK363" s="39"/>
      <c r="NVL363" s="34"/>
      <c r="NVM363" s="34"/>
      <c r="NVN363" s="34"/>
      <c r="NVO363" s="35"/>
      <c r="NVP363" s="35"/>
      <c r="NVQ363" s="35"/>
      <c r="NVR363" s="35"/>
      <c r="NVS363" s="35"/>
      <c r="NVT363" s="34"/>
      <c r="NVU363" s="34"/>
      <c r="NVV363" s="36"/>
      <c r="NVW363" s="36"/>
      <c r="NVX363" s="37"/>
      <c r="NVY363" s="37"/>
      <c r="NVZ363" s="38"/>
      <c r="NWA363" s="38"/>
      <c r="NWB363" s="39"/>
      <c r="NWC363" s="34"/>
      <c r="NWD363" s="34"/>
      <c r="NWE363" s="34"/>
      <c r="NWF363" s="35"/>
      <c r="NWG363" s="35"/>
      <c r="NWH363" s="35"/>
      <c r="NWI363" s="35"/>
      <c r="NWJ363" s="35"/>
      <c r="NWK363" s="34"/>
      <c r="NWL363" s="34"/>
      <c r="NWM363" s="36"/>
      <c r="NWN363" s="36"/>
      <c r="NWO363" s="37"/>
      <c r="NWP363" s="37"/>
      <c r="NWQ363" s="38"/>
      <c r="NWR363" s="38"/>
      <c r="NWS363" s="39"/>
      <c r="NWT363" s="34"/>
      <c r="NWU363" s="34"/>
      <c r="NWV363" s="34"/>
      <c r="NWW363" s="35"/>
      <c r="NWX363" s="35"/>
      <c r="NWY363" s="35"/>
      <c r="NWZ363" s="35"/>
      <c r="NXA363" s="35"/>
      <c r="NXB363" s="34"/>
      <c r="NXC363" s="34"/>
      <c r="NXD363" s="36"/>
      <c r="NXE363" s="36"/>
      <c r="NXF363" s="37"/>
      <c r="NXG363" s="37"/>
      <c r="NXH363" s="38"/>
      <c r="NXI363" s="38"/>
      <c r="NXJ363" s="39"/>
      <c r="NXK363" s="34"/>
      <c r="NXL363" s="34"/>
      <c r="NXM363" s="34"/>
      <c r="NXN363" s="35"/>
      <c r="NXO363" s="35"/>
      <c r="NXP363" s="35"/>
      <c r="NXQ363" s="35"/>
      <c r="NXR363" s="35"/>
      <c r="NXS363" s="34"/>
      <c r="NXT363" s="34"/>
      <c r="NXU363" s="36"/>
      <c r="NXV363" s="36"/>
      <c r="NXW363" s="37"/>
      <c r="NXX363" s="37"/>
      <c r="NXY363" s="38"/>
      <c r="NXZ363" s="38"/>
      <c r="NYA363" s="39"/>
      <c r="NYB363" s="34"/>
      <c r="NYC363" s="34"/>
      <c r="NYD363" s="34"/>
      <c r="NYE363" s="35"/>
      <c r="NYF363" s="35"/>
      <c r="NYG363" s="35"/>
      <c r="NYH363" s="35"/>
      <c r="NYI363" s="35"/>
      <c r="NYJ363" s="34"/>
      <c r="NYK363" s="34"/>
      <c r="NYL363" s="36"/>
      <c r="NYM363" s="36"/>
      <c r="NYN363" s="37"/>
      <c r="NYO363" s="37"/>
      <c r="NYP363" s="38"/>
      <c r="NYQ363" s="38"/>
      <c r="NYR363" s="39"/>
      <c r="NYS363" s="34"/>
      <c r="NYT363" s="34"/>
      <c r="NYU363" s="34"/>
      <c r="NYV363" s="35"/>
      <c r="NYW363" s="35"/>
      <c r="NYX363" s="35"/>
      <c r="NYY363" s="35"/>
      <c r="NYZ363" s="35"/>
      <c r="NZA363" s="34"/>
      <c r="NZB363" s="34"/>
      <c r="NZC363" s="36"/>
      <c r="NZD363" s="36"/>
      <c r="NZE363" s="37"/>
      <c r="NZF363" s="37"/>
      <c r="NZG363" s="38"/>
      <c r="NZH363" s="38"/>
      <c r="NZI363" s="39"/>
      <c r="NZJ363" s="34"/>
      <c r="NZK363" s="34"/>
      <c r="NZL363" s="34"/>
      <c r="NZM363" s="35"/>
      <c r="NZN363" s="35"/>
      <c r="NZO363" s="35"/>
      <c r="NZP363" s="35"/>
      <c r="NZQ363" s="35"/>
      <c r="NZR363" s="34"/>
      <c r="NZS363" s="34"/>
      <c r="NZT363" s="36"/>
      <c r="NZU363" s="36"/>
      <c r="NZV363" s="37"/>
      <c r="NZW363" s="37"/>
      <c r="NZX363" s="38"/>
      <c r="NZY363" s="38"/>
      <c r="NZZ363" s="39"/>
      <c r="OAA363" s="34"/>
      <c r="OAB363" s="34"/>
      <c r="OAC363" s="34"/>
      <c r="OAD363" s="35"/>
      <c r="OAE363" s="35"/>
      <c r="OAF363" s="35"/>
      <c r="OAG363" s="35"/>
      <c r="OAH363" s="35"/>
      <c r="OAI363" s="34"/>
      <c r="OAJ363" s="34"/>
      <c r="OAK363" s="36"/>
      <c r="OAL363" s="36"/>
      <c r="OAM363" s="37"/>
      <c r="OAN363" s="37"/>
      <c r="OAO363" s="38"/>
      <c r="OAP363" s="38"/>
      <c r="OAQ363" s="39"/>
      <c r="OAR363" s="34"/>
      <c r="OAS363" s="34"/>
      <c r="OAT363" s="34"/>
      <c r="OAU363" s="35"/>
      <c r="OAV363" s="35"/>
      <c r="OAW363" s="35"/>
      <c r="OAX363" s="35"/>
      <c r="OAY363" s="35"/>
      <c r="OAZ363" s="34"/>
      <c r="OBA363" s="34"/>
      <c r="OBB363" s="36"/>
      <c r="OBC363" s="36"/>
      <c r="OBD363" s="37"/>
      <c r="OBE363" s="37"/>
      <c r="OBF363" s="38"/>
      <c r="OBG363" s="38"/>
      <c r="OBH363" s="39"/>
      <c r="OBI363" s="34"/>
      <c r="OBJ363" s="34"/>
      <c r="OBK363" s="34"/>
      <c r="OBL363" s="35"/>
      <c r="OBM363" s="35"/>
      <c r="OBN363" s="35"/>
      <c r="OBO363" s="35"/>
      <c r="OBP363" s="35"/>
      <c r="OBQ363" s="34"/>
      <c r="OBR363" s="34"/>
      <c r="OBS363" s="36"/>
      <c r="OBT363" s="36"/>
      <c r="OBU363" s="37"/>
      <c r="OBV363" s="37"/>
      <c r="OBW363" s="38"/>
      <c r="OBX363" s="38"/>
      <c r="OBY363" s="39"/>
      <c r="OBZ363" s="34"/>
      <c r="OCA363" s="34"/>
      <c r="OCB363" s="34"/>
      <c r="OCC363" s="35"/>
      <c r="OCD363" s="35"/>
      <c r="OCE363" s="35"/>
      <c r="OCF363" s="35"/>
      <c r="OCG363" s="35"/>
      <c r="OCH363" s="34"/>
      <c r="OCI363" s="34"/>
      <c r="OCJ363" s="36"/>
      <c r="OCK363" s="36"/>
      <c r="OCL363" s="37"/>
      <c r="OCM363" s="37"/>
      <c r="OCN363" s="38"/>
      <c r="OCO363" s="38"/>
      <c r="OCP363" s="39"/>
      <c r="OCQ363" s="34"/>
      <c r="OCR363" s="34"/>
      <c r="OCS363" s="34"/>
      <c r="OCT363" s="35"/>
      <c r="OCU363" s="35"/>
      <c r="OCV363" s="35"/>
      <c r="OCW363" s="35"/>
      <c r="OCX363" s="35"/>
      <c r="OCY363" s="34"/>
      <c r="OCZ363" s="34"/>
      <c r="ODA363" s="36"/>
      <c r="ODB363" s="36"/>
      <c r="ODC363" s="37"/>
      <c r="ODD363" s="37"/>
      <c r="ODE363" s="38"/>
      <c r="ODF363" s="38"/>
      <c r="ODG363" s="39"/>
      <c r="ODH363" s="34"/>
      <c r="ODI363" s="34"/>
      <c r="ODJ363" s="34"/>
      <c r="ODK363" s="35"/>
      <c r="ODL363" s="35"/>
      <c r="ODM363" s="35"/>
      <c r="ODN363" s="35"/>
      <c r="ODO363" s="35"/>
      <c r="ODP363" s="34"/>
      <c r="ODQ363" s="34"/>
      <c r="ODR363" s="36"/>
      <c r="ODS363" s="36"/>
      <c r="ODT363" s="37"/>
      <c r="ODU363" s="37"/>
      <c r="ODV363" s="38"/>
      <c r="ODW363" s="38"/>
      <c r="ODX363" s="39"/>
      <c r="ODY363" s="34"/>
      <c r="ODZ363" s="34"/>
      <c r="OEA363" s="34"/>
      <c r="OEB363" s="35"/>
      <c r="OEC363" s="35"/>
      <c r="OED363" s="35"/>
      <c r="OEE363" s="35"/>
      <c r="OEF363" s="35"/>
      <c r="OEG363" s="34"/>
      <c r="OEH363" s="34"/>
      <c r="OEI363" s="36"/>
      <c r="OEJ363" s="36"/>
      <c r="OEK363" s="37"/>
      <c r="OEL363" s="37"/>
      <c r="OEM363" s="38"/>
      <c r="OEN363" s="38"/>
      <c r="OEO363" s="39"/>
      <c r="OEP363" s="34"/>
      <c r="OEQ363" s="34"/>
      <c r="OER363" s="34"/>
      <c r="OES363" s="35"/>
      <c r="OET363" s="35"/>
      <c r="OEU363" s="35"/>
      <c r="OEV363" s="35"/>
      <c r="OEW363" s="35"/>
      <c r="OEX363" s="34"/>
      <c r="OEY363" s="34"/>
      <c r="OEZ363" s="36"/>
      <c r="OFA363" s="36"/>
      <c r="OFB363" s="37"/>
      <c r="OFC363" s="37"/>
      <c r="OFD363" s="38"/>
      <c r="OFE363" s="38"/>
      <c r="OFF363" s="39"/>
      <c r="OFG363" s="34"/>
      <c r="OFH363" s="34"/>
      <c r="OFI363" s="34"/>
      <c r="OFJ363" s="35"/>
      <c r="OFK363" s="35"/>
      <c r="OFL363" s="35"/>
      <c r="OFM363" s="35"/>
      <c r="OFN363" s="35"/>
      <c r="OFO363" s="34"/>
      <c r="OFP363" s="34"/>
      <c r="OFQ363" s="36"/>
      <c r="OFR363" s="36"/>
      <c r="OFS363" s="37"/>
      <c r="OFT363" s="37"/>
      <c r="OFU363" s="38"/>
      <c r="OFV363" s="38"/>
      <c r="OFW363" s="39"/>
      <c r="OFX363" s="34"/>
      <c r="OFY363" s="34"/>
      <c r="OFZ363" s="34"/>
      <c r="OGA363" s="35"/>
      <c r="OGB363" s="35"/>
      <c r="OGC363" s="35"/>
      <c r="OGD363" s="35"/>
      <c r="OGE363" s="35"/>
      <c r="OGF363" s="34"/>
      <c r="OGG363" s="34"/>
      <c r="OGH363" s="36"/>
      <c r="OGI363" s="36"/>
      <c r="OGJ363" s="37"/>
      <c r="OGK363" s="37"/>
      <c r="OGL363" s="38"/>
      <c r="OGM363" s="38"/>
      <c r="OGN363" s="39"/>
      <c r="OGO363" s="34"/>
      <c r="OGP363" s="34"/>
      <c r="OGQ363" s="34"/>
      <c r="OGR363" s="35"/>
      <c r="OGS363" s="35"/>
      <c r="OGT363" s="35"/>
      <c r="OGU363" s="35"/>
      <c r="OGV363" s="35"/>
      <c r="OGW363" s="34"/>
      <c r="OGX363" s="34"/>
      <c r="OGY363" s="36"/>
      <c r="OGZ363" s="36"/>
      <c r="OHA363" s="37"/>
      <c r="OHB363" s="37"/>
      <c r="OHC363" s="38"/>
      <c r="OHD363" s="38"/>
      <c r="OHE363" s="39"/>
      <c r="OHF363" s="34"/>
      <c r="OHG363" s="34"/>
      <c r="OHH363" s="34"/>
      <c r="OHI363" s="35"/>
      <c r="OHJ363" s="35"/>
      <c r="OHK363" s="35"/>
      <c r="OHL363" s="35"/>
      <c r="OHM363" s="35"/>
      <c r="OHN363" s="34"/>
      <c r="OHO363" s="34"/>
      <c r="OHP363" s="36"/>
      <c r="OHQ363" s="36"/>
      <c r="OHR363" s="37"/>
      <c r="OHS363" s="37"/>
      <c r="OHT363" s="38"/>
      <c r="OHU363" s="38"/>
      <c r="OHV363" s="39"/>
      <c r="OHW363" s="34"/>
      <c r="OHX363" s="34"/>
      <c r="OHY363" s="34"/>
      <c r="OHZ363" s="35"/>
      <c r="OIA363" s="35"/>
      <c r="OIB363" s="35"/>
      <c r="OIC363" s="35"/>
      <c r="OID363" s="35"/>
      <c r="OIE363" s="34"/>
      <c r="OIF363" s="34"/>
      <c r="OIG363" s="36"/>
      <c r="OIH363" s="36"/>
      <c r="OII363" s="37"/>
      <c r="OIJ363" s="37"/>
      <c r="OIK363" s="38"/>
      <c r="OIL363" s="38"/>
      <c r="OIM363" s="39"/>
      <c r="OIN363" s="34"/>
      <c r="OIO363" s="34"/>
      <c r="OIP363" s="34"/>
      <c r="OIQ363" s="35"/>
      <c r="OIR363" s="35"/>
      <c r="OIS363" s="35"/>
      <c r="OIT363" s="35"/>
      <c r="OIU363" s="35"/>
      <c r="OIV363" s="34"/>
      <c r="OIW363" s="34"/>
      <c r="OIX363" s="36"/>
      <c r="OIY363" s="36"/>
      <c r="OIZ363" s="37"/>
      <c r="OJA363" s="37"/>
      <c r="OJB363" s="38"/>
      <c r="OJC363" s="38"/>
      <c r="OJD363" s="39"/>
      <c r="OJE363" s="34"/>
      <c r="OJF363" s="34"/>
      <c r="OJG363" s="34"/>
      <c r="OJH363" s="35"/>
      <c r="OJI363" s="35"/>
      <c r="OJJ363" s="35"/>
      <c r="OJK363" s="35"/>
      <c r="OJL363" s="35"/>
      <c r="OJM363" s="34"/>
      <c r="OJN363" s="34"/>
      <c r="OJO363" s="36"/>
      <c r="OJP363" s="36"/>
      <c r="OJQ363" s="37"/>
      <c r="OJR363" s="37"/>
      <c r="OJS363" s="38"/>
      <c r="OJT363" s="38"/>
      <c r="OJU363" s="39"/>
      <c r="OJV363" s="34"/>
      <c r="OJW363" s="34"/>
      <c r="OJX363" s="34"/>
      <c r="OJY363" s="35"/>
      <c r="OJZ363" s="35"/>
      <c r="OKA363" s="35"/>
      <c r="OKB363" s="35"/>
      <c r="OKC363" s="35"/>
      <c r="OKD363" s="34"/>
      <c r="OKE363" s="34"/>
      <c r="OKF363" s="36"/>
      <c r="OKG363" s="36"/>
      <c r="OKH363" s="37"/>
      <c r="OKI363" s="37"/>
      <c r="OKJ363" s="38"/>
      <c r="OKK363" s="38"/>
      <c r="OKL363" s="39"/>
      <c r="OKM363" s="34"/>
      <c r="OKN363" s="34"/>
      <c r="OKO363" s="34"/>
      <c r="OKP363" s="35"/>
      <c r="OKQ363" s="35"/>
      <c r="OKR363" s="35"/>
      <c r="OKS363" s="35"/>
      <c r="OKT363" s="35"/>
      <c r="OKU363" s="34"/>
      <c r="OKV363" s="34"/>
      <c r="OKW363" s="36"/>
      <c r="OKX363" s="36"/>
      <c r="OKY363" s="37"/>
      <c r="OKZ363" s="37"/>
      <c r="OLA363" s="38"/>
      <c r="OLB363" s="38"/>
      <c r="OLC363" s="39"/>
      <c r="OLD363" s="34"/>
      <c r="OLE363" s="34"/>
      <c r="OLF363" s="34"/>
      <c r="OLG363" s="35"/>
      <c r="OLH363" s="35"/>
      <c r="OLI363" s="35"/>
      <c r="OLJ363" s="35"/>
      <c r="OLK363" s="35"/>
      <c r="OLL363" s="34"/>
      <c r="OLM363" s="34"/>
      <c r="OLN363" s="36"/>
      <c r="OLO363" s="36"/>
      <c r="OLP363" s="37"/>
      <c r="OLQ363" s="37"/>
      <c r="OLR363" s="38"/>
      <c r="OLS363" s="38"/>
      <c r="OLT363" s="39"/>
      <c r="OLU363" s="34"/>
      <c r="OLV363" s="34"/>
      <c r="OLW363" s="34"/>
      <c r="OLX363" s="35"/>
      <c r="OLY363" s="35"/>
      <c r="OLZ363" s="35"/>
      <c r="OMA363" s="35"/>
      <c r="OMB363" s="35"/>
      <c r="OMC363" s="34"/>
      <c r="OMD363" s="34"/>
      <c r="OME363" s="36"/>
      <c r="OMF363" s="36"/>
      <c r="OMG363" s="37"/>
      <c r="OMH363" s="37"/>
      <c r="OMI363" s="38"/>
      <c r="OMJ363" s="38"/>
      <c r="OMK363" s="39"/>
      <c r="OML363" s="34"/>
      <c r="OMM363" s="34"/>
      <c r="OMN363" s="34"/>
      <c r="OMO363" s="35"/>
      <c r="OMP363" s="35"/>
      <c r="OMQ363" s="35"/>
      <c r="OMR363" s="35"/>
      <c r="OMS363" s="35"/>
      <c r="OMT363" s="34"/>
      <c r="OMU363" s="34"/>
      <c r="OMV363" s="36"/>
      <c r="OMW363" s="36"/>
      <c r="OMX363" s="37"/>
      <c r="OMY363" s="37"/>
      <c r="OMZ363" s="38"/>
      <c r="ONA363" s="38"/>
      <c r="ONB363" s="39"/>
      <c r="ONC363" s="34"/>
      <c r="OND363" s="34"/>
      <c r="ONE363" s="34"/>
      <c r="ONF363" s="35"/>
      <c r="ONG363" s="35"/>
      <c r="ONH363" s="35"/>
      <c r="ONI363" s="35"/>
      <c r="ONJ363" s="35"/>
      <c r="ONK363" s="34"/>
      <c r="ONL363" s="34"/>
      <c r="ONM363" s="36"/>
      <c r="ONN363" s="36"/>
      <c r="ONO363" s="37"/>
      <c r="ONP363" s="37"/>
      <c r="ONQ363" s="38"/>
      <c r="ONR363" s="38"/>
      <c r="ONS363" s="39"/>
      <c r="ONT363" s="34"/>
      <c r="ONU363" s="34"/>
      <c r="ONV363" s="34"/>
      <c r="ONW363" s="35"/>
      <c r="ONX363" s="35"/>
      <c r="ONY363" s="35"/>
      <c r="ONZ363" s="35"/>
      <c r="OOA363" s="35"/>
      <c r="OOB363" s="34"/>
      <c r="OOC363" s="34"/>
      <c r="OOD363" s="36"/>
      <c r="OOE363" s="36"/>
      <c r="OOF363" s="37"/>
      <c r="OOG363" s="37"/>
      <c r="OOH363" s="38"/>
      <c r="OOI363" s="38"/>
      <c r="OOJ363" s="39"/>
      <c r="OOK363" s="34"/>
      <c r="OOL363" s="34"/>
      <c r="OOM363" s="34"/>
      <c r="OON363" s="35"/>
      <c r="OOO363" s="35"/>
      <c r="OOP363" s="35"/>
      <c r="OOQ363" s="35"/>
      <c r="OOR363" s="35"/>
      <c r="OOS363" s="34"/>
      <c r="OOT363" s="34"/>
      <c r="OOU363" s="36"/>
      <c r="OOV363" s="36"/>
      <c r="OOW363" s="37"/>
      <c r="OOX363" s="37"/>
      <c r="OOY363" s="38"/>
      <c r="OOZ363" s="38"/>
      <c r="OPA363" s="39"/>
      <c r="OPB363" s="34"/>
      <c r="OPC363" s="34"/>
      <c r="OPD363" s="34"/>
      <c r="OPE363" s="35"/>
      <c r="OPF363" s="35"/>
      <c r="OPG363" s="35"/>
      <c r="OPH363" s="35"/>
      <c r="OPI363" s="35"/>
      <c r="OPJ363" s="34"/>
      <c r="OPK363" s="34"/>
      <c r="OPL363" s="36"/>
      <c r="OPM363" s="36"/>
      <c r="OPN363" s="37"/>
      <c r="OPO363" s="37"/>
      <c r="OPP363" s="38"/>
      <c r="OPQ363" s="38"/>
      <c r="OPR363" s="39"/>
      <c r="OPS363" s="34"/>
      <c r="OPT363" s="34"/>
      <c r="OPU363" s="34"/>
      <c r="OPV363" s="35"/>
      <c r="OPW363" s="35"/>
      <c r="OPX363" s="35"/>
      <c r="OPY363" s="35"/>
      <c r="OPZ363" s="35"/>
      <c r="OQA363" s="34"/>
      <c r="OQB363" s="34"/>
      <c r="OQC363" s="36"/>
      <c r="OQD363" s="36"/>
      <c r="OQE363" s="37"/>
      <c r="OQF363" s="37"/>
      <c r="OQG363" s="38"/>
      <c r="OQH363" s="38"/>
      <c r="OQI363" s="39"/>
      <c r="OQJ363" s="34"/>
      <c r="OQK363" s="34"/>
      <c r="OQL363" s="34"/>
      <c r="OQM363" s="35"/>
      <c r="OQN363" s="35"/>
      <c r="OQO363" s="35"/>
      <c r="OQP363" s="35"/>
      <c r="OQQ363" s="35"/>
      <c r="OQR363" s="34"/>
      <c r="OQS363" s="34"/>
      <c r="OQT363" s="36"/>
      <c r="OQU363" s="36"/>
      <c r="OQV363" s="37"/>
      <c r="OQW363" s="37"/>
      <c r="OQX363" s="38"/>
      <c r="OQY363" s="38"/>
      <c r="OQZ363" s="39"/>
      <c r="ORA363" s="34"/>
      <c r="ORB363" s="34"/>
      <c r="ORC363" s="34"/>
      <c r="ORD363" s="35"/>
      <c r="ORE363" s="35"/>
      <c r="ORF363" s="35"/>
      <c r="ORG363" s="35"/>
      <c r="ORH363" s="35"/>
      <c r="ORI363" s="34"/>
      <c r="ORJ363" s="34"/>
      <c r="ORK363" s="36"/>
      <c r="ORL363" s="36"/>
      <c r="ORM363" s="37"/>
      <c r="ORN363" s="37"/>
      <c r="ORO363" s="38"/>
      <c r="ORP363" s="38"/>
      <c r="ORQ363" s="39"/>
      <c r="ORR363" s="34"/>
      <c r="ORS363" s="34"/>
      <c r="ORT363" s="34"/>
      <c r="ORU363" s="35"/>
      <c r="ORV363" s="35"/>
      <c r="ORW363" s="35"/>
      <c r="ORX363" s="35"/>
      <c r="ORY363" s="35"/>
      <c r="ORZ363" s="34"/>
      <c r="OSA363" s="34"/>
      <c r="OSB363" s="36"/>
      <c r="OSC363" s="36"/>
      <c r="OSD363" s="37"/>
      <c r="OSE363" s="37"/>
      <c r="OSF363" s="38"/>
      <c r="OSG363" s="38"/>
      <c r="OSH363" s="39"/>
      <c r="OSI363" s="34"/>
      <c r="OSJ363" s="34"/>
      <c r="OSK363" s="34"/>
      <c r="OSL363" s="35"/>
      <c r="OSM363" s="35"/>
      <c r="OSN363" s="35"/>
      <c r="OSO363" s="35"/>
      <c r="OSP363" s="35"/>
      <c r="OSQ363" s="34"/>
      <c r="OSR363" s="34"/>
      <c r="OSS363" s="36"/>
      <c r="OST363" s="36"/>
      <c r="OSU363" s="37"/>
      <c r="OSV363" s="37"/>
      <c r="OSW363" s="38"/>
      <c r="OSX363" s="38"/>
      <c r="OSY363" s="39"/>
      <c r="OSZ363" s="34"/>
      <c r="OTA363" s="34"/>
      <c r="OTB363" s="34"/>
      <c r="OTC363" s="35"/>
      <c r="OTD363" s="35"/>
      <c r="OTE363" s="35"/>
      <c r="OTF363" s="35"/>
      <c r="OTG363" s="35"/>
      <c r="OTH363" s="34"/>
      <c r="OTI363" s="34"/>
      <c r="OTJ363" s="36"/>
      <c r="OTK363" s="36"/>
      <c r="OTL363" s="37"/>
      <c r="OTM363" s="37"/>
      <c r="OTN363" s="38"/>
      <c r="OTO363" s="38"/>
      <c r="OTP363" s="39"/>
      <c r="OTQ363" s="34"/>
      <c r="OTR363" s="34"/>
      <c r="OTS363" s="34"/>
      <c r="OTT363" s="35"/>
      <c r="OTU363" s="35"/>
      <c r="OTV363" s="35"/>
      <c r="OTW363" s="35"/>
      <c r="OTX363" s="35"/>
      <c r="OTY363" s="34"/>
      <c r="OTZ363" s="34"/>
      <c r="OUA363" s="36"/>
      <c r="OUB363" s="36"/>
      <c r="OUC363" s="37"/>
      <c r="OUD363" s="37"/>
      <c r="OUE363" s="38"/>
      <c r="OUF363" s="38"/>
      <c r="OUG363" s="39"/>
      <c r="OUH363" s="34"/>
      <c r="OUI363" s="34"/>
      <c r="OUJ363" s="34"/>
      <c r="OUK363" s="35"/>
      <c r="OUL363" s="35"/>
      <c r="OUM363" s="35"/>
      <c r="OUN363" s="35"/>
      <c r="OUO363" s="35"/>
      <c r="OUP363" s="34"/>
      <c r="OUQ363" s="34"/>
      <c r="OUR363" s="36"/>
      <c r="OUS363" s="36"/>
      <c r="OUT363" s="37"/>
      <c r="OUU363" s="37"/>
      <c r="OUV363" s="38"/>
      <c r="OUW363" s="38"/>
      <c r="OUX363" s="39"/>
      <c r="OUY363" s="34"/>
      <c r="OUZ363" s="34"/>
      <c r="OVA363" s="34"/>
      <c r="OVB363" s="35"/>
      <c r="OVC363" s="35"/>
      <c r="OVD363" s="35"/>
      <c r="OVE363" s="35"/>
      <c r="OVF363" s="35"/>
      <c r="OVG363" s="34"/>
      <c r="OVH363" s="34"/>
      <c r="OVI363" s="36"/>
      <c r="OVJ363" s="36"/>
      <c r="OVK363" s="37"/>
      <c r="OVL363" s="37"/>
      <c r="OVM363" s="38"/>
      <c r="OVN363" s="38"/>
      <c r="OVO363" s="39"/>
      <c r="OVP363" s="34"/>
      <c r="OVQ363" s="34"/>
      <c r="OVR363" s="34"/>
      <c r="OVS363" s="35"/>
      <c r="OVT363" s="35"/>
      <c r="OVU363" s="35"/>
      <c r="OVV363" s="35"/>
      <c r="OVW363" s="35"/>
      <c r="OVX363" s="34"/>
      <c r="OVY363" s="34"/>
      <c r="OVZ363" s="36"/>
      <c r="OWA363" s="36"/>
      <c r="OWB363" s="37"/>
      <c r="OWC363" s="37"/>
      <c r="OWD363" s="38"/>
      <c r="OWE363" s="38"/>
      <c r="OWF363" s="39"/>
      <c r="OWG363" s="34"/>
      <c r="OWH363" s="34"/>
      <c r="OWI363" s="34"/>
      <c r="OWJ363" s="35"/>
      <c r="OWK363" s="35"/>
      <c r="OWL363" s="35"/>
      <c r="OWM363" s="35"/>
      <c r="OWN363" s="35"/>
      <c r="OWO363" s="34"/>
      <c r="OWP363" s="34"/>
      <c r="OWQ363" s="36"/>
      <c r="OWR363" s="36"/>
      <c r="OWS363" s="37"/>
      <c r="OWT363" s="37"/>
      <c r="OWU363" s="38"/>
      <c r="OWV363" s="38"/>
      <c r="OWW363" s="39"/>
      <c r="OWX363" s="34"/>
      <c r="OWY363" s="34"/>
      <c r="OWZ363" s="34"/>
      <c r="OXA363" s="35"/>
      <c r="OXB363" s="35"/>
      <c r="OXC363" s="35"/>
      <c r="OXD363" s="35"/>
      <c r="OXE363" s="35"/>
      <c r="OXF363" s="34"/>
      <c r="OXG363" s="34"/>
      <c r="OXH363" s="36"/>
      <c r="OXI363" s="36"/>
      <c r="OXJ363" s="37"/>
      <c r="OXK363" s="37"/>
      <c r="OXL363" s="38"/>
      <c r="OXM363" s="38"/>
      <c r="OXN363" s="39"/>
      <c r="OXO363" s="34"/>
      <c r="OXP363" s="34"/>
      <c r="OXQ363" s="34"/>
      <c r="OXR363" s="35"/>
      <c r="OXS363" s="35"/>
      <c r="OXT363" s="35"/>
      <c r="OXU363" s="35"/>
      <c r="OXV363" s="35"/>
      <c r="OXW363" s="34"/>
      <c r="OXX363" s="34"/>
      <c r="OXY363" s="36"/>
      <c r="OXZ363" s="36"/>
      <c r="OYA363" s="37"/>
      <c r="OYB363" s="37"/>
      <c r="OYC363" s="38"/>
      <c r="OYD363" s="38"/>
      <c r="OYE363" s="39"/>
      <c r="OYF363" s="34"/>
      <c r="OYG363" s="34"/>
      <c r="OYH363" s="34"/>
      <c r="OYI363" s="35"/>
      <c r="OYJ363" s="35"/>
      <c r="OYK363" s="35"/>
      <c r="OYL363" s="35"/>
      <c r="OYM363" s="35"/>
      <c r="OYN363" s="34"/>
      <c r="OYO363" s="34"/>
      <c r="OYP363" s="36"/>
      <c r="OYQ363" s="36"/>
      <c r="OYR363" s="37"/>
      <c r="OYS363" s="37"/>
      <c r="OYT363" s="38"/>
      <c r="OYU363" s="38"/>
      <c r="OYV363" s="39"/>
      <c r="OYW363" s="34"/>
      <c r="OYX363" s="34"/>
      <c r="OYY363" s="34"/>
      <c r="OYZ363" s="35"/>
      <c r="OZA363" s="35"/>
      <c r="OZB363" s="35"/>
      <c r="OZC363" s="35"/>
      <c r="OZD363" s="35"/>
      <c r="OZE363" s="34"/>
      <c r="OZF363" s="34"/>
      <c r="OZG363" s="36"/>
      <c r="OZH363" s="36"/>
      <c r="OZI363" s="37"/>
      <c r="OZJ363" s="37"/>
      <c r="OZK363" s="38"/>
      <c r="OZL363" s="38"/>
      <c r="OZM363" s="39"/>
      <c r="OZN363" s="34"/>
      <c r="OZO363" s="34"/>
      <c r="OZP363" s="34"/>
      <c r="OZQ363" s="35"/>
      <c r="OZR363" s="35"/>
      <c r="OZS363" s="35"/>
      <c r="OZT363" s="35"/>
      <c r="OZU363" s="35"/>
      <c r="OZV363" s="34"/>
      <c r="OZW363" s="34"/>
      <c r="OZX363" s="36"/>
      <c r="OZY363" s="36"/>
      <c r="OZZ363" s="37"/>
      <c r="PAA363" s="37"/>
      <c r="PAB363" s="38"/>
      <c r="PAC363" s="38"/>
      <c r="PAD363" s="39"/>
      <c r="PAE363" s="34"/>
      <c r="PAF363" s="34"/>
      <c r="PAG363" s="34"/>
      <c r="PAH363" s="35"/>
      <c r="PAI363" s="35"/>
      <c r="PAJ363" s="35"/>
      <c r="PAK363" s="35"/>
      <c r="PAL363" s="35"/>
      <c r="PAM363" s="34"/>
      <c r="PAN363" s="34"/>
      <c r="PAO363" s="36"/>
      <c r="PAP363" s="36"/>
      <c r="PAQ363" s="37"/>
      <c r="PAR363" s="37"/>
      <c r="PAS363" s="38"/>
      <c r="PAT363" s="38"/>
      <c r="PAU363" s="39"/>
      <c r="PAV363" s="34"/>
      <c r="PAW363" s="34"/>
      <c r="PAX363" s="34"/>
      <c r="PAY363" s="35"/>
      <c r="PAZ363" s="35"/>
      <c r="PBA363" s="35"/>
      <c r="PBB363" s="35"/>
      <c r="PBC363" s="35"/>
      <c r="PBD363" s="34"/>
      <c r="PBE363" s="34"/>
      <c r="PBF363" s="36"/>
      <c r="PBG363" s="36"/>
      <c r="PBH363" s="37"/>
      <c r="PBI363" s="37"/>
      <c r="PBJ363" s="38"/>
      <c r="PBK363" s="38"/>
      <c r="PBL363" s="39"/>
      <c r="PBM363" s="34"/>
      <c r="PBN363" s="34"/>
      <c r="PBO363" s="34"/>
      <c r="PBP363" s="35"/>
      <c r="PBQ363" s="35"/>
      <c r="PBR363" s="35"/>
      <c r="PBS363" s="35"/>
      <c r="PBT363" s="35"/>
      <c r="PBU363" s="34"/>
      <c r="PBV363" s="34"/>
      <c r="PBW363" s="36"/>
      <c r="PBX363" s="36"/>
      <c r="PBY363" s="37"/>
      <c r="PBZ363" s="37"/>
      <c r="PCA363" s="38"/>
      <c r="PCB363" s="38"/>
      <c r="PCC363" s="39"/>
      <c r="PCD363" s="34"/>
      <c r="PCE363" s="34"/>
      <c r="PCF363" s="34"/>
      <c r="PCG363" s="35"/>
      <c r="PCH363" s="35"/>
      <c r="PCI363" s="35"/>
      <c r="PCJ363" s="35"/>
      <c r="PCK363" s="35"/>
      <c r="PCL363" s="34"/>
      <c r="PCM363" s="34"/>
      <c r="PCN363" s="36"/>
      <c r="PCO363" s="36"/>
      <c r="PCP363" s="37"/>
      <c r="PCQ363" s="37"/>
      <c r="PCR363" s="38"/>
      <c r="PCS363" s="38"/>
      <c r="PCT363" s="39"/>
      <c r="PCU363" s="34"/>
      <c r="PCV363" s="34"/>
      <c r="PCW363" s="34"/>
      <c r="PCX363" s="35"/>
      <c r="PCY363" s="35"/>
      <c r="PCZ363" s="35"/>
      <c r="PDA363" s="35"/>
      <c r="PDB363" s="35"/>
      <c r="PDC363" s="34"/>
      <c r="PDD363" s="34"/>
      <c r="PDE363" s="36"/>
      <c r="PDF363" s="36"/>
      <c r="PDG363" s="37"/>
      <c r="PDH363" s="37"/>
      <c r="PDI363" s="38"/>
      <c r="PDJ363" s="38"/>
      <c r="PDK363" s="39"/>
      <c r="PDL363" s="34"/>
      <c r="PDM363" s="34"/>
      <c r="PDN363" s="34"/>
      <c r="PDO363" s="35"/>
      <c r="PDP363" s="35"/>
      <c r="PDQ363" s="35"/>
      <c r="PDR363" s="35"/>
      <c r="PDS363" s="35"/>
      <c r="PDT363" s="34"/>
      <c r="PDU363" s="34"/>
      <c r="PDV363" s="36"/>
      <c r="PDW363" s="36"/>
      <c r="PDX363" s="37"/>
      <c r="PDY363" s="37"/>
      <c r="PDZ363" s="38"/>
      <c r="PEA363" s="38"/>
      <c r="PEB363" s="39"/>
      <c r="PEC363" s="34"/>
      <c r="PED363" s="34"/>
      <c r="PEE363" s="34"/>
      <c r="PEF363" s="35"/>
      <c r="PEG363" s="35"/>
      <c r="PEH363" s="35"/>
      <c r="PEI363" s="35"/>
      <c r="PEJ363" s="35"/>
      <c r="PEK363" s="34"/>
      <c r="PEL363" s="34"/>
      <c r="PEM363" s="36"/>
      <c r="PEN363" s="36"/>
      <c r="PEO363" s="37"/>
      <c r="PEP363" s="37"/>
      <c r="PEQ363" s="38"/>
      <c r="PER363" s="38"/>
      <c r="PES363" s="39"/>
      <c r="PET363" s="34"/>
      <c r="PEU363" s="34"/>
      <c r="PEV363" s="34"/>
      <c r="PEW363" s="35"/>
      <c r="PEX363" s="35"/>
      <c r="PEY363" s="35"/>
      <c r="PEZ363" s="35"/>
      <c r="PFA363" s="35"/>
      <c r="PFB363" s="34"/>
      <c r="PFC363" s="34"/>
      <c r="PFD363" s="36"/>
      <c r="PFE363" s="36"/>
      <c r="PFF363" s="37"/>
      <c r="PFG363" s="37"/>
      <c r="PFH363" s="38"/>
      <c r="PFI363" s="38"/>
      <c r="PFJ363" s="39"/>
      <c r="PFK363" s="34"/>
      <c r="PFL363" s="34"/>
      <c r="PFM363" s="34"/>
      <c r="PFN363" s="35"/>
      <c r="PFO363" s="35"/>
      <c r="PFP363" s="35"/>
      <c r="PFQ363" s="35"/>
      <c r="PFR363" s="35"/>
      <c r="PFS363" s="34"/>
      <c r="PFT363" s="34"/>
      <c r="PFU363" s="36"/>
      <c r="PFV363" s="36"/>
      <c r="PFW363" s="37"/>
      <c r="PFX363" s="37"/>
      <c r="PFY363" s="38"/>
      <c r="PFZ363" s="38"/>
      <c r="PGA363" s="39"/>
      <c r="PGB363" s="34"/>
      <c r="PGC363" s="34"/>
      <c r="PGD363" s="34"/>
      <c r="PGE363" s="35"/>
      <c r="PGF363" s="35"/>
      <c r="PGG363" s="35"/>
      <c r="PGH363" s="35"/>
      <c r="PGI363" s="35"/>
      <c r="PGJ363" s="34"/>
      <c r="PGK363" s="34"/>
      <c r="PGL363" s="36"/>
      <c r="PGM363" s="36"/>
      <c r="PGN363" s="37"/>
      <c r="PGO363" s="37"/>
      <c r="PGP363" s="38"/>
      <c r="PGQ363" s="38"/>
      <c r="PGR363" s="39"/>
      <c r="PGS363" s="34"/>
      <c r="PGT363" s="34"/>
      <c r="PGU363" s="34"/>
      <c r="PGV363" s="35"/>
      <c r="PGW363" s="35"/>
      <c r="PGX363" s="35"/>
      <c r="PGY363" s="35"/>
      <c r="PGZ363" s="35"/>
      <c r="PHA363" s="34"/>
      <c r="PHB363" s="34"/>
      <c r="PHC363" s="36"/>
      <c r="PHD363" s="36"/>
      <c r="PHE363" s="37"/>
      <c r="PHF363" s="37"/>
      <c r="PHG363" s="38"/>
      <c r="PHH363" s="38"/>
      <c r="PHI363" s="39"/>
      <c r="PHJ363" s="34"/>
      <c r="PHK363" s="34"/>
      <c r="PHL363" s="34"/>
      <c r="PHM363" s="35"/>
      <c r="PHN363" s="35"/>
      <c r="PHO363" s="35"/>
      <c r="PHP363" s="35"/>
      <c r="PHQ363" s="35"/>
      <c r="PHR363" s="34"/>
      <c r="PHS363" s="34"/>
      <c r="PHT363" s="36"/>
      <c r="PHU363" s="36"/>
      <c r="PHV363" s="37"/>
      <c r="PHW363" s="37"/>
      <c r="PHX363" s="38"/>
      <c r="PHY363" s="38"/>
      <c r="PHZ363" s="39"/>
      <c r="PIA363" s="34"/>
      <c r="PIB363" s="34"/>
      <c r="PIC363" s="34"/>
      <c r="PID363" s="35"/>
      <c r="PIE363" s="35"/>
      <c r="PIF363" s="35"/>
      <c r="PIG363" s="35"/>
      <c r="PIH363" s="35"/>
      <c r="PII363" s="34"/>
      <c r="PIJ363" s="34"/>
      <c r="PIK363" s="36"/>
      <c r="PIL363" s="36"/>
      <c r="PIM363" s="37"/>
      <c r="PIN363" s="37"/>
      <c r="PIO363" s="38"/>
      <c r="PIP363" s="38"/>
      <c r="PIQ363" s="39"/>
      <c r="PIR363" s="34"/>
      <c r="PIS363" s="34"/>
      <c r="PIT363" s="34"/>
      <c r="PIU363" s="35"/>
      <c r="PIV363" s="35"/>
      <c r="PIW363" s="35"/>
      <c r="PIX363" s="35"/>
      <c r="PIY363" s="35"/>
      <c r="PIZ363" s="34"/>
      <c r="PJA363" s="34"/>
      <c r="PJB363" s="36"/>
      <c r="PJC363" s="36"/>
      <c r="PJD363" s="37"/>
      <c r="PJE363" s="37"/>
      <c r="PJF363" s="38"/>
      <c r="PJG363" s="38"/>
      <c r="PJH363" s="39"/>
      <c r="PJI363" s="34"/>
      <c r="PJJ363" s="34"/>
      <c r="PJK363" s="34"/>
      <c r="PJL363" s="35"/>
      <c r="PJM363" s="35"/>
      <c r="PJN363" s="35"/>
      <c r="PJO363" s="35"/>
      <c r="PJP363" s="35"/>
      <c r="PJQ363" s="34"/>
      <c r="PJR363" s="34"/>
      <c r="PJS363" s="36"/>
      <c r="PJT363" s="36"/>
      <c r="PJU363" s="37"/>
      <c r="PJV363" s="37"/>
      <c r="PJW363" s="38"/>
      <c r="PJX363" s="38"/>
      <c r="PJY363" s="39"/>
      <c r="PJZ363" s="34"/>
      <c r="PKA363" s="34"/>
      <c r="PKB363" s="34"/>
      <c r="PKC363" s="35"/>
      <c r="PKD363" s="35"/>
      <c r="PKE363" s="35"/>
      <c r="PKF363" s="35"/>
      <c r="PKG363" s="35"/>
      <c r="PKH363" s="34"/>
      <c r="PKI363" s="34"/>
      <c r="PKJ363" s="36"/>
      <c r="PKK363" s="36"/>
      <c r="PKL363" s="37"/>
      <c r="PKM363" s="37"/>
      <c r="PKN363" s="38"/>
      <c r="PKO363" s="38"/>
      <c r="PKP363" s="39"/>
      <c r="PKQ363" s="34"/>
      <c r="PKR363" s="34"/>
      <c r="PKS363" s="34"/>
      <c r="PKT363" s="35"/>
      <c r="PKU363" s="35"/>
      <c r="PKV363" s="35"/>
      <c r="PKW363" s="35"/>
      <c r="PKX363" s="35"/>
      <c r="PKY363" s="34"/>
      <c r="PKZ363" s="34"/>
      <c r="PLA363" s="36"/>
      <c r="PLB363" s="36"/>
      <c r="PLC363" s="37"/>
      <c r="PLD363" s="37"/>
      <c r="PLE363" s="38"/>
      <c r="PLF363" s="38"/>
      <c r="PLG363" s="39"/>
      <c r="PLH363" s="34"/>
      <c r="PLI363" s="34"/>
      <c r="PLJ363" s="34"/>
      <c r="PLK363" s="35"/>
      <c r="PLL363" s="35"/>
      <c r="PLM363" s="35"/>
      <c r="PLN363" s="35"/>
      <c r="PLO363" s="35"/>
      <c r="PLP363" s="34"/>
      <c r="PLQ363" s="34"/>
      <c r="PLR363" s="36"/>
      <c r="PLS363" s="36"/>
      <c r="PLT363" s="37"/>
      <c r="PLU363" s="37"/>
      <c r="PLV363" s="38"/>
      <c r="PLW363" s="38"/>
      <c r="PLX363" s="39"/>
      <c r="PLY363" s="34"/>
      <c r="PLZ363" s="34"/>
      <c r="PMA363" s="34"/>
      <c r="PMB363" s="35"/>
      <c r="PMC363" s="35"/>
      <c r="PMD363" s="35"/>
      <c r="PME363" s="35"/>
      <c r="PMF363" s="35"/>
      <c r="PMG363" s="34"/>
      <c r="PMH363" s="34"/>
      <c r="PMI363" s="36"/>
      <c r="PMJ363" s="36"/>
      <c r="PMK363" s="37"/>
      <c r="PML363" s="37"/>
      <c r="PMM363" s="38"/>
      <c r="PMN363" s="38"/>
      <c r="PMO363" s="39"/>
      <c r="PMP363" s="34"/>
      <c r="PMQ363" s="34"/>
      <c r="PMR363" s="34"/>
      <c r="PMS363" s="35"/>
      <c r="PMT363" s="35"/>
      <c r="PMU363" s="35"/>
      <c r="PMV363" s="35"/>
      <c r="PMW363" s="35"/>
      <c r="PMX363" s="34"/>
      <c r="PMY363" s="34"/>
      <c r="PMZ363" s="36"/>
      <c r="PNA363" s="36"/>
      <c r="PNB363" s="37"/>
      <c r="PNC363" s="37"/>
      <c r="PND363" s="38"/>
      <c r="PNE363" s="38"/>
      <c r="PNF363" s="39"/>
      <c r="PNG363" s="34"/>
      <c r="PNH363" s="34"/>
      <c r="PNI363" s="34"/>
      <c r="PNJ363" s="35"/>
      <c r="PNK363" s="35"/>
      <c r="PNL363" s="35"/>
      <c r="PNM363" s="35"/>
      <c r="PNN363" s="35"/>
      <c r="PNO363" s="34"/>
      <c r="PNP363" s="34"/>
      <c r="PNQ363" s="36"/>
      <c r="PNR363" s="36"/>
      <c r="PNS363" s="37"/>
      <c r="PNT363" s="37"/>
      <c r="PNU363" s="38"/>
      <c r="PNV363" s="38"/>
      <c r="PNW363" s="39"/>
      <c r="PNX363" s="34"/>
      <c r="PNY363" s="34"/>
      <c r="PNZ363" s="34"/>
      <c r="POA363" s="35"/>
      <c r="POB363" s="35"/>
      <c r="POC363" s="35"/>
      <c r="POD363" s="35"/>
      <c r="POE363" s="35"/>
      <c r="POF363" s="34"/>
      <c r="POG363" s="34"/>
      <c r="POH363" s="36"/>
      <c r="POI363" s="36"/>
      <c r="POJ363" s="37"/>
      <c r="POK363" s="37"/>
      <c r="POL363" s="38"/>
      <c r="POM363" s="38"/>
      <c r="PON363" s="39"/>
      <c r="POO363" s="34"/>
      <c r="POP363" s="34"/>
      <c r="POQ363" s="34"/>
      <c r="POR363" s="35"/>
      <c r="POS363" s="35"/>
      <c r="POT363" s="35"/>
      <c r="POU363" s="35"/>
      <c r="POV363" s="35"/>
      <c r="POW363" s="34"/>
      <c r="POX363" s="34"/>
      <c r="POY363" s="36"/>
      <c r="POZ363" s="36"/>
      <c r="PPA363" s="37"/>
      <c r="PPB363" s="37"/>
      <c r="PPC363" s="38"/>
      <c r="PPD363" s="38"/>
      <c r="PPE363" s="39"/>
      <c r="PPF363" s="34"/>
      <c r="PPG363" s="34"/>
      <c r="PPH363" s="34"/>
      <c r="PPI363" s="35"/>
      <c r="PPJ363" s="35"/>
      <c r="PPK363" s="35"/>
      <c r="PPL363" s="35"/>
      <c r="PPM363" s="35"/>
      <c r="PPN363" s="34"/>
      <c r="PPO363" s="34"/>
      <c r="PPP363" s="36"/>
      <c r="PPQ363" s="36"/>
      <c r="PPR363" s="37"/>
      <c r="PPS363" s="37"/>
      <c r="PPT363" s="38"/>
      <c r="PPU363" s="38"/>
      <c r="PPV363" s="39"/>
      <c r="PPW363" s="34"/>
      <c r="PPX363" s="34"/>
      <c r="PPY363" s="34"/>
      <c r="PPZ363" s="35"/>
      <c r="PQA363" s="35"/>
      <c r="PQB363" s="35"/>
      <c r="PQC363" s="35"/>
      <c r="PQD363" s="35"/>
      <c r="PQE363" s="34"/>
      <c r="PQF363" s="34"/>
      <c r="PQG363" s="36"/>
      <c r="PQH363" s="36"/>
      <c r="PQI363" s="37"/>
      <c r="PQJ363" s="37"/>
      <c r="PQK363" s="38"/>
      <c r="PQL363" s="38"/>
      <c r="PQM363" s="39"/>
      <c r="PQN363" s="34"/>
      <c r="PQO363" s="34"/>
      <c r="PQP363" s="34"/>
      <c r="PQQ363" s="35"/>
      <c r="PQR363" s="35"/>
      <c r="PQS363" s="35"/>
      <c r="PQT363" s="35"/>
      <c r="PQU363" s="35"/>
      <c r="PQV363" s="34"/>
      <c r="PQW363" s="34"/>
      <c r="PQX363" s="36"/>
      <c r="PQY363" s="36"/>
      <c r="PQZ363" s="37"/>
      <c r="PRA363" s="37"/>
      <c r="PRB363" s="38"/>
      <c r="PRC363" s="38"/>
      <c r="PRD363" s="39"/>
      <c r="PRE363" s="34"/>
      <c r="PRF363" s="34"/>
      <c r="PRG363" s="34"/>
      <c r="PRH363" s="35"/>
      <c r="PRI363" s="35"/>
      <c r="PRJ363" s="35"/>
      <c r="PRK363" s="35"/>
      <c r="PRL363" s="35"/>
      <c r="PRM363" s="34"/>
      <c r="PRN363" s="34"/>
      <c r="PRO363" s="36"/>
      <c r="PRP363" s="36"/>
      <c r="PRQ363" s="37"/>
      <c r="PRR363" s="37"/>
      <c r="PRS363" s="38"/>
      <c r="PRT363" s="38"/>
      <c r="PRU363" s="39"/>
      <c r="PRV363" s="34"/>
      <c r="PRW363" s="34"/>
      <c r="PRX363" s="34"/>
      <c r="PRY363" s="35"/>
      <c r="PRZ363" s="35"/>
      <c r="PSA363" s="35"/>
      <c r="PSB363" s="35"/>
      <c r="PSC363" s="35"/>
      <c r="PSD363" s="34"/>
      <c r="PSE363" s="34"/>
      <c r="PSF363" s="36"/>
      <c r="PSG363" s="36"/>
      <c r="PSH363" s="37"/>
      <c r="PSI363" s="37"/>
      <c r="PSJ363" s="38"/>
      <c r="PSK363" s="38"/>
      <c r="PSL363" s="39"/>
      <c r="PSM363" s="34"/>
      <c r="PSN363" s="34"/>
      <c r="PSO363" s="34"/>
      <c r="PSP363" s="35"/>
      <c r="PSQ363" s="35"/>
      <c r="PSR363" s="35"/>
      <c r="PSS363" s="35"/>
      <c r="PST363" s="35"/>
      <c r="PSU363" s="34"/>
      <c r="PSV363" s="34"/>
      <c r="PSW363" s="36"/>
      <c r="PSX363" s="36"/>
      <c r="PSY363" s="37"/>
      <c r="PSZ363" s="37"/>
      <c r="PTA363" s="38"/>
      <c r="PTB363" s="38"/>
      <c r="PTC363" s="39"/>
      <c r="PTD363" s="34"/>
      <c r="PTE363" s="34"/>
      <c r="PTF363" s="34"/>
      <c r="PTG363" s="35"/>
      <c r="PTH363" s="35"/>
      <c r="PTI363" s="35"/>
      <c r="PTJ363" s="35"/>
      <c r="PTK363" s="35"/>
      <c r="PTL363" s="34"/>
      <c r="PTM363" s="34"/>
      <c r="PTN363" s="36"/>
      <c r="PTO363" s="36"/>
      <c r="PTP363" s="37"/>
      <c r="PTQ363" s="37"/>
      <c r="PTR363" s="38"/>
      <c r="PTS363" s="38"/>
      <c r="PTT363" s="39"/>
      <c r="PTU363" s="34"/>
      <c r="PTV363" s="34"/>
      <c r="PTW363" s="34"/>
      <c r="PTX363" s="35"/>
      <c r="PTY363" s="35"/>
      <c r="PTZ363" s="35"/>
      <c r="PUA363" s="35"/>
      <c r="PUB363" s="35"/>
      <c r="PUC363" s="34"/>
      <c r="PUD363" s="34"/>
      <c r="PUE363" s="36"/>
      <c r="PUF363" s="36"/>
      <c r="PUG363" s="37"/>
      <c r="PUH363" s="37"/>
      <c r="PUI363" s="38"/>
      <c r="PUJ363" s="38"/>
      <c r="PUK363" s="39"/>
      <c r="PUL363" s="34"/>
      <c r="PUM363" s="34"/>
      <c r="PUN363" s="34"/>
      <c r="PUO363" s="35"/>
      <c r="PUP363" s="35"/>
      <c r="PUQ363" s="35"/>
      <c r="PUR363" s="35"/>
      <c r="PUS363" s="35"/>
      <c r="PUT363" s="34"/>
      <c r="PUU363" s="34"/>
      <c r="PUV363" s="36"/>
      <c r="PUW363" s="36"/>
      <c r="PUX363" s="37"/>
      <c r="PUY363" s="37"/>
      <c r="PUZ363" s="38"/>
      <c r="PVA363" s="38"/>
      <c r="PVB363" s="39"/>
      <c r="PVC363" s="34"/>
      <c r="PVD363" s="34"/>
      <c r="PVE363" s="34"/>
      <c r="PVF363" s="35"/>
      <c r="PVG363" s="35"/>
      <c r="PVH363" s="35"/>
      <c r="PVI363" s="35"/>
      <c r="PVJ363" s="35"/>
      <c r="PVK363" s="34"/>
      <c r="PVL363" s="34"/>
      <c r="PVM363" s="36"/>
      <c r="PVN363" s="36"/>
      <c r="PVO363" s="37"/>
      <c r="PVP363" s="37"/>
      <c r="PVQ363" s="38"/>
      <c r="PVR363" s="38"/>
      <c r="PVS363" s="39"/>
      <c r="PVT363" s="34"/>
      <c r="PVU363" s="34"/>
      <c r="PVV363" s="34"/>
      <c r="PVW363" s="35"/>
      <c r="PVX363" s="35"/>
      <c r="PVY363" s="35"/>
      <c r="PVZ363" s="35"/>
      <c r="PWA363" s="35"/>
      <c r="PWB363" s="34"/>
      <c r="PWC363" s="34"/>
      <c r="PWD363" s="36"/>
      <c r="PWE363" s="36"/>
      <c r="PWF363" s="37"/>
      <c r="PWG363" s="37"/>
      <c r="PWH363" s="38"/>
      <c r="PWI363" s="38"/>
      <c r="PWJ363" s="39"/>
      <c r="PWK363" s="34"/>
      <c r="PWL363" s="34"/>
      <c r="PWM363" s="34"/>
      <c r="PWN363" s="35"/>
      <c r="PWO363" s="35"/>
      <c r="PWP363" s="35"/>
      <c r="PWQ363" s="35"/>
      <c r="PWR363" s="35"/>
      <c r="PWS363" s="34"/>
      <c r="PWT363" s="34"/>
      <c r="PWU363" s="36"/>
      <c r="PWV363" s="36"/>
      <c r="PWW363" s="37"/>
      <c r="PWX363" s="37"/>
      <c r="PWY363" s="38"/>
      <c r="PWZ363" s="38"/>
      <c r="PXA363" s="39"/>
      <c r="PXB363" s="34"/>
      <c r="PXC363" s="34"/>
      <c r="PXD363" s="34"/>
      <c r="PXE363" s="35"/>
      <c r="PXF363" s="35"/>
      <c r="PXG363" s="35"/>
      <c r="PXH363" s="35"/>
      <c r="PXI363" s="35"/>
      <c r="PXJ363" s="34"/>
      <c r="PXK363" s="34"/>
      <c r="PXL363" s="36"/>
      <c r="PXM363" s="36"/>
      <c r="PXN363" s="37"/>
      <c r="PXO363" s="37"/>
      <c r="PXP363" s="38"/>
      <c r="PXQ363" s="38"/>
      <c r="PXR363" s="39"/>
      <c r="PXS363" s="34"/>
      <c r="PXT363" s="34"/>
      <c r="PXU363" s="34"/>
      <c r="PXV363" s="35"/>
      <c r="PXW363" s="35"/>
      <c r="PXX363" s="35"/>
      <c r="PXY363" s="35"/>
      <c r="PXZ363" s="35"/>
      <c r="PYA363" s="34"/>
      <c r="PYB363" s="34"/>
      <c r="PYC363" s="36"/>
      <c r="PYD363" s="36"/>
      <c r="PYE363" s="37"/>
      <c r="PYF363" s="37"/>
      <c r="PYG363" s="38"/>
      <c r="PYH363" s="38"/>
      <c r="PYI363" s="39"/>
      <c r="PYJ363" s="34"/>
      <c r="PYK363" s="34"/>
      <c r="PYL363" s="34"/>
      <c r="PYM363" s="35"/>
      <c r="PYN363" s="35"/>
      <c r="PYO363" s="35"/>
      <c r="PYP363" s="35"/>
      <c r="PYQ363" s="35"/>
      <c r="PYR363" s="34"/>
      <c r="PYS363" s="34"/>
      <c r="PYT363" s="36"/>
      <c r="PYU363" s="36"/>
      <c r="PYV363" s="37"/>
      <c r="PYW363" s="37"/>
      <c r="PYX363" s="38"/>
      <c r="PYY363" s="38"/>
      <c r="PYZ363" s="39"/>
      <c r="PZA363" s="34"/>
      <c r="PZB363" s="34"/>
      <c r="PZC363" s="34"/>
      <c r="PZD363" s="35"/>
      <c r="PZE363" s="35"/>
      <c r="PZF363" s="35"/>
      <c r="PZG363" s="35"/>
      <c r="PZH363" s="35"/>
      <c r="PZI363" s="34"/>
      <c r="PZJ363" s="34"/>
      <c r="PZK363" s="36"/>
      <c r="PZL363" s="36"/>
      <c r="PZM363" s="37"/>
      <c r="PZN363" s="37"/>
      <c r="PZO363" s="38"/>
      <c r="PZP363" s="38"/>
      <c r="PZQ363" s="39"/>
      <c r="PZR363" s="34"/>
      <c r="PZS363" s="34"/>
      <c r="PZT363" s="34"/>
      <c r="PZU363" s="35"/>
      <c r="PZV363" s="35"/>
      <c r="PZW363" s="35"/>
      <c r="PZX363" s="35"/>
      <c r="PZY363" s="35"/>
      <c r="PZZ363" s="34"/>
      <c r="QAA363" s="34"/>
      <c r="QAB363" s="36"/>
      <c r="QAC363" s="36"/>
      <c r="QAD363" s="37"/>
      <c r="QAE363" s="37"/>
      <c r="QAF363" s="38"/>
      <c r="QAG363" s="38"/>
      <c r="QAH363" s="39"/>
      <c r="QAI363" s="34"/>
      <c r="QAJ363" s="34"/>
      <c r="QAK363" s="34"/>
      <c r="QAL363" s="35"/>
      <c r="QAM363" s="35"/>
      <c r="QAN363" s="35"/>
      <c r="QAO363" s="35"/>
      <c r="QAP363" s="35"/>
      <c r="QAQ363" s="34"/>
      <c r="QAR363" s="34"/>
      <c r="QAS363" s="36"/>
      <c r="QAT363" s="36"/>
      <c r="QAU363" s="37"/>
      <c r="QAV363" s="37"/>
      <c r="QAW363" s="38"/>
      <c r="QAX363" s="38"/>
      <c r="QAY363" s="39"/>
      <c r="QAZ363" s="34"/>
      <c r="QBA363" s="34"/>
      <c r="QBB363" s="34"/>
      <c r="QBC363" s="35"/>
      <c r="QBD363" s="35"/>
      <c r="QBE363" s="35"/>
      <c r="QBF363" s="35"/>
      <c r="QBG363" s="35"/>
      <c r="QBH363" s="34"/>
      <c r="QBI363" s="34"/>
      <c r="QBJ363" s="36"/>
      <c r="QBK363" s="36"/>
      <c r="QBL363" s="37"/>
      <c r="QBM363" s="37"/>
      <c r="QBN363" s="38"/>
      <c r="QBO363" s="38"/>
      <c r="QBP363" s="39"/>
      <c r="QBQ363" s="34"/>
      <c r="QBR363" s="34"/>
      <c r="QBS363" s="34"/>
      <c r="QBT363" s="35"/>
      <c r="QBU363" s="35"/>
      <c r="QBV363" s="35"/>
      <c r="QBW363" s="35"/>
      <c r="QBX363" s="35"/>
      <c r="QBY363" s="34"/>
      <c r="QBZ363" s="34"/>
      <c r="QCA363" s="36"/>
      <c r="QCB363" s="36"/>
      <c r="QCC363" s="37"/>
      <c r="QCD363" s="37"/>
      <c r="QCE363" s="38"/>
      <c r="QCF363" s="38"/>
      <c r="QCG363" s="39"/>
      <c r="QCH363" s="34"/>
      <c r="QCI363" s="34"/>
      <c r="QCJ363" s="34"/>
      <c r="QCK363" s="35"/>
      <c r="QCL363" s="35"/>
      <c r="QCM363" s="35"/>
      <c r="QCN363" s="35"/>
      <c r="QCO363" s="35"/>
      <c r="QCP363" s="34"/>
      <c r="QCQ363" s="34"/>
      <c r="QCR363" s="36"/>
      <c r="QCS363" s="36"/>
      <c r="QCT363" s="37"/>
      <c r="QCU363" s="37"/>
      <c r="QCV363" s="38"/>
      <c r="QCW363" s="38"/>
      <c r="QCX363" s="39"/>
      <c r="QCY363" s="34"/>
      <c r="QCZ363" s="34"/>
      <c r="QDA363" s="34"/>
      <c r="QDB363" s="35"/>
      <c r="QDC363" s="35"/>
      <c r="QDD363" s="35"/>
      <c r="QDE363" s="35"/>
      <c r="QDF363" s="35"/>
      <c r="QDG363" s="34"/>
      <c r="QDH363" s="34"/>
      <c r="QDI363" s="36"/>
      <c r="QDJ363" s="36"/>
      <c r="QDK363" s="37"/>
      <c r="QDL363" s="37"/>
      <c r="QDM363" s="38"/>
      <c r="QDN363" s="38"/>
      <c r="QDO363" s="39"/>
      <c r="QDP363" s="34"/>
      <c r="QDQ363" s="34"/>
      <c r="QDR363" s="34"/>
      <c r="QDS363" s="35"/>
      <c r="QDT363" s="35"/>
      <c r="QDU363" s="35"/>
      <c r="QDV363" s="35"/>
      <c r="QDW363" s="35"/>
      <c r="QDX363" s="34"/>
      <c r="QDY363" s="34"/>
      <c r="QDZ363" s="36"/>
      <c r="QEA363" s="36"/>
      <c r="QEB363" s="37"/>
      <c r="QEC363" s="37"/>
      <c r="QED363" s="38"/>
      <c r="QEE363" s="38"/>
      <c r="QEF363" s="39"/>
      <c r="QEG363" s="34"/>
      <c r="QEH363" s="34"/>
      <c r="QEI363" s="34"/>
      <c r="QEJ363" s="35"/>
      <c r="QEK363" s="35"/>
      <c r="QEL363" s="35"/>
      <c r="QEM363" s="35"/>
      <c r="QEN363" s="35"/>
      <c r="QEO363" s="34"/>
      <c r="QEP363" s="34"/>
      <c r="QEQ363" s="36"/>
      <c r="QER363" s="36"/>
      <c r="QES363" s="37"/>
      <c r="QET363" s="37"/>
      <c r="QEU363" s="38"/>
      <c r="QEV363" s="38"/>
      <c r="QEW363" s="39"/>
      <c r="QEX363" s="34"/>
      <c r="QEY363" s="34"/>
      <c r="QEZ363" s="34"/>
      <c r="QFA363" s="35"/>
      <c r="QFB363" s="35"/>
      <c r="QFC363" s="35"/>
      <c r="QFD363" s="35"/>
      <c r="QFE363" s="35"/>
      <c r="QFF363" s="34"/>
      <c r="QFG363" s="34"/>
      <c r="QFH363" s="36"/>
      <c r="QFI363" s="36"/>
      <c r="QFJ363" s="37"/>
      <c r="QFK363" s="37"/>
      <c r="QFL363" s="38"/>
      <c r="QFM363" s="38"/>
      <c r="QFN363" s="39"/>
      <c r="QFO363" s="34"/>
      <c r="QFP363" s="34"/>
      <c r="QFQ363" s="34"/>
      <c r="QFR363" s="35"/>
      <c r="QFS363" s="35"/>
      <c r="QFT363" s="35"/>
      <c r="QFU363" s="35"/>
      <c r="QFV363" s="35"/>
      <c r="QFW363" s="34"/>
      <c r="QFX363" s="34"/>
      <c r="QFY363" s="36"/>
      <c r="QFZ363" s="36"/>
      <c r="QGA363" s="37"/>
      <c r="QGB363" s="37"/>
      <c r="QGC363" s="38"/>
      <c r="QGD363" s="38"/>
      <c r="QGE363" s="39"/>
      <c r="QGF363" s="34"/>
      <c r="QGG363" s="34"/>
      <c r="QGH363" s="34"/>
      <c r="QGI363" s="35"/>
      <c r="QGJ363" s="35"/>
      <c r="QGK363" s="35"/>
      <c r="QGL363" s="35"/>
      <c r="QGM363" s="35"/>
      <c r="QGN363" s="34"/>
      <c r="QGO363" s="34"/>
      <c r="QGP363" s="36"/>
      <c r="QGQ363" s="36"/>
      <c r="QGR363" s="37"/>
      <c r="QGS363" s="37"/>
      <c r="QGT363" s="38"/>
      <c r="QGU363" s="38"/>
      <c r="QGV363" s="39"/>
      <c r="QGW363" s="34"/>
      <c r="QGX363" s="34"/>
      <c r="QGY363" s="34"/>
      <c r="QGZ363" s="35"/>
      <c r="QHA363" s="35"/>
      <c r="QHB363" s="35"/>
      <c r="QHC363" s="35"/>
      <c r="QHD363" s="35"/>
      <c r="QHE363" s="34"/>
      <c r="QHF363" s="34"/>
      <c r="QHG363" s="36"/>
      <c r="QHH363" s="36"/>
      <c r="QHI363" s="37"/>
      <c r="QHJ363" s="37"/>
      <c r="QHK363" s="38"/>
      <c r="QHL363" s="38"/>
      <c r="QHM363" s="39"/>
      <c r="QHN363" s="34"/>
      <c r="QHO363" s="34"/>
      <c r="QHP363" s="34"/>
      <c r="QHQ363" s="35"/>
      <c r="QHR363" s="35"/>
      <c r="QHS363" s="35"/>
      <c r="QHT363" s="35"/>
      <c r="QHU363" s="35"/>
      <c r="QHV363" s="34"/>
      <c r="QHW363" s="34"/>
      <c r="QHX363" s="36"/>
      <c r="QHY363" s="36"/>
      <c r="QHZ363" s="37"/>
      <c r="QIA363" s="37"/>
      <c r="QIB363" s="38"/>
      <c r="QIC363" s="38"/>
      <c r="QID363" s="39"/>
      <c r="QIE363" s="34"/>
      <c r="QIF363" s="34"/>
      <c r="QIG363" s="34"/>
      <c r="QIH363" s="35"/>
      <c r="QII363" s="35"/>
      <c r="QIJ363" s="35"/>
      <c r="QIK363" s="35"/>
      <c r="QIL363" s="35"/>
      <c r="QIM363" s="34"/>
      <c r="QIN363" s="34"/>
      <c r="QIO363" s="36"/>
      <c r="QIP363" s="36"/>
      <c r="QIQ363" s="37"/>
      <c r="QIR363" s="37"/>
      <c r="QIS363" s="38"/>
      <c r="QIT363" s="38"/>
      <c r="QIU363" s="39"/>
      <c r="QIV363" s="34"/>
      <c r="QIW363" s="34"/>
      <c r="QIX363" s="34"/>
      <c r="QIY363" s="35"/>
      <c r="QIZ363" s="35"/>
      <c r="QJA363" s="35"/>
      <c r="QJB363" s="35"/>
      <c r="QJC363" s="35"/>
      <c r="QJD363" s="34"/>
      <c r="QJE363" s="34"/>
      <c r="QJF363" s="36"/>
      <c r="QJG363" s="36"/>
      <c r="QJH363" s="37"/>
      <c r="QJI363" s="37"/>
      <c r="QJJ363" s="38"/>
      <c r="QJK363" s="38"/>
      <c r="QJL363" s="39"/>
      <c r="QJM363" s="34"/>
      <c r="QJN363" s="34"/>
      <c r="QJO363" s="34"/>
      <c r="QJP363" s="35"/>
      <c r="QJQ363" s="35"/>
      <c r="QJR363" s="35"/>
      <c r="QJS363" s="35"/>
      <c r="QJT363" s="35"/>
      <c r="QJU363" s="34"/>
      <c r="QJV363" s="34"/>
      <c r="QJW363" s="36"/>
      <c r="QJX363" s="36"/>
      <c r="QJY363" s="37"/>
      <c r="QJZ363" s="37"/>
      <c r="QKA363" s="38"/>
      <c r="QKB363" s="38"/>
      <c r="QKC363" s="39"/>
      <c r="QKD363" s="34"/>
      <c r="QKE363" s="34"/>
      <c r="QKF363" s="34"/>
      <c r="QKG363" s="35"/>
      <c r="QKH363" s="35"/>
      <c r="QKI363" s="35"/>
      <c r="QKJ363" s="35"/>
      <c r="QKK363" s="35"/>
      <c r="QKL363" s="34"/>
      <c r="QKM363" s="34"/>
      <c r="QKN363" s="36"/>
      <c r="QKO363" s="36"/>
      <c r="QKP363" s="37"/>
      <c r="QKQ363" s="37"/>
      <c r="QKR363" s="38"/>
      <c r="QKS363" s="38"/>
      <c r="QKT363" s="39"/>
      <c r="QKU363" s="34"/>
      <c r="QKV363" s="34"/>
      <c r="QKW363" s="34"/>
      <c r="QKX363" s="35"/>
      <c r="QKY363" s="35"/>
      <c r="QKZ363" s="35"/>
      <c r="QLA363" s="35"/>
      <c r="QLB363" s="35"/>
      <c r="QLC363" s="34"/>
      <c r="QLD363" s="34"/>
      <c r="QLE363" s="36"/>
      <c r="QLF363" s="36"/>
      <c r="QLG363" s="37"/>
      <c r="QLH363" s="37"/>
      <c r="QLI363" s="38"/>
      <c r="QLJ363" s="38"/>
      <c r="QLK363" s="39"/>
      <c r="QLL363" s="34"/>
      <c r="QLM363" s="34"/>
      <c r="QLN363" s="34"/>
      <c r="QLO363" s="35"/>
      <c r="QLP363" s="35"/>
      <c r="QLQ363" s="35"/>
      <c r="QLR363" s="35"/>
      <c r="QLS363" s="35"/>
      <c r="QLT363" s="34"/>
      <c r="QLU363" s="34"/>
      <c r="QLV363" s="36"/>
      <c r="QLW363" s="36"/>
      <c r="QLX363" s="37"/>
      <c r="QLY363" s="37"/>
      <c r="QLZ363" s="38"/>
      <c r="QMA363" s="38"/>
      <c r="QMB363" s="39"/>
      <c r="QMC363" s="34"/>
      <c r="QMD363" s="34"/>
      <c r="QME363" s="34"/>
      <c r="QMF363" s="35"/>
      <c r="QMG363" s="35"/>
      <c r="QMH363" s="35"/>
      <c r="QMI363" s="35"/>
      <c r="QMJ363" s="35"/>
      <c r="QMK363" s="34"/>
      <c r="QML363" s="34"/>
      <c r="QMM363" s="36"/>
      <c r="QMN363" s="36"/>
      <c r="QMO363" s="37"/>
      <c r="QMP363" s="37"/>
      <c r="QMQ363" s="38"/>
      <c r="QMR363" s="38"/>
      <c r="QMS363" s="39"/>
      <c r="QMT363" s="34"/>
      <c r="QMU363" s="34"/>
      <c r="QMV363" s="34"/>
      <c r="QMW363" s="35"/>
      <c r="QMX363" s="35"/>
      <c r="QMY363" s="35"/>
      <c r="QMZ363" s="35"/>
      <c r="QNA363" s="35"/>
      <c r="QNB363" s="34"/>
      <c r="QNC363" s="34"/>
      <c r="QND363" s="36"/>
      <c r="QNE363" s="36"/>
      <c r="QNF363" s="37"/>
      <c r="QNG363" s="37"/>
      <c r="QNH363" s="38"/>
      <c r="QNI363" s="38"/>
      <c r="QNJ363" s="39"/>
      <c r="QNK363" s="34"/>
      <c r="QNL363" s="34"/>
      <c r="QNM363" s="34"/>
      <c r="QNN363" s="35"/>
      <c r="QNO363" s="35"/>
      <c r="QNP363" s="35"/>
      <c r="QNQ363" s="35"/>
      <c r="QNR363" s="35"/>
      <c r="QNS363" s="34"/>
      <c r="QNT363" s="34"/>
      <c r="QNU363" s="36"/>
      <c r="QNV363" s="36"/>
      <c r="QNW363" s="37"/>
      <c r="QNX363" s="37"/>
      <c r="QNY363" s="38"/>
      <c r="QNZ363" s="38"/>
      <c r="QOA363" s="39"/>
      <c r="QOB363" s="34"/>
      <c r="QOC363" s="34"/>
      <c r="QOD363" s="34"/>
      <c r="QOE363" s="35"/>
      <c r="QOF363" s="35"/>
      <c r="QOG363" s="35"/>
      <c r="QOH363" s="35"/>
      <c r="QOI363" s="35"/>
      <c r="QOJ363" s="34"/>
      <c r="QOK363" s="34"/>
      <c r="QOL363" s="36"/>
      <c r="QOM363" s="36"/>
      <c r="QON363" s="37"/>
      <c r="QOO363" s="37"/>
      <c r="QOP363" s="38"/>
      <c r="QOQ363" s="38"/>
      <c r="QOR363" s="39"/>
      <c r="QOS363" s="34"/>
      <c r="QOT363" s="34"/>
      <c r="QOU363" s="34"/>
      <c r="QOV363" s="35"/>
      <c r="QOW363" s="35"/>
      <c r="QOX363" s="35"/>
      <c r="QOY363" s="35"/>
      <c r="QOZ363" s="35"/>
      <c r="QPA363" s="34"/>
      <c r="QPB363" s="34"/>
      <c r="QPC363" s="36"/>
      <c r="QPD363" s="36"/>
      <c r="QPE363" s="37"/>
      <c r="QPF363" s="37"/>
      <c r="QPG363" s="38"/>
      <c r="QPH363" s="38"/>
      <c r="QPI363" s="39"/>
      <c r="QPJ363" s="34"/>
      <c r="QPK363" s="34"/>
      <c r="QPL363" s="34"/>
      <c r="QPM363" s="35"/>
      <c r="QPN363" s="35"/>
      <c r="QPO363" s="35"/>
      <c r="QPP363" s="35"/>
      <c r="QPQ363" s="35"/>
      <c r="QPR363" s="34"/>
      <c r="QPS363" s="34"/>
      <c r="QPT363" s="36"/>
      <c r="QPU363" s="36"/>
      <c r="QPV363" s="37"/>
      <c r="QPW363" s="37"/>
      <c r="QPX363" s="38"/>
      <c r="QPY363" s="38"/>
      <c r="QPZ363" s="39"/>
      <c r="QQA363" s="34"/>
      <c r="QQB363" s="34"/>
      <c r="QQC363" s="34"/>
      <c r="QQD363" s="35"/>
      <c r="QQE363" s="35"/>
      <c r="QQF363" s="35"/>
      <c r="QQG363" s="35"/>
      <c r="QQH363" s="35"/>
      <c r="QQI363" s="34"/>
      <c r="QQJ363" s="34"/>
      <c r="QQK363" s="36"/>
      <c r="QQL363" s="36"/>
      <c r="QQM363" s="37"/>
      <c r="QQN363" s="37"/>
      <c r="QQO363" s="38"/>
      <c r="QQP363" s="38"/>
      <c r="QQQ363" s="39"/>
      <c r="QQR363" s="34"/>
      <c r="QQS363" s="34"/>
      <c r="QQT363" s="34"/>
      <c r="QQU363" s="35"/>
      <c r="QQV363" s="35"/>
      <c r="QQW363" s="35"/>
      <c r="QQX363" s="35"/>
      <c r="QQY363" s="35"/>
      <c r="QQZ363" s="34"/>
      <c r="QRA363" s="34"/>
      <c r="QRB363" s="36"/>
      <c r="QRC363" s="36"/>
      <c r="QRD363" s="37"/>
      <c r="QRE363" s="37"/>
      <c r="QRF363" s="38"/>
      <c r="QRG363" s="38"/>
      <c r="QRH363" s="39"/>
      <c r="QRI363" s="34"/>
      <c r="QRJ363" s="34"/>
      <c r="QRK363" s="34"/>
      <c r="QRL363" s="35"/>
      <c r="QRM363" s="35"/>
      <c r="QRN363" s="35"/>
      <c r="QRO363" s="35"/>
      <c r="QRP363" s="35"/>
      <c r="QRQ363" s="34"/>
      <c r="QRR363" s="34"/>
      <c r="QRS363" s="36"/>
      <c r="QRT363" s="36"/>
      <c r="QRU363" s="37"/>
      <c r="QRV363" s="37"/>
      <c r="QRW363" s="38"/>
      <c r="QRX363" s="38"/>
      <c r="QRY363" s="39"/>
      <c r="QRZ363" s="34"/>
      <c r="QSA363" s="34"/>
      <c r="QSB363" s="34"/>
      <c r="QSC363" s="35"/>
      <c r="QSD363" s="35"/>
      <c r="QSE363" s="35"/>
      <c r="QSF363" s="35"/>
      <c r="QSG363" s="35"/>
      <c r="QSH363" s="34"/>
      <c r="QSI363" s="34"/>
      <c r="QSJ363" s="36"/>
      <c r="QSK363" s="36"/>
      <c r="QSL363" s="37"/>
      <c r="QSM363" s="37"/>
      <c r="QSN363" s="38"/>
      <c r="QSO363" s="38"/>
      <c r="QSP363" s="39"/>
      <c r="QSQ363" s="34"/>
      <c r="QSR363" s="34"/>
      <c r="QSS363" s="34"/>
      <c r="QST363" s="35"/>
      <c r="QSU363" s="35"/>
      <c r="QSV363" s="35"/>
      <c r="QSW363" s="35"/>
      <c r="QSX363" s="35"/>
      <c r="QSY363" s="34"/>
      <c r="QSZ363" s="34"/>
      <c r="QTA363" s="36"/>
      <c r="QTB363" s="36"/>
      <c r="QTC363" s="37"/>
      <c r="QTD363" s="37"/>
      <c r="QTE363" s="38"/>
      <c r="QTF363" s="38"/>
      <c r="QTG363" s="39"/>
      <c r="QTH363" s="34"/>
      <c r="QTI363" s="34"/>
      <c r="QTJ363" s="34"/>
      <c r="QTK363" s="35"/>
      <c r="QTL363" s="35"/>
      <c r="QTM363" s="35"/>
      <c r="QTN363" s="35"/>
      <c r="QTO363" s="35"/>
      <c r="QTP363" s="34"/>
      <c r="QTQ363" s="34"/>
      <c r="QTR363" s="36"/>
      <c r="QTS363" s="36"/>
      <c r="QTT363" s="37"/>
      <c r="QTU363" s="37"/>
      <c r="QTV363" s="38"/>
      <c r="QTW363" s="38"/>
      <c r="QTX363" s="39"/>
      <c r="QTY363" s="34"/>
      <c r="QTZ363" s="34"/>
      <c r="QUA363" s="34"/>
      <c r="QUB363" s="35"/>
      <c r="QUC363" s="35"/>
      <c r="QUD363" s="35"/>
      <c r="QUE363" s="35"/>
      <c r="QUF363" s="35"/>
      <c r="QUG363" s="34"/>
      <c r="QUH363" s="34"/>
      <c r="QUI363" s="36"/>
      <c r="QUJ363" s="36"/>
      <c r="QUK363" s="37"/>
      <c r="QUL363" s="37"/>
      <c r="QUM363" s="38"/>
      <c r="QUN363" s="38"/>
      <c r="QUO363" s="39"/>
      <c r="QUP363" s="34"/>
      <c r="QUQ363" s="34"/>
      <c r="QUR363" s="34"/>
      <c r="QUS363" s="35"/>
      <c r="QUT363" s="35"/>
      <c r="QUU363" s="35"/>
      <c r="QUV363" s="35"/>
      <c r="QUW363" s="35"/>
      <c r="QUX363" s="34"/>
      <c r="QUY363" s="34"/>
      <c r="QUZ363" s="36"/>
      <c r="QVA363" s="36"/>
      <c r="QVB363" s="37"/>
      <c r="QVC363" s="37"/>
      <c r="QVD363" s="38"/>
      <c r="QVE363" s="38"/>
      <c r="QVF363" s="39"/>
      <c r="QVG363" s="34"/>
      <c r="QVH363" s="34"/>
      <c r="QVI363" s="34"/>
      <c r="QVJ363" s="35"/>
      <c r="QVK363" s="35"/>
      <c r="QVL363" s="35"/>
      <c r="QVM363" s="35"/>
      <c r="QVN363" s="35"/>
      <c r="QVO363" s="34"/>
      <c r="QVP363" s="34"/>
      <c r="QVQ363" s="36"/>
      <c r="QVR363" s="36"/>
      <c r="QVS363" s="37"/>
      <c r="QVT363" s="37"/>
      <c r="QVU363" s="38"/>
      <c r="QVV363" s="38"/>
      <c r="QVW363" s="39"/>
      <c r="QVX363" s="34"/>
      <c r="QVY363" s="34"/>
      <c r="QVZ363" s="34"/>
      <c r="QWA363" s="35"/>
      <c r="QWB363" s="35"/>
      <c r="QWC363" s="35"/>
      <c r="QWD363" s="35"/>
      <c r="QWE363" s="35"/>
      <c r="QWF363" s="34"/>
      <c r="QWG363" s="34"/>
      <c r="QWH363" s="36"/>
      <c r="QWI363" s="36"/>
      <c r="QWJ363" s="37"/>
      <c r="QWK363" s="37"/>
      <c r="QWL363" s="38"/>
      <c r="QWM363" s="38"/>
      <c r="QWN363" s="39"/>
      <c r="QWO363" s="34"/>
      <c r="QWP363" s="34"/>
      <c r="QWQ363" s="34"/>
      <c r="QWR363" s="35"/>
      <c r="QWS363" s="35"/>
      <c r="QWT363" s="35"/>
      <c r="QWU363" s="35"/>
      <c r="QWV363" s="35"/>
      <c r="QWW363" s="34"/>
      <c r="QWX363" s="34"/>
      <c r="QWY363" s="36"/>
      <c r="QWZ363" s="36"/>
      <c r="QXA363" s="37"/>
      <c r="QXB363" s="37"/>
      <c r="QXC363" s="38"/>
      <c r="QXD363" s="38"/>
      <c r="QXE363" s="39"/>
      <c r="QXF363" s="34"/>
      <c r="QXG363" s="34"/>
      <c r="QXH363" s="34"/>
      <c r="QXI363" s="35"/>
      <c r="QXJ363" s="35"/>
      <c r="QXK363" s="35"/>
      <c r="QXL363" s="35"/>
      <c r="QXM363" s="35"/>
      <c r="QXN363" s="34"/>
      <c r="QXO363" s="34"/>
      <c r="QXP363" s="36"/>
      <c r="QXQ363" s="36"/>
      <c r="QXR363" s="37"/>
      <c r="QXS363" s="37"/>
      <c r="QXT363" s="38"/>
      <c r="QXU363" s="38"/>
      <c r="QXV363" s="39"/>
      <c r="QXW363" s="34"/>
      <c r="QXX363" s="34"/>
      <c r="QXY363" s="34"/>
      <c r="QXZ363" s="35"/>
      <c r="QYA363" s="35"/>
      <c r="QYB363" s="35"/>
      <c r="QYC363" s="35"/>
      <c r="QYD363" s="35"/>
      <c r="QYE363" s="34"/>
      <c r="QYF363" s="34"/>
      <c r="QYG363" s="36"/>
      <c r="QYH363" s="36"/>
      <c r="QYI363" s="37"/>
      <c r="QYJ363" s="37"/>
      <c r="QYK363" s="38"/>
      <c r="QYL363" s="38"/>
      <c r="QYM363" s="39"/>
      <c r="QYN363" s="34"/>
      <c r="QYO363" s="34"/>
      <c r="QYP363" s="34"/>
      <c r="QYQ363" s="35"/>
      <c r="QYR363" s="35"/>
      <c r="QYS363" s="35"/>
      <c r="QYT363" s="35"/>
      <c r="QYU363" s="35"/>
      <c r="QYV363" s="34"/>
      <c r="QYW363" s="34"/>
      <c r="QYX363" s="36"/>
      <c r="QYY363" s="36"/>
      <c r="QYZ363" s="37"/>
      <c r="QZA363" s="37"/>
      <c r="QZB363" s="38"/>
      <c r="QZC363" s="38"/>
      <c r="QZD363" s="39"/>
      <c r="QZE363" s="34"/>
      <c r="QZF363" s="34"/>
      <c r="QZG363" s="34"/>
      <c r="QZH363" s="35"/>
      <c r="QZI363" s="35"/>
      <c r="QZJ363" s="35"/>
      <c r="QZK363" s="35"/>
      <c r="QZL363" s="35"/>
      <c r="QZM363" s="34"/>
      <c r="QZN363" s="34"/>
      <c r="QZO363" s="36"/>
      <c r="QZP363" s="36"/>
      <c r="QZQ363" s="37"/>
      <c r="QZR363" s="37"/>
      <c r="QZS363" s="38"/>
      <c r="QZT363" s="38"/>
      <c r="QZU363" s="39"/>
      <c r="QZV363" s="34"/>
      <c r="QZW363" s="34"/>
      <c r="QZX363" s="34"/>
      <c r="QZY363" s="35"/>
      <c r="QZZ363" s="35"/>
      <c r="RAA363" s="35"/>
      <c r="RAB363" s="35"/>
      <c r="RAC363" s="35"/>
      <c r="RAD363" s="34"/>
      <c r="RAE363" s="34"/>
      <c r="RAF363" s="36"/>
      <c r="RAG363" s="36"/>
      <c r="RAH363" s="37"/>
      <c r="RAI363" s="37"/>
      <c r="RAJ363" s="38"/>
      <c r="RAK363" s="38"/>
      <c r="RAL363" s="39"/>
      <c r="RAM363" s="34"/>
      <c r="RAN363" s="34"/>
      <c r="RAO363" s="34"/>
      <c r="RAP363" s="35"/>
      <c r="RAQ363" s="35"/>
      <c r="RAR363" s="35"/>
      <c r="RAS363" s="35"/>
      <c r="RAT363" s="35"/>
      <c r="RAU363" s="34"/>
      <c r="RAV363" s="34"/>
      <c r="RAW363" s="36"/>
      <c r="RAX363" s="36"/>
      <c r="RAY363" s="37"/>
      <c r="RAZ363" s="37"/>
      <c r="RBA363" s="38"/>
      <c r="RBB363" s="38"/>
      <c r="RBC363" s="39"/>
      <c r="RBD363" s="34"/>
      <c r="RBE363" s="34"/>
      <c r="RBF363" s="34"/>
      <c r="RBG363" s="35"/>
      <c r="RBH363" s="35"/>
      <c r="RBI363" s="35"/>
      <c r="RBJ363" s="35"/>
      <c r="RBK363" s="35"/>
      <c r="RBL363" s="34"/>
      <c r="RBM363" s="34"/>
      <c r="RBN363" s="36"/>
      <c r="RBO363" s="36"/>
      <c r="RBP363" s="37"/>
      <c r="RBQ363" s="37"/>
      <c r="RBR363" s="38"/>
      <c r="RBS363" s="38"/>
      <c r="RBT363" s="39"/>
      <c r="RBU363" s="34"/>
      <c r="RBV363" s="34"/>
      <c r="RBW363" s="34"/>
      <c r="RBX363" s="35"/>
      <c r="RBY363" s="35"/>
      <c r="RBZ363" s="35"/>
      <c r="RCA363" s="35"/>
      <c r="RCB363" s="35"/>
      <c r="RCC363" s="34"/>
      <c r="RCD363" s="34"/>
      <c r="RCE363" s="36"/>
      <c r="RCF363" s="36"/>
      <c r="RCG363" s="37"/>
      <c r="RCH363" s="37"/>
      <c r="RCI363" s="38"/>
      <c r="RCJ363" s="38"/>
      <c r="RCK363" s="39"/>
      <c r="RCL363" s="34"/>
      <c r="RCM363" s="34"/>
      <c r="RCN363" s="34"/>
      <c r="RCO363" s="35"/>
      <c r="RCP363" s="35"/>
      <c r="RCQ363" s="35"/>
      <c r="RCR363" s="35"/>
      <c r="RCS363" s="35"/>
      <c r="RCT363" s="34"/>
      <c r="RCU363" s="34"/>
      <c r="RCV363" s="36"/>
      <c r="RCW363" s="36"/>
      <c r="RCX363" s="37"/>
      <c r="RCY363" s="37"/>
      <c r="RCZ363" s="38"/>
      <c r="RDA363" s="38"/>
      <c r="RDB363" s="39"/>
      <c r="RDC363" s="34"/>
      <c r="RDD363" s="34"/>
      <c r="RDE363" s="34"/>
      <c r="RDF363" s="35"/>
      <c r="RDG363" s="35"/>
      <c r="RDH363" s="35"/>
      <c r="RDI363" s="35"/>
      <c r="RDJ363" s="35"/>
      <c r="RDK363" s="34"/>
      <c r="RDL363" s="34"/>
      <c r="RDM363" s="36"/>
      <c r="RDN363" s="36"/>
      <c r="RDO363" s="37"/>
      <c r="RDP363" s="37"/>
      <c r="RDQ363" s="38"/>
      <c r="RDR363" s="38"/>
      <c r="RDS363" s="39"/>
      <c r="RDT363" s="34"/>
      <c r="RDU363" s="34"/>
      <c r="RDV363" s="34"/>
      <c r="RDW363" s="35"/>
      <c r="RDX363" s="35"/>
      <c r="RDY363" s="35"/>
      <c r="RDZ363" s="35"/>
      <c r="REA363" s="35"/>
      <c r="REB363" s="34"/>
      <c r="REC363" s="34"/>
      <c r="RED363" s="36"/>
      <c r="REE363" s="36"/>
      <c r="REF363" s="37"/>
      <c r="REG363" s="37"/>
      <c r="REH363" s="38"/>
      <c r="REI363" s="38"/>
      <c r="REJ363" s="39"/>
      <c r="REK363" s="34"/>
      <c r="REL363" s="34"/>
      <c r="REM363" s="34"/>
      <c r="REN363" s="35"/>
      <c r="REO363" s="35"/>
      <c r="REP363" s="35"/>
      <c r="REQ363" s="35"/>
      <c r="RER363" s="35"/>
      <c r="RES363" s="34"/>
      <c r="RET363" s="34"/>
      <c r="REU363" s="36"/>
      <c r="REV363" s="36"/>
      <c r="REW363" s="37"/>
      <c r="REX363" s="37"/>
      <c r="REY363" s="38"/>
      <c r="REZ363" s="38"/>
      <c r="RFA363" s="39"/>
      <c r="RFB363" s="34"/>
      <c r="RFC363" s="34"/>
      <c r="RFD363" s="34"/>
      <c r="RFE363" s="35"/>
      <c r="RFF363" s="35"/>
      <c r="RFG363" s="35"/>
      <c r="RFH363" s="35"/>
      <c r="RFI363" s="35"/>
      <c r="RFJ363" s="34"/>
      <c r="RFK363" s="34"/>
      <c r="RFL363" s="36"/>
      <c r="RFM363" s="36"/>
      <c r="RFN363" s="37"/>
      <c r="RFO363" s="37"/>
      <c r="RFP363" s="38"/>
      <c r="RFQ363" s="38"/>
      <c r="RFR363" s="39"/>
      <c r="RFS363" s="34"/>
      <c r="RFT363" s="34"/>
      <c r="RFU363" s="34"/>
      <c r="RFV363" s="35"/>
      <c r="RFW363" s="35"/>
      <c r="RFX363" s="35"/>
      <c r="RFY363" s="35"/>
      <c r="RFZ363" s="35"/>
      <c r="RGA363" s="34"/>
      <c r="RGB363" s="34"/>
      <c r="RGC363" s="36"/>
      <c r="RGD363" s="36"/>
      <c r="RGE363" s="37"/>
      <c r="RGF363" s="37"/>
      <c r="RGG363" s="38"/>
      <c r="RGH363" s="38"/>
      <c r="RGI363" s="39"/>
      <c r="RGJ363" s="34"/>
      <c r="RGK363" s="34"/>
      <c r="RGL363" s="34"/>
      <c r="RGM363" s="35"/>
      <c r="RGN363" s="35"/>
      <c r="RGO363" s="35"/>
      <c r="RGP363" s="35"/>
      <c r="RGQ363" s="35"/>
      <c r="RGR363" s="34"/>
      <c r="RGS363" s="34"/>
      <c r="RGT363" s="36"/>
      <c r="RGU363" s="36"/>
      <c r="RGV363" s="37"/>
      <c r="RGW363" s="37"/>
      <c r="RGX363" s="38"/>
      <c r="RGY363" s="38"/>
      <c r="RGZ363" s="39"/>
      <c r="RHA363" s="34"/>
      <c r="RHB363" s="34"/>
      <c r="RHC363" s="34"/>
      <c r="RHD363" s="35"/>
      <c r="RHE363" s="35"/>
      <c r="RHF363" s="35"/>
      <c r="RHG363" s="35"/>
      <c r="RHH363" s="35"/>
      <c r="RHI363" s="34"/>
      <c r="RHJ363" s="34"/>
      <c r="RHK363" s="36"/>
      <c r="RHL363" s="36"/>
      <c r="RHM363" s="37"/>
      <c r="RHN363" s="37"/>
      <c r="RHO363" s="38"/>
      <c r="RHP363" s="38"/>
      <c r="RHQ363" s="39"/>
      <c r="RHR363" s="34"/>
      <c r="RHS363" s="34"/>
      <c r="RHT363" s="34"/>
      <c r="RHU363" s="35"/>
      <c r="RHV363" s="35"/>
      <c r="RHW363" s="35"/>
      <c r="RHX363" s="35"/>
      <c r="RHY363" s="35"/>
      <c r="RHZ363" s="34"/>
      <c r="RIA363" s="34"/>
      <c r="RIB363" s="36"/>
      <c r="RIC363" s="36"/>
      <c r="RID363" s="37"/>
      <c r="RIE363" s="37"/>
      <c r="RIF363" s="38"/>
      <c r="RIG363" s="38"/>
      <c r="RIH363" s="39"/>
      <c r="RII363" s="34"/>
      <c r="RIJ363" s="34"/>
      <c r="RIK363" s="34"/>
      <c r="RIL363" s="35"/>
      <c r="RIM363" s="35"/>
      <c r="RIN363" s="35"/>
      <c r="RIO363" s="35"/>
      <c r="RIP363" s="35"/>
      <c r="RIQ363" s="34"/>
      <c r="RIR363" s="34"/>
      <c r="RIS363" s="36"/>
      <c r="RIT363" s="36"/>
      <c r="RIU363" s="37"/>
      <c r="RIV363" s="37"/>
      <c r="RIW363" s="38"/>
      <c r="RIX363" s="38"/>
      <c r="RIY363" s="39"/>
      <c r="RIZ363" s="34"/>
      <c r="RJA363" s="34"/>
      <c r="RJB363" s="34"/>
      <c r="RJC363" s="35"/>
      <c r="RJD363" s="35"/>
      <c r="RJE363" s="35"/>
      <c r="RJF363" s="35"/>
      <c r="RJG363" s="35"/>
      <c r="RJH363" s="34"/>
      <c r="RJI363" s="34"/>
      <c r="RJJ363" s="36"/>
      <c r="RJK363" s="36"/>
      <c r="RJL363" s="37"/>
      <c r="RJM363" s="37"/>
      <c r="RJN363" s="38"/>
      <c r="RJO363" s="38"/>
      <c r="RJP363" s="39"/>
      <c r="RJQ363" s="34"/>
      <c r="RJR363" s="34"/>
      <c r="RJS363" s="34"/>
      <c r="RJT363" s="35"/>
      <c r="RJU363" s="35"/>
      <c r="RJV363" s="35"/>
      <c r="RJW363" s="35"/>
      <c r="RJX363" s="35"/>
      <c r="RJY363" s="34"/>
      <c r="RJZ363" s="34"/>
      <c r="RKA363" s="36"/>
      <c r="RKB363" s="36"/>
      <c r="RKC363" s="37"/>
      <c r="RKD363" s="37"/>
      <c r="RKE363" s="38"/>
      <c r="RKF363" s="38"/>
      <c r="RKG363" s="39"/>
      <c r="RKH363" s="34"/>
      <c r="RKI363" s="34"/>
      <c r="RKJ363" s="34"/>
      <c r="RKK363" s="35"/>
      <c r="RKL363" s="35"/>
      <c r="RKM363" s="35"/>
      <c r="RKN363" s="35"/>
      <c r="RKO363" s="35"/>
      <c r="RKP363" s="34"/>
      <c r="RKQ363" s="34"/>
      <c r="RKR363" s="36"/>
      <c r="RKS363" s="36"/>
      <c r="RKT363" s="37"/>
      <c r="RKU363" s="37"/>
      <c r="RKV363" s="38"/>
      <c r="RKW363" s="38"/>
      <c r="RKX363" s="39"/>
      <c r="RKY363" s="34"/>
      <c r="RKZ363" s="34"/>
      <c r="RLA363" s="34"/>
      <c r="RLB363" s="35"/>
      <c r="RLC363" s="35"/>
      <c r="RLD363" s="35"/>
      <c r="RLE363" s="35"/>
      <c r="RLF363" s="35"/>
      <c r="RLG363" s="34"/>
      <c r="RLH363" s="34"/>
      <c r="RLI363" s="36"/>
      <c r="RLJ363" s="36"/>
      <c r="RLK363" s="37"/>
      <c r="RLL363" s="37"/>
      <c r="RLM363" s="38"/>
      <c r="RLN363" s="38"/>
      <c r="RLO363" s="39"/>
      <c r="RLP363" s="34"/>
      <c r="RLQ363" s="34"/>
      <c r="RLR363" s="34"/>
      <c r="RLS363" s="35"/>
      <c r="RLT363" s="35"/>
      <c r="RLU363" s="35"/>
      <c r="RLV363" s="35"/>
      <c r="RLW363" s="35"/>
      <c r="RLX363" s="34"/>
      <c r="RLY363" s="34"/>
      <c r="RLZ363" s="36"/>
      <c r="RMA363" s="36"/>
      <c r="RMB363" s="37"/>
      <c r="RMC363" s="37"/>
      <c r="RMD363" s="38"/>
      <c r="RME363" s="38"/>
      <c r="RMF363" s="39"/>
      <c r="RMG363" s="34"/>
      <c r="RMH363" s="34"/>
      <c r="RMI363" s="34"/>
      <c r="RMJ363" s="35"/>
      <c r="RMK363" s="35"/>
      <c r="RML363" s="35"/>
      <c r="RMM363" s="35"/>
      <c r="RMN363" s="35"/>
      <c r="RMO363" s="34"/>
      <c r="RMP363" s="34"/>
      <c r="RMQ363" s="36"/>
      <c r="RMR363" s="36"/>
      <c r="RMS363" s="37"/>
      <c r="RMT363" s="37"/>
      <c r="RMU363" s="38"/>
      <c r="RMV363" s="38"/>
      <c r="RMW363" s="39"/>
      <c r="RMX363" s="34"/>
      <c r="RMY363" s="34"/>
      <c r="RMZ363" s="34"/>
      <c r="RNA363" s="35"/>
      <c r="RNB363" s="35"/>
      <c r="RNC363" s="35"/>
      <c r="RND363" s="35"/>
      <c r="RNE363" s="35"/>
      <c r="RNF363" s="34"/>
      <c r="RNG363" s="34"/>
      <c r="RNH363" s="36"/>
      <c r="RNI363" s="36"/>
      <c r="RNJ363" s="37"/>
      <c r="RNK363" s="37"/>
      <c r="RNL363" s="38"/>
      <c r="RNM363" s="38"/>
      <c r="RNN363" s="39"/>
      <c r="RNO363" s="34"/>
      <c r="RNP363" s="34"/>
      <c r="RNQ363" s="34"/>
      <c r="RNR363" s="35"/>
      <c r="RNS363" s="35"/>
      <c r="RNT363" s="35"/>
      <c r="RNU363" s="35"/>
      <c r="RNV363" s="35"/>
      <c r="RNW363" s="34"/>
      <c r="RNX363" s="34"/>
      <c r="RNY363" s="36"/>
      <c r="RNZ363" s="36"/>
      <c r="ROA363" s="37"/>
      <c r="ROB363" s="37"/>
      <c r="ROC363" s="38"/>
      <c r="ROD363" s="38"/>
      <c r="ROE363" s="39"/>
      <c r="ROF363" s="34"/>
      <c r="ROG363" s="34"/>
      <c r="ROH363" s="34"/>
      <c r="ROI363" s="35"/>
      <c r="ROJ363" s="35"/>
      <c r="ROK363" s="35"/>
      <c r="ROL363" s="35"/>
      <c r="ROM363" s="35"/>
      <c r="RON363" s="34"/>
      <c r="ROO363" s="34"/>
      <c r="ROP363" s="36"/>
      <c r="ROQ363" s="36"/>
      <c r="ROR363" s="37"/>
      <c r="ROS363" s="37"/>
      <c r="ROT363" s="38"/>
      <c r="ROU363" s="38"/>
      <c r="ROV363" s="39"/>
      <c r="ROW363" s="34"/>
      <c r="ROX363" s="34"/>
      <c r="ROY363" s="34"/>
      <c r="ROZ363" s="35"/>
      <c r="RPA363" s="35"/>
      <c r="RPB363" s="35"/>
      <c r="RPC363" s="35"/>
      <c r="RPD363" s="35"/>
      <c r="RPE363" s="34"/>
      <c r="RPF363" s="34"/>
      <c r="RPG363" s="36"/>
      <c r="RPH363" s="36"/>
      <c r="RPI363" s="37"/>
      <c r="RPJ363" s="37"/>
      <c r="RPK363" s="38"/>
      <c r="RPL363" s="38"/>
      <c r="RPM363" s="39"/>
      <c r="RPN363" s="34"/>
      <c r="RPO363" s="34"/>
      <c r="RPP363" s="34"/>
      <c r="RPQ363" s="35"/>
      <c r="RPR363" s="35"/>
      <c r="RPS363" s="35"/>
      <c r="RPT363" s="35"/>
      <c r="RPU363" s="35"/>
      <c r="RPV363" s="34"/>
      <c r="RPW363" s="34"/>
      <c r="RPX363" s="36"/>
      <c r="RPY363" s="36"/>
      <c r="RPZ363" s="37"/>
      <c r="RQA363" s="37"/>
      <c r="RQB363" s="38"/>
      <c r="RQC363" s="38"/>
      <c r="RQD363" s="39"/>
      <c r="RQE363" s="34"/>
      <c r="RQF363" s="34"/>
      <c r="RQG363" s="34"/>
      <c r="RQH363" s="35"/>
      <c r="RQI363" s="35"/>
      <c r="RQJ363" s="35"/>
      <c r="RQK363" s="35"/>
      <c r="RQL363" s="35"/>
      <c r="RQM363" s="34"/>
      <c r="RQN363" s="34"/>
      <c r="RQO363" s="36"/>
      <c r="RQP363" s="36"/>
      <c r="RQQ363" s="37"/>
      <c r="RQR363" s="37"/>
      <c r="RQS363" s="38"/>
      <c r="RQT363" s="38"/>
      <c r="RQU363" s="39"/>
      <c r="RQV363" s="34"/>
      <c r="RQW363" s="34"/>
      <c r="RQX363" s="34"/>
      <c r="RQY363" s="35"/>
      <c r="RQZ363" s="35"/>
      <c r="RRA363" s="35"/>
      <c r="RRB363" s="35"/>
      <c r="RRC363" s="35"/>
      <c r="RRD363" s="34"/>
      <c r="RRE363" s="34"/>
      <c r="RRF363" s="36"/>
      <c r="RRG363" s="36"/>
      <c r="RRH363" s="37"/>
      <c r="RRI363" s="37"/>
      <c r="RRJ363" s="38"/>
      <c r="RRK363" s="38"/>
      <c r="RRL363" s="39"/>
      <c r="RRM363" s="34"/>
      <c r="RRN363" s="34"/>
      <c r="RRO363" s="34"/>
      <c r="RRP363" s="35"/>
      <c r="RRQ363" s="35"/>
      <c r="RRR363" s="35"/>
      <c r="RRS363" s="35"/>
      <c r="RRT363" s="35"/>
      <c r="RRU363" s="34"/>
      <c r="RRV363" s="34"/>
      <c r="RRW363" s="36"/>
      <c r="RRX363" s="36"/>
      <c r="RRY363" s="37"/>
      <c r="RRZ363" s="37"/>
      <c r="RSA363" s="38"/>
      <c r="RSB363" s="38"/>
      <c r="RSC363" s="39"/>
      <c r="RSD363" s="34"/>
      <c r="RSE363" s="34"/>
      <c r="RSF363" s="34"/>
      <c r="RSG363" s="35"/>
      <c r="RSH363" s="35"/>
      <c r="RSI363" s="35"/>
      <c r="RSJ363" s="35"/>
      <c r="RSK363" s="35"/>
      <c r="RSL363" s="34"/>
      <c r="RSM363" s="34"/>
      <c r="RSN363" s="36"/>
      <c r="RSO363" s="36"/>
      <c r="RSP363" s="37"/>
      <c r="RSQ363" s="37"/>
      <c r="RSR363" s="38"/>
      <c r="RSS363" s="38"/>
      <c r="RST363" s="39"/>
      <c r="RSU363" s="34"/>
      <c r="RSV363" s="34"/>
      <c r="RSW363" s="34"/>
      <c r="RSX363" s="35"/>
      <c r="RSY363" s="35"/>
      <c r="RSZ363" s="35"/>
      <c r="RTA363" s="35"/>
      <c r="RTB363" s="35"/>
      <c r="RTC363" s="34"/>
      <c r="RTD363" s="34"/>
      <c r="RTE363" s="36"/>
      <c r="RTF363" s="36"/>
      <c r="RTG363" s="37"/>
      <c r="RTH363" s="37"/>
      <c r="RTI363" s="38"/>
      <c r="RTJ363" s="38"/>
      <c r="RTK363" s="39"/>
      <c r="RTL363" s="34"/>
      <c r="RTM363" s="34"/>
      <c r="RTN363" s="34"/>
      <c r="RTO363" s="35"/>
      <c r="RTP363" s="35"/>
      <c r="RTQ363" s="35"/>
      <c r="RTR363" s="35"/>
      <c r="RTS363" s="35"/>
      <c r="RTT363" s="34"/>
      <c r="RTU363" s="34"/>
      <c r="RTV363" s="36"/>
      <c r="RTW363" s="36"/>
      <c r="RTX363" s="37"/>
      <c r="RTY363" s="37"/>
      <c r="RTZ363" s="38"/>
      <c r="RUA363" s="38"/>
      <c r="RUB363" s="39"/>
      <c r="RUC363" s="34"/>
      <c r="RUD363" s="34"/>
      <c r="RUE363" s="34"/>
      <c r="RUF363" s="35"/>
      <c r="RUG363" s="35"/>
      <c r="RUH363" s="35"/>
      <c r="RUI363" s="35"/>
      <c r="RUJ363" s="35"/>
      <c r="RUK363" s="34"/>
      <c r="RUL363" s="34"/>
      <c r="RUM363" s="36"/>
      <c r="RUN363" s="36"/>
      <c r="RUO363" s="37"/>
      <c r="RUP363" s="37"/>
      <c r="RUQ363" s="38"/>
      <c r="RUR363" s="38"/>
      <c r="RUS363" s="39"/>
      <c r="RUT363" s="34"/>
      <c r="RUU363" s="34"/>
      <c r="RUV363" s="34"/>
      <c r="RUW363" s="35"/>
      <c r="RUX363" s="35"/>
      <c r="RUY363" s="35"/>
      <c r="RUZ363" s="35"/>
      <c r="RVA363" s="35"/>
      <c r="RVB363" s="34"/>
      <c r="RVC363" s="34"/>
      <c r="RVD363" s="36"/>
      <c r="RVE363" s="36"/>
      <c r="RVF363" s="37"/>
      <c r="RVG363" s="37"/>
      <c r="RVH363" s="38"/>
      <c r="RVI363" s="38"/>
      <c r="RVJ363" s="39"/>
      <c r="RVK363" s="34"/>
      <c r="RVL363" s="34"/>
      <c r="RVM363" s="34"/>
      <c r="RVN363" s="35"/>
      <c r="RVO363" s="35"/>
      <c r="RVP363" s="35"/>
      <c r="RVQ363" s="35"/>
      <c r="RVR363" s="35"/>
      <c r="RVS363" s="34"/>
      <c r="RVT363" s="34"/>
      <c r="RVU363" s="36"/>
      <c r="RVV363" s="36"/>
      <c r="RVW363" s="37"/>
      <c r="RVX363" s="37"/>
      <c r="RVY363" s="38"/>
      <c r="RVZ363" s="38"/>
      <c r="RWA363" s="39"/>
      <c r="RWB363" s="34"/>
      <c r="RWC363" s="34"/>
      <c r="RWD363" s="34"/>
      <c r="RWE363" s="35"/>
      <c r="RWF363" s="35"/>
      <c r="RWG363" s="35"/>
      <c r="RWH363" s="35"/>
      <c r="RWI363" s="35"/>
      <c r="RWJ363" s="34"/>
      <c r="RWK363" s="34"/>
      <c r="RWL363" s="36"/>
      <c r="RWM363" s="36"/>
      <c r="RWN363" s="37"/>
      <c r="RWO363" s="37"/>
      <c r="RWP363" s="38"/>
      <c r="RWQ363" s="38"/>
      <c r="RWR363" s="39"/>
      <c r="RWS363" s="34"/>
      <c r="RWT363" s="34"/>
      <c r="RWU363" s="34"/>
      <c r="RWV363" s="35"/>
      <c r="RWW363" s="35"/>
      <c r="RWX363" s="35"/>
      <c r="RWY363" s="35"/>
      <c r="RWZ363" s="35"/>
      <c r="RXA363" s="34"/>
      <c r="RXB363" s="34"/>
      <c r="RXC363" s="36"/>
      <c r="RXD363" s="36"/>
      <c r="RXE363" s="37"/>
      <c r="RXF363" s="37"/>
      <c r="RXG363" s="38"/>
      <c r="RXH363" s="38"/>
      <c r="RXI363" s="39"/>
      <c r="RXJ363" s="34"/>
      <c r="RXK363" s="34"/>
      <c r="RXL363" s="34"/>
      <c r="RXM363" s="35"/>
      <c r="RXN363" s="35"/>
      <c r="RXO363" s="35"/>
      <c r="RXP363" s="35"/>
      <c r="RXQ363" s="35"/>
      <c r="RXR363" s="34"/>
      <c r="RXS363" s="34"/>
      <c r="RXT363" s="36"/>
      <c r="RXU363" s="36"/>
      <c r="RXV363" s="37"/>
      <c r="RXW363" s="37"/>
      <c r="RXX363" s="38"/>
      <c r="RXY363" s="38"/>
      <c r="RXZ363" s="39"/>
      <c r="RYA363" s="34"/>
      <c r="RYB363" s="34"/>
      <c r="RYC363" s="34"/>
      <c r="RYD363" s="35"/>
      <c r="RYE363" s="35"/>
      <c r="RYF363" s="35"/>
      <c r="RYG363" s="35"/>
      <c r="RYH363" s="35"/>
      <c r="RYI363" s="34"/>
      <c r="RYJ363" s="34"/>
      <c r="RYK363" s="36"/>
      <c r="RYL363" s="36"/>
      <c r="RYM363" s="37"/>
      <c r="RYN363" s="37"/>
      <c r="RYO363" s="38"/>
      <c r="RYP363" s="38"/>
      <c r="RYQ363" s="39"/>
      <c r="RYR363" s="34"/>
      <c r="RYS363" s="34"/>
      <c r="RYT363" s="34"/>
      <c r="RYU363" s="35"/>
      <c r="RYV363" s="35"/>
      <c r="RYW363" s="35"/>
      <c r="RYX363" s="35"/>
      <c r="RYY363" s="35"/>
      <c r="RYZ363" s="34"/>
      <c r="RZA363" s="34"/>
      <c r="RZB363" s="36"/>
      <c r="RZC363" s="36"/>
      <c r="RZD363" s="37"/>
      <c r="RZE363" s="37"/>
      <c r="RZF363" s="38"/>
      <c r="RZG363" s="38"/>
      <c r="RZH363" s="39"/>
      <c r="RZI363" s="34"/>
      <c r="RZJ363" s="34"/>
      <c r="RZK363" s="34"/>
      <c r="RZL363" s="35"/>
      <c r="RZM363" s="35"/>
      <c r="RZN363" s="35"/>
      <c r="RZO363" s="35"/>
      <c r="RZP363" s="35"/>
      <c r="RZQ363" s="34"/>
      <c r="RZR363" s="34"/>
      <c r="RZS363" s="36"/>
      <c r="RZT363" s="36"/>
      <c r="RZU363" s="37"/>
      <c r="RZV363" s="37"/>
      <c r="RZW363" s="38"/>
      <c r="RZX363" s="38"/>
      <c r="RZY363" s="39"/>
      <c r="RZZ363" s="34"/>
      <c r="SAA363" s="34"/>
      <c r="SAB363" s="34"/>
      <c r="SAC363" s="35"/>
      <c r="SAD363" s="35"/>
      <c r="SAE363" s="35"/>
      <c r="SAF363" s="35"/>
      <c r="SAG363" s="35"/>
      <c r="SAH363" s="34"/>
      <c r="SAI363" s="34"/>
      <c r="SAJ363" s="36"/>
      <c r="SAK363" s="36"/>
      <c r="SAL363" s="37"/>
      <c r="SAM363" s="37"/>
      <c r="SAN363" s="38"/>
      <c r="SAO363" s="38"/>
      <c r="SAP363" s="39"/>
      <c r="SAQ363" s="34"/>
      <c r="SAR363" s="34"/>
      <c r="SAS363" s="34"/>
      <c r="SAT363" s="35"/>
      <c r="SAU363" s="35"/>
      <c r="SAV363" s="35"/>
      <c r="SAW363" s="35"/>
      <c r="SAX363" s="35"/>
      <c r="SAY363" s="34"/>
      <c r="SAZ363" s="34"/>
      <c r="SBA363" s="36"/>
      <c r="SBB363" s="36"/>
      <c r="SBC363" s="37"/>
      <c r="SBD363" s="37"/>
      <c r="SBE363" s="38"/>
      <c r="SBF363" s="38"/>
      <c r="SBG363" s="39"/>
      <c r="SBH363" s="34"/>
      <c r="SBI363" s="34"/>
      <c r="SBJ363" s="34"/>
      <c r="SBK363" s="35"/>
      <c r="SBL363" s="35"/>
      <c r="SBM363" s="35"/>
      <c r="SBN363" s="35"/>
      <c r="SBO363" s="35"/>
      <c r="SBP363" s="34"/>
      <c r="SBQ363" s="34"/>
      <c r="SBR363" s="36"/>
      <c r="SBS363" s="36"/>
      <c r="SBT363" s="37"/>
      <c r="SBU363" s="37"/>
      <c r="SBV363" s="38"/>
      <c r="SBW363" s="38"/>
      <c r="SBX363" s="39"/>
      <c r="SBY363" s="34"/>
      <c r="SBZ363" s="34"/>
      <c r="SCA363" s="34"/>
      <c r="SCB363" s="35"/>
      <c r="SCC363" s="35"/>
      <c r="SCD363" s="35"/>
      <c r="SCE363" s="35"/>
      <c r="SCF363" s="35"/>
      <c r="SCG363" s="34"/>
      <c r="SCH363" s="34"/>
      <c r="SCI363" s="36"/>
      <c r="SCJ363" s="36"/>
      <c r="SCK363" s="37"/>
      <c r="SCL363" s="37"/>
      <c r="SCM363" s="38"/>
      <c r="SCN363" s="38"/>
      <c r="SCO363" s="39"/>
      <c r="SCP363" s="34"/>
      <c r="SCQ363" s="34"/>
      <c r="SCR363" s="34"/>
      <c r="SCS363" s="35"/>
      <c r="SCT363" s="35"/>
      <c r="SCU363" s="35"/>
      <c r="SCV363" s="35"/>
      <c r="SCW363" s="35"/>
      <c r="SCX363" s="34"/>
      <c r="SCY363" s="34"/>
      <c r="SCZ363" s="36"/>
      <c r="SDA363" s="36"/>
      <c r="SDB363" s="37"/>
      <c r="SDC363" s="37"/>
      <c r="SDD363" s="38"/>
      <c r="SDE363" s="38"/>
      <c r="SDF363" s="39"/>
      <c r="SDG363" s="34"/>
      <c r="SDH363" s="34"/>
      <c r="SDI363" s="34"/>
      <c r="SDJ363" s="35"/>
      <c r="SDK363" s="35"/>
      <c r="SDL363" s="35"/>
      <c r="SDM363" s="35"/>
      <c r="SDN363" s="35"/>
      <c r="SDO363" s="34"/>
      <c r="SDP363" s="34"/>
      <c r="SDQ363" s="36"/>
      <c r="SDR363" s="36"/>
      <c r="SDS363" s="37"/>
      <c r="SDT363" s="37"/>
      <c r="SDU363" s="38"/>
      <c r="SDV363" s="38"/>
      <c r="SDW363" s="39"/>
      <c r="SDX363" s="34"/>
      <c r="SDY363" s="34"/>
      <c r="SDZ363" s="34"/>
      <c r="SEA363" s="35"/>
      <c r="SEB363" s="35"/>
      <c r="SEC363" s="35"/>
      <c r="SED363" s="35"/>
      <c r="SEE363" s="35"/>
      <c r="SEF363" s="34"/>
      <c r="SEG363" s="34"/>
      <c r="SEH363" s="36"/>
      <c r="SEI363" s="36"/>
      <c r="SEJ363" s="37"/>
      <c r="SEK363" s="37"/>
      <c r="SEL363" s="38"/>
      <c r="SEM363" s="38"/>
      <c r="SEN363" s="39"/>
      <c r="SEO363" s="34"/>
      <c r="SEP363" s="34"/>
      <c r="SEQ363" s="34"/>
      <c r="SER363" s="35"/>
      <c r="SES363" s="35"/>
      <c r="SET363" s="35"/>
      <c r="SEU363" s="35"/>
      <c r="SEV363" s="35"/>
      <c r="SEW363" s="34"/>
      <c r="SEX363" s="34"/>
      <c r="SEY363" s="36"/>
      <c r="SEZ363" s="36"/>
      <c r="SFA363" s="37"/>
      <c r="SFB363" s="37"/>
      <c r="SFC363" s="38"/>
      <c r="SFD363" s="38"/>
      <c r="SFE363" s="39"/>
      <c r="SFF363" s="34"/>
      <c r="SFG363" s="34"/>
      <c r="SFH363" s="34"/>
      <c r="SFI363" s="35"/>
      <c r="SFJ363" s="35"/>
      <c r="SFK363" s="35"/>
      <c r="SFL363" s="35"/>
      <c r="SFM363" s="35"/>
      <c r="SFN363" s="34"/>
      <c r="SFO363" s="34"/>
      <c r="SFP363" s="36"/>
      <c r="SFQ363" s="36"/>
      <c r="SFR363" s="37"/>
      <c r="SFS363" s="37"/>
      <c r="SFT363" s="38"/>
      <c r="SFU363" s="38"/>
      <c r="SFV363" s="39"/>
      <c r="SFW363" s="34"/>
      <c r="SFX363" s="34"/>
      <c r="SFY363" s="34"/>
      <c r="SFZ363" s="35"/>
      <c r="SGA363" s="35"/>
      <c r="SGB363" s="35"/>
      <c r="SGC363" s="35"/>
      <c r="SGD363" s="35"/>
      <c r="SGE363" s="34"/>
      <c r="SGF363" s="34"/>
      <c r="SGG363" s="36"/>
      <c r="SGH363" s="36"/>
      <c r="SGI363" s="37"/>
      <c r="SGJ363" s="37"/>
      <c r="SGK363" s="38"/>
      <c r="SGL363" s="38"/>
      <c r="SGM363" s="39"/>
      <c r="SGN363" s="34"/>
      <c r="SGO363" s="34"/>
      <c r="SGP363" s="34"/>
      <c r="SGQ363" s="35"/>
      <c r="SGR363" s="35"/>
      <c r="SGS363" s="35"/>
      <c r="SGT363" s="35"/>
      <c r="SGU363" s="35"/>
      <c r="SGV363" s="34"/>
      <c r="SGW363" s="34"/>
      <c r="SGX363" s="36"/>
      <c r="SGY363" s="36"/>
      <c r="SGZ363" s="37"/>
      <c r="SHA363" s="37"/>
      <c r="SHB363" s="38"/>
      <c r="SHC363" s="38"/>
      <c r="SHD363" s="39"/>
      <c r="SHE363" s="34"/>
      <c r="SHF363" s="34"/>
      <c r="SHG363" s="34"/>
      <c r="SHH363" s="35"/>
      <c r="SHI363" s="35"/>
      <c r="SHJ363" s="35"/>
      <c r="SHK363" s="35"/>
      <c r="SHL363" s="35"/>
      <c r="SHM363" s="34"/>
      <c r="SHN363" s="34"/>
      <c r="SHO363" s="36"/>
      <c r="SHP363" s="36"/>
      <c r="SHQ363" s="37"/>
      <c r="SHR363" s="37"/>
      <c r="SHS363" s="38"/>
      <c r="SHT363" s="38"/>
      <c r="SHU363" s="39"/>
      <c r="SHV363" s="34"/>
      <c r="SHW363" s="34"/>
      <c r="SHX363" s="34"/>
      <c r="SHY363" s="35"/>
      <c r="SHZ363" s="35"/>
      <c r="SIA363" s="35"/>
      <c r="SIB363" s="35"/>
      <c r="SIC363" s="35"/>
      <c r="SID363" s="34"/>
      <c r="SIE363" s="34"/>
      <c r="SIF363" s="36"/>
      <c r="SIG363" s="36"/>
      <c r="SIH363" s="37"/>
      <c r="SII363" s="37"/>
      <c r="SIJ363" s="38"/>
      <c r="SIK363" s="38"/>
      <c r="SIL363" s="39"/>
      <c r="SIM363" s="34"/>
      <c r="SIN363" s="34"/>
      <c r="SIO363" s="34"/>
      <c r="SIP363" s="35"/>
      <c r="SIQ363" s="35"/>
      <c r="SIR363" s="35"/>
      <c r="SIS363" s="35"/>
      <c r="SIT363" s="35"/>
      <c r="SIU363" s="34"/>
      <c r="SIV363" s="34"/>
      <c r="SIW363" s="36"/>
      <c r="SIX363" s="36"/>
      <c r="SIY363" s="37"/>
      <c r="SIZ363" s="37"/>
      <c r="SJA363" s="38"/>
      <c r="SJB363" s="38"/>
      <c r="SJC363" s="39"/>
      <c r="SJD363" s="34"/>
      <c r="SJE363" s="34"/>
      <c r="SJF363" s="34"/>
      <c r="SJG363" s="35"/>
      <c r="SJH363" s="35"/>
      <c r="SJI363" s="35"/>
      <c r="SJJ363" s="35"/>
      <c r="SJK363" s="35"/>
      <c r="SJL363" s="34"/>
      <c r="SJM363" s="34"/>
      <c r="SJN363" s="36"/>
      <c r="SJO363" s="36"/>
      <c r="SJP363" s="37"/>
      <c r="SJQ363" s="37"/>
      <c r="SJR363" s="38"/>
      <c r="SJS363" s="38"/>
      <c r="SJT363" s="39"/>
      <c r="SJU363" s="34"/>
      <c r="SJV363" s="34"/>
      <c r="SJW363" s="34"/>
      <c r="SJX363" s="35"/>
      <c r="SJY363" s="35"/>
      <c r="SJZ363" s="35"/>
      <c r="SKA363" s="35"/>
      <c r="SKB363" s="35"/>
      <c r="SKC363" s="34"/>
      <c r="SKD363" s="34"/>
      <c r="SKE363" s="36"/>
      <c r="SKF363" s="36"/>
      <c r="SKG363" s="37"/>
      <c r="SKH363" s="37"/>
      <c r="SKI363" s="38"/>
      <c r="SKJ363" s="38"/>
      <c r="SKK363" s="39"/>
      <c r="SKL363" s="34"/>
      <c r="SKM363" s="34"/>
      <c r="SKN363" s="34"/>
      <c r="SKO363" s="35"/>
      <c r="SKP363" s="35"/>
      <c r="SKQ363" s="35"/>
      <c r="SKR363" s="35"/>
      <c r="SKS363" s="35"/>
      <c r="SKT363" s="34"/>
      <c r="SKU363" s="34"/>
      <c r="SKV363" s="36"/>
      <c r="SKW363" s="36"/>
      <c r="SKX363" s="37"/>
      <c r="SKY363" s="37"/>
      <c r="SKZ363" s="38"/>
      <c r="SLA363" s="38"/>
      <c r="SLB363" s="39"/>
      <c r="SLC363" s="34"/>
      <c r="SLD363" s="34"/>
      <c r="SLE363" s="34"/>
      <c r="SLF363" s="35"/>
      <c r="SLG363" s="35"/>
      <c r="SLH363" s="35"/>
      <c r="SLI363" s="35"/>
      <c r="SLJ363" s="35"/>
      <c r="SLK363" s="34"/>
      <c r="SLL363" s="34"/>
      <c r="SLM363" s="36"/>
      <c r="SLN363" s="36"/>
      <c r="SLO363" s="37"/>
      <c r="SLP363" s="37"/>
      <c r="SLQ363" s="38"/>
      <c r="SLR363" s="38"/>
      <c r="SLS363" s="39"/>
      <c r="SLT363" s="34"/>
      <c r="SLU363" s="34"/>
      <c r="SLV363" s="34"/>
      <c r="SLW363" s="35"/>
      <c r="SLX363" s="35"/>
      <c r="SLY363" s="35"/>
      <c r="SLZ363" s="35"/>
      <c r="SMA363" s="35"/>
      <c r="SMB363" s="34"/>
      <c r="SMC363" s="34"/>
      <c r="SMD363" s="36"/>
      <c r="SME363" s="36"/>
      <c r="SMF363" s="37"/>
      <c r="SMG363" s="37"/>
      <c r="SMH363" s="38"/>
      <c r="SMI363" s="38"/>
      <c r="SMJ363" s="39"/>
      <c r="SMK363" s="34"/>
      <c r="SML363" s="34"/>
      <c r="SMM363" s="34"/>
      <c r="SMN363" s="35"/>
      <c r="SMO363" s="35"/>
      <c r="SMP363" s="35"/>
      <c r="SMQ363" s="35"/>
      <c r="SMR363" s="35"/>
      <c r="SMS363" s="34"/>
      <c r="SMT363" s="34"/>
      <c r="SMU363" s="36"/>
      <c r="SMV363" s="36"/>
      <c r="SMW363" s="37"/>
      <c r="SMX363" s="37"/>
      <c r="SMY363" s="38"/>
      <c r="SMZ363" s="38"/>
      <c r="SNA363" s="39"/>
      <c r="SNB363" s="34"/>
      <c r="SNC363" s="34"/>
      <c r="SND363" s="34"/>
      <c r="SNE363" s="35"/>
      <c r="SNF363" s="35"/>
      <c r="SNG363" s="35"/>
      <c r="SNH363" s="35"/>
      <c r="SNI363" s="35"/>
      <c r="SNJ363" s="34"/>
      <c r="SNK363" s="34"/>
      <c r="SNL363" s="36"/>
      <c r="SNM363" s="36"/>
      <c r="SNN363" s="37"/>
      <c r="SNO363" s="37"/>
      <c r="SNP363" s="38"/>
      <c r="SNQ363" s="38"/>
      <c r="SNR363" s="39"/>
      <c r="SNS363" s="34"/>
      <c r="SNT363" s="34"/>
      <c r="SNU363" s="34"/>
      <c r="SNV363" s="35"/>
      <c r="SNW363" s="35"/>
      <c r="SNX363" s="35"/>
      <c r="SNY363" s="35"/>
      <c r="SNZ363" s="35"/>
      <c r="SOA363" s="34"/>
      <c r="SOB363" s="34"/>
      <c r="SOC363" s="36"/>
      <c r="SOD363" s="36"/>
      <c r="SOE363" s="37"/>
      <c r="SOF363" s="37"/>
      <c r="SOG363" s="38"/>
      <c r="SOH363" s="38"/>
      <c r="SOI363" s="39"/>
      <c r="SOJ363" s="34"/>
      <c r="SOK363" s="34"/>
      <c r="SOL363" s="34"/>
      <c r="SOM363" s="35"/>
      <c r="SON363" s="35"/>
      <c r="SOO363" s="35"/>
      <c r="SOP363" s="35"/>
      <c r="SOQ363" s="35"/>
      <c r="SOR363" s="34"/>
      <c r="SOS363" s="34"/>
      <c r="SOT363" s="36"/>
      <c r="SOU363" s="36"/>
      <c r="SOV363" s="37"/>
      <c r="SOW363" s="37"/>
      <c r="SOX363" s="38"/>
      <c r="SOY363" s="38"/>
      <c r="SOZ363" s="39"/>
      <c r="SPA363" s="34"/>
      <c r="SPB363" s="34"/>
      <c r="SPC363" s="34"/>
      <c r="SPD363" s="35"/>
      <c r="SPE363" s="35"/>
      <c r="SPF363" s="35"/>
      <c r="SPG363" s="35"/>
      <c r="SPH363" s="35"/>
      <c r="SPI363" s="34"/>
      <c r="SPJ363" s="34"/>
      <c r="SPK363" s="36"/>
      <c r="SPL363" s="36"/>
      <c r="SPM363" s="37"/>
      <c r="SPN363" s="37"/>
      <c r="SPO363" s="38"/>
      <c r="SPP363" s="38"/>
      <c r="SPQ363" s="39"/>
      <c r="SPR363" s="34"/>
      <c r="SPS363" s="34"/>
      <c r="SPT363" s="34"/>
      <c r="SPU363" s="35"/>
      <c r="SPV363" s="35"/>
      <c r="SPW363" s="35"/>
      <c r="SPX363" s="35"/>
      <c r="SPY363" s="35"/>
      <c r="SPZ363" s="34"/>
      <c r="SQA363" s="34"/>
      <c r="SQB363" s="36"/>
      <c r="SQC363" s="36"/>
      <c r="SQD363" s="37"/>
      <c r="SQE363" s="37"/>
      <c r="SQF363" s="38"/>
      <c r="SQG363" s="38"/>
      <c r="SQH363" s="39"/>
      <c r="SQI363" s="34"/>
      <c r="SQJ363" s="34"/>
      <c r="SQK363" s="34"/>
      <c r="SQL363" s="35"/>
      <c r="SQM363" s="35"/>
      <c r="SQN363" s="35"/>
      <c r="SQO363" s="35"/>
      <c r="SQP363" s="35"/>
      <c r="SQQ363" s="34"/>
      <c r="SQR363" s="34"/>
      <c r="SQS363" s="36"/>
      <c r="SQT363" s="36"/>
      <c r="SQU363" s="37"/>
      <c r="SQV363" s="37"/>
      <c r="SQW363" s="38"/>
      <c r="SQX363" s="38"/>
      <c r="SQY363" s="39"/>
      <c r="SQZ363" s="34"/>
      <c r="SRA363" s="34"/>
      <c r="SRB363" s="34"/>
      <c r="SRC363" s="35"/>
      <c r="SRD363" s="35"/>
      <c r="SRE363" s="35"/>
      <c r="SRF363" s="35"/>
      <c r="SRG363" s="35"/>
      <c r="SRH363" s="34"/>
      <c r="SRI363" s="34"/>
      <c r="SRJ363" s="36"/>
      <c r="SRK363" s="36"/>
      <c r="SRL363" s="37"/>
      <c r="SRM363" s="37"/>
      <c r="SRN363" s="38"/>
      <c r="SRO363" s="38"/>
      <c r="SRP363" s="39"/>
      <c r="SRQ363" s="34"/>
      <c r="SRR363" s="34"/>
      <c r="SRS363" s="34"/>
      <c r="SRT363" s="35"/>
      <c r="SRU363" s="35"/>
      <c r="SRV363" s="35"/>
      <c r="SRW363" s="35"/>
      <c r="SRX363" s="35"/>
      <c r="SRY363" s="34"/>
      <c r="SRZ363" s="34"/>
      <c r="SSA363" s="36"/>
      <c r="SSB363" s="36"/>
      <c r="SSC363" s="37"/>
      <c r="SSD363" s="37"/>
      <c r="SSE363" s="38"/>
      <c r="SSF363" s="38"/>
      <c r="SSG363" s="39"/>
      <c r="SSH363" s="34"/>
      <c r="SSI363" s="34"/>
      <c r="SSJ363" s="34"/>
      <c r="SSK363" s="35"/>
      <c r="SSL363" s="35"/>
      <c r="SSM363" s="35"/>
      <c r="SSN363" s="35"/>
      <c r="SSO363" s="35"/>
      <c r="SSP363" s="34"/>
      <c r="SSQ363" s="34"/>
      <c r="SSR363" s="36"/>
      <c r="SSS363" s="36"/>
      <c r="SST363" s="37"/>
      <c r="SSU363" s="37"/>
      <c r="SSV363" s="38"/>
      <c r="SSW363" s="38"/>
      <c r="SSX363" s="39"/>
      <c r="SSY363" s="34"/>
      <c r="SSZ363" s="34"/>
      <c r="STA363" s="34"/>
      <c r="STB363" s="35"/>
      <c r="STC363" s="35"/>
      <c r="STD363" s="35"/>
      <c r="STE363" s="35"/>
      <c r="STF363" s="35"/>
      <c r="STG363" s="34"/>
      <c r="STH363" s="34"/>
      <c r="STI363" s="36"/>
      <c r="STJ363" s="36"/>
      <c r="STK363" s="37"/>
      <c r="STL363" s="37"/>
      <c r="STM363" s="38"/>
      <c r="STN363" s="38"/>
      <c r="STO363" s="39"/>
      <c r="STP363" s="34"/>
      <c r="STQ363" s="34"/>
      <c r="STR363" s="34"/>
      <c r="STS363" s="35"/>
      <c r="STT363" s="35"/>
      <c r="STU363" s="35"/>
      <c r="STV363" s="35"/>
      <c r="STW363" s="35"/>
      <c r="STX363" s="34"/>
      <c r="STY363" s="34"/>
      <c r="STZ363" s="36"/>
      <c r="SUA363" s="36"/>
      <c r="SUB363" s="37"/>
      <c r="SUC363" s="37"/>
      <c r="SUD363" s="38"/>
      <c r="SUE363" s="38"/>
      <c r="SUF363" s="39"/>
      <c r="SUG363" s="34"/>
      <c r="SUH363" s="34"/>
      <c r="SUI363" s="34"/>
      <c r="SUJ363" s="35"/>
      <c r="SUK363" s="35"/>
      <c r="SUL363" s="35"/>
      <c r="SUM363" s="35"/>
      <c r="SUN363" s="35"/>
      <c r="SUO363" s="34"/>
      <c r="SUP363" s="34"/>
      <c r="SUQ363" s="36"/>
      <c r="SUR363" s="36"/>
      <c r="SUS363" s="37"/>
      <c r="SUT363" s="37"/>
      <c r="SUU363" s="38"/>
      <c r="SUV363" s="38"/>
      <c r="SUW363" s="39"/>
      <c r="SUX363" s="34"/>
      <c r="SUY363" s="34"/>
      <c r="SUZ363" s="34"/>
      <c r="SVA363" s="35"/>
      <c r="SVB363" s="35"/>
      <c r="SVC363" s="35"/>
      <c r="SVD363" s="35"/>
      <c r="SVE363" s="35"/>
      <c r="SVF363" s="34"/>
      <c r="SVG363" s="34"/>
      <c r="SVH363" s="36"/>
      <c r="SVI363" s="36"/>
      <c r="SVJ363" s="37"/>
      <c r="SVK363" s="37"/>
      <c r="SVL363" s="38"/>
      <c r="SVM363" s="38"/>
      <c r="SVN363" s="39"/>
      <c r="SVO363" s="34"/>
      <c r="SVP363" s="34"/>
      <c r="SVQ363" s="34"/>
      <c r="SVR363" s="35"/>
      <c r="SVS363" s="35"/>
      <c r="SVT363" s="35"/>
      <c r="SVU363" s="35"/>
      <c r="SVV363" s="35"/>
      <c r="SVW363" s="34"/>
      <c r="SVX363" s="34"/>
      <c r="SVY363" s="36"/>
      <c r="SVZ363" s="36"/>
      <c r="SWA363" s="37"/>
      <c r="SWB363" s="37"/>
      <c r="SWC363" s="38"/>
      <c r="SWD363" s="38"/>
      <c r="SWE363" s="39"/>
      <c r="SWF363" s="34"/>
      <c r="SWG363" s="34"/>
      <c r="SWH363" s="34"/>
      <c r="SWI363" s="35"/>
      <c r="SWJ363" s="35"/>
      <c r="SWK363" s="35"/>
      <c r="SWL363" s="35"/>
      <c r="SWM363" s="35"/>
      <c r="SWN363" s="34"/>
      <c r="SWO363" s="34"/>
      <c r="SWP363" s="36"/>
      <c r="SWQ363" s="36"/>
      <c r="SWR363" s="37"/>
      <c r="SWS363" s="37"/>
      <c r="SWT363" s="38"/>
      <c r="SWU363" s="38"/>
      <c r="SWV363" s="39"/>
      <c r="SWW363" s="34"/>
      <c r="SWX363" s="34"/>
      <c r="SWY363" s="34"/>
      <c r="SWZ363" s="35"/>
      <c r="SXA363" s="35"/>
      <c r="SXB363" s="35"/>
      <c r="SXC363" s="35"/>
      <c r="SXD363" s="35"/>
      <c r="SXE363" s="34"/>
      <c r="SXF363" s="34"/>
      <c r="SXG363" s="36"/>
      <c r="SXH363" s="36"/>
      <c r="SXI363" s="37"/>
      <c r="SXJ363" s="37"/>
      <c r="SXK363" s="38"/>
      <c r="SXL363" s="38"/>
      <c r="SXM363" s="39"/>
      <c r="SXN363" s="34"/>
      <c r="SXO363" s="34"/>
      <c r="SXP363" s="34"/>
      <c r="SXQ363" s="35"/>
      <c r="SXR363" s="35"/>
      <c r="SXS363" s="35"/>
      <c r="SXT363" s="35"/>
      <c r="SXU363" s="35"/>
      <c r="SXV363" s="34"/>
      <c r="SXW363" s="34"/>
      <c r="SXX363" s="36"/>
      <c r="SXY363" s="36"/>
      <c r="SXZ363" s="37"/>
      <c r="SYA363" s="37"/>
      <c r="SYB363" s="38"/>
      <c r="SYC363" s="38"/>
      <c r="SYD363" s="39"/>
      <c r="SYE363" s="34"/>
      <c r="SYF363" s="34"/>
      <c r="SYG363" s="34"/>
      <c r="SYH363" s="35"/>
      <c r="SYI363" s="35"/>
      <c r="SYJ363" s="35"/>
      <c r="SYK363" s="35"/>
      <c r="SYL363" s="35"/>
      <c r="SYM363" s="34"/>
      <c r="SYN363" s="34"/>
      <c r="SYO363" s="36"/>
      <c r="SYP363" s="36"/>
      <c r="SYQ363" s="37"/>
      <c r="SYR363" s="37"/>
      <c r="SYS363" s="38"/>
      <c r="SYT363" s="38"/>
      <c r="SYU363" s="39"/>
      <c r="SYV363" s="34"/>
      <c r="SYW363" s="34"/>
      <c r="SYX363" s="34"/>
      <c r="SYY363" s="35"/>
      <c r="SYZ363" s="35"/>
      <c r="SZA363" s="35"/>
      <c r="SZB363" s="35"/>
      <c r="SZC363" s="35"/>
      <c r="SZD363" s="34"/>
      <c r="SZE363" s="34"/>
      <c r="SZF363" s="36"/>
      <c r="SZG363" s="36"/>
      <c r="SZH363" s="37"/>
      <c r="SZI363" s="37"/>
      <c r="SZJ363" s="38"/>
      <c r="SZK363" s="38"/>
      <c r="SZL363" s="39"/>
      <c r="SZM363" s="34"/>
      <c r="SZN363" s="34"/>
      <c r="SZO363" s="34"/>
      <c r="SZP363" s="35"/>
      <c r="SZQ363" s="35"/>
      <c r="SZR363" s="35"/>
      <c r="SZS363" s="35"/>
      <c r="SZT363" s="35"/>
      <c r="SZU363" s="34"/>
      <c r="SZV363" s="34"/>
      <c r="SZW363" s="36"/>
      <c r="SZX363" s="36"/>
      <c r="SZY363" s="37"/>
      <c r="SZZ363" s="37"/>
      <c r="TAA363" s="38"/>
      <c r="TAB363" s="38"/>
      <c r="TAC363" s="39"/>
      <c r="TAD363" s="34"/>
      <c r="TAE363" s="34"/>
      <c r="TAF363" s="34"/>
      <c r="TAG363" s="35"/>
      <c r="TAH363" s="35"/>
      <c r="TAI363" s="35"/>
      <c r="TAJ363" s="35"/>
      <c r="TAK363" s="35"/>
      <c r="TAL363" s="34"/>
      <c r="TAM363" s="34"/>
      <c r="TAN363" s="36"/>
      <c r="TAO363" s="36"/>
      <c r="TAP363" s="37"/>
      <c r="TAQ363" s="37"/>
      <c r="TAR363" s="38"/>
      <c r="TAS363" s="38"/>
      <c r="TAT363" s="39"/>
      <c r="TAU363" s="34"/>
      <c r="TAV363" s="34"/>
      <c r="TAW363" s="34"/>
      <c r="TAX363" s="35"/>
      <c r="TAY363" s="35"/>
      <c r="TAZ363" s="35"/>
      <c r="TBA363" s="35"/>
      <c r="TBB363" s="35"/>
      <c r="TBC363" s="34"/>
      <c r="TBD363" s="34"/>
      <c r="TBE363" s="36"/>
      <c r="TBF363" s="36"/>
      <c r="TBG363" s="37"/>
      <c r="TBH363" s="37"/>
      <c r="TBI363" s="38"/>
      <c r="TBJ363" s="38"/>
      <c r="TBK363" s="39"/>
      <c r="TBL363" s="34"/>
      <c r="TBM363" s="34"/>
      <c r="TBN363" s="34"/>
      <c r="TBO363" s="35"/>
      <c r="TBP363" s="35"/>
      <c r="TBQ363" s="35"/>
      <c r="TBR363" s="35"/>
      <c r="TBS363" s="35"/>
      <c r="TBT363" s="34"/>
      <c r="TBU363" s="34"/>
      <c r="TBV363" s="36"/>
      <c r="TBW363" s="36"/>
      <c r="TBX363" s="37"/>
      <c r="TBY363" s="37"/>
      <c r="TBZ363" s="38"/>
      <c r="TCA363" s="38"/>
      <c r="TCB363" s="39"/>
      <c r="TCC363" s="34"/>
      <c r="TCD363" s="34"/>
      <c r="TCE363" s="34"/>
      <c r="TCF363" s="35"/>
      <c r="TCG363" s="35"/>
      <c r="TCH363" s="35"/>
      <c r="TCI363" s="35"/>
      <c r="TCJ363" s="35"/>
      <c r="TCK363" s="34"/>
      <c r="TCL363" s="34"/>
      <c r="TCM363" s="36"/>
      <c r="TCN363" s="36"/>
      <c r="TCO363" s="37"/>
      <c r="TCP363" s="37"/>
      <c r="TCQ363" s="38"/>
      <c r="TCR363" s="38"/>
      <c r="TCS363" s="39"/>
      <c r="TCT363" s="34"/>
      <c r="TCU363" s="34"/>
      <c r="TCV363" s="34"/>
      <c r="TCW363" s="35"/>
      <c r="TCX363" s="35"/>
      <c r="TCY363" s="35"/>
      <c r="TCZ363" s="35"/>
      <c r="TDA363" s="35"/>
      <c r="TDB363" s="34"/>
      <c r="TDC363" s="34"/>
      <c r="TDD363" s="36"/>
      <c r="TDE363" s="36"/>
      <c r="TDF363" s="37"/>
      <c r="TDG363" s="37"/>
      <c r="TDH363" s="38"/>
      <c r="TDI363" s="38"/>
      <c r="TDJ363" s="39"/>
      <c r="TDK363" s="34"/>
      <c r="TDL363" s="34"/>
      <c r="TDM363" s="34"/>
      <c r="TDN363" s="35"/>
      <c r="TDO363" s="35"/>
      <c r="TDP363" s="35"/>
      <c r="TDQ363" s="35"/>
      <c r="TDR363" s="35"/>
      <c r="TDS363" s="34"/>
      <c r="TDT363" s="34"/>
      <c r="TDU363" s="36"/>
      <c r="TDV363" s="36"/>
      <c r="TDW363" s="37"/>
      <c r="TDX363" s="37"/>
      <c r="TDY363" s="38"/>
      <c r="TDZ363" s="38"/>
      <c r="TEA363" s="39"/>
      <c r="TEB363" s="34"/>
      <c r="TEC363" s="34"/>
      <c r="TED363" s="34"/>
      <c r="TEE363" s="35"/>
      <c r="TEF363" s="35"/>
      <c r="TEG363" s="35"/>
      <c r="TEH363" s="35"/>
      <c r="TEI363" s="35"/>
      <c r="TEJ363" s="34"/>
      <c r="TEK363" s="34"/>
      <c r="TEL363" s="36"/>
      <c r="TEM363" s="36"/>
      <c r="TEN363" s="37"/>
      <c r="TEO363" s="37"/>
      <c r="TEP363" s="38"/>
      <c r="TEQ363" s="38"/>
      <c r="TER363" s="39"/>
      <c r="TES363" s="34"/>
      <c r="TET363" s="34"/>
      <c r="TEU363" s="34"/>
      <c r="TEV363" s="35"/>
      <c r="TEW363" s="35"/>
      <c r="TEX363" s="35"/>
      <c r="TEY363" s="35"/>
      <c r="TEZ363" s="35"/>
      <c r="TFA363" s="34"/>
      <c r="TFB363" s="34"/>
      <c r="TFC363" s="36"/>
      <c r="TFD363" s="36"/>
      <c r="TFE363" s="37"/>
      <c r="TFF363" s="37"/>
      <c r="TFG363" s="38"/>
      <c r="TFH363" s="38"/>
      <c r="TFI363" s="39"/>
      <c r="TFJ363" s="34"/>
      <c r="TFK363" s="34"/>
      <c r="TFL363" s="34"/>
      <c r="TFM363" s="35"/>
      <c r="TFN363" s="35"/>
      <c r="TFO363" s="35"/>
      <c r="TFP363" s="35"/>
      <c r="TFQ363" s="35"/>
      <c r="TFR363" s="34"/>
      <c r="TFS363" s="34"/>
      <c r="TFT363" s="36"/>
      <c r="TFU363" s="36"/>
      <c r="TFV363" s="37"/>
      <c r="TFW363" s="37"/>
      <c r="TFX363" s="38"/>
      <c r="TFY363" s="38"/>
      <c r="TFZ363" s="39"/>
      <c r="TGA363" s="34"/>
      <c r="TGB363" s="34"/>
      <c r="TGC363" s="34"/>
      <c r="TGD363" s="35"/>
      <c r="TGE363" s="35"/>
      <c r="TGF363" s="35"/>
      <c r="TGG363" s="35"/>
      <c r="TGH363" s="35"/>
      <c r="TGI363" s="34"/>
      <c r="TGJ363" s="34"/>
      <c r="TGK363" s="36"/>
      <c r="TGL363" s="36"/>
      <c r="TGM363" s="37"/>
      <c r="TGN363" s="37"/>
      <c r="TGO363" s="38"/>
      <c r="TGP363" s="38"/>
      <c r="TGQ363" s="39"/>
      <c r="TGR363" s="34"/>
      <c r="TGS363" s="34"/>
      <c r="TGT363" s="34"/>
      <c r="TGU363" s="35"/>
      <c r="TGV363" s="35"/>
      <c r="TGW363" s="35"/>
      <c r="TGX363" s="35"/>
      <c r="TGY363" s="35"/>
      <c r="TGZ363" s="34"/>
      <c r="THA363" s="34"/>
      <c r="THB363" s="36"/>
      <c r="THC363" s="36"/>
      <c r="THD363" s="37"/>
      <c r="THE363" s="37"/>
      <c r="THF363" s="38"/>
      <c r="THG363" s="38"/>
      <c r="THH363" s="39"/>
      <c r="THI363" s="34"/>
      <c r="THJ363" s="34"/>
      <c r="THK363" s="34"/>
      <c r="THL363" s="35"/>
      <c r="THM363" s="35"/>
      <c r="THN363" s="35"/>
      <c r="THO363" s="35"/>
      <c r="THP363" s="35"/>
      <c r="THQ363" s="34"/>
      <c r="THR363" s="34"/>
      <c r="THS363" s="36"/>
      <c r="THT363" s="36"/>
      <c r="THU363" s="37"/>
      <c r="THV363" s="37"/>
      <c r="THW363" s="38"/>
      <c r="THX363" s="38"/>
      <c r="THY363" s="39"/>
      <c r="THZ363" s="34"/>
      <c r="TIA363" s="34"/>
      <c r="TIB363" s="34"/>
      <c r="TIC363" s="35"/>
      <c r="TID363" s="35"/>
      <c r="TIE363" s="35"/>
      <c r="TIF363" s="35"/>
      <c r="TIG363" s="35"/>
      <c r="TIH363" s="34"/>
      <c r="TII363" s="34"/>
      <c r="TIJ363" s="36"/>
      <c r="TIK363" s="36"/>
      <c r="TIL363" s="37"/>
      <c r="TIM363" s="37"/>
      <c r="TIN363" s="38"/>
      <c r="TIO363" s="38"/>
      <c r="TIP363" s="39"/>
      <c r="TIQ363" s="34"/>
      <c r="TIR363" s="34"/>
      <c r="TIS363" s="34"/>
      <c r="TIT363" s="35"/>
      <c r="TIU363" s="35"/>
      <c r="TIV363" s="35"/>
      <c r="TIW363" s="35"/>
      <c r="TIX363" s="35"/>
      <c r="TIY363" s="34"/>
      <c r="TIZ363" s="34"/>
      <c r="TJA363" s="36"/>
      <c r="TJB363" s="36"/>
      <c r="TJC363" s="37"/>
      <c r="TJD363" s="37"/>
      <c r="TJE363" s="38"/>
      <c r="TJF363" s="38"/>
      <c r="TJG363" s="39"/>
      <c r="TJH363" s="34"/>
      <c r="TJI363" s="34"/>
      <c r="TJJ363" s="34"/>
      <c r="TJK363" s="35"/>
      <c r="TJL363" s="35"/>
      <c r="TJM363" s="35"/>
      <c r="TJN363" s="35"/>
      <c r="TJO363" s="35"/>
      <c r="TJP363" s="34"/>
      <c r="TJQ363" s="34"/>
      <c r="TJR363" s="36"/>
      <c r="TJS363" s="36"/>
      <c r="TJT363" s="37"/>
      <c r="TJU363" s="37"/>
      <c r="TJV363" s="38"/>
      <c r="TJW363" s="38"/>
      <c r="TJX363" s="39"/>
      <c r="TJY363" s="34"/>
      <c r="TJZ363" s="34"/>
      <c r="TKA363" s="34"/>
      <c r="TKB363" s="35"/>
      <c r="TKC363" s="35"/>
      <c r="TKD363" s="35"/>
      <c r="TKE363" s="35"/>
      <c r="TKF363" s="35"/>
      <c r="TKG363" s="34"/>
      <c r="TKH363" s="34"/>
      <c r="TKI363" s="36"/>
      <c r="TKJ363" s="36"/>
      <c r="TKK363" s="37"/>
      <c r="TKL363" s="37"/>
      <c r="TKM363" s="38"/>
      <c r="TKN363" s="38"/>
      <c r="TKO363" s="39"/>
      <c r="TKP363" s="34"/>
      <c r="TKQ363" s="34"/>
      <c r="TKR363" s="34"/>
      <c r="TKS363" s="35"/>
      <c r="TKT363" s="35"/>
      <c r="TKU363" s="35"/>
      <c r="TKV363" s="35"/>
      <c r="TKW363" s="35"/>
      <c r="TKX363" s="34"/>
      <c r="TKY363" s="34"/>
      <c r="TKZ363" s="36"/>
      <c r="TLA363" s="36"/>
      <c r="TLB363" s="37"/>
      <c r="TLC363" s="37"/>
      <c r="TLD363" s="38"/>
      <c r="TLE363" s="38"/>
      <c r="TLF363" s="39"/>
      <c r="TLG363" s="34"/>
      <c r="TLH363" s="34"/>
      <c r="TLI363" s="34"/>
      <c r="TLJ363" s="35"/>
      <c r="TLK363" s="35"/>
      <c r="TLL363" s="35"/>
      <c r="TLM363" s="35"/>
      <c r="TLN363" s="35"/>
      <c r="TLO363" s="34"/>
      <c r="TLP363" s="34"/>
      <c r="TLQ363" s="36"/>
      <c r="TLR363" s="36"/>
      <c r="TLS363" s="37"/>
      <c r="TLT363" s="37"/>
      <c r="TLU363" s="38"/>
      <c r="TLV363" s="38"/>
      <c r="TLW363" s="39"/>
      <c r="TLX363" s="34"/>
      <c r="TLY363" s="34"/>
      <c r="TLZ363" s="34"/>
      <c r="TMA363" s="35"/>
      <c r="TMB363" s="35"/>
      <c r="TMC363" s="35"/>
      <c r="TMD363" s="35"/>
      <c r="TME363" s="35"/>
      <c r="TMF363" s="34"/>
      <c r="TMG363" s="34"/>
      <c r="TMH363" s="36"/>
      <c r="TMI363" s="36"/>
      <c r="TMJ363" s="37"/>
      <c r="TMK363" s="37"/>
      <c r="TML363" s="38"/>
      <c r="TMM363" s="38"/>
      <c r="TMN363" s="39"/>
      <c r="TMO363" s="34"/>
      <c r="TMP363" s="34"/>
      <c r="TMQ363" s="34"/>
      <c r="TMR363" s="35"/>
      <c r="TMS363" s="35"/>
      <c r="TMT363" s="35"/>
      <c r="TMU363" s="35"/>
      <c r="TMV363" s="35"/>
      <c r="TMW363" s="34"/>
      <c r="TMX363" s="34"/>
      <c r="TMY363" s="36"/>
      <c r="TMZ363" s="36"/>
      <c r="TNA363" s="37"/>
      <c r="TNB363" s="37"/>
      <c r="TNC363" s="38"/>
      <c r="TND363" s="38"/>
      <c r="TNE363" s="39"/>
      <c r="TNF363" s="34"/>
      <c r="TNG363" s="34"/>
      <c r="TNH363" s="34"/>
      <c r="TNI363" s="35"/>
      <c r="TNJ363" s="35"/>
      <c r="TNK363" s="35"/>
      <c r="TNL363" s="35"/>
      <c r="TNM363" s="35"/>
      <c r="TNN363" s="34"/>
      <c r="TNO363" s="34"/>
      <c r="TNP363" s="36"/>
      <c r="TNQ363" s="36"/>
      <c r="TNR363" s="37"/>
      <c r="TNS363" s="37"/>
      <c r="TNT363" s="38"/>
      <c r="TNU363" s="38"/>
      <c r="TNV363" s="39"/>
      <c r="TNW363" s="34"/>
      <c r="TNX363" s="34"/>
      <c r="TNY363" s="34"/>
      <c r="TNZ363" s="35"/>
      <c r="TOA363" s="35"/>
      <c r="TOB363" s="35"/>
      <c r="TOC363" s="35"/>
      <c r="TOD363" s="35"/>
      <c r="TOE363" s="34"/>
      <c r="TOF363" s="34"/>
      <c r="TOG363" s="36"/>
      <c r="TOH363" s="36"/>
      <c r="TOI363" s="37"/>
      <c r="TOJ363" s="37"/>
      <c r="TOK363" s="38"/>
      <c r="TOL363" s="38"/>
      <c r="TOM363" s="39"/>
      <c r="TON363" s="34"/>
      <c r="TOO363" s="34"/>
      <c r="TOP363" s="34"/>
      <c r="TOQ363" s="35"/>
      <c r="TOR363" s="35"/>
      <c r="TOS363" s="35"/>
      <c r="TOT363" s="35"/>
      <c r="TOU363" s="35"/>
      <c r="TOV363" s="34"/>
      <c r="TOW363" s="34"/>
      <c r="TOX363" s="36"/>
      <c r="TOY363" s="36"/>
      <c r="TOZ363" s="37"/>
      <c r="TPA363" s="37"/>
      <c r="TPB363" s="38"/>
      <c r="TPC363" s="38"/>
      <c r="TPD363" s="39"/>
      <c r="TPE363" s="34"/>
      <c r="TPF363" s="34"/>
      <c r="TPG363" s="34"/>
      <c r="TPH363" s="35"/>
      <c r="TPI363" s="35"/>
      <c r="TPJ363" s="35"/>
      <c r="TPK363" s="35"/>
      <c r="TPL363" s="35"/>
      <c r="TPM363" s="34"/>
      <c r="TPN363" s="34"/>
      <c r="TPO363" s="36"/>
      <c r="TPP363" s="36"/>
      <c r="TPQ363" s="37"/>
      <c r="TPR363" s="37"/>
      <c r="TPS363" s="38"/>
      <c r="TPT363" s="38"/>
      <c r="TPU363" s="39"/>
      <c r="TPV363" s="34"/>
      <c r="TPW363" s="34"/>
      <c r="TPX363" s="34"/>
      <c r="TPY363" s="35"/>
      <c r="TPZ363" s="35"/>
      <c r="TQA363" s="35"/>
      <c r="TQB363" s="35"/>
      <c r="TQC363" s="35"/>
      <c r="TQD363" s="34"/>
      <c r="TQE363" s="34"/>
      <c r="TQF363" s="36"/>
      <c r="TQG363" s="36"/>
      <c r="TQH363" s="37"/>
      <c r="TQI363" s="37"/>
      <c r="TQJ363" s="38"/>
      <c r="TQK363" s="38"/>
      <c r="TQL363" s="39"/>
      <c r="TQM363" s="34"/>
      <c r="TQN363" s="34"/>
      <c r="TQO363" s="34"/>
      <c r="TQP363" s="35"/>
      <c r="TQQ363" s="35"/>
      <c r="TQR363" s="35"/>
      <c r="TQS363" s="35"/>
      <c r="TQT363" s="35"/>
      <c r="TQU363" s="34"/>
      <c r="TQV363" s="34"/>
      <c r="TQW363" s="36"/>
      <c r="TQX363" s="36"/>
      <c r="TQY363" s="37"/>
      <c r="TQZ363" s="37"/>
      <c r="TRA363" s="38"/>
      <c r="TRB363" s="38"/>
      <c r="TRC363" s="39"/>
      <c r="TRD363" s="34"/>
      <c r="TRE363" s="34"/>
      <c r="TRF363" s="34"/>
      <c r="TRG363" s="35"/>
      <c r="TRH363" s="35"/>
      <c r="TRI363" s="35"/>
      <c r="TRJ363" s="35"/>
      <c r="TRK363" s="35"/>
      <c r="TRL363" s="34"/>
      <c r="TRM363" s="34"/>
      <c r="TRN363" s="36"/>
      <c r="TRO363" s="36"/>
      <c r="TRP363" s="37"/>
      <c r="TRQ363" s="37"/>
      <c r="TRR363" s="38"/>
      <c r="TRS363" s="38"/>
      <c r="TRT363" s="39"/>
      <c r="TRU363" s="34"/>
      <c r="TRV363" s="34"/>
      <c r="TRW363" s="34"/>
      <c r="TRX363" s="35"/>
      <c r="TRY363" s="35"/>
      <c r="TRZ363" s="35"/>
      <c r="TSA363" s="35"/>
      <c r="TSB363" s="35"/>
      <c r="TSC363" s="34"/>
      <c r="TSD363" s="34"/>
      <c r="TSE363" s="36"/>
      <c r="TSF363" s="36"/>
      <c r="TSG363" s="37"/>
      <c r="TSH363" s="37"/>
      <c r="TSI363" s="38"/>
      <c r="TSJ363" s="38"/>
      <c r="TSK363" s="39"/>
      <c r="TSL363" s="34"/>
      <c r="TSM363" s="34"/>
      <c r="TSN363" s="34"/>
      <c r="TSO363" s="35"/>
      <c r="TSP363" s="35"/>
      <c r="TSQ363" s="35"/>
      <c r="TSR363" s="35"/>
      <c r="TSS363" s="35"/>
      <c r="TST363" s="34"/>
      <c r="TSU363" s="34"/>
      <c r="TSV363" s="36"/>
      <c r="TSW363" s="36"/>
      <c r="TSX363" s="37"/>
      <c r="TSY363" s="37"/>
      <c r="TSZ363" s="38"/>
      <c r="TTA363" s="38"/>
      <c r="TTB363" s="39"/>
      <c r="TTC363" s="34"/>
      <c r="TTD363" s="34"/>
      <c r="TTE363" s="34"/>
      <c r="TTF363" s="35"/>
      <c r="TTG363" s="35"/>
      <c r="TTH363" s="35"/>
      <c r="TTI363" s="35"/>
      <c r="TTJ363" s="35"/>
      <c r="TTK363" s="34"/>
      <c r="TTL363" s="34"/>
      <c r="TTM363" s="36"/>
      <c r="TTN363" s="36"/>
      <c r="TTO363" s="37"/>
      <c r="TTP363" s="37"/>
      <c r="TTQ363" s="38"/>
      <c r="TTR363" s="38"/>
      <c r="TTS363" s="39"/>
      <c r="TTT363" s="34"/>
      <c r="TTU363" s="34"/>
      <c r="TTV363" s="34"/>
      <c r="TTW363" s="35"/>
      <c r="TTX363" s="35"/>
      <c r="TTY363" s="35"/>
      <c r="TTZ363" s="35"/>
      <c r="TUA363" s="35"/>
      <c r="TUB363" s="34"/>
      <c r="TUC363" s="34"/>
      <c r="TUD363" s="36"/>
      <c r="TUE363" s="36"/>
      <c r="TUF363" s="37"/>
      <c r="TUG363" s="37"/>
      <c r="TUH363" s="38"/>
      <c r="TUI363" s="38"/>
      <c r="TUJ363" s="39"/>
      <c r="TUK363" s="34"/>
      <c r="TUL363" s="34"/>
      <c r="TUM363" s="34"/>
      <c r="TUN363" s="35"/>
      <c r="TUO363" s="35"/>
      <c r="TUP363" s="35"/>
      <c r="TUQ363" s="35"/>
      <c r="TUR363" s="35"/>
      <c r="TUS363" s="34"/>
      <c r="TUT363" s="34"/>
      <c r="TUU363" s="36"/>
      <c r="TUV363" s="36"/>
      <c r="TUW363" s="37"/>
      <c r="TUX363" s="37"/>
      <c r="TUY363" s="38"/>
      <c r="TUZ363" s="38"/>
      <c r="TVA363" s="39"/>
      <c r="TVB363" s="34"/>
      <c r="TVC363" s="34"/>
      <c r="TVD363" s="34"/>
      <c r="TVE363" s="35"/>
      <c r="TVF363" s="35"/>
      <c r="TVG363" s="35"/>
      <c r="TVH363" s="35"/>
      <c r="TVI363" s="35"/>
      <c r="TVJ363" s="34"/>
      <c r="TVK363" s="34"/>
      <c r="TVL363" s="36"/>
      <c r="TVM363" s="36"/>
      <c r="TVN363" s="37"/>
      <c r="TVO363" s="37"/>
      <c r="TVP363" s="38"/>
      <c r="TVQ363" s="38"/>
      <c r="TVR363" s="39"/>
      <c r="TVS363" s="34"/>
      <c r="TVT363" s="34"/>
      <c r="TVU363" s="34"/>
      <c r="TVV363" s="35"/>
      <c r="TVW363" s="35"/>
      <c r="TVX363" s="35"/>
      <c r="TVY363" s="35"/>
      <c r="TVZ363" s="35"/>
      <c r="TWA363" s="34"/>
      <c r="TWB363" s="34"/>
      <c r="TWC363" s="36"/>
      <c r="TWD363" s="36"/>
      <c r="TWE363" s="37"/>
      <c r="TWF363" s="37"/>
      <c r="TWG363" s="38"/>
      <c r="TWH363" s="38"/>
      <c r="TWI363" s="39"/>
      <c r="TWJ363" s="34"/>
      <c r="TWK363" s="34"/>
      <c r="TWL363" s="34"/>
      <c r="TWM363" s="35"/>
      <c r="TWN363" s="35"/>
      <c r="TWO363" s="35"/>
      <c r="TWP363" s="35"/>
      <c r="TWQ363" s="35"/>
      <c r="TWR363" s="34"/>
      <c r="TWS363" s="34"/>
      <c r="TWT363" s="36"/>
      <c r="TWU363" s="36"/>
      <c r="TWV363" s="37"/>
      <c r="TWW363" s="37"/>
      <c r="TWX363" s="38"/>
      <c r="TWY363" s="38"/>
      <c r="TWZ363" s="39"/>
      <c r="TXA363" s="34"/>
      <c r="TXB363" s="34"/>
      <c r="TXC363" s="34"/>
      <c r="TXD363" s="35"/>
      <c r="TXE363" s="35"/>
      <c r="TXF363" s="35"/>
      <c r="TXG363" s="35"/>
      <c r="TXH363" s="35"/>
      <c r="TXI363" s="34"/>
      <c r="TXJ363" s="34"/>
      <c r="TXK363" s="36"/>
      <c r="TXL363" s="36"/>
      <c r="TXM363" s="37"/>
      <c r="TXN363" s="37"/>
      <c r="TXO363" s="38"/>
      <c r="TXP363" s="38"/>
      <c r="TXQ363" s="39"/>
      <c r="TXR363" s="34"/>
      <c r="TXS363" s="34"/>
      <c r="TXT363" s="34"/>
      <c r="TXU363" s="35"/>
      <c r="TXV363" s="35"/>
      <c r="TXW363" s="35"/>
      <c r="TXX363" s="35"/>
      <c r="TXY363" s="35"/>
      <c r="TXZ363" s="34"/>
      <c r="TYA363" s="34"/>
      <c r="TYB363" s="36"/>
      <c r="TYC363" s="36"/>
      <c r="TYD363" s="37"/>
      <c r="TYE363" s="37"/>
      <c r="TYF363" s="38"/>
      <c r="TYG363" s="38"/>
      <c r="TYH363" s="39"/>
      <c r="TYI363" s="34"/>
      <c r="TYJ363" s="34"/>
      <c r="TYK363" s="34"/>
      <c r="TYL363" s="35"/>
      <c r="TYM363" s="35"/>
      <c r="TYN363" s="35"/>
      <c r="TYO363" s="35"/>
      <c r="TYP363" s="35"/>
      <c r="TYQ363" s="34"/>
      <c r="TYR363" s="34"/>
      <c r="TYS363" s="36"/>
      <c r="TYT363" s="36"/>
      <c r="TYU363" s="37"/>
      <c r="TYV363" s="37"/>
      <c r="TYW363" s="38"/>
      <c r="TYX363" s="38"/>
      <c r="TYY363" s="39"/>
      <c r="TYZ363" s="34"/>
      <c r="TZA363" s="34"/>
      <c r="TZB363" s="34"/>
      <c r="TZC363" s="35"/>
      <c r="TZD363" s="35"/>
      <c r="TZE363" s="35"/>
      <c r="TZF363" s="35"/>
      <c r="TZG363" s="35"/>
      <c r="TZH363" s="34"/>
      <c r="TZI363" s="34"/>
      <c r="TZJ363" s="36"/>
      <c r="TZK363" s="36"/>
      <c r="TZL363" s="37"/>
      <c r="TZM363" s="37"/>
      <c r="TZN363" s="38"/>
      <c r="TZO363" s="38"/>
      <c r="TZP363" s="39"/>
      <c r="TZQ363" s="34"/>
      <c r="TZR363" s="34"/>
      <c r="TZS363" s="34"/>
      <c r="TZT363" s="35"/>
      <c r="TZU363" s="35"/>
      <c r="TZV363" s="35"/>
      <c r="TZW363" s="35"/>
      <c r="TZX363" s="35"/>
      <c r="TZY363" s="34"/>
      <c r="TZZ363" s="34"/>
      <c r="UAA363" s="36"/>
      <c r="UAB363" s="36"/>
      <c r="UAC363" s="37"/>
      <c r="UAD363" s="37"/>
      <c r="UAE363" s="38"/>
      <c r="UAF363" s="38"/>
      <c r="UAG363" s="39"/>
      <c r="UAH363" s="34"/>
      <c r="UAI363" s="34"/>
      <c r="UAJ363" s="34"/>
      <c r="UAK363" s="35"/>
      <c r="UAL363" s="35"/>
      <c r="UAM363" s="35"/>
      <c r="UAN363" s="35"/>
      <c r="UAO363" s="35"/>
      <c r="UAP363" s="34"/>
      <c r="UAQ363" s="34"/>
      <c r="UAR363" s="36"/>
      <c r="UAS363" s="36"/>
      <c r="UAT363" s="37"/>
      <c r="UAU363" s="37"/>
      <c r="UAV363" s="38"/>
      <c r="UAW363" s="38"/>
      <c r="UAX363" s="39"/>
      <c r="UAY363" s="34"/>
      <c r="UAZ363" s="34"/>
      <c r="UBA363" s="34"/>
      <c r="UBB363" s="35"/>
      <c r="UBC363" s="35"/>
      <c r="UBD363" s="35"/>
      <c r="UBE363" s="35"/>
      <c r="UBF363" s="35"/>
      <c r="UBG363" s="34"/>
      <c r="UBH363" s="34"/>
      <c r="UBI363" s="36"/>
      <c r="UBJ363" s="36"/>
      <c r="UBK363" s="37"/>
      <c r="UBL363" s="37"/>
      <c r="UBM363" s="38"/>
      <c r="UBN363" s="38"/>
      <c r="UBO363" s="39"/>
      <c r="UBP363" s="34"/>
      <c r="UBQ363" s="34"/>
      <c r="UBR363" s="34"/>
      <c r="UBS363" s="35"/>
      <c r="UBT363" s="35"/>
      <c r="UBU363" s="35"/>
      <c r="UBV363" s="35"/>
      <c r="UBW363" s="35"/>
      <c r="UBX363" s="34"/>
      <c r="UBY363" s="34"/>
      <c r="UBZ363" s="36"/>
      <c r="UCA363" s="36"/>
      <c r="UCB363" s="37"/>
      <c r="UCC363" s="37"/>
      <c r="UCD363" s="38"/>
      <c r="UCE363" s="38"/>
      <c r="UCF363" s="39"/>
      <c r="UCG363" s="34"/>
      <c r="UCH363" s="34"/>
      <c r="UCI363" s="34"/>
      <c r="UCJ363" s="35"/>
      <c r="UCK363" s="35"/>
      <c r="UCL363" s="35"/>
      <c r="UCM363" s="35"/>
      <c r="UCN363" s="35"/>
      <c r="UCO363" s="34"/>
      <c r="UCP363" s="34"/>
      <c r="UCQ363" s="36"/>
      <c r="UCR363" s="36"/>
      <c r="UCS363" s="37"/>
      <c r="UCT363" s="37"/>
      <c r="UCU363" s="38"/>
      <c r="UCV363" s="38"/>
      <c r="UCW363" s="39"/>
      <c r="UCX363" s="34"/>
      <c r="UCY363" s="34"/>
      <c r="UCZ363" s="34"/>
      <c r="UDA363" s="35"/>
      <c r="UDB363" s="35"/>
      <c r="UDC363" s="35"/>
      <c r="UDD363" s="35"/>
      <c r="UDE363" s="35"/>
      <c r="UDF363" s="34"/>
      <c r="UDG363" s="34"/>
      <c r="UDH363" s="36"/>
      <c r="UDI363" s="36"/>
      <c r="UDJ363" s="37"/>
      <c r="UDK363" s="37"/>
      <c r="UDL363" s="38"/>
      <c r="UDM363" s="38"/>
      <c r="UDN363" s="39"/>
      <c r="UDO363" s="34"/>
      <c r="UDP363" s="34"/>
      <c r="UDQ363" s="34"/>
      <c r="UDR363" s="35"/>
      <c r="UDS363" s="35"/>
      <c r="UDT363" s="35"/>
      <c r="UDU363" s="35"/>
      <c r="UDV363" s="35"/>
      <c r="UDW363" s="34"/>
      <c r="UDX363" s="34"/>
      <c r="UDY363" s="36"/>
      <c r="UDZ363" s="36"/>
      <c r="UEA363" s="37"/>
      <c r="UEB363" s="37"/>
      <c r="UEC363" s="38"/>
      <c r="UED363" s="38"/>
      <c r="UEE363" s="39"/>
      <c r="UEF363" s="34"/>
      <c r="UEG363" s="34"/>
      <c r="UEH363" s="34"/>
      <c r="UEI363" s="35"/>
      <c r="UEJ363" s="35"/>
      <c r="UEK363" s="35"/>
      <c r="UEL363" s="35"/>
      <c r="UEM363" s="35"/>
      <c r="UEN363" s="34"/>
      <c r="UEO363" s="34"/>
      <c r="UEP363" s="36"/>
      <c r="UEQ363" s="36"/>
      <c r="UER363" s="37"/>
      <c r="UES363" s="37"/>
      <c r="UET363" s="38"/>
      <c r="UEU363" s="38"/>
      <c r="UEV363" s="39"/>
      <c r="UEW363" s="34"/>
      <c r="UEX363" s="34"/>
      <c r="UEY363" s="34"/>
      <c r="UEZ363" s="35"/>
      <c r="UFA363" s="35"/>
      <c r="UFB363" s="35"/>
      <c r="UFC363" s="35"/>
      <c r="UFD363" s="35"/>
      <c r="UFE363" s="34"/>
      <c r="UFF363" s="34"/>
      <c r="UFG363" s="36"/>
      <c r="UFH363" s="36"/>
      <c r="UFI363" s="37"/>
      <c r="UFJ363" s="37"/>
      <c r="UFK363" s="38"/>
      <c r="UFL363" s="38"/>
      <c r="UFM363" s="39"/>
      <c r="UFN363" s="34"/>
      <c r="UFO363" s="34"/>
      <c r="UFP363" s="34"/>
      <c r="UFQ363" s="35"/>
      <c r="UFR363" s="35"/>
      <c r="UFS363" s="35"/>
      <c r="UFT363" s="35"/>
      <c r="UFU363" s="35"/>
      <c r="UFV363" s="34"/>
      <c r="UFW363" s="34"/>
      <c r="UFX363" s="36"/>
      <c r="UFY363" s="36"/>
      <c r="UFZ363" s="37"/>
      <c r="UGA363" s="37"/>
      <c r="UGB363" s="38"/>
      <c r="UGC363" s="38"/>
      <c r="UGD363" s="39"/>
      <c r="UGE363" s="34"/>
      <c r="UGF363" s="34"/>
      <c r="UGG363" s="34"/>
      <c r="UGH363" s="35"/>
      <c r="UGI363" s="35"/>
      <c r="UGJ363" s="35"/>
      <c r="UGK363" s="35"/>
      <c r="UGL363" s="35"/>
      <c r="UGM363" s="34"/>
      <c r="UGN363" s="34"/>
      <c r="UGO363" s="36"/>
      <c r="UGP363" s="36"/>
      <c r="UGQ363" s="37"/>
      <c r="UGR363" s="37"/>
      <c r="UGS363" s="38"/>
      <c r="UGT363" s="38"/>
      <c r="UGU363" s="39"/>
      <c r="UGV363" s="34"/>
      <c r="UGW363" s="34"/>
      <c r="UGX363" s="34"/>
      <c r="UGY363" s="35"/>
      <c r="UGZ363" s="35"/>
      <c r="UHA363" s="35"/>
      <c r="UHB363" s="35"/>
      <c r="UHC363" s="35"/>
      <c r="UHD363" s="34"/>
      <c r="UHE363" s="34"/>
      <c r="UHF363" s="36"/>
      <c r="UHG363" s="36"/>
      <c r="UHH363" s="37"/>
      <c r="UHI363" s="37"/>
      <c r="UHJ363" s="38"/>
      <c r="UHK363" s="38"/>
      <c r="UHL363" s="39"/>
      <c r="UHM363" s="34"/>
      <c r="UHN363" s="34"/>
      <c r="UHO363" s="34"/>
      <c r="UHP363" s="35"/>
      <c r="UHQ363" s="35"/>
      <c r="UHR363" s="35"/>
      <c r="UHS363" s="35"/>
      <c r="UHT363" s="35"/>
      <c r="UHU363" s="34"/>
      <c r="UHV363" s="34"/>
      <c r="UHW363" s="36"/>
      <c r="UHX363" s="36"/>
      <c r="UHY363" s="37"/>
      <c r="UHZ363" s="37"/>
      <c r="UIA363" s="38"/>
      <c r="UIB363" s="38"/>
      <c r="UIC363" s="39"/>
      <c r="UID363" s="34"/>
      <c r="UIE363" s="34"/>
      <c r="UIF363" s="34"/>
      <c r="UIG363" s="35"/>
      <c r="UIH363" s="35"/>
      <c r="UII363" s="35"/>
      <c r="UIJ363" s="35"/>
      <c r="UIK363" s="35"/>
      <c r="UIL363" s="34"/>
      <c r="UIM363" s="34"/>
      <c r="UIN363" s="36"/>
      <c r="UIO363" s="36"/>
      <c r="UIP363" s="37"/>
      <c r="UIQ363" s="37"/>
      <c r="UIR363" s="38"/>
      <c r="UIS363" s="38"/>
      <c r="UIT363" s="39"/>
      <c r="UIU363" s="34"/>
      <c r="UIV363" s="34"/>
      <c r="UIW363" s="34"/>
      <c r="UIX363" s="35"/>
      <c r="UIY363" s="35"/>
      <c r="UIZ363" s="35"/>
      <c r="UJA363" s="35"/>
      <c r="UJB363" s="35"/>
      <c r="UJC363" s="34"/>
      <c r="UJD363" s="34"/>
      <c r="UJE363" s="36"/>
      <c r="UJF363" s="36"/>
      <c r="UJG363" s="37"/>
      <c r="UJH363" s="37"/>
      <c r="UJI363" s="38"/>
      <c r="UJJ363" s="38"/>
      <c r="UJK363" s="39"/>
      <c r="UJL363" s="34"/>
      <c r="UJM363" s="34"/>
      <c r="UJN363" s="34"/>
      <c r="UJO363" s="35"/>
      <c r="UJP363" s="35"/>
      <c r="UJQ363" s="35"/>
      <c r="UJR363" s="35"/>
      <c r="UJS363" s="35"/>
      <c r="UJT363" s="34"/>
      <c r="UJU363" s="34"/>
      <c r="UJV363" s="36"/>
      <c r="UJW363" s="36"/>
      <c r="UJX363" s="37"/>
      <c r="UJY363" s="37"/>
      <c r="UJZ363" s="38"/>
      <c r="UKA363" s="38"/>
      <c r="UKB363" s="39"/>
      <c r="UKC363" s="34"/>
      <c r="UKD363" s="34"/>
      <c r="UKE363" s="34"/>
      <c r="UKF363" s="35"/>
      <c r="UKG363" s="35"/>
      <c r="UKH363" s="35"/>
      <c r="UKI363" s="35"/>
      <c r="UKJ363" s="35"/>
      <c r="UKK363" s="34"/>
      <c r="UKL363" s="34"/>
      <c r="UKM363" s="36"/>
      <c r="UKN363" s="36"/>
      <c r="UKO363" s="37"/>
      <c r="UKP363" s="37"/>
      <c r="UKQ363" s="38"/>
      <c r="UKR363" s="38"/>
      <c r="UKS363" s="39"/>
      <c r="UKT363" s="34"/>
      <c r="UKU363" s="34"/>
      <c r="UKV363" s="34"/>
      <c r="UKW363" s="35"/>
      <c r="UKX363" s="35"/>
      <c r="UKY363" s="35"/>
      <c r="UKZ363" s="35"/>
      <c r="ULA363" s="35"/>
      <c r="ULB363" s="34"/>
      <c r="ULC363" s="34"/>
      <c r="ULD363" s="36"/>
      <c r="ULE363" s="36"/>
      <c r="ULF363" s="37"/>
      <c r="ULG363" s="37"/>
      <c r="ULH363" s="38"/>
      <c r="ULI363" s="38"/>
      <c r="ULJ363" s="39"/>
      <c r="ULK363" s="34"/>
      <c r="ULL363" s="34"/>
      <c r="ULM363" s="34"/>
      <c r="ULN363" s="35"/>
      <c r="ULO363" s="35"/>
      <c r="ULP363" s="35"/>
      <c r="ULQ363" s="35"/>
      <c r="ULR363" s="35"/>
      <c r="ULS363" s="34"/>
      <c r="ULT363" s="34"/>
      <c r="ULU363" s="36"/>
      <c r="ULV363" s="36"/>
      <c r="ULW363" s="37"/>
      <c r="ULX363" s="37"/>
      <c r="ULY363" s="38"/>
      <c r="ULZ363" s="38"/>
      <c r="UMA363" s="39"/>
      <c r="UMB363" s="34"/>
      <c r="UMC363" s="34"/>
      <c r="UMD363" s="34"/>
      <c r="UME363" s="35"/>
      <c r="UMF363" s="35"/>
      <c r="UMG363" s="35"/>
      <c r="UMH363" s="35"/>
      <c r="UMI363" s="35"/>
      <c r="UMJ363" s="34"/>
      <c r="UMK363" s="34"/>
      <c r="UML363" s="36"/>
      <c r="UMM363" s="36"/>
      <c r="UMN363" s="37"/>
      <c r="UMO363" s="37"/>
      <c r="UMP363" s="38"/>
      <c r="UMQ363" s="38"/>
      <c r="UMR363" s="39"/>
      <c r="UMS363" s="34"/>
      <c r="UMT363" s="34"/>
      <c r="UMU363" s="34"/>
      <c r="UMV363" s="35"/>
      <c r="UMW363" s="35"/>
      <c r="UMX363" s="35"/>
      <c r="UMY363" s="35"/>
      <c r="UMZ363" s="35"/>
      <c r="UNA363" s="34"/>
      <c r="UNB363" s="34"/>
      <c r="UNC363" s="36"/>
      <c r="UND363" s="36"/>
      <c r="UNE363" s="37"/>
      <c r="UNF363" s="37"/>
      <c r="UNG363" s="38"/>
      <c r="UNH363" s="38"/>
      <c r="UNI363" s="39"/>
      <c r="UNJ363" s="34"/>
      <c r="UNK363" s="34"/>
      <c r="UNL363" s="34"/>
      <c r="UNM363" s="35"/>
      <c r="UNN363" s="35"/>
      <c r="UNO363" s="35"/>
      <c r="UNP363" s="35"/>
      <c r="UNQ363" s="35"/>
      <c r="UNR363" s="34"/>
      <c r="UNS363" s="34"/>
      <c r="UNT363" s="36"/>
      <c r="UNU363" s="36"/>
      <c r="UNV363" s="37"/>
      <c r="UNW363" s="37"/>
      <c r="UNX363" s="38"/>
      <c r="UNY363" s="38"/>
      <c r="UNZ363" s="39"/>
      <c r="UOA363" s="34"/>
      <c r="UOB363" s="34"/>
      <c r="UOC363" s="34"/>
      <c r="UOD363" s="35"/>
      <c r="UOE363" s="35"/>
      <c r="UOF363" s="35"/>
      <c r="UOG363" s="35"/>
      <c r="UOH363" s="35"/>
      <c r="UOI363" s="34"/>
      <c r="UOJ363" s="34"/>
      <c r="UOK363" s="36"/>
      <c r="UOL363" s="36"/>
      <c r="UOM363" s="37"/>
      <c r="UON363" s="37"/>
      <c r="UOO363" s="38"/>
      <c r="UOP363" s="38"/>
      <c r="UOQ363" s="39"/>
      <c r="UOR363" s="34"/>
      <c r="UOS363" s="34"/>
      <c r="UOT363" s="34"/>
      <c r="UOU363" s="35"/>
      <c r="UOV363" s="35"/>
      <c r="UOW363" s="35"/>
      <c r="UOX363" s="35"/>
      <c r="UOY363" s="35"/>
      <c r="UOZ363" s="34"/>
      <c r="UPA363" s="34"/>
      <c r="UPB363" s="36"/>
      <c r="UPC363" s="36"/>
      <c r="UPD363" s="37"/>
      <c r="UPE363" s="37"/>
      <c r="UPF363" s="38"/>
      <c r="UPG363" s="38"/>
      <c r="UPH363" s="39"/>
      <c r="UPI363" s="34"/>
      <c r="UPJ363" s="34"/>
      <c r="UPK363" s="34"/>
      <c r="UPL363" s="35"/>
      <c r="UPM363" s="35"/>
      <c r="UPN363" s="35"/>
      <c r="UPO363" s="35"/>
      <c r="UPP363" s="35"/>
      <c r="UPQ363" s="34"/>
      <c r="UPR363" s="34"/>
      <c r="UPS363" s="36"/>
      <c r="UPT363" s="36"/>
      <c r="UPU363" s="37"/>
      <c r="UPV363" s="37"/>
      <c r="UPW363" s="38"/>
      <c r="UPX363" s="38"/>
      <c r="UPY363" s="39"/>
      <c r="UPZ363" s="34"/>
      <c r="UQA363" s="34"/>
      <c r="UQB363" s="34"/>
      <c r="UQC363" s="35"/>
      <c r="UQD363" s="35"/>
      <c r="UQE363" s="35"/>
      <c r="UQF363" s="35"/>
      <c r="UQG363" s="35"/>
      <c r="UQH363" s="34"/>
      <c r="UQI363" s="34"/>
      <c r="UQJ363" s="36"/>
      <c r="UQK363" s="36"/>
      <c r="UQL363" s="37"/>
      <c r="UQM363" s="37"/>
      <c r="UQN363" s="38"/>
      <c r="UQO363" s="38"/>
      <c r="UQP363" s="39"/>
      <c r="UQQ363" s="34"/>
      <c r="UQR363" s="34"/>
      <c r="UQS363" s="34"/>
      <c r="UQT363" s="35"/>
      <c r="UQU363" s="35"/>
      <c r="UQV363" s="35"/>
      <c r="UQW363" s="35"/>
      <c r="UQX363" s="35"/>
      <c r="UQY363" s="34"/>
      <c r="UQZ363" s="34"/>
      <c r="URA363" s="36"/>
      <c r="URB363" s="36"/>
      <c r="URC363" s="37"/>
      <c r="URD363" s="37"/>
      <c r="URE363" s="38"/>
      <c r="URF363" s="38"/>
      <c r="URG363" s="39"/>
      <c r="URH363" s="34"/>
      <c r="URI363" s="34"/>
      <c r="URJ363" s="34"/>
      <c r="URK363" s="35"/>
      <c r="URL363" s="35"/>
      <c r="URM363" s="35"/>
      <c r="URN363" s="35"/>
      <c r="URO363" s="35"/>
      <c r="URP363" s="34"/>
      <c r="URQ363" s="34"/>
      <c r="URR363" s="36"/>
      <c r="URS363" s="36"/>
      <c r="URT363" s="37"/>
      <c r="URU363" s="37"/>
      <c r="URV363" s="38"/>
      <c r="URW363" s="38"/>
      <c r="URX363" s="39"/>
      <c r="URY363" s="34"/>
      <c r="URZ363" s="34"/>
      <c r="USA363" s="34"/>
      <c r="USB363" s="35"/>
      <c r="USC363" s="35"/>
      <c r="USD363" s="35"/>
      <c r="USE363" s="35"/>
      <c r="USF363" s="35"/>
      <c r="USG363" s="34"/>
      <c r="USH363" s="34"/>
      <c r="USI363" s="36"/>
      <c r="USJ363" s="36"/>
      <c r="USK363" s="37"/>
      <c r="USL363" s="37"/>
      <c r="USM363" s="38"/>
      <c r="USN363" s="38"/>
      <c r="USO363" s="39"/>
      <c r="USP363" s="34"/>
      <c r="USQ363" s="34"/>
      <c r="USR363" s="34"/>
      <c r="USS363" s="35"/>
      <c r="UST363" s="35"/>
      <c r="USU363" s="35"/>
      <c r="USV363" s="35"/>
      <c r="USW363" s="35"/>
      <c r="USX363" s="34"/>
      <c r="USY363" s="34"/>
      <c r="USZ363" s="36"/>
      <c r="UTA363" s="36"/>
      <c r="UTB363" s="37"/>
      <c r="UTC363" s="37"/>
      <c r="UTD363" s="38"/>
      <c r="UTE363" s="38"/>
      <c r="UTF363" s="39"/>
      <c r="UTG363" s="34"/>
      <c r="UTH363" s="34"/>
      <c r="UTI363" s="34"/>
      <c r="UTJ363" s="35"/>
      <c r="UTK363" s="35"/>
      <c r="UTL363" s="35"/>
      <c r="UTM363" s="35"/>
      <c r="UTN363" s="35"/>
      <c r="UTO363" s="34"/>
      <c r="UTP363" s="34"/>
      <c r="UTQ363" s="36"/>
      <c r="UTR363" s="36"/>
      <c r="UTS363" s="37"/>
      <c r="UTT363" s="37"/>
      <c r="UTU363" s="38"/>
      <c r="UTV363" s="38"/>
      <c r="UTW363" s="39"/>
      <c r="UTX363" s="34"/>
      <c r="UTY363" s="34"/>
      <c r="UTZ363" s="34"/>
      <c r="UUA363" s="35"/>
      <c r="UUB363" s="35"/>
      <c r="UUC363" s="35"/>
      <c r="UUD363" s="35"/>
      <c r="UUE363" s="35"/>
      <c r="UUF363" s="34"/>
      <c r="UUG363" s="34"/>
      <c r="UUH363" s="36"/>
      <c r="UUI363" s="36"/>
      <c r="UUJ363" s="37"/>
      <c r="UUK363" s="37"/>
      <c r="UUL363" s="38"/>
      <c r="UUM363" s="38"/>
      <c r="UUN363" s="39"/>
      <c r="UUO363" s="34"/>
      <c r="UUP363" s="34"/>
      <c r="UUQ363" s="34"/>
      <c r="UUR363" s="35"/>
      <c r="UUS363" s="35"/>
      <c r="UUT363" s="35"/>
      <c r="UUU363" s="35"/>
      <c r="UUV363" s="35"/>
      <c r="UUW363" s="34"/>
      <c r="UUX363" s="34"/>
      <c r="UUY363" s="36"/>
      <c r="UUZ363" s="36"/>
      <c r="UVA363" s="37"/>
      <c r="UVB363" s="37"/>
      <c r="UVC363" s="38"/>
      <c r="UVD363" s="38"/>
      <c r="UVE363" s="39"/>
      <c r="UVF363" s="34"/>
      <c r="UVG363" s="34"/>
      <c r="UVH363" s="34"/>
      <c r="UVI363" s="35"/>
      <c r="UVJ363" s="35"/>
      <c r="UVK363" s="35"/>
      <c r="UVL363" s="35"/>
      <c r="UVM363" s="35"/>
      <c r="UVN363" s="34"/>
      <c r="UVO363" s="34"/>
      <c r="UVP363" s="36"/>
      <c r="UVQ363" s="36"/>
      <c r="UVR363" s="37"/>
      <c r="UVS363" s="37"/>
      <c r="UVT363" s="38"/>
      <c r="UVU363" s="38"/>
      <c r="UVV363" s="39"/>
      <c r="UVW363" s="34"/>
      <c r="UVX363" s="34"/>
      <c r="UVY363" s="34"/>
      <c r="UVZ363" s="35"/>
      <c r="UWA363" s="35"/>
      <c r="UWB363" s="35"/>
      <c r="UWC363" s="35"/>
      <c r="UWD363" s="35"/>
      <c r="UWE363" s="34"/>
      <c r="UWF363" s="34"/>
      <c r="UWG363" s="36"/>
      <c r="UWH363" s="36"/>
      <c r="UWI363" s="37"/>
      <c r="UWJ363" s="37"/>
      <c r="UWK363" s="38"/>
      <c r="UWL363" s="38"/>
      <c r="UWM363" s="39"/>
      <c r="UWN363" s="34"/>
      <c r="UWO363" s="34"/>
      <c r="UWP363" s="34"/>
      <c r="UWQ363" s="35"/>
      <c r="UWR363" s="35"/>
      <c r="UWS363" s="35"/>
      <c r="UWT363" s="35"/>
      <c r="UWU363" s="35"/>
      <c r="UWV363" s="34"/>
      <c r="UWW363" s="34"/>
      <c r="UWX363" s="36"/>
      <c r="UWY363" s="36"/>
      <c r="UWZ363" s="37"/>
      <c r="UXA363" s="37"/>
      <c r="UXB363" s="38"/>
      <c r="UXC363" s="38"/>
      <c r="UXD363" s="39"/>
      <c r="UXE363" s="34"/>
      <c r="UXF363" s="34"/>
      <c r="UXG363" s="34"/>
      <c r="UXH363" s="35"/>
      <c r="UXI363" s="35"/>
      <c r="UXJ363" s="35"/>
      <c r="UXK363" s="35"/>
      <c r="UXL363" s="35"/>
      <c r="UXM363" s="34"/>
      <c r="UXN363" s="34"/>
      <c r="UXO363" s="36"/>
      <c r="UXP363" s="36"/>
      <c r="UXQ363" s="37"/>
      <c r="UXR363" s="37"/>
      <c r="UXS363" s="38"/>
      <c r="UXT363" s="38"/>
      <c r="UXU363" s="39"/>
      <c r="UXV363" s="34"/>
      <c r="UXW363" s="34"/>
      <c r="UXX363" s="34"/>
      <c r="UXY363" s="35"/>
      <c r="UXZ363" s="35"/>
      <c r="UYA363" s="35"/>
      <c r="UYB363" s="35"/>
      <c r="UYC363" s="35"/>
      <c r="UYD363" s="34"/>
      <c r="UYE363" s="34"/>
      <c r="UYF363" s="36"/>
      <c r="UYG363" s="36"/>
      <c r="UYH363" s="37"/>
      <c r="UYI363" s="37"/>
      <c r="UYJ363" s="38"/>
      <c r="UYK363" s="38"/>
      <c r="UYL363" s="39"/>
      <c r="UYM363" s="34"/>
      <c r="UYN363" s="34"/>
      <c r="UYO363" s="34"/>
      <c r="UYP363" s="35"/>
      <c r="UYQ363" s="35"/>
      <c r="UYR363" s="35"/>
      <c r="UYS363" s="35"/>
      <c r="UYT363" s="35"/>
      <c r="UYU363" s="34"/>
      <c r="UYV363" s="34"/>
      <c r="UYW363" s="36"/>
      <c r="UYX363" s="36"/>
      <c r="UYY363" s="37"/>
      <c r="UYZ363" s="37"/>
      <c r="UZA363" s="38"/>
      <c r="UZB363" s="38"/>
      <c r="UZC363" s="39"/>
      <c r="UZD363" s="34"/>
      <c r="UZE363" s="34"/>
      <c r="UZF363" s="34"/>
      <c r="UZG363" s="35"/>
      <c r="UZH363" s="35"/>
      <c r="UZI363" s="35"/>
      <c r="UZJ363" s="35"/>
      <c r="UZK363" s="35"/>
      <c r="UZL363" s="34"/>
      <c r="UZM363" s="34"/>
      <c r="UZN363" s="36"/>
      <c r="UZO363" s="36"/>
      <c r="UZP363" s="37"/>
      <c r="UZQ363" s="37"/>
      <c r="UZR363" s="38"/>
      <c r="UZS363" s="38"/>
      <c r="UZT363" s="39"/>
      <c r="UZU363" s="34"/>
      <c r="UZV363" s="34"/>
      <c r="UZW363" s="34"/>
      <c r="UZX363" s="35"/>
      <c r="UZY363" s="35"/>
      <c r="UZZ363" s="35"/>
      <c r="VAA363" s="35"/>
      <c r="VAB363" s="35"/>
      <c r="VAC363" s="34"/>
      <c r="VAD363" s="34"/>
      <c r="VAE363" s="36"/>
      <c r="VAF363" s="36"/>
      <c r="VAG363" s="37"/>
      <c r="VAH363" s="37"/>
      <c r="VAI363" s="38"/>
      <c r="VAJ363" s="38"/>
      <c r="VAK363" s="39"/>
      <c r="VAL363" s="34"/>
      <c r="VAM363" s="34"/>
      <c r="VAN363" s="34"/>
      <c r="VAO363" s="35"/>
      <c r="VAP363" s="35"/>
      <c r="VAQ363" s="35"/>
      <c r="VAR363" s="35"/>
      <c r="VAS363" s="35"/>
      <c r="VAT363" s="34"/>
      <c r="VAU363" s="34"/>
      <c r="VAV363" s="36"/>
      <c r="VAW363" s="36"/>
      <c r="VAX363" s="37"/>
      <c r="VAY363" s="37"/>
      <c r="VAZ363" s="38"/>
      <c r="VBA363" s="38"/>
      <c r="VBB363" s="39"/>
      <c r="VBC363" s="34"/>
      <c r="VBD363" s="34"/>
      <c r="VBE363" s="34"/>
      <c r="VBF363" s="35"/>
      <c r="VBG363" s="35"/>
      <c r="VBH363" s="35"/>
      <c r="VBI363" s="35"/>
      <c r="VBJ363" s="35"/>
      <c r="VBK363" s="34"/>
      <c r="VBL363" s="34"/>
      <c r="VBM363" s="36"/>
      <c r="VBN363" s="36"/>
      <c r="VBO363" s="37"/>
      <c r="VBP363" s="37"/>
      <c r="VBQ363" s="38"/>
      <c r="VBR363" s="38"/>
      <c r="VBS363" s="39"/>
      <c r="VBT363" s="34"/>
      <c r="VBU363" s="34"/>
      <c r="VBV363" s="34"/>
      <c r="VBW363" s="35"/>
      <c r="VBX363" s="35"/>
      <c r="VBY363" s="35"/>
      <c r="VBZ363" s="35"/>
      <c r="VCA363" s="35"/>
      <c r="VCB363" s="34"/>
      <c r="VCC363" s="34"/>
      <c r="VCD363" s="36"/>
      <c r="VCE363" s="36"/>
      <c r="VCF363" s="37"/>
      <c r="VCG363" s="37"/>
      <c r="VCH363" s="38"/>
      <c r="VCI363" s="38"/>
      <c r="VCJ363" s="39"/>
      <c r="VCK363" s="34"/>
      <c r="VCL363" s="34"/>
      <c r="VCM363" s="34"/>
      <c r="VCN363" s="35"/>
      <c r="VCO363" s="35"/>
      <c r="VCP363" s="35"/>
      <c r="VCQ363" s="35"/>
      <c r="VCR363" s="35"/>
      <c r="VCS363" s="34"/>
      <c r="VCT363" s="34"/>
      <c r="VCU363" s="36"/>
      <c r="VCV363" s="36"/>
      <c r="VCW363" s="37"/>
      <c r="VCX363" s="37"/>
      <c r="VCY363" s="38"/>
      <c r="VCZ363" s="38"/>
      <c r="VDA363" s="39"/>
      <c r="VDB363" s="34"/>
      <c r="VDC363" s="34"/>
      <c r="VDD363" s="34"/>
      <c r="VDE363" s="35"/>
      <c r="VDF363" s="35"/>
      <c r="VDG363" s="35"/>
      <c r="VDH363" s="35"/>
      <c r="VDI363" s="35"/>
      <c r="VDJ363" s="34"/>
      <c r="VDK363" s="34"/>
      <c r="VDL363" s="36"/>
      <c r="VDM363" s="36"/>
      <c r="VDN363" s="37"/>
      <c r="VDO363" s="37"/>
      <c r="VDP363" s="38"/>
      <c r="VDQ363" s="38"/>
      <c r="VDR363" s="39"/>
      <c r="VDS363" s="34"/>
      <c r="VDT363" s="34"/>
      <c r="VDU363" s="34"/>
      <c r="VDV363" s="35"/>
      <c r="VDW363" s="35"/>
      <c r="VDX363" s="35"/>
      <c r="VDY363" s="35"/>
      <c r="VDZ363" s="35"/>
      <c r="VEA363" s="34"/>
      <c r="VEB363" s="34"/>
      <c r="VEC363" s="36"/>
      <c r="VED363" s="36"/>
      <c r="VEE363" s="37"/>
      <c r="VEF363" s="37"/>
      <c r="VEG363" s="38"/>
      <c r="VEH363" s="38"/>
      <c r="VEI363" s="39"/>
      <c r="VEJ363" s="34"/>
      <c r="VEK363" s="34"/>
      <c r="VEL363" s="34"/>
      <c r="VEM363" s="35"/>
      <c r="VEN363" s="35"/>
      <c r="VEO363" s="35"/>
      <c r="VEP363" s="35"/>
      <c r="VEQ363" s="35"/>
      <c r="VER363" s="34"/>
      <c r="VES363" s="34"/>
      <c r="VET363" s="36"/>
      <c r="VEU363" s="36"/>
      <c r="VEV363" s="37"/>
      <c r="VEW363" s="37"/>
      <c r="VEX363" s="38"/>
      <c r="VEY363" s="38"/>
      <c r="VEZ363" s="39"/>
      <c r="VFA363" s="34"/>
      <c r="VFB363" s="34"/>
      <c r="VFC363" s="34"/>
      <c r="VFD363" s="35"/>
      <c r="VFE363" s="35"/>
      <c r="VFF363" s="35"/>
      <c r="VFG363" s="35"/>
      <c r="VFH363" s="35"/>
      <c r="VFI363" s="34"/>
      <c r="VFJ363" s="34"/>
      <c r="VFK363" s="36"/>
      <c r="VFL363" s="36"/>
      <c r="VFM363" s="37"/>
      <c r="VFN363" s="37"/>
      <c r="VFO363" s="38"/>
      <c r="VFP363" s="38"/>
      <c r="VFQ363" s="39"/>
      <c r="VFR363" s="34"/>
      <c r="VFS363" s="34"/>
      <c r="VFT363" s="34"/>
      <c r="VFU363" s="35"/>
      <c r="VFV363" s="35"/>
      <c r="VFW363" s="35"/>
      <c r="VFX363" s="35"/>
      <c r="VFY363" s="35"/>
      <c r="VFZ363" s="34"/>
      <c r="VGA363" s="34"/>
      <c r="VGB363" s="36"/>
      <c r="VGC363" s="36"/>
      <c r="VGD363" s="37"/>
      <c r="VGE363" s="37"/>
      <c r="VGF363" s="38"/>
      <c r="VGG363" s="38"/>
      <c r="VGH363" s="39"/>
      <c r="VGI363" s="34"/>
      <c r="VGJ363" s="34"/>
      <c r="VGK363" s="34"/>
      <c r="VGL363" s="35"/>
      <c r="VGM363" s="35"/>
      <c r="VGN363" s="35"/>
      <c r="VGO363" s="35"/>
      <c r="VGP363" s="35"/>
      <c r="VGQ363" s="34"/>
      <c r="VGR363" s="34"/>
      <c r="VGS363" s="36"/>
      <c r="VGT363" s="36"/>
      <c r="VGU363" s="37"/>
      <c r="VGV363" s="37"/>
      <c r="VGW363" s="38"/>
      <c r="VGX363" s="38"/>
      <c r="VGY363" s="39"/>
      <c r="VGZ363" s="34"/>
      <c r="VHA363" s="34"/>
      <c r="VHB363" s="34"/>
      <c r="VHC363" s="35"/>
      <c r="VHD363" s="35"/>
      <c r="VHE363" s="35"/>
      <c r="VHF363" s="35"/>
      <c r="VHG363" s="35"/>
      <c r="VHH363" s="34"/>
      <c r="VHI363" s="34"/>
      <c r="VHJ363" s="36"/>
      <c r="VHK363" s="36"/>
      <c r="VHL363" s="37"/>
      <c r="VHM363" s="37"/>
      <c r="VHN363" s="38"/>
      <c r="VHO363" s="38"/>
      <c r="VHP363" s="39"/>
      <c r="VHQ363" s="34"/>
      <c r="VHR363" s="34"/>
      <c r="VHS363" s="34"/>
      <c r="VHT363" s="35"/>
      <c r="VHU363" s="35"/>
      <c r="VHV363" s="35"/>
      <c r="VHW363" s="35"/>
      <c r="VHX363" s="35"/>
      <c r="VHY363" s="34"/>
      <c r="VHZ363" s="34"/>
      <c r="VIA363" s="36"/>
      <c r="VIB363" s="36"/>
      <c r="VIC363" s="37"/>
      <c r="VID363" s="37"/>
      <c r="VIE363" s="38"/>
      <c r="VIF363" s="38"/>
      <c r="VIG363" s="39"/>
      <c r="VIH363" s="34"/>
      <c r="VII363" s="34"/>
      <c r="VIJ363" s="34"/>
      <c r="VIK363" s="35"/>
      <c r="VIL363" s="35"/>
      <c r="VIM363" s="35"/>
      <c r="VIN363" s="35"/>
      <c r="VIO363" s="35"/>
      <c r="VIP363" s="34"/>
      <c r="VIQ363" s="34"/>
      <c r="VIR363" s="36"/>
      <c r="VIS363" s="36"/>
      <c r="VIT363" s="37"/>
      <c r="VIU363" s="37"/>
      <c r="VIV363" s="38"/>
      <c r="VIW363" s="38"/>
      <c r="VIX363" s="39"/>
      <c r="VIY363" s="34"/>
      <c r="VIZ363" s="34"/>
      <c r="VJA363" s="34"/>
      <c r="VJB363" s="35"/>
      <c r="VJC363" s="35"/>
      <c r="VJD363" s="35"/>
      <c r="VJE363" s="35"/>
      <c r="VJF363" s="35"/>
      <c r="VJG363" s="34"/>
      <c r="VJH363" s="34"/>
      <c r="VJI363" s="36"/>
      <c r="VJJ363" s="36"/>
      <c r="VJK363" s="37"/>
      <c r="VJL363" s="37"/>
      <c r="VJM363" s="38"/>
      <c r="VJN363" s="38"/>
      <c r="VJO363" s="39"/>
      <c r="VJP363" s="34"/>
      <c r="VJQ363" s="34"/>
      <c r="VJR363" s="34"/>
      <c r="VJS363" s="35"/>
      <c r="VJT363" s="35"/>
      <c r="VJU363" s="35"/>
      <c r="VJV363" s="35"/>
      <c r="VJW363" s="35"/>
      <c r="VJX363" s="34"/>
      <c r="VJY363" s="34"/>
      <c r="VJZ363" s="36"/>
      <c r="VKA363" s="36"/>
      <c r="VKB363" s="37"/>
      <c r="VKC363" s="37"/>
      <c r="VKD363" s="38"/>
      <c r="VKE363" s="38"/>
      <c r="VKF363" s="39"/>
      <c r="VKG363" s="34"/>
      <c r="VKH363" s="34"/>
      <c r="VKI363" s="34"/>
      <c r="VKJ363" s="35"/>
      <c r="VKK363" s="35"/>
      <c r="VKL363" s="35"/>
      <c r="VKM363" s="35"/>
      <c r="VKN363" s="35"/>
      <c r="VKO363" s="34"/>
      <c r="VKP363" s="34"/>
      <c r="VKQ363" s="36"/>
      <c r="VKR363" s="36"/>
      <c r="VKS363" s="37"/>
      <c r="VKT363" s="37"/>
      <c r="VKU363" s="38"/>
      <c r="VKV363" s="38"/>
      <c r="VKW363" s="39"/>
      <c r="VKX363" s="34"/>
      <c r="VKY363" s="34"/>
      <c r="VKZ363" s="34"/>
      <c r="VLA363" s="35"/>
      <c r="VLB363" s="35"/>
      <c r="VLC363" s="35"/>
      <c r="VLD363" s="35"/>
      <c r="VLE363" s="35"/>
      <c r="VLF363" s="34"/>
      <c r="VLG363" s="34"/>
      <c r="VLH363" s="36"/>
      <c r="VLI363" s="36"/>
      <c r="VLJ363" s="37"/>
      <c r="VLK363" s="37"/>
      <c r="VLL363" s="38"/>
      <c r="VLM363" s="38"/>
      <c r="VLN363" s="39"/>
      <c r="VLO363" s="34"/>
      <c r="VLP363" s="34"/>
      <c r="VLQ363" s="34"/>
      <c r="VLR363" s="35"/>
      <c r="VLS363" s="35"/>
      <c r="VLT363" s="35"/>
      <c r="VLU363" s="35"/>
      <c r="VLV363" s="35"/>
      <c r="VLW363" s="34"/>
      <c r="VLX363" s="34"/>
      <c r="VLY363" s="36"/>
      <c r="VLZ363" s="36"/>
      <c r="VMA363" s="37"/>
      <c r="VMB363" s="37"/>
      <c r="VMC363" s="38"/>
      <c r="VMD363" s="38"/>
      <c r="VME363" s="39"/>
      <c r="VMF363" s="34"/>
      <c r="VMG363" s="34"/>
      <c r="VMH363" s="34"/>
      <c r="VMI363" s="35"/>
      <c r="VMJ363" s="35"/>
      <c r="VMK363" s="35"/>
      <c r="VML363" s="35"/>
      <c r="VMM363" s="35"/>
      <c r="VMN363" s="34"/>
      <c r="VMO363" s="34"/>
      <c r="VMP363" s="36"/>
      <c r="VMQ363" s="36"/>
      <c r="VMR363" s="37"/>
      <c r="VMS363" s="37"/>
      <c r="VMT363" s="38"/>
      <c r="VMU363" s="38"/>
      <c r="VMV363" s="39"/>
      <c r="VMW363" s="34"/>
      <c r="VMX363" s="34"/>
      <c r="VMY363" s="34"/>
      <c r="VMZ363" s="35"/>
      <c r="VNA363" s="35"/>
      <c r="VNB363" s="35"/>
      <c r="VNC363" s="35"/>
      <c r="VND363" s="35"/>
      <c r="VNE363" s="34"/>
      <c r="VNF363" s="34"/>
      <c r="VNG363" s="36"/>
      <c r="VNH363" s="36"/>
      <c r="VNI363" s="37"/>
      <c r="VNJ363" s="37"/>
      <c r="VNK363" s="38"/>
      <c r="VNL363" s="38"/>
      <c r="VNM363" s="39"/>
      <c r="VNN363" s="34"/>
      <c r="VNO363" s="34"/>
      <c r="VNP363" s="34"/>
      <c r="VNQ363" s="35"/>
      <c r="VNR363" s="35"/>
      <c r="VNS363" s="35"/>
      <c r="VNT363" s="35"/>
      <c r="VNU363" s="35"/>
      <c r="VNV363" s="34"/>
      <c r="VNW363" s="34"/>
      <c r="VNX363" s="36"/>
      <c r="VNY363" s="36"/>
      <c r="VNZ363" s="37"/>
      <c r="VOA363" s="37"/>
      <c r="VOB363" s="38"/>
      <c r="VOC363" s="38"/>
      <c r="VOD363" s="39"/>
      <c r="VOE363" s="34"/>
      <c r="VOF363" s="34"/>
      <c r="VOG363" s="34"/>
      <c r="VOH363" s="35"/>
      <c r="VOI363" s="35"/>
      <c r="VOJ363" s="35"/>
      <c r="VOK363" s="35"/>
      <c r="VOL363" s="35"/>
      <c r="VOM363" s="34"/>
      <c r="VON363" s="34"/>
      <c r="VOO363" s="36"/>
      <c r="VOP363" s="36"/>
      <c r="VOQ363" s="37"/>
      <c r="VOR363" s="37"/>
      <c r="VOS363" s="38"/>
      <c r="VOT363" s="38"/>
      <c r="VOU363" s="39"/>
      <c r="VOV363" s="34"/>
      <c r="VOW363" s="34"/>
      <c r="VOX363" s="34"/>
      <c r="VOY363" s="35"/>
      <c r="VOZ363" s="35"/>
      <c r="VPA363" s="35"/>
      <c r="VPB363" s="35"/>
      <c r="VPC363" s="35"/>
      <c r="VPD363" s="34"/>
      <c r="VPE363" s="34"/>
      <c r="VPF363" s="36"/>
      <c r="VPG363" s="36"/>
      <c r="VPH363" s="37"/>
      <c r="VPI363" s="37"/>
      <c r="VPJ363" s="38"/>
      <c r="VPK363" s="38"/>
      <c r="VPL363" s="39"/>
      <c r="VPM363" s="34"/>
      <c r="VPN363" s="34"/>
      <c r="VPO363" s="34"/>
      <c r="VPP363" s="35"/>
      <c r="VPQ363" s="35"/>
      <c r="VPR363" s="35"/>
      <c r="VPS363" s="35"/>
      <c r="VPT363" s="35"/>
      <c r="VPU363" s="34"/>
      <c r="VPV363" s="34"/>
      <c r="VPW363" s="36"/>
      <c r="VPX363" s="36"/>
      <c r="VPY363" s="37"/>
      <c r="VPZ363" s="37"/>
      <c r="VQA363" s="38"/>
      <c r="VQB363" s="38"/>
      <c r="VQC363" s="39"/>
      <c r="VQD363" s="34"/>
      <c r="VQE363" s="34"/>
      <c r="VQF363" s="34"/>
      <c r="VQG363" s="35"/>
      <c r="VQH363" s="35"/>
      <c r="VQI363" s="35"/>
      <c r="VQJ363" s="35"/>
      <c r="VQK363" s="35"/>
      <c r="VQL363" s="34"/>
      <c r="VQM363" s="34"/>
      <c r="VQN363" s="36"/>
      <c r="VQO363" s="36"/>
      <c r="VQP363" s="37"/>
      <c r="VQQ363" s="37"/>
      <c r="VQR363" s="38"/>
      <c r="VQS363" s="38"/>
      <c r="VQT363" s="39"/>
      <c r="VQU363" s="34"/>
      <c r="VQV363" s="34"/>
      <c r="VQW363" s="34"/>
      <c r="VQX363" s="35"/>
      <c r="VQY363" s="35"/>
      <c r="VQZ363" s="35"/>
      <c r="VRA363" s="35"/>
      <c r="VRB363" s="35"/>
      <c r="VRC363" s="34"/>
      <c r="VRD363" s="34"/>
      <c r="VRE363" s="36"/>
      <c r="VRF363" s="36"/>
      <c r="VRG363" s="37"/>
      <c r="VRH363" s="37"/>
      <c r="VRI363" s="38"/>
      <c r="VRJ363" s="38"/>
      <c r="VRK363" s="39"/>
      <c r="VRL363" s="34"/>
      <c r="VRM363" s="34"/>
      <c r="VRN363" s="34"/>
      <c r="VRO363" s="35"/>
      <c r="VRP363" s="35"/>
      <c r="VRQ363" s="35"/>
      <c r="VRR363" s="35"/>
      <c r="VRS363" s="35"/>
      <c r="VRT363" s="34"/>
      <c r="VRU363" s="34"/>
      <c r="VRV363" s="36"/>
      <c r="VRW363" s="36"/>
      <c r="VRX363" s="37"/>
      <c r="VRY363" s="37"/>
      <c r="VRZ363" s="38"/>
      <c r="VSA363" s="38"/>
      <c r="VSB363" s="39"/>
      <c r="VSC363" s="34"/>
      <c r="VSD363" s="34"/>
      <c r="VSE363" s="34"/>
      <c r="VSF363" s="35"/>
      <c r="VSG363" s="35"/>
      <c r="VSH363" s="35"/>
      <c r="VSI363" s="35"/>
      <c r="VSJ363" s="35"/>
      <c r="VSK363" s="34"/>
      <c r="VSL363" s="34"/>
      <c r="VSM363" s="36"/>
      <c r="VSN363" s="36"/>
      <c r="VSO363" s="37"/>
      <c r="VSP363" s="37"/>
      <c r="VSQ363" s="38"/>
      <c r="VSR363" s="38"/>
      <c r="VSS363" s="39"/>
      <c r="VST363" s="34"/>
      <c r="VSU363" s="34"/>
      <c r="VSV363" s="34"/>
      <c r="VSW363" s="35"/>
      <c r="VSX363" s="35"/>
      <c r="VSY363" s="35"/>
      <c r="VSZ363" s="35"/>
      <c r="VTA363" s="35"/>
      <c r="VTB363" s="34"/>
      <c r="VTC363" s="34"/>
      <c r="VTD363" s="36"/>
      <c r="VTE363" s="36"/>
      <c r="VTF363" s="37"/>
      <c r="VTG363" s="37"/>
      <c r="VTH363" s="38"/>
      <c r="VTI363" s="38"/>
      <c r="VTJ363" s="39"/>
      <c r="VTK363" s="34"/>
      <c r="VTL363" s="34"/>
      <c r="VTM363" s="34"/>
      <c r="VTN363" s="35"/>
      <c r="VTO363" s="35"/>
      <c r="VTP363" s="35"/>
      <c r="VTQ363" s="35"/>
      <c r="VTR363" s="35"/>
      <c r="VTS363" s="34"/>
      <c r="VTT363" s="34"/>
      <c r="VTU363" s="36"/>
      <c r="VTV363" s="36"/>
      <c r="VTW363" s="37"/>
      <c r="VTX363" s="37"/>
      <c r="VTY363" s="38"/>
      <c r="VTZ363" s="38"/>
      <c r="VUA363" s="39"/>
      <c r="VUB363" s="34"/>
      <c r="VUC363" s="34"/>
      <c r="VUD363" s="34"/>
      <c r="VUE363" s="35"/>
      <c r="VUF363" s="35"/>
      <c r="VUG363" s="35"/>
      <c r="VUH363" s="35"/>
      <c r="VUI363" s="35"/>
      <c r="VUJ363" s="34"/>
      <c r="VUK363" s="34"/>
      <c r="VUL363" s="36"/>
      <c r="VUM363" s="36"/>
      <c r="VUN363" s="37"/>
      <c r="VUO363" s="37"/>
      <c r="VUP363" s="38"/>
      <c r="VUQ363" s="38"/>
      <c r="VUR363" s="39"/>
      <c r="VUS363" s="34"/>
      <c r="VUT363" s="34"/>
      <c r="VUU363" s="34"/>
      <c r="VUV363" s="35"/>
      <c r="VUW363" s="35"/>
      <c r="VUX363" s="35"/>
      <c r="VUY363" s="35"/>
      <c r="VUZ363" s="35"/>
      <c r="VVA363" s="34"/>
      <c r="VVB363" s="34"/>
      <c r="VVC363" s="36"/>
      <c r="VVD363" s="36"/>
      <c r="VVE363" s="37"/>
      <c r="VVF363" s="37"/>
      <c r="VVG363" s="38"/>
      <c r="VVH363" s="38"/>
      <c r="VVI363" s="39"/>
      <c r="VVJ363" s="34"/>
      <c r="VVK363" s="34"/>
      <c r="VVL363" s="34"/>
      <c r="VVM363" s="35"/>
      <c r="VVN363" s="35"/>
      <c r="VVO363" s="35"/>
      <c r="VVP363" s="35"/>
      <c r="VVQ363" s="35"/>
      <c r="VVR363" s="34"/>
      <c r="VVS363" s="34"/>
      <c r="VVT363" s="36"/>
      <c r="VVU363" s="36"/>
      <c r="VVV363" s="37"/>
      <c r="VVW363" s="37"/>
      <c r="VVX363" s="38"/>
      <c r="VVY363" s="38"/>
      <c r="VVZ363" s="39"/>
      <c r="VWA363" s="34"/>
      <c r="VWB363" s="34"/>
      <c r="VWC363" s="34"/>
      <c r="VWD363" s="35"/>
      <c r="VWE363" s="35"/>
      <c r="VWF363" s="35"/>
      <c r="VWG363" s="35"/>
      <c r="VWH363" s="35"/>
      <c r="VWI363" s="34"/>
      <c r="VWJ363" s="34"/>
      <c r="VWK363" s="36"/>
      <c r="VWL363" s="36"/>
      <c r="VWM363" s="37"/>
      <c r="VWN363" s="37"/>
      <c r="VWO363" s="38"/>
      <c r="VWP363" s="38"/>
      <c r="VWQ363" s="39"/>
      <c r="VWR363" s="34"/>
      <c r="VWS363" s="34"/>
      <c r="VWT363" s="34"/>
      <c r="VWU363" s="35"/>
      <c r="VWV363" s="35"/>
      <c r="VWW363" s="35"/>
      <c r="VWX363" s="35"/>
      <c r="VWY363" s="35"/>
      <c r="VWZ363" s="34"/>
      <c r="VXA363" s="34"/>
      <c r="VXB363" s="36"/>
      <c r="VXC363" s="36"/>
      <c r="VXD363" s="37"/>
      <c r="VXE363" s="37"/>
      <c r="VXF363" s="38"/>
      <c r="VXG363" s="38"/>
      <c r="VXH363" s="39"/>
      <c r="VXI363" s="34"/>
      <c r="VXJ363" s="34"/>
      <c r="VXK363" s="34"/>
      <c r="VXL363" s="35"/>
      <c r="VXM363" s="35"/>
      <c r="VXN363" s="35"/>
      <c r="VXO363" s="35"/>
      <c r="VXP363" s="35"/>
      <c r="VXQ363" s="34"/>
      <c r="VXR363" s="34"/>
      <c r="VXS363" s="36"/>
      <c r="VXT363" s="36"/>
      <c r="VXU363" s="37"/>
      <c r="VXV363" s="37"/>
      <c r="VXW363" s="38"/>
      <c r="VXX363" s="38"/>
      <c r="VXY363" s="39"/>
      <c r="VXZ363" s="34"/>
      <c r="VYA363" s="34"/>
      <c r="VYB363" s="34"/>
      <c r="VYC363" s="35"/>
      <c r="VYD363" s="35"/>
      <c r="VYE363" s="35"/>
      <c r="VYF363" s="35"/>
      <c r="VYG363" s="35"/>
      <c r="VYH363" s="34"/>
      <c r="VYI363" s="34"/>
      <c r="VYJ363" s="36"/>
      <c r="VYK363" s="36"/>
      <c r="VYL363" s="37"/>
      <c r="VYM363" s="37"/>
      <c r="VYN363" s="38"/>
      <c r="VYO363" s="38"/>
      <c r="VYP363" s="39"/>
      <c r="VYQ363" s="34"/>
      <c r="VYR363" s="34"/>
      <c r="VYS363" s="34"/>
      <c r="VYT363" s="35"/>
      <c r="VYU363" s="35"/>
      <c r="VYV363" s="35"/>
      <c r="VYW363" s="35"/>
      <c r="VYX363" s="35"/>
      <c r="VYY363" s="34"/>
      <c r="VYZ363" s="34"/>
      <c r="VZA363" s="36"/>
      <c r="VZB363" s="36"/>
      <c r="VZC363" s="37"/>
      <c r="VZD363" s="37"/>
      <c r="VZE363" s="38"/>
      <c r="VZF363" s="38"/>
      <c r="VZG363" s="39"/>
      <c r="VZH363" s="34"/>
      <c r="VZI363" s="34"/>
      <c r="VZJ363" s="34"/>
      <c r="VZK363" s="35"/>
      <c r="VZL363" s="35"/>
      <c r="VZM363" s="35"/>
      <c r="VZN363" s="35"/>
      <c r="VZO363" s="35"/>
      <c r="VZP363" s="34"/>
      <c r="VZQ363" s="34"/>
      <c r="VZR363" s="36"/>
      <c r="VZS363" s="36"/>
      <c r="VZT363" s="37"/>
      <c r="VZU363" s="37"/>
      <c r="VZV363" s="38"/>
      <c r="VZW363" s="38"/>
      <c r="VZX363" s="39"/>
      <c r="VZY363" s="34"/>
      <c r="VZZ363" s="34"/>
      <c r="WAA363" s="34"/>
      <c r="WAB363" s="35"/>
      <c r="WAC363" s="35"/>
      <c r="WAD363" s="35"/>
      <c r="WAE363" s="35"/>
      <c r="WAF363" s="35"/>
      <c r="WAG363" s="34"/>
      <c r="WAH363" s="34"/>
      <c r="WAI363" s="36"/>
      <c r="WAJ363" s="36"/>
      <c r="WAK363" s="37"/>
      <c r="WAL363" s="37"/>
      <c r="WAM363" s="38"/>
      <c r="WAN363" s="38"/>
      <c r="WAO363" s="39"/>
      <c r="WAP363" s="34"/>
      <c r="WAQ363" s="34"/>
      <c r="WAR363" s="34"/>
      <c r="WAS363" s="35"/>
      <c r="WAT363" s="35"/>
      <c r="WAU363" s="35"/>
      <c r="WAV363" s="35"/>
      <c r="WAW363" s="35"/>
      <c r="WAX363" s="34"/>
      <c r="WAY363" s="34"/>
      <c r="WAZ363" s="36"/>
      <c r="WBA363" s="36"/>
      <c r="WBB363" s="37"/>
      <c r="WBC363" s="37"/>
      <c r="WBD363" s="38"/>
      <c r="WBE363" s="38"/>
      <c r="WBF363" s="39"/>
      <c r="WBG363" s="34"/>
      <c r="WBH363" s="34"/>
      <c r="WBI363" s="34"/>
      <c r="WBJ363" s="35"/>
      <c r="WBK363" s="35"/>
      <c r="WBL363" s="35"/>
      <c r="WBM363" s="35"/>
      <c r="WBN363" s="35"/>
      <c r="WBO363" s="34"/>
      <c r="WBP363" s="34"/>
      <c r="WBQ363" s="36"/>
      <c r="WBR363" s="36"/>
      <c r="WBS363" s="37"/>
      <c r="WBT363" s="37"/>
      <c r="WBU363" s="38"/>
      <c r="WBV363" s="38"/>
      <c r="WBW363" s="39"/>
      <c r="WBX363" s="34"/>
      <c r="WBY363" s="34"/>
      <c r="WBZ363" s="34"/>
      <c r="WCA363" s="35"/>
      <c r="WCB363" s="35"/>
      <c r="WCC363" s="35"/>
      <c r="WCD363" s="35"/>
      <c r="WCE363" s="35"/>
      <c r="WCF363" s="34"/>
      <c r="WCG363" s="34"/>
      <c r="WCH363" s="36"/>
      <c r="WCI363" s="36"/>
      <c r="WCJ363" s="37"/>
      <c r="WCK363" s="37"/>
      <c r="WCL363" s="38"/>
      <c r="WCM363" s="38"/>
      <c r="WCN363" s="39"/>
      <c r="WCO363" s="34"/>
      <c r="WCP363" s="34"/>
      <c r="WCQ363" s="34"/>
      <c r="WCR363" s="35"/>
      <c r="WCS363" s="35"/>
      <c r="WCT363" s="35"/>
      <c r="WCU363" s="35"/>
      <c r="WCV363" s="35"/>
      <c r="WCW363" s="34"/>
      <c r="WCX363" s="34"/>
      <c r="WCY363" s="36"/>
      <c r="WCZ363" s="36"/>
      <c r="WDA363" s="37"/>
      <c r="WDB363" s="37"/>
      <c r="WDC363" s="38"/>
      <c r="WDD363" s="38"/>
      <c r="WDE363" s="39"/>
      <c r="WDF363" s="34"/>
      <c r="WDG363" s="34"/>
      <c r="WDH363" s="34"/>
      <c r="WDI363" s="35"/>
      <c r="WDJ363" s="35"/>
      <c r="WDK363" s="35"/>
      <c r="WDL363" s="35"/>
      <c r="WDM363" s="35"/>
      <c r="WDN363" s="34"/>
      <c r="WDO363" s="34"/>
      <c r="WDP363" s="36"/>
      <c r="WDQ363" s="36"/>
      <c r="WDR363" s="37"/>
      <c r="WDS363" s="37"/>
      <c r="WDT363" s="38"/>
      <c r="WDU363" s="38"/>
      <c r="WDV363" s="39"/>
      <c r="WDW363" s="34"/>
      <c r="WDX363" s="34"/>
      <c r="WDY363" s="34"/>
      <c r="WDZ363" s="35"/>
      <c r="WEA363" s="35"/>
      <c r="WEB363" s="35"/>
      <c r="WEC363" s="35"/>
      <c r="WED363" s="35"/>
      <c r="WEE363" s="34"/>
      <c r="WEF363" s="34"/>
      <c r="WEG363" s="36"/>
      <c r="WEH363" s="36"/>
      <c r="WEI363" s="37"/>
      <c r="WEJ363" s="37"/>
      <c r="WEK363" s="38"/>
      <c r="WEL363" s="38"/>
      <c r="WEM363" s="39"/>
      <c r="WEN363" s="34"/>
      <c r="WEO363" s="34"/>
      <c r="WEP363" s="34"/>
      <c r="WEQ363" s="35"/>
      <c r="WER363" s="35"/>
      <c r="WES363" s="35"/>
      <c r="WET363" s="35"/>
      <c r="WEU363" s="35"/>
      <c r="WEV363" s="34"/>
      <c r="WEW363" s="34"/>
      <c r="WEX363" s="36"/>
      <c r="WEY363" s="36"/>
      <c r="WEZ363" s="37"/>
      <c r="WFA363" s="37"/>
      <c r="WFB363" s="38"/>
      <c r="WFC363" s="38"/>
      <c r="WFD363" s="39"/>
      <c r="WFE363" s="34"/>
      <c r="WFF363" s="34"/>
      <c r="WFG363" s="34"/>
      <c r="WFH363" s="35"/>
      <c r="WFI363" s="35"/>
      <c r="WFJ363" s="35"/>
      <c r="WFK363" s="35"/>
      <c r="WFL363" s="35"/>
      <c r="WFM363" s="34"/>
      <c r="WFN363" s="34"/>
      <c r="WFO363" s="36"/>
      <c r="WFP363" s="36"/>
      <c r="WFQ363" s="37"/>
      <c r="WFR363" s="37"/>
      <c r="WFS363" s="38"/>
      <c r="WFT363" s="38"/>
      <c r="WFU363" s="39"/>
      <c r="WFV363" s="34"/>
      <c r="WFW363" s="34"/>
      <c r="WFX363" s="34"/>
      <c r="WFY363" s="35"/>
      <c r="WFZ363" s="35"/>
      <c r="WGA363" s="35"/>
      <c r="WGB363" s="35"/>
      <c r="WGC363" s="35"/>
      <c r="WGD363" s="34"/>
      <c r="WGE363" s="34"/>
      <c r="WGF363" s="36"/>
      <c r="WGG363" s="36"/>
      <c r="WGH363" s="37"/>
      <c r="WGI363" s="37"/>
      <c r="WGJ363" s="38"/>
      <c r="WGK363" s="38"/>
      <c r="WGL363" s="39"/>
      <c r="WGM363" s="34"/>
      <c r="WGN363" s="34"/>
      <c r="WGO363" s="34"/>
      <c r="WGP363" s="35"/>
      <c r="WGQ363" s="35"/>
      <c r="WGR363" s="35"/>
      <c r="WGS363" s="35"/>
      <c r="WGT363" s="35"/>
      <c r="WGU363" s="34"/>
      <c r="WGV363" s="34"/>
      <c r="WGW363" s="36"/>
      <c r="WGX363" s="36"/>
      <c r="WGY363" s="37"/>
      <c r="WGZ363" s="37"/>
      <c r="WHA363" s="38"/>
      <c r="WHB363" s="38"/>
      <c r="WHC363" s="39"/>
      <c r="WHD363" s="34"/>
      <c r="WHE363" s="34"/>
      <c r="WHF363" s="34"/>
      <c r="WHG363" s="35"/>
      <c r="WHH363" s="35"/>
      <c r="WHI363" s="35"/>
      <c r="WHJ363" s="35"/>
      <c r="WHK363" s="35"/>
      <c r="WHL363" s="34"/>
      <c r="WHM363" s="34"/>
      <c r="WHN363" s="36"/>
      <c r="WHO363" s="36"/>
      <c r="WHP363" s="37"/>
      <c r="WHQ363" s="37"/>
      <c r="WHR363" s="38"/>
      <c r="WHS363" s="38"/>
      <c r="WHT363" s="39"/>
      <c r="WHU363" s="34"/>
      <c r="WHV363" s="34"/>
      <c r="WHW363" s="34"/>
      <c r="WHX363" s="35"/>
      <c r="WHY363" s="35"/>
      <c r="WHZ363" s="35"/>
      <c r="WIA363" s="35"/>
      <c r="WIB363" s="35"/>
      <c r="WIC363" s="34"/>
      <c r="WID363" s="34"/>
      <c r="WIE363" s="36"/>
      <c r="WIF363" s="36"/>
      <c r="WIG363" s="37"/>
      <c r="WIH363" s="37"/>
      <c r="WII363" s="38"/>
      <c r="WIJ363" s="38"/>
      <c r="WIK363" s="39"/>
      <c r="WIL363" s="34"/>
      <c r="WIM363" s="34"/>
      <c r="WIN363" s="34"/>
      <c r="WIO363" s="35"/>
      <c r="WIP363" s="35"/>
      <c r="WIQ363" s="35"/>
      <c r="WIR363" s="35"/>
      <c r="WIS363" s="35"/>
      <c r="WIT363" s="34"/>
      <c r="WIU363" s="34"/>
      <c r="WIV363" s="36"/>
      <c r="WIW363" s="36"/>
      <c r="WIX363" s="37"/>
      <c r="WIY363" s="37"/>
      <c r="WIZ363" s="38"/>
      <c r="WJA363" s="38"/>
      <c r="WJB363" s="39"/>
      <c r="WJC363" s="34"/>
      <c r="WJD363" s="34"/>
      <c r="WJE363" s="34"/>
      <c r="WJF363" s="35"/>
      <c r="WJG363" s="35"/>
      <c r="WJH363" s="35"/>
      <c r="WJI363" s="35"/>
      <c r="WJJ363" s="35"/>
      <c r="WJK363" s="34"/>
      <c r="WJL363" s="34"/>
      <c r="WJM363" s="36"/>
      <c r="WJN363" s="36"/>
      <c r="WJO363" s="37"/>
      <c r="WJP363" s="37"/>
      <c r="WJQ363" s="38"/>
      <c r="WJR363" s="38"/>
      <c r="WJS363" s="39"/>
      <c r="WJT363" s="34"/>
      <c r="WJU363" s="34"/>
      <c r="WJV363" s="34"/>
      <c r="WJW363" s="35"/>
      <c r="WJX363" s="35"/>
      <c r="WJY363" s="35"/>
      <c r="WJZ363" s="35"/>
      <c r="WKA363" s="35"/>
      <c r="WKB363" s="34"/>
      <c r="WKC363" s="34"/>
      <c r="WKD363" s="36"/>
      <c r="WKE363" s="36"/>
      <c r="WKF363" s="37"/>
      <c r="WKG363" s="37"/>
      <c r="WKH363" s="38"/>
      <c r="WKI363" s="38"/>
      <c r="WKJ363" s="39"/>
      <c r="WKK363" s="34"/>
      <c r="WKL363" s="34"/>
      <c r="WKM363" s="34"/>
      <c r="WKN363" s="35"/>
      <c r="WKO363" s="35"/>
      <c r="WKP363" s="35"/>
      <c r="WKQ363" s="35"/>
      <c r="WKR363" s="35"/>
      <c r="WKS363" s="34"/>
      <c r="WKT363" s="34"/>
      <c r="WKU363" s="36"/>
      <c r="WKV363" s="36"/>
      <c r="WKW363" s="37"/>
      <c r="WKX363" s="37"/>
      <c r="WKY363" s="38"/>
      <c r="WKZ363" s="38"/>
      <c r="WLA363" s="39"/>
      <c r="WLB363" s="34"/>
      <c r="WLC363" s="34"/>
      <c r="WLD363" s="34"/>
      <c r="WLE363" s="35"/>
      <c r="WLF363" s="35"/>
      <c r="WLG363" s="35"/>
      <c r="WLH363" s="35"/>
      <c r="WLI363" s="35"/>
      <c r="WLJ363" s="34"/>
      <c r="WLK363" s="34"/>
      <c r="WLL363" s="36"/>
      <c r="WLM363" s="36"/>
      <c r="WLN363" s="37"/>
      <c r="WLO363" s="37"/>
      <c r="WLP363" s="38"/>
      <c r="WLQ363" s="38"/>
      <c r="WLR363" s="39"/>
      <c r="WLS363" s="34"/>
      <c r="WLT363" s="34"/>
      <c r="WLU363" s="34"/>
      <c r="WLV363" s="35"/>
      <c r="WLW363" s="35"/>
      <c r="WLX363" s="35"/>
      <c r="WLY363" s="35"/>
      <c r="WLZ363" s="35"/>
      <c r="WMA363" s="34"/>
      <c r="WMB363" s="34"/>
      <c r="WMC363" s="36"/>
      <c r="WMD363" s="36"/>
      <c r="WME363" s="37"/>
      <c r="WMF363" s="37"/>
      <c r="WMG363" s="38"/>
      <c r="WMH363" s="38"/>
      <c r="WMI363" s="39"/>
      <c r="WMJ363" s="34"/>
      <c r="WMK363" s="34"/>
      <c r="WML363" s="34"/>
      <c r="WMM363" s="35"/>
      <c r="WMN363" s="35"/>
      <c r="WMO363" s="35"/>
      <c r="WMP363" s="35"/>
      <c r="WMQ363" s="35"/>
      <c r="WMR363" s="34"/>
      <c r="WMS363" s="34"/>
      <c r="WMT363" s="36"/>
      <c r="WMU363" s="36"/>
      <c r="WMV363" s="37"/>
      <c r="WMW363" s="37"/>
      <c r="WMX363" s="38"/>
      <c r="WMY363" s="38"/>
      <c r="WMZ363" s="39"/>
      <c r="WNA363" s="34"/>
      <c r="WNB363" s="34"/>
      <c r="WNC363" s="34"/>
      <c r="WND363" s="35"/>
      <c r="WNE363" s="35"/>
      <c r="WNF363" s="35"/>
      <c r="WNG363" s="35"/>
      <c r="WNH363" s="35"/>
      <c r="WNI363" s="34"/>
      <c r="WNJ363" s="34"/>
      <c r="WNK363" s="36"/>
      <c r="WNL363" s="36"/>
      <c r="WNM363" s="37"/>
      <c r="WNN363" s="37"/>
      <c r="WNO363" s="38"/>
      <c r="WNP363" s="38"/>
      <c r="WNQ363" s="39"/>
      <c r="WNR363" s="34"/>
      <c r="WNS363" s="34"/>
      <c r="WNT363" s="34"/>
      <c r="WNU363" s="35"/>
      <c r="WNV363" s="35"/>
      <c r="WNW363" s="35"/>
      <c r="WNX363" s="35"/>
      <c r="WNY363" s="35"/>
      <c r="WNZ363" s="34"/>
      <c r="WOA363" s="34"/>
      <c r="WOB363" s="36"/>
      <c r="WOC363" s="36"/>
      <c r="WOD363" s="37"/>
      <c r="WOE363" s="37"/>
      <c r="WOF363" s="38"/>
      <c r="WOG363" s="38"/>
      <c r="WOH363" s="39"/>
      <c r="WOI363" s="34"/>
      <c r="WOJ363" s="34"/>
      <c r="WOK363" s="34"/>
      <c r="WOL363" s="35"/>
      <c r="WOM363" s="35"/>
      <c r="WON363" s="35"/>
      <c r="WOO363" s="35"/>
      <c r="WOP363" s="35"/>
      <c r="WOQ363" s="34"/>
      <c r="WOR363" s="34"/>
      <c r="WOS363" s="36"/>
      <c r="WOT363" s="36"/>
      <c r="WOU363" s="37"/>
      <c r="WOV363" s="37"/>
      <c r="WOW363" s="38"/>
      <c r="WOX363" s="38"/>
      <c r="WOY363" s="39"/>
      <c r="WOZ363" s="34"/>
      <c r="WPA363" s="34"/>
      <c r="WPB363" s="34"/>
      <c r="WPC363" s="35"/>
      <c r="WPD363" s="35"/>
      <c r="WPE363" s="35"/>
      <c r="WPF363" s="35"/>
      <c r="WPG363" s="35"/>
      <c r="WPH363" s="34"/>
      <c r="WPI363" s="34"/>
      <c r="WPJ363" s="36"/>
      <c r="WPK363" s="36"/>
      <c r="WPL363" s="37"/>
      <c r="WPM363" s="37"/>
      <c r="WPN363" s="38"/>
      <c r="WPO363" s="38"/>
      <c r="WPP363" s="39"/>
      <c r="WPQ363" s="34"/>
      <c r="WPR363" s="34"/>
      <c r="WPS363" s="34"/>
      <c r="WPT363" s="35"/>
      <c r="WPU363" s="35"/>
      <c r="WPV363" s="35"/>
      <c r="WPW363" s="35"/>
      <c r="WPX363" s="35"/>
      <c r="WPY363" s="34"/>
      <c r="WPZ363" s="34"/>
      <c r="WQA363" s="36"/>
      <c r="WQB363" s="36"/>
      <c r="WQC363" s="37"/>
      <c r="WQD363" s="37"/>
      <c r="WQE363" s="38"/>
      <c r="WQF363" s="38"/>
      <c r="WQG363" s="39"/>
      <c r="WQH363" s="34"/>
      <c r="WQI363" s="34"/>
      <c r="WQJ363" s="34"/>
      <c r="WQK363" s="35"/>
      <c r="WQL363" s="35"/>
      <c r="WQM363" s="35"/>
      <c r="WQN363" s="35"/>
      <c r="WQO363" s="35"/>
      <c r="WQP363" s="34"/>
      <c r="WQQ363" s="34"/>
      <c r="WQR363" s="36"/>
      <c r="WQS363" s="36"/>
      <c r="WQT363" s="37"/>
      <c r="WQU363" s="37"/>
      <c r="WQV363" s="38"/>
      <c r="WQW363" s="38"/>
      <c r="WQX363" s="39"/>
      <c r="WQY363" s="34"/>
      <c r="WQZ363" s="34"/>
      <c r="WRA363" s="34"/>
      <c r="WRB363" s="35"/>
      <c r="WRC363" s="35"/>
      <c r="WRD363" s="35"/>
      <c r="WRE363" s="35"/>
      <c r="WRF363" s="35"/>
      <c r="WRG363" s="34"/>
      <c r="WRH363" s="34"/>
      <c r="WRI363" s="36"/>
      <c r="WRJ363" s="36"/>
      <c r="WRK363" s="37"/>
      <c r="WRL363" s="37"/>
      <c r="WRM363" s="38"/>
      <c r="WRN363" s="38"/>
      <c r="WRO363" s="39"/>
      <c r="WRP363" s="34"/>
      <c r="WRQ363" s="34"/>
      <c r="WRR363" s="34"/>
      <c r="WRS363" s="35"/>
      <c r="WRT363" s="35"/>
      <c r="WRU363" s="35"/>
      <c r="WRV363" s="35"/>
      <c r="WRW363" s="35"/>
      <c r="WRX363" s="34"/>
      <c r="WRY363" s="34"/>
      <c r="WRZ363" s="36"/>
      <c r="WSA363" s="36"/>
      <c r="WSB363" s="37"/>
      <c r="WSC363" s="37"/>
      <c r="WSD363" s="38"/>
      <c r="WSE363" s="38"/>
      <c r="WSF363" s="39"/>
      <c r="WSG363" s="34"/>
      <c r="WSH363" s="34"/>
      <c r="WSI363" s="34"/>
      <c r="WSJ363" s="35"/>
      <c r="WSK363" s="35"/>
      <c r="WSL363" s="35"/>
      <c r="WSM363" s="35"/>
      <c r="WSN363" s="35"/>
      <c r="WSO363" s="34"/>
      <c r="WSP363" s="34"/>
      <c r="WSQ363" s="36"/>
      <c r="WSR363" s="36"/>
      <c r="WSS363" s="37"/>
      <c r="WST363" s="37"/>
      <c r="WSU363" s="38"/>
      <c r="WSV363" s="38"/>
      <c r="WSW363" s="39"/>
      <c r="WSX363" s="34"/>
      <c r="WSY363" s="34"/>
      <c r="WSZ363" s="34"/>
      <c r="WTA363" s="35"/>
      <c r="WTB363" s="35"/>
      <c r="WTC363" s="35"/>
      <c r="WTD363" s="35"/>
      <c r="WTE363" s="35"/>
      <c r="WTF363" s="34"/>
      <c r="WTG363" s="34"/>
      <c r="WTH363" s="36"/>
      <c r="WTI363" s="36"/>
      <c r="WTJ363" s="37"/>
      <c r="WTK363" s="37"/>
      <c r="WTL363" s="38"/>
      <c r="WTM363" s="38"/>
      <c r="WTN363" s="39"/>
      <c r="WTO363" s="34"/>
      <c r="WTP363" s="34"/>
      <c r="WTQ363" s="34"/>
      <c r="WTR363" s="35"/>
      <c r="WTS363" s="35"/>
      <c r="WTT363" s="35"/>
      <c r="WTU363" s="35"/>
      <c r="WTV363" s="35"/>
      <c r="WTW363" s="34"/>
      <c r="WTX363" s="34"/>
      <c r="WTY363" s="36"/>
      <c r="WTZ363" s="36"/>
      <c r="WUA363" s="37"/>
      <c r="WUB363" s="37"/>
      <c r="WUC363" s="38"/>
      <c r="WUD363" s="38"/>
      <c r="WUE363" s="39"/>
      <c r="WUF363" s="34"/>
      <c r="WUG363" s="34"/>
      <c r="WUH363" s="34"/>
      <c r="WUI363" s="35"/>
      <c r="WUJ363" s="35"/>
      <c r="WUK363" s="35"/>
      <c r="WUL363" s="35"/>
      <c r="WUM363" s="35"/>
      <c r="WUN363" s="34"/>
      <c r="WUO363" s="34"/>
      <c r="WUP363" s="36"/>
      <c r="WUQ363" s="36"/>
      <c r="WUR363" s="37"/>
      <c r="WUS363" s="37"/>
      <c r="WUT363" s="38"/>
      <c r="WUU363" s="38"/>
      <c r="WUV363" s="39"/>
      <c r="WUW363" s="34"/>
      <c r="WUX363" s="34"/>
      <c r="WUY363" s="34"/>
      <c r="WUZ363" s="35"/>
      <c r="WVA363" s="35"/>
      <c r="WVB363" s="35"/>
      <c r="WVC363" s="35"/>
      <c r="WVD363" s="35"/>
      <c r="WVE363" s="34"/>
      <c r="WVF363" s="34"/>
      <c r="WVG363" s="36"/>
      <c r="WVH363" s="36"/>
      <c r="WVI363" s="37"/>
      <c r="WVJ363" s="37"/>
      <c r="WVK363" s="38"/>
      <c r="WVL363" s="38"/>
      <c r="WVM363" s="39"/>
      <c r="WVN363" s="34"/>
      <c r="WVO363" s="34"/>
      <c r="WVP363" s="34"/>
      <c r="WVQ363" s="35"/>
      <c r="WVR363" s="35"/>
      <c r="WVS363" s="35"/>
      <c r="WVT363" s="35"/>
      <c r="WVU363" s="35"/>
      <c r="WVV363" s="34"/>
      <c r="WVW363" s="34"/>
      <c r="WVX363" s="36"/>
      <c r="WVY363" s="36"/>
      <c r="WVZ363" s="37"/>
      <c r="WWA363" s="37"/>
      <c r="WWB363" s="38"/>
      <c r="WWC363" s="38"/>
      <c r="WWD363" s="39"/>
      <c r="WWE363" s="34"/>
      <c r="WWF363" s="34"/>
      <c r="WWG363" s="34"/>
      <c r="WWH363" s="35"/>
      <c r="WWI363" s="35"/>
      <c r="WWJ363" s="35"/>
      <c r="WWK363" s="35"/>
      <c r="WWL363" s="35"/>
      <c r="WWM363" s="34"/>
      <c r="WWN363" s="34"/>
      <c r="WWO363" s="36"/>
      <c r="WWP363" s="36"/>
      <c r="WWQ363" s="37"/>
      <c r="WWR363" s="37"/>
      <c r="WWS363" s="38"/>
      <c r="WWT363" s="38"/>
      <c r="WWU363" s="39"/>
      <c r="WWV363" s="34"/>
      <c r="WWW363" s="34"/>
      <c r="WWX363" s="34"/>
      <c r="WWY363" s="35"/>
      <c r="WWZ363" s="35"/>
      <c r="WXA363" s="35"/>
      <c r="WXB363" s="35"/>
      <c r="WXC363" s="35"/>
      <c r="WXD363" s="34"/>
      <c r="WXE363" s="34"/>
      <c r="WXF363" s="36"/>
      <c r="WXG363" s="36"/>
      <c r="WXH363" s="37"/>
      <c r="WXI363" s="37"/>
      <c r="WXJ363" s="38"/>
      <c r="WXK363" s="38"/>
      <c r="WXL363" s="39"/>
      <c r="WXM363" s="34"/>
      <c r="WXN363" s="34"/>
      <c r="WXO363" s="34"/>
      <c r="WXP363" s="35"/>
      <c r="WXQ363" s="35"/>
      <c r="WXR363" s="35"/>
      <c r="WXS363" s="35"/>
      <c r="WXT363" s="35"/>
      <c r="WXU363" s="34"/>
      <c r="WXV363" s="34"/>
      <c r="WXW363" s="36"/>
      <c r="WXX363" s="36"/>
      <c r="WXY363" s="37"/>
      <c r="WXZ363" s="37"/>
      <c r="WYA363" s="38"/>
      <c r="WYB363" s="38"/>
      <c r="WYC363" s="39"/>
      <c r="WYD363" s="34"/>
      <c r="WYE363" s="34"/>
      <c r="WYF363" s="34"/>
      <c r="WYG363" s="35"/>
      <c r="WYH363" s="35"/>
      <c r="WYI363" s="35"/>
      <c r="WYJ363" s="35"/>
      <c r="WYK363" s="35"/>
      <c r="WYL363" s="34"/>
      <c r="WYM363" s="34"/>
      <c r="WYN363" s="36"/>
      <c r="WYO363" s="36"/>
      <c r="WYP363" s="37"/>
      <c r="WYQ363" s="37"/>
      <c r="WYR363" s="38"/>
      <c r="WYS363" s="38"/>
      <c r="WYT363" s="39"/>
      <c r="WYU363" s="34"/>
      <c r="WYV363" s="34"/>
      <c r="WYW363" s="34"/>
      <c r="WYX363" s="35"/>
      <c r="WYY363" s="35"/>
      <c r="WYZ363" s="35"/>
      <c r="WZA363" s="35"/>
      <c r="WZB363" s="35"/>
      <c r="WZC363" s="34"/>
      <c r="WZD363" s="34"/>
      <c r="WZE363" s="36"/>
      <c r="WZF363" s="36"/>
      <c r="WZG363" s="37"/>
      <c r="WZH363" s="37"/>
      <c r="WZI363" s="38"/>
      <c r="WZJ363" s="38"/>
      <c r="WZK363" s="39"/>
      <c r="WZL363" s="34"/>
      <c r="WZM363" s="34"/>
      <c r="WZN363" s="34"/>
      <c r="WZO363" s="35"/>
      <c r="WZP363" s="35"/>
      <c r="WZQ363" s="35"/>
      <c r="WZR363" s="35"/>
      <c r="WZS363" s="35"/>
      <c r="WZT363" s="34"/>
      <c r="WZU363" s="34"/>
      <c r="WZV363" s="36"/>
      <c r="WZW363" s="36"/>
      <c r="WZX363" s="37"/>
      <c r="WZY363" s="37"/>
      <c r="WZZ363" s="38"/>
      <c r="XAA363" s="38"/>
      <c r="XAB363" s="39"/>
      <c r="XAC363" s="34"/>
      <c r="XAD363" s="34"/>
      <c r="XAE363" s="34"/>
      <c r="XAF363" s="35"/>
      <c r="XAG363" s="35"/>
      <c r="XAH363" s="35"/>
      <c r="XAI363" s="35"/>
      <c r="XAJ363" s="35"/>
      <c r="XAK363" s="34"/>
      <c r="XAL363" s="34"/>
      <c r="XAM363" s="36"/>
      <c r="XAN363" s="36"/>
      <c r="XAO363" s="37"/>
      <c r="XAP363" s="37"/>
      <c r="XAQ363" s="38"/>
      <c r="XAR363" s="38"/>
      <c r="XAS363" s="39"/>
      <c r="XAT363" s="34"/>
      <c r="XAU363" s="34"/>
      <c r="XAV363" s="34"/>
      <c r="XAW363" s="35"/>
      <c r="XAX363" s="35"/>
      <c r="XAY363" s="35"/>
      <c r="XAZ363" s="35"/>
      <c r="XBA363" s="35"/>
      <c r="XBB363" s="34"/>
      <c r="XBC363" s="34"/>
      <c r="XBD363" s="36"/>
      <c r="XBE363" s="36"/>
      <c r="XBF363" s="37"/>
      <c r="XBG363" s="37"/>
      <c r="XBH363" s="38"/>
      <c r="XBI363" s="38"/>
      <c r="XBJ363" s="39"/>
      <c r="XBK363" s="34"/>
      <c r="XBL363" s="34"/>
      <c r="XBM363" s="34"/>
      <c r="XBN363" s="35"/>
      <c r="XBO363" s="35"/>
      <c r="XBP363" s="35"/>
      <c r="XBQ363" s="35"/>
      <c r="XBR363" s="35"/>
      <c r="XBS363" s="34"/>
      <c r="XBT363" s="34"/>
      <c r="XBU363" s="36"/>
      <c r="XBV363" s="36"/>
      <c r="XBW363" s="37"/>
      <c r="XBX363" s="37"/>
      <c r="XBY363" s="38"/>
      <c r="XBZ363" s="38"/>
      <c r="XCA363" s="39"/>
      <c r="XCB363" s="34"/>
      <c r="XCC363" s="34"/>
      <c r="XCD363" s="34"/>
      <c r="XCE363" s="35"/>
      <c r="XCF363" s="35"/>
      <c r="XCG363" s="35"/>
      <c r="XCH363" s="35"/>
      <c r="XCI363" s="35"/>
      <c r="XCJ363" s="34"/>
      <c r="XCK363" s="34"/>
      <c r="XCL363" s="36"/>
      <c r="XCM363" s="36"/>
      <c r="XCN363" s="37"/>
      <c r="XCO363" s="37"/>
      <c r="XCP363" s="38"/>
      <c r="XCQ363" s="38"/>
      <c r="XCR363" s="39"/>
      <c r="XCS363" s="34"/>
      <c r="XCT363" s="34"/>
      <c r="XCU363" s="34"/>
      <c r="XCV363" s="35"/>
      <c r="XCW363" s="35"/>
      <c r="XCX363" s="35"/>
      <c r="XCY363" s="35"/>
      <c r="XCZ363" s="35"/>
      <c r="XDA363" s="34"/>
      <c r="XDB363" s="34"/>
      <c r="XDC363" s="36"/>
      <c r="XDD363" s="36"/>
      <c r="XDE363" s="37"/>
      <c r="XDF363" s="37"/>
      <c r="XDG363" s="38"/>
      <c r="XDH363" s="38"/>
      <c r="XDI363" s="39"/>
      <c r="XDJ363" s="34"/>
      <c r="XDK363" s="34"/>
      <c r="XDL363" s="34"/>
      <c r="XDM363" s="35"/>
      <c r="XDN363" s="35"/>
      <c r="XDO363" s="35"/>
      <c r="XDP363" s="35"/>
      <c r="XDQ363" s="35"/>
      <c r="XDR363" s="34"/>
      <c r="XDS363" s="34"/>
      <c r="XDT363" s="36"/>
      <c r="XDU363" s="36"/>
      <c r="XDV363" s="37"/>
      <c r="XDW363" s="37"/>
      <c r="XDX363" s="38"/>
      <c r="XDY363" s="38"/>
      <c r="XDZ363" s="39"/>
      <c r="XEA363" s="34"/>
      <c r="XEB363" s="34"/>
      <c r="XEC363" s="34"/>
      <c r="XED363" s="35"/>
      <c r="XEE363" s="35"/>
      <c r="XEF363" s="35"/>
      <c r="XEG363" s="35"/>
      <c r="XEH363" s="35"/>
      <c r="XEI363" s="34"/>
      <c r="XEJ363" s="34"/>
      <c r="XEK363" s="36"/>
      <c r="XEL363" s="36"/>
      <c r="XEM363" s="37"/>
      <c r="XEN363" s="37"/>
      <c r="XEO363" s="38"/>
      <c r="XEP363" s="38"/>
      <c r="XEQ363" s="39"/>
      <c r="XER363" s="34"/>
      <c r="XES363" s="34"/>
      <c r="XET363" s="34"/>
      <c r="XEU363" s="35"/>
      <c r="XEV363" s="35"/>
      <c r="XEW363" s="35"/>
      <c r="XEX363" s="35"/>
      <c r="XEY363" s="35"/>
      <c r="XEZ363" s="34"/>
      <c r="XFA363" s="34"/>
      <c r="XFB363" s="36"/>
      <c r="XFC363" s="36"/>
      <c r="XFD363" s="37"/>
    </row>
    <row r="364" spans="1:16384" ht="14.25" customHeight="1" x14ac:dyDescent="0.3">
      <c r="A364" s="47">
        <v>0</v>
      </c>
      <c r="B364" s="47">
        <v>2</v>
      </c>
      <c r="C364" s="47">
        <v>5</v>
      </c>
      <c r="D364" s="48" t="s">
        <v>1618</v>
      </c>
      <c r="E364" s="48" t="s">
        <v>161</v>
      </c>
      <c r="F364" s="48" t="s">
        <v>1690</v>
      </c>
      <c r="G364" s="48" t="s">
        <v>1483</v>
      </c>
      <c r="H364" s="48" t="s">
        <v>357</v>
      </c>
      <c r="I364" s="47" t="s">
        <v>1484</v>
      </c>
      <c r="J364" s="47">
        <v>99</v>
      </c>
      <c r="K364" s="49" t="s">
        <v>720</v>
      </c>
      <c r="L364" s="49" t="s">
        <v>703</v>
      </c>
      <c r="M364" s="50" t="s">
        <v>1485</v>
      </c>
      <c r="N364" s="50" t="s">
        <v>1762</v>
      </c>
      <c r="O364" s="51"/>
      <c r="P364" s="51"/>
      <c r="Q364" s="48"/>
      <c r="S364" s="1">
        <f t="shared" si="111"/>
        <v>0</v>
      </c>
      <c r="T364" s="1">
        <f t="shared" si="112"/>
        <v>0</v>
      </c>
      <c r="U364" s="1">
        <f t="shared" si="113"/>
        <v>0</v>
      </c>
      <c r="V364" s="1">
        <f t="shared" si="114"/>
        <v>0</v>
      </c>
      <c r="W364" s="1">
        <f t="shared" si="115"/>
        <v>0</v>
      </c>
      <c r="X364" s="1">
        <f t="shared" si="116"/>
        <v>0</v>
      </c>
      <c r="Y364" s="1">
        <f t="shared" si="117"/>
        <v>0</v>
      </c>
      <c r="Z364" s="1">
        <f t="shared" si="118"/>
        <v>0</v>
      </c>
      <c r="AA364" s="1">
        <f t="shared" si="119"/>
        <v>0</v>
      </c>
      <c r="AB364" s="1">
        <f t="shared" si="120"/>
        <v>0</v>
      </c>
      <c r="AD364" s="1">
        <f t="shared" si="121"/>
        <v>0</v>
      </c>
      <c r="AE364" s="1">
        <f t="shared" si="122"/>
        <v>0</v>
      </c>
      <c r="AF364" s="1">
        <f t="shared" si="107"/>
        <v>0</v>
      </c>
      <c r="AG364" s="1">
        <f t="shared" si="108"/>
        <v>0</v>
      </c>
      <c r="AH364" s="1">
        <f t="shared" si="109"/>
        <v>0</v>
      </c>
      <c r="AI364" s="1">
        <f t="shared" si="110"/>
        <v>1</v>
      </c>
    </row>
    <row r="365" spans="1:16384" ht="14.25" customHeight="1" x14ac:dyDescent="0.3">
      <c r="A365" s="34">
        <v>0</v>
      </c>
      <c r="B365" s="34">
        <v>2</v>
      </c>
      <c r="C365" s="34">
        <v>5</v>
      </c>
      <c r="D365" s="35" t="s">
        <v>1793</v>
      </c>
      <c r="E365" s="35" t="s">
        <v>157</v>
      </c>
      <c r="F365" s="35" t="s">
        <v>1794</v>
      </c>
      <c r="G365" s="35" t="s">
        <v>662</v>
      </c>
      <c r="H365" s="35" t="s">
        <v>357</v>
      </c>
      <c r="I365" s="34" t="s">
        <v>1795</v>
      </c>
      <c r="J365" s="34"/>
      <c r="K365" s="36" t="s">
        <v>710</v>
      </c>
      <c r="L365" s="36">
        <v>40</v>
      </c>
      <c r="M365" s="37" t="s">
        <v>1796</v>
      </c>
      <c r="N365" s="37" t="s">
        <v>1758</v>
      </c>
      <c r="O365" s="38">
        <v>1</v>
      </c>
      <c r="P365" s="38"/>
      <c r="Q365" s="35"/>
      <c r="S365" s="1">
        <f t="shared" si="111"/>
        <v>0</v>
      </c>
      <c r="T365" s="1">
        <f t="shared" si="112"/>
        <v>0</v>
      </c>
      <c r="U365" s="1">
        <f t="shared" si="113"/>
        <v>0</v>
      </c>
      <c r="V365" s="1">
        <f t="shared" si="114"/>
        <v>0</v>
      </c>
      <c r="W365" s="1">
        <f t="shared" si="115"/>
        <v>0</v>
      </c>
      <c r="X365" s="1">
        <f t="shared" si="116"/>
        <v>0</v>
      </c>
      <c r="Y365" s="1">
        <f t="shared" si="117"/>
        <v>0</v>
      </c>
      <c r="Z365" s="1">
        <f t="shared" si="118"/>
        <v>0</v>
      </c>
      <c r="AA365" s="1">
        <f t="shared" si="119"/>
        <v>0</v>
      </c>
      <c r="AB365" s="1">
        <f t="shared" si="120"/>
        <v>0</v>
      </c>
      <c r="AD365" s="1">
        <f t="shared" si="121"/>
        <v>0</v>
      </c>
      <c r="AE365" s="1">
        <f t="shared" si="122"/>
        <v>1</v>
      </c>
      <c r="AF365" s="1">
        <f t="shared" si="107"/>
        <v>0</v>
      </c>
      <c r="AG365" s="1">
        <f t="shared" si="108"/>
        <v>1</v>
      </c>
      <c r="AH365" s="1">
        <f t="shared" si="109"/>
        <v>0</v>
      </c>
      <c r="AI365" s="1">
        <f t="shared" si="110"/>
        <v>1</v>
      </c>
    </row>
    <row r="366" spans="1:16384" ht="14.25" customHeight="1" x14ac:dyDescent="0.3">
      <c r="A366" s="47">
        <v>0</v>
      </c>
      <c r="B366" s="47">
        <v>2</v>
      </c>
      <c r="C366" s="47">
        <v>5</v>
      </c>
      <c r="D366" s="48" t="s">
        <v>844</v>
      </c>
      <c r="E366" s="48" t="s">
        <v>838</v>
      </c>
      <c r="F366" s="48" t="s">
        <v>948</v>
      </c>
      <c r="G366" s="48" t="s">
        <v>182</v>
      </c>
      <c r="H366" s="48" t="s">
        <v>357</v>
      </c>
      <c r="I366" s="47" t="s">
        <v>1119</v>
      </c>
      <c r="J366" s="47">
        <v>10</v>
      </c>
      <c r="K366" s="49" t="s">
        <v>719</v>
      </c>
      <c r="L366" s="49" t="s">
        <v>700</v>
      </c>
      <c r="M366" s="50" t="s">
        <v>1444</v>
      </c>
      <c r="N366" s="50" t="s">
        <v>1756</v>
      </c>
      <c r="O366" s="51"/>
      <c r="P366" s="51"/>
      <c r="Q366" s="48"/>
      <c r="S366" s="1">
        <f t="shared" si="111"/>
        <v>0</v>
      </c>
      <c r="T366" s="1">
        <f t="shared" si="112"/>
        <v>0</v>
      </c>
      <c r="U366" s="1">
        <f t="shared" si="113"/>
        <v>0</v>
      </c>
      <c r="V366" s="1">
        <f t="shared" si="114"/>
        <v>0</v>
      </c>
      <c r="W366" s="1">
        <f t="shared" si="115"/>
        <v>0</v>
      </c>
      <c r="X366" s="1">
        <f t="shared" si="116"/>
        <v>0</v>
      </c>
      <c r="Y366" s="1">
        <f t="shared" si="117"/>
        <v>0</v>
      </c>
      <c r="Z366" s="1">
        <f t="shared" si="118"/>
        <v>0</v>
      </c>
      <c r="AA366" s="1">
        <f t="shared" si="119"/>
        <v>0</v>
      </c>
      <c r="AB366" s="1">
        <f t="shared" si="120"/>
        <v>1</v>
      </c>
      <c r="AD366" s="1">
        <f t="shared" si="121"/>
        <v>0</v>
      </c>
      <c r="AE366" s="1">
        <f t="shared" si="122"/>
        <v>0</v>
      </c>
      <c r="AF366" s="1">
        <f t="shared" si="107"/>
        <v>0</v>
      </c>
      <c r="AG366" s="1">
        <f t="shared" si="108"/>
        <v>0</v>
      </c>
      <c r="AH366" s="1">
        <f t="shared" si="109"/>
        <v>0</v>
      </c>
      <c r="AI366" s="1">
        <f t="shared" si="110"/>
        <v>1</v>
      </c>
    </row>
    <row r="367" spans="1:16384" ht="14.25" customHeight="1" x14ac:dyDescent="0.3">
      <c r="A367" s="60">
        <v>0</v>
      </c>
      <c r="B367" s="60">
        <v>2</v>
      </c>
      <c r="C367" s="60">
        <v>6</v>
      </c>
      <c r="D367" s="61" t="s">
        <v>1558</v>
      </c>
      <c r="E367" s="61" t="s">
        <v>27</v>
      </c>
      <c r="F367" s="61" t="s">
        <v>1560</v>
      </c>
      <c r="G367" s="61" t="s">
        <v>1549</v>
      </c>
      <c r="H367" s="61" t="s">
        <v>357</v>
      </c>
      <c r="I367" s="60" t="s">
        <v>1559</v>
      </c>
      <c r="J367" s="60">
        <v>5</v>
      </c>
      <c r="K367" s="62" t="s">
        <v>962</v>
      </c>
      <c r="L367" s="62" t="s">
        <v>39</v>
      </c>
      <c r="M367" s="63" t="s">
        <v>39</v>
      </c>
      <c r="N367" s="64"/>
      <c r="O367" s="65"/>
      <c r="P367" s="65"/>
      <c r="Q367" s="69" t="s">
        <v>1915</v>
      </c>
      <c r="S367" s="1">
        <f t="shared" si="111"/>
        <v>0</v>
      </c>
      <c r="T367" s="1">
        <f t="shared" si="112"/>
        <v>0</v>
      </c>
      <c r="U367" s="1">
        <f t="shared" si="113"/>
        <v>0</v>
      </c>
      <c r="V367" s="1">
        <f t="shared" si="114"/>
        <v>0</v>
      </c>
      <c r="W367" s="1">
        <f t="shared" si="115"/>
        <v>1</v>
      </c>
      <c r="X367" s="1">
        <f t="shared" si="116"/>
        <v>0</v>
      </c>
      <c r="Y367" s="1">
        <f t="shared" si="117"/>
        <v>0</v>
      </c>
      <c r="Z367" s="1">
        <f t="shared" si="118"/>
        <v>0</v>
      </c>
      <c r="AA367" s="1">
        <f t="shared" si="119"/>
        <v>0</v>
      </c>
      <c r="AB367" s="1">
        <f t="shared" si="120"/>
        <v>0</v>
      </c>
      <c r="AD367" s="1">
        <f t="shared" si="121"/>
        <v>0</v>
      </c>
      <c r="AE367" s="1">
        <f t="shared" si="122"/>
        <v>0</v>
      </c>
      <c r="AF367" s="1">
        <f t="shared" si="107"/>
        <v>0</v>
      </c>
      <c r="AG367" s="1">
        <f t="shared" si="108"/>
        <v>0</v>
      </c>
      <c r="AH367" s="1">
        <f t="shared" si="109"/>
        <v>0</v>
      </c>
      <c r="AI367" s="1">
        <f t="shared" si="110"/>
        <v>1</v>
      </c>
    </row>
    <row r="368" spans="1:16384" ht="14.25" customHeight="1" x14ac:dyDescent="0.3">
      <c r="A368" s="47">
        <v>0</v>
      </c>
      <c r="B368" s="47">
        <v>2</v>
      </c>
      <c r="C368" s="47">
        <v>6</v>
      </c>
      <c r="D368" s="48" t="s">
        <v>524</v>
      </c>
      <c r="E368" s="48" t="s">
        <v>31</v>
      </c>
      <c r="F368" s="48" t="s">
        <v>678</v>
      </c>
      <c r="G368" s="48" t="s">
        <v>202</v>
      </c>
      <c r="H368" s="48" t="s">
        <v>357</v>
      </c>
      <c r="I368" s="47" t="s">
        <v>525</v>
      </c>
      <c r="J368" s="47">
        <v>2</v>
      </c>
      <c r="K368" s="49" t="s">
        <v>961</v>
      </c>
      <c r="L368" s="49" t="s">
        <v>701</v>
      </c>
      <c r="M368" s="50" t="s">
        <v>1445</v>
      </c>
      <c r="N368" s="50" t="s">
        <v>1750</v>
      </c>
      <c r="O368" s="51"/>
      <c r="P368" s="51"/>
      <c r="Q368" s="48"/>
      <c r="S368" s="1">
        <f t="shared" si="111"/>
        <v>0</v>
      </c>
      <c r="T368" s="1">
        <f t="shared" si="112"/>
        <v>1</v>
      </c>
      <c r="U368" s="1">
        <f t="shared" si="113"/>
        <v>0</v>
      </c>
      <c r="V368" s="1">
        <f t="shared" si="114"/>
        <v>0</v>
      </c>
      <c r="W368" s="1">
        <f t="shared" si="115"/>
        <v>0</v>
      </c>
      <c r="X368" s="1">
        <f t="shared" si="116"/>
        <v>0</v>
      </c>
      <c r="Y368" s="1">
        <f t="shared" si="117"/>
        <v>0</v>
      </c>
      <c r="Z368" s="1">
        <f t="shared" si="118"/>
        <v>0</v>
      </c>
      <c r="AA368" s="1">
        <f t="shared" si="119"/>
        <v>0</v>
      </c>
      <c r="AB368" s="1">
        <f t="shared" si="120"/>
        <v>0</v>
      </c>
      <c r="AD368" s="1">
        <f t="shared" si="121"/>
        <v>0</v>
      </c>
      <c r="AE368" s="1">
        <f t="shared" si="122"/>
        <v>0</v>
      </c>
      <c r="AF368" s="1">
        <f t="shared" si="107"/>
        <v>0</v>
      </c>
      <c r="AG368" s="1">
        <f t="shared" si="108"/>
        <v>0</v>
      </c>
      <c r="AH368" s="1">
        <f t="shared" si="109"/>
        <v>0</v>
      </c>
      <c r="AI368" s="1">
        <f t="shared" si="110"/>
        <v>1</v>
      </c>
    </row>
    <row r="369" spans="1:35" ht="14.25" customHeight="1" x14ac:dyDescent="0.3">
      <c r="A369" s="34">
        <v>0</v>
      </c>
      <c r="B369" s="34">
        <v>2</v>
      </c>
      <c r="C369" s="34">
        <v>6</v>
      </c>
      <c r="D369" s="35" t="s">
        <v>53</v>
      </c>
      <c r="E369" s="35" t="s">
        <v>31</v>
      </c>
      <c r="F369" s="35" t="s">
        <v>212</v>
      </c>
      <c r="G369" s="35" t="s">
        <v>213</v>
      </c>
      <c r="H369" s="35" t="s">
        <v>357</v>
      </c>
      <c r="I369" s="34" t="s">
        <v>395</v>
      </c>
      <c r="J369" s="34">
        <v>1</v>
      </c>
      <c r="K369" s="36" t="s">
        <v>719</v>
      </c>
      <c r="L369" s="36" t="s">
        <v>711</v>
      </c>
      <c r="M369" s="37" t="s">
        <v>735</v>
      </c>
      <c r="N369" s="37" t="s">
        <v>1758</v>
      </c>
      <c r="O369" s="38">
        <v>1</v>
      </c>
      <c r="P369" s="38"/>
      <c r="Q369" s="35"/>
      <c r="S369" s="1">
        <f t="shared" si="111"/>
        <v>1</v>
      </c>
      <c r="T369" s="1">
        <f t="shared" si="112"/>
        <v>0</v>
      </c>
      <c r="U369" s="1">
        <f t="shared" si="113"/>
        <v>0</v>
      </c>
      <c r="V369" s="1">
        <f t="shared" si="114"/>
        <v>0</v>
      </c>
      <c r="W369" s="1">
        <f t="shared" si="115"/>
        <v>0</v>
      </c>
      <c r="X369" s="1">
        <f t="shared" si="116"/>
        <v>0</v>
      </c>
      <c r="Y369" s="1">
        <f t="shared" si="117"/>
        <v>0</v>
      </c>
      <c r="Z369" s="1">
        <f t="shared" si="118"/>
        <v>0</v>
      </c>
      <c r="AA369" s="1">
        <f t="shared" si="119"/>
        <v>0</v>
      </c>
      <c r="AB369" s="1">
        <f t="shared" si="120"/>
        <v>0</v>
      </c>
      <c r="AD369" s="1">
        <f t="shared" si="121"/>
        <v>0</v>
      </c>
      <c r="AE369" s="1">
        <f t="shared" si="122"/>
        <v>1</v>
      </c>
      <c r="AF369" s="1">
        <f t="shared" si="107"/>
        <v>0</v>
      </c>
      <c r="AG369" s="1">
        <f t="shared" si="108"/>
        <v>1</v>
      </c>
      <c r="AH369" s="1">
        <f t="shared" si="109"/>
        <v>0</v>
      </c>
      <c r="AI369" s="1">
        <f t="shared" si="110"/>
        <v>1</v>
      </c>
    </row>
    <row r="370" spans="1:35" ht="14.25" customHeight="1" x14ac:dyDescent="0.3">
      <c r="A370" s="15">
        <v>0</v>
      </c>
      <c r="B370" s="15">
        <v>2</v>
      </c>
      <c r="C370" s="15">
        <v>6</v>
      </c>
      <c r="D370" s="16" t="s">
        <v>1877</v>
      </c>
      <c r="E370" s="16" t="s">
        <v>1878</v>
      </c>
      <c r="F370" s="20" t="s">
        <v>1879</v>
      </c>
      <c r="G370" s="16"/>
      <c r="H370" s="20" t="s">
        <v>357</v>
      </c>
      <c r="I370" s="21" t="s">
        <v>1880</v>
      </c>
      <c r="J370" s="15">
        <v>99</v>
      </c>
      <c r="K370" s="10" t="s">
        <v>710</v>
      </c>
      <c r="L370" s="10">
        <v>25</v>
      </c>
      <c r="M370" s="19" t="s">
        <v>1881</v>
      </c>
      <c r="N370" s="19"/>
      <c r="Q370" s="20"/>
      <c r="S370" s="1">
        <f t="shared" ref="S370:S372" si="129">IF(J370=$S$7,1,0)</f>
        <v>0</v>
      </c>
      <c r="T370" s="1">
        <f t="shared" ref="T370:T372" si="130">IF(J370=$T$7,1,0)</f>
        <v>0</v>
      </c>
      <c r="U370" s="1">
        <f t="shared" ref="U370:U372" si="131">IF(J370=$U$7,1,0)</f>
        <v>0</v>
      </c>
      <c r="V370" s="1">
        <f t="shared" ref="V370:V372" si="132">IF(J370=$V$7,1,0)</f>
        <v>0</v>
      </c>
      <c r="W370" s="1">
        <f t="shared" ref="W370:W372" si="133">IF(J370=$W$7,1,0)</f>
        <v>0</v>
      </c>
      <c r="X370" s="1">
        <f t="shared" ref="X370:X372" si="134">IF(J370=$X$7,1,0)</f>
        <v>0</v>
      </c>
      <c r="Y370" s="1">
        <f t="shared" ref="Y370:Y372" si="135">IF(J370=$Y$7,1,0)</f>
        <v>0</v>
      </c>
      <c r="Z370" s="1">
        <f t="shared" ref="Z370:Z372" si="136">IF(J370=$Z$7,1,0)</f>
        <v>0</v>
      </c>
      <c r="AA370" s="1">
        <f t="shared" ref="AA370:AA372" si="137">IF(J370=$AA$7,1,0)</f>
        <v>0</v>
      </c>
      <c r="AB370" s="1">
        <f t="shared" ref="AB370:AB372" si="138">IF(J370=$AB$7,1,0)</f>
        <v>0</v>
      </c>
      <c r="AD370" s="1">
        <f t="shared" ref="AD370:AD372" si="139">+O370*P370</f>
        <v>0</v>
      </c>
      <c r="AE370" s="1">
        <f t="shared" ref="AE370:AE372" si="140">O370*(1-P370)</f>
        <v>0</v>
      </c>
      <c r="AF370" s="1">
        <f t="shared" si="107"/>
        <v>0</v>
      </c>
      <c r="AG370" s="1">
        <f t="shared" si="108"/>
        <v>0</v>
      </c>
      <c r="AH370" s="1">
        <f t="shared" si="109"/>
        <v>0</v>
      </c>
      <c r="AI370" s="1">
        <f t="shared" si="110"/>
        <v>1</v>
      </c>
    </row>
    <row r="371" spans="1:35" ht="14.25" customHeight="1" x14ac:dyDescent="0.3">
      <c r="A371" s="15">
        <v>0</v>
      </c>
      <c r="B371" s="15">
        <v>2</v>
      </c>
      <c r="C371" s="15">
        <v>6</v>
      </c>
      <c r="D371" s="16" t="s">
        <v>81</v>
      </c>
      <c r="E371" s="16" t="s">
        <v>31</v>
      </c>
      <c r="F371" s="16" t="s">
        <v>273</v>
      </c>
      <c r="G371" s="16" t="s">
        <v>226</v>
      </c>
      <c r="H371" s="16" t="s">
        <v>357</v>
      </c>
      <c r="I371" s="15" t="s">
        <v>684</v>
      </c>
      <c r="J371" s="15">
        <v>99</v>
      </c>
      <c r="K371" s="10" t="s">
        <v>962</v>
      </c>
      <c r="L371" s="10" t="s">
        <v>701</v>
      </c>
      <c r="M371" s="19" t="s">
        <v>1446</v>
      </c>
      <c r="N371" s="19"/>
      <c r="Q371" s="16"/>
      <c r="S371" s="1">
        <f t="shared" si="129"/>
        <v>0</v>
      </c>
      <c r="T371" s="1">
        <f t="shared" si="130"/>
        <v>0</v>
      </c>
      <c r="U371" s="1">
        <f t="shared" si="131"/>
        <v>0</v>
      </c>
      <c r="V371" s="1">
        <f t="shared" si="132"/>
        <v>0</v>
      </c>
      <c r="W371" s="1">
        <f t="shared" si="133"/>
        <v>0</v>
      </c>
      <c r="X371" s="1">
        <f t="shared" si="134"/>
        <v>0</v>
      </c>
      <c r="Y371" s="1">
        <f t="shared" si="135"/>
        <v>0</v>
      </c>
      <c r="Z371" s="1">
        <f t="shared" si="136"/>
        <v>0</v>
      </c>
      <c r="AA371" s="1">
        <f t="shared" si="137"/>
        <v>0</v>
      </c>
      <c r="AB371" s="1">
        <f t="shared" si="138"/>
        <v>0</v>
      </c>
      <c r="AD371" s="1">
        <f t="shared" si="139"/>
        <v>0</v>
      </c>
      <c r="AE371" s="1">
        <f t="shared" si="140"/>
        <v>0</v>
      </c>
      <c r="AF371" s="1">
        <f t="shared" si="107"/>
        <v>0</v>
      </c>
      <c r="AG371" s="1">
        <f t="shared" si="108"/>
        <v>0</v>
      </c>
      <c r="AH371" s="1">
        <f t="shared" si="109"/>
        <v>0</v>
      </c>
      <c r="AI371" s="1">
        <f t="shared" si="110"/>
        <v>1</v>
      </c>
    </row>
    <row r="372" spans="1:35" ht="14.25" customHeight="1" x14ac:dyDescent="0.3">
      <c r="A372" s="47">
        <v>0</v>
      </c>
      <c r="B372" s="47">
        <v>2</v>
      </c>
      <c r="C372" s="47">
        <v>6</v>
      </c>
      <c r="D372" s="48" t="s">
        <v>644</v>
      </c>
      <c r="E372" s="48" t="s">
        <v>31</v>
      </c>
      <c r="F372" s="48" t="s">
        <v>645</v>
      </c>
      <c r="G372" s="48" t="s">
        <v>242</v>
      </c>
      <c r="H372" s="48" t="s">
        <v>357</v>
      </c>
      <c r="I372" s="47" t="s">
        <v>646</v>
      </c>
      <c r="J372" s="47">
        <v>1</v>
      </c>
      <c r="K372" s="49" t="s">
        <v>720</v>
      </c>
      <c r="L372" s="49" t="s">
        <v>701</v>
      </c>
      <c r="M372" s="50" t="s">
        <v>1447</v>
      </c>
      <c r="N372" s="50" t="s">
        <v>1750</v>
      </c>
      <c r="O372" s="51"/>
      <c r="P372" s="51"/>
      <c r="Q372" s="48"/>
      <c r="S372" s="1">
        <f t="shared" si="129"/>
        <v>1</v>
      </c>
      <c r="T372" s="1">
        <f t="shared" si="130"/>
        <v>0</v>
      </c>
      <c r="U372" s="1">
        <f t="shared" si="131"/>
        <v>0</v>
      </c>
      <c r="V372" s="1">
        <f t="shared" si="132"/>
        <v>0</v>
      </c>
      <c r="W372" s="1">
        <f t="shared" si="133"/>
        <v>0</v>
      </c>
      <c r="X372" s="1">
        <f t="shared" si="134"/>
        <v>0</v>
      </c>
      <c r="Y372" s="1">
        <f t="shared" si="135"/>
        <v>0</v>
      </c>
      <c r="Z372" s="1">
        <f t="shared" si="136"/>
        <v>0</v>
      </c>
      <c r="AA372" s="1">
        <f t="shared" si="137"/>
        <v>0</v>
      </c>
      <c r="AB372" s="1">
        <f t="shared" si="138"/>
        <v>0</v>
      </c>
      <c r="AD372" s="1">
        <f t="shared" si="139"/>
        <v>0</v>
      </c>
      <c r="AE372" s="1">
        <f t="shared" si="140"/>
        <v>0</v>
      </c>
      <c r="AF372" s="1">
        <f t="shared" si="107"/>
        <v>0</v>
      </c>
      <c r="AG372" s="1">
        <f t="shared" si="108"/>
        <v>0</v>
      </c>
      <c r="AH372" s="1">
        <f t="shared" si="109"/>
        <v>0</v>
      </c>
      <c r="AI372" s="1">
        <f t="shared" si="110"/>
        <v>1</v>
      </c>
    </row>
    <row r="373" spans="1:35" ht="14.25" customHeight="1" x14ac:dyDescent="0.3">
      <c r="A373" s="47">
        <v>0</v>
      </c>
      <c r="B373" s="47">
        <v>2</v>
      </c>
      <c r="C373" s="47">
        <v>6</v>
      </c>
      <c r="D373" s="48" t="s">
        <v>1145</v>
      </c>
      <c r="E373" s="48" t="s">
        <v>31</v>
      </c>
      <c r="F373" s="48" t="s">
        <v>678</v>
      </c>
      <c r="G373" s="48" t="s">
        <v>202</v>
      </c>
      <c r="H373" s="48" t="s">
        <v>357</v>
      </c>
      <c r="I373" s="47" t="s">
        <v>525</v>
      </c>
      <c r="J373" s="47">
        <v>2</v>
      </c>
      <c r="K373" s="49" t="s">
        <v>719</v>
      </c>
      <c r="L373" s="49" t="s">
        <v>701</v>
      </c>
      <c r="M373" s="50" t="s">
        <v>735</v>
      </c>
      <c r="N373" s="50" t="s">
        <v>1750</v>
      </c>
      <c r="O373" s="51"/>
      <c r="P373" s="51"/>
      <c r="Q373" s="48"/>
      <c r="S373" s="1">
        <f t="shared" si="111"/>
        <v>0</v>
      </c>
      <c r="T373" s="1">
        <f t="shared" si="112"/>
        <v>1</v>
      </c>
      <c r="U373" s="1">
        <f t="shared" si="113"/>
        <v>0</v>
      </c>
      <c r="V373" s="1">
        <f t="shared" si="114"/>
        <v>0</v>
      </c>
      <c r="W373" s="1">
        <f t="shared" si="115"/>
        <v>0</v>
      </c>
      <c r="X373" s="1">
        <f t="shared" si="116"/>
        <v>0</v>
      </c>
      <c r="Y373" s="1">
        <f t="shared" si="117"/>
        <v>0</v>
      </c>
      <c r="Z373" s="1">
        <f t="shared" si="118"/>
        <v>0</v>
      </c>
      <c r="AA373" s="1">
        <f t="shared" si="119"/>
        <v>0</v>
      </c>
      <c r="AB373" s="1">
        <f t="shared" si="120"/>
        <v>0</v>
      </c>
      <c r="AD373" s="1">
        <f t="shared" si="121"/>
        <v>0</v>
      </c>
      <c r="AE373" s="1">
        <f t="shared" si="122"/>
        <v>0</v>
      </c>
      <c r="AF373" s="1">
        <f t="shared" si="107"/>
        <v>0</v>
      </c>
      <c r="AG373" s="1">
        <f t="shared" si="108"/>
        <v>0</v>
      </c>
      <c r="AH373" s="1">
        <f t="shared" si="109"/>
        <v>0</v>
      </c>
      <c r="AI373" s="1">
        <f t="shared" si="110"/>
        <v>1</v>
      </c>
    </row>
    <row r="374" spans="1:35" ht="14.25" customHeight="1" x14ac:dyDescent="0.3">
      <c r="A374" s="47">
        <v>0</v>
      </c>
      <c r="B374" s="47">
        <v>2</v>
      </c>
      <c r="C374" s="47">
        <v>6</v>
      </c>
      <c r="D374" s="48" t="s">
        <v>1093</v>
      </c>
      <c r="E374" s="48" t="s">
        <v>161</v>
      </c>
      <c r="F374" s="48" t="s">
        <v>200</v>
      </c>
      <c r="G374" s="48" t="s">
        <v>201</v>
      </c>
      <c r="H374" s="48" t="s">
        <v>357</v>
      </c>
      <c r="I374" s="47" t="s">
        <v>391</v>
      </c>
      <c r="J374" s="47">
        <v>99</v>
      </c>
      <c r="K374" s="49" t="s">
        <v>719</v>
      </c>
      <c r="L374" s="49" t="s">
        <v>723</v>
      </c>
      <c r="M374" s="50" t="s">
        <v>737</v>
      </c>
      <c r="N374" s="50" t="s">
        <v>1749</v>
      </c>
      <c r="O374" s="51"/>
      <c r="P374" s="51"/>
      <c r="Q374" s="48"/>
      <c r="S374" s="1">
        <f t="shared" si="111"/>
        <v>0</v>
      </c>
      <c r="T374" s="1">
        <f t="shared" si="112"/>
        <v>0</v>
      </c>
      <c r="U374" s="1">
        <f t="shared" si="113"/>
        <v>0</v>
      </c>
      <c r="V374" s="1">
        <f t="shared" si="114"/>
        <v>0</v>
      </c>
      <c r="W374" s="1">
        <f t="shared" si="115"/>
        <v>0</v>
      </c>
      <c r="X374" s="1">
        <f t="shared" si="116"/>
        <v>0</v>
      </c>
      <c r="Y374" s="1">
        <f t="shared" si="117"/>
        <v>0</v>
      </c>
      <c r="Z374" s="1">
        <f t="shared" si="118"/>
        <v>0</v>
      </c>
      <c r="AA374" s="1">
        <f t="shared" si="119"/>
        <v>0</v>
      </c>
      <c r="AB374" s="1">
        <f t="shared" si="120"/>
        <v>0</v>
      </c>
      <c r="AD374" s="1">
        <f t="shared" si="121"/>
        <v>0</v>
      </c>
      <c r="AE374" s="1">
        <f t="shared" si="122"/>
        <v>0</v>
      </c>
      <c r="AF374" s="1">
        <f t="shared" si="107"/>
        <v>0</v>
      </c>
      <c r="AG374" s="1">
        <f t="shared" si="108"/>
        <v>0</v>
      </c>
      <c r="AH374" s="1">
        <f t="shared" si="109"/>
        <v>0</v>
      </c>
      <c r="AI374" s="1">
        <f t="shared" si="110"/>
        <v>1</v>
      </c>
    </row>
    <row r="375" spans="1:35" ht="14.25" customHeight="1" x14ac:dyDescent="0.3">
      <c r="A375" s="34">
        <v>0</v>
      </c>
      <c r="B375" s="34">
        <v>2</v>
      </c>
      <c r="C375" s="34">
        <v>7</v>
      </c>
      <c r="D375" s="35" t="s">
        <v>514</v>
      </c>
      <c r="E375" s="35" t="s">
        <v>158</v>
      </c>
      <c r="F375" s="35" t="s">
        <v>515</v>
      </c>
      <c r="G375" s="35" t="s">
        <v>39</v>
      </c>
      <c r="H375" s="35" t="s">
        <v>357</v>
      </c>
      <c r="I375" s="34" t="s">
        <v>949</v>
      </c>
      <c r="J375" s="34">
        <v>7</v>
      </c>
      <c r="K375" s="36" t="s">
        <v>962</v>
      </c>
      <c r="L375" s="36" t="s">
        <v>39</v>
      </c>
      <c r="M375" s="37" t="s">
        <v>39</v>
      </c>
      <c r="N375" s="37" t="s">
        <v>1742</v>
      </c>
      <c r="O375" s="38">
        <v>1</v>
      </c>
      <c r="P375" s="38">
        <v>1</v>
      </c>
      <c r="Q375" s="35"/>
      <c r="S375" s="1">
        <f t="shared" si="111"/>
        <v>0</v>
      </c>
      <c r="T375" s="1">
        <f t="shared" si="112"/>
        <v>0</v>
      </c>
      <c r="U375" s="1">
        <f t="shared" si="113"/>
        <v>0</v>
      </c>
      <c r="V375" s="1">
        <f t="shared" si="114"/>
        <v>0</v>
      </c>
      <c r="W375" s="1">
        <f t="shared" si="115"/>
        <v>0</v>
      </c>
      <c r="X375" s="1">
        <f t="shared" si="116"/>
        <v>0</v>
      </c>
      <c r="Y375" s="1">
        <f t="shared" si="117"/>
        <v>1</v>
      </c>
      <c r="Z375" s="1">
        <f t="shared" si="118"/>
        <v>0</v>
      </c>
      <c r="AA375" s="1">
        <f t="shared" si="119"/>
        <v>0</v>
      </c>
      <c r="AB375" s="1">
        <f t="shared" si="120"/>
        <v>0</v>
      </c>
      <c r="AD375" s="1">
        <f t="shared" si="121"/>
        <v>1</v>
      </c>
      <c r="AE375" s="1">
        <f t="shared" si="122"/>
        <v>0</v>
      </c>
      <c r="AF375" s="1">
        <f t="shared" si="107"/>
        <v>1</v>
      </c>
      <c r="AG375" s="1">
        <f t="shared" si="108"/>
        <v>0</v>
      </c>
      <c r="AH375" s="1">
        <f t="shared" si="109"/>
        <v>1</v>
      </c>
      <c r="AI375" s="1">
        <f t="shared" si="110"/>
        <v>0</v>
      </c>
    </row>
    <row r="376" spans="1:35" ht="14.25" customHeight="1" x14ac:dyDescent="0.3">
      <c r="A376" s="34">
        <v>0</v>
      </c>
      <c r="B376" s="34">
        <v>2</v>
      </c>
      <c r="C376" s="34">
        <v>7</v>
      </c>
      <c r="D376" s="35" t="s">
        <v>70</v>
      </c>
      <c r="E376" s="35" t="s">
        <v>28</v>
      </c>
      <c r="F376" s="35" t="s">
        <v>679</v>
      </c>
      <c r="G376" s="35" t="s">
        <v>260</v>
      </c>
      <c r="H376" s="35" t="s">
        <v>357</v>
      </c>
      <c r="I376" s="34" t="s">
        <v>420</v>
      </c>
      <c r="J376" s="34">
        <v>8</v>
      </c>
      <c r="K376" s="36" t="s">
        <v>720</v>
      </c>
      <c r="L376" s="36" t="s">
        <v>720</v>
      </c>
      <c r="M376" s="37" t="s">
        <v>738</v>
      </c>
      <c r="N376" s="37" t="s">
        <v>1758</v>
      </c>
      <c r="O376" s="38">
        <v>1</v>
      </c>
      <c r="P376" s="38"/>
      <c r="Q376" s="35"/>
      <c r="S376" s="1">
        <f t="shared" si="111"/>
        <v>0</v>
      </c>
      <c r="T376" s="1">
        <f t="shared" si="112"/>
        <v>0</v>
      </c>
      <c r="U376" s="1">
        <f t="shared" si="113"/>
        <v>0</v>
      </c>
      <c r="V376" s="1">
        <f t="shared" si="114"/>
        <v>0</v>
      </c>
      <c r="W376" s="1">
        <f t="shared" si="115"/>
        <v>0</v>
      </c>
      <c r="X376" s="1">
        <f t="shared" si="116"/>
        <v>0</v>
      </c>
      <c r="Y376" s="1">
        <f t="shared" si="117"/>
        <v>0</v>
      </c>
      <c r="Z376" s="1">
        <f t="shared" si="118"/>
        <v>1</v>
      </c>
      <c r="AA376" s="1">
        <f t="shared" si="119"/>
        <v>0</v>
      </c>
      <c r="AB376" s="1">
        <f t="shared" si="120"/>
        <v>0</v>
      </c>
      <c r="AD376" s="1">
        <f t="shared" si="121"/>
        <v>0</v>
      </c>
      <c r="AE376" s="1">
        <f t="shared" si="122"/>
        <v>1</v>
      </c>
      <c r="AF376" s="1">
        <f t="shared" si="107"/>
        <v>0</v>
      </c>
      <c r="AG376" s="1">
        <f t="shared" si="108"/>
        <v>1</v>
      </c>
      <c r="AH376" s="1">
        <f t="shared" si="109"/>
        <v>0</v>
      </c>
      <c r="AI376" s="1">
        <f t="shared" si="110"/>
        <v>1</v>
      </c>
    </row>
    <row r="377" spans="1:35" ht="14.25" customHeight="1" x14ac:dyDescent="0.3">
      <c r="A377" s="34">
        <v>0</v>
      </c>
      <c r="B377" s="34">
        <v>2</v>
      </c>
      <c r="C377" s="34">
        <v>7</v>
      </c>
      <c r="D377" s="35" t="s">
        <v>659</v>
      </c>
      <c r="E377" s="35" t="s">
        <v>158</v>
      </c>
      <c r="F377" s="35" t="s">
        <v>590</v>
      </c>
      <c r="G377" s="35" t="s">
        <v>251</v>
      </c>
      <c r="H377" s="35" t="s">
        <v>357</v>
      </c>
      <c r="I377" s="34" t="s">
        <v>685</v>
      </c>
      <c r="J377" s="34">
        <v>7</v>
      </c>
      <c r="K377" s="36" t="s">
        <v>962</v>
      </c>
      <c r="L377" s="36" t="s">
        <v>39</v>
      </c>
      <c r="M377" s="37" t="s">
        <v>39</v>
      </c>
      <c r="N377" s="37" t="s">
        <v>1742</v>
      </c>
      <c r="O377" s="38">
        <v>1</v>
      </c>
      <c r="P377" s="38">
        <v>1</v>
      </c>
      <c r="Q377" s="35"/>
      <c r="S377" s="1">
        <f t="shared" si="111"/>
        <v>0</v>
      </c>
      <c r="T377" s="1">
        <f t="shared" si="112"/>
        <v>0</v>
      </c>
      <c r="U377" s="1">
        <f t="shared" si="113"/>
        <v>0</v>
      </c>
      <c r="V377" s="1">
        <f t="shared" si="114"/>
        <v>0</v>
      </c>
      <c r="W377" s="1">
        <f t="shared" si="115"/>
        <v>0</v>
      </c>
      <c r="X377" s="1">
        <f t="shared" si="116"/>
        <v>0</v>
      </c>
      <c r="Y377" s="1">
        <f t="shared" si="117"/>
        <v>1</v>
      </c>
      <c r="Z377" s="1">
        <f t="shared" si="118"/>
        <v>0</v>
      </c>
      <c r="AA377" s="1">
        <f t="shared" si="119"/>
        <v>0</v>
      </c>
      <c r="AB377" s="1">
        <f t="shared" si="120"/>
        <v>0</v>
      </c>
      <c r="AD377" s="1">
        <f t="shared" si="121"/>
        <v>1</v>
      </c>
      <c r="AE377" s="1">
        <f t="shared" si="122"/>
        <v>0</v>
      </c>
      <c r="AF377" s="1">
        <f t="shared" si="107"/>
        <v>1</v>
      </c>
      <c r="AG377" s="1">
        <f t="shared" si="108"/>
        <v>0</v>
      </c>
      <c r="AH377" s="1">
        <f t="shared" si="109"/>
        <v>1</v>
      </c>
      <c r="AI377" s="1">
        <f t="shared" si="110"/>
        <v>0</v>
      </c>
    </row>
    <row r="378" spans="1:35" ht="14.25" customHeight="1" x14ac:dyDescent="0.3">
      <c r="A378" s="47">
        <v>0</v>
      </c>
      <c r="B378" s="47">
        <v>2</v>
      </c>
      <c r="C378" s="47">
        <v>7</v>
      </c>
      <c r="D378" s="48" t="s">
        <v>1649</v>
      </c>
      <c r="E378" s="48" t="s">
        <v>158</v>
      </c>
      <c r="F378" s="48" t="s">
        <v>1672</v>
      </c>
      <c r="G378" s="48" t="s">
        <v>215</v>
      </c>
      <c r="H378" s="48" t="s">
        <v>357</v>
      </c>
      <c r="I378" s="47" t="s">
        <v>599</v>
      </c>
      <c r="J378" s="47">
        <v>1</v>
      </c>
      <c r="K378" s="49" t="s">
        <v>719</v>
      </c>
      <c r="L378" s="49" t="s">
        <v>729</v>
      </c>
      <c r="M378" s="50" t="s">
        <v>1448</v>
      </c>
      <c r="N378" s="50" t="s">
        <v>1750</v>
      </c>
      <c r="O378" s="51"/>
      <c r="P378" s="51"/>
      <c r="Q378" s="48"/>
      <c r="S378" s="1">
        <f t="shared" si="111"/>
        <v>1</v>
      </c>
      <c r="T378" s="1">
        <f t="shared" si="112"/>
        <v>0</v>
      </c>
      <c r="U378" s="1">
        <f t="shared" si="113"/>
        <v>0</v>
      </c>
      <c r="V378" s="1">
        <f t="shared" si="114"/>
        <v>0</v>
      </c>
      <c r="W378" s="1">
        <f t="shared" si="115"/>
        <v>0</v>
      </c>
      <c r="X378" s="1">
        <f t="shared" si="116"/>
        <v>0</v>
      </c>
      <c r="Y378" s="1">
        <f t="shared" si="117"/>
        <v>0</v>
      </c>
      <c r="Z378" s="1">
        <f t="shared" si="118"/>
        <v>0</v>
      </c>
      <c r="AA378" s="1">
        <f t="shared" si="119"/>
        <v>0</v>
      </c>
      <c r="AB378" s="1">
        <f t="shared" si="120"/>
        <v>0</v>
      </c>
      <c r="AD378" s="1">
        <f t="shared" si="121"/>
        <v>0</v>
      </c>
      <c r="AE378" s="1">
        <f t="shared" si="122"/>
        <v>0</v>
      </c>
      <c r="AF378" s="1">
        <f t="shared" si="107"/>
        <v>0</v>
      </c>
      <c r="AG378" s="1">
        <f t="shared" si="108"/>
        <v>0</v>
      </c>
      <c r="AH378" s="1">
        <f t="shared" si="109"/>
        <v>0</v>
      </c>
      <c r="AI378" s="1">
        <f t="shared" si="110"/>
        <v>1</v>
      </c>
    </row>
    <row r="379" spans="1:35" ht="14.25" customHeight="1" x14ac:dyDescent="0.3">
      <c r="A379" s="47">
        <v>0</v>
      </c>
      <c r="B379" s="47">
        <v>2</v>
      </c>
      <c r="C379" s="47">
        <v>7</v>
      </c>
      <c r="D379" s="48" t="s">
        <v>1080</v>
      </c>
      <c r="E379" s="48" t="s">
        <v>1056</v>
      </c>
      <c r="F379" s="48" t="s">
        <v>1081</v>
      </c>
      <c r="G379" s="48" t="s">
        <v>215</v>
      </c>
      <c r="H379" s="48" t="s">
        <v>357</v>
      </c>
      <c r="I379" s="47" t="s">
        <v>1082</v>
      </c>
      <c r="J379" s="47">
        <v>1</v>
      </c>
      <c r="K379" s="49" t="s">
        <v>962</v>
      </c>
      <c r="L379" s="49" t="s">
        <v>729</v>
      </c>
      <c r="M379" s="50" t="s">
        <v>1449</v>
      </c>
      <c r="N379" s="50" t="s">
        <v>1750</v>
      </c>
      <c r="O379" s="51"/>
      <c r="P379" s="51"/>
      <c r="Q379" s="48" t="s">
        <v>1933</v>
      </c>
      <c r="S379" s="1">
        <f t="shared" si="111"/>
        <v>1</v>
      </c>
      <c r="T379" s="1">
        <f t="shared" si="112"/>
        <v>0</v>
      </c>
      <c r="U379" s="1">
        <f t="shared" si="113"/>
        <v>0</v>
      </c>
      <c r="V379" s="1">
        <f t="shared" si="114"/>
        <v>0</v>
      </c>
      <c r="W379" s="1">
        <f t="shared" si="115"/>
        <v>0</v>
      </c>
      <c r="X379" s="1">
        <f t="shared" si="116"/>
        <v>0</v>
      </c>
      <c r="Y379" s="1">
        <f t="shared" si="117"/>
        <v>0</v>
      </c>
      <c r="Z379" s="1">
        <f t="shared" si="118"/>
        <v>0</v>
      </c>
      <c r="AA379" s="1">
        <f t="shared" si="119"/>
        <v>0</v>
      </c>
      <c r="AB379" s="1">
        <f t="shared" si="120"/>
        <v>0</v>
      </c>
      <c r="AD379" s="1">
        <f t="shared" si="121"/>
        <v>0</v>
      </c>
      <c r="AE379" s="1">
        <f t="shared" si="122"/>
        <v>0</v>
      </c>
      <c r="AF379" s="1">
        <f t="shared" si="107"/>
        <v>0</v>
      </c>
      <c r="AG379" s="1">
        <f t="shared" si="108"/>
        <v>0</v>
      </c>
      <c r="AH379" s="1">
        <f t="shared" si="109"/>
        <v>0</v>
      </c>
      <c r="AI379" s="1">
        <f t="shared" si="110"/>
        <v>1</v>
      </c>
    </row>
    <row r="380" spans="1:35" ht="14.25" customHeight="1" x14ac:dyDescent="0.3">
      <c r="A380" s="34">
        <v>0</v>
      </c>
      <c r="B380" s="34">
        <v>2</v>
      </c>
      <c r="C380" s="34">
        <v>7</v>
      </c>
      <c r="D380" s="35" t="s">
        <v>1024</v>
      </c>
      <c r="E380" s="35" t="s">
        <v>158</v>
      </c>
      <c r="F380" s="35" t="s">
        <v>1098</v>
      </c>
      <c r="G380" s="35" t="s">
        <v>1108</v>
      </c>
      <c r="H380" s="35" t="s">
        <v>357</v>
      </c>
      <c r="I380" s="34" t="s">
        <v>1025</v>
      </c>
      <c r="J380" s="34">
        <v>99</v>
      </c>
      <c r="K380" s="36" t="s">
        <v>720</v>
      </c>
      <c r="L380" s="36" t="s">
        <v>729</v>
      </c>
      <c r="M380" s="37" t="s">
        <v>1449</v>
      </c>
      <c r="N380" s="37" t="s">
        <v>1763</v>
      </c>
      <c r="O380" s="38">
        <v>1</v>
      </c>
      <c r="P380" s="38"/>
      <c r="Q380" s="35"/>
      <c r="S380" s="1">
        <f t="shared" si="111"/>
        <v>0</v>
      </c>
      <c r="T380" s="1">
        <f t="shared" si="112"/>
        <v>0</v>
      </c>
      <c r="U380" s="1">
        <f t="shared" si="113"/>
        <v>0</v>
      </c>
      <c r="V380" s="1">
        <f t="shared" si="114"/>
        <v>0</v>
      </c>
      <c r="W380" s="1">
        <f t="shared" si="115"/>
        <v>0</v>
      </c>
      <c r="X380" s="1">
        <f t="shared" si="116"/>
        <v>0</v>
      </c>
      <c r="Y380" s="1">
        <f t="shared" si="117"/>
        <v>0</v>
      </c>
      <c r="Z380" s="1">
        <f t="shared" si="118"/>
        <v>0</v>
      </c>
      <c r="AA380" s="1">
        <f t="shared" si="119"/>
        <v>0</v>
      </c>
      <c r="AB380" s="1">
        <f t="shared" si="120"/>
        <v>0</v>
      </c>
      <c r="AD380" s="1">
        <f t="shared" si="121"/>
        <v>0</v>
      </c>
      <c r="AE380" s="1">
        <f t="shared" si="122"/>
        <v>1</v>
      </c>
      <c r="AF380" s="1">
        <f t="shared" si="107"/>
        <v>0</v>
      </c>
      <c r="AG380" s="1">
        <f t="shared" si="108"/>
        <v>1</v>
      </c>
      <c r="AH380" s="1">
        <f t="shared" si="109"/>
        <v>0</v>
      </c>
      <c r="AI380" s="1">
        <f t="shared" si="110"/>
        <v>1</v>
      </c>
    </row>
    <row r="381" spans="1:35" ht="14.25" customHeight="1" x14ac:dyDescent="0.3">
      <c r="A381" s="34">
        <v>0</v>
      </c>
      <c r="B381" s="34">
        <v>2</v>
      </c>
      <c r="C381" s="34">
        <v>7</v>
      </c>
      <c r="D381" s="35" t="s">
        <v>1219</v>
      </c>
      <c r="E381" s="35" t="s">
        <v>1346</v>
      </c>
      <c r="F381" s="35" t="s">
        <v>1220</v>
      </c>
      <c r="G381" s="35" t="s">
        <v>39</v>
      </c>
      <c r="H381" s="35" t="s">
        <v>357</v>
      </c>
      <c r="I381" s="34" t="s">
        <v>1700</v>
      </c>
      <c r="J381" s="34">
        <v>99</v>
      </c>
      <c r="K381" s="36" t="s">
        <v>962</v>
      </c>
      <c r="L381" s="36" t="s">
        <v>736</v>
      </c>
      <c r="M381" s="37" t="s">
        <v>1450</v>
      </c>
      <c r="N381" s="37" t="s">
        <v>1763</v>
      </c>
      <c r="O381" s="38">
        <v>1</v>
      </c>
      <c r="P381" s="38"/>
      <c r="Q381" s="35"/>
      <c r="S381" s="1">
        <f t="shared" si="111"/>
        <v>0</v>
      </c>
      <c r="T381" s="1">
        <f t="shared" si="112"/>
        <v>0</v>
      </c>
      <c r="U381" s="1">
        <f t="shared" si="113"/>
        <v>0</v>
      </c>
      <c r="V381" s="1">
        <f t="shared" si="114"/>
        <v>0</v>
      </c>
      <c r="W381" s="1">
        <f t="shared" si="115"/>
        <v>0</v>
      </c>
      <c r="X381" s="1">
        <f t="shared" si="116"/>
        <v>0</v>
      </c>
      <c r="Y381" s="1">
        <f t="shared" si="117"/>
        <v>0</v>
      </c>
      <c r="Z381" s="1">
        <f t="shared" si="118"/>
        <v>0</v>
      </c>
      <c r="AA381" s="1">
        <f t="shared" si="119"/>
        <v>0</v>
      </c>
      <c r="AB381" s="1">
        <f t="shared" si="120"/>
        <v>0</v>
      </c>
      <c r="AD381" s="1">
        <f t="shared" si="121"/>
        <v>0</v>
      </c>
      <c r="AE381" s="1">
        <f t="shared" si="122"/>
        <v>1</v>
      </c>
      <c r="AF381" s="1">
        <f t="shared" si="107"/>
        <v>0</v>
      </c>
      <c r="AG381" s="1">
        <f t="shared" si="108"/>
        <v>1</v>
      </c>
      <c r="AH381" s="1">
        <f t="shared" si="109"/>
        <v>0</v>
      </c>
      <c r="AI381" s="1">
        <f t="shared" si="110"/>
        <v>1</v>
      </c>
    </row>
    <row r="382" spans="1:35" ht="14.25" customHeight="1" x14ac:dyDescent="0.3">
      <c r="A382" s="34">
        <v>0</v>
      </c>
      <c r="B382" s="34">
        <v>2</v>
      </c>
      <c r="C382" s="34">
        <v>7</v>
      </c>
      <c r="D382" s="35" t="s">
        <v>55</v>
      </c>
      <c r="E382" s="35" t="s">
        <v>28</v>
      </c>
      <c r="F382" s="35" t="s">
        <v>649</v>
      </c>
      <c r="G382" s="35" t="s">
        <v>540</v>
      </c>
      <c r="H382" s="35" t="s">
        <v>357</v>
      </c>
      <c r="I382" s="34" t="s">
        <v>397</v>
      </c>
      <c r="J382" s="34">
        <v>6</v>
      </c>
      <c r="K382" s="36" t="s">
        <v>719</v>
      </c>
      <c r="L382" s="36" t="s">
        <v>720</v>
      </c>
      <c r="M382" s="37" t="s">
        <v>738</v>
      </c>
      <c r="N382" s="37" t="s">
        <v>1776</v>
      </c>
      <c r="O382" s="38">
        <v>1</v>
      </c>
      <c r="P382" s="38"/>
      <c r="Q382" s="35"/>
      <c r="S382" s="1">
        <f t="shared" si="111"/>
        <v>0</v>
      </c>
      <c r="T382" s="1">
        <f t="shared" si="112"/>
        <v>0</v>
      </c>
      <c r="U382" s="1">
        <f t="shared" si="113"/>
        <v>0</v>
      </c>
      <c r="V382" s="1">
        <f t="shared" si="114"/>
        <v>0</v>
      </c>
      <c r="W382" s="1">
        <f t="shared" si="115"/>
        <v>0</v>
      </c>
      <c r="X382" s="1">
        <f t="shared" si="116"/>
        <v>1</v>
      </c>
      <c r="Y382" s="1">
        <f t="shared" si="117"/>
        <v>0</v>
      </c>
      <c r="Z382" s="1">
        <f t="shared" si="118"/>
        <v>0</v>
      </c>
      <c r="AA382" s="1">
        <f t="shared" si="119"/>
        <v>0</v>
      </c>
      <c r="AB382" s="1">
        <f t="shared" si="120"/>
        <v>0</v>
      </c>
      <c r="AD382" s="1">
        <f t="shared" si="121"/>
        <v>0</v>
      </c>
      <c r="AE382" s="1">
        <f t="shared" si="122"/>
        <v>1</v>
      </c>
      <c r="AF382" s="1">
        <f t="shared" si="107"/>
        <v>0</v>
      </c>
      <c r="AG382" s="1">
        <f t="shared" si="108"/>
        <v>1</v>
      </c>
      <c r="AH382" s="1">
        <f t="shared" si="109"/>
        <v>0</v>
      </c>
      <c r="AI382" s="1">
        <f t="shared" si="110"/>
        <v>1</v>
      </c>
    </row>
    <row r="383" spans="1:35" ht="14.25" customHeight="1" x14ac:dyDescent="0.3">
      <c r="A383" s="34">
        <v>1</v>
      </c>
      <c r="B383" s="34">
        <v>2</v>
      </c>
      <c r="C383" s="34">
        <v>7</v>
      </c>
      <c r="D383" s="35" t="s">
        <v>55</v>
      </c>
      <c r="E383" s="35" t="s">
        <v>28</v>
      </c>
      <c r="F383" s="35" t="s">
        <v>218</v>
      </c>
      <c r="G383" s="35" t="s">
        <v>39</v>
      </c>
      <c r="H383" s="35" t="s">
        <v>357</v>
      </c>
      <c r="I383" s="34" t="s">
        <v>30</v>
      </c>
      <c r="J383" s="34">
        <v>99</v>
      </c>
      <c r="K383" s="36" t="s">
        <v>719</v>
      </c>
      <c r="L383" s="36" t="s">
        <v>720</v>
      </c>
      <c r="M383" s="37" t="s">
        <v>738</v>
      </c>
      <c r="N383" s="37" t="s">
        <v>1776</v>
      </c>
      <c r="O383" s="38">
        <v>1</v>
      </c>
      <c r="P383" s="38"/>
      <c r="Q383" s="35"/>
      <c r="S383" s="1">
        <f t="shared" si="111"/>
        <v>0</v>
      </c>
      <c r="T383" s="1">
        <f t="shared" si="112"/>
        <v>0</v>
      </c>
      <c r="U383" s="1">
        <f t="shared" si="113"/>
        <v>0</v>
      </c>
      <c r="V383" s="1">
        <f t="shared" si="114"/>
        <v>0</v>
      </c>
      <c r="W383" s="1">
        <f t="shared" si="115"/>
        <v>0</v>
      </c>
      <c r="X383" s="1">
        <f t="shared" si="116"/>
        <v>0</v>
      </c>
      <c r="Y383" s="1">
        <f t="shared" si="117"/>
        <v>0</v>
      </c>
      <c r="Z383" s="1">
        <f t="shared" si="118"/>
        <v>0</v>
      </c>
      <c r="AA383" s="1">
        <f t="shared" si="119"/>
        <v>0</v>
      </c>
      <c r="AB383" s="1">
        <f t="shared" si="120"/>
        <v>0</v>
      </c>
      <c r="AD383" s="1">
        <f t="shared" si="121"/>
        <v>0</v>
      </c>
      <c r="AE383" s="1">
        <f t="shared" si="122"/>
        <v>1</v>
      </c>
      <c r="AF383" s="1">
        <f t="shared" si="107"/>
        <v>0</v>
      </c>
      <c r="AG383" s="1">
        <f t="shared" si="108"/>
        <v>0</v>
      </c>
      <c r="AH383" s="1">
        <f t="shared" si="109"/>
        <v>0</v>
      </c>
      <c r="AI383" s="1">
        <f t="shared" si="110"/>
        <v>0</v>
      </c>
    </row>
    <row r="384" spans="1:35" ht="14.25" customHeight="1" x14ac:dyDescent="0.3">
      <c r="A384" s="34">
        <v>1</v>
      </c>
      <c r="B384" s="34">
        <v>2</v>
      </c>
      <c r="C384" s="34">
        <v>7</v>
      </c>
      <c r="D384" s="35" t="s">
        <v>55</v>
      </c>
      <c r="E384" s="35" t="s">
        <v>28</v>
      </c>
      <c r="F384" s="35" t="s">
        <v>217</v>
      </c>
      <c r="G384" s="35" t="s">
        <v>39</v>
      </c>
      <c r="H384" s="35" t="s">
        <v>357</v>
      </c>
      <c r="I384" s="34" t="s">
        <v>397</v>
      </c>
      <c r="J384" s="34">
        <v>99</v>
      </c>
      <c r="K384" s="36" t="s">
        <v>719</v>
      </c>
      <c r="L384" s="36" t="s">
        <v>720</v>
      </c>
      <c r="M384" s="37" t="s">
        <v>738</v>
      </c>
      <c r="N384" s="37" t="s">
        <v>1776</v>
      </c>
      <c r="O384" s="38">
        <v>1</v>
      </c>
      <c r="P384" s="38"/>
      <c r="Q384" s="35"/>
      <c r="S384" s="1">
        <f t="shared" si="111"/>
        <v>0</v>
      </c>
      <c r="T384" s="1">
        <f t="shared" si="112"/>
        <v>0</v>
      </c>
      <c r="U384" s="1">
        <f t="shared" si="113"/>
        <v>0</v>
      </c>
      <c r="V384" s="1">
        <f t="shared" si="114"/>
        <v>0</v>
      </c>
      <c r="W384" s="1">
        <f t="shared" si="115"/>
        <v>0</v>
      </c>
      <c r="X384" s="1">
        <f t="shared" si="116"/>
        <v>0</v>
      </c>
      <c r="Y384" s="1">
        <f t="shared" si="117"/>
        <v>0</v>
      </c>
      <c r="Z384" s="1">
        <f t="shared" si="118"/>
        <v>0</v>
      </c>
      <c r="AA384" s="1">
        <f t="shared" si="119"/>
        <v>0</v>
      </c>
      <c r="AB384" s="1">
        <f t="shared" si="120"/>
        <v>0</v>
      </c>
      <c r="AD384" s="1">
        <f t="shared" si="121"/>
        <v>0</v>
      </c>
      <c r="AE384" s="1">
        <f t="shared" si="122"/>
        <v>1</v>
      </c>
      <c r="AF384" s="1">
        <f t="shared" si="107"/>
        <v>0</v>
      </c>
      <c r="AG384" s="1">
        <f t="shared" si="108"/>
        <v>0</v>
      </c>
      <c r="AH384" s="1">
        <f t="shared" si="109"/>
        <v>0</v>
      </c>
      <c r="AI384" s="1">
        <f t="shared" si="110"/>
        <v>0</v>
      </c>
    </row>
    <row r="385" spans="1:35" ht="14.25" customHeight="1" x14ac:dyDescent="0.3">
      <c r="A385" s="34">
        <v>1</v>
      </c>
      <c r="B385" s="34">
        <v>2</v>
      </c>
      <c r="C385" s="34">
        <v>7</v>
      </c>
      <c r="D385" s="35" t="s">
        <v>55</v>
      </c>
      <c r="E385" s="35" t="s">
        <v>28</v>
      </c>
      <c r="F385" s="35" t="s">
        <v>219</v>
      </c>
      <c r="G385" s="35" t="s">
        <v>220</v>
      </c>
      <c r="H385" s="35" t="s">
        <v>357</v>
      </c>
      <c r="I385" s="34" t="s">
        <v>398</v>
      </c>
      <c r="J385" s="34">
        <v>99</v>
      </c>
      <c r="K385" s="36" t="s">
        <v>719</v>
      </c>
      <c r="L385" s="36" t="s">
        <v>720</v>
      </c>
      <c r="M385" s="37" t="s">
        <v>738</v>
      </c>
      <c r="N385" s="37" t="s">
        <v>1776</v>
      </c>
      <c r="O385" s="38">
        <v>1</v>
      </c>
      <c r="P385" s="38"/>
      <c r="Q385" s="35"/>
      <c r="S385" s="1">
        <f t="shared" si="111"/>
        <v>0</v>
      </c>
      <c r="T385" s="1">
        <f t="shared" si="112"/>
        <v>0</v>
      </c>
      <c r="U385" s="1">
        <f t="shared" si="113"/>
        <v>0</v>
      </c>
      <c r="V385" s="1">
        <f t="shared" si="114"/>
        <v>0</v>
      </c>
      <c r="W385" s="1">
        <f t="shared" si="115"/>
        <v>0</v>
      </c>
      <c r="X385" s="1">
        <f t="shared" si="116"/>
        <v>0</v>
      </c>
      <c r="Y385" s="1">
        <f t="shared" si="117"/>
        <v>0</v>
      </c>
      <c r="Z385" s="1">
        <f t="shared" si="118"/>
        <v>0</v>
      </c>
      <c r="AA385" s="1">
        <f t="shared" si="119"/>
        <v>0</v>
      </c>
      <c r="AB385" s="1">
        <f t="shared" si="120"/>
        <v>0</v>
      </c>
      <c r="AD385" s="1">
        <f t="shared" si="121"/>
        <v>0</v>
      </c>
      <c r="AE385" s="1">
        <f t="shared" si="122"/>
        <v>1</v>
      </c>
      <c r="AF385" s="1">
        <f t="shared" si="107"/>
        <v>0</v>
      </c>
      <c r="AG385" s="1">
        <f t="shared" si="108"/>
        <v>0</v>
      </c>
      <c r="AH385" s="1">
        <f t="shared" si="109"/>
        <v>0</v>
      </c>
      <c r="AI385" s="1">
        <f t="shared" si="110"/>
        <v>0</v>
      </c>
    </row>
    <row r="386" spans="1:35" ht="14.25" customHeight="1" x14ac:dyDescent="0.3">
      <c r="A386" s="47">
        <v>0</v>
      </c>
      <c r="B386" s="47">
        <v>2</v>
      </c>
      <c r="C386" s="47">
        <v>7</v>
      </c>
      <c r="D386" s="48" t="s">
        <v>68</v>
      </c>
      <c r="E386" s="48" t="s">
        <v>28</v>
      </c>
      <c r="F386" s="48" t="s">
        <v>255</v>
      </c>
      <c r="G386" s="48" t="s">
        <v>256</v>
      </c>
      <c r="H386" s="48" t="s">
        <v>357</v>
      </c>
      <c r="I386" s="47" t="s">
        <v>417</v>
      </c>
      <c r="J386" s="47">
        <v>99</v>
      </c>
      <c r="K386" s="49" t="s">
        <v>720</v>
      </c>
      <c r="L386" s="49" t="s">
        <v>720</v>
      </c>
      <c r="M386" s="50" t="s">
        <v>738</v>
      </c>
      <c r="N386" s="50" t="s">
        <v>1817</v>
      </c>
      <c r="O386" s="51"/>
      <c r="P386" s="51"/>
      <c r="Q386" s="48"/>
      <c r="S386" s="1">
        <f t="shared" si="111"/>
        <v>0</v>
      </c>
      <c r="T386" s="1">
        <f t="shared" si="112"/>
        <v>0</v>
      </c>
      <c r="U386" s="1">
        <f t="shared" si="113"/>
        <v>0</v>
      </c>
      <c r="V386" s="1">
        <f t="shared" si="114"/>
        <v>0</v>
      </c>
      <c r="W386" s="1">
        <f t="shared" si="115"/>
        <v>0</v>
      </c>
      <c r="X386" s="1">
        <f t="shared" si="116"/>
        <v>0</v>
      </c>
      <c r="Y386" s="1">
        <f t="shared" si="117"/>
        <v>0</v>
      </c>
      <c r="Z386" s="1">
        <f t="shared" si="118"/>
        <v>0</v>
      </c>
      <c r="AA386" s="1">
        <f t="shared" si="119"/>
        <v>0</v>
      </c>
      <c r="AB386" s="1">
        <f t="shared" si="120"/>
        <v>0</v>
      </c>
      <c r="AD386" s="1">
        <f t="shared" si="121"/>
        <v>0</v>
      </c>
      <c r="AE386" s="1">
        <f t="shared" si="122"/>
        <v>0</v>
      </c>
      <c r="AF386" s="1">
        <f t="shared" si="107"/>
        <v>0</v>
      </c>
      <c r="AG386" s="1">
        <f t="shared" si="108"/>
        <v>0</v>
      </c>
      <c r="AH386" s="1">
        <f t="shared" si="109"/>
        <v>0</v>
      </c>
      <c r="AI386" s="1">
        <f t="shared" si="110"/>
        <v>1</v>
      </c>
    </row>
    <row r="387" spans="1:35" ht="14.25" customHeight="1" x14ac:dyDescent="0.3">
      <c r="A387" s="15">
        <v>0</v>
      </c>
      <c r="B387" s="15">
        <v>2</v>
      </c>
      <c r="C387" s="15">
        <v>7</v>
      </c>
      <c r="D387" s="16" t="s">
        <v>69</v>
      </c>
      <c r="E387" s="16" t="s">
        <v>28</v>
      </c>
      <c r="F387" s="16" t="s">
        <v>257</v>
      </c>
      <c r="G387" s="16" t="s">
        <v>209</v>
      </c>
      <c r="H387" s="16" t="s">
        <v>357</v>
      </c>
      <c r="I387" s="15" t="s">
        <v>418</v>
      </c>
      <c r="J387" s="15">
        <v>99</v>
      </c>
      <c r="K387" s="10" t="s">
        <v>962</v>
      </c>
      <c r="L387" s="10" t="s">
        <v>720</v>
      </c>
      <c r="M387" s="19" t="s">
        <v>738</v>
      </c>
      <c r="N387" s="17"/>
      <c r="Q387" s="16"/>
      <c r="S387" s="1">
        <f t="shared" si="111"/>
        <v>0</v>
      </c>
      <c r="T387" s="1">
        <f t="shared" si="112"/>
        <v>0</v>
      </c>
      <c r="U387" s="1">
        <f t="shared" si="113"/>
        <v>0</v>
      </c>
      <c r="V387" s="1">
        <f t="shared" si="114"/>
        <v>0</v>
      </c>
      <c r="W387" s="1">
        <f t="shared" si="115"/>
        <v>0</v>
      </c>
      <c r="X387" s="1">
        <f t="shared" si="116"/>
        <v>0</v>
      </c>
      <c r="Y387" s="1">
        <f t="shared" si="117"/>
        <v>0</v>
      </c>
      <c r="Z387" s="1">
        <f t="shared" si="118"/>
        <v>0</v>
      </c>
      <c r="AA387" s="1">
        <f t="shared" si="119"/>
        <v>0</v>
      </c>
      <c r="AB387" s="1">
        <f t="shared" si="120"/>
        <v>0</v>
      </c>
      <c r="AD387" s="1">
        <f t="shared" si="121"/>
        <v>0</v>
      </c>
      <c r="AE387" s="1">
        <f t="shared" si="122"/>
        <v>0</v>
      </c>
      <c r="AF387" s="1">
        <f t="shared" si="107"/>
        <v>0</v>
      </c>
      <c r="AG387" s="1">
        <f t="shared" si="108"/>
        <v>0</v>
      </c>
      <c r="AH387" s="1">
        <f t="shared" si="109"/>
        <v>0</v>
      </c>
      <c r="AI387" s="1">
        <f t="shared" si="110"/>
        <v>1</v>
      </c>
    </row>
    <row r="388" spans="1:35" ht="14.25" customHeight="1" x14ac:dyDescent="0.3">
      <c r="A388" s="15">
        <v>1</v>
      </c>
      <c r="B388" s="15">
        <v>2</v>
      </c>
      <c r="C388" s="15">
        <v>7</v>
      </c>
      <c r="D388" s="16" t="s">
        <v>69</v>
      </c>
      <c r="E388" s="16" t="s">
        <v>28</v>
      </c>
      <c r="F388" s="20" t="s">
        <v>1889</v>
      </c>
      <c r="G388" s="16" t="s">
        <v>258</v>
      </c>
      <c r="H388" s="16" t="s">
        <v>357</v>
      </c>
      <c r="I388" s="15" t="s">
        <v>419</v>
      </c>
      <c r="J388" s="15">
        <v>99</v>
      </c>
      <c r="K388" s="10" t="s">
        <v>962</v>
      </c>
      <c r="L388" s="10" t="s">
        <v>720</v>
      </c>
      <c r="M388" s="19" t="s">
        <v>738</v>
      </c>
      <c r="N388" s="17"/>
      <c r="Q388" s="16"/>
      <c r="S388" s="1">
        <f t="shared" si="111"/>
        <v>0</v>
      </c>
      <c r="T388" s="1">
        <f t="shared" si="112"/>
        <v>0</v>
      </c>
      <c r="U388" s="1">
        <f t="shared" si="113"/>
        <v>0</v>
      </c>
      <c r="V388" s="1">
        <f t="shared" si="114"/>
        <v>0</v>
      </c>
      <c r="W388" s="1">
        <f t="shared" si="115"/>
        <v>0</v>
      </c>
      <c r="X388" s="1">
        <f t="shared" si="116"/>
        <v>0</v>
      </c>
      <c r="Y388" s="1">
        <f t="shared" si="117"/>
        <v>0</v>
      </c>
      <c r="Z388" s="1">
        <f t="shared" si="118"/>
        <v>0</v>
      </c>
      <c r="AA388" s="1">
        <f t="shared" si="119"/>
        <v>0</v>
      </c>
      <c r="AB388" s="1">
        <f t="shared" si="120"/>
        <v>0</v>
      </c>
      <c r="AD388" s="1">
        <f t="shared" si="121"/>
        <v>0</v>
      </c>
      <c r="AE388" s="1">
        <f t="shared" si="122"/>
        <v>0</v>
      </c>
      <c r="AF388" s="1">
        <f t="shared" si="107"/>
        <v>0</v>
      </c>
      <c r="AG388" s="1">
        <f t="shared" si="108"/>
        <v>0</v>
      </c>
      <c r="AH388" s="1">
        <f t="shared" si="109"/>
        <v>0</v>
      </c>
      <c r="AI388" s="1">
        <f t="shared" si="110"/>
        <v>0</v>
      </c>
    </row>
    <row r="389" spans="1:35" ht="14.25" customHeight="1" x14ac:dyDescent="0.3">
      <c r="A389" s="15">
        <v>1</v>
      </c>
      <c r="B389" s="15">
        <v>2</v>
      </c>
      <c r="C389" s="15">
        <v>7</v>
      </c>
      <c r="D389" s="16" t="s">
        <v>69</v>
      </c>
      <c r="E389" s="16" t="s">
        <v>28</v>
      </c>
      <c r="F389" s="16" t="s">
        <v>575</v>
      </c>
      <c r="G389" s="16" t="s">
        <v>576</v>
      </c>
      <c r="H389" s="16" t="s">
        <v>357</v>
      </c>
      <c r="I389" s="15" t="s">
        <v>585</v>
      </c>
      <c r="J389" s="15">
        <v>99</v>
      </c>
      <c r="K389" s="10" t="s">
        <v>962</v>
      </c>
      <c r="L389" s="10" t="s">
        <v>720</v>
      </c>
      <c r="M389" s="19" t="s">
        <v>738</v>
      </c>
      <c r="N389" s="17"/>
      <c r="Q389" s="16"/>
      <c r="S389" s="1">
        <f t="shared" si="111"/>
        <v>0</v>
      </c>
      <c r="T389" s="1">
        <f t="shared" si="112"/>
        <v>0</v>
      </c>
      <c r="U389" s="1">
        <f t="shared" si="113"/>
        <v>0</v>
      </c>
      <c r="V389" s="1">
        <f t="shared" si="114"/>
        <v>0</v>
      </c>
      <c r="W389" s="1">
        <f t="shared" si="115"/>
        <v>0</v>
      </c>
      <c r="X389" s="1">
        <f t="shared" si="116"/>
        <v>0</v>
      </c>
      <c r="Y389" s="1">
        <f t="shared" si="117"/>
        <v>0</v>
      </c>
      <c r="Z389" s="1">
        <f t="shared" si="118"/>
        <v>0</v>
      </c>
      <c r="AA389" s="1">
        <f t="shared" si="119"/>
        <v>0</v>
      </c>
      <c r="AB389" s="1">
        <f t="shared" si="120"/>
        <v>0</v>
      </c>
      <c r="AD389" s="1">
        <f t="shared" si="121"/>
        <v>0</v>
      </c>
      <c r="AE389" s="1">
        <f t="shared" si="122"/>
        <v>0</v>
      </c>
      <c r="AF389" s="1">
        <f t="shared" si="107"/>
        <v>0</v>
      </c>
      <c r="AG389" s="1">
        <f t="shared" si="108"/>
        <v>0</v>
      </c>
      <c r="AH389" s="1">
        <f t="shared" si="109"/>
        <v>0</v>
      </c>
      <c r="AI389" s="1">
        <f t="shared" si="110"/>
        <v>0</v>
      </c>
    </row>
    <row r="390" spans="1:35" ht="14.25" customHeight="1" x14ac:dyDescent="0.3">
      <c r="A390" s="47">
        <v>0</v>
      </c>
      <c r="B390" s="47">
        <v>2</v>
      </c>
      <c r="C390" s="47">
        <v>7</v>
      </c>
      <c r="D390" s="48" t="s">
        <v>71</v>
      </c>
      <c r="E390" s="48" t="s">
        <v>28</v>
      </c>
      <c r="F390" s="48" t="s">
        <v>1363</v>
      </c>
      <c r="G390" s="48" t="s">
        <v>262</v>
      </c>
      <c r="H390" s="48" t="s">
        <v>357</v>
      </c>
      <c r="I390" s="47" t="s">
        <v>421</v>
      </c>
      <c r="J390" s="47">
        <v>99</v>
      </c>
      <c r="K390" s="49" t="s">
        <v>720</v>
      </c>
      <c r="L390" s="49" t="s">
        <v>720</v>
      </c>
      <c r="M390" s="50" t="s">
        <v>738</v>
      </c>
      <c r="N390" s="50" t="s">
        <v>1817</v>
      </c>
      <c r="O390" s="51"/>
      <c r="P390" s="51"/>
      <c r="Q390" s="48"/>
      <c r="S390" s="1">
        <f t="shared" si="111"/>
        <v>0</v>
      </c>
      <c r="T390" s="1">
        <f t="shared" si="112"/>
        <v>0</v>
      </c>
      <c r="U390" s="1">
        <f t="shared" si="113"/>
        <v>0</v>
      </c>
      <c r="V390" s="1">
        <f t="shared" si="114"/>
        <v>0</v>
      </c>
      <c r="W390" s="1">
        <f t="shared" si="115"/>
        <v>0</v>
      </c>
      <c r="X390" s="1">
        <f t="shared" si="116"/>
        <v>0</v>
      </c>
      <c r="Y390" s="1">
        <f t="shared" si="117"/>
        <v>0</v>
      </c>
      <c r="Z390" s="1">
        <f t="shared" si="118"/>
        <v>0</v>
      </c>
      <c r="AA390" s="1">
        <f t="shared" si="119"/>
        <v>0</v>
      </c>
      <c r="AB390" s="1">
        <f t="shared" si="120"/>
        <v>0</v>
      </c>
      <c r="AD390" s="1">
        <f t="shared" si="121"/>
        <v>0</v>
      </c>
      <c r="AE390" s="1">
        <f t="shared" si="122"/>
        <v>0</v>
      </c>
      <c r="AF390" s="1">
        <f t="shared" si="107"/>
        <v>0</v>
      </c>
      <c r="AG390" s="1">
        <f t="shared" si="108"/>
        <v>0</v>
      </c>
      <c r="AH390" s="1">
        <f t="shared" si="109"/>
        <v>0</v>
      </c>
      <c r="AI390" s="1">
        <f t="shared" si="110"/>
        <v>1</v>
      </c>
    </row>
    <row r="391" spans="1:35" ht="14.25" customHeight="1" x14ac:dyDescent="0.3">
      <c r="A391" s="47">
        <v>0</v>
      </c>
      <c r="B391" s="47">
        <v>2</v>
      </c>
      <c r="C391" s="47">
        <v>7</v>
      </c>
      <c r="D391" s="48" t="s">
        <v>1072</v>
      </c>
      <c r="E391" s="48" t="s">
        <v>28</v>
      </c>
      <c r="F391" s="48" t="s">
        <v>1073</v>
      </c>
      <c r="G391" s="48" t="s">
        <v>1074</v>
      </c>
      <c r="H391" s="48" t="s">
        <v>357</v>
      </c>
      <c r="I391" s="47" t="s">
        <v>1075</v>
      </c>
      <c r="J391" s="47">
        <v>99</v>
      </c>
      <c r="K391" s="49" t="s">
        <v>720</v>
      </c>
      <c r="L391" s="49" t="s">
        <v>720</v>
      </c>
      <c r="M391" s="50" t="s">
        <v>738</v>
      </c>
      <c r="N391" s="50" t="s">
        <v>1817</v>
      </c>
      <c r="O391" s="51"/>
      <c r="P391" s="51"/>
      <c r="Q391" s="48"/>
      <c r="S391" s="1">
        <f t="shared" si="111"/>
        <v>0</v>
      </c>
      <c r="T391" s="1">
        <f t="shared" si="112"/>
        <v>0</v>
      </c>
      <c r="U391" s="1">
        <f t="shared" si="113"/>
        <v>0</v>
      </c>
      <c r="V391" s="1">
        <f t="shared" si="114"/>
        <v>0</v>
      </c>
      <c r="W391" s="1">
        <f t="shared" si="115"/>
        <v>0</v>
      </c>
      <c r="X391" s="1">
        <f t="shared" si="116"/>
        <v>0</v>
      </c>
      <c r="Y391" s="1">
        <f t="shared" si="117"/>
        <v>0</v>
      </c>
      <c r="Z391" s="1">
        <f t="shared" si="118"/>
        <v>0</v>
      </c>
      <c r="AA391" s="1">
        <f t="shared" si="119"/>
        <v>0</v>
      </c>
      <c r="AB391" s="1">
        <f t="shared" si="120"/>
        <v>0</v>
      </c>
      <c r="AD391" s="1">
        <f t="shared" si="121"/>
        <v>0</v>
      </c>
      <c r="AE391" s="1">
        <f t="shared" si="122"/>
        <v>0</v>
      </c>
      <c r="AF391" s="1">
        <f t="shared" si="107"/>
        <v>0</v>
      </c>
      <c r="AG391" s="1">
        <f t="shared" si="108"/>
        <v>0</v>
      </c>
      <c r="AH391" s="1">
        <f t="shared" si="109"/>
        <v>0</v>
      </c>
      <c r="AI391" s="1">
        <f t="shared" si="110"/>
        <v>1</v>
      </c>
    </row>
    <row r="392" spans="1:35" ht="14.25" customHeight="1" x14ac:dyDescent="0.3">
      <c r="A392" s="34">
        <v>0</v>
      </c>
      <c r="B392" s="34">
        <v>2</v>
      </c>
      <c r="C392" s="34">
        <v>7</v>
      </c>
      <c r="D392" s="35" t="s">
        <v>1821</v>
      </c>
      <c r="E392" s="35" t="s">
        <v>158</v>
      </c>
      <c r="F392" s="35" t="s">
        <v>1822</v>
      </c>
      <c r="G392" s="35"/>
      <c r="H392" s="35" t="s">
        <v>357</v>
      </c>
      <c r="I392" s="34" t="s">
        <v>1823</v>
      </c>
      <c r="J392" s="34">
        <v>99</v>
      </c>
      <c r="K392" s="36" t="s">
        <v>710</v>
      </c>
      <c r="L392" s="36"/>
      <c r="M392" s="37"/>
      <c r="N392" s="37" t="s">
        <v>1742</v>
      </c>
      <c r="O392" s="38">
        <v>1</v>
      </c>
      <c r="P392" s="38">
        <v>1</v>
      </c>
      <c r="Q392" s="35"/>
      <c r="S392" s="1">
        <f t="shared" si="111"/>
        <v>0</v>
      </c>
      <c r="T392" s="1">
        <f t="shared" si="112"/>
        <v>0</v>
      </c>
      <c r="U392" s="1">
        <f t="shared" si="113"/>
        <v>0</v>
      </c>
      <c r="V392" s="1">
        <f t="shared" si="114"/>
        <v>0</v>
      </c>
      <c r="W392" s="1">
        <f t="shared" si="115"/>
        <v>0</v>
      </c>
      <c r="X392" s="1">
        <f t="shared" si="116"/>
        <v>0</v>
      </c>
      <c r="Y392" s="1">
        <f t="shared" si="117"/>
        <v>0</v>
      </c>
      <c r="Z392" s="1">
        <f t="shared" si="118"/>
        <v>0</v>
      </c>
      <c r="AA392" s="1">
        <f t="shared" si="119"/>
        <v>0</v>
      </c>
      <c r="AB392" s="1">
        <f t="shared" si="120"/>
        <v>0</v>
      </c>
      <c r="AD392" s="1">
        <f t="shared" si="121"/>
        <v>1</v>
      </c>
      <c r="AE392" s="1">
        <f t="shared" si="122"/>
        <v>0</v>
      </c>
      <c r="AF392" s="1">
        <f t="shared" si="107"/>
        <v>1</v>
      </c>
      <c r="AG392" s="1">
        <f t="shared" si="108"/>
        <v>0</v>
      </c>
      <c r="AH392" s="1">
        <f t="shared" si="109"/>
        <v>1</v>
      </c>
      <c r="AI392" s="1">
        <f t="shared" si="110"/>
        <v>0</v>
      </c>
    </row>
    <row r="393" spans="1:35" ht="14.25" customHeight="1" x14ac:dyDescent="0.3">
      <c r="A393" s="34">
        <v>0</v>
      </c>
      <c r="B393" s="34">
        <v>2</v>
      </c>
      <c r="C393" s="34">
        <v>7</v>
      </c>
      <c r="D393" s="35" t="s">
        <v>1192</v>
      </c>
      <c r="E393" s="35" t="s">
        <v>158</v>
      </c>
      <c r="F393" s="35" t="s">
        <v>1193</v>
      </c>
      <c r="G393" s="35" t="s">
        <v>296</v>
      </c>
      <c r="H393" s="35" t="s">
        <v>357</v>
      </c>
      <c r="I393" s="34" t="s">
        <v>1194</v>
      </c>
      <c r="J393" s="34">
        <v>99</v>
      </c>
      <c r="K393" s="36" t="s">
        <v>720</v>
      </c>
      <c r="L393" s="36" t="s">
        <v>729</v>
      </c>
      <c r="M393" s="37" t="s">
        <v>1449</v>
      </c>
      <c r="N393" s="37" t="s">
        <v>1763</v>
      </c>
      <c r="O393" s="38">
        <v>1</v>
      </c>
      <c r="P393" s="38"/>
      <c r="Q393" s="35"/>
      <c r="S393" s="1">
        <f t="shared" si="111"/>
        <v>0</v>
      </c>
      <c r="T393" s="1">
        <f t="shared" si="112"/>
        <v>0</v>
      </c>
      <c r="U393" s="1">
        <f t="shared" si="113"/>
        <v>0</v>
      </c>
      <c r="V393" s="1">
        <f t="shared" si="114"/>
        <v>0</v>
      </c>
      <c r="W393" s="1">
        <f t="shared" si="115"/>
        <v>0</v>
      </c>
      <c r="X393" s="1">
        <f t="shared" si="116"/>
        <v>0</v>
      </c>
      <c r="Y393" s="1">
        <f t="shared" si="117"/>
        <v>0</v>
      </c>
      <c r="Z393" s="1">
        <f t="shared" si="118"/>
        <v>0</v>
      </c>
      <c r="AA393" s="1">
        <f t="shared" si="119"/>
        <v>0</v>
      </c>
      <c r="AB393" s="1">
        <f t="shared" si="120"/>
        <v>0</v>
      </c>
      <c r="AD393" s="1">
        <f t="shared" si="121"/>
        <v>0</v>
      </c>
      <c r="AE393" s="1">
        <f t="shared" si="122"/>
        <v>1</v>
      </c>
      <c r="AF393" s="1">
        <f t="shared" ref="AF393:AF456" si="141">+O393*P393*(1-A393)</f>
        <v>0</v>
      </c>
      <c r="AG393" s="1">
        <f t="shared" ref="AG393:AG456" si="142">O393*(1-P393)*(1-A393)</f>
        <v>1</v>
      </c>
      <c r="AH393" s="1">
        <f t="shared" ref="AH393:AH456" si="143">+P393*(1-A393)</f>
        <v>0</v>
      </c>
      <c r="AI393" s="1">
        <f t="shared" ref="AI393:AI456" si="144">+(1-A393)*(1-P393)</f>
        <v>1</v>
      </c>
    </row>
    <row r="394" spans="1:35" ht="14.25" customHeight="1" x14ac:dyDescent="0.3">
      <c r="A394" s="34">
        <v>0</v>
      </c>
      <c r="B394" s="34">
        <v>2</v>
      </c>
      <c r="C394" s="34">
        <v>7</v>
      </c>
      <c r="D394" s="35" t="s">
        <v>1165</v>
      </c>
      <c r="E394" s="35" t="s">
        <v>1166</v>
      </c>
      <c r="F394" s="39" t="s">
        <v>1893</v>
      </c>
      <c r="G394" s="35" t="s">
        <v>633</v>
      </c>
      <c r="H394" s="35" t="s">
        <v>357</v>
      </c>
      <c r="I394" s="34" t="s">
        <v>1167</v>
      </c>
      <c r="J394" s="34">
        <v>99</v>
      </c>
      <c r="K394" s="36" t="s">
        <v>720</v>
      </c>
      <c r="L394" s="36" t="s">
        <v>720</v>
      </c>
      <c r="M394" s="37" t="s">
        <v>738</v>
      </c>
      <c r="N394" s="37" t="s">
        <v>1758</v>
      </c>
      <c r="O394" s="38">
        <v>1</v>
      </c>
      <c r="P394" s="38"/>
      <c r="Q394" s="39" t="s">
        <v>1913</v>
      </c>
      <c r="S394" s="1">
        <f t="shared" si="111"/>
        <v>0</v>
      </c>
      <c r="T394" s="1">
        <f t="shared" si="112"/>
        <v>0</v>
      </c>
      <c r="U394" s="1">
        <f t="shared" si="113"/>
        <v>0</v>
      </c>
      <c r="V394" s="1">
        <f t="shared" si="114"/>
        <v>0</v>
      </c>
      <c r="W394" s="1">
        <f t="shared" si="115"/>
        <v>0</v>
      </c>
      <c r="X394" s="1">
        <f t="shared" si="116"/>
        <v>0</v>
      </c>
      <c r="Y394" s="1">
        <f t="shared" si="117"/>
        <v>0</v>
      </c>
      <c r="Z394" s="1">
        <f t="shared" si="118"/>
        <v>0</v>
      </c>
      <c r="AA394" s="1">
        <f t="shared" si="119"/>
        <v>0</v>
      </c>
      <c r="AB394" s="1">
        <f t="shared" si="120"/>
        <v>0</v>
      </c>
      <c r="AD394" s="1">
        <f t="shared" si="121"/>
        <v>0</v>
      </c>
      <c r="AE394" s="1">
        <f t="shared" si="122"/>
        <v>1</v>
      </c>
      <c r="AF394" s="1">
        <f t="shared" si="141"/>
        <v>0</v>
      </c>
      <c r="AG394" s="1">
        <f t="shared" si="142"/>
        <v>1</v>
      </c>
      <c r="AH394" s="1">
        <f t="shared" si="143"/>
        <v>0</v>
      </c>
      <c r="AI394" s="1">
        <f t="shared" si="144"/>
        <v>1</v>
      </c>
    </row>
    <row r="395" spans="1:35" ht="14.25" customHeight="1" x14ac:dyDescent="0.3">
      <c r="A395" s="34">
        <v>0</v>
      </c>
      <c r="B395" s="34">
        <v>2</v>
      </c>
      <c r="C395" s="34">
        <v>7</v>
      </c>
      <c r="D395" s="35" t="s">
        <v>547</v>
      </c>
      <c r="E395" s="35" t="s">
        <v>160</v>
      </c>
      <c r="F395" s="35" t="s">
        <v>197</v>
      </c>
      <c r="G395" s="35" t="s">
        <v>198</v>
      </c>
      <c r="H395" s="35" t="s">
        <v>357</v>
      </c>
      <c r="I395" s="34" t="s">
        <v>555</v>
      </c>
      <c r="J395" s="34">
        <v>99</v>
      </c>
      <c r="K395" s="36" t="s">
        <v>962</v>
      </c>
      <c r="L395" s="36" t="s">
        <v>703</v>
      </c>
      <c r="M395" s="37" t="s">
        <v>1451</v>
      </c>
      <c r="N395" s="37" t="s">
        <v>1763</v>
      </c>
      <c r="O395" s="38">
        <v>1</v>
      </c>
      <c r="P395" s="38"/>
      <c r="Q395" s="35"/>
      <c r="S395" s="1">
        <f t="shared" si="111"/>
        <v>0</v>
      </c>
      <c r="T395" s="1">
        <f t="shared" si="112"/>
        <v>0</v>
      </c>
      <c r="U395" s="1">
        <f t="shared" si="113"/>
        <v>0</v>
      </c>
      <c r="V395" s="1">
        <f t="shared" si="114"/>
        <v>0</v>
      </c>
      <c r="W395" s="1">
        <f t="shared" si="115"/>
        <v>0</v>
      </c>
      <c r="X395" s="1">
        <f t="shared" si="116"/>
        <v>0</v>
      </c>
      <c r="Y395" s="1">
        <f t="shared" si="117"/>
        <v>0</v>
      </c>
      <c r="Z395" s="1">
        <f t="shared" si="118"/>
        <v>0</v>
      </c>
      <c r="AA395" s="1">
        <f t="shared" si="119"/>
        <v>0</v>
      </c>
      <c r="AB395" s="1">
        <f t="shared" si="120"/>
        <v>0</v>
      </c>
      <c r="AD395" s="1">
        <f t="shared" si="121"/>
        <v>0</v>
      </c>
      <c r="AE395" s="1">
        <f t="shared" si="122"/>
        <v>1</v>
      </c>
      <c r="AF395" s="1">
        <f t="shared" si="141"/>
        <v>0</v>
      </c>
      <c r="AG395" s="1">
        <f t="shared" si="142"/>
        <v>1</v>
      </c>
      <c r="AH395" s="1">
        <f t="shared" si="143"/>
        <v>0</v>
      </c>
      <c r="AI395" s="1">
        <f t="shared" si="144"/>
        <v>1</v>
      </c>
    </row>
    <row r="396" spans="1:35" ht="14.25" customHeight="1" x14ac:dyDescent="0.3">
      <c r="A396" s="15">
        <v>0</v>
      </c>
      <c r="B396" s="15">
        <v>2</v>
      </c>
      <c r="C396" s="15">
        <v>7</v>
      </c>
      <c r="D396" s="16" t="s">
        <v>46</v>
      </c>
      <c r="E396" s="16" t="s">
        <v>158</v>
      </c>
      <c r="F396" s="16" t="s">
        <v>185</v>
      </c>
      <c r="G396" s="16" t="s">
        <v>181</v>
      </c>
      <c r="H396" s="16" t="s">
        <v>357</v>
      </c>
      <c r="I396" s="15" t="s">
        <v>385</v>
      </c>
      <c r="J396" s="15">
        <v>10</v>
      </c>
      <c r="K396" s="10" t="s">
        <v>962</v>
      </c>
      <c r="L396" s="10" t="s">
        <v>729</v>
      </c>
      <c r="M396" s="19" t="s">
        <v>1449</v>
      </c>
      <c r="N396" s="19"/>
      <c r="Q396" s="16"/>
      <c r="S396" s="1">
        <f t="shared" si="111"/>
        <v>0</v>
      </c>
      <c r="T396" s="1">
        <f t="shared" si="112"/>
        <v>0</v>
      </c>
      <c r="U396" s="1">
        <f t="shared" si="113"/>
        <v>0</v>
      </c>
      <c r="V396" s="1">
        <f t="shared" si="114"/>
        <v>0</v>
      </c>
      <c r="W396" s="1">
        <f t="shared" si="115"/>
        <v>0</v>
      </c>
      <c r="X396" s="1">
        <f t="shared" si="116"/>
        <v>0</v>
      </c>
      <c r="Y396" s="1">
        <f t="shared" si="117"/>
        <v>0</v>
      </c>
      <c r="Z396" s="1">
        <f t="shared" si="118"/>
        <v>0</v>
      </c>
      <c r="AA396" s="1">
        <f t="shared" si="119"/>
        <v>0</v>
      </c>
      <c r="AB396" s="1">
        <f t="shared" si="120"/>
        <v>1</v>
      </c>
      <c r="AD396" s="1">
        <f t="shared" si="121"/>
        <v>0</v>
      </c>
      <c r="AE396" s="1">
        <f t="shared" si="122"/>
        <v>0</v>
      </c>
      <c r="AF396" s="1">
        <f t="shared" si="141"/>
        <v>0</v>
      </c>
      <c r="AG396" s="1">
        <f t="shared" si="142"/>
        <v>0</v>
      </c>
      <c r="AH396" s="1">
        <f t="shared" si="143"/>
        <v>0</v>
      </c>
      <c r="AI396" s="1">
        <f t="shared" si="144"/>
        <v>1</v>
      </c>
    </row>
    <row r="397" spans="1:35" ht="14.25" customHeight="1" x14ac:dyDescent="0.3">
      <c r="A397" s="47">
        <v>0</v>
      </c>
      <c r="B397" s="47">
        <v>2</v>
      </c>
      <c r="C397" s="47">
        <v>7</v>
      </c>
      <c r="D397" s="48" t="s">
        <v>67</v>
      </c>
      <c r="E397" s="48" t="s">
        <v>28</v>
      </c>
      <c r="F397" s="48" t="s">
        <v>250</v>
      </c>
      <c r="G397" s="48" t="s">
        <v>251</v>
      </c>
      <c r="H397" s="48" t="s">
        <v>357</v>
      </c>
      <c r="I397" s="47" t="s">
        <v>414</v>
      </c>
      <c r="J397" s="47">
        <v>7</v>
      </c>
      <c r="K397" s="49" t="s">
        <v>720</v>
      </c>
      <c r="L397" s="49" t="s">
        <v>720</v>
      </c>
      <c r="M397" s="50" t="s">
        <v>738</v>
      </c>
      <c r="N397" s="50" t="s">
        <v>1749</v>
      </c>
      <c r="O397" s="51"/>
      <c r="P397" s="51"/>
      <c r="Q397" s="48"/>
      <c r="S397" s="1">
        <f t="shared" ref="S397:S463" si="145">IF(J397=$S$7,1,0)</f>
        <v>0</v>
      </c>
      <c r="T397" s="1">
        <f t="shared" ref="T397:T463" si="146">IF(J397=$T$7,1,0)</f>
        <v>0</v>
      </c>
      <c r="U397" s="1">
        <f t="shared" ref="U397:U463" si="147">IF(J397=$U$7,1,0)</f>
        <v>0</v>
      </c>
      <c r="V397" s="1">
        <f t="shared" ref="V397:V463" si="148">IF(J397=$V$7,1,0)</f>
        <v>0</v>
      </c>
      <c r="W397" s="1">
        <f t="shared" ref="W397:W463" si="149">IF(J397=$W$7,1,0)</f>
        <v>0</v>
      </c>
      <c r="X397" s="1">
        <f t="shared" ref="X397:X463" si="150">IF(J397=$X$7,1,0)</f>
        <v>0</v>
      </c>
      <c r="Y397" s="1">
        <f t="shared" ref="Y397:Y463" si="151">IF(J397=$Y$7,1,0)</f>
        <v>1</v>
      </c>
      <c r="Z397" s="1">
        <f t="shared" ref="Z397:Z463" si="152">IF(J397=$Z$7,1,0)</f>
        <v>0</v>
      </c>
      <c r="AA397" s="1">
        <f t="shared" ref="AA397:AA463" si="153">IF(J397=$AA$7,1,0)</f>
        <v>0</v>
      </c>
      <c r="AB397" s="1">
        <f t="shared" ref="AB397:AB463" si="154">IF(J397=$AB$7,1,0)</f>
        <v>0</v>
      </c>
      <c r="AD397" s="1">
        <f t="shared" ref="AD397:AD463" si="155">+O397*P397</f>
        <v>0</v>
      </c>
      <c r="AE397" s="1">
        <f t="shared" ref="AE397:AE463" si="156">O397*(1-P397)</f>
        <v>0</v>
      </c>
      <c r="AF397" s="1">
        <f t="shared" si="141"/>
        <v>0</v>
      </c>
      <c r="AG397" s="1">
        <f t="shared" si="142"/>
        <v>0</v>
      </c>
      <c r="AH397" s="1">
        <f t="shared" si="143"/>
        <v>0</v>
      </c>
      <c r="AI397" s="1">
        <f t="shared" si="144"/>
        <v>1</v>
      </c>
    </row>
    <row r="398" spans="1:35" ht="14.25" customHeight="1" x14ac:dyDescent="0.3">
      <c r="A398" s="47">
        <v>1</v>
      </c>
      <c r="B398" s="47">
        <v>2</v>
      </c>
      <c r="C398" s="47">
        <v>7</v>
      </c>
      <c r="D398" s="48" t="s">
        <v>67</v>
      </c>
      <c r="E398" s="48" t="s">
        <v>28</v>
      </c>
      <c r="F398" s="48" t="s">
        <v>1046</v>
      </c>
      <c r="G398" s="48" t="s">
        <v>544</v>
      </c>
      <c r="H398" s="48" t="s">
        <v>357</v>
      </c>
      <c r="I398" s="47" t="s">
        <v>30</v>
      </c>
      <c r="J398" s="47">
        <v>1</v>
      </c>
      <c r="K398" s="49" t="s">
        <v>720</v>
      </c>
      <c r="L398" s="49" t="s">
        <v>720</v>
      </c>
      <c r="M398" s="50" t="s">
        <v>738</v>
      </c>
      <c r="N398" s="50" t="s">
        <v>1749</v>
      </c>
      <c r="O398" s="51"/>
      <c r="P398" s="51"/>
      <c r="Q398" s="48"/>
      <c r="S398" s="1">
        <f t="shared" si="145"/>
        <v>1</v>
      </c>
      <c r="T398" s="1">
        <f t="shared" si="146"/>
        <v>0</v>
      </c>
      <c r="U398" s="1">
        <f t="shared" si="147"/>
        <v>0</v>
      </c>
      <c r="V398" s="1">
        <f t="shared" si="148"/>
        <v>0</v>
      </c>
      <c r="W398" s="1">
        <f t="shared" si="149"/>
        <v>0</v>
      </c>
      <c r="X398" s="1">
        <f t="shared" si="150"/>
        <v>0</v>
      </c>
      <c r="Y398" s="1">
        <f t="shared" si="151"/>
        <v>0</v>
      </c>
      <c r="Z398" s="1">
        <f t="shared" si="152"/>
        <v>0</v>
      </c>
      <c r="AA398" s="1">
        <f t="shared" si="153"/>
        <v>0</v>
      </c>
      <c r="AB398" s="1">
        <f t="shared" si="154"/>
        <v>0</v>
      </c>
      <c r="AD398" s="1">
        <f t="shared" si="155"/>
        <v>0</v>
      </c>
      <c r="AE398" s="1">
        <f t="shared" si="156"/>
        <v>0</v>
      </c>
      <c r="AF398" s="1">
        <f t="shared" si="141"/>
        <v>0</v>
      </c>
      <c r="AG398" s="1">
        <f t="shared" si="142"/>
        <v>0</v>
      </c>
      <c r="AH398" s="1">
        <f t="shared" si="143"/>
        <v>0</v>
      </c>
      <c r="AI398" s="1">
        <f t="shared" si="144"/>
        <v>0</v>
      </c>
    </row>
    <row r="399" spans="1:35" ht="14.25" customHeight="1" x14ac:dyDescent="0.3">
      <c r="A399" s="47">
        <v>1</v>
      </c>
      <c r="B399" s="47">
        <v>2</v>
      </c>
      <c r="C399" s="47">
        <v>7</v>
      </c>
      <c r="D399" s="48" t="s">
        <v>67</v>
      </c>
      <c r="E399" s="48" t="s">
        <v>28</v>
      </c>
      <c r="F399" s="48" t="s">
        <v>252</v>
      </c>
      <c r="G399" s="48" t="s">
        <v>202</v>
      </c>
      <c r="H399" s="48" t="s">
        <v>357</v>
      </c>
      <c r="I399" s="47" t="s">
        <v>415</v>
      </c>
      <c r="J399" s="47">
        <v>2</v>
      </c>
      <c r="K399" s="49" t="s">
        <v>720</v>
      </c>
      <c r="L399" s="49" t="s">
        <v>720</v>
      </c>
      <c r="M399" s="50" t="s">
        <v>738</v>
      </c>
      <c r="N399" s="50" t="s">
        <v>1749</v>
      </c>
      <c r="O399" s="51"/>
      <c r="P399" s="51"/>
      <c r="Q399" s="48"/>
      <c r="S399" s="1">
        <f t="shared" si="145"/>
        <v>0</v>
      </c>
      <c r="T399" s="1">
        <f t="shared" si="146"/>
        <v>1</v>
      </c>
      <c r="U399" s="1">
        <f t="shared" si="147"/>
        <v>0</v>
      </c>
      <c r="V399" s="1">
        <f t="shared" si="148"/>
        <v>0</v>
      </c>
      <c r="W399" s="1">
        <f t="shared" si="149"/>
        <v>0</v>
      </c>
      <c r="X399" s="1">
        <f t="shared" si="150"/>
        <v>0</v>
      </c>
      <c r="Y399" s="1">
        <f t="shared" si="151"/>
        <v>0</v>
      </c>
      <c r="Z399" s="1">
        <f t="shared" si="152"/>
        <v>0</v>
      </c>
      <c r="AA399" s="1">
        <f t="shared" si="153"/>
        <v>0</v>
      </c>
      <c r="AB399" s="1">
        <f t="shared" si="154"/>
        <v>0</v>
      </c>
      <c r="AD399" s="1">
        <f t="shared" si="155"/>
        <v>0</v>
      </c>
      <c r="AE399" s="1">
        <f t="shared" si="156"/>
        <v>0</v>
      </c>
      <c r="AF399" s="1">
        <f t="shared" si="141"/>
        <v>0</v>
      </c>
      <c r="AG399" s="1">
        <f t="shared" si="142"/>
        <v>0</v>
      </c>
      <c r="AH399" s="1">
        <f t="shared" si="143"/>
        <v>0</v>
      </c>
      <c r="AI399" s="1">
        <f t="shared" si="144"/>
        <v>0</v>
      </c>
    </row>
    <row r="400" spans="1:35" ht="14.25" customHeight="1" x14ac:dyDescent="0.3">
      <c r="A400" s="47">
        <v>1</v>
      </c>
      <c r="B400" s="47">
        <v>2</v>
      </c>
      <c r="C400" s="47">
        <v>7</v>
      </c>
      <c r="D400" s="48" t="s">
        <v>67</v>
      </c>
      <c r="E400" s="48" t="s">
        <v>28</v>
      </c>
      <c r="F400" s="48" t="s">
        <v>249</v>
      </c>
      <c r="G400" s="48" t="s">
        <v>1365</v>
      </c>
      <c r="H400" s="48" t="s">
        <v>357</v>
      </c>
      <c r="I400" s="47" t="s">
        <v>30</v>
      </c>
      <c r="J400" s="47">
        <v>1</v>
      </c>
      <c r="K400" s="49" t="s">
        <v>720</v>
      </c>
      <c r="L400" s="49" t="s">
        <v>720</v>
      </c>
      <c r="M400" s="50" t="s">
        <v>738</v>
      </c>
      <c r="N400" s="50" t="s">
        <v>1749</v>
      </c>
      <c r="O400" s="51"/>
      <c r="P400" s="51"/>
      <c r="Q400" s="48" t="s">
        <v>1932</v>
      </c>
      <c r="S400" s="1">
        <f t="shared" si="145"/>
        <v>1</v>
      </c>
      <c r="T400" s="1">
        <f t="shared" si="146"/>
        <v>0</v>
      </c>
      <c r="U400" s="1">
        <f t="shared" si="147"/>
        <v>0</v>
      </c>
      <c r="V400" s="1">
        <f t="shared" si="148"/>
        <v>0</v>
      </c>
      <c r="W400" s="1">
        <f t="shared" si="149"/>
        <v>0</v>
      </c>
      <c r="X400" s="1">
        <f t="shared" si="150"/>
        <v>0</v>
      </c>
      <c r="Y400" s="1">
        <f t="shared" si="151"/>
        <v>0</v>
      </c>
      <c r="Z400" s="1">
        <f t="shared" si="152"/>
        <v>0</v>
      </c>
      <c r="AA400" s="1">
        <f t="shared" si="153"/>
        <v>0</v>
      </c>
      <c r="AB400" s="1">
        <f t="shared" si="154"/>
        <v>0</v>
      </c>
      <c r="AD400" s="1">
        <f t="shared" si="155"/>
        <v>0</v>
      </c>
      <c r="AE400" s="1">
        <f t="shared" si="156"/>
        <v>0</v>
      </c>
      <c r="AF400" s="1">
        <f t="shared" si="141"/>
        <v>0</v>
      </c>
      <c r="AG400" s="1">
        <f t="shared" si="142"/>
        <v>0</v>
      </c>
      <c r="AH400" s="1">
        <f t="shared" si="143"/>
        <v>0</v>
      </c>
      <c r="AI400" s="1">
        <f t="shared" si="144"/>
        <v>0</v>
      </c>
    </row>
    <row r="401" spans="1:35" ht="14.25" customHeight="1" x14ac:dyDescent="0.3">
      <c r="A401" s="47">
        <v>1</v>
      </c>
      <c r="B401" s="47">
        <v>2</v>
      </c>
      <c r="C401" s="47">
        <v>7</v>
      </c>
      <c r="D401" s="48" t="s">
        <v>67</v>
      </c>
      <c r="E401" s="48" t="s">
        <v>28</v>
      </c>
      <c r="F401" s="48" t="s">
        <v>254</v>
      </c>
      <c r="G401" s="48" t="s">
        <v>196</v>
      </c>
      <c r="H401" s="48" t="s">
        <v>357</v>
      </c>
      <c r="I401" s="47" t="s">
        <v>416</v>
      </c>
      <c r="J401" s="47">
        <v>9</v>
      </c>
      <c r="K401" s="49" t="s">
        <v>720</v>
      </c>
      <c r="L401" s="49" t="s">
        <v>720</v>
      </c>
      <c r="M401" s="50" t="s">
        <v>738</v>
      </c>
      <c r="N401" s="50" t="s">
        <v>1749</v>
      </c>
      <c r="O401" s="51"/>
      <c r="P401" s="51"/>
      <c r="Q401" s="48"/>
      <c r="S401" s="1">
        <f t="shared" si="145"/>
        <v>0</v>
      </c>
      <c r="T401" s="1">
        <f t="shared" si="146"/>
        <v>0</v>
      </c>
      <c r="U401" s="1">
        <f t="shared" si="147"/>
        <v>0</v>
      </c>
      <c r="V401" s="1">
        <f t="shared" si="148"/>
        <v>0</v>
      </c>
      <c r="W401" s="1">
        <f t="shared" si="149"/>
        <v>0</v>
      </c>
      <c r="X401" s="1">
        <f t="shared" si="150"/>
        <v>0</v>
      </c>
      <c r="Y401" s="1">
        <f t="shared" si="151"/>
        <v>0</v>
      </c>
      <c r="Z401" s="1">
        <f t="shared" si="152"/>
        <v>0</v>
      </c>
      <c r="AA401" s="1">
        <f t="shared" si="153"/>
        <v>1</v>
      </c>
      <c r="AB401" s="1">
        <f t="shared" si="154"/>
        <v>0</v>
      </c>
      <c r="AD401" s="1">
        <f t="shared" si="155"/>
        <v>0</v>
      </c>
      <c r="AE401" s="1">
        <f t="shared" si="156"/>
        <v>0</v>
      </c>
      <c r="AF401" s="1">
        <f t="shared" si="141"/>
        <v>0</v>
      </c>
      <c r="AG401" s="1">
        <f t="shared" si="142"/>
        <v>0</v>
      </c>
      <c r="AH401" s="1">
        <f t="shared" si="143"/>
        <v>0</v>
      </c>
      <c r="AI401" s="1">
        <f t="shared" si="144"/>
        <v>0</v>
      </c>
    </row>
    <row r="402" spans="1:35" ht="14.25" customHeight="1" x14ac:dyDescent="0.3">
      <c r="A402" s="47">
        <v>0</v>
      </c>
      <c r="B402" s="47">
        <v>2</v>
      </c>
      <c r="C402" s="47">
        <v>7</v>
      </c>
      <c r="D402" s="48" t="s">
        <v>1030</v>
      </c>
      <c r="E402" s="48" t="s">
        <v>28</v>
      </c>
      <c r="F402" s="48" t="s">
        <v>1031</v>
      </c>
      <c r="G402" s="48" t="s">
        <v>196</v>
      </c>
      <c r="H402" s="48" t="s">
        <v>357</v>
      </c>
      <c r="I402" s="47" t="s">
        <v>1032</v>
      </c>
      <c r="J402" s="47">
        <v>9</v>
      </c>
      <c r="K402" s="49" t="s">
        <v>719</v>
      </c>
      <c r="L402" s="49" t="s">
        <v>720</v>
      </c>
      <c r="M402" s="50" t="s">
        <v>738</v>
      </c>
      <c r="N402" s="50" t="s">
        <v>1750</v>
      </c>
      <c r="O402" s="51"/>
      <c r="P402" s="51"/>
      <c r="Q402" s="48"/>
      <c r="S402" s="1">
        <f t="shared" si="145"/>
        <v>0</v>
      </c>
      <c r="T402" s="1">
        <f t="shared" si="146"/>
        <v>0</v>
      </c>
      <c r="U402" s="1">
        <f t="shared" si="147"/>
        <v>0</v>
      </c>
      <c r="V402" s="1">
        <f t="shared" si="148"/>
        <v>0</v>
      </c>
      <c r="W402" s="1">
        <f t="shared" si="149"/>
        <v>0</v>
      </c>
      <c r="X402" s="1">
        <f t="shared" si="150"/>
        <v>0</v>
      </c>
      <c r="Y402" s="1">
        <f t="shared" si="151"/>
        <v>0</v>
      </c>
      <c r="Z402" s="1">
        <f t="shared" si="152"/>
        <v>0</v>
      </c>
      <c r="AA402" s="1">
        <f t="shared" si="153"/>
        <v>1</v>
      </c>
      <c r="AB402" s="1">
        <f t="shared" si="154"/>
        <v>0</v>
      </c>
      <c r="AD402" s="1">
        <f t="shared" si="155"/>
        <v>0</v>
      </c>
      <c r="AE402" s="1">
        <f t="shared" si="156"/>
        <v>0</v>
      </c>
      <c r="AF402" s="1">
        <f t="shared" si="141"/>
        <v>0</v>
      </c>
      <c r="AG402" s="1">
        <f t="shared" si="142"/>
        <v>0</v>
      </c>
      <c r="AH402" s="1">
        <f t="shared" si="143"/>
        <v>0</v>
      </c>
      <c r="AI402" s="1">
        <f t="shared" si="144"/>
        <v>1</v>
      </c>
    </row>
    <row r="403" spans="1:35" ht="14.25" customHeight="1" x14ac:dyDescent="0.3">
      <c r="A403" s="34">
        <v>0</v>
      </c>
      <c r="B403" s="34">
        <v>2</v>
      </c>
      <c r="C403" s="34">
        <v>7</v>
      </c>
      <c r="D403" s="35" t="s">
        <v>1848</v>
      </c>
      <c r="E403" s="35" t="s">
        <v>1849</v>
      </c>
      <c r="F403" s="35" t="s">
        <v>1850</v>
      </c>
      <c r="G403" s="35" t="s">
        <v>209</v>
      </c>
      <c r="H403" s="35" t="s">
        <v>357</v>
      </c>
      <c r="I403" s="34" t="s">
        <v>30</v>
      </c>
      <c r="J403" s="34"/>
      <c r="K403" s="36" t="s">
        <v>710</v>
      </c>
      <c r="L403" s="36">
        <v>20</v>
      </c>
      <c r="M403" s="37" t="s">
        <v>1851</v>
      </c>
      <c r="N403" s="37" t="s">
        <v>1758</v>
      </c>
      <c r="O403" s="38">
        <v>1</v>
      </c>
      <c r="P403" s="38"/>
      <c r="Q403" s="35"/>
      <c r="S403" s="1">
        <f t="shared" si="145"/>
        <v>0</v>
      </c>
      <c r="T403" s="1">
        <f t="shared" si="146"/>
        <v>0</v>
      </c>
      <c r="U403" s="1">
        <f t="shared" si="147"/>
        <v>0</v>
      </c>
      <c r="V403" s="1">
        <f t="shared" si="148"/>
        <v>0</v>
      </c>
      <c r="W403" s="1">
        <f t="shared" si="149"/>
        <v>0</v>
      </c>
      <c r="X403" s="1">
        <f t="shared" si="150"/>
        <v>0</v>
      </c>
      <c r="Y403" s="1">
        <f t="shared" si="151"/>
        <v>0</v>
      </c>
      <c r="Z403" s="1">
        <f t="shared" si="152"/>
        <v>0</v>
      </c>
      <c r="AA403" s="1">
        <f t="shared" si="153"/>
        <v>0</v>
      </c>
      <c r="AB403" s="1">
        <f t="shared" si="154"/>
        <v>0</v>
      </c>
      <c r="AD403" s="1">
        <f t="shared" si="155"/>
        <v>0</v>
      </c>
      <c r="AE403" s="1">
        <f t="shared" si="156"/>
        <v>1</v>
      </c>
      <c r="AF403" s="1">
        <f t="shared" si="141"/>
        <v>0</v>
      </c>
      <c r="AG403" s="1">
        <f t="shared" si="142"/>
        <v>1</v>
      </c>
      <c r="AH403" s="1">
        <f t="shared" si="143"/>
        <v>0</v>
      </c>
      <c r="AI403" s="1">
        <f t="shared" si="144"/>
        <v>1</v>
      </c>
    </row>
    <row r="404" spans="1:35" ht="14.25" customHeight="1" x14ac:dyDescent="0.3">
      <c r="A404" s="52">
        <v>0</v>
      </c>
      <c r="B404" s="52">
        <v>2</v>
      </c>
      <c r="C404" s="52">
        <v>7</v>
      </c>
      <c r="D404" s="53" t="s">
        <v>1089</v>
      </c>
      <c r="E404" s="53" t="s">
        <v>549</v>
      </c>
      <c r="F404" s="53" t="s">
        <v>1070</v>
      </c>
      <c r="G404" s="53" t="s">
        <v>240</v>
      </c>
      <c r="H404" s="53" t="s">
        <v>357</v>
      </c>
      <c r="I404" s="52" t="s">
        <v>1071</v>
      </c>
      <c r="J404" s="52">
        <v>99</v>
      </c>
      <c r="K404" s="54" t="s">
        <v>962</v>
      </c>
      <c r="L404" s="54" t="s">
        <v>729</v>
      </c>
      <c r="M404" s="55" t="s">
        <v>1452</v>
      </c>
      <c r="N404" s="55" t="s">
        <v>1758</v>
      </c>
      <c r="O404" s="56">
        <v>1</v>
      </c>
      <c r="P404" s="56"/>
      <c r="Q404" s="53"/>
      <c r="S404" s="1">
        <f t="shared" si="145"/>
        <v>0</v>
      </c>
      <c r="T404" s="1">
        <f t="shared" si="146"/>
        <v>0</v>
      </c>
      <c r="U404" s="1">
        <f t="shared" si="147"/>
        <v>0</v>
      </c>
      <c r="V404" s="1">
        <f t="shared" si="148"/>
        <v>0</v>
      </c>
      <c r="W404" s="1">
        <f t="shared" si="149"/>
        <v>0</v>
      </c>
      <c r="X404" s="1">
        <f t="shared" si="150"/>
        <v>0</v>
      </c>
      <c r="Y404" s="1">
        <f t="shared" si="151"/>
        <v>0</v>
      </c>
      <c r="Z404" s="1">
        <f t="shared" si="152"/>
        <v>0</v>
      </c>
      <c r="AA404" s="1">
        <f t="shared" si="153"/>
        <v>0</v>
      </c>
      <c r="AB404" s="1">
        <f t="shared" si="154"/>
        <v>0</v>
      </c>
      <c r="AD404" s="1">
        <f t="shared" si="155"/>
        <v>0</v>
      </c>
      <c r="AE404" s="1">
        <f t="shared" si="156"/>
        <v>1</v>
      </c>
      <c r="AF404" s="1">
        <f t="shared" si="141"/>
        <v>0</v>
      </c>
      <c r="AG404" s="1">
        <f t="shared" si="142"/>
        <v>1</v>
      </c>
      <c r="AH404" s="1">
        <f t="shared" si="143"/>
        <v>0</v>
      </c>
      <c r="AI404" s="1">
        <f t="shared" si="144"/>
        <v>1</v>
      </c>
    </row>
    <row r="405" spans="1:35" ht="14.25" customHeight="1" x14ac:dyDescent="0.3">
      <c r="A405" s="34">
        <v>0</v>
      </c>
      <c r="B405" s="34">
        <v>2</v>
      </c>
      <c r="C405" s="34">
        <v>7</v>
      </c>
      <c r="D405" s="35" t="s">
        <v>1240</v>
      </c>
      <c r="E405" s="35" t="s">
        <v>158</v>
      </c>
      <c r="F405" s="35" t="s">
        <v>1241</v>
      </c>
      <c r="G405" s="35" t="s">
        <v>253</v>
      </c>
      <c r="H405" s="35" t="s">
        <v>357</v>
      </c>
      <c r="I405" s="34" t="s">
        <v>1242</v>
      </c>
      <c r="J405" s="34">
        <v>99</v>
      </c>
      <c r="K405" s="36" t="s">
        <v>720</v>
      </c>
      <c r="L405" s="36">
        <v>10</v>
      </c>
      <c r="M405" s="37" t="s">
        <v>1761</v>
      </c>
      <c r="N405" s="37" t="s">
        <v>1742</v>
      </c>
      <c r="O405" s="38">
        <v>1</v>
      </c>
      <c r="P405" s="38">
        <v>1</v>
      </c>
      <c r="Q405" s="35"/>
      <c r="S405" s="1">
        <f t="shared" si="145"/>
        <v>0</v>
      </c>
      <c r="T405" s="1">
        <f t="shared" si="146"/>
        <v>0</v>
      </c>
      <c r="U405" s="1">
        <f t="shared" si="147"/>
        <v>0</v>
      </c>
      <c r="V405" s="1">
        <f t="shared" si="148"/>
        <v>0</v>
      </c>
      <c r="W405" s="1">
        <f t="shared" si="149"/>
        <v>0</v>
      </c>
      <c r="X405" s="1">
        <f t="shared" si="150"/>
        <v>0</v>
      </c>
      <c r="Y405" s="1">
        <f t="shared" si="151"/>
        <v>0</v>
      </c>
      <c r="Z405" s="1">
        <f t="shared" si="152"/>
        <v>0</v>
      </c>
      <c r="AA405" s="1">
        <f t="shared" si="153"/>
        <v>0</v>
      </c>
      <c r="AB405" s="1">
        <f t="shared" si="154"/>
        <v>0</v>
      </c>
      <c r="AD405" s="1">
        <f t="shared" si="155"/>
        <v>1</v>
      </c>
      <c r="AE405" s="1">
        <f t="shared" si="156"/>
        <v>0</v>
      </c>
      <c r="AF405" s="1">
        <f t="shared" si="141"/>
        <v>1</v>
      </c>
      <c r="AG405" s="1">
        <f t="shared" si="142"/>
        <v>0</v>
      </c>
      <c r="AH405" s="1">
        <f t="shared" si="143"/>
        <v>1</v>
      </c>
      <c r="AI405" s="1">
        <f t="shared" si="144"/>
        <v>0</v>
      </c>
    </row>
    <row r="406" spans="1:35" ht="14.25" customHeight="1" x14ac:dyDescent="0.3">
      <c r="A406" s="34">
        <v>0</v>
      </c>
      <c r="B406" s="34">
        <v>2</v>
      </c>
      <c r="C406" s="34">
        <v>7</v>
      </c>
      <c r="D406" s="39" t="s">
        <v>1818</v>
      </c>
      <c r="E406" s="39" t="s">
        <v>28</v>
      </c>
      <c r="F406" s="39" t="s">
        <v>1819</v>
      </c>
      <c r="G406" s="39" t="s">
        <v>182</v>
      </c>
      <c r="H406" s="39" t="s">
        <v>357</v>
      </c>
      <c r="I406" s="40" t="s">
        <v>1820</v>
      </c>
      <c r="J406" s="34">
        <v>10</v>
      </c>
      <c r="K406" s="36" t="s">
        <v>710</v>
      </c>
      <c r="L406" s="36">
        <v>10</v>
      </c>
      <c r="M406" s="37"/>
      <c r="N406" s="37" t="s">
        <v>1742</v>
      </c>
      <c r="O406" s="38">
        <v>1</v>
      </c>
      <c r="P406" s="38">
        <v>1</v>
      </c>
      <c r="Q406" s="39"/>
      <c r="S406" s="1">
        <f t="shared" si="145"/>
        <v>0</v>
      </c>
      <c r="T406" s="1">
        <f t="shared" si="146"/>
        <v>0</v>
      </c>
      <c r="U406" s="1">
        <f t="shared" si="147"/>
        <v>0</v>
      </c>
      <c r="V406" s="1">
        <f t="shared" si="148"/>
        <v>0</v>
      </c>
      <c r="W406" s="1">
        <f t="shared" si="149"/>
        <v>0</v>
      </c>
      <c r="X406" s="1">
        <f t="shared" si="150"/>
        <v>0</v>
      </c>
      <c r="Y406" s="1">
        <f t="shared" si="151"/>
        <v>0</v>
      </c>
      <c r="Z406" s="1">
        <f t="shared" si="152"/>
        <v>0</v>
      </c>
      <c r="AA406" s="1">
        <f t="shared" si="153"/>
        <v>0</v>
      </c>
      <c r="AB406" s="1">
        <f t="shared" si="154"/>
        <v>1</v>
      </c>
      <c r="AD406" s="1">
        <f t="shared" si="155"/>
        <v>1</v>
      </c>
      <c r="AE406" s="1">
        <f t="shared" si="156"/>
        <v>0</v>
      </c>
      <c r="AF406" s="1">
        <f t="shared" si="141"/>
        <v>1</v>
      </c>
      <c r="AG406" s="1">
        <f t="shared" si="142"/>
        <v>0</v>
      </c>
      <c r="AH406" s="1">
        <f t="shared" si="143"/>
        <v>1</v>
      </c>
      <c r="AI406" s="1">
        <f t="shared" si="144"/>
        <v>0</v>
      </c>
    </row>
    <row r="407" spans="1:35" ht="14.25" customHeight="1" x14ac:dyDescent="0.3">
      <c r="A407" s="40">
        <v>0</v>
      </c>
      <c r="B407" s="40">
        <v>2</v>
      </c>
      <c r="C407" s="40">
        <v>7</v>
      </c>
      <c r="D407" s="39" t="s">
        <v>1600</v>
      </c>
      <c r="E407" s="39" t="s">
        <v>1666</v>
      </c>
      <c r="F407" s="39" t="s">
        <v>1601</v>
      </c>
      <c r="G407" s="39" t="s">
        <v>662</v>
      </c>
      <c r="H407" s="39" t="s">
        <v>357</v>
      </c>
      <c r="I407" s="40" t="s">
        <v>1602</v>
      </c>
      <c r="J407" s="40">
        <v>99</v>
      </c>
      <c r="K407" s="36" t="s">
        <v>720</v>
      </c>
      <c r="L407" s="36" t="s">
        <v>39</v>
      </c>
      <c r="M407" s="37" t="s">
        <v>39</v>
      </c>
      <c r="N407" s="37" t="s">
        <v>1742</v>
      </c>
      <c r="O407" s="38">
        <v>1</v>
      </c>
      <c r="P407" s="38">
        <v>1</v>
      </c>
      <c r="Q407" s="39"/>
      <c r="S407" s="1">
        <f t="shared" si="145"/>
        <v>0</v>
      </c>
      <c r="T407" s="1">
        <f t="shared" si="146"/>
        <v>0</v>
      </c>
      <c r="U407" s="1">
        <f t="shared" si="147"/>
        <v>0</v>
      </c>
      <c r="V407" s="1">
        <f t="shared" si="148"/>
        <v>0</v>
      </c>
      <c r="W407" s="1">
        <f t="shared" si="149"/>
        <v>0</v>
      </c>
      <c r="X407" s="1">
        <f t="shared" si="150"/>
        <v>0</v>
      </c>
      <c r="Y407" s="1">
        <f t="shared" si="151"/>
        <v>0</v>
      </c>
      <c r="Z407" s="1">
        <f t="shared" si="152"/>
        <v>0</v>
      </c>
      <c r="AA407" s="1">
        <f t="shared" si="153"/>
        <v>0</v>
      </c>
      <c r="AB407" s="1">
        <f t="shared" si="154"/>
        <v>0</v>
      </c>
      <c r="AD407" s="1">
        <f t="shared" si="155"/>
        <v>1</v>
      </c>
      <c r="AE407" s="1">
        <f t="shared" si="156"/>
        <v>0</v>
      </c>
      <c r="AF407" s="1">
        <f t="shared" si="141"/>
        <v>1</v>
      </c>
      <c r="AG407" s="1">
        <f t="shared" si="142"/>
        <v>0</v>
      </c>
      <c r="AH407" s="1">
        <f t="shared" si="143"/>
        <v>1</v>
      </c>
      <c r="AI407" s="1">
        <f t="shared" si="144"/>
        <v>0</v>
      </c>
    </row>
    <row r="408" spans="1:35" ht="14.25" customHeight="1" x14ac:dyDescent="0.3">
      <c r="A408" s="47">
        <v>0</v>
      </c>
      <c r="B408" s="47">
        <v>2</v>
      </c>
      <c r="C408" s="47">
        <v>7</v>
      </c>
      <c r="D408" s="48" t="s">
        <v>1552</v>
      </c>
      <c r="E408" s="48" t="s">
        <v>28</v>
      </c>
      <c r="F408" s="48" t="s">
        <v>1677</v>
      </c>
      <c r="G408" s="48" t="s">
        <v>290</v>
      </c>
      <c r="H408" s="48" t="s">
        <v>357</v>
      </c>
      <c r="I408" s="47" t="s">
        <v>1703</v>
      </c>
      <c r="J408" s="47">
        <v>99</v>
      </c>
      <c r="K408" s="49" t="s">
        <v>720</v>
      </c>
      <c r="L408" s="49" t="s">
        <v>720</v>
      </c>
      <c r="M408" s="50" t="s">
        <v>738</v>
      </c>
      <c r="N408" s="50" t="s">
        <v>1750</v>
      </c>
      <c r="O408" s="51"/>
      <c r="P408" s="51"/>
      <c r="Q408" s="48"/>
      <c r="S408" s="1">
        <f t="shared" si="145"/>
        <v>0</v>
      </c>
      <c r="T408" s="1">
        <f t="shared" si="146"/>
        <v>0</v>
      </c>
      <c r="U408" s="1">
        <f t="shared" si="147"/>
        <v>0</v>
      </c>
      <c r="V408" s="1">
        <f t="shared" si="148"/>
        <v>0</v>
      </c>
      <c r="W408" s="1">
        <f t="shared" si="149"/>
        <v>0</v>
      </c>
      <c r="X408" s="1">
        <f t="shared" si="150"/>
        <v>0</v>
      </c>
      <c r="Y408" s="1">
        <f t="shared" si="151"/>
        <v>0</v>
      </c>
      <c r="Z408" s="1">
        <f t="shared" si="152"/>
        <v>0</v>
      </c>
      <c r="AA408" s="1">
        <f t="shared" si="153"/>
        <v>0</v>
      </c>
      <c r="AB408" s="1">
        <f t="shared" si="154"/>
        <v>0</v>
      </c>
      <c r="AD408" s="1">
        <f t="shared" si="155"/>
        <v>0</v>
      </c>
      <c r="AE408" s="1">
        <f t="shared" si="156"/>
        <v>0</v>
      </c>
      <c r="AF408" s="1">
        <f t="shared" si="141"/>
        <v>0</v>
      </c>
      <c r="AG408" s="1">
        <f t="shared" si="142"/>
        <v>0</v>
      </c>
      <c r="AH408" s="1">
        <f t="shared" si="143"/>
        <v>0</v>
      </c>
      <c r="AI408" s="1">
        <f t="shared" si="144"/>
        <v>1</v>
      </c>
    </row>
    <row r="409" spans="1:35" ht="14.25" customHeight="1" x14ac:dyDescent="0.3">
      <c r="A409" s="47">
        <v>0</v>
      </c>
      <c r="B409" s="47">
        <v>2</v>
      </c>
      <c r="C409" s="47">
        <v>7</v>
      </c>
      <c r="D409" s="48" t="s">
        <v>1342</v>
      </c>
      <c r="E409" s="48" t="s">
        <v>28</v>
      </c>
      <c r="F409" s="48" t="s">
        <v>577</v>
      </c>
      <c r="G409" s="48" t="s">
        <v>183</v>
      </c>
      <c r="H409" s="48" t="s">
        <v>357</v>
      </c>
      <c r="I409" s="47" t="s">
        <v>434</v>
      </c>
      <c r="J409" s="47">
        <v>7</v>
      </c>
      <c r="K409" s="49" t="s">
        <v>719</v>
      </c>
      <c r="L409" s="49" t="s">
        <v>720</v>
      </c>
      <c r="M409" s="50" t="s">
        <v>738</v>
      </c>
      <c r="N409" s="50" t="s">
        <v>1750</v>
      </c>
      <c r="O409" s="51"/>
      <c r="P409" s="51"/>
      <c r="Q409" s="48"/>
      <c r="S409" s="1">
        <f t="shared" si="145"/>
        <v>0</v>
      </c>
      <c r="T409" s="1">
        <f t="shared" si="146"/>
        <v>0</v>
      </c>
      <c r="U409" s="1">
        <f t="shared" si="147"/>
        <v>0</v>
      </c>
      <c r="V409" s="1">
        <f t="shared" si="148"/>
        <v>0</v>
      </c>
      <c r="W409" s="1">
        <f t="shared" si="149"/>
        <v>0</v>
      </c>
      <c r="X409" s="1">
        <f t="shared" si="150"/>
        <v>0</v>
      </c>
      <c r="Y409" s="1">
        <f t="shared" si="151"/>
        <v>1</v>
      </c>
      <c r="Z409" s="1">
        <f t="shared" si="152"/>
        <v>0</v>
      </c>
      <c r="AA409" s="1">
        <f t="shared" si="153"/>
        <v>0</v>
      </c>
      <c r="AB409" s="1">
        <f t="shared" si="154"/>
        <v>0</v>
      </c>
      <c r="AD409" s="1">
        <f t="shared" si="155"/>
        <v>0</v>
      </c>
      <c r="AE409" s="1">
        <f t="shared" si="156"/>
        <v>0</v>
      </c>
      <c r="AF409" s="1">
        <f t="shared" si="141"/>
        <v>0</v>
      </c>
      <c r="AG409" s="1">
        <f t="shared" si="142"/>
        <v>0</v>
      </c>
      <c r="AH409" s="1">
        <f t="shared" si="143"/>
        <v>0</v>
      </c>
      <c r="AI409" s="1">
        <f t="shared" si="144"/>
        <v>1</v>
      </c>
    </row>
    <row r="410" spans="1:35" ht="14.25" customHeight="1" x14ac:dyDescent="0.3">
      <c r="A410" s="47">
        <v>0</v>
      </c>
      <c r="B410" s="47">
        <v>2</v>
      </c>
      <c r="C410" s="47">
        <v>7</v>
      </c>
      <c r="D410" s="48" t="s">
        <v>73</v>
      </c>
      <c r="E410" s="48" t="s">
        <v>28</v>
      </c>
      <c r="F410" s="68" t="s">
        <v>1890</v>
      </c>
      <c r="G410" s="48" t="s">
        <v>237</v>
      </c>
      <c r="H410" s="48" t="s">
        <v>357</v>
      </c>
      <c r="I410" s="47" t="s">
        <v>686</v>
      </c>
      <c r="J410" s="47">
        <v>99</v>
      </c>
      <c r="K410" s="49" t="s">
        <v>720</v>
      </c>
      <c r="L410" s="49" t="s">
        <v>720</v>
      </c>
      <c r="M410" s="50" t="s">
        <v>738</v>
      </c>
      <c r="N410" s="50" t="s">
        <v>1750</v>
      </c>
      <c r="O410" s="51"/>
      <c r="P410" s="51"/>
      <c r="Q410" s="48"/>
      <c r="S410" s="1">
        <f t="shared" si="145"/>
        <v>0</v>
      </c>
      <c r="T410" s="1">
        <f t="shared" si="146"/>
        <v>0</v>
      </c>
      <c r="U410" s="1">
        <f t="shared" si="147"/>
        <v>0</v>
      </c>
      <c r="V410" s="1">
        <f t="shared" si="148"/>
        <v>0</v>
      </c>
      <c r="W410" s="1">
        <f t="shared" si="149"/>
        <v>0</v>
      </c>
      <c r="X410" s="1">
        <f t="shared" si="150"/>
        <v>0</v>
      </c>
      <c r="Y410" s="1">
        <f t="shared" si="151"/>
        <v>0</v>
      </c>
      <c r="Z410" s="1">
        <f t="shared" si="152"/>
        <v>0</v>
      </c>
      <c r="AA410" s="1">
        <f t="shared" si="153"/>
        <v>0</v>
      </c>
      <c r="AB410" s="1">
        <f t="shared" si="154"/>
        <v>0</v>
      </c>
      <c r="AD410" s="1">
        <f t="shared" si="155"/>
        <v>0</v>
      </c>
      <c r="AE410" s="1">
        <f t="shared" si="156"/>
        <v>0</v>
      </c>
      <c r="AF410" s="1">
        <f t="shared" si="141"/>
        <v>0</v>
      </c>
      <c r="AG410" s="1">
        <f t="shared" si="142"/>
        <v>0</v>
      </c>
      <c r="AH410" s="1">
        <f t="shared" si="143"/>
        <v>0</v>
      </c>
      <c r="AI410" s="1">
        <f t="shared" si="144"/>
        <v>1</v>
      </c>
    </row>
    <row r="411" spans="1:35" ht="14.25" customHeight="1" x14ac:dyDescent="0.3">
      <c r="A411" s="47">
        <v>1</v>
      </c>
      <c r="B411" s="47">
        <v>2</v>
      </c>
      <c r="C411" s="47">
        <v>7</v>
      </c>
      <c r="D411" s="48" t="s">
        <v>73</v>
      </c>
      <c r="E411" s="48" t="s">
        <v>28</v>
      </c>
      <c r="F411" s="48" t="s">
        <v>264</v>
      </c>
      <c r="G411" s="48" t="s">
        <v>222</v>
      </c>
      <c r="H411" s="48" t="s">
        <v>357</v>
      </c>
      <c r="I411" s="47" t="s">
        <v>424</v>
      </c>
      <c r="J411" s="47">
        <v>8</v>
      </c>
      <c r="K411" s="49" t="s">
        <v>720</v>
      </c>
      <c r="L411" s="49" t="s">
        <v>720</v>
      </c>
      <c r="M411" s="50" t="s">
        <v>738</v>
      </c>
      <c r="N411" s="50" t="s">
        <v>1750</v>
      </c>
      <c r="O411" s="51"/>
      <c r="P411" s="51"/>
      <c r="Q411" s="48"/>
      <c r="S411" s="1">
        <f t="shared" si="145"/>
        <v>0</v>
      </c>
      <c r="T411" s="1">
        <f t="shared" si="146"/>
        <v>0</v>
      </c>
      <c r="U411" s="1">
        <f t="shared" si="147"/>
        <v>0</v>
      </c>
      <c r="V411" s="1">
        <f t="shared" si="148"/>
        <v>0</v>
      </c>
      <c r="W411" s="1">
        <f t="shared" si="149"/>
        <v>0</v>
      </c>
      <c r="X411" s="1">
        <f t="shared" si="150"/>
        <v>0</v>
      </c>
      <c r="Y411" s="1">
        <f t="shared" si="151"/>
        <v>0</v>
      </c>
      <c r="Z411" s="1">
        <f t="shared" si="152"/>
        <v>1</v>
      </c>
      <c r="AA411" s="1">
        <f t="shared" si="153"/>
        <v>0</v>
      </c>
      <c r="AB411" s="1">
        <f t="shared" si="154"/>
        <v>0</v>
      </c>
      <c r="AD411" s="1">
        <f t="shared" si="155"/>
        <v>0</v>
      </c>
      <c r="AE411" s="1">
        <f t="shared" si="156"/>
        <v>0</v>
      </c>
      <c r="AF411" s="1">
        <f t="shared" si="141"/>
        <v>0</v>
      </c>
      <c r="AG411" s="1">
        <f t="shared" si="142"/>
        <v>0</v>
      </c>
      <c r="AH411" s="1">
        <f t="shared" si="143"/>
        <v>0</v>
      </c>
      <c r="AI411" s="1">
        <f t="shared" si="144"/>
        <v>0</v>
      </c>
    </row>
    <row r="412" spans="1:35" ht="14.25" customHeight="1" x14ac:dyDescent="0.3">
      <c r="A412" s="47">
        <v>1</v>
      </c>
      <c r="B412" s="47">
        <v>2</v>
      </c>
      <c r="C412" s="47">
        <v>7</v>
      </c>
      <c r="D412" s="48" t="s">
        <v>73</v>
      </c>
      <c r="E412" s="48" t="s">
        <v>28</v>
      </c>
      <c r="F412" s="48" t="s">
        <v>263</v>
      </c>
      <c r="G412" s="48" t="s">
        <v>180</v>
      </c>
      <c r="H412" s="48" t="s">
        <v>357</v>
      </c>
      <c r="I412" s="47" t="s">
        <v>423</v>
      </c>
      <c r="J412" s="47">
        <v>1</v>
      </c>
      <c r="K412" s="49" t="s">
        <v>720</v>
      </c>
      <c r="L412" s="49" t="s">
        <v>720</v>
      </c>
      <c r="M412" s="50" t="s">
        <v>738</v>
      </c>
      <c r="N412" s="50" t="s">
        <v>1750</v>
      </c>
      <c r="O412" s="51"/>
      <c r="P412" s="51"/>
      <c r="Q412" s="48"/>
      <c r="S412" s="1">
        <f t="shared" si="145"/>
        <v>1</v>
      </c>
      <c r="T412" s="1">
        <f t="shared" si="146"/>
        <v>0</v>
      </c>
      <c r="U412" s="1">
        <f t="shared" si="147"/>
        <v>0</v>
      </c>
      <c r="V412" s="1">
        <f t="shared" si="148"/>
        <v>0</v>
      </c>
      <c r="W412" s="1">
        <f t="shared" si="149"/>
        <v>0</v>
      </c>
      <c r="X412" s="1">
        <f t="shared" si="150"/>
        <v>0</v>
      </c>
      <c r="Y412" s="1">
        <f t="shared" si="151"/>
        <v>0</v>
      </c>
      <c r="Z412" s="1">
        <f t="shared" si="152"/>
        <v>0</v>
      </c>
      <c r="AA412" s="1">
        <f t="shared" si="153"/>
        <v>0</v>
      </c>
      <c r="AB412" s="1">
        <f t="shared" si="154"/>
        <v>0</v>
      </c>
      <c r="AD412" s="1">
        <f t="shared" si="155"/>
        <v>0</v>
      </c>
      <c r="AE412" s="1">
        <f t="shared" si="156"/>
        <v>0</v>
      </c>
      <c r="AF412" s="1">
        <f t="shared" si="141"/>
        <v>0</v>
      </c>
      <c r="AG412" s="1">
        <f t="shared" si="142"/>
        <v>0</v>
      </c>
      <c r="AH412" s="1">
        <f t="shared" si="143"/>
        <v>0</v>
      </c>
      <c r="AI412" s="1">
        <f t="shared" si="144"/>
        <v>0</v>
      </c>
    </row>
    <row r="413" spans="1:35" ht="14.25" customHeight="1" x14ac:dyDescent="0.3">
      <c r="A413" s="15">
        <v>0</v>
      </c>
      <c r="B413" s="15">
        <v>2</v>
      </c>
      <c r="C413" s="15">
        <v>7</v>
      </c>
      <c r="D413" s="16" t="s">
        <v>785</v>
      </c>
      <c r="E413" s="16" t="s">
        <v>28</v>
      </c>
      <c r="F413" s="16" t="s">
        <v>786</v>
      </c>
      <c r="G413" s="16" t="s">
        <v>282</v>
      </c>
      <c r="H413" s="16" t="s">
        <v>357</v>
      </c>
      <c r="I413" s="15" t="s">
        <v>787</v>
      </c>
      <c r="J413" s="15">
        <v>99</v>
      </c>
      <c r="K413" s="10" t="s">
        <v>720</v>
      </c>
      <c r="L413" s="10" t="s">
        <v>720</v>
      </c>
      <c r="M413" s="19" t="s">
        <v>738</v>
      </c>
      <c r="N413" s="17"/>
      <c r="Q413" s="16"/>
      <c r="S413" s="1">
        <f t="shared" si="145"/>
        <v>0</v>
      </c>
      <c r="T413" s="1">
        <f t="shared" si="146"/>
        <v>0</v>
      </c>
      <c r="U413" s="1">
        <f t="shared" si="147"/>
        <v>0</v>
      </c>
      <c r="V413" s="1">
        <f t="shared" si="148"/>
        <v>0</v>
      </c>
      <c r="W413" s="1">
        <f t="shared" si="149"/>
        <v>0</v>
      </c>
      <c r="X413" s="1">
        <f t="shared" si="150"/>
        <v>0</v>
      </c>
      <c r="Y413" s="1">
        <f t="shared" si="151"/>
        <v>0</v>
      </c>
      <c r="Z413" s="1">
        <f t="shared" si="152"/>
        <v>0</v>
      </c>
      <c r="AA413" s="1">
        <f t="shared" si="153"/>
        <v>0</v>
      </c>
      <c r="AB413" s="1">
        <f t="shared" si="154"/>
        <v>0</v>
      </c>
      <c r="AD413" s="1">
        <f t="shared" si="155"/>
        <v>0</v>
      </c>
      <c r="AE413" s="1">
        <f t="shared" si="156"/>
        <v>0</v>
      </c>
      <c r="AF413" s="1">
        <f t="shared" si="141"/>
        <v>0</v>
      </c>
      <c r="AG413" s="1">
        <f t="shared" si="142"/>
        <v>0</v>
      </c>
      <c r="AH413" s="1">
        <f t="shared" si="143"/>
        <v>0</v>
      </c>
      <c r="AI413" s="1">
        <f t="shared" si="144"/>
        <v>1</v>
      </c>
    </row>
    <row r="414" spans="1:35" ht="14.25" customHeight="1" x14ac:dyDescent="0.3">
      <c r="A414" s="15">
        <v>0</v>
      </c>
      <c r="B414" s="15">
        <v>2</v>
      </c>
      <c r="C414" s="15">
        <v>7</v>
      </c>
      <c r="D414" s="16" t="s">
        <v>86</v>
      </c>
      <c r="E414" s="16" t="s">
        <v>28</v>
      </c>
      <c r="F414" s="16" t="s">
        <v>281</v>
      </c>
      <c r="G414" s="16" t="s">
        <v>282</v>
      </c>
      <c r="H414" s="16" t="s">
        <v>357</v>
      </c>
      <c r="I414" s="15" t="s">
        <v>438</v>
      </c>
      <c r="J414" s="15">
        <v>99</v>
      </c>
      <c r="K414" s="10" t="s">
        <v>720</v>
      </c>
      <c r="L414" s="10" t="s">
        <v>720</v>
      </c>
      <c r="M414" s="19" t="s">
        <v>738</v>
      </c>
      <c r="N414" s="17"/>
      <c r="Q414" s="16"/>
      <c r="S414" s="1">
        <f t="shared" si="145"/>
        <v>0</v>
      </c>
      <c r="T414" s="1">
        <f t="shared" si="146"/>
        <v>0</v>
      </c>
      <c r="U414" s="1">
        <f t="shared" si="147"/>
        <v>0</v>
      </c>
      <c r="V414" s="1">
        <f t="shared" si="148"/>
        <v>0</v>
      </c>
      <c r="W414" s="1">
        <f t="shared" si="149"/>
        <v>0</v>
      </c>
      <c r="X414" s="1">
        <f t="shared" si="150"/>
        <v>0</v>
      </c>
      <c r="Y414" s="1">
        <f t="shared" si="151"/>
        <v>0</v>
      </c>
      <c r="Z414" s="1">
        <f t="shared" si="152"/>
        <v>0</v>
      </c>
      <c r="AA414" s="1">
        <f t="shared" si="153"/>
        <v>0</v>
      </c>
      <c r="AB414" s="1">
        <f t="shared" si="154"/>
        <v>0</v>
      </c>
      <c r="AD414" s="1">
        <f t="shared" si="155"/>
        <v>0</v>
      </c>
      <c r="AE414" s="1">
        <f t="shared" si="156"/>
        <v>0</v>
      </c>
      <c r="AF414" s="1">
        <f t="shared" si="141"/>
        <v>0</v>
      </c>
      <c r="AG414" s="1">
        <f t="shared" si="142"/>
        <v>0</v>
      </c>
      <c r="AH414" s="1">
        <f t="shared" si="143"/>
        <v>0</v>
      </c>
      <c r="AI414" s="1">
        <f t="shared" si="144"/>
        <v>1</v>
      </c>
    </row>
    <row r="415" spans="1:35" ht="14.25" customHeight="1" x14ac:dyDescent="0.3">
      <c r="A415" s="47">
        <v>0</v>
      </c>
      <c r="B415" s="47">
        <v>2</v>
      </c>
      <c r="C415" s="47">
        <v>7</v>
      </c>
      <c r="D415" s="48" t="s">
        <v>558</v>
      </c>
      <c r="E415" s="48" t="s">
        <v>28</v>
      </c>
      <c r="F415" s="68" t="s">
        <v>1891</v>
      </c>
      <c r="G415" s="48" t="s">
        <v>561</v>
      </c>
      <c r="H415" s="48" t="s">
        <v>357</v>
      </c>
      <c r="I415" s="47" t="s">
        <v>562</v>
      </c>
      <c r="J415" s="47">
        <v>99</v>
      </c>
      <c r="K415" s="49" t="s">
        <v>720</v>
      </c>
      <c r="L415" s="49" t="s">
        <v>720</v>
      </c>
      <c r="M415" s="50" t="s">
        <v>738</v>
      </c>
      <c r="N415" s="50" t="s">
        <v>1817</v>
      </c>
      <c r="O415" s="51"/>
      <c r="P415" s="51"/>
      <c r="Q415" s="48"/>
      <c r="S415" s="1">
        <f t="shared" si="145"/>
        <v>0</v>
      </c>
      <c r="T415" s="1">
        <f t="shared" si="146"/>
        <v>0</v>
      </c>
      <c r="U415" s="1">
        <f t="shared" si="147"/>
        <v>0</v>
      </c>
      <c r="V415" s="1">
        <f t="shared" si="148"/>
        <v>0</v>
      </c>
      <c r="W415" s="1">
        <f t="shared" si="149"/>
        <v>0</v>
      </c>
      <c r="X415" s="1">
        <f t="shared" si="150"/>
        <v>0</v>
      </c>
      <c r="Y415" s="1">
        <f t="shared" si="151"/>
        <v>0</v>
      </c>
      <c r="Z415" s="1">
        <f t="shared" si="152"/>
        <v>0</v>
      </c>
      <c r="AA415" s="1">
        <f t="shared" si="153"/>
        <v>0</v>
      </c>
      <c r="AB415" s="1">
        <f t="shared" si="154"/>
        <v>0</v>
      </c>
      <c r="AD415" s="1">
        <f t="shared" si="155"/>
        <v>0</v>
      </c>
      <c r="AE415" s="1">
        <f t="shared" si="156"/>
        <v>0</v>
      </c>
      <c r="AF415" s="1">
        <f t="shared" si="141"/>
        <v>0</v>
      </c>
      <c r="AG415" s="1">
        <f t="shared" si="142"/>
        <v>0</v>
      </c>
      <c r="AH415" s="1">
        <f t="shared" si="143"/>
        <v>0</v>
      </c>
      <c r="AI415" s="1">
        <f t="shared" si="144"/>
        <v>1</v>
      </c>
    </row>
    <row r="416" spans="1:35" ht="14.25" customHeight="1" x14ac:dyDescent="0.3">
      <c r="A416" s="47">
        <v>1</v>
      </c>
      <c r="B416" s="47">
        <v>2</v>
      </c>
      <c r="C416" s="47">
        <v>7</v>
      </c>
      <c r="D416" s="48" t="s">
        <v>558</v>
      </c>
      <c r="E416" s="48" t="s">
        <v>28</v>
      </c>
      <c r="F416" s="68" t="s">
        <v>1892</v>
      </c>
      <c r="G416" s="48" t="s">
        <v>559</v>
      </c>
      <c r="H416" s="48" t="s">
        <v>357</v>
      </c>
      <c r="I416" s="47" t="s">
        <v>560</v>
      </c>
      <c r="J416" s="47">
        <v>99</v>
      </c>
      <c r="K416" s="49" t="s">
        <v>720</v>
      </c>
      <c r="L416" s="49" t="s">
        <v>720</v>
      </c>
      <c r="M416" s="50" t="s">
        <v>738</v>
      </c>
      <c r="N416" s="50" t="s">
        <v>1817</v>
      </c>
      <c r="O416" s="51"/>
      <c r="P416" s="51"/>
      <c r="Q416" s="48"/>
      <c r="S416" s="1">
        <f t="shared" si="145"/>
        <v>0</v>
      </c>
      <c r="T416" s="1">
        <f t="shared" si="146"/>
        <v>0</v>
      </c>
      <c r="U416" s="1">
        <f t="shared" si="147"/>
        <v>0</v>
      </c>
      <c r="V416" s="1">
        <f t="shared" si="148"/>
        <v>0</v>
      </c>
      <c r="W416" s="1">
        <f t="shared" si="149"/>
        <v>0</v>
      </c>
      <c r="X416" s="1">
        <f t="shared" si="150"/>
        <v>0</v>
      </c>
      <c r="Y416" s="1">
        <f t="shared" si="151"/>
        <v>0</v>
      </c>
      <c r="Z416" s="1">
        <f t="shared" si="152"/>
        <v>0</v>
      </c>
      <c r="AA416" s="1">
        <f t="shared" si="153"/>
        <v>0</v>
      </c>
      <c r="AB416" s="1">
        <f t="shared" si="154"/>
        <v>0</v>
      </c>
      <c r="AD416" s="1">
        <f t="shared" si="155"/>
        <v>0</v>
      </c>
      <c r="AE416" s="1">
        <f t="shared" si="156"/>
        <v>0</v>
      </c>
      <c r="AF416" s="1">
        <f t="shared" si="141"/>
        <v>0</v>
      </c>
      <c r="AG416" s="1">
        <f t="shared" si="142"/>
        <v>0</v>
      </c>
      <c r="AH416" s="1">
        <f t="shared" si="143"/>
        <v>0</v>
      </c>
      <c r="AI416" s="1">
        <f t="shared" si="144"/>
        <v>0</v>
      </c>
    </row>
    <row r="417" spans="1:35" ht="14.25" customHeight="1" x14ac:dyDescent="0.3">
      <c r="A417" s="47">
        <v>0</v>
      </c>
      <c r="B417" s="47">
        <v>2</v>
      </c>
      <c r="C417" s="47">
        <v>7</v>
      </c>
      <c r="D417" s="48" t="s">
        <v>1199</v>
      </c>
      <c r="E417" s="48" t="s">
        <v>28</v>
      </c>
      <c r="F417" s="48" t="s">
        <v>1693</v>
      </c>
      <c r="G417" s="48" t="s">
        <v>237</v>
      </c>
      <c r="H417" s="48" t="s">
        <v>357</v>
      </c>
      <c r="I417" s="47" t="s">
        <v>1380</v>
      </c>
      <c r="J417" s="47">
        <v>99</v>
      </c>
      <c r="K417" s="49" t="s">
        <v>719</v>
      </c>
      <c r="L417" s="49" t="s">
        <v>720</v>
      </c>
      <c r="M417" s="50" t="s">
        <v>738</v>
      </c>
      <c r="N417" s="50" t="s">
        <v>1750</v>
      </c>
      <c r="O417" s="51"/>
      <c r="P417" s="51"/>
      <c r="Q417" s="48"/>
      <c r="S417" s="1">
        <f t="shared" si="145"/>
        <v>0</v>
      </c>
      <c r="T417" s="1">
        <f t="shared" si="146"/>
        <v>0</v>
      </c>
      <c r="U417" s="1">
        <f t="shared" si="147"/>
        <v>0</v>
      </c>
      <c r="V417" s="1">
        <f t="shared" si="148"/>
        <v>0</v>
      </c>
      <c r="W417" s="1">
        <f t="shared" si="149"/>
        <v>0</v>
      </c>
      <c r="X417" s="1">
        <f t="shared" si="150"/>
        <v>0</v>
      </c>
      <c r="Y417" s="1">
        <f t="shared" si="151"/>
        <v>0</v>
      </c>
      <c r="Z417" s="1">
        <f t="shared" si="152"/>
        <v>0</v>
      </c>
      <c r="AA417" s="1">
        <f t="shared" si="153"/>
        <v>0</v>
      </c>
      <c r="AB417" s="1">
        <f t="shared" si="154"/>
        <v>0</v>
      </c>
      <c r="AD417" s="1">
        <f t="shared" si="155"/>
        <v>0</v>
      </c>
      <c r="AE417" s="1">
        <f t="shared" si="156"/>
        <v>0</v>
      </c>
      <c r="AF417" s="1">
        <f t="shared" si="141"/>
        <v>0</v>
      </c>
      <c r="AG417" s="1">
        <f t="shared" si="142"/>
        <v>0</v>
      </c>
      <c r="AH417" s="1">
        <f t="shared" si="143"/>
        <v>0</v>
      </c>
      <c r="AI417" s="1">
        <f t="shared" si="144"/>
        <v>1</v>
      </c>
    </row>
    <row r="418" spans="1:35" ht="14.25" customHeight="1" x14ac:dyDescent="0.3">
      <c r="A418" s="47">
        <v>1</v>
      </c>
      <c r="B418" s="47">
        <v>2</v>
      </c>
      <c r="C418" s="47">
        <v>7</v>
      </c>
      <c r="D418" s="48" t="s">
        <v>1199</v>
      </c>
      <c r="E418" s="48" t="s">
        <v>28</v>
      </c>
      <c r="F418" s="48" t="s">
        <v>1694</v>
      </c>
      <c r="G418" s="48" t="s">
        <v>1366</v>
      </c>
      <c r="H418" s="48" t="s">
        <v>357</v>
      </c>
      <c r="I418" s="47" t="s">
        <v>1381</v>
      </c>
      <c r="J418" s="47">
        <v>99</v>
      </c>
      <c r="K418" s="49" t="s">
        <v>719</v>
      </c>
      <c r="L418" s="49" t="s">
        <v>720</v>
      </c>
      <c r="M418" s="50" t="s">
        <v>738</v>
      </c>
      <c r="N418" s="50" t="s">
        <v>1750</v>
      </c>
      <c r="O418" s="51"/>
      <c r="P418" s="51"/>
      <c r="Q418" s="48"/>
      <c r="S418" s="1">
        <f t="shared" si="145"/>
        <v>0</v>
      </c>
      <c r="T418" s="1">
        <f t="shared" si="146"/>
        <v>0</v>
      </c>
      <c r="U418" s="1">
        <f t="shared" si="147"/>
        <v>0</v>
      </c>
      <c r="V418" s="1">
        <f t="shared" si="148"/>
        <v>0</v>
      </c>
      <c r="W418" s="1">
        <f t="shared" si="149"/>
        <v>0</v>
      </c>
      <c r="X418" s="1">
        <f t="shared" si="150"/>
        <v>0</v>
      </c>
      <c r="Y418" s="1">
        <f t="shared" si="151"/>
        <v>0</v>
      </c>
      <c r="Z418" s="1">
        <f t="shared" si="152"/>
        <v>0</v>
      </c>
      <c r="AA418" s="1">
        <f t="shared" si="153"/>
        <v>0</v>
      </c>
      <c r="AB418" s="1">
        <f t="shared" si="154"/>
        <v>0</v>
      </c>
      <c r="AD418" s="1">
        <f t="shared" si="155"/>
        <v>0</v>
      </c>
      <c r="AE418" s="1">
        <f t="shared" si="156"/>
        <v>0</v>
      </c>
      <c r="AF418" s="1">
        <f t="shared" si="141"/>
        <v>0</v>
      </c>
      <c r="AG418" s="1">
        <f t="shared" si="142"/>
        <v>0</v>
      </c>
      <c r="AH418" s="1">
        <f t="shared" si="143"/>
        <v>0</v>
      </c>
      <c r="AI418" s="1">
        <f t="shared" si="144"/>
        <v>0</v>
      </c>
    </row>
    <row r="419" spans="1:35" ht="14.25" customHeight="1" x14ac:dyDescent="0.3">
      <c r="A419" s="34">
        <v>0</v>
      </c>
      <c r="B419" s="34">
        <v>2</v>
      </c>
      <c r="C419" s="34">
        <v>7</v>
      </c>
      <c r="D419" s="35" t="s">
        <v>1267</v>
      </c>
      <c r="E419" s="35" t="s">
        <v>28</v>
      </c>
      <c r="F419" s="35" t="s">
        <v>1266</v>
      </c>
      <c r="G419" s="35" t="s">
        <v>1251</v>
      </c>
      <c r="H419" s="35" t="s">
        <v>357</v>
      </c>
      <c r="I419" s="34" t="s">
        <v>1268</v>
      </c>
      <c r="J419" s="34">
        <v>99</v>
      </c>
      <c r="K419" s="36" t="s">
        <v>710</v>
      </c>
      <c r="L419" s="36" t="s">
        <v>720</v>
      </c>
      <c r="M419" s="37" t="s">
        <v>738</v>
      </c>
      <c r="N419" s="37" t="s">
        <v>1758</v>
      </c>
      <c r="O419" s="38">
        <v>1</v>
      </c>
      <c r="P419" s="38"/>
      <c r="Q419" s="35"/>
      <c r="S419" s="1">
        <f t="shared" si="145"/>
        <v>0</v>
      </c>
      <c r="T419" s="1">
        <f t="shared" si="146"/>
        <v>0</v>
      </c>
      <c r="U419" s="1">
        <f t="shared" si="147"/>
        <v>0</v>
      </c>
      <c r="V419" s="1">
        <f t="shared" si="148"/>
        <v>0</v>
      </c>
      <c r="W419" s="1">
        <f t="shared" si="149"/>
        <v>0</v>
      </c>
      <c r="X419" s="1">
        <f t="shared" si="150"/>
        <v>0</v>
      </c>
      <c r="Y419" s="1">
        <f t="shared" si="151"/>
        <v>0</v>
      </c>
      <c r="Z419" s="1">
        <f t="shared" si="152"/>
        <v>0</v>
      </c>
      <c r="AA419" s="1">
        <f t="shared" si="153"/>
        <v>0</v>
      </c>
      <c r="AB419" s="1">
        <f t="shared" si="154"/>
        <v>0</v>
      </c>
      <c r="AD419" s="1">
        <f t="shared" si="155"/>
        <v>0</v>
      </c>
      <c r="AE419" s="1">
        <f t="shared" si="156"/>
        <v>1</v>
      </c>
      <c r="AF419" s="1">
        <f t="shared" si="141"/>
        <v>0</v>
      </c>
      <c r="AG419" s="1">
        <f t="shared" si="142"/>
        <v>1</v>
      </c>
      <c r="AH419" s="1">
        <f t="shared" si="143"/>
        <v>0</v>
      </c>
      <c r="AI419" s="1">
        <f t="shared" si="144"/>
        <v>1</v>
      </c>
    </row>
    <row r="420" spans="1:35" ht="14.25" customHeight="1" x14ac:dyDescent="0.3">
      <c r="A420" s="34">
        <v>1</v>
      </c>
      <c r="B420" s="34">
        <v>2</v>
      </c>
      <c r="C420" s="34">
        <v>7</v>
      </c>
      <c r="D420" s="35" t="s">
        <v>1267</v>
      </c>
      <c r="E420" s="35" t="s">
        <v>28</v>
      </c>
      <c r="F420" s="35" t="s">
        <v>1265</v>
      </c>
      <c r="G420" s="35" t="s">
        <v>39</v>
      </c>
      <c r="H420" s="35" t="s">
        <v>357</v>
      </c>
      <c r="I420" s="34" t="s">
        <v>1269</v>
      </c>
      <c r="J420" s="34">
        <v>9</v>
      </c>
      <c r="K420" s="36" t="s">
        <v>710</v>
      </c>
      <c r="L420" s="36" t="s">
        <v>720</v>
      </c>
      <c r="M420" s="37" t="s">
        <v>738</v>
      </c>
      <c r="N420" s="37" t="s">
        <v>1758</v>
      </c>
      <c r="O420" s="38">
        <v>1</v>
      </c>
      <c r="P420" s="38"/>
      <c r="Q420" s="35"/>
      <c r="S420" s="1">
        <f t="shared" si="145"/>
        <v>0</v>
      </c>
      <c r="T420" s="1">
        <f t="shared" si="146"/>
        <v>0</v>
      </c>
      <c r="U420" s="1">
        <f t="shared" si="147"/>
        <v>0</v>
      </c>
      <c r="V420" s="1">
        <f t="shared" si="148"/>
        <v>0</v>
      </c>
      <c r="W420" s="1">
        <f t="shared" si="149"/>
        <v>0</v>
      </c>
      <c r="X420" s="1">
        <f t="shared" si="150"/>
        <v>0</v>
      </c>
      <c r="Y420" s="1">
        <f t="shared" si="151"/>
        <v>0</v>
      </c>
      <c r="Z420" s="1">
        <f t="shared" si="152"/>
        <v>0</v>
      </c>
      <c r="AA420" s="1">
        <f t="shared" si="153"/>
        <v>1</v>
      </c>
      <c r="AB420" s="1">
        <f t="shared" si="154"/>
        <v>0</v>
      </c>
      <c r="AD420" s="1">
        <f t="shared" si="155"/>
        <v>0</v>
      </c>
      <c r="AE420" s="1">
        <f t="shared" si="156"/>
        <v>1</v>
      </c>
      <c r="AF420" s="1">
        <f t="shared" si="141"/>
        <v>0</v>
      </c>
      <c r="AG420" s="1">
        <f t="shared" si="142"/>
        <v>0</v>
      </c>
      <c r="AH420" s="1">
        <f t="shared" si="143"/>
        <v>0</v>
      </c>
      <c r="AI420" s="1">
        <f t="shared" si="144"/>
        <v>0</v>
      </c>
    </row>
    <row r="421" spans="1:35" ht="14.25" customHeight="1" x14ac:dyDescent="0.3">
      <c r="A421" s="34">
        <v>1</v>
      </c>
      <c r="B421" s="34">
        <v>2</v>
      </c>
      <c r="C421" s="34">
        <v>7</v>
      </c>
      <c r="D421" s="35" t="s">
        <v>1267</v>
      </c>
      <c r="E421" s="35" t="s">
        <v>28</v>
      </c>
      <c r="F421" s="39" t="s">
        <v>1839</v>
      </c>
      <c r="G421" s="39" t="s">
        <v>260</v>
      </c>
      <c r="H421" s="35" t="s">
        <v>357</v>
      </c>
      <c r="I421" s="40" t="s">
        <v>30</v>
      </c>
      <c r="J421" s="34">
        <v>8</v>
      </c>
      <c r="K421" s="36" t="s">
        <v>710</v>
      </c>
      <c r="L421" s="36" t="s">
        <v>720</v>
      </c>
      <c r="M421" s="37" t="s">
        <v>738</v>
      </c>
      <c r="N421" s="37" t="s">
        <v>1758</v>
      </c>
      <c r="O421" s="38">
        <v>1</v>
      </c>
      <c r="P421" s="38"/>
      <c r="Q421" s="35"/>
      <c r="S421" s="1">
        <f t="shared" si="145"/>
        <v>0</v>
      </c>
      <c r="T421" s="1">
        <f t="shared" si="146"/>
        <v>0</v>
      </c>
      <c r="U421" s="1">
        <f t="shared" si="147"/>
        <v>0</v>
      </c>
      <c r="V421" s="1">
        <f t="shared" si="148"/>
        <v>0</v>
      </c>
      <c r="W421" s="1">
        <f t="shared" si="149"/>
        <v>0</v>
      </c>
      <c r="X421" s="1">
        <f t="shared" si="150"/>
        <v>0</v>
      </c>
      <c r="Y421" s="1">
        <f t="shared" si="151"/>
        <v>0</v>
      </c>
      <c r="Z421" s="1">
        <f t="shared" si="152"/>
        <v>1</v>
      </c>
      <c r="AA421" s="1">
        <f t="shared" si="153"/>
        <v>0</v>
      </c>
      <c r="AB421" s="1">
        <f t="shared" si="154"/>
        <v>0</v>
      </c>
      <c r="AD421" s="1">
        <f t="shared" si="155"/>
        <v>0</v>
      </c>
      <c r="AE421" s="1">
        <f t="shared" si="156"/>
        <v>1</v>
      </c>
      <c r="AF421" s="1">
        <f t="shared" si="141"/>
        <v>0</v>
      </c>
      <c r="AG421" s="1">
        <f t="shared" si="142"/>
        <v>0</v>
      </c>
      <c r="AH421" s="1">
        <f t="shared" si="143"/>
        <v>0</v>
      </c>
      <c r="AI421" s="1">
        <f t="shared" si="144"/>
        <v>0</v>
      </c>
    </row>
    <row r="422" spans="1:35" ht="14.25" customHeight="1" x14ac:dyDescent="0.3">
      <c r="A422" s="34">
        <v>0</v>
      </c>
      <c r="B422" s="34">
        <v>2</v>
      </c>
      <c r="C422" s="34">
        <v>7</v>
      </c>
      <c r="D422" s="35" t="s">
        <v>51</v>
      </c>
      <c r="E422" s="35" t="s">
        <v>28</v>
      </c>
      <c r="F422" s="35" t="s">
        <v>680</v>
      </c>
      <c r="G422" s="35" t="s">
        <v>187</v>
      </c>
      <c r="H422" s="35" t="s">
        <v>357</v>
      </c>
      <c r="I422" s="34" t="s">
        <v>393</v>
      </c>
      <c r="J422" s="34">
        <v>99</v>
      </c>
      <c r="K422" s="36" t="s">
        <v>719</v>
      </c>
      <c r="L422" s="36" t="s">
        <v>720</v>
      </c>
      <c r="M422" s="37" t="s">
        <v>738</v>
      </c>
      <c r="N422" s="37" t="s">
        <v>1764</v>
      </c>
      <c r="O422" s="38">
        <v>1</v>
      </c>
      <c r="P422" s="38"/>
      <c r="Q422" s="35"/>
      <c r="S422" s="1">
        <f t="shared" si="145"/>
        <v>0</v>
      </c>
      <c r="T422" s="1">
        <f t="shared" si="146"/>
        <v>0</v>
      </c>
      <c r="U422" s="1">
        <f t="shared" si="147"/>
        <v>0</v>
      </c>
      <c r="V422" s="1">
        <f t="shared" si="148"/>
        <v>0</v>
      </c>
      <c r="W422" s="1">
        <f t="shared" si="149"/>
        <v>0</v>
      </c>
      <c r="X422" s="1">
        <f t="shared" si="150"/>
        <v>0</v>
      </c>
      <c r="Y422" s="1">
        <f t="shared" si="151"/>
        <v>0</v>
      </c>
      <c r="Z422" s="1">
        <f t="shared" si="152"/>
        <v>0</v>
      </c>
      <c r="AA422" s="1">
        <f t="shared" si="153"/>
        <v>0</v>
      </c>
      <c r="AB422" s="1">
        <f t="shared" si="154"/>
        <v>0</v>
      </c>
      <c r="AD422" s="1">
        <f t="shared" si="155"/>
        <v>0</v>
      </c>
      <c r="AE422" s="1">
        <f t="shared" si="156"/>
        <v>1</v>
      </c>
      <c r="AF422" s="1">
        <f t="shared" si="141"/>
        <v>0</v>
      </c>
      <c r="AG422" s="1">
        <f t="shared" si="142"/>
        <v>1</v>
      </c>
      <c r="AH422" s="1">
        <f t="shared" si="143"/>
        <v>0</v>
      </c>
      <c r="AI422" s="1">
        <f t="shared" si="144"/>
        <v>1</v>
      </c>
    </row>
    <row r="423" spans="1:35" ht="14.25" customHeight="1" x14ac:dyDescent="0.3">
      <c r="A423" s="47">
        <v>0</v>
      </c>
      <c r="B423" s="47">
        <v>2</v>
      </c>
      <c r="C423" s="47">
        <v>7</v>
      </c>
      <c r="D423" s="48" t="s">
        <v>1091</v>
      </c>
      <c r="E423" s="48" t="s">
        <v>28</v>
      </c>
      <c r="F423" s="48" t="s">
        <v>1005</v>
      </c>
      <c r="G423" s="48" t="s">
        <v>242</v>
      </c>
      <c r="H423" s="48" t="s">
        <v>357</v>
      </c>
      <c r="I423" s="47" t="s">
        <v>1116</v>
      </c>
      <c r="J423" s="47">
        <v>1</v>
      </c>
      <c r="K423" s="49" t="s">
        <v>719</v>
      </c>
      <c r="L423" s="49" t="s">
        <v>720</v>
      </c>
      <c r="M423" s="50" t="s">
        <v>738</v>
      </c>
      <c r="N423" s="50" t="s">
        <v>1750</v>
      </c>
      <c r="O423" s="51"/>
      <c r="P423" s="51"/>
      <c r="Q423" s="48"/>
      <c r="S423" s="1">
        <f t="shared" si="145"/>
        <v>1</v>
      </c>
      <c r="T423" s="1">
        <f t="shared" si="146"/>
        <v>0</v>
      </c>
      <c r="U423" s="1">
        <f t="shared" si="147"/>
        <v>0</v>
      </c>
      <c r="V423" s="1">
        <f t="shared" si="148"/>
        <v>0</v>
      </c>
      <c r="W423" s="1">
        <f t="shared" si="149"/>
        <v>0</v>
      </c>
      <c r="X423" s="1">
        <f t="shared" si="150"/>
        <v>0</v>
      </c>
      <c r="Y423" s="1">
        <f t="shared" si="151"/>
        <v>0</v>
      </c>
      <c r="Z423" s="1">
        <f t="shared" si="152"/>
        <v>0</v>
      </c>
      <c r="AA423" s="1">
        <f t="shared" si="153"/>
        <v>0</v>
      </c>
      <c r="AB423" s="1">
        <f t="shared" si="154"/>
        <v>0</v>
      </c>
      <c r="AD423" s="1">
        <f t="shared" si="155"/>
        <v>0</v>
      </c>
      <c r="AE423" s="1">
        <f t="shared" si="156"/>
        <v>0</v>
      </c>
      <c r="AF423" s="1">
        <f t="shared" si="141"/>
        <v>0</v>
      </c>
      <c r="AG423" s="1">
        <f t="shared" si="142"/>
        <v>0</v>
      </c>
      <c r="AH423" s="1">
        <f t="shared" si="143"/>
        <v>0</v>
      </c>
      <c r="AI423" s="1">
        <f t="shared" si="144"/>
        <v>1</v>
      </c>
    </row>
    <row r="424" spans="1:35" ht="14.25" customHeight="1" x14ac:dyDescent="0.3">
      <c r="A424" s="47">
        <v>1</v>
      </c>
      <c r="B424" s="47">
        <v>2</v>
      </c>
      <c r="C424" s="47">
        <v>7</v>
      </c>
      <c r="D424" s="48" t="s">
        <v>1091</v>
      </c>
      <c r="E424" s="48" t="s">
        <v>28</v>
      </c>
      <c r="F424" s="48" t="s">
        <v>1006</v>
      </c>
      <c r="G424" s="48" t="s">
        <v>1109</v>
      </c>
      <c r="H424" s="48" t="s">
        <v>357</v>
      </c>
      <c r="I424" s="47" t="s">
        <v>1117</v>
      </c>
      <c r="J424" s="47">
        <v>1</v>
      </c>
      <c r="K424" s="49" t="s">
        <v>719</v>
      </c>
      <c r="L424" s="49" t="s">
        <v>720</v>
      </c>
      <c r="M424" s="50" t="s">
        <v>738</v>
      </c>
      <c r="N424" s="50" t="s">
        <v>1750</v>
      </c>
      <c r="O424" s="51"/>
      <c r="P424" s="51"/>
      <c r="Q424" s="48"/>
      <c r="S424" s="1">
        <f t="shared" si="145"/>
        <v>1</v>
      </c>
      <c r="T424" s="1">
        <f t="shared" si="146"/>
        <v>0</v>
      </c>
      <c r="U424" s="1">
        <f t="shared" si="147"/>
        <v>0</v>
      </c>
      <c r="V424" s="1">
        <f t="shared" si="148"/>
        <v>0</v>
      </c>
      <c r="W424" s="1">
        <f t="shared" si="149"/>
        <v>0</v>
      </c>
      <c r="X424" s="1">
        <f t="shared" si="150"/>
        <v>0</v>
      </c>
      <c r="Y424" s="1">
        <f t="shared" si="151"/>
        <v>0</v>
      </c>
      <c r="Z424" s="1">
        <f t="shared" si="152"/>
        <v>0</v>
      </c>
      <c r="AA424" s="1">
        <f t="shared" si="153"/>
        <v>0</v>
      </c>
      <c r="AB424" s="1">
        <f t="shared" si="154"/>
        <v>0</v>
      </c>
      <c r="AD424" s="1">
        <f t="shared" si="155"/>
        <v>0</v>
      </c>
      <c r="AE424" s="1">
        <f t="shared" si="156"/>
        <v>0</v>
      </c>
      <c r="AF424" s="1">
        <f t="shared" si="141"/>
        <v>0</v>
      </c>
      <c r="AG424" s="1">
        <f t="shared" si="142"/>
        <v>0</v>
      </c>
      <c r="AH424" s="1">
        <f t="shared" si="143"/>
        <v>0</v>
      </c>
      <c r="AI424" s="1">
        <f t="shared" si="144"/>
        <v>0</v>
      </c>
    </row>
    <row r="425" spans="1:35" ht="14.25" customHeight="1" x14ac:dyDescent="0.3">
      <c r="A425" s="34">
        <v>0</v>
      </c>
      <c r="B425" s="34">
        <v>2</v>
      </c>
      <c r="C425" s="34">
        <v>7</v>
      </c>
      <c r="D425" s="35" t="s">
        <v>1653</v>
      </c>
      <c r="E425" s="35" t="s">
        <v>158</v>
      </c>
      <c r="F425" s="35" t="s">
        <v>1506</v>
      </c>
      <c r="G425" s="35" t="s">
        <v>1507</v>
      </c>
      <c r="H425" s="35" t="s">
        <v>357</v>
      </c>
      <c r="I425" s="34" t="s">
        <v>1508</v>
      </c>
      <c r="J425" s="34">
        <v>99</v>
      </c>
      <c r="K425" s="36" t="s">
        <v>962</v>
      </c>
      <c r="L425" s="36" t="s">
        <v>729</v>
      </c>
      <c r="M425" s="37" t="s">
        <v>739</v>
      </c>
      <c r="N425" s="37" t="s">
        <v>1763</v>
      </c>
      <c r="O425" s="38">
        <v>1</v>
      </c>
      <c r="P425" s="38"/>
      <c r="Q425" s="35"/>
      <c r="S425" s="1">
        <f t="shared" si="145"/>
        <v>0</v>
      </c>
      <c r="T425" s="1">
        <f t="shared" si="146"/>
        <v>0</v>
      </c>
      <c r="U425" s="1">
        <f t="shared" si="147"/>
        <v>0</v>
      </c>
      <c r="V425" s="1">
        <f t="shared" si="148"/>
        <v>0</v>
      </c>
      <c r="W425" s="1">
        <f t="shared" si="149"/>
        <v>0</v>
      </c>
      <c r="X425" s="1">
        <f t="shared" si="150"/>
        <v>0</v>
      </c>
      <c r="Y425" s="1">
        <f t="shared" si="151"/>
        <v>0</v>
      </c>
      <c r="Z425" s="1">
        <f t="shared" si="152"/>
        <v>0</v>
      </c>
      <c r="AA425" s="1">
        <f t="shared" si="153"/>
        <v>0</v>
      </c>
      <c r="AB425" s="1">
        <f t="shared" si="154"/>
        <v>0</v>
      </c>
      <c r="AD425" s="1">
        <f t="shared" si="155"/>
        <v>0</v>
      </c>
      <c r="AE425" s="1">
        <f t="shared" si="156"/>
        <v>1</v>
      </c>
      <c r="AF425" s="1">
        <f t="shared" si="141"/>
        <v>0</v>
      </c>
      <c r="AG425" s="1">
        <f t="shared" si="142"/>
        <v>1</v>
      </c>
      <c r="AH425" s="1">
        <f t="shared" si="143"/>
        <v>0</v>
      </c>
      <c r="AI425" s="1">
        <f t="shared" si="144"/>
        <v>1</v>
      </c>
    </row>
    <row r="426" spans="1:35" ht="14.25" customHeight="1" x14ac:dyDescent="0.3">
      <c r="A426" s="47">
        <v>0</v>
      </c>
      <c r="B426" s="47">
        <v>2</v>
      </c>
      <c r="C426" s="47">
        <v>7</v>
      </c>
      <c r="D426" s="48" t="s">
        <v>83</v>
      </c>
      <c r="E426" s="48" t="s">
        <v>28</v>
      </c>
      <c r="F426" s="48" t="s">
        <v>277</v>
      </c>
      <c r="G426" s="48" t="s">
        <v>278</v>
      </c>
      <c r="H426" s="48" t="s">
        <v>357</v>
      </c>
      <c r="I426" s="47" t="s">
        <v>433</v>
      </c>
      <c r="J426" s="47">
        <v>7</v>
      </c>
      <c r="K426" s="49" t="s">
        <v>962</v>
      </c>
      <c r="L426" s="49" t="s">
        <v>961</v>
      </c>
      <c r="M426" s="50" t="s">
        <v>975</v>
      </c>
      <c r="N426" s="50" t="s">
        <v>1824</v>
      </c>
      <c r="O426" s="51"/>
      <c r="P426" s="51"/>
      <c r="Q426" s="48"/>
      <c r="S426" s="1">
        <f t="shared" si="145"/>
        <v>0</v>
      </c>
      <c r="T426" s="1">
        <f t="shared" si="146"/>
        <v>0</v>
      </c>
      <c r="U426" s="1">
        <f t="shared" si="147"/>
        <v>0</v>
      </c>
      <c r="V426" s="1">
        <f t="shared" si="148"/>
        <v>0</v>
      </c>
      <c r="W426" s="1">
        <f t="shared" si="149"/>
        <v>0</v>
      </c>
      <c r="X426" s="1">
        <f t="shared" si="150"/>
        <v>0</v>
      </c>
      <c r="Y426" s="1">
        <f t="shared" si="151"/>
        <v>1</v>
      </c>
      <c r="Z426" s="1">
        <f t="shared" si="152"/>
        <v>0</v>
      </c>
      <c r="AA426" s="1">
        <f t="shared" si="153"/>
        <v>0</v>
      </c>
      <c r="AB426" s="1">
        <f t="shared" si="154"/>
        <v>0</v>
      </c>
      <c r="AD426" s="1">
        <f t="shared" si="155"/>
        <v>0</v>
      </c>
      <c r="AE426" s="1">
        <f t="shared" si="156"/>
        <v>0</v>
      </c>
      <c r="AF426" s="1">
        <f t="shared" si="141"/>
        <v>0</v>
      </c>
      <c r="AG426" s="1">
        <f t="shared" si="142"/>
        <v>0</v>
      </c>
      <c r="AH426" s="1">
        <f t="shared" si="143"/>
        <v>0</v>
      </c>
      <c r="AI426" s="1">
        <f t="shared" si="144"/>
        <v>1</v>
      </c>
    </row>
    <row r="427" spans="1:35" ht="14.25" customHeight="1" x14ac:dyDescent="0.3">
      <c r="A427" s="47">
        <v>0</v>
      </c>
      <c r="B427" s="47">
        <v>2</v>
      </c>
      <c r="C427" s="47">
        <v>7</v>
      </c>
      <c r="D427" s="48" t="s">
        <v>77</v>
      </c>
      <c r="E427" s="48" t="s">
        <v>28</v>
      </c>
      <c r="F427" s="48" t="s">
        <v>1696</v>
      </c>
      <c r="G427" s="48" t="s">
        <v>192</v>
      </c>
      <c r="H427" s="48" t="s">
        <v>357</v>
      </c>
      <c r="I427" s="47" t="s">
        <v>427</v>
      </c>
      <c r="J427" s="47">
        <v>99</v>
      </c>
      <c r="K427" s="49" t="s">
        <v>961</v>
      </c>
      <c r="L427" s="49" t="s">
        <v>720</v>
      </c>
      <c r="M427" s="50" t="s">
        <v>738</v>
      </c>
      <c r="N427" s="50" t="s">
        <v>1750</v>
      </c>
      <c r="O427" s="51"/>
      <c r="P427" s="51"/>
      <c r="Q427" s="48"/>
      <c r="S427" s="1">
        <f t="shared" si="145"/>
        <v>0</v>
      </c>
      <c r="T427" s="1">
        <f t="shared" si="146"/>
        <v>0</v>
      </c>
      <c r="U427" s="1">
        <f t="shared" si="147"/>
        <v>0</v>
      </c>
      <c r="V427" s="1">
        <f t="shared" si="148"/>
        <v>0</v>
      </c>
      <c r="W427" s="1">
        <f t="shared" si="149"/>
        <v>0</v>
      </c>
      <c r="X427" s="1">
        <f t="shared" si="150"/>
        <v>0</v>
      </c>
      <c r="Y427" s="1">
        <f t="shared" si="151"/>
        <v>0</v>
      </c>
      <c r="Z427" s="1">
        <f t="shared" si="152"/>
        <v>0</v>
      </c>
      <c r="AA427" s="1">
        <f t="shared" si="153"/>
        <v>0</v>
      </c>
      <c r="AB427" s="1">
        <f t="shared" si="154"/>
        <v>0</v>
      </c>
      <c r="AD427" s="1">
        <f t="shared" si="155"/>
        <v>0</v>
      </c>
      <c r="AE427" s="1">
        <f t="shared" si="156"/>
        <v>0</v>
      </c>
      <c r="AF427" s="1">
        <f t="shared" si="141"/>
        <v>0</v>
      </c>
      <c r="AG427" s="1">
        <f t="shared" si="142"/>
        <v>0</v>
      </c>
      <c r="AH427" s="1">
        <f t="shared" si="143"/>
        <v>0</v>
      </c>
      <c r="AI427" s="1">
        <f t="shared" si="144"/>
        <v>1</v>
      </c>
    </row>
    <row r="428" spans="1:35" ht="14.25" customHeight="1" x14ac:dyDescent="0.3">
      <c r="A428" s="34">
        <v>0</v>
      </c>
      <c r="B428" s="34">
        <v>2</v>
      </c>
      <c r="C428" s="34">
        <v>7</v>
      </c>
      <c r="D428" s="35" t="s">
        <v>1655</v>
      </c>
      <c r="E428" s="35" t="s">
        <v>165</v>
      </c>
      <c r="F428" s="35" t="s">
        <v>246</v>
      </c>
      <c r="G428" s="35" t="s">
        <v>220</v>
      </c>
      <c r="H428" s="35" t="s">
        <v>357</v>
      </c>
      <c r="I428" s="34" t="s">
        <v>411</v>
      </c>
      <c r="J428" s="34">
        <v>99</v>
      </c>
      <c r="K428" s="36" t="s">
        <v>720</v>
      </c>
      <c r="L428" s="36" t="s">
        <v>729</v>
      </c>
      <c r="M428" s="37" t="s">
        <v>739</v>
      </c>
      <c r="N428" s="37" t="s">
        <v>1742</v>
      </c>
      <c r="O428" s="38">
        <v>1</v>
      </c>
      <c r="P428" s="38">
        <v>1</v>
      </c>
      <c r="Q428" s="35"/>
      <c r="S428" s="1">
        <f t="shared" si="145"/>
        <v>0</v>
      </c>
      <c r="T428" s="1">
        <f t="shared" si="146"/>
        <v>0</v>
      </c>
      <c r="U428" s="1">
        <f t="shared" si="147"/>
        <v>0</v>
      </c>
      <c r="V428" s="1">
        <f t="shared" si="148"/>
        <v>0</v>
      </c>
      <c r="W428" s="1">
        <f t="shared" si="149"/>
        <v>0</v>
      </c>
      <c r="X428" s="1">
        <f t="shared" si="150"/>
        <v>0</v>
      </c>
      <c r="Y428" s="1">
        <f t="shared" si="151"/>
        <v>0</v>
      </c>
      <c r="Z428" s="1">
        <f t="shared" si="152"/>
        <v>0</v>
      </c>
      <c r="AA428" s="1">
        <f t="shared" si="153"/>
        <v>0</v>
      </c>
      <c r="AB428" s="1">
        <f t="shared" si="154"/>
        <v>0</v>
      </c>
      <c r="AD428" s="1">
        <f t="shared" si="155"/>
        <v>1</v>
      </c>
      <c r="AE428" s="1">
        <f t="shared" si="156"/>
        <v>0</v>
      </c>
      <c r="AF428" s="1">
        <f t="shared" si="141"/>
        <v>1</v>
      </c>
      <c r="AG428" s="1">
        <f t="shared" si="142"/>
        <v>0</v>
      </c>
      <c r="AH428" s="1">
        <f t="shared" si="143"/>
        <v>1</v>
      </c>
      <c r="AI428" s="1">
        <f t="shared" si="144"/>
        <v>0</v>
      </c>
    </row>
    <row r="429" spans="1:35" ht="14.25" customHeight="1" x14ac:dyDescent="0.3">
      <c r="A429" s="34">
        <v>0</v>
      </c>
      <c r="B429" s="34">
        <v>2</v>
      </c>
      <c r="C429" s="34">
        <v>7</v>
      </c>
      <c r="D429" s="35" t="s">
        <v>1553</v>
      </c>
      <c r="E429" s="35" t="s">
        <v>158</v>
      </c>
      <c r="F429" s="35" t="s">
        <v>1554</v>
      </c>
      <c r="G429" s="35" t="s">
        <v>39</v>
      </c>
      <c r="H429" s="35" t="s">
        <v>357</v>
      </c>
      <c r="I429" s="34" t="s">
        <v>1555</v>
      </c>
      <c r="J429" s="34">
        <v>99</v>
      </c>
      <c r="K429" s="36" t="s">
        <v>720</v>
      </c>
      <c r="L429" s="36" t="s">
        <v>729</v>
      </c>
      <c r="M429" s="37" t="s">
        <v>739</v>
      </c>
      <c r="N429" s="37" t="s">
        <v>1763</v>
      </c>
      <c r="O429" s="38">
        <v>1</v>
      </c>
      <c r="P429" s="38"/>
      <c r="Q429" s="35"/>
      <c r="S429" s="1">
        <f t="shared" si="145"/>
        <v>0</v>
      </c>
      <c r="T429" s="1">
        <f t="shared" si="146"/>
        <v>0</v>
      </c>
      <c r="U429" s="1">
        <f t="shared" si="147"/>
        <v>0</v>
      </c>
      <c r="V429" s="1">
        <f t="shared" si="148"/>
        <v>0</v>
      </c>
      <c r="W429" s="1">
        <f t="shared" si="149"/>
        <v>0</v>
      </c>
      <c r="X429" s="1">
        <f t="shared" si="150"/>
        <v>0</v>
      </c>
      <c r="Y429" s="1">
        <f t="shared" si="151"/>
        <v>0</v>
      </c>
      <c r="Z429" s="1">
        <f t="shared" si="152"/>
        <v>0</v>
      </c>
      <c r="AA429" s="1">
        <f t="shared" si="153"/>
        <v>0</v>
      </c>
      <c r="AB429" s="1">
        <f t="shared" si="154"/>
        <v>0</v>
      </c>
      <c r="AD429" s="1">
        <f t="shared" si="155"/>
        <v>0</v>
      </c>
      <c r="AE429" s="1">
        <f t="shared" si="156"/>
        <v>1</v>
      </c>
      <c r="AF429" s="1">
        <f t="shared" si="141"/>
        <v>0</v>
      </c>
      <c r="AG429" s="1">
        <f t="shared" si="142"/>
        <v>1</v>
      </c>
      <c r="AH429" s="1">
        <f t="shared" si="143"/>
        <v>0</v>
      </c>
      <c r="AI429" s="1">
        <f t="shared" si="144"/>
        <v>1</v>
      </c>
    </row>
    <row r="430" spans="1:35" ht="14.25" customHeight="1" x14ac:dyDescent="0.3">
      <c r="A430" s="47">
        <v>0</v>
      </c>
      <c r="B430" s="47">
        <v>2</v>
      </c>
      <c r="C430" s="47">
        <v>7</v>
      </c>
      <c r="D430" s="48" t="s">
        <v>1276</v>
      </c>
      <c r="E430" s="48" t="s">
        <v>1539</v>
      </c>
      <c r="F430" s="48" t="s">
        <v>1369</v>
      </c>
      <c r="G430" s="48" t="s">
        <v>188</v>
      </c>
      <c r="H430" s="48" t="s">
        <v>357</v>
      </c>
      <c r="I430" s="47" t="s">
        <v>1382</v>
      </c>
      <c r="J430" s="47">
        <v>1</v>
      </c>
      <c r="K430" s="49" t="s">
        <v>720</v>
      </c>
      <c r="L430" s="49" t="s">
        <v>723</v>
      </c>
      <c r="M430" s="50" t="s">
        <v>1453</v>
      </c>
      <c r="N430" s="50" t="s">
        <v>1750</v>
      </c>
      <c r="O430" s="51"/>
      <c r="P430" s="51"/>
      <c r="Q430" s="48"/>
      <c r="S430" s="1">
        <f t="shared" si="145"/>
        <v>1</v>
      </c>
      <c r="T430" s="1">
        <f t="shared" si="146"/>
        <v>0</v>
      </c>
      <c r="U430" s="1">
        <f t="shared" si="147"/>
        <v>0</v>
      </c>
      <c r="V430" s="1">
        <f t="shared" si="148"/>
        <v>0</v>
      </c>
      <c r="W430" s="1">
        <f t="shared" si="149"/>
        <v>0</v>
      </c>
      <c r="X430" s="1">
        <f t="shared" si="150"/>
        <v>0</v>
      </c>
      <c r="Y430" s="1">
        <f t="shared" si="151"/>
        <v>0</v>
      </c>
      <c r="Z430" s="1">
        <f t="shared" si="152"/>
        <v>0</v>
      </c>
      <c r="AA430" s="1">
        <f t="shared" si="153"/>
        <v>0</v>
      </c>
      <c r="AB430" s="1">
        <f t="shared" si="154"/>
        <v>0</v>
      </c>
      <c r="AD430" s="1">
        <f t="shared" si="155"/>
        <v>0</v>
      </c>
      <c r="AE430" s="1">
        <f t="shared" si="156"/>
        <v>0</v>
      </c>
      <c r="AF430" s="1">
        <f t="shared" si="141"/>
        <v>0</v>
      </c>
      <c r="AG430" s="1">
        <f t="shared" si="142"/>
        <v>0</v>
      </c>
      <c r="AH430" s="1">
        <f t="shared" si="143"/>
        <v>0</v>
      </c>
      <c r="AI430" s="1">
        <f t="shared" si="144"/>
        <v>1</v>
      </c>
    </row>
    <row r="431" spans="1:35" ht="14.25" customHeight="1" x14ac:dyDescent="0.3">
      <c r="A431" s="34">
        <v>0</v>
      </c>
      <c r="B431" s="34">
        <v>2</v>
      </c>
      <c r="C431" s="34">
        <v>7</v>
      </c>
      <c r="D431" s="35" t="s">
        <v>66</v>
      </c>
      <c r="E431" s="35" t="s">
        <v>28</v>
      </c>
      <c r="F431" s="35" t="s">
        <v>981</v>
      </c>
      <c r="G431" s="35" t="s">
        <v>1111</v>
      </c>
      <c r="H431" s="35" t="s">
        <v>357</v>
      </c>
      <c r="I431" s="34" t="s">
        <v>1118</v>
      </c>
      <c r="J431" s="34">
        <v>99</v>
      </c>
      <c r="K431" s="36" t="s">
        <v>720</v>
      </c>
      <c r="L431" s="36" t="s">
        <v>720</v>
      </c>
      <c r="M431" s="37" t="s">
        <v>738</v>
      </c>
      <c r="N431" s="37" t="s">
        <v>1758</v>
      </c>
      <c r="O431" s="38">
        <v>1</v>
      </c>
      <c r="P431" s="38"/>
      <c r="Q431" s="35"/>
      <c r="S431" s="1">
        <f t="shared" si="145"/>
        <v>0</v>
      </c>
      <c r="T431" s="1">
        <f t="shared" si="146"/>
        <v>0</v>
      </c>
      <c r="U431" s="1">
        <f t="shared" si="147"/>
        <v>0</v>
      </c>
      <c r="V431" s="1">
        <f t="shared" si="148"/>
        <v>0</v>
      </c>
      <c r="W431" s="1">
        <f t="shared" si="149"/>
        <v>0</v>
      </c>
      <c r="X431" s="1">
        <f t="shared" si="150"/>
        <v>0</v>
      </c>
      <c r="Y431" s="1">
        <f t="shared" si="151"/>
        <v>0</v>
      </c>
      <c r="Z431" s="1">
        <f t="shared" si="152"/>
        <v>0</v>
      </c>
      <c r="AA431" s="1">
        <f t="shared" si="153"/>
        <v>0</v>
      </c>
      <c r="AB431" s="1">
        <f t="shared" si="154"/>
        <v>0</v>
      </c>
      <c r="AD431" s="1">
        <f t="shared" si="155"/>
        <v>0</v>
      </c>
      <c r="AE431" s="1">
        <f t="shared" si="156"/>
        <v>1</v>
      </c>
      <c r="AF431" s="1">
        <f t="shared" si="141"/>
        <v>0</v>
      </c>
      <c r="AG431" s="1">
        <f t="shared" si="142"/>
        <v>1</v>
      </c>
      <c r="AH431" s="1">
        <f t="shared" si="143"/>
        <v>0</v>
      </c>
      <c r="AI431" s="1">
        <f t="shared" si="144"/>
        <v>1</v>
      </c>
    </row>
    <row r="432" spans="1:35" ht="14.25" customHeight="1" x14ac:dyDescent="0.3">
      <c r="A432" s="34">
        <v>1</v>
      </c>
      <c r="B432" s="34">
        <v>2</v>
      </c>
      <c r="C432" s="34">
        <v>7</v>
      </c>
      <c r="D432" s="35" t="s">
        <v>66</v>
      </c>
      <c r="E432" s="35" t="s">
        <v>28</v>
      </c>
      <c r="F432" s="35" t="s">
        <v>247</v>
      </c>
      <c r="G432" s="35" t="s">
        <v>226</v>
      </c>
      <c r="H432" s="35" t="s">
        <v>357</v>
      </c>
      <c r="I432" s="34" t="s">
        <v>412</v>
      </c>
      <c r="J432" s="34">
        <v>99</v>
      </c>
      <c r="K432" s="36" t="s">
        <v>720</v>
      </c>
      <c r="L432" s="36" t="s">
        <v>720</v>
      </c>
      <c r="M432" s="37" t="s">
        <v>738</v>
      </c>
      <c r="N432" s="37" t="s">
        <v>1758</v>
      </c>
      <c r="O432" s="38">
        <v>1</v>
      </c>
      <c r="P432" s="38"/>
      <c r="Q432" s="35"/>
      <c r="S432" s="1">
        <f t="shared" si="145"/>
        <v>0</v>
      </c>
      <c r="T432" s="1">
        <f t="shared" si="146"/>
        <v>0</v>
      </c>
      <c r="U432" s="1">
        <f t="shared" si="147"/>
        <v>0</v>
      </c>
      <c r="V432" s="1">
        <f t="shared" si="148"/>
        <v>0</v>
      </c>
      <c r="W432" s="1">
        <f t="shared" si="149"/>
        <v>0</v>
      </c>
      <c r="X432" s="1">
        <f t="shared" si="150"/>
        <v>0</v>
      </c>
      <c r="Y432" s="1">
        <f t="shared" si="151"/>
        <v>0</v>
      </c>
      <c r="Z432" s="1">
        <f t="shared" si="152"/>
        <v>0</v>
      </c>
      <c r="AA432" s="1">
        <f t="shared" si="153"/>
        <v>0</v>
      </c>
      <c r="AB432" s="1">
        <f t="shared" si="154"/>
        <v>0</v>
      </c>
      <c r="AD432" s="1">
        <f t="shared" si="155"/>
        <v>0</v>
      </c>
      <c r="AE432" s="1">
        <f t="shared" si="156"/>
        <v>1</v>
      </c>
      <c r="AF432" s="1">
        <f t="shared" si="141"/>
        <v>0</v>
      </c>
      <c r="AG432" s="1">
        <f t="shared" si="142"/>
        <v>0</v>
      </c>
      <c r="AH432" s="1">
        <f t="shared" si="143"/>
        <v>0</v>
      </c>
      <c r="AI432" s="1">
        <f t="shared" si="144"/>
        <v>0</v>
      </c>
    </row>
    <row r="433" spans="1:35" ht="14.25" customHeight="1" x14ac:dyDescent="0.3">
      <c r="A433" s="34">
        <v>1</v>
      </c>
      <c r="B433" s="34">
        <v>2</v>
      </c>
      <c r="C433" s="34">
        <v>7</v>
      </c>
      <c r="D433" s="35" t="s">
        <v>66</v>
      </c>
      <c r="E433" s="35" t="s">
        <v>28</v>
      </c>
      <c r="F433" s="35" t="s">
        <v>248</v>
      </c>
      <c r="G433" s="35" t="s">
        <v>222</v>
      </c>
      <c r="H433" s="35" t="s">
        <v>357</v>
      </c>
      <c r="I433" s="34" t="s">
        <v>413</v>
      </c>
      <c r="J433" s="34">
        <v>8</v>
      </c>
      <c r="K433" s="36" t="s">
        <v>720</v>
      </c>
      <c r="L433" s="36" t="s">
        <v>720</v>
      </c>
      <c r="M433" s="37" t="s">
        <v>738</v>
      </c>
      <c r="N433" s="37" t="s">
        <v>1758</v>
      </c>
      <c r="O433" s="38">
        <v>1</v>
      </c>
      <c r="P433" s="38"/>
      <c r="Q433" s="35"/>
      <c r="S433" s="1">
        <f t="shared" si="145"/>
        <v>0</v>
      </c>
      <c r="T433" s="1">
        <f t="shared" si="146"/>
        <v>0</v>
      </c>
      <c r="U433" s="1">
        <f t="shared" si="147"/>
        <v>0</v>
      </c>
      <c r="V433" s="1">
        <f t="shared" si="148"/>
        <v>0</v>
      </c>
      <c r="W433" s="1">
        <f t="shared" si="149"/>
        <v>0</v>
      </c>
      <c r="X433" s="1">
        <f t="shared" si="150"/>
        <v>0</v>
      </c>
      <c r="Y433" s="1">
        <f t="shared" si="151"/>
        <v>0</v>
      </c>
      <c r="Z433" s="1">
        <f t="shared" si="152"/>
        <v>1</v>
      </c>
      <c r="AA433" s="1">
        <f t="shared" si="153"/>
        <v>0</v>
      </c>
      <c r="AB433" s="1">
        <f t="shared" si="154"/>
        <v>0</v>
      </c>
      <c r="AD433" s="1">
        <f t="shared" si="155"/>
        <v>0</v>
      </c>
      <c r="AE433" s="1">
        <f t="shared" si="156"/>
        <v>1</v>
      </c>
      <c r="AF433" s="1">
        <f t="shared" si="141"/>
        <v>0</v>
      </c>
      <c r="AG433" s="1">
        <f t="shared" si="142"/>
        <v>0</v>
      </c>
      <c r="AH433" s="1">
        <f t="shared" si="143"/>
        <v>0</v>
      </c>
      <c r="AI433" s="1">
        <f t="shared" si="144"/>
        <v>0</v>
      </c>
    </row>
    <row r="434" spans="1:35" ht="14.25" customHeight="1" x14ac:dyDescent="0.3">
      <c r="A434" s="34">
        <v>1</v>
      </c>
      <c r="B434" s="34">
        <v>2</v>
      </c>
      <c r="C434" s="34">
        <v>7</v>
      </c>
      <c r="D434" s="35" t="s">
        <v>66</v>
      </c>
      <c r="E434" s="35" t="s">
        <v>28</v>
      </c>
      <c r="F434" s="35" t="s">
        <v>1041</v>
      </c>
      <c r="G434" s="35" t="s">
        <v>39</v>
      </c>
      <c r="H434" s="35" t="s">
        <v>357</v>
      </c>
      <c r="I434" s="34" t="s">
        <v>1042</v>
      </c>
      <c r="J434" s="34">
        <v>1</v>
      </c>
      <c r="K434" s="36" t="s">
        <v>720</v>
      </c>
      <c r="L434" s="36" t="s">
        <v>720</v>
      </c>
      <c r="M434" s="37" t="s">
        <v>738</v>
      </c>
      <c r="N434" s="37" t="s">
        <v>1758</v>
      </c>
      <c r="O434" s="38">
        <v>1</v>
      </c>
      <c r="P434" s="38"/>
      <c r="Q434" s="35"/>
      <c r="S434" s="1">
        <f t="shared" si="145"/>
        <v>1</v>
      </c>
      <c r="T434" s="1">
        <f t="shared" si="146"/>
        <v>0</v>
      </c>
      <c r="U434" s="1">
        <f t="shared" si="147"/>
        <v>0</v>
      </c>
      <c r="V434" s="1">
        <f t="shared" si="148"/>
        <v>0</v>
      </c>
      <c r="W434" s="1">
        <f t="shared" si="149"/>
        <v>0</v>
      </c>
      <c r="X434" s="1">
        <f t="shared" si="150"/>
        <v>0</v>
      </c>
      <c r="Y434" s="1">
        <f t="shared" si="151"/>
        <v>0</v>
      </c>
      <c r="Z434" s="1">
        <f t="shared" si="152"/>
        <v>0</v>
      </c>
      <c r="AA434" s="1">
        <f t="shared" si="153"/>
        <v>0</v>
      </c>
      <c r="AB434" s="1">
        <f t="shared" si="154"/>
        <v>0</v>
      </c>
      <c r="AD434" s="1">
        <f t="shared" si="155"/>
        <v>0</v>
      </c>
      <c r="AE434" s="1">
        <f t="shared" si="156"/>
        <v>1</v>
      </c>
      <c r="AF434" s="1">
        <f t="shared" si="141"/>
        <v>0</v>
      </c>
      <c r="AG434" s="1">
        <f t="shared" si="142"/>
        <v>0</v>
      </c>
      <c r="AH434" s="1">
        <f t="shared" si="143"/>
        <v>0</v>
      </c>
      <c r="AI434" s="1">
        <f t="shared" si="144"/>
        <v>0</v>
      </c>
    </row>
    <row r="435" spans="1:35" ht="14.25" customHeight="1" x14ac:dyDescent="0.3">
      <c r="A435" s="34">
        <v>1</v>
      </c>
      <c r="B435" s="34">
        <v>2</v>
      </c>
      <c r="C435" s="34">
        <v>7</v>
      </c>
      <c r="D435" s="35" t="s">
        <v>66</v>
      </c>
      <c r="E435" s="35" t="s">
        <v>28</v>
      </c>
      <c r="F435" s="35" t="s">
        <v>1043</v>
      </c>
      <c r="G435" s="35" t="s">
        <v>305</v>
      </c>
      <c r="H435" s="35" t="s">
        <v>357</v>
      </c>
      <c r="I435" s="34" t="s">
        <v>1044</v>
      </c>
      <c r="J435" s="34">
        <v>1</v>
      </c>
      <c r="K435" s="36" t="s">
        <v>720</v>
      </c>
      <c r="L435" s="36" t="s">
        <v>720</v>
      </c>
      <c r="M435" s="37" t="s">
        <v>738</v>
      </c>
      <c r="N435" s="37" t="s">
        <v>1758</v>
      </c>
      <c r="O435" s="38">
        <v>1</v>
      </c>
      <c r="P435" s="38"/>
      <c r="Q435" s="35"/>
      <c r="S435" s="1">
        <f t="shared" si="145"/>
        <v>1</v>
      </c>
      <c r="T435" s="1">
        <f t="shared" si="146"/>
        <v>0</v>
      </c>
      <c r="U435" s="1">
        <f t="shared" si="147"/>
        <v>0</v>
      </c>
      <c r="V435" s="1">
        <f t="shared" si="148"/>
        <v>0</v>
      </c>
      <c r="W435" s="1">
        <f t="shared" si="149"/>
        <v>0</v>
      </c>
      <c r="X435" s="1">
        <f t="shared" si="150"/>
        <v>0</v>
      </c>
      <c r="Y435" s="1">
        <f t="shared" si="151"/>
        <v>0</v>
      </c>
      <c r="Z435" s="1">
        <f t="shared" si="152"/>
        <v>0</v>
      </c>
      <c r="AA435" s="1">
        <f t="shared" si="153"/>
        <v>0</v>
      </c>
      <c r="AB435" s="1">
        <f t="shared" si="154"/>
        <v>0</v>
      </c>
      <c r="AD435" s="1">
        <f t="shared" si="155"/>
        <v>0</v>
      </c>
      <c r="AE435" s="1">
        <f t="shared" si="156"/>
        <v>1</v>
      </c>
      <c r="AF435" s="1">
        <f t="shared" si="141"/>
        <v>0</v>
      </c>
      <c r="AG435" s="1">
        <f t="shared" si="142"/>
        <v>0</v>
      </c>
      <c r="AH435" s="1">
        <f t="shared" si="143"/>
        <v>0</v>
      </c>
      <c r="AI435" s="1">
        <f t="shared" si="144"/>
        <v>0</v>
      </c>
    </row>
    <row r="436" spans="1:35" ht="14.25" customHeight="1" x14ac:dyDescent="0.3">
      <c r="A436" s="47">
        <v>0</v>
      </c>
      <c r="B436" s="47">
        <v>2</v>
      </c>
      <c r="C436" s="47">
        <v>7</v>
      </c>
      <c r="D436" s="48" t="s">
        <v>1588</v>
      </c>
      <c r="E436" s="48" t="s">
        <v>158</v>
      </c>
      <c r="F436" s="48" t="s">
        <v>1589</v>
      </c>
      <c r="G436" s="48" t="s">
        <v>209</v>
      </c>
      <c r="H436" s="48" t="s">
        <v>357</v>
      </c>
      <c r="I436" s="47" t="s">
        <v>1590</v>
      </c>
      <c r="J436" s="47">
        <v>99</v>
      </c>
      <c r="K436" s="49" t="s">
        <v>719</v>
      </c>
      <c r="L436" s="49" t="s">
        <v>729</v>
      </c>
      <c r="M436" s="50" t="s">
        <v>739</v>
      </c>
      <c r="N436" s="50" t="s">
        <v>1762</v>
      </c>
      <c r="O436" s="51"/>
      <c r="P436" s="51"/>
      <c r="Q436" s="48"/>
      <c r="S436" s="1">
        <f t="shared" si="145"/>
        <v>0</v>
      </c>
      <c r="T436" s="1">
        <f t="shared" si="146"/>
        <v>0</v>
      </c>
      <c r="U436" s="1">
        <f t="shared" si="147"/>
        <v>0</v>
      </c>
      <c r="V436" s="1">
        <f t="shared" si="148"/>
        <v>0</v>
      </c>
      <c r="W436" s="1">
        <f t="shared" si="149"/>
        <v>0</v>
      </c>
      <c r="X436" s="1">
        <f t="shared" si="150"/>
        <v>0</v>
      </c>
      <c r="Y436" s="1">
        <f t="shared" si="151"/>
        <v>0</v>
      </c>
      <c r="Z436" s="1">
        <f t="shared" si="152"/>
        <v>0</v>
      </c>
      <c r="AA436" s="1">
        <f t="shared" si="153"/>
        <v>0</v>
      </c>
      <c r="AB436" s="1">
        <f t="shared" si="154"/>
        <v>0</v>
      </c>
      <c r="AD436" s="1">
        <f t="shared" si="155"/>
        <v>0</v>
      </c>
      <c r="AE436" s="1">
        <f t="shared" si="156"/>
        <v>0</v>
      </c>
      <c r="AF436" s="1">
        <f t="shared" si="141"/>
        <v>0</v>
      </c>
      <c r="AG436" s="1">
        <f t="shared" si="142"/>
        <v>0</v>
      </c>
      <c r="AH436" s="1">
        <f t="shared" si="143"/>
        <v>0</v>
      </c>
      <c r="AI436" s="1">
        <f t="shared" si="144"/>
        <v>1</v>
      </c>
    </row>
    <row r="437" spans="1:35" ht="14.25" customHeight="1" x14ac:dyDescent="0.3">
      <c r="A437" s="47">
        <v>0</v>
      </c>
      <c r="B437" s="47">
        <v>2</v>
      </c>
      <c r="C437" s="47">
        <v>7</v>
      </c>
      <c r="D437" s="48" t="s">
        <v>1142</v>
      </c>
      <c r="E437" s="48" t="s">
        <v>28</v>
      </c>
      <c r="F437" s="48" t="s">
        <v>1143</v>
      </c>
      <c r="G437" s="48" t="s">
        <v>222</v>
      </c>
      <c r="H437" s="48" t="s">
        <v>357</v>
      </c>
      <c r="I437" s="47" t="s">
        <v>1144</v>
      </c>
      <c r="J437" s="47">
        <v>8</v>
      </c>
      <c r="K437" s="49" t="s">
        <v>962</v>
      </c>
      <c r="L437" s="49" t="s">
        <v>720</v>
      </c>
      <c r="M437" s="50" t="s">
        <v>738</v>
      </c>
      <c r="N437" s="50" t="s">
        <v>1817</v>
      </c>
      <c r="O437" s="51"/>
      <c r="P437" s="51"/>
      <c r="Q437" s="48"/>
      <c r="S437" s="1">
        <f t="shared" si="145"/>
        <v>0</v>
      </c>
      <c r="T437" s="1">
        <f t="shared" si="146"/>
        <v>0</v>
      </c>
      <c r="U437" s="1">
        <f t="shared" si="147"/>
        <v>0</v>
      </c>
      <c r="V437" s="1">
        <f t="shared" si="148"/>
        <v>0</v>
      </c>
      <c r="W437" s="1">
        <f t="shared" si="149"/>
        <v>0</v>
      </c>
      <c r="X437" s="1">
        <f t="shared" si="150"/>
        <v>0</v>
      </c>
      <c r="Y437" s="1">
        <f t="shared" si="151"/>
        <v>0</v>
      </c>
      <c r="Z437" s="1">
        <f t="shared" si="152"/>
        <v>1</v>
      </c>
      <c r="AA437" s="1">
        <f t="shared" si="153"/>
        <v>0</v>
      </c>
      <c r="AB437" s="1">
        <f t="shared" si="154"/>
        <v>0</v>
      </c>
      <c r="AD437" s="1">
        <f t="shared" si="155"/>
        <v>0</v>
      </c>
      <c r="AE437" s="1">
        <f t="shared" si="156"/>
        <v>0</v>
      </c>
      <c r="AF437" s="1">
        <f t="shared" si="141"/>
        <v>0</v>
      </c>
      <c r="AG437" s="1">
        <f t="shared" si="142"/>
        <v>0</v>
      </c>
      <c r="AH437" s="1">
        <f t="shared" si="143"/>
        <v>0</v>
      </c>
      <c r="AI437" s="1">
        <f t="shared" si="144"/>
        <v>1</v>
      </c>
    </row>
    <row r="438" spans="1:35" ht="14.25" customHeight="1" x14ac:dyDescent="0.3">
      <c r="A438" s="47">
        <v>0</v>
      </c>
      <c r="B438" s="47">
        <v>2</v>
      </c>
      <c r="C438" s="47">
        <v>7</v>
      </c>
      <c r="D438" s="48" t="s">
        <v>74</v>
      </c>
      <c r="E438" s="48" t="s">
        <v>28</v>
      </c>
      <c r="F438" s="48" t="s">
        <v>267</v>
      </c>
      <c r="G438" s="48" t="s">
        <v>196</v>
      </c>
      <c r="H438" s="48" t="s">
        <v>357</v>
      </c>
      <c r="I438" s="47" t="s">
        <v>425</v>
      </c>
      <c r="J438" s="47">
        <v>9</v>
      </c>
      <c r="K438" s="49" t="s">
        <v>719</v>
      </c>
      <c r="L438" s="49" t="s">
        <v>720</v>
      </c>
      <c r="M438" s="50" t="s">
        <v>738</v>
      </c>
      <c r="N438" s="50" t="s">
        <v>1750</v>
      </c>
      <c r="O438" s="51"/>
      <c r="P438" s="51"/>
      <c r="Q438" s="48"/>
      <c r="S438" s="1">
        <f t="shared" si="145"/>
        <v>0</v>
      </c>
      <c r="T438" s="1">
        <f t="shared" si="146"/>
        <v>0</v>
      </c>
      <c r="U438" s="1">
        <f t="shared" si="147"/>
        <v>0</v>
      </c>
      <c r="V438" s="1">
        <f t="shared" si="148"/>
        <v>0</v>
      </c>
      <c r="W438" s="1">
        <f t="shared" si="149"/>
        <v>0</v>
      </c>
      <c r="X438" s="1">
        <f t="shared" si="150"/>
        <v>0</v>
      </c>
      <c r="Y438" s="1">
        <f t="shared" si="151"/>
        <v>0</v>
      </c>
      <c r="Z438" s="1">
        <f t="shared" si="152"/>
        <v>0</v>
      </c>
      <c r="AA438" s="1">
        <f t="shared" si="153"/>
        <v>1</v>
      </c>
      <c r="AB438" s="1">
        <f t="shared" si="154"/>
        <v>0</v>
      </c>
      <c r="AD438" s="1">
        <f t="shared" si="155"/>
        <v>0</v>
      </c>
      <c r="AE438" s="1">
        <f t="shared" si="156"/>
        <v>0</v>
      </c>
      <c r="AF438" s="1">
        <f t="shared" si="141"/>
        <v>0</v>
      </c>
      <c r="AG438" s="1">
        <f t="shared" si="142"/>
        <v>0</v>
      </c>
      <c r="AH438" s="1">
        <f t="shared" si="143"/>
        <v>0</v>
      </c>
      <c r="AI438" s="1">
        <f t="shared" si="144"/>
        <v>1</v>
      </c>
    </row>
    <row r="439" spans="1:35" ht="14.25" customHeight="1" x14ac:dyDescent="0.3">
      <c r="A439" s="34">
        <v>0</v>
      </c>
      <c r="B439" s="34">
        <v>2</v>
      </c>
      <c r="C439" s="34">
        <v>7</v>
      </c>
      <c r="D439" s="35" t="s">
        <v>59</v>
      </c>
      <c r="E439" s="35" t="s">
        <v>165</v>
      </c>
      <c r="F439" s="35" t="s">
        <v>227</v>
      </c>
      <c r="G439" s="35" t="s">
        <v>228</v>
      </c>
      <c r="H439" s="35" t="s">
        <v>357</v>
      </c>
      <c r="I439" s="34" t="s">
        <v>401</v>
      </c>
      <c r="J439" s="34">
        <v>99</v>
      </c>
      <c r="K439" s="36" t="s">
        <v>720</v>
      </c>
      <c r="L439" s="36" t="s">
        <v>729</v>
      </c>
      <c r="M439" s="37" t="s">
        <v>739</v>
      </c>
      <c r="N439" s="37" t="s">
        <v>1765</v>
      </c>
      <c r="O439" s="38">
        <v>1</v>
      </c>
      <c r="P439" s="38"/>
      <c r="Q439" s="35"/>
      <c r="S439" s="1">
        <f t="shared" si="145"/>
        <v>0</v>
      </c>
      <c r="T439" s="1">
        <f t="shared" si="146"/>
        <v>0</v>
      </c>
      <c r="U439" s="1">
        <f t="shared" si="147"/>
        <v>0</v>
      </c>
      <c r="V439" s="1">
        <f t="shared" si="148"/>
        <v>0</v>
      </c>
      <c r="W439" s="1">
        <f t="shared" si="149"/>
        <v>0</v>
      </c>
      <c r="X439" s="1">
        <f t="shared" si="150"/>
        <v>0</v>
      </c>
      <c r="Y439" s="1">
        <f t="shared" si="151"/>
        <v>0</v>
      </c>
      <c r="Z439" s="1">
        <f t="shared" si="152"/>
        <v>0</v>
      </c>
      <c r="AA439" s="1">
        <f t="shared" si="153"/>
        <v>0</v>
      </c>
      <c r="AB439" s="1">
        <f t="shared" si="154"/>
        <v>0</v>
      </c>
      <c r="AD439" s="1">
        <f t="shared" si="155"/>
        <v>0</v>
      </c>
      <c r="AE439" s="1">
        <f t="shared" si="156"/>
        <v>1</v>
      </c>
      <c r="AF439" s="1">
        <f t="shared" si="141"/>
        <v>0</v>
      </c>
      <c r="AG439" s="1">
        <f t="shared" si="142"/>
        <v>1</v>
      </c>
      <c r="AH439" s="1">
        <f t="shared" si="143"/>
        <v>0</v>
      </c>
      <c r="AI439" s="1">
        <f t="shared" si="144"/>
        <v>1</v>
      </c>
    </row>
    <row r="440" spans="1:35" ht="14.25" customHeight="1" x14ac:dyDescent="0.3">
      <c r="A440" s="34">
        <v>0</v>
      </c>
      <c r="B440" s="34">
        <v>2</v>
      </c>
      <c r="C440" s="34">
        <v>7</v>
      </c>
      <c r="D440" s="35" t="s">
        <v>1085</v>
      </c>
      <c r="E440" s="35" t="s">
        <v>158</v>
      </c>
      <c r="F440" s="35" t="s">
        <v>1086</v>
      </c>
      <c r="G440" s="35" t="s">
        <v>222</v>
      </c>
      <c r="H440" s="35" t="s">
        <v>357</v>
      </c>
      <c r="I440" s="34" t="s">
        <v>1087</v>
      </c>
      <c r="J440" s="34">
        <v>8</v>
      </c>
      <c r="K440" s="36" t="s">
        <v>719</v>
      </c>
      <c r="L440" s="36" t="s">
        <v>729</v>
      </c>
      <c r="M440" s="37" t="s">
        <v>739</v>
      </c>
      <c r="N440" s="37" t="s">
        <v>1763</v>
      </c>
      <c r="O440" s="38">
        <v>1</v>
      </c>
      <c r="P440" s="38"/>
      <c r="Q440" s="35"/>
      <c r="S440" s="1">
        <f t="shared" si="145"/>
        <v>0</v>
      </c>
      <c r="T440" s="1">
        <f t="shared" si="146"/>
        <v>0</v>
      </c>
      <c r="U440" s="1">
        <f t="shared" si="147"/>
        <v>0</v>
      </c>
      <c r="V440" s="1">
        <f t="shared" si="148"/>
        <v>0</v>
      </c>
      <c r="W440" s="1">
        <f t="shared" si="149"/>
        <v>0</v>
      </c>
      <c r="X440" s="1">
        <f t="shared" si="150"/>
        <v>0</v>
      </c>
      <c r="Y440" s="1">
        <f t="shared" si="151"/>
        <v>0</v>
      </c>
      <c r="Z440" s="1">
        <f t="shared" si="152"/>
        <v>1</v>
      </c>
      <c r="AA440" s="1">
        <f t="shared" si="153"/>
        <v>0</v>
      </c>
      <c r="AB440" s="1">
        <f t="shared" si="154"/>
        <v>0</v>
      </c>
      <c r="AD440" s="1">
        <f t="shared" si="155"/>
        <v>0</v>
      </c>
      <c r="AE440" s="1">
        <f t="shared" si="156"/>
        <v>1</v>
      </c>
      <c r="AF440" s="1">
        <f t="shared" si="141"/>
        <v>0</v>
      </c>
      <c r="AG440" s="1">
        <f t="shared" si="142"/>
        <v>1</v>
      </c>
      <c r="AH440" s="1">
        <f t="shared" si="143"/>
        <v>0</v>
      </c>
      <c r="AI440" s="1">
        <f t="shared" si="144"/>
        <v>1</v>
      </c>
    </row>
    <row r="441" spans="1:35" ht="14.25" customHeight="1" x14ac:dyDescent="0.3">
      <c r="A441" s="34">
        <v>0</v>
      </c>
      <c r="B441" s="34">
        <v>2</v>
      </c>
      <c r="C441" s="34">
        <v>7</v>
      </c>
      <c r="D441" s="35" t="s">
        <v>82</v>
      </c>
      <c r="E441" s="35" t="s">
        <v>158</v>
      </c>
      <c r="F441" s="35" t="s">
        <v>276</v>
      </c>
      <c r="G441" s="35" t="s">
        <v>256</v>
      </c>
      <c r="H441" s="35" t="s">
        <v>357</v>
      </c>
      <c r="I441" s="34" t="s">
        <v>432</v>
      </c>
      <c r="J441" s="34">
        <v>99</v>
      </c>
      <c r="K441" s="36" t="s">
        <v>720</v>
      </c>
      <c r="L441" s="36" t="s">
        <v>740</v>
      </c>
      <c r="M441" s="37" t="s">
        <v>741</v>
      </c>
      <c r="N441" s="37" t="s">
        <v>1771</v>
      </c>
      <c r="O441" s="38">
        <v>1</v>
      </c>
      <c r="P441" s="38"/>
      <c r="Q441" s="35"/>
      <c r="S441" s="1">
        <f t="shared" si="145"/>
        <v>0</v>
      </c>
      <c r="T441" s="1">
        <f t="shared" si="146"/>
        <v>0</v>
      </c>
      <c r="U441" s="1">
        <f t="shared" si="147"/>
        <v>0</v>
      </c>
      <c r="V441" s="1">
        <f t="shared" si="148"/>
        <v>0</v>
      </c>
      <c r="W441" s="1">
        <f t="shared" si="149"/>
        <v>0</v>
      </c>
      <c r="X441" s="1">
        <f t="shared" si="150"/>
        <v>0</v>
      </c>
      <c r="Y441" s="1">
        <f t="shared" si="151"/>
        <v>0</v>
      </c>
      <c r="Z441" s="1">
        <f t="shared" si="152"/>
        <v>0</v>
      </c>
      <c r="AA441" s="1">
        <f t="shared" si="153"/>
        <v>0</v>
      </c>
      <c r="AB441" s="1">
        <f t="shared" si="154"/>
        <v>0</v>
      </c>
      <c r="AD441" s="1">
        <f t="shared" si="155"/>
        <v>0</v>
      </c>
      <c r="AE441" s="1">
        <f t="shared" si="156"/>
        <v>1</v>
      </c>
      <c r="AF441" s="1">
        <f t="shared" si="141"/>
        <v>0</v>
      </c>
      <c r="AG441" s="1">
        <f t="shared" si="142"/>
        <v>1</v>
      </c>
      <c r="AH441" s="1">
        <f t="shared" si="143"/>
        <v>0</v>
      </c>
      <c r="AI441" s="1">
        <f t="shared" si="144"/>
        <v>1</v>
      </c>
    </row>
    <row r="442" spans="1:35" ht="14.25" customHeight="1" x14ac:dyDescent="0.3">
      <c r="A442" s="40">
        <v>0</v>
      </c>
      <c r="B442" s="40">
        <v>2</v>
      </c>
      <c r="C442" s="40">
        <v>7</v>
      </c>
      <c r="D442" s="39" t="s">
        <v>1790</v>
      </c>
      <c r="E442" s="39" t="s">
        <v>1791</v>
      </c>
      <c r="F442" s="39" t="s">
        <v>1792</v>
      </c>
      <c r="G442" s="39" t="s">
        <v>192</v>
      </c>
      <c r="H442" s="39" t="s">
        <v>357</v>
      </c>
      <c r="I442" s="40"/>
      <c r="J442" s="40"/>
      <c r="K442" s="36" t="s">
        <v>710</v>
      </c>
      <c r="L442" s="36"/>
      <c r="M442" s="37"/>
      <c r="N442" s="37" t="s">
        <v>1742</v>
      </c>
      <c r="O442" s="38">
        <v>1</v>
      </c>
      <c r="P442" s="38">
        <v>1</v>
      </c>
      <c r="Q442" s="39"/>
      <c r="S442" s="1">
        <f t="shared" si="145"/>
        <v>0</v>
      </c>
      <c r="T442" s="1">
        <f t="shared" si="146"/>
        <v>0</v>
      </c>
      <c r="U442" s="1">
        <f t="shared" si="147"/>
        <v>0</v>
      </c>
      <c r="V442" s="1">
        <f t="shared" si="148"/>
        <v>0</v>
      </c>
      <c r="W442" s="1">
        <f t="shared" si="149"/>
        <v>0</v>
      </c>
      <c r="X442" s="1">
        <f t="shared" si="150"/>
        <v>0</v>
      </c>
      <c r="Y442" s="1">
        <f t="shared" si="151"/>
        <v>0</v>
      </c>
      <c r="Z442" s="1">
        <f t="shared" si="152"/>
        <v>0</v>
      </c>
      <c r="AA442" s="1">
        <f t="shared" si="153"/>
        <v>0</v>
      </c>
      <c r="AB442" s="1">
        <f t="shared" si="154"/>
        <v>0</v>
      </c>
      <c r="AD442" s="1">
        <f t="shared" si="155"/>
        <v>1</v>
      </c>
      <c r="AE442" s="1">
        <f t="shared" si="156"/>
        <v>0</v>
      </c>
      <c r="AF442" s="1">
        <f t="shared" si="141"/>
        <v>1</v>
      </c>
      <c r="AG442" s="1">
        <f t="shared" si="142"/>
        <v>0</v>
      </c>
      <c r="AH442" s="1">
        <f t="shared" si="143"/>
        <v>1</v>
      </c>
      <c r="AI442" s="1">
        <f t="shared" si="144"/>
        <v>0</v>
      </c>
    </row>
    <row r="443" spans="1:35" ht="14.25" customHeight="1" x14ac:dyDescent="0.3">
      <c r="A443" s="47">
        <v>0</v>
      </c>
      <c r="B443" s="47">
        <v>2</v>
      </c>
      <c r="C443" s="47">
        <v>7</v>
      </c>
      <c r="D443" s="48" t="s">
        <v>519</v>
      </c>
      <c r="E443" s="48" t="s">
        <v>158</v>
      </c>
      <c r="F443" s="48" t="s">
        <v>579</v>
      </c>
      <c r="G443" s="48" t="s">
        <v>324</v>
      </c>
      <c r="H443" s="48" t="s">
        <v>357</v>
      </c>
      <c r="I443" s="47" t="s">
        <v>586</v>
      </c>
      <c r="J443" s="47">
        <v>99</v>
      </c>
      <c r="K443" s="49" t="s">
        <v>961</v>
      </c>
      <c r="L443" s="49" t="s">
        <v>729</v>
      </c>
      <c r="M443" s="50" t="s">
        <v>739</v>
      </c>
      <c r="N443" s="50" t="s">
        <v>1753</v>
      </c>
      <c r="O443" s="51"/>
      <c r="P443" s="51"/>
      <c r="Q443" s="48"/>
      <c r="S443" s="1">
        <f t="shared" si="145"/>
        <v>0</v>
      </c>
      <c r="T443" s="1">
        <f t="shared" si="146"/>
        <v>0</v>
      </c>
      <c r="U443" s="1">
        <f t="shared" si="147"/>
        <v>0</v>
      </c>
      <c r="V443" s="1">
        <f t="shared" si="148"/>
        <v>0</v>
      </c>
      <c r="W443" s="1">
        <f t="shared" si="149"/>
        <v>0</v>
      </c>
      <c r="X443" s="1">
        <f t="shared" si="150"/>
        <v>0</v>
      </c>
      <c r="Y443" s="1">
        <f t="shared" si="151"/>
        <v>0</v>
      </c>
      <c r="Z443" s="1">
        <f t="shared" si="152"/>
        <v>0</v>
      </c>
      <c r="AA443" s="1">
        <f t="shared" si="153"/>
        <v>0</v>
      </c>
      <c r="AB443" s="1">
        <f t="shared" si="154"/>
        <v>0</v>
      </c>
      <c r="AD443" s="1">
        <f t="shared" si="155"/>
        <v>0</v>
      </c>
      <c r="AE443" s="1">
        <f t="shared" si="156"/>
        <v>0</v>
      </c>
      <c r="AF443" s="1">
        <f t="shared" si="141"/>
        <v>0</v>
      </c>
      <c r="AG443" s="1">
        <f t="shared" si="142"/>
        <v>0</v>
      </c>
      <c r="AH443" s="1">
        <f t="shared" si="143"/>
        <v>0</v>
      </c>
      <c r="AI443" s="1">
        <f t="shared" si="144"/>
        <v>1</v>
      </c>
    </row>
    <row r="444" spans="1:35" ht="14.25" customHeight="1" x14ac:dyDescent="0.3">
      <c r="A444" s="47">
        <v>0</v>
      </c>
      <c r="B444" s="47">
        <v>2</v>
      </c>
      <c r="C444" s="47">
        <v>7</v>
      </c>
      <c r="D444" s="48" t="s">
        <v>75</v>
      </c>
      <c r="E444" s="48" t="s">
        <v>158</v>
      </c>
      <c r="F444" s="48" t="s">
        <v>681</v>
      </c>
      <c r="G444" s="48" t="s">
        <v>268</v>
      </c>
      <c r="H444" s="48" t="s">
        <v>357</v>
      </c>
      <c r="I444" s="47" t="s">
        <v>426</v>
      </c>
      <c r="J444" s="47">
        <v>99</v>
      </c>
      <c r="K444" s="49" t="s">
        <v>719</v>
      </c>
      <c r="L444" s="49" t="s">
        <v>736</v>
      </c>
      <c r="M444" s="50" t="s">
        <v>739</v>
      </c>
      <c r="N444" s="50" t="s">
        <v>1750</v>
      </c>
      <c r="O444" s="51"/>
      <c r="P444" s="51"/>
      <c r="Q444" s="48"/>
      <c r="S444" s="1">
        <f t="shared" si="145"/>
        <v>0</v>
      </c>
      <c r="T444" s="1">
        <f t="shared" si="146"/>
        <v>0</v>
      </c>
      <c r="U444" s="1">
        <f t="shared" si="147"/>
        <v>0</v>
      </c>
      <c r="V444" s="1">
        <f t="shared" si="148"/>
        <v>0</v>
      </c>
      <c r="W444" s="1">
        <f t="shared" si="149"/>
        <v>0</v>
      </c>
      <c r="X444" s="1">
        <f t="shared" si="150"/>
        <v>0</v>
      </c>
      <c r="Y444" s="1">
        <f t="shared" si="151"/>
        <v>0</v>
      </c>
      <c r="Z444" s="1">
        <f t="shared" si="152"/>
        <v>0</v>
      </c>
      <c r="AA444" s="1">
        <f t="shared" si="153"/>
        <v>0</v>
      </c>
      <c r="AB444" s="1">
        <f t="shared" si="154"/>
        <v>0</v>
      </c>
      <c r="AD444" s="1">
        <f t="shared" si="155"/>
        <v>0</v>
      </c>
      <c r="AE444" s="1">
        <f t="shared" si="156"/>
        <v>0</v>
      </c>
      <c r="AF444" s="1">
        <f t="shared" si="141"/>
        <v>0</v>
      </c>
      <c r="AG444" s="1">
        <f t="shared" si="142"/>
        <v>0</v>
      </c>
      <c r="AH444" s="1">
        <f t="shared" si="143"/>
        <v>0</v>
      </c>
      <c r="AI444" s="1">
        <f t="shared" si="144"/>
        <v>1</v>
      </c>
    </row>
    <row r="445" spans="1:35" ht="14.25" customHeight="1" x14ac:dyDescent="0.3">
      <c r="A445" s="15">
        <v>0</v>
      </c>
      <c r="B445" s="15">
        <v>2</v>
      </c>
      <c r="C445" s="15">
        <v>7</v>
      </c>
      <c r="D445" s="20" t="s">
        <v>1873</v>
      </c>
      <c r="E445" s="16" t="s">
        <v>158</v>
      </c>
      <c r="F445" s="20" t="s">
        <v>1874</v>
      </c>
      <c r="G445" s="20" t="s">
        <v>286</v>
      </c>
      <c r="H445" s="20" t="s">
        <v>357</v>
      </c>
      <c r="I445" s="21" t="s">
        <v>1875</v>
      </c>
      <c r="J445" s="15">
        <v>99</v>
      </c>
      <c r="K445" s="10" t="s">
        <v>710</v>
      </c>
      <c r="L445" s="10" t="s">
        <v>729</v>
      </c>
      <c r="M445" s="19" t="s">
        <v>739</v>
      </c>
      <c r="N445" s="19"/>
      <c r="Q445" s="20"/>
      <c r="S445" s="1">
        <f t="shared" si="145"/>
        <v>0</v>
      </c>
      <c r="T445" s="1">
        <f t="shared" si="146"/>
        <v>0</v>
      </c>
      <c r="U445" s="1">
        <f t="shared" si="147"/>
        <v>0</v>
      </c>
      <c r="V445" s="1">
        <f t="shared" si="148"/>
        <v>0</v>
      </c>
      <c r="W445" s="1">
        <f t="shared" si="149"/>
        <v>0</v>
      </c>
      <c r="X445" s="1">
        <f t="shared" si="150"/>
        <v>0</v>
      </c>
      <c r="Y445" s="1">
        <f t="shared" si="151"/>
        <v>0</v>
      </c>
      <c r="Z445" s="1">
        <f t="shared" si="152"/>
        <v>0</v>
      </c>
      <c r="AA445" s="1">
        <f t="shared" si="153"/>
        <v>0</v>
      </c>
      <c r="AB445" s="1">
        <f t="shared" si="154"/>
        <v>0</v>
      </c>
      <c r="AD445" s="1">
        <f t="shared" ref="AD445:AD446" si="157">+O445*P445</f>
        <v>0</v>
      </c>
      <c r="AE445" s="1">
        <f t="shared" ref="AE445:AE446" si="158">O445*(1-P445)</f>
        <v>0</v>
      </c>
      <c r="AF445" s="1">
        <f t="shared" si="141"/>
        <v>0</v>
      </c>
      <c r="AG445" s="1">
        <f t="shared" si="142"/>
        <v>0</v>
      </c>
      <c r="AH445" s="1">
        <f t="shared" si="143"/>
        <v>0</v>
      </c>
      <c r="AI445" s="1">
        <f t="shared" si="144"/>
        <v>1</v>
      </c>
    </row>
    <row r="446" spans="1:35" ht="14.25" customHeight="1" x14ac:dyDescent="0.3">
      <c r="A446" s="34">
        <v>0</v>
      </c>
      <c r="B446" s="34">
        <v>2</v>
      </c>
      <c r="C446" s="34">
        <v>7</v>
      </c>
      <c r="D446" s="35" t="s">
        <v>60</v>
      </c>
      <c r="E446" s="35" t="s">
        <v>165</v>
      </c>
      <c r="F446" s="35" t="s">
        <v>229</v>
      </c>
      <c r="G446" s="35" t="s">
        <v>192</v>
      </c>
      <c r="H446" s="35" t="s">
        <v>357</v>
      </c>
      <c r="I446" s="34" t="s">
        <v>402</v>
      </c>
      <c r="J446" s="34">
        <v>99</v>
      </c>
      <c r="K446" s="36" t="s">
        <v>720</v>
      </c>
      <c r="L446" s="36" t="s">
        <v>729</v>
      </c>
      <c r="M446" s="37" t="s">
        <v>739</v>
      </c>
      <c r="N446" s="37" t="s">
        <v>1763</v>
      </c>
      <c r="O446" s="38">
        <v>1</v>
      </c>
      <c r="P446" s="38"/>
      <c r="Q446" s="35"/>
      <c r="S446" s="1">
        <f t="shared" si="145"/>
        <v>0</v>
      </c>
      <c r="T446" s="1">
        <f t="shared" si="146"/>
        <v>0</v>
      </c>
      <c r="U446" s="1">
        <f t="shared" si="147"/>
        <v>0</v>
      </c>
      <c r="V446" s="1">
        <f t="shared" si="148"/>
        <v>0</v>
      </c>
      <c r="W446" s="1">
        <f t="shared" si="149"/>
        <v>0</v>
      </c>
      <c r="X446" s="1">
        <f t="shared" si="150"/>
        <v>0</v>
      </c>
      <c r="Y446" s="1">
        <f t="shared" si="151"/>
        <v>0</v>
      </c>
      <c r="Z446" s="1">
        <f t="shared" si="152"/>
        <v>0</v>
      </c>
      <c r="AA446" s="1">
        <f t="shared" si="153"/>
        <v>0</v>
      </c>
      <c r="AB446" s="1">
        <f t="shared" si="154"/>
        <v>0</v>
      </c>
      <c r="AD446" s="1">
        <f t="shared" si="157"/>
        <v>0</v>
      </c>
      <c r="AE446" s="1">
        <f t="shared" si="158"/>
        <v>1</v>
      </c>
      <c r="AF446" s="1">
        <f t="shared" si="141"/>
        <v>0</v>
      </c>
      <c r="AG446" s="1">
        <f t="shared" si="142"/>
        <v>1</v>
      </c>
      <c r="AH446" s="1">
        <f t="shared" si="143"/>
        <v>0</v>
      </c>
      <c r="AI446" s="1">
        <f t="shared" si="144"/>
        <v>1</v>
      </c>
    </row>
    <row r="447" spans="1:35" ht="14.25" customHeight="1" x14ac:dyDescent="0.3">
      <c r="A447" s="47">
        <v>0</v>
      </c>
      <c r="B447" s="47">
        <v>2</v>
      </c>
      <c r="C447" s="47">
        <v>7</v>
      </c>
      <c r="D447" s="48" t="s">
        <v>72</v>
      </c>
      <c r="E447" s="48" t="s">
        <v>28</v>
      </c>
      <c r="F447" s="48" t="s">
        <v>261</v>
      </c>
      <c r="G447" s="48" t="s">
        <v>262</v>
      </c>
      <c r="H447" s="48" t="s">
        <v>357</v>
      </c>
      <c r="I447" s="47" t="s">
        <v>422</v>
      </c>
      <c r="J447" s="47">
        <v>99</v>
      </c>
      <c r="K447" s="49" t="s">
        <v>710</v>
      </c>
      <c r="L447" s="49" t="s">
        <v>720</v>
      </c>
      <c r="M447" s="50" t="s">
        <v>738</v>
      </c>
      <c r="N447" s="50" t="s">
        <v>1817</v>
      </c>
      <c r="O447" s="51"/>
      <c r="P447" s="51"/>
      <c r="Q447" s="48"/>
      <c r="S447" s="1">
        <f t="shared" si="145"/>
        <v>0</v>
      </c>
      <c r="T447" s="1">
        <f t="shared" si="146"/>
        <v>0</v>
      </c>
      <c r="U447" s="1">
        <f t="shared" si="147"/>
        <v>0</v>
      </c>
      <c r="V447" s="1">
        <f t="shared" si="148"/>
        <v>0</v>
      </c>
      <c r="W447" s="1">
        <f t="shared" si="149"/>
        <v>0</v>
      </c>
      <c r="X447" s="1">
        <f t="shared" si="150"/>
        <v>0</v>
      </c>
      <c r="Y447" s="1">
        <f t="shared" si="151"/>
        <v>0</v>
      </c>
      <c r="Z447" s="1">
        <f t="shared" si="152"/>
        <v>0</v>
      </c>
      <c r="AA447" s="1">
        <f t="shared" si="153"/>
        <v>0</v>
      </c>
      <c r="AB447" s="1">
        <f t="shared" si="154"/>
        <v>0</v>
      </c>
      <c r="AD447" s="1">
        <f t="shared" si="155"/>
        <v>0</v>
      </c>
      <c r="AE447" s="1">
        <f t="shared" si="156"/>
        <v>0</v>
      </c>
      <c r="AF447" s="1">
        <f t="shared" si="141"/>
        <v>0</v>
      </c>
      <c r="AG447" s="1">
        <f t="shared" si="142"/>
        <v>0</v>
      </c>
      <c r="AH447" s="1">
        <f t="shared" si="143"/>
        <v>0</v>
      </c>
      <c r="AI447" s="1">
        <f t="shared" si="144"/>
        <v>1</v>
      </c>
    </row>
    <row r="448" spans="1:35" ht="14.25" customHeight="1" x14ac:dyDescent="0.3">
      <c r="A448" s="34">
        <v>0</v>
      </c>
      <c r="B448" s="34">
        <v>2</v>
      </c>
      <c r="C448" s="34">
        <v>7</v>
      </c>
      <c r="D448" s="35" t="s">
        <v>1343</v>
      </c>
      <c r="E448" s="35" t="s">
        <v>158</v>
      </c>
      <c r="F448" s="35" t="s">
        <v>1155</v>
      </c>
      <c r="G448" s="35" t="s">
        <v>194</v>
      </c>
      <c r="H448" s="35" t="s">
        <v>357</v>
      </c>
      <c r="I448" s="34" t="s">
        <v>1383</v>
      </c>
      <c r="J448" s="34">
        <v>99</v>
      </c>
      <c r="K448" s="36" t="s">
        <v>719</v>
      </c>
      <c r="L448" s="36" t="s">
        <v>39</v>
      </c>
      <c r="M448" s="37" t="s">
        <v>39</v>
      </c>
      <c r="N448" s="37" t="s">
        <v>1742</v>
      </c>
      <c r="O448" s="38">
        <v>1</v>
      </c>
      <c r="P448" s="38">
        <v>1</v>
      </c>
      <c r="Q448" s="35"/>
      <c r="S448" s="1">
        <f t="shared" si="145"/>
        <v>0</v>
      </c>
      <c r="T448" s="1">
        <f t="shared" si="146"/>
        <v>0</v>
      </c>
      <c r="U448" s="1">
        <f t="shared" si="147"/>
        <v>0</v>
      </c>
      <c r="V448" s="1">
        <f t="shared" si="148"/>
        <v>0</v>
      </c>
      <c r="W448" s="1">
        <f t="shared" si="149"/>
        <v>0</v>
      </c>
      <c r="X448" s="1">
        <f t="shared" si="150"/>
        <v>0</v>
      </c>
      <c r="Y448" s="1">
        <f t="shared" si="151"/>
        <v>0</v>
      </c>
      <c r="Z448" s="1">
        <f t="shared" si="152"/>
        <v>0</v>
      </c>
      <c r="AA448" s="1">
        <f t="shared" si="153"/>
        <v>0</v>
      </c>
      <c r="AB448" s="1">
        <f t="shared" si="154"/>
        <v>0</v>
      </c>
      <c r="AD448" s="1">
        <f t="shared" si="155"/>
        <v>1</v>
      </c>
      <c r="AE448" s="1">
        <f t="shared" si="156"/>
        <v>0</v>
      </c>
      <c r="AF448" s="1">
        <f t="shared" si="141"/>
        <v>1</v>
      </c>
      <c r="AG448" s="1">
        <f t="shared" si="142"/>
        <v>0</v>
      </c>
      <c r="AH448" s="1">
        <f t="shared" si="143"/>
        <v>1</v>
      </c>
      <c r="AI448" s="1">
        <f t="shared" si="144"/>
        <v>0</v>
      </c>
    </row>
    <row r="449" spans="1:35" ht="14.25" customHeight="1" x14ac:dyDescent="0.3">
      <c r="A449" s="34">
        <v>0</v>
      </c>
      <c r="B449" s="34">
        <v>2</v>
      </c>
      <c r="C449" s="34">
        <v>7</v>
      </c>
      <c r="D449" s="35" t="s">
        <v>594</v>
      </c>
      <c r="E449" s="35" t="s">
        <v>1351</v>
      </c>
      <c r="F449" s="35" t="s">
        <v>682</v>
      </c>
      <c r="G449" s="35" t="s">
        <v>242</v>
      </c>
      <c r="H449" s="35" t="s">
        <v>357</v>
      </c>
      <c r="I449" s="34" t="s">
        <v>408</v>
      </c>
      <c r="J449" s="34">
        <v>1</v>
      </c>
      <c r="K449" s="36" t="s">
        <v>720</v>
      </c>
      <c r="L449" s="36" t="s">
        <v>1726</v>
      </c>
      <c r="M449" s="37" t="s">
        <v>1454</v>
      </c>
      <c r="N449" s="37" t="s">
        <v>1763</v>
      </c>
      <c r="O449" s="38">
        <v>1</v>
      </c>
      <c r="P449" s="38"/>
      <c r="Q449" s="35"/>
      <c r="S449" s="1">
        <f t="shared" si="145"/>
        <v>1</v>
      </c>
      <c r="T449" s="1">
        <f t="shared" si="146"/>
        <v>0</v>
      </c>
      <c r="U449" s="1">
        <f t="shared" si="147"/>
        <v>0</v>
      </c>
      <c r="V449" s="1">
        <f t="shared" si="148"/>
        <v>0</v>
      </c>
      <c r="W449" s="1">
        <f t="shared" si="149"/>
        <v>0</v>
      </c>
      <c r="X449" s="1">
        <f t="shared" si="150"/>
        <v>0</v>
      </c>
      <c r="Y449" s="1">
        <f t="shared" si="151"/>
        <v>0</v>
      </c>
      <c r="Z449" s="1">
        <f t="shared" si="152"/>
        <v>0</v>
      </c>
      <c r="AA449" s="1">
        <f t="shared" si="153"/>
        <v>0</v>
      </c>
      <c r="AB449" s="1">
        <f t="shared" si="154"/>
        <v>0</v>
      </c>
      <c r="AD449" s="1">
        <f t="shared" si="155"/>
        <v>0</v>
      </c>
      <c r="AE449" s="1">
        <f t="shared" si="156"/>
        <v>1</v>
      </c>
      <c r="AF449" s="1">
        <f t="shared" si="141"/>
        <v>0</v>
      </c>
      <c r="AG449" s="1">
        <f t="shared" si="142"/>
        <v>1</v>
      </c>
      <c r="AH449" s="1">
        <f t="shared" si="143"/>
        <v>0</v>
      </c>
      <c r="AI449" s="1">
        <f t="shared" si="144"/>
        <v>1</v>
      </c>
    </row>
    <row r="450" spans="1:35" ht="14.25" customHeight="1" x14ac:dyDescent="0.3">
      <c r="A450" s="34">
        <v>1</v>
      </c>
      <c r="B450" s="34">
        <v>2</v>
      </c>
      <c r="C450" s="34">
        <v>7</v>
      </c>
      <c r="D450" s="35" t="s">
        <v>594</v>
      </c>
      <c r="E450" s="35" t="s">
        <v>1351</v>
      </c>
      <c r="F450" s="35" t="s">
        <v>241</v>
      </c>
      <c r="G450" s="35" t="s">
        <v>180</v>
      </c>
      <c r="H450" s="35" t="s">
        <v>357</v>
      </c>
      <c r="I450" s="34" t="s">
        <v>407</v>
      </c>
      <c r="J450" s="34">
        <v>1</v>
      </c>
      <c r="K450" s="36" t="s">
        <v>720</v>
      </c>
      <c r="L450" s="36" t="s">
        <v>1726</v>
      </c>
      <c r="M450" s="37" t="s">
        <v>1454</v>
      </c>
      <c r="N450" s="37" t="s">
        <v>1763</v>
      </c>
      <c r="O450" s="38">
        <v>1</v>
      </c>
      <c r="P450" s="38"/>
      <c r="Q450" s="39" t="s">
        <v>1926</v>
      </c>
      <c r="S450" s="1">
        <f t="shared" si="145"/>
        <v>1</v>
      </c>
      <c r="T450" s="1">
        <f t="shared" si="146"/>
        <v>0</v>
      </c>
      <c r="U450" s="1">
        <f t="shared" si="147"/>
        <v>0</v>
      </c>
      <c r="V450" s="1">
        <f t="shared" si="148"/>
        <v>0</v>
      </c>
      <c r="W450" s="1">
        <f t="shared" si="149"/>
        <v>0</v>
      </c>
      <c r="X450" s="1">
        <f t="shared" si="150"/>
        <v>0</v>
      </c>
      <c r="Y450" s="1">
        <f t="shared" si="151"/>
        <v>0</v>
      </c>
      <c r="Z450" s="1">
        <f t="shared" si="152"/>
        <v>0</v>
      </c>
      <c r="AA450" s="1">
        <f t="shared" si="153"/>
        <v>0</v>
      </c>
      <c r="AB450" s="1">
        <f t="shared" si="154"/>
        <v>0</v>
      </c>
      <c r="AD450" s="1">
        <f t="shared" si="155"/>
        <v>0</v>
      </c>
      <c r="AE450" s="1">
        <f t="shared" si="156"/>
        <v>1</v>
      </c>
      <c r="AF450" s="1">
        <f t="shared" si="141"/>
        <v>0</v>
      </c>
      <c r="AG450" s="1">
        <f t="shared" si="142"/>
        <v>0</v>
      </c>
      <c r="AH450" s="1">
        <f t="shared" si="143"/>
        <v>0</v>
      </c>
      <c r="AI450" s="1">
        <f t="shared" si="144"/>
        <v>0</v>
      </c>
    </row>
    <row r="451" spans="1:35" ht="14.25" customHeight="1" x14ac:dyDescent="0.3">
      <c r="A451" s="34">
        <v>0</v>
      </c>
      <c r="B451" s="34">
        <v>2</v>
      </c>
      <c r="C451" s="34">
        <v>7</v>
      </c>
      <c r="D451" s="35" t="s">
        <v>1344</v>
      </c>
      <c r="E451" s="35" t="s">
        <v>158</v>
      </c>
      <c r="F451" s="35" t="s">
        <v>1370</v>
      </c>
      <c r="G451" s="35" t="s">
        <v>260</v>
      </c>
      <c r="H451" s="35" t="s">
        <v>357</v>
      </c>
      <c r="I451" s="34" t="s">
        <v>1253</v>
      </c>
      <c r="J451" s="34">
        <v>8</v>
      </c>
      <c r="K451" s="36" t="s">
        <v>962</v>
      </c>
      <c r="L451" s="36" t="s">
        <v>729</v>
      </c>
      <c r="M451" s="37" t="s">
        <v>739</v>
      </c>
      <c r="N451" s="37" t="s">
        <v>1763</v>
      </c>
      <c r="O451" s="38">
        <v>1</v>
      </c>
      <c r="P451" s="38"/>
      <c r="Q451" s="35"/>
      <c r="S451" s="1">
        <f t="shared" si="145"/>
        <v>0</v>
      </c>
      <c r="T451" s="1">
        <f t="shared" si="146"/>
        <v>0</v>
      </c>
      <c r="U451" s="1">
        <f t="shared" si="147"/>
        <v>0</v>
      </c>
      <c r="V451" s="1">
        <f t="shared" si="148"/>
        <v>0</v>
      </c>
      <c r="W451" s="1">
        <f t="shared" si="149"/>
        <v>0</v>
      </c>
      <c r="X451" s="1">
        <f t="shared" si="150"/>
        <v>0</v>
      </c>
      <c r="Y451" s="1">
        <f t="shared" si="151"/>
        <v>0</v>
      </c>
      <c r="Z451" s="1">
        <f t="shared" si="152"/>
        <v>1</v>
      </c>
      <c r="AA451" s="1">
        <f t="shared" si="153"/>
        <v>0</v>
      </c>
      <c r="AB451" s="1">
        <f t="shared" si="154"/>
        <v>0</v>
      </c>
      <c r="AD451" s="1">
        <f t="shared" si="155"/>
        <v>0</v>
      </c>
      <c r="AE451" s="1">
        <f t="shared" si="156"/>
        <v>1</v>
      </c>
      <c r="AF451" s="1">
        <f t="shared" si="141"/>
        <v>0</v>
      </c>
      <c r="AG451" s="1">
        <f t="shared" si="142"/>
        <v>1</v>
      </c>
      <c r="AH451" s="1">
        <f t="shared" si="143"/>
        <v>0</v>
      </c>
      <c r="AI451" s="1">
        <f t="shared" si="144"/>
        <v>1</v>
      </c>
    </row>
    <row r="452" spans="1:35" ht="14.25" customHeight="1" x14ac:dyDescent="0.3">
      <c r="A452" s="34">
        <v>1</v>
      </c>
      <c r="B452" s="34">
        <v>2</v>
      </c>
      <c r="C452" s="34">
        <v>7</v>
      </c>
      <c r="D452" s="35" t="s">
        <v>1344</v>
      </c>
      <c r="E452" s="35" t="s">
        <v>158</v>
      </c>
      <c r="F452" s="35" t="s">
        <v>1232</v>
      </c>
      <c r="G452" s="35" t="s">
        <v>220</v>
      </c>
      <c r="H452" s="35" t="s">
        <v>357</v>
      </c>
      <c r="I452" s="34" t="s">
        <v>1253</v>
      </c>
      <c r="J452" s="34">
        <v>99</v>
      </c>
      <c r="K452" s="36" t="s">
        <v>962</v>
      </c>
      <c r="L452" s="36" t="s">
        <v>729</v>
      </c>
      <c r="M452" s="37" t="s">
        <v>739</v>
      </c>
      <c r="N452" s="37" t="s">
        <v>1763</v>
      </c>
      <c r="O452" s="38">
        <v>1</v>
      </c>
      <c r="P452" s="38"/>
      <c r="Q452" s="35"/>
      <c r="S452" s="1">
        <f t="shared" si="145"/>
        <v>0</v>
      </c>
      <c r="T452" s="1">
        <f t="shared" si="146"/>
        <v>0</v>
      </c>
      <c r="U452" s="1">
        <f t="shared" si="147"/>
        <v>0</v>
      </c>
      <c r="V452" s="1">
        <f t="shared" si="148"/>
        <v>0</v>
      </c>
      <c r="W452" s="1">
        <f t="shared" si="149"/>
        <v>0</v>
      </c>
      <c r="X452" s="1">
        <f t="shared" si="150"/>
        <v>0</v>
      </c>
      <c r="Y452" s="1">
        <f t="shared" si="151"/>
        <v>0</v>
      </c>
      <c r="Z452" s="1">
        <f t="shared" si="152"/>
        <v>0</v>
      </c>
      <c r="AA452" s="1">
        <f t="shared" si="153"/>
        <v>0</v>
      </c>
      <c r="AB452" s="1">
        <f t="shared" si="154"/>
        <v>0</v>
      </c>
      <c r="AD452" s="1">
        <f t="shared" si="155"/>
        <v>0</v>
      </c>
      <c r="AE452" s="1">
        <f t="shared" si="156"/>
        <v>1</v>
      </c>
      <c r="AF452" s="1">
        <f t="shared" si="141"/>
        <v>0</v>
      </c>
      <c r="AG452" s="1">
        <f t="shared" si="142"/>
        <v>0</v>
      </c>
      <c r="AH452" s="1">
        <f t="shared" si="143"/>
        <v>0</v>
      </c>
      <c r="AI452" s="1">
        <f t="shared" si="144"/>
        <v>0</v>
      </c>
    </row>
    <row r="453" spans="1:35" ht="14.25" customHeight="1" x14ac:dyDescent="0.3">
      <c r="A453" s="47">
        <v>0</v>
      </c>
      <c r="B453" s="47">
        <v>2</v>
      </c>
      <c r="C453" s="47">
        <v>7</v>
      </c>
      <c r="D453" s="48" t="s">
        <v>1262</v>
      </c>
      <c r="E453" s="48" t="s">
        <v>158</v>
      </c>
      <c r="F453" s="48" t="s">
        <v>1264</v>
      </c>
      <c r="G453" s="48" t="s">
        <v>222</v>
      </c>
      <c r="H453" s="48" t="s">
        <v>357</v>
      </c>
      <c r="I453" s="47" t="s">
        <v>1384</v>
      </c>
      <c r="J453" s="47">
        <v>8</v>
      </c>
      <c r="K453" s="49" t="s">
        <v>961</v>
      </c>
      <c r="L453" s="49" t="s">
        <v>729</v>
      </c>
      <c r="M453" s="50" t="s">
        <v>739</v>
      </c>
      <c r="N453" s="50" t="s">
        <v>1750</v>
      </c>
      <c r="O453" s="51"/>
      <c r="P453" s="51"/>
      <c r="Q453" s="48"/>
      <c r="S453" s="1">
        <f t="shared" si="145"/>
        <v>0</v>
      </c>
      <c r="T453" s="1">
        <f t="shared" si="146"/>
        <v>0</v>
      </c>
      <c r="U453" s="1">
        <f t="shared" si="147"/>
        <v>0</v>
      </c>
      <c r="V453" s="1">
        <f t="shared" si="148"/>
        <v>0</v>
      </c>
      <c r="W453" s="1">
        <f t="shared" si="149"/>
        <v>0</v>
      </c>
      <c r="X453" s="1">
        <f t="shared" si="150"/>
        <v>0</v>
      </c>
      <c r="Y453" s="1">
        <f t="shared" si="151"/>
        <v>0</v>
      </c>
      <c r="Z453" s="1">
        <f t="shared" si="152"/>
        <v>1</v>
      </c>
      <c r="AA453" s="1">
        <f t="shared" si="153"/>
        <v>0</v>
      </c>
      <c r="AB453" s="1">
        <f t="shared" si="154"/>
        <v>0</v>
      </c>
      <c r="AD453" s="1">
        <f t="shared" si="155"/>
        <v>0</v>
      </c>
      <c r="AE453" s="1">
        <f t="shared" si="156"/>
        <v>0</v>
      </c>
      <c r="AF453" s="1">
        <f t="shared" si="141"/>
        <v>0</v>
      </c>
      <c r="AG453" s="1">
        <f t="shared" si="142"/>
        <v>0</v>
      </c>
      <c r="AH453" s="1">
        <f t="shared" si="143"/>
        <v>0</v>
      </c>
      <c r="AI453" s="1">
        <f t="shared" si="144"/>
        <v>1</v>
      </c>
    </row>
    <row r="454" spans="1:35" ht="14.25" customHeight="1" x14ac:dyDescent="0.3">
      <c r="A454" s="47">
        <v>1</v>
      </c>
      <c r="B454" s="47">
        <v>2</v>
      </c>
      <c r="C454" s="47">
        <v>7</v>
      </c>
      <c r="D454" s="48" t="s">
        <v>1262</v>
      </c>
      <c r="E454" s="48" t="s">
        <v>158</v>
      </c>
      <c r="F454" s="48" t="s">
        <v>1371</v>
      </c>
      <c r="G454" s="48" t="s">
        <v>39</v>
      </c>
      <c r="H454" s="48" t="s">
        <v>358</v>
      </c>
      <c r="I454" s="47" t="s">
        <v>1263</v>
      </c>
      <c r="J454" s="47">
        <v>99</v>
      </c>
      <c r="K454" s="49" t="s">
        <v>961</v>
      </c>
      <c r="L454" s="49" t="s">
        <v>729</v>
      </c>
      <c r="M454" s="50" t="s">
        <v>739</v>
      </c>
      <c r="N454" s="50" t="s">
        <v>1750</v>
      </c>
      <c r="O454" s="51"/>
      <c r="P454" s="51"/>
      <c r="Q454" s="68" t="s">
        <v>1919</v>
      </c>
      <c r="S454" s="1">
        <f t="shared" si="145"/>
        <v>0</v>
      </c>
      <c r="T454" s="1">
        <f t="shared" si="146"/>
        <v>0</v>
      </c>
      <c r="U454" s="1">
        <f t="shared" si="147"/>
        <v>0</v>
      </c>
      <c r="V454" s="1">
        <f t="shared" si="148"/>
        <v>0</v>
      </c>
      <c r="W454" s="1">
        <f t="shared" si="149"/>
        <v>0</v>
      </c>
      <c r="X454" s="1">
        <f t="shared" si="150"/>
        <v>0</v>
      </c>
      <c r="Y454" s="1">
        <f t="shared" si="151"/>
        <v>0</v>
      </c>
      <c r="Z454" s="1">
        <f t="shared" si="152"/>
        <v>0</v>
      </c>
      <c r="AA454" s="1">
        <f t="shared" si="153"/>
        <v>0</v>
      </c>
      <c r="AB454" s="1">
        <f t="shared" si="154"/>
        <v>0</v>
      </c>
      <c r="AD454" s="1">
        <f t="shared" si="155"/>
        <v>0</v>
      </c>
      <c r="AE454" s="1">
        <f t="shared" si="156"/>
        <v>0</v>
      </c>
      <c r="AF454" s="1">
        <f t="shared" si="141"/>
        <v>0</v>
      </c>
      <c r="AG454" s="1">
        <f t="shared" si="142"/>
        <v>0</v>
      </c>
      <c r="AH454" s="1">
        <f t="shared" si="143"/>
        <v>0</v>
      </c>
      <c r="AI454" s="1">
        <f t="shared" si="144"/>
        <v>0</v>
      </c>
    </row>
    <row r="455" spans="1:35" ht="14.25" customHeight="1" x14ac:dyDescent="0.3">
      <c r="A455" s="47">
        <v>1</v>
      </c>
      <c r="B455" s="47">
        <v>2</v>
      </c>
      <c r="C455" s="47">
        <v>7</v>
      </c>
      <c r="D455" s="48" t="s">
        <v>1262</v>
      </c>
      <c r="E455" s="48" t="s">
        <v>158</v>
      </c>
      <c r="F455" s="48" t="s">
        <v>1538</v>
      </c>
      <c r="G455" s="48" t="s">
        <v>237</v>
      </c>
      <c r="H455" s="48" t="s">
        <v>357</v>
      </c>
      <c r="I455" s="47" t="s">
        <v>1706</v>
      </c>
      <c r="J455" s="47">
        <v>99</v>
      </c>
      <c r="K455" s="49" t="s">
        <v>961</v>
      </c>
      <c r="L455" s="49" t="s">
        <v>729</v>
      </c>
      <c r="M455" s="50" t="s">
        <v>739</v>
      </c>
      <c r="N455" s="50" t="s">
        <v>1750</v>
      </c>
      <c r="O455" s="51"/>
      <c r="P455" s="51"/>
      <c r="Q455" s="48"/>
      <c r="S455" s="1">
        <f t="shared" si="145"/>
        <v>0</v>
      </c>
      <c r="T455" s="1">
        <f t="shared" si="146"/>
        <v>0</v>
      </c>
      <c r="U455" s="1">
        <f t="shared" si="147"/>
        <v>0</v>
      </c>
      <c r="V455" s="1">
        <f t="shared" si="148"/>
        <v>0</v>
      </c>
      <c r="W455" s="1">
        <f t="shared" si="149"/>
        <v>0</v>
      </c>
      <c r="X455" s="1">
        <f t="shared" si="150"/>
        <v>0</v>
      </c>
      <c r="Y455" s="1">
        <f t="shared" si="151"/>
        <v>0</v>
      </c>
      <c r="Z455" s="1">
        <f t="shared" si="152"/>
        <v>0</v>
      </c>
      <c r="AA455" s="1">
        <f t="shared" si="153"/>
        <v>0</v>
      </c>
      <c r="AB455" s="1">
        <f t="shared" si="154"/>
        <v>0</v>
      </c>
      <c r="AD455" s="1">
        <f t="shared" ref="AD455:AD458" si="159">+O455*P455</f>
        <v>0</v>
      </c>
      <c r="AE455" s="1">
        <f t="shared" ref="AE455:AE458" si="160">O455*(1-P455)</f>
        <v>0</v>
      </c>
      <c r="AF455" s="1">
        <f t="shared" si="141"/>
        <v>0</v>
      </c>
      <c r="AG455" s="1">
        <f t="shared" si="142"/>
        <v>0</v>
      </c>
      <c r="AH455" s="1">
        <f t="shared" si="143"/>
        <v>0</v>
      </c>
      <c r="AI455" s="1">
        <f t="shared" si="144"/>
        <v>0</v>
      </c>
    </row>
    <row r="456" spans="1:35" ht="14.25" customHeight="1" x14ac:dyDescent="0.3">
      <c r="A456" s="34">
        <v>0</v>
      </c>
      <c r="B456" s="34">
        <v>2</v>
      </c>
      <c r="C456" s="34">
        <v>7</v>
      </c>
      <c r="D456" s="35" t="s">
        <v>1865</v>
      </c>
      <c r="E456" s="35" t="s">
        <v>1866</v>
      </c>
      <c r="F456" s="35" t="s">
        <v>1867</v>
      </c>
      <c r="G456" s="35" t="s">
        <v>268</v>
      </c>
      <c r="H456" s="35" t="s">
        <v>357</v>
      </c>
      <c r="I456" s="34" t="s">
        <v>1868</v>
      </c>
      <c r="J456" s="34">
        <v>99</v>
      </c>
      <c r="K456" s="36" t="s">
        <v>710</v>
      </c>
      <c r="L456" s="36"/>
      <c r="M456" s="37"/>
      <c r="N456" s="37" t="s">
        <v>1742</v>
      </c>
      <c r="O456" s="38">
        <v>1</v>
      </c>
      <c r="P456" s="38">
        <v>1</v>
      </c>
      <c r="Q456" s="35"/>
      <c r="S456" s="1">
        <f t="shared" si="145"/>
        <v>0</v>
      </c>
      <c r="T456" s="1">
        <f t="shared" si="146"/>
        <v>0</v>
      </c>
      <c r="U456" s="1">
        <f t="shared" si="147"/>
        <v>0</v>
      </c>
      <c r="V456" s="1">
        <f t="shared" si="148"/>
        <v>0</v>
      </c>
      <c r="W456" s="1">
        <f t="shared" si="149"/>
        <v>0</v>
      </c>
      <c r="X456" s="1">
        <f t="shared" si="150"/>
        <v>0</v>
      </c>
      <c r="Y456" s="1">
        <f t="shared" si="151"/>
        <v>0</v>
      </c>
      <c r="Z456" s="1">
        <f t="shared" si="152"/>
        <v>0</v>
      </c>
      <c r="AA456" s="1">
        <f t="shared" si="153"/>
        <v>0</v>
      </c>
      <c r="AB456" s="1">
        <f t="shared" si="154"/>
        <v>0</v>
      </c>
      <c r="AD456" s="1">
        <f t="shared" si="159"/>
        <v>1</v>
      </c>
      <c r="AE456" s="1">
        <f t="shared" si="160"/>
        <v>0</v>
      </c>
      <c r="AF456" s="1">
        <f t="shared" si="141"/>
        <v>1</v>
      </c>
      <c r="AG456" s="1">
        <f t="shared" si="142"/>
        <v>0</v>
      </c>
      <c r="AH456" s="1">
        <f t="shared" si="143"/>
        <v>1</v>
      </c>
      <c r="AI456" s="1">
        <f t="shared" si="144"/>
        <v>0</v>
      </c>
    </row>
    <row r="457" spans="1:35" ht="14.25" customHeight="1" x14ac:dyDescent="0.3">
      <c r="A457" s="47">
        <v>0</v>
      </c>
      <c r="B457" s="47">
        <v>2</v>
      </c>
      <c r="C457" s="47">
        <v>7</v>
      </c>
      <c r="D457" s="48" t="s">
        <v>1257</v>
      </c>
      <c r="E457" s="48" t="s">
        <v>28</v>
      </c>
      <c r="F457" s="48" t="s">
        <v>1250</v>
      </c>
      <c r="G457" s="48" t="s">
        <v>1251</v>
      </c>
      <c r="H457" s="48" t="s">
        <v>357</v>
      </c>
      <c r="I457" s="47" t="s">
        <v>1252</v>
      </c>
      <c r="J457" s="47">
        <v>99</v>
      </c>
      <c r="K457" s="49" t="s">
        <v>719</v>
      </c>
      <c r="L457" s="49" t="s">
        <v>720</v>
      </c>
      <c r="M457" s="50" t="s">
        <v>738</v>
      </c>
      <c r="N457" s="50" t="s">
        <v>1750</v>
      </c>
      <c r="O457" s="51"/>
      <c r="P457" s="51"/>
      <c r="Q457" s="48"/>
      <c r="S457" s="1">
        <f t="shared" si="145"/>
        <v>0</v>
      </c>
      <c r="T457" s="1">
        <f t="shared" si="146"/>
        <v>0</v>
      </c>
      <c r="U457" s="1">
        <f t="shared" si="147"/>
        <v>0</v>
      </c>
      <c r="V457" s="1">
        <f t="shared" si="148"/>
        <v>0</v>
      </c>
      <c r="W457" s="1">
        <f t="shared" si="149"/>
        <v>0</v>
      </c>
      <c r="X457" s="1">
        <f t="shared" si="150"/>
        <v>0</v>
      </c>
      <c r="Y457" s="1">
        <f t="shared" si="151"/>
        <v>0</v>
      </c>
      <c r="Z457" s="1">
        <f t="shared" si="152"/>
        <v>0</v>
      </c>
      <c r="AA457" s="1">
        <f t="shared" si="153"/>
        <v>0</v>
      </c>
      <c r="AB457" s="1">
        <f t="shared" si="154"/>
        <v>0</v>
      </c>
      <c r="AD457" s="1">
        <f t="shared" si="159"/>
        <v>0</v>
      </c>
      <c r="AE457" s="1">
        <f t="shared" si="160"/>
        <v>0</v>
      </c>
      <c r="AF457" s="1">
        <f t="shared" ref="AF457:AF466" si="161">+O457*P457*(1-A457)</f>
        <v>0</v>
      </c>
      <c r="AG457" s="1">
        <f t="shared" ref="AG457:AG466" si="162">O457*(1-P457)*(1-A457)</f>
        <v>0</v>
      </c>
      <c r="AH457" s="1">
        <f t="shared" ref="AH457:AH466" si="163">+P457*(1-A457)</f>
        <v>0</v>
      </c>
      <c r="AI457" s="1">
        <f t="shared" ref="AI457:AI466" si="164">+(1-A457)*(1-P457)</f>
        <v>1</v>
      </c>
    </row>
    <row r="458" spans="1:35" ht="14.25" customHeight="1" x14ac:dyDescent="0.3">
      <c r="A458" s="47">
        <v>1</v>
      </c>
      <c r="B458" s="47">
        <v>2</v>
      </c>
      <c r="C458" s="47">
        <v>7</v>
      </c>
      <c r="D458" s="48" t="s">
        <v>1254</v>
      </c>
      <c r="E458" s="48" t="s">
        <v>28</v>
      </c>
      <c r="F458" s="48" t="s">
        <v>1255</v>
      </c>
      <c r="G458" s="48" t="s">
        <v>528</v>
      </c>
      <c r="H458" s="48" t="s">
        <v>357</v>
      </c>
      <c r="I458" s="47" t="s">
        <v>1256</v>
      </c>
      <c r="J458" s="47">
        <v>99</v>
      </c>
      <c r="K458" s="49" t="s">
        <v>719</v>
      </c>
      <c r="L458" s="49" t="s">
        <v>720</v>
      </c>
      <c r="M458" s="50" t="s">
        <v>738</v>
      </c>
      <c r="N458" s="50" t="s">
        <v>1750</v>
      </c>
      <c r="O458" s="51"/>
      <c r="P458" s="51"/>
      <c r="Q458" s="48"/>
      <c r="S458" s="1">
        <f t="shared" si="145"/>
        <v>0</v>
      </c>
      <c r="T458" s="1">
        <f t="shared" si="146"/>
        <v>0</v>
      </c>
      <c r="U458" s="1">
        <f t="shared" si="147"/>
        <v>0</v>
      </c>
      <c r="V458" s="1">
        <f t="shared" si="148"/>
        <v>0</v>
      </c>
      <c r="W458" s="1">
        <f t="shared" si="149"/>
        <v>0</v>
      </c>
      <c r="X458" s="1">
        <f t="shared" si="150"/>
        <v>0</v>
      </c>
      <c r="Y458" s="1">
        <f t="shared" si="151"/>
        <v>0</v>
      </c>
      <c r="Z458" s="1">
        <f t="shared" si="152"/>
        <v>0</v>
      </c>
      <c r="AA458" s="1">
        <f t="shared" si="153"/>
        <v>0</v>
      </c>
      <c r="AB458" s="1">
        <f t="shared" si="154"/>
        <v>0</v>
      </c>
      <c r="AD458" s="1">
        <f t="shared" si="159"/>
        <v>0</v>
      </c>
      <c r="AE458" s="1">
        <f t="shared" si="160"/>
        <v>0</v>
      </c>
      <c r="AF458" s="1">
        <f t="shared" si="161"/>
        <v>0</v>
      </c>
      <c r="AG458" s="1">
        <f t="shared" si="162"/>
        <v>0</v>
      </c>
      <c r="AH458" s="1">
        <f t="shared" si="163"/>
        <v>0</v>
      </c>
      <c r="AI458" s="1">
        <f t="shared" si="164"/>
        <v>0</v>
      </c>
    </row>
    <row r="459" spans="1:35" ht="14.25" customHeight="1" x14ac:dyDescent="0.3">
      <c r="A459" s="34">
        <v>0</v>
      </c>
      <c r="B459" s="34">
        <v>2</v>
      </c>
      <c r="C459" s="34">
        <v>7</v>
      </c>
      <c r="D459" s="35" t="s">
        <v>1861</v>
      </c>
      <c r="E459" s="35" t="s">
        <v>1182</v>
      </c>
      <c r="F459" s="35" t="s">
        <v>1862</v>
      </c>
      <c r="G459" s="35"/>
      <c r="H459" s="35" t="s">
        <v>357</v>
      </c>
      <c r="I459" s="34" t="s">
        <v>1863</v>
      </c>
      <c r="J459" s="34">
        <v>6</v>
      </c>
      <c r="K459" s="36" t="s">
        <v>710</v>
      </c>
      <c r="L459" s="36"/>
      <c r="M459" s="37"/>
      <c r="N459" s="37" t="s">
        <v>1763</v>
      </c>
      <c r="O459" s="38">
        <v>1</v>
      </c>
      <c r="P459" s="38"/>
      <c r="Q459" s="35"/>
      <c r="S459" s="1">
        <f t="shared" si="145"/>
        <v>0</v>
      </c>
      <c r="T459" s="1">
        <f t="shared" si="146"/>
        <v>0</v>
      </c>
      <c r="U459" s="1">
        <f t="shared" si="147"/>
        <v>0</v>
      </c>
      <c r="V459" s="1">
        <f t="shared" si="148"/>
        <v>0</v>
      </c>
      <c r="W459" s="1">
        <f t="shared" si="149"/>
        <v>0</v>
      </c>
      <c r="X459" s="1">
        <f t="shared" si="150"/>
        <v>1</v>
      </c>
      <c r="Y459" s="1">
        <f t="shared" si="151"/>
        <v>0</v>
      </c>
      <c r="Z459" s="1">
        <f t="shared" si="152"/>
        <v>0</v>
      </c>
      <c r="AA459" s="1">
        <f t="shared" si="153"/>
        <v>0</v>
      </c>
      <c r="AB459" s="1">
        <f t="shared" si="154"/>
        <v>0</v>
      </c>
      <c r="AD459" s="1">
        <f t="shared" ref="AD459" si="165">+O459*P459</f>
        <v>0</v>
      </c>
      <c r="AE459" s="1">
        <f t="shared" ref="AE459" si="166">O459*(1-P459)</f>
        <v>1</v>
      </c>
      <c r="AF459" s="1">
        <f t="shared" si="161"/>
        <v>0</v>
      </c>
      <c r="AG459" s="1">
        <f t="shared" si="162"/>
        <v>1</v>
      </c>
      <c r="AH459" s="1">
        <f t="shared" si="163"/>
        <v>0</v>
      </c>
      <c r="AI459" s="1">
        <f t="shared" si="164"/>
        <v>1</v>
      </c>
    </row>
    <row r="460" spans="1:35" ht="14.25" customHeight="1" x14ac:dyDescent="0.3">
      <c r="A460" s="47">
        <v>0</v>
      </c>
      <c r="B460" s="47">
        <v>2</v>
      </c>
      <c r="C460" s="47">
        <v>7</v>
      </c>
      <c r="D460" s="48" t="s">
        <v>1473</v>
      </c>
      <c r="E460" s="48" t="s">
        <v>28</v>
      </c>
      <c r="F460" s="48" t="s">
        <v>1474</v>
      </c>
      <c r="G460" s="48" t="s">
        <v>1475</v>
      </c>
      <c r="H460" s="48" t="s">
        <v>357</v>
      </c>
      <c r="I460" s="47" t="s">
        <v>1476</v>
      </c>
      <c r="J460" s="47">
        <v>99</v>
      </c>
      <c r="K460" s="49" t="s">
        <v>719</v>
      </c>
      <c r="L460" s="49" t="s">
        <v>720</v>
      </c>
      <c r="M460" s="50" t="s">
        <v>738</v>
      </c>
      <c r="N460" s="50" t="s">
        <v>1750</v>
      </c>
      <c r="O460" s="51"/>
      <c r="P460" s="51"/>
      <c r="Q460" s="48"/>
      <c r="S460" s="1">
        <f t="shared" si="145"/>
        <v>0</v>
      </c>
      <c r="T460" s="1">
        <f t="shared" si="146"/>
        <v>0</v>
      </c>
      <c r="U460" s="1">
        <f t="shared" si="147"/>
        <v>0</v>
      </c>
      <c r="V460" s="1">
        <f t="shared" si="148"/>
        <v>0</v>
      </c>
      <c r="W460" s="1">
        <f t="shared" si="149"/>
        <v>0</v>
      </c>
      <c r="X460" s="1">
        <f t="shared" si="150"/>
        <v>0</v>
      </c>
      <c r="Y460" s="1">
        <f t="shared" si="151"/>
        <v>0</v>
      </c>
      <c r="Z460" s="1">
        <f t="shared" si="152"/>
        <v>0</v>
      </c>
      <c r="AA460" s="1">
        <f t="shared" si="153"/>
        <v>0</v>
      </c>
      <c r="AB460" s="1">
        <f t="shared" si="154"/>
        <v>0</v>
      </c>
      <c r="AD460" s="1">
        <f t="shared" si="155"/>
        <v>0</v>
      </c>
      <c r="AE460" s="1">
        <f t="shared" si="156"/>
        <v>0</v>
      </c>
      <c r="AF460" s="1">
        <f t="shared" si="161"/>
        <v>0</v>
      </c>
      <c r="AG460" s="1">
        <f t="shared" si="162"/>
        <v>0</v>
      </c>
      <c r="AH460" s="1">
        <f t="shared" si="163"/>
        <v>0</v>
      </c>
      <c r="AI460" s="1">
        <f t="shared" si="164"/>
        <v>1</v>
      </c>
    </row>
    <row r="461" spans="1:35" ht="14.25" customHeight="1" x14ac:dyDescent="0.3">
      <c r="A461" s="34">
        <v>0</v>
      </c>
      <c r="B461" s="34">
        <v>2</v>
      </c>
      <c r="C461" s="34">
        <v>7</v>
      </c>
      <c r="D461" s="35" t="s">
        <v>43</v>
      </c>
      <c r="E461" s="35" t="s">
        <v>546</v>
      </c>
      <c r="F461" s="35" t="s">
        <v>580</v>
      </c>
      <c r="G461" s="35" t="s">
        <v>237</v>
      </c>
      <c r="H461" s="35" t="s">
        <v>357</v>
      </c>
      <c r="I461" s="34" t="s">
        <v>587</v>
      </c>
      <c r="J461" s="34">
        <v>99</v>
      </c>
      <c r="K461" s="36" t="s">
        <v>719</v>
      </c>
      <c r="L461" s="36" t="s">
        <v>736</v>
      </c>
      <c r="M461" s="37" t="s">
        <v>1455</v>
      </c>
      <c r="N461" s="37" t="s">
        <v>1763</v>
      </c>
      <c r="O461" s="38">
        <v>1</v>
      </c>
      <c r="P461" s="38"/>
      <c r="Q461" s="35"/>
      <c r="S461" s="1">
        <f t="shared" si="145"/>
        <v>0</v>
      </c>
      <c r="T461" s="1">
        <f t="shared" si="146"/>
        <v>0</v>
      </c>
      <c r="U461" s="1">
        <f t="shared" si="147"/>
        <v>0</v>
      </c>
      <c r="V461" s="1">
        <f t="shared" si="148"/>
        <v>0</v>
      </c>
      <c r="W461" s="1">
        <f t="shared" si="149"/>
        <v>0</v>
      </c>
      <c r="X461" s="1">
        <f t="shared" si="150"/>
        <v>0</v>
      </c>
      <c r="Y461" s="1">
        <f t="shared" si="151"/>
        <v>0</v>
      </c>
      <c r="Z461" s="1">
        <f t="shared" si="152"/>
        <v>0</v>
      </c>
      <c r="AA461" s="1">
        <f t="shared" si="153"/>
        <v>0</v>
      </c>
      <c r="AB461" s="1">
        <f t="shared" si="154"/>
        <v>0</v>
      </c>
      <c r="AD461" s="1">
        <f t="shared" si="155"/>
        <v>0</v>
      </c>
      <c r="AE461" s="1">
        <f t="shared" si="156"/>
        <v>1</v>
      </c>
      <c r="AF461" s="1">
        <f t="shared" si="161"/>
        <v>0</v>
      </c>
      <c r="AG461" s="1">
        <f t="shared" si="162"/>
        <v>1</v>
      </c>
      <c r="AH461" s="1">
        <f t="shared" si="163"/>
        <v>0</v>
      </c>
      <c r="AI461" s="1">
        <f t="shared" si="164"/>
        <v>1</v>
      </c>
    </row>
    <row r="462" spans="1:35" ht="14.25" customHeight="1" x14ac:dyDescent="0.3">
      <c r="A462" s="34">
        <v>1</v>
      </c>
      <c r="B462" s="34">
        <v>2</v>
      </c>
      <c r="C462" s="34">
        <v>7</v>
      </c>
      <c r="D462" s="35" t="s">
        <v>43</v>
      </c>
      <c r="E462" s="35" t="s">
        <v>546</v>
      </c>
      <c r="F462" s="35" t="s">
        <v>274</v>
      </c>
      <c r="G462" s="35" t="s">
        <v>182</v>
      </c>
      <c r="H462" s="35" t="s">
        <v>357</v>
      </c>
      <c r="I462" s="34" t="s">
        <v>430</v>
      </c>
      <c r="J462" s="34">
        <v>10</v>
      </c>
      <c r="K462" s="36" t="s">
        <v>719</v>
      </c>
      <c r="L462" s="36" t="s">
        <v>736</v>
      </c>
      <c r="M462" s="37" t="s">
        <v>1455</v>
      </c>
      <c r="N462" s="37" t="s">
        <v>1763</v>
      </c>
      <c r="O462" s="38">
        <v>1</v>
      </c>
      <c r="P462" s="38"/>
      <c r="Q462" s="35"/>
      <c r="S462" s="1">
        <f t="shared" si="145"/>
        <v>0</v>
      </c>
      <c r="T462" s="1">
        <f t="shared" si="146"/>
        <v>0</v>
      </c>
      <c r="U462" s="1">
        <f t="shared" si="147"/>
        <v>0</v>
      </c>
      <c r="V462" s="1">
        <f t="shared" si="148"/>
        <v>0</v>
      </c>
      <c r="W462" s="1">
        <f t="shared" si="149"/>
        <v>0</v>
      </c>
      <c r="X462" s="1">
        <f t="shared" si="150"/>
        <v>0</v>
      </c>
      <c r="Y462" s="1">
        <f t="shared" si="151"/>
        <v>0</v>
      </c>
      <c r="Z462" s="1">
        <f t="shared" si="152"/>
        <v>0</v>
      </c>
      <c r="AA462" s="1">
        <f t="shared" si="153"/>
        <v>0</v>
      </c>
      <c r="AB462" s="1">
        <f t="shared" si="154"/>
        <v>1</v>
      </c>
      <c r="AD462" s="1">
        <f t="shared" si="155"/>
        <v>0</v>
      </c>
      <c r="AE462" s="1">
        <f t="shared" si="156"/>
        <v>1</v>
      </c>
      <c r="AF462" s="1">
        <f t="shared" si="161"/>
        <v>0</v>
      </c>
      <c r="AG462" s="1">
        <f t="shared" si="162"/>
        <v>0</v>
      </c>
      <c r="AH462" s="1">
        <f t="shared" si="163"/>
        <v>0</v>
      </c>
      <c r="AI462" s="1">
        <f t="shared" si="164"/>
        <v>0</v>
      </c>
    </row>
    <row r="463" spans="1:35" ht="14.25" customHeight="1" x14ac:dyDescent="0.3">
      <c r="A463" s="34">
        <v>1</v>
      </c>
      <c r="B463" s="34">
        <v>2</v>
      </c>
      <c r="C463" s="34">
        <v>7</v>
      </c>
      <c r="D463" s="35" t="s">
        <v>43</v>
      </c>
      <c r="E463" s="35" t="s">
        <v>546</v>
      </c>
      <c r="F463" s="35" t="s">
        <v>275</v>
      </c>
      <c r="G463" s="35" t="s">
        <v>39</v>
      </c>
      <c r="H463" s="35" t="s">
        <v>357</v>
      </c>
      <c r="I463" s="34" t="s">
        <v>431</v>
      </c>
      <c r="J463" s="34">
        <v>5</v>
      </c>
      <c r="K463" s="36" t="s">
        <v>719</v>
      </c>
      <c r="L463" s="36" t="s">
        <v>736</v>
      </c>
      <c r="M463" s="37" t="s">
        <v>1455</v>
      </c>
      <c r="N463" s="37" t="s">
        <v>1763</v>
      </c>
      <c r="O463" s="38">
        <v>1</v>
      </c>
      <c r="P463" s="38"/>
      <c r="Q463" s="35"/>
      <c r="S463" s="1">
        <f t="shared" si="145"/>
        <v>0</v>
      </c>
      <c r="T463" s="1">
        <f t="shared" si="146"/>
        <v>0</v>
      </c>
      <c r="U463" s="1">
        <f t="shared" si="147"/>
        <v>0</v>
      </c>
      <c r="V463" s="1">
        <f t="shared" si="148"/>
        <v>0</v>
      </c>
      <c r="W463" s="1">
        <f t="shared" si="149"/>
        <v>1</v>
      </c>
      <c r="X463" s="1">
        <f t="shared" si="150"/>
        <v>0</v>
      </c>
      <c r="Y463" s="1">
        <f t="shared" si="151"/>
        <v>0</v>
      </c>
      <c r="Z463" s="1">
        <f t="shared" si="152"/>
        <v>0</v>
      </c>
      <c r="AA463" s="1">
        <f t="shared" si="153"/>
        <v>0</v>
      </c>
      <c r="AB463" s="1">
        <f t="shared" si="154"/>
        <v>0</v>
      </c>
      <c r="AD463" s="1">
        <f t="shared" si="155"/>
        <v>0</v>
      </c>
      <c r="AE463" s="1">
        <f t="shared" si="156"/>
        <v>1</v>
      </c>
      <c r="AF463" s="1">
        <f t="shared" si="161"/>
        <v>0</v>
      </c>
      <c r="AG463" s="1">
        <f t="shared" si="162"/>
        <v>0</v>
      </c>
      <c r="AH463" s="1">
        <f t="shared" si="163"/>
        <v>0</v>
      </c>
      <c r="AI463" s="1">
        <f t="shared" si="164"/>
        <v>0</v>
      </c>
    </row>
    <row r="464" spans="1:35" ht="14.25" customHeight="1" x14ac:dyDescent="0.3">
      <c r="A464" s="34">
        <v>1</v>
      </c>
      <c r="B464" s="34">
        <v>2</v>
      </c>
      <c r="C464" s="34">
        <v>7</v>
      </c>
      <c r="D464" s="35" t="s">
        <v>43</v>
      </c>
      <c r="E464" s="35" t="s">
        <v>546</v>
      </c>
      <c r="F464" s="35" t="s">
        <v>279</v>
      </c>
      <c r="G464" s="35" t="s">
        <v>196</v>
      </c>
      <c r="H464" s="35" t="s">
        <v>357</v>
      </c>
      <c r="I464" s="34" t="s">
        <v>435</v>
      </c>
      <c r="J464" s="34">
        <v>9</v>
      </c>
      <c r="K464" s="36" t="s">
        <v>719</v>
      </c>
      <c r="L464" s="36" t="s">
        <v>736</v>
      </c>
      <c r="M464" s="37" t="s">
        <v>1455</v>
      </c>
      <c r="N464" s="37" t="s">
        <v>1763</v>
      </c>
      <c r="O464" s="38">
        <v>1</v>
      </c>
      <c r="P464" s="38"/>
      <c r="Q464" s="35"/>
      <c r="S464" s="1">
        <f>IF(J464=$S$7,1,0)</f>
        <v>0</v>
      </c>
      <c r="T464" s="1">
        <f>IF(J464=$T$7,1,0)</f>
        <v>0</v>
      </c>
      <c r="U464" s="1">
        <f>IF(J464=$U$7,1,0)</f>
        <v>0</v>
      </c>
      <c r="V464" s="1">
        <f>IF(J464=$V$7,1,0)</f>
        <v>0</v>
      </c>
      <c r="W464" s="1">
        <f>IF(J464=$W$7,1,0)</f>
        <v>0</v>
      </c>
      <c r="X464" s="1">
        <f>IF(J464=$X$7,1,0)</f>
        <v>0</v>
      </c>
      <c r="Y464" s="1">
        <f>IF(J464=$Y$7,1,0)</f>
        <v>0</v>
      </c>
      <c r="Z464" s="1">
        <f>IF(J464=$Z$7,1,0)</f>
        <v>0</v>
      </c>
      <c r="AA464" s="1">
        <f>IF(J464=$AA$7,1,0)</f>
        <v>1</v>
      </c>
      <c r="AB464" s="1">
        <f>IF(J464=$AB$7,1,0)</f>
        <v>0</v>
      </c>
      <c r="AD464" s="1">
        <f>+O464*P464</f>
        <v>0</v>
      </c>
      <c r="AE464" s="1">
        <f>O464*(1-P464)</f>
        <v>1</v>
      </c>
      <c r="AF464" s="1">
        <f t="shared" si="161"/>
        <v>0</v>
      </c>
      <c r="AG464" s="1">
        <f t="shared" si="162"/>
        <v>0</v>
      </c>
      <c r="AH464" s="1">
        <f t="shared" si="163"/>
        <v>0</v>
      </c>
      <c r="AI464" s="1">
        <f t="shared" si="164"/>
        <v>0</v>
      </c>
    </row>
    <row r="465" spans="1:35" ht="14.25" customHeight="1" x14ac:dyDescent="0.3">
      <c r="A465" s="47">
        <v>0</v>
      </c>
      <c r="B465" s="47">
        <v>2</v>
      </c>
      <c r="C465" s="47">
        <v>7</v>
      </c>
      <c r="D465" s="48" t="s">
        <v>1576</v>
      </c>
      <c r="E465" s="48" t="s">
        <v>28</v>
      </c>
      <c r="F465" s="48" t="s">
        <v>1577</v>
      </c>
      <c r="G465" s="48" t="s">
        <v>240</v>
      </c>
      <c r="H465" s="48" t="s">
        <v>357</v>
      </c>
      <c r="I465" s="47" t="s">
        <v>1710</v>
      </c>
      <c r="J465" s="47">
        <v>4</v>
      </c>
      <c r="K465" s="49" t="s">
        <v>720</v>
      </c>
      <c r="L465" s="49" t="s">
        <v>720</v>
      </c>
      <c r="M465" s="50" t="s">
        <v>738</v>
      </c>
      <c r="N465" s="50" t="s">
        <v>1750</v>
      </c>
      <c r="O465" s="51"/>
      <c r="P465" s="51"/>
      <c r="Q465" s="48"/>
      <c r="S465" s="1">
        <f>IF(J465=$S$7,1,0)</f>
        <v>0</v>
      </c>
      <c r="T465" s="1">
        <f>IF(J465=$T$7,1,0)</f>
        <v>0</v>
      </c>
      <c r="U465" s="1">
        <f>IF(J465=$U$7,1,0)</f>
        <v>0</v>
      </c>
      <c r="V465" s="1">
        <f>IF(J465=$V$7,1,0)</f>
        <v>1</v>
      </c>
      <c r="W465" s="1">
        <f>IF(J465=$W$7,1,0)</f>
        <v>0</v>
      </c>
      <c r="X465" s="1">
        <f>IF(J465=$X$7,1,0)</f>
        <v>0</v>
      </c>
      <c r="Y465" s="1">
        <f>IF(J465=$Y$7,1,0)</f>
        <v>0</v>
      </c>
      <c r="Z465" s="1">
        <f>IF(J465=$Z$7,1,0)</f>
        <v>0</v>
      </c>
      <c r="AA465" s="1">
        <f>IF(J465=$AA$7,1,0)</f>
        <v>0</v>
      </c>
      <c r="AB465" s="1">
        <f>IF(J465=$AB$7,1,0)</f>
        <v>0</v>
      </c>
      <c r="AD465" s="1">
        <f>+O465*P465</f>
        <v>0</v>
      </c>
      <c r="AE465" s="1">
        <f>O465*(1-P465)</f>
        <v>0</v>
      </c>
      <c r="AF465" s="1">
        <f t="shared" si="161"/>
        <v>0</v>
      </c>
      <c r="AG465" s="1">
        <f t="shared" si="162"/>
        <v>0</v>
      </c>
      <c r="AH465" s="1">
        <f t="shared" si="163"/>
        <v>0</v>
      </c>
      <c r="AI465" s="1">
        <f t="shared" si="164"/>
        <v>1</v>
      </c>
    </row>
    <row r="466" spans="1:35" ht="14.25" customHeight="1" x14ac:dyDescent="0.3">
      <c r="A466" s="47">
        <v>0</v>
      </c>
      <c r="B466" s="47">
        <v>2</v>
      </c>
      <c r="C466" s="47">
        <v>7</v>
      </c>
      <c r="D466" s="48" t="s">
        <v>63</v>
      </c>
      <c r="E466" s="48" t="s">
        <v>44</v>
      </c>
      <c r="F466" s="48" t="s">
        <v>238</v>
      </c>
      <c r="G466" s="48" t="s">
        <v>202</v>
      </c>
      <c r="H466" s="48" t="s">
        <v>357</v>
      </c>
      <c r="I466" s="47" t="s">
        <v>405</v>
      </c>
      <c r="J466" s="47">
        <v>2</v>
      </c>
      <c r="K466" s="49" t="s">
        <v>720</v>
      </c>
      <c r="L466" s="49" t="s">
        <v>729</v>
      </c>
      <c r="M466" s="50" t="s">
        <v>742</v>
      </c>
      <c r="N466" s="50" t="s">
        <v>1750</v>
      </c>
      <c r="O466" s="51"/>
      <c r="P466" s="51"/>
      <c r="Q466" s="48"/>
      <c r="S466" s="1">
        <f>IF(J466=$S$7,1,0)</f>
        <v>0</v>
      </c>
      <c r="T466" s="1">
        <f>IF(J466=$T$7,1,0)</f>
        <v>1</v>
      </c>
      <c r="U466" s="1">
        <f>IF(J466=$U$7,1,0)</f>
        <v>0</v>
      </c>
      <c r="V466" s="1">
        <f>IF(J466=$V$7,1,0)</f>
        <v>0</v>
      </c>
      <c r="W466" s="1">
        <f>IF(J466=$W$7,1,0)</f>
        <v>0</v>
      </c>
      <c r="X466" s="1">
        <f>IF(J466=$X$7,1,0)</f>
        <v>0</v>
      </c>
      <c r="Y466" s="1">
        <f>IF(J466=$Y$7,1,0)</f>
        <v>0</v>
      </c>
      <c r="Z466" s="1">
        <f>IF(J466=$Z$7,1,0)</f>
        <v>0</v>
      </c>
      <c r="AA466" s="1">
        <f>IF(J466=$AA$7,1,0)</f>
        <v>0</v>
      </c>
      <c r="AB466" s="1">
        <f>IF(J466=$AB$7,1,0)</f>
        <v>0</v>
      </c>
      <c r="AD466" s="1">
        <f>+O466*P466</f>
        <v>0</v>
      </c>
      <c r="AE466" s="1">
        <f>O466*(1-P466)</f>
        <v>0</v>
      </c>
      <c r="AF466" s="1">
        <f t="shared" si="161"/>
        <v>0</v>
      </c>
      <c r="AG466" s="1">
        <f t="shared" si="162"/>
        <v>0</v>
      </c>
      <c r="AH466" s="1">
        <f t="shared" si="163"/>
        <v>0</v>
      </c>
      <c r="AI466" s="1">
        <f t="shared" si="164"/>
        <v>1</v>
      </c>
    </row>
    <row r="467" spans="1:35" ht="14.25" customHeight="1" x14ac:dyDescent="0.3">
      <c r="A467" s="15"/>
      <c r="B467" s="15"/>
      <c r="C467" s="15"/>
      <c r="D467" s="20"/>
      <c r="E467" s="20"/>
      <c r="F467" s="20"/>
      <c r="G467" s="20"/>
      <c r="H467" s="20"/>
      <c r="I467" s="21"/>
      <c r="J467" s="15"/>
      <c r="K467" s="21"/>
      <c r="M467" s="19"/>
      <c r="N467" s="17"/>
      <c r="Q467" s="20"/>
    </row>
    <row r="468" spans="1:35" ht="14.25" customHeight="1" x14ac:dyDescent="0.3">
      <c r="A468" s="15"/>
      <c r="B468" s="15"/>
      <c r="C468" s="15"/>
      <c r="D468" s="20"/>
      <c r="E468" s="20"/>
      <c r="F468" s="20"/>
      <c r="G468" s="20"/>
      <c r="H468" s="20"/>
      <c r="I468" s="21"/>
      <c r="J468" s="15"/>
      <c r="K468" s="21"/>
      <c r="M468" s="19"/>
      <c r="N468" s="17"/>
      <c r="Q468" s="20"/>
    </row>
    <row r="469" spans="1:35" ht="14.25" customHeight="1" x14ac:dyDescent="0.3">
      <c r="A469" s="15"/>
      <c r="B469" s="15"/>
      <c r="C469" s="15"/>
      <c r="D469" s="20"/>
      <c r="E469" s="20"/>
      <c r="F469" s="20"/>
      <c r="G469" s="20"/>
      <c r="H469" s="20"/>
      <c r="I469" s="21"/>
      <c r="J469" s="15"/>
      <c r="K469" s="21"/>
      <c r="M469" s="19"/>
      <c r="N469" s="17"/>
      <c r="Q469" s="20"/>
    </row>
    <row r="470" spans="1:35" ht="14.25" customHeight="1" x14ac:dyDescent="0.3">
      <c r="A470" s="15"/>
      <c r="B470" s="15"/>
      <c r="C470" s="15"/>
      <c r="D470" s="20"/>
      <c r="E470" s="20"/>
      <c r="F470" s="20"/>
      <c r="G470" s="20"/>
      <c r="H470" s="20"/>
      <c r="I470" s="21"/>
      <c r="J470" s="15"/>
      <c r="K470" s="21"/>
      <c r="M470" s="19"/>
      <c r="N470" s="17"/>
      <c r="Q470" s="20"/>
    </row>
    <row r="471" spans="1:35" ht="14.25" customHeight="1" x14ac:dyDescent="0.3">
      <c r="A471" s="15"/>
      <c r="B471" s="15"/>
      <c r="C471" s="15"/>
      <c r="D471" s="20"/>
      <c r="E471" s="20"/>
      <c r="F471" s="20"/>
      <c r="G471" s="20"/>
      <c r="H471" s="20"/>
      <c r="I471" s="21"/>
      <c r="J471" s="15"/>
      <c r="K471" s="21"/>
      <c r="M471" s="19"/>
      <c r="N471" s="17"/>
      <c r="Q471" s="20"/>
    </row>
    <row r="472" spans="1:35" ht="14.25" customHeight="1" x14ac:dyDescent="0.3">
      <c r="A472" s="15"/>
      <c r="B472" s="15"/>
      <c r="C472" s="15"/>
      <c r="D472" s="20"/>
      <c r="E472" s="20"/>
      <c r="F472" s="20"/>
      <c r="G472" s="20"/>
      <c r="H472" s="20"/>
      <c r="I472" s="21"/>
      <c r="J472" s="15"/>
      <c r="K472" s="21"/>
      <c r="M472" s="19"/>
      <c r="N472" s="17"/>
      <c r="Q472" s="20"/>
    </row>
    <row r="473" spans="1:35" ht="14.25" customHeight="1" x14ac:dyDescent="0.3">
      <c r="A473" s="15"/>
      <c r="B473" s="15"/>
      <c r="C473" s="15"/>
      <c r="D473" s="20"/>
      <c r="E473" s="20"/>
      <c r="F473" s="20"/>
      <c r="G473" s="20"/>
      <c r="H473" s="20"/>
      <c r="I473" s="21"/>
      <c r="J473" s="15"/>
      <c r="K473" s="21"/>
      <c r="M473" s="19"/>
      <c r="N473" s="17"/>
      <c r="Q473" s="20"/>
    </row>
    <row r="474" spans="1:35" ht="14.25" customHeight="1" x14ac:dyDescent="0.3">
      <c r="A474" s="15"/>
      <c r="B474" s="15"/>
      <c r="C474" s="15"/>
      <c r="D474" s="20"/>
      <c r="E474" s="20"/>
      <c r="F474" s="20"/>
      <c r="G474" s="20"/>
      <c r="H474" s="20"/>
      <c r="I474" s="21"/>
      <c r="J474" s="15"/>
      <c r="K474" s="21"/>
      <c r="M474" s="19"/>
      <c r="N474" s="17"/>
      <c r="Q474" s="20"/>
    </row>
    <row r="475" spans="1:35" ht="14.25" customHeight="1" x14ac:dyDescent="0.3">
      <c r="A475" s="15"/>
      <c r="B475" s="15"/>
      <c r="C475" s="15"/>
      <c r="D475" s="20"/>
      <c r="E475" s="20"/>
      <c r="F475" s="20"/>
      <c r="G475" s="20"/>
      <c r="H475" s="20"/>
      <c r="I475" s="21"/>
      <c r="J475" s="15"/>
      <c r="K475" s="21"/>
      <c r="M475" s="19"/>
      <c r="N475" s="17"/>
      <c r="Q475" s="20"/>
    </row>
    <row r="476" spans="1:35" ht="14.25" customHeight="1" x14ac:dyDescent="0.3">
      <c r="A476" s="15"/>
      <c r="B476" s="15"/>
      <c r="C476" s="15"/>
      <c r="D476" s="20"/>
      <c r="E476" s="20"/>
      <c r="F476" s="20"/>
      <c r="G476" s="20"/>
      <c r="H476" s="20"/>
      <c r="I476" s="21"/>
      <c r="J476" s="15"/>
      <c r="K476" s="21"/>
      <c r="M476" s="19"/>
      <c r="N476" s="17"/>
      <c r="Q476" s="20"/>
    </row>
    <row r="477" spans="1:35" ht="14.25" customHeight="1" x14ac:dyDescent="0.3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M477" s="19"/>
      <c r="N477" s="17"/>
      <c r="Q477" s="20"/>
    </row>
    <row r="478" spans="1:35" ht="14.25" customHeight="1" x14ac:dyDescent="0.3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M478" s="19"/>
      <c r="N478" s="17"/>
      <c r="Q478" s="20"/>
    </row>
    <row r="479" spans="1:35" ht="14.25" customHeight="1" x14ac:dyDescent="0.3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3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3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3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3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3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3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3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3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3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3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3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3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3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3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3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3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3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3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3">
      <c r="A769" s="15"/>
      <c r="B769" s="15"/>
      <c r="C769" s="15"/>
      <c r="D769" s="16"/>
      <c r="E769" s="16"/>
      <c r="F769" s="16"/>
      <c r="G769" s="16"/>
      <c r="H769" s="16"/>
      <c r="I769" s="15"/>
      <c r="J769" s="15"/>
      <c r="K769" s="10"/>
      <c r="M769" s="19"/>
      <c r="N769" s="17"/>
      <c r="Q769" s="16"/>
    </row>
    <row r="770" spans="1:17" ht="14.25" customHeight="1" x14ac:dyDescent="0.3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3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3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3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7"/>
      <c r="N773" s="17"/>
      <c r="Q773" s="16"/>
    </row>
    <row r="774" spans="1:17" ht="14.25" customHeight="1" x14ac:dyDescent="0.3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3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3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</sheetData>
  <autoFilter ref="A7:Q466" xr:uid="{AEE30112-88BB-441D-AEFC-A7A733AB1798}">
    <sortState xmlns:xlrd2="http://schemas.microsoft.com/office/spreadsheetml/2017/richdata2" ref="A8:Q452">
      <sortCondition ref="B8:B452"/>
      <sortCondition ref="C8:C452"/>
      <sortCondition ref="D8:D452"/>
      <sortCondition ref="A8:A452"/>
    </sortState>
  </autoFilter>
  <sortState xmlns:xlrd2="http://schemas.microsoft.com/office/spreadsheetml/2017/richdata2" ref="A7:P466">
    <sortCondition ref="B8:B466"/>
    <sortCondition ref="C8:C466"/>
    <sortCondition ref="D8:D466"/>
    <sortCondition ref="A8:A466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2026-05-21T12:32:12Z</dcterms:modified>
</cp:coreProperties>
</file>