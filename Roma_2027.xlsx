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AA471B1-BE4F-45C4-B9AF-DCE555EFF36B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golose'!$A$7:$Q$493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5" i="6" l="1"/>
  <c r="AE85" i="6"/>
  <c r="AF85" i="6"/>
  <c r="AG85" i="6"/>
  <c r="S85" i="6"/>
  <c r="T85" i="6"/>
  <c r="U85" i="6"/>
  <c r="V85" i="6"/>
  <c r="W85" i="6"/>
  <c r="X85" i="6"/>
  <c r="Y85" i="6"/>
  <c r="Z85" i="6"/>
  <c r="AA85" i="6"/>
  <c r="AB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7" i="6"/>
  <c r="AE407" i="6"/>
  <c r="AF407" i="6"/>
  <c r="AG407" i="6"/>
  <c r="S407" i="6"/>
  <c r="AH407" i="6"/>
  <c r="AI407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S453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S362" i="6"/>
  <c r="AI270" i="6"/>
  <c r="AH270" i="6"/>
  <c r="AG270" i="6"/>
  <c r="AF270" i="6"/>
  <c r="AE270" i="6"/>
  <c r="AD270" i="6"/>
  <c r="S270" i="6"/>
  <c r="AI269" i="6"/>
  <c r="AH269" i="6"/>
  <c r="AG269" i="6"/>
  <c r="AF269" i="6"/>
  <c r="AE269" i="6"/>
  <c r="AD269" i="6"/>
  <c r="S269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265" i="6"/>
  <c r="AH265" i="6"/>
  <c r="AG265" i="6"/>
  <c r="AF265" i="6"/>
  <c r="AE265" i="6"/>
  <c r="AD265" i="6"/>
  <c r="AI264" i="6"/>
  <c r="AH264" i="6"/>
  <c r="AG264" i="6"/>
  <c r="AF264" i="6"/>
  <c r="AE264" i="6"/>
  <c r="AD264" i="6"/>
  <c r="S491" i="6"/>
  <c r="S490" i="6"/>
  <c r="S489" i="6"/>
  <c r="S488" i="6"/>
  <c r="S487" i="6"/>
  <c r="S486" i="6"/>
  <c r="S485" i="6"/>
  <c r="S484" i="6"/>
  <c r="AD194" i="6"/>
  <c r="AE194" i="6"/>
  <c r="AF194" i="6"/>
  <c r="AD195" i="6"/>
  <c r="AE195" i="6"/>
  <c r="AF195" i="6"/>
  <c r="S195" i="6"/>
  <c r="AG195" i="6"/>
  <c r="AH195" i="6"/>
  <c r="AI195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28" i="6"/>
  <c r="AD328" i="6"/>
  <c r="AE328" i="6"/>
  <c r="AF328" i="6"/>
  <c r="AG328" i="6"/>
  <c r="AH328" i="6"/>
  <c r="AI328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S366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AD461" i="6"/>
  <c r="AE461" i="6"/>
  <c r="AD462" i="6"/>
  <c r="AE462" i="6"/>
  <c r="S461" i="6"/>
  <c r="AF461" i="6"/>
  <c r="AG461" i="6"/>
  <c r="AH461" i="6"/>
  <c r="AI461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6" i="6"/>
  <c r="AE476" i="6"/>
  <c r="S476" i="6"/>
  <c r="AF476" i="6"/>
  <c r="AG476" i="6"/>
  <c r="AH476" i="6"/>
  <c r="AI476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S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S363" i="6"/>
  <c r="S364" i="6"/>
  <c r="AD364" i="6"/>
  <c r="AE364" i="6"/>
  <c r="AF364" i="6"/>
  <c r="AG364" i="6"/>
  <c r="AH364" i="6"/>
  <c r="AI364" i="6"/>
  <c r="S365" i="6"/>
  <c r="S367" i="6"/>
  <c r="S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3" i="6"/>
  <c r="AD383" i="6"/>
  <c r="AE383" i="6"/>
  <c r="AF383" i="6"/>
  <c r="AG383" i="6"/>
  <c r="AH383" i="6"/>
  <c r="AI383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8" i="6" s="1"/>
  <c r="T35" i="6" l="1"/>
  <c r="T34" i="6"/>
  <c r="T33" i="6"/>
  <c r="T32" i="6"/>
  <c r="T171" i="6"/>
  <c r="T170" i="6"/>
  <c r="T407" i="6"/>
  <c r="T387" i="6"/>
  <c r="T386" i="6"/>
  <c r="T385" i="6"/>
  <c r="T384" i="6"/>
  <c r="T161" i="6"/>
  <c r="T160" i="6"/>
  <c r="T159" i="6"/>
  <c r="T158" i="6"/>
  <c r="T157" i="6"/>
  <c r="T453" i="6"/>
  <c r="T362" i="6"/>
  <c r="T269" i="6"/>
  <c r="T270" i="6"/>
  <c r="T414" i="6"/>
  <c r="T413" i="6"/>
  <c r="T412" i="6"/>
  <c r="T411" i="6"/>
  <c r="T410" i="6"/>
  <c r="T409" i="6"/>
  <c r="T408" i="6"/>
  <c r="T74" i="6"/>
  <c r="T475" i="6"/>
  <c r="T474" i="6"/>
  <c r="T473" i="6"/>
  <c r="T472" i="6"/>
  <c r="T471" i="6"/>
  <c r="T470" i="6"/>
  <c r="T54" i="6"/>
  <c r="T53" i="6"/>
  <c r="T52" i="6"/>
  <c r="T190" i="6"/>
  <c r="T486" i="6"/>
  <c r="T491" i="6"/>
  <c r="T488" i="6"/>
  <c r="T490" i="6"/>
  <c r="T487" i="6"/>
  <c r="T489" i="6"/>
  <c r="T493" i="6"/>
  <c r="T492" i="6"/>
  <c r="T485" i="6"/>
  <c r="T484" i="6"/>
  <c r="T195" i="6"/>
  <c r="T432" i="6"/>
  <c r="T431" i="6"/>
  <c r="T430" i="6"/>
  <c r="T429" i="6"/>
  <c r="T428" i="6"/>
  <c r="T101" i="6"/>
  <c r="T100" i="6"/>
  <c r="T99" i="6"/>
  <c r="T328" i="6"/>
  <c r="T366" i="6"/>
  <c r="T89" i="6"/>
  <c r="T340" i="6"/>
  <c r="T371" i="6"/>
  <c r="T302" i="6"/>
  <c r="T191" i="6"/>
  <c r="T189" i="6"/>
  <c r="T65" i="6"/>
  <c r="T382" i="6"/>
  <c r="T381" i="6"/>
  <c r="T380" i="6"/>
  <c r="T461" i="6"/>
  <c r="T274" i="6"/>
  <c r="T243" i="6"/>
  <c r="T275" i="6"/>
  <c r="T221" i="6"/>
  <c r="T220" i="6"/>
  <c r="T358" i="6"/>
  <c r="T344" i="6"/>
  <c r="T143" i="6"/>
  <c r="T167" i="6"/>
  <c r="T106" i="6"/>
  <c r="T144" i="6"/>
  <c r="T324" i="6"/>
  <c r="T105" i="6"/>
  <c r="T96" i="6"/>
  <c r="T95" i="6"/>
  <c r="T94" i="6"/>
  <c r="T299" i="6"/>
  <c r="T244" i="6"/>
  <c r="T375" i="6"/>
  <c r="T359" i="6"/>
  <c r="T323" i="6"/>
  <c r="T295" i="6"/>
  <c r="T272" i="6"/>
  <c r="T242" i="6"/>
  <c r="T219" i="6"/>
  <c r="T187" i="6"/>
  <c r="T71" i="6"/>
  <c r="T142" i="6"/>
  <c r="T102" i="6"/>
  <c r="T379" i="6"/>
  <c r="T346" i="6"/>
  <c r="T322" i="6"/>
  <c r="T294" i="6"/>
  <c r="T271" i="6"/>
  <c r="T241" i="6"/>
  <c r="T216" i="6"/>
  <c r="T186" i="6"/>
  <c r="T134" i="6"/>
  <c r="T66" i="6"/>
  <c r="T293" i="6"/>
  <c r="T185" i="6"/>
  <c r="T211" i="6"/>
  <c r="T397" i="6"/>
  <c r="T69" i="6"/>
  <c r="T209" i="6"/>
  <c r="T368" i="6"/>
  <c r="T405" i="6"/>
  <c r="T334" i="6"/>
  <c r="T311" i="6"/>
  <c r="T288" i="6"/>
  <c r="T81" i="6"/>
  <c r="T235" i="6"/>
  <c r="T208" i="6"/>
  <c r="T92" i="6"/>
  <c r="T126" i="6"/>
  <c r="T91" i="6"/>
  <c r="T129" i="6"/>
  <c r="T237" i="6"/>
  <c r="T350" i="6"/>
  <c r="T372" i="6"/>
  <c r="T416" i="6"/>
  <c r="T256" i="6"/>
  <c r="T310" i="6"/>
  <c r="T287" i="6"/>
  <c r="T250" i="6"/>
  <c r="T232" i="6"/>
  <c r="T207" i="6"/>
  <c r="T173" i="6"/>
  <c r="T125" i="6"/>
  <c r="T49" i="6"/>
  <c r="T332" i="6"/>
  <c r="T130" i="6"/>
  <c r="T265" i="6"/>
  <c r="T333" i="6"/>
  <c r="T261" i="6"/>
  <c r="T178" i="6"/>
  <c r="T401" i="6"/>
  <c r="T309" i="6"/>
  <c r="T251" i="6"/>
  <c r="T228" i="6"/>
  <c r="T205" i="6"/>
  <c r="T165" i="6"/>
  <c r="T155" i="6"/>
  <c r="T123" i="6"/>
  <c r="T48" i="6"/>
  <c r="T268" i="6"/>
  <c r="T61" i="6"/>
  <c r="T239" i="6"/>
  <c r="T291" i="6"/>
  <c r="T176" i="6"/>
  <c r="T376" i="6"/>
  <c r="T335" i="6"/>
  <c r="T286" i="6"/>
  <c r="T254" i="6"/>
  <c r="T308" i="6"/>
  <c r="T283" i="6"/>
  <c r="T252" i="6"/>
  <c r="T227" i="6"/>
  <c r="T204" i="6"/>
  <c r="T174" i="6"/>
  <c r="T154" i="6"/>
  <c r="T122" i="6"/>
  <c r="T46" i="6"/>
  <c r="T320" i="6"/>
  <c r="T86" i="6"/>
  <c r="T389" i="6"/>
  <c r="T292" i="6"/>
  <c r="T68" i="6"/>
  <c r="T318" i="6"/>
  <c r="T128" i="6"/>
  <c r="T127" i="6"/>
  <c r="T341" i="6"/>
  <c r="T342" i="6"/>
  <c r="T352" i="6"/>
  <c r="T307" i="6"/>
  <c r="T279" i="6"/>
  <c r="T175" i="6"/>
  <c r="T226" i="6"/>
  <c r="T196" i="6"/>
  <c r="T70" i="6"/>
  <c r="T153" i="6"/>
  <c r="T118" i="6"/>
  <c r="T45" i="6"/>
  <c r="T240" i="6"/>
  <c r="T349" i="6"/>
  <c r="T182" i="6"/>
  <c r="T210" i="6"/>
  <c r="T364" i="6"/>
  <c r="T315" i="6"/>
  <c r="T236" i="6"/>
  <c r="T169" i="6"/>
  <c r="T59" i="6"/>
  <c r="T329" i="6"/>
  <c r="T306" i="6"/>
  <c r="T166" i="6"/>
  <c r="T194" i="6"/>
  <c r="T150" i="6"/>
  <c r="T398" i="6"/>
  <c r="T259" i="6"/>
  <c r="T304" i="6"/>
  <c r="T277" i="6"/>
  <c r="T177" i="6"/>
  <c r="T224" i="6"/>
  <c r="T193" i="6"/>
  <c r="T93" i="6"/>
  <c r="T146" i="6"/>
  <c r="T109" i="6"/>
  <c r="T41" i="6"/>
  <c r="T212" i="6"/>
  <c r="T319" i="6"/>
  <c r="T87" i="6"/>
  <c r="T290" i="6"/>
  <c r="T394" i="6"/>
  <c r="T258" i="6"/>
  <c r="T278" i="6"/>
  <c r="T225" i="6"/>
  <c r="T60" i="6"/>
  <c r="T114" i="6"/>
  <c r="T43" i="6"/>
  <c r="T402" i="6"/>
  <c r="T343" i="6"/>
  <c r="T260" i="6"/>
  <c r="T303" i="6"/>
  <c r="T276" i="6"/>
  <c r="T248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0" i="6"/>
  <c r="T377" i="6"/>
  <c r="T476" i="6"/>
  <c r="T390" i="6"/>
  <c r="T393" i="6"/>
  <c r="T255" i="6"/>
  <c r="T351" i="6"/>
  <c r="T321" i="6"/>
  <c r="T305" i="6"/>
  <c r="T289" i="6"/>
  <c r="T273" i="6"/>
  <c r="T253" i="6"/>
  <c r="T238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2" i="6"/>
  <c r="T406" i="6"/>
  <c r="T345" i="6"/>
  <c r="T336" i="6"/>
  <c r="T317" i="6"/>
  <c r="T301" i="6"/>
  <c r="T285" i="6"/>
  <c r="T267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7" i="6"/>
  <c r="T417" i="6"/>
  <c r="T330" i="6"/>
  <c r="T257" i="6"/>
  <c r="T316" i="6"/>
  <c r="T300" i="6"/>
  <c r="T284" i="6"/>
  <c r="T266" i="6"/>
  <c r="T249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6" i="6"/>
  <c r="T396" i="6"/>
  <c r="T445" i="6"/>
  <c r="AD6" i="6"/>
  <c r="F3" i="6" s="1"/>
  <c r="T420" i="6"/>
  <c r="T418" i="6"/>
  <c r="T355" i="6"/>
  <c r="T347" i="6"/>
  <c r="T327" i="6"/>
  <c r="T314" i="6"/>
  <c r="T298" i="6"/>
  <c r="T282" i="6"/>
  <c r="T264" i="6"/>
  <c r="T247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7" i="6"/>
  <c r="T361" i="6"/>
  <c r="T338" i="6"/>
  <c r="T339" i="6"/>
  <c r="T331" i="6"/>
  <c r="T326" i="6"/>
  <c r="T313" i="6"/>
  <c r="T297" i="6"/>
  <c r="T281" i="6"/>
  <c r="T263" i="6"/>
  <c r="T246" i="6"/>
  <c r="T230" i="6"/>
  <c r="T214" i="6"/>
  <c r="T198" i="6"/>
  <c r="T180" i="6"/>
  <c r="T63" i="6"/>
  <c r="T148" i="6"/>
  <c r="T132" i="6"/>
  <c r="T116" i="6"/>
  <c r="T36" i="6"/>
  <c r="T20" i="6"/>
  <c r="T353" i="6"/>
  <c r="T363" i="6"/>
  <c r="T357" i="6"/>
  <c r="T348" i="6"/>
  <c r="T325" i="6"/>
  <c r="T312" i="6"/>
  <c r="T296" i="6"/>
  <c r="T280" i="6"/>
  <c r="T262" i="6"/>
  <c r="T245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9" i="6"/>
  <c r="T452" i="6"/>
  <c r="T436" i="6"/>
  <c r="T480" i="6"/>
  <c r="T460" i="6"/>
  <c r="T443" i="6"/>
  <c r="T426" i="6"/>
  <c r="T400" i="6"/>
  <c r="T367" i="6"/>
  <c r="T467" i="6"/>
  <c r="T450" i="6"/>
  <c r="T434" i="6"/>
  <c r="T354" i="6"/>
  <c r="T478" i="6"/>
  <c r="T458" i="6"/>
  <c r="T441" i="6"/>
  <c r="T424" i="6"/>
  <c r="T404" i="6"/>
  <c r="T370" i="6"/>
  <c r="T465" i="6"/>
  <c r="T448" i="6"/>
  <c r="T422" i="6"/>
  <c r="T456" i="6"/>
  <c r="T439" i="6"/>
  <c r="T391" i="6"/>
  <c r="T374" i="6"/>
  <c r="T483" i="6"/>
  <c r="T463" i="6"/>
  <c r="T446" i="6"/>
  <c r="T454" i="6"/>
  <c r="T437" i="6"/>
  <c r="T395" i="6"/>
  <c r="T378" i="6"/>
  <c r="T360" i="6"/>
  <c r="T481" i="6"/>
  <c r="T462" i="6"/>
  <c r="T444" i="6"/>
  <c r="T427" i="6"/>
  <c r="T415" i="6"/>
  <c r="T468" i="6"/>
  <c r="T451" i="6"/>
  <c r="T435" i="6"/>
  <c r="T399" i="6"/>
  <c r="T383" i="6"/>
  <c r="T365" i="6"/>
  <c r="T479" i="6"/>
  <c r="T459" i="6"/>
  <c r="T442" i="6"/>
  <c r="T425" i="6"/>
  <c r="T466" i="6"/>
  <c r="T449" i="6"/>
  <c r="T433" i="6"/>
  <c r="T423" i="6"/>
  <c r="T419" i="6"/>
  <c r="T403" i="6"/>
  <c r="T388" i="6"/>
  <c r="T369" i="6"/>
  <c r="T421" i="6"/>
  <c r="T337" i="6"/>
  <c r="T464" i="6"/>
  <c r="T447" i="6"/>
  <c r="T392" i="6"/>
  <c r="T373" i="6"/>
  <c r="T455" i="6"/>
  <c r="U32" i="6" l="1"/>
  <c r="U33" i="6"/>
  <c r="U34" i="6"/>
  <c r="U35" i="6"/>
  <c r="U407" i="6"/>
  <c r="U170" i="6"/>
  <c r="U171" i="6"/>
  <c r="U384" i="6"/>
  <c r="U385" i="6"/>
  <c r="U386" i="6"/>
  <c r="U387" i="6"/>
  <c r="U157" i="6"/>
  <c r="U158" i="6"/>
  <c r="U159" i="6"/>
  <c r="U160" i="6"/>
  <c r="U161" i="6"/>
  <c r="U362" i="6"/>
  <c r="U453" i="6"/>
  <c r="U270" i="6"/>
  <c r="U269" i="6"/>
  <c r="U74" i="6"/>
  <c r="U408" i="6"/>
  <c r="U409" i="6"/>
  <c r="U410" i="6"/>
  <c r="U411" i="6"/>
  <c r="U412" i="6"/>
  <c r="U413" i="6"/>
  <c r="U414" i="6"/>
  <c r="U470" i="6"/>
  <c r="U471" i="6"/>
  <c r="U472" i="6"/>
  <c r="U473" i="6"/>
  <c r="U474" i="6"/>
  <c r="U475" i="6"/>
  <c r="U190" i="6"/>
  <c r="U52" i="6"/>
  <c r="U53" i="6"/>
  <c r="U54" i="6"/>
  <c r="U486" i="6"/>
  <c r="U492" i="6"/>
  <c r="U493" i="6"/>
  <c r="U489" i="6"/>
  <c r="U487" i="6"/>
  <c r="U490" i="6"/>
  <c r="U488" i="6"/>
  <c r="U491" i="6"/>
  <c r="U195" i="6"/>
  <c r="U484" i="6"/>
  <c r="U485" i="6"/>
  <c r="U428" i="6"/>
  <c r="U429" i="6"/>
  <c r="U430" i="6"/>
  <c r="U431" i="6"/>
  <c r="U432" i="6"/>
  <c r="U328" i="6"/>
  <c r="U99" i="6"/>
  <c r="U100" i="6"/>
  <c r="U101" i="6"/>
  <c r="U13" i="6"/>
  <c r="U366" i="6"/>
  <c r="U339" i="6"/>
  <c r="U461" i="6"/>
  <c r="U380" i="6"/>
  <c r="U381" i="6"/>
  <c r="U382" i="6"/>
  <c r="U94" i="6"/>
  <c r="U95" i="6"/>
  <c r="U96" i="6"/>
  <c r="U145" i="6"/>
  <c r="U110" i="6"/>
  <c r="U296" i="6"/>
  <c r="U185" i="6"/>
  <c r="U459" i="6"/>
  <c r="U422" i="6"/>
  <c r="U463" i="6"/>
  <c r="U297" i="6"/>
  <c r="U224" i="6"/>
  <c r="U234" i="6"/>
  <c r="U315" i="6"/>
  <c r="U176" i="6"/>
  <c r="U134" i="6"/>
  <c r="U279" i="6"/>
  <c r="U149" i="6"/>
  <c r="U282" i="6"/>
  <c r="U103" i="6"/>
  <c r="U337" i="6"/>
  <c r="U325" i="6"/>
  <c r="U78" i="6"/>
  <c r="U301" i="6"/>
  <c r="U165" i="6"/>
  <c r="U390" i="6"/>
  <c r="U111" i="6"/>
  <c r="U108" i="6"/>
  <c r="U336" i="6"/>
  <c r="U178" i="6"/>
  <c r="U210" i="6"/>
  <c r="U121" i="6"/>
  <c r="U330" i="6"/>
  <c r="U204" i="6"/>
  <c r="U299" i="6"/>
  <c r="U181" i="6"/>
  <c r="U45" i="6"/>
  <c r="U22" i="6"/>
  <c r="U192" i="6"/>
  <c r="U36" i="6"/>
  <c r="U24" i="6"/>
  <c r="U303" i="6"/>
  <c r="U124" i="6"/>
  <c r="U231" i="6"/>
  <c r="U207" i="6"/>
  <c r="U478" i="6"/>
  <c r="U483" i="6"/>
  <c r="U466" i="6"/>
  <c r="U20" i="6"/>
  <c r="U450" i="6"/>
  <c r="U327" i="6"/>
  <c r="U71" i="6"/>
  <c r="U465" i="6"/>
  <c r="U457" i="6"/>
  <c r="U239" i="6"/>
  <c r="U154" i="6"/>
  <c r="U319" i="6"/>
  <c r="U243" i="6"/>
  <c r="U233" i="6"/>
  <c r="U113" i="6"/>
  <c r="U203" i="6"/>
  <c r="U235" i="6"/>
  <c r="V7" i="6"/>
  <c r="U27" i="6"/>
  <c r="U468" i="6"/>
  <c r="U250" i="6"/>
  <c r="U448" i="6"/>
  <c r="U21" i="6"/>
  <c r="U112" i="6"/>
  <c r="U19" i="6"/>
  <c r="U69" i="6"/>
  <c r="U419" i="6"/>
  <c r="U140" i="6"/>
  <c r="U347" i="6"/>
  <c r="U219" i="6"/>
  <c r="U355" i="6"/>
  <c r="U79" i="6"/>
  <c r="U271" i="6"/>
  <c r="U209" i="6"/>
  <c r="U287" i="6"/>
  <c r="U456" i="6"/>
  <c r="U467" i="6"/>
  <c r="U57" i="6"/>
  <c r="U107" i="6"/>
  <c r="U73" i="6"/>
  <c r="U142" i="6"/>
  <c r="U133" i="6"/>
  <c r="U135" i="6"/>
  <c r="U338" i="6"/>
  <c r="U179" i="6"/>
  <c r="U275" i="6"/>
  <c r="U445" i="6"/>
  <c r="U9" i="6"/>
  <c r="U68" i="6"/>
  <c r="U175" i="6"/>
  <c r="U153" i="6"/>
  <c r="U109" i="6"/>
  <c r="U11" i="6"/>
  <c r="U293" i="6"/>
  <c r="U356" i="6"/>
  <c r="U194" i="6"/>
  <c r="U443" i="6"/>
  <c r="U197" i="6"/>
  <c r="U77" i="6"/>
  <c r="U295" i="6"/>
  <c r="U436" i="6"/>
  <c r="U278" i="6"/>
  <c r="U183" i="6"/>
  <c r="U30" i="6"/>
  <c r="U449" i="6"/>
  <c r="U437" i="6"/>
  <c r="U479" i="6"/>
  <c r="U423" i="6"/>
  <c r="U144" i="6"/>
  <c r="U439" i="6"/>
  <c r="U10" i="6"/>
  <c r="U114" i="6"/>
  <c r="U23" i="6"/>
  <c r="U420" i="6"/>
  <c r="U477" i="6"/>
  <c r="U105" i="6"/>
  <c r="U277" i="6"/>
  <c r="U76" i="6"/>
  <c r="U241" i="6"/>
  <c r="U162" i="6"/>
  <c r="U417" i="6"/>
  <c r="U86" i="6"/>
  <c r="U137" i="6"/>
  <c r="U427" i="6"/>
  <c r="U120" i="6"/>
  <c r="U151" i="6"/>
  <c r="U25" i="6"/>
  <c r="U309" i="6"/>
  <c r="U424" i="6"/>
  <c r="U211" i="6"/>
  <c r="U213" i="6"/>
  <c r="U314" i="6"/>
  <c r="U180" i="6"/>
  <c r="U317" i="6"/>
  <c r="U212" i="6"/>
  <c r="U59" i="6"/>
  <c r="U481" i="6"/>
  <c r="U126" i="6"/>
  <c r="U62" i="6"/>
  <c r="U8" i="6"/>
  <c r="U440" i="6"/>
  <c r="U357" i="6"/>
  <c r="U40" i="6"/>
  <c r="U225" i="6"/>
  <c r="U455" i="6"/>
  <c r="U89" i="6"/>
  <c r="U87" i="6"/>
  <c r="U426" i="6"/>
  <c r="U51" i="6"/>
  <c r="U91" i="6"/>
  <c r="U418" i="6"/>
  <c r="U104" i="6"/>
  <c r="U425" i="6"/>
  <c r="U257" i="6"/>
  <c r="U188" i="6"/>
  <c r="U172" i="6"/>
  <c r="U41" i="6"/>
  <c r="U167" i="6"/>
  <c r="U227" i="6"/>
  <c r="U460" i="6"/>
  <c r="U229" i="6"/>
  <c r="U259" i="6"/>
  <c r="U205" i="6"/>
  <c r="U372" i="6"/>
  <c r="U177" i="6"/>
  <c r="U415" i="6"/>
  <c r="U249" i="6"/>
  <c r="U82" i="6"/>
  <c r="U434" i="6"/>
  <c r="U454" i="6"/>
  <c r="U43" i="6"/>
  <c r="U38" i="6"/>
  <c r="U60" i="6"/>
  <c r="U55" i="6"/>
  <c r="U166" i="6"/>
  <c r="U482" i="6"/>
  <c r="U464" i="6"/>
  <c r="U129" i="6"/>
  <c r="U442" i="6"/>
  <c r="U222" i="6"/>
  <c r="U446" i="6"/>
  <c r="U191" i="6"/>
  <c r="U75" i="6"/>
  <c r="U480" i="6"/>
  <c r="U263" i="6"/>
  <c r="U403" i="6"/>
  <c r="U237" i="6"/>
  <c r="U280" i="6"/>
  <c r="U16" i="6"/>
  <c r="U214" i="6"/>
  <c r="U451" i="6"/>
  <c r="U29" i="6"/>
  <c r="U168" i="6"/>
  <c r="U438" i="6"/>
  <c r="U97" i="6"/>
  <c r="U447" i="6"/>
  <c r="U18" i="6"/>
  <c r="U444" i="6"/>
  <c r="U206" i="6"/>
  <c r="U136" i="6"/>
  <c r="U58" i="6"/>
  <c r="U441" i="6"/>
  <c r="U354" i="6"/>
  <c r="U253" i="6"/>
  <c r="U348" i="6"/>
  <c r="U232" i="6"/>
  <c r="U15" i="6"/>
  <c r="U433" i="6"/>
  <c r="U155" i="6"/>
  <c r="U435" i="6"/>
  <c r="U462" i="6"/>
  <c r="U130" i="6"/>
  <c r="U208" i="6"/>
  <c r="U92" i="6"/>
  <c r="U458" i="6"/>
  <c r="U281" i="6"/>
  <c r="U80" i="6"/>
  <c r="U276" i="6"/>
  <c r="U406" i="6"/>
  <c r="U184" i="6"/>
  <c r="U49" i="6"/>
  <c r="U90" i="6"/>
  <c r="U119" i="6"/>
  <c r="U300" i="6"/>
  <c r="U374" i="6"/>
  <c r="U122" i="6"/>
  <c r="U131" i="6"/>
  <c r="U298" i="6"/>
  <c r="U318" i="6"/>
  <c r="U392" i="6"/>
  <c r="U320" i="6"/>
  <c r="U193" i="6"/>
  <c r="U370" i="6"/>
  <c r="U316" i="6"/>
  <c r="U353" i="6"/>
  <c r="U421" i="6"/>
  <c r="U286" i="6"/>
  <c r="U369" i="6"/>
  <c r="U247" i="6"/>
  <c r="U388" i="6"/>
  <c r="U258" i="6"/>
  <c r="U346" i="6"/>
  <c r="U452" i="6"/>
  <c r="U469" i="6"/>
  <c r="U306" i="6"/>
  <c r="U404" i="6"/>
  <c r="U331" i="6"/>
  <c r="U373" i="6"/>
  <c r="U324" i="6"/>
  <c r="U44" i="6"/>
  <c r="U342" i="6"/>
  <c r="U389" i="6"/>
  <c r="U391" i="6"/>
  <c r="U351" i="6"/>
  <c r="U42" i="6"/>
  <c r="U329" i="6"/>
  <c r="U72" i="6"/>
  <c r="U371" i="6"/>
  <c r="U47" i="6"/>
  <c r="U14" i="6"/>
  <c r="U361" i="6"/>
  <c r="U70" i="6"/>
  <c r="U12" i="6"/>
  <c r="U106" i="6"/>
  <c r="U405" i="6"/>
  <c r="U182" i="6"/>
  <c r="U48" i="6"/>
  <c r="U340" i="6"/>
  <c r="U378" i="6"/>
  <c r="U173" i="6"/>
  <c r="U46" i="6"/>
  <c r="U245" i="6"/>
  <c r="U81" i="6"/>
  <c r="U115" i="6"/>
  <c r="U396" i="6"/>
  <c r="U341" i="6"/>
  <c r="U123" i="6"/>
  <c r="U215" i="6"/>
  <c r="U252" i="6"/>
  <c r="U290" i="6"/>
  <c r="U236" i="6"/>
  <c r="U359" i="6"/>
  <c r="U255" i="6"/>
  <c r="U216" i="6"/>
  <c r="U244" i="6"/>
  <c r="U50" i="6"/>
  <c r="U164" i="6"/>
  <c r="U220" i="6"/>
  <c r="U262" i="6"/>
  <c r="U294" i="6"/>
  <c r="U248" i="6"/>
  <c r="U364" i="6"/>
  <c r="U395" i="6"/>
  <c r="U116" i="6"/>
  <c r="U398" i="6"/>
  <c r="U199" i="6"/>
  <c r="U98" i="6"/>
  <c r="U147" i="6"/>
  <c r="U476" i="6"/>
  <c r="U102" i="6"/>
  <c r="U169" i="6"/>
  <c r="U221" i="6"/>
  <c r="U264" i="6"/>
  <c r="U302" i="6"/>
  <c r="U260" i="6"/>
  <c r="U365" i="6"/>
  <c r="U397" i="6"/>
  <c r="U128" i="6"/>
  <c r="U266" i="6"/>
  <c r="U125" i="6"/>
  <c r="U83" i="6"/>
  <c r="U313" i="6"/>
  <c r="U93" i="6"/>
  <c r="U323" i="6"/>
  <c r="U251" i="6"/>
  <c r="U343" i="6"/>
  <c r="U39" i="6"/>
  <c r="U292" i="6"/>
  <c r="U56" i="6"/>
  <c r="U223" i="6"/>
  <c r="U304" i="6"/>
  <c r="U367" i="6"/>
  <c r="U284" i="6"/>
  <c r="U289" i="6"/>
  <c r="U217" i="6"/>
  <c r="U61" i="6"/>
  <c r="U117" i="6"/>
  <c r="U152" i="6"/>
  <c r="U226" i="6"/>
  <c r="U267" i="6"/>
  <c r="U305" i="6"/>
  <c r="U352" i="6"/>
  <c r="U399" i="6"/>
  <c r="U148" i="6"/>
  <c r="U358" i="6"/>
  <c r="U394" i="6"/>
  <c r="U63" i="6"/>
  <c r="U118" i="6"/>
  <c r="U186" i="6"/>
  <c r="U228" i="6"/>
  <c r="U268" i="6"/>
  <c r="U307" i="6"/>
  <c r="U326" i="6"/>
  <c r="U368" i="6"/>
  <c r="U400" i="6"/>
  <c r="U230" i="6"/>
  <c r="U335" i="6"/>
  <c r="U375" i="6"/>
  <c r="U138" i="6"/>
  <c r="U256" i="6"/>
  <c r="U37" i="6"/>
  <c r="U64" i="6"/>
  <c r="U127" i="6"/>
  <c r="U187" i="6"/>
  <c r="U272" i="6"/>
  <c r="U308" i="6"/>
  <c r="U401" i="6"/>
  <c r="U273" i="6"/>
  <c r="U376" i="6"/>
  <c r="U139" i="6"/>
  <c r="U65" i="6"/>
  <c r="U143" i="6"/>
  <c r="U189" i="6"/>
  <c r="U310" i="6"/>
  <c r="U402" i="6"/>
  <c r="U141" i="6"/>
  <c r="U246" i="6"/>
  <c r="U363" i="6"/>
  <c r="U17" i="6"/>
  <c r="U66" i="6"/>
  <c r="U174" i="6"/>
  <c r="U196" i="6"/>
  <c r="U146" i="6"/>
  <c r="U274" i="6"/>
  <c r="U311" i="6"/>
  <c r="U334" i="6"/>
  <c r="U377" i="6"/>
  <c r="U283" i="6"/>
  <c r="U312" i="6"/>
  <c r="U379" i="6"/>
  <c r="U202" i="6"/>
  <c r="U393" i="6"/>
  <c r="U26" i="6"/>
  <c r="U67" i="6"/>
  <c r="U132" i="6"/>
  <c r="U198" i="6"/>
  <c r="U163" i="6"/>
  <c r="U350" i="6"/>
  <c r="U28" i="6"/>
  <c r="U333" i="6"/>
  <c r="U345" i="6"/>
  <c r="U291" i="6"/>
  <c r="U31" i="6"/>
  <c r="U84" i="6"/>
  <c r="U156" i="6"/>
  <c r="U200" i="6"/>
  <c r="U238" i="6"/>
  <c r="U285" i="6"/>
  <c r="U321" i="6"/>
  <c r="U349" i="6"/>
  <c r="U416" i="6"/>
  <c r="U240" i="6"/>
  <c r="U261" i="6"/>
  <c r="U88" i="6"/>
  <c r="U150" i="6"/>
  <c r="U201" i="6"/>
  <c r="U242" i="6"/>
  <c r="U288" i="6"/>
  <c r="U322" i="6"/>
  <c r="U332" i="6"/>
  <c r="U383" i="6"/>
  <c r="U344" i="6"/>
  <c r="U360" i="6"/>
  <c r="U218" i="6"/>
  <c r="U254" i="6"/>
  <c r="U265" i="6"/>
  <c r="F5" i="6"/>
  <c r="G5" i="6"/>
  <c r="E5" i="6"/>
  <c r="H4" i="6"/>
  <c r="H3" i="6"/>
  <c r="T5" i="6"/>
  <c r="V32" i="6" l="1"/>
  <c r="V33" i="6"/>
  <c r="V34" i="6"/>
  <c r="V35" i="6"/>
  <c r="V407" i="6"/>
  <c r="V170" i="6"/>
  <c r="V171" i="6"/>
  <c r="V384" i="6"/>
  <c r="V385" i="6"/>
  <c r="V386" i="6"/>
  <c r="V387" i="6"/>
  <c r="V157" i="6"/>
  <c r="V158" i="6"/>
  <c r="V159" i="6"/>
  <c r="V160" i="6"/>
  <c r="V161" i="6"/>
  <c r="V362" i="6"/>
  <c r="V453" i="6"/>
  <c r="V269" i="6"/>
  <c r="V270" i="6"/>
  <c r="V74" i="6"/>
  <c r="V408" i="6"/>
  <c r="V409" i="6"/>
  <c r="V410" i="6"/>
  <c r="V411" i="6"/>
  <c r="V412" i="6"/>
  <c r="V413" i="6"/>
  <c r="V414" i="6"/>
  <c r="V316" i="6"/>
  <c r="V470" i="6"/>
  <c r="V471" i="6"/>
  <c r="V472" i="6"/>
  <c r="V473" i="6"/>
  <c r="V474" i="6"/>
  <c r="V475" i="6"/>
  <c r="V52" i="6"/>
  <c r="V53" i="6"/>
  <c r="V54" i="6"/>
  <c r="V142" i="6"/>
  <c r="V190" i="6"/>
  <c r="V476" i="6"/>
  <c r="V486" i="6"/>
  <c r="V492" i="6"/>
  <c r="V493" i="6"/>
  <c r="V489" i="6"/>
  <c r="V487" i="6"/>
  <c r="V490" i="6"/>
  <c r="V488" i="6"/>
  <c r="V491" i="6"/>
  <c r="V383" i="6"/>
  <c r="V192" i="6"/>
  <c r="V358" i="6"/>
  <c r="V241" i="6"/>
  <c r="V195" i="6"/>
  <c r="V484" i="6"/>
  <c r="V485" i="6"/>
  <c r="V428" i="6"/>
  <c r="V429" i="6"/>
  <c r="V430" i="6"/>
  <c r="V431" i="6"/>
  <c r="V432" i="6"/>
  <c r="V99" i="6"/>
  <c r="V100" i="6"/>
  <c r="V101" i="6"/>
  <c r="V366" i="6"/>
  <c r="V328" i="6"/>
  <c r="V97" i="6"/>
  <c r="V313" i="6"/>
  <c r="V388" i="6"/>
  <c r="V38" i="6"/>
  <c r="V265" i="6"/>
  <c r="V130" i="6"/>
  <c r="V321" i="6"/>
  <c r="V396" i="6"/>
  <c r="V13" i="6"/>
  <c r="V68" i="6"/>
  <c r="V138" i="6"/>
  <c r="V355" i="6"/>
  <c r="V169" i="6"/>
  <c r="V287" i="6"/>
  <c r="V292" i="6"/>
  <c r="V230" i="6"/>
  <c r="V325" i="6"/>
  <c r="V28" i="6"/>
  <c r="V18" i="6"/>
  <c r="V236" i="6"/>
  <c r="V444" i="6"/>
  <c r="V185" i="6"/>
  <c r="V461" i="6"/>
  <c r="V380" i="6"/>
  <c r="V381" i="6"/>
  <c r="V382" i="6"/>
  <c r="V94" i="6"/>
  <c r="V95" i="6"/>
  <c r="V96" i="6"/>
  <c r="V155" i="6"/>
  <c r="V424" i="6"/>
  <c r="V207" i="6"/>
  <c r="V478" i="6"/>
  <c r="V254" i="6"/>
  <c r="V73" i="6"/>
  <c r="V361" i="6"/>
  <c r="V106" i="6"/>
  <c r="V394" i="6"/>
  <c r="V136" i="6"/>
  <c r="V255" i="6"/>
  <c r="V204" i="6"/>
  <c r="V257" i="6"/>
  <c r="V56" i="6"/>
  <c r="V284" i="6"/>
  <c r="V12" i="6"/>
  <c r="V233" i="6"/>
  <c r="V348" i="6"/>
  <c r="V51" i="6"/>
  <c r="V281" i="6"/>
  <c r="V456" i="6"/>
  <c r="V198" i="6"/>
  <c r="V295" i="6"/>
  <c r="V252" i="6"/>
  <c r="V397" i="6"/>
  <c r="V126" i="6"/>
  <c r="V446" i="6"/>
  <c r="V360" i="6"/>
  <c r="V65" i="6"/>
  <c r="V463" i="6"/>
  <c r="V351" i="6"/>
  <c r="V376" i="6"/>
  <c r="V120" i="6"/>
  <c r="V237" i="6"/>
  <c r="V445" i="6"/>
  <c r="V186" i="6"/>
  <c r="V149" i="6"/>
  <c r="V266" i="6"/>
  <c r="V479" i="6"/>
  <c r="V217" i="6"/>
  <c r="V329" i="6"/>
  <c r="V19" i="6"/>
  <c r="V263" i="6"/>
  <c r="V439" i="6"/>
  <c r="V180" i="6"/>
  <c r="V279" i="6"/>
  <c r="V399" i="6"/>
  <c r="V141" i="6"/>
  <c r="V242" i="6"/>
  <c r="V271" i="6"/>
  <c r="V458" i="6"/>
  <c r="V305" i="6"/>
  <c r="V483" i="6"/>
  <c r="V9" i="6"/>
  <c r="V250" i="6"/>
  <c r="V90" i="6"/>
  <c r="V434" i="6"/>
  <c r="V322" i="6"/>
  <c r="V66" i="6"/>
  <c r="V359" i="6"/>
  <c r="V104" i="6"/>
  <c r="V221" i="6"/>
  <c r="V174" i="6"/>
  <c r="V391" i="6"/>
  <c r="V133" i="6"/>
  <c r="V81" i="6"/>
  <c r="V459" i="6"/>
  <c r="V201" i="6"/>
  <c r="V314" i="6"/>
  <c r="V80" i="6"/>
  <c r="V247" i="6"/>
  <c r="W7" i="6"/>
  <c r="V93" i="6"/>
  <c r="V261" i="6"/>
  <c r="V125" i="6"/>
  <c r="V226" i="6"/>
  <c r="V482" i="6"/>
  <c r="V212" i="6"/>
  <c r="V450" i="6"/>
  <c r="V367" i="6"/>
  <c r="V467" i="6"/>
  <c r="V418" i="6"/>
  <c r="V306" i="6"/>
  <c r="V67" i="6"/>
  <c r="V352" i="6"/>
  <c r="V31" i="6"/>
  <c r="V205" i="6"/>
  <c r="V341" i="6"/>
  <c r="V82" i="6"/>
  <c r="V373" i="6"/>
  <c r="V117" i="6"/>
  <c r="V234" i="6"/>
  <c r="V442" i="6"/>
  <c r="V183" i="6"/>
  <c r="V298" i="6"/>
  <c r="V40" i="6"/>
  <c r="V231" i="6"/>
  <c r="V421" i="6"/>
  <c r="V245" i="6"/>
  <c r="V365" i="6"/>
  <c r="V109" i="6"/>
  <c r="V210" i="6"/>
  <c r="V454" i="6"/>
  <c r="V256" i="6"/>
  <c r="V175" i="6"/>
  <c r="V370" i="6"/>
  <c r="V311" i="6"/>
  <c r="V139" i="6"/>
  <c r="V10" i="6"/>
  <c r="V275" i="6"/>
  <c r="V43" i="6"/>
  <c r="V436" i="6"/>
  <c r="V323" i="6"/>
  <c r="V290" i="6"/>
  <c r="V24" i="6"/>
  <c r="V320" i="6"/>
  <c r="V87" i="6"/>
  <c r="V187" i="6"/>
  <c r="V150" i="6"/>
  <c r="V346" i="6"/>
  <c r="V79" i="6"/>
  <c r="V218" i="6"/>
  <c r="V425" i="6"/>
  <c r="V92" i="6"/>
  <c r="V282" i="6"/>
  <c r="V477" i="6"/>
  <c r="V215" i="6"/>
  <c r="V402" i="6"/>
  <c r="V144" i="6"/>
  <c r="V229" i="6"/>
  <c r="V350" i="6"/>
  <c r="V41" i="6"/>
  <c r="V193" i="6"/>
  <c r="V77" i="6"/>
  <c r="V310" i="6"/>
  <c r="V452" i="6"/>
  <c r="V379" i="6"/>
  <c r="V189" i="6"/>
  <c r="V469" i="6"/>
  <c r="V420" i="6"/>
  <c r="V239" i="6"/>
  <c r="V274" i="6"/>
  <c r="V105" i="6"/>
  <c r="V304" i="6"/>
  <c r="V173" i="6"/>
  <c r="V392" i="6"/>
  <c r="V134" i="6"/>
  <c r="V337" i="6"/>
  <c r="V25" i="6"/>
  <c r="V202" i="6"/>
  <c r="V343" i="6"/>
  <c r="V164" i="6"/>
  <c r="V264" i="6"/>
  <c r="V457" i="6"/>
  <c r="V199" i="6"/>
  <c r="V128" i="6"/>
  <c r="V213" i="6"/>
  <c r="V260" i="6"/>
  <c r="V98" i="6"/>
  <c r="V60" i="6"/>
  <c r="V76" i="6"/>
  <c r="V225" i="6"/>
  <c r="V357" i="6"/>
  <c r="V289" i="6"/>
  <c r="V110" i="6"/>
  <c r="V438" i="6"/>
  <c r="V335" i="6"/>
  <c r="V168" i="6"/>
  <c r="V288" i="6"/>
  <c r="V20" i="6"/>
  <c r="V374" i="6"/>
  <c r="V118" i="6"/>
  <c r="V317" i="6"/>
  <c r="V59" i="6"/>
  <c r="V184" i="6"/>
  <c r="V405" i="6"/>
  <c r="V147" i="6"/>
  <c r="V248" i="6"/>
  <c r="V440" i="6"/>
  <c r="V181" i="6"/>
  <c r="V368" i="6"/>
  <c r="V112" i="6"/>
  <c r="V197" i="6"/>
  <c r="V309" i="6"/>
  <c r="V30" i="6"/>
  <c r="V71" i="6"/>
  <c r="V153" i="6"/>
  <c r="V395" i="6"/>
  <c r="V196" i="6"/>
  <c r="V244" i="6"/>
  <c r="V70" i="6"/>
  <c r="V240" i="6"/>
  <c r="V61" i="6"/>
  <c r="V272" i="6"/>
  <c r="V151" i="6"/>
  <c r="V330" i="6"/>
  <c r="V102" i="6"/>
  <c r="V301" i="6"/>
  <c r="V46" i="6"/>
  <c r="V166" i="6"/>
  <c r="V389" i="6"/>
  <c r="V131" i="6"/>
  <c r="V232" i="6"/>
  <c r="V339" i="6"/>
  <c r="V62" i="6"/>
  <c r="V258" i="6"/>
  <c r="V47" i="6"/>
  <c r="V179" i="6"/>
  <c r="V293" i="6"/>
  <c r="V417" i="6"/>
  <c r="V156" i="6"/>
  <c r="V26" i="6"/>
  <c r="V294" i="6"/>
  <c r="V123" i="6"/>
  <c r="V443" i="6"/>
  <c r="V333" i="6"/>
  <c r="V58" i="6"/>
  <c r="V423" i="6"/>
  <c r="V224" i="6"/>
  <c r="V55" i="6"/>
  <c r="V177" i="6"/>
  <c r="V393" i="6"/>
  <c r="V135" i="6"/>
  <c r="V353" i="6"/>
  <c r="V27" i="6"/>
  <c r="V285" i="6"/>
  <c r="V14" i="6"/>
  <c r="V165" i="6"/>
  <c r="V371" i="6"/>
  <c r="V115" i="6"/>
  <c r="V216" i="6"/>
  <c r="V344" i="6"/>
  <c r="V162" i="6"/>
  <c r="V326" i="6"/>
  <c r="V15" i="6"/>
  <c r="V75" i="6"/>
  <c r="V277" i="6"/>
  <c r="V398" i="6"/>
  <c r="V140" i="6"/>
  <c r="V455" i="6"/>
  <c r="V209" i="6"/>
  <c r="V480" i="6"/>
  <c r="V11" i="6"/>
  <c r="V253" i="6"/>
  <c r="V72" i="6"/>
  <c r="V466" i="6"/>
  <c r="V208" i="6"/>
  <c r="V22" i="6"/>
  <c r="V238" i="6"/>
  <c r="V375" i="6"/>
  <c r="V119" i="6"/>
  <c r="V318" i="6"/>
  <c r="V83" i="6"/>
  <c r="V267" i="6"/>
  <c r="V406" i="6"/>
  <c r="V148" i="6"/>
  <c r="V331" i="6"/>
  <c r="V200" i="6"/>
  <c r="V403" i="6"/>
  <c r="V145" i="6"/>
  <c r="V312" i="6"/>
  <c r="V64" i="6"/>
  <c r="V251" i="6"/>
  <c r="V124" i="6"/>
  <c r="V291" i="6"/>
  <c r="V86" i="6"/>
  <c r="V152" i="6"/>
  <c r="V300" i="6"/>
  <c r="V114" i="6"/>
  <c r="V57" i="6"/>
  <c r="V426" i="6"/>
  <c r="V137" i="6"/>
  <c r="V448" i="6"/>
  <c r="V363" i="6"/>
  <c r="V465" i="6"/>
  <c r="V449" i="6"/>
  <c r="V191" i="6"/>
  <c r="V422" i="6"/>
  <c r="V222" i="6"/>
  <c r="V345" i="6"/>
  <c r="V103" i="6"/>
  <c r="V302" i="6"/>
  <c r="V48" i="6"/>
  <c r="V167" i="6"/>
  <c r="V390" i="6"/>
  <c r="V132" i="6"/>
  <c r="V338" i="6"/>
  <c r="V21" i="6"/>
  <c r="V182" i="6"/>
  <c r="V129" i="6"/>
  <c r="V296" i="6"/>
  <c r="V36" i="6"/>
  <c r="V143" i="6"/>
  <c r="V243" i="6"/>
  <c r="V364" i="6"/>
  <c r="V108" i="6"/>
  <c r="V228" i="6"/>
  <c r="V441" i="6"/>
  <c r="V122" i="6"/>
  <c r="V427" i="6"/>
  <c r="V249" i="6"/>
  <c r="V89" i="6"/>
  <c r="V460" i="6"/>
  <c r="V400" i="6"/>
  <c r="V356" i="6"/>
  <c r="V8" i="6"/>
  <c r="V273" i="6"/>
  <c r="V37" i="6"/>
  <c r="V435" i="6"/>
  <c r="V433" i="6"/>
  <c r="V172" i="6"/>
  <c r="V464" i="6"/>
  <c r="V206" i="6"/>
  <c r="V336" i="6"/>
  <c r="V29" i="6"/>
  <c r="V286" i="6"/>
  <c r="V16" i="6"/>
  <c r="V235" i="6"/>
  <c r="V372" i="6"/>
  <c r="V116" i="6"/>
  <c r="V315" i="6"/>
  <c r="V91" i="6"/>
  <c r="V84" i="6"/>
  <c r="V369" i="6"/>
  <c r="V113" i="6"/>
  <c r="V280" i="6"/>
  <c r="V401" i="6"/>
  <c r="V127" i="6"/>
  <c r="V227" i="6"/>
  <c r="V334" i="6"/>
  <c r="V39" i="6"/>
  <c r="V307" i="6"/>
  <c r="V451" i="6"/>
  <c r="V377" i="6"/>
  <c r="V178" i="6"/>
  <c r="V468" i="6"/>
  <c r="V419" i="6"/>
  <c r="V340" i="6"/>
  <c r="V447" i="6"/>
  <c r="V188" i="6"/>
  <c r="V319" i="6"/>
  <c r="V69" i="6"/>
  <c r="V268" i="6"/>
  <c r="V481" i="6"/>
  <c r="V219" i="6"/>
  <c r="V347" i="6"/>
  <c r="V63" i="6"/>
  <c r="V299" i="6"/>
  <c r="V42" i="6"/>
  <c r="V163" i="6"/>
  <c r="V332" i="6"/>
  <c r="V49" i="6"/>
  <c r="V262" i="6"/>
  <c r="V111" i="6"/>
  <c r="V211" i="6"/>
  <c r="V324" i="6"/>
  <c r="V121" i="6"/>
  <c r="V378" i="6"/>
  <c r="V220" i="6"/>
  <c r="V44" i="6"/>
  <c r="V297" i="6"/>
  <c r="V214" i="6"/>
  <c r="V276" i="6"/>
  <c r="V416" i="6"/>
  <c r="V223" i="6"/>
  <c r="V342" i="6"/>
  <c r="V278" i="6"/>
  <c r="V107" i="6"/>
  <c r="V437" i="6"/>
  <c r="V259" i="6"/>
  <c r="V415" i="6"/>
  <c r="V154" i="6"/>
  <c r="V78" i="6"/>
  <c r="V303" i="6"/>
  <c r="V50" i="6"/>
  <c r="V176" i="6"/>
  <c r="V462" i="6"/>
  <c r="V203" i="6"/>
  <c r="V354" i="6"/>
  <c r="V23" i="6"/>
  <c r="V283" i="6"/>
  <c r="V404" i="6"/>
  <c r="V146" i="6"/>
  <c r="V327" i="6"/>
  <c r="V17" i="6"/>
  <c r="V246" i="6"/>
  <c r="V349" i="6"/>
  <c r="V45" i="6"/>
  <c r="V194" i="6"/>
  <c r="V308" i="6"/>
  <c r="V88" i="6"/>
  <c r="U5" i="6"/>
  <c r="H5" i="6"/>
  <c r="W32" i="6" l="1"/>
  <c r="W33" i="6"/>
  <c r="W34" i="6"/>
  <c r="W35" i="6"/>
  <c r="W407" i="6"/>
  <c r="W170" i="6"/>
  <c r="W171" i="6"/>
  <c r="W384" i="6"/>
  <c r="W385" i="6"/>
  <c r="W386" i="6"/>
  <c r="W387" i="6"/>
  <c r="W157" i="6"/>
  <c r="W158" i="6"/>
  <c r="W159" i="6"/>
  <c r="W160" i="6"/>
  <c r="W161" i="6"/>
  <c r="W362" i="6"/>
  <c r="W453" i="6"/>
  <c r="W270" i="6"/>
  <c r="W269" i="6"/>
  <c r="W74" i="6"/>
  <c r="W408" i="6"/>
  <c r="W409" i="6"/>
  <c r="W410" i="6"/>
  <c r="W411" i="6"/>
  <c r="W412" i="6"/>
  <c r="W413" i="6"/>
  <c r="W414" i="6"/>
  <c r="W470" i="6"/>
  <c r="W471" i="6"/>
  <c r="W472" i="6"/>
  <c r="W473" i="6"/>
  <c r="W474" i="6"/>
  <c r="W475" i="6"/>
  <c r="W190" i="6"/>
  <c r="W52" i="6"/>
  <c r="W53" i="6"/>
  <c r="W54" i="6"/>
  <c r="W491" i="6"/>
  <c r="W486" i="6"/>
  <c r="W492" i="6"/>
  <c r="W493" i="6"/>
  <c r="W489" i="6"/>
  <c r="W487" i="6"/>
  <c r="W490" i="6"/>
  <c r="W488" i="6"/>
  <c r="W195" i="6"/>
  <c r="W484" i="6"/>
  <c r="W485" i="6"/>
  <c r="W428" i="6"/>
  <c r="W429" i="6"/>
  <c r="W430" i="6"/>
  <c r="W431" i="6"/>
  <c r="W432" i="6"/>
  <c r="W127" i="6"/>
  <c r="W99" i="6"/>
  <c r="W100" i="6"/>
  <c r="W101" i="6"/>
  <c r="W361" i="6"/>
  <c r="W328" i="6"/>
  <c r="W61" i="6"/>
  <c r="W120" i="6"/>
  <c r="W88" i="6"/>
  <c r="W253" i="6"/>
  <c r="W188" i="6"/>
  <c r="W282" i="6"/>
  <c r="W17" i="6"/>
  <c r="W417" i="6"/>
  <c r="W12" i="6"/>
  <c r="W37" i="6"/>
  <c r="W149" i="6"/>
  <c r="W322" i="6"/>
  <c r="W366" i="6"/>
  <c r="W358" i="6"/>
  <c r="W60" i="6"/>
  <c r="W438" i="6"/>
  <c r="W202" i="6"/>
  <c r="W8" i="6"/>
  <c r="W482" i="6"/>
  <c r="W426" i="6"/>
  <c r="W62" i="6"/>
  <c r="W67" i="6"/>
  <c r="W461" i="6"/>
  <c r="W380" i="6"/>
  <c r="W381" i="6"/>
  <c r="W382" i="6"/>
  <c r="W306" i="6"/>
  <c r="W94" i="6"/>
  <c r="W95" i="6"/>
  <c r="W96" i="6"/>
  <c r="V5" i="6"/>
  <c r="W383" i="6"/>
  <c r="W406" i="6"/>
  <c r="W418" i="6"/>
  <c r="W478" i="6"/>
  <c r="W458" i="6"/>
  <c r="W441" i="6"/>
  <c r="W31" i="6"/>
  <c r="W30" i="6"/>
  <c r="W59" i="6"/>
  <c r="W86" i="6"/>
  <c r="W119" i="6"/>
  <c r="W147" i="6"/>
  <c r="W165" i="6"/>
  <c r="W246" i="6"/>
  <c r="W182" i="6"/>
  <c r="W43" i="6"/>
  <c r="W264" i="6"/>
  <c r="W391" i="6"/>
  <c r="W111" i="6"/>
  <c r="W211" i="6"/>
  <c r="W36" i="6"/>
  <c r="W50" i="6"/>
  <c r="W290" i="6"/>
  <c r="W346" i="6"/>
  <c r="W404" i="6"/>
  <c r="W340" i="6"/>
  <c r="W425" i="6"/>
  <c r="W439" i="6"/>
  <c r="W257" i="6"/>
  <c r="W477" i="6"/>
  <c r="W457" i="6"/>
  <c r="W29" i="6"/>
  <c r="W57" i="6"/>
  <c r="W82" i="6"/>
  <c r="W118" i="6"/>
  <c r="W145" i="6"/>
  <c r="W166" i="6"/>
  <c r="W338" i="6"/>
  <c r="W27" i="6"/>
  <c r="W225" i="6"/>
  <c r="W449" i="6"/>
  <c r="W373" i="6"/>
  <c r="W89" i="6"/>
  <c r="W309" i="6"/>
  <c r="W20" i="6"/>
  <c r="W274" i="6"/>
  <c r="W77" i="6"/>
  <c r="W191" i="6"/>
  <c r="W232" i="6"/>
  <c r="W347" i="6"/>
  <c r="W379" i="6"/>
  <c r="W403" i="6"/>
  <c r="W323" i="6"/>
  <c r="W419" i="6"/>
  <c r="W479" i="6"/>
  <c r="W455" i="6"/>
  <c r="W468" i="6"/>
  <c r="W440" i="6"/>
  <c r="W28" i="6"/>
  <c r="W81" i="6"/>
  <c r="W117" i="6"/>
  <c r="W142" i="6"/>
  <c r="W316" i="6"/>
  <c r="W464" i="6"/>
  <c r="W250" i="6"/>
  <c r="W420" i="6"/>
  <c r="W144" i="6"/>
  <c r="W324" i="6"/>
  <c r="W71" i="6"/>
  <c r="W293" i="6"/>
  <c r="W307" i="6"/>
  <c r="W18" i="6"/>
  <c r="W230" i="6"/>
  <c r="W76" i="6"/>
  <c r="W354" i="6"/>
  <c r="W355" i="6"/>
  <c r="W208" i="6"/>
  <c r="W377" i="6"/>
  <c r="W401" i="6"/>
  <c r="W400" i="6"/>
  <c r="W399" i="6"/>
  <c r="W329" i="6"/>
  <c r="W459" i="6"/>
  <c r="W469" i="6"/>
  <c r="W435" i="6"/>
  <c r="W483" i="6"/>
  <c r="W26" i="6"/>
  <c r="W51" i="6"/>
  <c r="W80" i="6"/>
  <c r="W115" i="6"/>
  <c r="W300" i="6"/>
  <c r="W218" i="6"/>
  <c r="W128" i="6"/>
  <c r="W351" i="6"/>
  <c r="W55" i="6"/>
  <c r="W277" i="6"/>
  <c r="W291" i="6"/>
  <c r="X7" i="6"/>
  <c r="W241" i="6"/>
  <c r="W304" i="6"/>
  <c r="W303" i="6"/>
  <c r="W259" i="6"/>
  <c r="W348" i="6"/>
  <c r="W375" i="6"/>
  <c r="W372" i="6"/>
  <c r="W370" i="6"/>
  <c r="W398" i="6"/>
  <c r="W421" i="6"/>
  <c r="W452" i="6"/>
  <c r="W480" i="6"/>
  <c r="W460" i="6"/>
  <c r="W24" i="6"/>
  <c r="W48" i="6"/>
  <c r="W79" i="6"/>
  <c r="W284" i="6"/>
  <c r="W437" i="6"/>
  <c r="W256" i="6"/>
  <c r="W392" i="6"/>
  <c r="W112" i="6"/>
  <c r="W227" i="6"/>
  <c r="W38" i="6"/>
  <c r="W244" i="6"/>
  <c r="W275" i="6"/>
  <c r="W427" i="6"/>
  <c r="W181" i="6"/>
  <c r="W476" i="6"/>
  <c r="W276" i="6"/>
  <c r="W273" i="6"/>
  <c r="W302" i="6"/>
  <c r="W219" i="6"/>
  <c r="W332" i="6"/>
  <c r="W325" i="6"/>
  <c r="W258" i="6"/>
  <c r="W369" i="6"/>
  <c r="W397" i="6"/>
  <c r="W395" i="6"/>
  <c r="W422" i="6"/>
  <c r="W443" i="6"/>
  <c r="W450" i="6"/>
  <c r="W21" i="6"/>
  <c r="W47" i="6"/>
  <c r="W266" i="6"/>
  <c r="W467" i="6"/>
  <c r="W163" i="6"/>
  <c r="W374" i="6"/>
  <c r="W90" i="6"/>
  <c r="W311" i="6"/>
  <c r="W22" i="6"/>
  <c r="W183" i="6"/>
  <c r="W236" i="6"/>
  <c r="W10" i="6"/>
  <c r="W177" i="6"/>
  <c r="W217" i="6"/>
  <c r="W192" i="6"/>
  <c r="W272" i="6"/>
  <c r="W301" i="6"/>
  <c r="W203" i="6"/>
  <c r="W194" i="6"/>
  <c r="W260" i="6"/>
  <c r="W349" i="6"/>
  <c r="W350" i="6"/>
  <c r="W367" i="6"/>
  <c r="W393" i="6"/>
  <c r="W356" i="6"/>
  <c r="W466" i="6"/>
  <c r="W454" i="6"/>
  <c r="W447" i="6"/>
  <c r="W19" i="6"/>
  <c r="W178" i="6"/>
  <c r="W146" i="6"/>
  <c r="W330" i="6"/>
  <c r="W72" i="6"/>
  <c r="W295" i="6"/>
  <c r="W481" i="6"/>
  <c r="W207" i="6"/>
  <c r="W245" i="6"/>
  <c r="W456" i="6"/>
  <c r="W175" i="6"/>
  <c r="W233" i="6"/>
  <c r="W93" i="6"/>
  <c r="W238" i="6"/>
  <c r="W226" i="6"/>
  <c r="W249" i="6"/>
  <c r="W271" i="6"/>
  <c r="W299" i="6"/>
  <c r="W297" i="6"/>
  <c r="W294" i="6"/>
  <c r="W180" i="6"/>
  <c r="W319" i="6"/>
  <c r="W335" i="6"/>
  <c r="W365" i="6"/>
  <c r="W390" i="6"/>
  <c r="W341" i="6"/>
  <c r="W9" i="6"/>
  <c r="W465" i="6"/>
  <c r="W196" i="6"/>
  <c r="W344" i="6"/>
  <c r="W130" i="6"/>
  <c r="W334" i="6"/>
  <c r="W56" i="6"/>
  <c r="W279" i="6"/>
  <c r="W451" i="6"/>
  <c r="W179" i="6"/>
  <c r="W189" i="6"/>
  <c r="W243" i="6"/>
  <c r="W154" i="6"/>
  <c r="W305" i="6"/>
  <c r="W242" i="6"/>
  <c r="W140" i="6"/>
  <c r="W176" i="6"/>
  <c r="W167" i="6"/>
  <c r="W210" i="6"/>
  <c r="W237" i="6"/>
  <c r="W268" i="6"/>
  <c r="W267" i="6"/>
  <c r="W265" i="6"/>
  <c r="W292" i="6"/>
  <c r="W289" i="6"/>
  <c r="W318" i="6"/>
  <c r="W352" i="6"/>
  <c r="W364" i="6"/>
  <c r="W388" i="6"/>
  <c r="W342" i="6"/>
  <c r="W416" i="6"/>
  <c r="W424" i="6"/>
  <c r="W234" i="6"/>
  <c r="W394" i="6"/>
  <c r="W114" i="6"/>
  <c r="W235" i="6"/>
  <c r="W39" i="6"/>
  <c r="W261" i="6"/>
  <c r="W442" i="6"/>
  <c r="W173" i="6"/>
  <c r="W254" i="6"/>
  <c r="W224" i="6"/>
  <c r="W138" i="6"/>
  <c r="W278" i="6"/>
  <c r="W113" i="6"/>
  <c r="W137" i="6"/>
  <c r="W136" i="6"/>
  <c r="W184" i="6"/>
  <c r="W228" i="6"/>
  <c r="W220" i="6"/>
  <c r="W212" i="6"/>
  <c r="W263" i="6"/>
  <c r="W248" i="6"/>
  <c r="W288" i="6"/>
  <c r="W317" i="6"/>
  <c r="W336" i="6"/>
  <c r="W363" i="6"/>
  <c r="W247" i="6"/>
  <c r="W446" i="6"/>
  <c r="W197" i="6"/>
  <c r="W376" i="6"/>
  <c r="W92" i="6"/>
  <c r="W312" i="6"/>
  <c r="W23" i="6"/>
  <c r="W201" i="6"/>
  <c r="W239" i="6"/>
  <c r="W174" i="6"/>
  <c r="W402" i="6"/>
  <c r="W122" i="6"/>
  <c r="W78" i="6"/>
  <c r="W110" i="6"/>
  <c r="W108" i="6"/>
  <c r="W135" i="6"/>
  <c r="W164" i="6"/>
  <c r="W168" i="6"/>
  <c r="W255" i="6"/>
  <c r="W229" i="6"/>
  <c r="W204" i="6"/>
  <c r="W186" i="6"/>
  <c r="W240" i="6"/>
  <c r="W287" i="6"/>
  <c r="W315" i="6"/>
  <c r="W216" i="6"/>
  <c r="W360" i="6"/>
  <c r="W436" i="6"/>
  <c r="W359" i="6"/>
  <c r="W75" i="6"/>
  <c r="W296" i="6"/>
  <c r="W434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1" i="6"/>
  <c r="W222" i="6"/>
  <c r="W286" i="6"/>
  <c r="W313" i="6"/>
  <c r="W353" i="6"/>
  <c r="W345" i="6"/>
  <c r="W327" i="6"/>
  <c r="W148" i="6"/>
  <c r="W333" i="6"/>
  <c r="W58" i="6"/>
  <c r="W280" i="6"/>
  <c r="W320" i="6"/>
  <c r="W193" i="6"/>
  <c r="W405" i="6"/>
  <c r="W125" i="6"/>
  <c r="W139" i="6"/>
  <c r="W368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5" i="6"/>
  <c r="W310" i="6"/>
  <c r="W337" i="6"/>
  <c r="W200" i="6"/>
  <c r="W132" i="6"/>
  <c r="W339" i="6"/>
  <c r="W41" i="6"/>
  <c r="W262" i="6"/>
  <c r="W445" i="6"/>
  <c r="W172" i="6"/>
  <c r="W389" i="6"/>
  <c r="W109" i="6"/>
  <c r="W123" i="6"/>
  <c r="W331" i="6"/>
  <c r="W66" i="6"/>
  <c r="W448" i="6"/>
  <c r="W444" i="6"/>
  <c r="W14" i="6"/>
  <c r="W42" i="6"/>
  <c r="W68" i="6"/>
  <c r="W103" i="6"/>
  <c r="W102" i="6"/>
  <c r="W126" i="6"/>
  <c r="W124" i="6"/>
  <c r="W151" i="6"/>
  <c r="W187" i="6"/>
  <c r="W199" i="6"/>
  <c r="W206" i="6"/>
  <c r="W283" i="6"/>
  <c r="W308" i="6"/>
  <c r="W396" i="6"/>
  <c r="W116" i="6"/>
  <c r="W314" i="6"/>
  <c r="W25" i="6"/>
  <c r="W209" i="6"/>
  <c r="W433" i="6"/>
  <c r="W371" i="6"/>
  <c r="W87" i="6"/>
  <c r="W107" i="6"/>
  <c r="W326" i="6"/>
  <c r="W49" i="6"/>
  <c r="W415" i="6"/>
  <c r="W462" i="6"/>
  <c r="W357" i="6"/>
  <c r="W423" i="6"/>
  <c r="W463" i="6"/>
  <c r="W13" i="6"/>
  <c r="W40" i="6"/>
  <c r="W65" i="6"/>
  <c r="W64" i="6"/>
  <c r="W63" i="6"/>
  <c r="W98" i="6"/>
  <c r="W91" i="6"/>
  <c r="W121" i="6"/>
  <c r="W150" i="6"/>
  <c r="W169" i="6"/>
  <c r="W252" i="6"/>
  <c r="W198" i="6"/>
  <c r="W281" i="6"/>
  <c r="W378" i="6"/>
  <c r="W97" i="6"/>
  <c r="W298" i="6"/>
  <c r="W231" i="6"/>
  <c r="W343" i="6"/>
  <c r="W143" i="6"/>
  <c r="W321" i="6"/>
  <c r="W69" i="6"/>
  <c r="W84" i="6"/>
  <c r="W185" i="6"/>
  <c r="X32" i="6" l="1"/>
  <c r="X33" i="6"/>
  <c r="X34" i="6"/>
  <c r="X35" i="6"/>
  <c r="X407" i="6"/>
  <c r="X170" i="6"/>
  <c r="X171" i="6"/>
  <c r="X384" i="6"/>
  <c r="X385" i="6"/>
  <c r="X386" i="6"/>
  <c r="X387" i="6"/>
  <c r="X157" i="6"/>
  <c r="X158" i="6"/>
  <c r="X159" i="6"/>
  <c r="X160" i="6"/>
  <c r="X161" i="6"/>
  <c r="X362" i="6"/>
  <c r="X453" i="6"/>
  <c r="X270" i="6"/>
  <c r="X269" i="6"/>
  <c r="X74" i="6"/>
  <c r="X408" i="6"/>
  <c r="X409" i="6"/>
  <c r="X410" i="6"/>
  <c r="X411" i="6"/>
  <c r="X412" i="6"/>
  <c r="X413" i="6"/>
  <c r="X414" i="6"/>
  <c r="X470" i="6"/>
  <c r="X471" i="6"/>
  <c r="X472" i="6"/>
  <c r="X473" i="6"/>
  <c r="X474" i="6"/>
  <c r="X475" i="6"/>
  <c r="X190" i="6"/>
  <c r="X52" i="6"/>
  <c r="X53" i="6"/>
  <c r="X54" i="6"/>
  <c r="X491" i="6"/>
  <c r="X486" i="6"/>
  <c r="X492" i="6"/>
  <c r="X493" i="6"/>
  <c r="X489" i="6"/>
  <c r="X487" i="6"/>
  <c r="X490" i="6"/>
  <c r="X488" i="6"/>
  <c r="X195" i="6"/>
  <c r="X484" i="6"/>
  <c r="X485" i="6"/>
  <c r="X428" i="6"/>
  <c r="X429" i="6"/>
  <c r="X430" i="6"/>
  <c r="X431" i="6"/>
  <c r="X432" i="6"/>
  <c r="X328" i="6"/>
  <c r="X99" i="6"/>
  <c r="X100" i="6"/>
  <c r="X101" i="6"/>
  <c r="X275" i="6"/>
  <c r="X366" i="6"/>
  <c r="X390" i="6"/>
  <c r="X300" i="6"/>
  <c r="X168" i="6"/>
  <c r="X479" i="6"/>
  <c r="X325" i="6"/>
  <c r="X72" i="6"/>
  <c r="X380" i="6"/>
  <c r="X381" i="6"/>
  <c r="X382" i="6"/>
  <c r="X274" i="6"/>
  <c r="X290" i="6"/>
  <c r="X450" i="6"/>
  <c r="X421" i="6"/>
  <c r="X79" i="6"/>
  <c r="X67" i="6"/>
  <c r="X13" i="6"/>
  <c r="X28" i="6"/>
  <c r="X461" i="6"/>
  <c r="X436" i="6"/>
  <c r="X81" i="6"/>
  <c r="X167" i="6"/>
  <c r="X26" i="6"/>
  <c r="X323" i="6"/>
  <c r="X252" i="6"/>
  <c r="X221" i="6"/>
  <c r="X454" i="6"/>
  <c r="X314" i="6"/>
  <c r="X82" i="6"/>
  <c r="X438" i="6"/>
  <c r="X424" i="6"/>
  <c r="X372" i="6"/>
  <c r="X228" i="6"/>
  <c r="X451" i="6"/>
  <c r="X253" i="6"/>
  <c r="X316" i="6"/>
  <c r="X330" i="6"/>
  <c r="X182" i="6"/>
  <c r="X88" i="6"/>
  <c r="X134" i="6"/>
  <c r="X399" i="6"/>
  <c r="X363" i="6"/>
  <c r="X151" i="6"/>
  <c r="X349" i="6"/>
  <c r="X294" i="6"/>
  <c r="X278" i="6"/>
  <c r="X196" i="6"/>
  <c r="X335" i="6"/>
  <c r="X357" i="6"/>
  <c r="X29" i="6"/>
  <c r="X94" i="6"/>
  <c r="X95" i="6"/>
  <c r="X96" i="6"/>
  <c r="X361" i="6"/>
  <c r="X172" i="6"/>
  <c r="X292" i="6"/>
  <c r="X93" i="6"/>
  <c r="X65" i="6"/>
  <c r="X70" i="6"/>
  <c r="X342" i="6"/>
  <c r="X154" i="6"/>
  <c r="X27" i="6"/>
  <c r="X276" i="6"/>
  <c r="X84" i="6"/>
  <c r="X478" i="6"/>
  <c r="X291" i="6"/>
  <c r="X90" i="6"/>
  <c r="W5" i="6"/>
  <c r="X480" i="6"/>
  <c r="X433" i="6"/>
  <c r="X103" i="6"/>
  <c r="X353" i="6"/>
  <c r="X10" i="6"/>
  <c r="X441" i="6"/>
  <c r="X267" i="6"/>
  <c r="X333" i="6"/>
  <c r="X248" i="6"/>
  <c r="X180" i="6"/>
  <c r="X43" i="6"/>
  <c r="X240" i="6"/>
  <c r="X236" i="6"/>
  <c r="X230" i="6"/>
  <c r="X442" i="6"/>
  <c r="X191" i="6"/>
  <c r="X213" i="6"/>
  <c r="X402" i="6"/>
  <c r="X138" i="6"/>
  <c r="X153" i="6"/>
  <c r="X417" i="6"/>
  <c r="X150" i="6"/>
  <c r="X339" i="6"/>
  <c r="X51" i="6"/>
  <c r="X49" i="6"/>
  <c r="X48" i="6"/>
  <c r="X46" i="6"/>
  <c r="X77" i="6"/>
  <c r="X311" i="6"/>
  <c r="X425" i="6"/>
  <c r="X192" i="6"/>
  <c r="X22" i="6"/>
  <c r="X245" i="6"/>
  <c r="X137" i="6"/>
  <c r="X25" i="6"/>
  <c r="X24" i="6"/>
  <c r="X76" i="6"/>
  <c r="X467" i="6"/>
  <c r="X395" i="6"/>
  <c r="X187" i="6"/>
  <c r="X354" i="6"/>
  <c r="X383" i="6"/>
  <c r="Y7" i="6"/>
  <c r="X188" i="6"/>
  <c r="X215" i="6"/>
  <c r="X293" i="6"/>
  <c r="X199" i="6"/>
  <c r="X189" i="6"/>
  <c r="X181" i="6"/>
  <c r="X423" i="6"/>
  <c r="X156" i="6"/>
  <c r="X173" i="6"/>
  <c r="X368" i="6"/>
  <c r="X106" i="6"/>
  <c r="X121" i="6"/>
  <c r="X118" i="6"/>
  <c r="X298" i="6"/>
  <c r="X297" i="6"/>
  <c r="X296" i="6"/>
  <c r="X295" i="6"/>
  <c r="X9" i="6"/>
  <c r="X369" i="6"/>
  <c r="X463" i="6"/>
  <c r="X307" i="6"/>
  <c r="X260" i="6"/>
  <c r="X405" i="6"/>
  <c r="X452" i="6"/>
  <c r="X120" i="6"/>
  <c r="X184" i="6"/>
  <c r="X277" i="6"/>
  <c r="X477" i="6"/>
  <c r="X254" i="6"/>
  <c r="X255" i="6"/>
  <c r="X229" i="6"/>
  <c r="X404" i="6"/>
  <c r="X140" i="6"/>
  <c r="X155" i="6"/>
  <c r="X348" i="6"/>
  <c r="X80" i="6"/>
  <c r="X105" i="6"/>
  <c r="X364" i="6"/>
  <c r="X102" i="6"/>
  <c r="X282" i="6"/>
  <c r="X281" i="6"/>
  <c r="X280" i="6"/>
  <c r="X279" i="6"/>
  <c r="X36" i="6"/>
  <c r="X476" i="6"/>
  <c r="X419" i="6"/>
  <c r="X334" i="6"/>
  <c r="X418" i="6"/>
  <c r="X482" i="6"/>
  <c r="X75" i="6"/>
  <c r="X259" i="6"/>
  <c r="X378" i="6"/>
  <c r="X11" i="6"/>
  <c r="X232" i="6"/>
  <c r="X244" i="6"/>
  <c r="X216" i="6"/>
  <c r="X208" i="6"/>
  <c r="X200" i="6"/>
  <c r="X388" i="6"/>
  <c r="X124" i="6"/>
  <c r="X139" i="6"/>
  <c r="X337" i="6"/>
  <c r="X58" i="6"/>
  <c r="X57" i="6"/>
  <c r="X194" i="6"/>
  <c r="X92" i="6"/>
  <c r="X264" i="6"/>
  <c r="X263" i="6"/>
  <c r="X262" i="6"/>
  <c r="X261" i="6"/>
  <c r="X20" i="6"/>
  <c r="X403" i="6"/>
  <c r="X317" i="6"/>
  <c r="X392" i="6"/>
  <c r="X344" i="6"/>
  <c r="X427" i="6"/>
  <c r="X301" i="6"/>
  <c r="X219" i="6"/>
  <c r="X400" i="6"/>
  <c r="X434" i="6"/>
  <c r="X86" i="6"/>
  <c r="X183" i="6"/>
  <c r="X483" i="6"/>
  <c r="X177" i="6"/>
  <c r="X176" i="6"/>
  <c r="X175" i="6"/>
  <c r="X370" i="6"/>
  <c r="X108" i="6"/>
  <c r="X123" i="6"/>
  <c r="X319" i="6"/>
  <c r="X37" i="6"/>
  <c r="X355" i="6"/>
  <c r="X225" i="6"/>
  <c r="X217" i="6"/>
  <c r="X209" i="6"/>
  <c r="X201" i="6"/>
  <c r="X50" i="6"/>
  <c r="X439" i="6"/>
  <c r="X136" i="6"/>
  <c r="X309" i="6"/>
  <c r="X241" i="6"/>
  <c r="X393" i="6"/>
  <c r="X204" i="6"/>
  <c r="X365" i="6"/>
  <c r="X445" i="6"/>
  <c r="X169" i="6"/>
  <c r="X340" i="6"/>
  <c r="X375" i="6"/>
  <c r="X449" i="6"/>
  <c r="X162" i="6"/>
  <c r="X207" i="6"/>
  <c r="X343" i="6"/>
  <c r="X331" i="6"/>
  <c r="X83" i="6"/>
  <c r="X107" i="6"/>
  <c r="X303" i="6"/>
  <c r="X12" i="6"/>
  <c r="X98" i="6"/>
  <c r="X315" i="6"/>
  <c r="X30" i="6"/>
  <c r="X250" i="6"/>
  <c r="X251" i="6"/>
  <c r="X231" i="6"/>
  <c r="X223" i="6"/>
  <c r="X359" i="6"/>
  <c r="X122" i="6"/>
  <c r="X377" i="6"/>
  <c r="X104" i="6"/>
  <c r="X326" i="6"/>
  <c r="X389" i="6"/>
  <c r="X358" i="6"/>
  <c r="X458" i="6"/>
  <c r="X285" i="6"/>
  <c r="X258" i="6"/>
  <c r="X185" i="6"/>
  <c r="X145" i="6"/>
  <c r="X179" i="6"/>
  <c r="X143" i="6"/>
  <c r="X142" i="6"/>
  <c r="X141" i="6"/>
  <c r="X227" i="6"/>
  <c r="X60" i="6"/>
  <c r="X91" i="6"/>
  <c r="X287" i="6"/>
  <c r="X302" i="6"/>
  <c r="X56" i="6"/>
  <c r="X299" i="6"/>
  <c r="X444" i="6"/>
  <c r="X218" i="6"/>
  <c r="X210" i="6"/>
  <c r="X202" i="6"/>
  <c r="X193" i="6"/>
  <c r="X18" i="6"/>
  <c r="X422" i="6"/>
  <c r="X367" i="6"/>
  <c r="X437" i="6"/>
  <c r="X312" i="6"/>
  <c r="X360" i="6"/>
  <c r="X459" i="6"/>
  <c r="X152" i="6"/>
  <c r="X322" i="6"/>
  <c r="X396" i="6"/>
  <c r="X129" i="6"/>
  <c r="X224" i="6"/>
  <c r="X391" i="6"/>
  <c r="X127" i="6"/>
  <c r="X126" i="6"/>
  <c r="X125" i="6"/>
  <c r="X321" i="6"/>
  <c r="X39" i="6"/>
  <c r="X59" i="6"/>
  <c r="X271" i="6"/>
  <c r="X286" i="6"/>
  <c r="X283" i="6"/>
  <c r="X448" i="6"/>
  <c r="X247" i="6"/>
  <c r="X243" i="6"/>
  <c r="X239" i="6"/>
  <c r="X235" i="6"/>
  <c r="X64" i="6"/>
  <c r="X398" i="6"/>
  <c r="X332" i="6"/>
  <c r="X435" i="6"/>
  <c r="X234" i="6"/>
  <c r="X203" i="6"/>
  <c r="X8" i="6"/>
  <c r="X443" i="6"/>
  <c r="X266" i="6"/>
  <c r="X371" i="6"/>
  <c r="X113" i="6"/>
  <c r="X68" i="6"/>
  <c r="X373" i="6"/>
  <c r="X111" i="6"/>
  <c r="X110" i="6"/>
  <c r="X109" i="6"/>
  <c r="X305" i="6"/>
  <c r="X16" i="6"/>
  <c r="X38" i="6"/>
  <c r="X206" i="6"/>
  <c r="X268" i="6"/>
  <c r="X73" i="6"/>
  <c r="X265" i="6"/>
  <c r="X89" i="6"/>
  <c r="X71" i="6"/>
  <c r="X47" i="6"/>
  <c r="X336" i="6"/>
  <c r="X457" i="6"/>
  <c r="X464" i="6"/>
  <c r="X310" i="6"/>
  <c r="X345" i="6"/>
  <c r="X406" i="6"/>
  <c r="X469" i="6"/>
  <c r="X135" i="6"/>
  <c r="X350" i="6"/>
  <c r="X66" i="6"/>
  <c r="X346" i="6"/>
  <c r="X87" i="6"/>
  <c r="X69" i="6"/>
  <c r="X97" i="6"/>
  <c r="X289" i="6"/>
  <c r="X304" i="6"/>
  <c r="X14" i="6"/>
  <c r="X220" i="6"/>
  <c r="X198" i="6"/>
  <c r="X55" i="6"/>
  <c r="X233" i="6"/>
  <c r="X211" i="6"/>
  <c r="X166" i="6"/>
  <c r="X165" i="6"/>
  <c r="X164" i="6"/>
  <c r="X163" i="6"/>
  <c r="X31" i="6"/>
  <c r="X249" i="6"/>
  <c r="X327" i="6"/>
  <c r="X420" i="6"/>
  <c r="X460" i="6"/>
  <c r="X256" i="6"/>
  <c r="X338" i="6"/>
  <c r="X341" i="6"/>
  <c r="X455" i="6"/>
  <c r="X318" i="6"/>
  <c r="X44" i="6"/>
  <c r="X144" i="6"/>
  <c r="X352" i="6"/>
  <c r="X63" i="6"/>
  <c r="X62" i="6"/>
  <c r="X61" i="6"/>
  <c r="X273" i="6"/>
  <c r="X288" i="6"/>
  <c r="X447" i="6"/>
  <c r="X246" i="6"/>
  <c r="X212" i="6"/>
  <c r="X186" i="6"/>
  <c r="X416" i="6"/>
  <c r="X149" i="6"/>
  <c r="X148" i="6"/>
  <c r="X147" i="6"/>
  <c r="X146" i="6"/>
  <c r="X15" i="6"/>
  <c r="X440" i="6"/>
  <c r="X320" i="6"/>
  <c r="X426" i="6"/>
  <c r="X313" i="6"/>
  <c r="X394" i="6"/>
  <c r="X446" i="6"/>
  <c r="X462" i="6"/>
  <c r="X306" i="6"/>
  <c r="X347" i="6"/>
  <c r="X401" i="6"/>
  <c r="X466" i="6"/>
  <c r="X178" i="6"/>
  <c r="X23" i="6"/>
  <c r="X128" i="6"/>
  <c r="X324" i="6"/>
  <c r="X42" i="6"/>
  <c r="X41" i="6"/>
  <c r="X40" i="6"/>
  <c r="X222" i="6"/>
  <c r="X272" i="6"/>
  <c r="X468" i="6"/>
  <c r="X205" i="6"/>
  <c r="X242" i="6"/>
  <c r="X481" i="6"/>
  <c r="X226" i="6"/>
  <c r="X397" i="6"/>
  <c r="X133" i="6"/>
  <c r="X132" i="6"/>
  <c r="X131" i="6"/>
  <c r="X130" i="6"/>
  <c r="X45" i="6"/>
  <c r="X174" i="6"/>
  <c r="X238" i="6"/>
  <c r="X284" i="6"/>
  <c r="X351" i="6"/>
  <c r="X415" i="6"/>
  <c r="X356" i="6"/>
  <c r="X376" i="6"/>
  <c r="X329" i="6"/>
  <c r="X119" i="6"/>
  <c r="X374" i="6"/>
  <c r="X112" i="6"/>
  <c r="X308" i="6"/>
  <c r="X21" i="6"/>
  <c r="X19" i="6"/>
  <c r="X17" i="6"/>
  <c r="X237" i="6"/>
  <c r="X214" i="6"/>
  <c r="X456" i="6"/>
  <c r="X78" i="6"/>
  <c r="X197" i="6"/>
  <c r="X465" i="6"/>
  <c r="X257" i="6"/>
  <c r="X379" i="6"/>
  <c r="X117" i="6"/>
  <c r="X116" i="6"/>
  <c r="X115" i="6"/>
  <c r="X114" i="6"/>
  <c r="Y32" i="6" l="1"/>
  <c r="Y33" i="6"/>
  <c r="Y34" i="6"/>
  <c r="Y35" i="6"/>
  <c r="Y407" i="6"/>
  <c r="Y170" i="6"/>
  <c r="Y171" i="6"/>
  <c r="Y384" i="6"/>
  <c r="Y385" i="6"/>
  <c r="Y386" i="6"/>
  <c r="Y387" i="6"/>
  <c r="Y157" i="6"/>
  <c r="Y158" i="6"/>
  <c r="Y159" i="6"/>
  <c r="Y160" i="6"/>
  <c r="Y161" i="6"/>
  <c r="Y362" i="6"/>
  <c r="Y453" i="6"/>
  <c r="Y270" i="6"/>
  <c r="Y269" i="6"/>
  <c r="Y74" i="6"/>
  <c r="Y408" i="6"/>
  <c r="Y409" i="6"/>
  <c r="Y410" i="6"/>
  <c r="Y411" i="6"/>
  <c r="Y412" i="6"/>
  <c r="Y413" i="6"/>
  <c r="Y414" i="6"/>
  <c r="Y470" i="6"/>
  <c r="Y471" i="6"/>
  <c r="Y472" i="6"/>
  <c r="Y473" i="6"/>
  <c r="Y474" i="6"/>
  <c r="Y475" i="6"/>
  <c r="Y190" i="6"/>
  <c r="Y52" i="6"/>
  <c r="Y53" i="6"/>
  <c r="Y54" i="6"/>
  <c r="Y488" i="6"/>
  <c r="Y491" i="6"/>
  <c r="Y486" i="6"/>
  <c r="Y492" i="6"/>
  <c r="Y493" i="6"/>
  <c r="Y489" i="6"/>
  <c r="Y487" i="6"/>
  <c r="Y490" i="6"/>
  <c r="Y484" i="6"/>
  <c r="Y485" i="6"/>
  <c r="Y103" i="6"/>
  <c r="Y370" i="6"/>
  <c r="Y137" i="6"/>
  <c r="Y195" i="6"/>
  <c r="Y477" i="6"/>
  <c r="Y405" i="6"/>
  <c r="Y402" i="6"/>
  <c r="Y146" i="6"/>
  <c r="Y42" i="6"/>
  <c r="Y75" i="6"/>
  <c r="Y123" i="6"/>
  <c r="Y201" i="6"/>
  <c r="Y428" i="6"/>
  <c r="Y429" i="6"/>
  <c r="Y430" i="6"/>
  <c r="Y431" i="6"/>
  <c r="Y432" i="6"/>
  <c r="Y272" i="6"/>
  <c r="Y218" i="6"/>
  <c r="Y178" i="6"/>
  <c r="Y129" i="6"/>
  <c r="Y78" i="6"/>
  <c r="Y57" i="6"/>
  <c r="Y368" i="6"/>
  <c r="Y207" i="6"/>
  <c r="Y14" i="6"/>
  <c r="Y285" i="6"/>
  <c r="Y437" i="6"/>
  <c r="Y279" i="6"/>
  <c r="Y426" i="6"/>
  <c r="Y27" i="6"/>
  <c r="Y293" i="6"/>
  <c r="Y145" i="6"/>
  <c r="Y65" i="6"/>
  <c r="Y105" i="6"/>
  <c r="Y18" i="6"/>
  <c r="Y223" i="6"/>
  <c r="Y110" i="6"/>
  <c r="Y243" i="6"/>
  <c r="Y180" i="6"/>
  <c r="Y149" i="6"/>
  <c r="Y87" i="6"/>
  <c r="Y221" i="6"/>
  <c r="Y72" i="6"/>
  <c r="Y61" i="6"/>
  <c r="Y124" i="6"/>
  <c r="Y351" i="6"/>
  <c r="Y275" i="6"/>
  <c r="Y400" i="6"/>
  <c r="Y307" i="6"/>
  <c r="Y219" i="6"/>
  <c r="Y115" i="6"/>
  <c r="Y328" i="6"/>
  <c r="Y99" i="6"/>
  <c r="Y100" i="6"/>
  <c r="Y101" i="6"/>
  <c r="Y342" i="6"/>
  <c r="Y174" i="6"/>
  <c r="Y234" i="6"/>
  <c r="Y84" i="6"/>
  <c r="Y62" i="6"/>
  <c r="Y415" i="6"/>
  <c r="Y82" i="6"/>
  <c r="Y317" i="6"/>
  <c r="Y188" i="6"/>
  <c r="Y463" i="6"/>
  <c r="Y148" i="6"/>
  <c r="Y104" i="6"/>
  <c r="Y358" i="6"/>
  <c r="Y349" i="6"/>
  <c r="Y255" i="6"/>
  <c r="Y12" i="6"/>
  <c r="Y119" i="6"/>
  <c r="Y232" i="6"/>
  <c r="Y366" i="6"/>
  <c r="Y452" i="6"/>
  <c r="Y132" i="6"/>
  <c r="Y331" i="6"/>
  <c r="Y204" i="6"/>
  <c r="Y134" i="6"/>
  <c r="Y438" i="6"/>
  <c r="Y422" i="6"/>
  <c r="Y397" i="6"/>
  <c r="Y49" i="6"/>
  <c r="Y127" i="6"/>
  <c r="Y196" i="6"/>
  <c r="Y194" i="6"/>
  <c r="Y215" i="6"/>
  <c r="Y315" i="6"/>
  <c r="Y16" i="6"/>
  <c r="Y38" i="6"/>
  <c r="Y60" i="6"/>
  <c r="Y9" i="6"/>
  <c r="Y113" i="6"/>
  <c r="Y189" i="6"/>
  <c r="Y205" i="6"/>
  <c r="Y183" i="6"/>
  <c r="Y46" i="6"/>
  <c r="Y261" i="6"/>
  <c r="Y330" i="6"/>
  <c r="Y239" i="6"/>
  <c r="Y17" i="6"/>
  <c r="Y112" i="6"/>
  <c r="Y373" i="6"/>
  <c r="Y398" i="6"/>
  <c r="Y26" i="6"/>
  <c r="Y102" i="6"/>
  <c r="Y166" i="6"/>
  <c r="Y89" i="6"/>
  <c r="Y192" i="6"/>
  <c r="Y364" i="6"/>
  <c r="Y280" i="6"/>
  <c r="Y13" i="6"/>
  <c r="Y36" i="6"/>
  <c r="Y401" i="6"/>
  <c r="Y73" i="6"/>
  <c r="Y173" i="6"/>
  <c r="Y156" i="6"/>
  <c r="Y167" i="6"/>
  <c r="Y30" i="6"/>
  <c r="Y392" i="6"/>
  <c r="Y277" i="6"/>
  <c r="Y8" i="6"/>
  <c r="Y58" i="6"/>
  <c r="Y248" i="6"/>
  <c r="Y369" i="6"/>
  <c r="Y460" i="6"/>
  <c r="Y393" i="6"/>
  <c r="Y48" i="6"/>
  <c r="Y125" i="6"/>
  <c r="Y69" i="6"/>
  <c r="Y122" i="6"/>
  <c r="Y448" i="6"/>
  <c r="Y343" i="6"/>
  <c r="Y345" i="6"/>
  <c r="Y367" i="6"/>
  <c r="Y359" i="6"/>
  <c r="Y40" i="6"/>
  <c r="Y70" i="6"/>
  <c r="Y108" i="6"/>
  <c r="Y81" i="6"/>
  <c r="Y77" i="6"/>
  <c r="Y259" i="6"/>
  <c r="Y97" i="6"/>
  <c r="Y262" i="6"/>
  <c r="Y378" i="6"/>
  <c r="Y481" i="6"/>
  <c r="Y24" i="6"/>
  <c r="Y37" i="6"/>
  <c r="Y86" i="6"/>
  <c r="Y47" i="6"/>
  <c r="Y76" i="6"/>
  <c r="Y228" i="6"/>
  <c r="Y383" i="6"/>
  <c r="Y421" i="6"/>
  <c r="Y22" i="6"/>
  <c r="Y389" i="6"/>
  <c r="Y55" i="6"/>
  <c r="Y305" i="6"/>
  <c r="Y43" i="6"/>
  <c r="Y445" i="6"/>
  <c r="Y444" i="6"/>
  <c r="Y441" i="6"/>
  <c r="Y379" i="6"/>
  <c r="Y51" i="6"/>
  <c r="Y476" i="6"/>
  <c r="Y348" i="6"/>
  <c r="Y313" i="6"/>
  <c r="Y44" i="6"/>
  <c r="Y354" i="6"/>
  <c r="Y253" i="6"/>
  <c r="Y310" i="6"/>
  <c r="Y467" i="6"/>
  <c r="Y237" i="6"/>
  <c r="Y340" i="6"/>
  <c r="Y375" i="6"/>
  <c r="Y316" i="6"/>
  <c r="Y15" i="6"/>
  <c r="Y299" i="6"/>
  <c r="Y442" i="6"/>
  <c r="Y109" i="6"/>
  <c r="Y312" i="6"/>
  <c r="Y443" i="6"/>
  <c r="Y133" i="6"/>
  <c r="Y202" i="6"/>
  <c r="Y246" i="6"/>
  <c r="Y357" i="6"/>
  <c r="Y483" i="6"/>
  <c r="Y482" i="6"/>
  <c r="Y371" i="6"/>
  <c r="Y20" i="6"/>
  <c r="Y338" i="6"/>
  <c r="Y302" i="6"/>
  <c r="Y294" i="6"/>
  <c r="Y399" i="6"/>
  <c r="Y268" i="6"/>
  <c r="Y424" i="6"/>
  <c r="Y406" i="6"/>
  <c r="Y450" i="6"/>
  <c r="Y436" i="6"/>
  <c r="Y365" i="6"/>
  <c r="Y462" i="6"/>
  <c r="Y225" i="6"/>
  <c r="Y417" i="6"/>
  <c r="Y465" i="6"/>
  <c r="Y111" i="6"/>
  <c r="Y297" i="6"/>
  <c r="Y455" i="6"/>
  <c r="Y376" i="6"/>
  <c r="Y308" i="6"/>
  <c r="Y292" i="6"/>
  <c r="Y286" i="6"/>
  <c r="Y311" i="6"/>
  <c r="Y344" i="6"/>
  <c r="Y361" i="6"/>
  <c r="Y291" i="6"/>
  <c r="Y434" i="6"/>
  <c r="Y394" i="6"/>
  <c r="Y425" i="6"/>
  <c r="Y353" i="6"/>
  <c r="Y265" i="6"/>
  <c r="Y447" i="6"/>
  <c r="Y68" i="6"/>
  <c r="Y466" i="6"/>
  <c r="Y446" i="6"/>
  <c r="Y304" i="6"/>
  <c r="Y395" i="6"/>
  <c r="Y199" i="6"/>
  <c r="Y457" i="6"/>
  <c r="Y214" i="6"/>
  <c r="Y155" i="6"/>
  <c r="Y227" i="6"/>
  <c r="Y79" i="6"/>
  <c r="Y131" i="6"/>
  <c r="Y222" i="6"/>
  <c r="Y319" i="6"/>
  <c r="Y480" i="6"/>
  <c r="Y191" i="6"/>
  <c r="Y235" i="6"/>
  <c r="Y314" i="6"/>
  <c r="Y306" i="6"/>
  <c r="Y298" i="6"/>
  <c r="Y274" i="6"/>
  <c r="Y325" i="6"/>
  <c r="Y468" i="6"/>
  <c r="Y281" i="6"/>
  <c r="Y118" i="6"/>
  <c r="Y25" i="6"/>
  <c r="Y179" i="6"/>
  <c r="Y10" i="6"/>
  <c r="Y67" i="6"/>
  <c r="Y469" i="6"/>
  <c r="Y31" i="6"/>
  <c r="Y11" i="6"/>
  <c r="Y433" i="6"/>
  <c r="Y423" i="6"/>
  <c r="Y282" i="6"/>
  <c r="Y332" i="6"/>
  <c r="Y177" i="6"/>
  <c r="Y242" i="6"/>
  <c r="Y267" i="6"/>
  <c r="Y352" i="6"/>
  <c r="Y377" i="6"/>
  <c r="Y278" i="6"/>
  <c r="Y203" i="6"/>
  <c r="Y418" i="6"/>
  <c r="Y250" i="6"/>
  <c r="Y41" i="6"/>
  <c r="Y266" i="6"/>
  <c r="Y107" i="6"/>
  <c r="Y153" i="6"/>
  <c r="Y198" i="6"/>
  <c r="Y341" i="6"/>
  <c r="Y320" i="6"/>
  <c r="Y346" i="6"/>
  <c r="Y454" i="6"/>
  <c r="Y93" i="6"/>
  <c r="Y212" i="6"/>
  <c r="Y258" i="6"/>
  <c r="Y236" i="6"/>
  <c r="Y230" i="6"/>
  <c r="Y210" i="6"/>
  <c r="Y300" i="6"/>
  <c r="Y456" i="6"/>
  <c r="Y451" i="6"/>
  <c r="Y326" i="6"/>
  <c r="Y92" i="6"/>
  <c r="Y144" i="6"/>
  <c r="Y252" i="6"/>
  <c r="Y449" i="6"/>
  <c r="Y241" i="6"/>
  <c r="Y172" i="6"/>
  <c r="Y263" i="6"/>
  <c r="Y209" i="6"/>
  <c r="Y464" i="6"/>
  <c r="Y28" i="6"/>
  <c r="Y121" i="6"/>
  <c r="Y169" i="6"/>
  <c r="Y419" i="6"/>
  <c r="Y23" i="6"/>
  <c r="Y329" i="6"/>
  <c r="Y440" i="6"/>
  <c r="Y479" i="6"/>
  <c r="Y396" i="6"/>
  <c r="Y130" i="6"/>
  <c r="Y238" i="6"/>
  <c r="Y273" i="6"/>
  <c r="Y186" i="6"/>
  <c r="Y211" i="6"/>
  <c r="Y208" i="6"/>
  <c r="Y193" i="6"/>
  <c r="Y356" i="6"/>
  <c r="Y439" i="6"/>
  <c r="Y391" i="6"/>
  <c r="Y264" i="6"/>
  <c r="Y372" i="6"/>
  <c r="Y213" i="6"/>
  <c r="Y229" i="6"/>
  <c r="Y106" i="6"/>
  <c r="Y150" i="6"/>
  <c r="Y220" i="6"/>
  <c r="Y303" i="6"/>
  <c r="Y295" i="6"/>
  <c r="Y260" i="6"/>
  <c r="Y141" i="6"/>
  <c r="Y185" i="6"/>
  <c r="Y163" i="6"/>
  <c r="Y181" i="6"/>
  <c r="Y168" i="6"/>
  <c r="Y321" i="6"/>
  <c r="Y322" i="6"/>
  <c r="Y143" i="6"/>
  <c r="Y247" i="6"/>
  <c r="Y29" i="6"/>
  <c r="Y206" i="6"/>
  <c r="Y420" i="6"/>
  <c r="Y374" i="6"/>
  <c r="Y50" i="6"/>
  <c r="Y128" i="6"/>
  <c r="Y197" i="6"/>
  <c r="Y323" i="6"/>
  <c r="Y301" i="6"/>
  <c r="Y350" i="6"/>
  <c r="Y91" i="6"/>
  <c r="Y117" i="6"/>
  <c r="Y139" i="6"/>
  <c r="Y138" i="6"/>
  <c r="Y162" i="6"/>
  <c r="Y257" i="6"/>
  <c r="Y245" i="6"/>
  <c r="Y289" i="6"/>
  <c r="Y135" i="6"/>
  <c r="Y336" i="6"/>
  <c r="Y339" i="6"/>
  <c r="Y164" i="6"/>
  <c r="Y231" i="6"/>
  <c r="Y276" i="6"/>
  <c r="Y360" i="6"/>
  <c r="Y416" i="6"/>
  <c r="Y88" i="6"/>
  <c r="Y175" i="6"/>
  <c r="Y355" i="6"/>
  <c r="Y309" i="6"/>
  <c r="Y347" i="6"/>
  <c r="Y334" i="6"/>
  <c r="Y290" i="6"/>
  <c r="Y56" i="6"/>
  <c r="Y154" i="6"/>
  <c r="Y224" i="6"/>
  <c r="Y337" i="6"/>
  <c r="Y459" i="6"/>
  <c r="Y288" i="6"/>
  <c r="Y45" i="6"/>
  <c r="Y90" i="6"/>
  <c r="Y176" i="6"/>
  <c r="Y296" i="6"/>
  <c r="Y39" i="6"/>
  <c r="Y116" i="6"/>
  <c r="Y184" i="6"/>
  <c r="Y249" i="6"/>
  <c r="Y335" i="6"/>
  <c r="Y458" i="6"/>
  <c r="Y140" i="6"/>
  <c r="Y251" i="6"/>
  <c r="Y461" i="6"/>
  <c r="Y380" i="6"/>
  <c r="Y381" i="6"/>
  <c r="Y382" i="6"/>
  <c r="Y114" i="6"/>
  <c r="Y244" i="6"/>
  <c r="Y283" i="6"/>
  <c r="Y324" i="6"/>
  <c r="Y388" i="6"/>
  <c r="Y152" i="6"/>
  <c r="Y216" i="6"/>
  <c r="Y83" i="6"/>
  <c r="Y254" i="6"/>
  <c r="Y404" i="6"/>
  <c r="Y142" i="6"/>
  <c r="Y333" i="6"/>
  <c r="Y363" i="6"/>
  <c r="Y136" i="6"/>
  <c r="Y200" i="6"/>
  <c r="Y71" i="6"/>
  <c r="Y147" i="6"/>
  <c r="Y256" i="6"/>
  <c r="Y66" i="6"/>
  <c r="Y165" i="6"/>
  <c r="Y240" i="6"/>
  <c r="Y403" i="6"/>
  <c r="Z7" i="6"/>
  <c r="Y59" i="6"/>
  <c r="Y226" i="6"/>
  <c r="Y478" i="6"/>
  <c r="Y126" i="6"/>
  <c r="Y284" i="6"/>
  <c r="Y390" i="6"/>
  <c r="Y120" i="6"/>
  <c r="Y182" i="6"/>
  <c r="X5" i="6"/>
  <c r="Y63" i="6"/>
  <c r="Y94" i="6"/>
  <c r="Y95" i="6"/>
  <c r="Y96" i="6"/>
  <c r="Y427" i="6"/>
  <c r="Y98" i="6"/>
  <c r="Y287" i="6"/>
  <c r="Y21" i="6"/>
  <c r="Y187" i="6"/>
  <c r="Y435" i="6"/>
  <c r="Y64" i="6"/>
  <c r="Y151" i="6"/>
  <c r="Y271" i="6"/>
  <c r="Y19" i="6"/>
  <c r="Y233" i="6"/>
  <c r="Y80" i="6"/>
  <c r="Y327" i="6"/>
  <c r="Y217" i="6"/>
  <c r="Y318" i="6"/>
  <c r="Z32" i="6" l="1"/>
  <c r="Z33" i="6"/>
  <c r="Z34" i="6"/>
  <c r="Z35" i="6"/>
  <c r="Z407" i="6"/>
  <c r="Z170" i="6"/>
  <c r="Z171" i="6"/>
  <c r="Z384" i="6"/>
  <c r="Z385" i="6"/>
  <c r="Z386" i="6"/>
  <c r="Z387" i="6"/>
  <c r="Z157" i="6"/>
  <c r="Z158" i="6"/>
  <c r="Z159" i="6"/>
  <c r="Z160" i="6"/>
  <c r="Z161" i="6"/>
  <c r="Z362" i="6"/>
  <c r="Z453" i="6"/>
  <c r="Z270" i="6"/>
  <c r="Z269" i="6"/>
  <c r="Z74" i="6"/>
  <c r="Z408" i="6"/>
  <c r="Z409" i="6"/>
  <c r="Z410" i="6"/>
  <c r="Z411" i="6"/>
  <c r="Z412" i="6"/>
  <c r="Z413" i="6"/>
  <c r="Z414" i="6"/>
  <c r="Z470" i="6"/>
  <c r="Z471" i="6"/>
  <c r="Z472" i="6"/>
  <c r="Z473" i="6"/>
  <c r="Z474" i="6"/>
  <c r="Z475" i="6"/>
  <c r="Z190" i="6"/>
  <c r="Z52" i="6"/>
  <c r="Z53" i="6"/>
  <c r="Z54" i="6"/>
  <c r="Z488" i="6"/>
  <c r="Z491" i="6"/>
  <c r="Z486" i="6"/>
  <c r="Z492" i="6"/>
  <c r="Z493" i="6"/>
  <c r="Z489" i="6"/>
  <c r="Z487" i="6"/>
  <c r="Z490" i="6"/>
  <c r="Z195" i="6"/>
  <c r="Z484" i="6"/>
  <c r="Z485" i="6"/>
  <c r="Z202" i="6"/>
  <c r="Z184" i="6"/>
  <c r="Z369" i="6"/>
  <c r="Z428" i="6"/>
  <c r="Z429" i="6"/>
  <c r="Z430" i="6"/>
  <c r="Z431" i="6"/>
  <c r="Z432" i="6"/>
  <c r="Z135" i="6"/>
  <c r="Z328" i="6"/>
  <c r="Z99" i="6"/>
  <c r="Z100" i="6"/>
  <c r="Z101" i="6"/>
  <c r="Z168" i="6"/>
  <c r="Z12" i="6"/>
  <c r="Z366" i="6"/>
  <c r="Z76" i="6"/>
  <c r="Z347" i="6"/>
  <c r="Z312" i="6"/>
  <c r="Z452" i="6"/>
  <c r="Z305" i="6"/>
  <c r="Z13" i="6"/>
  <c r="Z348" i="6"/>
  <c r="Z455" i="6"/>
  <c r="Z434" i="6"/>
  <c r="Z275" i="6"/>
  <c r="Z446" i="6"/>
  <c r="Z144" i="6"/>
  <c r="Z476" i="6"/>
  <c r="Z137" i="6"/>
  <c r="Z42" i="6"/>
  <c r="Z154" i="6"/>
  <c r="Z128" i="6"/>
  <c r="Z61" i="6"/>
  <c r="Z388" i="6"/>
  <c r="Z23" i="6"/>
  <c r="Z83" i="6"/>
  <c r="Z8" i="6"/>
  <c r="Z465" i="6"/>
  <c r="Z358" i="6"/>
  <c r="Z320" i="6"/>
  <c r="Y5" i="6"/>
  <c r="Z395" i="6"/>
  <c r="Z249" i="6"/>
  <c r="Z50" i="6"/>
  <c r="Z116" i="6"/>
  <c r="Z351" i="6"/>
  <c r="Z65" i="6"/>
  <c r="Z295" i="6"/>
  <c r="Z63" i="6"/>
  <c r="Z88" i="6"/>
  <c r="Z349" i="6"/>
  <c r="Z301" i="6"/>
  <c r="Z127" i="6"/>
  <c r="Z147" i="6"/>
  <c r="Z285" i="6"/>
  <c r="Z252" i="6"/>
  <c r="Z353" i="6"/>
  <c r="Z89" i="6"/>
  <c r="Z244" i="6"/>
  <c r="Z235" i="6"/>
  <c r="Z284" i="6"/>
  <c r="Z259" i="6"/>
  <c r="Z310" i="6"/>
  <c r="Z416" i="6"/>
  <c r="Z263" i="6"/>
  <c r="Z212" i="6"/>
  <c r="Z397" i="6"/>
  <c r="Z354" i="6"/>
  <c r="Z258" i="6"/>
  <c r="Z276" i="6"/>
  <c r="Z346" i="6"/>
  <c r="Z239" i="6"/>
  <c r="Z418" i="6"/>
  <c r="Z134" i="6"/>
  <c r="Z378" i="6"/>
  <c r="Z118" i="6"/>
  <c r="Z278" i="6"/>
  <c r="Z86" i="6"/>
  <c r="Z330" i="6"/>
  <c r="Z333" i="6"/>
  <c r="Z339" i="6"/>
  <c r="Z251" i="6"/>
  <c r="Z255" i="6"/>
  <c r="Z480" i="6"/>
  <c r="Z436" i="6"/>
  <c r="Z121" i="6"/>
  <c r="Z37" i="6"/>
  <c r="Z143" i="6"/>
  <c r="Z458" i="6"/>
  <c r="Z238" i="6"/>
  <c r="Z370" i="6"/>
  <c r="Z337" i="6"/>
  <c r="Z245" i="6"/>
  <c r="Z361" i="6"/>
  <c r="Z315" i="6"/>
  <c r="Z114" i="6"/>
  <c r="Z62" i="6"/>
  <c r="Z297" i="6"/>
  <c r="Z401" i="6"/>
  <c r="Z483" i="6"/>
  <c r="Z43" i="6"/>
  <c r="Z344" i="6"/>
  <c r="Z379" i="6"/>
  <c r="Z204" i="6"/>
  <c r="Z343" i="6"/>
  <c r="Z463" i="6"/>
  <c r="Z25" i="6"/>
  <c r="Z262" i="6"/>
  <c r="Z51" i="6"/>
  <c r="Z363" i="6"/>
  <c r="Z449" i="6"/>
  <c r="Z288" i="6"/>
  <c r="Z214" i="6"/>
  <c r="Z439" i="6"/>
  <c r="Z56" i="6"/>
  <c r="Z352" i="6"/>
  <c r="Z368" i="6"/>
  <c r="Z179" i="6"/>
  <c r="Z403" i="6"/>
  <c r="Z313" i="6"/>
  <c r="Z31" i="6"/>
  <c r="Z228" i="6"/>
  <c r="Z112" i="6"/>
  <c r="Z111" i="6"/>
  <c r="Z290" i="6"/>
  <c r="Z282" i="6"/>
  <c r="Z324" i="6"/>
  <c r="Z223" i="6"/>
  <c r="Z222" i="6"/>
  <c r="Z219" i="6"/>
  <c r="Z151" i="6"/>
  <c r="Z291" i="6"/>
  <c r="Z73" i="6"/>
  <c r="Z317" i="6"/>
  <c r="Z109" i="6"/>
  <c r="Z443" i="6"/>
  <c r="Z70" i="6"/>
  <c r="Z316" i="6"/>
  <c r="Z402" i="6"/>
  <c r="Z197" i="6"/>
  <c r="Z424" i="6"/>
  <c r="Z29" i="6"/>
  <c r="Z279" i="6"/>
  <c r="Z338" i="6"/>
  <c r="Z371" i="6"/>
  <c r="Z196" i="6"/>
  <c r="Z321" i="6"/>
  <c r="Z93" i="6"/>
  <c r="Z81" i="6"/>
  <c r="Z326" i="6"/>
  <c r="Z325" i="6"/>
  <c r="Z417" i="6"/>
  <c r="Z189" i="6"/>
  <c r="Z188" i="6"/>
  <c r="Z185" i="6"/>
  <c r="Z437" i="6"/>
  <c r="Z119" i="6"/>
  <c r="Z292" i="6"/>
  <c r="Z248" i="6"/>
  <c r="Z84" i="6"/>
  <c r="Z95" i="6"/>
  <c r="Z97" i="6"/>
  <c r="Z207" i="6"/>
  <c r="Z203" i="6"/>
  <c r="Z286" i="6"/>
  <c r="Z394" i="6"/>
  <c r="Z178" i="6"/>
  <c r="Z45" i="6"/>
  <c r="Z44" i="6"/>
  <c r="Z241" i="6"/>
  <c r="Z240" i="6"/>
  <c r="Z372" i="6"/>
  <c r="Z174" i="6"/>
  <c r="Z173" i="6"/>
  <c r="Z169" i="6"/>
  <c r="Z399" i="6"/>
  <c r="Z102" i="6"/>
  <c r="Z261" i="6"/>
  <c r="Z15" i="6"/>
  <c r="Z232" i="6"/>
  <c r="Z49" i="6"/>
  <c r="Z94" i="6"/>
  <c r="Z72" i="6"/>
  <c r="Z250" i="6"/>
  <c r="Z236" i="6"/>
  <c r="Z281" i="6"/>
  <c r="Z422" i="6"/>
  <c r="Z164" i="6"/>
  <c r="Z350" i="6"/>
  <c r="Z419" i="6"/>
  <c r="Z205" i="6"/>
  <c r="Z433" i="6"/>
  <c r="Z47" i="6"/>
  <c r="Z303" i="6"/>
  <c r="Z359" i="6"/>
  <c r="Z256" i="6"/>
  <c r="Z272" i="6"/>
  <c r="Z162" i="6"/>
  <c r="Z322" i="6"/>
  <c r="Z27" i="6"/>
  <c r="Z26" i="6"/>
  <c r="Z225" i="6"/>
  <c r="Z224" i="6"/>
  <c r="Z479" i="6"/>
  <c r="Z156" i="6"/>
  <c r="Z155" i="6"/>
  <c r="Z152" i="6"/>
  <c r="Z299" i="6"/>
  <c r="Z92" i="6"/>
  <c r="Z323" i="6"/>
  <c r="Z396" i="6"/>
  <c r="Z216" i="6"/>
  <c r="AA7" i="6"/>
  <c r="Z90" i="6"/>
  <c r="Z340" i="6"/>
  <c r="Z477" i="6"/>
  <c r="Z138" i="6"/>
  <c r="Z265" i="6"/>
  <c r="Z187" i="6"/>
  <c r="Z246" i="6"/>
  <c r="Z456" i="6"/>
  <c r="Z104" i="6"/>
  <c r="Z247" i="6"/>
  <c r="Z464" i="6"/>
  <c r="Z145" i="6"/>
  <c r="Z306" i="6"/>
  <c r="Z298" i="6"/>
  <c r="Z280" i="6"/>
  <c r="Z209" i="6"/>
  <c r="Z208" i="6"/>
  <c r="Z459" i="6"/>
  <c r="Z140" i="6"/>
  <c r="Z139" i="6"/>
  <c r="Z136" i="6"/>
  <c r="Z332" i="6"/>
  <c r="Z254" i="6"/>
  <c r="Z389" i="6"/>
  <c r="Z200" i="6"/>
  <c r="Z17" i="6"/>
  <c r="Z130" i="6"/>
  <c r="Z375" i="6"/>
  <c r="Z229" i="6"/>
  <c r="Z440" i="6"/>
  <c r="Z266" i="6"/>
  <c r="Z180" i="6"/>
  <c r="Z19" i="6"/>
  <c r="Z231" i="6"/>
  <c r="Z447" i="6"/>
  <c r="Z129" i="6"/>
  <c r="Z277" i="6"/>
  <c r="Z267" i="6"/>
  <c r="Z367" i="6"/>
  <c r="Z192" i="6"/>
  <c r="Z191" i="6"/>
  <c r="Z442" i="6"/>
  <c r="Z124" i="6"/>
  <c r="Z123" i="6"/>
  <c r="Z120" i="6"/>
  <c r="Z300" i="6"/>
  <c r="Z75" i="6"/>
  <c r="Z420" i="6"/>
  <c r="Z182" i="6"/>
  <c r="Z14" i="6"/>
  <c r="Z405" i="6"/>
  <c r="Z482" i="6"/>
  <c r="Z220" i="6"/>
  <c r="Z58" i="6"/>
  <c r="Z122" i="6"/>
  <c r="Z163" i="6"/>
  <c r="Z153" i="6"/>
  <c r="Z345" i="6"/>
  <c r="Z257" i="6"/>
  <c r="Z38" i="6"/>
  <c r="Z115" i="6"/>
  <c r="Z268" i="6"/>
  <c r="Z392" i="6"/>
  <c r="Z215" i="6"/>
  <c r="Z113" i="6"/>
  <c r="Z329" i="6"/>
  <c r="Z327" i="6"/>
  <c r="Z296" i="6"/>
  <c r="Z176" i="6"/>
  <c r="Z175" i="6"/>
  <c r="Z425" i="6"/>
  <c r="Z107" i="6"/>
  <c r="Z106" i="6"/>
  <c r="Z103" i="6"/>
  <c r="Z271" i="6"/>
  <c r="Z16" i="6"/>
  <c r="Z233" i="6"/>
  <c r="Z421" i="6"/>
  <c r="Z166" i="6"/>
  <c r="Z461" i="6"/>
  <c r="Z380" i="6"/>
  <c r="Z381" i="6"/>
  <c r="Z382" i="6"/>
  <c r="Z230" i="6"/>
  <c r="Z460" i="6"/>
  <c r="Z198" i="6"/>
  <c r="Z287" i="6"/>
  <c r="Z67" i="6"/>
  <c r="Z243" i="6"/>
  <c r="Z242" i="6"/>
  <c r="Z481" i="6"/>
  <c r="Z415" i="6"/>
  <c r="Z66" i="6"/>
  <c r="Z341" i="6"/>
  <c r="Z217" i="6"/>
  <c r="Z468" i="6"/>
  <c r="Z149" i="6"/>
  <c r="Z68" i="6"/>
  <c r="Z79" i="6"/>
  <c r="Z426" i="6"/>
  <c r="Z91" i="6"/>
  <c r="Z445" i="6"/>
  <c r="Z10" i="6"/>
  <c r="Z302" i="6"/>
  <c r="Z237" i="6"/>
  <c r="Z406" i="6"/>
  <c r="Z181" i="6"/>
  <c r="Z331" i="6"/>
  <c r="Z46" i="6"/>
  <c r="Z227" i="6"/>
  <c r="Z226" i="6"/>
  <c r="Z462" i="6"/>
  <c r="Z142" i="6"/>
  <c r="Z141" i="6"/>
  <c r="Z294" i="6"/>
  <c r="Z60" i="6"/>
  <c r="Z59" i="6"/>
  <c r="Z55" i="6"/>
  <c r="Z253" i="6"/>
  <c r="Z393" i="6"/>
  <c r="Z201" i="6"/>
  <c r="Z451" i="6"/>
  <c r="Z133" i="6"/>
  <c r="Z57" i="6"/>
  <c r="Z96" i="6"/>
  <c r="Z376" i="6"/>
  <c r="Z466" i="6"/>
  <c r="Z80" i="6"/>
  <c r="Z30" i="6"/>
  <c r="Z199" i="6"/>
  <c r="Z98" i="6"/>
  <c r="Z48" i="6"/>
  <c r="Z165" i="6"/>
  <c r="Z28" i="6"/>
  <c r="Z210" i="6"/>
  <c r="Z444" i="6"/>
  <c r="Z126" i="6"/>
  <c r="Z125" i="6"/>
  <c r="Z334" i="6"/>
  <c r="Z41" i="6"/>
  <c r="Z39" i="6"/>
  <c r="Z36" i="6"/>
  <c r="Z9" i="6"/>
  <c r="Z183" i="6"/>
  <c r="Z435" i="6"/>
  <c r="Z117" i="6"/>
  <c r="Z40" i="6"/>
  <c r="Z342" i="6"/>
  <c r="Z206" i="6"/>
  <c r="Z454" i="6"/>
  <c r="Z309" i="6"/>
  <c r="Z335" i="6"/>
  <c r="Z377" i="6"/>
  <c r="Z356" i="6"/>
  <c r="Z478" i="6"/>
  <c r="Z146" i="6"/>
  <c r="Z307" i="6"/>
  <c r="Z383" i="6"/>
  <c r="Z71" i="6"/>
  <c r="Z457" i="6"/>
  <c r="Z105" i="6"/>
  <c r="Z467" i="6"/>
  <c r="Z148" i="6"/>
  <c r="Z336" i="6"/>
  <c r="Z374" i="6"/>
  <c r="Z194" i="6"/>
  <c r="Z193" i="6"/>
  <c r="Z427" i="6"/>
  <c r="Z110" i="6"/>
  <c r="Z108" i="6"/>
  <c r="Z311" i="6"/>
  <c r="Z22" i="6"/>
  <c r="Z21" i="6"/>
  <c r="Z18" i="6"/>
  <c r="Z234" i="6"/>
  <c r="Z260" i="6"/>
  <c r="Z167" i="6"/>
  <c r="Z391" i="6"/>
  <c r="Z82" i="6"/>
  <c r="Z24" i="6"/>
  <c r="Z355" i="6"/>
  <c r="Z304" i="6"/>
  <c r="Z373" i="6"/>
  <c r="Z400" i="6"/>
  <c r="Z365" i="6"/>
  <c r="Z293" i="6"/>
  <c r="Z131" i="6"/>
  <c r="Z273" i="6"/>
  <c r="Z11" i="6"/>
  <c r="Z213" i="6"/>
  <c r="Z438" i="6"/>
  <c r="Z319" i="6"/>
  <c r="Z364" i="6"/>
  <c r="Z172" i="6"/>
  <c r="Z289" i="6"/>
  <c r="Z211" i="6"/>
  <c r="Z448" i="6"/>
  <c r="Z318" i="6"/>
  <c r="Z221" i="6"/>
  <c r="Z441" i="6"/>
  <c r="Z308" i="6"/>
  <c r="Z398" i="6"/>
  <c r="Z186" i="6"/>
  <c r="Z423" i="6"/>
  <c r="Z20" i="6"/>
  <c r="Z450" i="6"/>
  <c r="Z132" i="6"/>
  <c r="Z314" i="6"/>
  <c r="Z390" i="6"/>
  <c r="Z177" i="6"/>
  <c r="Z78" i="6"/>
  <c r="Z360" i="6"/>
  <c r="Z87" i="6"/>
  <c r="Z69" i="6"/>
  <c r="Z274" i="6"/>
  <c r="Z264" i="6"/>
  <c r="Z357" i="6"/>
  <c r="Z404" i="6"/>
  <c r="Z218" i="6"/>
  <c r="Z469" i="6"/>
  <c r="Z150" i="6"/>
  <c r="Z283" i="6"/>
  <c r="Z64" i="6"/>
  <c r="Z77" i="6"/>
  <c r="AA32" i="6" l="1"/>
  <c r="AA33" i="6"/>
  <c r="AA34" i="6"/>
  <c r="AA35" i="6"/>
  <c r="AA407" i="6"/>
  <c r="AA170" i="6"/>
  <c r="AA171" i="6"/>
  <c r="AA384" i="6"/>
  <c r="AA385" i="6"/>
  <c r="AA386" i="6"/>
  <c r="AA387" i="6"/>
  <c r="AA157" i="6"/>
  <c r="AA158" i="6"/>
  <c r="AA159" i="6"/>
  <c r="AA160" i="6"/>
  <c r="AA161" i="6"/>
  <c r="AA362" i="6"/>
  <c r="AA453" i="6"/>
  <c r="AA270" i="6"/>
  <c r="AA269" i="6"/>
  <c r="AA74" i="6"/>
  <c r="AA408" i="6"/>
  <c r="AA409" i="6"/>
  <c r="AA410" i="6"/>
  <c r="AA411" i="6"/>
  <c r="AA412" i="6"/>
  <c r="AA413" i="6"/>
  <c r="AA414" i="6"/>
  <c r="AA470" i="6"/>
  <c r="AA471" i="6"/>
  <c r="AA472" i="6"/>
  <c r="AA473" i="6"/>
  <c r="AA474" i="6"/>
  <c r="AA475" i="6"/>
  <c r="AA190" i="6"/>
  <c r="AA52" i="6"/>
  <c r="AA53" i="6"/>
  <c r="AA54" i="6"/>
  <c r="AA488" i="6"/>
  <c r="AA491" i="6"/>
  <c r="AA486" i="6"/>
  <c r="AA492" i="6"/>
  <c r="AA493" i="6"/>
  <c r="AA489" i="6"/>
  <c r="AA487" i="6"/>
  <c r="AA490" i="6"/>
  <c r="AA195" i="6"/>
  <c r="AA485" i="6"/>
  <c r="AA484" i="6"/>
  <c r="AA428" i="6"/>
  <c r="AA429" i="6"/>
  <c r="AA430" i="6"/>
  <c r="AA431" i="6"/>
  <c r="AA432" i="6"/>
  <c r="AA328" i="6"/>
  <c r="AA100" i="6"/>
  <c r="AA101" i="6"/>
  <c r="AA99" i="6"/>
  <c r="AA399" i="6"/>
  <c r="AA272" i="6"/>
  <c r="AA366" i="6"/>
  <c r="AA347" i="6"/>
  <c r="AA139" i="6"/>
  <c r="AA55" i="6"/>
  <c r="AA439" i="6"/>
  <c r="AA39" i="6"/>
  <c r="AA383" i="6"/>
  <c r="AA132" i="6"/>
  <c r="AA367" i="6"/>
  <c r="AA296" i="6"/>
  <c r="AA120" i="6"/>
  <c r="AA23" i="6"/>
  <c r="AA331" i="6"/>
  <c r="AA11" i="6"/>
  <c r="AA98" i="6"/>
  <c r="AA110" i="6"/>
  <c r="AA219" i="6"/>
  <c r="AA323" i="6"/>
  <c r="AA141" i="6"/>
  <c r="AA165" i="6"/>
  <c r="AA92" i="6"/>
  <c r="AA280" i="6"/>
  <c r="AA290" i="6"/>
  <c r="AA253" i="6"/>
  <c r="AA311" i="6"/>
  <c r="AA349" i="6"/>
  <c r="AA66" i="6"/>
  <c r="AA315" i="6"/>
  <c r="AA186" i="6"/>
  <c r="AA201" i="6"/>
  <c r="AA154" i="6"/>
  <c r="AA238" i="6"/>
  <c r="AA273" i="6"/>
  <c r="AA291" i="6"/>
  <c r="AA179" i="6"/>
  <c r="AA81" i="6"/>
  <c r="AA108" i="6"/>
  <c r="AA284" i="6"/>
  <c r="AA49" i="6"/>
  <c r="AA89" i="6"/>
  <c r="AA337" i="6"/>
  <c r="AA29" i="6"/>
  <c r="AA465" i="6"/>
  <c r="AA133" i="6"/>
  <c r="AA206" i="6"/>
  <c r="AA105" i="6"/>
  <c r="AA13" i="6"/>
  <c r="AA364" i="6"/>
  <c r="AA131" i="6"/>
  <c r="AA196" i="6"/>
  <c r="AA395" i="6"/>
  <c r="AA375" i="6"/>
  <c r="AA388" i="6"/>
  <c r="AA254" i="6"/>
  <c r="AA152" i="6"/>
  <c r="AA401" i="6"/>
  <c r="AA102" i="6"/>
  <c r="AA149" i="6"/>
  <c r="AA451" i="6"/>
  <c r="AA361" i="6"/>
  <c r="AA150" i="6"/>
  <c r="AA406" i="6"/>
  <c r="AA415" i="6"/>
  <c r="AA121" i="6"/>
  <c r="AA28" i="6"/>
  <c r="AA70" i="6"/>
  <c r="AA363" i="6"/>
  <c r="AA228" i="6"/>
  <c r="AA94" i="6"/>
  <c r="AA183" i="6"/>
  <c r="AA75" i="6"/>
  <c r="AA204" i="6"/>
  <c r="AA274" i="6"/>
  <c r="AA440" i="6"/>
  <c r="AA360" i="6"/>
  <c r="AA184" i="6"/>
  <c r="AA317" i="6"/>
  <c r="AA209" i="6"/>
  <c r="Z5" i="6"/>
  <c r="AA461" i="6"/>
  <c r="AA380" i="6"/>
  <c r="AA381" i="6"/>
  <c r="AA382" i="6"/>
  <c r="AA241" i="6"/>
  <c r="AA332" i="6"/>
  <c r="AA338" i="6"/>
  <c r="AA391" i="6"/>
  <c r="AA310" i="6"/>
  <c r="AA393" i="6"/>
  <c r="AA65" i="6"/>
  <c r="AA64" i="6"/>
  <c r="AA181" i="6"/>
  <c r="AA282" i="6"/>
  <c r="AA350" i="6"/>
  <c r="AA449" i="6"/>
  <c r="AA294" i="6"/>
  <c r="AA162" i="6"/>
  <c r="AA17" i="6"/>
  <c r="AA397" i="6"/>
  <c r="AA221" i="6"/>
  <c r="AA281" i="6"/>
  <c r="AA58" i="6"/>
  <c r="AA218" i="6"/>
  <c r="AA448" i="6"/>
  <c r="AA143" i="6"/>
  <c r="AA464" i="6"/>
  <c r="AA44" i="6"/>
  <c r="AA278" i="6"/>
  <c r="AA372" i="6"/>
  <c r="AA136" i="6"/>
  <c r="AA285" i="6"/>
  <c r="AA333" i="6"/>
  <c r="AA462" i="6"/>
  <c r="AA402" i="6"/>
  <c r="AA38" i="6"/>
  <c r="AA37" i="6"/>
  <c r="AA259" i="6"/>
  <c r="AA312" i="6"/>
  <c r="AA303" i="6"/>
  <c r="AA427" i="6"/>
  <c r="AA359" i="6"/>
  <c r="AA22" i="6"/>
  <c r="AA177" i="6"/>
  <c r="AA30" i="6"/>
  <c r="AA321" i="6"/>
  <c r="AA208" i="6"/>
  <c r="AA236" i="6"/>
  <c r="AA41" i="6"/>
  <c r="AA226" i="6"/>
  <c r="AA243" i="6"/>
  <c r="AA122" i="6"/>
  <c r="AA216" i="6"/>
  <c r="AA256" i="6"/>
  <c r="AA292" i="6"/>
  <c r="AA59" i="6"/>
  <c r="AA188" i="6"/>
  <c r="AA252" i="6"/>
  <c r="AA185" i="6"/>
  <c r="AA371" i="6"/>
  <c r="AA8" i="6"/>
  <c r="AA114" i="6"/>
  <c r="AA153" i="6"/>
  <c r="AA169" i="6"/>
  <c r="AA266" i="6"/>
  <c r="AA438" i="6"/>
  <c r="AA10" i="6"/>
  <c r="AA389" i="6"/>
  <c r="AA374" i="6"/>
  <c r="AA123" i="6"/>
  <c r="AA250" i="6"/>
  <c r="AA356" i="6"/>
  <c r="AA329" i="6"/>
  <c r="AA307" i="6"/>
  <c r="AA80" i="6"/>
  <c r="AA14" i="6"/>
  <c r="AA283" i="6"/>
  <c r="AA172" i="6"/>
  <c r="AA248" i="6"/>
  <c r="AA25" i="6"/>
  <c r="AA247" i="6"/>
  <c r="AA377" i="6"/>
  <c r="AA84" i="6"/>
  <c r="AA223" i="6"/>
  <c r="AA478" i="6"/>
  <c r="AA466" i="6"/>
  <c r="AA142" i="6"/>
  <c r="AA78" i="6"/>
  <c r="AA197" i="6"/>
  <c r="AA277" i="6"/>
  <c r="AA352" i="6"/>
  <c r="AA437" i="6"/>
  <c r="AA483" i="6"/>
  <c r="AA378" i="6"/>
  <c r="AA93" i="6"/>
  <c r="AA232" i="6"/>
  <c r="AA237" i="6"/>
  <c r="AA295" i="6"/>
  <c r="AA426" i="6"/>
  <c r="AA302" i="6"/>
  <c r="AA21" i="6"/>
  <c r="AA224" i="6"/>
  <c r="AA458" i="6"/>
  <c r="AA140" i="6"/>
  <c r="AA343" i="6"/>
  <c r="AA422" i="6"/>
  <c r="AA111" i="6"/>
  <c r="AA129" i="6"/>
  <c r="AA351" i="6"/>
  <c r="AA50" i="6"/>
  <c r="AA358" i="6"/>
  <c r="AA249" i="6"/>
  <c r="AA373" i="6"/>
  <c r="AA459" i="6"/>
  <c r="AA63" i="6"/>
  <c r="AA234" i="6"/>
  <c r="AA357" i="6"/>
  <c r="AA318" i="6"/>
  <c r="AA469" i="6"/>
  <c r="AA202" i="6"/>
  <c r="AA113" i="6"/>
  <c r="AA441" i="6"/>
  <c r="AA178" i="6"/>
  <c r="AA125" i="6"/>
  <c r="AA467" i="6"/>
  <c r="AA137" i="6"/>
  <c r="AA151" i="6"/>
  <c r="AA326" i="6"/>
  <c r="AA275" i="6"/>
  <c r="AA454" i="6"/>
  <c r="AA313" i="6"/>
  <c r="AA230" i="6"/>
  <c r="AA335" i="6"/>
  <c r="AA424" i="6"/>
  <c r="AA60" i="6"/>
  <c r="AA212" i="6"/>
  <c r="AA450" i="6"/>
  <c r="AA130" i="6"/>
  <c r="AA314" i="6"/>
  <c r="AA18" i="6"/>
  <c r="AA12" i="6"/>
  <c r="AA227" i="6"/>
  <c r="AA342" i="6"/>
  <c r="AA447" i="6"/>
  <c r="AA109" i="6"/>
  <c r="AA348" i="6"/>
  <c r="AA67" i="6"/>
  <c r="AA229" i="6"/>
  <c r="AA47" i="6"/>
  <c r="AA339" i="6"/>
  <c r="AA418" i="6"/>
  <c r="AA417" i="6"/>
  <c r="AA175" i="6"/>
  <c r="AA436" i="6"/>
  <c r="AA176" i="6"/>
  <c r="AA446" i="6"/>
  <c r="AA419" i="6"/>
  <c r="AA403" i="6"/>
  <c r="AA404" i="6"/>
  <c r="AA187" i="6"/>
  <c r="AA369" i="6"/>
  <c r="AA392" i="6"/>
  <c r="AA126" i="6"/>
  <c r="AA287" i="6"/>
  <c r="AA425" i="6"/>
  <c r="AA144" i="6"/>
  <c r="AA156" i="6"/>
  <c r="AA9" i="6"/>
  <c r="AA246" i="6"/>
  <c r="AA434" i="6"/>
  <c r="AA138" i="6"/>
  <c r="AA86" i="6"/>
  <c r="AA301" i="6"/>
  <c r="AA77" i="6"/>
  <c r="AA444" i="6"/>
  <c r="AA325" i="6"/>
  <c r="AA194" i="6"/>
  <c r="AA340" i="6"/>
  <c r="AA265" i="6"/>
  <c r="AA200" i="6"/>
  <c r="AA57" i="6"/>
  <c r="AA309" i="6"/>
  <c r="AA16" i="6"/>
  <c r="AA215" i="6"/>
  <c r="AA394" i="6"/>
  <c r="AA182" i="6"/>
  <c r="AA235" i="6"/>
  <c r="AA319" i="6"/>
  <c r="AA443" i="6"/>
  <c r="AB7" i="6"/>
  <c r="AA468" i="6"/>
  <c r="AA146" i="6"/>
  <c r="AA233" i="6"/>
  <c r="AA336" i="6"/>
  <c r="AA482" i="6"/>
  <c r="AA91" i="6"/>
  <c r="AA251" i="6"/>
  <c r="AA43" i="6"/>
  <c r="AA480" i="6"/>
  <c r="AA242" i="6"/>
  <c r="AA354" i="6"/>
  <c r="AA293" i="6"/>
  <c r="AA324" i="6"/>
  <c r="AA445" i="6"/>
  <c r="AA72" i="6"/>
  <c r="AA164" i="6"/>
  <c r="AA207" i="6"/>
  <c r="AA306" i="6"/>
  <c r="AA305" i="6"/>
  <c r="AA457" i="6"/>
  <c r="AA379" i="6"/>
  <c r="AA61" i="6"/>
  <c r="AA119" i="6"/>
  <c r="AA255" i="6"/>
  <c r="AA341" i="6"/>
  <c r="AA299" i="6"/>
  <c r="AA173" i="6"/>
  <c r="AA180" i="6"/>
  <c r="AA297" i="6"/>
  <c r="AA27" i="6"/>
  <c r="AA205" i="6"/>
  <c r="AA87" i="6"/>
  <c r="AA68" i="6"/>
  <c r="AA262" i="6"/>
  <c r="AA76" i="6"/>
  <c r="AA398" i="6"/>
  <c r="AA48" i="6"/>
  <c r="AA264" i="6"/>
  <c r="AA416" i="6"/>
  <c r="AA26" i="6"/>
  <c r="AA104" i="6"/>
  <c r="AA267" i="6"/>
  <c r="AA134" i="6"/>
  <c r="AA263" i="6"/>
  <c r="AA90" i="6"/>
  <c r="AA213" i="6"/>
  <c r="AA46" i="6"/>
  <c r="AA198" i="6"/>
  <c r="AA423" i="6"/>
  <c r="AA345" i="6"/>
  <c r="AA42" i="6"/>
  <c r="AA166" i="6"/>
  <c r="AA115" i="6"/>
  <c r="AA322" i="6"/>
  <c r="AA435" i="6"/>
  <c r="AA31" i="6"/>
  <c r="AA88" i="6"/>
  <c r="AA106" i="6"/>
  <c r="AA222" i="6"/>
  <c r="AA316" i="6"/>
  <c r="AA107" i="6"/>
  <c r="AA97" i="6"/>
  <c r="AA276" i="6"/>
  <c r="AA420" i="6"/>
  <c r="AA191" i="6"/>
  <c r="AA330" i="6"/>
  <c r="AA69" i="6"/>
  <c r="AA51" i="6"/>
  <c r="AA192" i="6"/>
  <c r="AA460" i="6"/>
  <c r="AA390" i="6"/>
  <c r="AA479" i="6"/>
  <c r="AA346" i="6"/>
  <c r="AA225" i="6"/>
  <c r="AA298" i="6"/>
  <c r="AA365" i="6"/>
  <c r="AA344" i="6"/>
  <c r="AA56" i="6"/>
  <c r="AA116" i="6"/>
  <c r="AA220" i="6"/>
  <c r="AA279" i="6"/>
  <c r="AA135" i="6"/>
  <c r="AA79" i="6"/>
  <c r="AA271" i="6"/>
  <c r="AA211" i="6"/>
  <c r="AA155" i="6"/>
  <c r="AA334" i="6"/>
  <c r="AA231" i="6"/>
  <c r="AA476" i="6"/>
  <c r="AA288" i="6"/>
  <c r="AA118" i="6"/>
  <c r="AA167" i="6"/>
  <c r="AA289" i="6"/>
  <c r="AA62" i="6"/>
  <c r="AA210" i="6"/>
  <c r="AA168" i="6"/>
  <c r="AA112" i="6"/>
  <c r="AA257" i="6"/>
  <c r="AA244" i="6"/>
  <c r="AA245" i="6"/>
  <c r="AA73" i="6"/>
  <c r="AA376" i="6"/>
  <c r="AA145" i="6"/>
  <c r="AA421" i="6"/>
  <c r="AA400" i="6"/>
  <c r="AA147" i="6"/>
  <c r="AA481" i="6"/>
  <c r="AA370" i="6"/>
  <c r="AA127" i="6"/>
  <c r="AA268" i="6"/>
  <c r="AA15" i="6"/>
  <c r="AA308" i="6"/>
  <c r="AA463" i="6"/>
  <c r="AA405" i="6"/>
  <c r="AA71" i="6"/>
  <c r="AA148" i="6"/>
  <c r="AA199" i="6"/>
  <c r="AA217" i="6"/>
  <c r="AA455" i="6"/>
  <c r="AA368" i="6"/>
  <c r="AA24" i="6"/>
  <c r="AA103" i="6"/>
  <c r="AA193" i="6"/>
  <c r="AA327" i="6"/>
  <c r="AA117" i="6"/>
  <c r="AA203" i="6"/>
  <c r="AA174" i="6"/>
  <c r="AA353" i="6"/>
  <c r="AA36" i="6"/>
  <c r="AA19" i="6"/>
  <c r="AA96" i="6"/>
  <c r="AA163" i="6"/>
  <c r="AA452" i="6"/>
  <c r="AA300" i="6"/>
  <c r="AA304" i="6"/>
  <c r="AA128" i="6"/>
  <c r="AA261" i="6"/>
  <c r="AA442" i="6"/>
  <c r="AA40" i="6"/>
  <c r="AA258" i="6"/>
  <c r="AA189" i="6"/>
  <c r="AA240" i="6"/>
  <c r="AA433" i="6"/>
  <c r="AA477" i="6"/>
  <c r="AA396" i="6"/>
  <c r="AA82" i="6"/>
  <c r="AA260" i="6"/>
  <c r="AA214" i="6"/>
  <c r="AA83" i="6"/>
  <c r="AA45" i="6"/>
  <c r="AA320" i="6"/>
  <c r="AA456" i="6"/>
  <c r="AA124" i="6"/>
  <c r="AA355" i="6"/>
  <c r="AA20" i="6"/>
  <c r="AA286" i="6"/>
  <c r="AA239" i="6"/>
  <c r="AA95" i="6"/>
  <c r="AB32" i="6" l="1"/>
  <c r="AB33" i="6"/>
  <c r="AB34" i="6"/>
  <c r="AB35" i="6"/>
  <c r="AB407" i="6"/>
  <c r="AB170" i="6"/>
  <c r="AB171" i="6"/>
  <c r="AB384" i="6"/>
  <c r="AB387" i="6"/>
  <c r="AB385" i="6"/>
  <c r="AB386" i="6"/>
  <c r="AB157" i="6"/>
  <c r="AB158" i="6"/>
  <c r="AB159" i="6"/>
  <c r="AB160" i="6"/>
  <c r="AB161" i="6"/>
  <c r="AB362" i="6"/>
  <c r="AB453" i="6"/>
  <c r="AB269" i="6"/>
  <c r="AB270" i="6"/>
  <c r="AB74" i="6"/>
  <c r="AB408" i="6"/>
  <c r="AB409" i="6"/>
  <c r="AB410" i="6"/>
  <c r="AB411" i="6"/>
  <c r="AB412" i="6"/>
  <c r="AB413" i="6"/>
  <c r="AB414" i="6"/>
  <c r="AB470" i="6"/>
  <c r="AB471" i="6"/>
  <c r="AB472" i="6"/>
  <c r="AB473" i="6"/>
  <c r="AB474" i="6"/>
  <c r="AB475" i="6"/>
  <c r="AB190" i="6"/>
  <c r="AB52" i="6"/>
  <c r="AB53" i="6"/>
  <c r="AB54" i="6"/>
  <c r="AB488" i="6"/>
  <c r="AB491" i="6"/>
  <c r="AB486" i="6"/>
  <c r="AB492" i="6"/>
  <c r="AB493" i="6"/>
  <c r="AB489" i="6"/>
  <c r="AB487" i="6"/>
  <c r="AB490" i="6"/>
  <c r="AB195" i="6"/>
  <c r="AB485" i="6"/>
  <c r="AB484" i="6"/>
  <c r="AB324" i="6"/>
  <c r="AB431" i="6"/>
  <c r="AB430" i="6"/>
  <c r="AB428" i="6"/>
  <c r="AB429" i="6"/>
  <c r="AB432" i="6"/>
  <c r="AB443" i="6"/>
  <c r="AB328" i="6"/>
  <c r="AB99" i="6"/>
  <c r="AB100" i="6"/>
  <c r="AB101" i="6"/>
  <c r="AB128" i="6"/>
  <c r="AB166" i="6"/>
  <c r="AB366" i="6"/>
  <c r="AB367" i="6"/>
  <c r="AB223" i="6"/>
  <c r="AB169" i="6"/>
  <c r="AB307" i="6"/>
  <c r="AB308" i="6"/>
  <c r="AB318" i="6"/>
  <c r="AB242" i="6"/>
  <c r="AB64" i="6"/>
  <c r="AB427" i="6"/>
  <c r="AB56" i="6"/>
  <c r="AB47" i="6"/>
  <c r="AB72" i="6"/>
  <c r="AB371" i="6"/>
  <c r="AB39" i="6"/>
  <c r="AB31" i="6"/>
  <c r="AB112" i="6"/>
  <c r="AB238" i="6"/>
  <c r="AB134" i="6"/>
  <c r="AB186" i="6"/>
  <c r="AB288" i="6"/>
  <c r="AB272" i="6"/>
  <c r="AB17" i="6"/>
  <c r="AB350" i="6"/>
  <c r="AB222" i="6"/>
  <c r="AB439" i="6"/>
  <c r="AB482" i="6"/>
  <c r="AB356" i="6"/>
  <c r="AB115" i="6"/>
  <c r="AB420" i="6"/>
  <c r="AB130" i="6"/>
  <c r="AB254" i="6"/>
  <c r="AB121" i="6"/>
  <c r="AB285" i="6"/>
  <c r="AB372" i="6"/>
  <c r="AB267" i="6"/>
  <c r="AB87" i="6"/>
  <c r="AB334" i="6"/>
  <c r="AB164" i="6"/>
  <c r="AB69" i="6"/>
  <c r="AB481" i="6"/>
  <c r="AB24" i="6"/>
  <c r="AB424" i="6"/>
  <c r="AB454" i="6"/>
  <c r="AB405" i="6"/>
  <c r="AB355" i="6"/>
  <c r="AB327" i="6"/>
  <c r="AB352" i="6"/>
  <c r="AB441" i="6"/>
  <c r="AB313" i="6"/>
  <c r="AB103" i="6"/>
  <c r="AB438" i="6"/>
  <c r="AB221" i="6"/>
  <c r="AB310" i="6"/>
  <c r="AB172" i="6"/>
  <c r="AB347" i="6"/>
  <c r="AB79" i="6"/>
  <c r="AB110" i="6"/>
  <c r="AB331" i="6"/>
  <c r="AB187" i="6"/>
  <c r="AB62" i="6"/>
  <c r="AB406" i="6"/>
  <c r="AB271" i="6"/>
  <c r="AB250" i="6"/>
  <c r="AB309" i="6"/>
  <c r="AB423" i="6"/>
  <c r="AB156" i="6"/>
  <c r="AB116" i="6"/>
  <c r="AB316" i="6"/>
  <c r="AB393" i="6"/>
  <c r="AB23" i="6"/>
  <c r="AB206" i="6"/>
  <c r="AB138" i="6"/>
  <c r="AB173" i="6"/>
  <c r="AB45" i="6"/>
  <c r="AB243" i="6"/>
  <c r="AB144" i="6"/>
  <c r="AB178" i="6"/>
  <c r="AB132" i="6"/>
  <c r="AB300" i="6"/>
  <c r="AB113" i="6"/>
  <c r="AB361" i="6"/>
  <c r="AB89" i="6"/>
  <c r="AB111" i="6"/>
  <c r="AB107" i="6"/>
  <c r="AB447" i="6"/>
  <c r="AB29" i="6"/>
  <c r="AB106" i="6"/>
  <c r="AB375" i="6"/>
  <c r="AB71" i="6"/>
  <c r="AB422" i="6"/>
  <c r="AB137" i="6"/>
  <c r="AB135" i="6"/>
  <c r="AB389" i="6"/>
  <c r="AB13" i="6"/>
  <c r="AB284" i="6"/>
  <c r="AB341" i="6"/>
  <c r="AB61" i="6"/>
  <c r="AB330" i="6"/>
  <c r="AB353" i="6"/>
  <c r="AB77" i="6"/>
  <c r="AB102" i="6"/>
  <c r="AB194" i="6"/>
  <c r="AB248" i="6"/>
  <c r="AB151" i="6"/>
  <c r="AB217" i="6"/>
  <c r="AB249" i="6"/>
  <c r="AB226" i="6"/>
  <c r="AB44" i="6"/>
  <c r="AB225" i="6"/>
  <c r="AB155" i="6"/>
  <c r="AB315" i="6"/>
  <c r="AB436" i="6"/>
  <c r="AB205" i="6"/>
  <c r="AB11" i="6"/>
  <c r="AB251" i="6"/>
  <c r="AB465" i="6"/>
  <c r="AB337" i="6"/>
  <c r="AB76" i="6"/>
  <c r="AB402" i="6"/>
  <c r="AB78" i="6"/>
  <c r="AB60" i="6"/>
  <c r="AB421" i="6"/>
  <c r="AB357" i="6"/>
  <c r="AB202" i="6"/>
  <c r="AB59" i="6"/>
  <c r="AB49" i="6"/>
  <c r="AB319" i="6"/>
  <c r="AB391" i="6"/>
  <c r="AB28" i="6"/>
  <c r="AB209" i="6"/>
  <c r="AB208" i="6"/>
  <c r="AB299" i="6"/>
  <c r="AB365" i="6"/>
  <c r="AB88" i="6"/>
  <c r="AB457" i="6"/>
  <c r="AB235" i="6"/>
  <c r="AB403" i="6"/>
  <c r="AB80" i="6"/>
  <c r="AB451" i="6"/>
  <c r="AB480" i="6"/>
  <c r="AB233" i="6"/>
  <c r="AB9" i="6"/>
  <c r="AB109" i="6"/>
  <c r="AB55" i="6"/>
  <c r="AB192" i="6"/>
  <c r="AB460" i="6"/>
  <c r="AB477" i="6"/>
  <c r="AB259" i="6"/>
  <c r="AB374" i="6"/>
  <c r="AB302" i="6"/>
  <c r="AB108" i="6"/>
  <c r="AB294" i="6"/>
  <c r="AB67" i="6"/>
  <c r="AB42" i="6"/>
  <c r="AB444" i="6"/>
  <c r="AB191" i="6"/>
  <c r="AB219" i="6"/>
  <c r="AB63" i="6"/>
  <c r="AB129" i="6"/>
  <c r="AB104" i="6"/>
  <c r="AB168" i="6"/>
  <c r="AB163" i="6"/>
  <c r="AB265" i="6"/>
  <c r="AB152" i="6"/>
  <c r="AB21" i="6"/>
  <c r="AB203" i="6"/>
  <c r="AB448" i="6"/>
  <c r="AB46" i="6"/>
  <c r="AB257" i="6"/>
  <c r="AB266" i="6"/>
  <c r="AB12" i="6"/>
  <c r="AB483" i="6"/>
  <c r="AB218" i="6"/>
  <c r="AB376" i="6"/>
  <c r="AB211" i="6"/>
  <c r="AB43" i="6"/>
  <c r="AB425" i="6"/>
  <c r="AB351" i="6"/>
  <c r="AB368" i="6"/>
  <c r="AB92" i="6"/>
  <c r="AB91" i="6"/>
  <c r="AB147" i="6"/>
  <c r="AB345" i="6"/>
  <c r="AB10" i="6"/>
  <c r="AB252" i="6"/>
  <c r="AB122" i="6"/>
  <c r="AB415" i="6"/>
  <c r="AB30" i="6"/>
  <c r="AB346" i="6"/>
  <c r="AB241" i="6"/>
  <c r="AB83" i="6"/>
  <c r="AB283" i="6"/>
  <c r="AB148" i="6"/>
  <c r="AB418" i="6"/>
  <c r="AB18" i="6"/>
  <c r="AB201" i="6"/>
  <c r="AB416" i="6"/>
  <c r="AB27" i="6"/>
  <c r="AB335" i="6"/>
  <c r="AB446" i="6"/>
  <c r="AB364" i="6"/>
  <c r="AB73" i="6"/>
  <c r="AB165" i="6"/>
  <c r="AB264" i="6"/>
  <c r="AB433" i="6"/>
  <c r="AB236" i="6"/>
  <c r="AB86" i="6"/>
  <c r="AB354" i="6"/>
  <c r="AB14" i="6"/>
  <c r="AB293" i="6"/>
  <c r="AB193" i="6"/>
  <c r="AB442" i="6"/>
  <c r="AB373" i="6"/>
  <c r="AB105" i="6"/>
  <c r="AB434" i="6"/>
  <c r="AB338" i="6"/>
  <c r="AB66" i="6"/>
  <c r="AB449" i="6"/>
  <c r="AB320" i="6"/>
  <c r="AB377" i="6"/>
  <c r="AB57" i="6"/>
  <c r="AB139" i="6"/>
  <c r="AB220" i="6"/>
  <c r="AB363" i="6"/>
  <c r="AB392" i="6"/>
  <c r="AB287" i="6"/>
  <c r="AB419" i="6"/>
  <c r="AB388" i="6"/>
  <c r="AB452" i="6"/>
  <c r="AB304" i="6"/>
  <c r="AB464" i="6"/>
  <c r="AB463" i="6"/>
  <c r="AB40" i="6"/>
  <c r="AB255" i="6"/>
  <c r="AB162" i="6"/>
  <c r="AB344" i="6"/>
  <c r="AB204" i="6"/>
  <c r="AB450" i="6"/>
  <c r="AB323" i="6"/>
  <c r="AB397" i="6"/>
  <c r="AB322" i="6"/>
  <c r="AB336" i="6"/>
  <c r="AB36" i="6"/>
  <c r="AB19" i="6"/>
  <c r="AB232" i="6"/>
  <c r="AB247" i="6"/>
  <c r="AB306" i="6"/>
  <c r="AB321" i="6"/>
  <c r="AB476" i="6"/>
  <c r="AB297" i="6"/>
  <c r="AB343" i="6"/>
  <c r="AB20" i="6"/>
  <c r="AB404" i="6"/>
  <c r="AB216" i="6"/>
  <c r="AB231" i="6"/>
  <c r="AB290" i="6"/>
  <c r="AB305" i="6"/>
  <c r="AB38" i="6"/>
  <c r="AB326" i="6"/>
  <c r="AB200" i="6"/>
  <c r="AB274" i="6"/>
  <c r="AB289" i="6"/>
  <c r="AB467" i="6"/>
  <c r="AB184" i="6"/>
  <c r="AB118" i="6"/>
  <c r="AB136" i="6"/>
  <c r="AB93" i="6"/>
  <c r="AB260" i="6"/>
  <c r="AB120" i="6"/>
  <c r="AB75" i="6"/>
  <c r="AB174" i="6"/>
  <c r="AB440" i="6"/>
  <c r="AB207" i="6"/>
  <c r="AB329" i="6"/>
  <c r="AB22" i="6"/>
  <c r="AB131" i="6"/>
  <c r="AB312" i="6"/>
  <c r="AB398" i="6"/>
  <c r="AB182" i="6"/>
  <c r="AB199" i="6"/>
  <c r="AB133" i="6"/>
  <c r="AB273" i="6"/>
  <c r="AB215" i="6"/>
  <c r="AB286" i="6"/>
  <c r="AB455" i="6"/>
  <c r="AB234" i="6"/>
  <c r="AB26" i="6"/>
  <c r="AB348" i="6"/>
  <c r="AB58" i="6"/>
  <c r="AB256" i="6"/>
  <c r="AB369" i="6"/>
  <c r="AB189" i="6"/>
  <c r="AB314" i="6"/>
  <c r="AB358" i="6"/>
  <c r="AB153" i="6"/>
  <c r="AB296" i="6"/>
  <c r="AB295" i="6"/>
  <c r="AB468" i="6"/>
  <c r="AB181" i="6"/>
  <c r="AB198" i="6"/>
  <c r="AB125" i="6"/>
  <c r="AA5" i="6"/>
  <c r="AB349" i="6"/>
  <c r="AB340" i="6"/>
  <c r="AB50" i="6"/>
  <c r="AB303" i="6"/>
  <c r="AB244" i="6"/>
  <c r="AB140" i="6"/>
  <c r="AB277" i="6"/>
  <c r="AB268" i="6"/>
  <c r="AB383" i="6"/>
  <c r="AB117" i="6"/>
  <c r="AB126" i="6"/>
  <c r="AB379" i="6"/>
  <c r="AB228" i="6"/>
  <c r="AB332" i="6"/>
  <c r="AB25" i="6"/>
  <c r="AB240" i="6"/>
  <c r="AB462" i="6"/>
  <c r="AB154" i="6"/>
  <c r="AB298" i="6"/>
  <c r="AB281" i="6"/>
  <c r="AB253" i="6"/>
  <c r="AB280" i="6"/>
  <c r="AB279" i="6"/>
  <c r="AB82" i="6"/>
  <c r="AB180" i="6"/>
  <c r="AB142" i="6"/>
  <c r="AB263" i="6"/>
  <c r="AB378" i="6"/>
  <c r="AB210" i="6"/>
  <c r="AB143" i="6"/>
  <c r="AB258" i="6"/>
  <c r="AB478" i="6"/>
  <c r="AB227" i="6"/>
  <c r="AB456" i="6"/>
  <c r="AB212" i="6"/>
  <c r="AB301" i="6"/>
  <c r="AB370" i="6"/>
  <c r="AB224" i="6"/>
  <c r="AB437" i="6"/>
  <c r="AB90" i="6"/>
  <c r="AB282" i="6"/>
  <c r="AB176" i="6"/>
  <c r="AB237" i="6"/>
  <c r="AB262" i="6"/>
  <c r="AB261" i="6"/>
  <c r="AB479" i="6"/>
  <c r="AB394" i="6"/>
  <c r="AB81" i="6"/>
  <c r="AB98" i="6"/>
  <c r="AB461" i="6"/>
  <c r="AB380" i="6"/>
  <c r="AB381" i="6"/>
  <c r="AB382" i="6"/>
  <c r="AB185" i="6"/>
  <c r="AB339" i="6"/>
  <c r="AB65" i="6"/>
  <c r="AB291" i="6"/>
  <c r="AB15" i="6"/>
  <c r="AB150" i="6"/>
  <c r="AB245" i="6"/>
  <c r="AB96" i="6"/>
  <c r="AB48" i="6"/>
  <c r="AB275" i="6"/>
  <c r="AB396" i="6"/>
  <c r="AB175" i="6"/>
  <c r="AB459" i="6"/>
  <c r="AB229" i="6"/>
  <c r="AB95" i="6"/>
  <c r="AB141" i="6"/>
  <c r="AB401" i="6"/>
  <c r="AB119" i="6"/>
  <c r="AB395" i="6"/>
  <c r="AB213" i="6"/>
  <c r="AB94" i="6"/>
  <c r="AB70" i="6"/>
  <c r="AB123" i="6"/>
  <c r="AB342" i="6"/>
  <c r="AB68" i="6"/>
  <c r="AB292" i="6"/>
  <c r="AB16" i="6"/>
  <c r="AB390" i="6"/>
  <c r="AB246" i="6"/>
  <c r="AB197" i="6"/>
  <c r="AB37" i="6"/>
  <c r="AB325" i="6"/>
  <c r="AB51" i="6"/>
  <c r="AB276" i="6"/>
  <c r="AB400" i="6"/>
  <c r="AB230" i="6"/>
  <c r="AB445" i="6"/>
  <c r="AB179" i="6"/>
  <c r="AB188" i="6"/>
  <c r="AB360" i="6"/>
  <c r="AB145" i="6"/>
  <c r="AB114" i="6"/>
  <c r="AB84" i="6"/>
  <c r="AB278" i="6"/>
  <c r="AB466" i="6"/>
  <c r="AB333" i="6"/>
  <c r="AB183" i="6"/>
  <c r="AB426" i="6"/>
  <c r="AB177" i="6"/>
  <c r="AB469" i="6"/>
  <c r="AB196" i="6"/>
  <c r="AB317" i="6"/>
  <c r="AB41" i="6"/>
  <c r="AB124" i="6"/>
  <c r="AB359" i="6"/>
  <c r="AB239" i="6"/>
  <c r="AB435" i="6"/>
  <c r="AB146" i="6"/>
  <c r="AB458" i="6"/>
  <c r="AB417" i="6"/>
  <c r="AB167" i="6"/>
  <c r="AB311" i="6"/>
  <c r="AB149" i="6"/>
  <c r="AB8" i="6"/>
  <c r="AB127" i="6"/>
  <c r="AB399" i="6"/>
  <c r="AB214" i="6"/>
  <c r="AB97" i="6"/>
  <c r="AB5" i="6" l="1"/>
</calcChain>
</file>

<file path=xl/sharedStrings.xml><?xml version="1.0" encoding="utf-8"?>
<sst xmlns="http://schemas.openxmlformats.org/spreadsheetml/2006/main" count="4722" uniqueCount="2069">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</sst>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2"/>
  <sheetViews>
    <sheetView tabSelected="1" zoomScaleNormal="100" workbookViewId="0">
      <pane ySplit="7" topLeftCell="A36" activePane="bottomLeft" state="frozen"/>
      <selection pane="bottomLeft" activeCell="F496" sqref="F496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107</v>
      </c>
      <c r="G3" s="5">
        <f>+AF6</f>
        <v>102</v>
      </c>
      <c r="H3" s="5">
        <f>+E3-G3</f>
        <v>19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325</v>
      </c>
      <c r="F4" s="7">
        <f>+AE6</f>
        <v>165</v>
      </c>
      <c r="G4" s="7">
        <f>+AG6</f>
        <v>148</v>
      </c>
      <c r="H4" s="5">
        <f>+E4-G4</f>
        <v>177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446</v>
      </c>
      <c r="F5" s="8">
        <f>+F3+F4</f>
        <v>272</v>
      </c>
      <c r="G5" s="8">
        <f>+G3+G4</f>
        <v>250</v>
      </c>
      <c r="H5" s="8">
        <f>+H3+H4</f>
        <v>196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SUM(S8:S2435)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SUM(AD8:AD1704)</f>
        <v>107</v>
      </c>
      <c r="AE6" s="1">
        <f t="shared" si="1"/>
        <v>165</v>
      </c>
      <c r="AF6" s="1">
        <f t="shared" si="1"/>
        <v>102</v>
      </c>
      <c r="AG6" s="1">
        <f t="shared" si="1"/>
        <v>148</v>
      </c>
      <c r="AH6" s="1">
        <f t="shared" si="1"/>
        <v>121</v>
      </c>
      <c r="AI6" s="1">
        <f t="shared" si="1"/>
        <v>325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0</v>
      </c>
      <c r="AE34" s="1">
        <f t="shared" si="30"/>
        <v>0</v>
      </c>
      <c r="AF34" s="1">
        <f t="shared" si="31"/>
        <v>0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2058</v>
      </c>
      <c r="E73" s="32" t="s">
        <v>1983</v>
      </c>
      <c r="F73" s="32" t="s">
        <v>2059</v>
      </c>
      <c r="G73" s="32" t="s">
        <v>285</v>
      </c>
      <c r="H73" s="32" t="s">
        <v>354</v>
      </c>
      <c r="I73" s="31" t="s">
        <v>2060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2061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2014</v>
      </c>
      <c r="E74" s="32" t="s">
        <v>175</v>
      </c>
      <c r="F74" s="36" t="s">
        <v>2015</v>
      </c>
      <c r="G74" s="36" t="s">
        <v>220</v>
      </c>
      <c r="H74" s="36" t="s">
        <v>354</v>
      </c>
      <c r="I74" s="37" t="s">
        <v>2016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2068</v>
      </c>
      <c r="E88" s="36" t="s">
        <v>176</v>
      </c>
      <c r="F88" s="36" t="s">
        <v>2066</v>
      </c>
      <c r="G88" s="36" t="s">
        <v>220</v>
      </c>
      <c r="H88" s="36" t="s">
        <v>354</v>
      </c>
      <c r="I88" s="37" t="s">
        <v>2067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2041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7" si="113">+O140*P140*(1-A140)</f>
        <v>1</v>
      </c>
      <c r="AG140" s="1">
        <f t="shared" ref="AG140:AG207" si="114">O140*(1-P140)*(1-A140)</f>
        <v>0</v>
      </c>
      <c r="AH140" s="1">
        <f t="shared" ref="AH140:AH207" si="115">+P140*(1-A140)</f>
        <v>1</v>
      </c>
      <c r="AI140" s="1">
        <f t="shared" ref="AI140:AI207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20" t="s">
        <v>1948</v>
      </c>
      <c r="E151" s="20" t="s">
        <v>172</v>
      </c>
      <c r="F151" s="20" t="s">
        <v>1964</v>
      </c>
      <c r="G151" s="20"/>
      <c r="H151" s="20" t="s">
        <v>1963</v>
      </c>
      <c r="I151" s="21" t="s">
        <v>1962</v>
      </c>
      <c r="J151" s="15">
        <v>14</v>
      </c>
      <c r="K151" s="10" t="s">
        <v>703</v>
      </c>
      <c r="L151" s="10" t="s">
        <v>697</v>
      </c>
      <c r="M151" s="19" t="s">
        <v>971</v>
      </c>
      <c r="N151" s="17"/>
      <c r="Q151" s="20" t="s">
        <v>1965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0</v>
      </c>
      <c r="AF151" s="1">
        <f t="shared" si="113"/>
        <v>0</v>
      </c>
      <c r="AG151" s="1">
        <f t="shared" si="114"/>
        <v>0</v>
      </c>
      <c r="AH151" s="1">
        <f t="shared" si="115"/>
        <v>0</v>
      </c>
      <c r="AI151" s="1">
        <f t="shared" si="116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145</v>
      </c>
      <c r="E152" s="32" t="s">
        <v>172</v>
      </c>
      <c r="F152" s="32" t="s">
        <v>347</v>
      </c>
      <c r="G152" s="32" t="s">
        <v>39</v>
      </c>
      <c r="H152" s="32" t="s">
        <v>378</v>
      </c>
      <c r="I152" s="31" t="s">
        <v>1362</v>
      </c>
      <c r="J152" s="31">
        <v>14</v>
      </c>
      <c r="K152" s="33" t="s">
        <v>956</v>
      </c>
      <c r="L152" s="33" t="s">
        <v>689</v>
      </c>
      <c r="M152" s="34" t="s">
        <v>691</v>
      </c>
      <c r="N152" s="34" t="s">
        <v>1748</v>
      </c>
      <c r="O152" s="35">
        <v>1</v>
      </c>
      <c r="P152" s="35"/>
      <c r="Q152" s="32"/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1</v>
      </c>
      <c r="AF152" s="1">
        <f t="shared" si="113"/>
        <v>0</v>
      </c>
      <c r="AG152" s="1">
        <f t="shared" si="114"/>
        <v>1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1567</v>
      </c>
      <c r="E153" s="32" t="s">
        <v>172</v>
      </c>
      <c r="F153" s="32" t="s">
        <v>1568</v>
      </c>
      <c r="G153" s="32" t="s">
        <v>39</v>
      </c>
      <c r="H153" s="32" t="s">
        <v>1569</v>
      </c>
      <c r="I153" s="31" t="s">
        <v>1570</v>
      </c>
      <c r="J153" s="31">
        <v>17</v>
      </c>
      <c r="K153" s="33" t="s">
        <v>722</v>
      </c>
      <c r="L153" s="33" t="s">
        <v>39</v>
      </c>
      <c r="M153" s="34" t="s">
        <v>39</v>
      </c>
      <c r="N153" s="34" t="s">
        <v>1733</v>
      </c>
      <c r="O153" s="35">
        <v>1</v>
      </c>
      <c r="P153" s="35">
        <v>1</v>
      </c>
      <c r="Q153" s="32" t="s">
        <v>1913</v>
      </c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1</v>
      </c>
      <c r="AE153" s="1">
        <f t="shared" si="128"/>
        <v>0</v>
      </c>
      <c r="AF153" s="1">
        <f t="shared" si="113"/>
        <v>1</v>
      </c>
      <c r="AG153" s="1">
        <f t="shared" si="114"/>
        <v>0</v>
      </c>
      <c r="AH153" s="1">
        <f t="shared" si="115"/>
        <v>1</v>
      </c>
      <c r="AI153" s="1">
        <f t="shared" si="116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153</v>
      </c>
      <c r="E154" s="32" t="s">
        <v>172</v>
      </c>
      <c r="F154" s="32" t="s">
        <v>353</v>
      </c>
      <c r="G154" s="32" t="s">
        <v>39</v>
      </c>
      <c r="H154" s="32" t="s">
        <v>1869</v>
      </c>
      <c r="I154" s="31" t="s">
        <v>500</v>
      </c>
      <c r="J154" s="31">
        <v>14</v>
      </c>
      <c r="K154" s="33" t="s">
        <v>702</v>
      </c>
      <c r="L154" s="33" t="s">
        <v>689</v>
      </c>
      <c r="M154" s="34" t="s">
        <v>970</v>
      </c>
      <c r="N154" s="34" t="s">
        <v>1748</v>
      </c>
      <c r="O154" s="35">
        <v>1</v>
      </c>
      <c r="P154" s="35"/>
      <c r="Q154" s="32" t="s">
        <v>1896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0</v>
      </c>
      <c r="AE154" s="1">
        <f t="shared" si="128"/>
        <v>1</v>
      </c>
      <c r="AF154" s="1">
        <f t="shared" si="113"/>
        <v>0</v>
      </c>
      <c r="AG154" s="1">
        <f t="shared" si="114"/>
        <v>1</v>
      </c>
      <c r="AH154" s="1">
        <f t="shared" si="115"/>
        <v>0</v>
      </c>
      <c r="AI154" s="1">
        <f t="shared" si="116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739</v>
      </c>
      <c r="E155" s="16" t="s">
        <v>172</v>
      </c>
      <c r="F155" s="16" t="s">
        <v>740</v>
      </c>
      <c r="G155" s="16" t="s">
        <v>39</v>
      </c>
      <c r="H155" s="16" t="s">
        <v>741</v>
      </c>
      <c r="I155" s="15" t="s">
        <v>742</v>
      </c>
      <c r="J155" s="15">
        <v>17</v>
      </c>
      <c r="K155" s="10" t="s">
        <v>722</v>
      </c>
      <c r="L155" s="10" t="s">
        <v>697</v>
      </c>
      <c r="M155" s="19" t="s">
        <v>691</v>
      </c>
      <c r="N155" s="17"/>
      <c r="Q155" s="16" t="s">
        <v>1887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0</v>
      </c>
      <c r="AF155" s="1">
        <f t="shared" si="113"/>
        <v>0</v>
      </c>
      <c r="AG155" s="1">
        <f t="shared" si="114"/>
        <v>0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44">
        <v>0</v>
      </c>
      <c r="B156" s="44">
        <v>1</v>
      </c>
      <c r="C156" s="44">
        <v>3</v>
      </c>
      <c r="D156" s="45" t="s">
        <v>904</v>
      </c>
      <c r="E156" s="45" t="s">
        <v>172</v>
      </c>
      <c r="F156" s="45" t="s">
        <v>1096</v>
      </c>
      <c r="G156" s="45" t="s">
        <v>39</v>
      </c>
      <c r="H156" s="45" t="s">
        <v>906</v>
      </c>
      <c r="I156" s="44" t="s">
        <v>905</v>
      </c>
      <c r="J156" s="44">
        <v>11</v>
      </c>
      <c r="K156" s="46" t="s">
        <v>957</v>
      </c>
      <c r="L156" s="46">
        <v>60</v>
      </c>
      <c r="M156" s="47" t="s">
        <v>39</v>
      </c>
      <c r="N156" s="47" t="s">
        <v>1739</v>
      </c>
      <c r="O156" s="48"/>
      <c r="P156" s="48"/>
      <c r="Q156" s="45"/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123</v>
      </c>
      <c r="E157" s="32" t="s">
        <v>175</v>
      </c>
      <c r="F157" s="32" t="s">
        <v>324</v>
      </c>
      <c r="G157" s="32" t="s">
        <v>39</v>
      </c>
      <c r="H157" s="32" t="s">
        <v>363</v>
      </c>
      <c r="I157" s="31" t="s">
        <v>470</v>
      </c>
      <c r="J157" s="31">
        <v>14</v>
      </c>
      <c r="K157" s="33" t="s">
        <v>722</v>
      </c>
      <c r="L157" s="33" t="s">
        <v>693</v>
      </c>
      <c r="M157" s="34" t="s">
        <v>1379</v>
      </c>
      <c r="N157" s="34" t="s">
        <v>1849</v>
      </c>
      <c r="O157" s="35">
        <v>1</v>
      </c>
      <c r="P157" s="35"/>
      <c r="Q157" s="36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1</v>
      </c>
      <c r="AF157" s="1">
        <f t="shared" ref="AF157:AF161" si="141">+O157*P157*(1-A157)</f>
        <v>0</v>
      </c>
      <c r="AG157" s="1">
        <f t="shared" ref="AG157:AG161" si="142">O157*(1-P157)*(1-A157)</f>
        <v>1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1169</v>
      </c>
      <c r="E158" s="32" t="s">
        <v>172</v>
      </c>
      <c r="F158" s="32" t="s">
        <v>1171</v>
      </c>
      <c r="G158" s="32" t="s">
        <v>767</v>
      </c>
      <c r="H158" s="32" t="s">
        <v>354</v>
      </c>
      <c r="I158" s="31" t="s">
        <v>1170</v>
      </c>
      <c r="J158" s="31">
        <v>99</v>
      </c>
      <c r="K158" s="33" t="s">
        <v>703</v>
      </c>
      <c r="L158" s="33">
        <v>30</v>
      </c>
      <c r="M158" s="34" t="s">
        <v>970</v>
      </c>
      <c r="N158" s="34" t="s">
        <v>1825</v>
      </c>
      <c r="O158" s="35">
        <v>1</v>
      </c>
      <c r="P158" s="35"/>
      <c r="Q158" s="36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1</v>
      </c>
      <c r="AF158" s="1">
        <f t="shared" si="141"/>
        <v>0</v>
      </c>
      <c r="AG158" s="1">
        <f t="shared" si="142"/>
        <v>1</v>
      </c>
      <c r="AH158" s="1">
        <f t="shared" si="143"/>
        <v>0</v>
      </c>
      <c r="AI158" s="1">
        <f t="shared" si="144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2042</v>
      </c>
      <c r="E159" s="32" t="s">
        <v>172</v>
      </c>
      <c r="F159" s="32" t="s">
        <v>2043</v>
      </c>
      <c r="G159" s="32"/>
      <c r="H159" s="32" t="s">
        <v>354</v>
      </c>
      <c r="I159" s="31" t="s">
        <v>2044</v>
      </c>
      <c r="J159" s="31">
        <v>18</v>
      </c>
      <c r="K159" s="33" t="s">
        <v>703</v>
      </c>
      <c r="L159" s="33"/>
      <c r="M159" s="34"/>
      <c r="N159" s="34" t="s">
        <v>1733</v>
      </c>
      <c r="O159" s="35">
        <v>1</v>
      </c>
      <c r="P159" s="35">
        <v>1</v>
      </c>
      <c r="Q159" s="36" t="s">
        <v>2045</v>
      </c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1</v>
      </c>
      <c r="AE159" s="1">
        <f t="shared" si="140"/>
        <v>0</v>
      </c>
      <c r="AF159" s="1">
        <f t="shared" si="141"/>
        <v>1</v>
      </c>
      <c r="AG159" s="1">
        <f t="shared" si="142"/>
        <v>0</v>
      </c>
      <c r="AH159" s="1">
        <f t="shared" si="143"/>
        <v>1</v>
      </c>
      <c r="AI159" s="1">
        <f t="shared" si="144"/>
        <v>0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16" t="s">
        <v>743</v>
      </c>
      <c r="E160" s="16" t="s">
        <v>170</v>
      </c>
      <c r="F160" s="16" t="s">
        <v>744</v>
      </c>
      <c r="G160" s="16" t="s">
        <v>39</v>
      </c>
      <c r="H160" s="16" t="s">
        <v>745</v>
      </c>
      <c r="I160" s="15" t="s">
        <v>746</v>
      </c>
      <c r="J160" s="15">
        <v>17</v>
      </c>
      <c r="K160" s="10" t="s">
        <v>703</v>
      </c>
      <c r="L160" s="10" t="s">
        <v>697</v>
      </c>
      <c r="M160" s="19" t="s">
        <v>971</v>
      </c>
      <c r="N160" s="17"/>
      <c r="Q160" s="16"/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0</v>
      </c>
      <c r="AE160" s="1">
        <f t="shared" si="140"/>
        <v>0</v>
      </c>
      <c r="AF160" s="1">
        <f t="shared" si="141"/>
        <v>0</v>
      </c>
      <c r="AG160" s="1">
        <f t="shared" si="142"/>
        <v>0</v>
      </c>
      <c r="AH160" s="1">
        <f t="shared" si="143"/>
        <v>0</v>
      </c>
      <c r="AI160" s="1">
        <f t="shared" si="144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1947</v>
      </c>
      <c r="E161" s="20" t="s">
        <v>172</v>
      </c>
      <c r="F161" s="20" t="s">
        <v>1958</v>
      </c>
      <c r="G161" s="20"/>
      <c r="H161" s="20" t="s">
        <v>1959</v>
      </c>
      <c r="I161" s="21" t="s">
        <v>1960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1957</v>
      </c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834</v>
      </c>
      <c r="E162" s="45" t="s">
        <v>914</v>
      </c>
      <c r="F162" s="45" t="s">
        <v>835</v>
      </c>
      <c r="G162" s="45" t="s">
        <v>208</v>
      </c>
      <c r="H162" s="45" t="s">
        <v>354</v>
      </c>
      <c r="I162" s="44" t="s">
        <v>836</v>
      </c>
      <c r="J162" s="44">
        <v>3</v>
      </c>
      <c r="K162" s="46" t="s">
        <v>722</v>
      </c>
      <c r="L162" s="46" t="s">
        <v>693</v>
      </c>
      <c r="M162" s="47" t="s">
        <v>698</v>
      </c>
      <c r="N162" s="47" t="s">
        <v>1740</v>
      </c>
      <c r="O162" s="48"/>
      <c r="P162" s="48"/>
      <c r="Q162" s="45"/>
      <c r="S162" s="1">
        <f t="shared" si="117"/>
        <v>0</v>
      </c>
      <c r="T162" s="1">
        <f t="shared" si="118"/>
        <v>0</v>
      </c>
      <c r="U162" s="1">
        <f t="shared" si="119"/>
        <v>1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1953</v>
      </c>
      <c r="E163" s="20" t="s">
        <v>172</v>
      </c>
      <c r="F163" s="20" t="s">
        <v>1955</v>
      </c>
      <c r="G163" s="20"/>
      <c r="H163" s="20" t="s">
        <v>1956</v>
      </c>
      <c r="I163" s="21" t="s">
        <v>1954</v>
      </c>
      <c r="J163" s="15">
        <v>16</v>
      </c>
      <c r="K163" s="10" t="s">
        <v>703</v>
      </c>
      <c r="L163" s="10" t="s">
        <v>697</v>
      </c>
      <c r="M163" s="19" t="s">
        <v>971</v>
      </c>
      <c r="N163" s="17"/>
      <c r="Q163" s="20" t="s">
        <v>1961</v>
      </c>
      <c r="S163" s="1">
        <f t="shared" si="117"/>
        <v>0</v>
      </c>
      <c r="T163" s="1">
        <f t="shared" si="118"/>
        <v>0</v>
      </c>
      <c r="U163" s="1">
        <f t="shared" si="119"/>
        <v>0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1209</v>
      </c>
      <c r="E164" s="45" t="s">
        <v>172</v>
      </c>
      <c r="F164" s="45" t="s">
        <v>1211</v>
      </c>
      <c r="G164" s="45" t="s">
        <v>185</v>
      </c>
      <c r="H164" s="45" t="s">
        <v>354</v>
      </c>
      <c r="I164" s="44" t="s">
        <v>1210</v>
      </c>
      <c r="J164" s="44">
        <v>99</v>
      </c>
      <c r="K164" s="46" t="s">
        <v>958</v>
      </c>
      <c r="L164" s="46" t="s">
        <v>689</v>
      </c>
      <c r="M164" s="47" t="s">
        <v>971</v>
      </c>
      <c r="N164" s="47" t="s">
        <v>1734</v>
      </c>
      <c r="O164" s="48"/>
      <c r="P164" s="48"/>
      <c r="Q164" s="45"/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632</v>
      </c>
      <c r="E165" s="32" t="s">
        <v>170</v>
      </c>
      <c r="F165" s="32" t="s">
        <v>633</v>
      </c>
      <c r="G165" s="32" t="s">
        <v>194</v>
      </c>
      <c r="H165" s="32" t="s">
        <v>354</v>
      </c>
      <c r="I165" s="31" t="s">
        <v>634</v>
      </c>
      <c r="J165" s="31">
        <v>9</v>
      </c>
      <c r="K165" s="33" t="s">
        <v>957</v>
      </c>
      <c r="L165" s="33" t="s">
        <v>1699</v>
      </c>
      <c r="M165" s="34" t="s">
        <v>970</v>
      </c>
      <c r="N165" s="34" t="s">
        <v>1727</v>
      </c>
      <c r="O165" s="35">
        <v>1</v>
      </c>
      <c r="P165" s="35">
        <v>1</v>
      </c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1</v>
      </c>
      <c r="AB165" s="1">
        <f t="shared" si="126"/>
        <v>0</v>
      </c>
      <c r="AD165" s="1">
        <f t="shared" si="127"/>
        <v>1</v>
      </c>
      <c r="AE165" s="1">
        <f t="shared" si="128"/>
        <v>0</v>
      </c>
      <c r="AF165" s="1">
        <f t="shared" si="113"/>
        <v>1</v>
      </c>
      <c r="AG165" s="1">
        <f t="shared" si="114"/>
        <v>0</v>
      </c>
      <c r="AH165" s="1">
        <f t="shared" si="115"/>
        <v>1</v>
      </c>
      <c r="AI165" s="1">
        <f t="shared" si="116"/>
        <v>0</v>
      </c>
    </row>
    <row r="166" spans="1:35" ht="14.25" customHeight="1" x14ac:dyDescent="0.25">
      <c r="A166" s="44">
        <v>0</v>
      </c>
      <c r="B166" s="44">
        <v>1</v>
      </c>
      <c r="C166" s="44">
        <v>3</v>
      </c>
      <c r="D166" s="45" t="s">
        <v>132</v>
      </c>
      <c r="E166" s="45" t="s">
        <v>683</v>
      </c>
      <c r="F166" s="45" t="s">
        <v>334</v>
      </c>
      <c r="G166" s="45" t="s">
        <v>39</v>
      </c>
      <c r="H166" s="45" t="s">
        <v>362</v>
      </c>
      <c r="I166" s="44" t="s">
        <v>481</v>
      </c>
      <c r="J166" s="44">
        <v>12</v>
      </c>
      <c r="K166" s="46" t="s">
        <v>722</v>
      </c>
      <c r="L166" s="46">
        <v>35</v>
      </c>
      <c r="M166" s="47" t="s">
        <v>39</v>
      </c>
      <c r="N166" s="47" t="s">
        <v>1802</v>
      </c>
      <c r="O166" s="48"/>
      <c r="P166" s="48"/>
      <c r="Q166" s="45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0</v>
      </c>
      <c r="AB166" s="1">
        <f t="shared" si="126"/>
        <v>0</v>
      </c>
      <c r="AD166" s="1">
        <f t="shared" si="127"/>
        <v>0</v>
      </c>
      <c r="AE166" s="1">
        <f t="shared" si="128"/>
        <v>0</v>
      </c>
      <c r="AF166" s="1">
        <f t="shared" si="113"/>
        <v>0</v>
      </c>
      <c r="AG166" s="1">
        <f t="shared" si="114"/>
        <v>0</v>
      </c>
      <c r="AH166" s="1">
        <f t="shared" si="115"/>
        <v>0</v>
      </c>
      <c r="AI166" s="1">
        <f t="shared" si="116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826</v>
      </c>
      <c r="E167" s="16" t="s">
        <v>172</v>
      </c>
      <c r="F167" s="16" t="s">
        <v>827</v>
      </c>
      <c r="G167" s="16" t="s">
        <v>39</v>
      </c>
      <c r="H167" s="16" t="s">
        <v>375</v>
      </c>
      <c r="I167" s="15" t="s">
        <v>825</v>
      </c>
      <c r="J167" s="15">
        <v>12</v>
      </c>
      <c r="K167" s="10" t="s">
        <v>703</v>
      </c>
      <c r="L167" s="10">
        <v>40</v>
      </c>
      <c r="M167" s="19" t="s">
        <v>970</v>
      </c>
      <c r="N167" s="19"/>
      <c r="Q167" s="16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142</v>
      </c>
      <c r="E168" s="32" t="s">
        <v>172</v>
      </c>
      <c r="F168" s="32" t="s">
        <v>343</v>
      </c>
      <c r="G168" s="32" t="s">
        <v>39</v>
      </c>
      <c r="H168" s="32" t="s">
        <v>377</v>
      </c>
      <c r="I168" s="31" t="s">
        <v>490</v>
      </c>
      <c r="J168" s="31">
        <v>15</v>
      </c>
      <c r="K168" s="33" t="s">
        <v>702</v>
      </c>
      <c r="L168" s="33" t="s">
        <v>692</v>
      </c>
      <c r="M168" s="34" t="s">
        <v>691</v>
      </c>
      <c r="N168" s="34" t="s">
        <v>1733</v>
      </c>
      <c r="O168" s="35">
        <v>1</v>
      </c>
      <c r="P168" s="35">
        <v>1</v>
      </c>
      <c r="Q168" s="36" t="s">
        <v>1891</v>
      </c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1</v>
      </c>
      <c r="AE168" s="1">
        <f t="shared" si="128"/>
        <v>0</v>
      </c>
      <c r="AF168" s="1">
        <f t="shared" si="113"/>
        <v>1</v>
      </c>
      <c r="AG168" s="1">
        <f t="shared" si="114"/>
        <v>0</v>
      </c>
      <c r="AH168" s="1">
        <f t="shared" si="115"/>
        <v>1</v>
      </c>
      <c r="AI168" s="1">
        <f t="shared" si="116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747</v>
      </c>
      <c r="E169" s="16" t="s">
        <v>610</v>
      </c>
      <c r="F169" s="16" t="s">
        <v>748</v>
      </c>
      <c r="G169" s="16" t="s">
        <v>39</v>
      </c>
      <c r="H169" s="16" t="s">
        <v>749</v>
      </c>
      <c r="I169" s="15" t="s">
        <v>750</v>
      </c>
      <c r="J169" s="15">
        <v>18</v>
      </c>
      <c r="K169" s="10" t="s">
        <v>703</v>
      </c>
      <c r="L169" s="10" t="s">
        <v>697</v>
      </c>
      <c r="M169" s="19" t="s">
        <v>691</v>
      </c>
      <c r="N169" s="17"/>
      <c r="Q169" s="16"/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0</v>
      </c>
      <c r="AE169" s="1">
        <f t="shared" si="128"/>
        <v>0</v>
      </c>
      <c r="AF169" s="1">
        <f t="shared" si="113"/>
        <v>0</v>
      </c>
      <c r="AG169" s="1">
        <f t="shared" si="114"/>
        <v>0</v>
      </c>
      <c r="AH169" s="1">
        <f t="shared" si="115"/>
        <v>0</v>
      </c>
      <c r="AI169" s="1">
        <f t="shared" si="11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6" t="s">
        <v>1841</v>
      </c>
      <c r="E170" s="32" t="s">
        <v>1087</v>
      </c>
      <c r="F170" s="32" t="s">
        <v>1826</v>
      </c>
      <c r="G170" s="32"/>
      <c r="H170" s="32" t="s">
        <v>372</v>
      </c>
      <c r="I170" s="31" t="s">
        <v>1827</v>
      </c>
      <c r="J170" s="31">
        <v>16</v>
      </c>
      <c r="K170" s="33" t="s">
        <v>703</v>
      </c>
      <c r="L170" s="33"/>
      <c r="M170" s="34"/>
      <c r="N170" s="34" t="s">
        <v>1727</v>
      </c>
      <c r="O170" s="35">
        <v>1</v>
      </c>
      <c r="P170" s="35">
        <v>1</v>
      </c>
      <c r="Q170" s="32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1</v>
      </c>
      <c r="AE170" s="1">
        <f t="shared" ref="AE170:AE171" si="156">O170*(1-P170)</f>
        <v>0</v>
      </c>
      <c r="AF170" s="1">
        <f t="shared" ref="AF170:AF171" si="157">+O170*P170*(1-A170)</f>
        <v>1</v>
      </c>
      <c r="AG170" s="1">
        <f t="shared" ref="AG170:AG171" si="158">O170*(1-P170)*(1-A170)</f>
        <v>0</v>
      </c>
      <c r="AH170" s="1">
        <f t="shared" ref="AH170:AH171" si="159">+P170*(1-A170)</f>
        <v>1</v>
      </c>
      <c r="AI170" s="1">
        <f t="shared" ref="AI170:AI171" si="160">+(1-A170)*(1-P170)</f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979</v>
      </c>
      <c r="E171" s="32" t="s">
        <v>610</v>
      </c>
      <c r="F171" s="32" t="s">
        <v>980</v>
      </c>
      <c r="G171" s="32" t="s">
        <v>203</v>
      </c>
      <c r="H171" s="32" t="s">
        <v>354</v>
      </c>
      <c r="I171" s="31" t="s">
        <v>981</v>
      </c>
      <c r="J171" s="31">
        <v>99</v>
      </c>
      <c r="K171" s="33" t="s">
        <v>956</v>
      </c>
      <c r="L171" s="33" t="s">
        <v>39</v>
      </c>
      <c r="M171" s="34" t="s">
        <v>39</v>
      </c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149</v>
      </c>
      <c r="E172" s="32" t="s">
        <v>172</v>
      </c>
      <c r="F172" s="32" t="s">
        <v>350</v>
      </c>
      <c r="G172" s="32" t="s">
        <v>39</v>
      </c>
      <c r="H172" s="32" t="s">
        <v>380</v>
      </c>
      <c r="I172" s="31" t="s">
        <v>496</v>
      </c>
      <c r="J172" s="31">
        <v>14</v>
      </c>
      <c r="K172" s="33" t="s">
        <v>964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1989</v>
      </c>
      <c r="E173" s="32" t="s">
        <v>1990</v>
      </c>
      <c r="F173" s="32" t="s">
        <v>1991</v>
      </c>
      <c r="G173" s="32" t="s">
        <v>535</v>
      </c>
      <c r="H173" s="32" t="s">
        <v>354</v>
      </c>
      <c r="I173" s="31" t="s">
        <v>1992</v>
      </c>
      <c r="J173" s="31"/>
      <c r="K173" s="33" t="s">
        <v>703</v>
      </c>
      <c r="L173" s="33"/>
      <c r="M173" s="34"/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635</v>
      </c>
      <c r="E174" s="32" t="s">
        <v>172</v>
      </c>
      <c r="F174" s="32" t="s">
        <v>637</v>
      </c>
      <c r="G174" s="32" t="s">
        <v>238</v>
      </c>
      <c r="H174" s="32" t="s">
        <v>354</v>
      </c>
      <c r="I174" s="31" t="s">
        <v>636</v>
      </c>
      <c r="J174" s="31">
        <v>4</v>
      </c>
      <c r="K174" s="33" t="s">
        <v>956</v>
      </c>
      <c r="L174" s="33" t="s">
        <v>39</v>
      </c>
      <c r="M174" s="34" t="s">
        <v>39</v>
      </c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1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1528</v>
      </c>
      <c r="E175" s="16" t="s">
        <v>1087</v>
      </c>
      <c r="F175" s="16" t="s">
        <v>1529</v>
      </c>
      <c r="G175" s="16" t="s">
        <v>218</v>
      </c>
      <c r="H175" s="16" t="s">
        <v>354</v>
      </c>
      <c r="I175" s="15" t="s">
        <v>1530</v>
      </c>
      <c r="J175" s="15">
        <v>99</v>
      </c>
      <c r="K175" s="10" t="s">
        <v>703</v>
      </c>
      <c r="L175" s="10">
        <v>40</v>
      </c>
      <c r="M175" s="19" t="s">
        <v>970</v>
      </c>
      <c r="N175" s="19"/>
      <c r="Q175" s="16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0</v>
      </c>
      <c r="AE175" s="1">
        <f t="shared" si="128"/>
        <v>0</v>
      </c>
      <c r="AF175" s="1">
        <f t="shared" si="113"/>
        <v>0</v>
      </c>
      <c r="AG175" s="1">
        <f t="shared" si="114"/>
        <v>0</v>
      </c>
      <c r="AH175" s="1">
        <f t="shared" si="115"/>
        <v>0</v>
      </c>
      <c r="AI175" s="1">
        <f t="shared" si="116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102</v>
      </c>
      <c r="E176" s="32" t="s">
        <v>172</v>
      </c>
      <c r="F176" s="32" t="s">
        <v>299</v>
      </c>
      <c r="G176" s="32" t="s">
        <v>300</v>
      </c>
      <c r="H176" s="32" t="s">
        <v>354</v>
      </c>
      <c r="I176" s="31" t="s">
        <v>449</v>
      </c>
      <c r="J176" s="31">
        <v>99</v>
      </c>
      <c r="K176" s="33" t="s">
        <v>958</v>
      </c>
      <c r="L176" s="33" t="s">
        <v>693</v>
      </c>
      <c r="M176" s="34" t="s">
        <v>691</v>
      </c>
      <c r="N176" s="34" t="s">
        <v>1743</v>
      </c>
      <c r="O176" s="35">
        <v>1</v>
      </c>
      <c r="P176" s="35"/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1</v>
      </c>
      <c r="AF176" s="1">
        <f t="shared" si="113"/>
        <v>0</v>
      </c>
      <c r="AG176" s="1">
        <f t="shared" si="114"/>
        <v>1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44">
        <v>0</v>
      </c>
      <c r="B177" s="44">
        <v>1</v>
      </c>
      <c r="C177" s="44">
        <v>3</v>
      </c>
      <c r="D177" s="45" t="s">
        <v>990</v>
      </c>
      <c r="E177" s="45" t="s">
        <v>172</v>
      </c>
      <c r="F177" s="45" t="s">
        <v>993</v>
      </c>
      <c r="G177" s="45" t="s">
        <v>39</v>
      </c>
      <c r="H177" s="45" t="s">
        <v>992</v>
      </c>
      <c r="I177" s="44" t="s">
        <v>991</v>
      </c>
      <c r="J177" s="44">
        <v>14</v>
      </c>
      <c r="K177" s="46" t="s">
        <v>722</v>
      </c>
      <c r="L177" s="46" t="s">
        <v>694</v>
      </c>
      <c r="M177" s="47" t="s">
        <v>971</v>
      </c>
      <c r="N177" s="47" t="s">
        <v>1735</v>
      </c>
      <c r="O177" s="48"/>
      <c r="P177" s="48"/>
      <c r="Q177" s="45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57">
        <v>0</v>
      </c>
      <c r="B178" s="57">
        <v>1</v>
      </c>
      <c r="C178" s="57">
        <v>3</v>
      </c>
      <c r="D178" s="58" t="s">
        <v>1644</v>
      </c>
      <c r="E178" s="58" t="s">
        <v>172</v>
      </c>
      <c r="F178" s="58" t="s">
        <v>773</v>
      </c>
      <c r="G178" s="58" t="s">
        <v>39</v>
      </c>
      <c r="H178" s="58" t="s">
        <v>367</v>
      </c>
      <c r="I178" s="57" t="s">
        <v>781</v>
      </c>
      <c r="J178" s="57">
        <v>18</v>
      </c>
      <c r="K178" s="59" t="s">
        <v>1697</v>
      </c>
      <c r="L178" s="59" t="s">
        <v>39</v>
      </c>
      <c r="M178" s="60" t="s">
        <v>774</v>
      </c>
      <c r="N178" s="61"/>
      <c r="O178" s="62"/>
      <c r="P178" s="62"/>
      <c r="Q178" s="58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49">
        <v>0</v>
      </c>
      <c r="B179" s="49">
        <v>1</v>
      </c>
      <c r="C179" s="49">
        <v>3</v>
      </c>
      <c r="D179" s="50" t="s">
        <v>135</v>
      </c>
      <c r="E179" s="50" t="s">
        <v>172</v>
      </c>
      <c r="F179" s="50" t="s">
        <v>659</v>
      </c>
      <c r="G179" s="50" t="s">
        <v>257</v>
      </c>
      <c r="H179" s="50" t="s">
        <v>354</v>
      </c>
      <c r="I179" s="49" t="s">
        <v>1693</v>
      </c>
      <c r="J179" s="49">
        <v>99</v>
      </c>
      <c r="K179" s="51" t="s">
        <v>722</v>
      </c>
      <c r="L179" s="51" t="s">
        <v>687</v>
      </c>
      <c r="M179" s="52" t="s">
        <v>1397</v>
      </c>
      <c r="N179" s="52" t="s">
        <v>1743</v>
      </c>
      <c r="O179" s="53">
        <v>1</v>
      </c>
      <c r="P179" s="53"/>
      <c r="Q179" s="50" t="s">
        <v>1930</v>
      </c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1</v>
      </c>
      <c r="AF179" s="1">
        <f t="shared" si="113"/>
        <v>0</v>
      </c>
      <c r="AG179" s="1">
        <f t="shared" si="114"/>
        <v>1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923</v>
      </c>
      <c r="E180" s="16" t="s">
        <v>170</v>
      </c>
      <c r="F180" s="16" t="s">
        <v>940</v>
      </c>
      <c r="G180" s="16" t="s">
        <v>39</v>
      </c>
      <c r="H180" s="16" t="s">
        <v>365</v>
      </c>
      <c r="I180" s="15" t="s">
        <v>883</v>
      </c>
      <c r="J180" s="15">
        <v>18</v>
      </c>
      <c r="K180" s="10" t="s">
        <v>702</v>
      </c>
      <c r="L180" s="10" t="s">
        <v>697</v>
      </c>
      <c r="M180" s="19" t="s">
        <v>971</v>
      </c>
      <c r="N180" s="17"/>
      <c r="Q180" s="16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1260</v>
      </c>
      <c r="E181" s="32" t="s">
        <v>170</v>
      </c>
      <c r="F181" s="32" t="s">
        <v>1676</v>
      </c>
      <c r="G181" s="32" t="s">
        <v>39</v>
      </c>
      <c r="H181" s="32" t="s">
        <v>771</v>
      </c>
      <c r="I181" s="31" t="s">
        <v>1261</v>
      </c>
      <c r="J181" s="31">
        <v>11</v>
      </c>
      <c r="K181" s="33" t="s">
        <v>722</v>
      </c>
      <c r="L181" s="33" t="s">
        <v>689</v>
      </c>
      <c r="M181" s="34" t="s">
        <v>1398</v>
      </c>
      <c r="N181" s="34" t="s">
        <v>1749</v>
      </c>
      <c r="O181" s="35">
        <v>1</v>
      </c>
      <c r="P181" s="35"/>
      <c r="Q181" s="32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4</v>
      </c>
      <c r="D182" s="32" t="s">
        <v>996</v>
      </c>
      <c r="E182" s="32" t="s">
        <v>772</v>
      </c>
      <c r="F182" s="32" t="s">
        <v>1094</v>
      </c>
      <c r="G182" s="32" t="s">
        <v>200</v>
      </c>
      <c r="H182" s="32" t="s">
        <v>354</v>
      </c>
      <c r="I182" s="31" t="s">
        <v>997</v>
      </c>
      <c r="J182" s="31">
        <v>2</v>
      </c>
      <c r="K182" s="33" t="s">
        <v>956</v>
      </c>
      <c r="L182" s="33" t="s">
        <v>693</v>
      </c>
      <c r="M182" s="34" t="s">
        <v>1399</v>
      </c>
      <c r="N182" s="34" t="s">
        <v>1727</v>
      </c>
      <c r="O182" s="35">
        <v>1</v>
      </c>
      <c r="P182" s="35">
        <v>1</v>
      </c>
      <c r="Q182" s="32"/>
      <c r="S182" s="1">
        <f t="shared" si="117"/>
        <v>0</v>
      </c>
      <c r="T182" s="1">
        <f t="shared" si="118"/>
        <v>1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1</v>
      </c>
      <c r="AE182" s="1">
        <f t="shared" si="128"/>
        <v>0</v>
      </c>
      <c r="AF182" s="1">
        <f t="shared" si="113"/>
        <v>1</v>
      </c>
      <c r="AG182" s="1">
        <f t="shared" si="114"/>
        <v>0</v>
      </c>
      <c r="AH182" s="1">
        <f t="shared" si="115"/>
        <v>1</v>
      </c>
      <c r="AI182" s="1">
        <f t="shared" si="116"/>
        <v>0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50</v>
      </c>
      <c r="E183" s="32" t="s">
        <v>772</v>
      </c>
      <c r="F183" s="32" t="s">
        <v>193</v>
      </c>
      <c r="G183" s="32" t="s">
        <v>194</v>
      </c>
      <c r="H183" s="32" t="s">
        <v>354</v>
      </c>
      <c r="I183" s="31" t="s">
        <v>387</v>
      </c>
      <c r="J183" s="31">
        <v>9</v>
      </c>
      <c r="K183" s="33" t="s">
        <v>956</v>
      </c>
      <c r="L183" s="33" t="s">
        <v>694</v>
      </c>
      <c r="M183" s="34" t="s">
        <v>969</v>
      </c>
      <c r="N183" s="34" t="s">
        <v>1801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1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25">
      <c r="A184" s="44">
        <v>0</v>
      </c>
      <c r="B184" s="44">
        <v>1</v>
      </c>
      <c r="C184" s="44">
        <v>4</v>
      </c>
      <c r="D184" s="45" t="s">
        <v>134</v>
      </c>
      <c r="E184" s="45" t="s">
        <v>177</v>
      </c>
      <c r="F184" s="45" t="s">
        <v>336</v>
      </c>
      <c r="G184" s="45" t="s">
        <v>213</v>
      </c>
      <c r="H184" s="45" t="s">
        <v>354</v>
      </c>
      <c r="I184" s="44" t="s">
        <v>483</v>
      </c>
      <c r="J184" s="44">
        <v>1</v>
      </c>
      <c r="K184" s="46" t="s">
        <v>956</v>
      </c>
      <c r="L184" s="46" t="s">
        <v>689</v>
      </c>
      <c r="M184" s="47" t="s">
        <v>691</v>
      </c>
      <c r="N184" s="47" t="s">
        <v>1735</v>
      </c>
      <c r="O184" s="48"/>
      <c r="P184" s="48"/>
      <c r="Q184" s="45"/>
      <c r="S184" s="1">
        <f t="shared" si="117"/>
        <v>1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0</v>
      </c>
      <c r="AE184" s="1">
        <f t="shared" si="128"/>
        <v>0</v>
      </c>
      <c r="AF184" s="1">
        <f t="shared" si="113"/>
        <v>0</v>
      </c>
      <c r="AG184" s="1">
        <f t="shared" si="114"/>
        <v>0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15">
        <v>0</v>
      </c>
      <c r="B185" s="15">
        <v>1</v>
      </c>
      <c r="C185" s="15">
        <v>4</v>
      </c>
      <c r="D185" s="16" t="s">
        <v>884</v>
      </c>
      <c r="E185" s="16" t="s">
        <v>772</v>
      </c>
      <c r="F185" s="16" t="s">
        <v>885</v>
      </c>
      <c r="G185" s="16" t="s">
        <v>39</v>
      </c>
      <c r="H185" s="16" t="s">
        <v>886</v>
      </c>
      <c r="I185" s="15" t="s">
        <v>950</v>
      </c>
      <c r="J185" s="15">
        <v>17</v>
      </c>
      <c r="K185" s="10" t="s">
        <v>703</v>
      </c>
      <c r="L185" s="10" t="s">
        <v>1141</v>
      </c>
      <c r="M185" s="19" t="s">
        <v>972</v>
      </c>
      <c r="N185" s="17"/>
      <c r="Q185" s="16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126</v>
      </c>
      <c r="E186" s="32" t="s">
        <v>526</v>
      </c>
      <c r="F186" s="32" t="s">
        <v>327</v>
      </c>
      <c r="G186" s="32" t="s">
        <v>300</v>
      </c>
      <c r="H186" s="32" t="s">
        <v>354</v>
      </c>
      <c r="I186" s="31" t="s">
        <v>475</v>
      </c>
      <c r="J186" s="31">
        <v>99</v>
      </c>
      <c r="K186" s="33" t="s">
        <v>702</v>
      </c>
      <c r="L186" s="33" t="s">
        <v>689</v>
      </c>
      <c r="M186" s="34" t="s">
        <v>970</v>
      </c>
      <c r="N186" s="34" t="s">
        <v>1743</v>
      </c>
      <c r="O186" s="35">
        <v>1</v>
      </c>
      <c r="P186" s="35"/>
      <c r="Q186" s="32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1729</v>
      </c>
      <c r="E187" s="32" t="s">
        <v>166</v>
      </c>
      <c r="F187" s="32" t="s">
        <v>1730</v>
      </c>
      <c r="G187" s="32" t="s">
        <v>1731</v>
      </c>
      <c r="H187" s="32" t="s">
        <v>354</v>
      </c>
      <c r="I187" s="31" t="s">
        <v>1732</v>
      </c>
      <c r="J187" s="31">
        <v>2</v>
      </c>
      <c r="K187" s="33" t="s">
        <v>703</v>
      </c>
      <c r="L187" s="33"/>
      <c r="M187" s="34"/>
      <c r="N187" s="34" t="s">
        <v>1733</v>
      </c>
      <c r="O187" s="35">
        <v>1</v>
      </c>
      <c r="P187" s="35">
        <v>1</v>
      </c>
      <c r="Q187" s="32"/>
      <c r="S187" s="1">
        <f t="shared" si="117"/>
        <v>0</v>
      </c>
      <c r="T187" s="1">
        <f t="shared" si="118"/>
        <v>1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1</v>
      </c>
      <c r="AE187" s="1">
        <f t="shared" si="128"/>
        <v>0</v>
      </c>
      <c r="AF187" s="1">
        <f t="shared" si="113"/>
        <v>1</v>
      </c>
      <c r="AG187" s="1">
        <f t="shared" si="114"/>
        <v>0</v>
      </c>
      <c r="AH187" s="1">
        <f t="shared" si="115"/>
        <v>1</v>
      </c>
      <c r="AI187" s="1">
        <f t="shared" si="116"/>
        <v>0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87</v>
      </c>
      <c r="E188" s="45" t="s">
        <v>166</v>
      </c>
      <c r="F188" s="45" t="s">
        <v>577</v>
      </c>
      <c r="G188" s="45" t="s">
        <v>194</v>
      </c>
      <c r="H188" s="45" t="s">
        <v>354</v>
      </c>
      <c r="I188" s="44" t="s">
        <v>436</v>
      </c>
      <c r="J188" s="44">
        <v>9</v>
      </c>
      <c r="K188" s="46" t="s">
        <v>956</v>
      </c>
      <c r="L188" s="46" t="s">
        <v>696</v>
      </c>
      <c r="M188" s="47" t="s">
        <v>691</v>
      </c>
      <c r="N188" s="47" t="s">
        <v>1735</v>
      </c>
      <c r="O188" s="48"/>
      <c r="P188" s="48"/>
      <c r="Q188" s="45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1</v>
      </c>
      <c r="AB188" s="1">
        <f t="shared" si="126"/>
        <v>0</v>
      </c>
      <c r="AD188" s="1">
        <f t="shared" ref="AD188:AD192" si="161">+O188*P188</f>
        <v>0</v>
      </c>
      <c r="AE188" s="1">
        <f t="shared" ref="AE188:AE192" si="162">O188*(1-P188)</f>
        <v>0</v>
      </c>
      <c r="AF188" s="1">
        <f t="shared" ref="AF188:AF192" si="163">+O188*P188*(1-A188)</f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1997</v>
      </c>
      <c r="E189" s="32" t="s">
        <v>166</v>
      </c>
      <c r="F189" s="32" t="s">
        <v>1998</v>
      </c>
      <c r="G189" s="32" t="s">
        <v>2001</v>
      </c>
      <c r="H189" s="32" t="s">
        <v>354</v>
      </c>
      <c r="I189" s="31" t="s">
        <v>1999</v>
      </c>
      <c r="J189" s="31">
        <v>99</v>
      </c>
      <c r="K189" s="33" t="s">
        <v>703</v>
      </c>
      <c r="L189" s="33">
        <v>25</v>
      </c>
      <c r="M189" s="34" t="s">
        <v>691</v>
      </c>
      <c r="N189" s="34" t="s">
        <v>1743</v>
      </c>
      <c r="O189" s="35">
        <v>1</v>
      </c>
      <c r="P189" s="35"/>
      <c r="Q189" s="32" t="s">
        <v>2000</v>
      </c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61"/>
        <v>0</v>
      </c>
      <c r="AE189" s="1">
        <f t="shared" si="162"/>
        <v>1</v>
      </c>
      <c r="AF189" s="1">
        <f t="shared" si="16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127</v>
      </c>
      <c r="E190" s="45" t="s">
        <v>166</v>
      </c>
      <c r="F190" s="45" t="s">
        <v>328</v>
      </c>
      <c r="G190" s="45" t="s">
        <v>180</v>
      </c>
      <c r="H190" s="45" t="s">
        <v>354</v>
      </c>
      <c r="I190" s="44" t="s">
        <v>476</v>
      </c>
      <c r="J190" s="44">
        <v>10</v>
      </c>
      <c r="K190" s="46" t="s">
        <v>958</v>
      </c>
      <c r="L190" s="46" t="s">
        <v>694</v>
      </c>
      <c r="M190" s="47" t="s">
        <v>691</v>
      </c>
      <c r="N190" s="47" t="s">
        <v>1740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1</v>
      </c>
      <c r="AD190" s="1">
        <f t="shared" si="161"/>
        <v>0</v>
      </c>
      <c r="AE190" s="1">
        <f t="shared" si="162"/>
        <v>0</v>
      </c>
      <c r="AF190" s="1">
        <f t="shared" si="163"/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548</v>
      </c>
      <c r="G191" s="45" t="s">
        <v>220</v>
      </c>
      <c r="H191" s="45" t="s">
        <v>354</v>
      </c>
      <c r="I191" s="44" t="s">
        <v>540</v>
      </c>
      <c r="J191" s="44">
        <v>8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1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3.9" customHeight="1" x14ac:dyDescent="0.25">
      <c r="A192" s="44">
        <v>1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337</v>
      </c>
      <c r="G192" s="45" t="s">
        <v>338</v>
      </c>
      <c r="H192" s="45" t="s">
        <v>354</v>
      </c>
      <c r="I192" s="44" t="s">
        <v>485</v>
      </c>
      <c r="J192" s="44">
        <v>10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0</v>
      </c>
    </row>
    <row r="193" spans="1:35" ht="14.25" customHeight="1" x14ac:dyDescent="0.25">
      <c r="A193" s="44">
        <v>0</v>
      </c>
      <c r="B193" s="44">
        <v>1</v>
      </c>
      <c r="C193" s="44">
        <v>5</v>
      </c>
      <c r="D193" s="45" t="s">
        <v>1637</v>
      </c>
      <c r="E193" s="45" t="s">
        <v>166</v>
      </c>
      <c r="F193" s="45" t="s">
        <v>865</v>
      </c>
      <c r="G193" s="45" t="s">
        <v>1664</v>
      </c>
      <c r="H193" s="45" t="s">
        <v>354</v>
      </c>
      <c r="I193" s="44" t="s">
        <v>866</v>
      </c>
      <c r="J193" s="44">
        <v>1</v>
      </c>
      <c r="K193" s="46" t="s">
        <v>722</v>
      </c>
      <c r="L193" s="46" t="s">
        <v>1707</v>
      </c>
      <c r="M193" s="47" t="s">
        <v>1400</v>
      </c>
      <c r="N193" s="47" t="s">
        <v>1735</v>
      </c>
      <c r="O193" s="48"/>
      <c r="P193" s="48"/>
      <c r="Q193" s="45"/>
      <c r="S193" s="1">
        <f t="shared" si="117"/>
        <v>1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0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1949</v>
      </c>
      <c r="E194" s="20" t="s">
        <v>893</v>
      </c>
      <c r="F194" s="20" t="s">
        <v>1967</v>
      </c>
      <c r="G194" s="20"/>
      <c r="H194" s="20" t="s">
        <v>1968</v>
      </c>
      <c r="I194" s="21" t="s">
        <v>1966</v>
      </c>
      <c r="J194" s="15">
        <v>15</v>
      </c>
      <c r="K194" s="10" t="s">
        <v>703</v>
      </c>
      <c r="L194" s="10" t="s">
        <v>697</v>
      </c>
      <c r="M194" s="19" t="s">
        <v>971</v>
      </c>
      <c r="N194" s="17"/>
      <c r="Q194" s="20" t="s">
        <v>1969</v>
      </c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887</v>
      </c>
      <c r="E195" s="32" t="s">
        <v>888</v>
      </c>
      <c r="F195" s="32" t="s">
        <v>1092</v>
      </c>
      <c r="G195" s="32" t="s">
        <v>39</v>
      </c>
      <c r="H195" s="32" t="s">
        <v>889</v>
      </c>
      <c r="I195" s="31" t="s">
        <v>890</v>
      </c>
      <c r="J195" s="31">
        <v>16</v>
      </c>
      <c r="K195" s="33" t="s">
        <v>703</v>
      </c>
      <c r="L195" s="33" t="s">
        <v>692</v>
      </c>
      <c r="M195" s="34" t="s">
        <v>970</v>
      </c>
      <c r="N195" s="34" t="s">
        <v>1733</v>
      </c>
      <c r="O195" s="35">
        <v>1</v>
      </c>
      <c r="P195" s="35">
        <v>1</v>
      </c>
      <c r="Q195" s="36" t="s">
        <v>1894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1</v>
      </c>
      <c r="AE195" s="1">
        <f t="shared" si="165"/>
        <v>0</v>
      </c>
      <c r="AF195" s="1">
        <f t="shared" si="166"/>
        <v>1</v>
      </c>
      <c r="AG195" s="1">
        <f t="shared" si="114"/>
        <v>0</v>
      </c>
      <c r="AH195" s="1">
        <f t="shared" si="115"/>
        <v>1</v>
      </c>
      <c r="AI195" s="1">
        <f t="shared" si="116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106</v>
      </c>
      <c r="E196" s="32" t="s">
        <v>173</v>
      </c>
      <c r="F196" s="32" t="s">
        <v>304</v>
      </c>
      <c r="G196" s="32" t="s">
        <v>39</v>
      </c>
      <c r="H196" s="32" t="s">
        <v>359</v>
      </c>
      <c r="I196" s="31" t="s">
        <v>453</v>
      </c>
      <c r="J196" s="31">
        <v>14</v>
      </c>
      <c r="K196" s="33" t="s">
        <v>956</v>
      </c>
      <c r="L196" s="33" t="s">
        <v>693</v>
      </c>
      <c r="M196" s="34" t="s">
        <v>970</v>
      </c>
      <c r="N196" s="34" t="s">
        <v>1743</v>
      </c>
      <c r="O196" s="35">
        <v>1</v>
      </c>
      <c r="P196" s="35"/>
      <c r="Q196" s="32"/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1</v>
      </c>
      <c r="AF196" s="1">
        <f t="shared" si="113"/>
        <v>0</v>
      </c>
      <c r="AG196" s="1">
        <f t="shared" si="114"/>
        <v>1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1951</v>
      </c>
      <c r="E197" s="20" t="s">
        <v>893</v>
      </c>
      <c r="F197" s="20" t="s">
        <v>1981</v>
      </c>
      <c r="G197" s="20"/>
      <c r="H197" s="20" t="s">
        <v>1980</v>
      </c>
      <c r="I197" s="21" t="s">
        <v>1979</v>
      </c>
      <c r="J197" s="15">
        <v>18</v>
      </c>
      <c r="K197" s="10" t="s">
        <v>703</v>
      </c>
      <c r="L197" s="10" t="s">
        <v>697</v>
      </c>
      <c r="M197" s="19" t="s">
        <v>971</v>
      </c>
      <c r="N197" s="17"/>
      <c r="Q197" s="20" t="s">
        <v>1982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0</v>
      </c>
      <c r="AF197" s="1">
        <f t="shared" si="113"/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513</v>
      </c>
      <c r="E198" s="45" t="s">
        <v>172</v>
      </c>
      <c r="F198" s="45" t="s">
        <v>549</v>
      </c>
      <c r="G198" s="45" t="s">
        <v>39</v>
      </c>
      <c r="H198" s="45" t="s">
        <v>362</v>
      </c>
      <c r="I198" s="44" t="s">
        <v>1114</v>
      </c>
      <c r="J198" s="44">
        <v>12</v>
      </c>
      <c r="K198" s="46" t="s">
        <v>703</v>
      </c>
      <c r="L198" s="46">
        <v>35</v>
      </c>
      <c r="M198" s="47" t="s">
        <v>970</v>
      </c>
      <c r="N198" s="47" t="s">
        <v>1802</v>
      </c>
      <c r="O198" s="48"/>
      <c r="P198" s="48"/>
      <c r="Q198" s="45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151</v>
      </c>
      <c r="E199" s="32" t="s">
        <v>166</v>
      </c>
      <c r="F199" s="36" t="s">
        <v>1870</v>
      </c>
      <c r="G199" s="32" t="s">
        <v>197</v>
      </c>
      <c r="H199" s="32" t="s">
        <v>354</v>
      </c>
      <c r="I199" s="31" t="s">
        <v>498</v>
      </c>
      <c r="J199" s="31">
        <v>99</v>
      </c>
      <c r="K199" s="33" t="s">
        <v>956</v>
      </c>
      <c r="L199" s="33" t="s">
        <v>693</v>
      </c>
      <c r="M199" s="34" t="s">
        <v>970</v>
      </c>
      <c r="N199" s="34" t="s">
        <v>1748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649</v>
      </c>
      <c r="E200" s="45" t="s">
        <v>684</v>
      </c>
      <c r="F200" s="45" t="s">
        <v>645</v>
      </c>
      <c r="G200" s="45" t="s">
        <v>185</v>
      </c>
      <c r="H200" s="45" t="s">
        <v>354</v>
      </c>
      <c r="I200" s="44" t="s">
        <v>646</v>
      </c>
      <c r="J200" s="44">
        <v>99</v>
      </c>
      <c r="K200" s="46" t="s">
        <v>722</v>
      </c>
      <c r="L200" s="46" t="s">
        <v>693</v>
      </c>
      <c r="M200" s="47" t="s">
        <v>970</v>
      </c>
      <c r="N200" s="47" t="s">
        <v>1734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1310</v>
      </c>
      <c r="E201" s="32" t="s">
        <v>166</v>
      </c>
      <c r="F201" s="32" t="s">
        <v>1311</v>
      </c>
      <c r="G201" s="32" t="s">
        <v>283</v>
      </c>
      <c r="H201" s="32" t="s">
        <v>354</v>
      </c>
      <c r="I201" s="31" t="s">
        <v>1312</v>
      </c>
      <c r="J201" s="31">
        <v>99</v>
      </c>
      <c r="K201" s="33" t="s">
        <v>702</v>
      </c>
      <c r="L201" s="33" t="s">
        <v>39</v>
      </c>
      <c r="M201" s="34" t="s">
        <v>39</v>
      </c>
      <c r="N201" s="34" t="s">
        <v>1733</v>
      </c>
      <c r="O201" s="35">
        <v>1</v>
      </c>
      <c r="P201" s="35">
        <v>1</v>
      </c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1</v>
      </c>
      <c r="AE201" s="1">
        <f t="shared" si="128"/>
        <v>0</v>
      </c>
      <c r="AF201" s="1">
        <f t="shared" si="113"/>
        <v>1</v>
      </c>
      <c r="AG201" s="1">
        <f t="shared" si="114"/>
        <v>0</v>
      </c>
      <c r="AH201" s="1">
        <f t="shared" si="115"/>
        <v>1</v>
      </c>
      <c r="AI201" s="1">
        <f t="shared" si="116"/>
        <v>0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892</v>
      </c>
      <c r="E202" s="45" t="s">
        <v>893</v>
      </c>
      <c r="F202" s="45" t="s">
        <v>934</v>
      </c>
      <c r="G202" s="45" t="s">
        <v>39</v>
      </c>
      <c r="H202" s="45" t="s">
        <v>894</v>
      </c>
      <c r="I202" s="44" t="s">
        <v>895</v>
      </c>
      <c r="J202" s="44">
        <v>17</v>
      </c>
      <c r="K202" s="46" t="s">
        <v>703</v>
      </c>
      <c r="L202" s="46" t="s">
        <v>697</v>
      </c>
      <c r="M202" s="47" t="s">
        <v>970</v>
      </c>
      <c r="N202" s="47" t="s">
        <v>1741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1941</v>
      </c>
      <c r="E203" s="16" t="s">
        <v>893</v>
      </c>
      <c r="F203" s="16" t="s">
        <v>1943</v>
      </c>
      <c r="G203" s="16"/>
      <c r="H203" s="16" t="s">
        <v>1942</v>
      </c>
      <c r="I203" s="15" t="s">
        <v>1944</v>
      </c>
      <c r="J203" s="15">
        <v>16</v>
      </c>
      <c r="K203" s="10" t="s">
        <v>703</v>
      </c>
      <c r="L203" s="10" t="s">
        <v>697</v>
      </c>
      <c r="M203" s="19" t="s">
        <v>970</v>
      </c>
      <c r="N203" s="17"/>
      <c r="Q203" s="20" t="s">
        <v>1945</v>
      </c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131</v>
      </c>
      <c r="E204" s="45" t="s">
        <v>166</v>
      </c>
      <c r="F204" s="45" t="s">
        <v>332</v>
      </c>
      <c r="G204" s="45" t="s">
        <v>333</v>
      </c>
      <c r="H204" s="45" t="s">
        <v>354</v>
      </c>
      <c r="I204" s="44" t="s">
        <v>480</v>
      </c>
      <c r="J204" s="44">
        <v>99</v>
      </c>
      <c r="K204" s="46" t="s">
        <v>722</v>
      </c>
      <c r="L204" s="46" t="s">
        <v>694</v>
      </c>
      <c r="M204" s="47" t="s">
        <v>970</v>
      </c>
      <c r="N204" s="47" t="s">
        <v>1747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109</v>
      </c>
      <c r="E205" s="32" t="s">
        <v>166</v>
      </c>
      <c r="F205" s="32" t="s">
        <v>307</v>
      </c>
      <c r="G205" s="32" t="s">
        <v>231</v>
      </c>
      <c r="H205" s="32" t="s">
        <v>354</v>
      </c>
      <c r="I205" s="31" t="s">
        <v>456</v>
      </c>
      <c r="J205" s="31">
        <v>99</v>
      </c>
      <c r="K205" s="33" t="s">
        <v>722</v>
      </c>
      <c r="L205" s="33" t="s">
        <v>696</v>
      </c>
      <c r="M205" s="34" t="s">
        <v>691</v>
      </c>
      <c r="N205" s="34" t="s">
        <v>1743</v>
      </c>
      <c r="O205" s="35">
        <v>1</v>
      </c>
      <c r="P205" s="35"/>
      <c r="Q205" s="32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111</v>
      </c>
      <c r="E206" s="32" t="s">
        <v>172</v>
      </c>
      <c r="F206" s="32" t="s">
        <v>310</v>
      </c>
      <c r="G206" s="32" t="s">
        <v>39</v>
      </c>
      <c r="H206" s="32" t="s">
        <v>364</v>
      </c>
      <c r="I206" s="31" t="s">
        <v>459</v>
      </c>
      <c r="J206" s="31">
        <v>17</v>
      </c>
      <c r="K206" s="33" t="s">
        <v>703</v>
      </c>
      <c r="L206" s="33" t="s">
        <v>697</v>
      </c>
      <c r="M206" s="34" t="s">
        <v>691</v>
      </c>
      <c r="N206" s="34" t="s">
        <v>1733</v>
      </c>
      <c r="O206" s="35">
        <v>1</v>
      </c>
      <c r="P206" s="35">
        <v>1</v>
      </c>
      <c r="Q206" s="32" t="s">
        <v>1915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1</v>
      </c>
      <c r="AE206" s="1">
        <f t="shared" si="128"/>
        <v>0</v>
      </c>
      <c r="AF206" s="1">
        <f t="shared" si="113"/>
        <v>1</v>
      </c>
      <c r="AG206" s="1">
        <f t="shared" si="114"/>
        <v>0</v>
      </c>
      <c r="AH206" s="1">
        <f t="shared" si="115"/>
        <v>1</v>
      </c>
      <c r="AI206" s="1">
        <f t="shared" si="116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525</v>
      </c>
      <c r="E207" s="32" t="s">
        <v>526</v>
      </c>
      <c r="F207" s="32" t="s">
        <v>527</v>
      </c>
      <c r="G207" s="32" t="s">
        <v>202</v>
      </c>
      <c r="H207" s="32" t="s">
        <v>354</v>
      </c>
      <c r="I207" s="31" t="s">
        <v>528</v>
      </c>
      <c r="J207" s="31">
        <v>10</v>
      </c>
      <c r="K207" s="33" t="s">
        <v>702</v>
      </c>
      <c r="L207" s="33" t="s">
        <v>693</v>
      </c>
      <c r="M207" s="34" t="s">
        <v>970</v>
      </c>
      <c r="N207" s="34" t="s">
        <v>1733</v>
      </c>
      <c r="O207" s="35">
        <v>1</v>
      </c>
      <c r="P207" s="35">
        <v>1</v>
      </c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1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1499</v>
      </c>
      <c r="E208" s="32" t="s">
        <v>166</v>
      </c>
      <c r="F208" s="32" t="s">
        <v>1500</v>
      </c>
      <c r="G208" s="32" t="s">
        <v>180</v>
      </c>
      <c r="H208" s="32" t="s">
        <v>354</v>
      </c>
      <c r="I208" s="31" t="s">
        <v>1501</v>
      </c>
      <c r="J208" s="31">
        <v>10</v>
      </c>
      <c r="K208" s="33" t="s">
        <v>956</v>
      </c>
      <c r="L208" s="33" t="s">
        <v>693</v>
      </c>
      <c r="M208" s="34" t="s">
        <v>970</v>
      </c>
      <c r="N208" s="34" t="s">
        <v>1727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3" si="167">+O208*P208*(1-A208)</f>
        <v>1</v>
      </c>
      <c r="AG208" s="1">
        <f t="shared" ref="AG208:AG273" si="168">O208*(1-P208)*(1-A208)</f>
        <v>0</v>
      </c>
      <c r="AH208" s="1">
        <f t="shared" ref="AH208:AH273" si="169">+P208*(1-A208)</f>
        <v>1</v>
      </c>
      <c r="AI208" s="1">
        <f t="shared" ref="AI208:AI273" si="170">+(1-A208)*(1-P208)</f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1757</v>
      </c>
      <c r="E209" s="32" t="s">
        <v>166</v>
      </c>
      <c r="F209" s="32" t="s">
        <v>1758</v>
      </c>
      <c r="G209" s="32" t="s">
        <v>1759</v>
      </c>
      <c r="H209" s="32" t="s">
        <v>354</v>
      </c>
      <c r="I209" s="31" t="s">
        <v>1760</v>
      </c>
      <c r="J209" s="31">
        <v>1</v>
      </c>
      <c r="K209" s="33" t="s">
        <v>703</v>
      </c>
      <c r="L209" s="33"/>
      <c r="M209" s="34"/>
      <c r="N209" s="34" t="s">
        <v>1748</v>
      </c>
      <c r="O209" s="35">
        <v>1</v>
      </c>
      <c r="P209" s="35"/>
      <c r="Q209" s="32"/>
      <c r="S209" s="1">
        <f t="shared" si="117"/>
        <v>1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1</v>
      </c>
      <c r="AF209" s="1">
        <f t="shared" si="167"/>
        <v>0</v>
      </c>
      <c r="AG209" s="1">
        <f t="shared" si="168"/>
        <v>1</v>
      </c>
      <c r="AH209" s="1">
        <f t="shared" si="169"/>
        <v>0</v>
      </c>
      <c r="AI209" s="1">
        <f t="shared" si="170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1026</v>
      </c>
      <c r="E210" s="45" t="s">
        <v>1087</v>
      </c>
      <c r="F210" s="45" t="s">
        <v>1027</v>
      </c>
      <c r="G210" s="45" t="s">
        <v>194</v>
      </c>
      <c r="H210" s="45" t="s">
        <v>354</v>
      </c>
      <c r="I210" s="44" t="s">
        <v>1028</v>
      </c>
      <c r="J210" s="44">
        <v>9</v>
      </c>
      <c r="K210" s="46" t="s">
        <v>722</v>
      </c>
      <c r="L210" s="46" t="s">
        <v>1704</v>
      </c>
      <c r="M210" s="47" t="s">
        <v>1604</v>
      </c>
      <c r="N210" s="47" t="s">
        <v>1735</v>
      </c>
      <c r="O210" s="48"/>
      <c r="P210" s="48"/>
      <c r="Q210" s="4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1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67"/>
        <v>0</v>
      </c>
      <c r="AG210" s="1">
        <f t="shared" si="168"/>
        <v>0</v>
      </c>
      <c r="AH210" s="1">
        <f t="shared" si="169"/>
        <v>0</v>
      </c>
      <c r="AI210" s="1">
        <f t="shared" si="170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1614</v>
      </c>
      <c r="E211" s="45" t="s">
        <v>166</v>
      </c>
      <c r="F211" s="45" t="s">
        <v>1615</v>
      </c>
      <c r="G211" s="45" t="s">
        <v>213</v>
      </c>
      <c r="H211" s="45" t="s">
        <v>354</v>
      </c>
      <c r="I211" s="44" t="s">
        <v>1616</v>
      </c>
      <c r="J211" s="44">
        <v>1</v>
      </c>
      <c r="K211" s="46" t="s">
        <v>722</v>
      </c>
      <c r="L211" s="46" t="s">
        <v>694</v>
      </c>
      <c r="M211" s="47" t="s">
        <v>970</v>
      </c>
      <c r="N211" s="47" t="s">
        <v>1736</v>
      </c>
      <c r="O211" s="48"/>
      <c r="P211" s="48"/>
      <c r="Q211" s="45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38">
        <v>0</v>
      </c>
      <c r="B212" s="38">
        <v>1</v>
      </c>
      <c r="C212" s="38">
        <v>5</v>
      </c>
      <c r="D212" s="39" t="s">
        <v>147</v>
      </c>
      <c r="E212" s="39" t="s">
        <v>545</v>
      </c>
      <c r="F212" s="39" t="s">
        <v>1599</v>
      </c>
      <c r="G212" s="39" t="s">
        <v>1673</v>
      </c>
      <c r="H212" s="39" t="s">
        <v>354</v>
      </c>
      <c r="I212" s="38" t="s">
        <v>494</v>
      </c>
      <c r="J212" s="38">
        <v>99</v>
      </c>
      <c r="K212" s="40" t="s">
        <v>702</v>
      </c>
      <c r="L212" s="40" t="s">
        <v>689</v>
      </c>
      <c r="M212" s="41" t="s">
        <v>970</v>
      </c>
      <c r="N212" s="42"/>
      <c r="O212" s="43"/>
      <c r="P212" s="43">
        <v>1</v>
      </c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1</v>
      </c>
      <c r="AI212" s="1">
        <f t="shared" si="170"/>
        <v>0</v>
      </c>
    </row>
    <row r="213" spans="1:35" ht="14.25" customHeight="1" x14ac:dyDescent="0.25">
      <c r="A213" s="15">
        <v>0</v>
      </c>
      <c r="B213" s="15">
        <v>1</v>
      </c>
      <c r="C213" s="15">
        <v>5</v>
      </c>
      <c r="D213" s="16" t="s">
        <v>1212</v>
      </c>
      <c r="E213" s="16" t="s">
        <v>166</v>
      </c>
      <c r="F213" s="16" t="s">
        <v>1213</v>
      </c>
      <c r="G213" s="16" t="s">
        <v>1214</v>
      </c>
      <c r="H213" s="16" t="s">
        <v>354</v>
      </c>
      <c r="I213" s="15" t="s">
        <v>1215</v>
      </c>
      <c r="J213" s="15">
        <v>99</v>
      </c>
      <c r="K213" s="10" t="s">
        <v>703</v>
      </c>
      <c r="L213" s="10">
        <v>30</v>
      </c>
      <c r="M213" s="19" t="s">
        <v>970</v>
      </c>
      <c r="N213" s="19"/>
      <c r="Q213" s="16"/>
      <c r="S213" s="1">
        <f t="shared" ref="S213:S277" si="171">IF(J213=$S$7,1,0)</f>
        <v>0</v>
      </c>
      <c r="T213" s="1">
        <f t="shared" ref="T213:T277" si="172">IF(J213=$T$7,1,0)</f>
        <v>0</v>
      </c>
      <c r="U213" s="1">
        <f t="shared" ref="U213:U277" si="173">IF(J213=$U$7,1,0)</f>
        <v>0</v>
      </c>
      <c r="V213" s="1">
        <f t="shared" ref="V213:V277" si="174">IF(J213=$V$7,1,0)</f>
        <v>0</v>
      </c>
      <c r="W213" s="1">
        <f t="shared" ref="W213:W277" si="175">IF(J213=$W$7,1,0)</f>
        <v>0</v>
      </c>
      <c r="X213" s="1">
        <f t="shared" ref="X213:X277" si="176">IF(J213=$X$7,1,0)</f>
        <v>0</v>
      </c>
      <c r="Y213" s="1">
        <f t="shared" ref="Y213:Y277" si="177">IF(J213=$Y$7,1,0)</f>
        <v>0</v>
      </c>
      <c r="Z213" s="1">
        <f t="shared" ref="Z213:Z277" si="178">IF(J213=$Z$7,1,0)</f>
        <v>0</v>
      </c>
      <c r="AA213" s="1">
        <f t="shared" ref="AA213:AA277" si="179">IF(J213=$AA$7,1,0)</f>
        <v>0</v>
      </c>
      <c r="AB213" s="1">
        <f t="shared" ref="AB213:AB277" si="180">IF(J213=$AB$7,1,0)</f>
        <v>0</v>
      </c>
      <c r="AD213" s="1">
        <f t="shared" ref="AD213:AD277" si="181">+O213*P213</f>
        <v>0</v>
      </c>
      <c r="AE213" s="1">
        <f t="shared" ref="AE213:AE277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1600</v>
      </c>
      <c r="E214" s="32" t="s">
        <v>172</v>
      </c>
      <c r="F214" s="32" t="s">
        <v>808</v>
      </c>
      <c r="G214" s="32" t="s">
        <v>39</v>
      </c>
      <c r="H214" s="32" t="s">
        <v>809</v>
      </c>
      <c r="I214" s="31" t="s">
        <v>810</v>
      </c>
      <c r="J214" s="31">
        <v>16</v>
      </c>
      <c r="K214" s="33" t="s">
        <v>957</v>
      </c>
      <c r="L214" s="33" t="s">
        <v>1742</v>
      </c>
      <c r="M214" s="34" t="s">
        <v>970</v>
      </c>
      <c r="N214" s="34" t="s">
        <v>1748</v>
      </c>
      <c r="O214" s="35">
        <v>1</v>
      </c>
      <c r="P214" s="35"/>
      <c r="Q214" s="32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502</v>
      </c>
      <c r="E215" s="32" t="s">
        <v>166</v>
      </c>
      <c r="F215" s="32" t="s">
        <v>503</v>
      </c>
      <c r="G215" s="32" t="s">
        <v>504</v>
      </c>
      <c r="H215" s="32" t="s">
        <v>354</v>
      </c>
      <c r="I215" s="31" t="s">
        <v>505</v>
      </c>
      <c r="J215" s="31">
        <v>99</v>
      </c>
      <c r="K215" s="33" t="s">
        <v>957</v>
      </c>
      <c r="L215" s="33" t="s">
        <v>694</v>
      </c>
      <c r="M215" s="34" t="s">
        <v>691</v>
      </c>
      <c r="N215" s="34" t="s">
        <v>1727</v>
      </c>
      <c r="O215" s="35">
        <v>1</v>
      </c>
      <c r="P215" s="35">
        <v>1</v>
      </c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1</v>
      </c>
      <c r="AE215" s="1">
        <f t="shared" si="182"/>
        <v>0</v>
      </c>
      <c r="AF215" s="1">
        <f t="shared" si="167"/>
        <v>1</v>
      </c>
      <c r="AG215" s="1">
        <f t="shared" si="168"/>
        <v>0</v>
      </c>
      <c r="AH215" s="1">
        <f t="shared" si="169"/>
        <v>1</v>
      </c>
      <c r="AI215" s="1">
        <f t="shared" si="170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1450</v>
      </c>
      <c r="E216" s="32" t="s">
        <v>167</v>
      </c>
      <c r="F216" s="32" t="s">
        <v>1451</v>
      </c>
      <c r="G216" s="32" t="s">
        <v>179</v>
      </c>
      <c r="H216" s="32" t="s">
        <v>354</v>
      </c>
      <c r="I216" s="31" t="s">
        <v>1452</v>
      </c>
      <c r="J216" s="31">
        <v>99</v>
      </c>
      <c r="K216" s="33" t="s">
        <v>956</v>
      </c>
      <c r="L216" s="33" t="s">
        <v>696</v>
      </c>
      <c r="M216" s="34" t="s">
        <v>1453</v>
      </c>
      <c r="N216" s="34" t="s">
        <v>1749</v>
      </c>
      <c r="O216" s="35">
        <v>1</v>
      </c>
      <c r="P216" s="35"/>
      <c r="Q216" s="36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1186</v>
      </c>
      <c r="E217" s="32" t="s">
        <v>1189</v>
      </c>
      <c r="F217" s="32" t="s">
        <v>1187</v>
      </c>
      <c r="G217" s="32" t="s">
        <v>39</v>
      </c>
      <c r="H217" s="32" t="s">
        <v>354</v>
      </c>
      <c r="I217" s="31" t="s">
        <v>1188</v>
      </c>
      <c r="J217" s="31">
        <v>99</v>
      </c>
      <c r="K217" s="33" t="s">
        <v>962</v>
      </c>
      <c r="L217" s="33" t="s">
        <v>39</v>
      </c>
      <c r="M217" s="34" t="s">
        <v>39</v>
      </c>
      <c r="N217" s="34" t="s">
        <v>1733</v>
      </c>
      <c r="O217" s="35">
        <v>1</v>
      </c>
      <c r="P217" s="35">
        <v>1</v>
      </c>
      <c r="Q217" s="36" t="s">
        <v>1908</v>
      </c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1648</v>
      </c>
      <c r="E218" s="32" t="s">
        <v>1656</v>
      </c>
      <c r="F218" s="32" t="s">
        <v>1683</v>
      </c>
      <c r="G218" s="32" t="s">
        <v>1684</v>
      </c>
      <c r="H218" s="32" t="s">
        <v>354</v>
      </c>
      <c r="I218" s="31" t="s">
        <v>1696</v>
      </c>
      <c r="J218" s="31">
        <v>1</v>
      </c>
      <c r="K218" s="33" t="s">
        <v>958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71"/>
        <v>1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90</v>
      </c>
      <c r="E219" s="32" t="s">
        <v>168</v>
      </c>
      <c r="F219" s="32" t="s">
        <v>284</v>
      </c>
      <c r="G219" s="32" t="s">
        <v>230</v>
      </c>
      <c r="H219" s="32" t="s">
        <v>354</v>
      </c>
      <c r="I219" s="31" t="s">
        <v>438</v>
      </c>
      <c r="J219" s="31">
        <v>7</v>
      </c>
      <c r="K219" s="33" t="s">
        <v>722</v>
      </c>
      <c r="L219" s="33">
        <v>40</v>
      </c>
      <c r="M219" s="34" t="s">
        <v>39</v>
      </c>
      <c r="N219" s="34" t="s">
        <v>1748</v>
      </c>
      <c r="O219" s="35">
        <v>1</v>
      </c>
      <c r="P219" s="35"/>
      <c r="Q219" s="32"/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1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0</v>
      </c>
      <c r="AE219" s="1">
        <f t="shared" si="182"/>
        <v>1</v>
      </c>
      <c r="AF219" s="1">
        <f t="shared" si="167"/>
        <v>0</v>
      </c>
      <c r="AG219" s="1">
        <f t="shared" si="168"/>
        <v>1</v>
      </c>
      <c r="AH219" s="1">
        <f t="shared" si="169"/>
        <v>0</v>
      </c>
      <c r="AI219" s="1">
        <f t="shared" si="170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91</v>
      </c>
      <c r="E220" s="32" t="s">
        <v>165</v>
      </c>
      <c r="F220" s="36" t="s">
        <v>1871</v>
      </c>
      <c r="G220" s="32" t="s">
        <v>240</v>
      </c>
      <c r="H220" s="32" t="s">
        <v>354</v>
      </c>
      <c r="I220" s="31" t="s">
        <v>439</v>
      </c>
      <c r="J220" s="31">
        <v>1</v>
      </c>
      <c r="K220" s="33" t="s">
        <v>964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92</v>
      </c>
      <c r="E221" s="32" t="s">
        <v>167</v>
      </c>
      <c r="F221" s="32" t="s">
        <v>286</v>
      </c>
      <c r="G221" s="32" t="s">
        <v>200</v>
      </c>
      <c r="H221" s="32" t="s">
        <v>354</v>
      </c>
      <c r="I221" s="31" t="s">
        <v>440</v>
      </c>
      <c r="J221" s="31">
        <v>2</v>
      </c>
      <c r="K221" s="33" t="s">
        <v>962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0</v>
      </c>
      <c r="T221" s="1">
        <f t="shared" si="172"/>
        <v>1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1276</v>
      </c>
      <c r="E222" s="32" t="s">
        <v>167</v>
      </c>
      <c r="F222" s="32" t="s">
        <v>1148</v>
      </c>
      <c r="G222" s="32" t="s">
        <v>1342</v>
      </c>
      <c r="H222" s="32" t="s">
        <v>354</v>
      </c>
      <c r="I222" s="31" t="s">
        <v>1149</v>
      </c>
      <c r="J222" s="31">
        <v>99</v>
      </c>
      <c r="K222" s="33" t="s">
        <v>702</v>
      </c>
      <c r="L222" s="33">
        <v>45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71"/>
        <v>0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0</v>
      </c>
      <c r="AE222" s="1">
        <f t="shared" si="182"/>
        <v>1</v>
      </c>
      <c r="AF222" s="1">
        <f t="shared" si="167"/>
        <v>0</v>
      </c>
      <c r="AG222" s="1">
        <f t="shared" si="168"/>
        <v>1</v>
      </c>
      <c r="AH222" s="1">
        <f t="shared" si="169"/>
        <v>0</v>
      </c>
      <c r="AI222" s="1">
        <f t="shared" si="170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1791</v>
      </c>
      <c r="E223" s="32" t="s">
        <v>167</v>
      </c>
      <c r="F223" s="32" t="s">
        <v>1766</v>
      </c>
      <c r="G223" s="32"/>
      <c r="H223" s="32" t="s">
        <v>354</v>
      </c>
      <c r="I223" s="31" t="s">
        <v>1767</v>
      </c>
      <c r="J223" s="31"/>
      <c r="K223" s="33" t="s">
        <v>703</v>
      </c>
      <c r="L223" s="33"/>
      <c r="M223" s="34"/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1790</v>
      </c>
      <c r="E224" s="32" t="s">
        <v>167</v>
      </c>
      <c r="F224" s="32" t="s">
        <v>1768</v>
      </c>
      <c r="G224" s="32"/>
      <c r="H224" s="32" t="s">
        <v>354</v>
      </c>
      <c r="I224" s="31" t="s">
        <v>1769</v>
      </c>
      <c r="J224" s="31"/>
      <c r="K224" s="33" t="s">
        <v>703</v>
      </c>
      <c r="L224" s="33">
        <v>30</v>
      </c>
      <c r="M224" s="34" t="s">
        <v>1770</v>
      </c>
      <c r="N224" s="34" t="s">
        <v>1748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1014</v>
      </c>
      <c r="E225" s="32" t="s">
        <v>167</v>
      </c>
      <c r="F225" s="32" t="s">
        <v>1015</v>
      </c>
      <c r="G225" s="32" t="s">
        <v>1103</v>
      </c>
      <c r="H225" s="32" t="s">
        <v>354</v>
      </c>
      <c r="I225" s="31" t="s">
        <v>1016</v>
      </c>
      <c r="J225" s="31">
        <v>99</v>
      </c>
      <c r="K225" s="33" t="s">
        <v>964</v>
      </c>
      <c r="L225" s="33" t="s">
        <v>39</v>
      </c>
      <c r="M225" s="34" t="s">
        <v>39</v>
      </c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94</v>
      </c>
      <c r="E226" s="32" t="s">
        <v>169</v>
      </c>
      <c r="F226" s="32" t="s">
        <v>289</v>
      </c>
      <c r="G226" s="32" t="s">
        <v>194</v>
      </c>
      <c r="H226" s="32" t="s">
        <v>354</v>
      </c>
      <c r="I226" s="31" t="s">
        <v>442</v>
      </c>
      <c r="J226" s="31">
        <v>9</v>
      </c>
      <c r="K226" s="33" t="s">
        <v>702</v>
      </c>
      <c r="L226" s="33" t="s">
        <v>694</v>
      </c>
      <c r="M226" s="34" t="s">
        <v>706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1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25">
      <c r="A227" s="38">
        <v>0</v>
      </c>
      <c r="B227" s="38">
        <v>1</v>
      </c>
      <c r="C227" s="38">
        <v>6</v>
      </c>
      <c r="D227" s="54" t="s">
        <v>1609</v>
      </c>
      <c r="E227" s="39" t="s">
        <v>1610</v>
      </c>
      <c r="F227" s="39" t="s">
        <v>1611</v>
      </c>
      <c r="G227" s="39" t="s">
        <v>192</v>
      </c>
      <c r="H227" s="39" t="s">
        <v>354</v>
      </c>
      <c r="I227" s="38" t="s">
        <v>1612</v>
      </c>
      <c r="J227" s="38">
        <v>10</v>
      </c>
      <c r="K227" s="40" t="s">
        <v>956</v>
      </c>
      <c r="L227" s="40" t="s">
        <v>687</v>
      </c>
      <c r="M227" s="41" t="s">
        <v>1613</v>
      </c>
      <c r="N227" s="42"/>
      <c r="O227" s="43"/>
      <c r="P227" s="43">
        <v>1</v>
      </c>
      <c r="Q227" s="39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1</v>
      </c>
      <c r="AD227" s="1">
        <f t="shared" si="181"/>
        <v>0</v>
      </c>
      <c r="AE227" s="1">
        <f t="shared" si="182"/>
        <v>0</v>
      </c>
      <c r="AF227" s="1">
        <f t="shared" si="167"/>
        <v>0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25">
      <c r="A228" s="44">
        <v>0</v>
      </c>
      <c r="B228" s="44">
        <v>1</v>
      </c>
      <c r="C228" s="44">
        <v>6</v>
      </c>
      <c r="D228" s="45" t="s">
        <v>95</v>
      </c>
      <c r="E228" s="45" t="s">
        <v>165</v>
      </c>
      <c r="F228" s="45" t="s">
        <v>290</v>
      </c>
      <c r="G228" s="45" t="s">
        <v>291</v>
      </c>
      <c r="H228" s="45" t="s">
        <v>354</v>
      </c>
      <c r="I228" s="44" t="s">
        <v>443</v>
      </c>
      <c r="J228" s="44">
        <v>7</v>
      </c>
      <c r="K228" s="46" t="s">
        <v>702</v>
      </c>
      <c r="L228" s="46" t="s">
        <v>694</v>
      </c>
      <c r="M228" s="47" t="s">
        <v>698</v>
      </c>
      <c r="N228" s="47" t="s">
        <v>1734</v>
      </c>
      <c r="O228" s="48"/>
      <c r="P228" s="48"/>
      <c r="Q228" s="45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1</v>
      </c>
      <c r="Z228" s="1">
        <f t="shared" si="178"/>
        <v>0</v>
      </c>
      <c r="AA228" s="1">
        <f t="shared" si="179"/>
        <v>0</v>
      </c>
      <c r="AB228" s="1">
        <f t="shared" si="180"/>
        <v>0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1085</v>
      </c>
      <c r="E229" s="32" t="s">
        <v>167</v>
      </c>
      <c r="F229" s="32" t="s">
        <v>660</v>
      </c>
      <c r="G229" s="32" t="s">
        <v>179</v>
      </c>
      <c r="H229" s="32" t="s">
        <v>354</v>
      </c>
      <c r="I229" s="31" t="s">
        <v>381</v>
      </c>
      <c r="J229" s="31">
        <v>10</v>
      </c>
      <c r="K229" s="33" t="s">
        <v>722</v>
      </c>
      <c r="L229" s="33" t="s">
        <v>704</v>
      </c>
      <c r="M229" s="34" t="s">
        <v>707</v>
      </c>
      <c r="N229" s="34" t="s">
        <v>1750</v>
      </c>
      <c r="O229" s="35">
        <v>1</v>
      </c>
      <c r="P229" s="35"/>
      <c r="Q229" s="32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1</v>
      </c>
      <c r="AF229" s="1">
        <f t="shared" si="167"/>
        <v>0</v>
      </c>
      <c r="AG229" s="1">
        <f t="shared" si="168"/>
        <v>1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1229</v>
      </c>
      <c r="E230" s="32" t="s">
        <v>165</v>
      </c>
      <c r="F230" s="32" t="s">
        <v>1230</v>
      </c>
      <c r="G230" s="32" t="s">
        <v>1232</v>
      </c>
      <c r="H230" s="32" t="s">
        <v>354</v>
      </c>
      <c r="I230" s="31" t="s">
        <v>1231</v>
      </c>
      <c r="J230" s="31">
        <v>99</v>
      </c>
      <c r="K230" s="33" t="s">
        <v>722</v>
      </c>
      <c r="L230" s="33" t="s">
        <v>693</v>
      </c>
      <c r="M230" s="34" t="s">
        <v>1401</v>
      </c>
      <c r="N230" s="34" t="s">
        <v>1743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0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978</v>
      </c>
      <c r="E231" s="32" t="s">
        <v>165</v>
      </c>
      <c r="F231" s="32" t="s">
        <v>976</v>
      </c>
      <c r="G231" s="32" t="s">
        <v>1105</v>
      </c>
      <c r="H231" s="32" t="s">
        <v>354</v>
      </c>
      <c r="I231" s="31" t="s">
        <v>977</v>
      </c>
      <c r="J231" s="31">
        <v>1</v>
      </c>
      <c r="K231" s="33" t="s">
        <v>956</v>
      </c>
      <c r="L231" s="33" t="s">
        <v>689</v>
      </c>
      <c r="M231" s="34" t="s">
        <v>1402</v>
      </c>
      <c r="N231" s="34" t="s">
        <v>1748</v>
      </c>
      <c r="O231" s="35">
        <v>1</v>
      </c>
      <c r="P231" s="35"/>
      <c r="Q231" s="32"/>
      <c r="S231" s="1">
        <f t="shared" si="171"/>
        <v>1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521</v>
      </c>
      <c r="E232" s="32" t="s">
        <v>167</v>
      </c>
      <c r="F232" s="32" t="s">
        <v>522</v>
      </c>
      <c r="G232" s="32" t="s">
        <v>523</v>
      </c>
      <c r="H232" s="32" t="s">
        <v>354</v>
      </c>
      <c r="I232" s="31" t="s">
        <v>524</v>
      </c>
      <c r="J232" s="31">
        <v>99</v>
      </c>
      <c r="K232" s="33" t="s">
        <v>702</v>
      </c>
      <c r="L232" s="33">
        <v>40</v>
      </c>
      <c r="M232" s="34" t="s">
        <v>972</v>
      </c>
      <c r="N232" s="34" t="s">
        <v>1849</v>
      </c>
      <c r="O232" s="35">
        <v>1</v>
      </c>
      <c r="P232" s="35"/>
      <c r="Q232" s="32"/>
      <c r="S232" s="1">
        <f t="shared" si="171"/>
        <v>0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25">
      <c r="A233" s="38">
        <v>0</v>
      </c>
      <c r="B233" s="38">
        <v>1</v>
      </c>
      <c r="C233" s="38">
        <v>6</v>
      </c>
      <c r="D233" s="39" t="s">
        <v>1837</v>
      </c>
      <c r="E233" s="39" t="s">
        <v>1838</v>
      </c>
      <c r="F233" s="39" t="s">
        <v>1839</v>
      </c>
      <c r="G233" s="39"/>
      <c r="H233" s="39" t="s">
        <v>354</v>
      </c>
      <c r="I233" s="38" t="s">
        <v>1840</v>
      </c>
      <c r="J233" s="38"/>
      <c r="K233" s="40" t="s">
        <v>703</v>
      </c>
      <c r="L233" s="40"/>
      <c r="M233" s="41"/>
      <c r="N233" s="42"/>
      <c r="O233" s="43"/>
      <c r="P233" s="43">
        <v>1</v>
      </c>
      <c r="Q233" s="39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0</v>
      </c>
      <c r="AF233" s="1">
        <f t="shared" si="167"/>
        <v>0</v>
      </c>
      <c r="AG233" s="1">
        <f t="shared" si="168"/>
        <v>0</v>
      </c>
      <c r="AH233" s="1">
        <f t="shared" si="169"/>
        <v>1</v>
      </c>
      <c r="AI233" s="1">
        <f t="shared" si="17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1480</v>
      </c>
      <c r="E234" s="32" t="s">
        <v>167</v>
      </c>
      <c r="F234" s="32" t="s">
        <v>1482</v>
      </c>
      <c r="G234" s="32" t="s">
        <v>1483</v>
      </c>
      <c r="H234" s="32" t="s">
        <v>354</v>
      </c>
      <c r="I234" s="31" t="s">
        <v>1481</v>
      </c>
      <c r="J234" s="31">
        <v>99</v>
      </c>
      <c r="K234" s="33" t="s">
        <v>703</v>
      </c>
      <c r="L234" s="33">
        <v>62</v>
      </c>
      <c r="M234" s="34"/>
      <c r="N234" s="34" t="s">
        <v>1749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1196</v>
      </c>
      <c r="E235" s="32" t="s">
        <v>165</v>
      </c>
      <c r="F235" s="32" t="s">
        <v>1670</v>
      </c>
      <c r="G235" s="32" t="s">
        <v>213</v>
      </c>
      <c r="H235" s="32" t="s">
        <v>354</v>
      </c>
      <c r="I235" s="31" t="s">
        <v>1197</v>
      </c>
      <c r="J235" s="31">
        <v>1</v>
      </c>
      <c r="K235" s="33" t="s">
        <v>962</v>
      </c>
      <c r="L235" s="33" t="s">
        <v>687</v>
      </c>
      <c r="M235" s="34" t="s">
        <v>1572</v>
      </c>
      <c r="N235" s="34" t="s">
        <v>1755</v>
      </c>
      <c r="O235" s="35">
        <v>1</v>
      </c>
      <c r="P235" s="35"/>
      <c r="Q235" s="32"/>
      <c r="S235" s="1">
        <f t="shared" si="171"/>
        <v>1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98</v>
      </c>
      <c r="E236" s="32" t="s">
        <v>167</v>
      </c>
      <c r="F236" s="32" t="s">
        <v>296</v>
      </c>
      <c r="G236" s="32" t="s">
        <v>285</v>
      </c>
      <c r="H236" s="32" t="s">
        <v>354</v>
      </c>
      <c r="I236" s="31" t="s">
        <v>1118</v>
      </c>
      <c r="J236" s="31">
        <v>10</v>
      </c>
      <c r="K236" s="33" t="s">
        <v>956</v>
      </c>
      <c r="L236" s="33" t="s">
        <v>694</v>
      </c>
      <c r="M236" s="34" t="s">
        <v>705</v>
      </c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1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603</v>
      </c>
      <c r="E237" s="32" t="s">
        <v>165</v>
      </c>
      <c r="F237" s="32" t="s">
        <v>605</v>
      </c>
      <c r="G237" s="32" t="s">
        <v>39</v>
      </c>
      <c r="H237" s="32" t="s">
        <v>354</v>
      </c>
      <c r="I237" s="31" t="s">
        <v>604</v>
      </c>
      <c r="J237" s="31">
        <v>99</v>
      </c>
      <c r="K237" s="33" t="s">
        <v>956</v>
      </c>
      <c r="L237" s="33" t="s">
        <v>693</v>
      </c>
      <c r="M237" s="34" t="s">
        <v>970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1162</v>
      </c>
      <c r="E238" s="32" t="s">
        <v>165</v>
      </c>
      <c r="F238" s="32" t="s">
        <v>1164</v>
      </c>
      <c r="G238" s="32" t="s">
        <v>220</v>
      </c>
      <c r="H238" s="32" t="s">
        <v>354</v>
      </c>
      <c r="I238" s="31" t="s">
        <v>1163</v>
      </c>
      <c r="J238" s="31">
        <v>8</v>
      </c>
      <c r="K238" s="33" t="s">
        <v>702</v>
      </c>
      <c r="L238" s="33" t="s">
        <v>1713</v>
      </c>
      <c r="M238" s="34" t="s">
        <v>1403</v>
      </c>
      <c r="N238" s="34" t="s">
        <v>1748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1</v>
      </c>
      <c r="AA238" s="1">
        <f t="shared" si="179"/>
        <v>0</v>
      </c>
      <c r="AB238" s="1">
        <f t="shared" si="180"/>
        <v>0</v>
      </c>
      <c r="AD238" s="1">
        <f t="shared" si="181"/>
        <v>0</v>
      </c>
      <c r="AE238" s="1">
        <f t="shared" si="182"/>
        <v>1</v>
      </c>
      <c r="AF238" s="1">
        <f t="shared" si="167"/>
        <v>0</v>
      </c>
      <c r="AG238" s="1">
        <f t="shared" si="168"/>
        <v>1</v>
      </c>
      <c r="AH238" s="1">
        <f t="shared" si="169"/>
        <v>0</v>
      </c>
      <c r="AI238" s="1">
        <f t="shared" si="17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564</v>
      </c>
      <c r="E239" s="32" t="s">
        <v>167</v>
      </c>
      <c r="F239" s="32" t="s">
        <v>661</v>
      </c>
      <c r="G239" s="32" t="s">
        <v>202</v>
      </c>
      <c r="H239" s="32" t="s">
        <v>354</v>
      </c>
      <c r="I239" s="31" t="s">
        <v>583</v>
      </c>
      <c r="J239" s="31">
        <v>10</v>
      </c>
      <c r="K239" s="33" t="s">
        <v>962</v>
      </c>
      <c r="L239" s="33" t="s">
        <v>693</v>
      </c>
      <c r="M239" s="34" t="s">
        <v>705</v>
      </c>
      <c r="N239" s="34" t="s">
        <v>1748</v>
      </c>
      <c r="O239" s="35">
        <v>1</v>
      </c>
      <c r="P239" s="35"/>
      <c r="Q239" s="36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1"/>
        <v>0</v>
      </c>
      <c r="AE239" s="1">
        <f t="shared" si="182"/>
        <v>1</v>
      </c>
      <c r="AF239" s="1">
        <f t="shared" si="167"/>
        <v>0</v>
      </c>
      <c r="AG239" s="1">
        <f t="shared" si="168"/>
        <v>1</v>
      </c>
      <c r="AH239" s="1">
        <f t="shared" si="169"/>
        <v>0</v>
      </c>
      <c r="AI239" s="1">
        <f t="shared" si="170"/>
        <v>1</v>
      </c>
    </row>
    <row r="240" spans="1:4094 4097:8191 8194:12288 12291:16384" ht="14.25" customHeight="1" x14ac:dyDescent="0.25">
      <c r="A240" s="44">
        <v>0</v>
      </c>
      <c r="B240" s="44">
        <v>1</v>
      </c>
      <c r="C240" s="44">
        <v>6</v>
      </c>
      <c r="D240" s="45" t="s">
        <v>897</v>
      </c>
      <c r="E240" s="45" t="s">
        <v>167</v>
      </c>
      <c r="F240" s="45" t="s">
        <v>938</v>
      </c>
      <c r="G240" s="45" t="s">
        <v>939</v>
      </c>
      <c r="H240" s="45" t="s">
        <v>354</v>
      </c>
      <c r="I240" s="44" t="s">
        <v>953</v>
      </c>
      <c r="J240" s="44">
        <v>99</v>
      </c>
      <c r="K240" s="46" t="s">
        <v>702</v>
      </c>
      <c r="L240" s="46" t="s">
        <v>689</v>
      </c>
      <c r="M240" s="47" t="s">
        <v>1404</v>
      </c>
      <c r="N240" s="47" t="s">
        <v>1738</v>
      </c>
      <c r="O240" s="48"/>
      <c r="P240" s="48"/>
      <c r="Q240" s="45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1"/>
        <v>0</v>
      </c>
      <c r="AE240" s="1">
        <f t="shared" si="182"/>
        <v>0</v>
      </c>
      <c r="AF240" s="1">
        <f t="shared" si="167"/>
        <v>0</v>
      </c>
      <c r="AG240" s="1">
        <f t="shared" si="168"/>
        <v>0</v>
      </c>
      <c r="AH240" s="1">
        <f t="shared" si="169"/>
        <v>0</v>
      </c>
      <c r="AI240" s="1">
        <f t="shared" si="170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100</v>
      </c>
      <c r="E241" s="32" t="s">
        <v>167</v>
      </c>
      <c r="F241" s="32" t="s">
        <v>662</v>
      </c>
      <c r="G241" s="32" t="s">
        <v>664</v>
      </c>
      <c r="H241" s="32" t="s">
        <v>354</v>
      </c>
      <c r="I241" s="31" t="s">
        <v>447</v>
      </c>
      <c r="J241" s="31">
        <v>99</v>
      </c>
      <c r="K241" s="33" t="s">
        <v>722</v>
      </c>
      <c r="L241" s="33" t="s">
        <v>696</v>
      </c>
      <c r="M241" s="34" t="s">
        <v>707</v>
      </c>
      <c r="N241" s="34" t="s">
        <v>1749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1</v>
      </c>
      <c r="AF241" s="1">
        <f t="shared" si="167"/>
        <v>0</v>
      </c>
      <c r="AG241" s="1">
        <f t="shared" si="168"/>
        <v>1</v>
      </c>
      <c r="AH241" s="1">
        <f t="shared" si="169"/>
        <v>0</v>
      </c>
      <c r="AI241" s="1">
        <f t="shared" si="170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86</v>
      </c>
      <c r="E242" s="39" t="s">
        <v>29</v>
      </c>
      <c r="F242" s="39" t="s">
        <v>663</v>
      </c>
      <c r="G242" s="39" t="s">
        <v>664</v>
      </c>
      <c r="H242" s="39" t="s">
        <v>354</v>
      </c>
      <c r="I242" s="38" t="s">
        <v>631</v>
      </c>
      <c r="J242" s="38">
        <v>99</v>
      </c>
      <c r="K242" s="40" t="s">
        <v>954</v>
      </c>
      <c r="L242" s="40" t="s">
        <v>693</v>
      </c>
      <c r="M242" s="41" t="s">
        <v>1405</v>
      </c>
      <c r="N242" s="42"/>
      <c r="O242" s="43"/>
      <c r="P242" s="43">
        <v>1</v>
      </c>
      <c r="Q242" s="39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0</v>
      </c>
      <c r="AF242" s="1">
        <f t="shared" si="167"/>
        <v>0</v>
      </c>
      <c r="AG242" s="1">
        <f t="shared" si="168"/>
        <v>0</v>
      </c>
      <c r="AH242" s="1">
        <f t="shared" si="169"/>
        <v>1</v>
      </c>
      <c r="AI242" s="1">
        <f t="shared" si="170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650</v>
      </c>
      <c r="E243" s="32" t="s">
        <v>29</v>
      </c>
      <c r="F243" s="32" t="s">
        <v>626</v>
      </c>
      <c r="G243" s="32" t="s">
        <v>232</v>
      </c>
      <c r="H243" s="32" t="s">
        <v>354</v>
      </c>
      <c r="I243" s="31" t="s">
        <v>627</v>
      </c>
      <c r="J243" s="31">
        <v>99</v>
      </c>
      <c r="K243" s="33" t="s">
        <v>713</v>
      </c>
      <c r="L243" s="33" t="s">
        <v>696</v>
      </c>
      <c r="M243" s="34" t="s">
        <v>973</v>
      </c>
      <c r="N243" s="34" t="s">
        <v>1849</v>
      </c>
      <c r="O243" s="35">
        <v>1</v>
      </c>
      <c r="P243" s="35"/>
      <c r="Q243" s="32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1</v>
      </c>
      <c r="AF243" s="1">
        <f t="shared" si="167"/>
        <v>0</v>
      </c>
      <c r="AG243" s="1">
        <f t="shared" si="168"/>
        <v>1</v>
      </c>
      <c r="AH243" s="1">
        <f t="shared" si="169"/>
        <v>0</v>
      </c>
      <c r="AI243" s="1">
        <f t="shared" si="170"/>
        <v>1</v>
      </c>
    </row>
    <row r="244" spans="1:35" ht="14.25" customHeight="1" x14ac:dyDescent="0.25">
      <c r="A244" s="15">
        <v>0</v>
      </c>
      <c r="B244" s="15">
        <v>1</v>
      </c>
      <c r="C244" s="15">
        <v>7</v>
      </c>
      <c r="D244" s="16" t="s">
        <v>983</v>
      </c>
      <c r="E244" s="16" t="s">
        <v>29</v>
      </c>
      <c r="F244" s="16" t="s">
        <v>984</v>
      </c>
      <c r="G244" s="16" t="s">
        <v>985</v>
      </c>
      <c r="H244" s="16" t="s">
        <v>354</v>
      </c>
      <c r="I244" s="15" t="s">
        <v>982</v>
      </c>
      <c r="J244" s="15">
        <v>99</v>
      </c>
      <c r="K244" s="10" t="s">
        <v>703</v>
      </c>
      <c r="L244" s="10">
        <v>20</v>
      </c>
      <c r="M244" s="19" t="s">
        <v>973</v>
      </c>
      <c r="N244" s="19"/>
      <c r="Q244" s="16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0</v>
      </c>
      <c r="AF244" s="1">
        <f t="shared" si="167"/>
        <v>0</v>
      </c>
      <c r="AG244" s="1">
        <f t="shared" si="168"/>
        <v>0</v>
      </c>
      <c r="AH244" s="1">
        <f t="shared" si="169"/>
        <v>0</v>
      </c>
      <c r="AI244" s="1">
        <f t="shared" si="170"/>
        <v>1</v>
      </c>
    </row>
    <row r="245" spans="1:35" ht="14.25" customHeight="1" x14ac:dyDescent="0.25">
      <c r="A245" s="38">
        <v>0</v>
      </c>
      <c r="B245" s="38">
        <v>1</v>
      </c>
      <c r="C245" s="38">
        <v>7</v>
      </c>
      <c r="D245" s="39" t="s">
        <v>591</v>
      </c>
      <c r="E245" s="39" t="s">
        <v>29</v>
      </c>
      <c r="F245" s="39" t="s">
        <v>592</v>
      </c>
      <c r="G245" s="39" t="s">
        <v>1073</v>
      </c>
      <c r="H245" s="39" t="s">
        <v>354</v>
      </c>
      <c r="I245" s="38" t="s">
        <v>593</v>
      </c>
      <c r="J245" s="38">
        <v>99</v>
      </c>
      <c r="K245" s="40" t="s">
        <v>703</v>
      </c>
      <c r="L245" s="40">
        <v>35</v>
      </c>
      <c r="M245" s="41" t="s">
        <v>1405</v>
      </c>
      <c r="N245" s="41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1627</v>
      </c>
      <c r="E246" s="32" t="s">
        <v>29</v>
      </c>
      <c r="F246" s="32" t="s">
        <v>1682</v>
      </c>
      <c r="G246" s="32" t="s">
        <v>312</v>
      </c>
      <c r="H246" s="32" t="s">
        <v>354</v>
      </c>
      <c r="I246" s="31" t="s">
        <v>1628</v>
      </c>
      <c r="J246" s="31"/>
      <c r="K246" s="33" t="s">
        <v>713</v>
      </c>
      <c r="L246" s="33">
        <v>45</v>
      </c>
      <c r="M246" s="34" t="s">
        <v>1800</v>
      </c>
      <c r="N246" s="34" t="s">
        <v>1733</v>
      </c>
      <c r="O246" s="35">
        <v>1</v>
      </c>
      <c r="P246" s="35">
        <v>1</v>
      </c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1</v>
      </c>
      <c r="AE246" s="1">
        <f t="shared" si="182"/>
        <v>0</v>
      </c>
      <c r="AF246" s="1">
        <f t="shared" si="167"/>
        <v>1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859</v>
      </c>
      <c r="E247" s="32" t="s">
        <v>29</v>
      </c>
      <c r="F247" s="32" t="s">
        <v>860</v>
      </c>
      <c r="G247" s="32" t="s">
        <v>202</v>
      </c>
      <c r="H247" s="32" t="s">
        <v>354</v>
      </c>
      <c r="I247" s="31" t="s">
        <v>861</v>
      </c>
      <c r="J247" s="31">
        <v>10</v>
      </c>
      <c r="K247" s="33" t="s">
        <v>713</v>
      </c>
      <c r="L247" s="33" t="s">
        <v>693</v>
      </c>
      <c r="M247" s="34" t="s">
        <v>1405</v>
      </c>
      <c r="N247" s="34" t="s">
        <v>1755</v>
      </c>
      <c r="O247" s="35">
        <v>1</v>
      </c>
      <c r="P247" s="35"/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1</v>
      </c>
      <c r="AD247" s="1">
        <f t="shared" si="181"/>
        <v>0</v>
      </c>
      <c r="AE247" s="1">
        <f t="shared" si="182"/>
        <v>1</v>
      </c>
      <c r="AF247" s="1">
        <f t="shared" si="167"/>
        <v>0</v>
      </c>
      <c r="AG247" s="1">
        <f t="shared" si="168"/>
        <v>1</v>
      </c>
      <c r="AH247" s="1">
        <f t="shared" si="169"/>
        <v>0</v>
      </c>
      <c r="AI247" s="1">
        <f t="shared" si="170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280</v>
      </c>
      <c r="G248" s="32" t="s">
        <v>230</v>
      </c>
      <c r="H248" s="32" t="s">
        <v>354</v>
      </c>
      <c r="I248" s="31" t="s">
        <v>435</v>
      </c>
      <c r="J248" s="31">
        <v>7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1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1</v>
      </c>
      <c r="AE248" s="1">
        <f t="shared" si="182"/>
        <v>0</v>
      </c>
      <c r="AF248" s="1">
        <f t="shared" si="167"/>
        <v>1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25">
      <c r="A249" s="31">
        <v>1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1601</v>
      </c>
      <c r="G249" s="32" t="s">
        <v>39</v>
      </c>
      <c r="H249" s="32" t="s">
        <v>354</v>
      </c>
      <c r="I249" s="31" t="s">
        <v>1602</v>
      </c>
      <c r="J249" s="31">
        <v>99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0</v>
      </c>
      <c r="AG249" s="1">
        <f t="shared" si="168"/>
        <v>0</v>
      </c>
      <c r="AH249" s="1">
        <f t="shared" si="169"/>
        <v>0</v>
      </c>
      <c r="AI249" s="1">
        <f t="shared" si="170"/>
        <v>0</v>
      </c>
    </row>
    <row r="250" spans="1:35" ht="14.25" customHeight="1" x14ac:dyDescent="0.25">
      <c r="A250" s="49">
        <v>0</v>
      </c>
      <c r="B250" s="49">
        <v>1</v>
      </c>
      <c r="C250" s="49">
        <v>7</v>
      </c>
      <c r="D250" s="55" t="s">
        <v>1484</v>
      </c>
      <c r="E250" s="50" t="s">
        <v>29</v>
      </c>
      <c r="F250" s="55" t="s">
        <v>1004</v>
      </c>
      <c r="G250" s="55" t="s">
        <v>1102</v>
      </c>
      <c r="H250" s="55" t="s">
        <v>354</v>
      </c>
      <c r="I250" s="63" t="s">
        <v>1110</v>
      </c>
      <c r="J250" s="49">
        <v>10</v>
      </c>
      <c r="K250" s="51" t="s">
        <v>713</v>
      </c>
      <c r="L250" s="51" t="s">
        <v>694</v>
      </c>
      <c r="M250" s="52" t="s">
        <v>973</v>
      </c>
      <c r="N250" s="52" t="s">
        <v>1743</v>
      </c>
      <c r="O250" s="53">
        <v>1</v>
      </c>
      <c r="P250" s="53"/>
      <c r="Q250" s="55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6" t="s">
        <v>1485</v>
      </c>
      <c r="E251" s="32" t="s">
        <v>29</v>
      </c>
      <c r="F251" s="36" t="s">
        <v>1002</v>
      </c>
      <c r="G251" s="36" t="s">
        <v>240</v>
      </c>
      <c r="H251" s="36" t="s">
        <v>354</v>
      </c>
      <c r="I251" s="37" t="s">
        <v>1003</v>
      </c>
      <c r="J251" s="31">
        <v>1</v>
      </c>
      <c r="K251" s="33" t="s">
        <v>961</v>
      </c>
      <c r="L251" s="33" t="s">
        <v>694</v>
      </c>
      <c r="M251" s="34" t="s">
        <v>973</v>
      </c>
      <c r="N251" s="34" t="s">
        <v>1801</v>
      </c>
      <c r="O251" s="35">
        <v>1</v>
      </c>
      <c r="P251" s="35"/>
      <c r="Q251" s="36"/>
      <c r="S251" s="1">
        <f t="shared" si="171"/>
        <v>1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ht="14.25" customHeight="1" x14ac:dyDescent="0.25">
      <c r="A252" s="44">
        <v>0</v>
      </c>
      <c r="B252" s="44">
        <v>1</v>
      </c>
      <c r="C252" s="44">
        <v>7</v>
      </c>
      <c r="D252" s="45" t="s">
        <v>898</v>
      </c>
      <c r="E252" s="45" t="s">
        <v>29</v>
      </c>
      <c r="F252" s="45" t="s">
        <v>899</v>
      </c>
      <c r="G252" s="45" t="s">
        <v>39</v>
      </c>
      <c r="H252" s="45" t="s">
        <v>355</v>
      </c>
      <c r="I252" s="44" t="s">
        <v>900</v>
      </c>
      <c r="J252" s="44">
        <v>11</v>
      </c>
      <c r="K252" s="46" t="s">
        <v>703</v>
      </c>
      <c r="L252" s="46">
        <v>35</v>
      </c>
      <c r="M252" s="47" t="s">
        <v>1405</v>
      </c>
      <c r="N252" s="47" t="s">
        <v>1747</v>
      </c>
      <c r="O252" s="48"/>
      <c r="P252" s="48"/>
      <c r="Q252" s="65" t="s">
        <v>1903</v>
      </c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1084</v>
      </c>
      <c r="E253" s="32" t="s">
        <v>29</v>
      </c>
      <c r="F253" s="36" t="s">
        <v>986</v>
      </c>
      <c r="G253" s="36" t="s">
        <v>203</v>
      </c>
      <c r="H253" s="36" t="s">
        <v>354</v>
      </c>
      <c r="I253" s="37" t="s">
        <v>987</v>
      </c>
      <c r="J253" s="31">
        <v>99</v>
      </c>
      <c r="K253" s="33" t="s">
        <v>713</v>
      </c>
      <c r="L253" s="33" t="s">
        <v>694</v>
      </c>
      <c r="M253" s="34" t="s">
        <v>1442</v>
      </c>
      <c r="N253" s="34" t="s">
        <v>1727</v>
      </c>
      <c r="O253" s="35">
        <v>1</v>
      </c>
      <c r="P253" s="35">
        <v>1</v>
      </c>
      <c r="Q253" s="36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1</v>
      </c>
      <c r="AE253" s="1">
        <f t="shared" si="182"/>
        <v>0</v>
      </c>
      <c r="AF253" s="1">
        <f t="shared" si="167"/>
        <v>1</v>
      </c>
      <c r="AG253" s="1">
        <f t="shared" si="168"/>
        <v>0</v>
      </c>
      <c r="AH253" s="1">
        <f t="shared" si="169"/>
        <v>1</v>
      </c>
      <c r="AI253" s="1">
        <f t="shared" si="170"/>
        <v>0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751</v>
      </c>
      <c r="E254" s="16" t="s">
        <v>29</v>
      </c>
      <c r="F254" s="16" t="s">
        <v>752</v>
      </c>
      <c r="G254" s="16" t="s">
        <v>753</v>
      </c>
      <c r="H254" s="16" t="s">
        <v>354</v>
      </c>
      <c r="I254" s="15" t="s">
        <v>754</v>
      </c>
      <c r="J254" s="15">
        <v>99</v>
      </c>
      <c r="K254" s="10" t="s">
        <v>703</v>
      </c>
      <c r="L254" s="10">
        <v>20</v>
      </c>
      <c r="M254" s="19" t="s">
        <v>1120</v>
      </c>
      <c r="N254" s="17"/>
      <c r="Q254" s="1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0</v>
      </c>
      <c r="AF254" s="1">
        <f t="shared" si="167"/>
        <v>0</v>
      </c>
      <c r="AG254" s="1">
        <f t="shared" si="168"/>
        <v>0</v>
      </c>
      <c r="AH254" s="1">
        <f t="shared" si="169"/>
        <v>0</v>
      </c>
      <c r="AI254" s="1">
        <f t="shared" si="170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828</v>
      </c>
      <c r="E255" s="32" t="s">
        <v>29</v>
      </c>
      <c r="F255" s="36" t="s">
        <v>829</v>
      </c>
      <c r="G255" s="36" t="s">
        <v>928</v>
      </c>
      <c r="H255" s="36" t="s">
        <v>354</v>
      </c>
      <c r="I255" s="37" t="s">
        <v>830</v>
      </c>
      <c r="J255" s="31">
        <v>99</v>
      </c>
      <c r="K255" s="33" t="s">
        <v>955</v>
      </c>
      <c r="L255" s="33" t="s">
        <v>694</v>
      </c>
      <c r="M255" s="34" t="s">
        <v>973</v>
      </c>
      <c r="N255" s="34" t="s">
        <v>1825</v>
      </c>
      <c r="O255" s="35">
        <v>1</v>
      </c>
      <c r="P255" s="35"/>
      <c r="Q255" s="3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1</v>
      </c>
      <c r="AF255" s="1">
        <f t="shared" si="167"/>
        <v>0</v>
      </c>
      <c r="AG255" s="1">
        <f t="shared" si="168"/>
        <v>1</v>
      </c>
      <c r="AH255" s="1">
        <f t="shared" si="169"/>
        <v>0</v>
      </c>
      <c r="AI255" s="1">
        <f t="shared" si="1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1720</v>
      </c>
      <c r="E256" s="32" t="s">
        <v>29</v>
      </c>
      <c r="F256" s="36" t="s">
        <v>1721</v>
      </c>
      <c r="G256" s="36" t="s">
        <v>249</v>
      </c>
      <c r="H256" s="36" t="s">
        <v>354</v>
      </c>
      <c r="I256" s="37" t="s">
        <v>1722</v>
      </c>
      <c r="J256" s="31"/>
      <c r="K256" s="33" t="s">
        <v>703</v>
      </c>
      <c r="L256" s="33"/>
      <c r="M256" s="34"/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901</v>
      </c>
      <c r="E257" s="32" t="s">
        <v>29</v>
      </c>
      <c r="F257" s="32" t="s">
        <v>902</v>
      </c>
      <c r="G257" s="32" t="s">
        <v>228</v>
      </c>
      <c r="H257" s="32" t="s">
        <v>354</v>
      </c>
      <c r="I257" s="31" t="s">
        <v>903</v>
      </c>
      <c r="J257" s="31">
        <v>99</v>
      </c>
      <c r="K257" s="33" t="s">
        <v>713</v>
      </c>
      <c r="L257" s="33" t="s">
        <v>694</v>
      </c>
      <c r="M257" s="34" t="s">
        <v>1406</v>
      </c>
      <c r="N257" s="34" t="s">
        <v>1748</v>
      </c>
      <c r="O257" s="35">
        <v>1</v>
      </c>
      <c r="P257" s="35"/>
      <c r="Q257" s="32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1</v>
      </c>
      <c r="AF257" s="1">
        <f t="shared" si="167"/>
        <v>0</v>
      </c>
      <c r="AG257" s="1">
        <f t="shared" si="168"/>
        <v>1</v>
      </c>
      <c r="AH257" s="1">
        <f t="shared" si="169"/>
        <v>0</v>
      </c>
      <c r="AI257" s="1">
        <f t="shared" si="17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88</v>
      </c>
      <c r="E258" s="32" t="s">
        <v>29</v>
      </c>
      <c r="F258" s="32" t="s">
        <v>281</v>
      </c>
      <c r="G258" s="32" t="s">
        <v>238</v>
      </c>
      <c r="H258" s="32" t="s">
        <v>354</v>
      </c>
      <c r="I258" s="31" t="s">
        <v>437</v>
      </c>
      <c r="J258" s="31">
        <v>4</v>
      </c>
      <c r="K258" s="33" t="s">
        <v>954</v>
      </c>
      <c r="L258" s="33" t="s">
        <v>39</v>
      </c>
      <c r="M258" s="34" t="s">
        <v>39</v>
      </c>
      <c r="N258" s="34" t="s">
        <v>1727</v>
      </c>
      <c r="O258" s="35">
        <v>1</v>
      </c>
      <c r="P258" s="35">
        <v>1</v>
      </c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1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1</v>
      </c>
      <c r="AE258" s="1">
        <f t="shared" si="182"/>
        <v>0</v>
      </c>
      <c r="AF258" s="1">
        <f t="shared" si="167"/>
        <v>1</v>
      </c>
      <c r="AG258" s="1">
        <f t="shared" si="168"/>
        <v>0</v>
      </c>
      <c r="AH258" s="1">
        <f t="shared" si="169"/>
        <v>1</v>
      </c>
      <c r="AI258" s="1">
        <f t="shared" si="170"/>
        <v>0</v>
      </c>
    </row>
    <row r="259" spans="1:35" ht="14.25" customHeight="1" x14ac:dyDescent="0.25">
      <c r="A259" s="44">
        <v>0</v>
      </c>
      <c r="B259" s="44">
        <v>1</v>
      </c>
      <c r="C259" s="44">
        <v>7</v>
      </c>
      <c r="D259" s="45" t="s">
        <v>89</v>
      </c>
      <c r="E259" s="45" t="s">
        <v>29</v>
      </c>
      <c r="F259" s="45" t="s">
        <v>282</v>
      </c>
      <c r="G259" s="45" t="s">
        <v>283</v>
      </c>
      <c r="H259" s="45" t="s">
        <v>354</v>
      </c>
      <c r="I259" s="44" t="s">
        <v>943</v>
      </c>
      <c r="J259" s="44">
        <v>99</v>
      </c>
      <c r="K259" s="46" t="s">
        <v>955</v>
      </c>
      <c r="L259" s="46" t="s">
        <v>694</v>
      </c>
      <c r="M259" s="47" t="s">
        <v>973</v>
      </c>
      <c r="N259" s="47" t="s">
        <v>1809</v>
      </c>
      <c r="O259" s="48"/>
      <c r="P259" s="48"/>
      <c r="Q259" s="45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0</v>
      </c>
      <c r="AE259" s="1">
        <f t="shared" si="182"/>
        <v>0</v>
      </c>
      <c r="AF259" s="1">
        <f t="shared" si="167"/>
        <v>0</v>
      </c>
      <c r="AG259" s="1">
        <f t="shared" si="168"/>
        <v>0</v>
      </c>
      <c r="AH259" s="1">
        <f t="shared" si="169"/>
        <v>0</v>
      </c>
      <c r="AI259" s="1">
        <f t="shared" si="170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1636</v>
      </c>
      <c r="E260" s="32" t="s">
        <v>29</v>
      </c>
      <c r="F260" s="36" t="s">
        <v>1535</v>
      </c>
      <c r="G260" s="36" t="s">
        <v>39</v>
      </c>
      <c r="H260" s="36" t="s">
        <v>886</v>
      </c>
      <c r="I260" s="37" t="s">
        <v>1536</v>
      </c>
      <c r="J260" s="31">
        <v>17</v>
      </c>
      <c r="K260" s="33" t="s">
        <v>713</v>
      </c>
      <c r="L260" s="33" t="s">
        <v>697</v>
      </c>
      <c r="M260" s="34" t="s">
        <v>1457</v>
      </c>
      <c r="N260" s="34" t="s">
        <v>1727</v>
      </c>
      <c r="O260" s="35">
        <v>1</v>
      </c>
      <c r="P260" s="35">
        <v>1</v>
      </c>
      <c r="Q260" s="36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1</v>
      </c>
      <c r="AE260" s="1">
        <f t="shared" si="182"/>
        <v>0</v>
      </c>
      <c r="AF260" s="1">
        <f t="shared" si="167"/>
        <v>1</v>
      </c>
      <c r="AG260" s="1">
        <f t="shared" si="168"/>
        <v>0</v>
      </c>
      <c r="AH260" s="1">
        <f t="shared" si="169"/>
        <v>1</v>
      </c>
      <c r="AI260" s="1">
        <f t="shared" si="170"/>
        <v>0</v>
      </c>
    </row>
    <row r="261" spans="1:35" ht="14.25" customHeight="1" x14ac:dyDescent="0.25">
      <c r="A261" s="44">
        <v>0</v>
      </c>
      <c r="B261" s="44">
        <v>1</v>
      </c>
      <c r="C261" s="44">
        <v>7</v>
      </c>
      <c r="D261" s="45" t="s">
        <v>1454</v>
      </c>
      <c r="E261" s="45" t="s">
        <v>29</v>
      </c>
      <c r="F261" s="45" t="s">
        <v>1455</v>
      </c>
      <c r="G261" s="45" t="s">
        <v>321</v>
      </c>
      <c r="H261" s="45" t="s">
        <v>354</v>
      </c>
      <c r="I261" s="44" t="s">
        <v>1456</v>
      </c>
      <c r="J261" s="44">
        <v>99</v>
      </c>
      <c r="K261" s="46" t="s">
        <v>703</v>
      </c>
      <c r="L261" s="46">
        <v>30</v>
      </c>
      <c r="M261" s="47" t="s">
        <v>1457</v>
      </c>
      <c r="N261" s="47" t="s">
        <v>1802</v>
      </c>
      <c r="O261" s="48"/>
      <c r="P261" s="48"/>
      <c r="Q261" s="45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0</v>
      </c>
      <c r="AE261" s="1">
        <f t="shared" si="182"/>
        <v>0</v>
      </c>
      <c r="AF261" s="1">
        <f t="shared" si="167"/>
        <v>0</v>
      </c>
      <c r="AG261" s="1">
        <f t="shared" si="168"/>
        <v>0</v>
      </c>
      <c r="AH261" s="1">
        <f t="shared" si="169"/>
        <v>0</v>
      </c>
      <c r="AI261" s="1">
        <f t="shared" si="17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847</v>
      </c>
      <c r="G262" s="36" t="s">
        <v>222</v>
      </c>
      <c r="H262" s="36" t="s">
        <v>354</v>
      </c>
      <c r="I262" s="37" t="s">
        <v>848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930</v>
      </c>
      <c r="G263" s="36" t="s">
        <v>279</v>
      </c>
      <c r="H263" s="36" t="s">
        <v>354</v>
      </c>
      <c r="I263" s="37" t="s">
        <v>849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0</v>
      </c>
      <c r="AH263" s="1">
        <f t="shared" si="169"/>
        <v>0</v>
      </c>
      <c r="AI263" s="1">
        <f t="shared" si="170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1216</v>
      </c>
      <c r="E264" s="32" t="s">
        <v>29</v>
      </c>
      <c r="F264" s="32" t="s">
        <v>1217</v>
      </c>
      <c r="G264" s="32" t="s">
        <v>238</v>
      </c>
      <c r="H264" s="32" t="s">
        <v>354</v>
      </c>
      <c r="I264" s="31" t="s">
        <v>1361</v>
      </c>
      <c r="J264" s="31">
        <v>99</v>
      </c>
      <c r="K264" s="33" t="s">
        <v>713</v>
      </c>
      <c r="L264" s="33" t="s">
        <v>694</v>
      </c>
      <c r="M264" s="34" t="s">
        <v>1407</v>
      </c>
      <c r="N264" s="34" t="s">
        <v>1755</v>
      </c>
      <c r="O264" s="35">
        <v>1</v>
      </c>
      <c r="P264" s="35"/>
      <c r="Q264" s="32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ref="AD264:AD265" si="183">+O264*P264</f>
        <v>0</v>
      </c>
      <c r="AE264" s="1">
        <f t="shared" ref="AE264:AE265" si="184">O264*(1-P264)</f>
        <v>1</v>
      </c>
      <c r="AF264" s="1">
        <f t="shared" ref="AF264:AF265" si="185">+O264*P264*(1-A264)</f>
        <v>0</v>
      </c>
      <c r="AG264" s="1">
        <f t="shared" ref="AG264:AG265" si="186">O264*(1-P264)*(1-A264)</f>
        <v>1</v>
      </c>
      <c r="AH264" s="1">
        <f t="shared" ref="AH264:AH265" si="187">+P264*(1-A264)</f>
        <v>0</v>
      </c>
      <c r="AI264" s="1">
        <f t="shared" ref="AI264:AI265" si="188">+(1-A264)*(1-P264)</f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1233</v>
      </c>
      <c r="E265" s="32" t="s">
        <v>29</v>
      </c>
      <c r="F265" s="36" t="s">
        <v>1234</v>
      </c>
      <c r="G265" s="36" t="s">
        <v>238</v>
      </c>
      <c r="H265" s="36" t="s">
        <v>354</v>
      </c>
      <c r="I265" s="37" t="s">
        <v>1235</v>
      </c>
      <c r="J265" s="31">
        <v>99</v>
      </c>
      <c r="K265" s="33" t="s">
        <v>713</v>
      </c>
      <c r="L265" s="33" t="s">
        <v>693</v>
      </c>
      <c r="M265" s="34" t="s">
        <v>1407</v>
      </c>
      <c r="N265" s="34" t="s">
        <v>1825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3"/>
        <v>0</v>
      </c>
      <c r="AE265" s="1">
        <f t="shared" si="184"/>
        <v>1</v>
      </c>
      <c r="AF265" s="1">
        <f t="shared" si="185"/>
        <v>0</v>
      </c>
      <c r="AG265" s="1">
        <f t="shared" si="186"/>
        <v>1</v>
      </c>
      <c r="AH265" s="1">
        <f t="shared" si="187"/>
        <v>0</v>
      </c>
      <c r="AI265" s="1">
        <f t="shared" si="18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93</v>
      </c>
      <c r="E266" s="32" t="s">
        <v>29</v>
      </c>
      <c r="F266" s="36" t="s">
        <v>288</v>
      </c>
      <c r="G266" s="36" t="s">
        <v>190</v>
      </c>
      <c r="H266" s="36" t="s">
        <v>354</v>
      </c>
      <c r="I266" s="37" t="s">
        <v>441</v>
      </c>
      <c r="J266" s="31">
        <v>99</v>
      </c>
      <c r="K266" s="33" t="s">
        <v>713</v>
      </c>
      <c r="L266" s="33" t="s">
        <v>694</v>
      </c>
      <c r="M266" s="34" t="s">
        <v>1408</v>
      </c>
      <c r="N266" s="34" t="s">
        <v>1750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1</v>
      </c>
      <c r="AH266" s="1">
        <f t="shared" si="169"/>
        <v>0</v>
      </c>
      <c r="AI266" s="1">
        <f t="shared" si="170"/>
        <v>1</v>
      </c>
    </row>
    <row r="267" spans="1:35" ht="14.25" customHeight="1" x14ac:dyDescent="0.25">
      <c r="A267" s="44">
        <v>0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871</v>
      </c>
      <c r="G267" s="45" t="s">
        <v>194</v>
      </c>
      <c r="H267" s="45" t="s">
        <v>354</v>
      </c>
      <c r="I267" s="44" t="s">
        <v>872</v>
      </c>
      <c r="J267" s="44">
        <v>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1</v>
      </c>
      <c r="AB267" s="1">
        <f t="shared" si="180"/>
        <v>0</v>
      </c>
      <c r="AD267" s="1">
        <f t="shared" si="181"/>
        <v>0</v>
      </c>
      <c r="AE267" s="1">
        <f t="shared" si="182"/>
        <v>0</v>
      </c>
      <c r="AF267" s="1">
        <f t="shared" si="167"/>
        <v>0</v>
      </c>
      <c r="AG267" s="1">
        <f t="shared" si="168"/>
        <v>0</v>
      </c>
      <c r="AH267" s="1">
        <f t="shared" si="169"/>
        <v>0</v>
      </c>
      <c r="AI267" s="1">
        <f t="shared" si="170"/>
        <v>1</v>
      </c>
    </row>
    <row r="268" spans="1:35" ht="14.25" customHeight="1" x14ac:dyDescent="0.25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1068</v>
      </c>
      <c r="G268" s="45" t="s">
        <v>321</v>
      </c>
      <c r="H268" s="45" t="s">
        <v>354</v>
      </c>
      <c r="I268" s="44" t="s">
        <v>1069</v>
      </c>
      <c r="J268" s="44">
        <v>99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0</v>
      </c>
    </row>
    <row r="269" spans="1:35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2026</v>
      </c>
      <c r="G269" s="65" t="s">
        <v>194</v>
      </c>
      <c r="H269" s="45" t="s">
        <v>354</v>
      </c>
      <c r="I269" s="64" t="s">
        <v>872</v>
      </c>
      <c r="J269" s="44">
        <v>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ref="S269:S270" si="189">IF(J269=$S$7,1,0)</f>
        <v>0</v>
      </c>
      <c r="T269" s="1">
        <f t="shared" ref="T269:T270" si="190">IF(J269=$T$7,1,0)</f>
        <v>0</v>
      </c>
      <c r="U269" s="1">
        <f t="shared" ref="U269:U270" si="191">IF(J269=$U$7,1,0)</f>
        <v>0</v>
      </c>
      <c r="V269" s="1">
        <f t="shared" ref="V269:V270" si="192">IF(J269=$V$7,1,0)</f>
        <v>0</v>
      </c>
      <c r="W269" s="1">
        <f t="shared" ref="W269:W270" si="193">IF(J269=$W$7,1,0)</f>
        <v>0</v>
      </c>
      <c r="X269" s="1">
        <f t="shared" ref="X269:X270" si="194">IF(J269=$X$7,1,0)</f>
        <v>0</v>
      </c>
      <c r="Y269" s="1">
        <f t="shared" ref="Y269:Y270" si="195">IF(J269=$Y$7,1,0)</f>
        <v>0</v>
      </c>
      <c r="Z269" s="1">
        <f t="shared" ref="Z269:Z270" si="196">IF(J269=$Z$7,1,0)</f>
        <v>0</v>
      </c>
      <c r="AA269" s="1">
        <f t="shared" ref="AA269:AA270" si="197">IF(J269=$AA$7,1,0)</f>
        <v>1</v>
      </c>
      <c r="AB269" s="1">
        <f t="shared" ref="AB269:AB270" si="198">IF(J269=$AB$7,1,0)</f>
        <v>0</v>
      </c>
      <c r="AD269" s="1">
        <f t="shared" ref="AD269:AD270" si="199">+O269*P269</f>
        <v>0</v>
      </c>
      <c r="AE269" s="1">
        <f t="shared" ref="AE269:AE270" si="200">O269*(1-P269)</f>
        <v>0</v>
      </c>
      <c r="AF269" s="1">
        <f t="shared" ref="AF269:AF270" si="201">+O269*P269*(1-A269)</f>
        <v>0</v>
      </c>
      <c r="AG269" s="1">
        <f t="shared" ref="AG269:AG270" si="202">O269*(1-P269)*(1-A269)</f>
        <v>0</v>
      </c>
      <c r="AH269" s="1">
        <f t="shared" ref="AH269:AH270" si="203">+P269*(1-A269)</f>
        <v>0</v>
      </c>
      <c r="AI269" s="1">
        <f t="shared" ref="AI269:AI270" si="204">+(1-A269)*(1-P269)</f>
        <v>0</v>
      </c>
    </row>
    <row r="270" spans="1:35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2028</v>
      </c>
      <c r="G270" s="65" t="s">
        <v>209</v>
      </c>
      <c r="H270" s="45" t="s">
        <v>354</v>
      </c>
      <c r="I270" s="64" t="s">
        <v>2027</v>
      </c>
      <c r="J270" s="44">
        <v>99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89"/>
        <v>0</v>
      </c>
      <c r="T270" s="1">
        <f t="shared" si="190"/>
        <v>0</v>
      </c>
      <c r="U270" s="1">
        <f t="shared" si="191"/>
        <v>0</v>
      </c>
      <c r="V270" s="1">
        <f t="shared" si="192"/>
        <v>0</v>
      </c>
      <c r="W270" s="1">
        <f t="shared" si="193"/>
        <v>0</v>
      </c>
      <c r="X270" s="1">
        <f t="shared" si="194"/>
        <v>0</v>
      </c>
      <c r="Y270" s="1">
        <f t="shared" si="195"/>
        <v>0</v>
      </c>
      <c r="Z270" s="1">
        <f t="shared" si="196"/>
        <v>0</v>
      </c>
      <c r="AA270" s="1">
        <f t="shared" si="197"/>
        <v>0</v>
      </c>
      <c r="AB270" s="1">
        <f t="shared" si="198"/>
        <v>0</v>
      </c>
      <c r="AD270" s="1">
        <f t="shared" si="199"/>
        <v>0</v>
      </c>
      <c r="AE270" s="1">
        <f t="shared" si="200"/>
        <v>0</v>
      </c>
      <c r="AF270" s="1">
        <f t="shared" si="201"/>
        <v>0</v>
      </c>
      <c r="AG270" s="1">
        <f t="shared" si="202"/>
        <v>0</v>
      </c>
      <c r="AH270" s="1">
        <f t="shared" si="203"/>
        <v>0</v>
      </c>
      <c r="AI270" s="1">
        <f t="shared" si="204"/>
        <v>0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96</v>
      </c>
      <c r="E271" s="32" t="s">
        <v>29</v>
      </c>
      <c r="F271" s="36" t="s">
        <v>292</v>
      </c>
      <c r="G271" s="36" t="s">
        <v>293</v>
      </c>
      <c r="H271" s="36" t="s">
        <v>354</v>
      </c>
      <c r="I271" s="37" t="s">
        <v>1117</v>
      </c>
      <c r="J271" s="31">
        <v>99</v>
      </c>
      <c r="K271" s="33" t="s">
        <v>713</v>
      </c>
      <c r="L271" s="33" t="s">
        <v>696</v>
      </c>
      <c r="M271" s="34" t="s">
        <v>708</v>
      </c>
      <c r="N271" s="34" t="s">
        <v>1748</v>
      </c>
      <c r="O271" s="35">
        <v>1</v>
      </c>
      <c r="P271" s="35"/>
      <c r="Q271" s="36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1</v>
      </c>
      <c r="AF271" s="1">
        <f t="shared" si="167"/>
        <v>0</v>
      </c>
      <c r="AG271" s="1">
        <f t="shared" si="168"/>
        <v>1</v>
      </c>
      <c r="AH271" s="1">
        <f t="shared" si="169"/>
        <v>0</v>
      </c>
      <c r="AI271" s="1">
        <f t="shared" si="170"/>
        <v>1</v>
      </c>
    </row>
    <row r="272" spans="1:35" ht="14.25" customHeight="1" x14ac:dyDescent="0.25">
      <c r="A272" s="44">
        <v>0</v>
      </c>
      <c r="B272" s="44">
        <v>1</v>
      </c>
      <c r="C272" s="44">
        <v>7</v>
      </c>
      <c r="D272" s="45" t="s">
        <v>532</v>
      </c>
      <c r="E272" s="45" t="s">
        <v>29</v>
      </c>
      <c r="F272" s="45" t="s">
        <v>665</v>
      </c>
      <c r="G272" s="45" t="s">
        <v>39</v>
      </c>
      <c r="H272" s="45" t="s">
        <v>533</v>
      </c>
      <c r="I272" s="44" t="s">
        <v>1690</v>
      </c>
      <c r="J272" s="44">
        <v>14</v>
      </c>
      <c r="K272" s="46" t="s">
        <v>954</v>
      </c>
      <c r="L272" s="46">
        <v>40</v>
      </c>
      <c r="M272" s="47" t="s">
        <v>708</v>
      </c>
      <c r="N272" s="47" t="s">
        <v>1735</v>
      </c>
      <c r="O272" s="48"/>
      <c r="P272" s="48"/>
      <c r="Q272" s="45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0</v>
      </c>
      <c r="AF272" s="1">
        <f t="shared" si="167"/>
        <v>0</v>
      </c>
      <c r="AG272" s="1">
        <f t="shared" si="168"/>
        <v>0</v>
      </c>
      <c r="AH272" s="1">
        <f t="shared" si="169"/>
        <v>0</v>
      </c>
      <c r="AI272" s="1">
        <f t="shared" si="170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1321</v>
      </c>
      <c r="E273" s="32" t="s">
        <v>29</v>
      </c>
      <c r="F273" s="36" t="s">
        <v>1345</v>
      </c>
      <c r="G273" s="36" t="s">
        <v>39</v>
      </c>
      <c r="H273" s="36" t="s">
        <v>354</v>
      </c>
      <c r="I273" s="37" t="s">
        <v>1150</v>
      </c>
      <c r="J273" s="31">
        <v>99</v>
      </c>
      <c r="K273" s="33" t="s">
        <v>713</v>
      </c>
      <c r="L273" s="33" t="s">
        <v>693</v>
      </c>
      <c r="M273" s="34" t="s">
        <v>1409</v>
      </c>
      <c r="N273" s="34" t="s">
        <v>1733</v>
      </c>
      <c r="O273" s="35">
        <v>1</v>
      </c>
      <c r="P273" s="35">
        <v>1</v>
      </c>
      <c r="Q273" s="36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1</v>
      </c>
      <c r="AE273" s="1">
        <f t="shared" si="182"/>
        <v>0</v>
      </c>
      <c r="AF273" s="1">
        <f t="shared" si="167"/>
        <v>1</v>
      </c>
      <c r="AG273" s="1">
        <f t="shared" si="168"/>
        <v>0</v>
      </c>
      <c r="AH273" s="1">
        <f t="shared" si="169"/>
        <v>1</v>
      </c>
      <c r="AI273" s="1">
        <f t="shared" si="170"/>
        <v>0</v>
      </c>
    </row>
    <row r="274" spans="1:35" ht="14.25" customHeight="1" x14ac:dyDescent="0.25">
      <c r="A274" s="44">
        <v>0</v>
      </c>
      <c r="B274" s="44">
        <v>1</v>
      </c>
      <c r="C274" s="44">
        <v>7</v>
      </c>
      <c r="D274" s="45" t="s">
        <v>97</v>
      </c>
      <c r="E274" s="45" t="s">
        <v>29</v>
      </c>
      <c r="F274" s="45" t="s">
        <v>295</v>
      </c>
      <c r="G274" s="45" t="s">
        <v>263</v>
      </c>
      <c r="H274" s="45" t="s">
        <v>354</v>
      </c>
      <c r="I274" s="44" t="s">
        <v>445</v>
      </c>
      <c r="J274" s="44">
        <v>1</v>
      </c>
      <c r="K274" s="46" t="s">
        <v>713</v>
      </c>
      <c r="L274" s="46" t="s">
        <v>694</v>
      </c>
      <c r="M274" s="47" t="s">
        <v>708</v>
      </c>
      <c r="N274" s="47" t="s">
        <v>1735</v>
      </c>
      <c r="O274" s="48"/>
      <c r="P274" s="48"/>
      <c r="Q274" s="45"/>
      <c r="S274" s="1">
        <f t="shared" si="171"/>
        <v>1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0</v>
      </c>
      <c r="AF274" s="1">
        <f t="shared" ref="AF274:AF338" si="205">+O274*P274*(1-A274)</f>
        <v>0</v>
      </c>
      <c r="AG274" s="1">
        <f t="shared" ref="AG274:AG338" si="206">O274*(1-P274)*(1-A274)</f>
        <v>0</v>
      </c>
      <c r="AH274" s="1">
        <f t="shared" ref="AH274:AH338" si="207">+P274*(1-A274)</f>
        <v>0</v>
      </c>
      <c r="AI274" s="1">
        <f t="shared" ref="AI274:AI338" si="208">+(1-A274)*(1-P274)</f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756</v>
      </c>
      <c r="G275" s="16" t="s">
        <v>39</v>
      </c>
      <c r="H275" s="16" t="s">
        <v>757</v>
      </c>
      <c r="I275" s="15" t="s">
        <v>758</v>
      </c>
      <c r="J275" s="15">
        <v>18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205"/>
        <v>0</v>
      </c>
      <c r="AG275" s="1">
        <f t="shared" si="206"/>
        <v>0</v>
      </c>
      <c r="AH275" s="1">
        <f t="shared" si="207"/>
        <v>0</v>
      </c>
      <c r="AI275" s="1">
        <f t="shared" si="208"/>
        <v>1</v>
      </c>
    </row>
    <row r="276" spans="1:35" ht="14.25" customHeight="1" x14ac:dyDescent="0.25">
      <c r="A276" s="15">
        <v>1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759</v>
      </c>
      <c r="G276" s="16" t="s">
        <v>39</v>
      </c>
      <c r="H276" s="16" t="s">
        <v>745</v>
      </c>
      <c r="I276" s="15" t="s">
        <v>760</v>
      </c>
      <c r="J276" s="15">
        <v>17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05"/>
        <v>0</v>
      </c>
      <c r="AG276" s="1">
        <f t="shared" si="206"/>
        <v>0</v>
      </c>
      <c r="AH276" s="1">
        <f t="shared" si="207"/>
        <v>0</v>
      </c>
      <c r="AI276" s="1">
        <f t="shared" si="208"/>
        <v>0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1518</v>
      </c>
      <c r="E277" s="32" t="s">
        <v>29</v>
      </c>
      <c r="F277" s="36" t="s">
        <v>1671</v>
      </c>
      <c r="G277" s="36" t="s">
        <v>1672</v>
      </c>
      <c r="H277" s="36" t="s">
        <v>354</v>
      </c>
      <c r="I277" s="37" t="s">
        <v>1519</v>
      </c>
      <c r="J277" s="31">
        <v>99</v>
      </c>
      <c r="K277" s="33" t="s">
        <v>713</v>
      </c>
      <c r="L277" s="33" t="s">
        <v>39</v>
      </c>
      <c r="M277" s="34" t="s">
        <v>39</v>
      </c>
      <c r="N277" s="34" t="s">
        <v>1727</v>
      </c>
      <c r="O277" s="35">
        <v>1</v>
      </c>
      <c r="P277" s="35">
        <v>1</v>
      </c>
      <c r="Q277" s="3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1</v>
      </c>
      <c r="AE277" s="1">
        <f t="shared" si="182"/>
        <v>0</v>
      </c>
      <c r="AF277" s="1">
        <f t="shared" si="205"/>
        <v>1</v>
      </c>
      <c r="AG277" s="1">
        <f t="shared" si="206"/>
        <v>0</v>
      </c>
      <c r="AH277" s="1">
        <f t="shared" si="207"/>
        <v>1</v>
      </c>
      <c r="AI277" s="1">
        <f t="shared" si="208"/>
        <v>0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1144</v>
      </c>
      <c r="E278" s="16" t="s">
        <v>29</v>
      </c>
      <c r="F278" s="16" t="s">
        <v>1145</v>
      </c>
      <c r="G278" s="16" t="s">
        <v>1147</v>
      </c>
      <c r="H278" s="16" t="s">
        <v>354</v>
      </c>
      <c r="I278" s="15" t="s">
        <v>1146</v>
      </c>
      <c r="J278" s="15">
        <v>99</v>
      </c>
      <c r="K278" s="10" t="s">
        <v>703</v>
      </c>
      <c r="L278" s="10">
        <v>30</v>
      </c>
      <c r="M278" s="19" t="s">
        <v>1410</v>
      </c>
      <c r="N278" s="19"/>
      <c r="Q278" s="16"/>
      <c r="S278" s="1">
        <f t="shared" ref="S278:S342" si="209">IF(J278=$S$7,1,0)</f>
        <v>0</v>
      </c>
      <c r="T278" s="1">
        <f t="shared" ref="T278:T342" si="210">IF(J278=$T$7,1,0)</f>
        <v>0</v>
      </c>
      <c r="U278" s="1">
        <f t="shared" ref="U278:U342" si="211">IF(J278=$U$7,1,0)</f>
        <v>0</v>
      </c>
      <c r="V278" s="1">
        <f t="shared" ref="V278:V342" si="212">IF(J278=$V$7,1,0)</f>
        <v>0</v>
      </c>
      <c r="W278" s="1">
        <f t="shared" ref="W278:W342" si="213">IF(J278=$W$7,1,0)</f>
        <v>0</v>
      </c>
      <c r="X278" s="1">
        <f t="shared" ref="X278:X342" si="214">IF(J278=$X$7,1,0)</f>
        <v>0</v>
      </c>
      <c r="Y278" s="1">
        <f t="shared" ref="Y278:Y342" si="215">IF(J278=$Y$7,1,0)</f>
        <v>0</v>
      </c>
      <c r="Z278" s="1">
        <f t="shared" ref="Z278:Z342" si="216">IF(J278=$Z$7,1,0)</f>
        <v>0</v>
      </c>
      <c r="AA278" s="1">
        <f t="shared" ref="AA278:AA342" si="217">IF(J278=$AA$7,1,0)</f>
        <v>0</v>
      </c>
      <c r="AB278" s="1">
        <f t="shared" ref="AB278:AB342" si="218">IF(J278=$AB$7,1,0)</f>
        <v>0</v>
      </c>
      <c r="AD278" s="1">
        <f t="shared" ref="AD278:AD342" si="219">+O278*P278</f>
        <v>0</v>
      </c>
      <c r="AE278" s="1">
        <f t="shared" ref="AE278:AE342" si="220">O278*(1-P278)</f>
        <v>0</v>
      </c>
      <c r="AF278" s="1">
        <f t="shared" si="205"/>
        <v>0</v>
      </c>
      <c r="AG278" s="1">
        <f t="shared" si="206"/>
        <v>0</v>
      </c>
      <c r="AH278" s="1">
        <f t="shared" si="207"/>
        <v>0</v>
      </c>
      <c r="AI278" s="1">
        <f t="shared" si="208"/>
        <v>1</v>
      </c>
    </row>
    <row r="279" spans="1:35" ht="14.25" customHeight="1" x14ac:dyDescent="0.25">
      <c r="A279" s="44">
        <v>0</v>
      </c>
      <c r="B279" s="44">
        <v>1</v>
      </c>
      <c r="C279" s="44">
        <v>7</v>
      </c>
      <c r="D279" s="45" t="s">
        <v>99</v>
      </c>
      <c r="E279" s="45" t="s">
        <v>29</v>
      </c>
      <c r="F279" s="45" t="s">
        <v>297</v>
      </c>
      <c r="G279" s="45" t="s">
        <v>197</v>
      </c>
      <c r="H279" s="45" t="s">
        <v>354</v>
      </c>
      <c r="I279" s="44" t="s">
        <v>446</v>
      </c>
      <c r="J279" s="44">
        <v>9</v>
      </c>
      <c r="K279" s="46" t="s">
        <v>703</v>
      </c>
      <c r="L279" s="46">
        <v>30</v>
      </c>
      <c r="M279" s="47" t="s">
        <v>708</v>
      </c>
      <c r="N279" s="47" t="s">
        <v>1735</v>
      </c>
      <c r="O279" s="48"/>
      <c r="P279" s="48"/>
      <c r="Q279" s="45"/>
      <c r="S279" s="1">
        <f t="shared" si="209"/>
        <v>0</v>
      </c>
      <c r="T279" s="1">
        <f t="shared" si="210"/>
        <v>0</v>
      </c>
      <c r="U279" s="1">
        <f t="shared" si="211"/>
        <v>0</v>
      </c>
      <c r="V279" s="1">
        <f t="shared" si="212"/>
        <v>0</v>
      </c>
      <c r="W279" s="1">
        <f t="shared" si="213"/>
        <v>0</v>
      </c>
      <c r="X279" s="1">
        <f t="shared" si="214"/>
        <v>0</v>
      </c>
      <c r="Y279" s="1">
        <f t="shared" si="215"/>
        <v>0</v>
      </c>
      <c r="Z279" s="1">
        <f t="shared" si="216"/>
        <v>0</v>
      </c>
      <c r="AA279" s="1">
        <f t="shared" si="217"/>
        <v>1</v>
      </c>
      <c r="AB279" s="1">
        <f t="shared" si="218"/>
        <v>0</v>
      </c>
      <c r="AD279" s="1">
        <f t="shared" si="219"/>
        <v>0</v>
      </c>
      <c r="AE279" s="1">
        <f t="shared" si="220"/>
        <v>0</v>
      </c>
      <c r="AF279" s="1">
        <f t="shared" si="205"/>
        <v>0</v>
      </c>
      <c r="AG279" s="1">
        <f t="shared" si="206"/>
        <v>0</v>
      </c>
      <c r="AH279" s="1">
        <f t="shared" si="207"/>
        <v>0</v>
      </c>
      <c r="AI279" s="1">
        <f t="shared" si="208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803</v>
      </c>
      <c r="E280" s="45" t="s">
        <v>29</v>
      </c>
      <c r="F280" s="45" t="s">
        <v>782</v>
      </c>
      <c r="G280" s="45" t="s">
        <v>804</v>
      </c>
      <c r="H280" s="45" t="s">
        <v>354</v>
      </c>
      <c r="I280" s="44" t="s">
        <v>952</v>
      </c>
      <c r="J280" s="44">
        <v>99</v>
      </c>
      <c r="K280" s="46" t="s">
        <v>713</v>
      </c>
      <c r="L280" s="46" t="s">
        <v>694</v>
      </c>
      <c r="M280" s="47" t="s">
        <v>708</v>
      </c>
      <c r="N280" s="47" t="s">
        <v>1802</v>
      </c>
      <c r="O280" s="48"/>
      <c r="P280" s="48"/>
      <c r="Q280" s="45"/>
      <c r="S280" s="1">
        <f t="shared" si="209"/>
        <v>0</v>
      </c>
      <c r="T280" s="1">
        <f t="shared" si="210"/>
        <v>0</v>
      </c>
      <c r="U280" s="1">
        <f t="shared" si="211"/>
        <v>0</v>
      </c>
      <c r="V280" s="1">
        <f t="shared" si="212"/>
        <v>0</v>
      </c>
      <c r="W280" s="1">
        <f t="shared" si="213"/>
        <v>0</v>
      </c>
      <c r="X280" s="1">
        <f t="shared" si="214"/>
        <v>0</v>
      </c>
      <c r="Y280" s="1">
        <f t="shared" si="215"/>
        <v>0</v>
      </c>
      <c r="Z280" s="1">
        <f t="shared" si="216"/>
        <v>0</v>
      </c>
      <c r="AA280" s="1">
        <f t="shared" si="217"/>
        <v>0</v>
      </c>
      <c r="AB280" s="1">
        <f t="shared" si="218"/>
        <v>0</v>
      </c>
      <c r="AD280" s="1">
        <f t="shared" si="219"/>
        <v>0</v>
      </c>
      <c r="AE280" s="1">
        <f t="shared" si="220"/>
        <v>0</v>
      </c>
      <c r="AF280" s="1">
        <f t="shared" si="205"/>
        <v>0</v>
      </c>
      <c r="AG280" s="1">
        <f t="shared" si="206"/>
        <v>0</v>
      </c>
      <c r="AH280" s="1">
        <f t="shared" si="207"/>
        <v>0</v>
      </c>
      <c r="AI280" s="1">
        <f t="shared" si="208"/>
        <v>1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1324</v>
      </c>
      <c r="E281" s="45" t="s">
        <v>29</v>
      </c>
      <c r="F281" s="45" t="s">
        <v>1347</v>
      </c>
      <c r="G281" s="45" t="s">
        <v>1181</v>
      </c>
      <c r="H281" s="45" t="s">
        <v>354</v>
      </c>
      <c r="I281" s="44" t="s">
        <v>1692</v>
      </c>
      <c r="J281" s="44">
        <v>99</v>
      </c>
      <c r="K281" s="46" t="s">
        <v>713</v>
      </c>
      <c r="L281" s="46" t="s">
        <v>694</v>
      </c>
      <c r="M281" s="47" t="s">
        <v>1411</v>
      </c>
      <c r="N281" s="47" t="s">
        <v>1738</v>
      </c>
      <c r="O281" s="48"/>
      <c r="P281" s="48"/>
      <c r="Q281" s="45"/>
      <c r="S281" s="1">
        <f t="shared" si="209"/>
        <v>0</v>
      </c>
      <c r="T281" s="1">
        <f t="shared" si="210"/>
        <v>0</v>
      </c>
      <c r="U281" s="1">
        <f t="shared" si="211"/>
        <v>0</v>
      </c>
      <c r="V281" s="1">
        <f t="shared" si="212"/>
        <v>0</v>
      </c>
      <c r="W281" s="1">
        <f t="shared" si="213"/>
        <v>0</v>
      </c>
      <c r="X281" s="1">
        <f t="shared" si="214"/>
        <v>0</v>
      </c>
      <c r="Y281" s="1">
        <f t="shared" si="215"/>
        <v>0</v>
      </c>
      <c r="Z281" s="1">
        <f t="shared" si="216"/>
        <v>0</v>
      </c>
      <c r="AA281" s="1">
        <f t="shared" si="217"/>
        <v>0</v>
      </c>
      <c r="AB281" s="1">
        <f t="shared" si="218"/>
        <v>0</v>
      </c>
      <c r="AD281" s="1">
        <f t="shared" si="219"/>
        <v>0</v>
      </c>
      <c r="AE281" s="1">
        <f t="shared" si="220"/>
        <v>0</v>
      </c>
      <c r="AF281" s="1">
        <f t="shared" si="205"/>
        <v>0</v>
      </c>
      <c r="AG281" s="1">
        <f t="shared" si="206"/>
        <v>0</v>
      </c>
      <c r="AH281" s="1">
        <f t="shared" si="207"/>
        <v>0</v>
      </c>
      <c r="AI281" s="1">
        <f t="shared" si="208"/>
        <v>1</v>
      </c>
    </row>
    <row r="282" spans="1:35" ht="14.25" customHeight="1" x14ac:dyDescent="0.25">
      <c r="A282" s="15">
        <v>0</v>
      </c>
      <c r="B282" s="15">
        <v>1</v>
      </c>
      <c r="C282" s="15">
        <v>7</v>
      </c>
      <c r="D282" s="16" t="s">
        <v>1279</v>
      </c>
      <c r="E282" s="16" t="s">
        <v>29</v>
      </c>
      <c r="F282" s="16" t="s">
        <v>1280</v>
      </c>
      <c r="G282" s="16" t="s">
        <v>1281</v>
      </c>
      <c r="H282" s="16" t="s">
        <v>354</v>
      </c>
      <c r="I282" s="15" t="s">
        <v>1282</v>
      </c>
      <c r="J282" s="15">
        <v>99</v>
      </c>
      <c r="K282" s="10" t="s">
        <v>713</v>
      </c>
      <c r="L282" s="10" t="s">
        <v>694</v>
      </c>
      <c r="M282" s="19" t="s">
        <v>708</v>
      </c>
      <c r="N282" s="17"/>
      <c r="Q282" s="16"/>
      <c r="S282" s="1">
        <f t="shared" si="209"/>
        <v>0</v>
      </c>
      <c r="T282" s="1">
        <f t="shared" si="210"/>
        <v>0</v>
      </c>
      <c r="U282" s="1">
        <f t="shared" si="211"/>
        <v>0</v>
      </c>
      <c r="V282" s="1">
        <f t="shared" si="212"/>
        <v>0</v>
      </c>
      <c r="W282" s="1">
        <f t="shared" si="213"/>
        <v>0</v>
      </c>
      <c r="X282" s="1">
        <f t="shared" si="214"/>
        <v>0</v>
      </c>
      <c r="Y282" s="1">
        <f t="shared" si="215"/>
        <v>0</v>
      </c>
      <c r="Z282" s="1">
        <f t="shared" si="216"/>
        <v>0</v>
      </c>
      <c r="AA282" s="1">
        <f t="shared" si="217"/>
        <v>0</v>
      </c>
      <c r="AB282" s="1">
        <f t="shared" si="218"/>
        <v>0</v>
      </c>
      <c r="AD282" s="1">
        <f t="shared" si="219"/>
        <v>0</v>
      </c>
      <c r="AE282" s="1">
        <f t="shared" si="220"/>
        <v>0</v>
      </c>
      <c r="AF282" s="1">
        <f t="shared" si="205"/>
        <v>0</v>
      </c>
      <c r="AG282" s="1">
        <f t="shared" si="206"/>
        <v>0</v>
      </c>
      <c r="AH282" s="1">
        <f t="shared" si="207"/>
        <v>0</v>
      </c>
      <c r="AI282" s="1">
        <f t="shared" si="208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709</v>
      </c>
      <c r="E283" s="32" t="s">
        <v>29</v>
      </c>
      <c r="F283" s="32" t="s">
        <v>710</v>
      </c>
      <c r="G283" s="32" t="s">
        <v>184</v>
      </c>
      <c r="H283" s="32" t="s">
        <v>354</v>
      </c>
      <c r="I283" s="31" t="s">
        <v>711</v>
      </c>
      <c r="J283" s="31">
        <v>99</v>
      </c>
      <c r="K283" s="33" t="s">
        <v>955</v>
      </c>
      <c r="L283" s="33" t="s">
        <v>39</v>
      </c>
      <c r="M283" s="34" t="s">
        <v>39</v>
      </c>
      <c r="N283" s="34" t="s">
        <v>1733</v>
      </c>
      <c r="O283" s="35">
        <v>1</v>
      </c>
      <c r="P283" s="35">
        <v>1</v>
      </c>
      <c r="Q283" s="32"/>
      <c r="S283" s="1">
        <f t="shared" si="209"/>
        <v>0</v>
      </c>
      <c r="T283" s="1">
        <f t="shared" si="210"/>
        <v>0</v>
      </c>
      <c r="U283" s="1">
        <f t="shared" si="211"/>
        <v>0</v>
      </c>
      <c r="V283" s="1">
        <f t="shared" si="212"/>
        <v>0</v>
      </c>
      <c r="W283" s="1">
        <f t="shared" si="213"/>
        <v>0</v>
      </c>
      <c r="X283" s="1">
        <f t="shared" si="214"/>
        <v>0</v>
      </c>
      <c r="Y283" s="1">
        <f t="shared" si="215"/>
        <v>0</v>
      </c>
      <c r="Z283" s="1">
        <f t="shared" si="216"/>
        <v>0</v>
      </c>
      <c r="AA283" s="1">
        <f t="shared" si="217"/>
        <v>0</v>
      </c>
      <c r="AB283" s="1">
        <f t="shared" si="218"/>
        <v>0</v>
      </c>
      <c r="AD283" s="1">
        <f t="shared" si="219"/>
        <v>1</v>
      </c>
      <c r="AE283" s="1">
        <f t="shared" si="220"/>
        <v>0</v>
      </c>
      <c r="AF283" s="1">
        <f t="shared" si="205"/>
        <v>1</v>
      </c>
      <c r="AG283" s="1">
        <f t="shared" si="206"/>
        <v>0</v>
      </c>
      <c r="AH283" s="1">
        <f t="shared" si="207"/>
        <v>1</v>
      </c>
      <c r="AI283" s="1">
        <f t="shared" si="208"/>
        <v>0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536</v>
      </c>
      <c r="E284" s="32" t="s">
        <v>34</v>
      </c>
      <c r="F284" s="32" t="s">
        <v>537</v>
      </c>
      <c r="G284" s="32" t="s">
        <v>220</v>
      </c>
      <c r="H284" s="32" t="s">
        <v>354</v>
      </c>
      <c r="I284" s="31" t="s">
        <v>538</v>
      </c>
      <c r="J284" s="31">
        <v>8</v>
      </c>
      <c r="K284" s="33" t="s">
        <v>713</v>
      </c>
      <c r="L284" s="33" t="s">
        <v>713</v>
      </c>
      <c r="M284" s="34" t="s">
        <v>714</v>
      </c>
      <c r="N284" s="34" t="s">
        <v>1748</v>
      </c>
      <c r="O284" s="35">
        <v>1</v>
      </c>
      <c r="P284" s="35"/>
      <c r="Q284" s="32"/>
      <c r="S284" s="1">
        <f t="shared" si="209"/>
        <v>0</v>
      </c>
      <c r="T284" s="1">
        <f t="shared" si="210"/>
        <v>0</v>
      </c>
      <c r="U284" s="1">
        <f t="shared" si="211"/>
        <v>0</v>
      </c>
      <c r="V284" s="1">
        <f t="shared" si="212"/>
        <v>0</v>
      </c>
      <c r="W284" s="1">
        <f t="shared" si="213"/>
        <v>0</v>
      </c>
      <c r="X284" s="1">
        <f t="shared" si="214"/>
        <v>0</v>
      </c>
      <c r="Y284" s="1">
        <f t="shared" si="215"/>
        <v>0</v>
      </c>
      <c r="Z284" s="1">
        <f t="shared" si="216"/>
        <v>1</v>
      </c>
      <c r="AA284" s="1">
        <f t="shared" si="217"/>
        <v>0</v>
      </c>
      <c r="AB284" s="1">
        <f t="shared" si="218"/>
        <v>0</v>
      </c>
      <c r="AD284" s="1">
        <f t="shared" si="219"/>
        <v>0</v>
      </c>
      <c r="AE284" s="1">
        <f t="shared" si="220"/>
        <v>1</v>
      </c>
      <c r="AF284" s="1">
        <f t="shared" si="205"/>
        <v>0</v>
      </c>
      <c r="AG284" s="1">
        <f t="shared" si="206"/>
        <v>1</v>
      </c>
      <c r="AH284" s="1">
        <f t="shared" si="207"/>
        <v>0</v>
      </c>
      <c r="AI284" s="1">
        <f t="shared" si="208"/>
        <v>1</v>
      </c>
    </row>
    <row r="285" spans="1:35" ht="14.25" customHeight="1" x14ac:dyDescent="0.25">
      <c r="A285" s="31">
        <v>0</v>
      </c>
      <c r="B285" s="31">
        <v>2</v>
      </c>
      <c r="C285" s="31">
        <v>1</v>
      </c>
      <c r="D285" s="32" t="s">
        <v>1290</v>
      </c>
      <c r="E285" s="32" t="s">
        <v>561</v>
      </c>
      <c r="F285" s="32" t="s">
        <v>1291</v>
      </c>
      <c r="G285" s="32" t="s">
        <v>230</v>
      </c>
      <c r="H285" s="32" t="s">
        <v>354</v>
      </c>
      <c r="I285" s="31" t="s">
        <v>1292</v>
      </c>
      <c r="J285" s="31">
        <v>7</v>
      </c>
      <c r="K285" s="33" t="s">
        <v>713</v>
      </c>
      <c r="L285" s="33" t="s">
        <v>713</v>
      </c>
      <c r="M285" s="34" t="s">
        <v>714</v>
      </c>
      <c r="N285" s="34" t="s">
        <v>1756</v>
      </c>
      <c r="O285" s="35">
        <v>1</v>
      </c>
      <c r="P285" s="35"/>
      <c r="Q285" s="32"/>
      <c r="S285" s="1">
        <f t="shared" si="209"/>
        <v>0</v>
      </c>
      <c r="T285" s="1">
        <f t="shared" si="210"/>
        <v>0</v>
      </c>
      <c r="U285" s="1">
        <f t="shared" si="211"/>
        <v>0</v>
      </c>
      <c r="V285" s="1">
        <f t="shared" si="212"/>
        <v>0</v>
      </c>
      <c r="W285" s="1">
        <f t="shared" si="213"/>
        <v>0</v>
      </c>
      <c r="X285" s="1">
        <f t="shared" si="214"/>
        <v>0</v>
      </c>
      <c r="Y285" s="1">
        <f t="shared" si="215"/>
        <v>1</v>
      </c>
      <c r="Z285" s="1">
        <f t="shared" si="216"/>
        <v>0</v>
      </c>
      <c r="AA285" s="1">
        <f t="shared" si="217"/>
        <v>0</v>
      </c>
      <c r="AB285" s="1">
        <f t="shared" si="218"/>
        <v>0</v>
      </c>
      <c r="AD285" s="1">
        <f t="shared" si="219"/>
        <v>0</v>
      </c>
      <c r="AE285" s="1">
        <f t="shared" si="220"/>
        <v>1</v>
      </c>
      <c r="AF285" s="1">
        <f t="shared" si="205"/>
        <v>0</v>
      </c>
      <c r="AG285" s="1">
        <f t="shared" si="206"/>
        <v>1</v>
      </c>
      <c r="AH285" s="1">
        <f t="shared" si="207"/>
        <v>0</v>
      </c>
      <c r="AI285" s="1">
        <f t="shared" si="208"/>
        <v>1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1326</v>
      </c>
      <c r="E286" s="32" t="s">
        <v>561</v>
      </c>
      <c r="F286" s="32" t="s">
        <v>1988</v>
      </c>
      <c r="G286" s="32" t="s">
        <v>213</v>
      </c>
      <c r="H286" s="32" t="s">
        <v>354</v>
      </c>
      <c r="I286" s="31" t="s">
        <v>1156</v>
      </c>
      <c r="J286" s="31">
        <v>1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209"/>
        <v>1</v>
      </c>
      <c r="T286" s="1">
        <f t="shared" si="210"/>
        <v>0</v>
      </c>
      <c r="U286" s="1">
        <f t="shared" si="211"/>
        <v>0</v>
      </c>
      <c r="V286" s="1">
        <f t="shared" si="212"/>
        <v>0</v>
      </c>
      <c r="W286" s="1">
        <f t="shared" si="213"/>
        <v>0</v>
      </c>
      <c r="X286" s="1">
        <f t="shared" si="214"/>
        <v>0</v>
      </c>
      <c r="Y286" s="1">
        <f t="shared" si="215"/>
        <v>0</v>
      </c>
      <c r="Z286" s="1">
        <f t="shared" si="216"/>
        <v>0</v>
      </c>
      <c r="AA286" s="1">
        <f t="shared" si="217"/>
        <v>0</v>
      </c>
      <c r="AB286" s="1">
        <f t="shared" si="218"/>
        <v>0</v>
      </c>
      <c r="AD286" s="1">
        <f t="shared" si="219"/>
        <v>0</v>
      </c>
      <c r="AE286" s="1">
        <f t="shared" si="220"/>
        <v>1</v>
      </c>
      <c r="AF286" s="1">
        <f t="shared" si="205"/>
        <v>0</v>
      </c>
      <c r="AG286" s="1">
        <f t="shared" si="206"/>
        <v>1</v>
      </c>
      <c r="AH286" s="1">
        <f t="shared" si="207"/>
        <v>0</v>
      </c>
      <c r="AI286" s="1">
        <f t="shared" si="208"/>
        <v>1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1327</v>
      </c>
      <c r="E287" s="32" t="s">
        <v>561</v>
      </c>
      <c r="F287" s="32" t="s">
        <v>1151</v>
      </c>
      <c r="G287" s="32" t="s">
        <v>285</v>
      </c>
      <c r="H287" s="32" t="s">
        <v>354</v>
      </c>
      <c r="I287" s="31" t="s">
        <v>1152</v>
      </c>
      <c r="J287" s="31">
        <v>10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09"/>
        <v>0</v>
      </c>
      <c r="T287" s="1">
        <f t="shared" si="210"/>
        <v>0</v>
      </c>
      <c r="U287" s="1">
        <f t="shared" si="211"/>
        <v>0</v>
      </c>
      <c r="V287" s="1">
        <f t="shared" si="212"/>
        <v>0</v>
      </c>
      <c r="W287" s="1">
        <f t="shared" si="213"/>
        <v>0</v>
      </c>
      <c r="X287" s="1">
        <f t="shared" si="214"/>
        <v>0</v>
      </c>
      <c r="Y287" s="1">
        <f t="shared" si="215"/>
        <v>0</v>
      </c>
      <c r="Z287" s="1">
        <f t="shared" si="216"/>
        <v>0</v>
      </c>
      <c r="AA287" s="1">
        <f t="shared" si="217"/>
        <v>0</v>
      </c>
      <c r="AB287" s="1">
        <f t="shared" si="218"/>
        <v>1</v>
      </c>
      <c r="AD287" s="1">
        <f t="shared" si="219"/>
        <v>0</v>
      </c>
      <c r="AE287" s="1">
        <f t="shared" si="220"/>
        <v>1</v>
      </c>
      <c r="AF287" s="1">
        <f t="shared" si="205"/>
        <v>0</v>
      </c>
      <c r="AG287" s="1">
        <f t="shared" si="206"/>
        <v>1</v>
      </c>
      <c r="AH287" s="1">
        <f t="shared" si="207"/>
        <v>0</v>
      </c>
      <c r="AI287" s="1">
        <f t="shared" si="208"/>
        <v>1</v>
      </c>
    </row>
    <row r="288" spans="1:35" ht="14.25" customHeight="1" x14ac:dyDescent="0.25">
      <c r="A288" s="15">
        <v>0</v>
      </c>
      <c r="B288" s="15">
        <v>2</v>
      </c>
      <c r="C288" s="15">
        <v>1</v>
      </c>
      <c r="D288" s="16" t="s">
        <v>512</v>
      </c>
      <c r="E288" s="16" t="s">
        <v>34</v>
      </c>
      <c r="F288" s="16" t="s">
        <v>511</v>
      </c>
      <c r="G288" s="16" t="s">
        <v>546</v>
      </c>
      <c r="H288" s="16" t="s">
        <v>354</v>
      </c>
      <c r="I288" s="15" t="s">
        <v>1364</v>
      </c>
      <c r="J288" s="15">
        <v>99</v>
      </c>
      <c r="K288" s="10" t="s">
        <v>955</v>
      </c>
      <c r="L288" s="10" t="s">
        <v>713</v>
      </c>
      <c r="M288" s="19" t="s">
        <v>714</v>
      </c>
      <c r="N288" s="19"/>
      <c r="Q288" s="20" t="s">
        <v>2013</v>
      </c>
      <c r="S288" s="1">
        <f t="shared" si="209"/>
        <v>0</v>
      </c>
      <c r="T288" s="1">
        <f t="shared" si="210"/>
        <v>0</v>
      </c>
      <c r="U288" s="1">
        <f t="shared" si="211"/>
        <v>0</v>
      </c>
      <c r="V288" s="1">
        <f t="shared" si="212"/>
        <v>0</v>
      </c>
      <c r="W288" s="1">
        <f t="shared" si="213"/>
        <v>0</v>
      </c>
      <c r="X288" s="1">
        <f t="shared" si="214"/>
        <v>0</v>
      </c>
      <c r="Y288" s="1">
        <f t="shared" si="215"/>
        <v>0</v>
      </c>
      <c r="Z288" s="1">
        <f t="shared" si="216"/>
        <v>0</v>
      </c>
      <c r="AA288" s="1">
        <f t="shared" si="217"/>
        <v>0</v>
      </c>
      <c r="AB288" s="1">
        <f t="shared" si="218"/>
        <v>0</v>
      </c>
      <c r="AD288" s="1">
        <f t="shared" si="219"/>
        <v>0</v>
      </c>
      <c r="AE288" s="1">
        <f t="shared" si="220"/>
        <v>0</v>
      </c>
      <c r="AF288" s="1">
        <f t="shared" si="205"/>
        <v>0</v>
      </c>
      <c r="AG288" s="1">
        <f t="shared" si="206"/>
        <v>0</v>
      </c>
      <c r="AH288" s="1">
        <f t="shared" si="207"/>
        <v>0</v>
      </c>
      <c r="AI288" s="1">
        <f t="shared" si="208"/>
        <v>1</v>
      </c>
    </row>
    <row r="289" spans="1:35" ht="14.25" customHeight="1" x14ac:dyDescent="0.25">
      <c r="A289" s="38">
        <v>0</v>
      </c>
      <c r="B289" s="38">
        <v>2</v>
      </c>
      <c r="C289" s="38">
        <v>1</v>
      </c>
      <c r="D289" s="39" t="s">
        <v>1042</v>
      </c>
      <c r="E289" s="39" t="s">
        <v>36</v>
      </c>
      <c r="F289" s="39" t="s">
        <v>1659</v>
      </c>
      <c r="G289" s="39" t="s">
        <v>628</v>
      </c>
      <c r="H289" s="39" t="s">
        <v>354</v>
      </c>
      <c r="I289" s="38" t="s">
        <v>1043</v>
      </c>
      <c r="J289" s="38">
        <v>99</v>
      </c>
      <c r="K289" s="40" t="s">
        <v>959</v>
      </c>
      <c r="L289" s="40" t="s">
        <v>713</v>
      </c>
      <c r="M289" s="41" t="s">
        <v>714</v>
      </c>
      <c r="N289" s="42"/>
      <c r="O289" s="43"/>
      <c r="P289" s="43">
        <v>1</v>
      </c>
      <c r="Q289" s="54" t="s">
        <v>1899</v>
      </c>
      <c r="S289" s="1">
        <f t="shared" si="209"/>
        <v>0</v>
      </c>
      <c r="T289" s="1">
        <f t="shared" si="210"/>
        <v>0</v>
      </c>
      <c r="U289" s="1">
        <f t="shared" si="211"/>
        <v>0</v>
      </c>
      <c r="V289" s="1">
        <f t="shared" si="212"/>
        <v>0</v>
      </c>
      <c r="W289" s="1">
        <f t="shared" si="213"/>
        <v>0</v>
      </c>
      <c r="X289" s="1">
        <f t="shared" si="214"/>
        <v>0</v>
      </c>
      <c r="Y289" s="1">
        <f t="shared" si="215"/>
        <v>0</v>
      </c>
      <c r="Z289" s="1">
        <f t="shared" si="216"/>
        <v>0</v>
      </c>
      <c r="AA289" s="1">
        <f t="shared" si="217"/>
        <v>0</v>
      </c>
      <c r="AB289" s="1">
        <f t="shared" si="218"/>
        <v>0</v>
      </c>
      <c r="AD289" s="1">
        <f t="shared" si="219"/>
        <v>0</v>
      </c>
      <c r="AE289" s="1">
        <f t="shared" si="220"/>
        <v>0</v>
      </c>
      <c r="AF289" s="1">
        <f t="shared" si="205"/>
        <v>0</v>
      </c>
      <c r="AG289" s="1">
        <f t="shared" si="206"/>
        <v>0</v>
      </c>
      <c r="AH289" s="1">
        <f t="shared" si="207"/>
        <v>1</v>
      </c>
      <c r="AI289" s="1">
        <f t="shared" si="208"/>
        <v>0</v>
      </c>
    </row>
    <row r="290" spans="1:35" ht="14.25" customHeight="1" x14ac:dyDescent="0.25">
      <c r="A290" s="31">
        <v>1</v>
      </c>
      <c r="B290" s="31">
        <v>2</v>
      </c>
      <c r="C290" s="31">
        <v>1</v>
      </c>
      <c r="D290" s="32" t="s">
        <v>49</v>
      </c>
      <c r="E290" s="32" t="s">
        <v>1314</v>
      </c>
      <c r="F290" s="32" t="s">
        <v>191</v>
      </c>
      <c r="G290" s="32" t="s">
        <v>192</v>
      </c>
      <c r="H290" s="32" t="s">
        <v>354</v>
      </c>
      <c r="I290" s="31" t="s">
        <v>386</v>
      </c>
      <c r="J290" s="31">
        <v>99</v>
      </c>
      <c r="K290" s="33" t="s">
        <v>712</v>
      </c>
      <c r="L290" s="33" t="s">
        <v>713</v>
      </c>
      <c r="M290" s="34" t="s">
        <v>714</v>
      </c>
      <c r="N290" s="34" t="s">
        <v>1756</v>
      </c>
      <c r="O290" s="35">
        <v>1</v>
      </c>
      <c r="P290" s="35"/>
      <c r="Q290" s="32"/>
      <c r="S290" s="1">
        <f t="shared" si="209"/>
        <v>0</v>
      </c>
      <c r="T290" s="1">
        <f t="shared" si="210"/>
        <v>0</v>
      </c>
      <c r="U290" s="1">
        <f t="shared" si="211"/>
        <v>0</v>
      </c>
      <c r="V290" s="1">
        <f t="shared" si="212"/>
        <v>0</v>
      </c>
      <c r="W290" s="1">
        <f t="shared" si="213"/>
        <v>0</v>
      </c>
      <c r="X290" s="1">
        <f t="shared" si="214"/>
        <v>0</v>
      </c>
      <c r="Y290" s="1">
        <f t="shared" si="215"/>
        <v>0</v>
      </c>
      <c r="Z290" s="1">
        <f t="shared" si="216"/>
        <v>0</v>
      </c>
      <c r="AA290" s="1">
        <f t="shared" si="217"/>
        <v>0</v>
      </c>
      <c r="AB290" s="1">
        <f t="shared" si="218"/>
        <v>0</v>
      </c>
      <c r="AD290" s="1">
        <f t="shared" si="219"/>
        <v>0</v>
      </c>
      <c r="AE290" s="1">
        <f t="shared" si="220"/>
        <v>1</v>
      </c>
      <c r="AF290" s="1">
        <f t="shared" si="205"/>
        <v>0</v>
      </c>
      <c r="AG290" s="1">
        <f t="shared" si="206"/>
        <v>0</v>
      </c>
      <c r="AH290" s="1">
        <f t="shared" si="207"/>
        <v>0</v>
      </c>
      <c r="AI290" s="1">
        <f t="shared" si="208"/>
        <v>0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1074</v>
      </c>
      <c r="E291" s="32" t="s">
        <v>1314</v>
      </c>
      <c r="F291" s="32" t="s">
        <v>1089</v>
      </c>
      <c r="G291" s="32" t="s">
        <v>202</v>
      </c>
      <c r="H291" s="32" t="s">
        <v>354</v>
      </c>
      <c r="I291" s="31" t="s">
        <v>386</v>
      </c>
      <c r="J291" s="31">
        <v>10</v>
      </c>
      <c r="K291" s="33" t="s">
        <v>712</v>
      </c>
      <c r="L291" s="33" t="s">
        <v>713</v>
      </c>
      <c r="M291" s="34" t="s">
        <v>714</v>
      </c>
      <c r="N291" s="34" t="s">
        <v>1756</v>
      </c>
      <c r="O291" s="35">
        <v>1</v>
      </c>
      <c r="P291" s="35"/>
      <c r="Q291" s="32"/>
      <c r="S291" s="1">
        <f t="shared" si="209"/>
        <v>0</v>
      </c>
      <c r="T291" s="1">
        <f t="shared" si="210"/>
        <v>0</v>
      </c>
      <c r="U291" s="1">
        <f t="shared" si="211"/>
        <v>0</v>
      </c>
      <c r="V291" s="1">
        <f t="shared" si="212"/>
        <v>0</v>
      </c>
      <c r="W291" s="1">
        <f t="shared" si="213"/>
        <v>0</v>
      </c>
      <c r="X291" s="1">
        <f t="shared" si="214"/>
        <v>0</v>
      </c>
      <c r="Y291" s="1">
        <f t="shared" si="215"/>
        <v>0</v>
      </c>
      <c r="Z291" s="1">
        <f t="shared" si="216"/>
        <v>0</v>
      </c>
      <c r="AA291" s="1">
        <f t="shared" si="217"/>
        <v>0</v>
      </c>
      <c r="AB291" s="1">
        <f t="shared" si="218"/>
        <v>1</v>
      </c>
      <c r="AD291" s="1">
        <f t="shared" si="219"/>
        <v>0</v>
      </c>
      <c r="AE291" s="1">
        <f t="shared" si="220"/>
        <v>1</v>
      </c>
      <c r="AF291" s="1">
        <f t="shared" si="205"/>
        <v>0</v>
      </c>
      <c r="AG291" s="1">
        <f t="shared" si="206"/>
        <v>1</v>
      </c>
      <c r="AH291" s="1">
        <f t="shared" si="207"/>
        <v>0</v>
      </c>
      <c r="AI291" s="1">
        <f t="shared" si="208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1273</v>
      </c>
      <c r="E292" s="32" t="s">
        <v>561</v>
      </c>
      <c r="F292" s="32" t="s">
        <v>1274</v>
      </c>
      <c r="G292" s="32" t="s">
        <v>258</v>
      </c>
      <c r="H292" s="32" t="s">
        <v>354</v>
      </c>
      <c r="I292" s="31" t="s">
        <v>1275</v>
      </c>
      <c r="J292" s="31">
        <v>8</v>
      </c>
      <c r="K292" s="33" t="s">
        <v>954</v>
      </c>
      <c r="L292" s="33" t="s">
        <v>713</v>
      </c>
      <c r="M292" s="34" t="s">
        <v>714</v>
      </c>
      <c r="N292" s="34" t="s">
        <v>1748</v>
      </c>
      <c r="O292" s="35">
        <v>1</v>
      </c>
      <c r="P292" s="35"/>
      <c r="Q292" s="32"/>
      <c r="S292" s="1">
        <f t="shared" si="209"/>
        <v>0</v>
      </c>
      <c r="T292" s="1">
        <f t="shared" si="210"/>
        <v>0</v>
      </c>
      <c r="U292" s="1">
        <f t="shared" si="211"/>
        <v>0</v>
      </c>
      <c r="V292" s="1">
        <f t="shared" si="212"/>
        <v>0</v>
      </c>
      <c r="W292" s="1">
        <f t="shared" si="213"/>
        <v>0</v>
      </c>
      <c r="X292" s="1">
        <f t="shared" si="214"/>
        <v>0</v>
      </c>
      <c r="Y292" s="1">
        <f t="shared" si="215"/>
        <v>0</v>
      </c>
      <c r="Z292" s="1">
        <f t="shared" si="216"/>
        <v>1</v>
      </c>
      <c r="AA292" s="1">
        <f t="shared" si="217"/>
        <v>0</v>
      </c>
      <c r="AB292" s="1">
        <f t="shared" si="218"/>
        <v>0</v>
      </c>
      <c r="AD292" s="1">
        <f t="shared" si="219"/>
        <v>0</v>
      </c>
      <c r="AE292" s="1">
        <f t="shared" si="220"/>
        <v>1</v>
      </c>
      <c r="AF292" s="1">
        <f t="shared" si="205"/>
        <v>0</v>
      </c>
      <c r="AG292" s="1">
        <f t="shared" si="206"/>
        <v>1</v>
      </c>
      <c r="AH292" s="1">
        <f t="shared" si="207"/>
        <v>0</v>
      </c>
      <c r="AI292" s="1">
        <f t="shared" si="208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48</v>
      </c>
      <c r="E293" s="45" t="s">
        <v>578</v>
      </c>
      <c r="F293" s="45" t="s">
        <v>189</v>
      </c>
      <c r="G293" s="45" t="s">
        <v>300</v>
      </c>
      <c r="H293" s="45" t="s">
        <v>354</v>
      </c>
      <c r="I293" s="44" t="s">
        <v>385</v>
      </c>
      <c r="J293" s="44">
        <v>99</v>
      </c>
      <c r="K293" s="46" t="s">
        <v>713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209"/>
        <v>0</v>
      </c>
      <c r="T293" s="1">
        <f t="shared" si="210"/>
        <v>0</v>
      </c>
      <c r="U293" s="1">
        <f t="shared" si="211"/>
        <v>0</v>
      </c>
      <c r="V293" s="1">
        <f t="shared" si="212"/>
        <v>0</v>
      </c>
      <c r="W293" s="1">
        <f t="shared" si="213"/>
        <v>0</v>
      </c>
      <c r="X293" s="1">
        <f t="shared" si="214"/>
        <v>0</v>
      </c>
      <c r="Y293" s="1">
        <f t="shared" si="215"/>
        <v>0</v>
      </c>
      <c r="Z293" s="1">
        <f t="shared" si="216"/>
        <v>0</v>
      </c>
      <c r="AA293" s="1">
        <f t="shared" si="217"/>
        <v>0</v>
      </c>
      <c r="AB293" s="1">
        <f t="shared" si="218"/>
        <v>0</v>
      </c>
      <c r="AD293" s="1">
        <f t="shared" si="219"/>
        <v>0</v>
      </c>
      <c r="AE293" s="1">
        <f t="shared" si="220"/>
        <v>0</v>
      </c>
      <c r="AF293" s="1">
        <f t="shared" si="205"/>
        <v>0</v>
      </c>
      <c r="AG293" s="1">
        <f t="shared" si="206"/>
        <v>0</v>
      </c>
      <c r="AH293" s="1">
        <f t="shared" si="207"/>
        <v>0</v>
      </c>
      <c r="AI293" s="1">
        <f t="shared" si="208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57</v>
      </c>
      <c r="E294" s="32" t="s">
        <v>162</v>
      </c>
      <c r="F294" s="32" t="s">
        <v>666</v>
      </c>
      <c r="G294" s="32" t="s">
        <v>221</v>
      </c>
      <c r="H294" s="32" t="s">
        <v>354</v>
      </c>
      <c r="I294" s="31" t="s">
        <v>396</v>
      </c>
      <c r="J294" s="31">
        <v>99</v>
      </c>
      <c r="K294" s="33" t="s">
        <v>961</v>
      </c>
      <c r="L294" s="33" t="s">
        <v>713</v>
      </c>
      <c r="M294" s="34" t="s">
        <v>714</v>
      </c>
      <c r="N294" s="34" t="s">
        <v>1743</v>
      </c>
      <c r="O294" s="35">
        <v>1</v>
      </c>
      <c r="P294" s="35"/>
      <c r="Q294" s="32"/>
      <c r="S294" s="1">
        <f t="shared" si="209"/>
        <v>0</v>
      </c>
      <c r="T294" s="1">
        <f t="shared" si="210"/>
        <v>0</v>
      </c>
      <c r="U294" s="1">
        <f t="shared" si="211"/>
        <v>0</v>
      </c>
      <c r="V294" s="1">
        <f t="shared" si="212"/>
        <v>0</v>
      </c>
      <c r="W294" s="1">
        <f t="shared" si="213"/>
        <v>0</v>
      </c>
      <c r="X294" s="1">
        <f t="shared" si="214"/>
        <v>0</v>
      </c>
      <c r="Y294" s="1">
        <f t="shared" si="215"/>
        <v>0</v>
      </c>
      <c r="Z294" s="1">
        <f t="shared" si="216"/>
        <v>0</v>
      </c>
      <c r="AA294" s="1">
        <f t="shared" si="217"/>
        <v>0</v>
      </c>
      <c r="AB294" s="1">
        <f t="shared" si="218"/>
        <v>0</v>
      </c>
      <c r="AD294" s="1">
        <f t="shared" si="219"/>
        <v>0</v>
      </c>
      <c r="AE294" s="1">
        <f t="shared" si="220"/>
        <v>1</v>
      </c>
      <c r="AF294" s="1">
        <f t="shared" si="205"/>
        <v>0</v>
      </c>
      <c r="AG294" s="1">
        <f t="shared" si="206"/>
        <v>1</v>
      </c>
      <c r="AH294" s="1">
        <f t="shared" si="207"/>
        <v>0</v>
      </c>
      <c r="AI294" s="1">
        <f t="shared" si="208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515</v>
      </c>
      <c r="E295" s="32" t="s">
        <v>561</v>
      </c>
      <c r="F295" s="32" t="s">
        <v>229</v>
      </c>
      <c r="G295" s="32" t="s">
        <v>230</v>
      </c>
      <c r="H295" s="32" t="s">
        <v>354</v>
      </c>
      <c r="I295" s="31" t="s">
        <v>400</v>
      </c>
      <c r="J295" s="31">
        <v>7</v>
      </c>
      <c r="K295" s="33" t="s">
        <v>954</v>
      </c>
      <c r="L295" s="33" t="s">
        <v>713</v>
      </c>
      <c r="M295" s="34" t="s">
        <v>714</v>
      </c>
      <c r="N295" s="34" t="s">
        <v>1749</v>
      </c>
      <c r="O295" s="35">
        <v>1</v>
      </c>
      <c r="P295" s="35"/>
      <c r="Q295" s="32"/>
      <c r="S295" s="1">
        <f t="shared" si="209"/>
        <v>0</v>
      </c>
      <c r="T295" s="1">
        <f t="shared" si="210"/>
        <v>0</v>
      </c>
      <c r="U295" s="1">
        <f t="shared" si="211"/>
        <v>0</v>
      </c>
      <c r="V295" s="1">
        <f t="shared" si="212"/>
        <v>0</v>
      </c>
      <c r="W295" s="1">
        <f t="shared" si="213"/>
        <v>0</v>
      </c>
      <c r="X295" s="1">
        <f t="shared" si="214"/>
        <v>0</v>
      </c>
      <c r="Y295" s="1">
        <f t="shared" si="215"/>
        <v>1</v>
      </c>
      <c r="Z295" s="1">
        <f t="shared" si="216"/>
        <v>0</v>
      </c>
      <c r="AA295" s="1">
        <f t="shared" si="217"/>
        <v>0</v>
      </c>
      <c r="AB295" s="1">
        <f t="shared" si="218"/>
        <v>0</v>
      </c>
      <c r="AD295" s="1">
        <f t="shared" si="219"/>
        <v>0</v>
      </c>
      <c r="AE295" s="1">
        <f t="shared" si="220"/>
        <v>1</v>
      </c>
      <c r="AF295" s="1">
        <f t="shared" si="205"/>
        <v>0</v>
      </c>
      <c r="AG295" s="1">
        <f t="shared" si="206"/>
        <v>1</v>
      </c>
      <c r="AH295" s="1">
        <f t="shared" si="207"/>
        <v>0</v>
      </c>
      <c r="AI295" s="1">
        <f t="shared" si="208"/>
        <v>1</v>
      </c>
    </row>
    <row r="296" spans="1:35" ht="14.25" customHeight="1" x14ac:dyDescent="0.25">
      <c r="A296" s="44">
        <v>0</v>
      </c>
      <c r="B296" s="44">
        <v>2</v>
      </c>
      <c r="C296" s="44">
        <v>1</v>
      </c>
      <c r="D296" s="45" t="s">
        <v>560</v>
      </c>
      <c r="E296" s="45" t="s">
        <v>561</v>
      </c>
      <c r="F296" s="45" t="s">
        <v>562</v>
      </c>
      <c r="G296" s="45" t="s">
        <v>208</v>
      </c>
      <c r="H296" s="45" t="s">
        <v>354</v>
      </c>
      <c r="I296" s="44" t="s">
        <v>563</v>
      </c>
      <c r="J296" s="44">
        <v>3</v>
      </c>
      <c r="K296" s="46" t="s">
        <v>712</v>
      </c>
      <c r="L296" s="46" t="s">
        <v>713</v>
      </c>
      <c r="M296" s="47" t="s">
        <v>714</v>
      </c>
      <c r="N296" s="47" t="s">
        <v>1747</v>
      </c>
      <c r="O296" s="48"/>
      <c r="P296" s="48"/>
      <c r="Q296" s="45"/>
      <c r="S296" s="1">
        <f t="shared" si="209"/>
        <v>0</v>
      </c>
      <c r="T296" s="1">
        <f t="shared" si="210"/>
        <v>0</v>
      </c>
      <c r="U296" s="1">
        <f t="shared" si="211"/>
        <v>1</v>
      </c>
      <c r="V296" s="1">
        <f t="shared" si="212"/>
        <v>0</v>
      </c>
      <c r="W296" s="1">
        <f t="shared" si="213"/>
        <v>0</v>
      </c>
      <c r="X296" s="1">
        <f t="shared" si="214"/>
        <v>0</v>
      </c>
      <c r="Y296" s="1">
        <f t="shared" si="215"/>
        <v>0</v>
      </c>
      <c r="Z296" s="1">
        <f t="shared" si="216"/>
        <v>0</v>
      </c>
      <c r="AA296" s="1">
        <f t="shared" si="217"/>
        <v>0</v>
      </c>
      <c r="AB296" s="1">
        <f t="shared" si="218"/>
        <v>0</v>
      </c>
      <c r="AD296" s="1">
        <f t="shared" si="219"/>
        <v>0</v>
      </c>
      <c r="AE296" s="1">
        <f t="shared" si="220"/>
        <v>0</v>
      </c>
      <c r="AF296" s="1">
        <f t="shared" si="205"/>
        <v>0</v>
      </c>
      <c r="AG296" s="1">
        <f t="shared" si="206"/>
        <v>0</v>
      </c>
      <c r="AH296" s="1">
        <f t="shared" si="207"/>
        <v>0</v>
      </c>
      <c r="AI296" s="1">
        <f t="shared" si="208"/>
        <v>1</v>
      </c>
    </row>
    <row r="297" spans="1:35" ht="14.25" customHeight="1" x14ac:dyDescent="0.25">
      <c r="A297" s="37">
        <v>0</v>
      </c>
      <c r="B297" s="37">
        <v>2</v>
      </c>
      <c r="C297" s="37">
        <v>1</v>
      </c>
      <c r="D297" s="36" t="s">
        <v>1053</v>
      </c>
      <c r="E297" s="36" t="s">
        <v>32</v>
      </c>
      <c r="F297" s="36" t="s">
        <v>1277</v>
      </c>
      <c r="G297" s="36" t="s">
        <v>535</v>
      </c>
      <c r="H297" s="36" t="s">
        <v>354</v>
      </c>
      <c r="I297" s="37" t="s">
        <v>1278</v>
      </c>
      <c r="J297" s="37">
        <v>6</v>
      </c>
      <c r="K297" s="56" t="s">
        <v>713</v>
      </c>
      <c r="L297" s="33" t="s">
        <v>713</v>
      </c>
      <c r="M297" s="34" t="s">
        <v>714</v>
      </c>
      <c r="N297" s="34" t="s">
        <v>1748</v>
      </c>
      <c r="O297" s="35">
        <v>1</v>
      </c>
      <c r="P297" s="35"/>
      <c r="Q297" s="36"/>
      <c r="S297" s="1">
        <f t="shared" si="209"/>
        <v>0</v>
      </c>
      <c r="T297" s="1">
        <f t="shared" si="210"/>
        <v>0</v>
      </c>
      <c r="U297" s="1">
        <f t="shared" si="211"/>
        <v>0</v>
      </c>
      <c r="V297" s="1">
        <f t="shared" si="212"/>
        <v>0</v>
      </c>
      <c r="W297" s="1">
        <f t="shared" si="213"/>
        <v>0</v>
      </c>
      <c r="X297" s="1">
        <f t="shared" si="214"/>
        <v>1</v>
      </c>
      <c r="Y297" s="1">
        <f t="shared" si="215"/>
        <v>0</v>
      </c>
      <c r="Z297" s="1">
        <f t="shared" si="216"/>
        <v>0</v>
      </c>
      <c r="AA297" s="1">
        <f t="shared" si="217"/>
        <v>0</v>
      </c>
      <c r="AB297" s="1">
        <f t="shared" si="218"/>
        <v>0</v>
      </c>
      <c r="AD297" s="1">
        <f t="shared" si="219"/>
        <v>0</v>
      </c>
      <c r="AE297" s="1">
        <f t="shared" si="220"/>
        <v>1</v>
      </c>
      <c r="AF297" s="1">
        <f t="shared" si="205"/>
        <v>0</v>
      </c>
      <c r="AG297" s="1">
        <f t="shared" si="206"/>
        <v>1</v>
      </c>
      <c r="AH297" s="1">
        <f t="shared" si="207"/>
        <v>0</v>
      </c>
      <c r="AI297" s="1">
        <f t="shared" si="208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917</v>
      </c>
      <c r="E298" s="45" t="s">
        <v>1333</v>
      </c>
      <c r="F298" s="45" t="s">
        <v>789</v>
      </c>
      <c r="G298" s="45" t="s">
        <v>257</v>
      </c>
      <c r="H298" s="45" t="s">
        <v>354</v>
      </c>
      <c r="I298" s="44" t="s">
        <v>944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1734</v>
      </c>
      <c r="O298" s="48"/>
      <c r="P298" s="48"/>
      <c r="Q298" s="45"/>
      <c r="S298" s="1">
        <f t="shared" si="209"/>
        <v>0</v>
      </c>
      <c r="T298" s="1">
        <f t="shared" si="210"/>
        <v>0</v>
      </c>
      <c r="U298" s="1">
        <f t="shared" si="211"/>
        <v>0</v>
      </c>
      <c r="V298" s="1">
        <f t="shared" si="212"/>
        <v>0</v>
      </c>
      <c r="W298" s="1">
        <f t="shared" si="213"/>
        <v>0</v>
      </c>
      <c r="X298" s="1">
        <f t="shared" si="214"/>
        <v>0</v>
      </c>
      <c r="Y298" s="1">
        <f t="shared" si="215"/>
        <v>0</v>
      </c>
      <c r="Z298" s="1">
        <f t="shared" si="216"/>
        <v>0</v>
      </c>
      <c r="AA298" s="1">
        <f t="shared" si="217"/>
        <v>0</v>
      </c>
      <c r="AB298" s="1">
        <f t="shared" si="218"/>
        <v>0</v>
      </c>
      <c r="AD298" s="1">
        <f t="shared" si="219"/>
        <v>0</v>
      </c>
      <c r="AE298" s="1">
        <f t="shared" si="220"/>
        <v>0</v>
      </c>
      <c r="AF298" s="1">
        <f t="shared" si="205"/>
        <v>0</v>
      </c>
      <c r="AG298" s="1">
        <f t="shared" si="206"/>
        <v>0</v>
      </c>
      <c r="AH298" s="1">
        <f t="shared" si="207"/>
        <v>0</v>
      </c>
      <c r="AI298" s="1">
        <f t="shared" si="208"/>
        <v>1</v>
      </c>
    </row>
    <row r="299" spans="1:35" ht="14.25" customHeight="1" x14ac:dyDescent="0.25">
      <c r="A299" s="37">
        <v>0</v>
      </c>
      <c r="B299" s="37">
        <v>2</v>
      </c>
      <c r="C299" s="37">
        <v>1</v>
      </c>
      <c r="D299" s="36" t="s">
        <v>1771</v>
      </c>
      <c r="E299" s="36" t="s">
        <v>1772</v>
      </c>
      <c r="F299" s="36" t="s">
        <v>1773</v>
      </c>
      <c r="G299" s="36" t="s">
        <v>180</v>
      </c>
      <c r="H299" s="36" t="s">
        <v>354</v>
      </c>
      <c r="I299" s="37" t="s">
        <v>1774</v>
      </c>
      <c r="J299" s="37"/>
      <c r="K299" s="56" t="s">
        <v>703</v>
      </c>
      <c r="L299" s="33">
        <v>4</v>
      </c>
      <c r="M299" s="34" t="s">
        <v>714</v>
      </c>
      <c r="N299" s="34" t="s">
        <v>1743</v>
      </c>
      <c r="O299" s="35">
        <v>1</v>
      </c>
      <c r="P299" s="35"/>
      <c r="Q299" s="36"/>
      <c r="S299" s="1">
        <f t="shared" si="209"/>
        <v>0</v>
      </c>
      <c r="T299" s="1">
        <f t="shared" si="210"/>
        <v>0</v>
      </c>
      <c r="U299" s="1">
        <f t="shared" si="211"/>
        <v>0</v>
      </c>
      <c r="V299" s="1">
        <f t="shared" si="212"/>
        <v>0</v>
      </c>
      <c r="W299" s="1">
        <f t="shared" si="213"/>
        <v>0</v>
      </c>
      <c r="X299" s="1">
        <f t="shared" si="214"/>
        <v>0</v>
      </c>
      <c r="Y299" s="1">
        <f t="shared" si="215"/>
        <v>0</v>
      </c>
      <c r="Z299" s="1">
        <f t="shared" si="216"/>
        <v>0</v>
      </c>
      <c r="AA299" s="1">
        <f t="shared" si="217"/>
        <v>0</v>
      </c>
      <c r="AB299" s="1">
        <f t="shared" si="218"/>
        <v>0</v>
      </c>
      <c r="AD299" s="1">
        <f t="shared" si="219"/>
        <v>0</v>
      </c>
      <c r="AE299" s="1">
        <f t="shared" si="220"/>
        <v>1</v>
      </c>
      <c r="AF299" s="1">
        <f t="shared" si="205"/>
        <v>0</v>
      </c>
      <c r="AG299" s="1">
        <f t="shared" si="206"/>
        <v>1</v>
      </c>
      <c r="AH299" s="1">
        <f t="shared" si="207"/>
        <v>0</v>
      </c>
      <c r="AI299" s="1">
        <f t="shared" si="208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619</v>
      </c>
      <c r="E300" s="32" t="s">
        <v>620</v>
      </c>
      <c r="F300" s="32" t="s">
        <v>621</v>
      </c>
      <c r="G300" s="32" t="s">
        <v>622</v>
      </c>
      <c r="H300" s="32" t="s">
        <v>354</v>
      </c>
      <c r="I300" s="31" t="s">
        <v>623</v>
      </c>
      <c r="J300" s="31">
        <v>99</v>
      </c>
      <c r="K300" s="33" t="s">
        <v>712</v>
      </c>
      <c r="L300" s="33" t="s">
        <v>713</v>
      </c>
      <c r="M300" s="34" t="s">
        <v>714</v>
      </c>
      <c r="N300" s="34" t="s">
        <v>1756</v>
      </c>
      <c r="O300" s="35">
        <v>1</v>
      </c>
      <c r="P300" s="35"/>
      <c r="Q300" s="32"/>
      <c r="S300" s="1">
        <f t="shared" si="209"/>
        <v>0</v>
      </c>
      <c r="T300" s="1">
        <f t="shared" si="210"/>
        <v>0</v>
      </c>
      <c r="U300" s="1">
        <f t="shared" si="211"/>
        <v>0</v>
      </c>
      <c r="V300" s="1">
        <f t="shared" si="212"/>
        <v>0</v>
      </c>
      <c r="W300" s="1">
        <f t="shared" si="213"/>
        <v>0</v>
      </c>
      <c r="X300" s="1">
        <f t="shared" si="214"/>
        <v>0</v>
      </c>
      <c r="Y300" s="1">
        <f t="shared" si="215"/>
        <v>0</v>
      </c>
      <c r="Z300" s="1">
        <f t="shared" si="216"/>
        <v>0</v>
      </c>
      <c r="AA300" s="1">
        <f t="shared" si="217"/>
        <v>0</v>
      </c>
      <c r="AB300" s="1">
        <f t="shared" si="218"/>
        <v>0</v>
      </c>
      <c r="AD300" s="1">
        <f t="shared" si="219"/>
        <v>0</v>
      </c>
      <c r="AE300" s="1">
        <f t="shared" si="220"/>
        <v>1</v>
      </c>
      <c r="AF300" s="1">
        <f t="shared" si="205"/>
        <v>0</v>
      </c>
      <c r="AG300" s="1">
        <f t="shared" si="206"/>
        <v>1</v>
      </c>
      <c r="AH300" s="1">
        <f t="shared" si="207"/>
        <v>0</v>
      </c>
      <c r="AI300" s="1">
        <f t="shared" si="208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1080</v>
      </c>
      <c r="E301" s="32" t="s">
        <v>1334</v>
      </c>
      <c r="F301" s="32" t="s">
        <v>1663</v>
      </c>
      <c r="G301" s="32" t="s">
        <v>190</v>
      </c>
      <c r="H301" s="32" t="s">
        <v>354</v>
      </c>
      <c r="I301" s="31" t="s">
        <v>1861</v>
      </c>
      <c r="J301" s="31">
        <v>99</v>
      </c>
      <c r="K301" s="33" t="s">
        <v>712</v>
      </c>
      <c r="L301" s="33" t="s">
        <v>713</v>
      </c>
      <c r="M301" s="34" t="s">
        <v>714</v>
      </c>
      <c r="N301" s="34" t="s">
        <v>1743</v>
      </c>
      <c r="O301" s="35">
        <v>1</v>
      </c>
      <c r="P301" s="35"/>
      <c r="Q301" s="32"/>
      <c r="S301" s="1">
        <f t="shared" si="209"/>
        <v>0</v>
      </c>
      <c r="T301" s="1">
        <f t="shared" si="210"/>
        <v>0</v>
      </c>
      <c r="U301" s="1">
        <f t="shared" si="211"/>
        <v>0</v>
      </c>
      <c r="V301" s="1">
        <f t="shared" si="212"/>
        <v>0</v>
      </c>
      <c r="W301" s="1">
        <f t="shared" si="213"/>
        <v>0</v>
      </c>
      <c r="X301" s="1">
        <f t="shared" si="214"/>
        <v>0</v>
      </c>
      <c r="Y301" s="1">
        <f t="shared" si="215"/>
        <v>0</v>
      </c>
      <c r="Z301" s="1">
        <f t="shared" si="216"/>
        <v>0</v>
      </c>
      <c r="AA301" s="1">
        <f t="shared" si="217"/>
        <v>0</v>
      </c>
      <c r="AB301" s="1">
        <f t="shared" si="218"/>
        <v>0</v>
      </c>
      <c r="AD301" s="1">
        <f t="shared" si="219"/>
        <v>0</v>
      </c>
      <c r="AE301" s="1">
        <f t="shared" si="220"/>
        <v>1</v>
      </c>
      <c r="AF301" s="1">
        <f t="shared" si="205"/>
        <v>0</v>
      </c>
      <c r="AG301" s="1">
        <f t="shared" si="206"/>
        <v>1</v>
      </c>
      <c r="AH301" s="1">
        <f t="shared" si="207"/>
        <v>0</v>
      </c>
      <c r="AI301" s="1">
        <f t="shared" si="208"/>
        <v>1</v>
      </c>
    </row>
    <row r="302" spans="1:35" ht="14.25" customHeight="1" x14ac:dyDescent="0.25">
      <c r="A302" s="15">
        <v>0</v>
      </c>
      <c r="B302" s="15">
        <v>2</v>
      </c>
      <c r="C302" s="15">
        <v>1</v>
      </c>
      <c r="D302" s="16" t="s">
        <v>651</v>
      </c>
      <c r="E302" s="16" t="s">
        <v>36</v>
      </c>
      <c r="F302" s="16" t="s">
        <v>667</v>
      </c>
      <c r="G302" s="16" t="s">
        <v>201</v>
      </c>
      <c r="H302" s="16" t="s">
        <v>354</v>
      </c>
      <c r="I302" s="15" t="s">
        <v>1005</v>
      </c>
      <c r="J302" s="15">
        <v>99</v>
      </c>
      <c r="K302" s="10" t="s">
        <v>703</v>
      </c>
      <c r="L302" s="10">
        <v>4</v>
      </c>
      <c r="M302" s="19" t="s">
        <v>714</v>
      </c>
      <c r="N302" s="17"/>
      <c r="Q302" s="16"/>
      <c r="S302" s="1">
        <f t="shared" si="209"/>
        <v>0</v>
      </c>
      <c r="T302" s="1">
        <f t="shared" si="210"/>
        <v>0</v>
      </c>
      <c r="U302" s="1">
        <f t="shared" si="211"/>
        <v>0</v>
      </c>
      <c r="V302" s="1">
        <f t="shared" si="212"/>
        <v>0</v>
      </c>
      <c r="W302" s="1">
        <f t="shared" si="213"/>
        <v>0</v>
      </c>
      <c r="X302" s="1">
        <f t="shared" si="214"/>
        <v>0</v>
      </c>
      <c r="Y302" s="1">
        <f t="shared" si="215"/>
        <v>0</v>
      </c>
      <c r="Z302" s="1">
        <f t="shared" si="216"/>
        <v>0</v>
      </c>
      <c r="AA302" s="1">
        <f t="shared" si="217"/>
        <v>0</v>
      </c>
      <c r="AB302" s="1">
        <f t="shared" si="218"/>
        <v>0</v>
      </c>
      <c r="AD302" s="1">
        <f t="shared" si="219"/>
        <v>0</v>
      </c>
      <c r="AE302" s="1">
        <f t="shared" si="220"/>
        <v>0</v>
      </c>
      <c r="AF302" s="1">
        <f t="shared" si="205"/>
        <v>0</v>
      </c>
      <c r="AG302" s="1">
        <f t="shared" si="206"/>
        <v>0</v>
      </c>
      <c r="AH302" s="1">
        <f t="shared" si="207"/>
        <v>0</v>
      </c>
      <c r="AI302" s="1">
        <f t="shared" si="208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1264</v>
      </c>
      <c r="E303" s="45" t="s">
        <v>1265</v>
      </c>
      <c r="F303" s="45" t="s">
        <v>1266</v>
      </c>
      <c r="G303" s="45" t="s">
        <v>1165</v>
      </c>
      <c r="H303" s="45" t="s">
        <v>354</v>
      </c>
      <c r="I303" s="44" t="s">
        <v>1267</v>
      </c>
      <c r="J303" s="44">
        <v>11</v>
      </c>
      <c r="K303" s="46" t="s">
        <v>703</v>
      </c>
      <c r="L303" s="46">
        <v>6</v>
      </c>
      <c r="M303" s="47" t="s">
        <v>1728</v>
      </c>
      <c r="N303" s="47" t="s">
        <v>1809</v>
      </c>
      <c r="O303" s="48"/>
      <c r="P303" s="48"/>
      <c r="Q303" s="45"/>
      <c r="S303" s="1">
        <f t="shared" si="209"/>
        <v>0</v>
      </c>
      <c r="T303" s="1">
        <f t="shared" si="210"/>
        <v>0</v>
      </c>
      <c r="U303" s="1">
        <f t="shared" si="211"/>
        <v>0</v>
      </c>
      <c r="V303" s="1">
        <f t="shared" si="212"/>
        <v>0</v>
      </c>
      <c r="W303" s="1">
        <f t="shared" si="213"/>
        <v>0</v>
      </c>
      <c r="X303" s="1">
        <f t="shared" si="214"/>
        <v>0</v>
      </c>
      <c r="Y303" s="1">
        <f t="shared" si="215"/>
        <v>0</v>
      </c>
      <c r="Z303" s="1">
        <f t="shared" si="216"/>
        <v>0</v>
      </c>
      <c r="AA303" s="1">
        <f t="shared" si="217"/>
        <v>0</v>
      </c>
      <c r="AB303" s="1">
        <f t="shared" si="218"/>
        <v>0</v>
      </c>
      <c r="AD303" s="1">
        <f t="shared" si="219"/>
        <v>0</v>
      </c>
      <c r="AE303" s="1">
        <f t="shared" si="220"/>
        <v>0</v>
      </c>
      <c r="AF303" s="1">
        <f t="shared" si="205"/>
        <v>0</v>
      </c>
      <c r="AG303" s="1">
        <f t="shared" si="206"/>
        <v>0</v>
      </c>
      <c r="AH303" s="1">
        <f t="shared" si="207"/>
        <v>0</v>
      </c>
      <c r="AI303" s="1">
        <f t="shared" si="208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1123</v>
      </c>
      <c r="E304" s="32" t="s">
        <v>1314</v>
      </c>
      <c r="F304" s="32" t="s">
        <v>1121</v>
      </c>
      <c r="G304" s="32" t="s">
        <v>230</v>
      </c>
      <c r="H304" s="32" t="s">
        <v>354</v>
      </c>
      <c r="I304" s="31" t="s">
        <v>1122</v>
      </c>
      <c r="J304" s="31">
        <v>7</v>
      </c>
      <c r="K304" s="33" t="s">
        <v>713</v>
      </c>
      <c r="L304" s="33" t="s">
        <v>1709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09"/>
        <v>0</v>
      </c>
      <c r="T304" s="1">
        <f t="shared" si="210"/>
        <v>0</v>
      </c>
      <c r="U304" s="1">
        <f t="shared" si="211"/>
        <v>0</v>
      </c>
      <c r="V304" s="1">
        <f t="shared" si="212"/>
        <v>0</v>
      </c>
      <c r="W304" s="1">
        <f t="shared" si="213"/>
        <v>0</v>
      </c>
      <c r="X304" s="1">
        <f t="shared" si="214"/>
        <v>0</v>
      </c>
      <c r="Y304" s="1">
        <f t="shared" si="215"/>
        <v>1</v>
      </c>
      <c r="Z304" s="1">
        <f t="shared" si="216"/>
        <v>0</v>
      </c>
      <c r="AA304" s="1">
        <f t="shared" si="217"/>
        <v>0</v>
      </c>
      <c r="AB304" s="1">
        <f t="shared" si="218"/>
        <v>0</v>
      </c>
      <c r="AD304" s="1">
        <f t="shared" si="219"/>
        <v>0</v>
      </c>
      <c r="AE304" s="1">
        <f t="shared" si="220"/>
        <v>1</v>
      </c>
      <c r="AF304" s="1">
        <f t="shared" si="205"/>
        <v>0</v>
      </c>
      <c r="AG304" s="1">
        <f t="shared" si="206"/>
        <v>1</v>
      </c>
      <c r="AH304" s="1">
        <f t="shared" si="207"/>
        <v>0</v>
      </c>
      <c r="AI304" s="1">
        <f t="shared" si="208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1008</v>
      </c>
      <c r="E305" s="32" t="s">
        <v>1336</v>
      </c>
      <c r="F305" s="32" t="s">
        <v>1009</v>
      </c>
      <c r="G305" s="32" t="s">
        <v>1100</v>
      </c>
      <c r="H305" s="32" t="s">
        <v>354</v>
      </c>
      <c r="I305" s="31" t="s">
        <v>408</v>
      </c>
      <c r="J305" s="31">
        <v>99</v>
      </c>
      <c r="K305" s="33" t="s">
        <v>713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09"/>
        <v>0</v>
      </c>
      <c r="T305" s="1">
        <f t="shared" si="210"/>
        <v>0</v>
      </c>
      <c r="U305" s="1">
        <f t="shared" si="211"/>
        <v>0</v>
      </c>
      <c r="V305" s="1">
        <f t="shared" si="212"/>
        <v>0</v>
      </c>
      <c r="W305" s="1">
        <f t="shared" si="213"/>
        <v>0</v>
      </c>
      <c r="X305" s="1">
        <f t="shared" si="214"/>
        <v>0</v>
      </c>
      <c r="Y305" s="1">
        <f t="shared" si="215"/>
        <v>0</v>
      </c>
      <c r="Z305" s="1">
        <f t="shared" si="216"/>
        <v>0</v>
      </c>
      <c r="AA305" s="1">
        <f t="shared" si="217"/>
        <v>0</v>
      </c>
      <c r="AB305" s="1">
        <f t="shared" si="218"/>
        <v>0</v>
      </c>
      <c r="AD305" s="1">
        <f t="shared" si="219"/>
        <v>0</v>
      </c>
      <c r="AE305" s="1">
        <f t="shared" si="220"/>
        <v>1</v>
      </c>
      <c r="AF305" s="1">
        <f t="shared" si="205"/>
        <v>0</v>
      </c>
      <c r="AG305" s="1">
        <f t="shared" si="206"/>
        <v>1</v>
      </c>
      <c r="AH305" s="1">
        <f t="shared" si="207"/>
        <v>0</v>
      </c>
      <c r="AI305" s="1">
        <f t="shared" si="208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1130</v>
      </c>
      <c r="E306" s="32" t="s">
        <v>561</v>
      </c>
      <c r="F306" s="32" t="s">
        <v>1354</v>
      </c>
      <c r="G306" s="32" t="s">
        <v>265</v>
      </c>
      <c r="H306" s="32" t="s">
        <v>354</v>
      </c>
      <c r="I306" s="31" t="s">
        <v>1131</v>
      </c>
      <c r="J306" s="31">
        <v>8</v>
      </c>
      <c r="K306" s="33" t="s">
        <v>712</v>
      </c>
      <c r="L306" s="33" t="s">
        <v>1709</v>
      </c>
      <c r="M306" s="34" t="s">
        <v>714</v>
      </c>
      <c r="N306" s="34" t="s">
        <v>1748</v>
      </c>
      <c r="O306" s="35">
        <v>1</v>
      </c>
      <c r="P306" s="35"/>
      <c r="Q306" s="32"/>
      <c r="S306" s="1">
        <f t="shared" si="209"/>
        <v>0</v>
      </c>
      <c r="T306" s="1">
        <f t="shared" si="210"/>
        <v>0</v>
      </c>
      <c r="U306" s="1">
        <f t="shared" si="211"/>
        <v>0</v>
      </c>
      <c r="V306" s="1">
        <f t="shared" si="212"/>
        <v>0</v>
      </c>
      <c r="W306" s="1">
        <f t="shared" si="213"/>
        <v>0</v>
      </c>
      <c r="X306" s="1">
        <f t="shared" si="214"/>
        <v>0</v>
      </c>
      <c r="Y306" s="1">
        <f t="shared" si="215"/>
        <v>0</v>
      </c>
      <c r="Z306" s="1">
        <f t="shared" si="216"/>
        <v>1</v>
      </c>
      <c r="AA306" s="1">
        <f t="shared" si="217"/>
        <v>0</v>
      </c>
      <c r="AB306" s="1">
        <f t="shared" si="218"/>
        <v>0</v>
      </c>
      <c r="AD306" s="1">
        <f t="shared" si="219"/>
        <v>0</v>
      </c>
      <c r="AE306" s="1">
        <f t="shared" si="220"/>
        <v>1</v>
      </c>
      <c r="AF306" s="1">
        <f t="shared" si="205"/>
        <v>0</v>
      </c>
      <c r="AG306" s="1">
        <f t="shared" si="206"/>
        <v>1</v>
      </c>
      <c r="AH306" s="1">
        <f t="shared" si="207"/>
        <v>0</v>
      </c>
      <c r="AI306" s="1">
        <f t="shared" si="208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1286</v>
      </c>
      <c r="E307" s="32" t="s">
        <v>1334</v>
      </c>
      <c r="F307" s="32" t="s">
        <v>1283</v>
      </c>
      <c r="G307" s="32" t="s">
        <v>1284</v>
      </c>
      <c r="H307" s="32" t="s">
        <v>354</v>
      </c>
      <c r="I307" s="31" t="s">
        <v>1285</v>
      </c>
      <c r="J307" s="31">
        <v>1</v>
      </c>
      <c r="K307" s="33" t="s">
        <v>712</v>
      </c>
      <c r="L307" s="33" t="s">
        <v>713</v>
      </c>
      <c r="M307" s="34" t="s">
        <v>714</v>
      </c>
      <c r="N307" s="34" t="s">
        <v>1761</v>
      </c>
      <c r="O307" s="35">
        <v>1</v>
      </c>
      <c r="P307" s="35"/>
      <c r="Q307" s="32" t="s">
        <v>1902</v>
      </c>
      <c r="S307" s="1">
        <f t="shared" si="209"/>
        <v>1</v>
      </c>
      <c r="T307" s="1">
        <f t="shared" si="210"/>
        <v>0</v>
      </c>
      <c r="U307" s="1">
        <f t="shared" si="211"/>
        <v>0</v>
      </c>
      <c r="V307" s="1">
        <f t="shared" si="212"/>
        <v>0</v>
      </c>
      <c r="W307" s="1">
        <f t="shared" si="213"/>
        <v>0</v>
      </c>
      <c r="X307" s="1">
        <f t="shared" si="214"/>
        <v>0</v>
      </c>
      <c r="Y307" s="1">
        <f t="shared" si="215"/>
        <v>0</v>
      </c>
      <c r="Z307" s="1">
        <f t="shared" si="216"/>
        <v>0</v>
      </c>
      <c r="AA307" s="1">
        <f t="shared" si="217"/>
        <v>0</v>
      </c>
      <c r="AB307" s="1">
        <f t="shared" si="218"/>
        <v>0</v>
      </c>
      <c r="AD307" s="1">
        <f t="shared" si="219"/>
        <v>0</v>
      </c>
      <c r="AE307" s="1">
        <f t="shared" si="220"/>
        <v>1</v>
      </c>
      <c r="AF307" s="1">
        <f t="shared" si="205"/>
        <v>0</v>
      </c>
      <c r="AG307" s="1">
        <f t="shared" si="206"/>
        <v>1</v>
      </c>
      <c r="AH307" s="1">
        <f t="shared" si="207"/>
        <v>0</v>
      </c>
      <c r="AI307" s="1">
        <f t="shared" si="208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52</v>
      </c>
      <c r="E308" s="45" t="s">
        <v>32</v>
      </c>
      <c r="F308" s="45" t="s">
        <v>206</v>
      </c>
      <c r="G308" s="45" t="s">
        <v>207</v>
      </c>
      <c r="H308" s="45" t="s">
        <v>354</v>
      </c>
      <c r="I308" s="44" t="s">
        <v>391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1747</v>
      </c>
      <c r="O308" s="48"/>
      <c r="P308" s="48"/>
      <c r="Q308" s="45"/>
      <c r="S308" s="1">
        <f t="shared" si="209"/>
        <v>0</v>
      </c>
      <c r="T308" s="1">
        <f t="shared" si="210"/>
        <v>0</v>
      </c>
      <c r="U308" s="1">
        <f t="shared" si="211"/>
        <v>0</v>
      </c>
      <c r="V308" s="1">
        <f t="shared" si="212"/>
        <v>0</v>
      </c>
      <c r="W308" s="1">
        <f t="shared" si="213"/>
        <v>0</v>
      </c>
      <c r="X308" s="1">
        <f t="shared" si="214"/>
        <v>0</v>
      </c>
      <c r="Y308" s="1">
        <f t="shared" si="215"/>
        <v>0</v>
      </c>
      <c r="Z308" s="1">
        <f t="shared" si="216"/>
        <v>0</v>
      </c>
      <c r="AA308" s="1">
        <f t="shared" si="217"/>
        <v>0</v>
      </c>
      <c r="AB308" s="1">
        <f t="shared" si="218"/>
        <v>0</v>
      </c>
      <c r="AD308" s="1">
        <f t="shared" si="219"/>
        <v>0</v>
      </c>
      <c r="AE308" s="1">
        <f t="shared" si="220"/>
        <v>0</v>
      </c>
      <c r="AF308" s="1">
        <f t="shared" si="205"/>
        <v>0</v>
      </c>
      <c r="AG308" s="1">
        <f t="shared" si="206"/>
        <v>0</v>
      </c>
      <c r="AH308" s="1">
        <f t="shared" si="207"/>
        <v>0</v>
      </c>
      <c r="AI308" s="1">
        <f t="shared" si="208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73</v>
      </c>
      <c r="E309" s="32" t="s">
        <v>561</v>
      </c>
      <c r="F309" s="32" t="s">
        <v>1050</v>
      </c>
      <c r="G309" s="32" t="s">
        <v>190</v>
      </c>
      <c r="H309" s="32" t="s">
        <v>354</v>
      </c>
      <c r="I309" s="31" t="s">
        <v>421</v>
      </c>
      <c r="J309" s="31">
        <v>99</v>
      </c>
      <c r="K309" s="33" t="s">
        <v>954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09"/>
        <v>0</v>
      </c>
      <c r="T309" s="1">
        <f t="shared" si="210"/>
        <v>0</v>
      </c>
      <c r="U309" s="1">
        <f t="shared" si="211"/>
        <v>0</v>
      </c>
      <c r="V309" s="1">
        <f t="shared" si="212"/>
        <v>0</v>
      </c>
      <c r="W309" s="1">
        <f t="shared" si="213"/>
        <v>0</v>
      </c>
      <c r="X309" s="1">
        <f t="shared" si="214"/>
        <v>0</v>
      </c>
      <c r="Y309" s="1">
        <f t="shared" si="215"/>
        <v>0</v>
      </c>
      <c r="Z309" s="1">
        <f t="shared" si="216"/>
        <v>0</v>
      </c>
      <c r="AA309" s="1">
        <f t="shared" si="217"/>
        <v>0</v>
      </c>
      <c r="AB309" s="1">
        <f t="shared" si="218"/>
        <v>0</v>
      </c>
      <c r="AD309" s="1">
        <f t="shared" si="219"/>
        <v>0</v>
      </c>
      <c r="AE309" s="1">
        <f t="shared" si="220"/>
        <v>1</v>
      </c>
      <c r="AF309" s="1">
        <f t="shared" si="205"/>
        <v>0</v>
      </c>
      <c r="AG309" s="1">
        <f t="shared" si="206"/>
        <v>1</v>
      </c>
      <c r="AH309" s="1">
        <f t="shared" si="207"/>
        <v>0</v>
      </c>
      <c r="AI309" s="1">
        <f t="shared" si="208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47</v>
      </c>
      <c r="E310" s="32" t="s">
        <v>32</v>
      </c>
      <c r="F310" s="32" t="s">
        <v>187</v>
      </c>
      <c r="G310" s="32" t="s">
        <v>180</v>
      </c>
      <c r="H310" s="32" t="s">
        <v>354</v>
      </c>
      <c r="I310" s="31" t="s">
        <v>383</v>
      </c>
      <c r="J310" s="31">
        <v>10</v>
      </c>
      <c r="K310" s="33" t="s">
        <v>955</v>
      </c>
      <c r="L310" s="33" t="s">
        <v>713</v>
      </c>
      <c r="M310" s="34" t="s">
        <v>714</v>
      </c>
      <c r="N310" s="34" t="s">
        <v>1743</v>
      </c>
      <c r="O310" s="35">
        <v>1</v>
      </c>
      <c r="P310" s="35"/>
      <c r="Q310" s="32"/>
      <c r="S310" s="1">
        <f t="shared" si="209"/>
        <v>0</v>
      </c>
      <c r="T310" s="1">
        <f t="shared" si="210"/>
        <v>0</v>
      </c>
      <c r="U310" s="1">
        <f t="shared" si="211"/>
        <v>0</v>
      </c>
      <c r="V310" s="1">
        <f t="shared" si="212"/>
        <v>0</v>
      </c>
      <c r="W310" s="1">
        <f t="shared" si="213"/>
        <v>0</v>
      </c>
      <c r="X310" s="1">
        <f t="shared" si="214"/>
        <v>0</v>
      </c>
      <c r="Y310" s="1">
        <f t="shared" si="215"/>
        <v>0</v>
      </c>
      <c r="Z310" s="1">
        <f t="shared" si="216"/>
        <v>0</v>
      </c>
      <c r="AA310" s="1">
        <f t="shared" si="217"/>
        <v>0</v>
      </c>
      <c r="AB310" s="1">
        <f t="shared" si="218"/>
        <v>1</v>
      </c>
      <c r="AD310" s="1">
        <f t="shared" si="219"/>
        <v>0</v>
      </c>
      <c r="AE310" s="1">
        <f t="shared" si="220"/>
        <v>1</v>
      </c>
      <c r="AF310" s="1">
        <f t="shared" si="205"/>
        <v>0</v>
      </c>
      <c r="AG310" s="1">
        <f t="shared" si="206"/>
        <v>1</v>
      </c>
      <c r="AH310" s="1">
        <f t="shared" si="207"/>
        <v>0</v>
      </c>
      <c r="AI310" s="1">
        <f t="shared" si="208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652</v>
      </c>
      <c r="E311" s="45" t="s">
        <v>160</v>
      </c>
      <c r="F311" s="45" t="s">
        <v>188</v>
      </c>
      <c r="G311" s="45" t="s">
        <v>668</v>
      </c>
      <c r="H311" s="45" t="s">
        <v>354</v>
      </c>
      <c r="I311" s="44" t="s">
        <v>384</v>
      </c>
      <c r="J311" s="44">
        <v>99</v>
      </c>
      <c r="K311" s="46" t="s">
        <v>712</v>
      </c>
      <c r="L311" s="46" t="s">
        <v>713</v>
      </c>
      <c r="M311" s="47" t="s">
        <v>714</v>
      </c>
      <c r="N311" s="47" t="s">
        <v>1737</v>
      </c>
      <c r="O311" s="48"/>
      <c r="P311" s="48"/>
      <c r="Q311" s="45"/>
      <c r="S311" s="1">
        <f t="shared" si="209"/>
        <v>0</v>
      </c>
      <c r="T311" s="1">
        <f t="shared" si="210"/>
        <v>0</v>
      </c>
      <c r="U311" s="1">
        <f t="shared" si="211"/>
        <v>0</v>
      </c>
      <c r="V311" s="1">
        <f t="shared" si="212"/>
        <v>0</v>
      </c>
      <c r="W311" s="1">
        <f t="shared" si="213"/>
        <v>0</v>
      </c>
      <c r="X311" s="1">
        <f t="shared" si="214"/>
        <v>0</v>
      </c>
      <c r="Y311" s="1">
        <f t="shared" si="215"/>
        <v>0</v>
      </c>
      <c r="Z311" s="1">
        <f t="shared" si="216"/>
        <v>0</v>
      </c>
      <c r="AA311" s="1">
        <f t="shared" si="217"/>
        <v>0</v>
      </c>
      <c r="AB311" s="1">
        <f t="shared" si="218"/>
        <v>0</v>
      </c>
      <c r="AD311" s="1">
        <f t="shared" si="219"/>
        <v>0</v>
      </c>
      <c r="AE311" s="1">
        <f t="shared" si="220"/>
        <v>0</v>
      </c>
      <c r="AF311" s="1">
        <f t="shared" si="205"/>
        <v>0</v>
      </c>
      <c r="AG311" s="1">
        <f t="shared" si="206"/>
        <v>0</v>
      </c>
      <c r="AH311" s="1">
        <f t="shared" si="207"/>
        <v>0</v>
      </c>
      <c r="AI311" s="1">
        <f t="shared" si="208"/>
        <v>1</v>
      </c>
    </row>
    <row r="312" spans="1:35" ht="14.25" customHeight="1" x14ac:dyDescent="0.25">
      <c r="A312" s="38">
        <v>0</v>
      </c>
      <c r="B312" s="38">
        <v>2</v>
      </c>
      <c r="C312" s="38">
        <v>1</v>
      </c>
      <c r="D312" s="39" t="s">
        <v>1304</v>
      </c>
      <c r="E312" s="39" t="s">
        <v>36</v>
      </c>
      <c r="F312" s="39" t="s">
        <v>1305</v>
      </c>
      <c r="G312" s="39" t="s">
        <v>258</v>
      </c>
      <c r="H312" s="39" t="s">
        <v>354</v>
      </c>
      <c r="I312" s="38" t="s">
        <v>1306</v>
      </c>
      <c r="J312" s="38">
        <v>8</v>
      </c>
      <c r="K312" s="40" t="s">
        <v>959</v>
      </c>
      <c r="L312" s="40" t="s">
        <v>713</v>
      </c>
      <c r="M312" s="41" t="s">
        <v>714</v>
      </c>
      <c r="N312" s="42"/>
      <c r="O312" s="43"/>
      <c r="P312" s="43">
        <v>1</v>
      </c>
      <c r="Q312" s="39"/>
      <c r="S312" s="1">
        <f t="shared" si="209"/>
        <v>0</v>
      </c>
      <c r="T312" s="1">
        <f t="shared" si="210"/>
        <v>0</v>
      </c>
      <c r="U312" s="1">
        <f t="shared" si="211"/>
        <v>0</v>
      </c>
      <c r="V312" s="1">
        <f t="shared" si="212"/>
        <v>0</v>
      </c>
      <c r="W312" s="1">
        <f t="shared" si="213"/>
        <v>0</v>
      </c>
      <c r="X312" s="1">
        <f t="shared" si="214"/>
        <v>0</v>
      </c>
      <c r="Y312" s="1">
        <f t="shared" si="215"/>
        <v>0</v>
      </c>
      <c r="Z312" s="1">
        <f t="shared" si="216"/>
        <v>1</v>
      </c>
      <c r="AA312" s="1">
        <f t="shared" si="217"/>
        <v>0</v>
      </c>
      <c r="AB312" s="1">
        <f t="shared" si="218"/>
        <v>0</v>
      </c>
      <c r="AD312" s="1">
        <f t="shared" si="219"/>
        <v>0</v>
      </c>
      <c r="AE312" s="1">
        <f t="shared" si="220"/>
        <v>0</v>
      </c>
      <c r="AF312" s="1">
        <f t="shared" si="205"/>
        <v>0</v>
      </c>
      <c r="AG312" s="1">
        <f t="shared" si="206"/>
        <v>0</v>
      </c>
      <c r="AH312" s="1">
        <f t="shared" si="207"/>
        <v>1</v>
      </c>
      <c r="AI312" s="1">
        <f t="shared" si="208"/>
        <v>0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54</v>
      </c>
      <c r="E313" s="32" t="s">
        <v>561</v>
      </c>
      <c r="F313" s="32" t="s">
        <v>212</v>
      </c>
      <c r="G313" s="32" t="s">
        <v>213</v>
      </c>
      <c r="H313" s="32" t="s">
        <v>354</v>
      </c>
      <c r="I313" s="31" t="s">
        <v>393</v>
      </c>
      <c r="J313" s="31">
        <v>1</v>
      </c>
      <c r="K313" s="33" t="s">
        <v>955</v>
      </c>
      <c r="L313" s="33" t="s">
        <v>713</v>
      </c>
      <c r="M313" s="34" t="s">
        <v>39</v>
      </c>
      <c r="N313" s="34" t="s">
        <v>1743</v>
      </c>
      <c r="O313" s="35">
        <v>1</v>
      </c>
      <c r="P313" s="35"/>
      <c r="Q313" s="32"/>
      <c r="S313" s="1">
        <f t="shared" si="209"/>
        <v>1</v>
      </c>
      <c r="T313" s="1">
        <f t="shared" si="210"/>
        <v>0</v>
      </c>
      <c r="U313" s="1">
        <f t="shared" si="211"/>
        <v>0</v>
      </c>
      <c r="V313" s="1">
        <f t="shared" si="212"/>
        <v>0</v>
      </c>
      <c r="W313" s="1">
        <f t="shared" si="213"/>
        <v>0</v>
      </c>
      <c r="X313" s="1">
        <f t="shared" si="214"/>
        <v>0</v>
      </c>
      <c r="Y313" s="1">
        <f t="shared" si="215"/>
        <v>0</v>
      </c>
      <c r="Z313" s="1">
        <f t="shared" si="216"/>
        <v>0</v>
      </c>
      <c r="AA313" s="1">
        <f t="shared" si="217"/>
        <v>0</v>
      </c>
      <c r="AB313" s="1">
        <f t="shared" si="218"/>
        <v>0</v>
      </c>
      <c r="AD313" s="1">
        <f t="shared" si="219"/>
        <v>0</v>
      </c>
      <c r="AE313" s="1">
        <f t="shared" si="220"/>
        <v>1</v>
      </c>
      <c r="AF313" s="1">
        <f t="shared" si="205"/>
        <v>0</v>
      </c>
      <c r="AG313" s="1">
        <f t="shared" si="206"/>
        <v>1</v>
      </c>
      <c r="AH313" s="1">
        <f t="shared" si="207"/>
        <v>0</v>
      </c>
      <c r="AI313" s="1">
        <f t="shared" si="208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45" t="s">
        <v>61</v>
      </c>
      <c r="E314" s="45" t="s">
        <v>543</v>
      </c>
      <c r="F314" s="45" t="s">
        <v>233</v>
      </c>
      <c r="G314" s="45" t="s">
        <v>204</v>
      </c>
      <c r="H314" s="45" t="s">
        <v>354</v>
      </c>
      <c r="I314" s="44" t="s">
        <v>401</v>
      </c>
      <c r="J314" s="44">
        <v>7</v>
      </c>
      <c r="K314" s="46" t="s">
        <v>712</v>
      </c>
      <c r="L314" s="46" t="s">
        <v>713</v>
      </c>
      <c r="M314" s="47" t="s">
        <v>714</v>
      </c>
      <c r="N314" s="47" t="s">
        <v>1738</v>
      </c>
      <c r="O314" s="48"/>
      <c r="P314" s="48"/>
      <c r="Q314" s="45"/>
      <c r="S314" s="1">
        <f t="shared" si="209"/>
        <v>0</v>
      </c>
      <c r="T314" s="1">
        <f t="shared" si="210"/>
        <v>0</v>
      </c>
      <c r="U314" s="1">
        <f t="shared" si="211"/>
        <v>0</v>
      </c>
      <c r="V314" s="1">
        <f t="shared" si="212"/>
        <v>0</v>
      </c>
      <c r="W314" s="1">
        <f t="shared" si="213"/>
        <v>0</v>
      </c>
      <c r="X314" s="1">
        <f t="shared" si="214"/>
        <v>0</v>
      </c>
      <c r="Y314" s="1">
        <f t="shared" si="215"/>
        <v>1</v>
      </c>
      <c r="Z314" s="1">
        <f t="shared" si="216"/>
        <v>0</v>
      </c>
      <c r="AA314" s="1">
        <f t="shared" si="217"/>
        <v>0</v>
      </c>
      <c r="AB314" s="1">
        <f t="shared" si="218"/>
        <v>0</v>
      </c>
      <c r="AD314" s="1">
        <f t="shared" si="219"/>
        <v>0</v>
      </c>
      <c r="AE314" s="1">
        <f t="shared" si="220"/>
        <v>0</v>
      </c>
      <c r="AF314" s="1">
        <f t="shared" si="205"/>
        <v>0</v>
      </c>
      <c r="AG314" s="1">
        <f t="shared" si="206"/>
        <v>0</v>
      </c>
      <c r="AH314" s="1">
        <f t="shared" si="207"/>
        <v>0</v>
      </c>
      <c r="AI314" s="1">
        <f t="shared" si="208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1647</v>
      </c>
      <c r="E315" s="32" t="s">
        <v>561</v>
      </c>
      <c r="F315" s="32" t="s">
        <v>1358</v>
      </c>
      <c r="G315" s="32" t="s">
        <v>1284</v>
      </c>
      <c r="H315" s="32" t="s">
        <v>354</v>
      </c>
      <c r="I315" s="31" t="s">
        <v>1167</v>
      </c>
      <c r="J315" s="31">
        <v>99</v>
      </c>
      <c r="K315" s="33" t="s">
        <v>712</v>
      </c>
      <c r="L315" s="33" t="s">
        <v>713</v>
      </c>
      <c r="M315" s="34" t="s">
        <v>714</v>
      </c>
      <c r="N315" s="34" t="s">
        <v>1748</v>
      </c>
      <c r="O315" s="35">
        <v>1</v>
      </c>
      <c r="P315" s="35"/>
      <c r="Q315" s="32" t="s">
        <v>1901</v>
      </c>
      <c r="S315" s="1">
        <f t="shared" si="209"/>
        <v>0</v>
      </c>
      <c r="T315" s="1">
        <f t="shared" si="210"/>
        <v>0</v>
      </c>
      <c r="U315" s="1">
        <f t="shared" si="211"/>
        <v>0</v>
      </c>
      <c r="V315" s="1">
        <f t="shared" si="212"/>
        <v>0</v>
      </c>
      <c r="W315" s="1">
        <f t="shared" si="213"/>
        <v>0</v>
      </c>
      <c r="X315" s="1">
        <f t="shared" si="214"/>
        <v>0</v>
      </c>
      <c r="Y315" s="1">
        <f t="shared" si="215"/>
        <v>0</v>
      </c>
      <c r="Z315" s="1">
        <f t="shared" si="216"/>
        <v>0</v>
      </c>
      <c r="AA315" s="1">
        <f t="shared" si="217"/>
        <v>0</v>
      </c>
      <c r="AB315" s="1">
        <f t="shared" si="218"/>
        <v>0</v>
      </c>
      <c r="AD315" s="1">
        <f t="shared" si="219"/>
        <v>0</v>
      </c>
      <c r="AE315" s="1">
        <f t="shared" si="220"/>
        <v>1</v>
      </c>
      <c r="AF315" s="1">
        <f t="shared" si="205"/>
        <v>0</v>
      </c>
      <c r="AG315" s="1">
        <f t="shared" si="206"/>
        <v>1</v>
      </c>
      <c r="AH315" s="1">
        <f t="shared" si="207"/>
        <v>0</v>
      </c>
      <c r="AI315" s="1">
        <f t="shared" si="208"/>
        <v>1</v>
      </c>
    </row>
    <row r="316" spans="1:35" ht="14.25" customHeight="1" x14ac:dyDescent="0.25">
      <c r="A316" s="49">
        <v>0</v>
      </c>
      <c r="B316" s="49">
        <v>2</v>
      </c>
      <c r="C316" s="49">
        <v>1</v>
      </c>
      <c r="D316" s="50" t="s">
        <v>1782</v>
      </c>
      <c r="E316" s="50" t="s">
        <v>1783</v>
      </c>
      <c r="F316" s="50" t="s">
        <v>1784</v>
      </c>
      <c r="G316" s="50" t="s">
        <v>1785</v>
      </c>
      <c r="H316" s="50" t="s">
        <v>354</v>
      </c>
      <c r="I316" s="49"/>
      <c r="J316" s="49">
        <v>1</v>
      </c>
      <c r="K316" s="51" t="s">
        <v>703</v>
      </c>
      <c r="L316" s="51"/>
      <c r="M316" s="52"/>
      <c r="N316" s="52" t="s">
        <v>1743</v>
      </c>
      <c r="O316" s="53">
        <v>1</v>
      </c>
      <c r="P316" s="53"/>
      <c r="Q316" s="55" t="s">
        <v>1909</v>
      </c>
      <c r="S316" s="1">
        <f t="shared" si="209"/>
        <v>1</v>
      </c>
      <c r="T316" s="1">
        <f t="shared" si="210"/>
        <v>0</v>
      </c>
      <c r="U316" s="1">
        <f t="shared" si="211"/>
        <v>0</v>
      </c>
      <c r="V316" s="1">
        <f t="shared" si="212"/>
        <v>0</v>
      </c>
      <c r="W316" s="1">
        <f t="shared" si="213"/>
        <v>0</v>
      </c>
      <c r="X316" s="1">
        <f t="shared" si="214"/>
        <v>0</v>
      </c>
      <c r="Y316" s="1">
        <f t="shared" si="215"/>
        <v>0</v>
      </c>
      <c r="Z316" s="1">
        <f t="shared" si="216"/>
        <v>0</v>
      </c>
      <c r="AA316" s="1">
        <f t="shared" si="217"/>
        <v>0</v>
      </c>
      <c r="AB316" s="1">
        <f t="shared" si="218"/>
        <v>0</v>
      </c>
      <c r="AD316" s="1">
        <f t="shared" si="219"/>
        <v>0</v>
      </c>
      <c r="AE316" s="1">
        <f t="shared" si="220"/>
        <v>1</v>
      </c>
      <c r="AF316" s="1">
        <f t="shared" si="205"/>
        <v>0</v>
      </c>
      <c r="AG316" s="1">
        <f t="shared" si="206"/>
        <v>1</v>
      </c>
      <c r="AH316" s="1">
        <f t="shared" si="207"/>
        <v>0</v>
      </c>
      <c r="AI316" s="1">
        <f t="shared" si="208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1318</v>
      </c>
      <c r="E317" s="32" t="s">
        <v>1338</v>
      </c>
      <c r="F317" s="32" t="s">
        <v>1301</v>
      </c>
      <c r="G317" s="32" t="s">
        <v>1302</v>
      </c>
      <c r="H317" s="32" t="s">
        <v>354</v>
      </c>
      <c r="I317" s="31" t="s">
        <v>1303</v>
      </c>
      <c r="J317" s="31">
        <v>99</v>
      </c>
      <c r="K317" s="33" t="s">
        <v>955</v>
      </c>
      <c r="L317" s="33" t="s">
        <v>713</v>
      </c>
      <c r="M317" s="34" t="s">
        <v>714</v>
      </c>
      <c r="N317" s="34" t="s">
        <v>1919</v>
      </c>
      <c r="O317" s="35">
        <v>1</v>
      </c>
      <c r="P317" s="35"/>
      <c r="Q317" s="32"/>
      <c r="S317" s="1">
        <f t="shared" si="209"/>
        <v>0</v>
      </c>
      <c r="T317" s="1">
        <f t="shared" si="210"/>
        <v>0</v>
      </c>
      <c r="U317" s="1">
        <f t="shared" si="211"/>
        <v>0</v>
      </c>
      <c r="V317" s="1">
        <f t="shared" si="212"/>
        <v>0</v>
      </c>
      <c r="W317" s="1">
        <f t="shared" si="213"/>
        <v>0</v>
      </c>
      <c r="X317" s="1">
        <f t="shared" si="214"/>
        <v>0</v>
      </c>
      <c r="Y317" s="1">
        <f t="shared" si="215"/>
        <v>0</v>
      </c>
      <c r="Z317" s="1">
        <f t="shared" si="216"/>
        <v>0</v>
      </c>
      <c r="AA317" s="1">
        <f t="shared" si="217"/>
        <v>0</v>
      </c>
      <c r="AB317" s="1">
        <f t="shared" si="218"/>
        <v>0</v>
      </c>
      <c r="AD317" s="1">
        <f t="shared" si="219"/>
        <v>0</v>
      </c>
      <c r="AE317" s="1">
        <f t="shared" si="220"/>
        <v>1</v>
      </c>
      <c r="AF317" s="1">
        <f t="shared" si="205"/>
        <v>0</v>
      </c>
      <c r="AG317" s="1">
        <f t="shared" si="206"/>
        <v>1</v>
      </c>
      <c r="AH317" s="1">
        <f t="shared" si="207"/>
        <v>0</v>
      </c>
      <c r="AI317" s="1">
        <f t="shared" si="208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1313</v>
      </c>
      <c r="E318" s="45" t="s">
        <v>160</v>
      </c>
      <c r="F318" s="45" t="s">
        <v>1315</v>
      </c>
      <c r="G318" s="45" t="s">
        <v>1316</v>
      </c>
      <c r="H318" s="45" t="s">
        <v>354</v>
      </c>
      <c r="I318" s="44" t="s">
        <v>1317</v>
      </c>
      <c r="J318" s="44">
        <v>8</v>
      </c>
      <c r="K318" s="46" t="s">
        <v>713</v>
      </c>
      <c r="L318" s="46" t="s">
        <v>713</v>
      </c>
      <c r="M318" s="47" t="s">
        <v>714</v>
      </c>
      <c r="N318" s="47" t="s">
        <v>1747</v>
      </c>
      <c r="O318" s="48"/>
      <c r="P318" s="48"/>
      <c r="Q318" s="45"/>
      <c r="S318" s="1">
        <f t="shared" si="209"/>
        <v>0</v>
      </c>
      <c r="T318" s="1">
        <f t="shared" si="210"/>
        <v>0</v>
      </c>
      <c r="U318" s="1">
        <f t="shared" si="211"/>
        <v>0</v>
      </c>
      <c r="V318" s="1">
        <f t="shared" si="212"/>
        <v>0</v>
      </c>
      <c r="W318" s="1">
        <f t="shared" si="213"/>
        <v>0</v>
      </c>
      <c r="X318" s="1">
        <f t="shared" si="214"/>
        <v>0</v>
      </c>
      <c r="Y318" s="1">
        <f t="shared" si="215"/>
        <v>0</v>
      </c>
      <c r="Z318" s="1">
        <f t="shared" si="216"/>
        <v>1</v>
      </c>
      <c r="AA318" s="1">
        <f t="shared" si="217"/>
        <v>0</v>
      </c>
      <c r="AB318" s="1">
        <f t="shared" si="218"/>
        <v>0</v>
      </c>
      <c r="AD318" s="1">
        <f t="shared" si="219"/>
        <v>0</v>
      </c>
      <c r="AE318" s="1">
        <f t="shared" si="220"/>
        <v>0</v>
      </c>
      <c r="AF318" s="1">
        <f t="shared" si="205"/>
        <v>0</v>
      </c>
      <c r="AG318" s="1">
        <f t="shared" si="206"/>
        <v>0</v>
      </c>
      <c r="AH318" s="1">
        <f t="shared" si="207"/>
        <v>0</v>
      </c>
      <c r="AI318" s="1">
        <f t="shared" si="208"/>
        <v>1</v>
      </c>
    </row>
    <row r="319" spans="1:35" ht="14.25" customHeight="1" x14ac:dyDescent="0.25">
      <c r="A319" s="44">
        <v>0</v>
      </c>
      <c r="B319" s="44">
        <v>2</v>
      </c>
      <c r="C319" s="44">
        <v>2</v>
      </c>
      <c r="D319" s="45" t="s">
        <v>1646</v>
      </c>
      <c r="E319" s="45" t="s">
        <v>1168</v>
      </c>
      <c r="F319" s="45" t="s">
        <v>1680</v>
      </c>
      <c r="G319" s="45" t="s">
        <v>190</v>
      </c>
      <c r="H319" s="45" t="s">
        <v>354</v>
      </c>
      <c r="I319" s="44" t="s">
        <v>1607</v>
      </c>
      <c r="J319" s="44">
        <v>99</v>
      </c>
      <c r="K319" s="46" t="s">
        <v>713</v>
      </c>
      <c r="L319" s="46" t="s">
        <v>696</v>
      </c>
      <c r="M319" s="47" t="s">
        <v>1608</v>
      </c>
      <c r="N319" s="47" t="s">
        <v>1738</v>
      </c>
      <c r="O319" s="48"/>
      <c r="P319" s="48"/>
      <c r="Q319" s="45"/>
      <c r="S319" s="1">
        <f t="shared" si="209"/>
        <v>0</v>
      </c>
      <c r="T319" s="1">
        <f t="shared" si="210"/>
        <v>0</v>
      </c>
      <c r="U319" s="1">
        <f t="shared" si="211"/>
        <v>0</v>
      </c>
      <c r="V319" s="1">
        <f t="shared" si="212"/>
        <v>0</v>
      </c>
      <c r="W319" s="1">
        <f t="shared" si="213"/>
        <v>0</v>
      </c>
      <c r="X319" s="1">
        <f t="shared" si="214"/>
        <v>0</v>
      </c>
      <c r="Y319" s="1">
        <f t="shared" si="215"/>
        <v>0</v>
      </c>
      <c r="Z319" s="1">
        <f t="shared" si="216"/>
        <v>0</v>
      </c>
      <c r="AA319" s="1">
        <f t="shared" si="217"/>
        <v>0</v>
      </c>
      <c r="AB319" s="1">
        <f t="shared" si="218"/>
        <v>0</v>
      </c>
      <c r="AD319" s="1">
        <f t="shared" si="219"/>
        <v>0</v>
      </c>
      <c r="AE319" s="1">
        <f t="shared" si="220"/>
        <v>0</v>
      </c>
      <c r="AF319" s="1">
        <f t="shared" si="205"/>
        <v>0</v>
      </c>
      <c r="AG319" s="1">
        <f t="shared" si="206"/>
        <v>0</v>
      </c>
      <c r="AH319" s="1">
        <f t="shared" si="207"/>
        <v>0</v>
      </c>
      <c r="AI319" s="1">
        <f t="shared" si="208"/>
        <v>1</v>
      </c>
    </row>
    <row r="320" spans="1:35" ht="14.25" customHeight="1" x14ac:dyDescent="0.25">
      <c r="A320" s="49">
        <v>0</v>
      </c>
      <c r="B320" s="49">
        <v>2</v>
      </c>
      <c r="C320" s="49">
        <v>2</v>
      </c>
      <c r="D320" s="50" t="s">
        <v>65</v>
      </c>
      <c r="E320" s="50" t="s">
        <v>164</v>
      </c>
      <c r="F320" s="50" t="s">
        <v>243</v>
      </c>
      <c r="G320" s="50" t="s">
        <v>200</v>
      </c>
      <c r="H320" s="50" t="s">
        <v>354</v>
      </c>
      <c r="I320" s="49" t="s">
        <v>407</v>
      </c>
      <c r="J320" s="49">
        <v>2</v>
      </c>
      <c r="K320" s="51" t="s">
        <v>955</v>
      </c>
      <c r="L320" s="51" t="s">
        <v>696</v>
      </c>
      <c r="M320" s="52" t="s">
        <v>715</v>
      </c>
      <c r="N320" s="52" t="s">
        <v>1743</v>
      </c>
      <c r="O320" s="53">
        <v>1</v>
      </c>
      <c r="P320" s="53"/>
      <c r="Q320" s="50"/>
      <c r="S320" s="1">
        <f t="shared" si="209"/>
        <v>0</v>
      </c>
      <c r="T320" s="1">
        <f t="shared" si="210"/>
        <v>1</v>
      </c>
      <c r="U320" s="1">
        <f t="shared" si="211"/>
        <v>0</v>
      </c>
      <c r="V320" s="1">
        <f t="shared" si="212"/>
        <v>0</v>
      </c>
      <c r="W320" s="1">
        <f t="shared" si="213"/>
        <v>0</v>
      </c>
      <c r="X320" s="1">
        <f t="shared" si="214"/>
        <v>0</v>
      </c>
      <c r="Y320" s="1">
        <f t="shared" si="215"/>
        <v>0</v>
      </c>
      <c r="Z320" s="1">
        <f t="shared" si="216"/>
        <v>0</v>
      </c>
      <c r="AA320" s="1">
        <f t="shared" si="217"/>
        <v>0</v>
      </c>
      <c r="AB320" s="1">
        <f t="shared" si="218"/>
        <v>0</v>
      </c>
      <c r="AD320" s="1">
        <f t="shared" si="219"/>
        <v>0</v>
      </c>
      <c r="AE320" s="1">
        <f t="shared" si="220"/>
        <v>1</v>
      </c>
      <c r="AF320" s="1">
        <f t="shared" si="205"/>
        <v>0</v>
      </c>
      <c r="AG320" s="1">
        <f t="shared" si="206"/>
        <v>1</v>
      </c>
      <c r="AH320" s="1">
        <f t="shared" si="207"/>
        <v>0</v>
      </c>
      <c r="AI320" s="1">
        <f t="shared" si="208"/>
        <v>1</v>
      </c>
    </row>
    <row r="321" spans="1:35" ht="14.25" customHeight="1" x14ac:dyDescent="0.25">
      <c r="A321" s="44">
        <v>0</v>
      </c>
      <c r="B321" s="44">
        <v>2</v>
      </c>
      <c r="C321" s="44">
        <v>2</v>
      </c>
      <c r="D321" s="45" t="s">
        <v>1182</v>
      </c>
      <c r="E321" s="45" t="s">
        <v>1183</v>
      </c>
      <c r="F321" s="45" t="s">
        <v>1348</v>
      </c>
      <c r="G321" s="45" t="s">
        <v>1056</v>
      </c>
      <c r="H321" s="45" t="s">
        <v>354</v>
      </c>
      <c r="I321" s="44" t="s">
        <v>1184</v>
      </c>
      <c r="J321" s="44">
        <v>1</v>
      </c>
      <c r="K321" s="46" t="s">
        <v>712</v>
      </c>
      <c r="L321" s="46" t="s">
        <v>704</v>
      </c>
      <c r="M321" s="47" t="s">
        <v>1412</v>
      </c>
      <c r="N321" s="47" t="s">
        <v>1735</v>
      </c>
      <c r="O321" s="48"/>
      <c r="P321" s="48"/>
      <c r="Q321" s="45"/>
      <c r="S321" s="1">
        <f t="shared" si="209"/>
        <v>1</v>
      </c>
      <c r="T321" s="1">
        <f t="shared" si="210"/>
        <v>0</v>
      </c>
      <c r="U321" s="1">
        <f t="shared" si="211"/>
        <v>0</v>
      </c>
      <c r="V321" s="1">
        <f t="shared" si="212"/>
        <v>0</v>
      </c>
      <c r="W321" s="1">
        <f t="shared" si="213"/>
        <v>0</v>
      </c>
      <c r="X321" s="1">
        <f t="shared" si="214"/>
        <v>0</v>
      </c>
      <c r="Y321" s="1">
        <f t="shared" si="215"/>
        <v>0</v>
      </c>
      <c r="Z321" s="1">
        <f t="shared" si="216"/>
        <v>0</v>
      </c>
      <c r="AA321" s="1">
        <f t="shared" si="217"/>
        <v>0</v>
      </c>
      <c r="AB321" s="1">
        <f t="shared" si="218"/>
        <v>0</v>
      </c>
      <c r="AD321" s="1">
        <f t="shared" si="219"/>
        <v>0</v>
      </c>
      <c r="AE321" s="1">
        <f t="shared" si="220"/>
        <v>0</v>
      </c>
      <c r="AF321" s="1">
        <f t="shared" si="205"/>
        <v>0</v>
      </c>
      <c r="AG321" s="1">
        <f t="shared" si="206"/>
        <v>0</v>
      </c>
      <c r="AH321" s="1">
        <f t="shared" si="207"/>
        <v>0</v>
      </c>
      <c r="AI321" s="1">
        <f t="shared" si="208"/>
        <v>1</v>
      </c>
    </row>
    <row r="322" spans="1:35" ht="14.25" customHeight="1" x14ac:dyDescent="0.25">
      <c r="A322" s="31">
        <v>0</v>
      </c>
      <c r="B322" s="31">
        <v>2</v>
      </c>
      <c r="C322" s="31">
        <v>2</v>
      </c>
      <c r="D322" s="32" t="s">
        <v>1828</v>
      </c>
      <c r="E322" s="32" t="s">
        <v>1829</v>
      </c>
      <c r="F322" s="32" t="s">
        <v>1830</v>
      </c>
      <c r="G322" s="32" t="s">
        <v>196</v>
      </c>
      <c r="H322" s="32" t="s">
        <v>354</v>
      </c>
      <c r="I322" s="31" t="s">
        <v>1831</v>
      </c>
      <c r="J322" s="31"/>
      <c r="K322" s="33" t="s">
        <v>703</v>
      </c>
      <c r="L322" s="33">
        <v>20</v>
      </c>
      <c r="M322" s="34" t="s">
        <v>1832</v>
      </c>
      <c r="N322" s="34" t="s">
        <v>1748</v>
      </c>
      <c r="O322" s="35">
        <v>1</v>
      </c>
      <c r="P322" s="35"/>
      <c r="Q322" s="32"/>
      <c r="S322" s="1">
        <f t="shared" si="209"/>
        <v>0</v>
      </c>
      <c r="T322" s="1">
        <f t="shared" si="210"/>
        <v>0</v>
      </c>
      <c r="U322" s="1">
        <f t="shared" si="211"/>
        <v>0</v>
      </c>
      <c r="V322" s="1">
        <f t="shared" si="212"/>
        <v>0</v>
      </c>
      <c r="W322" s="1">
        <f t="shared" si="213"/>
        <v>0</v>
      </c>
      <c r="X322" s="1">
        <f t="shared" si="214"/>
        <v>0</v>
      </c>
      <c r="Y322" s="1">
        <f t="shared" si="215"/>
        <v>0</v>
      </c>
      <c r="Z322" s="1">
        <f t="shared" si="216"/>
        <v>0</v>
      </c>
      <c r="AA322" s="1">
        <f t="shared" si="217"/>
        <v>0</v>
      </c>
      <c r="AB322" s="1">
        <f t="shared" si="218"/>
        <v>0</v>
      </c>
      <c r="AD322" s="1">
        <f t="shared" si="219"/>
        <v>0</v>
      </c>
      <c r="AE322" s="1">
        <f t="shared" si="220"/>
        <v>1</v>
      </c>
      <c r="AF322" s="1">
        <f t="shared" si="205"/>
        <v>0</v>
      </c>
      <c r="AG322" s="1">
        <f t="shared" si="206"/>
        <v>1</v>
      </c>
      <c r="AH322" s="1">
        <f t="shared" si="207"/>
        <v>0</v>
      </c>
      <c r="AI322" s="1">
        <f t="shared" si="208"/>
        <v>1</v>
      </c>
    </row>
    <row r="323" spans="1:35" ht="14.25" customHeight="1" x14ac:dyDescent="0.25">
      <c r="A323" s="15">
        <v>0</v>
      </c>
      <c r="B323" s="15">
        <v>2</v>
      </c>
      <c r="C323" s="15">
        <v>2</v>
      </c>
      <c r="D323" s="16" t="s">
        <v>1576</v>
      </c>
      <c r="E323" s="16" t="s">
        <v>1577</v>
      </c>
      <c r="F323" s="16" t="s">
        <v>1579</v>
      </c>
      <c r="G323" s="16" t="s">
        <v>1580</v>
      </c>
      <c r="H323" s="16" t="s">
        <v>354</v>
      </c>
      <c r="I323" s="15" t="s">
        <v>1578</v>
      </c>
      <c r="J323" s="15">
        <v>99</v>
      </c>
      <c r="K323" s="10" t="s">
        <v>703</v>
      </c>
      <c r="L323" s="10">
        <v>18</v>
      </c>
      <c r="M323" s="19" t="s">
        <v>1581</v>
      </c>
      <c r="N323" s="17"/>
      <c r="Q323" s="16"/>
      <c r="S323" s="1">
        <f t="shared" si="209"/>
        <v>0</v>
      </c>
      <c r="T323" s="1">
        <f t="shared" si="210"/>
        <v>0</v>
      </c>
      <c r="U323" s="1">
        <f t="shared" si="211"/>
        <v>0</v>
      </c>
      <c r="V323" s="1">
        <f t="shared" si="212"/>
        <v>0</v>
      </c>
      <c r="W323" s="1">
        <f t="shared" si="213"/>
        <v>0</v>
      </c>
      <c r="X323" s="1">
        <f t="shared" si="214"/>
        <v>0</v>
      </c>
      <c r="Y323" s="1">
        <f t="shared" si="215"/>
        <v>0</v>
      </c>
      <c r="Z323" s="1">
        <f t="shared" si="216"/>
        <v>0</v>
      </c>
      <c r="AA323" s="1">
        <f t="shared" si="217"/>
        <v>0</v>
      </c>
      <c r="AB323" s="1">
        <f t="shared" si="218"/>
        <v>0</v>
      </c>
      <c r="AD323" s="1">
        <f t="shared" si="219"/>
        <v>0</v>
      </c>
      <c r="AE323" s="1">
        <f t="shared" si="220"/>
        <v>0</v>
      </c>
      <c r="AF323" s="1">
        <f t="shared" si="205"/>
        <v>0</v>
      </c>
      <c r="AG323" s="1">
        <f t="shared" si="206"/>
        <v>0</v>
      </c>
      <c r="AH323" s="1">
        <f t="shared" si="207"/>
        <v>0</v>
      </c>
      <c r="AI323" s="1">
        <f t="shared" si="208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64</v>
      </c>
      <c r="E324" s="50" t="s">
        <v>33</v>
      </c>
      <c r="F324" s="50" t="s">
        <v>241</v>
      </c>
      <c r="G324" s="50" t="s">
        <v>242</v>
      </c>
      <c r="H324" s="50" t="s">
        <v>354</v>
      </c>
      <c r="I324" s="49" t="s">
        <v>406</v>
      </c>
      <c r="J324" s="49">
        <v>1</v>
      </c>
      <c r="K324" s="51" t="s">
        <v>961</v>
      </c>
      <c r="L324" s="51" t="s">
        <v>716</v>
      </c>
      <c r="M324" s="52" t="s">
        <v>717</v>
      </c>
      <c r="N324" s="52" t="s">
        <v>1743</v>
      </c>
      <c r="O324" s="53">
        <v>1</v>
      </c>
      <c r="P324" s="53"/>
      <c r="Q324" s="50"/>
      <c r="S324" s="1">
        <f t="shared" si="209"/>
        <v>1</v>
      </c>
      <c r="T324" s="1">
        <f t="shared" si="210"/>
        <v>0</v>
      </c>
      <c r="U324" s="1">
        <f t="shared" si="211"/>
        <v>0</v>
      </c>
      <c r="V324" s="1">
        <f t="shared" si="212"/>
        <v>0</v>
      </c>
      <c r="W324" s="1">
        <f t="shared" si="213"/>
        <v>0</v>
      </c>
      <c r="X324" s="1">
        <f t="shared" si="214"/>
        <v>0</v>
      </c>
      <c r="Y324" s="1">
        <f t="shared" si="215"/>
        <v>0</v>
      </c>
      <c r="Z324" s="1">
        <f t="shared" si="216"/>
        <v>0</v>
      </c>
      <c r="AA324" s="1">
        <f t="shared" si="217"/>
        <v>0</v>
      </c>
      <c r="AB324" s="1">
        <f t="shared" si="218"/>
        <v>0</v>
      </c>
      <c r="AD324" s="1">
        <f t="shared" si="219"/>
        <v>0</v>
      </c>
      <c r="AE324" s="1">
        <f t="shared" si="220"/>
        <v>1</v>
      </c>
      <c r="AF324" s="1">
        <f t="shared" si="205"/>
        <v>0</v>
      </c>
      <c r="AG324" s="1">
        <f t="shared" si="206"/>
        <v>1</v>
      </c>
      <c r="AH324" s="1">
        <f t="shared" si="207"/>
        <v>0</v>
      </c>
      <c r="AI324" s="1">
        <f t="shared" si="208"/>
        <v>1</v>
      </c>
    </row>
    <row r="325" spans="1:35" ht="14.25" customHeight="1" x14ac:dyDescent="0.25">
      <c r="A325" s="49">
        <v>0</v>
      </c>
      <c r="B325" s="49">
        <v>2</v>
      </c>
      <c r="C325" s="49">
        <v>2</v>
      </c>
      <c r="D325" s="50" t="s">
        <v>62</v>
      </c>
      <c r="E325" s="50" t="s">
        <v>1086</v>
      </c>
      <c r="F325" s="50" t="s">
        <v>234</v>
      </c>
      <c r="G325" s="50" t="s">
        <v>235</v>
      </c>
      <c r="H325" s="50" t="s">
        <v>354</v>
      </c>
      <c r="I325" s="49" t="s">
        <v>1365</v>
      </c>
      <c r="J325" s="49">
        <v>99</v>
      </c>
      <c r="K325" s="51" t="s">
        <v>955</v>
      </c>
      <c r="L325" s="51" t="s">
        <v>716</v>
      </c>
      <c r="M325" s="52" t="s">
        <v>718</v>
      </c>
      <c r="N325" s="52" t="s">
        <v>1743</v>
      </c>
      <c r="O325" s="53">
        <v>1</v>
      </c>
      <c r="P325" s="53"/>
      <c r="Q325" s="50"/>
      <c r="S325" s="1">
        <f t="shared" si="209"/>
        <v>0</v>
      </c>
      <c r="T325" s="1">
        <f t="shared" si="210"/>
        <v>0</v>
      </c>
      <c r="U325" s="1">
        <f t="shared" si="211"/>
        <v>0</v>
      </c>
      <c r="V325" s="1">
        <f t="shared" si="212"/>
        <v>0</v>
      </c>
      <c r="W325" s="1">
        <f t="shared" si="213"/>
        <v>0</v>
      </c>
      <c r="X325" s="1">
        <f t="shared" si="214"/>
        <v>0</v>
      </c>
      <c r="Y325" s="1">
        <f t="shared" si="215"/>
        <v>0</v>
      </c>
      <c r="Z325" s="1">
        <f t="shared" si="216"/>
        <v>0</v>
      </c>
      <c r="AA325" s="1">
        <f t="shared" si="217"/>
        <v>0</v>
      </c>
      <c r="AB325" s="1">
        <f t="shared" si="218"/>
        <v>0</v>
      </c>
      <c r="AD325" s="1">
        <f t="shared" si="219"/>
        <v>0</v>
      </c>
      <c r="AE325" s="1">
        <f t="shared" si="220"/>
        <v>1</v>
      </c>
      <c r="AF325" s="1">
        <f t="shared" si="205"/>
        <v>0</v>
      </c>
      <c r="AG325" s="1">
        <f t="shared" si="206"/>
        <v>1</v>
      </c>
      <c r="AH325" s="1">
        <f t="shared" si="207"/>
        <v>0</v>
      </c>
      <c r="AI325" s="1">
        <f t="shared" si="208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1716</v>
      </c>
      <c r="E326" s="32" t="s">
        <v>1718</v>
      </c>
      <c r="F326" s="32" t="s">
        <v>1717</v>
      </c>
      <c r="G326" s="32"/>
      <c r="H326" s="32" t="s">
        <v>354</v>
      </c>
      <c r="I326" s="31" t="s">
        <v>1719</v>
      </c>
      <c r="J326" s="31"/>
      <c r="K326" s="33" t="s">
        <v>703</v>
      </c>
      <c r="L326" s="33"/>
      <c r="M326" s="34"/>
      <c r="N326" s="34" t="s">
        <v>1727</v>
      </c>
      <c r="O326" s="35">
        <v>1</v>
      </c>
      <c r="P326" s="35">
        <v>1</v>
      </c>
      <c r="Q326" s="32"/>
      <c r="S326" s="1">
        <f t="shared" si="209"/>
        <v>0</v>
      </c>
      <c r="T326" s="1">
        <f t="shared" si="210"/>
        <v>0</v>
      </c>
      <c r="U326" s="1">
        <f t="shared" si="211"/>
        <v>0</v>
      </c>
      <c r="V326" s="1">
        <f t="shared" si="212"/>
        <v>0</v>
      </c>
      <c r="W326" s="1">
        <f t="shared" si="213"/>
        <v>0</v>
      </c>
      <c r="X326" s="1">
        <f t="shared" si="214"/>
        <v>0</v>
      </c>
      <c r="Y326" s="1">
        <f t="shared" si="215"/>
        <v>0</v>
      </c>
      <c r="Z326" s="1">
        <f t="shared" si="216"/>
        <v>0</v>
      </c>
      <c r="AA326" s="1">
        <f t="shared" si="217"/>
        <v>0</v>
      </c>
      <c r="AB326" s="1">
        <f t="shared" si="218"/>
        <v>0</v>
      </c>
      <c r="AD326" s="1">
        <f t="shared" si="219"/>
        <v>1</v>
      </c>
      <c r="AE326" s="1">
        <f t="shared" si="220"/>
        <v>0</v>
      </c>
      <c r="AF326" s="1">
        <f t="shared" si="205"/>
        <v>1</v>
      </c>
      <c r="AG326" s="1">
        <f t="shared" si="206"/>
        <v>0</v>
      </c>
      <c r="AH326" s="1">
        <f t="shared" si="207"/>
        <v>1</v>
      </c>
      <c r="AI326" s="1">
        <f t="shared" si="208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787</v>
      </c>
      <c r="E327" s="45" t="s">
        <v>909</v>
      </c>
      <c r="F327" s="45" t="s">
        <v>1571</v>
      </c>
      <c r="G327" s="45" t="s">
        <v>230</v>
      </c>
      <c r="H327" s="45" t="s">
        <v>354</v>
      </c>
      <c r="I327" s="44" t="s">
        <v>1694</v>
      </c>
      <c r="J327" s="44">
        <v>7</v>
      </c>
      <c r="K327" s="46" t="s">
        <v>713</v>
      </c>
      <c r="L327" s="46">
        <v>20</v>
      </c>
      <c r="M327" s="47" t="s">
        <v>39</v>
      </c>
      <c r="N327" s="47" t="s">
        <v>1734</v>
      </c>
      <c r="O327" s="48"/>
      <c r="P327" s="48"/>
      <c r="Q327" s="45"/>
      <c r="S327" s="1">
        <f t="shared" si="209"/>
        <v>0</v>
      </c>
      <c r="T327" s="1">
        <f t="shared" si="210"/>
        <v>0</v>
      </c>
      <c r="U327" s="1">
        <f t="shared" si="211"/>
        <v>0</v>
      </c>
      <c r="V327" s="1">
        <f t="shared" si="212"/>
        <v>0</v>
      </c>
      <c r="W327" s="1">
        <f t="shared" si="213"/>
        <v>0</v>
      </c>
      <c r="X327" s="1">
        <f t="shared" si="214"/>
        <v>0</v>
      </c>
      <c r="Y327" s="1">
        <f t="shared" si="215"/>
        <v>1</v>
      </c>
      <c r="Z327" s="1">
        <f t="shared" si="216"/>
        <v>0</v>
      </c>
      <c r="AA327" s="1">
        <f t="shared" si="217"/>
        <v>0</v>
      </c>
      <c r="AB327" s="1">
        <f t="shared" si="218"/>
        <v>0</v>
      </c>
      <c r="AD327" s="1">
        <f t="shared" si="219"/>
        <v>0</v>
      </c>
      <c r="AE327" s="1">
        <f t="shared" si="220"/>
        <v>0</v>
      </c>
      <c r="AF327" s="1">
        <f t="shared" si="205"/>
        <v>0</v>
      </c>
      <c r="AG327" s="1">
        <f t="shared" si="206"/>
        <v>0</v>
      </c>
      <c r="AH327" s="1">
        <f t="shared" si="207"/>
        <v>0</v>
      </c>
      <c r="AI327" s="1">
        <f t="shared" si="208"/>
        <v>1</v>
      </c>
    </row>
    <row r="328" spans="1:35" ht="14.25" customHeight="1" x14ac:dyDescent="0.25">
      <c r="A328" s="31">
        <v>0</v>
      </c>
      <c r="B328" s="31">
        <v>2</v>
      </c>
      <c r="C328" s="31">
        <v>2</v>
      </c>
      <c r="D328" s="32" t="s">
        <v>852</v>
      </c>
      <c r="E328" s="32" t="s">
        <v>541</v>
      </c>
      <c r="F328" s="32" t="s">
        <v>854</v>
      </c>
      <c r="G328" s="32" t="s">
        <v>220</v>
      </c>
      <c r="H328" s="32" t="s">
        <v>354</v>
      </c>
      <c r="I328" s="31" t="s">
        <v>855</v>
      </c>
      <c r="J328" s="31">
        <v>8</v>
      </c>
      <c r="K328" s="33" t="s">
        <v>713</v>
      </c>
      <c r="L328" s="33" t="s">
        <v>716</v>
      </c>
      <c r="M328" s="34" t="s">
        <v>1413</v>
      </c>
      <c r="N328" s="34" t="s">
        <v>1743</v>
      </c>
      <c r="O328" s="35">
        <v>1</v>
      </c>
      <c r="P328" s="35"/>
      <c r="Q328" s="32"/>
      <c r="S328" s="1">
        <f t="shared" si="209"/>
        <v>0</v>
      </c>
      <c r="T328" s="1">
        <f t="shared" si="210"/>
        <v>0</v>
      </c>
      <c r="U328" s="1">
        <f t="shared" si="211"/>
        <v>0</v>
      </c>
      <c r="V328" s="1">
        <f t="shared" si="212"/>
        <v>0</v>
      </c>
      <c r="W328" s="1">
        <f t="shared" si="213"/>
        <v>0</v>
      </c>
      <c r="X328" s="1">
        <f t="shared" si="214"/>
        <v>0</v>
      </c>
      <c r="Y328" s="1">
        <f t="shared" si="215"/>
        <v>0</v>
      </c>
      <c r="Z328" s="1">
        <f t="shared" si="216"/>
        <v>1</v>
      </c>
      <c r="AA328" s="1">
        <f t="shared" si="217"/>
        <v>0</v>
      </c>
      <c r="AB328" s="1">
        <f t="shared" si="218"/>
        <v>0</v>
      </c>
      <c r="AD328" s="1">
        <f t="shared" si="219"/>
        <v>0</v>
      </c>
      <c r="AE328" s="1">
        <f t="shared" si="220"/>
        <v>1</v>
      </c>
      <c r="AF328" s="1">
        <f t="shared" si="205"/>
        <v>0</v>
      </c>
      <c r="AG328" s="1">
        <f t="shared" si="206"/>
        <v>1</v>
      </c>
      <c r="AH328" s="1">
        <f t="shared" si="207"/>
        <v>0</v>
      </c>
      <c r="AI328" s="1">
        <f t="shared" si="208"/>
        <v>1</v>
      </c>
    </row>
    <row r="329" spans="1:35" ht="14.25" customHeight="1" x14ac:dyDescent="0.25">
      <c r="A329" s="31">
        <v>1</v>
      </c>
      <c r="B329" s="31">
        <v>2</v>
      </c>
      <c r="C329" s="31">
        <v>2</v>
      </c>
      <c r="D329" s="32" t="s">
        <v>852</v>
      </c>
      <c r="E329" s="32" t="s">
        <v>541</v>
      </c>
      <c r="F329" s="32" t="s">
        <v>1353</v>
      </c>
      <c r="G329" s="32" t="s">
        <v>194</v>
      </c>
      <c r="H329" s="32" t="s">
        <v>354</v>
      </c>
      <c r="I329" s="31" t="s">
        <v>853</v>
      </c>
      <c r="J329" s="31">
        <v>9</v>
      </c>
      <c r="K329" s="33" t="s">
        <v>713</v>
      </c>
      <c r="L329" s="33" t="s">
        <v>716</v>
      </c>
      <c r="M329" s="34" t="s">
        <v>1413</v>
      </c>
      <c r="N329" s="34" t="s">
        <v>1743</v>
      </c>
      <c r="O329" s="35">
        <v>1</v>
      </c>
      <c r="P329" s="35"/>
      <c r="Q329" s="32"/>
      <c r="S329" s="1">
        <f t="shared" si="209"/>
        <v>0</v>
      </c>
      <c r="T329" s="1">
        <f t="shared" si="210"/>
        <v>0</v>
      </c>
      <c r="U329" s="1">
        <f t="shared" si="211"/>
        <v>0</v>
      </c>
      <c r="V329" s="1">
        <f t="shared" si="212"/>
        <v>0</v>
      </c>
      <c r="W329" s="1">
        <f t="shared" si="213"/>
        <v>0</v>
      </c>
      <c r="X329" s="1">
        <f t="shared" si="214"/>
        <v>0</v>
      </c>
      <c r="Y329" s="1">
        <f t="shared" si="215"/>
        <v>0</v>
      </c>
      <c r="Z329" s="1">
        <f t="shared" si="216"/>
        <v>0</v>
      </c>
      <c r="AA329" s="1">
        <f t="shared" si="217"/>
        <v>1</v>
      </c>
      <c r="AB329" s="1">
        <f t="shared" si="218"/>
        <v>0</v>
      </c>
      <c r="AD329" s="1">
        <f t="shared" si="219"/>
        <v>0</v>
      </c>
      <c r="AE329" s="1">
        <f t="shared" si="220"/>
        <v>1</v>
      </c>
      <c r="AF329" s="1">
        <f t="shared" si="205"/>
        <v>0</v>
      </c>
      <c r="AG329" s="1">
        <f t="shared" si="206"/>
        <v>0</v>
      </c>
      <c r="AH329" s="1">
        <f t="shared" si="207"/>
        <v>0</v>
      </c>
      <c r="AI329" s="1">
        <f t="shared" si="208"/>
        <v>0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918</v>
      </c>
      <c r="E330" s="45" t="s">
        <v>785</v>
      </c>
      <c r="F330" s="45" t="s">
        <v>786</v>
      </c>
      <c r="G330" s="45" t="s">
        <v>230</v>
      </c>
      <c r="H330" s="45" t="s">
        <v>354</v>
      </c>
      <c r="I330" s="44" t="s">
        <v>788</v>
      </c>
      <c r="J330" s="44">
        <v>7</v>
      </c>
      <c r="K330" s="46" t="s">
        <v>712</v>
      </c>
      <c r="L330" s="46">
        <v>15</v>
      </c>
      <c r="M330" s="47" t="s">
        <v>39</v>
      </c>
      <c r="N330" s="47" t="s">
        <v>1735</v>
      </c>
      <c r="O330" s="48"/>
      <c r="P330" s="48"/>
      <c r="Q330" s="45"/>
      <c r="S330" s="1">
        <f t="shared" si="209"/>
        <v>0</v>
      </c>
      <c r="T330" s="1">
        <f t="shared" si="210"/>
        <v>0</v>
      </c>
      <c r="U330" s="1">
        <f t="shared" si="211"/>
        <v>0</v>
      </c>
      <c r="V330" s="1">
        <f t="shared" si="212"/>
        <v>0</v>
      </c>
      <c r="W330" s="1">
        <f t="shared" si="213"/>
        <v>0</v>
      </c>
      <c r="X330" s="1">
        <f t="shared" si="214"/>
        <v>0</v>
      </c>
      <c r="Y330" s="1">
        <f t="shared" si="215"/>
        <v>1</v>
      </c>
      <c r="Z330" s="1">
        <f t="shared" si="216"/>
        <v>0</v>
      </c>
      <c r="AA330" s="1">
        <f t="shared" si="217"/>
        <v>0</v>
      </c>
      <c r="AB330" s="1">
        <f t="shared" si="218"/>
        <v>0</v>
      </c>
      <c r="AD330" s="1">
        <f t="shared" si="219"/>
        <v>0</v>
      </c>
      <c r="AE330" s="1">
        <f t="shared" si="220"/>
        <v>0</v>
      </c>
      <c r="AF330" s="1">
        <f t="shared" si="205"/>
        <v>0</v>
      </c>
      <c r="AG330" s="1">
        <f t="shared" si="206"/>
        <v>0</v>
      </c>
      <c r="AH330" s="1">
        <f t="shared" si="207"/>
        <v>0</v>
      </c>
      <c r="AI330" s="1">
        <f t="shared" si="208"/>
        <v>1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83</v>
      </c>
      <c r="E331" s="45" t="s">
        <v>157</v>
      </c>
      <c r="F331" s="65" t="s">
        <v>1872</v>
      </c>
      <c r="G331" s="45" t="s">
        <v>209</v>
      </c>
      <c r="H331" s="45" t="s">
        <v>354</v>
      </c>
      <c r="I331" s="44" t="s">
        <v>432</v>
      </c>
      <c r="J331" s="44">
        <v>99</v>
      </c>
      <c r="K331" s="46" t="s">
        <v>954</v>
      </c>
      <c r="L331" s="46" t="s">
        <v>704</v>
      </c>
      <c r="M331" s="47" t="s">
        <v>719</v>
      </c>
      <c r="N331" s="47" t="s">
        <v>1735</v>
      </c>
      <c r="O331" s="48"/>
      <c r="P331" s="48"/>
      <c r="Q331" s="45"/>
      <c r="S331" s="1">
        <f t="shared" si="209"/>
        <v>0</v>
      </c>
      <c r="T331" s="1">
        <f t="shared" si="210"/>
        <v>0</v>
      </c>
      <c r="U331" s="1">
        <f t="shared" si="211"/>
        <v>0</v>
      </c>
      <c r="V331" s="1">
        <f t="shared" si="212"/>
        <v>0</v>
      </c>
      <c r="W331" s="1">
        <f t="shared" si="213"/>
        <v>0</v>
      </c>
      <c r="X331" s="1">
        <f t="shared" si="214"/>
        <v>0</v>
      </c>
      <c r="Y331" s="1">
        <f t="shared" si="215"/>
        <v>0</v>
      </c>
      <c r="Z331" s="1">
        <f t="shared" si="216"/>
        <v>0</v>
      </c>
      <c r="AA331" s="1">
        <f t="shared" si="217"/>
        <v>0</v>
      </c>
      <c r="AB331" s="1">
        <f t="shared" si="218"/>
        <v>0</v>
      </c>
      <c r="AD331" s="1">
        <f t="shared" si="219"/>
        <v>0</v>
      </c>
      <c r="AE331" s="1">
        <f t="shared" si="220"/>
        <v>0</v>
      </c>
      <c r="AF331" s="1">
        <f t="shared" si="205"/>
        <v>0</v>
      </c>
      <c r="AG331" s="1">
        <f t="shared" si="206"/>
        <v>0</v>
      </c>
      <c r="AH331" s="1">
        <f t="shared" si="207"/>
        <v>0</v>
      </c>
      <c r="AI331" s="1">
        <f t="shared" si="208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1564</v>
      </c>
      <c r="E332" s="32" t="s">
        <v>1334</v>
      </c>
      <c r="F332" s="32" t="s">
        <v>1565</v>
      </c>
      <c r="G332" s="32" t="s">
        <v>1166</v>
      </c>
      <c r="H332" s="32" t="s">
        <v>354</v>
      </c>
      <c r="I332" s="31" t="s">
        <v>1566</v>
      </c>
      <c r="J332" s="31">
        <v>1</v>
      </c>
      <c r="K332" s="33" t="s">
        <v>713</v>
      </c>
      <c r="L332" s="33" t="s">
        <v>39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209"/>
        <v>1</v>
      </c>
      <c r="T332" s="1">
        <f t="shared" si="210"/>
        <v>0</v>
      </c>
      <c r="U332" s="1">
        <f t="shared" si="211"/>
        <v>0</v>
      </c>
      <c r="V332" s="1">
        <f t="shared" si="212"/>
        <v>0</v>
      </c>
      <c r="W332" s="1">
        <f t="shared" si="213"/>
        <v>0</v>
      </c>
      <c r="X332" s="1">
        <f t="shared" si="214"/>
        <v>0</v>
      </c>
      <c r="Y332" s="1">
        <f t="shared" si="215"/>
        <v>0</v>
      </c>
      <c r="Z332" s="1">
        <f t="shared" si="216"/>
        <v>0</v>
      </c>
      <c r="AA332" s="1">
        <f t="shared" si="217"/>
        <v>0</v>
      </c>
      <c r="AB332" s="1">
        <f t="shared" si="218"/>
        <v>0</v>
      </c>
      <c r="AD332" s="1">
        <f t="shared" si="219"/>
        <v>1</v>
      </c>
      <c r="AE332" s="1">
        <f t="shared" si="220"/>
        <v>0</v>
      </c>
      <c r="AF332" s="1">
        <f t="shared" si="205"/>
        <v>1</v>
      </c>
      <c r="AG332" s="1">
        <f t="shared" si="206"/>
        <v>0</v>
      </c>
      <c r="AH332" s="1">
        <f t="shared" si="207"/>
        <v>1</v>
      </c>
      <c r="AI332" s="1">
        <f t="shared" si="208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1744</v>
      </c>
      <c r="E333" s="32" t="s">
        <v>27</v>
      </c>
      <c r="F333" s="32" t="s">
        <v>1044</v>
      </c>
      <c r="G333" s="32" t="s">
        <v>220</v>
      </c>
      <c r="H333" s="32" t="s">
        <v>354</v>
      </c>
      <c r="I333" s="31" t="s">
        <v>1045</v>
      </c>
      <c r="J333" s="31">
        <v>8</v>
      </c>
      <c r="K333" s="33" t="s">
        <v>713</v>
      </c>
      <c r="L333" s="33">
        <v>25</v>
      </c>
      <c r="M333" s="34" t="s">
        <v>1745</v>
      </c>
      <c r="N333" s="34" t="s">
        <v>1727</v>
      </c>
      <c r="O333" s="35">
        <v>1</v>
      </c>
      <c r="P333" s="35">
        <v>1</v>
      </c>
      <c r="Q333" s="32"/>
      <c r="S333" s="1">
        <f t="shared" si="209"/>
        <v>0</v>
      </c>
      <c r="T333" s="1">
        <f t="shared" si="210"/>
        <v>0</v>
      </c>
      <c r="U333" s="1">
        <f t="shared" si="211"/>
        <v>0</v>
      </c>
      <c r="V333" s="1">
        <f t="shared" si="212"/>
        <v>0</v>
      </c>
      <c r="W333" s="1">
        <f t="shared" si="213"/>
        <v>0</v>
      </c>
      <c r="X333" s="1">
        <f t="shared" si="214"/>
        <v>0</v>
      </c>
      <c r="Y333" s="1">
        <f t="shared" si="215"/>
        <v>0</v>
      </c>
      <c r="Z333" s="1">
        <f t="shared" si="216"/>
        <v>1</v>
      </c>
      <c r="AA333" s="1">
        <f t="shared" si="217"/>
        <v>0</v>
      </c>
      <c r="AB333" s="1">
        <f t="shared" si="218"/>
        <v>0</v>
      </c>
      <c r="AD333" s="1">
        <f t="shared" si="219"/>
        <v>1</v>
      </c>
      <c r="AE333" s="1">
        <f t="shared" si="220"/>
        <v>0</v>
      </c>
      <c r="AF333" s="1">
        <f t="shared" si="205"/>
        <v>1</v>
      </c>
      <c r="AG333" s="1">
        <f t="shared" si="206"/>
        <v>0</v>
      </c>
      <c r="AH333" s="1">
        <f t="shared" si="207"/>
        <v>1</v>
      </c>
      <c r="AI333" s="1">
        <f t="shared" si="208"/>
        <v>0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45</v>
      </c>
      <c r="E334" s="32" t="s">
        <v>44</v>
      </c>
      <c r="F334" s="32" t="s">
        <v>669</v>
      </c>
      <c r="G334" s="32" t="s">
        <v>180</v>
      </c>
      <c r="H334" s="32" t="s">
        <v>354</v>
      </c>
      <c r="I334" s="31" t="s">
        <v>949</v>
      </c>
      <c r="J334" s="31">
        <v>10</v>
      </c>
      <c r="K334" s="33" t="s">
        <v>713</v>
      </c>
      <c r="L334" s="33" t="s">
        <v>720</v>
      </c>
      <c r="M334" s="34" t="s">
        <v>721</v>
      </c>
      <c r="N334" s="34" t="s">
        <v>1727</v>
      </c>
      <c r="O334" s="35">
        <v>1</v>
      </c>
      <c r="P334" s="35">
        <v>1</v>
      </c>
      <c r="Q334" s="32"/>
      <c r="S334" s="1">
        <f t="shared" si="209"/>
        <v>0</v>
      </c>
      <c r="T334" s="1">
        <f t="shared" si="210"/>
        <v>0</v>
      </c>
      <c r="U334" s="1">
        <f t="shared" si="211"/>
        <v>0</v>
      </c>
      <c r="V334" s="1">
        <f t="shared" si="212"/>
        <v>0</v>
      </c>
      <c r="W334" s="1">
        <f t="shared" si="213"/>
        <v>0</v>
      </c>
      <c r="X334" s="1">
        <f t="shared" si="214"/>
        <v>0</v>
      </c>
      <c r="Y334" s="1">
        <f t="shared" si="215"/>
        <v>0</v>
      </c>
      <c r="Z334" s="1">
        <f t="shared" si="216"/>
        <v>0</v>
      </c>
      <c r="AA334" s="1">
        <f t="shared" si="217"/>
        <v>0</v>
      </c>
      <c r="AB334" s="1">
        <f t="shared" si="218"/>
        <v>1</v>
      </c>
      <c r="AD334" s="1">
        <f t="shared" si="219"/>
        <v>1</v>
      </c>
      <c r="AE334" s="1">
        <f t="shared" si="220"/>
        <v>0</v>
      </c>
      <c r="AF334" s="1">
        <f t="shared" si="205"/>
        <v>1</v>
      </c>
      <c r="AG334" s="1">
        <f t="shared" si="206"/>
        <v>0</v>
      </c>
      <c r="AH334" s="1">
        <f t="shared" si="207"/>
        <v>1</v>
      </c>
      <c r="AI334" s="1">
        <f t="shared" si="208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1448</v>
      </c>
      <c r="E335" s="32" t="s">
        <v>1653</v>
      </c>
      <c r="F335" s="32" t="s">
        <v>1668</v>
      </c>
      <c r="G335" s="32" t="s">
        <v>230</v>
      </c>
      <c r="H335" s="32" t="s">
        <v>354</v>
      </c>
      <c r="I335" s="31" t="s">
        <v>1449</v>
      </c>
      <c r="J335" s="31">
        <v>99</v>
      </c>
      <c r="K335" s="33" t="s">
        <v>955</v>
      </c>
      <c r="L335" s="33">
        <v>20</v>
      </c>
      <c r="M335" s="34" t="s">
        <v>39</v>
      </c>
      <c r="N335" s="34" t="s">
        <v>1727</v>
      </c>
      <c r="O335" s="35">
        <v>1</v>
      </c>
      <c r="P335" s="35">
        <v>1</v>
      </c>
      <c r="Q335" s="32"/>
      <c r="S335" s="1">
        <f t="shared" si="209"/>
        <v>0</v>
      </c>
      <c r="T335" s="1">
        <f t="shared" si="210"/>
        <v>0</v>
      </c>
      <c r="U335" s="1">
        <f t="shared" si="211"/>
        <v>0</v>
      </c>
      <c r="V335" s="1">
        <f t="shared" si="212"/>
        <v>0</v>
      </c>
      <c r="W335" s="1">
        <f t="shared" si="213"/>
        <v>0</v>
      </c>
      <c r="X335" s="1">
        <f t="shared" si="214"/>
        <v>0</v>
      </c>
      <c r="Y335" s="1">
        <f t="shared" si="215"/>
        <v>0</v>
      </c>
      <c r="Z335" s="1">
        <f t="shared" si="216"/>
        <v>0</v>
      </c>
      <c r="AA335" s="1">
        <f t="shared" si="217"/>
        <v>0</v>
      </c>
      <c r="AB335" s="1">
        <f t="shared" si="218"/>
        <v>0</v>
      </c>
      <c r="AD335" s="1">
        <f t="shared" si="219"/>
        <v>1</v>
      </c>
      <c r="AE335" s="1">
        <f t="shared" si="220"/>
        <v>0</v>
      </c>
      <c r="AF335" s="1">
        <f t="shared" si="205"/>
        <v>1</v>
      </c>
      <c r="AG335" s="1">
        <f t="shared" si="206"/>
        <v>0</v>
      </c>
      <c r="AH335" s="1">
        <f t="shared" si="207"/>
        <v>1</v>
      </c>
      <c r="AI335" s="1">
        <f t="shared" si="208"/>
        <v>0</v>
      </c>
    </row>
    <row r="336" spans="1:35" ht="14.25" customHeight="1" x14ac:dyDescent="0.25">
      <c r="A336" s="67">
        <v>0</v>
      </c>
      <c r="B336" s="67">
        <v>2</v>
      </c>
      <c r="C336" s="67">
        <v>2</v>
      </c>
      <c r="D336" s="54" t="s">
        <v>1993</v>
      </c>
      <c r="E336" s="54" t="s">
        <v>1994</v>
      </c>
      <c r="F336" s="54" t="s">
        <v>1995</v>
      </c>
      <c r="G336" s="54" t="s">
        <v>179</v>
      </c>
      <c r="H336" s="54" t="s">
        <v>354</v>
      </c>
      <c r="I336" s="67" t="s">
        <v>1996</v>
      </c>
      <c r="J336" s="67"/>
      <c r="K336" s="67" t="s">
        <v>703</v>
      </c>
      <c r="L336" s="67"/>
      <c r="M336" s="54"/>
      <c r="N336" s="54"/>
      <c r="O336" s="68"/>
      <c r="P336" s="68">
        <v>1</v>
      </c>
      <c r="Q336" s="54"/>
      <c r="S336" s="1">
        <f t="shared" si="209"/>
        <v>0</v>
      </c>
      <c r="T336" s="1">
        <f t="shared" si="210"/>
        <v>0</v>
      </c>
      <c r="U336" s="1">
        <f t="shared" si="211"/>
        <v>0</v>
      </c>
      <c r="V336" s="1">
        <f t="shared" si="212"/>
        <v>0</v>
      </c>
      <c r="W336" s="1">
        <f t="shared" si="213"/>
        <v>0</v>
      </c>
      <c r="X336" s="1">
        <f t="shared" si="214"/>
        <v>0</v>
      </c>
      <c r="Y336" s="1">
        <f t="shared" si="215"/>
        <v>0</v>
      </c>
      <c r="Z336" s="1">
        <f t="shared" si="216"/>
        <v>0</v>
      </c>
      <c r="AA336" s="1">
        <f t="shared" si="217"/>
        <v>0</v>
      </c>
      <c r="AB336" s="1">
        <f t="shared" si="218"/>
        <v>0</v>
      </c>
      <c r="AD336" s="1">
        <f t="shared" si="219"/>
        <v>0</v>
      </c>
      <c r="AE336" s="1">
        <f t="shared" si="220"/>
        <v>0</v>
      </c>
      <c r="AF336" s="1">
        <f t="shared" si="205"/>
        <v>0</v>
      </c>
      <c r="AG336" s="1">
        <f t="shared" si="206"/>
        <v>0</v>
      </c>
      <c r="AH336" s="1">
        <f t="shared" si="207"/>
        <v>1</v>
      </c>
      <c r="AI336" s="1">
        <f t="shared" si="208"/>
        <v>0</v>
      </c>
    </row>
    <row r="337" spans="1:35" ht="14.25" customHeight="1" x14ac:dyDescent="0.25">
      <c r="A337" s="49">
        <v>0</v>
      </c>
      <c r="B337" s="49">
        <v>2</v>
      </c>
      <c r="C337" s="49">
        <v>2</v>
      </c>
      <c r="D337" s="50" t="s">
        <v>606</v>
      </c>
      <c r="E337" s="50" t="s">
        <v>607</v>
      </c>
      <c r="F337" s="50" t="s">
        <v>608</v>
      </c>
      <c r="G337" s="50" t="s">
        <v>257</v>
      </c>
      <c r="H337" s="50" t="s">
        <v>354</v>
      </c>
      <c r="I337" s="49" t="s">
        <v>609</v>
      </c>
      <c r="J337" s="49">
        <v>99</v>
      </c>
      <c r="K337" s="51" t="s">
        <v>955</v>
      </c>
      <c r="L337" s="51" t="s">
        <v>704</v>
      </c>
      <c r="M337" s="52" t="s">
        <v>1414</v>
      </c>
      <c r="N337" s="52" t="s">
        <v>1743</v>
      </c>
      <c r="O337" s="53">
        <v>1</v>
      </c>
      <c r="P337" s="53"/>
      <c r="Q337" s="50"/>
      <c r="S337" s="1">
        <f t="shared" si="209"/>
        <v>0</v>
      </c>
      <c r="T337" s="1">
        <f t="shared" si="210"/>
        <v>0</v>
      </c>
      <c r="U337" s="1">
        <f t="shared" si="211"/>
        <v>0</v>
      </c>
      <c r="V337" s="1">
        <f t="shared" si="212"/>
        <v>0</v>
      </c>
      <c r="W337" s="1">
        <f t="shared" si="213"/>
        <v>0</v>
      </c>
      <c r="X337" s="1">
        <f t="shared" si="214"/>
        <v>0</v>
      </c>
      <c r="Y337" s="1">
        <f t="shared" si="215"/>
        <v>0</v>
      </c>
      <c r="Z337" s="1">
        <f t="shared" si="216"/>
        <v>0</v>
      </c>
      <c r="AA337" s="1">
        <f t="shared" si="217"/>
        <v>0</v>
      </c>
      <c r="AB337" s="1">
        <f t="shared" si="218"/>
        <v>0</v>
      </c>
      <c r="AD337" s="1">
        <f t="shared" si="219"/>
        <v>0</v>
      </c>
      <c r="AE337" s="1">
        <f t="shared" si="220"/>
        <v>1</v>
      </c>
      <c r="AF337" s="1">
        <f t="shared" si="205"/>
        <v>0</v>
      </c>
      <c r="AG337" s="1">
        <f t="shared" si="206"/>
        <v>1</v>
      </c>
      <c r="AH337" s="1">
        <f t="shared" si="207"/>
        <v>0</v>
      </c>
      <c r="AI337" s="1">
        <f t="shared" si="208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1925</v>
      </c>
      <c r="E338" s="32" t="s">
        <v>1926</v>
      </c>
      <c r="F338" s="32" t="s">
        <v>1927</v>
      </c>
      <c r="G338" s="32" t="s">
        <v>184</v>
      </c>
      <c r="H338" s="32" t="s">
        <v>354</v>
      </c>
      <c r="I338" s="31" t="s">
        <v>1929</v>
      </c>
      <c r="J338" s="31">
        <v>99</v>
      </c>
      <c r="K338" s="33" t="s">
        <v>703</v>
      </c>
      <c r="L338" s="33"/>
      <c r="M338" s="34"/>
      <c r="N338" s="34" t="s">
        <v>1727</v>
      </c>
      <c r="O338" s="35">
        <v>1</v>
      </c>
      <c r="P338" s="35">
        <v>1</v>
      </c>
      <c r="Q338" s="32" t="s">
        <v>1928</v>
      </c>
      <c r="S338" s="1">
        <f t="shared" si="209"/>
        <v>0</v>
      </c>
      <c r="T338" s="1">
        <f t="shared" si="210"/>
        <v>0</v>
      </c>
      <c r="U338" s="1">
        <f t="shared" si="211"/>
        <v>0</v>
      </c>
      <c r="V338" s="1">
        <f t="shared" si="212"/>
        <v>0</v>
      </c>
      <c r="W338" s="1">
        <f t="shared" si="213"/>
        <v>0</v>
      </c>
      <c r="X338" s="1">
        <f t="shared" si="214"/>
        <v>0</v>
      </c>
      <c r="Y338" s="1">
        <f t="shared" si="215"/>
        <v>0</v>
      </c>
      <c r="Z338" s="1">
        <f t="shared" si="216"/>
        <v>0</v>
      </c>
      <c r="AA338" s="1">
        <f t="shared" si="217"/>
        <v>0</v>
      </c>
      <c r="AB338" s="1">
        <f t="shared" si="218"/>
        <v>0</v>
      </c>
      <c r="AD338" s="1">
        <f t="shared" si="219"/>
        <v>1</v>
      </c>
      <c r="AE338" s="1">
        <f t="shared" si="220"/>
        <v>0</v>
      </c>
      <c r="AF338" s="1">
        <f t="shared" si="205"/>
        <v>1</v>
      </c>
      <c r="AG338" s="1">
        <f t="shared" si="206"/>
        <v>0</v>
      </c>
      <c r="AH338" s="1">
        <f t="shared" si="207"/>
        <v>1</v>
      </c>
      <c r="AI338" s="1">
        <f t="shared" si="208"/>
        <v>0</v>
      </c>
    </row>
    <row r="339" spans="1:35" ht="14.25" customHeight="1" x14ac:dyDescent="0.25">
      <c r="A339" s="44">
        <v>0</v>
      </c>
      <c r="B339" s="44">
        <v>2</v>
      </c>
      <c r="C339" s="44">
        <v>2</v>
      </c>
      <c r="D339" s="45" t="s">
        <v>1643</v>
      </c>
      <c r="E339" s="45" t="s">
        <v>1168</v>
      </c>
      <c r="F339" s="45" t="s">
        <v>1674</v>
      </c>
      <c r="G339" s="45" t="s">
        <v>180</v>
      </c>
      <c r="H339" s="45" t="s">
        <v>354</v>
      </c>
      <c r="I339" s="44" t="s">
        <v>1494</v>
      </c>
      <c r="J339" s="44">
        <v>10</v>
      </c>
      <c r="K339" s="46" t="s">
        <v>712</v>
      </c>
      <c r="L339" s="46">
        <v>15</v>
      </c>
      <c r="M339" s="47" t="s">
        <v>39</v>
      </c>
      <c r="N339" s="47" t="s">
        <v>1740</v>
      </c>
      <c r="O339" s="48"/>
      <c r="P339" s="48"/>
      <c r="Q339" s="45"/>
      <c r="S339" s="1">
        <f t="shared" si="209"/>
        <v>0</v>
      </c>
      <c r="T339" s="1">
        <f t="shared" si="210"/>
        <v>0</v>
      </c>
      <c r="U339" s="1">
        <f t="shared" si="211"/>
        <v>0</v>
      </c>
      <c r="V339" s="1">
        <f t="shared" si="212"/>
        <v>0</v>
      </c>
      <c r="W339" s="1">
        <f t="shared" si="213"/>
        <v>0</v>
      </c>
      <c r="X339" s="1">
        <f t="shared" si="214"/>
        <v>0</v>
      </c>
      <c r="Y339" s="1">
        <f t="shared" si="215"/>
        <v>0</v>
      </c>
      <c r="Z339" s="1">
        <f t="shared" si="216"/>
        <v>0</v>
      </c>
      <c r="AA339" s="1">
        <f t="shared" si="217"/>
        <v>0</v>
      </c>
      <c r="AB339" s="1">
        <f t="shared" si="218"/>
        <v>1</v>
      </c>
      <c r="AD339" s="1">
        <f t="shared" si="219"/>
        <v>0</v>
      </c>
      <c r="AE339" s="1">
        <f t="shared" si="220"/>
        <v>0</v>
      </c>
      <c r="AF339" s="1">
        <f t="shared" ref="AF339:AF403" si="221">+O339*P339*(1-A339)</f>
        <v>0</v>
      </c>
      <c r="AG339" s="1">
        <f t="shared" ref="AG339:AG403" si="222">O339*(1-P339)*(1-A339)</f>
        <v>0</v>
      </c>
      <c r="AH339" s="1">
        <f t="shared" ref="AH339:AH403" si="223">+P339*(1-A339)</f>
        <v>0</v>
      </c>
      <c r="AI339" s="1">
        <f t="shared" ref="AI339:AI403" si="224">+(1-A339)*(1-P339)</f>
        <v>1</v>
      </c>
    </row>
    <row r="340" spans="1:35" ht="14.25" customHeight="1" x14ac:dyDescent="0.25">
      <c r="A340" s="44">
        <v>0</v>
      </c>
      <c r="B340" s="44">
        <v>2</v>
      </c>
      <c r="C340" s="44">
        <v>2</v>
      </c>
      <c r="D340" s="45" t="s">
        <v>862</v>
      </c>
      <c r="E340" s="45" t="s">
        <v>544</v>
      </c>
      <c r="F340" s="45" t="s">
        <v>863</v>
      </c>
      <c r="G340" s="45" t="s">
        <v>314</v>
      </c>
      <c r="H340" s="45" t="s">
        <v>354</v>
      </c>
      <c r="I340" s="44" t="s">
        <v>864</v>
      </c>
      <c r="J340" s="44">
        <v>1</v>
      </c>
      <c r="K340" s="46" t="s">
        <v>712</v>
      </c>
      <c r="L340" s="46">
        <v>25</v>
      </c>
      <c r="M340" s="47" t="s">
        <v>39</v>
      </c>
      <c r="N340" s="47" t="s">
        <v>1735</v>
      </c>
      <c r="O340" s="48"/>
      <c r="P340" s="48"/>
      <c r="Q340" s="45"/>
      <c r="S340" s="1">
        <f t="shared" si="209"/>
        <v>1</v>
      </c>
      <c r="T340" s="1">
        <f t="shared" si="210"/>
        <v>0</v>
      </c>
      <c r="U340" s="1">
        <f t="shared" si="211"/>
        <v>0</v>
      </c>
      <c r="V340" s="1">
        <f t="shared" si="212"/>
        <v>0</v>
      </c>
      <c r="W340" s="1">
        <f t="shared" si="213"/>
        <v>0</v>
      </c>
      <c r="X340" s="1">
        <f t="shared" si="214"/>
        <v>0</v>
      </c>
      <c r="Y340" s="1">
        <f t="shared" si="215"/>
        <v>0</v>
      </c>
      <c r="Z340" s="1">
        <f t="shared" si="216"/>
        <v>0</v>
      </c>
      <c r="AA340" s="1">
        <f t="shared" si="217"/>
        <v>0</v>
      </c>
      <c r="AB340" s="1">
        <f t="shared" si="218"/>
        <v>0</v>
      </c>
      <c r="AD340" s="1">
        <f t="shared" si="219"/>
        <v>0</v>
      </c>
      <c r="AE340" s="1">
        <f t="shared" si="220"/>
        <v>0</v>
      </c>
      <c r="AF340" s="1">
        <f t="shared" si="221"/>
        <v>0</v>
      </c>
      <c r="AG340" s="1">
        <f t="shared" si="222"/>
        <v>0</v>
      </c>
      <c r="AH340" s="1">
        <f t="shared" si="223"/>
        <v>0</v>
      </c>
      <c r="AI340" s="1">
        <f t="shared" si="224"/>
        <v>1</v>
      </c>
    </row>
    <row r="341" spans="1:35" ht="14.25" customHeight="1" x14ac:dyDescent="0.25">
      <c r="A341" s="31">
        <v>0</v>
      </c>
      <c r="B341" s="31">
        <v>2</v>
      </c>
      <c r="C341" s="31">
        <v>3</v>
      </c>
      <c r="D341" s="32" t="s">
        <v>568</v>
      </c>
      <c r="E341" s="32" t="s">
        <v>38</v>
      </c>
      <c r="F341" s="32" t="s">
        <v>237</v>
      </c>
      <c r="G341" s="32" t="s">
        <v>539</v>
      </c>
      <c r="H341" s="32" t="s">
        <v>354</v>
      </c>
      <c r="I341" s="31" t="s">
        <v>403</v>
      </c>
      <c r="J341" s="31">
        <v>1</v>
      </c>
      <c r="K341" s="33" t="s">
        <v>712</v>
      </c>
      <c r="L341" s="33" t="s">
        <v>724</v>
      </c>
      <c r="M341" s="34" t="s">
        <v>725</v>
      </c>
      <c r="N341" s="34" t="s">
        <v>1727</v>
      </c>
      <c r="O341" s="35">
        <v>1</v>
      </c>
      <c r="P341" s="35">
        <v>1</v>
      </c>
      <c r="Q341" s="32"/>
      <c r="S341" s="1">
        <f t="shared" si="209"/>
        <v>1</v>
      </c>
      <c r="T341" s="1">
        <f t="shared" si="210"/>
        <v>0</v>
      </c>
      <c r="U341" s="1">
        <f t="shared" si="211"/>
        <v>0</v>
      </c>
      <c r="V341" s="1">
        <f t="shared" si="212"/>
        <v>0</v>
      </c>
      <c r="W341" s="1">
        <f t="shared" si="213"/>
        <v>0</v>
      </c>
      <c r="X341" s="1">
        <f t="shared" si="214"/>
        <v>0</v>
      </c>
      <c r="Y341" s="1">
        <f t="shared" si="215"/>
        <v>0</v>
      </c>
      <c r="Z341" s="1">
        <f t="shared" si="216"/>
        <v>0</v>
      </c>
      <c r="AA341" s="1">
        <f t="shared" si="217"/>
        <v>0</v>
      </c>
      <c r="AB341" s="1">
        <f t="shared" si="218"/>
        <v>0</v>
      </c>
      <c r="AD341" s="1">
        <f t="shared" si="219"/>
        <v>1</v>
      </c>
      <c r="AE341" s="1">
        <f t="shared" si="220"/>
        <v>0</v>
      </c>
      <c r="AF341" s="1">
        <f t="shared" si="221"/>
        <v>1</v>
      </c>
      <c r="AG341" s="1">
        <f t="shared" si="222"/>
        <v>0</v>
      </c>
      <c r="AH341" s="1">
        <f t="shared" si="223"/>
        <v>1</v>
      </c>
      <c r="AI341" s="1">
        <f t="shared" si="224"/>
        <v>0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850</v>
      </c>
      <c r="E342" s="45" t="s">
        <v>34</v>
      </c>
      <c r="F342" s="45" t="s">
        <v>926</v>
      </c>
      <c r="G342" s="45" t="s">
        <v>638</v>
      </c>
      <c r="H342" s="45" t="s">
        <v>354</v>
      </c>
      <c r="I342" s="44" t="s">
        <v>851</v>
      </c>
      <c r="J342" s="44">
        <v>1</v>
      </c>
      <c r="K342" s="46" t="s">
        <v>954</v>
      </c>
      <c r="L342" s="46" t="s">
        <v>729</v>
      </c>
      <c r="M342" s="47" t="s">
        <v>723</v>
      </c>
      <c r="N342" s="47" t="s">
        <v>1735</v>
      </c>
      <c r="O342" s="48"/>
      <c r="P342" s="48"/>
      <c r="Q342" s="45"/>
      <c r="S342" s="1">
        <f t="shared" si="209"/>
        <v>1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0</v>
      </c>
      <c r="AE342" s="1">
        <f t="shared" si="220"/>
        <v>0</v>
      </c>
      <c r="AF342" s="1">
        <f t="shared" si="221"/>
        <v>0</v>
      </c>
      <c r="AG342" s="1">
        <f t="shared" si="222"/>
        <v>0</v>
      </c>
      <c r="AH342" s="1">
        <f t="shared" si="223"/>
        <v>0</v>
      </c>
      <c r="AI342" s="1">
        <f t="shared" si="224"/>
        <v>1</v>
      </c>
    </row>
    <row r="343" spans="1:35" ht="14.25" customHeight="1" x14ac:dyDescent="0.25">
      <c r="A343" s="15">
        <v>0</v>
      </c>
      <c r="B343" s="15">
        <v>2</v>
      </c>
      <c r="C343" s="15">
        <v>3</v>
      </c>
      <c r="D343" s="16" t="s">
        <v>793</v>
      </c>
      <c r="E343" s="16" t="s">
        <v>32</v>
      </c>
      <c r="F343" s="16" t="s">
        <v>794</v>
      </c>
      <c r="G343" s="16" t="s">
        <v>251</v>
      </c>
      <c r="H343" s="16" t="s">
        <v>354</v>
      </c>
      <c r="I343" s="15" t="s">
        <v>795</v>
      </c>
      <c r="J343" s="15">
        <v>99</v>
      </c>
      <c r="K343" s="10" t="s">
        <v>713</v>
      </c>
      <c r="L343" s="10" t="s">
        <v>722</v>
      </c>
      <c r="M343" s="19" t="s">
        <v>723</v>
      </c>
      <c r="N343" s="19"/>
      <c r="Q343" s="16"/>
      <c r="S343" s="1">
        <f t="shared" ref="S343:S407" si="225">IF(J343=$S$7,1,0)</f>
        <v>0</v>
      </c>
      <c r="T343" s="1">
        <f t="shared" ref="T343:T407" si="226">IF(J343=$T$7,1,0)</f>
        <v>0</v>
      </c>
      <c r="U343" s="1">
        <f t="shared" ref="U343:U407" si="227">IF(J343=$U$7,1,0)</f>
        <v>0</v>
      </c>
      <c r="V343" s="1">
        <f t="shared" ref="V343:V407" si="228">IF(J343=$V$7,1,0)</f>
        <v>0</v>
      </c>
      <c r="W343" s="1">
        <f t="shared" ref="W343:W407" si="229">IF(J343=$W$7,1,0)</f>
        <v>0</v>
      </c>
      <c r="X343" s="1">
        <f t="shared" ref="X343:X407" si="230">IF(J343=$X$7,1,0)</f>
        <v>0</v>
      </c>
      <c r="Y343" s="1">
        <f t="shared" ref="Y343:Y407" si="231">IF(J343=$Y$7,1,0)</f>
        <v>0</v>
      </c>
      <c r="Z343" s="1">
        <f t="shared" ref="Z343:Z407" si="232">IF(J343=$Z$7,1,0)</f>
        <v>0</v>
      </c>
      <c r="AA343" s="1">
        <f t="shared" ref="AA343:AA407" si="233">IF(J343=$AA$7,1,0)</f>
        <v>0</v>
      </c>
      <c r="AB343" s="1">
        <f t="shared" ref="AB343:AB407" si="234">IF(J343=$AB$7,1,0)</f>
        <v>0</v>
      </c>
      <c r="AD343" s="1">
        <f t="shared" ref="AD343:AD407" si="235">+O343*P343</f>
        <v>0</v>
      </c>
      <c r="AE343" s="1">
        <f t="shared" ref="AE343:AE407" si="236">O343*(1-P343)</f>
        <v>0</v>
      </c>
      <c r="AF343" s="1">
        <f t="shared" si="221"/>
        <v>0</v>
      </c>
      <c r="AG343" s="1">
        <f t="shared" si="222"/>
        <v>0</v>
      </c>
      <c r="AH343" s="1">
        <f t="shared" si="223"/>
        <v>0</v>
      </c>
      <c r="AI343" s="1">
        <f t="shared" si="224"/>
        <v>1</v>
      </c>
    </row>
    <row r="344" spans="1:35" ht="14.25" customHeight="1" x14ac:dyDescent="0.25">
      <c r="A344" s="44">
        <v>0</v>
      </c>
      <c r="B344" s="44">
        <v>2</v>
      </c>
      <c r="C344" s="44">
        <v>3</v>
      </c>
      <c r="D344" s="45" t="s">
        <v>56</v>
      </c>
      <c r="E344" s="45" t="s">
        <v>161</v>
      </c>
      <c r="F344" s="45" t="s">
        <v>219</v>
      </c>
      <c r="G344" s="45" t="s">
        <v>196</v>
      </c>
      <c r="H344" s="45" t="s">
        <v>354</v>
      </c>
      <c r="I344" s="44" t="s">
        <v>551</v>
      </c>
      <c r="J344" s="44">
        <v>99</v>
      </c>
      <c r="K344" s="46" t="s">
        <v>713</v>
      </c>
      <c r="L344" s="46" t="s">
        <v>722</v>
      </c>
      <c r="M344" s="47" t="s">
        <v>723</v>
      </c>
      <c r="N344" s="47" t="s">
        <v>1802</v>
      </c>
      <c r="O344" s="48"/>
      <c r="P344" s="48"/>
      <c r="Q344" s="45"/>
      <c r="S344" s="1">
        <f t="shared" si="225"/>
        <v>0</v>
      </c>
      <c r="T344" s="1">
        <f t="shared" si="226"/>
        <v>0</v>
      </c>
      <c r="U344" s="1">
        <f t="shared" si="227"/>
        <v>0</v>
      </c>
      <c r="V344" s="1">
        <f t="shared" si="228"/>
        <v>0</v>
      </c>
      <c r="W344" s="1">
        <f t="shared" si="229"/>
        <v>0</v>
      </c>
      <c r="X344" s="1">
        <f t="shared" si="230"/>
        <v>0</v>
      </c>
      <c r="Y344" s="1">
        <f t="shared" si="231"/>
        <v>0</v>
      </c>
      <c r="Z344" s="1">
        <f t="shared" si="232"/>
        <v>0</v>
      </c>
      <c r="AA344" s="1">
        <f t="shared" si="233"/>
        <v>0</v>
      </c>
      <c r="AB344" s="1">
        <f t="shared" si="234"/>
        <v>0</v>
      </c>
      <c r="AD344" s="1">
        <f t="shared" si="235"/>
        <v>0</v>
      </c>
      <c r="AE344" s="1">
        <f t="shared" si="236"/>
        <v>0</v>
      </c>
      <c r="AF344" s="1">
        <f t="shared" si="221"/>
        <v>0</v>
      </c>
      <c r="AG344" s="1">
        <f t="shared" si="222"/>
        <v>0</v>
      </c>
      <c r="AH344" s="1">
        <f t="shared" si="223"/>
        <v>0</v>
      </c>
      <c r="AI344" s="1">
        <f t="shared" si="224"/>
        <v>1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1175</v>
      </c>
      <c r="E345" s="45" t="s">
        <v>1335</v>
      </c>
      <c r="F345" s="45" t="s">
        <v>1176</v>
      </c>
      <c r="G345" s="45" t="s">
        <v>302</v>
      </c>
      <c r="H345" s="45" t="s">
        <v>354</v>
      </c>
      <c r="I345" s="44" t="s">
        <v>1177</v>
      </c>
      <c r="J345" s="44">
        <v>1</v>
      </c>
      <c r="K345" s="46" t="s">
        <v>955</v>
      </c>
      <c r="L345" s="46" t="s">
        <v>693</v>
      </c>
      <c r="M345" s="47" t="s">
        <v>1415</v>
      </c>
      <c r="N345" s="47" t="s">
        <v>1735</v>
      </c>
      <c r="O345" s="48"/>
      <c r="P345" s="48"/>
      <c r="Q345" s="45"/>
      <c r="S345" s="1">
        <f t="shared" si="225"/>
        <v>1</v>
      </c>
      <c r="T345" s="1">
        <f t="shared" si="226"/>
        <v>0</v>
      </c>
      <c r="U345" s="1">
        <f t="shared" si="227"/>
        <v>0</v>
      </c>
      <c r="V345" s="1">
        <f t="shared" si="228"/>
        <v>0</v>
      </c>
      <c r="W345" s="1">
        <f t="shared" si="229"/>
        <v>0</v>
      </c>
      <c r="X345" s="1">
        <f t="shared" si="230"/>
        <v>0</v>
      </c>
      <c r="Y345" s="1">
        <f t="shared" si="231"/>
        <v>0</v>
      </c>
      <c r="Z345" s="1">
        <f t="shared" si="232"/>
        <v>0</v>
      </c>
      <c r="AA345" s="1">
        <f t="shared" si="233"/>
        <v>0</v>
      </c>
      <c r="AB345" s="1">
        <f t="shared" si="234"/>
        <v>0</v>
      </c>
      <c r="AD345" s="1">
        <f t="shared" si="235"/>
        <v>0</v>
      </c>
      <c r="AE345" s="1">
        <f t="shared" si="236"/>
        <v>0</v>
      </c>
      <c r="AF345" s="1">
        <f t="shared" si="221"/>
        <v>0</v>
      </c>
      <c r="AG345" s="1">
        <f t="shared" si="222"/>
        <v>0</v>
      </c>
      <c r="AH345" s="1">
        <f t="shared" si="223"/>
        <v>0</v>
      </c>
      <c r="AI345" s="1">
        <f t="shared" si="224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1172</v>
      </c>
      <c r="E346" s="45" t="s">
        <v>1335</v>
      </c>
      <c r="F346" s="45" t="s">
        <v>1173</v>
      </c>
      <c r="G346" s="45" t="s">
        <v>1056</v>
      </c>
      <c r="H346" s="45" t="s">
        <v>354</v>
      </c>
      <c r="I346" s="44" t="s">
        <v>1174</v>
      </c>
      <c r="J346" s="44">
        <v>1</v>
      </c>
      <c r="K346" s="46" t="s">
        <v>713</v>
      </c>
      <c r="L346" s="46" t="s">
        <v>693</v>
      </c>
      <c r="M346" s="47" t="s">
        <v>1415</v>
      </c>
      <c r="N346" s="47" t="s">
        <v>1735</v>
      </c>
      <c r="O346" s="48"/>
      <c r="P346" s="48"/>
      <c r="Q346" s="45"/>
      <c r="S346" s="1">
        <f t="shared" si="225"/>
        <v>1</v>
      </c>
      <c r="T346" s="1">
        <f t="shared" si="226"/>
        <v>0</v>
      </c>
      <c r="U346" s="1">
        <f t="shared" si="227"/>
        <v>0</v>
      </c>
      <c r="V346" s="1">
        <f t="shared" si="228"/>
        <v>0</v>
      </c>
      <c r="W346" s="1">
        <f t="shared" si="229"/>
        <v>0</v>
      </c>
      <c r="X346" s="1">
        <f t="shared" si="230"/>
        <v>0</v>
      </c>
      <c r="Y346" s="1">
        <f t="shared" si="231"/>
        <v>0</v>
      </c>
      <c r="Z346" s="1">
        <f t="shared" si="232"/>
        <v>0</v>
      </c>
      <c r="AA346" s="1">
        <f t="shared" si="233"/>
        <v>0</v>
      </c>
      <c r="AB346" s="1">
        <f t="shared" si="234"/>
        <v>0</v>
      </c>
      <c r="AD346" s="1">
        <f t="shared" si="235"/>
        <v>0</v>
      </c>
      <c r="AE346" s="1">
        <f t="shared" si="236"/>
        <v>0</v>
      </c>
      <c r="AF346" s="1">
        <f t="shared" si="221"/>
        <v>0</v>
      </c>
      <c r="AG346" s="1">
        <f t="shared" si="222"/>
        <v>0</v>
      </c>
      <c r="AH346" s="1">
        <f t="shared" si="223"/>
        <v>0</v>
      </c>
      <c r="AI346" s="1">
        <f t="shared" si="224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1294</v>
      </c>
      <c r="E347" s="32" t="s">
        <v>32</v>
      </c>
      <c r="F347" s="32" t="s">
        <v>1295</v>
      </c>
      <c r="G347" s="32" t="s">
        <v>222</v>
      </c>
      <c r="H347" s="32" t="s">
        <v>354</v>
      </c>
      <c r="I347" s="31" t="s">
        <v>1689</v>
      </c>
      <c r="J347" s="31">
        <v>99</v>
      </c>
      <c r="K347" s="33" t="s">
        <v>713</v>
      </c>
      <c r="L347" s="33" t="s">
        <v>716</v>
      </c>
      <c r="M347" s="34" t="s">
        <v>1296</v>
      </c>
      <c r="N347" s="34" t="s">
        <v>1727</v>
      </c>
      <c r="O347" s="35">
        <v>1</v>
      </c>
      <c r="P347" s="35">
        <v>1</v>
      </c>
      <c r="Q347" s="32"/>
      <c r="S347" s="1">
        <f t="shared" si="225"/>
        <v>0</v>
      </c>
      <c r="T347" s="1">
        <f t="shared" si="226"/>
        <v>0</v>
      </c>
      <c r="U347" s="1">
        <f t="shared" si="227"/>
        <v>0</v>
      </c>
      <c r="V347" s="1">
        <f t="shared" si="228"/>
        <v>0</v>
      </c>
      <c r="W347" s="1">
        <f t="shared" si="229"/>
        <v>0</v>
      </c>
      <c r="X347" s="1">
        <f t="shared" si="230"/>
        <v>0</v>
      </c>
      <c r="Y347" s="1">
        <f t="shared" si="231"/>
        <v>0</v>
      </c>
      <c r="Z347" s="1">
        <f t="shared" si="232"/>
        <v>0</v>
      </c>
      <c r="AA347" s="1">
        <f t="shared" si="233"/>
        <v>0</v>
      </c>
      <c r="AB347" s="1">
        <f t="shared" si="234"/>
        <v>0</v>
      </c>
      <c r="AD347" s="1">
        <f t="shared" si="235"/>
        <v>1</v>
      </c>
      <c r="AE347" s="1">
        <f t="shared" si="236"/>
        <v>0</v>
      </c>
      <c r="AF347" s="1">
        <f t="shared" si="221"/>
        <v>1</v>
      </c>
      <c r="AG347" s="1">
        <f t="shared" si="222"/>
        <v>0</v>
      </c>
      <c r="AH347" s="1">
        <f t="shared" si="223"/>
        <v>1</v>
      </c>
      <c r="AI347" s="1">
        <f t="shared" si="224"/>
        <v>0</v>
      </c>
    </row>
    <row r="348" spans="1:35" ht="14.25" customHeight="1" x14ac:dyDescent="0.25">
      <c r="A348" s="31">
        <v>0</v>
      </c>
      <c r="B348" s="31">
        <v>2</v>
      </c>
      <c r="C348" s="31">
        <v>3</v>
      </c>
      <c r="D348" s="32" t="s">
        <v>761</v>
      </c>
      <c r="E348" s="32" t="s">
        <v>913</v>
      </c>
      <c r="F348" s="32" t="s">
        <v>762</v>
      </c>
      <c r="G348" s="32" t="s">
        <v>220</v>
      </c>
      <c r="H348" s="32" t="s">
        <v>354</v>
      </c>
      <c r="I348" s="31" t="s">
        <v>763</v>
      </c>
      <c r="J348" s="31">
        <v>8</v>
      </c>
      <c r="K348" s="33" t="s">
        <v>955</v>
      </c>
      <c r="L348" s="33" t="s">
        <v>729</v>
      </c>
      <c r="M348" s="34" t="s">
        <v>723</v>
      </c>
      <c r="N348" s="34" t="s">
        <v>1748</v>
      </c>
      <c r="O348" s="35">
        <v>1</v>
      </c>
      <c r="P348" s="35"/>
      <c r="Q348" s="32"/>
      <c r="S348" s="1">
        <f t="shared" si="225"/>
        <v>0</v>
      </c>
      <c r="T348" s="1">
        <f t="shared" si="226"/>
        <v>0</v>
      </c>
      <c r="U348" s="1">
        <f t="shared" si="227"/>
        <v>0</v>
      </c>
      <c r="V348" s="1">
        <f t="shared" si="228"/>
        <v>0</v>
      </c>
      <c r="W348" s="1">
        <f t="shared" si="229"/>
        <v>0</v>
      </c>
      <c r="X348" s="1">
        <f t="shared" si="230"/>
        <v>0</v>
      </c>
      <c r="Y348" s="1">
        <f t="shared" si="231"/>
        <v>0</v>
      </c>
      <c r="Z348" s="1">
        <f t="shared" si="232"/>
        <v>1</v>
      </c>
      <c r="AA348" s="1">
        <f t="shared" si="233"/>
        <v>0</v>
      </c>
      <c r="AB348" s="1">
        <f t="shared" si="234"/>
        <v>0</v>
      </c>
      <c r="AD348" s="1">
        <f t="shared" si="235"/>
        <v>0</v>
      </c>
      <c r="AE348" s="1">
        <f t="shared" si="236"/>
        <v>1</v>
      </c>
      <c r="AF348" s="1">
        <f t="shared" si="221"/>
        <v>0</v>
      </c>
      <c r="AG348" s="1">
        <f t="shared" si="222"/>
        <v>1</v>
      </c>
      <c r="AH348" s="1">
        <f t="shared" si="223"/>
        <v>0</v>
      </c>
      <c r="AI348" s="1">
        <f t="shared" si="224"/>
        <v>1</v>
      </c>
    </row>
    <row r="349" spans="1:35" ht="14.25" customHeight="1" x14ac:dyDescent="0.25">
      <c r="A349" s="44">
        <v>0</v>
      </c>
      <c r="B349" s="44">
        <v>2</v>
      </c>
      <c r="C349" s="44">
        <v>3</v>
      </c>
      <c r="D349" s="45" t="s">
        <v>1495</v>
      </c>
      <c r="E349" s="45" t="s">
        <v>1496</v>
      </c>
      <c r="F349" s="45" t="s">
        <v>1497</v>
      </c>
      <c r="G349" s="45" t="s">
        <v>238</v>
      </c>
      <c r="H349" s="45" t="s">
        <v>354</v>
      </c>
      <c r="I349" s="44" t="s">
        <v>1498</v>
      </c>
      <c r="J349" s="44">
        <v>4</v>
      </c>
      <c r="K349" s="46" t="s">
        <v>712</v>
      </c>
      <c r="L349" s="46">
        <v>15</v>
      </c>
      <c r="M349" s="47" t="s">
        <v>39</v>
      </c>
      <c r="N349" s="47" t="s">
        <v>1802</v>
      </c>
      <c r="O349" s="48"/>
      <c r="P349" s="48"/>
      <c r="Q349" s="45"/>
      <c r="S349" s="1">
        <f t="shared" si="225"/>
        <v>0</v>
      </c>
      <c r="T349" s="1">
        <f t="shared" si="226"/>
        <v>0</v>
      </c>
      <c r="U349" s="1">
        <f t="shared" si="227"/>
        <v>0</v>
      </c>
      <c r="V349" s="1">
        <f t="shared" si="228"/>
        <v>1</v>
      </c>
      <c r="W349" s="1">
        <f t="shared" si="229"/>
        <v>0</v>
      </c>
      <c r="X349" s="1">
        <f t="shared" si="230"/>
        <v>0</v>
      </c>
      <c r="Y349" s="1">
        <f t="shared" si="231"/>
        <v>0</v>
      </c>
      <c r="Z349" s="1">
        <f t="shared" si="232"/>
        <v>0</v>
      </c>
      <c r="AA349" s="1">
        <f t="shared" si="233"/>
        <v>0</v>
      </c>
      <c r="AB349" s="1">
        <f t="shared" si="234"/>
        <v>0</v>
      </c>
      <c r="AD349" s="1">
        <f t="shared" si="235"/>
        <v>0</v>
      </c>
      <c r="AE349" s="1">
        <f t="shared" si="236"/>
        <v>0</v>
      </c>
      <c r="AF349" s="1">
        <f t="shared" si="221"/>
        <v>0</v>
      </c>
      <c r="AG349" s="1">
        <f t="shared" si="222"/>
        <v>0</v>
      </c>
      <c r="AH349" s="1">
        <f t="shared" si="223"/>
        <v>0</v>
      </c>
      <c r="AI349" s="1">
        <f t="shared" si="224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1553</v>
      </c>
      <c r="E350" s="32" t="s">
        <v>1554</v>
      </c>
      <c r="F350" s="32" t="s">
        <v>1555</v>
      </c>
      <c r="G350" s="32" t="s">
        <v>1556</v>
      </c>
      <c r="H350" s="32" t="s">
        <v>354</v>
      </c>
      <c r="I350" s="31" t="s">
        <v>1557</v>
      </c>
      <c r="J350" s="31">
        <v>7</v>
      </c>
      <c r="K350" s="33" t="s">
        <v>955</v>
      </c>
      <c r="L350" s="33">
        <v>10</v>
      </c>
      <c r="M350" s="34" t="s">
        <v>39</v>
      </c>
      <c r="N350" s="34" t="s">
        <v>1743</v>
      </c>
      <c r="O350" s="35">
        <v>1</v>
      </c>
      <c r="P350" s="35"/>
      <c r="Q350" s="32"/>
      <c r="S350" s="1">
        <f t="shared" si="225"/>
        <v>0</v>
      </c>
      <c r="T350" s="1">
        <f t="shared" si="226"/>
        <v>0</v>
      </c>
      <c r="U350" s="1">
        <f t="shared" si="227"/>
        <v>0</v>
      </c>
      <c r="V350" s="1">
        <f t="shared" si="228"/>
        <v>0</v>
      </c>
      <c r="W350" s="1">
        <f t="shared" si="229"/>
        <v>0</v>
      </c>
      <c r="X350" s="1">
        <f t="shared" si="230"/>
        <v>0</v>
      </c>
      <c r="Y350" s="1">
        <f t="shared" si="231"/>
        <v>1</v>
      </c>
      <c r="Z350" s="1">
        <f t="shared" si="232"/>
        <v>0</v>
      </c>
      <c r="AA350" s="1">
        <f t="shared" si="233"/>
        <v>0</v>
      </c>
      <c r="AB350" s="1">
        <f t="shared" si="234"/>
        <v>0</v>
      </c>
      <c r="AD350" s="1">
        <f t="shared" si="235"/>
        <v>0</v>
      </c>
      <c r="AE350" s="1">
        <f t="shared" si="236"/>
        <v>1</v>
      </c>
      <c r="AF350" s="1">
        <f t="shared" si="221"/>
        <v>0</v>
      </c>
      <c r="AG350" s="1">
        <f t="shared" si="222"/>
        <v>1</v>
      </c>
      <c r="AH350" s="1">
        <f t="shared" si="223"/>
        <v>0</v>
      </c>
      <c r="AI350" s="1">
        <f t="shared" si="224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841</v>
      </c>
      <c r="E351" s="45" t="s">
        <v>32</v>
      </c>
      <c r="F351" s="45" t="s">
        <v>843</v>
      </c>
      <c r="G351" s="45" t="s">
        <v>39</v>
      </c>
      <c r="H351" s="45" t="s">
        <v>354</v>
      </c>
      <c r="I351" s="44" t="s">
        <v>842</v>
      </c>
      <c r="J351" s="44">
        <v>1</v>
      </c>
      <c r="K351" s="46" t="s">
        <v>713</v>
      </c>
      <c r="L351" s="46" t="s">
        <v>694</v>
      </c>
      <c r="M351" s="47" t="s">
        <v>1415</v>
      </c>
      <c r="N351" s="47" t="s">
        <v>1735</v>
      </c>
      <c r="O351" s="48"/>
      <c r="P351" s="48"/>
      <c r="Q351" s="45"/>
      <c r="S351" s="1">
        <f t="shared" si="225"/>
        <v>1</v>
      </c>
      <c r="T351" s="1">
        <f t="shared" si="226"/>
        <v>0</v>
      </c>
      <c r="U351" s="1">
        <f t="shared" si="227"/>
        <v>0</v>
      </c>
      <c r="V351" s="1">
        <f t="shared" si="228"/>
        <v>0</v>
      </c>
      <c r="W351" s="1">
        <f t="shared" si="229"/>
        <v>0</v>
      </c>
      <c r="X351" s="1">
        <f t="shared" si="230"/>
        <v>0</v>
      </c>
      <c r="Y351" s="1">
        <f t="shared" si="231"/>
        <v>0</v>
      </c>
      <c r="Z351" s="1">
        <f t="shared" si="232"/>
        <v>0</v>
      </c>
      <c r="AA351" s="1">
        <f t="shared" si="233"/>
        <v>0</v>
      </c>
      <c r="AB351" s="1">
        <f t="shared" si="234"/>
        <v>0</v>
      </c>
      <c r="AD351" s="1">
        <f t="shared" si="235"/>
        <v>0</v>
      </c>
      <c r="AE351" s="1">
        <f t="shared" si="236"/>
        <v>0</v>
      </c>
      <c r="AF351" s="1">
        <f t="shared" si="221"/>
        <v>0</v>
      </c>
      <c r="AG351" s="1">
        <f t="shared" si="222"/>
        <v>0</v>
      </c>
      <c r="AH351" s="1">
        <f t="shared" si="223"/>
        <v>0</v>
      </c>
      <c r="AI351" s="1">
        <f t="shared" si="224"/>
        <v>1</v>
      </c>
    </row>
    <row r="352" spans="1:35" ht="14.25" customHeight="1" x14ac:dyDescent="0.25">
      <c r="A352" s="15">
        <v>0</v>
      </c>
      <c r="B352" s="15">
        <v>2</v>
      </c>
      <c r="C352" s="15">
        <v>4</v>
      </c>
      <c r="D352" s="16" t="s">
        <v>764</v>
      </c>
      <c r="E352" s="16" t="s">
        <v>765</v>
      </c>
      <c r="F352" s="16" t="s">
        <v>766</v>
      </c>
      <c r="G352" s="16" t="s">
        <v>767</v>
      </c>
      <c r="H352" s="16" t="s">
        <v>354</v>
      </c>
      <c r="I352" s="15" t="s">
        <v>768</v>
      </c>
      <c r="J352" s="15">
        <v>99</v>
      </c>
      <c r="K352" s="10" t="s">
        <v>703</v>
      </c>
      <c r="L352" s="10">
        <v>15</v>
      </c>
      <c r="M352" s="19" t="s">
        <v>769</v>
      </c>
      <c r="N352" s="19"/>
      <c r="Q352" s="16"/>
      <c r="S352" s="1">
        <f t="shared" si="225"/>
        <v>0</v>
      </c>
      <c r="T352" s="1">
        <f t="shared" si="226"/>
        <v>0</v>
      </c>
      <c r="U352" s="1">
        <f t="shared" si="227"/>
        <v>0</v>
      </c>
      <c r="V352" s="1">
        <f t="shared" si="228"/>
        <v>0</v>
      </c>
      <c r="W352" s="1">
        <f t="shared" si="229"/>
        <v>0</v>
      </c>
      <c r="X352" s="1">
        <f t="shared" si="230"/>
        <v>0</v>
      </c>
      <c r="Y352" s="1">
        <f t="shared" si="231"/>
        <v>0</v>
      </c>
      <c r="Z352" s="1">
        <f t="shared" si="232"/>
        <v>0</v>
      </c>
      <c r="AA352" s="1">
        <f t="shared" si="233"/>
        <v>0</v>
      </c>
      <c r="AB352" s="1">
        <f t="shared" si="234"/>
        <v>0</v>
      </c>
      <c r="AD352" s="1">
        <f t="shared" si="235"/>
        <v>0</v>
      </c>
      <c r="AE352" s="1">
        <f t="shared" si="236"/>
        <v>0</v>
      </c>
      <c r="AF352" s="1">
        <f t="shared" si="221"/>
        <v>0</v>
      </c>
      <c r="AG352" s="1">
        <f t="shared" si="222"/>
        <v>0</v>
      </c>
      <c r="AH352" s="1">
        <f t="shared" si="223"/>
        <v>0</v>
      </c>
      <c r="AI352" s="1">
        <f t="shared" si="224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798</v>
      </c>
      <c r="E353" s="32" t="s">
        <v>908</v>
      </c>
      <c r="F353" s="32" t="s">
        <v>925</v>
      </c>
      <c r="G353" s="32" t="s">
        <v>208</v>
      </c>
      <c r="H353" s="32" t="s">
        <v>354</v>
      </c>
      <c r="I353" s="31" t="s">
        <v>1363</v>
      </c>
      <c r="J353" s="31">
        <v>3</v>
      </c>
      <c r="K353" s="33" t="s">
        <v>703</v>
      </c>
      <c r="L353" s="33">
        <v>20</v>
      </c>
      <c r="M353" s="34" t="s">
        <v>1417</v>
      </c>
      <c r="N353" s="34" t="s">
        <v>1825</v>
      </c>
      <c r="O353" s="35">
        <v>1</v>
      </c>
      <c r="P353" s="35"/>
      <c r="Q353" s="32"/>
      <c r="S353" s="1">
        <f t="shared" si="225"/>
        <v>0</v>
      </c>
      <c r="T353" s="1">
        <f t="shared" si="226"/>
        <v>0</v>
      </c>
      <c r="U353" s="1">
        <f t="shared" si="227"/>
        <v>1</v>
      </c>
      <c r="V353" s="1">
        <f t="shared" si="228"/>
        <v>0</v>
      </c>
      <c r="W353" s="1">
        <f t="shared" si="229"/>
        <v>0</v>
      </c>
      <c r="X353" s="1">
        <f t="shared" si="230"/>
        <v>0</v>
      </c>
      <c r="Y353" s="1">
        <f t="shared" si="231"/>
        <v>0</v>
      </c>
      <c r="Z353" s="1">
        <f t="shared" si="232"/>
        <v>0</v>
      </c>
      <c r="AA353" s="1">
        <f t="shared" si="233"/>
        <v>0</v>
      </c>
      <c r="AB353" s="1">
        <f t="shared" si="234"/>
        <v>0</v>
      </c>
      <c r="AD353" s="1">
        <f t="shared" si="235"/>
        <v>0</v>
      </c>
      <c r="AE353" s="1">
        <f t="shared" si="236"/>
        <v>1</v>
      </c>
      <c r="AF353" s="1">
        <f t="shared" si="221"/>
        <v>0</v>
      </c>
      <c r="AG353" s="1">
        <f t="shared" si="222"/>
        <v>1</v>
      </c>
      <c r="AH353" s="1">
        <f t="shared" si="223"/>
        <v>0</v>
      </c>
      <c r="AI353" s="1">
        <f t="shared" si="224"/>
        <v>1</v>
      </c>
    </row>
    <row r="354" spans="1:35" ht="14.25" customHeight="1" x14ac:dyDescent="0.25">
      <c r="A354" s="57">
        <v>0</v>
      </c>
      <c r="B354" s="57">
        <v>2</v>
      </c>
      <c r="C354" s="57">
        <v>4</v>
      </c>
      <c r="D354" s="58" t="s">
        <v>567</v>
      </c>
      <c r="E354" s="58" t="s">
        <v>37</v>
      </c>
      <c r="F354" s="58" t="s">
        <v>205</v>
      </c>
      <c r="G354" s="58" t="s">
        <v>39</v>
      </c>
      <c r="H354" s="58" t="s">
        <v>354</v>
      </c>
      <c r="I354" s="57" t="s">
        <v>389</v>
      </c>
      <c r="J354" s="57">
        <v>6</v>
      </c>
      <c r="K354" s="59" t="s">
        <v>703</v>
      </c>
      <c r="L354" s="59" t="s">
        <v>39</v>
      </c>
      <c r="M354" s="60" t="s">
        <v>39</v>
      </c>
      <c r="N354" s="61"/>
      <c r="O354" s="62"/>
      <c r="P354" s="62"/>
      <c r="Q354" s="58"/>
      <c r="S354" s="1">
        <f t="shared" si="225"/>
        <v>0</v>
      </c>
      <c r="T354" s="1">
        <f t="shared" si="226"/>
        <v>0</v>
      </c>
      <c r="U354" s="1">
        <f t="shared" si="227"/>
        <v>0</v>
      </c>
      <c r="V354" s="1">
        <f t="shared" si="228"/>
        <v>0</v>
      </c>
      <c r="W354" s="1">
        <f t="shared" si="229"/>
        <v>0</v>
      </c>
      <c r="X354" s="1">
        <f t="shared" si="230"/>
        <v>1</v>
      </c>
      <c r="Y354" s="1">
        <f t="shared" si="231"/>
        <v>0</v>
      </c>
      <c r="Z354" s="1">
        <f t="shared" si="232"/>
        <v>0</v>
      </c>
      <c r="AA354" s="1">
        <f t="shared" si="233"/>
        <v>0</v>
      </c>
      <c r="AB354" s="1">
        <f t="shared" si="234"/>
        <v>0</v>
      </c>
      <c r="AD354" s="1">
        <f t="shared" si="235"/>
        <v>0</v>
      </c>
      <c r="AE354" s="1">
        <f t="shared" si="236"/>
        <v>0</v>
      </c>
      <c r="AF354" s="1">
        <f t="shared" si="221"/>
        <v>0</v>
      </c>
      <c r="AG354" s="1">
        <f t="shared" si="222"/>
        <v>0</v>
      </c>
      <c r="AH354" s="1">
        <f t="shared" si="223"/>
        <v>0</v>
      </c>
      <c r="AI354" s="1">
        <f t="shared" si="224"/>
        <v>1</v>
      </c>
    </row>
    <row r="355" spans="1:35" ht="14.25" customHeight="1" x14ac:dyDescent="0.25">
      <c r="A355" s="44">
        <v>0</v>
      </c>
      <c r="B355" s="44">
        <v>2</v>
      </c>
      <c r="C355" s="44">
        <v>4</v>
      </c>
      <c r="D355" s="45" t="s">
        <v>653</v>
      </c>
      <c r="E355" s="45" t="s">
        <v>910</v>
      </c>
      <c r="F355" s="45" t="s">
        <v>624</v>
      </c>
      <c r="G355" s="45" t="s">
        <v>341</v>
      </c>
      <c r="H355" s="45" t="s">
        <v>354</v>
      </c>
      <c r="I355" s="44" t="s">
        <v>625</v>
      </c>
      <c r="J355" s="44">
        <v>10</v>
      </c>
      <c r="K355" s="46" t="s">
        <v>954</v>
      </c>
      <c r="L355" s="46" t="s">
        <v>704</v>
      </c>
      <c r="M355" s="47" t="s">
        <v>1418</v>
      </c>
      <c r="N355" s="47" t="s">
        <v>1734</v>
      </c>
      <c r="O355" s="48"/>
      <c r="P355" s="48"/>
      <c r="Q355" s="45"/>
      <c r="S355" s="1">
        <f t="shared" si="225"/>
        <v>0</v>
      </c>
      <c r="T355" s="1">
        <f t="shared" si="226"/>
        <v>0</v>
      </c>
      <c r="U355" s="1">
        <f t="shared" si="227"/>
        <v>0</v>
      </c>
      <c r="V355" s="1">
        <f t="shared" si="228"/>
        <v>0</v>
      </c>
      <c r="W355" s="1">
        <f t="shared" si="229"/>
        <v>0</v>
      </c>
      <c r="X355" s="1">
        <f t="shared" si="230"/>
        <v>0</v>
      </c>
      <c r="Y355" s="1">
        <f t="shared" si="231"/>
        <v>0</v>
      </c>
      <c r="Z355" s="1">
        <f t="shared" si="232"/>
        <v>0</v>
      </c>
      <c r="AA355" s="1">
        <f t="shared" si="233"/>
        <v>0</v>
      </c>
      <c r="AB355" s="1">
        <f t="shared" si="234"/>
        <v>1</v>
      </c>
      <c r="AD355" s="1">
        <f t="shared" si="235"/>
        <v>0</v>
      </c>
      <c r="AE355" s="1">
        <f t="shared" si="236"/>
        <v>0</v>
      </c>
      <c r="AF355" s="1">
        <f t="shared" si="221"/>
        <v>0</v>
      </c>
      <c r="AG355" s="1">
        <f t="shared" si="222"/>
        <v>0</v>
      </c>
      <c r="AH355" s="1">
        <f t="shared" si="223"/>
        <v>0</v>
      </c>
      <c r="AI355" s="1">
        <f t="shared" si="224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75</v>
      </c>
      <c r="E356" s="32" t="s">
        <v>35</v>
      </c>
      <c r="F356" s="32" t="s">
        <v>266</v>
      </c>
      <c r="G356" s="32" t="s">
        <v>213</v>
      </c>
      <c r="H356" s="32" t="s">
        <v>354</v>
      </c>
      <c r="I356" s="31" t="s">
        <v>945</v>
      </c>
      <c r="J356" s="31">
        <v>1</v>
      </c>
      <c r="K356" s="33" t="s">
        <v>713</v>
      </c>
      <c r="L356" s="33" t="s">
        <v>704</v>
      </c>
      <c r="M356" s="34" t="s">
        <v>1419</v>
      </c>
      <c r="N356" s="34" t="s">
        <v>1743</v>
      </c>
      <c r="O356" s="35">
        <v>1</v>
      </c>
      <c r="P356" s="35"/>
      <c r="Q356" s="32"/>
      <c r="S356" s="1">
        <f t="shared" si="225"/>
        <v>1</v>
      </c>
      <c r="T356" s="1">
        <f t="shared" si="226"/>
        <v>0</v>
      </c>
      <c r="U356" s="1">
        <f t="shared" si="227"/>
        <v>0</v>
      </c>
      <c r="V356" s="1">
        <f t="shared" si="228"/>
        <v>0</v>
      </c>
      <c r="W356" s="1">
        <f t="shared" si="229"/>
        <v>0</v>
      </c>
      <c r="X356" s="1">
        <f t="shared" si="230"/>
        <v>0</v>
      </c>
      <c r="Y356" s="1">
        <f t="shared" si="231"/>
        <v>0</v>
      </c>
      <c r="Z356" s="1">
        <f t="shared" si="232"/>
        <v>0</v>
      </c>
      <c r="AA356" s="1">
        <f t="shared" si="233"/>
        <v>0</v>
      </c>
      <c r="AB356" s="1">
        <f t="shared" si="234"/>
        <v>0</v>
      </c>
      <c r="AD356" s="1">
        <f t="shared" si="235"/>
        <v>0</v>
      </c>
      <c r="AE356" s="1">
        <f t="shared" si="236"/>
        <v>1</v>
      </c>
      <c r="AF356" s="1">
        <f t="shared" si="221"/>
        <v>0</v>
      </c>
      <c r="AG356" s="1">
        <f t="shared" si="222"/>
        <v>1</v>
      </c>
      <c r="AH356" s="1">
        <f t="shared" si="223"/>
        <v>0</v>
      </c>
      <c r="AI356" s="1">
        <f t="shared" si="224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919</v>
      </c>
      <c r="E357" s="32" t="s">
        <v>912</v>
      </c>
      <c r="F357" s="32" t="s">
        <v>782</v>
      </c>
      <c r="G357" s="32" t="s">
        <v>285</v>
      </c>
      <c r="H357" s="32" t="s">
        <v>354</v>
      </c>
      <c r="I357" s="31" t="s">
        <v>946</v>
      </c>
      <c r="J357" s="31">
        <v>4</v>
      </c>
      <c r="K357" s="33" t="s">
        <v>713</v>
      </c>
      <c r="L357" s="33" t="s">
        <v>696</v>
      </c>
      <c r="M357" s="34" t="s">
        <v>1420</v>
      </c>
      <c r="N357" s="34" t="s">
        <v>1749</v>
      </c>
      <c r="O357" s="35">
        <v>1</v>
      </c>
      <c r="P357" s="35"/>
      <c r="Q357" s="32"/>
      <c r="S357" s="1">
        <f t="shared" si="225"/>
        <v>0</v>
      </c>
      <c r="T357" s="1">
        <f t="shared" si="226"/>
        <v>0</v>
      </c>
      <c r="U357" s="1">
        <f t="shared" si="227"/>
        <v>0</v>
      </c>
      <c r="V357" s="1">
        <f t="shared" si="228"/>
        <v>1</v>
      </c>
      <c r="W357" s="1">
        <f t="shared" si="229"/>
        <v>0</v>
      </c>
      <c r="X357" s="1">
        <f t="shared" si="230"/>
        <v>0</v>
      </c>
      <c r="Y357" s="1">
        <f t="shared" si="231"/>
        <v>0</v>
      </c>
      <c r="Z357" s="1">
        <f t="shared" si="232"/>
        <v>0</v>
      </c>
      <c r="AA357" s="1">
        <f t="shared" si="233"/>
        <v>0</v>
      </c>
      <c r="AB357" s="1">
        <f t="shared" si="234"/>
        <v>0</v>
      </c>
      <c r="AD357" s="1">
        <f t="shared" si="235"/>
        <v>0</v>
      </c>
      <c r="AE357" s="1">
        <f t="shared" si="236"/>
        <v>1</v>
      </c>
      <c r="AF357" s="1">
        <f t="shared" si="221"/>
        <v>0</v>
      </c>
      <c r="AG357" s="1">
        <f t="shared" si="222"/>
        <v>1</v>
      </c>
      <c r="AH357" s="1">
        <f t="shared" si="223"/>
        <v>0</v>
      </c>
      <c r="AI357" s="1">
        <f t="shared" si="224"/>
        <v>1</v>
      </c>
    </row>
    <row r="358" spans="1:35" ht="14.25" customHeight="1" x14ac:dyDescent="0.25">
      <c r="A358" s="15">
        <v>0</v>
      </c>
      <c r="B358" s="15">
        <v>2</v>
      </c>
      <c r="C358" s="15">
        <v>4</v>
      </c>
      <c r="D358" s="16" t="s">
        <v>629</v>
      </c>
      <c r="E358" s="16" t="s">
        <v>685</v>
      </c>
      <c r="F358" s="16" t="s">
        <v>670</v>
      </c>
      <c r="G358" s="16" t="s">
        <v>628</v>
      </c>
      <c r="H358" s="16" t="s">
        <v>354</v>
      </c>
      <c r="I358" s="15" t="s">
        <v>630</v>
      </c>
      <c r="J358" s="15">
        <v>99</v>
      </c>
      <c r="K358" s="10" t="s">
        <v>955</v>
      </c>
      <c r="L358" s="10" t="s">
        <v>39</v>
      </c>
      <c r="M358" s="19" t="s">
        <v>39</v>
      </c>
      <c r="N358" s="17"/>
      <c r="Q358" s="20" t="s">
        <v>1897</v>
      </c>
      <c r="S358" s="1">
        <f t="shared" si="225"/>
        <v>0</v>
      </c>
      <c r="T358" s="1">
        <f t="shared" si="226"/>
        <v>0</v>
      </c>
      <c r="U358" s="1">
        <f t="shared" si="227"/>
        <v>0</v>
      </c>
      <c r="V358" s="1">
        <f t="shared" si="228"/>
        <v>0</v>
      </c>
      <c r="W358" s="1">
        <f t="shared" si="229"/>
        <v>0</v>
      </c>
      <c r="X358" s="1">
        <f t="shared" si="230"/>
        <v>0</v>
      </c>
      <c r="Y358" s="1">
        <f t="shared" si="231"/>
        <v>0</v>
      </c>
      <c r="Z358" s="1">
        <f t="shared" si="232"/>
        <v>0</v>
      </c>
      <c r="AA358" s="1">
        <f t="shared" si="233"/>
        <v>0</v>
      </c>
      <c r="AB358" s="1">
        <f t="shared" si="234"/>
        <v>0</v>
      </c>
      <c r="AD358" s="1">
        <f t="shared" si="235"/>
        <v>0</v>
      </c>
      <c r="AE358" s="1">
        <f t="shared" si="236"/>
        <v>0</v>
      </c>
      <c r="AF358" s="1">
        <f t="shared" si="221"/>
        <v>0</v>
      </c>
      <c r="AG358" s="1">
        <f t="shared" si="222"/>
        <v>0</v>
      </c>
      <c r="AH358" s="1">
        <f t="shared" si="223"/>
        <v>0</v>
      </c>
      <c r="AI358" s="1">
        <f t="shared" si="224"/>
        <v>1</v>
      </c>
    </row>
    <row r="359" spans="1:35" ht="14.25" customHeight="1" x14ac:dyDescent="0.25">
      <c r="A359" s="31">
        <v>0</v>
      </c>
      <c r="B359" s="31">
        <v>2</v>
      </c>
      <c r="C359" s="31">
        <v>4</v>
      </c>
      <c r="D359" s="32" t="s">
        <v>84</v>
      </c>
      <c r="E359" s="32" t="s">
        <v>35</v>
      </c>
      <c r="F359" s="32" t="s">
        <v>277</v>
      </c>
      <c r="G359" s="32" t="s">
        <v>224</v>
      </c>
      <c r="H359" s="32" t="s">
        <v>354</v>
      </c>
      <c r="I359" s="31" t="s">
        <v>433</v>
      </c>
      <c r="J359" s="31">
        <v>99</v>
      </c>
      <c r="K359" s="33" t="s">
        <v>954</v>
      </c>
      <c r="L359" s="33" t="s">
        <v>704</v>
      </c>
      <c r="M359" s="34" t="s">
        <v>726</v>
      </c>
      <c r="N359" s="34" t="s">
        <v>1761</v>
      </c>
      <c r="O359" s="35">
        <v>1</v>
      </c>
      <c r="P359" s="35"/>
      <c r="Q359" s="32"/>
      <c r="S359" s="1">
        <f t="shared" si="225"/>
        <v>0</v>
      </c>
      <c r="T359" s="1">
        <f t="shared" si="226"/>
        <v>0</v>
      </c>
      <c r="U359" s="1">
        <f t="shared" si="227"/>
        <v>0</v>
      </c>
      <c r="V359" s="1">
        <f t="shared" si="228"/>
        <v>0</v>
      </c>
      <c r="W359" s="1">
        <f t="shared" si="229"/>
        <v>0</v>
      </c>
      <c r="X359" s="1">
        <f t="shared" si="230"/>
        <v>0</v>
      </c>
      <c r="Y359" s="1">
        <f t="shared" si="231"/>
        <v>0</v>
      </c>
      <c r="Z359" s="1">
        <f t="shared" si="232"/>
        <v>0</v>
      </c>
      <c r="AA359" s="1">
        <f t="shared" si="233"/>
        <v>0</v>
      </c>
      <c r="AB359" s="1">
        <f t="shared" si="234"/>
        <v>0</v>
      </c>
      <c r="AD359" s="1">
        <f t="shared" si="235"/>
        <v>0</v>
      </c>
      <c r="AE359" s="1">
        <f t="shared" si="236"/>
        <v>1</v>
      </c>
      <c r="AF359" s="1">
        <f t="shared" si="221"/>
        <v>0</v>
      </c>
      <c r="AG359" s="1">
        <f t="shared" si="222"/>
        <v>1</v>
      </c>
      <c r="AH359" s="1">
        <f t="shared" si="223"/>
        <v>0</v>
      </c>
      <c r="AI359" s="1">
        <f t="shared" si="224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879</v>
      </c>
      <c r="E360" s="16" t="s">
        <v>772</v>
      </c>
      <c r="F360" s="16" t="s">
        <v>877</v>
      </c>
      <c r="G360" s="16" t="s">
        <v>279</v>
      </c>
      <c r="H360" s="16" t="s">
        <v>354</v>
      </c>
      <c r="I360" s="15" t="s">
        <v>878</v>
      </c>
      <c r="J360" s="15">
        <v>99</v>
      </c>
      <c r="K360" s="10" t="s">
        <v>703</v>
      </c>
      <c r="L360" s="10">
        <v>25</v>
      </c>
      <c r="M360" s="19" t="s">
        <v>1421</v>
      </c>
      <c r="N360" s="19"/>
      <c r="Q360" s="16"/>
      <c r="S360" s="1">
        <f t="shared" si="225"/>
        <v>0</v>
      </c>
      <c r="T360" s="1">
        <f t="shared" si="226"/>
        <v>0</v>
      </c>
      <c r="U360" s="1">
        <f t="shared" si="227"/>
        <v>0</v>
      </c>
      <c r="V360" s="1">
        <f t="shared" si="228"/>
        <v>0</v>
      </c>
      <c r="W360" s="1">
        <f t="shared" si="229"/>
        <v>0</v>
      </c>
      <c r="X360" s="1">
        <f t="shared" si="230"/>
        <v>0</v>
      </c>
      <c r="Y360" s="1">
        <f t="shared" si="231"/>
        <v>0</v>
      </c>
      <c r="Z360" s="1">
        <f t="shared" si="232"/>
        <v>0</v>
      </c>
      <c r="AA360" s="1">
        <f t="shared" si="233"/>
        <v>0</v>
      </c>
      <c r="AB360" s="1">
        <f t="shared" si="234"/>
        <v>0</v>
      </c>
      <c r="AD360" s="1">
        <f t="shared" si="235"/>
        <v>0</v>
      </c>
      <c r="AE360" s="1">
        <f t="shared" si="236"/>
        <v>0</v>
      </c>
      <c r="AF360" s="1">
        <f t="shared" si="221"/>
        <v>0</v>
      </c>
      <c r="AG360" s="1">
        <f t="shared" si="222"/>
        <v>0</v>
      </c>
      <c r="AH360" s="1">
        <f t="shared" si="223"/>
        <v>0</v>
      </c>
      <c r="AI360" s="1">
        <f t="shared" si="224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922</v>
      </c>
      <c r="E361" s="32" t="s">
        <v>772</v>
      </c>
      <c r="F361" s="32" t="s">
        <v>844</v>
      </c>
      <c r="G361" s="32" t="s">
        <v>209</v>
      </c>
      <c r="H361" s="32" t="s">
        <v>354</v>
      </c>
      <c r="I361" s="31" t="s">
        <v>845</v>
      </c>
      <c r="J361" s="31">
        <v>99</v>
      </c>
      <c r="K361" s="33" t="s">
        <v>712</v>
      </c>
      <c r="L361" s="33" t="s">
        <v>704</v>
      </c>
      <c r="M361" s="34" t="s">
        <v>726</v>
      </c>
      <c r="N361" s="34" t="s">
        <v>1756</v>
      </c>
      <c r="O361" s="35">
        <v>1</v>
      </c>
      <c r="P361" s="35"/>
      <c r="Q361" s="32"/>
      <c r="S361" s="1">
        <f t="shared" si="225"/>
        <v>0</v>
      </c>
      <c r="T361" s="1">
        <f t="shared" si="226"/>
        <v>0</v>
      </c>
      <c r="U361" s="1">
        <f t="shared" si="227"/>
        <v>0</v>
      </c>
      <c r="V361" s="1">
        <f t="shared" si="228"/>
        <v>0</v>
      </c>
      <c r="W361" s="1">
        <f t="shared" si="229"/>
        <v>0</v>
      </c>
      <c r="X361" s="1">
        <f t="shared" si="230"/>
        <v>0</v>
      </c>
      <c r="Y361" s="1">
        <f t="shared" si="231"/>
        <v>0</v>
      </c>
      <c r="Z361" s="1">
        <f t="shared" si="232"/>
        <v>0</v>
      </c>
      <c r="AA361" s="1">
        <f t="shared" si="233"/>
        <v>0</v>
      </c>
      <c r="AB361" s="1">
        <f t="shared" si="234"/>
        <v>0</v>
      </c>
      <c r="AD361" s="1">
        <f t="shared" ref="AD361:AD363" si="237">+O361*P361</f>
        <v>0</v>
      </c>
      <c r="AE361" s="1">
        <f t="shared" ref="AE361:AE363" si="238">O361*(1-P361)</f>
        <v>1</v>
      </c>
      <c r="AF361" s="1">
        <f t="shared" ref="AF361:AF363" si="239">+O361*P361*(1-A361)</f>
        <v>0</v>
      </c>
      <c r="AG361" s="1">
        <f t="shared" ref="AG361:AG363" si="240">O361*(1-P361)*(1-A361)</f>
        <v>1</v>
      </c>
      <c r="AH361" s="1">
        <f t="shared" ref="AH361:AH363" si="241">+P361*(1-A361)</f>
        <v>0</v>
      </c>
      <c r="AI361" s="1">
        <f t="shared" ref="AI361:AI363" si="242">+(1-A361)*(1-P361)</f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2029</v>
      </c>
      <c r="E362" s="16" t="s">
        <v>35</v>
      </c>
      <c r="F362" s="16" t="s">
        <v>2030</v>
      </c>
      <c r="G362" s="20" t="s">
        <v>209</v>
      </c>
      <c r="H362" s="20" t="s">
        <v>354</v>
      </c>
      <c r="I362" s="21" t="s">
        <v>2031</v>
      </c>
      <c r="J362" s="15">
        <v>99</v>
      </c>
      <c r="K362" s="10" t="s">
        <v>703</v>
      </c>
      <c r="L362" s="10">
        <v>25</v>
      </c>
      <c r="M362" s="19" t="s">
        <v>2033</v>
      </c>
      <c r="N362" s="19"/>
      <c r="Q362" s="16" t="s">
        <v>2032</v>
      </c>
      <c r="S362" s="1">
        <f t="shared" si="225"/>
        <v>0</v>
      </c>
      <c r="T362" s="1">
        <f t="shared" si="226"/>
        <v>0</v>
      </c>
      <c r="U362" s="1">
        <f t="shared" si="227"/>
        <v>0</v>
      </c>
      <c r="V362" s="1">
        <f t="shared" si="228"/>
        <v>0</v>
      </c>
      <c r="W362" s="1">
        <f t="shared" si="229"/>
        <v>0</v>
      </c>
      <c r="X362" s="1">
        <f t="shared" si="230"/>
        <v>0</v>
      </c>
      <c r="Y362" s="1">
        <f t="shared" si="231"/>
        <v>0</v>
      </c>
      <c r="Z362" s="1">
        <f t="shared" si="232"/>
        <v>0</v>
      </c>
      <c r="AA362" s="1">
        <f t="shared" si="233"/>
        <v>0</v>
      </c>
      <c r="AB362" s="1">
        <f t="shared" si="234"/>
        <v>0</v>
      </c>
      <c r="AD362" s="1">
        <f t="shared" si="237"/>
        <v>0</v>
      </c>
      <c r="AE362" s="1">
        <f t="shared" si="238"/>
        <v>0</v>
      </c>
      <c r="AF362" s="1">
        <f t="shared" si="239"/>
        <v>0</v>
      </c>
      <c r="AG362" s="1">
        <f t="shared" si="240"/>
        <v>0</v>
      </c>
      <c r="AH362" s="1">
        <f t="shared" si="241"/>
        <v>0</v>
      </c>
      <c r="AI362" s="1">
        <f t="shared" si="24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1223</v>
      </c>
      <c r="E363" s="45" t="s">
        <v>1222</v>
      </c>
      <c r="F363" s="45" t="s">
        <v>1224</v>
      </c>
      <c r="G363" s="45" t="s">
        <v>535</v>
      </c>
      <c r="H363" s="45" t="s">
        <v>354</v>
      </c>
      <c r="I363" s="44" t="s">
        <v>1225</v>
      </c>
      <c r="J363" s="44">
        <v>99</v>
      </c>
      <c r="K363" s="46" t="s">
        <v>713</v>
      </c>
      <c r="L363" s="46" t="s">
        <v>694</v>
      </c>
      <c r="M363" s="47" t="s">
        <v>1422</v>
      </c>
      <c r="N363" s="47" t="s">
        <v>1747</v>
      </c>
      <c r="O363" s="48"/>
      <c r="P363" s="48"/>
      <c r="Q363" s="45"/>
      <c r="S363" s="1">
        <f t="shared" si="225"/>
        <v>0</v>
      </c>
      <c r="T363" s="1">
        <f t="shared" si="226"/>
        <v>0</v>
      </c>
      <c r="U363" s="1">
        <f t="shared" si="227"/>
        <v>0</v>
      </c>
      <c r="V363" s="1">
        <f t="shared" si="228"/>
        <v>0</v>
      </c>
      <c r="W363" s="1">
        <f t="shared" si="229"/>
        <v>0</v>
      </c>
      <c r="X363" s="1">
        <f t="shared" si="230"/>
        <v>0</v>
      </c>
      <c r="Y363" s="1">
        <f t="shared" si="231"/>
        <v>0</v>
      </c>
      <c r="Z363" s="1">
        <f t="shared" si="232"/>
        <v>0</v>
      </c>
      <c r="AA363" s="1">
        <f t="shared" si="233"/>
        <v>0</v>
      </c>
      <c r="AB363" s="1">
        <f t="shared" si="234"/>
        <v>0</v>
      </c>
      <c r="AD363" s="1">
        <f t="shared" si="237"/>
        <v>0</v>
      </c>
      <c r="AE363" s="1">
        <f t="shared" si="238"/>
        <v>0</v>
      </c>
      <c r="AF363" s="1">
        <f t="shared" si="239"/>
        <v>0</v>
      </c>
      <c r="AG363" s="1">
        <f t="shared" si="240"/>
        <v>0</v>
      </c>
      <c r="AH363" s="1">
        <f t="shared" si="241"/>
        <v>0</v>
      </c>
      <c r="AI363" s="1">
        <f t="shared" si="24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823</v>
      </c>
      <c r="E364" s="32" t="s">
        <v>590</v>
      </c>
      <c r="F364" s="32" t="s">
        <v>824</v>
      </c>
      <c r="G364" s="32" t="s">
        <v>937</v>
      </c>
      <c r="H364" s="32" t="s">
        <v>354</v>
      </c>
      <c r="I364" s="31" t="s">
        <v>951</v>
      </c>
      <c r="J364" s="31">
        <v>7</v>
      </c>
      <c r="K364" s="33" t="s">
        <v>712</v>
      </c>
      <c r="L364" s="33" t="s">
        <v>39</v>
      </c>
      <c r="M364" s="34" t="s">
        <v>39</v>
      </c>
      <c r="N364" s="34" t="s">
        <v>1727</v>
      </c>
      <c r="O364" s="35">
        <v>1</v>
      </c>
      <c r="P364" s="35">
        <v>1</v>
      </c>
      <c r="Q364" s="32"/>
      <c r="S364" s="1">
        <f t="shared" si="225"/>
        <v>0</v>
      </c>
      <c r="T364" s="1">
        <f t="shared" si="226"/>
        <v>0</v>
      </c>
      <c r="U364" s="1">
        <f t="shared" si="227"/>
        <v>0</v>
      </c>
      <c r="V364" s="1">
        <f t="shared" si="228"/>
        <v>0</v>
      </c>
      <c r="W364" s="1">
        <f t="shared" si="229"/>
        <v>0</v>
      </c>
      <c r="X364" s="1">
        <f t="shared" si="230"/>
        <v>0</v>
      </c>
      <c r="Y364" s="1">
        <f t="shared" si="231"/>
        <v>1</v>
      </c>
      <c r="Z364" s="1">
        <f t="shared" si="232"/>
        <v>0</v>
      </c>
      <c r="AA364" s="1">
        <f t="shared" si="233"/>
        <v>0</v>
      </c>
      <c r="AB364" s="1">
        <f t="shared" si="234"/>
        <v>0</v>
      </c>
      <c r="AD364" s="1">
        <f t="shared" si="235"/>
        <v>1</v>
      </c>
      <c r="AE364" s="1">
        <f t="shared" si="236"/>
        <v>0</v>
      </c>
      <c r="AF364" s="1">
        <f t="shared" si="221"/>
        <v>1</v>
      </c>
      <c r="AG364" s="1">
        <f t="shared" si="222"/>
        <v>0</v>
      </c>
      <c r="AH364" s="1">
        <f t="shared" si="223"/>
        <v>1</v>
      </c>
      <c r="AI364" s="1">
        <f t="shared" si="224"/>
        <v>0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1605</v>
      </c>
      <c r="E365" s="45" t="s">
        <v>1655</v>
      </c>
      <c r="F365" s="45" t="s">
        <v>1606</v>
      </c>
      <c r="G365" s="45" t="s">
        <v>333</v>
      </c>
      <c r="H365" s="45" t="s">
        <v>354</v>
      </c>
      <c r="I365" s="44" t="s">
        <v>30</v>
      </c>
      <c r="J365" s="44">
        <v>99</v>
      </c>
      <c r="K365" s="46" t="s">
        <v>713</v>
      </c>
      <c r="L365" s="46">
        <v>20</v>
      </c>
      <c r="M365" s="47" t="s">
        <v>39</v>
      </c>
      <c r="N365" s="47" t="s">
        <v>1741</v>
      </c>
      <c r="O365" s="48"/>
      <c r="P365" s="48"/>
      <c r="Q365" s="45"/>
      <c r="S365" s="1">
        <f t="shared" si="225"/>
        <v>0</v>
      </c>
      <c r="T365" s="1">
        <f t="shared" si="226"/>
        <v>0</v>
      </c>
      <c r="U365" s="1">
        <f t="shared" si="227"/>
        <v>0</v>
      </c>
      <c r="V365" s="1">
        <f t="shared" si="228"/>
        <v>0</v>
      </c>
      <c r="W365" s="1">
        <f t="shared" si="229"/>
        <v>0</v>
      </c>
      <c r="X365" s="1">
        <f t="shared" si="230"/>
        <v>0</v>
      </c>
      <c r="Y365" s="1">
        <f t="shared" si="231"/>
        <v>0</v>
      </c>
      <c r="Z365" s="1">
        <f t="shared" si="232"/>
        <v>0</v>
      </c>
      <c r="AA365" s="1">
        <f t="shared" si="233"/>
        <v>0</v>
      </c>
      <c r="AB365" s="1">
        <f t="shared" si="234"/>
        <v>0</v>
      </c>
      <c r="AD365" s="1">
        <f t="shared" ref="AD365:AD368" si="243">+O365*P365</f>
        <v>0</v>
      </c>
      <c r="AE365" s="1">
        <f t="shared" ref="AE365:AE368" si="244">O365*(1-P365)</f>
        <v>0</v>
      </c>
      <c r="AF365" s="1">
        <f t="shared" ref="AF365:AF368" si="245">+O365*P365*(1-A365)</f>
        <v>0</v>
      </c>
      <c r="AG365" s="1">
        <f t="shared" ref="AG365:AG368" si="246">O365*(1-P365)*(1-A365)</f>
        <v>0</v>
      </c>
      <c r="AH365" s="1">
        <f t="shared" ref="AH365:AH368" si="247">+P365*(1-A365)</f>
        <v>0</v>
      </c>
      <c r="AI365" s="1">
        <f t="shared" ref="AI365:AI368" si="248">+(1-A365)*(1-P365)</f>
        <v>1</v>
      </c>
    </row>
    <row r="366" spans="1:35" ht="14.25" customHeight="1" x14ac:dyDescent="0.25">
      <c r="A366" s="31">
        <v>0</v>
      </c>
      <c r="B366" s="31">
        <v>2</v>
      </c>
      <c r="C366" s="31">
        <v>5</v>
      </c>
      <c r="D366" s="32" t="s">
        <v>58</v>
      </c>
      <c r="E366" s="32" t="s">
        <v>44</v>
      </c>
      <c r="F366" s="32" t="s">
        <v>671</v>
      </c>
      <c r="G366" s="32" t="s">
        <v>223</v>
      </c>
      <c r="H366" s="32" t="s">
        <v>354</v>
      </c>
      <c r="I366" s="31" t="s">
        <v>397</v>
      </c>
      <c r="J366" s="31">
        <v>8</v>
      </c>
      <c r="K366" s="33" t="s">
        <v>713</v>
      </c>
      <c r="L366" s="33" t="s">
        <v>716</v>
      </c>
      <c r="M366" s="34" t="s">
        <v>1423</v>
      </c>
      <c r="N366" s="34" t="s">
        <v>1748</v>
      </c>
      <c r="O366" s="35">
        <v>1</v>
      </c>
      <c r="P366" s="35"/>
      <c r="Q366" s="32"/>
      <c r="S366" s="1">
        <f t="shared" si="225"/>
        <v>0</v>
      </c>
      <c r="T366" s="1">
        <f t="shared" si="226"/>
        <v>0</v>
      </c>
      <c r="U366" s="1">
        <f t="shared" si="227"/>
        <v>0</v>
      </c>
      <c r="V366" s="1">
        <f t="shared" si="228"/>
        <v>0</v>
      </c>
      <c r="W366" s="1">
        <f t="shared" si="229"/>
        <v>0</v>
      </c>
      <c r="X366" s="1">
        <f t="shared" si="230"/>
        <v>0</v>
      </c>
      <c r="Y366" s="1">
        <f t="shared" si="231"/>
        <v>0</v>
      </c>
      <c r="Z366" s="1">
        <f t="shared" si="232"/>
        <v>1</v>
      </c>
      <c r="AA366" s="1">
        <f t="shared" si="233"/>
        <v>0</v>
      </c>
      <c r="AB366" s="1">
        <f t="shared" si="234"/>
        <v>0</v>
      </c>
      <c r="AD366" s="1">
        <f t="shared" si="243"/>
        <v>0</v>
      </c>
      <c r="AE366" s="1">
        <f t="shared" si="244"/>
        <v>1</v>
      </c>
      <c r="AF366" s="1">
        <f t="shared" si="245"/>
        <v>0</v>
      </c>
      <c r="AG366" s="1">
        <f t="shared" si="246"/>
        <v>1</v>
      </c>
      <c r="AH366" s="1">
        <f t="shared" si="247"/>
        <v>0</v>
      </c>
      <c r="AI366" s="1">
        <f t="shared" si="248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832</v>
      </c>
      <c r="E367" s="45" t="s">
        <v>831</v>
      </c>
      <c r="F367" s="45" t="s">
        <v>924</v>
      </c>
      <c r="G367" s="45" t="s">
        <v>213</v>
      </c>
      <c r="H367" s="45" t="s">
        <v>354</v>
      </c>
      <c r="I367" s="44" t="s">
        <v>833</v>
      </c>
      <c r="J367" s="44">
        <v>1</v>
      </c>
      <c r="K367" s="46" t="s">
        <v>712</v>
      </c>
      <c r="L367" s="46" t="s">
        <v>693</v>
      </c>
      <c r="M367" s="47" t="s">
        <v>1424</v>
      </c>
      <c r="N367" s="47" t="s">
        <v>1735</v>
      </c>
      <c r="O367" s="48"/>
      <c r="P367" s="48"/>
      <c r="Q367" s="45"/>
      <c r="S367" s="1">
        <f t="shared" si="225"/>
        <v>1</v>
      </c>
      <c r="T367" s="1">
        <f t="shared" si="226"/>
        <v>0</v>
      </c>
      <c r="U367" s="1">
        <f t="shared" si="227"/>
        <v>0</v>
      </c>
      <c r="V367" s="1">
        <f t="shared" si="228"/>
        <v>0</v>
      </c>
      <c r="W367" s="1">
        <f t="shared" si="229"/>
        <v>0</v>
      </c>
      <c r="X367" s="1">
        <f t="shared" si="230"/>
        <v>0</v>
      </c>
      <c r="Y367" s="1">
        <f t="shared" si="231"/>
        <v>0</v>
      </c>
      <c r="Z367" s="1">
        <f t="shared" si="232"/>
        <v>0</v>
      </c>
      <c r="AA367" s="1">
        <f t="shared" si="233"/>
        <v>0</v>
      </c>
      <c r="AB367" s="1">
        <f t="shared" si="234"/>
        <v>0</v>
      </c>
      <c r="AD367" s="1">
        <f t="shared" si="243"/>
        <v>0</v>
      </c>
      <c r="AE367" s="1">
        <f t="shared" si="244"/>
        <v>0</v>
      </c>
      <c r="AF367" s="1">
        <f t="shared" si="245"/>
        <v>0</v>
      </c>
      <c r="AG367" s="1">
        <f t="shared" si="246"/>
        <v>0</v>
      </c>
      <c r="AH367" s="1">
        <f t="shared" si="247"/>
        <v>0</v>
      </c>
      <c r="AI367" s="1">
        <f t="shared" si="248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6" t="s">
        <v>2062</v>
      </c>
      <c r="E368" s="36" t="s">
        <v>170</v>
      </c>
      <c r="F368" s="36" t="s">
        <v>2063</v>
      </c>
      <c r="G368" s="36" t="s">
        <v>1534</v>
      </c>
      <c r="H368" s="36" t="s">
        <v>354</v>
      </c>
      <c r="I368" s="37" t="s">
        <v>2064</v>
      </c>
      <c r="J368" s="31">
        <v>5</v>
      </c>
      <c r="K368" s="33" t="s">
        <v>703</v>
      </c>
      <c r="L368" s="33"/>
      <c r="M368" s="34"/>
      <c r="N368" s="34" t="s">
        <v>1727</v>
      </c>
      <c r="O368" s="35">
        <v>1</v>
      </c>
      <c r="P368" s="35">
        <v>1</v>
      </c>
      <c r="Q368" s="36" t="s">
        <v>2065</v>
      </c>
      <c r="S368" s="1">
        <f t="shared" si="225"/>
        <v>0</v>
      </c>
      <c r="T368" s="1">
        <f t="shared" si="226"/>
        <v>0</v>
      </c>
      <c r="U368" s="1">
        <f t="shared" si="227"/>
        <v>0</v>
      </c>
      <c r="V368" s="1">
        <f t="shared" si="228"/>
        <v>0</v>
      </c>
      <c r="W368" s="1">
        <f t="shared" si="229"/>
        <v>1</v>
      </c>
      <c r="X368" s="1">
        <f t="shared" si="230"/>
        <v>0</v>
      </c>
      <c r="Y368" s="1">
        <f t="shared" si="231"/>
        <v>0</v>
      </c>
      <c r="Z368" s="1">
        <f t="shared" si="232"/>
        <v>0</v>
      </c>
      <c r="AA368" s="1">
        <f t="shared" si="233"/>
        <v>0</v>
      </c>
      <c r="AB368" s="1">
        <f t="shared" si="234"/>
        <v>0</v>
      </c>
      <c r="AD368" s="1">
        <f t="shared" si="243"/>
        <v>1</v>
      </c>
      <c r="AE368" s="1">
        <f t="shared" si="244"/>
        <v>0</v>
      </c>
      <c r="AF368" s="1">
        <f t="shared" si="245"/>
        <v>1</v>
      </c>
      <c r="AG368" s="1">
        <f t="shared" si="246"/>
        <v>0</v>
      </c>
      <c r="AH368" s="1">
        <f t="shared" si="247"/>
        <v>1</v>
      </c>
      <c r="AI368" s="1">
        <f t="shared" si="248"/>
        <v>0</v>
      </c>
    </row>
    <row r="369" spans="1:4094 4097:8191 8194:12288 12291:16384" ht="14.25" customHeight="1" x14ac:dyDescent="0.25">
      <c r="A369" s="31">
        <v>0</v>
      </c>
      <c r="B369" s="31">
        <v>2</v>
      </c>
      <c r="C369" s="31">
        <v>5</v>
      </c>
      <c r="D369" s="32" t="s">
        <v>65</v>
      </c>
      <c r="E369" s="32" t="s">
        <v>164</v>
      </c>
      <c r="F369" s="32" t="s">
        <v>547</v>
      </c>
      <c r="G369" s="32" t="s">
        <v>194</v>
      </c>
      <c r="H369" s="32" t="s">
        <v>354</v>
      </c>
      <c r="I369" s="31" t="s">
        <v>552</v>
      </c>
      <c r="J369" s="31">
        <v>9</v>
      </c>
      <c r="K369" s="33" t="s">
        <v>713</v>
      </c>
      <c r="L369" s="33" t="s">
        <v>687</v>
      </c>
      <c r="M369" s="34" t="s">
        <v>1443</v>
      </c>
      <c r="N369" s="34" t="s">
        <v>1761</v>
      </c>
      <c r="O369" s="35">
        <v>1</v>
      </c>
      <c r="P369" s="35"/>
      <c r="Q369" s="32"/>
      <c r="S369" s="1">
        <f t="shared" si="225"/>
        <v>0</v>
      </c>
      <c r="T369" s="1">
        <f t="shared" si="226"/>
        <v>0</v>
      </c>
      <c r="U369" s="1">
        <f t="shared" si="227"/>
        <v>0</v>
      </c>
      <c r="V369" s="1">
        <f t="shared" si="228"/>
        <v>0</v>
      </c>
      <c r="W369" s="1">
        <f t="shared" si="229"/>
        <v>0</v>
      </c>
      <c r="X369" s="1">
        <f t="shared" si="230"/>
        <v>0</v>
      </c>
      <c r="Y369" s="1">
        <f t="shared" si="231"/>
        <v>0</v>
      </c>
      <c r="Z369" s="1">
        <f t="shared" si="232"/>
        <v>0</v>
      </c>
      <c r="AA369" s="1">
        <f t="shared" si="233"/>
        <v>1</v>
      </c>
      <c r="AB369" s="1">
        <f t="shared" si="234"/>
        <v>0</v>
      </c>
      <c r="AD369" s="1">
        <f t="shared" si="235"/>
        <v>0</v>
      </c>
      <c r="AE369" s="1">
        <f t="shared" si="236"/>
        <v>1</v>
      </c>
      <c r="AF369" s="1">
        <f t="shared" si="221"/>
        <v>0</v>
      </c>
      <c r="AG369" s="1">
        <f t="shared" si="222"/>
        <v>1</v>
      </c>
      <c r="AH369" s="1">
        <f t="shared" si="223"/>
        <v>0</v>
      </c>
      <c r="AI369" s="1">
        <f t="shared" si="224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1486</v>
      </c>
      <c r="E370" s="45" t="s">
        <v>35</v>
      </c>
      <c r="F370" s="65" t="s">
        <v>1873</v>
      </c>
      <c r="G370" s="45" t="s">
        <v>222</v>
      </c>
      <c r="H370" s="45" t="s">
        <v>354</v>
      </c>
      <c r="I370" s="44" t="s">
        <v>1686</v>
      </c>
      <c r="J370" s="44">
        <v>99</v>
      </c>
      <c r="K370" s="46" t="s">
        <v>713</v>
      </c>
      <c r="L370" s="46">
        <v>25</v>
      </c>
      <c r="M370" s="47" t="s">
        <v>39</v>
      </c>
      <c r="N370" s="47" t="s">
        <v>1737</v>
      </c>
      <c r="O370" s="48"/>
      <c r="P370" s="48"/>
      <c r="Q370" s="45"/>
      <c r="S370" s="1">
        <f t="shared" si="225"/>
        <v>0</v>
      </c>
      <c r="T370" s="1">
        <f t="shared" si="226"/>
        <v>0</v>
      </c>
      <c r="U370" s="1">
        <f t="shared" si="227"/>
        <v>0</v>
      </c>
      <c r="V370" s="1">
        <f t="shared" si="228"/>
        <v>0</v>
      </c>
      <c r="W370" s="1">
        <f t="shared" si="229"/>
        <v>0</v>
      </c>
      <c r="X370" s="1">
        <f t="shared" si="230"/>
        <v>0</v>
      </c>
      <c r="Y370" s="1">
        <f t="shared" si="231"/>
        <v>0</v>
      </c>
      <c r="Z370" s="1">
        <f t="shared" si="232"/>
        <v>0</v>
      </c>
      <c r="AA370" s="1">
        <f t="shared" si="233"/>
        <v>0</v>
      </c>
      <c r="AB370" s="1">
        <f t="shared" si="234"/>
        <v>0</v>
      </c>
      <c r="AD370" s="1">
        <f t="shared" si="235"/>
        <v>0</v>
      </c>
      <c r="AE370" s="1">
        <f t="shared" si="236"/>
        <v>0</v>
      </c>
      <c r="AF370" s="1">
        <f t="shared" si="221"/>
        <v>0</v>
      </c>
      <c r="AG370" s="1">
        <f t="shared" si="222"/>
        <v>0</v>
      </c>
      <c r="AH370" s="1">
        <f t="shared" si="223"/>
        <v>0</v>
      </c>
      <c r="AI370" s="1">
        <f t="shared" si="224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1819</v>
      </c>
      <c r="E371" s="45" t="s">
        <v>772</v>
      </c>
      <c r="F371" s="45" t="s">
        <v>1820</v>
      </c>
      <c r="G371" s="45" t="s">
        <v>224</v>
      </c>
      <c r="H371" s="45" t="s">
        <v>354</v>
      </c>
      <c r="I371" s="44" t="s">
        <v>1821</v>
      </c>
      <c r="J371" s="44">
        <v>99</v>
      </c>
      <c r="K371" s="46" t="s">
        <v>1822</v>
      </c>
      <c r="L371" s="46">
        <v>40</v>
      </c>
      <c r="M371" s="47" t="s">
        <v>1823</v>
      </c>
      <c r="N371" s="47" t="s">
        <v>1809</v>
      </c>
      <c r="O371" s="48"/>
      <c r="P371" s="48"/>
      <c r="Q371" s="45"/>
      <c r="S371" s="1">
        <f t="shared" si="225"/>
        <v>0</v>
      </c>
      <c r="T371" s="1">
        <f t="shared" si="226"/>
        <v>0</v>
      </c>
      <c r="U371" s="1">
        <f t="shared" si="227"/>
        <v>0</v>
      </c>
      <c r="V371" s="1">
        <f t="shared" si="228"/>
        <v>0</v>
      </c>
      <c r="W371" s="1">
        <f t="shared" si="229"/>
        <v>0</v>
      </c>
      <c r="X371" s="1">
        <f t="shared" si="230"/>
        <v>0</v>
      </c>
      <c r="Y371" s="1">
        <f t="shared" si="231"/>
        <v>0</v>
      </c>
      <c r="Z371" s="1">
        <f t="shared" si="232"/>
        <v>0</v>
      </c>
      <c r="AA371" s="1">
        <f t="shared" si="233"/>
        <v>0</v>
      </c>
      <c r="AB371" s="1">
        <f t="shared" si="234"/>
        <v>0</v>
      </c>
      <c r="AD371" s="1">
        <f t="shared" si="235"/>
        <v>0</v>
      </c>
      <c r="AE371" s="1">
        <f t="shared" si="236"/>
        <v>0</v>
      </c>
      <c r="AF371" s="1">
        <f t="shared" si="221"/>
        <v>0</v>
      </c>
      <c r="AG371" s="1">
        <f t="shared" si="222"/>
        <v>0</v>
      </c>
      <c r="AH371" s="1">
        <f t="shared" si="223"/>
        <v>0</v>
      </c>
      <c r="AI371" s="1">
        <f t="shared" si="224"/>
        <v>1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2" t="s">
        <v>616</v>
      </c>
      <c r="E372" s="32" t="s">
        <v>686</v>
      </c>
      <c r="F372" s="32" t="s">
        <v>617</v>
      </c>
      <c r="G372" s="32" t="s">
        <v>287</v>
      </c>
      <c r="H372" s="32" t="s">
        <v>354</v>
      </c>
      <c r="I372" s="31" t="s">
        <v>618</v>
      </c>
      <c r="J372" s="31">
        <v>99</v>
      </c>
      <c r="K372" s="33" t="s">
        <v>712</v>
      </c>
      <c r="L372" s="33" t="s">
        <v>704</v>
      </c>
      <c r="M372" s="34" t="s">
        <v>1425</v>
      </c>
      <c r="N372" s="34" t="s">
        <v>1743</v>
      </c>
      <c r="O372" s="35">
        <v>1</v>
      </c>
      <c r="P372" s="35"/>
      <c r="Q372" s="32"/>
      <c r="S372" s="1">
        <f t="shared" si="225"/>
        <v>0</v>
      </c>
      <c r="T372" s="1">
        <f t="shared" si="226"/>
        <v>0</v>
      </c>
      <c r="U372" s="1">
        <f t="shared" si="227"/>
        <v>0</v>
      </c>
      <c r="V372" s="1">
        <f t="shared" si="228"/>
        <v>0</v>
      </c>
      <c r="W372" s="1">
        <f t="shared" si="229"/>
        <v>0</v>
      </c>
      <c r="X372" s="1">
        <f t="shared" si="230"/>
        <v>0</v>
      </c>
      <c r="Y372" s="1">
        <f t="shared" si="231"/>
        <v>0</v>
      </c>
      <c r="Z372" s="1">
        <f t="shared" si="232"/>
        <v>0</v>
      </c>
      <c r="AA372" s="1">
        <f t="shared" si="233"/>
        <v>0</v>
      </c>
      <c r="AB372" s="1">
        <f t="shared" si="234"/>
        <v>0</v>
      </c>
      <c r="AD372" s="1">
        <f t="shared" si="235"/>
        <v>0</v>
      </c>
      <c r="AE372" s="1">
        <f t="shared" si="236"/>
        <v>1</v>
      </c>
      <c r="AF372" s="1">
        <f t="shared" si="221"/>
        <v>0</v>
      </c>
      <c r="AG372" s="1">
        <f t="shared" si="222"/>
        <v>1</v>
      </c>
      <c r="AH372" s="1">
        <f t="shared" si="223"/>
        <v>0</v>
      </c>
      <c r="AI372" s="1">
        <f t="shared" si="224"/>
        <v>1</v>
      </c>
    </row>
    <row r="373" spans="1:4094 4097:8191 8194:12288 12291:16384" ht="14.25" customHeight="1" x14ac:dyDescent="0.25">
      <c r="A373" s="44">
        <v>0</v>
      </c>
      <c r="B373" s="44">
        <v>2</v>
      </c>
      <c r="C373" s="44">
        <v>5</v>
      </c>
      <c r="D373" s="45" t="s">
        <v>1488</v>
      </c>
      <c r="E373" s="45" t="s">
        <v>772</v>
      </c>
      <c r="F373" s="45" t="s">
        <v>1489</v>
      </c>
      <c r="G373" s="45" t="s">
        <v>196</v>
      </c>
      <c r="H373" s="45" t="s">
        <v>354</v>
      </c>
      <c r="I373" s="44" t="s">
        <v>1490</v>
      </c>
      <c r="J373" s="44">
        <v>99</v>
      </c>
      <c r="K373" s="46" t="s">
        <v>954</v>
      </c>
      <c r="L373" s="46" t="s">
        <v>693</v>
      </c>
      <c r="M373" s="47" t="s">
        <v>1416</v>
      </c>
      <c r="N373" s="47" t="s">
        <v>1735</v>
      </c>
      <c r="O373" s="48"/>
      <c r="P373" s="48"/>
      <c r="Q373" s="45"/>
      <c r="R373" s="15"/>
      <c r="S373" s="15">
        <f t="shared" si="225"/>
        <v>0</v>
      </c>
      <c r="T373" s="15">
        <f t="shared" si="226"/>
        <v>0</v>
      </c>
      <c r="U373" s="15">
        <f t="shared" si="227"/>
        <v>0</v>
      </c>
      <c r="V373" s="15">
        <f t="shared" si="228"/>
        <v>0</v>
      </c>
      <c r="W373" s="15">
        <f t="shared" si="229"/>
        <v>0</v>
      </c>
      <c r="X373" s="15">
        <f t="shared" si="230"/>
        <v>0</v>
      </c>
      <c r="Y373" s="15">
        <f t="shared" si="231"/>
        <v>0</v>
      </c>
      <c r="Z373" s="15">
        <f t="shared" si="232"/>
        <v>0</v>
      </c>
      <c r="AA373" s="15">
        <f t="shared" si="233"/>
        <v>0</v>
      </c>
      <c r="AB373" s="10">
        <f t="shared" si="234"/>
        <v>0</v>
      </c>
      <c r="AC373" s="10"/>
      <c r="AD373" s="21">
        <f t="shared" si="235"/>
        <v>0</v>
      </c>
      <c r="AE373" s="21">
        <f t="shared" si="236"/>
        <v>0</v>
      </c>
      <c r="AF373" s="1">
        <f t="shared" si="221"/>
        <v>0</v>
      </c>
      <c r="AG373" s="1">
        <f t="shared" si="222"/>
        <v>0</v>
      </c>
      <c r="AH373" s="21">
        <f t="shared" si="223"/>
        <v>0</v>
      </c>
      <c r="AI373" s="15">
        <f t="shared" si="224"/>
        <v>1</v>
      </c>
      <c r="AJ373" s="15"/>
      <c r="AK373" s="15"/>
      <c r="AL373" s="15"/>
      <c r="AM373" s="15"/>
      <c r="AN373" s="15"/>
      <c r="AO373" s="15"/>
      <c r="AP373" s="15"/>
      <c r="AQ373" s="15"/>
      <c r="AR373" s="15"/>
      <c r="AS373" s="10"/>
      <c r="AT373" s="10"/>
      <c r="AU373" s="21"/>
      <c r="AV373" s="21"/>
      <c r="AY373" s="21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0"/>
      <c r="BK373" s="10"/>
      <c r="BL373" s="21"/>
      <c r="BM373" s="21"/>
      <c r="BP373" s="21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0"/>
      <c r="CB373" s="10"/>
      <c r="CC373" s="21"/>
      <c r="CD373" s="21"/>
      <c r="CG373" s="21"/>
      <c r="CH373" s="15"/>
      <c r="CI373" s="15"/>
      <c r="CJ373" s="15"/>
      <c r="CK373" s="15"/>
      <c r="CL373" s="15"/>
      <c r="CM373" s="15"/>
      <c r="CN373" s="15"/>
      <c r="CO373" s="15"/>
      <c r="CP373" s="15"/>
      <c r="CQ373" s="15"/>
      <c r="CR373" s="10"/>
      <c r="CS373" s="10"/>
      <c r="CT373" s="21"/>
      <c r="CU373" s="21"/>
      <c r="CX373" s="21"/>
      <c r="CY373" s="15"/>
      <c r="CZ373" s="15"/>
      <c r="DA373" s="15"/>
      <c r="DB373" s="15"/>
      <c r="DC373" s="15"/>
      <c r="DD373" s="15"/>
      <c r="DE373" s="15"/>
      <c r="DF373" s="15"/>
      <c r="DG373" s="15"/>
      <c r="DH373" s="15"/>
      <c r="DI373" s="10"/>
      <c r="DJ373" s="10"/>
      <c r="DK373" s="21"/>
      <c r="DL373" s="21"/>
      <c r="DO373" s="21"/>
      <c r="DP373" s="15"/>
      <c r="DQ373" s="15"/>
      <c r="DR373" s="15"/>
      <c r="DS373" s="15"/>
      <c r="DT373" s="15"/>
      <c r="DU373" s="15"/>
      <c r="DV373" s="15"/>
      <c r="DW373" s="15"/>
      <c r="DX373" s="15"/>
      <c r="DY373" s="15"/>
      <c r="DZ373" s="10"/>
      <c r="EA373" s="10"/>
      <c r="EB373" s="21"/>
      <c r="EC373" s="21"/>
      <c r="EF373" s="21"/>
      <c r="EG373" s="15"/>
      <c r="EH373" s="15"/>
      <c r="EI373" s="15"/>
      <c r="EJ373" s="15"/>
      <c r="EK373" s="15"/>
      <c r="EL373" s="15"/>
      <c r="EM373" s="15"/>
      <c r="EN373" s="15"/>
      <c r="EO373" s="15"/>
      <c r="EP373" s="15"/>
      <c r="EQ373" s="10"/>
      <c r="ER373" s="10"/>
      <c r="ES373" s="21"/>
      <c r="ET373" s="21"/>
      <c r="EW373" s="21"/>
      <c r="EX373" s="15"/>
      <c r="EY373" s="15"/>
      <c r="EZ373" s="15"/>
      <c r="FA373" s="15"/>
      <c r="FB373" s="15"/>
      <c r="FC373" s="15"/>
      <c r="FD373" s="15"/>
      <c r="FE373" s="15"/>
      <c r="FF373" s="15"/>
      <c r="FG373" s="15"/>
      <c r="FH373" s="10"/>
      <c r="FI373" s="10"/>
      <c r="FJ373" s="21"/>
      <c r="FK373" s="21"/>
      <c r="FN373" s="21"/>
      <c r="FO373" s="15"/>
      <c r="FP373" s="15"/>
      <c r="FQ373" s="15"/>
      <c r="FR373" s="15"/>
      <c r="FS373" s="15"/>
      <c r="FT373" s="15"/>
      <c r="FU373" s="15"/>
      <c r="FV373" s="15"/>
      <c r="FW373" s="15"/>
      <c r="FX373" s="15"/>
      <c r="FY373" s="10"/>
      <c r="FZ373" s="10"/>
      <c r="GA373" s="21"/>
      <c r="GB373" s="21"/>
      <c r="GE373" s="21"/>
      <c r="GF373" s="15"/>
      <c r="GG373" s="15"/>
      <c r="GH373" s="15"/>
      <c r="GI373" s="15"/>
      <c r="GJ373" s="15"/>
      <c r="GK373" s="15"/>
      <c r="GL373" s="15"/>
      <c r="GM373" s="15"/>
      <c r="GN373" s="15"/>
      <c r="GO373" s="15"/>
      <c r="GP373" s="10"/>
      <c r="GQ373" s="10"/>
      <c r="GR373" s="21"/>
      <c r="GS373" s="21"/>
      <c r="GV373" s="21"/>
      <c r="GW373" s="15"/>
      <c r="GX373" s="15"/>
      <c r="GY373" s="15"/>
      <c r="GZ373" s="15"/>
      <c r="HA373" s="15"/>
      <c r="HB373" s="15"/>
      <c r="HC373" s="15"/>
      <c r="HD373" s="15"/>
      <c r="HE373" s="15"/>
      <c r="HF373" s="15"/>
      <c r="HG373" s="10"/>
      <c r="HH373" s="10"/>
      <c r="HI373" s="21"/>
      <c r="HJ373" s="21"/>
      <c r="HM373" s="21"/>
      <c r="HN373" s="15"/>
      <c r="HO373" s="15"/>
      <c r="HP373" s="15"/>
      <c r="HQ373" s="15"/>
      <c r="HR373" s="15"/>
      <c r="HS373" s="15"/>
      <c r="HT373" s="15"/>
      <c r="HU373" s="15"/>
      <c r="HV373" s="15"/>
      <c r="HW373" s="15"/>
      <c r="HX373" s="10"/>
      <c r="HY373" s="10"/>
      <c r="HZ373" s="21"/>
      <c r="IA373" s="21"/>
      <c r="ID373" s="21"/>
      <c r="IE373" s="15"/>
      <c r="IF373" s="15"/>
      <c r="IG373" s="15"/>
      <c r="IH373" s="15"/>
      <c r="II373" s="15"/>
      <c r="IJ373" s="15"/>
      <c r="IK373" s="15"/>
      <c r="IL373" s="15"/>
      <c r="IM373" s="15"/>
      <c r="IN373" s="15"/>
      <c r="IO373" s="10"/>
      <c r="IP373" s="10"/>
      <c r="IQ373" s="21"/>
      <c r="IR373" s="21"/>
      <c r="IU373" s="21"/>
      <c r="IV373" s="15"/>
      <c r="IW373" s="15"/>
      <c r="IX373" s="15"/>
      <c r="IY373" s="15"/>
      <c r="IZ373" s="15"/>
      <c r="JA373" s="15"/>
      <c r="JB373" s="15"/>
      <c r="JC373" s="15"/>
      <c r="JD373" s="15"/>
      <c r="JE373" s="15"/>
      <c r="JF373" s="10"/>
      <c r="JG373" s="10"/>
      <c r="JH373" s="21"/>
      <c r="JI373" s="21"/>
      <c r="JL373" s="21"/>
      <c r="JM373" s="15"/>
      <c r="JN373" s="15"/>
      <c r="JO373" s="15"/>
      <c r="JP373" s="15"/>
      <c r="JQ373" s="15"/>
      <c r="JR373" s="15"/>
      <c r="JS373" s="15"/>
      <c r="JT373" s="15"/>
      <c r="JU373" s="15"/>
      <c r="JV373" s="15"/>
      <c r="JW373" s="10"/>
      <c r="JX373" s="10"/>
      <c r="JY373" s="21"/>
      <c r="JZ373" s="21"/>
      <c r="KC373" s="21"/>
      <c r="KD373" s="15"/>
      <c r="KE373" s="15"/>
      <c r="KF373" s="15"/>
      <c r="KG373" s="15"/>
      <c r="KH373" s="15"/>
      <c r="KI373" s="15"/>
      <c r="KJ373" s="15"/>
      <c r="KK373" s="15"/>
      <c r="KL373" s="15"/>
      <c r="KM373" s="15"/>
      <c r="KN373" s="10"/>
      <c r="KO373" s="10"/>
      <c r="KP373" s="21"/>
      <c r="KQ373" s="21"/>
      <c r="KT373" s="21"/>
      <c r="KU373" s="15"/>
      <c r="KV373" s="15"/>
      <c r="KW373" s="15"/>
      <c r="KX373" s="15"/>
      <c r="KY373" s="15"/>
      <c r="KZ373" s="15"/>
      <c r="LA373" s="15"/>
      <c r="LB373" s="15"/>
      <c r="LC373" s="15"/>
      <c r="LD373" s="15"/>
      <c r="LE373" s="10"/>
      <c r="LF373" s="10"/>
      <c r="LG373" s="21"/>
      <c r="LH373" s="21"/>
      <c r="LK373" s="21"/>
      <c r="LL373" s="15"/>
      <c r="LM373" s="15"/>
      <c r="LN373" s="15"/>
      <c r="LO373" s="15"/>
      <c r="LP373" s="15"/>
      <c r="LQ373" s="15"/>
      <c r="LR373" s="15"/>
      <c r="LS373" s="15"/>
      <c r="LT373" s="15"/>
      <c r="LU373" s="15"/>
      <c r="LV373" s="10"/>
      <c r="LW373" s="10"/>
      <c r="LX373" s="21"/>
      <c r="LY373" s="21"/>
      <c r="MB373" s="21"/>
      <c r="MC373" s="15"/>
      <c r="MD373" s="15"/>
      <c r="ME373" s="15"/>
      <c r="MF373" s="15"/>
      <c r="MG373" s="15"/>
      <c r="MH373" s="15"/>
      <c r="MI373" s="15"/>
      <c r="MJ373" s="15"/>
      <c r="MK373" s="15"/>
      <c r="ML373" s="15"/>
      <c r="MM373" s="10"/>
      <c r="MN373" s="10"/>
      <c r="MO373" s="21"/>
      <c r="MP373" s="21"/>
      <c r="MS373" s="21"/>
      <c r="MT373" s="15"/>
      <c r="MU373" s="15"/>
      <c r="MV373" s="15"/>
      <c r="MW373" s="15"/>
      <c r="MX373" s="15"/>
      <c r="MY373" s="15"/>
      <c r="MZ373" s="15"/>
      <c r="NA373" s="15"/>
      <c r="NB373" s="15"/>
      <c r="NC373" s="15"/>
      <c r="ND373" s="10"/>
      <c r="NE373" s="10"/>
      <c r="NF373" s="21"/>
      <c r="NG373" s="21"/>
      <c r="NJ373" s="21"/>
      <c r="NK373" s="15"/>
      <c r="NL373" s="15"/>
      <c r="NM373" s="15"/>
      <c r="NN373" s="15"/>
      <c r="NO373" s="15"/>
      <c r="NP373" s="15"/>
      <c r="NQ373" s="15"/>
      <c r="NR373" s="15"/>
      <c r="NS373" s="15"/>
      <c r="NT373" s="15"/>
      <c r="NU373" s="10"/>
      <c r="NV373" s="10"/>
      <c r="NW373" s="21"/>
      <c r="NX373" s="21"/>
      <c r="OA373" s="21"/>
      <c r="OB373" s="15"/>
      <c r="OC373" s="15"/>
      <c r="OD373" s="15"/>
      <c r="OE373" s="15"/>
      <c r="OF373" s="15"/>
      <c r="OG373" s="15"/>
      <c r="OH373" s="15"/>
      <c r="OI373" s="15"/>
      <c r="OJ373" s="15"/>
      <c r="OK373" s="15"/>
      <c r="OL373" s="10"/>
      <c r="OM373" s="10"/>
      <c r="ON373" s="21"/>
      <c r="OO373" s="21"/>
      <c r="OR373" s="21"/>
      <c r="OS373" s="15"/>
      <c r="OT373" s="15"/>
      <c r="OU373" s="15"/>
      <c r="OV373" s="15"/>
      <c r="OW373" s="15"/>
      <c r="OX373" s="15"/>
      <c r="OY373" s="15"/>
      <c r="OZ373" s="15"/>
      <c r="PA373" s="15"/>
      <c r="PB373" s="15"/>
      <c r="PC373" s="10"/>
      <c r="PD373" s="10"/>
      <c r="PE373" s="21"/>
      <c r="PF373" s="21"/>
      <c r="PI373" s="21"/>
      <c r="PJ373" s="15"/>
      <c r="PK373" s="15"/>
      <c r="PL373" s="15"/>
      <c r="PM373" s="15"/>
      <c r="PN373" s="15"/>
      <c r="PO373" s="15"/>
      <c r="PP373" s="15"/>
      <c r="PQ373" s="15"/>
      <c r="PR373" s="15"/>
      <c r="PS373" s="15"/>
      <c r="PT373" s="10"/>
      <c r="PU373" s="10"/>
      <c r="PV373" s="21"/>
      <c r="PW373" s="21"/>
      <c r="PZ373" s="21"/>
      <c r="QA373" s="15"/>
      <c r="QB373" s="15"/>
      <c r="QC373" s="15"/>
      <c r="QD373" s="15"/>
      <c r="QE373" s="15"/>
      <c r="QF373" s="15"/>
      <c r="QG373" s="15"/>
      <c r="QH373" s="15"/>
      <c r="QI373" s="15"/>
      <c r="QJ373" s="15"/>
      <c r="QK373" s="10"/>
      <c r="QL373" s="10"/>
      <c r="QM373" s="21"/>
      <c r="QN373" s="21"/>
      <c r="QQ373" s="21"/>
      <c r="QR373" s="15"/>
      <c r="QS373" s="15"/>
      <c r="QT373" s="15"/>
      <c r="QU373" s="15"/>
      <c r="QV373" s="15"/>
      <c r="QW373" s="15"/>
      <c r="QX373" s="15"/>
      <c r="QY373" s="15"/>
      <c r="QZ373" s="15"/>
      <c r="RA373" s="15"/>
      <c r="RB373" s="10"/>
      <c r="RC373" s="10"/>
      <c r="RD373" s="21"/>
      <c r="RE373" s="21"/>
      <c r="RH373" s="21"/>
      <c r="RI373" s="15"/>
      <c r="RJ373" s="15"/>
      <c r="RK373" s="15"/>
      <c r="RL373" s="15"/>
      <c r="RM373" s="15"/>
      <c r="RN373" s="15"/>
      <c r="RO373" s="15"/>
      <c r="RP373" s="15"/>
      <c r="RQ373" s="15"/>
      <c r="RR373" s="15"/>
      <c r="RS373" s="10"/>
      <c r="RT373" s="10"/>
      <c r="RU373" s="21"/>
      <c r="RV373" s="21"/>
      <c r="RY373" s="21"/>
      <c r="RZ373" s="15"/>
      <c r="SA373" s="15"/>
      <c r="SB373" s="15"/>
      <c r="SC373" s="15"/>
      <c r="SD373" s="15"/>
      <c r="SE373" s="15"/>
      <c r="SF373" s="15"/>
      <c r="SG373" s="15"/>
      <c r="SH373" s="15"/>
      <c r="SI373" s="15"/>
      <c r="SJ373" s="10"/>
      <c r="SK373" s="10"/>
      <c r="SL373" s="21"/>
      <c r="SM373" s="21"/>
      <c r="SP373" s="21"/>
      <c r="SQ373" s="15"/>
      <c r="SR373" s="15"/>
      <c r="SS373" s="15"/>
      <c r="ST373" s="15"/>
      <c r="SU373" s="15"/>
      <c r="SV373" s="15"/>
      <c r="SW373" s="15"/>
      <c r="SX373" s="15"/>
      <c r="SY373" s="15"/>
      <c r="SZ373" s="15"/>
      <c r="TA373" s="10"/>
      <c r="TB373" s="10"/>
      <c r="TC373" s="21"/>
      <c r="TD373" s="21"/>
      <c r="TG373" s="21"/>
      <c r="TH373" s="15"/>
      <c r="TI373" s="15"/>
      <c r="TJ373" s="15"/>
      <c r="TK373" s="15"/>
      <c r="TL373" s="15"/>
      <c r="TM373" s="15"/>
      <c r="TN373" s="15"/>
      <c r="TO373" s="15"/>
      <c r="TP373" s="15"/>
      <c r="TQ373" s="15"/>
      <c r="TR373" s="10"/>
      <c r="TS373" s="10"/>
      <c r="TT373" s="21"/>
      <c r="TU373" s="21"/>
      <c r="TX373" s="21"/>
      <c r="TY373" s="15"/>
      <c r="TZ373" s="15"/>
      <c r="UA373" s="15"/>
      <c r="UB373" s="15"/>
      <c r="UC373" s="15"/>
      <c r="UD373" s="15"/>
      <c r="UE373" s="15"/>
      <c r="UF373" s="15"/>
      <c r="UG373" s="15"/>
      <c r="UH373" s="15"/>
      <c r="UI373" s="10"/>
      <c r="UJ373" s="10"/>
      <c r="UK373" s="21"/>
      <c r="UL373" s="21"/>
      <c r="UO373" s="21"/>
      <c r="UP373" s="15"/>
      <c r="UQ373" s="15"/>
      <c r="UR373" s="15"/>
      <c r="US373" s="15"/>
      <c r="UT373" s="15"/>
      <c r="UU373" s="15"/>
      <c r="UV373" s="15"/>
      <c r="UW373" s="15"/>
      <c r="UX373" s="15"/>
      <c r="UY373" s="15"/>
      <c r="UZ373" s="10"/>
      <c r="VA373" s="10"/>
      <c r="VB373" s="21"/>
      <c r="VC373" s="21"/>
      <c r="VF373" s="21"/>
      <c r="VG373" s="15"/>
      <c r="VH373" s="15"/>
      <c r="VI373" s="15"/>
      <c r="VJ373" s="15"/>
      <c r="VK373" s="15"/>
      <c r="VL373" s="15"/>
      <c r="VM373" s="15"/>
      <c r="VN373" s="15"/>
      <c r="VO373" s="15"/>
      <c r="VP373" s="15"/>
      <c r="VQ373" s="10"/>
      <c r="VR373" s="10"/>
      <c r="VS373" s="21"/>
      <c r="VT373" s="21"/>
      <c r="VW373" s="21"/>
      <c r="VX373" s="15"/>
      <c r="VY373" s="15"/>
      <c r="VZ373" s="15"/>
      <c r="WA373" s="15"/>
      <c r="WB373" s="15"/>
      <c r="WC373" s="15"/>
      <c r="WD373" s="15"/>
      <c r="WE373" s="15"/>
      <c r="WF373" s="15"/>
      <c r="WG373" s="15"/>
      <c r="WH373" s="10"/>
      <c r="WI373" s="10"/>
      <c r="WJ373" s="21"/>
      <c r="WK373" s="21"/>
      <c r="WN373" s="21"/>
      <c r="WO373" s="15"/>
      <c r="WP373" s="15"/>
      <c r="WQ373" s="15"/>
      <c r="WR373" s="15"/>
      <c r="WS373" s="15"/>
      <c r="WT373" s="15"/>
      <c r="WU373" s="15"/>
      <c r="WV373" s="15"/>
      <c r="WW373" s="15"/>
      <c r="WX373" s="15"/>
      <c r="WY373" s="10"/>
      <c r="WZ373" s="10"/>
      <c r="XA373" s="21"/>
      <c r="XB373" s="21"/>
      <c r="XE373" s="21"/>
      <c r="XF373" s="15"/>
      <c r="XG373" s="15"/>
      <c r="XH373" s="15"/>
      <c r="XI373" s="15"/>
      <c r="XJ373" s="15"/>
      <c r="XK373" s="15"/>
      <c r="XL373" s="15"/>
      <c r="XM373" s="15"/>
      <c r="XN373" s="15"/>
      <c r="XO373" s="15"/>
      <c r="XP373" s="10"/>
      <c r="XQ373" s="10"/>
      <c r="XR373" s="21"/>
      <c r="XS373" s="21"/>
      <c r="XV373" s="21"/>
      <c r="XW373" s="15"/>
      <c r="XX373" s="15"/>
      <c r="XY373" s="15"/>
      <c r="XZ373" s="15"/>
      <c r="YA373" s="15"/>
      <c r="YB373" s="15"/>
      <c r="YC373" s="15"/>
      <c r="YD373" s="15"/>
      <c r="YE373" s="15"/>
      <c r="YF373" s="15"/>
      <c r="YG373" s="10"/>
      <c r="YH373" s="10"/>
      <c r="YI373" s="21"/>
      <c r="YJ373" s="21"/>
      <c r="YM373" s="21"/>
      <c r="YN373" s="15"/>
      <c r="YO373" s="15"/>
      <c r="YP373" s="15"/>
      <c r="YQ373" s="15"/>
      <c r="YR373" s="15"/>
      <c r="YS373" s="15"/>
      <c r="YT373" s="15"/>
      <c r="YU373" s="15"/>
      <c r="YV373" s="15"/>
      <c r="YW373" s="15"/>
      <c r="YX373" s="10"/>
      <c r="YY373" s="10"/>
      <c r="YZ373" s="21"/>
      <c r="ZA373" s="21"/>
      <c r="ZD373" s="21"/>
      <c r="ZE373" s="15"/>
      <c r="ZF373" s="15"/>
      <c r="ZG373" s="15"/>
      <c r="ZH373" s="15"/>
      <c r="ZI373" s="15"/>
      <c r="ZJ373" s="15"/>
      <c r="ZK373" s="15"/>
      <c r="ZL373" s="15"/>
      <c r="ZM373" s="15"/>
      <c r="ZN373" s="15"/>
      <c r="ZO373" s="10"/>
      <c r="ZP373" s="10"/>
      <c r="ZQ373" s="21"/>
      <c r="ZR373" s="21"/>
      <c r="ZU373" s="21"/>
      <c r="ZV373" s="15"/>
      <c r="ZW373" s="15"/>
      <c r="ZX373" s="15"/>
      <c r="ZY373" s="15"/>
      <c r="ZZ373" s="15"/>
      <c r="AAA373" s="15"/>
      <c r="AAB373" s="15"/>
      <c r="AAC373" s="15"/>
      <c r="AAD373" s="15"/>
      <c r="AAE373" s="15"/>
      <c r="AAF373" s="10"/>
      <c r="AAG373" s="10"/>
      <c r="AAH373" s="21"/>
      <c r="AAI373" s="21"/>
      <c r="AAL373" s="21"/>
      <c r="AAM373" s="15"/>
      <c r="AAN373" s="15"/>
      <c r="AAO373" s="15"/>
      <c r="AAP373" s="15"/>
      <c r="AAQ373" s="15"/>
      <c r="AAR373" s="15"/>
      <c r="AAS373" s="15"/>
      <c r="AAT373" s="15"/>
      <c r="AAU373" s="15"/>
      <c r="AAV373" s="15"/>
      <c r="AAW373" s="10"/>
      <c r="AAX373" s="10"/>
      <c r="AAY373" s="21"/>
      <c r="AAZ373" s="21"/>
      <c r="ABC373" s="21"/>
      <c r="ABD373" s="15"/>
      <c r="ABE373" s="15"/>
      <c r="ABF373" s="15"/>
      <c r="ABG373" s="15"/>
      <c r="ABH373" s="15"/>
      <c r="ABI373" s="15"/>
      <c r="ABJ373" s="15"/>
      <c r="ABK373" s="15"/>
      <c r="ABL373" s="15"/>
      <c r="ABM373" s="15"/>
      <c r="ABN373" s="10"/>
      <c r="ABO373" s="10"/>
      <c r="ABP373" s="21"/>
      <c r="ABQ373" s="21"/>
      <c r="ABT373" s="21"/>
      <c r="ABU373" s="15"/>
      <c r="ABV373" s="15"/>
      <c r="ABW373" s="15"/>
      <c r="ABX373" s="15"/>
      <c r="ABY373" s="15"/>
      <c r="ABZ373" s="15"/>
      <c r="ACA373" s="15"/>
      <c r="ACB373" s="15"/>
      <c r="ACC373" s="15"/>
      <c r="ACD373" s="15"/>
      <c r="ACE373" s="10"/>
      <c r="ACF373" s="10"/>
      <c r="ACG373" s="21"/>
      <c r="ACH373" s="21"/>
      <c r="ACK373" s="21"/>
      <c r="ACL373" s="15"/>
      <c r="ACM373" s="15"/>
      <c r="ACN373" s="15"/>
      <c r="ACO373" s="15"/>
      <c r="ACP373" s="15"/>
      <c r="ACQ373" s="15"/>
      <c r="ACR373" s="15"/>
      <c r="ACS373" s="15"/>
      <c r="ACT373" s="15"/>
      <c r="ACU373" s="15"/>
      <c r="ACV373" s="10"/>
      <c r="ACW373" s="10"/>
      <c r="ACX373" s="21"/>
      <c r="ACY373" s="21"/>
      <c r="ADB373" s="21"/>
      <c r="ADC373" s="15"/>
      <c r="ADD373" s="15"/>
      <c r="ADE373" s="15"/>
      <c r="ADF373" s="15"/>
      <c r="ADG373" s="15"/>
      <c r="ADH373" s="15"/>
      <c r="ADI373" s="15"/>
      <c r="ADJ373" s="15"/>
      <c r="ADK373" s="15"/>
      <c r="ADL373" s="15"/>
      <c r="ADM373" s="10"/>
      <c r="ADN373" s="10"/>
      <c r="ADO373" s="21"/>
      <c r="ADP373" s="21"/>
      <c r="ADS373" s="21"/>
      <c r="ADT373" s="15"/>
      <c r="ADU373" s="15"/>
      <c r="ADV373" s="15"/>
      <c r="ADW373" s="15"/>
      <c r="ADX373" s="15"/>
      <c r="ADY373" s="15"/>
      <c r="ADZ373" s="15"/>
      <c r="AEA373" s="15"/>
      <c r="AEB373" s="15"/>
      <c r="AEC373" s="15"/>
      <c r="AED373" s="10"/>
      <c r="AEE373" s="10"/>
      <c r="AEF373" s="21"/>
      <c r="AEG373" s="21"/>
      <c r="AEJ373" s="21"/>
      <c r="AEK373" s="15"/>
      <c r="AEL373" s="15"/>
      <c r="AEM373" s="15"/>
      <c r="AEN373" s="15"/>
      <c r="AEO373" s="15"/>
      <c r="AEP373" s="15"/>
      <c r="AEQ373" s="15"/>
      <c r="AER373" s="15"/>
      <c r="AES373" s="15"/>
      <c r="AET373" s="15"/>
      <c r="AEU373" s="10"/>
      <c r="AEV373" s="10"/>
      <c r="AEW373" s="21"/>
      <c r="AEX373" s="21"/>
      <c r="AFA373" s="21"/>
      <c r="AFB373" s="15"/>
      <c r="AFC373" s="15"/>
      <c r="AFD373" s="15"/>
      <c r="AFE373" s="15"/>
      <c r="AFF373" s="15"/>
      <c r="AFG373" s="15"/>
      <c r="AFH373" s="15"/>
      <c r="AFI373" s="15"/>
      <c r="AFJ373" s="15"/>
      <c r="AFK373" s="15"/>
      <c r="AFL373" s="10"/>
      <c r="AFM373" s="10"/>
      <c r="AFN373" s="21"/>
      <c r="AFO373" s="21"/>
      <c r="AFR373" s="21"/>
      <c r="AFS373" s="15"/>
      <c r="AFT373" s="15"/>
      <c r="AFU373" s="15"/>
      <c r="AFV373" s="15"/>
      <c r="AFW373" s="15"/>
      <c r="AFX373" s="15"/>
      <c r="AFY373" s="15"/>
      <c r="AFZ373" s="15"/>
      <c r="AGA373" s="15"/>
      <c r="AGB373" s="15"/>
      <c r="AGC373" s="10"/>
      <c r="AGD373" s="10"/>
      <c r="AGE373" s="21"/>
      <c r="AGF373" s="21"/>
      <c r="AGI373" s="21"/>
      <c r="AGJ373" s="15"/>
      <c r="AGK373" s="15"/>
      <c r="AGL373" s="15"/>
      <c r="AGM373" s="15"/>
      <c r="AGN373" s="15"/>
      <c r="AGO373" s="15"/>
      <c r="AGP373" s="15"/>
      <c r="AGQ373" s="15"/>
      <c r="AGR373" s="15"/>
      <c r="AGS373" s="15"/>
      <c r="AGT373" s="10"/>
      <c r="AGU373" s="10"/>
      <c r="AGV373" s="21"/>
      <c r="AGW373" s="21"/>
      <c r="AGZ373" s="21"/>
      <c r="AHA373" s="15"/>
      <c r="AHB373" s="15"/>
      <c r="AHC373" s="15"/>
      <c r="AHD373" s="15"/>
      <c r="AHE373" s="15"/>
      <c r="AHF373" s="15"/>
      <c r="AHG373" s="15"/>
      <c r="AHH373" s="15"/>
      <c r="AHI373" s="15"/>
      <c r="AHJ373" s="15"/>
      <c r="AHK373" s="10"/>
      <c r="AHL373" s="10"/>
      <c r="AHM373" s="21"/>
      <c r="AHN373" s="21"/>
      <c r="AHQ373" s="21"/>
      <c r="AHR373" s="15"/>
      <c r="AHS373" s="15"/>
      <c r="AHT373" s="15"/>
      <c r="AHU373" s="15"/>
      <c r="AHV373" s="15"/>
      <c r="AHW373" s="15"/>
      <c r="AHX373" s="15"/>
      <c r="AHY373" s="15"/>
      <c r="AHZ373" s="15"/>
      <c r="AIA373" s="15"/>
      <c r="AIB373" s="10"/>
      <c r="AIC373" s="10"/>
      <c r="AID373" s="21"/>
      <c r="AIE373" s="21"/>
      <c r="AIH373" s="21"/>
      <c r="AII373" s="15"/>
      <c r="AIJ373" s="15"/>
      <c r="AIK373" s="15"/>
      <c r="AIL373" s="15"/>
      <c r="AIM373" s="15"/>
      <c r="AIN373" s="15"/>
      <c r="AIO373" s="15"/>
      <c r="AIP373" s="15"/>
      <c r="AIQ373" s="15"/>
      <c r="AIR373" s="15"/>
      <c r="AIS373" s="10"/>
      <c r="AIT373" s="10"/>
      <c r="AIU373" s="21"/>
      <c r="AIV373" s="21"/>
      <c r="AIY373" s="21"/>
      <c r="AIZ373" s="15"/>
      <c r="AJA373" s="15"/>
      <c r="AJB373" s="15"/>
      <c r="AJC373" s="15"/>
      <c r="AJD373" s="15"/>
      <c r="AJE373" s="15"/>
      <c r="AJF373" s="15"/>
      <c r="AJG373" s="15"/>
      <c r="AJH373" s="15"/>
      <c r="AJI373" s="15"/>
      <c r="AJJ373" s="10"/>
      <c r="AJK373" s="10"/>
      <c r="AJL373" s="21"/>
      <c r="AJM373" s="21"/>
      <c r="AJP373" s="21"/>
      <c r="AJQ373" s="15"/>
      <c r="AJR373" s="15"/>
      <c r="AJS373" s="15"/>
      <c r="AJT373" s="15"/>
      <c r="AJU373" s="15"/>
      <c r="AJV373" s="15"/>
      <c r="AJW373" s="15"/>
      <c r="AJX373" s="15"/>
      <c r="AJY373" s="15"/>
      <c r="AJZ373" s="15"/>
      <c r="AKA373" s="10"/>
      <c r="AKB373" s="10"/>
      <c r="AKC373" s="21"/>
      <c r="AKD373" s="21"/>
      <c r="AKG373" s="21"/>
      <c r="AKH373" s="15"/>
      <c r="AKI373" s="15"/>
      <c r="AKJ373" s="15"/>
      <c r="AKK373" s="15"/>
      <c r="AKL373" s="15"/>
      <c r="AKM373" s="15"/>
      <c r="AKN373" s="15"/>
      <c r="AKO373" s="15"/>
      <c r="AKP373" s="15"/>
      <c r="AKQ373" s="15"/>
      <c r="AKR373" s="10"/>
      <c r="AKS373" s="10"/>
      <c r="AKT373" s="21"/>
      <c r="AKU373" s="21"/>
      <c r="AKX373" s="21"/>
      <c r="AKY373" s="15"/>
      <c r="AKZ373" s="15"/>
      <c r="ALA373" s="15"/>
      <c r="ALB373" s="15"/>
      <c r="ALC373" s="15"/>
      <c r="ALD373" s="15"/>
      <c r="ALE373" s="15"/>
      <c r="ALF373" s="15"/>
      <c r="ALG373" s="15"/>
      <c r="ALH373" s="15"/>
      <c r="ALI373" s="10"/>
      <c r="ALJ373" s="10"/>
      <c r="ALK373" s="21"/>
      <c r="ALL373" s="21"/>
      <c r="ALO373" s="21"/>
      <c r="ALP373" s="15"/>
      <c r="ALQ373" s="15"/>
      <c r="ALR373" s="15"/>
      <c r="ALS373" s="15"/>
      <c r="ALT373" s="15"/>
      <c r="ALU373" s="15"/>
      <c r="ALV373" s="15"/>
      <c r="ALW373" s="15"/>
      <c r="ALX373" s="15"/>
      <c r="ALY373" s="15"/>
      <c r="ALZ373" s="10"/>
      <c r="AMA373" s="10"/>
      <c r="AMB373" s="21"/>
      <c r="AMC373" s="21"/>
      <c r="AMF373" s="21"/>
      <c r="AMG373" s="15"/>
      <c r="AMH373" s="15"/>
      <c r="AMI373" s="15"/>
      <c r="AMJ373" s="15"/>
      <c r="AMK373" s="15"/>
      <c r="AML373" s="15"/>
      <c r="AMM373" s="15"/>
      <c r="AMN373" s="15"/>
      <c r="AMO373" s="15"/>
      <c r="AMP373" s="15"/>
      <c r="AMQ373" s="10"/>
      <c r="AMR373" s="10"/>
      <c r="AMS373" s="21"/>
      <c r="AMT373" s="21"/>
      <c r="AMW373" s="21"/>
      <c r="AMX373" s="15"/>
      <c r="AMY373" s="15"/>
      <c r="AMZ373" s="15"/>
      <c r="ANA373" s="15"/>
      <c r="ANB373" s="15"/>
      <c r="ANC373" s="15"/>
      <c r="AND373" s="15"/>
      <c r="ANE373" s="15"/>
      <c r="ANF373" s="15"/>
      <c r="ANG373" s="15"/>
      <c r="ANH373" s="10"/>
      <c r="ANI373" s="10"/>
      <c r="ANJ373" s="21"/>
      <c r="ANK373" s="21"/>
      <c r="ANN373" s="21"/>
      <c r="ANO373" s="15"/>
      <c r="ANP373" s="15"/>
      <c r="ANQ373" s="15"/>
      <c r="ANR373" s="15"/>
      <c r="ANS373" s="15"/>
      <c r="ANT373" s="15"/>
      <c r="ANU373" s="15"/>
      <c r="ANV373" s="15"/>
      <c r="ANW373" s="15"/>
      <c r="ANX373" s="15"/>
      <c r="ANY373" s="10"/>
      <c r="ANZ373" s="10"/>
      <c r="AOA373" s="21"/>
      <c r="AOB373" s="21"/>
      <c r="AOE373" s="21"/>
      <c r="AOF373" s="15"/>
      <c r="AOG373" s="15"/>
      <c r="AOH373" s="15"/>
      <c r="AOI373" s="15"/>
      <c r="AOJ373" s="15"/>
      <c r="AOK373" s="15"/>
      <c r="AOL373" s="15"/>
      <c r="AOM373" s="15"/>
      <c r="AON373" s="15"/>
      <c r="AOO373" s="15"/>
      <c r="AOP373" s="10"/>
      <c r="AOQ373" s="10"/>
      <c r="AOR373" s="21"/>
      <c r="AOS373" s="21"/>
      <c r="AOV373" s="21"/>
      <c r="AOW373" s="15"/>
      <c r="AOX373" s="15"/>
      <c r="AOY373" s="15"/>
      <c r="AOZ373" s="15"/>
      <c r="APA373" s="15"/>
      <c r="APB373" s="15"/>
      <c r="APC373" s="15"/>
      <c r="APD373" s="15"/>
      <c r="APE373" s="15"/>
      <c r="APF373" s="15"/>
      <c r="APG373" s="10"/>
      <c r="APH373" s="10"/>
      <c r="API373" s="21"/>
      <c r="APJ373" s="21"/>
      <c r="APM373" s="21"/>
      <c r="APN373" s="15"/>
      <c r="APO373" s="15"/>
      <c r="APP373" s="15"/>
      <c r="APQ373" s="15"/>
      <c r="APR373" s="15"/>
      <c r="APS373" s="15"/>
      <c r="APT373" s="15"/>
      <c r="APU373" s="15"/>
      <c r="APV373" s="15"/>
      <c r="APW373" s="15"/>
      <c r="APX373" s="10"/>
      <c r="APY373" s="10"/>
      <c r="APZ373" s="21"/>
      <c r="AQA373" s="21"/>
      <c r="AQD373" s="21"/>
      <c r="AQE373" s="15"/>
      <c r="AQF373" s="15"/>
      <c r="AQG373" s="15"/>
      <c r="AQH373" s="15"/>
      <c r="AQI373" s="15"/>
      <c r="AQJ373" s="15"/>
      <c r="AQK373" s="15"/>
      <c r="AQL373" s="15"/>
      <c r="AQM373" s="15"/>
      <c r="AQN373" s="15"/>
      <c r="AQO373" s="10"/>
      <c r="AQP373" s="10"/>
      <c r="AQQ373" s="21"/>
      <c r="AQR373" s="21"/>
      <c r="AQU373" s="21"/>
      <c r="AQV373" s="15"/>
      <c r="AQW373" s="15"/>
      <c r="AQX373" s="15"/>
      <c r="AQY373" s="15"/>
      <c r="AQZ373" s="15"/>
      <c r="ARA373" s="15"/>
      <c r="ARB373" s="15"/>
      <c r="ARC373" s="15"/>
      <c r="ARD373" s="15"/>
      <c r="ARE373" s="15"/>
      <c r="ARF373" s="10"/>
      <c r="ARG373" s="10"/>
      <c r="ARH373" s="21"/>
      <c r="ARI373" s="21"/>
      <c r="ARL373" s="21"/>
      <c r="ARM373" s="15"/>
      <c r="ARN373" s="15"/>
      <c r="ARO373" s="15"/>
      <c r="ARP373" s="15"/>
      <c r="ARQ373" s="15"/>
      <c r="ARR373" s="15"/>
      <c r="ARS373" s="15"/>
      <c r="ART373" s="15"/>
      <c r="ARU373" s="15"/>
      <c r="ARV373" s="15"/>
      <c r="ARW373" s="10"/>
      <c r="ARX373" s="10"/>
      <c r="ARY373" s="21"/>
      <c r="ARZ373" s="21"/>
      <c r="ASC373" s="21"/>
      <c r="ASD373" s="15"/>
      <c r="ASE373" s="15"/>
      <c r="ASF373" s="15"/>
      <c r="ASG373" s="15"/>
      <c r="ASH373" s="15"/>
      <c r="ASI373" s="15"/>
      <c r="ASJ373" s="15"/>
      <c r="ASK373" s="15"/>
      <c r="ASL373" s="15"/>
      <c r="ASM373" s="15"/>
      <c r="ASN373" s="10"/>
      <c r="ASO373" s="10"/>
      <c r="ASP373" s="21"/>
      <c r="ASQ373" s="21"/>
      <c r="AST373" s="21"/>
      <c r="ASU373" s="15"/>
      <c r="ASV373" s="15"/>
      <c r="ASW373" s="15"/>
      <c r="ASX373" s="15"/>
      <c r="ASY373" s="15"/>
      <c r="ASZ373" s="15"/>
      <c r="ATA373" s="15"/>
      <c r="ATB373" s="15"/>
      <c r="ATC373" s="15"/>
      <c r="ATD373" s="15"/>
      <c r="ATE373" s="10"/>
      <c r="ATF373" s="10"/>
      <c r="ATG373" s="21"/>
      <c r="ATH373" s="21"/>
      <c r="ATK373" s="21"/>
      <c r="ATL373" s="15"/>
      <c r="ATM373" s="15"/>
      <c r="ATN373" s="15"/>
      <c r="ATO373" s="15"/>
      <c r="ATP373" s="15"/>
      <c r="ATQ373" s="15"/>
      <c r="ATR373" s="15"/>
      <c r="ATS373" s="15"/>
      <c r="ATT373" s="15"/>
      <c r="ATU373" s="15"/>
      <c r="ATV373" s="10"/>
      <c r="ATW373" s="10"/>
      <c r="ATX373" s="21"/>
      <c r="ATY373" s="21"/>
      <c r="AUB373" s="21"/>
      <c r="AUC373" s="15"/>
      <c r="AUD373" s="15"/>
      <c r="AUE373" s="15"/>
      <c r="AUF373" s="15"/>
      <c r="AUG373" s="15"/>
      <c r="AUH373" s="15"/>
      <c r="AUI373" s="15"/>
      <c r="AUJ373" s="15"/>
      <c r="AUK373" s="15"/>
      <c r="AUL373" s="15"/>
      <c r="AUM373" s="10"/>
      <c r="AUN373" s="10"/>
      <c r="AUO373" s="21"/>
      <c r="AUP373" s="21"/>
      <c r="AUS373" s="21"/>
      <c r="AUT373" s="15"/>
      <c r="AUU373" s="15"/>
      <c r="AUV373" s="15"/>
      <c r="AUW373" s="15"/>
      <c r="AUX373" s="15"/>
      <c r="AUY373" s="15"/>
      <c r="AUZ373" s="15"/>
      <c r="AVA373" s="15"/>
      <c r="AVB373" s="15"/>
      <c r="AVC373" s="15"/>
      <c r="AVD373" s="10"/>
      <c r="AVE373" s="10"/>
      <c r="AVF373" s="21"/>
      <c r="AVG373" s="21"/>
      <c r="AVJ373" s="21"/>
      <c r="AVK373" s="15"/>
      <c r="AVL373" s="15"/>
      <c r="AVM373" s="15"/>
      <c r="AVN373" s="15"/>
      <c r="AVO373" s="15"/>
      <c r="AVP373" s="15"/>
      <c r="AVQ373" s="15"/>
      <c r="AVR373" s="15"/>
      <c r="AVS373" s="15"/>
      <c r="AVT373" s="15"/>
      <c r="AVU373" s="10"/>
      <c r="AVV373" s="10"/>
      <c r="AVW373" s="21"/>
      <c r="AVX373" s="21"/>
      <c r="AWA373" s="21"/>
      <c r="AWB373" s="15"/>
      <c r="AWC373" s="15"/>
      <c r="AWD373" s="15"/>
      <c r="AWE373" s="15"/>
      <c r="AWF373" s="15"/>
      <c r="AWG373" s="15"/>
      <c r="AWH373" s="15"/>
      <c r="AWI373" s="15"/>
      <c r="AWJ373" s="15"/>
      <c r="AWK373" s="15"/>
      <c r="AWL373" s="10"/>
      <c r="AWM373" s="10"/>
      <c r="AWN373" s="21"/>
      <c r="AWO373" s="21"/>
      <c r="AWR373" s="21"/>
      <c r="AWS373" s="15"/>
      <c r="AWT373" s="15"/>
      <c r="AWU373" s="15"/>
      <c r="AWV373" s="15"/>
      <c r="AWW373" s="15"/>
      <c r="AWX373" s="15"/>
      <c r="AWY373" s="15"/>
      <c r="AWZ373" s="15"/>
      <c r="AXA373" s="15"/>
      <c r="AXB373" s="15"/>
      <c r="AXC373" s="10"/>
      <c r="AXD373" s="10"/>
      <c r="AXE373" s="21"/>
      <c r="AXF373" s="21"/>
      <c r="AXI373" s="21"/>
      <c r="AXJ373" s="15"/>
      <c r="AXK373" s="15"/>
      <c r="AXL373" s="15"/>
      <c r="AXM373" s="15"/>
      <c r="AXN373" s="15"/>
      <c r="AXO373" s="15"/>
      <c r="AXP373" s="15"/>
      <c r="AXQ373" s="15"/>
      <c r="AXR373" s="15"/>
      <c r="AXS373" s="15"/>
      <c r="AXT373" s="10"/>
      <c r="AXU373" s="10"/>
      <c r="AXV373" s="21"/>
      <c r="AXW373" s="21"/>
      <c r="AXZ373" s="21"/>
      <c r="AYA373" s="15"/>
      <c r="AYB373" s="15"/>
      <c r="AYC373" s="15"/>
      <c r="AYD373" s="15"/>
      <c r="AYE373" s="15"/>
      <c r="AYF373" s="15"/>
      <c r="AYG373" s="15"/>
      <c r="AYH373" s="15"/>
      <c r="AYI373" s="15"/>
      <c r="AYJ373" s="15"/>
      <c r="AYK373" s="10"/>
      <c r="AYL373" s="10"/>
      <c r="AYM373" s="21"/>
      <c r="AYN373" s="21"/>
      <c r="AYQ373" s="21"/>
      <c r="AYR373" s="15"/>
      <c r="AYS373" s="15"/>
      <c r="AYT373" s="15"/>
      <c r="AYU373" s="15"/>
      <c r="AYV373" s="15"/>
      <c r="AYW373" s="15"/>
      <c r="AYX373" s="15"/>
      <c r="AYY373" s="15"/>
      <c r="AYZ373" s="15"/>
      <c r="AZA373" s="15"/>
      <c r="AZB373" s="10"/>
      <c r="AZC373" s="10"/>
      <c r="AZD373" s="21"/>
      <c r="AZE373" s="21"/>
      <c r="AZH373" s="21"/>
      <c r="AZI373" s="15"/>
      <c r="AZJ373" s="15"/>
      <c r="AZK373" s="15"/>
      <c r="AZL373" s="15"/>
      <c r="AZM373" s="15"/>
      <c r="AZN373" s="15"/>
      <c r="AZO373" s="15"/>
      <c r="AZP373" s="15"/>
      <c r="AZQ373" s="15"/>
      <c r="AZR373" s="15"/>
      <c r="AZS373" s="10"/>
      <c r="AZT373" s="10"/>
      <c r="AZU373" s="21"/>
      <c r="AZV373" s="21"/>
      <c r="AZY373" s="21"/>
      <c r="AZZ373" s="15"/>
      <c r="BAA373" s="15"/>
      <c r="BAB373" s="15"/>
      <c r="BAC373" s="15"/>
      <c r="BAD373" s="15"/>
      <c r="BAE373" s="15"/>
      <c r="BAF373" s="15"/>
      <c r="BAG373" s="15"/>
      <c r="BAH373" s="15"/>
      <c r="BAI373" s="15"/>
      <c r="BAJ373" s="10"/>
      <c r="BAK373" s="10"/>
      <c r="BAL373" s="21"/>
      <c r="BAM373" s="21"/>
      <c r="BAP373" s="21"/>
      <c r="BAQ373" s="15"/>
      <c r="BAR373" s="15"/>
      <c r="BAS373" s="15"/>
      <c r="BAT373" s="15"/>
      <c r="BAU373" s="15"/>
      <c r="BAV373" s="15"/>
      <c r="BAW373" s="15"/>
      <c r="BAX373" s="15"/>
      <c r="BAY373" s="15"/>
      <c r="BAZ373" s="15"/>
      <c r="BBA373" s="10"/>
      <c r="BBB373" s="10"/>
      <c r="BBC373" s="21"/>
      <c r="BBD373" s="21"/>
      <c r="BBG373" s="21"/>
      <c r="BBH373" s="15"/>
      <c r="BBI373" s="15"/>
      <c r="BBJ373" s="15"/>
      <c r="BBK373" s="15"/>
      <c r="BBL373" s="15"/>
      <c r="BBM373" s="15"/>
      <c r="BBN373" s="15"/>
      <c r="BBO373" s="15"/>
      <c r="BBP373" s="15"/>
      <c r="BBQ373" s="15"/>
      <c r="BBR373" s="10"/>
      <c r="BBS373" s="10"/>
      <c r="BBT373" s="21"/>
      <c r="BBU373" s="21"/>
      <c r="BBX373" s="21"/>
      <c r="BBY373" s="15"/>
      <c r="BBZ373" s="15"/>
      <c r="BCA373" s="15"/>
      <c r="BCB373" s="15"/>
      <c r="BCC373" s="15"/>
      <c r="BCD373" s="15"/>
      <c r="BCE373" s="15"/>
      <c r="BCF373" s="15"/>
      <c r="BCG373" s="15"/>
      <c r="BCH373" s="15"/>
      <c r="BCI373" s="10"/>
      <c r="BCJ373" s="10"/>
      <c r="BCK373" s="21"/>
      <c r="BCL373" s="21"/>
      <c r="BCO373" s="21"/>
      <c r="BCP373" s="15"/>
      <c r="BCQ373" s="15"/>
      <c r="BCR373" s="15"/>
      <c r="BCS373" s="15"/>
      <c r="BCT373" s="15"/>
      <c r="BCU373" s="15"/>
      <c r="BCV373" s="15"/>
      <c r="BCW373" s="15"/>
      <c r="BCX373" s="15"/>
      <c r="BCY373" s="15"/>
      <c r="BCZ373" s="10"/>
      <c r="BDA373" s="10"/>
      <c r="BDB373" s="21"/>
      <c r="BDC373" s="21"/>
      <c r="BDF373" s="21"/>
      <c r="BDG373" s="15"/>
      <c r="BDH373" s="15"/>
      <c r="BDI373" s="15"/>
      <c r="BDJ373" s="15"/>
      <c r="BDK373" s="15"/>
      <c r="BDL373" s="15"/>
      <c r="BDM373" s="15"/>
      <c r="BDN373" s="15"/>
      <c r="BDO373" s="15"/>
      <c r="BDP373" s="15"/>
      <c r="BDQ373" s="10"/>
      <c r="BDR373" s="10"/>
      <c r="BDS373" s="21"/>
      <c r="BDT373" s="21"/>
      <c r="BDW373" s="21"/>
      <c r="BDX373" s="15"/>
      <c r="BDY373" s="15"/>
      <c r="BDZ373" s="15"/>
      <c r="BEA373" s="15"/>
      <c r="BEB373" s="15"/>
      <c r="BEC373" s="15"/>
      <c r="BED373" s="15"/>
      <c r="BEE373" s="15"/>
      <c r="BEF373" s="15"/>
      <c r="BEG373" s="15"/>
      <c r="BEH373" s="10"/>
      <c r="BEI373" s="10"/>
      <c r="BEJ373" s="21"/>
      <c r="BEK373" s="21"/>
      <c r="BEN373" s="21"/>
      <c r="BEO373" s="15"/>
      <c r="BEP373" s="15"/>
      <c r="BEQ373" s="15"/>
      <c r="BER373" s="15"/>
      <c r="BES373" s="15"/>
      <c r="BET373" s="15"/>
      <c r="BEU373" s="15"/>
      <c r="BEV373" s="15"/>
      <c r="BEW373" s="15"/>
      <c r="BEX373" s="15"/>
      <c r="BEY373" s="10"/>
      <c r="BEZ373" s="10"/>
      <c r="BFA373" s="21"/>
      <c r="BFB373" s="21"/>
      <c r="BFE373" s="21"/>
      <c r="BFF373" s="15"/>
      <c r="BFG373" s="15"/>
      <c r="BFH373" s="15"/>
      <c r="BFI373" s="15"/>
      <c r="BFJ373" s="15"/>
      <c r="BFK373" s="15"/>
      <c r="BFL373" s="15"/>
      <c r="BFM373" s="15"/>
      <c r="BFN373" s="15"/>
      <c r="BFO373" s="15"/>
      <c r="BFP373" s="10"/>
      <c r="BFQ373" s="10"/>
      <c r="BFR373" s="21"/>
      <c r="BFS373" s="21"/>
      <c r="BFV373" s="21"/>
      <c r="BFW373" s="15"/>
      <c r="BFX373" s="15"/>
      <c r="BFY373" s="15"/>
      <c r="BFZ373" s="15"/>
      <c r="BGA373" s="15"/>
      <c r="BGB373" s="15"/>
      <c r="BGC373" s="15"/>
      <c r="BGD373" s="15"/>
      <c r="BGE373" s="15"/>
      <c r="BGF373" s="15"/>
      <c r="BGG373" s="10"/>
      <c r="BGH373" s="10"/>
      <c r="BGI373" s="21"/>
      <c r="BGJ373" s="21"/>
      <c r="BGM373" s="21"/>
      <c r="BGN373" s="15"/>
      <c r="BGO373" s="15"/>
      <c r="BGP373" s="15"/>
      <c r="BGQ373" s="15"/>
      <c r="BGR373" s="15"/>
      <c r="BGS373" s="15"/>
      <c r="BGT373" s="15"/>
      <c r="BGU373" s="15"/>
      <c r="BGV373" s="15"/>
      <c r="BGW373" s="15"/>
      <c r="BGX373" s="10"/>
      <c r="BGY373" s="10"/>
      <c r="BGZ373" s="21"/>
      <c r="BHA373" s="21"/>
      <c r="BHD373" s="21"/>
      <c r="BHE373" s="15"/>
      <c r="BHF373" s="15"/>
      <c r="BHG373" s="15"/>
      <c r="BHH373" s="15"/>
      <c r="BHI373" s="15"/>
      <c r="BHJ373" s="15"/>
      <c r="BHK373" s="15"/>
      <c r="BHL373" s="15"/>
      <c r="BHM373" s="15"/>
      <c r="BHN373" s="15"/>
      <c r="BHO373" s="10"/>
      <c r="BHP373" s="10"/>
      <c r="BHQ373" s="21"/>
      <c r="BHR373" s="21"/>
      <c r="BHU373" s="21"/>
      <c r="BHV373" s="15"/>
      <c r="BHW373" s="15"/>
      <c r="BHX373" s="15"/>
      <c r="BHY373" s="15"/>
      <c r="BHZ373" s="15"/>
      <c r="BIA373" s="15"/>
      <c r="BIB373" s="15"/>
      <c r="BIC373" s="15"/>
      <c r="BID373" s="15"/>
      <c r="BIE373" s="15"/>
      <c r="BIF373" s="10"/>
      <c r="BIG373" s="10"/>
      <c r="BIH373" s="21"/>
      <c r="BII373" s="21"/>
      <c r="BIL373" s="21"/>
      <c r="BIM373" s="15"/>
      <c r="BIN373" s="15"/>
      <c r="BIO373" s="15"/>
      <c r="BIP373" s="15"/>
      <c r="BIQ373" s="15"/>
      <c r="BIR373" s="15"/>
      <c r="BIS373" s="15"/>
      <c r="BIT373" s="15"/>
      <c r="BIU373" s="15"/>
      <c r="BIV373" s="15"/>
      <c r="BIW373" s="10"/>
      <c r="BIX373" s="10"/>
      <c r="BIY373" s="21"/>
      <c r="BIZ373" s="21"/>
      <c r="BJC373" s="21"/>
      <c r="BJD373" s="15"/>
      <c r="BJE373" s="15"/>
      <c r="BJF373" s="15"/>
      <c r="BJG373" s="15"/>
      <c r="BJH373" s="15"/>
      <c r="BJI373" s="15"/>
      <c r="BJJ373" s="15"/>
      <c r="BJK373" s="15"/>
      <c r="BJL373" s="15"/>
      <c r="BJM373" s="15"/>
      <c r="BJN373" s="10"/>
      <c r="BJO373" s="10"/>
      <c r="BJP373" s="21"/>
      <c r="BJQ373" s="21"/>
      <c r="BJT373" s="21"/>
      <c r="BJU373" s="15"/>
      <c r="BJV373" s="15"/>
      <c r="BJW373" s="15"/>
      <c r="BJX373" s="15"/>
      <c r="BJY373" s="15"/>
      <c r="BJZ373" s="15"/>
      <c r="BKA373" s="15"/>
      <c r="BKB373" s="15"/>
      <c r="BKC373" s="15"/>
      <c r="BKD373" s="15"/>
      <c r="BKE373" s="10"/>
      <c r="BKF373" s="10"/>
      <c r="BKG373" s="21"/>
      <c r="BKH373" s="21"/>
      <c r="BKK373" s="21"/>
      <c r="BKL373" s="15"/>
      <c r="BKM373" s="15"/>
      <c r="BKN373" s="15"/>
      <c r="BKO373" s="15"/>
      <c r="BKP373" s="15"/>
      <c r="BKQ373" s="15"/>
      <c r="BKR373" s="15"/>
      <c r="BKS373" s="15"/>
      <c r="BKT373" s="15"/>
      <c r="BKU373" s="15"/>
      <c r="BKV373" s="10"/>
      <c r="BKW373" s="10"/>
      <c r="BKX373" s="21"/>
      <c r="BKY373" s="21"/>
      <c r="BLB373" s="21"/>
      <c r="BLC373" s="15"/>
      <c r="BLD373" s="15"/>
      <c r="BLE373" s="15"/>
      <c r="BLF373" s="15"/>
      <c r="BLG373" s="15"/>
      <c r="BLH373" s="15"/>
      <c r="BLI373" s="15"/>
      <c r="BLJ373" s="15"/>
      <c r="BLK373" s="15"/>
      <c r="BLL373" s="15"/>
      <c r="BLM373" s="10"/>
      <c r="BLN373" s="10"/>
      <c r="BLO373" s="21"/>
      <c r="BLP373" s="21"/>
      <c r="BLS373" s="21"/>
      <c r="BLT373" s="15"/>
      <c r="BLU373" s="15"/>
      <c r="BLV373" s="15"/>
      <c r="BLW373" s="15"/>
      <c r="BLX373" s="15"/>
      <c r="BLY373" s="15"/>
      <c r="BLZ373" s="15"/>
      <c r="BMA373" s="15"/>
      <c r="BMB373" s="15"/>
      <c r="BMC373" s="15"/>
      <c r="BMD373" s="10"/>
      <c r="BME373" s="10"/>
      <c r="BMF373" s="21"/>
      <c r="BMG373" s="21"/>
      <c r="BMJ373" s="21"/>
      <c r="BMK373" s="15"/>
      <c r="BML373" s="15"/>
      <c r="BMM373" s="15"/>
      <c r="BMN373" s="15"/>
      <c r="BMO373" s="15"/>
      <c r="BMP373" s="15"/>
      <c r="BMQ373" s="15"/>
      <c r="BMR373" s="15"/>
      <c r="BMS373" s="15"/>
      <c r="BMT373" s="15"/>
      <c r="BMU373" s="10"/>
      <c r="BMV373" s="10"/>
      <c r="BMW373" s="21"/>
      <c r="BMX373" s="21"/>
      <c r="BNA373" s="21"/>
      <c r="BNB373" s="15"/>
      <c r="BNC373" s="15"/>
      <c r="BND373" s="15"/>
      <c r="BNE373" s="15"/>
      <c r="BNF373" s="15"/>
      <c r="BNG373" s="15"/>
      <c r="BNH373" s="15"/>
      <c r="BNI373" s="15"/>
      <c r="BNJ373" s="15"/>
      <c r="BNK373" s="15"/>
      <c r="BNL373" s="10"/>
      <c r="BNM373" s="10"/>
      <c r="BNN373" s="21"/>
      <c r="BNO373" s="21"/>
      <c r="BNR373" s="21"/>
      <c r="BNS373" s="15"/>
      <c r="BNT373" s="15"/>
      <c r="BNU373" s="15"/>
      <c r="BNV373" s="15"/>
      <c r="BNW373" s="15"/>
      <c r="BNX373" s="15"/>
      <c r="BNY373" s="15"/>
      <c r="BNZ373" s="15"/>
      <c r="BOA373" s="15"/>
      <c r="BOB373" s="15"/>
      <c r="BOC373" s="10"/>
      <c r="BOD373" s="10"/>
      <c r="BOE373" s="21"/>
      <c r="BOF373" s="21"/>
      <c r="BOI373" s="21"/>
      <c r="BOJ373" s="15"/>
      <c r="BOK373" s="15"/>
      <c r="BOL373" s="15"/>
      <c r="BOM373" s="15"/>
      <c r="BON373" s="15"/>
      <c r="BOO373" s="15"/>
      <c r="BOP373" s="15"/>
      <c r="BOQ373" s="15"/>
      <c r="BOR373" s="15"/>
      <c r="BOS373" s="15"/>
      <c r="BOT373" s="10"/>
      <c r="BOU373" s="10"/>
      <c r="BOV373" s="21"/>
      <c r="BOW373" s="21"/>
      <c r="BOZ373" s="21"/>
      <c r="BPA373" s="15"/>
      <c r="BPB373" s="15"/>
      <c r="BPC373" s="15"/>
      <c r="BPD373" s="15"/>
      <c r="BPE373" s="15"/>
      <c r="BPF373" s="15"/>
      <c r="BPG373" s="15"/>
      <c r="BPH373" s="15"/>
      <c r="BPI373" s="15"/>
      <c r="BPJ373" s="15"/>
      <c r="BPK373" s="10"/>
      <c r="BPL373" s="10"/>
      <c r="BPM373" s="21"/>
      <c r="BPN373" s="21"/>
      <c r="BPQ373" s="21"/>
      <c r="BPR373" s="15"/>
      <c r="BPS373" s="15"/>
      <c r="BPT373" s="15"/>
      <c r="BPU373" s="15"/>
      <c r="BPV373" s="15"/>
      <c r="BPW373" s="15"/>
      <c r="BPX373" s="15"/>
      <c r="BPY373" s="15"/>
      <c r="BPZ373" s="15"/>
      <c r="BQA373" s="15"/>
      <c r="BQB373" s="10"/>
      <c r="BQC373" s="10"/>
      <c r="BQD373" s="21"/>
      <c r="BQE373" s="21"/>
      <c r="BQH373" s="21"/>
      <c r="BQI373" s="15"/>
      <c r="BQJ373" s="15"/>
      <c r="BQK373" s="15"/>
      <c r="BQL373" s="15"/>
      <c r="BQM373" s="15"/>
      <c r="BQN373" s="15"/>
      <c r="BQO373" s="15"/>
      <c r="BQP373" s="15"/>
      <c r="BQQ373" s="15"/>
      <c r="BQR373" s="15"/>
      <c r="BQS373" s="10"/>
      <c r="BQT373" s="10"/>
      <c r="BQU373" s="21"/>
      <c r="BQV373" s="21"/>
      <c r="BQY373" s="21"/>
      <c r="BQZ373" s="15"/>
      <c r="BRA373" s="15"/>
      <c r="BRB373" s="15"/>
      <c r="BRC373" s="15"/>
      <c r="BRD373" s="15"/>
      <c r="BRE373" s="15"/>
      <c r="BRF373" s="15"/>
      <c r="BRG373" s="15"/>
      <c r="BRH373" s="15"/>
      <c r="BRI373" s="15"/>
      <c r="BRJ373" s="10"/>
      <c r="BRK373" s="10"/>
      <c r="BRL373" s="21"/>
      <c r="BRM373" s="21"/>
      <c r="BRP373" s="21"/>
      <c r="BRQ373" s="15"/>
      <c r="BRR373" s="15"/>
      <c r="BRS373" s="15"/>
      <c r="BRT373" s="15"/>
      <c r="BRU373" s="15"/>
      <c r="BRV373" s="15"/>
      <c r="BRW373" s="15"/>
      <c r="BRX373" s="15"/>
      <c r="BRY373" s="15"/>
      <c r="BRZ373" s="15"/>
      <c r="BSA373" s="10"/>
      <c r="BSB373" s="10"/>
      <c r="BSC373" s="21"/>
      <c r="BSD373" s="21"/>
      <c r="BSG373" s="21"/>
      <c r="BSH373" s="15"/>
      <c r="BSI373" s="15"/>
      <c r="BSJ373" s="15"/>
      <c r="BSK373" s="15"/>
      <c r="BSL373" s="15"/>
      <c r="BSM373" s="15"/>
      <c r="BSN373" s="15"/>
      <c r="BSO373" s="15"/>
      <c r="BSP373" s="15"/>
      <c r="BSQ373" s="15"/>
      <c r="BSR373" s="10"/>
      <c r="BSS373" s="10"/>
      <c r="BST373" s="21"/>
      <c r="BSU373" s="21"/>
      <c r="BSX373" s="21"/>
      <c r="BSY373" s="15"/>
      <c r="BSZ373" s="15"/>
      <c r="BTA373" s="15"/>
      <c r="BTB373" s="15"/>
      <c r="BTC373" s="15"/>
      <c r="BTD373" s="15"/>
      <c r="BTE373" s="15"/>
      <c r="BTF373" s="15"/>
      <c r="BTG373" s="15"/>
      <c r="BTH373" s="15"/>
      <c r="BTI373" s="10"/>
      <c r="BTJ373" s="10"/>
      <c r="BTK373" s="21"/>
      <c r="BTL373" s="21"/>
      <c r="BTO373" s="21"/>
      <c r="BTP373" s="15"/>
      <c r="BTQ373" s="15"/>
      <c r="BTR373" s="15"/>
      <c r="BTS373" s="15"/>
      <c r="BTT373" s="15"/>
      <c r="BTU373" s="15"/>
      <c r="BTV373" s="15"/>
      <c r="BTW373" s="15"/>
      <c r="BTX373" s="15"/>
      <c r="BTY373" s="15"/>
      <c r="BTZ373" s="10"/>
      <c r="BUA373" s="10"/>
      <c r="BUB373" s="21"/>
      <c r="BUC373" s="21"/>
      <c r="BUF373" s="21"/>
      <c r="BUG373" s="15"/>
      <c r="BUH373" s="15"/>
      <c r="BUI373" s="15"/>
      <c r="BUJ373" s="15"/>
      <c r="BUK373" s="15"/>
      <c r="BUL373" s="15"/>
      <c r="BUM373" s="15"/>
      <c r="BUN373" s="15"/>
      <c r="BUO373" s="15"/>
      <c r="BUP373" s="15"/>
      <c r="BUQ373" s="10"/>
      <c r="BUR373" s="10"/>
      <c r="BUS373" s="21"/>
      <c r="BUT373" s="21"/>
      <c r="BUW373" s="21"/>
      <c r="BUX373" s="15"/>
      <c r="BUY373" s="15"/>
      <c r="BUZ373" s="15"/>
      <c r="BVA373" s="15"/>
      <c r="BVB373" s="15"/>
      <c r="BVC373" s="15"/>
      <c r="BVD373" s="15"/>
      <c r="BVE373" s="15"/>
      <c r="BVF373" s="15"/>
      <c r="BVG373" s="15"/>
      <c r="BVH373" s="10"/>
      <c r="BVI373" s="10"/>
      <c r="BVJ373" s="21"/>
      <c r="BVK373" s="21"/>
      <c r="BVN373" s="21"/>
      <c r="BVO373" s="15"/>
      <c r="BVP373" s="15"/>
      <c r="BVQ373" s="15"/>
      <c r="BVR373" s="15"/>
      <c r="BVS373" s="15"/>
      <c r="BVT373" s="15"/>
      <c r="BVU373" s="15"/>
      <c r="BVV373" s="15"/>
      <c r="BVW373" s="15"/>
      <c r="BVX373" s="15"/>
      <c r="BVY373" s="10"/>
      <c r="BVZ373" s="10"/>
      <c r="BWA373" s="21"/>
      <c r="BWB373" s="21"/>
      <c r="BWE373" s="21"/>
      <c r="BWF373" s="15"/>
      <c r="BWG373" s="15"/>
      <c r="BWH373" s="15"/>
      <c r="BWI373" s="15"/>
      <c r="BWJ373" s="15"/>
      <c r="BWK373" s="15"/>
      <c r="BWL373" s="15"/>
      <c r="BWM373" s="15"/>
      <c r="BWN373" s="15"/>
      <c r="BWO373" s="15"/>
      <c r="BWP373" s="10"/>
      <c r="BWQ373" s="10"/>
      <c r="BWR373" s="21"/>
      <c r="BWS373" s="21"/>
      <c r="BWV373" s="21"/>
      <c r="BWW373" s="15"/>
      <c r="BWX373" s="15"/>
      <c r="BWY373" s="15"/>
      <c r="BWZ373" s="15"/>
      <c r="BXA373" s="15"/>
      <c r="BXB373" s="15"/>
      <c r="BXC373" s="15"/>
      <c r="BXD373" s="15"/>
      <c r="BXE373" s="15"/>
      <c r="BXF373" s="15"/>
      <c r="BXG373" s="10"/>
      <c r="BXH373" s="10"/>
      <c r="BXI373" s="21"/>
      <c r="BXJ373" s="21"/>
      <c r="BXM373" s="21"/>
      <c r="BXN373" s="15"/>
      <c r="BXO373" s="15"/>
      <c r="BXP373" s="15"/>
      <c r="BXQ373" s="15"/>
      <c r="BXR373" s="15"/>
      <c r="BXS373" s="15"/>
      <c r="BXT373" s="15"/>
      <c r="BXU373" s="15"/>
      <c r="BXV373" s="15"/>
      <c r="BXW373" s="15"/>
      <c r="BXX373" s="10"/>
      <c r="BXY373" s="10"/>
      <c r="BXZ373" s="21"/>
      <c r="BYA373" s="21"/>
      <c r="BYD373" s="21"/>
      <c r="BYE373" s="15"/>
      <c r="BYF373" s="15"/>
      <c r="BYG373" s="15"/>
      <c r="BYH373" s="15"/>
      <c r="BYI373" s="15"/>
      <c r="BYJ373" s="15"/>
      <c r="BYK373" s="15"/>
      <c r="BYL373" s="15"/>
      <c r="BYM373" s="15"/>
      <c r="BYN373" s="15"/>
      <c r="BYO373" s="10"/>
      <c r="BYP373" s="10"/>
      <c r="BYQ373" s="21"/>
      <c r="BYR373" s="21"/>
      <c r="BYU373" s="21"/>
      <c r="BYV373" s="15"/>
      <c r="BYW373" s="15"/>
      <c r="BYX373" s="15"/>
      <c r="BYY373" s="15"/>
      <c r="BYZ373" s="15"/>
      <c r="BZA373" s="15"/>
      <c r="BZB373" s="15"/>
      <c r="BZC373" s="15"/>
      <c r="BZD373" s="15"/>
      <c r="BZE373" s="15"/>
      <c r="BZF373" s="10"/>
      <c r="BZG373" s="10"/>
      <c r="BZH373" s="21"/>
      <c r="BZI373" s="21"/>
      <c r="BZL373" s="21"/>
      <c r="BZM373" s="15"/>
      <c r="BZN373" s="15"/>
      <c r="BZO373" s="15"/>
      <c r="BZP373" s="15"/>
      <c r="BZQ373" s="15"/>
      <c r="BZR373" s="15"/>
      <c r="BZS373" s="15"/>
      <c r="BZT373" s="15"/>
      <c r="BZU373" s="15"/>
      <c r="BZV373" s="15"/>
      <c r="BZW373" s="10"/>
      <c r="BZX373" s="10"/>
      <c r="BZY373" s="21"/>
      <c r="BZZ373" s="21"/>
      <c r="CAC373" s="21"/>
      <c r="CAD373" s="15"/>
      <c r="CAE373" s="15"/>
      <c r="CAF373" s="15"/>
      <c r="CAG373" s="15"/>
      <c r="CAH373" s="15"/>
      <c r="CAI373" s="15"/>
      <c r="CAJ373" s="15"/>
      <c r="CAK373" s="15"/>
      <c r="CAL373" s="15"/>
      <c r="CAM373" s="15"/>
      <c r="CAN373" s="10"/>
      <c r="CAO373" s="10"/>
      <c r="CAP373" s="21"/>
      <c r="CAQ373" s="21"/>
      <c r="CAT373" s="21"/>
      <c r="CAU373" s="15"/>
      <c r="CAV373" s="15"/>
      <c r="CAW373" s="15"/>
      <c r="CAX373" s="15"/>
      <c r="CAY373" s="15"/>
      <c r="CAZ373" s="15"/>
      <c r="CBA373" s="15"/>
      <c r="CBB373" s="15"/>
      <c r="CBC373" s="15"/>
      <c r="CBD373" s="15"/>
      <c r="CBE373" s="10"/>
      <c r="CBF373" s="10"/>
      <c r="CBG373" s="21"/>
      <c r="CBH373" s="21"/>
      <c r="CBK373" s="21"/>
      <c r="CBL373" s="15"/>
      <c r="CBM373" s="15"/>
      <c r="CBN373" s="15"/>
      <c r="CBO373" s="15"/>
      <c r="CBP373" s="15"/>
      <c r="CBQ373" s="15"/>
      <c r="CBR373" s="15"/>
      <c r="CBS373" s="15"/>
      <c r="CBT373" s="15"/>
      <c r="CBU373" s="15"/>
      <c r="CBV373" s="10"/>
      <c r="CBW373" s="10"/>
      <c r="CBX373" s="21"/>
      <c r="CBY373" s="21"/>
      <c r="CCB373" s="21"/>
      <c r="CCC373" s="15"/>
      <c r="CCD373" s="15"/>
      <c r="CCE373" s="15"/>
      <c r="CCF373" s="15"/>
      <c r="CCG373" s="15"/>
      <c r="CCH373" s="15"/>
      <c r="CCI373" s="15"/>
      <c r="CCJ373" s="15"/>
      <c r="CCK373" s="15"/>
      <c r="CCL373" s="15"/>
      <c r="CCM373" s="10"/>
      <c r="CCN373" s="10"/>
      <c r="CCO373" s="21"/>
      <c r="CCP373" s="21"/>
      <c r="CCS373" s="21"/>
      <c r="CCT373" s="15"/>
      <c r="CCU373" s="15"/>
      <c r="CCV373" s="15"/>
      <c r="CCW373" s="15"/>
      <c r="CCX373" s="15"/>
      <c r="CCY373" s="15"/>
      <c r="CCZ373" s="15"/>
      <c r="CDA373" s="15"/>
      <c r="CDB373" s="15"/>
      <c r="CDC373" s="15"/>
      <c r="CDD373" s="10"/>
      <c r="CDE373" s="10"/>
      <c r="CDF373" s="21"/>
      <c r="CDG373" s="21"/>
      <c r="CDJ373" s="21"/>
      <c r="CDK373" s="15"/>
      <c r="CDL373" s="15"/>
      <c r="CDM373" s="15"/>
      <c r="CDN373" s="15"/>
      <c r="CDO373" s="15"/>
      <c r="CDP373" s="15"/>
      <c r="CDQ373" s="15"/>
      <c r="CDR373" s="15"/>
      <c r="CDS373" s="15"/>
      <c r="CDT373" s="15"/>
      <c r="CDU373" s="10"/>
      <c r="CDV373" s="10"/>
      <c r="CDW373" s="21"/>
      <c r="CDX373" s="21"/>
      <c r="CEA373" s="21"/>
      <c r="CEB373" s="15"/>
      <c r="CEC373" s="15"/>
      <c r="CED373" s="15"/>
      <c r="CEE373" s="15"/>
      <c r="CEF373" s="15"/>
      <c r="CEG373" s="15"/>
      <c r="CEH373" s="15"/>
      <c r="CEI373" s="15"/>
      <c r="CEJ373" s="15"/>
      <c r="CEK373" s="15"/>
      <c r="CEL373" s="10"/>
      <c r="CEM373" s="10"/>
      <c r="CEN373" s="21"/>
      <c r="CEO373" s="21"/>
      <c r="CER373" s="21"/>
      <c r="CES373" s="15"/>
      <c r="CET373" s="15"/>
      <c r="CEU373" s="15"/>
      <c r="CEV373" s="15"/>
      <c r="CEW373" s="15"/>
      <c r="CEX373" s="15"/>
      <c r="CEY373" s="15"/>
      <c r="CEZ373" s="15"/>
      <c r="CFA373" s="15"/>
      <c r="CFB373" s="15"/>
      <c r="CFC373" s="10"/>
      <c r="CFD373" s="10"/>
      <c r="CFE373" s="21"/>
      <c r="CFF373" s="21"/>
      <c r="CFI373" s="21"/>
      <c r="CFJ373" s="15"/>
      <c r="CFK373" s="15"/>
      <c r="CFL373" s="15"/>
      <c r="CFM373" s="15"/>
      <c r="CFN373" s="15"/>
      <c r="CFO373" s="15"/>
      <c r="CFP373" s="15"/>
      <c r="CFQ373" s="15"/>
      <c r="CFR373" s="15"/>
      <c r="CFS373" s="15"/>
      <c r="CFT373" s="10"/>
      <c r="CFU373" s="10"/>
      <c r="CFV373" s="21"/>
      <c r="CFW373" s="21"/>
      <c r="CFZ373" s="21"/>
      <c r="CGA373" s="15"/>
      <c r="CGB373" s="15"/>
      <c r="CGC373" s="15"/>
      <c r="CGD373" s="15"/>
      <c r="CGE373" s="15"/>
      <c r="CGF373" s="15"/>
      <c r="CGG373" s="15"/>
      <c r="CGH373" s="15"/>
      <c r="CGI373" s="15"/>
      <c r="CGJ373" s="15"/>
      <c r="CGK373" s="10"/>
      <c r="CGL373" s="10"/>
      <c r="CGM373" s="21"/>
      <c r="CGN373" s="21"/>
      <c r="CGQ373" s="21"/>
      <c r="CGR373" s="15"/>
      <c r="CGS373" s="15"/>
      <c r="CGT373" s="15"/>
      <c r="CGU373" s="15"/>
      <c r="CGV373" s="15"/>
      <c r="CGW373" s="15"/>
      <c r="CGX373" s="15"/>
      <c r="CGY373" s="15"/>
      <c r="CGZ373" s="15"/>
      <c r="CHA373" s="15"/>
      <c r="CHB373" s="10"/>
      <c r="CHC373" s="10"/>
      <c r="CHD373" s="21"/>
      <c r="CHE373" s="21"/>
      <c r="CHH373" s="21"/>
      <c r="CHI373" s="15"/>
      <c r="CHJ373" s="15"/>
      <c r="CHK373" s="15"/>
      <c r="CHL373" s="15"/>
      <c r="CHM373" s="15"/>
      <c r="CHN373" s="15"/>
      <c r="CHO373" s="15"/>
      <c r="CHP373" s="15"/>
      <c r="CHQ373" s="15"/>
      <c r="CHR373" s="15"/>
      <c r="CHS373" s="10"/>
      <c r="CHT373" s="10"/>
      <c r="CHU373" s="21"/>
      <c r="CHV373" s="21"/>
      <c r="CHY373" s="21"/>
      <c r="CHZ373" s="15"/>
      <c r="CIA373" s="15"/>
      <c r="CIB373" s="15"/>
      <c r="CIC373" s="15"/>
      <c r="CID373" s="15"/>
      <c r="CIE373" s="15"/>
      <c r="CIF373" s="15"/>
      <c r="CIG373" s="15"/>
      <c r="CIH373" s="15"/>
      <c r="CII373" s="15"/>
      <c r="CIJ373" s="10"/>
      <c r="CIK373" s="10"/>
      <c r="CIL373" s="21"/>
      <c r="CIM373" s="21"/>
      <c r="CIP373" s="21"/>
      <c r="CIQ373" s="15"/>
      <c r="CIR373" s="15"/>
      <c r="CIS373" s="15"/>
      <c r="CIT373" s="15"/>
      <c r="CIU373" s="15"/>
      <c r="CIV373" s="15"/>
      <c r="CIW373" s="15"/>
      <c r="CIX373" s="15"/>
      <c r="CIY373" s="15"/>
      <c r="CIZ373" s="15"/>
      <c r="CJA373" s="10"/>
      <c r="CJB373" s="10"/>
      <c r="CJC373" s="21"/>
      <c r="CJD373" s="21"/>
      <c r="CJG373" s="21"/>
      <c r="CJH373" s="15"/>
      <c r="CJI373" s="15"/>
      <c r="CJJ373" s="15"/>
      <c r="CJK373" s="15"/>
      <c r="CJL373" s="15"/>
      <c r="CJM373" s="15"/>
      <c r="CJN373" s="15"/>
      <c r="CJO373" s="15"/>
      <c r="CJP373" s="15"/>
      <c r="CJQ373" s="15"/>
      <c r="CJR373" s="10"/>
      <c r="CJS373" s="10"/>
      <c r="CJT373" s="21"/>
      <c r="CJU373" s="21"/>
      <c r="CJX373" s="21"/>
      <c r="CJY373" s="15"/>
      <c r="CJZ373" s="15"/>
      <c r="CKA373" s="15"/>
      <c r="CKB373" s="15"/>
      <c r="CKC373" s="15"/>
      <c r="CKD373" s="15"/>
      <c r="CKE373" s="15"/>
      <c r="CKF373" s="15"/>
      <c r="CKG373" s="15"/>
      <c r="CKH373" s="15"/>
      <c r="CKI373" s="10"/>
      <c r="CKJ373" s="10"/>
      <c r="CKK373" s="21"/>
      <c r="CKL373" s="21"/>
      <c r="CKO373" s="21"/>
      <c r="CKP373" s="15"/>
      <c r="CKQ373" s="15"/>
      <c r="CKR373" s="15"/>
      <c r="CKS373" s="15"/>
      <c r="CKT373" s="15"/>
      <c r="CKU373" s="15"/>
      <c r="CKV373" s="15"/>
      <c r="CKW373" s="15"/>
      <c r="CKX373" s="15"/>
      <c r="CKY373" s="15"/>
      <c r="CKZ373" s="10"/>
      <c r="CLA373" s="10"/>
      <c r="CLB373" s="21"/>
      <c r="CLC373" s="21"/>
      <c r="CLF373" s="21"/>
      <c r="CLG373" s="15"/>
      <c r="CLH373" s="15"/>
      <c r="CLI373" s="15"/>
      <c r="CLJ373" s="15"/>
      <c r="CLK373" s="15"/>
      <c r="CLL373" s="15"/>
      <c r="CLM373" s="15"/>
      <c r="CLN373" s="15"/>
      <c r="CLO373" s="15"/>
      <c r="CLP373" s="15"/>
      <c r="CLQ373" s="10"/>
      <c r="CLR373" s="10"/>
      <c r="CLS373" s="21"/>
      <c r="CLT373" s="21"/>
      <c r="CLW373" s="21"/>
      <c r="CLX373" s="15"/>
      <c r="CLY373" s="15"/>
      <c r="CLZ373" s="15"/>
      <c r="CMA373" s="15"/>
      <c r="CMB373" s="15"/>
      <c r="CMC373" s="15"/>
      <c r="CMD373" s="15"/>
      <c r="CME373" s="15"/>
      <c r="CMF373" s="15"/>
      <c r="CMG373" s="15"/>
      <c r="CMH373" s="10"/>
      <c r="CMI373" s="10"/>
      <c r="CMJ373" s="21"/>
      <c r="CMK373" s="21"/>
      <c r="CMN373" s="21"/>
      <c r="CMO373" s="15"/>
      <c r="CMP373" s="15"/>
      <c r="CMQ373" s="15"/>
      <c r="CMR373" s="15"/>
      <c r="CMS373" s="15"/>
      <c r="CMT373" s="15"/>
      <c r="CMU373" s="15"/>
      <c r="CMV373" s="15"/>
      <c r="CMW373" s="15"/>
      <c r="CMX373" s="15"/>
      <c r="CMY373" s="10"/>
      <c r="CMZ373" s="10"/>
      <c r="CNA373" s="21"/>
      <c r="CNB373" s="21"/>
      <c r="CNE373" s="21"/>
      <c r="CNF373" s="15"/>
      <c r="CNG373" s="15"/>
      <c r="CNH373" s="15"/>
      <c r="CNI373" s="15"/>
      <c r="CNJ373" s="15"/>
      <c r="CNK373" s="15"/>
      <c r="CNL373" s="15"/>
      <c r="CNM373" s="15"/>
      <c r="CNN373" s="15"/>
      <c r="CNO373" s="15"/>
      <c r="CNP373" s="10"/>
      <c r="CNQ373" s="10"/>
      <c r="CNR373" s="21"/>
      <c r="CNS373" s="21"/>
      <c r="CNV373" s="21"/>
      <c r="CNW373" s="15"/>
      <c r="CNX373" s="15"/>
      <c r="CNY373" s="15"/>
      <c r="CNZ373" s="15"/>
      <c r="COA373" s="15"/>
      <c r="COB373" s="15"/>
      <c r="COC373" s="15"/>
      <c r="COD373" s="15"/>
      <c r="COE373" s="15"/>
      <c r="COF373" s="15"/>
      <c r="COG373" s="10"/>
      <c r="COH373" s="10"/>
      <c r="COI373" s="21"/>
      <c r="COJ373" s="21"/>
      <c r="COM373" s="21"/>
      <c r="CON373" s="15"/>
      <c r="COO373" s="15"/>
      <c r="COP373" s="15"/>
      <c r="COQ373" s="15"/>
      <c r="COR373" s="15"/>
      <c r="COS373" s="15"/>
      <c r="COT373" s="15"/>
      <c r="COU373" s="15"/>
      <c r="COV373" s="15"/>
      <c r="COW373" s="15"/>
      <c r="COX373" s="10"/>
      <c r="COY373" s="10"/>
      <c r="COZ373" s="21"/>
      <c r="CPA373" s="21"/>
      <c r="CPD373" s="21"/>
      <c r="CPE373" s="15"/>
      <c r="CPF373" s="15"/>
      <c r="CPG373" s="15"/>
      <c r="CPH373" s="15"/>
      <c r="CPI373" s="15"/>
      <c r="CPJ373" s="15"/>
      <c r="CPK373" s="15"/>
      <c r="CPL373" s="15"/>
      <c r="CPM373" s="15"/>
      <c r="CPN373" s="15"/>
      <c r="CPO373" s="10"/>
      <c r="CPP373" s="10"/>
      <c r="CPQ373" s="21"/>
      <c r="CPR373" s="21"/>
      <c r="CPU373" s="21"/>
      <c r="CPV373" s="15"/>
      <c r="CPW373" s="15"/>
      <c r="CPX373" s="15"/>
      <c r="CPY373" s="15"/>
      <c r="CPZ373" s="15"/>
      <c r="CQA373" s="15"/>
      <c r="CQB373" s="15"/>
      <c r="CQC373" s="15"/>
      <c r="CQD373" s="15"/>
      <c r="CQE373" s="15"/>
      <c r="CQF373" s="10"/>
      <c r="CQG373" s="10"/>
      <c r="CQH373" s="21"/>
      <c r="CQI373" s="21"/>
      <c r="CQL373" s="21"/>
      <c r="CQM373" s="15"/>
      <c r="CQN373" s="15"/>
      <c r="CQO373" s="15"/>
      <c r="CQP373" s="15"/>
      <c r="CQQ373" s="15"/>
      <c r="CQR373" s="15"/>
      <c r="CQS373" s="15"/>
      <c r="CQT373" s="15"/>
      <c r="CQU373" s="15"/>
      <c r="CQV373" s="15"/>
      <c r="CQW373" s="10"/>
      <c r="CQX373" s="10"/>
      <c r="CQY373" s="21"/>
      <c r="CQZ373" s="21"/>
      <c r="CRC373" s="21"/>
      <c r="CRD373" s="15"/>
      <c r="CRE373" s="15"/>
      <c r="CRF373" s="15"/>
      <c r="CRG373" s="15"/>
      <c r="CRH373" s="15"/>
      <c r="CRI373" s="15"/>
      <c r="CRJ373" s="15"/>
      <c r="CRK373" s="15"/>
      <c r="CRL373" s="15"/>
      <c r="CRM373" s="15"/>
      <c r="CRN373" s="10"/>
      <c r="CRO373" s="10"/>
      <c r="CRP373" s="21"/>
      <c r="CRQ373" s="21"/>
      <c r="CRT373" s="21"/>
      <c r="CRU373" s="15"/>
      <c r="CRV373" s="15"/>
      <c r="CRW373" s="15"/>
      <c r="CRX373" s="15"/>
      <c r="CRY373" s="15"/>
      <c r="CRZ373" s="15"/>
      <c r="CSA373" s="15"/>
      <c r="CSB373" s="15"/>
      <c r="CSC373" s="15"/>
      <c r="CSD373" s="15"/>
      <c r="CSE373" s="10"/>
      <c r="CSF373" s="10"/>
      <c r="CSG373" s="21"/>
      <c r="CSH373" s="21"/>
      <c r="CSK373" s="21"/>
      <c r="CSL373" s="15"/>
      <c r="CSM373" s="15"/>
      <c r="CSN373" s="15"/>
      <c r="CSO373" s="15"/>
      <c r="CSP373" s="15"/>
      <c r="CSQ373" s="15"/>
      <c r="CSR373" s="15"/>
      <c r="CSS373" s="15"/>
      <c r="CST373" s="15"/>
      <c r="CSU373" s="15"/>
      <c r="CSV373" s="10"/>
      <c r="CSW373" s="10"/>
      <c r="CSX373" s="21"/>
      <c r="CSY373" s="21"/>
      <c r="CTB373" s="21"/>
      <c r="CTC373" s="15"/>
      <c r="CTD373" s="15"/>
      <c r="CTE373" s="15"/>
      <c r="CTF373" s="15"/>
      <c r="CTG373" s="15"/>
      <c r="CTH373" s="15"/>
      <c r="CTI373" s="15"/>
      <c r="CTJ373" s="15"/>
      <c r="CTK373" s="15"/>
      <c r="CTL373" s="15"/>
      <c r="CTM373" s="10"/>
      <c r="CTN373" s="10"/>
      <c r="CTO373" s="21"/>
      <c r="CTP373" s="21"/>
      <c r="CTS373" s="21"/>
      <c r="CTT373" s="15"/>
      <c r="CTU373" s="15"/>
      <c r="CTV373" s="15"/>
      <c r="CTW373" s="15"/>
      <c r="CTX373" s="15"/>
      <c r="CTY373" s="15"/>
      <c r="CTZ373" s="15"/>
      <c r="CUA373" s="15"/>
      <c r="CUB373" s="15"/>
      <c r="CUC373" s="15"/>
      <c r="CUD373" s="10"/>
      <c r="CUE373" s="10"/>
      <c r="CUF373" s="21"/>
      <c r="CUG373" s="21"/>
      <c r="CUJ373" s="21"/>
      <c r="CUK373" s="15"/>
      <c r="CUL373" s="15"/>
      <c r="CUM373" s="15"/>
      <c r="CUN373" s="15"/>
      <c r="CUO373" s="15"/>
      <c r="CUP373" s="15"/>
      <c r="CUQ373" s="15"/>
      <c r="CUR373" s="15"/>
      <c r="CUS373" s="15"/>
      <c r="CUT373" s="15"/>
      <c r="CUU373" s="10"/>
      <c r="CUV373" s="10"/>
      <c r="CUW373" s="21"/>
      <c r="CUX373" s="21"/>
      <c r="CVA373" s="21"/>
      <c r="CVB373" s="15"/>
      <c r="CVC373" s="15"/>
      <c r="CVD373" s="15"/>
      <c r="CVE373" s="15"/>
      <c r="CVF373" s="15"/>
      <c r="CVG373" s="15"/>
      <c r="CVH373" s="15"/>
      <c r="CVI373" s="15"/>
      <c r="CVJ373" s="15"/>
      <c r="CVK373" s="15"/>
      <c r="CVL373" s="10"/>
      <c r="CVM373" s="10"/>
      <c r="CVN373" s="21"/>
      <c r="CVO373" s="21"/>
      <c r="CVR373" s="21"/>
      <c r="CVS373" s="15"/>
      <c r="CVT373" s="15"/>
      <c r="CVU373" s="15"/>
      <c r="CVV373" s="15"/>
      <c r="CVW373" s="15"/>
      <c r="CVX373" s="15"/>
      <c r="CVY373" s="15"/>
      <c r="CVZ373" s="15"/>
      <c r="CWA373" s="15"/>
      <c r="CWB373" s="15"/>
      <c r="CWC373" s="10"/>
      <c r="CWD373" s="10"/>
      <c r="CWE373" s="21"/>
      <c r="CWF373" s="21"/>
      <c r="CWI373" s="21"/>
      <c r="CWJ373" s="15"/>
      <c r="CWK373" s="15"/>
      <c r="CWL373" s="15"/>
      <c r="CWM373" s="15"/>
      <c r="CWN373" s="15"/>
      <c r="CWO373" s="15"/>
      <c r="CWP373" s="15"/>
      <c r="CWQ373" s="15"/>
      <c r="CWR373" s="15"/>
      <c r="CWS373" s="15"/>
      <c r="CWT373" s="10"/>
      <c r="CWU373" s="10"/>
      <c r="CWV373" s="21"/>
      <c r="CWW373" s="21"/>
      <c r="CWZ373" s="21"/>
      <c r="CXA373" s="15"/>
      <c r="CXB373" s="15"/>
      <c r="CXC373" s="15"/>
      <c r="CXD373" s="15"/>
      <c r="CXE373" s="15"/>
      <c r="CXF373" s="15"/>
      <c r="CXG373" s="15"/>
      <c r="CXH373" s="15"/>
      <c r="CXI373" s="15"/>
      <c r="CXJ373" s="15"/>
      <c r="CXK373" s="10"/>
      <c r="CXL373" s="10"/>
      <c r="CXM373" s="21"/>
      <c r="CXN373" s="21"/>
      <c r="CXQ373" s="21"/>
      <c r="CXR373" s="15"/>
      <c r="CXS373" s="15"/>
      <c r="CXT373" s="15"/>
      <c r="CXU373" s="15"/>
      <c r="CXV373" s="15"/>
      <c r="CXW373" s="15"/>
      <c r="CXX373" s="15"/>
      <c r="CXY373" s="15"/>
      <c r="CXZ373" s="15"/>
      <c r="CYA373" s="15"/>
      <c r="CYB373" s="10"/>
      <c r="CYC373" s="10"/>
      <c r="CYD373" s="21"/>
      <c r="CYE373" s="21"/>
      <c r="CYH373" s="21"/>
      <c r="CYI373" s="15"/>
      <c r="CYJ373" s="15"/>
      <c r="CYK373" s="15"/>
      <c r="CYL373" s="15"/>
      <c r="CYM373" s="15"/>
      <c r="CYN373" s="15"/>
      <c r="CYO373" s="15"/>
      <c r="CYP373" s="15"/>
      <c r="CYQ373" s="15"/>
      <c r="CYR373" s="15"/>
      <c r="CYS373" s="10"/>
      <c r="CYT373" s="10"/>
      <c r="CYU373" s="21"/>
      <c r="CYV373" s="21"/>
      <c r="CYY373" s="21"/>
      <c r="CYZ373" s="15"/>
      <c r="CZA373" s="15"/>
      <c r="CZB373" s="15"/>
      <c r="CZC373" s="15"/>
      <c r="CZD373" s="15"/>
      <c r="CZE373" s="15"/>
      <c r="CZF373" s="15"/>
      <c r="CZG373" s="15"/>
      <c r="CZH373" s="15"/>
      <c r="CZI373" s="15"/>
      <c r="CZJ373" s="10"/>
      <c r="CZK373" s="10"/>
      <c r="CZL373" s="21"/>
      <c r="CZM373" s="21"/>
      <c r="CZP373" s="21"/>
      <c r="CZQ373" s="15"/>
      <c r="CZR373" s="15"/>
      <c r="CZS373" s="15"/>
      <c r="CZT373" s="15"/>
      <c r="CZU373" s="15"/>
      <c r="CZV373" s="15"/>
      <c r="CZW373" s="15"/>
      <c r="CZX373" s="15"/>
      <c r="CZY373" s="15"/>
      <c r="CZZ373" s="15"/>
      <c r="DAA373" s="10"/>
      <c r="DAB373" s="10"/>
      <c r="DAC373" s="21"/>
      <c r="DAD373" s="21"/>
      <c r="DAG373" s="21"/>
      <c r="DAH373" s="15"/>
      <c r="DAI373" s="15"/>
      <c r="DAJ373" s="15"/>
      <c r="DAK373" s="15"/>
      <c r="DAL373" s="15"/>
      <c r="DAM373" s="15"/>
      <c r="DAN373" s="15"/>
      <c r="DAO373" s="15"/>
      <c r="DAP373" s="15"/>
      <c r="DAQ373" s="15"/>
      <c r="DAR373" s="10"/>
      <c r="DAS373" s="10"/>
      <c r="DAT373" s="21"/>
      <c r="DAU373" s="21"/>
      <c r="DAX373" s="21"/>
      <c r="DAY373" s="15"/>
      <c r="DAZ373" s="15"/>
      <c r="DBA373" s="15"/>
      <c r="DBB373" s="15"/>
      <c r="DBC373" s="15"/>
      <c r="DBD373" s="15"/>
      <c r="DBE373" s="15"/>
      <c r="DBF373" s="15"/>
      <c r="DBG373" s="15"/>
      <c r="DBH373" s="15"/>
      <c r="DBI373" s="10"/>
      <c r="DBJ373" s="10"/>
      <c r="DBK373" s="21"/>
      <c r="DBL373" s="21"/>
      <c r="DBO373" s="21"/>
      <c r="DBP373" s="15"/>
      <c r="DBQ373" s="15"/>
      <c r="DBR373" s="15"/>
      <c r="DBS373" s="15"/>
      <c r="DBT373" s="15"/>
      <c r="DBU373" s="15"/>
      <c r="DBV373" s="15"/>
      <c r="DBW373" s="15"/>
      <c r="DBX373" s="15"/>
      <c r="DBY373" s="15"/>
      <c r="DBZ373" s="10"/>
      <c r="DCA373" s="10"/>
      <c r="DCB373" s="21"/>
      <c r="DCC373" s="21"/>
      <c r="DCF373" s="21"/>
      <c r="DCG373" s="15"/>
      <c r="DCH373" s="15"/>
      <c r="DCI373" s="15"/>
      <c r="DCJ373" s="15"/>
      <c r="DCK373" s="15"/>
      <c r="DCL373" s="15"/>
      <c r="DCM373" s="15"/>
      <c r="DCN373" s="15"/>
      <c r="DCO373" s="15"/>
      <c r="DCP373" s="15"/>
      <c r="DCQ373" s="10"/>
      <c r="DCR373" s="10"/>
      <c r="DCS373" s="21"/>
      <c r="DCT373" s="21"/>
      <c r="DCW373" s="21"/>
      <c r="DCX373" s="15"/>
      <c r="DCY373" s="15"/>
      <c r="DCZ373" s="15"/>
      <c r="DDA373" s="15"/>
      <c r="DDB373" s="15"/>
      <c r="DDC373" s="15"/>
      <c r="DDD373" s="15"/>
      <c r="DDE373" s="15"/>
      <c r="DDF373" s="15"/>
      <c r="DDG373" s="15"/>
      <c r="DDH373" s="10"/>
      <c r="DDI373" s="10"/>
      <c r="DDJ373" s="21"/>
      <c r="DDK373" s="21"/>
      <c r="DDN373" s="21"/>
      <c r="DDO373" s="15"/>
      <c r="DDP373" s="15"/>
      <c r="DDQ373" s="15"/>
      <c r="DDR373" s="15"/>
      <c r="DDS373" s="15"/>
      <c r="DDT373" s="15"/>
      <c r="DDU373" s="15"/>
      <c r="DDV373" s="15"/>
      <c r="DDW373" s="15"/>
      <c r="DDX373" s="15"/>
      <c r="DDY373" s="10"/>
      <c r="DDZ373" s="10"/>
      <c r="DEA373" s="21"/>
      <c r="DEB373" s="21"/>
      <c r="DEE373" s="21"/>
      <c r="DEF373" s="15"/>
      <c r="DEG373" s="15"/>
      <c r="DEH373" s="15"/>
      <c r="DEI373" s="15"/>
      <c r="DEJ373" s="15"/>
      <c r="DEK373" s="15"/>
      <c r="DEL373" s="15"/>
      <c r="DEM373" s="15"/>
      <c r="DEN373" s="15"/>
      <c r="DEO373" s="15"/>
      <c r="DEP373" s="10"/>
      <c r="DEQ373" s="10"/>
      <c r="DER373" s="21"/>
      <c r="DES373" s="21"/>
      <c r="DEV373" s="21"/>
      <c r="DEW373" s="15"/>
      <c r="DEX373" s="15"/>
      <c r="DEY373" s="15"/>
      <c r="DEZ373" s="15"/>
      <c r="DFA373" s="15"/>
      <c r="DFB373" s="15"/>
      <c r="DFC373" s="15"/>
      <c r="DFD373" s="15"/>
      <c r="DFE373" s="15"/>
      <c r="DFF373" s="15"/>
      <c r="DFG373" s="10"/>
      <c r="DFH373" s="10"/>
      <c r="DFI373" s="21"/>
      <c r="DFJ373" s="21"/>
      <c r="DFM373" s="21"/>
      <c r="DFN373" s="15"/>
      <c r="DFO373" s="15"/>
      <c r="DFP373" s="15"/>
      <c r="DFQ373" s="15"/>
      <c r="DFR373" s="15"/>
      <c r="DFS373" s="15"/>
      <c r="DFT373" s="15"/>
      <c r="DFU373" s="15"/>
      <c r="DFV373" s="15"/>
      <c r="DFW373" s="15"/>
      <c r="DFX373" s="10"/>
      <c r="DFY373" s="10"/>
      <c r="DFZ373" s="21"/>
      <c r="DGA373" s="21"/>
      <c r="DGD373" s="21"/>
      <c r="DGE373" s="15"/>
      <c r="DGF373" s="15"/>
      <c r="DGG373" s="15"/>
      <c r="DGH373" s="15"/>
      <c r="DGI373" s="15"/>
      <c r="DGJ373" s="15"/>
      <c r="DGK373" s="15"/>
      <c r="DGL373" s="15"/>
      <c r="DGM373" s="15"/>
      <c r="DGN373" s="15"/>
      <c r="DGO373" s="10"/>
      <c r="DGP373" s="10"/>
      <c r="DGQ373" s="21"/>
      <c r="DGR373" s="21"/>
      <c r="DGU373" s="21"/>
      <c r="DGV373" s="15"/>
      <c r="DGW373" s="15"/>
      <c r="DGX373" s="15"/>
      <c r="DGY373" s="15"/>
      <c r="DGZ373" s="15"/>
      <c r="DHA373" s="15"/>
      <c r="DHB373" s="15"/>
      <c r="DHC373" s="15"/>
      <c r="DHD373" s="15"/>
      <c r="DHE373" s="15"/>
      <c r="DHF373" s="10"/>
      <c r="DHG373" s="10"/>
      <c r="DHH373" s="21"/>
      <c r="DHI373" s="21"/>
      <c r="DHL373" s="21"/>
      <c r="DHM373" s="15"/>
      <c r="DHN373" s="15"/>
      <c r="DHO373" s="15"/>
      <c r="DHP373" s="15"/>
      <c r="DHQ373" s="15"/>
      <c r="DHR373" s="15"/>
      <c r="DHS373" s="15"/>
      <c r="DHT373" s="15"/>
      <c r="DHU373" s="15"/>
      <c r="DHV373" s="15"/>
      <c r="DHW373" s="10"/>
      <c r="DHX373" s="10"/>
      <c r="DHY373" s="21"/>
      <c r="DHZ373" s="21"/>
      <c r="DIC373" s="21"/>
      <c r="DID373" s="15"/>
      <c r="DIE373" s="15"/>
      <c r="DIF373" s="15"/>
      <c r="DIG373" s="15"/>
      <c r="DIH373" s="15"/>
      <c r="DII373" s="15"/>
      <c r="DIJ373" s="15"/>
      <c r="DIK373" s="15"/>
      <c r="DIL373" s="15"/>
      <c r="DIM373" s="15"/>
      <c r="DIN373" s="10"/>
      <c r="DIO373" s="10"/>
      <c r="DIP373" s="21"/>
      <c r="DIQ373" s="21"/>
      <c r="DIT373" s="21"/>
      <c r="DIU373" s="15"/>
      <c r="DIV373" s="15"/>
      <c r="DIW373" s="15"/>
      <c r="DIX373" s="15"/>
      <c r="DIY373" s="15"/>
      <c r="DIZ373" s="15"/>
      <c r="DJA373" s="15"/>
      <c r="DJB373" s="15"/>
      <c r="DJC373" s="15"/>
      <c r="DJD373" s="15"/>
      <c r="DJE373" s="10"/>
      <c r="DJF373" s="10"/>
      <c r="DJG373" s="21"/>
      <c r="DJH373" s="21"/>
      <c r="DJK373" s="21"/>
      <c r="DJL373" s="15"/>
      <c r="DJM373" s="15"/>
      <c r="DJN373" s="15"/>
      <c r="DJO373" s="15"/>
      <c r="DJP373" s="15"/>
      <c r="DJQ373" s="15"/>
      <c r="DJR373" s="15"/>
      <c r="DJS373" s="15"/>
      <c r="DJT373" s="15"/>
      <c r="DJU373" s="15"/>
      <c r="DJV373" s="10"/>
      <c r="DJW373" s="10"/>
      <c r="DJX373" s="21"/>
      <c r="DJY373" s="21"/>
      <c r="DKB373" s="21"/>
      <c r="DKC373" s="15"/>
      <c r="DKD373" s="15"/>
      <c r="DKE373" s="15"/>
      <c r="DKF373" s="15"/>
      <c r="DKG373" s="15"/>
      <c r="DKH373" s="15"/>
      <c r="DKI373" s="15"/>
      <c r="DKJ373" s="15"/>
      <c r="DKK373" s="15"/>
      <c r="DKL373" s="15"/>
      <c r="DKM373" s="10"/>
      <c r="DKN373" s="10"/>
      <c r="DKO373" s="21"/>
      <c r="DKP373" s="21"/>
      <c r="DKS373" s="21"/>
      <c r="DKT373" s="15"/>
      <c r="DKU373" s="15"/>
      <c r="DKV373" s="15"/>
      <c r="DKW373" s="15"/>
      <c r="DKX373" s="15"/>
      <c r="DKY373" s="15"/>
      <c r="DKZ373" s="15"/>
      <c r="DLA373" s="15"/>
      <c r="DLB373" s="15"/>
      <c r="DLC373" s="15"/>
      <c r="DLD373" s="10"/>
      <c r="DLE373" s="10"/>
      <c r="DLF373" s="21"/>
      <c r="DLG373" s="21"/>
      <c r="DLJ373" s="21"/>
      <c r="DLK373" s="15"/>
      <c r="DLL373" s="15"/>
      <c r="DLM373" s="15"/>
      <c r="DLN373" s="15"/>
      <c r="DLO373" s="15"/>
      <c r="DLP373" s="15"/>
      <c r="DLQ373" s="15"/>
      <c r="DLR373" s="15"/>
      <c r="DLS373" s="15"/>
      <c r="DLT373" s="15"/>
      <c r="DLU373" s="10"/>
      <c r="DLV373" s="10"/>
      <c r="DLW373" s="21"/>
      <c r="DLX373" s="21"/>
      <c r="DMA373" s="21"/>
      <c r="DMB373" s="15"/>
      <c r="DMC373" s="15"/>
      <c r="DMD373" s="15"/>
      <c r="DME373" s="15"/>
      <c r="DMF373" s="15"/>
      <c r="DMG373" s="15"/>
      <c r="DMH373" s="15"/>
      <c r="DMI373" s="15"/>
      <c r="DMJ373" s="15"/>
      <c r="DMK373" s="15"/>
      <c r="DML373" s="10"/>
      <c r="DMM373" s="10"/>
      <c r="DMN373" s="21"/>
      <c r="DMO373" s="21"/>
      <c r="DMR373" s="21"/>
      <c r="DMS373" s="15"/>
      <c r="DMT373" s="15"/>
      <c r="DMU373" s="15"/>
      <c r="DMV373" s="15"/>
      <c r="DMW373" s="15"/>
      <c r="DMX373" s="15"/>
      <c r="DMY373" s="15"/>
      <c r="DMZ373" s="15"/>
      <c r="DNA373" s="15"/>
      <c r="DNB373" s="15"/>
      <c r="DNC373" s="10"/>
      <c r="DND373" s="10"/>
      <c r="DNE373" s="21"/>
      <c r="DNF373" s="21"/>
      <c r="DNI373" s="21"/>
      <c r="DNJ373" s="15"/>
      <c r="DNK373" s="15"/>
      <c r="DNL373" s="15"/>
      <c r="DNM373" s="15"/>
      <c r="DNN373" s="15"/>
      <c r="DNO373" s="15"/>
      <c r="DNP373" s="15"/>
      <c r="DNQ373" s="15"/>
      <c r="DNR373" s="15"/>
      <c r="DNS373" s="15"/>
      <c r="DNT373" s="10"/>
      <c r="DNU373" s="10"/>
      <c r="DNV373" s="21"/>
      <c r="DNW373" s="21"/>
      <c r="DNZ373" s="21"/>
      <c r="DOA373" s="15"/>
      <c r="DOB373" s="15"/>
      <c r="DOC373" s="15"/>
      <c r="DOD373" s="15"/>
      <c r="DOE373" s="15"/>
      <c r="DOF373" s="15"/>
      <c r="DOG373" s="15"/>
      <c r="DOH373" s="15"/>
      <c r="DOI373" s="15"/>
      <c r="DOJ373" s="15"/>
      <c r="DOK373" s="10"/>
      <c r="DOL373" s="10"/>
      <c r="DOM373" s="21"/>
      <c r="DON373" s="21"/>
      <c r="DOQ373" s="21"/>
      <c r="DOR373" s="15"/>
      <c r="DOS373" s="15"/>
      <c r="DOT373" s="15"/>
      <c r="DOU373" s="15"/>
      <c r="DOV373" s="15"/>
      <c r="DOW373" s="15"/>
      <c r="DOX373" s="15"/>
      <c r="DOY373" s="15"/>
      <c r="DOZ373" s="15"/>
      <c r="DPA373" s="15"/>
      <c r="DPB373" s="10"/>
      <c r="DPC373" s="10"/>
      <c r="DPD373" s="21"/>
      <c r="DPE373" s="21"/>
      <c r="DPH373" s="21"/>
      <c r="DPI373" s="15"/>
      <c r="DPJ373" s="15"/>
      <c r="DPK373" s="15"/>
      <c r="DPL373" s="15"/>
      <c r="DPM373" s="15"/>
      <c r="DPN373" s="15"/>
      <c r="DPO373" s="15"/>
      <c r="DPP373" s="15"/>
      <c r="DPQ373" s="15"/>
      <c r="DPR373" s="15"/>
      <c r="DPS373" s="10"/>
      <c r="DPT373" s="10"/>
      <c r="DPU373" s="21"/>
      <c r="DPV373" s="21"/>
      <c r="DPY373" s="21"/>
      <c r="DPZ373" s="15"/>
      <c r="DQA373" s="15"/>
      <c r="DQB373" s="15"/>
      <c r="DQC373" s="15"/>
      <c r="DQD373" s="15"/>
      <c r="DQE373" s="15"/>
      <c r="DQF373" s="15"/>
      <c r="DQG373" s="15"/>
      <c r="DQH373" s="15"/>
      <c r="DQI373" s="15"/>
      <c r="DQJ373" s="10"/>
      <c r="DQK373" s="10"/>
      <c r="DQL373" s="21"/>
      <c r="DQM373" s="21"/>
      <c r="DQP373" s="21"/>
      <c r="DQQ373" s="15"/>
      <c r="DQR373" s="15"/>
      <c r="DQS373" s="15"/>
      <c r="DQT373" s="15"/>
      <c r="DQU373" s="15"/>
      <c r="DQV373" s="15"/>
      <c r="DQW373" s="15"/>
      <c r="DQX373" s="15"/>
      <c r="DQY373" s="15"/>
      <c r="DQZ373" s="15"/>
      <c r="DRA373" s="10"/>
      <c r="DRB373" s="10"/>
      <c r="DRC373" s="21"/>
      <c r="DRD373" s="21"/>
      <c r="DRG373" s="21"/>
      <c r="DRH373" s="15"/>
      <c r="DRI373" s="15"/>
      <c r="DRJ373" s="15"/>
      <c r="DRK373" s="15"/>
      <c r="DRL373" s="15"/>
      <c r="DRM373" s="15"/>
      <c r="DRN373" s="15"/>
      <c r="DRO373" s="15"/>
      <c r="DRP373" s="15"/>
      <c r="DRQ373" s="15"/>
      <c r="DRR373" s="10"/>
      <c r="DRS373" s="10"/>
      <c r="DRT373" s="21"/>
      <c r="DRU373" s="21"/>
      <c r="DRX373" s="21"/>
      <c r="DRY373" s="15"/>
      <c r="DRZ373" s="15"/>
      <c r="DSA373" s="15"/>
      <c r="DSB373" s="15"/>
      <c r="DSC373" s="15"/>
      <c r="DSD373" s="15"/>
      <c r="DSE373" s="15"/>
      <c r="DSF373" s="15"/>
      <c r="DSG373" s="15"/>
      <c r="DSH373" s="15"/>
      <c r="DSI373" s="10"/>
      <c r="DSJ373" s="10"/>
      <c r="DSK373" s="21"/>
      <c r="DSL373" s="21"/>
      <c r="DSO373" s="21"/>
      <c r="DSP373" s="15"/>
      <c r="DSQ373" s="15"/>
      <c r="DSR373" s="15"/>
      <c r="DSS373" s="15"/>
      <c r="DST373" s="15"/>
      <c r="DSU373" s="15"/>
      <c r="DSV373" s="15"/>
      <c r="DSW373" s="15"/>
      <c r="DSX373" s="15"/>
      <c r="DSY373" s="15"/>
      <c r="DSZ373" s="10"/>
      <c r="DTA373" s="10"/>
      <c r="DTB373" s="21"/>
      <c r="DTC373" s="21"/>
      <c r="DTF373" s="21"/>
      <c r="DTG373" s="15"/>
      <c r="DTH373" s="15"/>
      <c r="DTI373" s="15"/>
      <c r="DTJ373" s="15"/>
      <c r="DTK373" s="15"/>
      <c r="DTL373" s="15"/>
      <c r="DTM373" s="15"/>
      <c r="DTN373" s="15"/>
      <c r="DTO373" s="15"/>
      <c r="DTP373" s="15"/>
      <c r="DTQ373" s="10"/>
      <c r="DTR373" s="10"/>
      <c r="DTS373" s="21"/>
      <c r="DTT373" s="21"/>
      <c r="DTW373" s="21"/>
      <c r="DTX373" s="15"/>
      <c r="DTY373" s="15"/>
      <c r="DTZ373" s="15"/>
      <c r="DUA373" s="15"/>
      <c r="DUB373" s="15"/>
      <c r="DUC373" s="15"/>
      <c r="DUD373" s="15"/>
      <c r="DUE373" s="15"/>
      <c r="DUF373" s="15"/>
      <c r="DUG373" s="15"/>
      <c r="DUH373" s="10"/>
      <c r="DUI373" s="10"/>
      <c r="DUJ373" s="21"/>
      <c r="DUK373" s="21"/>
      <c r="DUN373" s="21"/>
      <c r="DUO373" s="15"/>
      <c r="DUP373" s="15"/>
      <c r="DUQ373" s="15"/>
      <c r="DUR373" s="15"/>
      <c r="DUS373" s="15"/>
      <c r="DUT373" s="15"/>
      <c r="DUU373" s="15"/>
      <c r="DUV373" s="15"/>
      <c r="DUW373" s="15"/>
      <c r="DUX373" s="15"/>
      <c r="DUY373" s="10"/>
      <c r="DUZ373" s="10"/>
      <c r="DVA373" s="21"/>
      <c r="DVB373" s="21"/>
      <c r="DVE373" s="21"/>
      <c r="DVF373" s="15"/>
      <c r="DVG373" s="15"/>
      <c r="DVH373" s="15"/>
      <c r="DVI373" s="15"/>
      <c r="DVJ373" s="15"/>
      <c r="DVK373" s="15"/>
      <c r="DVL373" s="15"/>
      <c r="DVM373" s="15"/>
      <c r="DVN373" s="15"/>
      <c r="DVO373" s="15"/>
      <c r="DVP373" s="10"/>
      <c r="DVQ373" s="10"/>
      <c r="DVR373" s="21"/>
      <c r="DVS373" s="21"/>
      <c r="DVV373" s="21"/>
      <c r="DVW373" s="15"/>
      <c r="DVX373" s="15"/>
      <c r="DVY373" s="15"/>
      <c r="DVZ373" s="15"/>
      <c r="DWA373" s="15"/>
      <c r="DWB373" s="15"/>
      <c r="DWC373" s="15"/>
      <c r="DWD373" s="15"/>
      <c r="DWE373" s="15"/>
      <c r="DWF373" s="15"/>
      <c r="DWG373" s="10"/>
      <c r="DWH373" s="10"/>
      <c r="DWI373" s="21"/>
      <c r="DWJ373" s="21"/>
      <c r="DWM373" s="21"/>
      <c r="DWN373" s="15"/>
      <c r="DWO373" s="15"/>
      <c r="DWP373" s="15"/>
      <c r="DWQ373" s="15"/>
      <c r="DWR373" s="15"/>
      <c r="DWS373" s="15"/>
      <c r="DWT373" s="15"/>
      <c r="DWU373" s="15"/>
      <c r="DWV373" s="15"/>
      <c r="DWW373" s="15"/>
      <c r="DWX373" s="10"/>
      <c r="DWY373" s="10"/>
      <c r="DWZ373" s="21"/>
      <c r="DXA373" s="21"/>
      <c r="DXD373" s="21"/>
      <c r="DXE373" s="15"/>
      <c r="DXF373" s="15"/>
      <c r="DXG373" s="15"/>
      <c r="DXH373" s="15"/>
      <c r="DXI373" s="15"/>
      <c r="DXJ373" s="15"/>
      <c r="DXK373" s="15"/>
      <c r="DXL373" s="15"/>
      <c r="DXM373" s="15"/>
      <c r="DXN373" s="15"/>
      <c r="DXO373" s="10"/>
      <c r="DXP373" s="10"/>
      <c r="DXQ373" s="21"/>
      <c r="DXR373" s="21"/>
      <c r="DXU373" s="21"/>
      <c r="DXV373" s="15"/>
      <c r="DXW373" s="15"/>
      <c r="DXX373" s="15"/>
      <c r="DXY373" s="15"/>
      <c r="DXZ373" s="15"/>
      <c r="DYA373" s="15"/>
      <c r="DYB373" s="15"/>
      <c r="DYC373" s="15"/>
      <c r="DYD373" s="15"/>
      <c r="DYE373" s="15"/>
      <c r="DYF373" s="10"/>
      <c r="DYG373" s="10"/>
      <c r="DYH373" s="21"/>
      <c r="DYI373" s="21"/>
      <c r="DYL373" s="21"/>
      <c r="DYM373" s="15"/>
      <c r="DYN373" s="15"/>
      <c r="DYO373" s="15"/>
      <c r="DYP373" s="15"/>
      <c r="DYQ373" s="15"/>
      <c r="DYR373" s="15"/>
      <c r="DYS373" s="15"/>
      <c r="DYT373" s="15"/>
      <c r="DYU373" s="15"/>
      <c r="DYV373" s="15"/>
      <c r="DYW373" s="10"/>
      <c r="DYX373" s="10"/>
      <c r="DYY373" s="21"/>
      <c r="DYZ373" s="21"/>
      <c r="DZC373" s="21"/>
      <c r="DZD373" s="15"/>
      <c r="DZE373" s="15"/>
      <c r="DZF373" s="15"/>
      <c r="DZG373" s="15"/>
      <c r="DZH373" s="15"/>
      <c r="DZI373" s="15"/>
      <c r="DZJ373" s="15"/>
      <c r="DZK373" s="15"/>
      <c r="DZL373" s="15"/>
      <c r="DZM373" s="15"/>
      <c r="DZN373" s="10"/>
      <c r="DZO373" s="10"/>
      <c r="DZP373" s="21"/>
      <c r="DZQ373" s="21"/>
      <c r="DZT373" s="21"/>
      <c r="DZU373" s="15"/>
      <c r="DZV373" s="15"/>
      <c r="DZW373" s="15"/>
      <c r="DZX373" s="15"/>
      <c r="DZY373" s="15"/>
      <c r="DZZ373" s="15"/>
      <c r="EAA373" s="15"/>
      <c r="EAB373" s="15"/>
      <c r="EAC373" s="15"/>
      <c r="EAD373" s="15"/>
      <c r="EAE373" s="10"/>
      <c r="EAF373" s="10"/>
      <c r="EAG373" s="21"/>
      <c r="EAH373" s="21"/>
      <c r="EAK373" s="21"/>
      <c r="EAL373" s="15"/>
      <c r="EAM373" s="15"/>
      <c r="EAN373" s="15"/>
      <c r="EAO373" s="15"/>
      <c r="EAP373" s="15"/>
      <c r="EAQ373" s="15"/>
      <c r="EAR373" s="15"/>
      <c r="EAS373" s="15"/>
      <c r="EAT373" s="15"/>
      <c r="EAU373" s="15"/>
      <c r="EAV373" s="10"/>
      <c r="EAW373" s="10"/>
      <c r="EAX373" s="21"/>
      <c r="EAY373" s="21"/>
      <c r="EBB373" s="21"/>
      <c r="EBC373" s="15"/>
      <c r="EBD373" s="15"/>
      <c r="EBE373" s="15"/>
      <c r="EBF373" s="15"/>
      <c r="EBG373" s="15"/>
      <c r="EBH373" s="15"/>
      <c r="EBI373" s="15"/>
      <c r="EBJ373" s="15"/>
      <c r="EBK373" s="15"/>
      <c r="EBL373" s="15"/>
      <c r="EBM373" s="10"/>
      <c r="EBN373" s="10"/>
      <c r="EBO373" s="21"/>
      <c r="EBP373" s="21"/>
      <c r="EBS373" s="21"/>
      <c r="EBT373" s="15"/>
      <c r="EBU373" s="15"/>
      <c r="EBV373" s="15"/>
      <c r="EBW373" s="15"/>
      <c r="EBX373" s="15"/>
      <c r="EBY373" s="15"/>
      <c r="EBZ373" s="15"/>
      <c r="ECA373" s="15"/>
      <c r="ECB373" s="15"/>
      <c r="ECC373" s="15"/>
      <c r="ECD373" s="10"/>
      <c r="ECE373" s="10"/>
      <c r="ECF373" s="21"/>
      <c r="ECG373" s="21"/>
      <c r="ECJ373" s="21"/>
      <c r="ECK373" s="15"/>
      <c r="ECL373" s="15"/>
      <c r="ECM373" s="15"/>
      <c r="ECN373" s="15"/>
      <c r="ECO373" s="15"/>
      <c r="ECP373" s="15"/>
      <c r="ECQ373" s="15"/>
      <c r="ECR373" s="15"/>
      <c r="ECS373" s="15"/>
      <c r="ECT373" s="15"/>
      <c r="ECU373" s="10"/>
      <c r="ECV373" s="10"/>
      <c r="ECW373" s="21"/>
      <c r="ECX373" s="21"/>
      <c r="EDA373" s="21"/>
      <c r="EDB373" s="15"/>
      <c r="EDC373" s="15"/>
      <c r="EDD373" s="15"/>
      <c r="EDE373" s="15"/>
      <c r="EDF373" s="15"/>
      <c r="EDG373" s="15"/>
      <c r="EDH373" s="15"/>
      <c r="EDI373" s="15"/>
      <c r="EDJ373" s="15"/>
      <c r="EDK373" s="15"/>
      <c r="EDL373" s="10"/>
      <c r="EDM373" s="10"/>
      <c r="EDN373" s="21"/>
      <c r="EDO373" s="21"/>
      <c r="EDR373" s="21"/>
      <c r="EDS373" s="15"/>
      <c r="EDT373" s="15"/>
      <c r="EDU373" s="15"/>
      <c r="EDV373" s="15"/>
      <c r="EDW373" s="15"/>
      <c r="EDX373" s="15"/>
      <c r="EDY373" s="15"/>
      <c r="EDZ373" s="15"/>
      <c r="EEA373" s="15"/>
      <c r="EEB373" s="15"/>
      <c r="EEC373" s="10"/>
      <c r="EED373" s="10"/>
      <c r="EEE373" s="21"/>
      <c r="EEF373" s="21"/>
      <c r="EEI373" s="21"/>
      <c r="EEJ373" s="15"/>
      <c r="EEK373" s="15"/>
      <c r="EEL373" s="15"/>
      <c r="EEM373" s="15"/>
      <c r="EEN373" s="15"/>
      <c r="EEO373" s="15"/>
      <c r="EEP373" s="15"/>
      <c r="EEQ373" s="15"/>
      <c r="EER373" s="15"/>
      <c r="EES373" s="15"/>
      <c r="EET373" s="10"/>
      <c r="EEU373" s="10"/>
      <c r="EEV373" s="21"/>
      <c r="EEW373" s="21"/>
      <c r="EEZ373" s="21"/>
      <c r="EFA373" s="15"/>
      <c r="EFB373" s="15"/>
      <c r="EFC373" s="15"/>
      <c r="EFD373" s="15"/>
      <c r="EFE373" s="15"/>
      <c r="EFF373" s="15"/>
      <c r="EFG373" s="15"/>
      <c r="EFH373" s="15"/>
      <c r="EFI373" s="15"/>
      <c r="EFJ373" s="15"/>
      <c r="EFK373" s="10"/>
      <c r="EFL373" s="10"/>
      <c r="EFM373" s="21"/>
      <c r="EFN373" s="21"/>
      <c r="EFQ373" s="21"/>
      <c r="EFR373" s="15"/>
      <c r="EFS373" s="15"/>
      <c r="EFT373" s="15"/>
      <c r="EFU373" s="15"/>
      <c r="EFV373" s="15"/>
      <c r="EFW373" s="15"/>
      <c r="EFX373" s="15"/>
      <c r="EFY373" s="15"/>
      <c r="EFZ373" s="15"/>
      <c r="EGA373" s="15"/>
      <c r="EGB373" s="10"/>
      <c r="EGC373" s="10"/>
      <c r="EGD373" s="21"/>
      <c r="EGE373" s="21"/>
      <c r="EGH373" s="21"/>
      <c r="EGI373" s="15"/>
      <c r="EGJ373" s="15"/>
      <c r="EGK373" s="15"/>
      <c r="EGL373" s="15"/>
      <c r="EGM373" s="15"/>
      <c r="EGN373" s="15"/>
      <c r="EGO373" s="15"/>
      <c r="EGP373" s="15"/>
      <c r="EGQ373" s="15"/>
      <c r="EGR373" s="15"/>
      <c r="EGS373" s="10"/>
      <c r="EGT373" s="10"/>
      <c r="EGU373" s="21"/>
      <c r="EGV373" s="21"/>
      <c r="EGY373" s="21"/>
      <c r="EGZ373" s="15"/>
      <c r="EHA373" s="15"/>
      <c r="EHB373" s="15"/>
      <c r="EHC373" s="15"/>
      <c r="EHD373" s="15"/>
      <c r="EHE373" s="15"/>
      <c r="EHF373" s="15"/>
      <c r="EHG373" s="15"/>
      <c r="EHH373" s="15"/>
      <c r="EHI373" s="15"/>
      <c r="EHJ373" s="10"/>
      <c r="EHK373" s="10"/>
      <c r="EHL373" s="21"/>
      <c r="EHM373" s="21"/>
      <c r="EHP373" s="21"/>
      <c r="EHQ373" s="15"/>
      <c r="EHR373" s="15"/>
      <c r="EHS373" s="15"/>
      <c r="EHT373" s="15"/>
      <c r="EHU373" s="15"/>
      <c r="EHV373" s="15"/>
      <c r="EHW373" s="15"/>
      <c r="EHX373" s="15"/>
      <c r="EHY373" s="15"/>
      <c r="EHZ373" s="15"/>
      <c r="EIA373" s="10"/>
      <c r="EIB373" s="10"/>
      <c r="EIC373" s="21"/>
      <c r="EID373" s="21"/>
      <c r="EIG373" s="21"/>
      <c r="EIH373" s="15"/>
      <c r="EII373" s="15"/>
      <c r="EIJ373" s="15"/>
      <c r="EIK373" s="15"/>
      <c r="EIL373" s="15"/>
      <c r="EIM373" s="15"/>
      <c r="EIN373" s="15"/>
      <c r="EIO373" s="15"/>
      <c r="EIP373" s="15"/>
      <c r="EIQ373" s="15"/>
      <c r="EIR373" s="10"/>
      <c r="EIS373" s="10"/>
      <c r="EIT373" s="21"/>
      <c r="EIU373" s="21"/>
      <c r="EIX373" s="21"/>
      <c r="EIY373" s="15"/>
      <c r="EIZ373" s="15"/>
      <c r="EJA373" s="15"/>
      <c r="EJB373" s="15"/>
      <c r="EJC373" s="15"/>
      <c r="EJD373" s="15"/>
      <c r="EJE373" s="15"/>
      <c r="EJF373" s="15"/>
      <c r="EJG373" s="15"/>
      <c r="EJH373" s="15"/>
      <c r="EJI373" s="10"/>
      <c r="EJJ373" s="10"/>
      <c r="EJK373" s="21"/>
      <c r="EJL373" s="21"/>
      <c r="EJO373" s="21"/>
      <c r="EJP373" s="15"/>
      <c r="EJQ373" s="15"/>
      <c r="EJR373" s="15"/>
      <c r="EJS373" s="15"/>
      <c r="EJT373" s="15"/>
      <c r="EJU373" s="15"/>
      <c r="EJV373" s="15"/>
      <c r="EJW373" s="15"/>
      <c r="EJX373" s="15"/>
      <c r="EJY373" s="15"/>
      <c r="EJZ373" s="10"/>
      <c r="EKA373" s="10"/>
      <c r="EKB373" s="21"/>
      <c r="EKC373" s="21"/>
      <c r="EKF373" s="21"/>
      <c r="EKG373" s="15"/>
      <c r="EKH373" s="15"/>
      <c r="EKI373" s="15"/>
      <c r="EKJ373" s="15"/>
      <c r="EKK373" s="15"/>
      <c r="EKL373" s="15"/>
      <c r="EKM373" s="15"/>
      <c r="EKN373" s="15"/>
      <c r="EKO373" s="15"/>
      <c r="EKP373" s="15"/>
      <c r="EKQ373" s="10"/>
      <c r="EKR373" s="10"/>
      <c r="EKS373" s="21"/>
      <c r="EKT373" s="21"/>
      <c r="EKW373" s="21"/>
      <c r="EKX373" s="15"/>
      <c r="EKY373" s="15"/>
      <c r="EKZ373" s="15"/>
      <c r="ELA373" s="15"/>
      <c r="ELB373" s="15"/>
      <c r="ELC373" s="15"/>
      <c r="ELD373" s="15"/>
      <c r="ELE373" s="15"/>
      <c r="ELF373" s="15"/>
      <c r="ELG373" s="15"/>
      <c r="ELH373" s="10"/>
      <c r="ELI373" s="10"/>
      <c r="ELJ373" s="21"/>
      <c r="ELK373" s="21"/>
      <c r="ELN373" s="21"/>
      <c r="ELO373" s="15"/>
      <c r="ELP373" s="15"/>
      <c r="ELQ373" s="15"/>
      <c r="ELR373" s="15"/>
      <c r="ELS373" s="15"/>
      <c r="ELT373" s="15"/>
      <c r="ELU373" s="15"/>
      <c r="ELV373" s="15"/>
      <c r="ELW373" s="15"/>
      <c r="ELX373" s="15"/>
      <c r="ELY373" s="10"/>
      <c r="ELZ373" s="10"/>
      <c r="EMA373" s="21"/>
      <c r="EMB373" s="21"/>
      <c r="EME373" s="21"/>
      <c r="EMF373" s="15"/>
      <c r="EMG373" s="15"/>
      <c r="EMH373" s="15"/>
      <c r="EMI373" s="15"/>
      <c r="EMJ373" s="15"/>
      <c r="EMK373" s="15"/>
      <c r="EML373" s="15"/>
      <c r="EMM373" s="15"/>
      <c r="EMN373" s="15"/>
      <c r="EMO373" s="15"/>
      <c r="EMP373" s="10"/>
      <c r="EMQ373" s="10"/>
      <c r="EMR373" s="21"/>
      <c r="EMS373" s="21"/>
      <c r="EMV373" s="21"/>
      <c r="EMW373" s="15"/>
      <c r="EMX373" s="15"/>
      <c r="EMY373" s="15"/>
      <c r="EMZ373" s="15"/>
      <c r="ENA373" s="15"/>
      <c r="ENB373" s="15"/>
      <c r="ENC373" s="15"/>
      <c r="END373" s="15"/>
      <c r="ENE373" s="15"/>
      <c r="ENF373" s="15"/>
      <c r="ENG373" s="10"/>
      <c r="ENH373" s="10"/>
      <c r="ENI373" s="21"/>
      <c r="ENJ373" s="21"/>
      <c r="ENM373" s="21"/>
      <c r="ENN373" s="15"/>
      <c r="ENO373" s="15"/>
      <c r="ENP373" s="15"/>
      <c r="ENQ373" s="15"/>
      <c r="ENR373" s="15"/>
      <c r="ENS373" s="15"/>
      <c r="ENT373" s="15"/>
      <c r="ENU373" s="15"/>
      <c r="ENV373" s="15"/>
      <c r="ENW373" s="15"/>
      <c r="ENX373" s="10"/>
      <c r="ENY373" s="10"/>
      <c r="ENZ373" s="21"/>
      <c r="EOA373" s="21"/>
      <c r="EOD373" s="21"/>
      <c r="EOE373" s="15"/>
      <c r="EOF373" s="15"/>
      <c r="EOG373" s="15"/>
      <c r="EOH373" s="15"/>
      <c r="EOI373" s="15"/>
      <c r="EOJ373" s="15"/>
      <c r="EOK373" s="15"/>
      <c r="EOL373" s="15"/>
      <c r="EOM373" s="15"/>
      <c r="EON373" s="15"/>
      <c r="EOO373" s="10"/>
      <c r="EOP373" s="10"/>
      <c r="EOQ373" s="21"/>
      <c r="EOR373" s="21"/>
      <c r="EOU373" s="21"/>
      <c r="EOV373" s="15"/>
      <c r="EOW373" s="15"/>
      <c r="EOX373" s="15"/>
      <c r="EOY373" s="15"/>
      <c r="EOZ373" s="15"/>
      <c r="EPA373" s="15"/>
      <c r="EPB373" s="15"/>
      <c r="EPC373" s="15"/>
      <c r="EPD373" s="15"/>
      <c r="EPE373" s="15"/>
      <c r="EPF373" s="10"/>
      <c r="EPG373" s="10"/>
      <c r="EPH373" s="21"/>
      <c r="EPI373" s="21"/>
      <c r="EPL373" s="21"/>
      <c r="EPM373" s="15"/>
      <c r="EPN373" s="15"/>
      <c r="EPO373" s="15"/>
      <c r="EPP373" s="15"/>
      <c r="EPQ373" s="15"/>
      <c r="EPR373" s="15"/>
      <c r="EPS373" s="15"/>
      <c r="EPT373" s="15"/>
      <c r="EPU373" s="15"/>
      <c r="EPV373" s="15"/>
      <c r="EPW373" s="10"/>
      <c r="EPX373" s="10"/>
      <c r="EPY373" s="21"/>
      <c r="EPZ373" s="21"/>
      <c r="EQC373" s="21"/>
      <c r="EQD373" s="15"/>
      <c r="EQE373" s="15"/>
      <c r="EQF373" s="15"/>
      <c r="EQG373" s="15"/>
      <c r="EQH373" s="15"/>
      <c r="EQI373" s="15"/>
      <c r="EQJ373" s="15"/>
      <c r="EQK373" s="15"/>
      <c r="EQL373" s="15"/>
      <c r="EQM373" s="15"/>
      <c r="EQN373" s="10"/>
      <c r="EQO373" s="10"/>
      <c r="EQP373" s="21"/>
      <c r="EQQ373" s="21"/>
      <c r="EQT373" s="21"/>
      <c r="EQU373" s="15"/>
      <c r="EQV373" s="15"/>
      <c r="EQW373" s="15"/>
      <c r="EQX373" s="15"/>
      <c r="EQY373" s="15"/>
      <c r="EQZ373" s="15"/>
      <c r="ERA373" s="15"/>
      <c r="ERB373" s="15"/>
      <c r="ERC373" s="15"/>
      <c r="ERD373" s="15"/>
      <c r="ERE373" s="10"/>
      <c r="ERF373" s="10"/>
      <c r="ERG373" s="21"/>
      <c r="ERH373" s="21"/>
      <c r="ERK373" s="21"/>
      <c r="ERL373" s="15"/>
      <c r="ERM373" s="15"/>
      <c r="ERN373" s="15"/>
      <c r="ERO373" s="15"/>
      <c r="ERP373" s="15"/>
      <c r="ERQ373" s="15"/>
      <c r="ERR373" s="15"/>
      <c r="ERS373" s="15"/>
      <c r="ERT373" s="15"/>
      <c r="ERU373" s="15"/>
      <c r="ERV373" s="10"/>
      <c r="ERW373" s="10"/>
      <c r="ERX373" s="21"/>
      <c r="ERY373" s="21"/>
      <c r="ESB373" s="21"/>
      <c r="ESC373" s="15"/>
      <c r="ESD373" s="15"/>
      <c r="ESE373" s="15"/>
      <c r="ESF373" s="15"/>
      <c r="ESG373" s="15"/>
      <c r="ESH373" s="15"/>
      <c r="ESI373" s="15"/>
      <c r="ESJ373" s="15"/>
      <c r="ESK373" s="15"/>
      <c r="ESL373" s="15"/>
      <c r="ESM373" s="10"/>
      <c r="ESN373" s="10"/>
      <c r="ESO373" s="21"/>
      <c r="ESP373" s="21"/>
      <c r="ESS373" s="21"/>
      <c r="EST373" s="15"/>
      <c r="ESU373" s="15"/>
      <c r="ESV373" s="15"/>
      <c r="ESW373" s="15"/>
      <c r="ESX373" s="15"/>
      <c r="ESY373" s="15"/>
      <c r="ESZ373" s="15"/>
      <c r="ETA373" s="15"/>
      <c r="ETB373" s="15"/>
      <c r="ETC373" s="15"/>
      <c r="ETD373" s="10"/>
      <c r="ETE373" s="10"/>
      <c r="ETF373" s="21"/>
      <c r="ETG373" s="21"/>
      <c r="ETJ373" s="21"/>
      <c r="ETK373" s="15"/>
      <c r="ETL373" s="15"/>
      <c r="ETM373" s="15"/>
      <c r="ETN373" s="15"/>
      <c r="ETO373" s="15"/>
      <c r="ETP373" s="15"/>
      <c r="ETQ373" s="15"/>
      <c r="ETR373" s="15"/>
      <c r="ETS373" s="15"/>
      <c r="ETT373" s="15"/>
      <c r="ETU373" s="10"/>
      <c r="ETV373" s="10"/>
      <c r="ETW373" s="21"/>
      <c r="ETX373" s="21"/>
      <c r="EUA373" s="21"/>
      <c r="EUB373" s="15"/>
      <c r="EUC373" s="15"/>
      <c r="EUD373" s="15"/>
      <c r="EUE373" s="15"/>
      <c r="EUF373" s="15"/>
      <c r="EUG373" s="15"/>
      <c r="EUH373" s="15"/>
      <c r="EUI373" s="15"/>
      <c r="EUJ373" s="15"/>
      <c r="EUK373" s="15"/>
      <c r="EUL373" s="10"/>
      <c r="EUM373" s="10"/>
      <c r="EUN373" s="21"/>
      <c r="EUO373" s="21"/>
      <c r="EUR373" s="21"/>
      <c r="EUS373" s="15"/>
      <c r="EUT373" s="15"/>
      <c r="EUU373" s="15"/>
      <c r="EUV373" s="15"/>
      <c r="EUW373" s="15"/>
      <c r="EUX373" s="15"/>
      <c r="EUY373" s="15"/>
      <c r="EUZ373" s="15"/>
      <c r="EVA373" s="15"/>
      <c r="EVB373" s="15"/>
      <c r="EVC373" s="10"/>
      <c r="EVD373" s="10"/>
      <c r="EVE373" s="21"/>
      <c r="EVF373" s="21"/>
      <c r="EVI373" s="21"/>
      <c r="EVJ373" s="15"/>
      <c r="EVK373" s="15"/>
      <c r="EVL373" s="15"/>
      <c r="EVM373" s="15"/>
      <c r="EVN373" s="15"/>
      <c r="EVO373" s="15"/>
      <c r="EVP373" s="15"/>
      <c r="EVQ373" s="15"/>
      <c r="EVR373" s="15"/>
      <c r="EVS373" s="15"/>
      <c r="EVT373" s="10"/>
      <c r="EVU373" s="10"/>
      <c r="EVV373" s="21"/>
      <c r="EVW373" s="21"/>
      <c r="EVZ373" s="21"/>
      <c r="EWA373" s="15"/>
      <c r="EWB373" s="15"/>
      <c r="EWC373" s="15"/>
      <c r="EWD373" s="15"/>
      <c r="EWE373" s="15"/>
      <c r="EWF373" s="15"/>
      <c r="EWG373" s="15"/>
      <c r="EWH373" s="15"/>
      <c r="EWI373" s="15"/>
      <c r="EWJ373" s="15"/>
      <c r="EWK373" s="10"/>
      <c r="EWL373" s="10"/>
      <c r="EWM373" s="21"/>
      <c r="EWN373" s="21"/>
      <c r="EWQ373" s="21"/>
      <c r="EWR373" s="15"/>
      <c r="EWS373" s="15"/>
      <c r="EWT373" s="15"/>
      <c r="EWU373" s="15"/>
      <c r="EWV373" s="15"/>
      <c r="EWW373" s="15"/>
      <c r="EWX373" s="15"/>
      <c r="EWY373" s="15"/>
      <c r="EWZ373" s="15"/>
      <c r="EXA373" s="15"/>
      <c r="EXB373" s="10"/>
      <c r="EXC373" s="10"/>
      <c r="EXD373" s="21"/>
      <c r="EXE373" s="21"/>
      <c r="EXH373" s="21"/>
      <c r="EXI373" s="15"/>
      <c r="EXJ373" s="15"/>
      <c r="EXK373" s="15"/>
      <c r="EXL373" s="15"/>
      <c r="EXM373" s="15"/>
      <c r="EXN373" s="15"/>
      <c r="EXO373" s="15"/>
      <c r="EXP373" s="15"/>
      <c r="EXQ373" s="15"/>
      <c r="EXR373" s="15"/>
      <c r="EXS373" s="10"/>
      <c r="EXT373" s="10"/>
      <c r="EXU373" s="21"/>
      <c r="EXV373" s="21"/>
      <c r="EXY373" s="21"/>
      <c r="EXZ373" s="15"/>
      <c r="EYA373" s="15"/>
      <c r="EYB373" s="15"/>
      <c r="EYC373" s="15"/>
      <c r="EYD373" s="15"/>
      <c r="EYE373" s="15"/>
      <c r="EYF373" s="15"/>
      <c r="EYG373" s="15"/>
      <c r="EYH373" s="15"/>
      <c r="EYI373" s="15"/>
      <c r="EYJ373" s="10"/>
      <c r="EYK373" s="10"/>
      <c r="EYL373" s="21"/>
      <c r="EYM373" s="21"/>
      <c r="EYP373" s="21"/>
      <c r="EYQ373" s="15"/>
      <c r="EYR373" s="15"/>
      <c r="EYS373" s="15"/>
      <c r="EYT373" s="15"/>
      <c r="EYU373" s="15"/>
      <c r="EYV373" s="15"/>
      <c r="EYW373" s="15"/>
      <c r="EYX373" s="15"/>
      <c r="EYY373" s="15"/>
      <c r="EYZ373" s="15"/>
      <c r="EZA373" s="10"/>
      <c r="EZB373" s="10"/>
      <c r="EZC373" s="21"/>
      <c r="EZD373" s="21"/>
      <c r="EZG373" s="21"/>
      <c r="EZH373" s="15"/>
      <c r="EZI373" s="15"/>
      <c r="EZJ373" s="15"/>
      <c r="EZK373" s="15"/>
      <c r="EZL373" s="15"/>
      <c r="EZM373" s="15"/>
      <c r="EZN373" s="15"/>
      <c r="EZO373" s="15"/>
      <c r="EZP373" s="15"/>
      <c r="EZQ373" s="15"/>
      <c r="EZR373" s="10"/>
      <c r="EZS373" s="10"/>
      <c r="EZT373" s="21"/>
      <c r="EZU373" s="21"/>
      <c r="EZX373" s="21"/>
      <c r="EZY373" s="15"/>
      <c r="EZZ373" s="15"/>
      <c r="FAA373" s="15"/>
      <c r="FAB373" s="15"/>
      <c r="FAC373" s="15"/>
      <c r="FAD373" s="15"/>
      <c r="FAE373" s="15"/>
      <c r="FAF373" s="15"/>
      <c r="FAG373" s="15"/>
      <c r="FAH373" s="15"/>
      <c r="FAI373" s="10"/>
      <c r="FAJ373" s="10"/>
      <c r="FAK373" s="21"/>
      <c r="FAL373" s="21"/>
      <c r="FAO373" s="21"/>
      <c r="FAP373" s="15"/>
      <c r="FAQ373" s="15"/>
      <c r="FAR373" s="15"/>
      <c r="FAS373" s="15"/>
      <c r="FAT373" s="15"/>
      <c r="FAU373" s="15"/>
      <c r="FAV373" s="15"/>
      <c r="FAW373" s="15"/>
      <c r="FAX373" s="15"/>
      <c r="FAY373" s="15"/>
      <c r="FAZ373" s="10"/>
      <c r="FBA373" s="10"/>
      <c r="FBB373" s="21"/>
      <c r="FBC373" s="21"/>
      <c r="FBF373" s="21"/>
      <c r="FBG373" s="15"/>
      <c r="FBH373" s="15"/>
      <c r="FBI373" s="15"/>
      <c r="FBJ373" s="15"/>
      <c r="FBK373" s="15"/>
      <c r="FBL373" s="15"/>
      <c r="FBM373" s="15"/>
      <c r="FBN373" s="15"/>
      <c r="FBO373" s="15"/>
      <c r="FBP373" s="15"/>
      <c r="FBQ373" s="10"/>
      <c r="FBR373" s="10"/>
      <c r="FBS373" s="21"/>
      <c r="FBT373" s="21"/>
      <c r="FBW373" s="21"/>
      <c r="FBX373" s="15"/>
      <c r="FBY373" s="15"/>
      <c r="FBZ373" s="15"/>
      <c r="FCA373" s="15"/>
      <c r="FCB373" s="15"/>
      <c r="FCC373" s="15"/>
      <c r="FCD373" s="15"/>
      <c r="FCE373" s="15"/>
      <c r="FCF373" s="15"/>
      <c r="FCG373" s="15"/>
      <c r="FCH373" s="10"/>
      <c r="FCI373" s="10"/>
      <c r="FCJ373" s="21"/>
      <c r="FCK373" s="21"/>
      <c r="FCN373" s="21"/>
      <c r="FCO373" s="15"/>
      <c r="FCP373" s="15"/>
      <c r="FCQ373" s="15"/>
      <c r="FCR373" s="15"/>
      <c r="FCS373" s="15"/>
      <c r="FCT373" s="15"/>
      <c r="FCU373" s="15"/>
      <c r="FCV373" s="15"/>
      <c r="FCW373" s="15"/>
      <c r="FCX373" s="15"/>
      <c r="FCY373" s="10"/>
      <c r="FCZ373" s="10"/>
      <c r="FDA373" s="21"/>
      <c r="FDB373" s="21"/>
      <c r="FDE373" s="21"/>
      <c r="FDF373" s="15"/>
      <c r="FDG373" s="15"/>
      <c r="FDH373" s="15"/>
      <c r="FDI373" s="15"/>
      <c r="FDJ373" s="15"/>
      <c r="FDK373" s="15"/>
      <c r="FDL373" s="15"/>
      <c r="FDM373" s="15"/>
      <c r="FDN373" s="15"/>
      <c r="FDO373" s="15"/>
      <c r="FDP373" s="10"/>
      <c r="FDQ373" s="10"/>
      <c r="FDR373" s="21"/>
      <c r="FDS373" s="21"/>
      <c r="FDV373" s="21"/>
      <c r="FDW373" s="15"/>
      <c r="FDX373" s="15"/>
      <c r="FDY373" s="15"/>
      <c r="FDZ373" s="15"/>
      <c r="FEA373" s="15"/>
      <c r="FEB373" s="15"/>
      <c r="FEC373" s="15"/>
      <c r="FED373" s="15"/>
      <c r="FEE373" s="15"/>
      <c r="FEF373" s="15"/>
      <c r="FEG373" s="10"/>
      <c r="FEH373" s="10"/>
      <c r="FEI373" s="21"/>
      <c r="FEJ373" s="21"/>
      <c r="FEM373" s="21"/>
      <c r="FEN373" s="15"/>
      <c r="FEO373" s="15"/>
      <c r="FEP373" s="15"/>
      <c r="FEQ373" s="15"/>
      <c r="FER373" s="15"/>
      <c r="FES373" s="15"/>
      <c r="FET373" s="15"/>
      <c r="FEU373" s="15"/>
      <c r="FEV373" s="15"/>
      <c r="FEW373" s="15"/>
      <c r="FEX373" s="10"/>
      <c r="FEY373" s="10"/>
      <c r="FEZ373" s="21"/>
      <c r="FFA373" s="21"/>
      <c r="FFD373" s="21"/>
      <c r="FFE373" s="15"/>
      <c r="FFF373" s="15"/>
      <c r="FFG373" s="15"/>
      <c r="FFH373" s="15"/>
      <c r="FFI373" s="15"/>
      <c r="FFJ373" s="15"/>
      <c r="FFK373" s="15"/>
      <c r="FFL373" s="15"/>
      <c r="FFM373" s="15"/>
      <c r="FFN373" s="15"/>
      <c r="FFO373" s="10"/>
      <c r="FFP373" s="10"/>
      <c r="FFQ373" s="21"/>
      <c r="FFR373" s="21"/>
      <c r="FFU373" s="21"/>
      <c r="FFV373" s="15"/>
      <c r="FFW373" s="15"/>
      <c r="FFX373" s="15"/>
      <c r="FFY373" s="15"/>
      <c r="FFZ373" s="15"/>
      <c r="FGA373" s="15"/>
      <c r="FGB373" s="15"/>
      <c r="FGC373" s="15"/>
      <c r="FGD373" s="15"/>
      <c r="FGE373" s="15"/>
      <c r="FGF373" s="10"/>
      <c r="FGG373" s="10"/>
      <c r="FGH373" s="21"/>
      <c r="FGI373" s="21"/>
      <c r="FGL373" s="21"/>
      <c r="FGM373" s="15"/>
      <c r="FGN373" s="15"/>
      <c r="FGO373" s="15"/>
      <c r="FGP373" s="15"/>
      <c r="FGQ373" s="15"/>
      <c r="FGR373" s="15"/>
      <c r="FGS373" s="15"/>
      <c r="FGT373" s="15"/>
      <c r="FGU373" s="15"/>
      <c r="FGV373" s="15"/>
      <c r="FGW373" s="10"/>
      <c r="FGX373" s="10"/>
      <c r="FGY373" s="21"/>
      <c r="FGZ373" s="21"/>
      <c r="FHC373" s="21"/>
      <c r="FHD373" s="15"/>
      <c r="FHE373" s="15"/>
      <c r="FHF373" s="15"/>
      <c r="FHG373" s="15"/>
      <c r="FHH373" s="15"/>
      <c r="FHI373" s="15"/>
      <c r="FHJ373" s="15"/>
      <c r="FHK373" s="15"/>
      <c r="FHL373" s="15"/>
      <c r="FHM373" s="15"/>
      <c r="FHN373" s="10"/>
      <c r="FHO373" s="10"/>
      <c r="FHP373" s="21"/>
      <c r="FHQ373" s="21"/>
      <c r="FHT373" s="21"/>
      <c r="FHU373" s="15"/>
      <c r="FHV373" s="15"/>
      <c r="FHW373" s="15"/>
      <c r="FHX373" s="15"/>
      <c r="FHY373" s="15"/>
      <c r="FHZ373" s="15"/>
      <c r="FIA373" s="15"/>
      <c r="FIB373" s="15"/>
      <c r="FIC373" s="15"/>
      <c r="FID373" s="15"/>
      <c r="FIE373" s="10"/>
      <c r="FIF373" s="10"/>
      <c r="FIG373" s="21"/>
      <c r="FIH373" s="21"/>
      <c r="FIK373" s="21"/>
      <c r="FIL373" s="15"/>
      <c r="FIM373" s="15"/>
      <c r="FIN373" s="15"/>
      <c r="FIO373" s="15"/>
      <c r="FIP373" s="15"/>
      <c r="FIQ373" s="15"/>
      <c r="FIR373" s="15"/>
      <c r="FIS373" s="15"/>
      <c r="FIT373" s="15"/>
      <c r="FIU373" s="15"/>
      <c r="FIV373" s="10"/>
      <c r="FIW373" s="10"/>
      <c r="FIX373" s="21"/>
      <c r="FIY373" s="21"/>
      <c r="FJB373" s="21"/>
      <c r="FJC373" s="15"/>
      <c r="FJD373" s="15"/>
      <c r="FJE373" s="15"/>
      <c r="FJF373" s="15"/>
      <c r="FJG373" s="15"/>
      <c r="FJH373" s="15"/>
      <c r="FJI373" s="15"/>
      <c r="FJJ373" s="15"/>
      <c r="FJK373" s="15"/>
      <c r="FJL373" s="15"/>
      <c r="FJM373" s="10"/>
      <c r="FJN373" s="10"/>
      <c r="FJO373" s="21"/>
      <c r="FJP373" s="21"/>
      <c r="FJS373" s="21"/>
      <c r="FJT373" s="15"/>
      <c r="FJU373" s="15"/>
      <c r="FJV373" s="15"/>
      <c r="FJW373" s="15"/>
      <c r="FJX373" s="15"/>
      <c r="FJY373" s="15"/>
      <c r="FJZ373" s="15"/>
      <c r="FKA373" s="15"/>
      <c r="FKB373" s="15"/>
      <c r="FKC373" s="15"/>
      <c r="FKD373" s="10"/>
      <c r="FKE373" s="10"/>
      <c r="FKF373" s="21"/>
      <c r="FKG373" s="21"/>
      <c r="FKJ373" s="21"/>
      <c r="FKK373" s="15"/>
      <c r="FKL373" s="15"/>
      <c r="FKM373" s="15"/>
      <c r="FKN373" s="15"/>
      <c r="FKO373" s="15"/>
      <c r="FKP373" s="15"/>
      <c r="FKQ373" s="15"/>
      <c r="FKR373" s="15"/>
      <c r="FKS373" s="15"/>
      <c r="FKT373" s="15"/>
      <c r="FKU373" s="10"/>
      <c r="FKV373" s="10"/>
      <c r="FKW373" s="21"/>
      <c r="FKX373" s="21"/>
      <c r="FLA373" s="21"/>
      <c r="FLB373" s="15"/>
      <c r="FLC373" s="15"/>
      <c r="FLD373" s="15"/>
      <c r="FLE373" s="15"/>
      <c r="FLF373" s="15"/>
      <c r="FLG373" s="15"/>
      <c r="FLH373" s="15"/>
      <c r="FLI373" s="15"/>
      <c r="FLJ373" s="15"/>
      <c r="FLK373" s="15"/>
      <c r="FLL373" s="10"/>
      <c r="FLM373" s="10"/>
      <c r="FLN373" s="21"/>
      <c r="FLO373" s="21"/>
      <c r="FLR373" s="21"/>
      <c r="FLS373" s="15"/>
      <c r="FLT373" s="15"/>
      <c r="FLU373" s="15"/>
      <c r="FLV373" s="15"/>
      <c r="FLW373" s="15"/>
      <c r="FLX373" s="15"/>
      <c r="FLY373" s="15"/>
      <c r="FLZ373" s="15"/>
      <c r="FMA373" s="15"/>
      <c r="FMB373" s="15"/>
      <c r="FMC373" s="10"/>
      <c r="FMD373" s="10"/>
      <c r="FME373" s="21"/>
      <c r="FMF373" s="21"/>
      <c r="FMI373" s="21"/>
      <c r="FMJ373" s="15"/>
      <c r="FMK373" s="15"/>
      <c r="FML373" s="15"/>
      <c r="FMM373" s="15"/>
      <c r="FMN373" s="15"/>
      <c r="FMO373" s="15"/>
      <c r="FMP373" s="15"/>
      <c r="FMQ373" s="15"/>
      <c r="FMR373" s="15"/>
      <c r="FMS373" s="15"/>
      <c r="FMT373" s="10"/>
      <c r="FMU373" s="10"/>
      <c r="FMV373" s="21"/>
      <c r="FMW373" s="21"/>
      <c r="FMZ373" s="21"/>
      <c r="FNA373" s="15"/>
      <c r="FNB373" s="15"/>
      <c r="FNC373" s="15"/>
      <c r="FND373" s="15"/>
      <c r="FNE373" s="15"/>
      <c r="FNF373" s="15"/>
      <c r="FNG373" s="15"/>
      <c r="FNH373" s="15"/>
      <c r="FNI373" s="15"/>
      <c r="FNJ373" s="15"/>
      <c r="FNK373" s="10"/>
      <c r="FNL373" s="10"/>
      <c r="FNM373" s="21"/>
      <c r="FNN373" s="21"/>
      <c r="FNQ373" s="21"/>
      <c r="FNR373" s="15"/>
      <c r="FNS373" s="15"/>
      <c r="FNT373" s="15"/>
      <c r="FNU373" s="15"/>
      <c r="FNV373" s="15"/>
      <c r="FNW373" s="15"/>
      <c r="FNX373" s="15"/>
      <c r="FNY373" s="15"/>
      <c r="FNZ373" s="15"/>
      <c r="FOA373" s="15"/>
      <c r="FOB373" s="10"/>
      <c r="FOC373" s="10"/>
      <c r="FOD373" s="21"/>
      <c r="FOE373" s="21"/>
      <c r="FOH373" s="21"/>
      <c r="FOI373" s="15"/>
      <c r="FOJ373" s="15"/>
      <c r="FOK373" s="15"/>
      <c r="FOL373" s="15"/>
      <c r="FOM373" s="15"/>
      <c r="FON373" s="15"/>
      <c r="FOO373" s="15"/>
      <c r="FOP373" s="15"/>
      <c r="FOQ373" s="15"/>
      <c r="FOR373" s="15"/>
      <c r="FOS373" s="10"/>
      <c r="FOT373" s="10"/>
      <c r="FOU373" s="21"/>
      <c r="FOV373" s="21"/>
      <c r="FOY373" s="21"/>
      <c r="FOZ373" s="15"/>
      <c r="FPA373" s="15"/>
      <c r="FPB373" s="15"/>
      <c r="FPC373" s="15"/>
      <c r="FPD373" s="15"/>
      <c r="FPE373" s="15"/>
      <c r="FPF373" s="15"/>
      <c r="FPG373" s="15"/>
      <c r="FPH373" s="15"/>
      <c r="FPI373" s="15"/>
      <c r="FPJ373" s="10"/>
      <c r="FPK373" s="10"/>
      <c r="FPL373" s="21"/>
      <c r="FPM373" s="21"/>
      <c r="FPP373" s="21"/>
      <c r="FPQ373" s="15"/>
      <c r="FPR373" s="15"/>
      <c r="FPS373" s="15"/>
      <c r="FPT373" s="15"/>
      <c r="FPU373" s="15"/>
      <c r="FPV373" s="15"/>
      <c r="FPW373" s="15"/>
      <c r="FPX373" s="15"/>
      <c r="FPY373" s="15"/>
      <c r="FPZ373" s="15"/>
      <c r="FQA373" s="10"/>
      <c r="FQB373" s="10"/>
      <c r="FQC373" s="21"/>
      <c r="FQD373" s="21"/>
      <c r="FQG373" s="21"/>
      <c r="FQH373" s="15"/>
      <c r="FQI373" s="15"/>
      <c r="FQJ373" s="15"/>
      <c r="FQK373" s="15"/>
      <c r="FQL373" s="15"/>
      <c r="FQM373" s="15"/>
      <c r="FQN373" s="15"/>
      <c r="FQO373" s="15"/>
      <c r="FQP373" s="15"/>
      <c r="FQQ373" s="15"/>
      <c r="FQR373" s="10"/>
      <c r="FQS373" s="10"/>
      <c r="FQT373" s="21"/>
      <c r="FQU373" s="21"/>
      <c r="FQX373" s="21"/>
      <c r="FQY373" s="15"/>
      <c r="FQZ373" s="15"/>
      <c r="FRA373" s="15"/>
      <c r="FRB373" s="15"/>
      <c r="FRC373" s="15"/>
      <c r="FRD373" s="15"/>
      <c r="FRE373" s="15"/>
      <c r="FRF373" s="15"/>
      <c r="FRG373" s="15"/>
      <c r="FRH373" s="15"/>
      <c r="FRI373" s="10"/>
      <c r="FRJ373" s="10"/>
      <c r="FRK373" s="21"/>
      <c r="FRL373" s="21"/>
      <c r="FRO373" s="21"/>
      <c r="FRP373" s="15"/>
      <c r="FRQ373" s="15"/>
      <c r="FRR373" s="15"/>
      <c r="FRS373" s="15"/>
      <c r="FRT373" s="15"/>
      <c r="FRU373" s="15"/>
      <c r="FRV373" s="15"/>
      <c r="FRW373" s="15"/>
      <c r="FRX373" s="15"/>
      <c r="FRY373" s="15"/>
      <c r="FRZ373" s="10"/>
      <c r="FSA373" s="10"/>
      <c r="FSB373" s="21"/>
      <c r="FSC373" s="21"/>
      <c r="FSF373" s="21"/>
      <c r="FSG373" s="15"/>
      <c r="FSH373" s="15"/>
      <c r="FSI373" s="15"/>
      <c r="FSJ373" s="15"/>
      <c r="FSK373" s="15"/>
      <c r="FSL373" s="15"/>
      <c r="FSM373" s="15"/>
      <c r="FSN373" s="15"/>
      <c r="FSO373" s="15"/>
      <c r="FSP373" s="15"/>
      <c r="FSQ373" s="10"/>
      <c r="FSR373" s="10"/>
      <c r="FSS373" s="21"/>
      <c r="FST373" s="21"/>
      <c r="FSW373" s="21"/>
      <c r="FSX373" s="15"/>
      <c r="FSY373" s="15"/>
      <c r="FSZ373" s="15"/>
      <c r="FTA373" s="15"/>
      <c r="FTB373" s="15"/>
      <c r="FTC373" s="15"/>
      <c r="FTD373" s="15"/>
      <c r="FTE373" s="15"/>
      <c r="FTF373" s="15"/>
      <c r="FTG373" s="15"/>
      <c r="FTH373" s="10"/>
      <c r="FTI373" s="10"/>
      <c r="FTJ373" s="21"/>
      <c r="FTK373" s="21"/>
      <c r="FTN373" s="21"/>
      <c r="FTO373" s="15"/>
      <c r="FTP373" s="15"/>
      <c r="FTQ373" s="15"/>
      <c r="FTR373" s="15"/>
      <c r="FTS373" s="15"/>
      <c r="FTT373" s="15"/>
      <c r="FTU373" s="15"/>
      <c r="FTV373" s="15"/>
      <c r="FTW373" s="15"/>
      <c r="FTX373" s="15"/>
      <c r="FTY373" s="10"/>
      <c r="FTZ373" s="10"/>
      <c r="FUA373" s="21"/>
      <c r="FUB373" s="21"/>
      <c r="FUE373" s="21"/>
      <c r="FUF373" s="15"/>
      <c r="FUG373" s="15"/>
      <c r="FUH373" s="15"/>
      <c r="FUI373" s="15"/>
      <c r="FUJ373" s="15"/>
      <c r="FUK373" s="15"/>
      <c r="FUL373" s="15"/>
      <c r="FUM373" s="15"/>
      <c r="FUN373" s="15"/>
      <c r="FUO373" s="15"/>
      <c r="FUP373" s="10"/>
      <c r="FUQ373" s="10"/>
      <c r="FUR373" s="21"/>
      <c r="FUS373" s="21"/>
      <c r="FUV373" s="21"/>
      <c r="FUW373" s="15"/>
      <c r="FUX373" s="15"/>
      <c r="FUY373" s="15"/>
      <c r="FUZ373" s="15"/>
      <c r="FVA373" s="15"/>
      <c r="FVB373" s="15"/>
      <c r="FVC373" s="15"/>
      <c r="FVD373" s="15"/>
      <c r="FVE373" s="15"/>
      <c r="FVF373" s="15"/>
      <c r="FVG373" s="10"/>
      <c r="FVH373" s="10"/>
      <c r="FVI373" s="21"/>
      <c r="FVJ373" s="21"/>
      <c r="FVM373" s="21"/>
      <c r="FVN373" s="15"/>
      <c r="FVO373" s="15"/>
      <c r="FVP373" s="15"/>
      <c r="FVQ373" s="15"/>
      <c r="FVR373" s="15"/>
      <c r="FVS373" s="15"/>
      <c r="FVT373" s="15"/>
      <c r="FVU373" s="15"/>
      <c r="FVV373" s="15"/>
      <c r="FVW373" s="15"/>
      <c r="FVX373" s="10"/>
      <c r="FVY373" s="10"/>
      <c r="FVZ373" s="21"/>
      <c r="FWA373" s="21"/>
      <c r="FWD373" s="21"/>
      <c r="FWE373" s="15"/>
      <c r="FWF373" s="15"/>
      <c r="FWG373" s="15"/>
      <c r="FWH373" s="15"/>
      <c r="FWI373" s="15"/>
      <c r="FWJ373" s="15"/>
      <c r="FWK373" s="15"/>
      <c r="FWL373" s="15"/>
      <c r="FWM373" s="15"/>
      <c r="FWN373" s="15"/>
      <c r="FWO373" s="10"/>
      <c r="FWP373" s="10"/>
      <c r="FWQ373" s="21"/>
      <c r="FWR373" s="21"/>
      <c r="FWU373" s="21"/>
      <c r="FWV373" s="15"/>
      <c r="FWW373" s="15"/>
      <c r="FWX373" s="15"/>
      <c r="FWY373" s="15"/>
      <c r="FWZ373" s="15"/>
      <c r="FXA373" s="15"/>
      <c r="FXB373" s="15"/>
      <c r="FXC373" s="15"/>
      <c r="FXD373" s="15"/>
      <c r="FXE373" s="15"/>
      <c r="FXF373" s="10"/>
      <c r="FXG373" s="10"/>
      <c r="FXH373" s="21"/>
      <c r="FXI373" s="21"/>
      <c r="FXL373" s="21"/>
      <c r="FXM373" s="15"/>
      <c r="FXN373" s="15"/>
      <c r="FXO373" s="15"/>
      <c r="FXP373" s="15"/>
      <c r="FXQ373" s="15"/>
      <c r="FXR373" s="15"/>
      <c r="FXS373" s="15"/>
      <c r="FXT373" s="15"/>
      <c r="FXU373" s="15"/>
      <c r="FXV373" s="15"/>
      <c r="FXW373" s="10"/>
      <c r="FXX373" s="10"/>
      <c r="FXY373" s="21"/>
      <c r="FXZ373" s="21"/>
      <c r="FYC373" s="21"/>
      <c r="FYD373" s="15"/>
      <c r="FYE373" s="15"/>
      <c r="FYF373" s="15"/>
      <c r="FYG373" s="15"/>
      <c r="FYH373" s="15"/>
      <c r="FYI373" s="15"/>
      <c r="FYJ373" s="15"/>
      <c r="FYK373" s="15"/>
      <c r="FYL373" s="15"/>
      <c r="FYM373" s="15"/>
      <c r="FYN373" s="10"/>
      <c r="FYO373" s="10"/>
      <c r="FYP373" s="21"/>
      <c r="FYQ373" s="21"/>
      <c r="FYT373" s="21"/>
      <c r="FYU373" s="15"/>
      <c r="FYV373" s="15"/>
      <c r="FYW373" s="15"/>
      <c r="FYX373" s="15"/>
      <c r="FYY373" s="15"/>
      <c r="FYZ373" s="15"/>
      <c r="FZA373" s="15"/>
      <c r="FZB373" s="15"/>
      <c r="FZC373" s="15"/>
      <c r="FZD373" s="15"/>
      <c r="FZE373" s="10"/>
      <c r="FZF373" s="10"/>
      <c r="FZG373" s="21"/>
      <c r="FZH373" s="21"/>
      <c r="FZK373" s="21"/>
      <c r="FZL373" s="15"/>
      <c r="FZM373" s="15"/>
      <c r="FZN373" s="15"/>
      <c r="FZO373" s="15"/>
      <c r="FZP373" s="15"/>
      <c r="FZQ373" s="15"/>
      <c r="FZR373" s="15"/>
      <c r="FZS373" s="15"/>
      <c r="FZT373" s="15"/>
      <c r="FZU373" s="15"/>
      <c r="FZV373" s="10"/>
      <c r="FZW373" s="10"/>
      <c r="FZX373" s="21"/>
      <c r="FZY373" s="21"/>
      <c r="GAB373" s="21"/>
      <c r="GAC373" s="15"/>
      <c r="GAD373" s="15"/>
      <c r="GAE373" s="15"/>
      <c r="GAF373" s="15"/>
      <c r="GAG373" s="15"/>
      <c r="GAH373" s="15"/>
      <c r="GAI373" s="15"/>
      <c r="GAJ373" s="15"/>
      <c r="GAK373" s="15"/>
      <c r="GAL373" s="15"/>
      <c r="GAM373" s="10"/>
      <c r="GAN373" s="10"/>
      <c r="GAO373" s="21"/>
      <c r="GAP373" s="21"/>
      <c r="GAS373" s="21"/>
      <c r="GAT373" s="15"/>
      <c r="GAU373" s="15"/>
      <c r="GAV373" s="15"/>
      <c r="GAW373" s="15"/>
      <c r="GAX373" s="15"/>
      <c r="GAY373" s="15"/>
      <c r="GAZ373" s="15"/>
      <c r="GBA373" s="15"/>
      <c r="GBB373" s="15"/>
      <c r="GBC373" s="15"/>
      <c r="GBD373" s="10"/>
      <c r="GBE373" s="10"/>
      <c r="GBF373" s="21"/>
      <c r="GBG373" s="21"/>
      <c r="GBJ373" s="21"/>
      <c r="GBK373" s="15"/>
      <c r="GBL373" s="15"/>
      <c r="GBM373" s="15"/>
      <c r="GBN373" s="15"/>
      <c r="GBO373" s="15"/>
      <c r="GBP373" s="15"/>
      <c r="GBQ373" s="15"/>
      <c r="GBR373" s="15"/>
      <c r="GBS373" s="15"/>
      <c r="GBT373" s="15"/>
      <c r="GBU373" s="10"/>
      <c r="GBV373" s="10"/>
      <c r="GBW373" s="21"/>
      <c r="GBX373" s="21"/>
      <c r="GCA373" s="21"/>
      <c r="GCB373" s="15"/>
      <c r="GCC373" s="15"/>
      <c r="GCD373" s="15"/>
      <c r="GCE373" s="15"/>
      <c r="GCF373" s="15"/>
      <c r="GCG373" s="15"/>
      <c r="GCH373" s="15"/>
      <c r="GCI373" s="15"/>
      <c r="GCJ373" s="15"/>
      <c r="GCK373" s="15"/>
      <c r="GCL373" s="10"/>
      <c r="GCM373" s="10"/>
      <c r="GCN373" s="21"/>
      <c r="GCO373" s="21"/>
      <c r="GCR373" s="21"/>
      <c r="GCS373" s="15"/>
      <c r="GCT373" s="15"/>
      <c r="GCU373" s="15"/>
      <c r="GCV373" s="15"/>
      <c r="GCW373" s="15"/>
      <c r="GCX373" s="15"/>
      <c r="GCY373" s="15"/>
      <c r="GCZ373" s="15"/>
      <c r="GDA373" s="15"/>
      <c r="GDB373" s="15"/>
      <c r="GDC373" s="10"/>
      <c r="GDD373" s="10"/>
      <c r="GDE373" s="21"/>
      <c r="GDF373" s="21"/>
      <c r="GDI373" s="21"/>
      <c r="GDJ373" s="15"/>
      <c r="GDK373" s="15"/>
      <c r="GDL373" s="15"/>
      <c r="GDM373" s="15"/>
      <c r="GDN373" s="15"/>
      <c r="GDO373" s="15"/>
      <c r="GDP373" s="15"/>
      <c r="GDQ373" s="15"/>
      <c r="GDR373" s="15"/>
      <c r="GDS373" s="15"/>
      <c r="GDT373" s="10"/>
      <c r="GDU373" s="10"/>
      <c r="GDV373" s="21"/>
      <c r="GDW373" s="21"/>
      <c r="GDZ373" s="21"/>
      <c r="GEA373" s="15"/>
      <c r="GEB373" s="15"/>
      <c r="GEC373" s="15"/>
      <c r="GED373" s="15"/>
      <c r="GEE373" s="15"/>
      <c r="GEF373" s="15"/>
      <c r="GEG373" s="15"/>
      <c r="GEH373" s="15"/>
      <c r="GEI373" s="15"/>
      <c r="GEJ373" s="15"/>
      <c r="GEK373" s="10"/>
      <c r="GEL373" s="10"/>
      <c r="GEM373" s="21"/>
      <c r="GEN373" s="21"/>
      <c r="GEQ373" s="21"/>
      <c r="GER373" s="15"/>
      <c r="GES373" s="15"/>
      <c r="GET373" s="15"/>
      <c r="GEU373" s="15"/>
      <c r="GEV373" s="15"/>
      <c r="GEW373" s="15"/>
      <c r="GEX373" s="15"/>
      <c r="GEY373" s="15"/>
      <c r="GEZ373" s="15"/>
      <c r="GFA373" s="15"/>
      <c r="GFB373" s="10"/>
      <c r="GFC373" s="10"/>
      <c r="GFD373" s="21"/>
      <c r="GFE373" s="21"/>
      <c r="GFH373" s="21"/>
      <c r="GFI373" s="15"/>
      <c r="GFJ373" s="15"/>
      <c r="GFK373" s="15"/>
      <c r="GFL373" s="15"/>
      <c r="GFM373" s="15"/>
      <c r="GFN373" s="15"/>
      <c r="GFO373" s="15"/>
      <c r="GFP373" s="15"/>
      <c r="GFQ373" s="15"/>
      <c r="GFR373" s="15"/>
      <c r="GFS373" s="10"/>
      <c r="GFT373" s="10"/>
      <c r="GFU373" s="21"/>
      <c r="GFV373" s="21"/>
      <c r="GFY373" s="21"/>
      <c r="GFZ373" s="15"/>
      <c r="GGA373" s="15"/>
      <c r="GGB373" s="15"/>
      <c r="GGC373" s="15"/>
      <c r="GGD373" s="15"/>
      <c r="GGE373" s="15"/>
      <c r="GGF373" s="15"/>
      <c r="GGG373" s="15"/>
      <c r="GGH373" s="15"/>
      <c r="GGI373" s="15"/>
      <c r="GGJ373" s="10"/>
      <c r="GGK373" s="10"/>
      <c r="GGL373" s="21"/>
      <c r="GGM373" s="21"/>
      <c r="GGP373" s="21"/>
      <c r="GGQ373" s="15"/>
      <c r="GGR373" s="15"/>
      <c r="GGS373" s="15"/>
      <c r="GGT373" s="15"/>
      <c r="GGU373" s="15"/>
      <c r="GGV373" s="15"/>
      <c r="GGW373" s="15"/>
      <c r="GGX373" s="15"/>
      <c r="GGY373" s="15"/>
      <c r="GGZ373" s="15"/>
      <c r="GHA373" s="10"/>
      <c r="GHB373" s="10"/>
      <c r="GHC373" s="21"/>
      <c r="GHD373" s="21"/>
      <c r="GHG373" s="21"/>
      <c r="GHH373" s="15"/>
      <c r="GHI373" s="15"/>
      <c r="GHJ373" s="15"/>
      <c r="GHK373" s="15"/>
      <c r="GHL373" s="15"/>
      <c r="GHM373" s="15"/>
      <c r="GHN373" s="15"/>
      <c r="GHO373" s="15"/>
      <c r="GHP373" s="15"/>
      <c r="GHQ373" s="15"/>
      <c r="GHR373" s="10"/>
      <c r="GHS373" s="10"/>
      <c r="GHT373" s="21"/>
      <c r="GHU373" s="21"/>
      <c r="GHX373" s="21"/>
      <c r="GHY373" s="15"/>
      <c r="GHZ373" s="15"/>
      <c r="GIA373" s="15"/>
      <c r="GIB373" s="15"/>
      <c r="GIC373" s="15"/>
      <c r="GID373" s="15"/>
      <c r="GIE373" s="15"/>
      <c r="GIF373" s="15"/>
      <c r="GIG373" s="15"/>
      <c r="GIH373" s="15"/>
      <c r="GII373" s="10"/>
      <c r="GIJ373" s="10"/>
      <c r="GIK373" s="21"/>
      <c r="GIL373" s="21"/>
      <c r="GIO373" s="21"/>
      <c r="GIP373" s="15"/>
      <c r="GIQ373" s="15"/>
      <c r="GIR373" s="15"/>
      <c r="GIS373" s="15"/>
      <c r="GIT373" s="15"/>
      <c r="GIU373" s="15"/>
      <c r="GIV373" s="15"/>
      <c r="GIW373" s="15"/>
      <c r="GIX373" s="15"/>
      <c r="GIY373" s="15"/>
      <c r="GIZ373" s="10"/>
      <c r="GJA373" s="10"/>
      <c r="GJB373" s="21"/>
      <c r="GJC373" s="21"/>
      <c r="GJF373" s="21"/>
      <c r="GJG373" s="15"/>
      <c r="GJH373" s="15"/>
      <c r="GJI373" s="15"/>
      <c r="GJJ373" s="15"/>
      <c r="GJK373" s="15"/>
      <c r="GJL373" s="15"/>
      <c r="GJM373" s="15"/>
      <c r="GJN373" s="15"/>
      <c r="GJO373" s="15"/>
      <c r="GJP373" s="15"/>
      <c r="GJQ373" s="10"/>
      <c r="GJR373" s="10"/>
      <c r="GJS373" s="21"/>
      <c r="GJT373" s="21"/>
      <c r="GJW373" s="21"/>
      <c r="GJX373" s="15"/>
      <c r="GJY373" s="15"/>
      <c r="GJZ373" s="15"/>
      <c r="GKA373" s="15"/>
      <c r="GKB373" s="15"/>
      <c r="GKC373" s="15"/>
      <c r="GKD373" s="15"/>
      <c r="GKE373" s="15"/>
      <c r="GKF373" s="15"/>
      <c r="GKG373" s="15"/>
      <c r="GKH373" s="10"/>
      <c r="GKI373" s="10"/>
      <c r="GKJ373" s="21"/>
      <c r="GKK373" s="21"/>
      <c r="GKN373" s="21"/>
      <c r="GKO373" s="15"/>
      <c r="GKP373" s="15"/>
      <c r="GKQ373" s="15"/>
      <c r="GKR373" s="15"/>
      <c r="GKS373" s="15"/>
      <c r="GKT373" s="15"/>
      <c r="GKU373" s="15"/>
      <c r="GKV373" s="15"/>
      <c r="GKW373" s="15"/>
      <c r="GKX373" s="15"/>
      <c r="GKY373" s="10"/>
      <c r="GKZ373" s="10"/>
      <c r="GLA373" s="21"/>
      <c r="GLB373" s="21"/>
      <c r="GLE373" s="21"/>
      <c r="GLF373" s="15"/>
      <c r="GLG373" s="15"/>
      <c r="GLH373" s="15"/>
      <c r="GLI373" s="15"/>
      <c r="GLJ373" s="15"/>
      <c r="GLK373" s="15"/>
      <c r="GLL373" s="15"/>
      <c r="GLM373" s="15"/>
      <c r="GLN373" s="15"/>
      <c r="GLO373" s="15"/>
      <c r="GLP373" s="10"/>
      <c r="GLQ373" s="10"/>
      <c r="GLR373" s="21"/>
      <c r="GLS373" s="21"/>
      <c r="GLV373" s="21"/>
      <c r="GLW373" s="15"/>
      <c r="GLX373" s="15"/>
      <c r="GLY373" s="15"/>
      <c r="GLZ373" s="15"/>
      <c r="GMA373" s="15"/>
      <c r="GMB373" s="15"/>
      <c r="GMC373" s="15"/>
      <c r="GMD373" s="15"/>
      <c r="GME373" s="15"/>
      <c r="GMF373" s="15"/>
      <c r="GMG373" s="10"/>
      <c r="GMH373" s="10"/>
      <c r="GMI373" s="21"/>
      <c r="GMJ373" s="21"/>
      <c r="GMM373" s="21"/>
      <c r="GMN373" s="15"/>
      <c r="GMO373" s="15"/>
      <c r="GMP373" s="15"/>
      <c r="GMQ373" s="15"/>
      <c r="GMR373" s="15"/>
      <c r="GMS373" s="15"/>
      <c r="GMT373" s="15"/>
      <c r="GMU373" s="15"/>
      <c r="GMV373" s="15"/>
      <c r="GMW373" s="15"/>
      <c r="GMX373" s="10"/>
      <c r="GMY373" s="10"/>
      <c r="GMZ373" s="21"/>
      <c r="GNA373" s="21"/>
      <c r="GND373" s="21"/>
      <c r="GNE373" s="15"/>
      <c r="GNF373" s="15"/>
      <c r="GNG373" s="15"/>
      <c r="GNH373" s="15"/>
      <c r="GNI373" s="15"/>
      <c r="GNJ373" s="15"/>
      <c r="GNK373" s="15"/>
      <c r="GNL373" s="15"/>
      <c r="GNM373" s="15"/>
      <c r="GNN373" s="15"/>
      <c r="GNO373" s="10"/>
      <c r="GNP373" s="10"/>
      <c r="GNQ373" s="21"/>
      <c r="GNR373" s="21"/>
      <c r="GNU373" s="21"/>
      <c r="GNV373" s="15"/>
      <c r="GNW373" s="15"/>
      <c r="GNX373" s="15"/>
      <c r="GNY373" s="15"/>
      <c r="GNZ373" s="15"/>
      <c r="GOA373" s="15"/>
      <c r="GOB373" s="15"/>
      <c r="GOC373" s="15"/>
      <c r="GOD373" s="15"/>
      <c r="GOE373" s="15"/>
      <c r="GOF373" s="10"/>
      <c r="GOG373" s="10"/>
      <c r="GOH373" s="21"/>
      <c r="GOI373" s="21"/>
      <c r="GOL373" s="21"/>
      <c r="GOM373" s="15"/>
      <c r="GON373" s="15"/>
      <c r="GOO373" s="15"/>
      <c r="GOP373" s="15"/>
      <c r="GOQ373" s="15"/>
      <c r="GOR373" s="15"/>
      <c r="GOS373" s="15"/>
      <c r="GOT373" s="15"/>
      <c r="GOU373" s="15"/>
      <c r="GOV373" s="15"/>
      <c r="GOW373" s="10"/>
      <c r="GOX373" s="10"/>
      <c r="GOY373" s="21"/>
      <c r="GOZ373" s="21"/>
      <c r="GPC373" s="21"/>
      <c r="GPD373" s="15"/>
      <c r="GPE373" s="15"/>
      <c r="GPF373" s="15"/>
      <c r="GPG373" s="15"/>
      <c r="GPH373" s="15"/>
      <c r="GPI373" s="15"/>
      <c r="GPJ373" s="15"/>
      <c r="GPK373" s="15"/>
      <c r="GPL373" s="15"/>
      <c r="GPM373" s="15"/>
      <c r="GPN373" s="10"/>
      <c r="GPO373" s="10"/>
      <c r="GPP373" s="21"/>
      <c r="GPQ373" s="21"/>
      <c r="GPT373" s="21"/>
      <c r="GPU373" s="15"/>
      <c r="GPV373" s="15"/>
      <c r="GPW373" s="15"/>
      <c r="GPX373" s="15"/>
      <c r="GPY373" s="15"/>
      <c r="GPZ373" s="15"/>
      <c r="GQA373" s="15"/>
      <c r="GQB373" s="15"/>
      <c r="GQC373" s="15"/>
      <c r="GQD373" s="15"/>
      <c r="GQE373" s="10"/>
      <c r="GQF373" s="10"/>
      <c r="GQG373" s="21"/>
      <c r="GQH373" s="21"/>
      <c r="GQK373" s="21"/>
      <c r="GQL373" s="15"/>
      <c r="GQM373" s="15"/>
      <c r="GQN373" s="15"/>
      <c r="GQO373" s="15"/>
      <c r="GQP373" s="15"/>
      <c r="GQQ373" s="15"/>
      <c r="GQR373" s="15"/>
      <c r="GQS373" s="15"/>
      <c r="GQT373" s="15"/>
      <c r="GQU373" s="15"/>
      <c r="GQV373" s="10"/>
      <c r="GQW373" s="10"/>
      <c r="GQX373" s="21"/>
      <c r="GQY373" s="21"/>
      <c r="GRB373" s="21"/>
      <c r="GRC373" s="15"/>
      <c r="GRD373" s="15"/>
      <c r="GRE373" s="15"/>
      <c r="GRF373" s="15"/>
      <c r="GRG373" s="15"/>
      <c r="GRH373" s="15"/>
      <c r="GRI373" s="15"/>
      <c r="GRJ373" s="15"/>
      <c r="GRK373" s="15"/>
      <c r="GRL373" s="15"/>
      <c r="GRM373" s="10"/>
      <c r="GRN373" s="10"/>
      <c r="GRO373" s="21"/>
      <c r="GRP373" s="21"/>
      <c r="GRS373" s="21"/>
      <c r="GRT373" s="15"/>
      <c r="GRU373" s="15"/>
      <c r="GRV373" s="15"/>
      <c r="GRW373" s="15"/>
      <c r="GRX373" s="15"/>
      <c r="GRY373" s="15"/>
      <c r="GRZ373" s="15"/>
      <c r="GSA373" s="15"/>
      <c r="GSB373" s="15"/>
      <c r="GSC373" s="15"/>
      <c r="GSD373" s="10"/>
      <c r="GSE373" s="10"/>
      <c r="GSF373" s="21"/>
      <c r="GSG373" s="21"/>
      <c r="GSJ373" s="21"/>
      <c r="GSK373" s="15"/>
      <c r="GSL373" s="15"/>
      <c r="GSM373" s="15"/>
      <c r="GSN373" s="15"/>
      <c r="GSO373" s="15"/>
      <c r="GSP373" s="15"/>
      <c r="GSQ373" s="15"/>
      <c r="GSR373" s="15"/>
      <c r="GSS373" s="15"/>
      <c r="GST373" s="15"/>
      <c r="GSU373" s="10"/>
      <c r="GSV373" s="10"/>
      <c r="GSW373" s="21"/>
      <c r="GSX373" s="21"/>
      <c r="GTA373" s="21"/>
      <c r="GTB373" s="15"/>
      <c r="GTC373" s="15"/>
      <c r="GTD373" s="15"/>
      <c r="GTE373" s="15"/>
      <c r="GTF373" s="15"/>
      <c r="GTG373" s="15"/>
      <c r="GTH373" s="15"/>
      <c r="GTI373" s="15"/>
      <c r="GTJ373" s="15"/>
      <c r="GTK373" s="15"/>
      <c r="GTL373" s="10"/>
      <c r="GTM373" s="10"/>
      <c r="GTN373" s="21"/>
      <c r="GTO373" s="21"/>
      <c r="GTR373" s="21"/>
      <c r="GTS373" s="15"/>
      <c r="GTT373" s="15"/>
      <c r="GTU373" s="15"/>
      <c r="GTV373" s="15"/>
      <c r="GTW373" s="15"/>
      <c r="GTX373" s="15"/>
      <c r="GTY373" s="15"/>
      <c r="GTZ373" s="15"/>
      <c r="GUA373" s="15"/>
      <c r="GUB373" s="15"/>
      <c r="GUC373" s="10"/>
      <c r="GUD373" s="10"/>
      <c r="GUE373" s="21"/>
      <c r="GUF373" s="21"/>
      <c r="GUI373" s="21"/>
      <c r="GUJ373" s="15"/>
      <c r="GUK373" s="15"/>
      <c r="GUL373" s="15"/>
      <c r="GUM373" s="15"/>
      <c r="GUN373" s="15"/>
      <c r="GUO373" s="15"/>
      <c r="GUP373" s="15"/>
      <c r="GUQ373" s="15"/>
      <c r="GUR373" s="15"/>
      <c r="GUS373" s="15"/>
      <c r="GUT373" s="10"/>
      <c r="GUU373" s="10"/>
      <c r="GUV373" s="21"/>
      <c r="GUW373" s="21"/>
      <c r="GUZ373" s="21"/>
      <c r="GVA373" s="15"/>
      <c r="GVB373" s="15"/>
      <c r="GVC373" s="15"/>
      <c r="GVD373" s="15"/>
      <c r="GVE373" s="15"/>
      <c r="GVF373" s="15"/>
      <c r="GVG373" s="15"/>
      <c r="GVH373" s="15"/>
      <c r="GVI373" s="15"/>
      <c r="GVJ373" s="15"/>
      <c r="GVK373" s="10"/>
      <c r="GVL373" s="10"/>
      <c r="GVM373" s="21"/>
      <c r="GVN373" s="21"/>
      <c r="GVQ373" s="21"/>
      <c r="GVR373" s="15"/>
      <c r="GVS373" s="15"/>
      <c r="GVT373" s="15"/>
      <c r="GVU373" s="15"/>
      <c r="GVV373" s="15"/>
      <c r="GVW373" s="15"/>
      <c r="GVX373" s="15"/>
      <c r="GVY373" s="15"/>
      <c r="GVZ373" s="15"/>
      <c r="GWA373" s="15"/>
      <c r="GWB373" s="10"/>
      <c r="GWC373" s="10"/>
      <c r="GWD373" s="21"/>
      <c r="GWE373" s="21"/>
      <c r="GWH373" s="21"/>
      <c r="GWI373" s="15"/>
      <c r="GWJ373" s="15"/>
      <c r="GWK373" s="15"/>
      <c r="GWL373" s="15"/>
      <c r="GWM373" s="15"/>
      <c r="GWN373" s="15"/>
      <c r="GWO373" s="15"/>
      <c r="GWP373" s="15"/>
      <c r="GWQ373" s="15"/>
      <c r="GWR373" s="15"/>
      <c r="GWS373" s="10"/>
      <c r="GWT373" s="10"/>
      <c r="GWU373" s="21"/>
      <c r="GWV373" s="21"/>
      <c r="GWY373" s="21"/>
      <c r="GWZ373" s="15"/>
      <c r="GXA373" s="15"/>
      <c r="GXB373" s="15"/>
      <c r="GXC373" s="15"/>
      <c r="GXD373" s="15"/>
      <c r="GXE373" s="15"/>
      <c r="GXF373" s="15"/>
      <c r="GXG373" s="15"/>
      <c r="GXH373" s="15"/>
      <c r="GXI373" s="15"/>
      <c r="GXJ373" s="10"/>
      <c r="GXK373" s="10"/>
      <c r="GXL373" s="21"/>
      <c r="GXM373" s="21"/>
      <c r="GXP373" s="21"/>
      <c r="GXQ373" s="15"/>
      <c r="GXR373" s="15"/>
      <c r="GXS373" s="15"/>
      <c r="GXT373" s="15"/>
      <c r="GXU373" s="15"/>
      <c r="GXV373" s="15"/>
      <c r="GXW373" s="15"/>
      <c r="GXX373" s="15"/>
      <c r="GXY373" s="15"/>
      <c r="GXZ373" s="15"/>
      <c r="GYA373" s="10"/>
      <c r="GYB373" s="10"/>
      <c r="GYC373" s="21"/>
      <c r="GYD373" s="21"/>
      <c r="GYG373" s="21"/>
      <c r="GYH373" s="15"/>
      <c r="GYI373" s="15"/>
      <c r="GYJ373" s="15"/>
      <c r="GYK373" s="15"/>
      <c r="GYL373" s="15"/>
      <c r="GYM373" s="15"/>
      <c r="GYN373" s="15"/>
      <c r="GYO373" s="15"/>
      <c r="GYP373" s="15"/>
      <c r="GYQ373" s="15"/>
      <c r="GYR373" s="10"/>
      <c r="GYS373" s="10"/>
      <c r="GYT373" s="21"/>
      <c r="GYU373" s="21"/>
      <c r="GYX373" s="21"/>
      <c r="GYY373" s="15"/>
      <c r="GYZ373" s="15"/>
      <c r="GZA373" s="15"/>
      <c r="GZB373" s="15"/>
      <c r="GZC373" s="15"/>
      <c r="GZD373" s="15"/>
      <c r="GZE373" s="15"/>
      <c r="GZF373" s="15"/>
      <c r="GZG373" s="15"/>
      <c r="GZH373" s="15"/>
      <c r="GZI373" s="10"/>
      <c r="GZJ373" s="10"/>
      <c r="GZK373" s="21"/>
      <c r="GZL373" s="21"/>
      <c r="GZO373" s="21"/>
      <c r="GZP373" s="15"/>
      <c r="GZQ373" s="15"/>
      <c r="GZR373" s="15"/>
      <c r="GZS373" s="15"/>
      <c r="GZT373" s="15"/>
      <c r="GZU373" s="15"/>
      <c r="GZV373" s="15"/>
      <c r="GZW373" s="15"/>
      <c r="GZX373" s="15"/>
      <c r="GZY373" s="15"/>
      <c r="GZZ373" s="10"/>
      <c r="HAA373" s="10"/>
      <c r="HAB373" s="21"/>
      <c r="HAC373" s="21"/>
      <c r="HAF373" s="21"/>
      <c r="HAG373" s="15"/>
      <c r="HAH373" s="15"/>
      <c r="HAI373" s="15"/>
      <c r="HAJ373" s="15"/>
      <c r="HAK373" s="15"/>
      <c r="HAL373" s="15"/>
      <c r="HAM373" s="15"/>
      <c r="HAN373" s="15"/>
      <c r="HAO373" s="15"/>
      <c r="HAP373" s="15"/>
      <c r="HAQ373" s="10"/>
      <c r="HAR373" s="10"/>
      <c r="HAS373" s="21"/>
      <c r="HAT373" s="21"/>
      <c r="HAW373" s="21"/>
      <c r="HAX373" s="15"/>
      <c r="HAY373" s="15"/>
      <c r="HAZ373" s="15"/>
      <c r="HBA373" s="15"/>
      <c r="HBB373" s="15"/>
      <c r="HBC373" s="15"/>
      <c r="HBD373" s="15"/>
      <c r="HBE373" s="15"/>
      <c r="HBF373" s="15"/>
      <c r="HBG373" s="15"/>
      <c r="HBH373" s="10"/>
      <c r="HBI373" s="10"/>
      <c r="HBJ373" s="21"/>
      <c r="HBK373" s="21"/>
      <c r="HBN373" s="21"/>
      <c r="HBO373" s="15"/>
      <c r="HBP373" s="15"/>
      <c r="HBQ373" s="15"/>
      <c r="HBR373" s="15"/>
      <c r="HBS373" s="15"/>
      <c r="HBT373" s="15"/>
      <c r="HBU373" s="15"/>
      <c r="HBV373" s="15"/>
      <c r="HBW373" s="15"/>
      <c r="HBX373" s="15"/>
      <c r="HBY373" s="10"/>
      <c r="HBZ373" s="10"/>
      <c r="HCA373" s="21"/>
      <c r="HCB373" s="21"/>
      <c r="HCE373" s="21"/>
      <c r="HCF373" s="15"/>
      <c r="HCG373" s="15"/>
      <c r="HCH373" s="15"/>
      <c r="HCI373" s="15"/>
      <c r="HCJ373" s="15"/>
      <c r="HCK373" s="15"/>
      <c r="HCL373" s="15"/>
      <c r="HCM373" s="15"/>
      <c r="HCN373" s="15"/>
      <c r="HCO373" s="15"/>
      <c r="HCP373" s="10"/>
      <c r="HCQ373" s="10"/>
      <c r="HCR373" s="21"/>
      <c r="HCS373" s="21"/>
      <c r="HCV373" s="21"/>
      <c r="HCW373" s="15"/>
      <c r="HCX373" s="15"/>
      <c r="HCY373" s="15"/>
      <c r="HCZ373" s="15"/>
      <c r="HDA373" s="15"/>
      <c r="HDB373" s="15"/>
      <c r="HDC373" s="15"/>
      <c r="HDD373" s="15"/>
      <c r="HDE373" s="15"/>
      <c r="HDF373" s="15"/>
      <c r="HDG373" s="10"/>
      <c r="HDH373" s="10"/>
      <c r="HDI373" s="21"/>
      <c r="HDJ373" s="21"/>
      <c r="HDM373" s="21"/>
      <c r="HDN373" s="15"/>
      <c r="HDO373" s="15"/>
      <c r="HDP373" s="15"/>
      <c r="HDQ373" s="15"/>
      <c r="HDR373" s="15"/>
      <c r="HDS373" s="15"/>
      <c r="HDT373" s="15"/>
      <c r="HDU373" s="15"/>
      <c r="HDV373" s="15"/>
      <c r="HDW373" s="15"/>
      <c r="HDX373" s="10"/>
      <c r="HDY373" s="10"/>
      <c r="HDZ373" s="21"/>
      <c r="HEA373" s="21"/>
      <c r="HED373" s="21"/>
      <c r="HEE373" s="15"/>
      <c r="HEF373" s="15"/>
      <c r="HEG373" s="15"/>
      <c r="HEH373" s="15"/>
      <c r="HEI373" s="15"/>
      <c r="HEJ373" s="15"/>
      <c r="HEK373" s="15"/>
      <c r="HEL373" s="15"/>
      <c r="HEM373" s="15"/>
      <c r="HEN373" s="15"/>
      <c r="HEO373" s="10"/>
      <c r="HEP373" s="10"/>
      <c r="HEQ373" s="21"/>
      <c r="HER373" s="21"/>
      <c r="HEU373" s="21"/>
      <c r="HEV373" s="15"/>
      <c r="HEW373" s="15"/>
      <c r="HEX373" s="15"/>
      <c r="HEY373" s="15"/>
      <c r="HEZ373" s="15"/>
      <c r="HFA373" s="15"/>
      <c r="HFB373" s="15"/>
      <c r="HFC373" s="15"/>
      <c r="HFD373" s="15"/>
      <c r="HFE373" s="15"/>
      <c r="HFF373" s="10"/>
      <c r="HFG373" s="10"/>
      <c r="HFH373" s="21"/>
      <c r="HFI373" s="21"/>
      <c r="HFL373" s="21"/>
      <c r="HFM373" s="15"/>
      <c r="HFN373" s="15"/>
      <c r="HFO373" s="15"/>
      <c r="HFP373" s="15"/>
      <c r="HFQ373" s="15"/>
      <c r="HFR373" s="15"/>
      <c r="HFS373" s="15"/>
      <c r="HFT373" s="15"/>
      <c r="HFU373" s="15"/>
      <c r="HFV373" s="15"/>
      <c r="HFW373" s="10"/>
      <c r="HFX373" s="10"/>
      <c r="HFY373" s="21"/>
      <c r="HFZ373" s="21"/>
      <c r="HGC373" s="21"/>
      <c r="HGD373" s="15"/>
      <c r="HGE373" s="15"/>
      <c r="HGF373" s="15"/>
      <c r="HGG373" s="15"/>
      <c r="HGH373" s="15"/>
      <c r="HGI373" s="15"/>
      <c r="HGJ373" s="15"/>
      <c r="HGK373" s="15"/>
      <c r="HGL373" s="15"/>
      <c r="HGM373" s="15"/>
      <c r="HGN373" s="10"/>
      <c r="HGO373" s="10"/>
      <c r="HGP373" s="21"/>
      <c r="HGQ373" s="21"/>
      <c r="HGT373" s="21"/>
      <c r="HGU373" s="15"/>
      <c r="HGV373" s="15"/>
      <c r="HGW373" s="15"/>
      <c r="HGX373" s="15"/>
      <c r="HGY373" s="15"/>
      <c r="HGZ373" s="15"/>
      <c r="HHA373" s="15"/>
      <c r="HHB373" s="15"/>
      <c r="HHC373" s="15"/>
      <c r="HHD373" s="15"/>
      <c r="HHE373" s="10"/>
      <c r="HHF373" s="10"/>
      <c r="HHG373" s="21"/>
      <c r="HHH373" s="21"/>
      <c r="HHK373" s="21"/>
      <c r="HHL373" s="15"/>
      <c r="HHM373" s="15"/>
      <c r="HHN373" s="15"/>
      <c r="HHO373" s="15"/>
      <c r="HHP373" s="15"/>
      <c r="HHQ373" s="15"/>
      <c r="HHR373" s="15"/>
      <c r="HHS373" s="15"/>
      <c r="HHT373" s="15"/>
      <c r="HHU373" s="15"/>
      <c r="HHV373" s="10"/>
      <c r="HHW373" s="10"/>
      <c r="HHX373" s="21"/>
      <c r="HHY373" s="21"/>
      <c r="HIB373" s="21"/>
      <c r="HIC373" s="15"/>
      <c r="HID373" s="15"/>
      <c r="HIE373" s="15"/>
      <c r="HIF373" s="15"/>
      <c r="HIG373" s="15"/>
      <c r="HIH373" s="15"/>
      <c r="HII373" s="15"/>
      <c r="HIJ373" s="15"/>
      <c r="HIK373" s="15"/>
      <c r="HIL373" s="15"/>
      <c r="HIM373" s="10"/>
      <c r="HIN373" s="10"/>
      <c r="HIO373" s="21"/>
      <c r="HIP373" s="21"/>
      <c r="HIS373" s="21"/>
      <c r="HIT373" s="15"/>
      <c r="HIU373" s="15"/>
      <c r="HIV373" s="15"/>
      <c r="HIW373" s="15"/>
      <c r="HIX373" s="15"/>
      <c r="HIY373" s="15"/>
      <c r="HIZ373" s="15"/>
      <c r="HJA373" s="15"/>
      <c r="HJB373" s="15"/>
      <c r="HJC373" s="15"/>
      <c r="HJD373" s="10"/>
      <c r="HJE373" s="10"/>
      <c r="HJF373" s="21"/>
      <c r="HJG373" s="21"/>
      <c r="HJJ373" s="21"/>
      <c r="HJK373" s="15"/>
      <c r="HJL373" s="15"/>
      <c r="HJM373" s="15"/>
      <c r="HJN373" s="15"/>
      <c r="HJO373" s="15"/>
      <c r="HJP373" s="15"/>
      <c r="HJQ373" s="15"/>
      <c r="HJR373" s="15"/>
      <c r="HJS373" s="15"/>
      <c r="HJT373" s="15"/>
      <c r="HJU373" s="10"/>
      <c r="HJV373" s="10"/>
      <c r="HJW373" s="21"/>
      <c r="HJX373" s="21"/>
      <c r="HKA373" s="21"/>
      <c r="HKB373" s="15"/>
      <c r="HKC373" s="15"/>
      <c r="HKD373" s="15"/>
      <c r="HKE373" s="15"/>
      <c r="HKF373" s="15"/>
      <c r="HKG373" s="15"/>
      <c r="HKH373" s="15"/>
      <c r="HKI373" s="15"/>
      <c r="HKJ373" s="15"/>
      <c r="HKK373" s="15"/>
      <c r="HKL373" s="10"/>
      <c r="HKM373" s="10"/>
      <c r="HKN373" s="21"/>
      <c r="HKO373" s="21"/>
      <c r="HKR373" s="21"/>
      <c r="HKS373" s="15"/>
      <c r="HKT373" s="15"/>
      <c r="HKU373" s="15"/>
      <c r="HKV373" s="15"/>
      <c r="HKW373" s="15"/>
      <c r="HKX373" s="15"/>
      <c r="HKY373" s="15"/>
      <c r="HKZ373" s="15"/>
      <c r="HLA373" s="15"/>
      <c r="HLB373" s="15"/>
      <c r="HLC373" s="10"/>
      <c r="HLD373" s="10"/>
      <c r="HLE373" s="21"/>
      <c r="HLF373" s="21"/>
      <c r="HLI373" s="21"/>
      <c r="HLJ373" s="15"/>
      <c r="HLK373" s="15"/>
      <c r="HLL373" s="15"/>
      <c r="HLM373" s="15"/>
      <c r="HLN373" s="15"/>
      <c r="HLO373" s="15"/>
      <c r="HLP373" s="15"/>
      <c r="HLQ373" s="15"/>
      <c r="HLR373" s="15"/>
      <c r="HLS373" s="15"/>
      <c r="HLT373" s="10"/>
      <c r="HLU373" s="10"/>
      <c r="HLV373" s="21"/>
      <c r="HLW373" s="21"/>
      <c r="HLZ373" s="21"/>
      <c r="HMA373" s="15"/>
      <c r="HMB373" s="15"/>
      <c r="HMC373" s="15"/>
      <c r="HMD373" s="15"/>
      <c r="HME373" s="15"/>
      <c r="HMF373" s="15"/>
      <c r="HMG373" s="15"/>
      <c r="HMH373" s="15"/>
      <c r="HMI373" s="15"/>
      <c r="HMJ373" s="15"/>
      <c r="HMK373" s="10"/>
      <c r="HML373" s="10"/>
      <c r="HMM373" s="21"/>
      <c r="HMN373" s="21"/>
      <c r="HMQ373" s="21"/>
      <c r="HMR373" s="15"/>
      <c r="HMS373" s="15"/>
      <c r="HMT373" s="15"/>
      <c r="HMU373" s="15"/>
      <c r="HMV373" s="15"/>
      <c r="HMW373" s="15"/>
      <c r="HMX373" s="15"/>
      <c r="HMY373" s="15"/>
      <c r="HMZ373" s="15"/>
      <c r="HNA373" s="15"/>
      <c r="HNB373" s="10"/>
      <c r="HNC373" s="10"/>
      <c r="HND373" s="21"/>
      <c r="HNE373" s="21"/>
      <c r="HNH373" s="21"/>
      <c r="HNI373" s="15"/>
      <c r="HNJ373" s="15"/>
      <c r="HNK373" s="15"/>
      <c r="HNL373" s="15"/>
      <c r="HNM373" s="15"/>
      <c r="HNN373" s="15"/>
      <c r="HNO373" s="15"/>
      <c r="HNP373" s="15"/>
      <c r="HNQ373" s="15"/>
      <c r="HNR373" s="15"/>
      <c r="HNS373" s="10"/>
      <c r="HNT373" s="10"/>
      <c r="HNU373" s="21"/>
      <c r="HNV373" s="21"/>
      <c r="HNY373" s="21"/>
      <c r="HNZ373" s="15"/>
      <c r="HOA373" s="15"/>
      <c r="HOB373" s="15"/>
      <c r="HOC373" s="15"/>
      <c r="HOD373" s="15"/>
      <c r="HOE373" s="15"/>
      <c r="HOF373" s="15"/>
      <c r="HOG373" s="15"/>
      <c r="HOH373" s="15"/>
      <c r="HOI373" s="15"/>
      <c r="HOJ373" s="10"/>
      <c r="HOK373" s="10"/>
      <c r="HOL373" s="21"/>
      <c r="HOM373" s="21"/>
      <c r="HOP373" s="21"/>
      <c r="HOQ373" s="15"/>
      <c r="HOR373" s="15"/>
      <c r="HOS373" s="15"/>
      <c r="HOT373" s="15"/>
      <c r="HOU373" s="15"/>
      <c r="HOV373" s="15"/>
      <c r="HOW373" s="15"/>
      <c r="HOX373" s="15"/>
      <c r="HOY373" s="15"/>
      <c r="HOZ373" s="15"/>
      <c r="HPA373" s="10"/>
      <c r="HPB373" s="10"/>
      <c r="HPC373" s="21"/>
      <c r="HPD373" s="21"/>
      <c r="HPG373" s="21"/>
      <c r="HPH373" s="15"/>
      <c r="HPI373" s="15"/>
      <c r="HPJ373" s="15"/>
      <c r="HPK373" s="15"/>
      <c r="HPL373" s="15"/>
      <c r="HPM373" s="15"/>
      <c r="HPN373" s="15"/>
      <c r="HPO373" s="15"/>
      <c r="HPP373" s="15"/>
      <c r="HPQ373" s="15"/>
      <c r="HPR373" s="10"/>
      <c r="HPS373" s="10"/>
      <c r="HPT373" s="21"/>
      <c r="HPU373" s="21"/>
      <c r="HPX373" s="21"/>
      <c r="HPY373" s="15"/>
      <c r="HPZ373" s="15"/>
      <c r="HQA373" s="15"/>
      <c r="HQB373" s="15"/>
      <c r="HQC373" s="15"/>
      <c r="HQD373" s="15"/>
      <c r="HQE373" s="15"/>
      <c r="HQF373" s="15"/>
      <c r="HQG373" s="15"/>
      <c r="HQH373" s="15"/>
      <c r="HQI373" s="10"/>
      <c r="HQJ373" s="10"/>
      <c r="HQK373" s="21"/>
      <c r="HQL373" s="21"/>
      <c r="HQO373" s="21"/>
      <c r="HQP373" s="15"/>
      <c r="HQQ373" s="15"/>
      <c r="HQR373" s="15"/>
      <c r="HQS373" s="15"/>
      <c r="HQT373" s="15"/>
      <c r="HQU373" s="15"/>
      <c r="HQV373" s="15"/>
      <c r="HQW373" s="15"/>
      <c r="HQX373" s="15"/>
      <c r="HQY373" s="15"/>
      <c r="HQZ373" s="10"/>
      <c r="HRA373" s="10"/>
      <c r="HRB373" s="21"/>
      <c r="HRC373" s="21"/>
      <c r="HRF373" s="21"/>
      <c r="HRG373" s="15"/>
      <c r="HRH373" s="15"/>
      <c r="HRI373" s="15"/>
      <c r="HRJ373" s="15"/>
      <c r="HRK373" s="15"/>
      <c r="HRL373" s="15"/>
      <c r="HRM373" s="15"/>
      <c r="HRN373" s="15"/>
      <c r="HRO373" s="15"/>
      <c r="HRP373" s="15"/>
      <c r="HRQ373" s="10"/>
      <c r="HRR373" s="10"/>
      <c r="HRS373" s="21"/>
      <c r="HRT373" s="21"/>
      <c r="HRW373" s="21"/>
      <c r="HRX373" s="15"/>
      <c r="HRY373" s="15"/>
      <c r="HRZ373" s="15"/>
      <c r="HSA373" s="15"/>
      <c r="HSB373" s="15"/>
      <c r="HSC373" s="15"/>
      <c r="HSD373" s="15"/>
      <c r="HSE373" s="15"/>
      <c r="HSF373" s="15"/>
      <c r="HSG373" s="15"/>
      <c r="HSH373" s="10"/>
      <c r="HSI373" s="10"/>
      <c r="HSJ373" s="21"/>
      <c r="HSK373" s="21"/>
      <c r="HSN373" s="21"/>
      <c r="HSO373" s="15"/>
      <c r="HSP373" s="15"/>
      <c r="HSQ373" s="15"/>
      <c r="HSR373" s="15"/>
      <c r="HSS373" s="15"/>
      <c r="HST373" s="15"/>
      <c r="HSU373" s="15"/>
      <c r="HSV373" s="15"/>
      <c r="HSW373" s="15"/>
      <c r="HSX373" s="15"/>
      <c r="HSY373" s="10"/>
      <c r="HSZ373" s="10"/>
      <c r="HTA373" s="21"/>
      <c r="HTB373" s="21"/>
      <c r="HTE373" s="21"/>
      <c r="HTF373" s="15"/>
      <c r="HTG373" s="15"/>
      <c r="HTH373" s="15"/>
      <c r="HTI373" s="15"/>
      <c r="HTJ373" s="15"/>
      <c r="HTK373" s="15"/>
      <c r="HTL373" s="15"/>
      <c r="HTM373" s="15"/>
      <c r="HTN373" s="15"/>
      <c r="HTO373" s="15"/>
      <c r="HTP373" s="10"/>
      <c r="HTQ373" s="10"/>
      <c r="HTR373" s="21"/>
      <c r="HTS373" s="21"/>
      <c r="HTV373" s="21"/>
      <c r="HTW373" s="15"/>
      <c r="HTX373" s="15"/>
      <c r="HTY373" s="15"/>
      <c r="HTZ373" s="15"/>
      <c r="HUA373" s="15"/>
      <c r="HUB373" s="15"/>
      <c r="HUC373" s="15"/>
      <c r="HUD373" s="15"/>
      <c r="HUE373" s="15"/>
      <c r="HUF373" s="15"/>
      <c r="HUG373" s="10"/>
      <c r="HUH373" s="10"/>
      <c r="HUI373" s="21"/>
      <c r="HUJ373" s="21"/>
      <c r="HUM373" s="21"/>
      <c r="HUN373" s="15"/>
      <c r="HUO373" s="15"/>
      <c r="HUP373" s="15"/>
      <c r="HUQ373" s="15"/>
      <c r="HUR373" s="15"/>
      <c r="HUS373" s="15"/>
      <c r="HUT373" s="15"/>
      <c r="HUU373" s="15"/>
      <c r="HUV373" s="15"/>
      <c r="HUW373" s="15"/>
      <c r="HUX373" s="10"/>
      <c r="HUY373" s="10"/>
      <c r="HUZ373" s="21"/>
      <c r="HVA373" s="21"/>
      <c r="HVD373" s="21"/>
      <c r="HVE373" s="15"/>
      <c r="HVF373" s="15"/>
      <c r="HVG373" s="15"/>
      <c r="HVH373" s="15"/>
      <c r="HVI373" s="15"/>
      <c r="HVJ373" s="15"/>
      <c r="HVK373" s="15"/>
      <c r="HVL373" s="15"/>
      <c r="HVM373" s="15"/>
      <c r="HVN373" s="15"/>
      <c r="HVO373" s="10"/>
      <c r="HVP373" s="10"/>
      <c r="HVQ373" s="21"/>
      <c r="HVR373" s="21"/>
      <c r="HVU373" s="21"/>
      <c r="HVV373" s="15"/>
      <c r="HVW373" s="15"/>
      <c r="HVX373" s="15"/>
      <c r="HVY373" s="15"/>
      <c r="HVZ373" s="15"/>
      <c r="HWA373" s="15"/>
      <c r="HWB373" s="15"/>
      <c r="HWC373" s="15"/>
      <c r="HWD373" s="15"/>
      <c r="HWE373" s="15"/>
      <c r="HWF373" s="10"/>
      <c r="HWG373" s="10"/>
      <c r="HWH373" s="21"/>
      <c r="HWI373" s="21"/>
      <c r="HWL373" s="21"/>
      <c r="HWM373" s="15"/>
      <c r="HWN373" s="15"/>
      <c r="HWO373" s="15"/>
      <c r="HWP373" s="15"/>
      <c r="HWQ373" s="15"/>
      <c r="HWR373" s="15"/>
      <c r="HWS373" s="15"/>
      <c r="HWT373" s="15"/>
      <c r="HWU373" s="15"/>
      <c r="HWV373" s="15"/>
      <c r="HWW373" s="10"/>
      <c r="HWX373" s="10"/>
      <c r="HWY373" s="21"/>
      <c r="HWZ373" s="21"/>
      <c r="HXC373" s="21"/>
      <c r="HXD373" s="15"/>
      <c r="HXE373" s="15"/>
      <c r="HXF373" s="15"/>
      <c r="HXG373" s="15"/>
      <c r="HXH373" s="15"/>
      <c r="HXI373" s="15"/>
      <c r="HXJ373" s="15"/>
      <c r="HXK373" s="15"/>
      <c r="HXL373" s="15"/>
      <c r="HXM373" s="15"/>
      <c r="HXN373" s="10"/>
      <c r="HXO373" s="10"/>
      <c r="HXP373" s="21"/>
      <c r="HXQ373" s="21"/>
      <c r="HXT373" s="21"/>
      <c r="HXU373" s="15"/>
      <c r="HXV373" s="15"/>
      <c r="HXW373" s="15"/>
      <c r="HXX373" s="15"/>
      <c r="HXY373" s="15"/>
      <c r="HXZ373" s="15"/>
      <c r="HYA373" s="15"/>
      <c r="HYB373" s="15"/>
      <c r="HYC373" s="15"/>
      <c r="HYD373" s="15"/>
      <c r="HYE373" s="10"/>
      <c r="HYF373" s="10"/>
      <c r="HYG373" s="21"/>
      <c r="HYH373" s="21"/>
      <c r="HYK373" s="21"/>
      <c r="HYL373" s="15"/>
      <c r="HYM373" s="15"/>
      <c r="HYN373" s="15"/>
      <c r="HYO373" s="15"/>
      <c r="HYP373" s="15"/>
      <c r="HYQ373" s="15"/>
      <c r="HYR373" s="15"/>
      <c r="HYS373" s="15"/>
      <c r="HYT373" s="15"/>
      <c r="HYU373" s="15"/>
      <c r="HYV373" s="10"/>
      <c r="HYW373" s="10"/>
      <c r="HYX373" s="21"/>
      <c r="HYY373" s="21"/>
      <c r="HZB373" s="21"/>
      <c r="HZC373" s="15"/>
      <c r="HZD373" s="15"/>
      <c r="HZE373" s="15"/>
      <c r="HZF373" s="15"/>
      <c r="HZG373" s="15"/>
      <c r="HZH373" s="15"/>
      <c r="HZI373" s="15"/>
      <c r="HZJ373" s="15"/>
      <c r="HZK373" s="15"/>
      <c r="HZL373" s="15"/>
      <c r="HZM373" s="10"/>
      <c r="HZN373" s="10"/>
      <c r="HZO373" s="21"/>
      <c r="HZP373" s="21"/>
      <c r="HZS373" s="21"/>
      <c r="HZT373" s="15"/>
      <c r="HZU373" s="15"/>
      <c r="HZV373" s="15"/>
      <c r="HZW373" s="15"/>
      <c r="HZX373" s="15"/>
      <c r="HZY373" s="15"/>
      <c r="HZZ373" s="15"/>
      <c r="IAA373" s="15"/>
      <c r="IAB373" s="15"/>
      <c r="IAC373" s="15"/>
      <c r="IAD373" s="10"/>
      <c r="IAE373" s="10"/>
      <c r="IAF373" s="21"/>
      <c r="IAG373" s="21"/>
      <c r="IAJ373" s="21"/>
      <c r="IAK373" s="15"/>
      <c r="IAL373" s="15"/>
      <c r="IAM373" s="15"/>
      <c r="IAN373" s="15"/>
      <c r="IAO373" s="15"/>
      <c r="IAP373" s="15"/>
      <c r="IAQ373" s="15"/>
      <c r="IAR373" s="15"/>
      <c r="IAS373" s="15"/>
      <c r="IAT373" s="15"/>
      <c r="IAU373" s="10"/>
      <c r="IAV373" s="10"/>
      <c r="IAW373" s="21"/>
      <c r="IAX373" s="21"/>
      <c r="IBA373" s="21"/>
      <c r="IBB373" s="15"/>
      <c r="IBC373" s="15"/>
      <c r="IBD373" s="15"/>
      <c r="IBE373" s="15"/>
      <c r="IBF373" s="15"/>
      <c r="IBG373" s="15"/>
      <c r="IBH373" s="15"/>
      <c r="IBI373" s="15"/>
      <c r="IBJ373" s="15"/>
      <c r="IBK373" s="15"/>
      <c r="IBL373" s="10"/>
      <c r="IBM373" s="10"/>
      <c r="IBN373" s="21"/>
      <c r="IBO373" s="21"/>
      <c r="IBR373" s="21"/>
      <c r="IBS373" s="15"/>
      <c r="IBT373" s="15"/>
      <c r="IBU373" s="15"/>
      <c r="IBV373" s="15"/>
      <c r="IBW373" s="15"/>
      <c r="IBX373" s="15"/>
      <c r="IBY373" s="15"/>
      <c r="IBZ373" s="15"/>
      <c r="ICA373" s="15"/>
      <c r="ICB373" s="15"/>
      <c r="ICC373" s="10"/>
      <c r="ICD373" s="10"/>
      <c r="ICE373" s="21"/>
      <c r="ICF373" s="21"/>
      <c r="ICI373" s="21"/>
      <c r="ICJ373" s="15"/>
      <c r="ICK373" s="15"/>
      <c r="ICL373" s="15"/>
      <c r="ICM373" s="15"/>
      <c r="ICN373" s="15"/>
      <c r="ICO373" s="15"/>
      <c r="ICP373" s="15"/>
      <c r="ICQ373" s="15"/>
      <c r="ICR373" s="15"/>
      <c r="ICS373" s="15"/>
      <c r="ICT373" s="10"/>
      <c r="ICU373" s="10"/>
      <c r="ICV373" s="21"/>
      <c r="ICW373" s="21"/>
      <c r="ICZ373" s="21"/>
      <c r="IDA373" s="15"/>
      <c r="IDB373" s="15"/>
      <c r="IDC373" s="15"/>
      <c r="IDD373" s="15"/>
      <c r="IDE373" s="15"/>
      <c r="IDF373" s="15"/>
      <c r="IDG373" s="15"/>
      <c r="IDH373" s="15"/>
      <c r="IDI373" s="15"/>
      <c r="IDJ373" s="15"/>
      <c r="IDK373" s="10"/>
      <c r="IDL373" s="10"/>
      <c r="IDM373" s="21"/>
      <c r="IDN373" s="21"/>
      <c r="IDQ373" s="21"/>
      <c r="IDR373" s="15"/>
      <c r="IDS373" s="15"/>
      <c r="IDT373" s="15"/>
      <c r="IDU373" s="15"/>
      <c r="IDV373" s="15"/>
      <c r="IDW373" s="15"/>
      <c r="IDX373" s="15"/>
      <c r="IDY373" s="15"/>
      <c r="IDZ373" s="15"/>
      <c r="IEA373" s="15"/>
      <c r="IEB373" s="10"/>
      <c r="IEC373" s="10"/>
      <c r="IED373" s="21"/>
      <c r="IEE373" s="21"/>
      <c r="IEH373" s="21"/>
      <c r="IEI373" s="15"/>
      <c r="IEJ373" s="15"/>
      <c r="IEK373" s="15"/>
      <c r="IEL373" s="15"/>
      <c r="IEM373" s="15"/>
      <c r="IEN373" s="15"/>
      <c r="IEO373" s="15"/>
      <c r="IEP373" s="15"/>
      <c r="IEQ373" s="15"/>
      <c r="IER373" s="15"/>
      <c r="IES373" s="10"/>
      <c r="IET373" s="10"/>
      <c r="IEU373" s="21"/>
      <c r="IEV373" s="21"/>
      <c r="IEY373" s="21"/>
      <c r="IEZ373" s="15"/>
      <c r="IFA373" s="15"/>
      <c r="IFB373" s="15"/>
      <c r="IFC373" s="15"/>
      <c r="IFD373" s="15"/>
      <c r="IFE373" s="15"/>
      <c r="IFF373" s="15"/>
      <c r="IFG373" s="15"/>
      <c r="IFH373" s="15"/>
      <c r="IFI373" s="15"/>
      <c r="IFJ373" s="10"/>
      <c r="IFK373" s="10"/>
      <c r="IFL373" s="21"/>
      <c r="IFM373" s="21"/>
      <c r="IFP373" s="21"/>
      <c r="IFQ373" s="15"/>
      <c r="IFR373" s="15"/>
      <c r="IFS373" s="15"/>
      <c r="IFT373" s="15"/>
      <c r="IFU373" s="15"/>
      <c r="IFV373" s="15"/>
      <c r="IFW373" s="15"/>
      <c r="IFX373" s="15"/>
      <c r="IFY373" s="15"/>
      <c r="IFZ373" s="15"/>
      <c r="IGA373" s="10"/>
      <c r="IGB373" s="10"/>
      <c r="IGC373" s="21"/>
      <c r="IGD373" s="21"/>
      <c r="IGG373" s="21"/>
      <c r="IGH373" s="15"/>
      <c r="IGI373" s="15"/>
      <c r="IGJ373" s="15"/>
      <c r="IGK373" s="15"/>
      <c r="IGL373" s="15"/>
      <c r="IGM373" s="15"/>
      <c r="IGN373" s="15"/>
      <c r="IGO373" s="15"/>
      <c r="IGP373" s="15"/>
      <c r="IGQ373" s="15"/>
      <c r="IGR373" s="10"/>
      <c r="IGS373" s="10"/>
      <c r="IGT373" s="21"/>
      <c r="IGU373" s="21"/>
      <c r="IGX373" s="21"/>
      <c r="IGY373" s="15"/>
      <c r="IGZ373" s="15"/>
      <c r="IHA373" s="15"/>
      <c r="IHB373" s="15"/>
      <c r="IHC373" s="15"/>
      <c r="IHD373" s="15"/>
      <c r="IHE373" s="15"/>
      <c r="IHF373" s="15"/>
      <c r="IHG373" s="15"/>
      <c r="IHH373" s="15"/>
      <c r="IHI373" s="10"/>
      <c r="IHJ373" s="10"/>
      <c r="IHK373" s="21"/>
      <c r="IHL373" s="21"/>
      <c r="IHO373" s="21"/>
      <c r="IHP373" s="15"/>
      <c r="IHQ373" s="15"/>
      <c r="IHR373" s="15"/>
      <c r="IHS373" s="15"/>
      <c r="IHT373" s="15"/>
      <c r="IHU373" s="15"/>
      <c r="IHV373" s="15"/>
      <c r="IHW373" s="15"/>
      <c r="IHX373" s="15"/>
      <c r="IHY373" s="15"/>
      <c r="IHZ373" s="10"/>
      <c r="IIA373" s="10"/>
      <c r="IIB373" s="21"/>
      <c r="IIC373" s="21"/>
      <c r="IIF373" s="21"/>
      <c r="IIG373" s="15"/>
      <c r="IIH373" s="15"/>
      <c r="III373" s="15"/>
      <c r="IIJ373" s="15"/>
      <c r="IIK373" s="15"/>
      <c r="IIL373" s="15"/>
      <c r="IIM373" s="15"/>
      <c r="IIN373" s="15"/>
      <c r="IIO373" s="15"/>
      <c r="IIP373" s="15"/>
      <c r="IIQ373" s="10"/>
      <c r="IIR373" s="10"/>
      <c r="IIS373" s="21"/>
      <c r="IIT373" s="21"/>
      <c r="IIW373" s="21"/>
      <c r="IIX373" s="15"/>
      <c r="IIY373" s="15"/>
      <c r="IIZ373" s="15"/>
      <c r="IJA373" s="15"/>
      <c r="IJB373" s="15"/>
      <c r="IJC373" s="15"/>
      <c r="IJD373" s="15"/>
      <c r="IJE373" s="15"/>
      <c r="IJF373" s="15"/>
      <c r="IJG373" s="15"/>
      <c r="IJH373" s="10"/>
      <c r="IJI373" s="10"/>
      <c r="IJJ373" s="21"/>
      <c r="IJK373" s="21"/>
      <c r="IJN373" s="21"/>
      <c r="IJO373" s="15"/>
      <c r="IJP373" s="15"/>
      <c r="IJQ373" s="15"/>
      <c r="IJR373" s="15"/>
      <c r="IJS373" s="15"/>
      <c r="IJT373" s="15"/>
      <c r="IJU373" s="15"/>
      <c r="IJV373" s="15"/>
      <c r="IJW373" s="15"/>
      <c r="IJX373" s="15"/>
      <c r="IJY373" s="10"/>
      <c r="IJZ373" s="10"/>
      <c r="IKA373" s="21"/>
      <c r="IKB373" s="21"/>
      <c r="IKE373" s="21"/>
      <c r="IKF373" s="15"/>
      <c r="IKG373" s="15"/>
      <c r="IKH373" s="15"/>
      <c r="IKI373" s="15"/>
      <c r="IKJ373" s="15"/>
      <c r="IKK373" s="15"/>
      <c r="IKL373" s="15"/>
      <c r="IKM373" s="15"/>
      <c r="IKN373" s="15"/>
      <c r="IKO373" s="15"/>
      <c r="IKP373" s="10"/>
      <c r="IKQ373" s="10"/>
      <c r="IKR373" s="21"/>
      <c r="IKS373" s="21"/>
      <c r="IKV373" s="21"/>
      <c r="IKW373" s="15"/>
      <c r="IKX373" s="15"/>
      <c r="IKY373" s="15"/>
      <c r="IKZ373" s="15"/>
      <c r="ILA373" s="15"/>
      <c r="ILB373" s="15"/>
      <c r="ILC373" s="15"/>
      <c r="ILD373" s="15"/>
      <c r="ILE373" s="15"/>
      <c r="ILF373" s="15"/>
      <c r="ILG373" s="10"/>
      <c r="ILH373" s="10"/>
      <c r="ILI373" s="21"/>
      <c r="ILJ373" s="21"/>
      <c r="ILM373" s="21"/>
      <c r="ILN373" s="15"/>
      <c r="ILO373" s="15"/>
      <c r="ILP373" s="15"/>
      <c r="ILQ373" s="15"/>
      <c r="ILR373" s="15"/>
      <c r="ILS373" s="15"/>
      <c r="ILT373" s="15"/>
      <c r="ILU373" s="15"/>
      <c r="ILV373" s="15"/>
      <c r="ILW373" s="15"/>
      <c r="ILX373" s="10"/>
      <c r="ILY373" s="10"/>
      <c r="ILZ373" s="21"/>
      <c r="IMA373" s="21"/>
      <c r="IMD373" s="21"/>
      <c r="IME373" s="15"/>
      <c r="IMF373" s="15"/>
      <c r="IMG373" s="15"/>
      <c r="IMH373" s="15"/>
      <c r="IMI373" s="15"/>
      <c r="IMJ373" s="15"/>
      <c r="IMK373" s="15"/>
      <c r="IML373" s="15"/>
      <c r="IMM373" s="15"/>
      <c r="IMN373" s="15"/>
      <c r="IMO373" s="10"/>
      <c r="IMP373" s="10"/>
      <c r="IMQ373" s="21"/>
      <c r="IMR373" s="21"/>
      <c r="IMU373" s="21"/>
      <c r="IMV373" s="15"/>
      <c r="IMW373" s="15"/>
      <c r="IMX373" s="15"/>
      <c r="IMY373" s="15"/>
      <c r="IMZ373" s="15"/>
      <c r="INA373" s="15"/>
      <c r="INB373" s="15"/>
      <c r="INC373" s="15"/>
      <c r="IND373" s="15"/>
      <c r="INE373" s="15"/>
      <c r="INF373" s="10"/>
      <c r="ING373" s="10"/>
      <c r="INH373" s="21"/>
      <c r="INI373" s="21"/>
      <c r="INL373" s="21"/>
      <c r="INM373" s="15"/>
      <c r="INN373" s="15"/>
      <c r="INO373" s="15"/>
      <c r="INP373" s="15"/>
      <c r="INQ373" s="15"/>
      <c r="INR373" s="15"/>
      <c r="INS373" s="15"/>
      <c r="INT373" s="15"/>
      <c r="INU373" s="15"/>
      <c r="INV373" s="15"/>
      <c r="INW373" s="10"/>
      <c r="INX373" s="10"/>
      <c r="INY373" s="21"/>
      <c r="INZ373" s="21"/>
      <c r="IOC373" s="21"/>
      <c r="IOD373" s="15"/>
      <c r="IOE373" s="15"/>
      <c r="IOF373" s="15"/>
      <c r="IOG373" s="15"/>
      <c r="IOH373" s="15"/>
      <c r="IOI373" s="15"/>
      <c r="IOJ373" s="15"/>
      <c r="IOK373" s="15"/>
      <c r="IOL373" s="15"/>
      <c r="IOM373" s="15"/>
      <c r="ION373" s="10"/>
      <c r="IOO373" s="10"/>
      <c r="IOP373" s="21"/>
      <c r="IOQ373" s="21"/>
      <c r="IOT373" s="21"/>
      <c r="IOU373" s="15"/>
      <c r="IOV373" s="15"/>
      <c r="IOW373" s="15"/>
      <c r="IOX373" s="15"/>
      <c r="IOY373" s="15"/>
      <c r="IOZ373" s="15"/>
      <c r="IPA373" s="15"/>
      <c r="IPB373" s="15"/>
      <c r="IPC373" s="15"/>
      <c r="IPD373" s="15"/>
      <c r="IPE373" s="10"/>
      <c r="IPF373" s="10"/>
      <c r="IPG373" s="21"/>
      <c r="IPH373" s="21"/>
      <c r="IPK373" s="21"/>
      <c r="IPL373" s="15"/>
      <c r="IPM373" s="15"/>
      <c r="IPN373" s="15"/>
      <c r="IPO373" s="15"/>
      <c r="IPP373" s="15"/>
      <c r="IPQ373" s="15"/>
      <c r="IPR373" s="15"/>
      <c r="IPS373" s="15"/>
      <c r="IPT373" s="15"/>
      <c r="IPU373" s="15"/>
      <c r="IPV373" s="10"/>
      <c r="IPW373" s="10"/>
      <c r="IPX373" s="21"/>
      <c r="IPY373" s="21"/>
      <c r="IQB373" s="21"/>
      <c r="IQC373" s="15"/>
      <c r="IQD373" s="15"/>
      <c r="IQE373" s="15"/>
      <c r="IQF373" s="15"/>
      <c r="IQG373" s="15"/>
      <c r="IQH373" s="15"/>
      <c r="IQI373" s="15"/>
      <c r="IQJ373" s="15"/>
      <c r="IQK373" s="15"/>
      <c r="IQL373" s="15"/>
      <c r="IQM373" s="10"/>
      <c r="IQN373" s="10"/>
      <c r="IQO373" s="21"/>
      <c r="IQP373" s="21"/>
      <c r="IQS373" s="21"/>
      <c r="IQT373" s="15"/>
      <c r="IQU373" s="15"/>
      <c r="IQV373" s="15"/>
      <c r="IQW373" s="15"/>
      <c r="IQX373" s="15"/>
      <c r="IQY373" s="15"/>
      <c r="IQZ373" s="15"/>
      <c r="IRA373" s="15"/>
      <c r="IRB373" s="15"/>
      <c r="IRC373" s="15"/>
      <c r="IRD373" s="10"/>
      <c r="IRE373" s="10"/>
      <c r="IRF373" s="21"/>
      <c r="IRG373" s="21"/>
      <c r="IRJ373" s="21"/>
      <c r="IRK373" s="15"/>
      <c r="IRL373" s="15"/>
      <c r="IRM373" s="15"/>
      <c r="IRN373" s="15"/>
      <c r="IRO373" s="15"/>
      <c r="IRP373" s="15"/>
      <c r="IRQ373" s="15"/>
      <c r="IRR373" s="15"/>
      <c r="IRS373" s="15"/>
      <c r="IRT373" s="15"/>
      <c r="IRU373" s="10"/>
      <c r="IRV373" s="10"/>
      <c r="IRW373" s="21"/>
      <c r="IRX373" s="21"/>
      <c r="ISA373" s="21"/>
      <c r="ISB373" s="15"/>
      <c r="ISC373" s="15"/>
      <c r="ISD373" s="15"/>
      <c r="ISE373" s="15"/>
      <c r="ISF373" s="15"/>
      <c r="ISG373" s="15"/>
      <c r="ISH373" s="15"/>
      <c r="ISI373" s="15"/>
      <c r="ISJ373" s="15"/>
      <c r="ISK373" s="15"/>
      <c r="ISL373" s="10"/>
      <c r="ISM373" s="10"/>
      <c r="ISN373" s="21"/>
      <c r="ISO373" s="21"/>
      <c r="ISR373" s="21"/>
      <c r="ISS373" s="15"/>
      <c r="IST373" s="15"/>
      <c r="ISU373" s="15"/>
      <c r="ISV373" s="15"/>
      <c r="ISW373" s="15"/>
      <c r="ISX373" s="15"/>
      <c r="ISY373" s="15"/>
      <c r="ISZ373" s="15"/>
      <c r="ITA373" s="15"/>
      <c r="ITB373" s="15"/>
      <c r="ITC373" s="10"/>
      <c r="ITD373" s="10"/>
      <c r="ITE373" s="21"/>
      <c r="ITF373" s="21"/>
      <c r="ITI373" s="21"/>
      <c r="ITJ373" s="15"/>
      <c r="ITK373" s="15"/>
      <c r="ITL373" s="15"/>
      <c r="ITM373" s="15"/>
      <c r="ITN373" s="15"/>
      <c r="ITO373" s="15"/>
      <c r="ITP373" s="15"/>
      <c r="ITQ373" s="15"/>
      <c r="ITR373" s="15"/>
      <c r="ITS373" s="15"/>
      <c r="ITT373" s="10"/>
      <c r="ITU373" s="10"/>
      <c r="ITV373" s="21"/>
      <c r="ITW373" s="21"/>
      <c r="ITZ373" s="21"/>
      <c r="IUA373" s="15"/>
      <c r="IUB373" s="15"/>
      <c r="IUC373" s="15"/>
      <c r="IUD373" s="15"/>
      <c r="IUE373" s="15"/>
      <c r="IUF373" s="15"/>
      <c r="IUG373" s="15"/>
      <c r="IUH373" s="15"/>
      <c r="IUI373" s="15"/>
      <c r="IUJ373" s="15"/>
      <c r="IUK373" s="10"/>
      <c r="IUL373" s="10"/>
      <c r="IUM373" s="21"/>
      <c r="IUN373" s="21"/>
      <c r="IUQ373" s="21"/>
      <c r="IUR373" s="15"/>
      <c r="IUS373" s="15"/>
      <c r="IUT373" s="15"/>
      <c r="IUU373" s="15"/>
      <c r="IUV373" s="15"/>
      <c r="IUW373" s="15"/>
      <c r="IUX373" s="15"/>
      <c r="IUY373" s="15"/>
      <c r="IUZ373" s="15"/>
      <c r="IVA373" s="15"/>
      <c r="IVB373" s="10"/>
      <c r="IVC373" s="10"/>
      <c r="IVD373" s="21"/>
      <c r="IVE373" s="21"/>
      <c r="IVH373" s="21"/>
      <c r="IVI373" s="15"/>
      <c r="IVJ373" s="15"/>
      <c r="IVK373" s="15"/>
      <c r="IVL373" s="15"/>
      <c r="IVM373" s="15"/>
      <c r="IVN373" s="15"/>
      <c r="IVO373" s="15"/>
      <c r="IVP373" s="15"/>
      <c r="IVQ373" s="15"/>
      <c r="IVR373" s="15"/>
      <c r="IVS373" s="10"/>
      <c r="IVT373" s="10"/>
      <c r="IVU373" s="21"/>
      <c r="IVV373" s="21"/>
      <c r="IVY373" s="21"/>
      <c r="IVZ373" s="15"/>
      <c r="IWA373" s="15"/>
      <c r="IWB373" s="15"/>
      <c r="IWC373" s="15"/>
      <c r="IWD373" s="15"/>
      <c r="IWE373" s="15"/>
      <c r="IWF373" s="15"/>
      <c r="IWG373" s="15"/>
      <c r="IWH373" s="15"/>
      <c r="IWI373" s="15"/>
      <c r="IWJ373" s="10"/>
      <c r="IWK373" s="10"/>
      <c r="IWL373" s="21"/>
      <c r="IWM373" s="21"/>
      <c r="IWP373" s="21"/>
      <c r="IWQ373" s="15"/>
      <c r="IWR373" s="15"/>
      <c r="IWS373" s="15"/>
      <c r="IWT373" s="15"/>
      <c r="IWU373" s="15"/>
      <c r="IWV373" s="15"/>
      <c r="IWW373" s="15"/>
      <c r="IWX373" s="15"/>
      <c r="IWY373" s="15"/>
      <c r="IWZ373" s="15"/>
      <c r="IXA373" s="10"/>
      <c r="IXB373" s="10"/>
      <c r="IXC373" s="21"/>
      <c r="IXD373" s="21"/>
      <c r="IXG373" s="21"/>
      <c r="IXH373" s="15"/>
      <c r="IXI373" s="15"/>
      <c r="IXJ373" s="15"/>
      <c r="IXK373" s="15"/>
      <c r="IXL373" s="15"/>
      <c r="IXM373" s="15"/>
      <c r="IXN373" s="15"/>
      <c r="IXO373" s="15"/>
      <c r="IXP373" s="15"/>
      <c r="IXQ373" s="15"/>
      <c r="IXR373" s="10"/>
      <c r="IXS373" s="10"/>
      <c r="IXT373" s="21"/>
      <c r="IXU373" s="21"/>
      <c r="IXX373" s="21"/>
      <c r="IXY373" s="15"/>
      <c r="IXZ373" s="15"/>
      <c r="IYA373" s="15"/>
      <c r="IYB373" s="15"/>
      <c r="IYC373" s="15"/>
      <c r="IYD373" s="15"/>
      <c r="IYE373" s="15"/>
      <c r="IYF373" s="15"/>
      <c r="IYG373" s="15"/>
      <c r="IYH373" s="15"/>
      <c r="IYI373" s="10"/>
      <c r="IYJ373" s="10"/>
      <c r="IYK373" s="21"/>
      <c r="IYL373" s="21"/>
      <c r="IYO373" s="21"/>
      <c r="IYP373" s="15"/>
      <c r="IYQ373" s="15"/>
      <c r="IYR373" s="15"/>
      <c r="IYS373" s="15"/>
      <c r="IYT373" s="15"/>
      <c r="IYU373" s="15"/>
      <c r="IYV373" s="15"/>
      <c r="IYW373" s="15"/>
      <c r="IYX373" s="15"/>
      <c r="IYY373" s="15"/>
      <c r="IYZ373" s="10"/>
      <c r="IZA373" s="10"/>
      <c r="IZB373" s="21"/>
      <c r="IZC373" s="21"/>
      <c r="IZF373" s="21"/>
      <c r="IZG373" s="15"/>
      <c r="IZH373" s="15"/>
      <c r="IZI373" s="15"/>
      <c r="IZJ373" s="15"/>
      <c r="IZK373" s="15"/>
      <c r="IZL373" s="15"/>
      <c r="IZM373" s="15"/>
      <c r="IZN373" s="15"/>
      <c r="IZO373" s="15"/>
      <c r="IZP373" s="15"/>
      <c r="IZQ373" s="10"/>
      <c r="IZR373" s="10"/>
      <c r="IZS373" s="21"/>
      <c r="IZT373" s="21"/>
      <c r="IZW373" s="21"/>
      <c r="IZX373" s="15"/>
      <c r="IZY373" s="15"/>
      <c r="IZZ373" s="15"/>
      <c r="JAA373" s="15"/>
      <c r="JAB373" s="15"/>
      <c r="JAC373" s="15"/>
      <c r="JAD373" s="15"/>
      <c r="JAE373" s="15"/>
      <c r="JAF373" s="15"/>
      <c r="JAG373" s="15"/>
      <c r="JAH373" s="10"/>
      <c r="JAI373" s="10"/>
      <c r="JAJ373" s="21"/>
      <c r="JAK373" s="21"/>
      <c r="JAN373" s="21"/>
      <c r="JAO373" s="15"/>
      <c r="JAP373" s="15"/>
      <c r="JAQ373" s="15"/>
      <c r="JAR373" s="15"/>
      <c r="JAS373" s="15"/>
      <c r="JAT373" s="15"/>
      <c r="JAU373" s="15"/>
      <c r="JAV373" s="15"/>
      <c r="JAW373" s="15"/>
      <c r="JAX373" s="15"/>
      <c r="JAY373" s="10"/>
      <c r="JAZ373" s="10"/>
      <c r="JBA373" s="21"/>
      <c r="JBB373" s="21"/>
      <c r="JBE373" s="21"/>
      <c r="JBF373" s="15"/>
      <c r="JBG373" s="15"/>
      <c r="JBH373" s="15"/>
      <c r="JBI373" s="15"/>
      <c r="JBJ373" s="15"/>
      <c r="JBK373" s="15"/>
      <c r="JBL373" s="15"/>
      <c r="JBM373" s="15"/>
      <c r="JBN373" s="15"/>
      <c r="JBO373" s="15"/>
      <c r="JBP373" s="10"/>
      <c r="JBQ373" s="10"/>
      <c r="JBR373" s="21"/>
      <c r="JBS373" s="21"/>
      <c r="JBV373" s="21"/>
      <c r="JBW373" s="15"/>
      <c r="JBX373" s="15"/>
      <c r="JBY373" s="15"/>
      <c r="JBZ373" s="15"/>
      <c r="JCA373" s="15"/>
      <c r="JCB373" s="15"/>
      <c r="JCC373" s="15"/>
      <c r="JCD373" s="15"/>
      <c r="JCE373" s="15"/>
      <c r="JCF373" s="15"/>
      <c r="JCG373" s="10"/>
      <c r="JCH373" s="10"/>
      <c r="JCI373" s="21"/>
      <c r="JCJ373" s="21"/>
      <c r="JCM373" s="21"/>
      <c r="JCN373" s="15"/>
      <c r="JCO373" s="15"/>
      <c r="JCP373" s="15"/>
      <c r="JCQ373" s="15"/>
      <c r="JCR373" s="15"/>
      <c r="JCS373" s="15"/>
      <c r="JCT373" s="15"/>
      <c r="JCU373" s="15"/>
      <c r="JCV373" s="15"/>
      <c r="JCW373" s="15"/>
      <c r="JCX373" s="10"/>
      <c r="JCY373" s="10"/>
      <c r="JCZ373" s="21"/>
      <c r="JDA373" s="21"/>
      <c r="JDD373" s="21"/>
      <c r="JDE373" s="15"/>
      <c r="JDF373" s="15"/>
      <c r="JDG373" s="15"/>
      <c r="JDH373" s="15"/>
      <c r="JDI373" s="15"/>
      <c r="JDJ373" s="15"/>
      <c r="JDK373" s="15"/>
      <c r="JDL373" s="15"/>
      <c r="JDM373" s="15"/>
      <c r="JDN373" s="15"/>
      <c r="JDO373" s="10"/>
      <c r="JDP373" s="10"/>
      <c r="JDQ373" s="21"/>
      <c r="JDR373" s="21"/>
      <c r="JDU373" s="21"/>
      <c r="JDV373" s="15"/>
      <c r="JDW373" s="15"/>
      <c r="JDX373" s="15"/>
      <c r="JDY373" s="15"/>
      <c r="JDZ373" s="15"/>
      <c r="JEA373" s="15"/>
      <c r="JEB373" s="15"/>
      <c r="JEC373" s="15"/>
      <c r="JED373" s="15"/>
      <c r="JEE373" s="15"/>
      <c r="JEF373" s="10"/>
      <c r="JEG373" s="10"/>
      <c r="JEH373" s="21"/>
      <c r="JEI373" s="21"/>
      <c r="JEL373" s="21"/>
      <c r="JEM373" s="15"/>
      <c r="JEN373" s="15"/>
      <c r="JEO373" s="15"/>
      <c r="JEP373" s="15"/>
      <c r="JEQ373" s="15"/>
      <c r="JER373" s="15"/>
      <c r="JES373" s="15"/>
      <c r="JET373" s="15"/>
      <c r="JEU373" s="15"/>
      <c r="JEV373" s="15"/>
      <c r="JEW373" s="10"/>
      <c r="JEX373" s="10"/>
      <c r="JEY373" s="21"/>
      <c r="JEZ373" s="21"/>
      <c r="JFC373" s="21"/>
      <c r="JFD373" s="15"/>
      <c r="JFE373" s="15"/>
      <c r="JFF373" s="15"/>
      <c r="JFG373" s="15"/>
      <c r="JFH373" s="15"/>
      <c r="JFI373" s="15"/>
      <c r="JFJ373" s="15"/>
      <c r="JFK373" s="15"/>
      <c r="JFL373" s="15"/>
      <c r="JFM373" s="15"/>
      <c r="JFN373" s="10"/>
      <c r="JFO373" s="10"/>
      <c r="JFP373" s="21"/>
      <c r="JFQ373" s="21"/>
      <c r="JFT373" s="21"/>
      <c r="JFU373" s="15"/>
      <c r="JFV373" s="15"/>
      <c r="JFW373" s="15"/>
      <c r="JFX373" s="15"/>
      <c r="JFY373" s="15"/>
      <c r="JFZ373" s="15"/>
      <c r="JGA373" s="15"/>
      <c r="JGB373" s="15"/>
      <c r="JGC373" s="15"/>
      <c r="JGD373" s="15"/>
      <c r="JGE373" s="10"/>
      <c r="JGF373" s="10"/>
      <c r="JGG373" s="21"/>
      <c r="JGH373" s="21"/>
      <c r="JGK373" s="21"/>
      <c r="JGL373" s="15"/>
      <c r="JGM373" s="15"/>
      <c r="JGN373" s="15"/>
      <c r="JGO373" s="15"/>
      <c r="JGP373" s="15"/>
      <c r="JGQ373" s="15"/>
      <c r="JGR373" s="15"/>
      <c r="JGS373" s="15"/>
      <c r="JGT373" s="15"/>
      <c r="JGU373" s="15"/>
      <c r="JGV373" s="10"/>
      <c r="JGW373" s="10"/>
      <c r="JGX373" s="21"/>
      <c r="JGY373" s="21"/>
      <c r="JHB373" s="21"/>
      <c r="JHC373" s="15"/>
      <c r="JHD373" s="15"/>
      <c r="JHE373" s="15"/>
      <c r="JHF373" s="15"/>
      <c r="JHG373" s="15"/>
      <c r="JHH373" s="15"/>
      <c r="JHI373" s="15"/>
      <c r="JHJ373" s="15"/>
      <c r="JHK373" s="15"/>
      <c r="JHL373" s="15"/>
      <c r="JHM373" s="10"/>
      <c r="JHN373" s="10"/>
      <c r="JHO373" s="21"/>
      <c r="JHP373" s="21"/>
      <c r="JHS373" s="21"/>
      <c r="JHT373" s="15"/>
      <c r="JHU373" s="15"/>
      <c r="JHV373" s="15"/>
      <c r="JHW373" s="15"/>
      <c r="JHX373" s="15"/>
      <c r="JHY373" s="15"/>
      <c r="JHZ373" s="15"/>
      <c r="JIA373" s="15"/>
      <c r="JIB373" s="15"/>
      <c r="JIC373" s="15"/>
      <c r="JID373" s="10"/>
      <c r="JIE373" s="10"/>
      <c r="JIF373" s="21"/>
      <c r="JIG373" s="21"/>
      <c r="JIJ373" s="21"/>
      <c r="JIK373" s="15"/>
      <c r="JIL373" s="15"/>
      <c r="JIM373" s="15"/>
      <c r="JIN373" s="15"/>
      <c r="JIO373" s="15"/>
      <c r="JIP373" s="15"/>
      <c r="JIQ373" s="15"/>
      <c r="JIR373" s="15"/>
      <c r="JIS373" s="15"/>
      <c r="JIT373" s="15"/>
      <c r="JIU373" s="10"/>
      <c r="JIV373" s="10"/>
      <c r="JIW373" s="21"/>
      <c r="JIX373" s="21"/>
      <c r="JJA373" s="21"/>
      <c r="JJB373" s="15"/>
      <c r="JJC373" s="15"/>
      <c r="JJD373" s="15"/>
      <c r="JJE373" s="15"/>
      <c r="JJF373" s="15"/>
      <c r="JJG373" s="15"/>
      <c r="JJH373" s="15"/>
      <c r="JJI373" s="15"/>
      <c r="JJJ373" s="15"/>
      <c r="JJK373" s="15"/>
      <c r="JJL373" s="10"/>
      <c r="JJM373" s="10"/>
      <c r="JJN373" s="21"/>
      <c r="JJO373" s="21"/>
      <c r="JJR373" s="21"/>
      <c r="JJS373" s="15"/>
      <c r="JJT373" s="15"/>
      <c r="JJU373" s="15"/>
      <c r="JJV373" s="15"/>
      <c r="JJW373" s="15"/>
      <c r="JJX373" s="15"/>
      <c r="JJY373" s="15"/>
      <c r="JJZ373" s="15"/>
      <c r="JKA373" s="15"/>
      <c r="JKB373" s="15"/>
      <c r="JKC373" s="10"/>
      <c r="JKD373" s="10"/>
      <c r="JKE373" s="21"/>
      <c r="JKF373" s="21"/>
      <c r="JKI373" s="21"/>
      <c r="JKJ373" s="15"/>
      <c r="JKK373" s="15"/>
      <c r="JKL373" s="15"/>
      <c r="JKM373" s="15"/>
      <c r="JKN373" s="15"/>
      <c r="JKO373" s="15"/>
      <c r="JKP373" s="15"/>
      <c r="JKQ373" s="15"/>
      <c r="JKR373" s="15"/>
      <c r="JKS373" s="15"/>
      <c r="JKT373" s="10"/>
      <c r="JKU373" s="10"/>
      <c r="JKV373" s="21"/>
      <c r="JKW373" s="21"/>
      <c r="JKZ373" s="21"/>
      <c r="JLA373" s="15"/>
      <c r="JLB373" s="15"/>
      <c r="JLC373" s="15"/>
      <c r="JLD373" s="15"/>
      <c r="JLE373" s="15"/>
      <c r="JLF373" s="15"/>
      <c r="JLG373" s="15"/>
      <c r="JLH373" s="15"/>
      <c r="JLI373" s="15"/>
      <c r="JLJ373" s="15"/>
      <c r="JLK373" s="10"/>
      <c r="JLL373" s="10"/>
      <c r="JLM373" s="21"/>
      <c r="JLN373" s="21"/>
      <c r="JLQ373" s="21"/>
      <c r="JLR373" s="15"/>
      <c r="JLS373" s="15"/>
      <c r="JLT373" s="15"/>
      <c r="JLU373" s="15"/>
      <c r="JLV373" s="15"/>
      <c r="JLW373" s="15"/>
      <c r="JLX373" s="15"/>
      <c r="JLY373" s="15"/>
      <c r="JLZ373" s="15"/>
      <c r="JMA373" s="15"/>
      <c r="JMB373" s="10"/>
      <c r="JMC373" s="10"/>
      <c r="JMD373" s="21"/>
      <c r="JME373" s="21"/>
      <c r="JMH373" s="21"/>
      <c r="JMI373" s="15"/>
      <c r="JMJ373" s="15"/>
      <c r="JMK373" s="15"/>
      <c r="JML373" s="15"/>
      <c r="JMM373" s="15"/>
      <c r="JMN373" s="15"/>
      <c r="JMO373" s="15"/>
      <c r="JMP373" s="15"/>
      <c r="JMQ373" s="15"/>
      <c r="JMR373" s="15"/>
      <c r="JMS373" s="10"/>
      <c r="JMT373" s="10"/>
      <c r="JMU373" s="21"/>
      <c r="JMV373" s="21"/>
      <c r="JMY373" s="21"/>
      <c r="JMZ373" s="15"/>
      <c r="JNA373" s="15"/>
      <c r="JNB373" s="15"/>
      <c r="JNC373" s="15"/>
      <c r="JND373" s="15"/>
      <c r="JNE373" s="15"/>
      <c r="JNF373" s="15"/>
      <c r="JNG373" s="15"/>
      <c r="JNH373" s="15"/>
      <c r="JNI373" s="15"/>
      <c r="JNJ373" s="10"/>
      <c r="JNK373" s="10"/>
      <c r="JNL373" s="21"/>
      <c r="JNM373" s="21"/>
      <c r="JNP373" s="21"/>
      <c r="JNQ373" s="15"/>
      <c r="JNR373" s="15"/>
      <c r="JNS373" s="15"/>
      <c r="JNT373" s="15"/>
      <c r="JNU373" s="15"/>
      <c r="JNV373" s="15"/>
      <c r="JNW373" s="15"/>
      <c r="JNX373" s="15"/>
      <c r="JNY373" s="15"/>
      <c r="JNZ373" s="15"/>
      <c r="JOA373" s="10"/>
      <c r="JOB373" s="10"/>
      <c r="JOC373" s="21"/>
      <c r="JOD373" s="21"/>
      <c r="JOG373" s="21"/>
      <c r="JOH373" s="15"/>
      <c r="JOI373" s="15"/>
      <c r="JOJ373" s="15"/>
      <c r="JOK373" s="15"/>
      <c r="JOL373" s="15"/>
      <c r="JOM373" s="15"/>
      <c r="JON373" s="15"/>
      <c r="JOO373" s="15"/>
      <c r="JOP373" s="15"/>
      <c r="JOQ373" s="15"/>
      <c r="JOR373" s="10"/>
      <c r="JOS373" s="10"/>
      <c r="JOT373" s="21"/>
      <c r="JOU373" s="21"/>
      <c r="JOX373" s="21"/>
      <c r="JOY373" s="15"/>
      <c r="JOZ373" s="15"/>
      <c r="JPA373" s="15"/>
      <c r="JPB373" s="15"/>
      <c r="JPC373" s="15"/>
      <c r="JPD373" s="15"/>
      <c r="JPE373" s="15"/>
      <c r="JPF373" s="15"/>
      <c r="JPG373" s="15"/>
      <c r="JPH373" s="15"/>
      <c r="JPI373" s="10"/>
      <c r="JPJ373" s="10"/>
      <c r="JPK373" s="21"/>
      <c r="JPL373" s="21"/>
      <c r="JPO373" s="21"/>
      <c r="JPP373" s="15"/>
      <c r="JPQ373" s="15"/>
      <c r="JPR373" s="15"/>
      <c r="JPS373" s="15"/>
      <c r="JPT373" s="15"/>
      <c r="JPU373" s="15"/>
      <c r="JPV373" s="15"/>
      <c r="JPW373" s="15"/>
      <c r="JPX373" s="15"/>
      <c r="JPY373" s="15"/>
      <c r="JPZ373" s="10"/>
      <c r="JQA373" s="10"/>
      <c r="JQB373" s="21"/>
      <c r="JQC373" s="21"/>
      <c r="JQF373" s="21"/>
      <c r="JQG373" s="15"/>
      <c r="JQH373" s="15"/>
      <c r="JQI373" s="15"/>
      <c r="JQJ373" s="15"/>
      <c r="JQK373" s="15"/>
      <c r="JQL373" s="15"/>
      <c r="JQM373" s="15"/>
      <c r="JQN373" s="15"/>
      <c r="JQO373" s="15"/>
      <c r="JQP373" s="15"/>
      <c r="JQQ373" s="10"/>
      <c r="JQR373" s="10"/>
      <c r="JQS373" s="21"/>
      <c r="JQT373" s="21"/>
      <c r="JQW373" s="21"/>
      <c r="JQX373" s="15"/>
      <c r="JQY373" s="15"/>
      <c r="JQZ373" s="15"/>
      <c r="JRA373" s="15"/>
      <c r="JRB373" s="15"/>
      <c r="JRC373" s="15"/>
      <c r="JRD373" s="15"/>
      <c r="JRE373" s="15"/>
      <c r="JRF373" s="15"/>
      <c r="JRG373" s="15"/>
      <c r="JRH373" s="10"/>
      <c r="JRI373" s="10"/>
      <c r="JRJ373" s="21"/>
      <c r="JRK373" s="21"/>
      <c r="JRN373" s="21"/>
      <c r="JRO373" s="15"/>
      <c r="JRP373" s="15"/>
      <c r="JRQ373" s="15"/>
      <c r="JRR373" s="15"/>
      <c r="JRS373" s="15"/>
      <c r="JRT373" s="15"/>
      <c r="JRU373" s="15"/>
      <c r="JRV373" s="15"/>
      <c r="JRW373" s="15"/>
      <c r="JRX373" s="15"/>
      <c r="JRY373" s="10"/>
      <c r="JRZ373" s="10"/>
      <c r="JSA373" s="21"/>
      <c r="JSB373" s="21"/>
      <c r="JSE373" s="21"/>
      <c r="JSF373" s="15"/>
      <c r="JSG373" s="15"/>
      <c r="JSH373" s="15"/>
      <c r="JSI373" s="15"/>
      <c r="JSJ373" s="15"/>
      <c r="JSK373" s="15"/>
      <c r="JSL373" s="15"/>
      <c r="JSM373" s="15"/>
      <c r="JSN373" s="15"/>
      <c r="JSO373" s="15"/>
      <c r="JSP373" s="10"/>
      <c r="JSQ373" s="10"/>
      <c r="JSR373" s="21"/>
      <c r="JSS373" s="21"/>
      <c r="JSV373" s="21"/>
      <c r="JSW373" s="15"/>
      <c r="JSX373" s="15"/>
      <c r="JSY373" s="15"/>
      <c r="JSZ373" s="15"/>
      <c r="JTA373" s="15"/>
      <c r="JTB373" s="15"/>
      <c r="JTC373" s="15"/>
      <c r="JTD373" s="15"/>
      <c r="JTE373" s="15"/>
      <c r="JTF373" s="15"/>
      <c r="JTG373" s="10"/>
      <c r="JTH373" s="10"/>
      <c r="JTI373" s="21"/>
      <c r="JTJ373" s="21"/>
      <c r="JTM373" s="21"/>
      <c r="JTN373" s="15"/>
      <c r="JTO373" s="15"/>
      <c r="JTP373" s="15"/>
      <c r="JTQ373" s="15"/>
      <c r="JTR373" s="15"/>
      <c r="JTS373" s="15"/>
      <c r="JTT373" s="15"/>
      <c r="JTU373" s="15"/>
      <c r="JTV373" s="15"/>
      <c r="JTW373" s="15"/>
      <c r="JTX373" s="10"/>
      <c r="JTY373" s="10"/>
      <c r="JTZ373" s="21"/>
      <c r="JUA373" s="21"/>
      <c r="JUD373" s="21"/>
      <c r="JUE373" s="15"/>
      <c r="JUF373" s="15"/>
      <c r="JUG373" s="15"/>
      <c r="JUH373" s="15"/>
      <c r="JUI373" s="15"/>
      <c r="JUJ373" s="15"/>
      <c r="JUK373" s="15"/>
      <c r="JUL373" s="15"/>
      <c r="JUM373" s="15"/>
      <c r="JUN373" s="15"/>
      <c r="JUO373" s="10"/>
      <c r="JUP373" s="10"/>
      <c r="JUQ373" s="21"/>
      <c r="JUR373" s="21"/>
      <c r="JUU373" s="21"/>
      <c r="JUV373" s="15"/>
      <c r="JUW373" s="15"/>
      <c r="JUX373" s="15"/>
      <c r="JUY373" s="15"/>
      <c r="JUZ373" s="15"/>
      <c r="JVA373" s="15"/>
      <c r="JVB373" s="15"/>
      <c r="JVC373" s="15"/>
      <c r="JVD373" s="15"/>
      <c r="JVE373" s="15"/>
      <c r="JVF373" s="10"/>
      <c r="JVG373" s="10"/>
      <c r="JVH373" s="21"/>
      <c r="JVI373" s="21"/>
      <c r="JVL373" s="21"/>
      <c r="JVM373" s="15"/>
      <c r="JVN373" s="15"/>
      <c r="JVO373" s="15"/>
      <c r="JVP373" s="15"/>
      <c r="JVQ373" s="15"/>
      <c r="JVR373" s="15"/>
      <c r="JVS373" s="15"/>
      <c r="JVT373" s="15"/>
      <c r="JVU373" s="15"/>
      <c r="JVV373" s="15"/>
      <c r="JVW373" s="10"/>
      <c r="JVX373" s="10"/>
      <c r="JVY373" s="21"/>
      <c r="JVZ373" s="21"/>
      <c r="JWC373" s="21"/>
      <c r="JWD373" s="15"/>
      <c r="JWE373" s="15"/>
      <c r="JWF373" s="15"/>
      <c r="JWG373" s="15"/>
      <c r="JWH373" s="15"/>
      <c r="JWI373" s="15"/>
      <c r="JWJ373" s="15"/>
      <c r="JWK373" s="15"/>
      <c r="JWL373" s="15"/>
      <c r="JWM373" s="15"/>
      <c r="JWN373" s="10"/>
      <c r="JWO373" s="10"/>
      <c r="JWP373" s="21"/>
      <c r="JWQ373" s="21"/>
      <c r="JWT373" s="21"/>
      <c r="JWU373" s="15"/>
      <c r="JWV373" s="15"/>
      <c r="JWW373" s="15"/>
      <c r="JWX373" s="15"/>
      <c r="JWY373" s="15"/>
      <c r="JWZ373" s="15"/>
      <c r="JXA373" s="15"/>
      <c r="JXB373" s="15"/>
      <c r="JXC373" s="15"/>
      <c r="JXD373" s="15"/>
      <c r="JXE373" s="10"/>
      <c r="JXF373" s="10"/>
      <c r="JXG373" s="21"/>
      <c r="JXH373" s="21"/>
      <c r="JXK373" s="21"/>
      <c r="JXL373" s="15"/>
      <c r="JXM373" s="15"/>
      <c r="JXN373" s="15"/>
      <c r="JXO373" s="15"/>
      <c r="JXP373" s="15"/>
      <c r="JXQ373" s="15"/>
      <c r="JXR373" s="15"/>
      <c r="JXS373" s="15"/>
      <c r="JXT373" s="15"/>
      <c r="JXU373" s="15"/>
      <c r="JXV373" s="10"/>
      <c r="JXW373" s="10"/>
      <c r="JXX373" s="21"/>
      <c r="JXY373" s="21"/>
      <c r="JYB373" s="21"/>
      <c r="JYC373" s="15"/>
      <c r="JYD373" s="15"/>
      <c r="JYE373" s="15"/>
      <c r="JYF373" s="15"/>
      <c r="JYG373" s="15"/>
      <c r="JYH373" s="15"/>
      <c r="JYI373" s="15"/>
      <c r="JYJ373" s="15"/>
      <c r="JYK373" s="15"/>
      <c r="JYL373" s="15"/>
      <c r="JYM373" s="10"/>
      <c r="JYN373" s="10"/>
      <c r="JYO373" s="21"/>
      <c r="JYP373" s="21"/>
      <c r="JYS373" s="21"/>
      <c r="JYT373" s="15"/>
      <c r="JYU373" s="15"/>
      <c r="JYV373" s="15"/>
      <c r="JYW373" s="15"/>
      <c r="JYX373" s="15"/>
      <c r="JYY373" s="15"/>
      <c r="JYZ373" s="15"/>
      <c r="JZA373" s="15"/>
      <c r="JZB373" s="15"/>
      <c r="JZC373" s="15"/>
      <c r="JZD373" s="10"/>
      <c r="JZE373" s="10"/>
      <c r="JZF373" s="21"/>
      <c r="JZG373" s="21"/>
      <c r="JZJ373" s="21"/>
      <c r="JZK373" s="15"/>
      <c r="JZL373" s="15"/>
      <c r="JZM373" s="15"/>
      <c r="JZN373" s="15"/>
      <c r="JZO373" s="15"/>
      <c r="JZP373" s="15"/>
      <c r="JZQ373" s="15"/>
      <c r="JZR373" s="15"/>
      <c r="JZS373" s="15"/>
      <c r="JZT373" s="15"/>
      <c r="JZU373" s="10"/>
      <c r="JZV373" s="10"/>
      <c r="JZW373" s="21"/>
      <c r="JZX373" s="21"/>
      <c r="KAA373" s="21"/>
      <c r="KAB373" s="15"/>
      <c r="KAC373" s="15"/>
      <c r="KAD373" s="15"/>
      <c r="KAE373" s="15"/>
      <c r="KAF373" s="15"/>
      <c r="KAG373" s="15"/>
      <c r="KAH373" s="15"/>
      <c r="KAI373" s="15"/>
      <c r="KAJ373" s="15"/>
      <c r="KAK373" s="15"/>
      <c r="KAL373" s="10"/>
      <c r="KAM373" s="10"/>
      <c r="KAN373" s="21"/>
      <c r="KAO373" s="21"/>
      <c r="KAR373" s="21"/>
      <c r="KAS373" s="15"/>
      <c r="KAT373" s="15"/>
      <c r="KAU373" s="15"/>
      <c r="KAV373" s="15"/>
      <c r="KAW373" s="15"/>
      <c r="KAX373" s="15"/>
      <c r="KAY373" s="15"/>
      <c r="KAZ373" s="15"/>
      <c r="KBA373" s="15"/>
      <c r="KBB373" s="15"/>
      <c r="KBC373" s="10"/>
      <c r="KBD373" s="10"/>
      <c r="KBE373" s="21"/>
      <c r="KBF373" s="21"/>
      <c r="KBI373" s="21"/>
      <c r="KBJ373" s="15"/>
      <c r="KBK373" s="15"/>
      <c r="KBL373" s="15"/>
      <c r="KBM373" s="15"/>
      <c r="KBN373" s="15"/>
      <c r="KBO373" s="15"/>
      <c r="KBP373" s="15"/>
      <c r="KBQ373" s="15"/>
      <c r="KBR373" s="15"/>
      <c r="KBS373" s="15"/>
      <c r="KBT373" s="10"/>
      <c r="KBU373" s="10"/>
      <c r="KBV373" s="21"/>
      <c r="KBW373" s="21"/>
      <c r="KBZ373" s="21"/>
      <c r="KCA373" s="15"/>
      <c r="KCB373" s="15"/>
      <c r="KCC373" s="15"/>
      <c r="KCD373" s="15"/>
      <c r="KCE373" s="15"/>
      <c r="KCF373" s="15"/>
      <c r="KCG373" s="15"/>
      <c r="KCH373" s="15"/>
      <c r="KCI373" s="15"/>
      <c r="KCJ373" s="15"/>
      <c r="KCK373" s="10"/>
      <c r="KCL373" s="10"/>
      <c r="KCM373" s="21"/>
      <c r="KCN373" s="21"/>
      <c r="KCQ373" s="21"/>
      <c r="KCR373" s="15"/>
      <c r="KCS373" s="15"/>
      <c r="KCT373" s="15"/>
      <c r="KCU373" s="15"/>
      <c r="KCV373" s="15"/>
      <c r="KCW373" s="15"/>
      <c r="KCX373" s="15"/>
      <c r="KCY373" s="15"/>
      <c r="KCZ373" s="15"/>
      <c r="KDA373" s="15"/>
      <c r="KDB373" s="10"/>
      <c r="KDC373" s="10"/>
      <c r="KDD373" s="21"/>
      <c r="KDE373" s="21"/>
      <c r="KDH373" s="21"/>
      <c r="KDI373" s="15"/>
      <c r="KDJ373" s="15"/>
      <c r="KDK373" s="15"/>
      <c r="KDL373" s="15"/>
      <c r="KDM373" s="15"/>
      <c r="KDN373" s="15"/>
      <c r="KDO373" s="15"/>
      <c r="KDP373" s="15"/>
      <c r="KDQ373" s="15"/>
      <c r="KDR373" s="15"/>
      <c r="KDS373" s="10"/>
      <c r="KDT373" s="10"/>
      <c r="KDU373" s="21"/>
      <c r="KDV373" s="21"/>
      <c r="KDY373" s="21"/>
      <c r="KDZ373" s="15"/>
      <c r="KEA373" s="15"/>
      <c r="KEB373" s="15"/>
      <c r="KEC373" s="15"/>
      <c r="KED373" s="15"/>
      <c r="KEE373" s="15"/>
      <c r="KEF373" s="15"/>
      <c r="KEG373" s="15"/>
      <c r="KEH373" s="15"/>
      <c r="KEI373" s="15"/>
      <c r="KEJ373" s="10"/>
      <c r="KEK373" s="10"/>
      <c r="KEL373" s="21"/>
      <c r="KEM373" s="21"/>
      <c r="KEP373" s="21"/>
      <c r="KEQ373" s="15"/>
      <c r="KER373" s="15"/>
      <c r="KES373" s="15"/>
      <c r="KET373" s="15"/>
      <c r="KEU373" s="15"/>
      <c r="KEV373" s="15"/>
      <c r="KEW373" s="15"/>
      <c r="KEX373" s="15"/>
      <c r="KEY373" s="15"/>
      <c r="KEZ373" s="15"/>
      <c r="KFA373" s="10"/>
      <c r="KFB373" s="10"/>
      <c r="KFC373" s="21"/>
      <c r="KFD373" s="21"/>
      <c r="KFG373" s="21"/>
      <c r="KFH373" s="15"/>
      <c r="KFI373" s="15"/>
      <c r="KFJ373" s="15"/>
      <c r="KFK373" s="15"/>
      <c r="KFL373" s="15"/>
      <c r="KFM373" s="15"/>
      <c r="KFN373" s="15"/>
      <c r="KFO373" s="15"/>
      <c r="KFP373" s="15"/>
      <c r="KFQ373" s="15"/>
      <c r="KFR373" s="10"/>
      <c r="KFS373" s="10"/>
      <c r="KFT373" s="21"/>
      <c r="KFU373" s="21"/>
      <c r="KFX373" s="21"/>
      <c r="KFY373" s="15"/>
      <c r="KFZ373" s="15"/>
      <c r="KGA373" s="15"/>
      <c r="KGB373" s="15"/>
      <c r="KGC373" s="15"/>
      <c r="KGD373" s="15"/>
      <c r="KGE373" s="15"/>
      <c r="KGF373" s="15"/>
      <c r="KGG373" s="15"/>
      <c r="KGH373" s="15"/>
      <c r="KGI373" s="10"/>
      <c r="KGJ373" s="10"/>
      <c r="KGK373" s="21"/>
      <c r="KGL373" s="21"/>
      <c r="KGO373" s="21"/>
      <c r="KGP373" s="15"/>
      <c r="KGQ373" s="15"/>
      <c r="KGR373" s="15"/>
      <c r="KGS373" s="15"/>
      <c r="KGT373" s="15"/>
      <c r="KGU373" s="15"/>
      <c r="KGV373" s="15"/>
      <c r="KGW373" s="15"/>
      <c r="KGX373" s="15"/>
      <c r="KGY373" s="15"/>
      <c r="KGZ373" s="10"/>
      <c r="KHA373" s="10"/>
      <c r="KHB373" s="21"/>
      <c r="KHC373" s="21"/>
      <c r="KHF373" s="21"/>
      <c r="KHG373" s="15"/>
      <c r="KHH373" s="15"/>
      <c r="KHI373" s="15"/>
      <c r="KHJ373" s="15"/>
      <c r="KHK373" s="15"/>
      <c r="KHL373" s="15"/>
      <c r="KHM373" s="15"/>
      <c r="KHN373" s="15"/>
      <c r="KHO373" s="15"/>
      <c r="KHP373" s="15"/>
      <c r="KHQ373" s="10"/>
      <c r="KHR373" s="10"/>
      <c r="KHS373" s="21"/>
      <c r="KHT373" s="21"/>
      <c r="KHW373" s="21"/>
      <c r="KHX373" s="15"/>
      <c r="KHY373" s="15"/>
      <c r="KHZ373" s="15"/>
      <c r="KIA373" s="15"/>
      <c r="KIB373" s="15"/>
      <c r="KIC373" s="15"/>
      <c r="KID373" s="15"/>
      <c r="KIE373" s="15"/>
      <c r="KIF373" s="15"/>
      <c r="KIG373" s="15"/>
      <c r="KIH373" s="10"/>
      <c r="KII373" s="10"/>
      <c r="KIJ373" s="21"/>
      <c r="KIK373" s="21"/>
      <c r="KIN373" s="21"/>
      <c r="KIO373" s="15"/>
      <c r="KIP373" s="15"/>
      <c r="KIQ373" s="15"/>
      <c r="KIR373" s="15"/>
      <c r="KIS373" s="15"/>
      <c r="KIT373" s="15"/>
      <c r="KIU373" s="15"/>
      <c r="KIV373" s="15"/>
      <c r="KIW373" s="15"/>
      <c r="KIX373" s="15"/>
      <c r="KIY373" s="10"/>
      <c r="KIZ373" s="10"/>
      <c r="KJA373" s="21"/>
      <c r="KJB373" s="21"/>
      <c r="KJE373" s="21"/>
      <c r="KJF373" s="15"/>
      <c r="KJG373" s="15"/>
      <c r="KJH373" s="15"/>
      <c r="KJI373" s="15"/>
      <c r="KJJ373" s="15"/>
      <c r="KJK373" s="15"/>
      <c r="KJL373" s="15"/>
      <c r="KJM373" s="15"/>
      <c r="KJN373" s="15"/>
      <c r="KJO373" s="15"/>
      <c r="KJP373" s="10"/>
      <c r="KJQ373" s="10"/>
      <c r="KJR373" s="21"/>
      <c r="KJS373" s="21"/>
      <c r="KJV373" s="21"/>
      <c r="KJW373" s="15"/>
      <c r="KJX373" s="15"/>
      <c r="KJY373" s="15"/>
      <c r="KJZ373" s="15"/>
      <c r="KKA373" s="15"/>
      <c r="KKB373" s="15"/>
      <c r="KKC373" s="15"/>
      <c r="KKD373" s="15"/>
      <c r="KKE373" s="15"/>
      <c r="KKF373" s="15"/>
      <c r="KKG373" s="10"/>
      <c r="KKH373" s="10"/>
      <c r="KKI373" s="21"/>
      <c r="KKJ373" s="21"/>
      <c r="KKM373" s="21"/>
      <c r="KKN373" s="15"/>
      <c r="KKO373" s="15"/>
      <c r="KKP373" s="15"/>
      <c r="KKQ373" s="15"/>
      <c r="KKR373" s="15"/>
      <c r="KKS373" s="15"/>
      <c r="KKT373" s="15"/>
      <c r="KKU373" s="15"/>
      <c r="KKV373" s="15"/>
      <c r="KKW373" s="15"/>
      <c r="KKX373" s="10"/>
      <c r="KKY373" s="10"/>
      <c r="KKZ373" s="21"/>
      <c r="KLA373" s="21"/>
      <c r="KLD373" s="21"/>
      <c r="KLE373" s="15"/>
      <c r="KLF373" s="15"/>
      <c r="KLG373" s="15"/>
      <c r="KLH373" s="15"/>
      <c r="KLI373" s="15"/>
      <c r="KLJ373" s="15"/>
      <c r="KLK373" s="15"/>
      <c r="KLL373" s="15"/>
      <c r="KLM373" s="15"/>
      <c r="KLN373" s="15"/>
      <c r="KLO373" s="10"/>
      <c r="KLP373" s="10"/>
      <c r="KLQ373" s="21"/>
      <c r="KLR373" s="21"/>
      <c r="KLU373" s="21"/>
      <c r="KLV373" s="15"/>
      <c r="KLW373" s="15"/>
      <c r="KLX373" s="15"/>
      <c r="KLY373" s="15"/>
      <c r="KLZ373" s="15"/>
      <c r="KMA373" s="15"/>
      <c r="KMB373" s="15"/>
      <c r="KMC373" s="15"/>
      <c r="KMD373" s="15"/>
      <c r="KME373" s="15"/>
      <c r="KMF373" s="10"/>
      <c r="KMG373" s="10"/>
      <c r="KMH373" s="21"/>
      <c r="KMI373" s="21"/>
      <c r="KML373" s="21"/>
      <c r="KMM373" s="15"/>
      <c r="KMN373" s="15"/>
      <c r="KMO373" s="15"/>
      <c r="KMP373" s="15"/>
      <c r="KMQ373" s="15"/>
      <c r="KMR373" s="15"/>
      <c r="KMS373" s="15"/>
      <c r="KMT373" s="15"/>
      <c r="KMU373" s="15"/>
      <c r="KMV373" s="15"/>
      <c r="KMW373" s="10"/>
      <c r="KMX373" s="10"/>
      <c r="KMY373" s="21"/>
      <c r="KMZ373" s="21"/>
      <c r="KNC373" s="21"/>
      <c r="KND373" s="15"/>
      <c r="KNE373" s="15"/>
      <c r="KNF373" s="15"/>
      <c r="KNG373" s="15"/>
      <c r="KNH373" s="15"/>
      <c r="KNI373" s="15"/>
      <c r="KNJ373" s="15"/>
      <c r="KNK373" s="15"/>
      <c r="KNL373" s="15"/>
      <c r="KNM373" s="15"/>
      <c r="KNN373" s="10"/>
      <c r="KNO373" s="10"/>
      <c r="KNP373" s="21"/>
      <c r="KNQ373" s="21"/>
      <c r="KNT373" s="21"/>
      <c r="KNU373" s="15"/>
      <c r="KNV373" s="15"/>
      <c r="KNW373" s="15"/>
      <c r="KNX373" s="15"/>
      <c r="KNY373" s="15"/>
      <c r="KNZ373" s="15"/>
      <c r="KOA373" s="15"/>
      <c r="KOB373" s="15"/>
      <c r="KOC373" s="15"/>
      <c r="KOD373" s="15"/>
      <c r="KOE373" s="10"/>
      <c r="KOF373" s="10"/>
      <c r="KOG373" s="21"/>
      <c r="KOH373" s="21"/>
      <c r="KOK373" s="21"/>
      <c r="KOL373" s="15"/>
      <c r="KOM373" s="15"/>
      <c r="KON373" s="15"/>
      <c r="KOO373" s="15"/>
      <c r="KOP373" s="15"/>
      <c r="KOQ373" s="15"/>
      <c r="KOR373" s="15"/>
      <c r="KOS373" s="15"/>
      <c r="KOT373" s="15"/>
      <c r="KOU373" s="15"/>
      <c r="KOV373" s="10"/>
      <c r="KOW373" s="10"/>
      <c r="KOX373" s="21"/>
      <c r="KOY373" s="21"/>
      <c r="KPB373" s="21"/>
      <c r="KPC373" s="15"/>
      <c r="KPD373" s="15"/>
      <c r="KPE373" s="15"/>
      <c r="KPF373" s="15"/>
      <c r="KPG373" s="15"/>
      <c r="KPH373" s="15"/>
      <c r="KPI373" s="15"/>
      <c r="KPJ373" s="15"/>
      <c r="KPK373" s="15"/>
      <c r="KPL373" s="15"/>
      <c r="KPM373" s="10"/>
      <c r="KPN373" s="10"/>
      <c r="KPO373" s="21"/>
      <c r="KPP373" s="21"/>
      <c r="KPS373" s="21"/>
      <c r="KPT373" s="15"/>
      <c r="KPU373" s="15"/>
      <c r="KPV373" s="15"/>
      <c r="KPW373" s="15"/>
      <c r="KPX373" s="15"/>
      <c r="KPY373" s="15"/>
      <c r="KPZ373" s="15"/>
      <c r="KQA373" s="15"/>
      <c r="KQB373" s="15"/>
      <c r="KQC373" s="15"/>
      <c r="KQD373" s="10"/>
      <c r="KQE373" s="10"/>
      <c r="KQF373" s="21"/>
      <c r="KQG373" s="21"/>
      <c r="KQJ373" s="21"/>
      <c r="KQK373" s="15"/>
      <c r="KQL373" s="15"/>
      <c r="KQM373" s="15"/>
      <c r="KQN373" s="15"/>
      <c r="KQO373" s="15"/>
      <c r="KQP373" s="15"/>
      <c r="KQQ373" s="15"/>
      <c r="KQR373" s="15"/>
      <c r="KQS373" s="15"/>
      <c r="KQT373" s="15"/>
      <c r="KQU373" s="10"/>
      <c r="KQV373" s="10"/>
      <c r="KQW373" s="21"/>
      <c r="KQX373" s="21"/>
      <c r="KRA373" s="21"/>
      <c r="KRB373" s="15"/>
      <c r="KRC373" s="15"/>
      <c r="KRD373" s="15"/>
      <c r="KRE373" s="15"/>
      <c r="KRF373" s="15"/>
      <c r="KRG373" s="15"/>
      <c r="KRH373" s="15"/>
      <c r="KRI373" s="15"/>
      <c r="KRJ373" s="15"/>
      <c r="KRK373" s="15"/>
      <c r="KRL373" s="10"/>
      <c r="KRM373" s="10"/>
      <c r="KRN373" s="21"/>
      <c r="KRO373" s="21"/>
      <c r="KRR373" s="21"/>
      <c r="KRS373" s="15"/>
      <c r="KRT373" s="15"/>
      <c r="KRU373" s="15"/>
      <c r="KRV373" s="15"/>
      <c r="KRW373" s="15"/>
      <c r="KRX373" s="15"/>
      <c r="KRY373" s="15"/>
      <c r="KRZ373" s="15"/>
      <c r="KSA373" s="15"/>
      <c r="KSB373" s="15"/>
      <c r="KSC373" s="10"/>
      <c r="KSD373" s="10"/>
      <c r="KSE373" s="21"/>
      <c r="KSF373" s="21"/>
      <c r="KSI373" s="21"/>
      <c r="KSJ373" s="15"/>
      <c r="KSK373" s="15"/>
      <c r="KSL373" s="15"/>
      <c r="KSM373" s="15"/>
      <c r="KSN373" s="15"/>
      <c r="KSO373" s="15"/>
      <c r="KSP373" s="15"/>
      <c r="KSQ373" s="15"/>
      <c r="KSR373" s="15"/>
      <c r="KSS373" s="15"/>
      <c r="KST373" s="10"/>
      <c r="KSU373" s="10"/>
      <c r="KSV373" s="21"/>
      <c r="KSW373" s="21"/>
      <c r="KSZ373" s="21"/>
      <c r="KTA373" s="15"/>
      <c r="KTB373" s="15"/>
      <c r="KTC373" s="15"/>
      <c r="KTD373" s="15"/>
      <c r="KTE373" s="15"/>
      <c r="KTF373" s="15"/>
      <c r="KTG373" s="15"/>
      <c r="KTH373" s="15"/>
      <c r="KTI373" s="15"/>
      <c r="KTJ373" s="15"/>
      <c r="KTK373" s="10"/>
      <c r="KTL373" s="10"/>
      <c r="KTM373" s="21"/>
      <c r="KTN373" s="21"/>
      <c r="KTQ373" s="21"/>
      <c r="KTR373" s="15"/>
      <c r="KTS373" s="15"/>
      <c r="KTT373" s="15"/>
      <c r="KTU373" s="15"/>
      <c r="KTV373" s="15"/>
      <c r="KTW373" s="15"/>
      <c r="KTX373" s="15"/>
      <c r="KTY373" s="15"/>
      <c r="KTZ373" s="15"/>
      <c r="KUA373" s="15"/>
      <c r="KUB373" s="10"/>
      <c r="KUC373" s="10"/>
      <c r="KUD373" s="21"/>
      <c r="KUE373" s="21"/>
      <c r="KUH373" s="21"/>
      <c r="KUI373" s="15"/>
      <c r="KUJ373" s="15"/>
      <c r="KUK373" s="15"/>
      <c r="KUL373" s="15"/>
      <c r="KUM373" s="15"/>
      <c r="KUN373" s="15"/>
      <c r="KUO373" s="15"/>
      <c r="KUP373" s="15"/>
      <c r="KUQ373" s="15"/>
      <c r="KUR373" s="15"/>
      <c r="KUS373" s="10"/>
      <c r="KUT373" s="10"/>
      <c r="KUU373" s="21"/>
      <c r="KUV373" s="21"/>
      <c r="KUY373" s="21"/>
      <c r="KUZ373" s="15"/>
      <c r="KVA373" s="15"/>
      <c r="KVB373" s="15"/>
      <c r="KVC373" s="15"/>
      <c r="KVD373" s="15"/>
      <c r="KVE373" s="15"/>
      <c r="KVF373" s="15"/>
      <c r="KVG373" s="15"/>
      <c r="KVH373" s="15"/>
      <c r="KVI373" s="15"/>
      <c r="KVJ373" s="10"/>
      <c r="KVK373" s="10"/>
      <c r="KVL373" s="21"/>
      <c r="KVM373" s="21"/>
      <c r="KVP373" s="21"/>
      <c r="KVQ373" s="15"/>
      <c r="KVR373" s="15"/>
      <c r="KVS373" s="15"/>
      <c r="KVT373" s="15"/>
      <c r="KVU373" s="15"/>
      <c r="KVV373" s="15"/>
      <c r="KVW373" s="15"/>
      <c r="KVX373" s="15"/>
      <c r="KVY373" s="15"/>
      <c r="KVZ373" s="15"/>
      <c r="KWA373" s="10"/>
      <c r="KWB373" s="10"/>
      <c r="KWC373" s="21"/>
      <c r="KWD373" s="21"/>
      <c r="KWG373" s="21"/>
      <c r="KWH373" s="15"/>
      <c r="KWI373" s="15"/>
      <c r="KWJ373" s="15"/>
      <c r="KWK373" s="15"/>
      <c r="KWL373" s="15"/>
      <c r="KWM373" s="15"/>
      <c r="KWN373" s="15"/>
      <c r="KWO373" s="15"/>
      <c r="KWP373" s="15"/>
      <c r="KWQ373" s="15"/>
      <c r="KWR373" s="10"/>
      <c r="KWS373" s="10"/>
      <c r="KWT373" s="21"/>
      <c r="KWU373" s="21"/>
      <c r="KWX373" s="21"/>
      <c r="KWY373" s="15"/>
      <c r="KWZ373" s="15"/>
      <c r="KXA373" s="15"/>
      <c r="KXB373" s="15"/>
      <c r="KXC373" s="15"/>
      <c r="KXD373" s="15"/>
      <c r="KXE373" s="15"/>
      <c r="KXF373" s="15"/>
      <c r="KXG373" s="15"/>
      <c r="KXH373" s="15"/>
      <c r="KXI373" s="10"/>
      <c r="KXJ373" s="10"/>
      <c r="KXK373" s="21"/>
      <c r="KXL373" s="21"/>
      <c r="KXO373" s="21"/>
      <c r="KXP373" s="15"/>
      <c r="KXQ373" s="15"/>
      <c r="KXR373" s="15"/>
      <c r="KXS373" s="15"/>
      <c r="KXT373" s="15"/>
      <c r="KXU373" s="15"/>
      <c r="KXV373" s="15"/>
      <c r="KXW373" s="15"/>
      <c r="KXX373" s="15"/>
      <c r="KXY373" s="15"/>
      <c r="KXZ373" s="10"/>
      <c r="KYA373" s="10"/>
      <c r="KYB373" s="21"/>
      <c r="KYC373" s="21"/>
      <c r="KYF373" s="21"/>
      <c r="KYG373" s="15"/>
      <c r="KYH373" s="15"/>
      <c r="KYI373" s="15"/>
      <c r="KYJ373" s="15"/>
      <c r="KYK373" s="15"/>
      <c r="KYL373" s="15"/>
      <c r="KYM373" s="15"/>
      <c r="KYN373" s="15"/>
      <c r="KYO373" s="15"/>
      <c r="KYP373" s="15"/>
      <c r="KYQ373" s="10"/>
      <c r="KYR373" s="10"/>
      <c r="KYS373" s="21"/>
      <c r="KYT373" s="21"/>
      <c r="KYW373" s="21"/>
      <c r="KYX373" s="15"/>
      <c r="KYY373" s="15"/>
      <c r="KYZ373" s="15"/>
      <c r="KZA373" s="15"/>
      <c r="KZB373" s="15"/>
      <c r="KZC373" s="15"/>
      <c r="KZD373" s="15"/>
      <c r="KZE373" s="15"/>
      <c r="KZF373" s="15"/>
      <c r="KZG373" s="15"/>
      <c r="KZH373" s="10"/>
      <c r="KZI373" s="10"/>
      <c r="KZJ373" s="21"/>
      <c r="KZK373" s="21"/>
      <c r="KZN373" s="21"/>
      <c r="KZO373" s="15"/>
      <c r="KZP373" s="15"/>
      <c r="KZQ373" s="15"/>
      <c r="KZR373" s="15"/>
      <c r="KZS373" s="15"/>
      <c r="KZT373" s="15"/>
      <c r="KZU373" s="15"/>
      <c r="KZV373" s="15"/>
      <c r="KZW373" s="15"/>
      <c r="KZX373" s="15"/>
      <c r="KZY373" s="10"/>
      <c r="KZZ373" s="10"/>
      <c r="LAA373" s="21"/>
      <c r="LAB373" s="21"/>
      <c r="LAE373" s="21"/>
      <c r="LAF373" s="15"/>
      <c r="LAG373" s="15"/>
      <c r="LAH373" s="15"/>
      <c r="LAI373" s="15"/>
      <c r="LAJ373" s="15"/>
      <c r="LAK373" s="15"/>
      <c r="LAL373" s="15"/>
      <c r="LAM373" s="15"/>
      <c r="LAN373" s="15"/>
      <c r="LAO373" s="15"/>
      <c r="LAP373" s="10"/>
      <c r="LAQ373" s="10"/>
      <c r="LAR373" s="21"/>
      <c r="LAS373" s="21"/>
      <c r="LAV373" s="21"/>
      <c r="LAW373" s="15"/>
      <c r="LAX373" s="15"/>
      <c r="LAY373" s="15"/>
      <c r="LAZ373" s="15"/>
      <c r="LBA373" s="15"/>
      <c r="LBB373" s="15"/>
      <c r="LBC373" s="15"/>
      <c r="LBD373" s="15"/>
      <c r="LBE373" s="15"/>
      <c r="LBF373" s="15"/>
      <c r="LBG373" s="10"/>
      <c r="LBH373" s="10"/>
      <c r="LBI373" s="21"/>
      <c r="LBJ373" s="21"/>
      <c r="LBM373" s="21"/>
      <c r="LBN373" s="15"/>
      <c r="LBO373" s="15"/>
      <c r="LBP373" s="15"/>
      <c r="LBQ373" s="15"/>
      <c r="LBR373" s="15"/>
      <c r="LBS373" s="15"/>
      <c r="LBT373" s="15"/>
      <c r="LBU373" s="15"/>
      <c r="LBV373" s="15"/>
      <c r="LBW373" s="15"/>
      <c r="LBX373" s="10"/>
      <c r="LBY373" s="10"/>
      <c r="LBZ373" s="21"/>
      <c r="LCA373" s="21"/>
      <c r="LCD373" s="21"/>
      <c r="LCE373" s="15"/>
      <c r="LCF373" s="15"/>
      <c r="LCG373" s="15"/>
      <c r="LCH373" s="15"/>
      <c r="LCI373" s="15"/>
      <c r="LCJ373" s="15"/>
      <c r="LCK373" s="15"/>
      <c r="LCL373" s="15"/>
      <c r="LCM373" s="15"/>
      <c r="LCN373" s="15"/>
      <c r="LCO373" s="10"/>
      <c r="LCP373" s="10"/>
      <c r="LCQ373" s="21"/>
      <c r="LCR373" s="21"/>
      <c r="LCU373" s="21"/>
      <c r="LCV373" s="15"/>
      <c r="LCW373" s="15"/>
      <c r="LCX373" s="15"/>
      <c r="LCY373" s="15"/>
      <c r="LCZ373" s="15"/>
      <c r="LDA373" s="15"/>
      <c r="LDB373" s="15"/>
      <c r="LDC373" s="15"/>
      <c r="LDD373" s="15"/>
      <c r="LDE373" s="15"/>
      <c r="LDF373" s="10"/>
      <c r="LDG373" s="10"/>
      <c r="LDH373" s="21"/>
      <c r="LDI373" s="21"/>
      <c r="LDL373" s="21"/>
      <c r="LDM373" s="15"/>
      <c r="LDN373" s="15"/>
      <c r="LDO373" s="15"/>
      <c r="LDP373" s="15"/>
      <c r="LDQ373" s="15"/>
      <c r="LDR373" s="15"/>
      <c r="LDS373" s="15"/>
      <c r="LDT373" s="15"/>
      <c r="LDU373" s="15"/>
      <c r="LDV373" s="15"/>
      <c r="LDW373" s="10"/>
      <c r="LDX373" s="10"/>
      <c r="LDY373" s="21"/>
      <c r="LDZ373" s="21"/>
      <c r="LEC373" s="21"/>
      <c r="LED373" s="15"/>
      <c r="LEE373" s="15"/>
      <c r="LEF373" s="15"/>
      <c r="LEG373" s="15"/>
      <c r="LEH373" s="15"/>
      <c r="LEI373" s="15"/>
      <c r="LEJ373" s="15"/>
      <c r="LEK373" s="15"/>
      <c r="LEL373" s="15"/>
      <c r="LEM373" s="15"/>
      <c r="LEN373" s="10"/>
      <c r="LEO373" s="10"/>
      <c r="LEP373" s="21"/>
      <c r="LEQ373" s="21"/>
      <c r="LET373" s="21"/>
      <c r="LEU373" s="15"/>
      <c r="LEV373" s="15"/>
      <c r="LEW373" s="15"/>
      <c r="LEX373" s="15"/>
      <c r="LEY373" s="15"/>
      <c r="LEZ373" s="15"/>
      <c r="LFA373" s="15"/>
      <c r="LFB373" s="15"/>
      <c r="LFC373" s="15"/>
      <c r="LFD373" s="15"/>
      <c r="LFE373" s="10"/>
      <c r="LFF373" s="10"/>
      <c r="LFG373" s="21"/>
      <c r="LFH373" s="21"/>
      <c r="LFK373" s="21"/>
      <c r="LFL373" s="15"/>
      <c r="LFM373" s="15"/>
      <c r="LFN373" s="15"/>
      <c r="LFO373" s="15"/>
      <c r="LFP373" s="15"/>
      <c r="LFQ373" s="15"/>
      <c r="LFR373" s="15"/>
      <c r="LFS373" s="15"/>
      <c r="LFT373" s="15"/>
      <c r="LFU373" s="15"/>
      <c r="LFV373" s="10"/>
      <c r="LFW373" s="10"/>
      <c r="LFX373" s="21"/>
      <c r="LFY373" s="21"/>
      <c r="LGB373" s="21"/>
      <c r="LGC373" s="15"/>
      <c r="LGD373" s="15"/>
      <c r="LGE373" s="15"/>
      <c r="LGF373" s="15"/>
      <c r="LGG373" s="15"/>
      <c r="LGH373" s="15"/>
      <c r="LGI373" s="15"/>
      <c r="LGJ373" s="15"/>
      <c r="LGK373" s="15"/>
      <c r="LGL373" s="15"/>
      <c r="LGM373" s="10"/>
      <c r="LGN373" s="10"/>
      <c r="LGO373" s="21"/>
      <c r="LGP373" s="21"/>
      <c r="LGS373" s="21"/>
      <c r="LGT373" s="15"/>
      <c r="LGU373" s="15"/>
      <c r="LGV373" s="15"/>
      <c r="LGW373" s="15"/>
      <c r="LGX373" s="15"/>
      <c r="LGY373" s="15"/>
      <c r="LGZ373" s="15"/>
      <c r="LHA373" s="15"/>
      <c r="LHB373" s="15"/>
      <c r="LHC373" s="15"/>
      <c r="LHD373" s="10"/>
      <c r="LHE373" s="10"/>
      <c r="LHF373" s="21"/>
      <c r="LHG373" s="21"/>
      <c r="LHJ373" s="21"/>
      <c r="LHK373" s="15"/>
      <c r="LHL373" s="15"/>
      <c r="LHM373" s="15"/>
      <c r="LHN373" s="15"/>
      <c r="LHO373" s="15"/>
      <c r="LHP373" s="15"/>
      <c r="LHQ373" s="15"/>
      <c r="LHR373" s="15"/>
      <c r="LHS373" s="15"/>
      <c r="LHT373" s="15"/>
      <c r="LHU373" s="10"/>
      <c r="LHV373" s="10"/>
      <c r="LHW373" s="21"/>
      <c r="LHX373" s="21"/>
      <c r="LIA373" s="21"/>
      <c r="LIB373" s="15"/>
      <c r="LIC373" s="15"/>
      <c r="LID373" s="15"/>
      <c r="LIE373" s="15"/>
      <c r="LIF373" s="15"/>
      <c r="LIG373" s="15"/>
      <c r="LIH373" s="15"/>
      <c r="LII373" s="15"/>
      <c r="LIJ373" s="15"/>
      <c r="LIK373" s="15"/>
      <c r="LIL373" s="10"/>
      <c r="LIM373" s="10"/>
      <c r="LIN373" s="21"/>
      <c r="LIO373" s="21"/>
      <c r="LIR373" s="21"/>
      <c r="LIS373" s="15"/>
      <c r="LIT373" s="15"/>
      <c r="LIU373" s="15"/>
      <c r="LIV373" s="15"/>
      <c r="LIW373" s="15"/>
      <c r="LIX373" s="15"/>
      <c r="LIY373" s="15"/>
      <c r="LIZ373" s="15"/>
      <c r="LJA373" s="15"/>
      <c r="LJB373" s="15"/>
      <c r="LJC373" s="10"/>
      <c r="LJD373" s="10"/>
      <c r="LJE373" s="21"/>
      <c r="LJF373" s="21"/>
      <c r="LJI373" s="21"/>
      <c r="LJJ373" s="15"/>
      <c r="LJK373" s="15"/>
      <c r="LJL373" s="15"/>
      <c r="LJM373" s="15"/>
      <c r="LJN373" s="15"/>
      <c r="LJO373" s="15"/>
      <c r="LJP373" s="15"/>
      <c r="LJQ373" s="15"/>
      <c r="LJR373" s="15"/>
      <c r="LJS373" s="15"/>
      <c r="LJT373" s="10"/>
      <c r="LJU373" s="10"/>
      <c r="LJV373" s="21"/>
      <c r="LJW373" s="21"/>
      <c r="LJZ373" s="21"/>
      <c r="LKA373" s="15"/>
      <c r="LKB373" s="15"/>
      <c r="LKC373" s="15"/>
      <c r="LKD373" s="15"/>
      <c r="LKE373" s="15"/>
      <c r="LKF373" s="15"/>
      <c r="LKG373" s="15"/>
      <c r="LKH373" s="15"/>
      <c r="LKI373" s="15"/>
      <c r="LKJ373" s="15"/>
      <c r="LKK373" s="10"/>
      <c r="LKL373" s="10"/>
      <c r="LKM373" s="21"/>
      <c r="LKN373" s="21"/>
      <c r="LKQ373" s="21"/>
      <c r="LKR373" s="15"/>
      <c r="LKS373" s="15"/>
      <c r="LKT373" s="15"/>
      <c r="LKU373" s="15"/>
      <c r="LKV373" s="15"/>
      <c r="LKW373" s="15"/>
      <c r="LKX373" s="15"/>
      <c r="LKY373" s="15"/>
      <c r="LKZ373" s="15"/>
      <c r="LLA373" s="15"/>
      <c r="LLB373" s="10"/>
      <c r="LLC373" s="10"/>
      <c r="LLD373" s="21"/>
      <c r="LLE373" s="21"/>
      <c r="LLH373" s="21"/>
      <c r="LLI373" s="15"/>
      <c r="LLJ373" s="15"/>
      <c r="LLK373" s="15"/>
      <c r="LLL373" s="15"/>
      <c r="LLM373" s="15"/>
      <c r="LLN373" s="15"/>
      <c r="LLO373" s="15"/>
      <c r="LLP373" s="15"/>
      <c r="LLQ373" s="15"/>
      <c r="LLR373" s="15"/>
      <c r="LLS373" s="10"/>
      <c r="LLT373" s="10"/>
      <c r="LLU373" s="21"/>
      <c r="LLV373" s="21"/>
      <c r="LLY373" s="21"/>
      <c r="LLZ373" s="15"/>
      <c r="LMA373" s="15"/>
      <c r="LMB373" s="15"/>
      <c r="LMC373" s="15"/>
      <c r="LMD373" s="15"/>
      <c r="LME373" s="15"/>
      <c r="LMF373" s="15"/>
      <c r="LMG373" s="15"/>
      <c r="LMH373" s="15"/>
      <c r="LMI373" s="15"/>
      <c r="LMJ373" s="10"/>
      <c r="LMK373" s="10"/>
      <c r="LML373" s="21"/>
      <c r="LMM373" s="21"/>
      <c r="LMP373" s="21"/>
      <c r="LMQ373" s="15"/>
      <c r="LMR373" s="15"/>
      <c r="LMS373" s="15"/>
      <c r="LMT373" s="15"/>
      <c r="LMU373" s="15"/>
      <c r="LMV373" s="15"/>
      <c r="LMW373" s="15"/>
      <c r="LMX373" s="15"/>
      <c r="LMY373" s="15"/>
      <c r="LMZ373" s="15"/>
      <c r="LNA373" s="10"/>
      <c r="LNB373" s="10"/>
      <c r="LNC373" s="21"/>
      <c r="LND373" s="21"/>
      <c r="LNG373" s="21"/>
      <c r="LNH373" s="15"/>
      <c r="LNI373" s="15"/>
      <c r="LNJ373" s="15"/>
      <c r="LNK373" s="15"/>
      <c r="LNL373" s="15"/>
      <c r="LNM373" s="15"/>
      <c r="LNN373" s="15"/>
      <c r="LNO373" s="15"/>
      <c r="LNP373" s="15"/>
      <c r="LNQ373" s="15"/>
      <c r="LNR373" s="10"/>
      <c r="LNS373" s="10"/>
      <c r="LNT373" s="21"/>
      <c r="LNU373" s="21"/>
      <c r="LNX373" s="21"/>
      <c r="LNY373" s="15"/>
      <c r="LNZ373" s="15"/>
      <c r="LOA373" s="15"/>
      <c r="LOB373" s="15"/>
      <c r="LOC373" s="15"/>
      <c r="LOD373" s="15"/>
      <c r="LOE373" s="15"/>
      <c r="LOF373" s="15"/>
      <c r="LOG373" s="15"/>
      <c r="LOH373" s="15"/>
      <c r="LOI373" s="10"/>
      <c r="LOJ373" s="10"/>
      <c r="LOK373" s="21"/>
      <c r="LOL373" s="21"/>
      <c r="LOO373" s="21"/>
      <c r="LOP373" s="15"/>
      <c r="LOQ373" s="15"/>
      <c r="LOR373" s="15"/>
      <c r="LOS373" s="15"/>
      <c r="LOT373" s="15"/>
      <c r="LOU373" s="15"/>
      <c r="LOV373" s="15"/>
      <c r="LOW373" s="15"/>
      <c r="LOX373" s="15"/>
      <c r="LOY373" s="15"/>
      <c r="LOZ373" s="10"/>
      <c r="LPA373" s="10"/>
      <c r="LPB373" s="21"/>
      <c r="LPC373" s="21"/>
      <c r="LPF373" s="21"/>
      <c r="LPG373" s="15"/>
      <c r="LPH373" s="15"/>
      <c r="LPI373" s="15"/>
      <c r="LPJ373" s="15"/>
      <c r="LPK373" s="15"/>
      <c r="LPL373" s="15"/>
      <c r="LPM373" s="15"/>
      <c r="LPN373" s="15"/>
      <c r="LPO373" s="15"/>
      <c r="LPP373" s="15"/>
      <c r="LPQ373" s="10"/>
      <c r="LPR373" s="10"/>
      <c r="LPS373" s="21"/>
      <c r="LPT373" s="21"/>
      <c r="LPW373" s="21"/>
      <c r="LPX373" s="15"/>
      <c r="LPY373" s="15"/>
      <c r="LPZ373" s="15"/>
      <c r="LQA373" s="15"/>
      <c r="LQB373" s="15"/>
      <c r="LQC373" s="15"/>
      <c r="LQD373" s="15"/>
      <c r="LQE373" s="15"/>
      <c r="LQF373" s="15"/>
      <c r="LQG373" s="15"/>
      <c r="LQH373" s="10"/>
      <c r="LQI373" s="10"/>
      <c r="LQJ373" s="21"/>
      <c r="LQK373" s="21"/>
      <c r="LQN373" s="21"/>
      <c r="LQO373" s="15"/>
      <c r="LQP373" s="15"/>
      <c r="LQQ373" s="15"/>
      <c r="LQR373" s="15"/>
      <c r="LQS373" s="15"/>
      <c r="LQT373" s="15"/>
      <c r="LQU373" s="15"/>
      <c r="LQV373" s="15"/>
      <c r="LQW373" s="15"/>
      <c r="LQX373" s="15"/>
      <c r="LQY373" s="10"/>
      <c r="LQZ373" s="10"/>
      <c r="LRA373" s="21"/>
      <c r="LRB373" s="21"/>
      <c r="LRE373" s="21"/>
      <c r="LRF373" s="15"/>
      <c r="LRG373" s="15"/>
      <c r="LRH373" s="15"/>
      <c r="LRI373" s="15"/>
      <c r="LRJ373" s="15"/>
      <c r="LRK373" s="15"/>
      <c r="LRL373" s="15"/>
      <c r="LRM373" s="15"/>
      <c r="LRN373" s="15"/>
      <c r="LRO373" s="15"/>
      <c r="LRP373" s="10"/>
      <c r="LRQ373" s="10"/>
      <c r="LRR373" s="21"/>
      <c r="LRS373" s="21"/>
      <c r="LRV373" s="21"/>
      <c r="LRW373" s="15"/>
      <c r="LRX373" s="15"/>
      <c r="LRY373" s="15"/>
      <c r="LRZ373" s="15"/>
      <c r="LSA373" s="15"/>
      <c r="LSB373" s="15"/>
      <c r="LSC373" s="15"/>
      <c r="LSD373" s="15"/>
      <c r="LSE373" s="15"/>
      <c r="LSF373" s="15"/>
      <c r="LSG373" s="10"/>
      <c r="LSH373" s="10"/>
      <c r="LSI373" s="21"/>
      <c r="LSJ373" s="21"/>
      <c r="LSM373" s="21"/>
      <c r="LSN373" s="15"/>
      <c r="LSO373" s="15"/>
      <c r="LSP373" s="15"/>
      <c r="LSQ373" s="15"/>
      <c r="LSR373" s="15"/>
      <c r="LSS373" s="15"/>
      <c r="LST373" s="15"/>
      <c r="LSU373" s="15"/>
      <c r="LSV373" s="15"/>
      <c r="LSW373" s="15"/>
      <c r="LSX373" s="10"/>
      <c r="LSY373" s="10"/>
      <c r="LSZ373" s="21"/>
      <c r="LTA373" s="21"/>
      <c r="LTD373" s="21"/>
      <c r="LTE373" s="15"/>
      <c r="LTF373" s="15"/>
      <c r="LTG373" s="15"/>
      <c r="LTH373" s="15"/>
      <c r="LTI373" s="15"/>
      <c r="LTJ373" s="15"/>
      <c r="LTK373" s="15"/>
      <c r="LTL373" s="15"/>
      <c r="LTM373" s="15"/>
      <c r="LTN373" s="15"/>
      <c r="LTO373" s="10"/>
      <c r="LTP373" s="10"/>
      <c r="LTQ373" s="21"/>
      <c r="LTR373" s="21"/>
      <c r="LTU373" s="21"/>
      <c r="LTV373" s="15"/>
      <c r="LTW373" s="15"/>
      <c r="LTX373" s="15"/>
      <c r="LTY373" s="15"/>
      <c r="LTZ373" s="15"/>
      <c r="LUA373" s="15"/>
      <c r="LUB373" s="15"/>
      <c r="LUC373" s="15"/>
      <c r="LUD373" s="15"/>
      <c r="LUE373" s="15"/>
      <c r="LUF373" s="10"/>
      <c r="LUG373" s="10"/>
      <c r="LUH373" s="21"/>
      <c r="LUI373" s="21"/>
      <c r="LUL373" s="21"/>
      <c r="LUM373" s="15"/>
      <c r="LUN373" s="15"/>
      <c r="LUO373" s="15"/>
      <c r="LUP373" s="15"/>
      <c r="LUQ373" s="15"/>
      <c r="LUR373" s="15"/>
      <c r="LUS373" s="15"/>
      <c r="LUT373" s="15"/>
      <c r="LUU373" s="15"/>
      <c r="LUV373" s="15"/>
      <c r="LUW373" s="10"/>
      <c r="LUX373" s="10"/>
      <c r="LUY373" s="21"/>
      <c r="LUZ373" s="21"/>
      <c r="LVC373" s="21"/>
      <c r="LVD373" s="15"/>
      <c r="LVE373" s="15"/>
      <c r="LVF373" s="15"/>
      <c r="LVG373" s="15"/>
      <c r="LVH373" s="15"/>
      <c r="LVI373" s="15"/>
      <c r="LVJ373" s="15"/>
      <c r="LVK373" s="15"/>
      <c r="LVL373" s="15"/>
      <c r="LVM373" s="15"/>
      <c r="LVN373" s="10"/>
      <c r="LVO373" s="10"/>
      <c r="LVP373" s="21"/>
      <c r="LVQ373" s="21"/>
      <c r="LVT373" s="21"/>
      <c r="LVU373" s="15"/>
      <c r="LVV373" s="15"/>
      <c r="LVW373" s="15"/>
      <c r="LVX373" s="15"/>
      <c r="LVY373" s="15"/>
      <c r="LVZ373" s="15"/>
      <c r="LWA373" s="15"/>
      <c r="LWB373" s="15"/>
      <c r="LWC373" s="15"/>
      <c r="LWD373" s="15"/>
      <c r="LWE373" s="10"/>
      <c r="LWF373" s="10"/>
      <c r="LWG373" s="21"/>
      <c r="LWH373" s="21"/>
      <c r="LWK373" s="21"/>
      <c r="LWL373" s="15"/>
      <c r="LWM373" s="15"/>
      <c r="LWN373" s="15"/>
      <c r="LWO373" s="15"/>
      <c r="LWP373" s="15"/>
      <c r="LWQ373" s="15"/>
      <c r="LWR373" s="15"/>
      <c r="LWS373" s="15"/>
      <c r="LWT373" s="15"/>
      <c r="LWU373" s="15"/>
      <c r="LWV373" s="10"/>
      <c r="LWW373" s="10"/>
      <c r="LWX373" s="21"/>
      <c r="LWY373" s="21"/>
      <c r="LXB373" s="21"/>
      <c r="LXC373" s="15"/>
      <c r="LXD373" s="15"/>
      <c r="LXE373" s="15"/>
      <c r="LXF373" s="15"/>
      <c r="LXG373" s="15"/>
      <c r="LXH373" s="15"/>
      <c r="LXI373" s="15"/>
      <c r="LXJ373" s="15"/>
      <c r="LXK373" s="15"/>
      <c r="LXL373" s="15"/>
      <c r="LXM373" s="10"/>
      <c r="LXN373" s="10"/>
      <c r="LXO373" s="21"/>
      <c r="LXP373" s="21"/>
      <c r="LXS373" s="21"/>
      <c r="LXT373" s="15"/>
      <c r="LXU373" s="15"/>
      <c r="LXV373" s="15"/>
      <c r="LXW373" s="15"/>
      <c r="LXX373" s="15"/>
      <c r="LXY373" s="15"/>
      <c r="LXZ373" s="15"/>
      <c r="LYA373" s="15"/>
      <c r="LYB373" s="15"/>
      <c r="LYC373" s="15"/>
      <c r="LYD373" s="10"/>
      <c r="LYE373" s="10"/>
      <c r="LYF373" s="21"/>
      <c r="LYG373" s="21"/>
      <c r="LYJ373" s="21"/>
      <c r="LYK373" s="15"/>
      <c r="LYL373" s="15"/>
      <c r="LYM373" s="15"/>
      <c r="LYN373" s="15"/>
      <c r="LYO373" s="15"/>
      <c r="LYP373" s="15"/>
      <c r="LYQ373" s="15"/>
      <c r="LYR373" s="15"/>
      <c r="LYS373" s="15"/>
      <c r="LYT373" s="15"/>
      <c r="LYU373" s="10"/>
      <c r="LYV373" s="10"/>
      <c r="LYW373" s="21"/>
      <c r="LYX373" s="21"/>
      <c r="LZA373" s="21"/>
      <c r="LZB373" s="15"/>
      <c r="LZC373" s="15"/>
      <c r="LZD373" s="15"/>
      <c r="LZE373" s="15"/>
      <c r="LZF373" s="15"/>
      <c r="LZG373" s="15"/>
      <c r="LZH373" s="15"/>
      <c r="LZI373" s="15"/>
      <c r="LZJ373" s="15"/>
      <c r="LZK373" s="15"/>
      <c r="LZL373" s="10"/>
      <c r="LZM373" s="10"/>
      <c r="LZN373" s="21"/>
      <c r="LZO373" s="21"/>
      <c r="LZR373" s="21"/>
      <c r="LZS373" s="15"/>
      <c r="LZT373" s="15"/>
      <c r="LZU373" s="15"/>
      <c r="LZV373" s="15"/>
      <c r="LZW373" s="15"/>
      <c r="LZX373" s="15"/>
      <c r="LZY373" s="15"/>
      <c r="LZZ373" s="15"/>
      <c r="MAA373" s="15"/>
      <c r="MAB373" s="15"/>
      <c r="MAC373" s="10"/>
      <c r="MAD373" s="10"/>
      <c r="MAE373" s="21"/>
      <c r="MAF373" s="21"/>
      <c r="MAI373" s="21"/>
      <c r="MAJ373" s="15"/>
      <c r="MAK373" s="15"/>
      <c r="MAL373" s="15"/>
      <c r="MAM373" s="15"/>
      <c r="MAN373" s="15"/>
      <c r="MAO373" s="15"/>
      <c r="MAP373" s="15"/>
      <c r="MAQ373" s="15"/>
      <c r="MAR373" s="15"/>
      <c r="MAS373" s="15"/>
      <c r="MAT373" s="10"/>
      <c r="MAU373" s="10"/>
      <c r="MAV373" s="21"/>
      <c r="MAW373" s="21"/>
      <c r="MAZ373" s="21"/>
      <c r="MBA373" s="15"/>
      <c r="MBB373" s="15"/>
      <c r="MBC373" s="15"/>
      <c r="MBD373" s="15"/>
      <c r="MBE373" s="15"/>
      <c r="MBF373" s="15"/>
      <c r="MBG373" s="15"/>
      <c r="MBH373" s="15"/>
      <c r="MBI373" s="15"/>
      <c r="MBJ373" s="15"/>
      <c r="MBK373" s="10"/>
      <c r="MBL373" s="10"/>
      <c r="MBM373" s="21"/>
      <c r="MBN373" s="21"/>
      <c r="MBQ373" s="21"/>
      <c r="MBR373" s="15"/>
      <c r="MBS373" s="15"/>
      <c r="MBT373" s="15"/>
      <c r="MBU373" s="15"/>
      <c r="MBV373" s="15"/>
      <c r="MBW373" s="15"/>
      <c r="MBX373" s="15"/>
      <c r="MBY373" s="15"/>
      <c r="MBZ373" s="15"/>
      <c r="MCA373" s="15"/>
      <c r="MCB373" s="10"/>
      <c r="MCC373" s="10"/>
      <c r="MCD373" s="21"/>
      <c r="MCE373" s="21"/>
      <c r="MCH373" s="21"/>
      <c r="MCI373" s="15"/>
      <c r="MCJ373" s="15"/>
      <c r="MCK373" s="15"/>
      <c r="MCL373" s="15"/>
      <c r="MCM373" s="15"/>
      <c r="MCN373" s="15"/>
      <c r="MCO373" s="15"/>
      <c r="MCP373" s="15"/>
      <c r="MCQ373" s="15"/>
      <c r="MCR373" s="15"/>
      <c r="MCS373" s="10"/>
      <c r="MCT373" s="10"/>
      <c r="MCU373" s="21"/>
      <c r="MCV373" s="21"/>
      <c r="MCY373" s="21"/>
      <c r="MCZ373" s="15"/>
      <c r="MDA373" s="15"/>
      <c r="MDB373" s="15"/>
      <c r="MDC373" s="15"/>
      <c r="MDD373" s="15"/>
      <c r="MDE373" s="15"/>
      <c r="MDF373" s="15"/>
      <c r="MDG373" s="15"/>
      <c r="MDH373" s="15"/>
      <c r="MDI373" s="15"/>
      <c r="MDJ373" s="10"/>
      <c r="MDK373" s="10"/>
      <c r="MDL373" s="21"/>
      <c r="MDM373" s="21"/>
      <c r="MDP373" s="21"/>
      <c r="MDQ373" s="15"/>
      <c r="MDR373" s="15"/>
      <c r="MDS373" s="15"/>
      <c r="MDT373" s="15"/>
      <c r="MDU373" s="15"/>
      <c r="MDV373" s="15"/>
      <c r="MDW373" s="15"/>
      <c r="MDX373" s="15"/>
      <c r="MDY373" s="15"/>
      <c r="MDZ373" s="15"/>
      <c r="MEA373" s="10"/>
      <c r="MEB373" s="10"/>
      <c r="MEC373" s="21"/>
      <c r="MED373" s="21"/>
      <c r="MEG373" s="21"/>
      <c r="MEH373" s="15"/>
      <c r="MEI373" s="15"/>
      <c r="MEJ373" s="15"/>
      <c r="MEK373" s="15"/>
      <c r="MEL373" s="15"/>
      <c r="MEM373" s="15"/>
      <c r="MEN373" s="15"/>
      <c r="MEO373" s="15"/>
      <c r="MEP373" s="15"/>
      <c r="MEQ373" s="15"/>
      <c r="MER373" s="10"/>
      <c r="MES373" s="10"/>
      <c r="MET373" s="21"/>
      <c r="MEU373" s="21"/>
      <c r="MEX373" s="21"/>
      <c r="MEY373" s="15"/>
      <c r="MEZ373" s="15"/>
      <c r="MFA373" s="15"/>
      <c r="MFB373" s="15"/>
      <c r="MFC373" s="15"/>
      <c r="MFD373" s="15"/>
      <c r="MFE373" s="15"/>
      <c r="MFF373" s="15"/>
      <c r="MFG373" s="15"/>
      <c r="MFH373" s="15"/>
      <c r="MFI373" s="10"/>
      <c r="MFJ373" s="10"/>
      <c r="MFK373" s="21"/>
      <c r="MFL373" s="21"/>
      <c r="MFO373" s="21"/>
      <c r="MFP373" s="15"/>
      <c r="MFQ373" s="15"/>
      <c r="MFR373" s="15"/>
      <c r="MFS373" s="15"/>
      <c r="MFT373" s="15"/>
      <c r="MFU373" s="15"/>
      <c r="MFV373" s="15"/>
      <c r="MFW373" s="15"/>
      <c r="MFX373" s="15"/>
      <c r="MFY373" s="15"/>
      <c r="MFZ373" s="10"/>
      <c r="MGA373" s="10"/>
      <c r="MGB373" s="21"/>
      <c r="MGC373" s="21"/>
      <c r="MGF373" s="21"/>
      <c r="MGG373" s="15"/>
      <c r="MGH373" s="15"/>
      <c r="MGI373" s="15"/>
      <c r="MGJ373" s="15"/>
      <c r="MGK373" s="15"/>
      <c r="MGL373" s="15"/>
      <c r="MGM373" s="15"/>
      <c r="MGN373" s="15"/>
      <c r="MGO373" s="15"/>
      <c r="MGP373" s="15"/>
      <c r="MGQ373" s="10"/>
      <c r="MGR373" s="10"/>
      <c r="MGS373" s="21"/>
      <c r="MGT373" s="21"/>
      <c r="MGW373" s="21"/>
      <c r="MGX373" s="15"/>
      <c r="MGY373" s="15"/>
      <c r="MGZ373" s="15"/>
      <c r="MHA373" s="15"/>
      <c r="MHB373" s="15"/>
      <c r="MHC373" s="15"/>
      <c r="MHD373" s="15"/>
      <c r="MHE373" s="15"/>
      <c r="MHF373" s="15"/>
      <c r="MHG373" s="15"/>
      <c r="MHH373" s="10"/>
      <c r="MHI373" s="10"/>
      <c r="MHJ373" s="21"/>
      <c r="MHK373" s="21"/>
      <c r="MHN373" s="21"/>
      <c r="MHO373" s="15"/>
      <c r="MHP373" s="15"/>
      <c r="MHQ373" s="15"/>
      <c r="MHR373" s="15"/>
      <c r="MHS373" s="15"/>
      <c r="MHT373" s="15"/>
      <c r="MHU373" s="15"/>
      <c r="MHV373" s="15"/>
      <c r="MHW373" s="15"/>
      <c r="MHX373" s="15"/>
      <c r="MHY373" s="10"/>
      <c r="MHZ373" s="10"/>
      <c r="MIA373" s="21"/>
      <c r="MIB373" s="21"/>
      <c r="MIE373" s="21"/>
      <c r="MIF373" s="15"/>
      <c r="MIG373" s="15"/>
      <c r="MIH373" s="15"/>
      <c r="MII373" s="15"/>
      <c r="MIJ373" s="15"/>
      <c r="MIK373" s="15"/>
      <c r="MIL373" s="15"/>
      <c r="MIM373" s="15"/>
      <c r="MIN373" s="15"/>
      <c r="MIO373" s="15"/>
      <c r="MIP373" s="10"/>
      <c r="MIQ373" s="10"/>
      <c r="MIR373" s="21"/>
      <c r="MIS373" s="21"/>
      <c r="MIV373" s="21"/>
      <c r="MIW373" s="15"/>
      <c r="MIX373" s="15"/>
      <c r="MIY373" s="15"/>
      <c r="MIZ373" s="15"/>
      <c r="MJA373" s="15"/>
      <c r="MJB373" s="15"/>
      <c r="MJC373" s="15"/>
      <c r="MJD373" s="15"/>
      <c r="MJE373" s="15"/>
      <c r="MJF373" s="15"/>
      <c r="MJG373" s="10"/>
      <c r="MJH373" s="10"/>
      <c r="MJI373" s="21"/>
      <c r="MJJ373" s="21"/>
      <c r="MJM373" s="21"/>
      <c r="MJN373" s="15"/>
      <c r="MJO373" s="15"/>
      <c r="MJP373" s="15"/>
      <c r="MJQ373" s="15"/>
      <c r="MJR373" s="15"/>
      <c r="MJS373" s="15"/>
      <c r="MJT373" s="15"/>
      <c r="MJU373" s="15"/>
      <c r="MJV373" s="15"/>
      <c r="MJW373" s="15"/>
      <c r="MJX373" s="10"/>
      <c r="MJY373" s="10"/>
      <c r="MJZ373" s="21"/>
      <c r="MKA373" s="21"/>
      <c r="MKD373" s="21"/>
      <c r="MKE373" s="15"/>
      <c r="MKF373" s="15"/>
      <c r="MKG373" s="15"/>
      <c r="MKH373" s="15"/>
      <c r="MKI373" s="15"/>
      <c r="MKJ373" s="15"/>
      <c r="MKK373" s="15"/>
      <c r="MKL373" s="15"/>
      <c r="MKM373" s="15"/>
      <c r="MKN373" s="15"/>
      <c r="MKO373" s="10"/>
      <c r="MKP373" s="10"/>
      <c r="MKQ373" s="21"/>
      <c r="MKR373" s="21"/>
      <c r="MKU373" s="21"/>
      <c r="MKV373" s="15"/>
      <c r="MKW373" s="15"/>
      <c r="MKX373" s="15"/>
      <c r="MKY373" s="15"/>
      <c r="MKZ373" s="15"/>
      <c r="MLA373" s="15"/>
      <c r="MLB373" s="15"/>
      <c r="MLC373" s="15"/>
      <c r="MLD373" s="15"/>
      <c r="MLE373" s="15"/>
      <c r="MLF373" s="10"/>
      <c r="MLG373" s="10"/>
      <c r="MLH373" s="21"/>
      <c r="MLI373" s="21"/>
      <c r="MLL373" s="21"/>
      <c r="MLM373" s="15"/>
      <c r="MLN373" s="15"/>
      <c r="MLO373" s="15"/>
      <c r="MLP373" s="15"/>
      <c r="MLQ373" s="15"/>
      <c r="MLR373" s="15"/>
      <c r="MLS373" s="15"/>
      <c r="MLT373" s="15"/>
      <c r="MLU373" s="15"/>
      <c r="MLV373" s="15"/>
      <c r="MLW373" s="10"/>
      <c r="MLX373" s="10"/>
      <c r="MLY373" s="21"/>
      <c r="MLZ373" s="21"/>
      <c r="MMC373" s="21"/>
      <c r="MMD373" s="15"/>
      <c r="MME373" s="15"/>
      <c r="MMF373" s="15"/>
      <c r="MMG373" s="15"/>
      <c r="MMH373" s="15"/>
      <c r="MMI373" s="15"/>
      <c r="MMJ373" s="15"/>
      <c r="MMK373" s="15"/>
      <c r="MML373" s="15"/>
      <c r="MMM373" s="15"/>
      <c r="MMN373" s="10"/>
      <c r="MMO373" s="10"/>
      <c r="MMP373" s="21"/>
      <c r="MMQ373" s="21"/>
      <c r="MMT373" s="21"/>
      <c r="MMU373" s="15"/>
      <c r="MMV373" s="15"/>
      <c r="MMW373" s="15"/>
      <c r="MMX373" s="15"/>
      <c r="MMY373" s="15"/>
      <c r="MMZ373" s="15"/>
      <c r="MNA373" s="15"/>
      <c r="MNB373" s="15"/>
      <c r="MNC373" s="15"/>
      <c r="MND373" s="15"/>
      <c r="MNE373" s="10"/>
      <c r="MNF373" s="10"/>
      <c r="MNG373" s="21"/>
      <c r="MNH373" s="21"/>
      <c r="MNK373" s="21"/>
      <c r="MNL373" s="15"/>
      <c r="MNM373" s="15"/>
      <c r="MNN373" s="15"/>
      <c r="MNO373" s="15"/>
      <c r="MNP373" s="15"/>
      <c r="MNQ373" s="15"/>
      <c r="MNR373" s="15"/>
      <c r="MNS373" s="15"/>
      <c r="MNT373" s="15"/>
      <c r="MNU373" s="15"/>
      <c r="MNV373" s="10"/>
      <c r="MNW373" s="10"/>
      <c r="MNX373" s="21"/>
      <c r="MNY373" s="21"/>
      <c r="MOB373" s="21"/>
      <c r="MOC373" s="15"/>
      <c r="MOD373" s="15"/>
      <c r="MOE373" s="15"/>
      <c r="MOF373" s="15"/>
      <c r="MOG373" s="15"/>
      <c r="MOH373" s="15"/>
      <c r="MOI373" s="15"/>
      <c r="MOJ373" s="15"/>
      <c r="MOK373" s="15"/>
      <c r="MOL373" s="15"/>
      <c r="MOM373" s="10"/>
      <c r="MON373" s="10"/>
      <c r="MOO373" s="21"/>
      <c r="MOP373" s="21"/>
      <c r="MOS373" s="21"/>
      <c r="MOT373" s="15"/>
      <c r="MOU373" s="15"/>
      <c r="MOV373" s="15"/>
      <c r="MOW373" s="15"/>
      <c r="MOX373" s="15"/>
      <c r="MOY373" s="15"/>
      <c r="MOZ373" s="15"/>
      <c r="MPA373" s="15"/>
      <c r="MPB373" s="15"/>
      <c r="MPC373" s="15"/>
      <c r="MPD373" s="10"/>
      <c r="MPE373" s="10"/>
      <c r="MPF373" s="21"/>
      <c r="MPG373" s="21"/>
      <c r="MPJ373" s="21"/>
      <c r="MPK373" s="15"/>
      <c r="MPL373" s="15"/>
      <c r="MPM373" s="15"/>
      <c r="MPN373" s="15"/>
      <c r="MPO373" s="15"/>
      <c r="MPP373" s="15"/>
      <c r="MPQ373" s="15"/>
      <c r="MPR373" s="15"/>
      <c r="MPS373" s="15"/>
      <c r="MPT373" s="15"/>
      <c r="MPU373" s="10"/>
      <c r="MPV373" s="10"/>
      <c r="MPW373" s="21"/>
      <c r="MPX373" s="21"/>
      <c r="MQA373" s="21"/>
      <c r="MQB373" s="15"/>
      <c r="MQC373" s="15"/>
      <c r="MQD373" s="15"/>
      <c r="MQE373" s="15"/>
      <c r="MQF373" s="15"/>
      <c r="MQG373" s="15"/>
      <c r="MQH373" s="15"/>
      <c r="MQI373" s="15"/>
      <c r="MQJ373" s="15"/>
      <c r="MQK373" s="15"/>
      <c r="MQL373" s="10"/>
      <c r="MQM373" s="10"/>
      <c r="MQN373" s="21"/>
      <c r="MQO373" s="21"/>
      <c r="MQR373" s="21"/>
      <c r="MQS373" s="15"/>
      <c r="MQT373" s="15"/>
      <c r="MQU373" s="15"/>
      <c r="MQV373" s="15"/>
      <c r="MQW373" s="15"/>
      <c r="MQX373" s="15"/>
      <c r="MQY373" s="15"/>
      <c r="MQZ373" s="15"/>
      <c r="MRA373" s="15"/>
      <c r="MRB373" s="15"/>
      <c r="MRC373" s="10"/>
      <c r="MRD373" s="10"/>
      <c r="MRE373" s="21"/>
      <c r="MRF373" s="21"/>
      <c r="MRI373" s="21"/>
      <c r="MRJ373" s="15"/>
      <c r="MRK373" s="15"/>
      <c r="MRL373" s="15"/>
      <c r="MRM373" s="15"/>
      <c r="MRN373" s="15"/>
      <c r="MRO373" s="15"/>
      <c r="MRP373" s="15"/>
      <c r="MRQ373" s="15"/>
      <c r="MRR373" s="15"/>
      <c r="MRS373" s="15"/>
      <c r="MRT373" s="10"/>
      <c r="MRU373" s="10"/>
      <c r="MRV373" s="21"/>
      <c r="MRW373" s="21"/>
      <c r="MRZ373" s="21"/>
      <c r="MSA373" s="15"/>
      <c r="MSB373" s="15"/>
      <c r="MSC373" s="15"/>
      <c r="MSD373" s="15"/>
      <c r="MSE373" s="15"/>
      <c r="MSF373" s="15"/>
      <c r="MSG373" s="15"/>
      <c r="MSH373" s="15"/>
      <c r="MSI373" s="15"/>
      <c r="MSJ373" s="15"/>
      <c r="MSK373" s="10"/>
      <c r="MSL373" s="10"/>
      <c r="MSM373" s="21"/>
      <c r="MSN373" s="21"/>
      <c r="MSQ373" s="21"/>
      <c r="MSR373" s="15"/>
      <c r="MSS373" s="15"/>
      <c r="MST373" s="15"/>
      <c r="MSU373" s="15"/>
      <c r="MSV373" s="15"/>
      <c r="MSW373" s="15"/>
      <c r="MSX373" s="15"/>
      <c r="MSY373" s="15"/>
      <c r="MSZ373" s="15"/>
      <c r="MTA373" s="15"/>
      <c r="MTB373" s="10"/>
      <c r="MTC373" s="10"/>
      <c r="MTD373" s="21"/>
      <c r="MTE373" s="21"/>
      <c r="MTH373" s="21"/>
      <c r="MTI373" s="15"/>
      <c r="MTJ373" s="15"/>
      <c r="MTK373" s="15"/>
      <c r="MTL373" s="15"/>
      <c r="MTM373" s="15"/>
      <c r="MTN373" s="15"/>
      <c r="MTO373" s="15"/>
      <c r="MTP373" s="15"/>
      <c r="MTQ373" s="15"/>
      <c r="MTR373" s="15"/>
      <c r="MTS373" s="10"/>
      <c r="MTT373" s="10"/>
      <c r="MTU373" s="21"/>
      <c r="MTV373" s="21"/>
      <c r="MTY373" s="21"/>
      <c r="MTZ373" s="15"/>
      <c r="MUA373" s="15"/>
      <c r="MUB373" s="15"/>
      <c r="MUC373" s="15"/>
      <c r="MUD373" s="15"/>
      <c r="MUE373" s="15"/>
      <c r="MUF373" s="15"/>
      <c r="MUG373" s="15"/>
      <c r="MUH373" s="15"/>
      <c r="MUI373" s="15"/>
      <c r="MUJ373" s="10"/>
      <c r="MUK373" s="10"/>
      <c r="MUL373" s="21"/>
      <c r="MUM373" s="21"/>
      <c r="MUP373" s="21"/>
      <c r="MUQ373" s="15"/>
      <c r="MUR373" s="15"/>
      <c r="MUS373" s="15"/>
      <c r="MUT373" s="15"/>
      <c r="MUU373" s="15"/>
      <c r="MUV373" s="15"/>
      <c r="MUW373" s="15"/>
      <c r="MUX373" s="15"/>
      <c r="MUY373" s="15"/>
      <c r="MUZ373" s="15"/>
      <c r="MVA373" s="10"/>
      <c r="MVB373" s="10"/>
      <c r="MVC373" s="21"/>
      <c r="MVD373" s="21"/>
      <c r="MVG373" s="21"/>
      <c r="MVH373" s="15"/>
      <c r="MVI373" s="15"/>
      <c r="MVJ373" s="15"/>
      <c r="MVK373" s="15"/>
      <c r="MVL373" s="15"/>
      <c r="MVM373" s="15"/>
      <c r="MVN373" s="15"/>
      <c r="MVO373" s="15"/>
      <c r="MVP373" s="15"/>
      <c r="MVQ373" s="15"/>
      <c r="MVR373" s="10"/>
      <c r="MVS373" s="10"/>
      <c r="MVT373" s="21"/>
      <c r="MVU373" s="21"/>
      <c r="MVX373" s="21"/>
      <c r="MVY373" s="15"/>
      <c r="MVZ373" s="15"/>
      <c r="MWA373" s="15"/>
      <c r="MWB373" s="15"/>
      <c r="MWC373" s="15"/>
      <c r="MWD373" s="15"/>
      <c r="MWE373" s="15"/>
      <c r="MWF373" s="15"/>
      <c r="MWG373" s="15"/>
      <c r="MWH373" s="15"/>
      <c r="MWI373" s="10"/>
      <c r="MWJ373" s="10"/>
      <c r="MWK373" s="21"/>
      <c r="MWL373" s="21"/>
      <c r="MWO373" s="21"/>
      <c r="MWP373" s="15"/>
      <c r="MWQ373" s="15"/>
      <c r="MWR373" s="15"/>
      <c r="MWS373" s="15"/>
      <c r="MWT373" s="15"/>
      <c r="MWU373" s="15"/>
      <c r="MWV373" s="15"/>
      <c r="MWW373" s="15"/>
      <c r="MWX373" s="15"/>
      <c r="MWY373" s="15"/>
      <c r="MWZ373" s="10"/>
      <c r="MXA373" s="10"/>
      <c r="MXB373" s="21"/>
      <c r="MXC373" s="21"/>
      <c r="MXF373" s="21"/>
      <c r="MXG373" s="15"/>
      <c r="MXH373" s="15"/>
      <c r="MXI373" s="15"/>
      <c r="MXJ373" s="15"/>
      <c r="MXK373" s="15"/>
      <c r="MXL373" s="15"/>
      <c r="MXM373" s="15"/>
      <c r="MXN373" s="15"/>
      <c r="MXO373" s="15"/>
      <c r="MXP373" s="15"/>
      <c r="MXQ373" s="10"/>
      <c r="MXR373" s="10"/>
      <c r="MXS373" s="21"/>
      <c r="MXT373" s="21"/>
      <c r="MXW373" s="21"/>
      <c r="MXX373" s="15"/>
      <c r="MXY373" s="15"/>
      <c r="MXZ373" s="15"/>
      <c r="MYA373" s="15"/>
      <c r="MYB373" s="15"/>
      <c r="MYC373" s="15"/>
      <c r="MYD373" s="15"/>
      <c r="MYE373" s="15"/>
      <c r="MYF373" s="15"/>
      <c r="MYG373" s="15"/>
      <c r="MYH373" s="10"/>
      <c r="MYI373" s="10"/>
      <c r="MYJ373" s="21"/>
      <c r="MYK373" s="21"/>
      <c r="MYN373" s="21"/>
      <c r="MYO373" s="15"/>
      <c r="MYP373" s="15"/>
      <c r="MYQ373" s="15"/>
      <c r="MYR373" s="15"/>
      <c r="MYS373" s="15"/>
      <c r="MYT373" s="15"/>
      <c r="MYU373" s="15"/>
      <c r="MYV373" s="15"/>
      <c r="MYW373" s="15"/>
      <c r="MYX373" s="15"/>
      <c r="MYY373" s="10"/>
      <c r="MYZ373" s="10"/>
      <c r="MZA373" s="21"/>
      <c r="MZB373" s="21"/>
      <c r="MZE373" s="21"/>
      <c r="MZF373" s="15"/>
      <c r="MZG373" s="15"/>
      <c r="MZH373" s="15"/>
      <c r="MZI373" s="15"/>
      <c r="MZJ373" s="15"/>
      <c r="MZK373" s="15"/>
      <c r="MZL373" s="15"/>
      <c r="MZM373" s="15"/>
      <c r="MZN373" s="15"/>
      <c r="MZO373" s="15"/>
      <c r="MZP373" s="10"/>
      <c r="MZQ373" s="10"/>
      <c r="MZR373" s="21"/>
      <c r="MZS373" s="21"/>
      <c r="MZV373" s="21"/>
      <c r="MZW373" s="15"/>
      <c r="MZX373" s="15"/>
      <c r="MZY373" s="15"/>
      <c r="MZZ373" s="15"/>
      <c r="NAA373" s="15"/>
      <c r="NAB373" s="15"/>
      <c r="NAC373" s="15"/>
      <c r="NAD373" s="15"/>
      <c r="NAE373" s="15"/>
      <c r="NAF373" s="15"/>
      <c r="NAG373" s="10"/>
      <c r="NAH373" s="10"/>
      <c r="NAI373" s="21"/>
      <c r="NAJ373" s="21"/>
      <c r="NAM373" s="21"/>
      <c r="NAN373" s="15"/>
      <c r="NAO373" s="15"/>
      <c r="NAP373" s="15"/>
      <c r="NAQ373" s="15"/>
      <c r="NAR373" s="15"/>
      <c r="NAS373" s="15"/>
      <c r="NAT373" s="15"/>
      <c r="NAU373" s="15"/>
      <c r="NAV373" s="15"/>
      <c r="NAW373" s="15"/>
      <c r="NAX373" s="10"/>
      <c r="NAY373" s="10"/>
      <c r="NAZ373" s="21"/>
      <c r="NBA373" s="21"/>
      <c r="NBD373" s="21"/>
      <c r="NBE373" s="15"/>
      <c r="NBF373" s="15"/>
      <c r="NBG373" s="15"/>
      <c r="NBH373" s="15"/>
      <c r="NBI373" s="15"/>
      <c r="NBJ373" s="15"/>
      <c r="NBK373" s="15"/>
      <c r="NBL373" s="15"/>
      <c r="NBM373" s="15"/>
      <c r="NBN373" s="15"/>
      <c r="NBO373" s="10"/>
      <c r="NBP373" s="10"/>
      <c r="NBQ373" s="21"/>
      <c r="NBR373" s="21"/>
      <c r="NBU373" s="21"/>
      <c r="NBV373" s="15"/>
      <c r="NBW373" s="15"/>
      <c r="NBX373" s="15"/>
      <c r="NBY373" s="15"/>
      <c r="NBZ373" s="15"/>
      <c r="NCA373" s="15"/>
      <c r="NCB373" s="15"/>
      <c r="NCC373" s="15"/>
      <c r="NCD373" s="15"/>
      <c r="NCE373" s="15"/>
      <c r="NCF373" s="10"/>
      <c r="NCG373" s="10"/>
      <c r="NCH373" s="21"/>
      <c r="NCI373" s="21"/>
      <c r="NCL373" s="21"/>
      <c r="NCM373" s="15"/>
      <c r="NCN373" s="15"/>
      <c r="NCO373" s="15"/>
      <c r="NCP373" s="15"/>
      <c r="NCQ373" s="15"/>
      <c r="NCR373" s="15"/>
      <c r="NCS373" s="15"/>
      <c r="NCT373" s="15"/>
      <c r="NCU373" s="15"/>
      <c r="NCV373" s="15"/>
      <c r="NCW373" s="10"/>
      <c r="NCX373" s="10"/>
      <c r="NCY373" s="21"/>
      <c r="NCZ373" s="21"/>
      <c r="NDC373" s="21"/>
      <c r="NDD373" s="15"/>
      <c r="NDE373" s="15"/>
      <c r="NDF373" s="15"/>
      <c r="NDG373" s="15"/>
      <c r="NDH373" s="15"/>
      <c r="NDI373" s="15"/>
      <c r="NDJ373" s="15"/>
      <c r="NDK373" s="15"/>
      <c r="NDL373" s="15"/>
      <c r="NDM373" s="15"/>
      <c r="NDN373" s="10"/>
      <c r="NDO373" s="10"/>
      <c r="NDP373" s="21"/>
      <c r="NDQ373" s="21"/>
      <c r="NDT373" s="21"/>
      <c r="NDU373" s="15"/>
      <c r="NDV373" s="15"/>
      <c r="NDW373" s="15"/>
      <c r="NDX373" s="15"/>
      <c r="NDY373" s="15"/>
      <c r="NDZ373" s="15"/>
      <c r="NEA373" s="15"/>
      <c r="NEB373" s="15"/>
      <c r="NEC373" s="15"/>
      <c r="NED373" s="15"/>
      <c r="NEE373" s="10"/>
      <c r="NEF373" s="10"/>
      <c r="NEG373" s="21"/>
      <c r="NEH373" s="21"/>
      <c r="NEK373" s="21"/>
      <c r="NEL373" s="15"/>
      <c r="NEM373" s="15"/>
      <c r="NEN373" s="15"/>
      <c r="NEO373" s="15"/>
      <c r="NEP373" s="15"/>
      <c r="NEQ373" s="15"/>
      <c r="NER373" s="15"/>
      <c r="NES373" s="15"/>
      <c r="NET373" s="15"/>
      <c r="NEU373" s="15"/>
      <c r="NEV373" s="10"/>
      <c r="NEW373" s="10"/>
      <c r="NEX373" s="21"/>
      <c r="NEY373" s="21"/>
      <c r="NFB373" s="21"/>
      <c r="NFC373" s="15"/>
      <c r="NFD373" s="15"/>
      <c r="NFE373" s="15"/>
      <c r="NFF373" s="15"/>
      <c r="NFG373" s="15"/>
      <c r="NFH373" s="15"/>
      <c r="NFI373" s="15"/>
      <c r="NFJ373" s="15"/>
      <c r="NFK373" s="15"/>
      <c r="NFL373" s="15"/>
      <c r="NFM373" s="10"/>
      <c r="NFN373" s="10"/>
      <c r="NFO373" s="21"/>
      <c r="NFP373" s="21"/>
      <c r="NFS373" s="21"/>
      <c r="NFT373" s="15"/>
      <c r="NFU373" s="15"/>
      <c r="NFV373" s="15"/>
      <c r="NFW373" s="15"/>
      <c r="NFX373" s="15"/>
      <c r="NFY373" s="15"/>
      <c r="NFZ373" s="15"/>
      <c r="NGA373" s="15"/>
      <c r="NGB373" s="15"/>
      <c r="NGC373" s="15"/>
      <c r="NGD373" s="10"/>
      <c r="NGE373" s="10"/>
      <c r="NGF373" s="21"/>
      <c r="NGG373" s="21"/>
      <c r="NGJ373" s="21"/>
      <c r="NGK373" s="15"/>
      <c r="NGL373" s="15"/>
      <c r="NGM373" s="15"/>
      <c r="NGN373" s="15"/>
      <c r="NGO373" s="15"/>
      <c r="NGP373" s="15"/>
      <c r="NGQ373" s="15"/>
      <c r="NGR373" s="15"/>
      <c r="NGS373" s="15"/>
      <c r="NGT373" s="15"/>
      <c r="NGU373" s="10"/>
      <c r="NGV373" s="10"/>
      <c r="NGW373" s="21"/>
      <c r="NGX373" s="21"/>
      <c r="NHA373" s="21"/>
      <c r="NHB373" s="15"/>
      <c r="NHC373" s="15"/>
      <c r="NHD373" s="15"/>
      <c r="NHE373" s="15"/>
      <c r="NHF373" s="15"/>
      <c r="NHG373" s="15"/>
      <c r="NHH373" s="15"/>
      <c r="NHI373" s="15"/>
      <c r="NHJ373" s="15"/>
      <c r="NHK373" s="15"/>
      <c r="NHL373" s="10"/>
      <c r="NHM373" s="10"/>
      <c r="NHN373" s="21"/>
      <c r="NHO373" s="21"/>
      <c r="NHR373" s="21"/>
      <c r="NHS373" s="15"/>
      <c r="NHT373" s="15"/>
      <c r="NHU373" s="15"/>
      <c r="NHV373" s="15"/>
      <c r="NHW373" s="15"/>
      <c r="NHX373" s="15"/>
      <c r="NHY373" s="15"/>
      <c r="NHZ373" s="15"/>
      <c r="NIA373" s="15"/>
      <c r="NIB373" s="15"/>
      <c r="NIC373" s="10"/>
      <c r="NID373" s="10"/>
      <c r="NIE373" s="21"/>
      <c r="NIF373" s="21"/>
      <c r="NII373" s="21"/>
      <c r="NIJ373" s="15"/>
      <c r="NIK373" s="15"/>
      <c r="NIL373" s="15"/>
      <c r="NIM373" s="15"/>
      <c r="NIN373" s="15"/>
      <c r="NIO373" s="15"/>
      <c r="NIP373" s="15"/>
      <c r="NIQ373" s="15"/>
      <c r="NIR373" s="15"/>
      <c r="NIS373" s="15"/>
      <c r="NIT373" s="10"/>
      <c r="NIU373" s="10"/>
      <c r="NIV373" s="21"/>
      <c r="NIW373" s="21"/>
      <c r="NIZ373" s="21"/>
      <c r="NJA373" s="15"/>
      <c r="NJB373" s="15"/>
      <c r="NJC373" s="15"/>
      <c r="NJD373" s="15"/>
      <c r="NJE373" s="15"/>
      <c r="NJF373" s="15"/>
      <c r="NJG373" s="15"/>
      <c r="NJH373" s="15"/>
      <c r="NJI373" s="15"/>
      <c r="NJJ373" s="15"/>
      <c r="NJK373" s="10"/>
      <c r="NJL373" s="10"/>
      <c r="NJM373" s="21"/>
      <c r="NJN373" s="21"/>
      <c r="NJQ373" s="21"/>
      <c r="NJR373" s="15"/>
      <c r="NJS373" s="15"/>
      <c r="NJT373" s="15"/>
      <c r="NJU373" s="15"/>
      <c r="NJV373" s="15"/>
      <c r="NJW373" s="15"/>
      <c r="NJX373" s="15"/>
      <c r="NJY373" s="15"/>
      <c r="NJZ373" s="15"/>
      <c r="NKA373" s="15"/>
      <c r="NKB373" s="10"/>
      <c r="NKC373" s="10"/>
      <c r="NKD373" s="21"/>
      <c r="NKE373" s="21"/>
      <c r="NKH373" s="21"/>
      <c r="NKI373" s="15"/>
      <c r="NKJ373" s="15"/>
      <c r="NKK373" s="15"/>
      <c r="NKL373" s="15"/>
      <c r="NKM373" s="15"/>
      <c r="NKN373" s="15"/>
      <c r="NKO373" s="15"/>
      <c r="NKP373" s="15"/>
      <c r="NKQ373" s="15"/>
      <c r="NKR373" s="15"/>
      <c r="NKS373" s="10"/>
      <c r="NKT373" s="10"/>
      <c r="NKU373" s="21"/>
      <c r="NKV373" s="21"/>
      <c r="NKY373" s="21"/>
      <c r="NKZ373" s="15"/>
      <c r="NLA373" s="15"/>
      <c r="NLB373" s="15"/>
      <c r="NLC373" s="15"/>
      <c r="NLD373" s="15"/>
      <c r="NLE373" s="15"/>
      <c r="NLF373" s="15"/>
      <c r="NLG373" s="15"/>
      <c r="NLH373" s="15"/>
      <c r="NLI373" s="15"/>
      <c r="NLJ373" s="10"/>
      <c r="NLK373" s="10"/>
      <c r="NLL373" s="21"/>
      <c r="NLM373" s="21"/>
      <c r="NLP373" s="21"/>
      <c r="NLQ373" s="15"/>
      <c r="NLR373" s="15"/>
      <c r="NLS373" s="15"/>
      <c r="NLT373" s="15"/>
      <c r="NLU373" s="15"/>
      <c r="NLV373" s="15"/>
      <c r="NLW373" s="15"/>
      <c r="NLX373" s="15"/>
      <c r="NLY373" s="15"/>
      <c r="NLZ373" s="15"/>
      <c r="NMA373" s="10"/>
      <c r="NMB373" s="10"/>
      <c r="NMC373" s="21"/>
      <c r="NMD373" s="21"/>
      <c r="NMG373" s="21"/>
      <c r="NMH373" s="15"/>
      <c r="NMI373" s="15"/>
      <c r="NMJ373" s="15"/>
      <c r="NMK373" s="15"/>
      <c r="NML373" s="15"/>
      <c r="NMM373" s="15"/>
      <c r="NMN373" s="15"/>
      <c r="NMO373" s="15"/>
      <c r="NMP373" s="15"/>
      <c r="NMQ373" s="15"/>
      <c r="NMR373" s="10"/>
      <c r="NMS373" s="10"/>
      <c r="NMT373" s="21"/>
      <c r="NMU373" s="21"/>
      <c r="NMX373" s="21"/>
      <c r="NMY373" s="15"/>
      <c r="NMZ373" s="15"/>
      <c r="NNA373" s="15"/>
      <c r="NNB373" s="15"/>
      <c r="NNC373" s="15"/>
      <c r="NND373" s="15"/>
      <c r="NNE373" s="15"/>
      <c r="NNF373" s="15"/>
      <c r="NNG373" s="15"/>
      <c r="NNH373" s="15"/>
      <c r="NNI373" s="10"/>
      <c r="NNJ373" s="10"/>
      <c r="NNK373" s="21"/>
      <c r="NNL373" s="21"/>
      <c r="NNO373" s="21"/>
      <c r="NNP373" s="15"/>
      <c r="NNQ373" s="15"/>
      <c r="NNR373" s="15"/>
      <c r="NNS373" s="15"/>
      <c r="NNT373" s="15"/>
      <c r="NNU373" s="15"/>
      <c r="NNV373" s="15"/>
      <c r="NNW373" s="15"/>
      <c r="NNX373" s="15"/>
      <c r="NNY373" s="15"/>
      <c r="NNZ373" s="10"/>
      <c r="NOA373" s="10"/>
      <c r="NOB373" s="21"/>
      <c r="NOC373" s="21"/>
      <c r="NOF373" s="21"/>
      <c r="NOG373" s="15"/>
      <c r="NOH373" s="15"/>
      <c r="NOI373" s="15"/>
      <c r="NOJ373" s="15"/>
      <c r="NOK373" s="15"/>
      <c r="NOL373" s="15"/>
      <c r="NOM373" s="15"/>
      <c r="NON373" s="15"/>
      <c r="NOO373" s="15"/>
      <c r="NOP373" s="15"/>
      <c r="NOQ373" s="10"/>
      <c r="NOR373" s="10"/>
      <c r="NOS373" s="21"/>
      <c r="NOT373" s="21"/>
      <c r="NOW373" s="21"/>
      <c r="NOX373" s="15"/>
      <c r="NOY373" s="15"/>
      <c r="NOZ373" s="15"/>
      <c r="NPA373" s="15"/>
      <c r="NPB373" s="15"/>
      <c r="NPC373" s="15"/>
      <c r="NPD373" s="15"/>
      <c r="NPE373" s="15"/>
      <c r="NPF373" s="15"/>
      <c r="NPG373" s="15"/>
      <c r="NPH373" s="10"/>
      <c r="NPI373" s="10"/>
      <c r="NPJ373" s="21"/>
      <c r="NPK373" s="21"/>
      <c r="NPN373" s="21"/>
      <c r="NPO373" s="15"/>
      <c r="NPP373" s="15"/>
      <c r="NPQ373" s="15"/>
      <c r="NPR373" s="15"/>
      <c r="NPS373" s="15"/>
      <c r="NPT373" s="15"/>
      <c r="NPU373" s="15"/>
      <c r="NPV373" s="15"/>
      <c r="NPW373" s="15"/>
      <c r="NPX373" s="15"/>
      <c r="NPY373" s="10"/>
      <c r="NPZ373" s="10"/>
      <c r="NQA373" s="21"/>
      <c r="NQB373" s="21"/>
      <c r="NQE373" s="21"/>
      <c r="NQF373" s="15"/>
      <c r="NQG373" s="15"/>
      <c r="NQH373" s="15"/>
      <c r="NQI373" s="15"/>
      <c r="NQJ373" s="15"/>
      <c r="NQK373" s="15"/>
      <c r="NQL373" s="15"/>
      <c r="NQM373" s="15"/>
      <c r="NQN373" s="15"/>
      <c r="NQO373" s="15"/>
      <c r="NQP373" s="10"/>
      <c r="NQQ373" s="10"/>
      <c r="NQR373" s="21"/>
      <c r="NQS373" s="21"/>
      <c r="NQV373" s="21"/>
      <c r="NQW373" s="15"/>
      <c r="NQX373" s="15"/>
      <c r="NQY373" s="15"/>
      <c r="NQZ373" s="15"/>
      <c r="NRA373" s="15"/>
      <c r="NRB373" s="15"/>
      <c r="NRC373" s="15"/>
      <c r="NRD373" s="15"/>
      <c r="NRE373" s="15"/>
      <c r="NRF373" s="15"/>
      <c r="NRG373" s="10"/>
      <c r="NRH373" s="10"/>
      <c r="NRI373" s="21"/>
      <c r="NRJ373" s="21"/>
      <c r="NRM373" s="21"/>
      <c r="NRN373" s="15"/>
      <c r="NRO373" s="15"/>
      <c r="NRP373" s="15"/>
      <c r="NRQ373" s="15"/>
      <c r="NRR373" s="15"/>
      <c r="NRS373" s="15"/>
      <c r="NRT373" s="15"/>
      <c r="NRU373" s="15"/>
      <c r="NRV373" s="15"/>
      <c r="NRW373" s="15"/>
      <c r="NRX373" s="10"/>
      <c r="NRY373" s="10"/>
      <c r="NRZ373" s="21"/>
      <c r="NSA373" s="21"/>
      <c r="NSD373" s="21"/>
      <c r="NSE373" s="15"/>
      <c r="NSF373" s="15"/>
      <c r="NSG373" s="15"/>
      <c r="NSH373" s="15"/>
      <c r="NSI373" s="15"/>
      <c r="NSJ373" s="15"/>
      <c r="NSK373" s="15"/>
      <c r="NSL373" s="15"/>
      <c r="NSM373" s="15"/>
      <c r="NSN373" s="15"/>
      <c r="NSO373" s="10"/>
      <c r="NSP373" s="10"/>
      <c r="NSQ373" s="21"/>
      <c r="NSR373" s="21"/>
      <c r="NSU373" s="21"/>
      <c r="NSV373" s="15"/>
      <c r="NSW373" s="15"/>
      <c r="NSX373" s="15"/>
      <c r="NSY373" s="15"/>
      <c r="NSZ373" s="15"/>
      <c r="NTA373" s="15"/>
      <c r="NTB373" s="15"/>
      <c r="NTC373" s="15"/>
      <c r="NTD373" s="15"/>
      <c r="NTE373" s="15"/>
      <c r="NTF373" s="10"/>
      <c r="NTG373" s="10"/>
      <c r="NTH373" s="21"/>
      <c r="NTI373" s="21"/>
      <c r="NTL373" s="21"/>
      <c r="NTM373" s="15"/>
      <c r="NTN373" s="15"/>
      <c r="NTO373" s="15"/>
      <c r="NTP373" s="15"/>
      <c r="NTQ373" s="15"/>
      <c r="NTR373" s="15"/>
      <c r="NTS373" s="15"/>
      <c r="NTT373" s="15"/>
      <c r="NTU373" s="15"/>
      <c r="NTV373" s="15"/>
      <c r="NTW373" s="10"/>
      <c r="NTX373" s="10"/>
      <c r="NTY373" s="21"/>
      <c r="NTZ373" s="21"/>
      <c r="NUC373" s="21"/>
      <c r="NUD373" s="15"/>
      <c r="NUE373" s="15"/>
      <c r="NUF373" s="15"/>
      <c r="NUG373" s="15"/>
      <c r="NUH373" s="15"/>
      <c r="NUI373" s="15"/>
      <c r="NUJ373" s="15"/>
      <c r="NUK373" s="15"/>
      <c r="NUL373" s="15"/>
      <c r="NUM373" s="15"/>
      <c r="NUN373" s="10"/>
      <c r="NUO373" s="10"/>
      <c r="NUP373" s="21"/>
      <c r="NUQ373" s="21"/>
      <c r="NUT373" s="21"/>
      <c r="NUU373" s="15"/>
      <c r="NUV373" s="15"/>
      <c r="NUW373" s="15"/>
      <c r="NUX373" s="15"/>
      <c r="NUY373" s="15"/>
      <c r="NUZ373" s="15"/>
      <c r="NVA373" s="15"/>
      <c r="NVB373" s="15"/>
      <c r="NVC373" s="15"/>
      <c r="NVD373" s="15"/>
      <c r="NVE373" s="10"/>
      <c r="NVF373" s="10"/>
      <c r="NVG373" s="21"/>
      <c r="NVH373" s="21"/>
      <c r="NVK373" s="21"/>
      <c r="NVL373" s="15"/>
      <c r="NVM373" s="15"/>
      <c r="NVN373" s="15"/>
      <c r="NVO373" s="15"/>
      <c r="NVP373" s="15"/>
      <c r="NVQ373" s="15"/>
      <c r="NVR373" s="15"/>
      <c r="NVS373" s="15"/>
      <c r="NVT373" s="15"/>
      <c r="NVU373" s="15"/>
      <c r="NVV373" s="10"/>
      <c r="NVW373" s="10"/>
      <c r="NVX373" s="21"/>
      <c r="NVY373" s="21"/>
      <c r="NWB373" s="21"/>
      <c r="NWC373" s="15"/>
      <c r="NWD373" s="15"/>
      <c r="NWE373" s="15"/>
      <c r="NWF373" s="15"/>
      <c r="NWG373" s="15"/>
      <c r="NWH373" s="15"/>
      <c r="NWI373" s="15"/>
      <c r="NWJ373" s="15"/>
      <c r="NWK373" s="15"/>
      <c r="NWL373" s="15"/>
      <c r="NWM373" s="10"/>
      <c r="NWN373" s="10"/>
      <c r="NWO373" s="21"/>
      <c r="NWP373" s="21"/>
      <c r="NWS373" s="21"/>
      <c r="NWT373" s="15"/>
      <c r="NWU373" s="15"/>
      <c r="NWV373" s="15"/>
      <c r="NWW373" s="15"/>
      <c r="NWX373" s="15"/>
      <c r="NWY373" s="15"/>
      <c r="NWZ373" s="15"/>
      <c r="NXA373" s="15"/>
      <c r="NXB373" s="15"/>
      <c r="NXC373" s="15"/>
      <c r="NXD373" s="10"/>
      <c r="NXE373" s="10"/>
      <c r="NXF373" s="21"/>
      <c r="NXG373" s="21"/>
      <c r="NXJ373" s="21"/>
      <c r="NXK373" s="15"/>
      <c r="NXL373" s="15"/>
      <c r="NXM373" s="15"/>
      <c r="NXN373" s="15"/>
      <c r="NXO373" s="15"/>
      <c r="NXP373" s="15"/>
      <c r="NXQ373" s="15"/>
      <c r="NXR373" s="15"/>
      <c r="NXS373" s="15"/>
      <c r="NXT373" s="15"/>
      <c r="NXU373" s="10"/>
      <c r="NXV373" s="10"/>
      <c r="NXW373" s="21"/>
      <c r="NXX373" s="21"/>
      <c r="NYA373" s="21"/>
      <c r="NYB373" s="15"/>
      <c r="NYC373" s="15"/>
      <c r="NYD373" s="15"/>
      <c r="NYE373" s="15"/>
      <c r="NYF373" s="15"/>
      <c r="NYG373" s="15"/>
      <c r="NYH373" s="15"/>
      <c r="NYI373" s="15"/>
      <c r="NYJ373" s="15"/>
      <c r="NYK373" s="15"/>
      <c r="NYL373" s="10"/>
      <c r="NYM373" s="10"/>
      <c r="NYN373" s="21"/>
      <c r="NYO373" s="21"/>
      <c r="NYR373" s="21"/>
      <c r="NYS373" s="15"/>
      <c r="NYT373" s="15"/>
      <c r="NYU373" s="15"/>
      <c r="NYV373" s="15"/>
      <c r="NYW373" s="15"/>
      <c r="NYX373" s="15"/>
      <c r="NYY373" s="15"/>
      <c r="NYZ373" s="15"/>
      <c r="NZA373" s="15"/>
      <c r="NZB373" s="15"/>
      <c r="NZC373" s="10"/>
      <c r="NZD373" s="10"/>
      <c r="NZE373" s="21"/>
      <c r="NZF373" s="21"/>
      <c r="NZI373" s="21"/>
      <c r="NZJ373" s="15"/>
      <c r="NZK373" s="15"/>
      <c r="NZL373" s="15"/>
      <c r="NZM373" s="15"/>
      <c r="NZN373" s="15"/>
      <c r="NZO373" s="15"/>
      <c r="NZP373" s="15"/>
      <c r="NZQ373" s="15"/>
      <c r="NZR373" s="15"/>
      <c r="NZS373" s="15"/>
      <c r="NZT373" s="10"/>
      <c r="NZU373" s="10"/>
      <c r="NZV373" s="21"/>
      <c r="NZW373" s="21"/>
      <c r="NZZ373" s="21"/>
      <c r="OAA373" s="15"/>
      <c r="OAB373" s="15"/>
      <c r="OAC373" s="15"/>
      <c r="OAD373" s="15"/>
      <c r="OAE373" s="15"/>
      <c r="OAF373" s="15"/>
      <c r="OAG373" s="15"/>
      <c r="OAH373" s="15"/>
      <c r="OAI373" s="15"/>
      <c r="OAJ373" s="15"/>
      <c r="OAK373" s="10"/>
      <c r="OAL373" s="10"/>
      <c r="OAM373" s="21"/>
      <c r="OAN373" s="21"/>
      <c r="OAQ373" s="21"/>
      <c r="OAR373" s="15"/>
      <c r="OAS373" s="15"/>
      <c r="OAT373" s="15"/>
      <c r="OAU373" s="15"/>
      <c r="OAV373" s="15"/>
      <c r="OAW373" s="15"/>
      <c r="OAX373" s="15"/>
      <c r="OAY373" s="15"/>
      <c r="OAZ373" s="15"/>
      <c r="OBA373" s="15"/>
      <c r="OBB373" s="10"/>
      <c r="OBC373" s="10"/>
      <c r="OBD373" s="21"/>
      <c r="OBE373" s="21"/>
      <c r="OBH373" s="21"/>
      <c r="OBI373" s="15"/>
      <c r="OBJ373" s="15"/>
      <c r="OBK373" s="15"/>
      <c r="OBL373" s="15"/>
      <c r="OBM373" s="15"/>
      <c r="OBN373" s="15"/>
      <c r="OBO373" s="15"/>
      <c r="OBP373" s="15"/>
      <c r="OBQ373" s="15"/>
      <c r="OBR373" s="15"/>
      <c r="OBS373" s="10"/>
      <c r="OBT373" s="10"/>
      <c r="OBU373" s="21"/>
      <c r="OBV373" s="21"/>
      <c r="OBY373" s="21"/>
      <c r="OBZ373" s="15"/>
      <c r="OCA373" s="15"/>
      <c r="OCB373" s="15"/>
      <c r="OCC373" s="15"/>
      <c r="OCD373" s="15"/>
      <c r="OCE373" s="15"/>
      <c r="OCF373" s="15"/>
      <c r="OCG373" s="15"/>
      <c r="OCH373" s="15"/>
      <c r="OCI373" s="15"/>
      <c r="OCJ373" s="10"/>
      <c r="OCK373" s="10"/>
      <c r="OCL373" s="21"/>
      <c r="OCM373" s="21"/>
      <c r="OCP373" s="21"/>
      <c r="OCQ373" s="15"/>
      <c r="OCR373" s="15"/>
      <c r="OCS373" s="15"/>
      <c r="OCT373" s="15"/>
      <c r="OCU373" s="15"/>
      <c r="OCV373" s="15"/>
      <c r="OCW373" s="15"/>
      <c r="OCX373" s="15"/>
      <c r="OCY373" s="15"/>
      <c r="OCZ373" s="15"/>
      <c r="ODA373" s="10"/>
      <c r="ODB373" s="10"/>
      <c r="ODC373" s="21"/>
      <c r="ODD373" s="21"/>
      <c r="ODG373" s="21"/>
      <c r="ODH373" s="15"/>
      <c r="ODI373" s="15"/>
      <c r="ODJ373" s="15"/>
      <c r="ODK373" s="15"/>
      <c r="ODL373" s="15"/>
      <c r="ODM373" s="15"/>
      <c r="ODN373" s="15"/>
      <c r="ODO373" s="15"/>
      <c r="ODP373" s="15"/>
      <c r="ODQ373" s="15"/>
      <c r="ODR373" s="10"/>
      <c r="ODS373" s="10"/>
      <c r="ODT373" s="21"/>
      <c r="ODU373" s="21"/>
      <c r="ODX373" s="21"/>
      <c r="ODY373" s="15"/>
      <c r="ODZ373" s="15"/>
      <c r="OEA373" s="15"/>
      <c r="OEB373" s="15"/>
      <c r="OEC373" s="15"/>
      <c r="OED373" s="15"/>
      <c r="OEE373" s="15"/>
      <c r="OEF373" s="15"/>
      <c r="OEG373" s="15"/>
      <c r="OEH373" s="15"/>
      <c r="OEI373" s="10"/>
      <c r="OEJ373" s="10"/>
      <c r="OEK373" s="21"/>
      <c r="OEL373" s="21"/>
      <c r="OEO373" s="21"/>
      <c r="OEP373" s="15"/>
      <c r="OEQ373" s="15"/>
      <c r="OER373" s="15"/>
      <c r="OES373" s="15"/>
      <c r="OET373" s="15"/>
      <c r="OEU373" s="15"/>
      <c r="OEV373" s="15"/>
      <c r="OEW373" s="15"/>
      <c r="OEX373" s="15"/>
      <c r="OEY373" s="15"/>
      <c r="OEZ373" s="10"/>
      <c r="OFA373" s="10"/>
      <c r="OFB373" s="21"/>
      <c r="OFC373" s="21"/>
      <c r="OFF373" s="21"/>
      <c r="OFG373" s="15"/>
      <c r="OFH373" s="15"/>
      <c r="OFI373" s="15"/>
      <c r="OFJ373" s="15"/>
      <c r="OFK373" s="15"/>
      <c r="OFL373" s="15"/>
      <c r="OFM373" s="15"/>
      <c r="OFN373" s="15"/>
      <c r="OFO373" s="15"/>
      <c r="OFP373" s="15"/>
      <c r="OFQ373" s="10"/>
      <c r="OFR373" s="10"/>
      <c r="OFS373" s="21"/>
      <c r="OFT373" s="21"/>
      <c r="OFW373" s="21"/>
      <c r="OFX373" s="15"/>
      <c r="OFY373" s="15"/>
      <c r="OFZ373" s="15"/>
      <c r="OGA373" s="15"/>
      <c r="OGB373" s="15"/>
      <c r="OGC373" s="15"/>
      <c r="OGD373" s="15"/>
      <c r="OGE373" s="15"/>
      <c r="OGF373" s="15"/>
      <c r="OGG373" s="15"/>
      <c r="OGH373" s="10"/>
      <c r="OGI373" s="10"/>
      <c r="OGJ373" s="21"/>
      <c r="OGK373" s="21"/>
      <c r="OGN373" s="21"/>
      <c r="OGO373" s="15"/>
      <c r="OGP373" s="15"/>
      <c r="OGQ373" s="15"/>
      <c r="OGR373" s="15"/>
      <c r="OGS373" s="15"/>
      <c r="OGT373" s="15"/>
      <c r="OGU373" s="15"/>
      <c r="OGV373" s="15"/>
      <c r="OGW373" s="15"/>
      <c r="OGX373" s="15"/>
      <c r="OGY373" s="10"/>
      <c r="OGZ373" s="10"/>
      <c r="OHA373" s="21"/>
      <c r="OHB373" s="21"/>
      <c r="OHE373" s="21"/>
      <c r="OHF373" s="15"/>
      <c r="OHG373" s="15"/>
      <c r="OHH373" s="15"/>
      <c r="OHI373" s="15"/>
      <c r="OHJ373" s="15"/>
      <c r="OHK373" s="15"/>
      <c r="OHL373" s="15"/>
      <c r="OHM373" s="15"/>
      <c r="OHN373" s="15"/>
      <c r="OHO373" s="15"/>
      <c r="OHP373" s="10"/>
      <c r="OHQ373" s="10"/>
      <c r="OHR373" s="21"/>
      <c r="OHS373" s="21"/>
      <c r="OHV373" s="21"/>
      <c r="OHW373" s="15"/>
      <c r="OHX373" s="15"/>
      <c r="OHY373" s="15"/>
      <c r="OHZ373" s="15"/>
      <c r="OIA373" s="15"/>
      <c r="OIB373" s="15"/>
      <c r="OIC373" s="15"/>
      <c r="OID373" s="15"/>
      <c r="OIE373" s="15"/>
      <c r="OIF373" s="15"/>
      <c r="OIG373" s="10"/>
      <c r="OIH373" s="10"/>
      <c r="OII373" s="21"/>
      <c r="OIJ373" s="21"/>
      <c r="OIM373" s="21"/>
      <c r="OIN373" s="15"/>
      <c r="OIO373" s="15"/>
      <c r="OIP373" s="15"/>
      <c r="OIQ373" s="15"/>
      <c r="OIR373" s="15"/>
      <c r="OIS373" s="15"/>
      <c r="OIT373" s="15"/>
      <c r="OIU373" s="15"/>
      <c r="OIV373" s="15"/>
      <c r="OIW373" s="15"/>
      <c r="OIX373" s="10"/>
      <c r="OIY373" s="10"/>
      <c r="OIZ373" s="21"/>
      <c r="OJA373" s="21"/>
      <c r="OJD373" s="21"/>
      <c r="OJE373" s="15"/>
      <c r="OJF373" s="15"/>
      <c r="OJG373" s="15"/>
      <c r="OJH373" s="15"/>
      <c r="OJI373" s="15"/>
      <c r="OJJ373" s="15"/>
      <c r="OJK373" s="15"/>
      <c r="OJL373" s="15"/>
      <c r="OJM373" s="15"/>
      <c r="OJN373" s="15"/>
      <c r="OJO373" s="10"/>
      <c r="OJP373" s="10"/>
      <c r="OJQ373" s="21"/>
      <c r="OJR373" s="21"/>
      <c r="OJU373" s="21"/>
      <c r="OJV373" s="15"/>
      <c r="OJW373" s="15"/>
      <c r="OJX373" s="15"/>
      <c r="OJY373" s="15"/>
      <c r="OJZ373" s="15"/>
      <c r="OKA373" s="15"/>
      <c r="OKB373" s="15"/>
      <c r="OKC373" s="15"/>
      <c r="OKD373" s="15"/>
      <c r="OKE373" s="15"/>
      <c r="OKF373" s="10"/>
      <c r="OKG373" s="10"/>
      <c r="OKH373" s="21"/>
      <c r="OKI373" s="21"/>
      <c r="OKL373" s="21"/>
      <c r="OKM373" s="15"/>
      <c r="OKN373" s="15"/>
      <c r="OKO373" s="15"/>
      <c r="OKP373" s="15"/>
      <c r="OKQ373" s="15"/>
      <c r="OKR373" s="15"/>
      <c r="OKS373" s="15"/>
      <c r="OKT373" s="15"/>
      <c r="OKU373" s="15"/>
      <c r="OKV373" s="15"/>
      <c r="OKW373" s="10"/>
      <c r="OKX373" s="10"/>
      <c r="OKY373" s="21"/>
      <c r="OKZ373" s="21"/>
      <c r="OLC373" s="21"/>
      <c r="OLD373" s="15"/>
      <c r="OLE373" s="15"/>
      <c r="OLF373" s="15"/>
      <c r="OLG373" s="15"/>
      <c r="OLH373" s="15"/>
      <c r="OLI373" s="15"/>
      <c r="OLJ373" s="15"/>
      <c r="OLK373" s="15"/>
      <c r="OLL373" s="15"/>
      <c r="OLM373" s="15"/>
      <c r="OLN373" s="10"/>
      <c r="OLO373" s="10"/>
      <c r="OLP373" s="21"/>
      <c r="OLQ373" s="21"/>
      <c r="OLT373" s="21"/>
      <c r="OLU373" s="15"/>
      <c r="OLV373" s="15"/>
      <c r="OLW373" s="15"/>
      <c r="OLX373" s="15"/>
      <c r="OLY373" s="15"/>
      <c r="OLZ373" s="15"/>
      <c r="OMA373" s="15"/>
      <c r="OMB373" s="15"/>
      <c r="OMC373" s="15"/>
      <c r="OMD373" s="15"/>
      <c r="OME373" s="10"/>
      <c r="OMF373" s="10"/>
      <c r="OMG373" s="21"/>
      <c r="OMH373" s="21"/>
      <c r="OMK373" s="21"/>
      <c r="OML373" s="15"/>
      <c r="OMM373" s="15"/>
      <c r="OMN373" s="15"/>
      <c r="OMO373" s="15"/>
      <c r="OMP373" s="15"/>
      <c r="OMQ373" s="15"/>
      <c r="OMR373" s="15"/>
      <c r="OMS373" s="15"/>
      <c r="OMT373" s="15"/>
      <c r="OMU373" s="15"/>
      <c r="OMV373" s="10"/>
      <c r="OMW373" s="10"/>
      <c r="OMX373" s="21"/>
      <c r="OMY373" s="21"/>
      <c r="ONB373" s="21"/>
      <c r="ONC373" s="15"/>
      <c r="OND373" s="15"/>
      <c r="ONE373" s="15"/>
      <c r="ONF373" s="15"/>
      <c r="ONG373" s="15"/>
      <c r="ONH373" s="15"/>
      <c r="ONI373" s="15"/>
      <c r="ONJ373" s="15"/>
      <c r="ONK373" s="15"/>
      <c r="ONL373" s="15"/>
      <c r="ONM373" s="10"/>
      <c r="ONN373" s="10"/>
      <c r="ONO373" s="21"/>
      <c r="ONP373" s="21"/>
      <c r="ONS373" s="21"/>
      <c r="ONT373" s="15"/>
      <c r="ONU373" s="15"/>
      <c r="ONV373" s="15"/>
      <c r="ONW373" s="15"/>
      <c r="ONX373" s="15"/>
      <c r="ONY373" s="15"/>
      <c r="ONZ373" s="15"/>
      <c r="OOA373" s="15"/>
      <c r="OOB373" s="15"/>
      <c r="OOC373" s="15"/>
      <c r="OOD373" s="10"/>
      <c r="OOE373" s="10"/>
      <c r="OOF373" s="21"/>
      <c r="OOG373" s="21"/>
      <c r="OOJ373" s="21"/>
      <c r="OOK373" s="15"/>
      <c r="OOL373" s="15"/>
      <c r="OOM373" s="15"/>
      <c r="OON373" s="15"/>
      <c r="OOO373" s="15"/>
      <c r="OOP373" s="15"/>
      <c r="OOQ373" s="15"/>
      <c r="OOR373" s="15"/>
      <c r="OOS373" s="15"/>
      <c r="OOT373" s="15"/>
      <c r="OOU373" s="10"/>
      <c r="OOV373" s="10"/>
      <c r="OOW373" s="21"/>
      <c r="OOX373" s="21"/>
      <c r="OPA373" s="21"/>
      <c r="OPB373" s="15"/>
      <c r="OPC373" s="15"/>
      <c r="OPD373" s="15"/>
      <c r="OPE373" s="15"/>
      <c r="OPF373" s="15"/>
      <c r="OPG373" s="15"/>
      <c r="OPH373" s="15"/>
      <c r="OPI373" s="15"/>
      <c r="OPJ373" s="15"/>
      <c r="OPK373" s="15"/>
      <c r="OPL373" s="10"/>
      <c r="OPM373" s="10"/>
      <c r="OPN373" s="21"/>
      <c r="OPO373" s="21"/>
      <c r="OPR373" s="21"/>
      <c r="OPS373" s="15"/>
      <c r="OPT373" s="15"/>
      <c r="OPU373" s="15"/>
      <c r="OPV373" s="15"/>
      <c r="OPW373" s="15"/>
      <c r="OPX373" s="15"/>
      <c r="OPY373" s="15"/>
      <c r="OPZ373" s="15"/>
      <c r="OQA373" s="15"/>
      <c r="OQB373" s="15"/>
      <c r="OQC373" s="10"/>
      <c r="OQD373" s="10"/>
      <c r="OQE373" s="21"/>
      <c r="OQF373" s="21"/>
      <c r="OQI373" s="21"/>
      <c r="OQJ373" s="15"/>
      <c r="OQK373" s="15"/>
      <c r="OQL373" s="15"/>
      <c r="OQM373" s="15"/>
      <c r="OQN373" s="15"/>
      <c r="OQO373" s="15"/>
      <c r="OQP373" s="15"/>
      <c r="OQQ373" s="15"/>
      <c r="OQR373" s="15"/>
      <c r="OQS373" s="15"/>
      <c r="OQT373" s="10"/>
      <c r="OQU373" s="10"/>
      <c r="OQV373" s="21"/>
      <c r="OQW373" s="21"/>
      <c r="OQZ373" s="21"/>
      <c r="ORA373" s="15"/>
      <c r="ORB373" s="15"/>
      <c r="ORC373" s="15"/>
      <c r="ORD373" s="15"/>
      <c r="ORE373" s="15"/>
      <c r="ORF373" s="15"/>
      <c r="ORG373" s="15"/>
      <c r="ORH373" s="15"/>
      <c r="ORI373" s="15"/>
      <c r="ORJ373" s="15"/>
      <c r="ORK373" s="10"/>
      <c r="ORL373" s="10"/>
      <c r="ORM373" s="21"/>
      <c r="ORN373" s="21"/>
      <c r="ORQ373" s="21"/>
      <c r="ORR373" s="15"/>
      <c r="ORS373" s="15"/>
      <c r="ORT373" s="15"/>
      <c r="ORU373" s="15"/>
      <c r="ORV373" s="15"/>
      <c r="ORW373" s="15"/>
      <c r="ORX373" s="15"/>
      <c r="ORY373" s="15"/>
      <c r="ORZ373" s="15"/>
      <c r="OSA373" s="15"/>
      <c r="OSB373" s="10"/>
      <c r="OSC373" s="10"/>
      <c r="OSD373" s="21"/>
      <c r="OSE373" s="21"/>
      <c r="OSH373" s="21"/>
      <c r="OSI373" s="15"/>
      <c r="OSJ373" s="15"/>
      <c r="OSK373" s="15"/>
      <c r="OSL373" s="15"/>
      <c r="OSM373" s="15"/>
      <c r="OSN373" s="15"/>
      <c r="OSO373" s="15"/>
      <c r="OSP373" s="15"/>
      <c r="OSQ373" s="15"/>
      <c r="OSR373" s="15"/>
      <c r="OSS373" s="10"/>
      <c r="OST373" s="10"/>
      <c r="OSU373" s="21"/>
      <c r="OSV373" s="21"/>
      <c r="OSY373" s="21"/>
      <c r="OSZ373" s="15"/>
      <c r="OTA373" s="15"/>
      <c r="OTB373" s="15"/>
      <c r="OTC373" s="15"/>
      <c r="OTD373" s="15"/>
      <c r="OTE373" s="15"/>
      <c r="OTF373" s="15"/>
      <c r="OTG373" s="15"/>
      <c r="OTH373" s="15"/>
      <c r="OTI373" s="15"/>
      <c r="OTJ373" s="10"/>
      <c r="OTK373" s="10"/>
      <c r="OTL373" s="21"/>
      <c r="OTM373" s="21"/>
      <c r="OTP373" s="21"/>
      <c r="OTQ373" s="15"/>
      <c r="OTR373" s="15"/>
      <c r="OTS373" s="15"/>
      <c r="OTT373" s="15"/>
      <c r="OTU373" s="15"/>
      <c r="OTV373" s="15"/>
      <c r="OTW373" s="15"/>
      <c r="OTX373" s="15"/>
      <c r="OTY373" s="15"/>
      <c r="OTZ373" s="15"/>
      <c r="OUA373" s="10"/>
      <c r="OUB373" s="10"/>
      <c r="OUC373" s="21"/>
      <c r="OUD373" s="21"/>
      <c r="OUG373" s="21"/>
      <c r="OUH373" s="15"/>
      <c r="OUI373" s="15"/>
      <c r="OUJ373" s="15"/>
      <c r="OUK373" s="15"/>
      <c r="OUL373" s="15"/>
      <c r="OUM373" s="15"/>
      <c r="OUN373" s="15"/>
      <c r="OUO373" s="15"/>
      <c r="OUP373" s="15"/>
      <c r="OUQ373" s="15"/>
      <c r="OUR373" s="10"/>
      <c r="OUS373" s="10"/>
      <c r="OUT373" s="21"/>
      <c r="OUU373" s="21"/>
      <c r="OUX373" s="21"/>
      <c r="OUY373" s="15"/>
      <c r="OUZ373" s="15"/>
      <c r="OVA373" s="15"/>
      <c r="OVB373" s="15"/>
      <c r="OVC373" s="15"/>
      <c r="OVD373" s="15"/>
      <c r="OVE373" s="15"/>
      <c r="OVF373" s="15"/>
      <c r="OVG373" s="15"/>
      <c r="OVH373" s="15"/>
      <c r="OVI373" s="10"/>
      <c r="OVJ373" s="10"/>
      <c r="OVK373" s="21"/>
      <c r="OVL373" s="21"/>
      <c r="OVO373" s="21"/>
      <c r="OVP373" s="15"/>
      <c r="OVQ373" s="15"/>
      <c r="OVR373" s="15"/>
      <c r="OVS373" s="15"/>
      <c r="OVT373" s="15"/>
      <c r="OVU373" s="15"/>
      <c r="OVV373" s="15"/>
      <c r="OVW373" s="15"/>
      <c r="OVX373" s="15"/>
      <c r="OVY373" s="15"/>
      <c r="OVZ373" s="10"/>
      <c r="OWA373" s="10"/>
      <c r="OWB373" s="21"/>
      <c r="OWC373" s="21"/>
      <c r="OWF373" s="21"/>
      <c r="OWG373" s="15"/>
      <c r="OWH373" s="15"/>
      <c r="OWI373" s="15"/>
      <c r="OWJ373" s="15"/>
      <c r="OWK373" s="15"/>
      <c r="OWL373" s="15"/>
      <c r="OWM373" s="15"/>
      <c r="OWN373" s="15"/>
      <c r="OWO373" s="15"/>
      <c r="OWP373" s="15"/>
      <c r="OWQ373" s="10"/>
      <c r="OWR373" s="10"/>
      <c r="OWS373" s="21"/>
      <c r="OWT373" s="21"/>
      <c r="OWW373" s="21"/>
      <c r="OWX373" s="15"/>
      <c r="OWY373" s="15"/>
      <c r="OWZ373" s="15"/>
      <c r="OXA373" s="15"/>
      <c r="OXB373" s="15"/>
      <c r="OXC373" s="15"/>
      <c r="OXD373" s="15"/>
      <c r="OXE373" s="15"/>
      <c r="OXF373" s="15"/>
      <c r="OXG373" s="15"/>
      <c r="OXH373" s="10"/>
      <c r="OXI373" s="10"/>
      <c r="OXJ373" s="21"/>
      <c r="OXK373" s="21"/>
      <c r="OXN373" s="21"/>
      <c r="OXO373" s="15"/>
      <c r="OXP373" s="15"/>
      <c r="OXQ373" s="15"/>
      <c r="OXR373" s="15"/>
      <c r="OXS373" s="15"/>
      <c r="OXT373" s="15"/>
      <c r="OXU373" s="15"/>
      <c r="OXV373" s="15"/>
      <c r="OXW373" s="15"/>
      <c r="OXX373" s="15"/>
      <c r="OXY373" s="10"/>
      <c r="OXZ373" s="10"/>
      <c r="OYA373" s="21"/>
      <c r="OYB373" s="21"/>
      <c r="OYE373" s="21"/>
      <c r="OYF373" s="15"/>
      <c r="OYG373" s="15"/>
      <c r="OYH373" s="15"/>
      <c r="OYI373" s="15"/>
      <c r="OYJ373" s="15"/>
      <c r="OYK373" s="15"/>
      <c r="OYL373" s="15"/>
      <c r="OYM373" s="15"/>
      <c r="OYN373" s="15"/>
      <c r="OYO373" s="15"/>
      <c r="OYP373" s="10"/>
      <c r="OYQ373" s="10"/>
      <c r="OYR373" s="21"/>
      <c r="OYS373" s="21"/>
      <c r="OYV373" s="21"/>
      <c r="OYW373" s="15"/>
      <c r="OYX373" s="15"/>
      <c r="OYY373" s="15"/>
      <c r="OYZ373" s="15"/>
      <c r="OZA373" s="15"/>
      <c r="OZB373" s="15"/>
      <c r="OZC373" s="15"/>
      <c r="OZD373" s="15"/>
      <c r="OZE373" s="15"/>
      <c r="OZF373" s="15"/>
      <c r="OZG373" s="10"/>
      <c r="OZH373" s="10"/>
      <c r="OZI373" s="21"/>
      <c r="OZJ373" s="21"/>
      <c r="OZM373" s="21"/>
      <c r="OZN373" s="15"/>
      <c r="OZO373" s="15"/>
      <c r="OZP373" s="15"/>
      <c r="OZQ373" s="15"/>
      <c r="OZR373" s="15"/>
      <c r="OZS373" s="15"/>
      <c r="OZT373" s="15"/>
      <c r="OZU373" s="15"/>
      <c r="OZV373" s="15"/>
      <c r="OZW373" s="15"/>
      <c r="OZX373" s="10"/>
      <c r="OZY373" s="10"/>
      <c r="OZZ373" s="21"/>
      <c r="PAA373" s="21"/>
      <c r="PAD373" s="21"/>
      <c r="PAE373" s="15"/>
      <c r="PAF373" s="15"/>
      <c r="PAG373" s="15"/>
      <c r="PAH373" s="15"/>
      <c r="PAI373" s="15"/>
      <c r="PAJ373" s="15"/>
      <c r="PAK373" s="15"/>
      <c r="PAL373" s="15"/>
      <c r="PAM373" s="15"/>
      <c r="PAN373" s="15"/>
      <c r="PAO373" s="10"/>
      <c r="PAP373" s="10"/>
      <c r="PAQ373" s="21"/>
      <c r="PAR373" s="21"/>
      <c r="PAU373" s="21"/>
      <c r="PAV373" s="15"/>
      <c r="PAW373" s="15"/>
      <c r="PAX373" s="15"/>
      <c r="PAY373" s="15"/>
      <c r="PAZ373" s="15"/>
      <c r="PBA373" s="15"/>
      <c r="PBB373" s="15"/>
      <c r="PBC373" s="15"/>
      <c r="PBD373" s="15"/>
      <c r="PBE373" s="15"/>
      <c r="PBF373" s="10"/>
      <c r="PBG373" s="10"/>
      <c r="PBH373" s="21"/>
      <c r="PBI373" s="21"/>
      <c r="PBL373" s="21"/>
      <c r="PBM373" s="15"/>
      <c r="PBN373" s="15"/>
      <c r="PBO373" s="15"/>
      <c r="PBP373" s="15"/>
      <c r="PBQ373" s="15"/>
      <c r="PBR373" s="15"/>
      <c r="PBS373" s="15"/>
      <c r="PBT373" s="15"/>
      <c r="PBU373" s="15"/>
      <c r="PBV373" s="15"/>
      <c r="PBW373" s="10"/>
      <c r="PBX373" s="10"/>
      <c r="PBY373" s="21"/>
      <c r="PBZ373" s="21"/>
      <c r="PCC373" s="21"/>
      <c r="PCD373" s="15"/>
      <c r="PCE373" s="15"/>
      <c r="PCF373" s="15"/>
      <c r="PCG373" s="15"/>
      <c r="PCH373" s="15"/>
      <c r="PCI373" s="15"/>
      <c r="PCJ373" s="15"/>
      <c r="PCK373" s="15"/>
      <c r="PCL373" s="15"/>
      <c r="PCM373" s="15"/>
      <c r="PCN373" s="10"/>
      <c r="PCO373" s="10"/>
      <c r="PCP373" s="21"/>
      <c r="PCQ373" s="21"/>
      <c r="PCT373" s="21"/>
      <c r="PCU373" s="15"/>
      <c r="PCV373" s="15"/>
      <c r="PCW373" s="15"/>
      <c r="PCX373" s="15"/>
      <c r="PCY373" s="15"/>
      <c r="PCZ373" s="15"/>
      <c r="PDA373" s="15"/>
      <c r="PDB373" s="15"/>
      <c r="PDC373" s="15"/>
      <c r="PDD373" s="15"/>
      <c r="PDE373" s="10"/>
      <c r="PDF373" s="10"/>
      <c r="PDG373" s="21"/>
      <c r="PDH373" s="21"/>
      <c r="PDK373" s="21"/>
      <c r="PDL373" s="15"/>
      <c r="PDM373" s="15"/>
      <c r="PDN373" s="15"/>
      <c r="PDO373" s="15"/>
      <c r="PDP373" s="15"/>
      <c r="PDQ373" s="15"/>
      <c r="PDR373" s="15"/>
      <c r="PDS373" s="15"/>
      <c r="PDT373" s="15"/>
      <c r="PDU373" s="15"/>
      <c r="PDV373" s="10"/>
      <c r="PDW373" s="10"/>
      <c r="PDX373" s="21"/>
      <c r="PDY373" s="21"/>
      <c r="PEB373" s="21"/>
      <c r="PEC373" s="15"/>
      <c r="PED373" s="15"/>
      <c r="PEE373" s="15"/>
      <c r="PEF373" s="15"/>
      <c r="PEG373" s="15"/>
      <c r="PEH373" s="15"/>
      <c r="PEI373" s="15"/>
      <c r="PEJ373" s="15"/>
      <c r="PEK373" s="15"/>
      <c r="PEL373" s="15"/>
      <c r="PEM373" s="10"/>
      <c r="PEN373" s="10"/>
      <c r="PEO373" s="21"/>
      <c r="PEP373" s="21"/>
      <c r="PES373" s="21"/>
      <c r="PET373" s="15"/>
      <c r="PEU373" s="15"/>
      <c r="PEV373" s="15"/>
      <c r="PEW373" s="15"/>
      <c r="PEX373" s="15"/>
      <c r="PEY373" s="15"/>
      <c r="PEZ373" s="15"/>
      <c r="PFA373" s="15"/>
      <c r="PFB373" s="15"/>
      <c r="PFC373" s="15"/>
      <c r="PFD373" s="10"/>
      <c r="PFE373" s="10"/>
      <c r="PFF373" s="21"/>
      <c r="PFG373" s="21"/>
      <c r="PFJ373" s="21"/>
      <c r="PFK373" s="15"/>
      <c r="PFL373" s="15"/>
      <c r="PFM373" s="15"/>
      <c r="PFN373" s="15"/>
      <c r="PFO373" s="15"/>
      <c r="PFP373" s="15"/>
      <c r="PFQ373" s="15"/>
      <c r="PFR373" s="15"/>
      <c r="PFS373" s="15"/>
      <c r="PFT373" s="15"/>
      <c r="PFU373" s="10"/>
      <c r="PFV373" s="10"/>
      <c r="PFW373" s="21"/>
      <c r="PFX373" s="21"/>
      <c r="PGA373" s="21"/>
      <c r="PGB373" s="15"/>
      <c r="PGC373" s="15"/>
      <c r="PGD373" s="15"/>
      <c r="PGE373" s="15"/>
      <c r="PGF373" s="15"/>
      <c r="PGG373" s="15"/>
      <c r="PGH373" s="15"/>
      <c r="PGI373" s="15"/>
      <c r="PGJ373" s="15"/>
      <c r="PGK373" s="15"/>
      <c r="PGL373" s="10"/>
      <c r="PGM373" s="10"/>
      <c r="PGN373" s="21"/>
      <c r="PGO373" s="21"/>
      <c r="PGR373" s="21"/>
      <c r="PGS373" s="15"/>
      <c r="PGT373" s="15"/>
      <c r="PGU373" s="15"/>
      <c r="PGV373" s="15"/>
      <c r="PGW373" s="15"/>
      <c r="PGX373" s="15"/>
      <c r="PGY373" s="15"/>
      <c r="PGZ373" s="15"/>
      <c r="PHA373" s="15"/>
      <c r="PHB373" s="15"/>
      <c r="PHC373" s="10"/>
      <c r="PHD373" s="10"/>
      <c r="PHE373" s="21"/>
      <c r="PHF373" s="21"/>
      <c r="PHI373" s="21"/>
      <c r="PHJ373" s="15"/>
      <c r="PHK373" s="15"/>
      <c r="PHL373" s="15"/>
      <c r="PHM373" s="15"/>
      <c r="PHN373" s="15"/>
      <c r="PHO373" s="15"/>
      <c r="PHP373" s="15"/>
      <c r="PHQ373" s="15"/>
      <c r="PHR373" s="15"/>
      <c r="PHS373" s="15"/>
      <c r="PHT373" s="10"/>
      <c r="PHU373" s="10"/>
      <c r="PHV373" s="21"/>
      <c r="PHW373" s="21"/>
      <c r="PHZ373" s="21"/>
      <c r="PIA373" s="15"/>
      <c r="PIB373" s="15"/>
      <c r="PIC373" s="15"/>
      <c r="PID373" s="15"/>
      <c r="PIE373" s="15"/>
      <c r="PIF373" s="15"/>
      <c r="PIG373" s="15"/>
      <c r="PIH373" s="15"/>
      <c r="PII373" s="15"/>
      <c r="PIJ373" s="15"/>
      <c r="PIK373" s="10"/>
      <c r="PIL373" s="10"/>
      <c r="PIM373" s="21"/>
      <c r="PIN373" s="21"/>
      <c r="PIQ373" s="21"/>
      <c r="PIR373" s="15"/>
      <c r="PIS373" s="15"/>
      <c r="PIT373" s="15"/>
      <c r="PIU373" s="15"/>
      <c r="PIV373" s="15"/>
      <c r="PIW373" s="15"/>
      <c r="PIX373" s="15"/>
      <c r="PIY373" s="15"/>
      <c r="PIZ373" s="15"/>
      <c r="PJA373" s="15"/>
      <c r="PJB373" s="10"/>
      <c r="PJC373" s="10"/>
      <c r="PJD373" s="21"/>
      <c r="PJE373" s="21"/>
      <c r="PJH373" s="21"/>
      <c r="PJI373" s="15"/>
      <c r="PJJ373" s="15"/>
      <c r="PJK373" s="15"/>
      <c r="PJL373" s="15"/>
      <c r="PJM373" s="15"/>
      <c r="PJN373" s="15"/>
      <c r="PJO373" s="15"/>
      <c r="PJP373" s="15"/>
      <c r="PJQ373" s="15"/>
      <c r="PJR373" s="15"/>
      <c r="PJS373" s="10"/>
      <c r="PJT373" s="10"/>
      <c r="PJU373" s="21"/>
      <c r="PJV373" s="21"/>
      <c r="PJY373" s="21"/>
      <c r="PJZ373" s="15"/>
      <c r="PKA373" s="15"/>
      <c r="PKB373" s="15"/>
      <c r="PKC373" s="15"/>
      <c r="PKD373" s="15"/>
      <c r="PKE373" s="15"/>
      <c r="PKF373" s="15"/>
      <c r="PKG373" s="15"/>
      <c r="PKH373" s="15"/>
      <c r="PKI373" s="15"/>
      <c r="PKJ373" s="10"/>
      <c r="PKK373" s="10"/>
      <c r="PKL373" s="21"/>
      <c r="PKM373" s="21"/>
      <c r="PKP373" s="21"/>
      <c r="PKQ373" s="15"/>
      <c r="PKR373" s="15"/>
      <c r="PKS373" s="15"/>
      <c r="PKT373" s="15"/>
      <c r="PKU373" s="15"/>
      <c r="PKV373" s="15"/>
      <c r="PKW373" s="15"/>
      <c r="PKX373" s="15"/>
      <c r="PKY373" s="15"/>
      <c r="PKZ373" s="15"/>
      <c r="PLA373" s="10"/>
      <c r="PLB373" s="10"/>
      <c r="PLC373" s="21"/>
      <c r="PLD373" s="21"/>
      <c r="PLG373" s="21"/>
      <c r="PLH373" s="15"/>
      <c r="PLI373" s="15"/>
      <c r="PLJ373" s="15"/>
      <c r="PLK373" s="15"/>
      <c r="PLL373" s="15"/>
      <c r="PLM373" s="15"/>
      <c r="PLN373" s="15"/>
      <c r="PLO373" s="15"/>
      <c r="PLP373" s="15"/>
      <c r="PLQ373" s="15"/>
      <c r="PLR373" s="10"/>
      <c r="PLS373" s="10"/>
      <c r="PLT373" s="21"/>
      <c r="PLU373" s="21"/>
      <c r="PLX373" s="21"/>
      <c r="PLY373" s="15"/>
      <c r="PLZ373" s="15"/>
      <c r="PMA373" s="15"/>
      <c r="PMB373" s="15"/>
      <c r="PMC373" s="15"/>
      <c r="PMD373" s="15"/>
      <c r="PME373" s="15"/>
      <c r="PMF373" s="15"/>
      <c r="PMG373" s="15"/>
      <c r="PMH373" s="15"/>
      <c r="PMI373" s="10"/>
      <c r="PMJ373" s="10"/>
      <c r="PMK373" s="21"/>
      <c r="PML373" s="21"/>
      <c r="PMO373" s="21"/>
      <c r="PMP373" s="15"/>
      <c r="PMQ373" s="15"/>
      <c r="PMR373" s="15"/>
      <c r="PMS373" s="15"/>
      <c r="PMT373" s="15"/>
      <c r="PMU373" s="15"/>
      <c r="PMV373" s="15"/>
      <c r="PMW373" s="15"/>
      <c r="PMX373" s="15"/>
      <c r="PMY373" s="15"/>
      <c r="PMZ373" s="10"/>
      <c r="PNA373" s="10"/>
      <c r="PNB373" s="21"/>
      <c r="PNC373" s="21"/>
      <c r="PNF373" s="21"/>
      <c r="PNG373" s="15"/>
      <c r="PNH373" s="15"/>
      <c r="PNI373" s="15"/>
      <c r="PNJ373" s="15"/>
      <c r="PNK373" s="15"/>
      <c r="PNL373" s="15"/>
      <c r="PNM373" s="15"/>
      <c r="PNN373" s="15"/>
      <c r="PNO373" s="15"/>
      <c r="PNP373" s="15"/>
      <c r="PNQ373" s="10"/>
      <c r="PNR373" s="10"/>
      <c r="PNS373" s="21"/>
      <c r="PNT373" s="21"/>
      <c r="PNW373" s="21"/>
      <c r="PNX373" s="15"/>
      <c r="PNY373" s="15"/>
      <c r="PNZ373" s="15"/>
      <c r="POA373" s="15"/>
      <c r="POB373" s="15"/>
      <c r="POC373" s="15"/>
      <c r="POD373" s="15"/>
      <c r="POE373" s="15"/>
      <c r="POF373" s="15"/>
      <c r="POG373" s="15"/>
      <c r="POH373" s="10"/>
      <c r="POI373" s="10"/>
      <c r="POJ373" s="21"/>
      <c r="POK373" s="21"/>
      <c r="PON373" s="21"/>
      <c r="POO373" s="15"/>
      <c r="POP373" s="15"/>
      <c r="POQ373" s="15"/>
      <c r="POR373" s="15"/>
      <c r="POS373" s="15"/>
      <c r="POT373" s="15"/>
      <c r="POU373" s="15"/>
      <c r="POV373" s="15"/>
      <c r="POW373" s="15"/>
      <c r="POX373" s="15"/>
      <c r="POY373" s="10"/>
      <c r="POZ373" s="10"/>
      <c r="PPA373" s="21"/>
      <c r="PPB373" s="21"/>
      <c r="PPE373" s="21"/>
      <c r="PPF373" s="15"/>
      <c r="PPG373" s="15"/>
      <c r="PPH373" s="15"/>
      <c r="PPI373" s="15"/>
      <c r="PPJ373" s="15"/>
      <c r="PPK373" s="15"/>
      <c r="PPL373" s="15"/>
      <c r="PPM373" s="15"/>
      <c r="PPN373" s="15"/>
      <c r="PPO373" s="15"/>
      <c r="PPP373" s="10"/>
      <c r="PPQ373" s="10"/>
      <c r="PPR373" s="21"/>
      <c r="PPS373" s="21"/>
      <c r="PPV373" s="21"/>
      <c r="PPW373" s="15"/>
      <c r="PPX373" s="15"/>
      <c r="PPY373" s="15"/>
      <c r="PPZ373" s="15"/>
      <c r="PQA373" s="15"/>
      <c r="PQB373" s="15"/>
      <c r="PQC373" s="15"/>
      <c r="PQD373" s="15"/>
      <c r="PQE373" s="15"/>
      <c r="PQF373" s="15"/>
      <c r="PQG373" s="10"/>
      <c r="PQH373" s="10"/>
      <c r="PQI373" s="21"/>
      <c r="PQJ373" s="21"/>
      <c r="PQM373" s="21"/>
      <c r="PQN373" s="15"/>
      <c r="PQO373" s="15"/>
      <c r="PQP373" s="15"/>
      <c r="PQQ373" s="15"/>
      <c r="PQR373" s="15"/>
      <c r="PQS373" s="15"/>
      <c r="PQT373" s="15"/>
      <c r="PQU373" s="15"/>
      <c r="PQV373" s="15"/>
      <c r="PQW373" s="15"/>
      <c r="PQX373" s="10"/>
      <c r="PQY373" s="10"/>
      <c r="PQZ373" s="21"/>
      <c r="PRA373" s="21"/>
      <c r="PRD373" s="21"/>
      <c r="PRE373" s="15"/>
      <c r="PRF373" s="15"/>
      <c r="PRG373" s="15"/>
      <c r="PRH373" s="15"/>
      <c r="PRI373" s="15"/>
      <c r="PRJ373" s="15"/>
      <c r="PRK373" s="15"/>
      <c r="PRL373" s="15"/>
      <c r="PRM373" s="15"/>
      <c r="PRN373" s="15"/>
      <c r="PRO373" s="10"/>
      <c r="PRP373" s="10"/>
      <c r="PRQ373" s="21"/>
      <c r="PRR373" s="21"/>
      <c r="PRU373" s="21"/>
      <c r="PRV373" s="15"/>
      <c r="PRW373" s="15"/>
      <c r="PRX373" s="15"/>
      <c r="PRY373" s="15"/>
      <c r="PRZ373" s="15"/>
      <c r="PSA373" s="15"/>
      <c r="PSB373" s="15"/>
      <c r="PSC373" s="15"/>
      <c r="PSD373" s="15"/>
      <c r="PSE373" s="15"/>
      <c r="PSF373" s="10"/>
      <c r="PSG373" s="10"/>
      <c r="PSH373" s="21"/>
      <c r="PSI373" s="21"/>
      <c r="PSL373" s="21"/>
      <c r="PSM373" s="15"/>
      <c r="PSN373" s="15"/>
      <c r="PSO373" s="15"/>
      <c r="PSP373" s="15"/>
      <c r="PSQ373" s="15"/>
      <c r="PSR373" s="15"/>
      <c r="PSS373" s="15"/>
      <c r="PST373" s="15"/>
      <c r="PSU373" s="15"/>
      <c r="PSV373" s="15"/>
      <c r="PSW373" s="10"/>
      <c r="PSX373" s="10"/>
      <c r="PSY373" s="21"/>
      <c r="PSZ373" s="21"/>
      <c r="PTC373" s="21"/>
      <c r="PTD373" s="15"/>
      <c r="PTE373" s="15"/>
      <c r="PTF373" s="15"/>
      <c r="PTG373" s="15"/>
      <c r="PTH373" s="15"/>
      <c r="PTI373" s="15"/>
      <c r="PTJ373" s="15"/>
      <c r="PTK373" s="15"/>
      <c r="PTL373" s="15"/>
      <c r="PTM373" s="15"/>
      <c r="PTN373" s="10"/>
      <c r="PTO373" s="10"/>
      <c r="PTP373" s="21"/>
      <c r="PTQ373" s="21"/>
      <c r="PTT373" s="21"/>
      <c r="PTU373" s="15"/>
      <c r="PTV373" s="15"/>
      <c r="PTW373" s="15"/>
      <c r="PTX373" s="15"/>
      <c r="PTY373" s="15"/>
      <c r="PTZ373" s="15"/>
      <c r="PUA373" s="15"/>
      <c r="PUB373" s="15"/>
      <c r="PUC373" s="15"/>
      <c r="PUD373" s="15"/>
      <c r="PUE373" s="10"/>
      <c r="PUF373" s="10"/>
      <c r="PUG373" s="21"/>
      <c r="PUH373" s="21"/>
      <c r="PUK373" s="21"/>
      <c r="PUL373" s="15"/>
      <c r="PUM373" s="15"/>
      <c r="PUN373" s="15"/>
      <c r="PUO373" s="15"/>
      <c r="PUP373" s="15"/>
      <c r="PUQ373" s="15"/>
      <c r="PUR373" s="15"/>
      <c r="PUS373" s="15"/>
      <c r="PUT373" s="15"/>
      <c r="PUU373" s="15"/>
      <c r="PUV373" s="10"/>
      <c r="PUW373" s="10"/>
      <c r="PUX373" s="21"/>
      <c r="PUY373" s="21"/>
      <c r="PVB373" s="21"/>
      <c r="PVC373" s="15"/>
      <c r="PVD373" s="15"/>
      <c r="PVE373" s="15"/>
      <c r="PVF373" s="15"/>
      <c r="PVG373" s="15"/>
      <c r="PVH373" s="15"/>
      <c r="PVI373" s="15"/>
      <c r="PVJ373" s="15"/>
      <c r="PVK373" s="15"/>
      <c r="PVL373" s="15"/>
      <c r="PVM373" s="10"/>
      <c r="PVN373" s="10"/>
      <c r="PVO373" s="21"/>
      <c r="PVP373" s="21"/>
      <c r="PVS373" s="21"/>
      <c r="PVT373" s="15"/>
      <c r="PVU373" s="15"/>
      <c r="PVV373" s="15"/>
      <c r="PVW373" s="15"/>
      <c r="PVX373" s="15"/>
      <c r="PVY373" s="15"/>
      <c r="PVZ373" s="15"/>
      <c r="PWA373" s="15"/>
      <c r="PWB373" s="15"/>
      <c r="PWC373" s="15"/>
      <c r="PWD373" s="10"/>
      <c r="PWE373" s="10"/>
      <c r="PWF373" s="21"/>
      <c r="PWG373" s="21"/>
      <c r="PWJ373" s="21"/>
      <c r="PWK373" s="15"/>
      <c r="PWL373" s="15"/>
      <c r="PWM373" s="15"/>
      <c r="PWN373" s="15"/>
      <c r="PWO373" s="15"/>
      <c r="PWP373" s="15"/>
      <c r="PWQ373" s="15"/>
      <c r="PWR373" s="15"/>
      <c r="PWS373" s="15"/>
      <c r="PWT373" s="15"/>
      <c r="PWU373" s="10"/>
      <c r="PWV373" s="10"/>
      <c r="PWW373" s="21"/>
      <c r="PWX373" s="21"/>
      <c r="PXA373" s="21"/>
      <c r="PXB373" s="15"/>
      <c r="PXC373" s="15"/>
      <c r="PXD373" s="15"/>
      <c r="PXE373" s="15"/>
      <c r="PXF373" s="15"/>
      <c r="PXG373" s="15"/>
      <c r="PXH373" s="15"/>
      <c r="PXI373" s="15"/>
      <c r="PXJ373" s="15"/>
      <c r="PXK373" s="15"/>
      <c r="PXL373" s="10"/>
      <c r="PXM373" s="10"/>
      <c r="PXN373" s="21"/>
      <c r="PXO373" s="21"/>
      <c r="PXR373" s="21"/>
      <c r="PXS373" s="15"/>
      <c r="PXT373" s="15"/>
      <c r="PXU373" s="15"/>
      <c r="PXV373" s="15"/>
      <c r="PXW373" s="15"/>
      <c r="PXX373" s="15"/>
      <c r="PXY373" s="15"/>
      <c r="PXZ373" s="15"/>
      <c r="PYA373" s="15"/>
      <c r="PYB373" s="15"/>
      <c r="PYC373" s="10"/>
      <c r="PYD373" s="10"/>
      <c r="PYE373" s="21"/>
      <c r="PYF373" s="21"/>
      <c r="PYI373" s="21"/>
      <c r="PYJ373" s="15"/>
      <c r="PYK373" s="15"/>
      <c r="PYL373" s="15"/>
      <c r="PYM373" s="15"/>
      <c r="PYN373" s="15"/>
      <c r="PYO373" s="15"/>
      <c r="PYP373" s="15"/>
      <c r="PYQ373" s="15"/>
      <c r="PYR373" s="15"/>
      <c r="PYS373" s="15"/>
      <c r="PYT373" s="10"/>
      <c r="PYU373" s="10"/>
      <c r="PYV373" s="21"/>
      <c r="PYW373" s="21"/>
      <c r="PYZ373" s="21"/>
      <c r="PZA373" s="15"/>
      <c r="PZB373" s="15"/>
      <c r="PZC373" s="15"/>
      <c r="PZD373" s="15"/>
      <c r="PZE373" s="15"/>
      <c r="PZF373" s="15"/>
      <c r="PZG373" s="15"/>
      <c r="PZH373" s="15"/>
      <c r="PZI373" s="15"/>
      <c r="PZJ373" s="15"/>
      <c r="PZK373" s="10"/>
      <c r="PZL373" s="10"/>
      <c r="PZM373" s="21"/>
      <c r="PZN373" s="21"/>
      <c r="PZQ373" s="21"/>
      <c r="PZR373" s="15"/>
      <c r="PZS373" s="15"/>
      <c r="PZT373" s="15"/>
      <c r="PZU373" s="15"/>
      <c r="PZV373" s="15"/>
      <c r="PZW373" s="15"/>
      <c r="PZX373" s="15"/>
      <c r="PZY373" s="15"/>
      <c r="PZZ373" s="15"/>
      <c r="QAA373" s="15"/>
      <c r="QAB373" s="10"/>
      <c r="QAC373" s="10"/>
      <c r="QAD373" s="21"/>
      <c r="QAE373" s="21"/>
      <c r="QAH373" s="21"/>
      <c r="QAI373" s="15"/>
      <c r="QAJ373" s="15"/>
      <c r="QAK373" s="15"/>
      <c r="QAL373" s="15"/>
      <c r="QAM373" s="15"/>
      <c r="QAN373" s="15"/>
      <c r="QAO373" s="15"/>
      <c r="QAP373" s="15"/>
      <c r="QAQ373" s="15"/>
      <c r="QAR373" s="15"/>
      <c r="QAS373" s="10"/>
      <c r="QAT373" s="10"/>
      <c r="QAU373" s="21"/>
      <c r="QAV373" s="21"/>
      <c r="QAY373" s="21"/>
      <c r="QAZ373" s="15"/>
      <c r="QBA373" s="15"/>
      <c r="QBB373" s="15"/>
      <c r="QBC373" s="15"/>
      <c r="QBD373" s="15"/>
      <c r="QBE373" s="15"/>
      <c r="QBF373" s="15"/>
      <c r="QBG373" s="15"/>
      <c r="QBH373" s="15"/>
      <c r="QBI373" s="15"/>
      <c r="QBJ373" s="10"/>
      <c r="QBK373" s="10"/>
      <c r="QBL373" s="21"/>
      <c r="QBM373" s="21"/>
      <c r="QBP373" s="21"/>
      <c r="QBQ373" s="15"/>
      <c r="QBR373" s="15"/>
      <c r="QBS373" s="15"/>
      <c r="QBT373" s="15"/>
      <c r="QBU373" s="15"/>
      <c r="QBV373" s="15"/>
      <c r="QBW373" s="15"/>
      <c r="QBX373" s="15"/>
      <c r="QBY373" s="15"/>
      <c r="QBZ373" s="15"/>
      <c r="QCA373" s="10"/>
      <c r="QCB373" s="10"/>
      <c r="QCC373" s="21"/>
      <c r="QCD373" s="21"/>
      <c r="QCG373" s="21"/>
      <c r="QCH373" s="15"/>
      <c r="QCI373" s="15"/>
      <c r="QCJ373" s="15"/>
      <c r="QCK373" s="15"/>
      <c r="QCL373" s="15"/>
      <c r="QCM373" s="15"/>
      <c r="QCN373" s="15"/>
      <c r="QCO373" s="15"/>
      <c r="QCP373" s="15"/>
      <c r="QCQ373" s="15"/>
      <c r="QCR373" s="10"/>
      <c r="QCS373" s="10"/>
      <c r="QCT373" s="21"/>
      <c r="QCU373" s="21"/>
      <c r="QCX373" s="21"/>
      <c r="QCY373" s="15"/>
      <c r="QCZ373" s="15"/>
      <c r="QDA373" s="15"/>
      <c r="QDB373" s="15"/>
      <c r="QDC373" s="15"/>
      <c r="QDD373" s="15"/>
      <c r="QDE373" s="15"/>
      <c r="QDF373" s="15"/>
      <c r="QDG373" s="15"/>
      <c r="QDH373" s="15"/>
      <c r="QDI373" s="10"/>
      <c r="QDJ373" s="10"/>
      <c r="QDK373" s="21"/>
      <c r="QDL373" s="21"/>
      <c r="QDO373" s="21"/>
      <c r="QDP373" s="15"/>
      <c r="QDQ373" s="15"/>
      <c r="QDR373" s="15"/>
      <c r="QDS373" s="15"/>
      <c r="QDT373" s="15"/>
      <c r="QDU373" s="15"/>
      <c r="QDV373" s="15"/>
      <c r="QDW373" s="15"/>
      <c r="QDX373" s="15"/>
      <c r="QDY373" s="15"/>
      <c r="QDZ373" s="10"/>
      <c r="QEA373" s="10"/>
      <c r="QEB373" s="21"/>
      <c r="QEC373" s="21"/>
      <c r="QEF373" s="21"/>
      <c r="QEG373" s="15"/>
      <c r="QEH373" s="15"/>
      <c r="QEI373" s="15"/>
      <c r="QEJ373" s="15"/>
      <c r="QEK373" s="15"/>
      <c r="QEL373" s="15"/>
      <c r="QEM373" s="15"/>
      <c r="QEN373" s="15"/>
      <c r="QEO373" s="15"/>
      <c r="QEP373" s="15"/>
      <c r="QEQ373" s="10"/>
      <c r="QER373" s="10"/>
      <c r="QES373" s="21"/>
      <c r="QET373" s="21"/>
      <c r="QEW373" s="21"/>
      <c r="QEX373" s="15"/>
      <c r="QEY373" s="15"/>
      <c r="QEZ373" s="15"/>
      <c r="QFA373" s="15"/>
      <c r="QFB373" s="15"/>
      <c r="QFC373" s="15"/>
      <c r="QFD373" s="15"/>
      <c r="QFE373" s="15"/>
      <c r="QFF373" s="15"/>
      <c r="QFG373" s="15"/>
      <c r="QFH373" s="10"/>
      <c r="QFI373" s="10"/>
      <c r="QFJ373" s="21"/>
      <c r="QFK373" s="21"/>
      <c r="QFN373" s="21"/>
      <c r="QFO373" s="15"/>
      <c r="QFP373" s="15"/>
      <c r="QFQ373" s="15"/>
      <c r="QFR373" s="15"/>
      <c r="QFS373" s="15"/>
      <c r="QFT373" s="15"/>
      <c r="QFU373" s="15"/>
      <c r="QFV373" s="15"/>
      <c r="QFW373" s="15"/>
      <c r="QFX373" s="15"/>
      <c r="QFY373" s="10"/>
      <c r="QFZ373" s="10"/>
      <c r="QGA373" s="21"/>
      <c r="QGB373" s="21"/>
      <c r="QGE373" s="21"/>
      <c r="QGF373" s="15"/>
      <c r="QGG373" s="15"/>
      <c r="QGH373" s="15"/>
      <c r="QGI373" s="15"/>
      <c r="QGJ373" s="15"/>
      <c r="QGK373" s="15"/>
      <c r="QGL373" s="15"/>
      <c r="QGM373" s="15"/>
      <c r="QGN373" s="15"/>
      <c r="QGO373" s="15"/>
      <c r="QGP373" s="10"/>
      <c r="QGQ373" s="10"/>
      <c r="QGR373" s="21"/>
      <c r="QGS373" s="21"/>
      <c r="QGV373" s="21"/>
      <c r="QGW373" s="15"/>
      <c r="QGX373" s="15"/>
      <c r="QGY373" s="15"/>
      <c r="QGZ373" s="15"/>
      <c r="QHA373" s="15"/>
      <c r="QHB373" s="15"/>
      <c r="QHC373" s="15"/>
      <c r="QHD373" s="15"/>
      <c r="QHE373" s="15"/>
      <c r="QHF373" s="15"/>
      <c r="QHG373" s="10"/>
      <c r="QHH373" s="10"/>
      <c r="QHI373" s="21"/>
      <c r="QHJ373" s="21"/>
      <c r="QHM373" s="21"/>
      <c r="QHN373" s="15"/>
      <c r="QHO373" s="15"/>
      <c r="QHP373" s="15"/>
      <c r="QHQ373" s="15"/>
      <c r="QHR373" s="15"/>
      <c r="QHS373" s="15"/>
      <c r="QHT373" s="15"/>
      <c r="QHU373" s="15"/>
      <c r="QHV373" s="15"/>
      <c r="QHW373" s="15"/>
      <c r="QHX373" s="10"/>
      <c r="QHY373" s="10"/>
      <c r="QHZ373" s="21"/>
      <c r="QIA373" s="21"/>
      <c r="QID373" s="21"/>
      <c r="QIE373" s="15"/>
      <c r="QIF373" s="15"/>
      <c r="QIG373" s="15"/>
      <c r="QIH373" s="15"/>
      <c r="QII373" s="15"/>
      <c r="QIJ373" s="15"/>
      <c r="QIK373" s="15"/>
      <c r="QIL373" s="15"/>
      <c r="QIM373" s="15"/>
      <c r="QIN373" s="15"/>
      <c r="QIO373" s="10"/>
      <c r="QIP373" s="10"/>
      <c r="QIQ373" s="21"/>
      <c r="QIR373" s="21"/>
      <c r="QIU373" s="21"/>
      <c r="QIV373" s="15"/>
      <c r="QIW373" s="15"/>
      <c r="QIX373" s="15"/>
      <c r="QIY373" s="15"/>
      <c r="QIZ373" s="15"/>
      <c r="QJA373" s="15"/>
      <c r="QJB373" s="15"/>
      <c r="QJC373" s="15"/>
      <c r="QJD373" s="15"/>
      <c r="QJE373" s="15"/>
      <c r="QJF373" s="10"/>
      <c r="QJG373" s="10"/>
      <c r="QJH373" s="21"/>
      <c r="QJI373" s="21"/>
      <c r="QJL373" s="21"/>
      <c r="QJM373" s="15"/>
      <c r="QJN373" s="15"/>
      <c r="QJO373" s="15"/>
      <c r="QJP373" s="15"/>
      <c r="QJQ373" s="15"/>
      <c r="QJR373" s="15"/>
      <c r="QJS373" s="15"/>
      <c r="QJT373" s="15"/>
      <c r="QJU373" s="15"/>
      <c r="QJV373" s="15"/>
      <c r="QJW373" s="10"/>
      <c r="QJX373" s="10"/>
      <c r="QJY373" s="21"/>
      <c r="QJZ373" s="21"/>
      <c r="QKC373" s="21"/>
      <c r="QKD373" s="15"/>
      <c r="QKE373" s="15"/>
      <c r="QKF373" s="15"/>
      <c r="QKG373" s="15"/>
      <c r="QKH373" s="15"/>
      <c r="QKI373" s="15"/>
      <c r="QKJ373" s="15"/>
      <c r="QKK373" s="15"/>
      <c r="QKL373" s="15"/>
      <c r="QKM373" s="15"/>
      <c r="QKN373" s="10"/>
      <c r="QKO373" s="10"/>
      <c r="QKP373" s="21"/>
      <c r="QKQ373" s="21"/>
      <c r="QKT373" s="21"/>
      <c r="QKU373" s="15"/>
      <c r="QKV373" s="15"/>
      <c r="QKW373" s="15"/>
      <c r="QKX373" s="15"/>
      <c r="QKY373" s="15"/>
      <c r="QKZ373" s="15"/>
      <c r="QLA373" s="15"/>
      <c r="QLB373" s="15"/>
      <c r="QLC373" s="15"/>
      <c r="QLD373" s="15"/>
      <c r="QLE373" s="10"/>
      <c r="QLF373" s="10"/>
      <c r="QLG373" s="21"/>
      <c r="QLH373" s="21"/>
      <c r="QLK373" s="21"/>
      <c r="QLL373" s="15"/>
      <c r="QLM373" s="15"/>
      <c r="QLN373" s="15"/>
      <c r="QLO373" s="15"/>
      <c r="QLP373" s="15"/>
      <c r="QLQ373" s="15"/>
      <c r="QLR373" s="15"/>
      <c r="QLS373" s="15"/>
      <c r="QLT373" s="15"/>
      <c r="QLU373" s="15"/>
      <c r="QLV373" s="10"/>
      <c r="QLW373" s="10"/>
      <c r="QLX373" s="21"/>
      <c r="QLY373" s="21"/>
      <c r="QMB373" s="21"/>
      <c r="QMC373" s="15"/>
      <c r="QMD373" s="15"/>
      <c r="QME373" s="15"/>
      <c r="QMF373" s="15"/>
      <c r="QMG373" s="15"/>
      <c r="QMH373" s="15"/>
      <c r="QMI373" s="15"/>
      <c r="QMJ373" s="15"/>
      <c r="QMK373" s="15"/>
      <c r="QML373" s="15"/>
      <c r="QMM373" s="10"/>
      <c r="QMN373" s="10"/>
      <c r="QMO373" s="21"/>
      <c r="QMP373" s="21"/>
      <c r="QMS373" s="21"/>
      <c r="QMT373" s="15"/>
      <c r="QMU373" s="15"/>
      <c r="QMV373" s="15"/>
      <c r="QMW373" s="15"/>
      <c r="QMX373" s="15"/>
      <c r="QMY373" s="15"/>
      <c r="QMZ373" s="15"/>
      <c r="QNA373" s="15"/>
      <c r="QNB373" s="15"/>
      <c r="QNC373" s="15"/>
      <c r="QND373" s="10"/>
      <c r="QNE373" s="10"/>
      <c r="QNF373" s="21"/>
      <c r="QNG373" s="21"/>
      <c r="QNJ373" s="21"/>
      <c r="QNK373" s="15"/>
      <c r="QNL373" s="15"/>
      <c r="QNM373" s="15"/>
      <c r="QNN373" s="15"/>
      <c r="QNO373" s="15"/>
      <c r="QNP373" s="15"/>
      <c r="QNQ373" s="15"/>
      <c r="QNR373" s="15"/>
      <c r="QNS373" s="15"/>
      <c r="QNT373" s="15"/>
      <c r="QNU373" s="10"/>
      <c r="QNV373" s="10"/>
      <c r="QNW373" s="21"/>
      <c r="QNX373" s="21"/>
      <c r="QOA373" s="21"/>
      <c r="QOB373" s="15"/>
      <c r="QOC373" s="15"/>
      <c r="QOD373" s="15"/>
      <c r="QOE373" s="15"/>
      <c r="QOF373" s="15"/>
      <c r="QOG373" s="15"/>
      <c r="QOH373" s="15"/>
      <c r="QOI373" s="15"/>
      <c r="QOJ373" s="15"/>
      <c r="QOK373" s="15"/>
      <c r="QOL373" s="10"/>
      <c r="QOM373" s="10"/>
      <c r="QON373" s="21"/>
      <c r="QOO373" s="21"/>
      <c r="QOR373" s="21"/>
      <c r="QOS373" s="15"/>
      <c r="QOT373" s="15"/>
      <c r="QOU373" s="15"/>
      <c r="QOV373" s="15"/>
      <c r="QOW373" s="15"/>
      <c r="QOX373" s="15"/>
      <c r="QOY373" s="15"/>
      <c r="QOZ373" s="15"/>
      <c r="QPA373" s="15"/>
      <c r="QPB373" s="15"/>
      <c r="QPC373" s="10"/>
      <c r="QPD373" s="10"/>
      <c r="QPE373" s="21"/>
      <c r="QPF373" s="21"/>
      <c r="QPI373" s="21"/>
      <c r="QPJ373" s="15"/>
      <c r="QPK373" s="15"/>
      <c r="QPL373" s="15"/>
      <c r="QPM373" s="15"/>
      <c r="QPN373" s="15"/>
      <c r="QPO373" s="15"/>
      <c r="QPP373" s="15"/>
      <c r="QPQ373" s="15"/>
      <c r="QPR373" s="15"/>
      <c r="QPS373" s="15"/>
      <c r="QPT373" s="10"/>
      <c r="QPU373" s="10"/>
      <c r="QPV373" s="21"/>
      <c r="QPW373" s="21"/>
      <c r="QPZ373" s="21"/>
      <c r="QQA373" s="15"/>
      <c r="QQB373" s="15"/>
      <c r="QQC373" s="15"/>
      <c r="QQD373" s="15"/>
      <c r="QQE373" s="15"/>
      <c r="QQF373" s="15"/>
      <c r="QQG373" s="15"/>
      <c r="QQH373" s="15"/>
      <c r="QQI373" s="15"/>
      <c r="QQJ373" s="15"/>
      <c r="QQK373" s="10"/>
      <c r="QQL373" s="10"/>
      <c r="QQM373" s="21"/>
      <c r="QQN373" s="21"/>
      <c r="QQQ373" s="21"/>
      <c r="QQR373" s="15"/>
      <c r="QQS373" s="15"/>
      <c r="QQT373" s="15"/>
      <c r="QQU373" s="15"/>
      <c r="QQV373" s="15"/>
      <c r="QQW373" s="15"/>
      <c r="QQX373" s="15"/>
      <c r="QQY373" s="15"/>
      <c r="QQZ373" s="15"/>
      <c r="QRA373" s="15"/>
      <c r="QRB373" s="10"/>
      <c r="QRC373" s="10"/>
      <c r="QRD373" s="21"/>
      <c r="QRE373" s="21"/>
      <c r="QRH373" s="21"/>
      <c r="QRI373" s="15"/>
      <c r="QRJ373" s="15"/>
      <c r="QRK373" s="15"/>
      <c r="QRL373" s="15"/>
      <c r="QRM373" s="15"/>
      <c r="QRN373" s="15"/>
      <c r="QRO373" s="15"/>
      <c r="QRP373" s="15"/>
      <c r="QRQ373" s="15"/>
      <c r="QRR373" s="15"/>
      <c r="QRS373" s="10"/>
      <c r="QRT373" s="10"/>
      <c r="QRU373" s="21"/>
      <c r="QRV373" s="21"/>
      <c r="QRY373" s="21"/>
      <c r="QRZ373" s="15"/>
      <c r="QSA373" s="15"/>
      <c r="QSB373" s="15"/>
      <c r="QSC373" s="15"/>
      <c r="QSD373" s="15"/>
      <c r="QSE373" s="15"/>
      <c r="QSF373" s="15"/>
      <c r="QSG373" s="15"/>
      <c r="QSH373" s="15"/>
      <c r="QSI373" s="15"/>
      <c r="QSJ373" s="10"/>
      <c r="QSK373" s="10"/>
      <c r="QSL373" s="21"/>
      <c r="QSM373" s="21"/>
      <c r="QSP373" s="21"/>
      <c r="QSQ373" s="15"/>
      <c r="QSR373" s="15"/>
      <c r="QSS373" s="15"/>
      <c r="QST373" s="15"/>
      <c r="QSU373" s="15"/>
      <c r="QSV373" s="15"/>
      <c r="QSW373" s="15"/>
      <c r="QSX373" s="15"/>
      <c r="QSY373" s="15"/>
      <c r="QSZ373" s="15"/>
      <c r="QTA373" s="10"/>
      <c r="QTB373" s="10"/>
      <c r="QTC373" s="21"/>
      <c r="QTD373" s="21"/>
      <c r="QTG373" s="21"/>
      <c r="QTH373" s="15"/>
      <c r="QTI373" s="15"/>
      <c r="QTJ373" s="15"/>
      <c r="QTK373" s="15"/>
      <c r="QTL373" s="15"/>
      <c r="QTM373" s="15"/>
      <c r="QTN373" s="15"/>
      <c r="QTO373" s="15"/>
      <c r="QTP373" s="15"/>
      <c r="QTQ373" s="15"/>
      <c r="QTR373" s="10"/>
      <c r="QTS373" s="10"/>
      <c r="QTT373" s="21"/>
      <c r="QTU373" s="21"/>
      <c r="QTX373" s="21"/>
      <c r="QTY373" s="15"/>
      <c r="QTZ373" s="15"/>
      <c r="QUA373" s="15"/>
      <c r="QUB373" s="15"/>
      <c r="QUC373" s="15"/>
      <c r="QUD373" s="15"/>
      <c r="QUE373" s="15"/>
      <c r="QUF373" s="15"/>
      <c r="QUG373" s="15"/>
      <c r="QUH373" s="15"/>
      <c r="QUI373" s="10"/>
      <c r="QUJ373" s="10"/>
      <c r="QUK373" s="21"/>
      <c r="QUL373" s="21"/>
      <c r="QUO373" s="21"/>
      <c r="QUP373" s="15"/>
      <c r="QUQ373" s="15"/>
      <c r="QUR373" s="15"/>
      <c r="QUS373" s="15"/>
      <c r="QUT373" s="15"/>
      <c r="QUU373" s="15"/>
      <c r="QUV373" s="15"/>
      <c r="QUW373" s="15"/>
      <c r="QUX373" s="15"/>
      <c r="QUY373" s="15"/>
      <c r="QUZ373" s="10"/>
      <c r="QVA373" s="10"/>
      <c r="QVB373" s="21"/>
      <c r="QVC373" s="21"/>
      <c r="QVF373" s="21"/>
      <c r="QVG373" s="15"/>
      <c r="QVH373" s="15"/>
      <c r="QVI373" s="15"/>
      <c r="QVJ373" s="15"/>
      <c r="QVK373" s="15"/>
      <c r="QVL373" s="15"/>
      <c r="QVM373" s="15"/>
      <c r="QVN373" s="15"/>
      <c r="QVO373" s="15"/>
      <c r="QVP373" s="15"/>
      <c r="QVQ373" s="10"/>
      <c r="QVR373" s="10"/>
      <c r="QVS373" s="21"/>
      <c r="QVT373" s="21"/>
      <c r="QVW373" s="21"/>
      <c r="QVX373" s="15"/>
      <c r="QVY373" s="15"/>
      <c r="QVZ373" s="15"/>
      <c r="QWA373" s="15"/>
      <c r="QWB373" s="15"/>
      <c r="QWC373" s="15"/>
      <c r="QWD373" s="15"/>
      <c r="QWE373" s="15"/>
      <c r="QWF373" s="15"/>
      <c r="QWG373" s="15"/>
      <c r="QWH373" s="10"/>
      <c r="QWI373" s="10"/>
      <c r="QWJ373" s="21"/>
      <c r="QWK373" s="21"/>
      <c r="QWN373" s="21"/>
      <c r="QWO373" s="15"/>
      <c r="QWP373" s="15"/>
      <c r="QWQ373" s="15"/>
      <c r="QWR373" s="15"/>
      <c r="QWS373" s="15"/>
      <c r="QWT373" s="15"/>
      <c r="QWU373" s="15"/>
      <c r="QWV373" s="15"/>
      <c r="QWW373" s="15"/>
      <c r="QWX373" s="15"/>
      <c r="QWY373" s="10"/>
      <c r="QWZ373" s="10"/>
      <c r="QXA373" s="21"/>
      <c r="QXB373" s="21"/>
      <c r="QXE373" s="21"/>
      <c r="QXF373" s="15"/>
      <c r="QXG373" s="15"/>
      <c r="QXH373" s="15"/>
      <c r="QXI373" s="15"/>
      <c r="QXJ373" s="15"/>
      <c r="QXK373" s="15"/>
      <c r="QXL373" s="15"/>
      <c r="QXM373" s="15"/>
      <c r="QXN373" s="15"/>
      <c r="QXO373" s="15"/>
      <c r="QXP373" s="10"/>
      <c r="QXQ373" s="10"/>
      <c r="QXR373" s="21"/>
      <c r="QXS373" s="21"/>
      <c r="QXV373" s="21"/>
      <c r="QXW373" s="15"/>
      <c r="QXX373" s="15"/>
      <c r="QXY373" s="15"/>
      <c r="QXZ373" s="15"/>
      <c r="QYA373" s="15"/>
      <c r="QYB373" s="15"/>
      <c r="QYC373" s="15"/>
      <c r="QYD373" s="15"/>
      <c r="QYE373" s="15"/>
      <c r="QYF373" s="15"/>
      <c r="QYG373" s="10"/>
      <c r="QYH373" s="10"/>
      <c r="QYI373" s="21"/>
      <c r="QYJ373" s="21"/>
      <c r="QYM373" s="21"/>
      <c r="QYN373" s="15"/>
      <c r="QYO373" s="15"/>
      <c r="QYP373" s="15"/>
      <c r="QYQ373" s="15"/>
      <c r="QYR373" s="15"/>
      <c r="QYS373" s="15"/>
      <c r="QYT373" s="15"/>
      <c r="QYU373" s="15"/>
      <c r="QYV373" s="15"/>
      <c r="QYW373" s="15"/>
      <c r="QYX373" s="10"/>
      <c r="QYY373" s="10"/>
      <c r="QYZ373" s="21"/>
      <c r="QZA373" s="21"/>
      <c r="QZD373" s="21"/>
      <c r="QZE373" s="15"/>
      <c r="QZF373" s="15"/>
      <c r="QZG373" s="15"/>
      <c r="QZH373" s="15"/>
      <c r="QZI373" s="15"/>
      <c r="QZJ373" s="15"/>
      <c r="QZK373" s="15"/>
      <c r="QZL373" s="15"/>
      <c r="QZM373" s="15"/>
      <c r="QZN373" s="15"/>
      <c r="QZO373" s="10"/>
      <c r="QZP373" s="10"/>
      <c r="QZQ373" s="21"/>
      <c r="QZR373" s="21"/>
      <c r="QZU373" s="21"/>
      <c r="QZV373" s="15"/>
      <c r="QZW373" s="15"/>
      <c r="QZX373" s="15"/>
      <c r="QZY373" s="15"/>
      <c r="QZZ373" s="15"/>
      <c r="RAA373" s="15"/>
      <c r="RAB373" s="15"/>
      <c r="RAC373" s="15"/>
      <c r="RAD373" s="15"/>
      <c r="RAE373" s="15"/>
      <c r="RAF373" s="10"/>
      <c r="RAG373" s="10"/>
      <c r="RAH373" s="21"/>
      <c r="RAI373" s="21"/>
      <c r="RAL373" s="21"/>
      <c r="RAM373" s="15"/>
      <c r="RAN373" s="15"/>
      <c r="RAO373" s="15"/>
      <c r="RAP373" s="15"/>
      <c r="RAQ373" s="15"/>
      <c r="RAR373" s="15"/>
      <c r="RAS373" s="15"/>
      <c r="RAT373" s="15"/>
      <c r="RAU373" s="15"/>
      <c r="RAV373" s="15"/>
      <c r="RAW373" s="10"/>
      <c r="RAX373" s="10"/>
      <c r="RAY373" s="21"/>
      <c r="RAZ373" s="21"/>
      <c r="RBC373" s="21"/>
      <c r="RBD373" s="15"/>
      <c r="RBE373" s="15"/>
      <c r="RBF373" s="15"/>
      <c r="RBG373" s="15"/>
      <c r="RBH373" s="15"/>
      <c r="RBI373" s="15"/>
      <c r="RBJ373" s="15"/>
      <c r="RBK373" s="15"/>
      <c r="RBL373" s="15"/>
      <c r="RBM373" s="15"/>
      <c r="RBN373" s="10"/>
      <c r="RBO373" s="10"/>
      <c r="RBP373" s="21"/>
      <c r="RBQ373" s="21"/>
      <c r="RBT373" s="21"/>
      <c r="RBU373" s="15"/>
      <c r="RBV373" s="15"/>
      <c r="RBW373" s="15"/>
      <c r="RBX373" s="15"/>
      <c r="RBY373" s="15"/>
      <c r="RBZ373" s="15"/>
      <c r="RCA373" s="15"/>
      <c r="RCB373" s="15"/>
      <c r="RCC373" s="15"/>
      <c r="RCD373" s="15"/>
      <c r="RCE373" s="10"/>
      <c r="RCF373" s="10"/>
      <c r="RCG373" s="21"/>
      <c r="RCH373" s="21"/>
      <c r="RCK373" s="21"/>
      <c r="RCL373" s="15"/>
      <c r="RCM373" s="15"/>
      <c r="RCN373" s="15"/>
      <c r="RCO373" s="15"/>
      <c r="RCP373" s="15"/>
      <c r="RCQ373" s="15"/>
      <c r="RCR373" s="15"/>
      <c r="RCS373" s="15"/>
      <c r="RCT373" s="15"/>
      <c r="RCU373" s="15"/>
      <c r="RCV373" s="10"/>
      <c r="RCW373" s="10"/>
      <c r="RCX373" s="21"/>
      <c r="RCY373" s="21"/>
      <c r="RDB373" s="21"/>
      <c r="RDC373" s="15"/>
      <c r="RDD373" s="15"/>
      <c r="RDE373" s="15"/>
      <c r="RDF373" s="15"/>
      <c r="RDG373" s="15"/>
      <c r="RDH373" s="15"/>
      <c r="RDI373" s="15"/>
      <c r="RDJ373" s="15"/>
      <c r="RDK373" s="15"/>
      <c r="RDL373" s="15"/>
      <c r="RDM373" s="10"/>
      <c r="RDN373" s="10"/>
      <c r="RDO373" s="21"/>
      <c r="RDP373" s="21"/>
      <c r="RDS373" s="21"/>
      <c r="RDT373" s="15"/>
      <c r="RDU373" s="15"/>
      <c r="RDV373" s="15"/>
      <c r="RDW373" s="15"/>
      <c r="RDX373" s="15"/>
      <c r="RDY373" s="15"/>
      <c r="RDZ373" s="15"/>
      <c r="REA373" s="15"/>
      <c r="REB373" s="15"/>
      <c r="REC373" s="15"/>
      <c r="RED373" s="10"/>
      <c r="REE373" s="10"/>
      <c r="REF373" s="21"/>
      <c r="REG373" s="21"/>
      <c r="REJ373" s="21"/>
      <c r="REK373" s="15"/>
      <c r="REL373" s="15"/>
      <c r="REM373" s="15"/>
      <c r="REN373" s="15"/>
      <c r="REO373" s="15"/>
      <c r="REP373" s="15"/>
      <c r="REQ373" s="15"/>
      <c r="RER373" s="15"/>
      <c r="RES373" s="15"/>
      <c r="RET373" s="15"/>
      <c r="REU373" s="10"/>
      <c r="REV373" s="10"/>
      <c r="REW373" s="21"/>
      <c r="REX373" s="21"/>
      <c r="RFA373" s="21"/>
      <c r="RFB373" s="15"/>
      <c r="RFC373" s="15"/>
      <c r="RFD373" s="15"/>
      <c r="RFE373" s="15"/>
      <c r="RFF373" s="15"/>
      <c r="RFG373" s="15"/>
      <c r="RFH373" s="15"/>
      <c r="RFI373" s="15"/>
      <c r="RFJ373" s="15"/>
      <c r="RFK373" s="15"/>
      <c r="RFL373" s="10"/>
      <c r="RFM373" s="10"/>
      <c r="RFN373" s="21"/>
      <c r="RFO373" s="21"/>
      <c r="RFR373" s="21"/>
      <c r="RFS373" s="15"/>
      <c r="RFT373" s="15"/>
      <c r="RFU373" s="15"/>
      <c r="RFV373" s="15"/>
      <c r="RFW373" s="15"/>
      <c r="RFX373" s="15"/>
      <c r="RFY373" s="15"/>
      <c r="RFZ373" s="15"/>
      <c r="RGA373" s="15"/>
      <c r="RGB373" s="15"/>
      <c r="RGC373" s="10"/>
      <c r="RGD373" s="10"/>
      <c r="RGE373" s="21"/>
      <c r="RGF373" s="21"/>
      <c r="RGI373" s="21"/>
      <c r="RGJ373" s="15"/>
      <c r="RGK373" s="15"/>
      <c r="RGL373" s="15"/>
      <c r="RGM373" s="15"/>
      <c r="RGN373" s="15"/>
      <c r="RGO373" s="15"/>
      <c r="RGP373" s="15"/>
      <c r="RGQ373" s="15"/>
      <c r="RGR373" s="15"/>
      <c r="RGS373" s="15"/>
      <c r="RGT373" s="10"/>
      <c r="RGU373" s="10"/>
      <c r="RGV373" s="21"/>
      <c r="RGW373" s="21"/>
      <c r="RGZ373" s="21"/>
      <c r="RHA373" s="15"/>
      <c r="RHB373" s="15"/>
      <c r="RHC373" s="15"/>
      <c r="RHD373" s="15"/>
      <c r="RHE373" s="15"/>
      <c r="RHF373" s="15"/>
      <c r="RHG373" s="15"/>
      <c r="RHH373" s="15"/>
      <c r="RHI373" s="15"/>
      <c r="RHJ373" s="15"/>
      <c r="RHK373" s="10"/>
      <c r="RHL373" s="10"/>
      <c r="RHM373" s="21"/>
      <c r="RHN373" s="21"/>
      <c r="RHQ373" s="21"/>
      <c r="RHR373" s="15"/>
      <c r="RHS373" s="15"/>
      <c r="RHT373" s="15"/>
      <c r="RHU373" s="15"/>
      <c r="RHV373" s="15"/>
      <c r="RHW373" s="15"/>
      <c r="RHX373" s="15"/>
      <c r="RHY373" s="15"/>
      <c r="RHZ373" s="15"/>
      <c r="RIA373" s="15"/>
      <c r="RIB373" s="10"/>
      <c r="RIC373" s="10"/>
      <c r="RID373" s="21"/>
      <c r="RIE373" s="21"/>
      <c r="RIH373" s="21"/>
      <c r="RII373" s="15"/>
      <c r="RIJ373" s="15"/>
      <c r="RIK373" s="15"/>
      <c r="RIL373" s="15"/>
      <c r="RIM373" s="15"/>
      <c r="RIN373" s="15"/>
      <c r="RIO373" s="15"/>
      <c r="RIP373" s="15"/>
      <c r="RIQ373" s="15"/>
      <c r="RIR373" s="15"/>
      <c r="RIS373" s="10"/>
      <c r="RIT373" s="10"/>
      <c r="RIU373" s="21"/>
      <c r="RIV373" s="21"/>
      <c r="RIY373" s="21"/>
      <c r="RIZ373" s="15"/>
      <c r="RJA373" s="15"/>
      <c r="RJB373" s="15"/>
      <c r="RJC373" s="15"/>
      <c r="RJD373" s="15"/>
      <c r="RJE373" s="15"/>
      <c r="RJF373" s="15"/>
      <c r="RJG373" s="15"/>
      <c r="RJH373" s="15"/>
      <c r="RJI373" s="15"/>
      <c r="RJJ373" s="10"/>
      <c r="RJK373" s="10"/>
      <c r="RJL373" s="21"/>
      <c r="RJM373" s="21"/>
      <c r="RJP373" s="21"/>
      <c r="RJQ373" s="15"/>
      <c r="RJR373" s="15"/>
      <c r="RJS373" s="15"/>
      <c r="RJT373" s="15"/>
      <c r="RJU373" s="15"/>
      <c r="RJV373" s="15"/>
      <c r="RJW373" s="15"/>
      <c r="RJX373" s="15"/>
      <c r="RJY373" s="15"/>
      <c r="RJZ373" s="15"/>
      <c r="RKA373" s="10"/>
      <c r="RKB373" s="10"/>
      <c r="RKC373" s="21"/>
      <c r="RKD373" s="21"/>
      <c r="RKG373" s="21"/>
      <c r="RKH373" s="15"/>
      <c r="RKI373" s="15"/>
      <c r="RKJ373" s="15"/>
      <c r="RKK373" s="15"/>
      <c r="RKL373" s="15"/>
      <c r="RKM373" s="15"/>
      <c r="RKN373" s="15"/>
      <c r="RKO373" s="15"/>
      <c r="RKP373" s="15"/>
      <c r="RKQ373" s="15"/>
      <c r="RKR373" s="10"/>
      <c r="RKS373" s="10"/>
      <c r="RKT373" s="21"/>
      <c r="RKU373" s="21"/>
      <c r="RKX373" s="21"/>
      <c r="RKY373" s="15"/>
      <c r="RKZ373" s="15"/>
      <c r="RLA373" s="15"/>
      <c r="RLB373" s="15"/>
      <c r="RLC373" s="15"/>
      <c r="RLD373" s="15"/>
      <c r="RLE373" s="15"/>
      <c r="RLF373" s="15"/>
      <c r="RLG373" s="15"/>
      <c r="RLH373" s="15"/>
      <c r="RLI373" s="10"/>
      <c r="RLJ373" s="10"/>
      <c r="RLK373" s="21"/>
      <c r="RLL373" s="21"/>
      <c r="RLO373" s="21"/>
      <c r="RLP373" s="15"/>
      <c r="RLQ373" s="15"/>
      <c r="RLR373" s="15"/>
      <c r="RLS373" s="15"/>
      <c r="RLT373" s="15"/>
      <c r="RLU373" s="15"/>
      <c r="RLV373" s="15"/>
      <c r="RLW373" s="15"/>
      <c r="RLX373" s="15"/>
      <c r="RLY373" s="15"/>
      <c r="RLZ373" s="10"/>
      <c r="RMA373" s="10"/>
      <c r="RMB373" s="21"/>
      <c r="RMC373" s="21"/>
      <c r="RMF373" s="21"/>
      <c r="RMG373" s="15"/>
      <c r="RMH373" s="15"/>
      <c r="RMI373" s="15"/>
      <c r="RMJ373" s="15"/>
      <c r="RMK373" s="15"/>
      <c r="RML373" s="15"/>
      <c r="RMM373" s="15"/>
      <c r="RMN373" s="15"/>
      <c r="RMO373" s="15"/>
      <c r="RMP373" s="15"/>
      <c r="RMQ373" s="10"/>
      <c r="RMR373" s="10"/>
      <c r="RMS373" s="21"/>
      <c r="RMT373" s="21"/>
      <c r="RMW373" s="21"/>
      <c r="RMX373" s="15"/>
      <c r="RMY373" s="15"/>
      <c r="RMZ373" s="15"/>
      <c r="RNA373" s="15"/>
      <c r="RNB373" s="15"/>
      <c r="RNC373" s="15"/>
      <c r="RND373" s="15"/>
      <c r="RNE373" s="15"/>
      <c r="RNF373" s="15"/>
      <c r="RNG373" s="15"/>
      <c r="RNH373" s="10"/>
      <c r="RNI373" s="10"/>
      <c r="RNJ373" s="21"/>
      <c r="RNK373" s="21"/>
      <c r="RNN373" s="21"/>
      <c r="RNO373" s="15"/>
      <c r="RNP373" s="15"/>
      <c r="RNQ373" s="15"/>
      <c r="RNR373" s="15"/>
      <c r="RNS373" s="15"/>
      <c r="RNT373" s="15"/>
      <c r="RNU373" s="15"/>
      <c r="RNV373" s="15"/>
      <c r="RNW373" s="15"/>
      <c r="RNX373" s="15"/>
      <c r="RNY373" s="10"/>
      <c r="RNZ373" s="10"/>
      <c r="ROA373" s="21"/>
      <c r="ROB373" s="21"/>
      <c r="ROE373" s="21"/>
      <c r="ROF373" s="15"/>
      <c r="ROG373" s="15"/>
      <c r="ROH373" s="15"/>
      <c r="ROI373" s="15"/>
      <c r="ROJ373" s="15"/>
      <c r="ROK373" s="15"/>
      <c r="ROL373" s="15"/>
      <c r="ROM373" s="15"/>
      <c r="RON373" s="15"/>
      <c r="ROO373" s="15"/>
      <c r="ROP373" s="10"/>
      <c r="ROQ373" s="10"/>
      <c r="ROR373" s="21"/>
      <c r="ROS373" s="21"/>
      <c r="ROV373" s="21"/>
      <c r="ROW373" s="15"/>
      <c r="ROX373" s="15"/>
      <c r="ROY373" s="15"/>
      <c r="ROZ373" s="15"/>
      <c r="RPA373" s="15"/>
      <c r="RPB373" s="15"/>
      <c r="RPC373" s="15"/>
      <c r="RPD373" s="15"/>
      <c r="RPE373" s="15"/>
      <c r="RPF373" s="15"/>
      <c r="RPG373" s="10"/>
      <c r="RPH373" s="10"/>
      <c r="RPI373" s="21"/>
      <c r="RPJ373" s="21"/>
      <c r="RPM373" s="21"/>
      <c r="RPN373" s="15"/>
      <c r="RPO373" s="15"/>
      <c r="RPP373" s="15"/>
      <c r="RPQ373" s="15"/>
      <c r="RPR373" s="15"/>
      <c r="RPS373" s="15"/>
      <c r="RPT373" s="15"/>
      <c r="RPU373" s="15"/>
      <c r="RPV373" s="15"/>
      <c r="RPW373" s="15"/>
      <c r="RPX373" s="10"/>
      <c r="RPY373" s="10"/>
      <c r="RPZ373" s="21"/>
      <c r="RQA373" s="21"/>
      <c r="RQD373" s="21"/>
      <c r="RQE373" s="15"/>
      <c r="RQF373" s="15"/>
      <c r="RQG373" s="15"/>
      <c r="RQH373" s="15"/>
      <c r="RQI373" s="15"/>
      <c r="RQJ373" s="15"/>
      <c r="RQK373" s="15"/>
      <c r="RQL373" s="15"/>
      <c r="RQM373" s="15"/>
      <c r="RQN373" s="15"/>
      <c r="RQO373" s="10"/>
      <c r="RQP373" s="10"/>
      <c r="RQQ373" s="21"/>
      <c r="RQR373" s="21"/>
      <c r="RQU373" s="21"/>
      <c r="RQV373" s="15"/>
      <c r="RQW373" s="15"/>
      <c r="RQX373" s="15"/>
      <c r="RQY373" s="15"/>
      <c r="RQZ373" s="15"/>
      <c r="RRA373" s="15"/>
      <c r="RRB373" s="15"/>
      <c r="RRC373" s="15"/>
      <c r="RRD373" s="15"/>
      <c r="RRE373" s="15"/>
      <c r="RRF373" s="10"/>
      <c r="RRG373" s="10"/>
      <c r="RRH373" s="21"/>
      <c r="RRI373" s="21"/>
      <c r="RRL373" s="21"/>
      <c r="RRM373" s="15"/>
      <c r="RRN373" s="15"/>
      <c r="RRO373" s="15"/>
      <c r="RRP373" s="15"/>
      <c r="RRQ373" s="15"/>
      <c r="RRR373" s="15"/>
      <c r="RRS373" s="15"/>
      <c r="RRT373" s="15"/>
      <c r="RRU373" s="15"/>
      <c r="RRV373" s="15"/>
      <c r="RRW373" s="10"/>
      <c r="RRX373" s="10"/>
      <c r="RRY373" s="21"/>
      <c r="RRZ373" s="21"/>
      <c r="RSC373" s="21"/>
      <c r="RSD373" s="15"/>
      <c r="RSE373" s="15"/>
      <c r="RSF373" s="15"/>
      <c r="RSG373" s="15"/>
      <c r="RSH373" s="15"/>
      <c r="RSI373" s="15"/>
      <c r="RSJ373" s="15"/>
      <c r="RSK373" s="15"/>
      <c r="RSL373" s="15"/>
      <c r="RSM373" s="15"/>
      <c r="RSN373" s="10"/>
      <c r="RSO373" s="10"/>
      <c r="RSP373" s="21"/>
      <c r="RSQ373" s="21"/>
      <c r="RST373" s="21"/>
      <c r="RSU373" s="15"/>
      <c r="RSV373" s="15"/>
      <c r="RSW373" s="15"/>
      <c r="RSX373" s="15"/>
      <c r="RSY373" s="15"/>
      <c r="RSZ373" s="15"/>
      <c r="RTA373" s="15"/>
      <c r="RTB373" s="15"/>
      <c r="RTC373" s="15"/>
      <c r="RTD373" s="15"/>
      <c r="RTE373" s="10"/>
      <c r="RTF373" s="10"/>
      <c r="RTG373" s="21"/>
      <c r="RTH373" s="21"/>
      <c r="RTK373" s="21"/>
      <c r="RTL373" s="15"/>
      <c r="RTM373" s="15"/>
      <c r="RTN373" s="15"/>
      <c r="RTO373" s="15"/>
      <c r="RTP373" s="15"/>
      <c r="RTQ373" s="15"/>
      <c r="RTR373" s="15"/>
      <c r="RTS373" s="15"/>
      <c r="RTT373" s="15"/>
      <c r="RTU373" s="15"/>
      <c r="RTV373" s="10"/>
      <c r="RTW373" s="10"/>
      <c r="RTX373" s="21"/>
      <c r="RTY373" s="21"/>
      <c r="RUB373" s="21"/>
      <c r="RUC373" s="15"/>
      <c r="RUD373" s="15"/>
      <c r="RUE373" s="15"/>
      <c r="RUF373" s="15"/>
      <c r="RUG373" s="15"/>
      <c r="RUH373" s="15"/>
      <c r="RUI373" s="15"/>
      <c r="RUJ373" s="15"/>
      <c r="RUK373" s="15"/>
      <c r="RUL373" s="15"/>
      <c r="RUM373" s="10"/>
      <c r="RUN373" s="10"/>
      <c r="RUO373" s="21"/>
      <c r="RUP373" s="21"/>
      <c r="RUS373" s="21"/>
      <c r="RUT373" s="15"/>
      <c r="RUU373" s="15"/>
      <c r="RUV373" s="15"/>
      <c r="RUW373" s="15"/>
      <c r="RUX373" s="15"/>
      <c r="RUY373" s="15"/>
      <c r="RUZ373" s="15"/>
      <c r="RVA373" s="15"/>
      <c r="RVB373" s="15"/>
      <c r="RVC373" s="15"/>
      <c r="RVD373" s="10"/>
      <c r="RVE373" s="10"/>
      <c r="RVF373" s="21"/>
      <c r="RVG373" s="21"/>
      <c r="RVJ373" s="21"/>
      <c r="RVK373" s="15"/>
      <c r="RVL373" s="15"/>
      <c r="RVM373" s="15"/>
      <c r="RVN373" s="15"/>
      <c r="RVO373" s="15"/>
      <c r="RVP373" s="15"/>
      <c r="RVQ373" s="15"/>
      <c r="RVR373" s="15"/>
      <c r="RVS373" s="15"/>
      <c r="RVT373" s="15"/>
      <c r="RVU373" s="10"/>
      <c r="RVV373" s="10"/>
      <c r="RVW373" s="21"/>
      <c r="RVX373" s="21"/>
      <c r="RWA373" s="21"/>
      <c r="RWB373" s="15"/>
      <c r="RWC373" s="15"/>
      <c r="RWD373" s="15"/>
      <c r="RWE373" s="15"/>
      <c r="RWF373" s="15"/>
      <c r="RWG373" s="15"/>
      <c r="RWH373" s="15"/>
      <c r="RWI373" s="15"/>
      <c r="RWJ373" s="15"/>
      <c r="RWK373" s="15"/>
      <c r="RWL373" s="10"/>
      <c r="RWM373" s="10"/>
      <c r="RWN373" s="21"/>
      <c r="RWO373" s="21"/>
      <c r="RWR373" s="21"/>
      <c r="RWS373" s="15"/>
      <c r="RWT373" s="15"/>
      <c r="RWU373" s="15"/>
      <c r="RWV373" s="15"/>
      <c r="RWW373" s="15"/>
      <c r="RWX373" s="15"/>
      <c r="RWY373" s="15"/>
      <c r="RWZ373" s="15"/>
      <c r="RXA373" s="15"/>
      <c r="RXB373" s="15"/>
      <c r="RXC373" s="10"/>
      <c r="RXD373" s="10"/>
      <c r="RXE373" s="21"/>
      <c r="RXF373" s="21"/>
      <c r="RXI373" s="21"/>
      <c r="RXJ373" s="15"/>
      <c r="RXK373" s="15"/>
      <c r="RXL373" s="15"/>
      <c r="RXM373" s="15"/>
      <c r="RXN373" s="15"/>
      <c r="RXO373" s="15"/>
      <c r="RXP373" s="15"/>
      <c r="RXQ373" s="15"/>
      <c r="RXR373" s="15"/>
      <c r="RXS373" s="15"/>
      <c r="RXT373" s="10"/>
      <c r="RXU373" s="10"/>
      <c r="RXV373" s="21"/>
      <c r="RXW373" s="21"/>
      <c r="RXZ373" s="21"/>
      <c r="RYA373" s="15"/>
      <c r="RYB373" s="15"/>
      <c r="RYC373" s="15"/>
      <c r="RYD373" s="15"/>
      <c r="RYE373" s="15"/>
      <c r="RYF373" s="15"/>
      <c r="RYG373" s="15"/>
      <c r="RYH373" s="15"/>
      <c r="RYI373" s="15"/>
      <c r="RYJ373" s="15"/>
      <c r="RYK373" s="10"/>
      <c r="RYL373" s="10"/>
      <c r="RYM373" s="21"/>
      <c r="RYN373" s="21"/>
      <c r="RYQ373" s="21"/>
      <c r="RYR373" s="15"/>
      <c r="RYS373" s="15"/>
      <c r="RYT373" s="15"/>
      <c r="RYU373" s="15"/>
      <c r="RYV373" s="15"/>
      <c r="RYW373" s="15"/>
      <c r="RYX373" s="15"/>
      <c r="RYY373" s="15"/>
      <c r="RYZ373" s="15"/>
      <c r="RZA373" s="15"/>
      <c r="RZB373" s="10"/>
      <c r="RZC373" s="10"/>
      <c r="RZD373" s="21"/>
      <c r="RZE373" s="21"/>
      <c r="RZH373" s="21"/>
      <c r="RZI373" s="15"/>
      <c r="RZJ373" s="15"/>
      <c r="RZK373" s="15"/>
      <c r="RZL373" s="15"/>
      <c r="RZM373" s="15"/>
      <c r="RZN373" s="15"/>
      <c r="RZO373" s="15"/>
      <c r="RZP373" s="15"/>
      <c r="RZQ373" s="15"/>
      <c r="RZR373" s="15"/>
      <c r="RZS373" s="10"/>
      <c r="RZT373" s="10"/>
      <c r="RZU373" s="21"/>
      <c r="RZV373" s="21"/>
      <c r="RZY373" s="21"/>
      <c r="RZZ373" s="15"/>
      <c r="SAA373" s="15"/>
      <c r="SAB373" s="15"/>
      <c r="SAC373" s="15"/>
      <c r="SAD373" s="15"/>
      <c r="SAE373" s="15"/>
      <c r="SAF373" s="15"/>
      <c r="SAG373" s="15"/>
      <c r="SAH373" s="15"/>
      <c r="SAI373" s="15"/>
      <c r="SAJ373" s="10"/>
      <c r="SAK373" s="10"/>
      <c r="SAL373" s="21"/>
      <c r="SAM373" s="21"/>
      <c r="SAP373" s="21"/>
      <c r="SAQ373" s="15"/>
      <c r="SAR373" s="15"/>
      <c r="SAS373" s="15"/>
      <c r="SAT373" s="15"/>
      <c r="SAU373" s="15"/>
      <c r="SAV373" s="15"/>
      <c r="SAW373" s="15"/>
      <c r="SAX373" s="15"/>
      <c r="SAY373" s="15"/>
      <c r="SAZ373" s="15"/>
      <c r="SBA373" s="10"/>
      <c r="SBB373" s="10"/>
      <c r="SBC373" s="21"/>
      <c r="SBD373" s="21"/>
      <c r="SBG373" s="21"/>
      <c r="SBH373" s="15"/>
      <c r="SBI373" s="15"/>
      <c r="SBJ373" s="15"/>
      <c r="SBK373" s="15"/>
      <c r="SBL373" s="15"/>
      <c r="SBM373" s="15"/>
      <c r="SBN373" s="15"/>
      <c r="SBO373" s="15"/>
      <c r="SBP373" s="15"/>
      <c r="SBQ373" s="15"/>
      <c r="SBR373" s="10"/>
      <c r="SBS373" s="10"/>
      <c r="SBT373" s="21"/>
      <c r="SBU373" s="21"/>
      <c r="SBX373" s="21"/>
      <c r="SBY373" s="15"/>
      <c r="SBZ373" s="15"/>
      <c r="SCA373" s="15"/>
      <c r="SCB373" s="15"/>
      <c r="SCC373" s="15"/>
      <c r="SCD373" s="15"/>
      <c r="SCE373" s="15"/>
      <c r="SCF373" s="15"/>
      <c r="SCG373" s="15"/>
      <c r="SCH373" s="15"/>
      <c r="SCI373" s="10"/>
      <c r="SCJ373" s="10"/>
      <c r="SCK373" s="21"/>
      <c r="SCL373" s="21"/>
      <c r="SCO373" s="21"/>
      <c r="SCP373" s="15"/>
      <c r="SCQ373" s="15"/>
      <c r="SCR373" s="15"/>
      <c r="SCS373" s="15"/>
      <c r="SCT373" s="15"/>
      <c r="SCU373" s="15"/>
      <c r="SCV373" s="15"/>
      <c r="SCW373" s="15"/>
      <c r="SCX373" s="15"/>
      <c r="SCY373" s="15"/>
      <c r="SCZ373" s="10"/>
      <c r="SDA373" s="10"/>
      <c r="SDB373" s="21"/>
      <c r="SDC373" s="21"/>
      <c r="SDF373" s="21"/>
      <c r="SDG373" s="15"/>
      <c r="SDH373" s="15"/>
      <c r="SDI373" s="15"/>
      <c r="SDJ373" s="15"/>
      <c r="SDK373" s="15"/>
      <c r="SDL373" s="15"/>
      <c r="SDM373" s="15"/>
      <c r="SDN373" s="15"/>
      <c r="SDO373" s="15"/>
      <c r="SDP373" s="15"/>
      <c r="SDQ373" s="10"/>
      <c r="SDR373" s="10"/>
      <c r="SDS373" s="21"/>
      <c r="SDT373" s="21"/>
      <c r="SDW373" s="21"/>
      <c r="SDX373" s="15"/>
      <c r="SDY373" s="15"/>
      <c r="SDZ373" s="15"/>
      <c r="SEA373" s="15"/>
      <c r="SEB373" s="15"/>
      <c r="SEC373" s="15"/>
      <c r="SED373" s="15"/>
      <c r="SEE373" s="15"/>
      <c r="SEF373" s="15"/>
      <c r="SEG373" s="15"/>
      <c r="SEH373" s="10"/>
      <c r="SEI373" s="10"/>
      <c r="SEJ373" s="21"/>
      <c r="SEK373" s="21"/>
      <c r="SEN373" s="21"/>
      <c r="SEO373" s="15"/>
      <c r="SEP373" s="15"/>
      <c r="SEQ373" s="15"/>
      <c r="SER373" s="15"/>
      <c r="SES373" s="15"/>
      <c r="SET373" s="15"/>
      <c r="SEU373" s="15"/>
      <c r="SEV373" s="15"/>
      <c r="SEW373" s="15"/>
      <c r="SEX373" s="15"/>
      <c r="SEY373" s="10"/>
      <c r="SEZ373" s="10"/>
      <c r="SFA373" s="21"/>
      <c r="SFB373" s="21"/>
      <c r="SFE373" s="21"/>
      <c r="SFF373" s="15"/>
      <c r="SFG373" s="15"/>
      <c r="SFH373" s="15"/>
      <c r="SFI373" s="15"/>
      <c r="SFJ373" s="15"/>
      <c r="SFK373" s="15"/>
      <c r="SFL373" s="15"/>
      <c r="SFM373" s="15"/>
      <c r="SFN373" s="15"/>
      <c r="SFO373" s="15"/>
      <c r="SFP373" s="10"/>
      <c r="SFQ373" s="10"/>
      <c r="SFR373" s="21"/>
      <c r="SFS373" s="21"/>
      <c r="SFV373" s="21"/>
      <c r="SFW373" s="15"/>
      <c r="SFX373" s="15"/>
      <c r="SFY373" s="15"/>
      <c r="SFZ373" s="15"/>
      <c r="SGA373" s="15"/>
      <c r="SGB373" s="15"/>
      <c r="SGC373" s="15"/>
      <c r="SGD373" s="15"/>
      <c r="SGE373" s="15"/>
      <c r="SGF373" s="15"/>
      <c r="SGG373" s="10"/>
      <c r="SGH373" s="10"/>
      <c r="SGI373" s="21"/>
      <c r="SGJ373" s="21"/>
      <c r="SGM373" s="21"/>
      <c r="SGN373" s="15"/>
      <c r="SGO373" s="15"/>
      <c r="SGP373" s="15"/>
      <c r="SGQ373" s="15"/>
      <c r="SGR373" s="15"/>
      <c r="SGS373" s="15"/>
      <c r="SGT373" s="15"/>
      <c r="SGU373" s="15"/>
      <c r="SGV373" s="15"/>
      <c r="SGW373" s="15"/>
      <c r="SGX373" s="10"/>
      <c r="SGY373" s="10"/>
      <c r="SGZ373" s="21"/>
      <c r="SHA373" s="21"/>
      <c r="SHD373" s="21"/>
      <c r="SHE373" s="15"/>
      <c r="SHF373" s="15"/>
      <c r="SHG373" s="15"/>
      <c r="SHH373" s="15"/>
      <c r="SHI373" s="15"/>
      <c r="SHJ373" s="15"/>
      <c r="SHK373" s="15"/>
      <c r="SHL373" s="15"/>
      <c r="SHM373" s="15"/>
      <c r="SHN373" s="15"/>
      <c r="SHO373" s="10"/>
      <c r="SHP373" s="10"/>
      <c r="SHQ373" s="21"/>
      <c r="SHR373" s="21"/>
      <c r="SHU373" s="21"/>
      <c r="SHV373" s="15"/>
      <c r="SHW373" s="15"/>
      <c r="SHX373" s="15"/>
      <c r="SHY373" s="15"/>
      <c r="SHZ373" s="15"/>
      <c r="SIA373" s="15"/>
      <c r="SIB373" s="15"/>
      <c r="SIC373" s="15"/>
      <c r="SID373" s="15"/>
      <c r="SIE373" s="15"/>
      <c r="SIF373" s="10"/>
      <c r="SIG373" s="10"/>
      <c r="SIH373" s="21"/>
      <c r="SII373" s="21"/>
      <c r="SIL373" s="21"/>
      <c r="SIM373" s="15"/>
      <c r="SIN373" s="15"/>
      <c r="SIO373" s="15"/>
      <c r="SIP373" s="15"/>
      <c r="SIQ373" s="15"/>
      <c r="SIR373" s="15"/>
      <c r="SIS373" s="15"/>
      <c r="SIT373" s="15"/>
      <c r="SIU373" s="15"/>
      <c r="SIV373" s="15"/>
      <c r="SIW373" s="10"/>
      <c r="SIX373" s="10"/>
      <c r="SIY373" s="21"/>
      <c r="SIZ373" s="21"/>
      <c r="SJC373" s="21"/>
      <c r="SJD373" s="15"/>
      <c r="SJE373" s="15"/>
      <c r="SJF373" s="15"/>
      <c r="SJG373" s="15"/>
      <c r="SJH373" s="15"/>
      <c r="SJI373" s="15"/>
      <c r="SJJ373" s="15"/>
      <c r="SJK373" s="15"/>
      <c r="SJL373" s="15"/>
      <c r="SJM373" s="15"/>
      <c r="SJN373" s="10"/>
      <c r="SJO373" s="10"/>
      <c r="SJP373" s="21"/>
      <c r="SJQ373" s="21"/>
      <c r="SJT373" s="21"/>
      <c r="SJU373" s="15"/>
      <c r="SJV373" s="15"/>
      <c r="SJW373" s="15"/>
      <c r="SJX373" s="15"/>
      <c r="SJY373" s="15"/>
      <c r="SJZ373" s="15"/>
      <c r="SKA373" s="15"/>
      <c r="SKB373" s="15"/>
      <c r="SKC373" s="15"/>
      <c r="SKD373" s="15"/>
      <c r="SKE373" s="10"/>
      <c r="SKF373" s="10"/>
      <c r="SKG373" s="21"/>
      <c r="SKH373" s="21"/>
      <c r="SKK373" s="21"/>
      <c r="SKL373" s="15"/>
      <c r="SKM373" s="15"/>
      <c r="SKN373" s="15"/>
      <c r="SKO373" s="15"/>
      <c r="SKP373" s="15"/>
      <c r="SKQ373" s="15"/>
      <c r="SKR373" s="15"/>
      <c r="SKS373" s="15"/>
      <c r="SKT373" s="15"/>
      <c r="SKU373" s="15"/>
      <c r="SKV373" s="10"/>
      <c r="SKW373" s="10"/>
      <c r="SKX373" s="21"/>
      <c r="SKY373" s="21"/>
      <c r="SLB373" s="21"/>
      <c r="SLC373" s="15"/>
      <c r="SLD373" s="15"/>
      <c r="SLE373" s="15"/>
      <c r="SLF373" s="15"/>
      <c r="SLG373" s="15"/>
      <c r="SLH373" s="15"/>
      <c r="SLI373" s="15"/>
      <c r="SLJ373" s="15"/>
      <c r="SLK373" s="15"/>
      <c r="SLL373" s="15"/>
      <c r="SLM373" s="10"/>
      <c r="SLN373" s="10"/>
      <c r="SLO373" s="21"/>
      <c r="SLP373" s="21"/>
      <c r="SLS373" s="21"/>
      <c r="SLT373" s="15"/>
      <c r="SLU373" s="15"/>
      <c r="SLV373" s="15"/>
      <c r="SLW373" s="15"/>
      <c r="SLX373" s="15"/>
      <c r="SLY373" s="15"/>
      <c r="SLZ373" s="15"/>
      <c r="SMA373" s="15"/>
      <c r="SMB373" s="15"/>
      <c r="SMC373" s="15"/>
      <c r="SMD373" s="10"/>
      <c r="SME373" s="10"/>
      <c r="SMF373" s="21"/>
      <c r="SMG373" s="21"/>
      <c r="SMJ373" s="21"/>
      <c r="SMK373" s="15"/>
      <c r="SML373" s="15"/>
      <c r="SMM373" s="15"/>
      <c r="SMN373" s="15"/>
      <c r="SMO373" s="15"/>
      <c r="SMP373" s="15"/>
      <c r="SMQ373" s="15"/>
      <c r="SMR373" s="15"/>
      <c r="SMS373" s="15"/>
      <c r="SMT373" s="15"/>
      <c r="SMU373" s="10"/>
      <c r="SMV373" s="10"/>
      <c r="SMW373" s="21"/>
      <c r="SMX373" s="21"/>
      <c r="SNA373" s="21"/>
      <c r="SNB373" s="15"/>
      <c r="SNC373" s="15"/>
      <c r="SND373" s="15"/>
      <c r="SNE373" s="15"/>
      <c r="SNF373" s="15"/>
      <c r="SNG373" s="15"/>
      <c r="SNH373" s="15"/>
      <c r="SNI373" s="15"/>
      <c r="SNJ373" s="15"/>
      <c r="SNK373" s="15"/>
      <c r="SNL373" s="10"/>
      <c r="SNM373" s="10"/>
      <c r="SNN373" s="21"/>
      <c r="SNO373" s="21"/>
      <c r="SNR373" s="21"/>
      <c r="SNS373" s="15"/>
      <c r="SNT373" s="15"/>
      <c r="SNU373" s="15"/>
      <c r="SNV373" s="15"/>
      <c r="SNW373" s="15"/>
      <c r="SNX373" s="15"/>
      <c r="SNY373" s="15"/>
      <c r="SNZ373" s="15"/>
      <c r="SOA373" s="15"/>
      <c r="SOB373" s="15"/>
      <c r="SOC373" s="10"/>
      <c r="SOD373" s="10"/>
      <c r="SOE373" s="21"/>
      <c r="SOF373" s="21"/>
      <c r="SOI373" s="21"/>
      <c r="SOJ373" s="15"/>
      <c r="SOK373" s="15"/>
      <c r="SOL373" s="15"/>
      <c r="SOM373" s="15"/>
      <c r="SON373" s="15"/>
      <c r="SOO373" s="15"/>
      <c r="SOP373" s="15"/>
      <c r="SOQ373" s="15"/>
      <c r="SOR373" s="15"/>
      <c r="SOS373" s="15"/>
      <c r="SOT373" s="10"/>
      <c r="SOU373" s="10"/>
      <c r="SOV373" s="21"/>
      <c r="SOW373" s="21"/>
      <c r="SOZ373" s="21"/>
      <c r="SPA373" s="15"/>
      <c r="SPB373" s="15"/>
      <c r="SPC373" s="15"/>
      <c r="SPD373" s="15"/>
      <c r="SPE373" s="15"/>
      <c r="SPF373" s="15"/>
      <c r="SPG373" s="15"/>
      <c r="SPH373" s="15"/>
      <c r="SPI373" s="15"/>
      <c r="SPJ373" s="15"/>
      <c r="SPK373" s="10"/>
      <c r="SPL373" s="10"/>
      <c r="SPM373" s="21"/>
      <c r="SPN373" s="21"/>
      <c r="SPQ373" s="21"/>
      <c r="SPR373" s="15"/>
      <c r="SPS373" s="15"/>
      <c r="SPT373" s="15"/>
      <c r="SPU373" s="15"/>
      <c r="SPV373" s="15"/>
      <c r="SPW373" s="15"/>
      <c r="SPX373" s="15"/>
      <c r="SPY373" s="15"/>
      <c r="SPZ373" s="15"/>
      <c r="SQA373" s="15"/>
      <c r="SQB373" s="10"/>
      <c r="SQC373" s="10"/>
      <c r="SQD373" s="21"/>
      <c r="SQE373" s="21"/>
      <c r="SQH373" s="21"/>
      <c r="SQI373" s="15"/>
      <c r="SQJ373" s="15"/>
      <c r="SQK373" s="15"/>
      <c r="SQL373" s="15"/>
      <c r="SQM373" s="15"/>
      <c r="SQN373" s="15"/>
      <c r="SQO373" s="15"/>
      <c r="SQP373" s="15"/>
      <c r="SQQ373" s="15"/>
      <c r="SQR373" s="15"/>
      <c r="SQS373" s="10"/>
      <c r="SQT373" s="10"/>
      <c r="SQU373" s="21"/>
      <c r="SQV373" s="21"/>
      <c r="SQY373" s="21"/>
      <c r="SQZ373" s="15"/>
      <c r="SRA373" s="15"/>
      <c r="SRB373" s="15"/>
      <c r="SRC373" s="15"/>
      <c r="SRD373" s="15"/>
      <c r="SRE373" s="15"/>
      <c r="SRF373" s="15"/>
      <c r="SRG373" s="15"/>
      <c r="SRH373" s="15"/>
      <c r="SRI373" s="15"/>
      <c r="SRJ373" s="10"/>
      <c r="SRK373" s="10"/>
      <c r="SRL373" s="21"/>
      <c r="SRM373" s="21"/>
      <c r="SRP373" s="21"/>
      <c r="SRQ373" s="15"/>
      <c r="SRR373" s="15"/>
      <c r="SRS373" s="15"/>
      <c r="SRT373" s="15"/>
      <c r="SRU373" s="15"/>
      <c r="SRV373" s="15"/>
      <c r="SRW373" s="15"/>
      <c r="SRX373" s="15"/>
      <c r="SRY373" s="15"/>
      <c r="SRZ373" s="15"/>
      <c r="SSA373" s="10"/>
      <c r="SSB373" s="10"/>
      <c r="SSC373" s="21"/>
      <c r="SSD373" s="21"/>
      <c r="SSG373" s="21"/>
      <c r="SSH373" s="15"/>
      <c r="SSI373" s="15"/>
      <c r="SSJ373" s="15"/>
      <c r="SSK373" s="15"/>
      <c r="SSL373" s="15"/>
      <c r="SSM373" s="15"/>
      <c r="SSN373" s="15"/>
      <c r="SSO373" s="15"/>
      <c r="SSP373" s="15"/>
      <c r="SSQ373" s="15"/>
      <c r="SSR373" s="10"/>
      <c r="SSS373" s="10"/>
      <c r="SST373" s="21"/>
      <c r="SSU373" s="21"/>
      <c r="SSX373" s="21"/>
      <c r="SSY373" s="15"/>
      <c r="SSZ373" s="15"/>
      <c r="STA373" s="15"/>
      <c r="STB373" s="15"/>
      <c r="STC373" s="15"/>
      <c r="STD373" s="15"/>
      <c r="STE373" s="15"/>
      <c r="STF373" s="15"/>
      <c r="STG373" s="15"/>
      <c r="STH373" s="15"/>
      <c r="STI373" s="10"/>
      <c r="STJ373" s="10"/>
      <c r="STK373" s="21"/>
      <c r="STL373" s="21"/>
      <c r="STO373" s="21"/>
      <c r="STP373" s="15"/>
      <c r="STQ373" s="15"/>
      <c r="STR373" s="15"/>
      <c r="STS373" s="15"/>
      <c r="STT373" s="15"/>
      <c r="STU373" s="15"/>
      <c r="STV373" s="15"/>
      <c r="STW373" s="15"/>
      <c r="STX373" s="15"/>
      <c r="STY373" s="15"/>
      <c r="STZ373" s="10"/>
      <c r="SUA373" s="10"/>
      <c r="SUB373" s="21"/>
      <c r="SUC373" s="21"/>
      <c r="SUF373" s="21"/>
      <c r="SUG373" s="15"/>
      <c r="SUH373" s="15"/>
      <c r="SUI373" s="15"/>
      <c r="SUJ373" s="15"/>
      <c r="SUK373" s="15"/>
      <c r="SUL373" s="15"/>
      <c r="SUM373" s="15"/>
      <c r="SUN373" s="15"/>
      <c r="SUO373" s="15"/>
      <c r="SUP373" s="15"/>
      <c r="SUQ373" s="10"/>
      <c r="SUR373" s="10"/>
      <c r="SUS373" s="21"/>
      <c r="SUT373" s="21"/>
      <c r="SUW373" s="21"/>
      <c r="SUX373" s="15"/>
      <c r="SUY373" s="15"/>
      <c r="SUZ373" s="15"/>
      <c r="SVA373" s="15"/>
      <c r="SVB373" s="15"/>
      <c r="SVC373" s="15"/>
      <c r="SVD373" s="15"/>
      <c r="SVE373" s="15"/>
      <c r="SVF373" s="15"/>
      <c r="SVG373" s="15"/>
      <c r="SVH373" s="10"/>
      <c r="SVI373" s="10"/>
      <c r="SVJ373" s="21"/>
      <c r="SVK373" s="21"/>
      <c r="SVN373" s="21"/>
      <c r="SVO373" s="15"/>
      <c r="SVP373" s="15"/>
      <c r="SVQ373" s="15"/>
      <c r="SVR373" s="15"/>
      <c r="SVS373" s="15"/>
      <c r="SVT373" s="15"/>
      <c r="SVU373" s="15"/>
      <c r="SVV373" s="15"/>
      <c r="SVW373" s="15"/>
      <c r="SVX373" s="15"/>
      <c r="SVY373" s="10"/>
      <c r="SVZ373" s="10"/>
      <c r="SWA373" s="21"/>
      <c r="SWB373" s="21"/>
      <c r="SWE373" s="21"/>
      <c r="SWF373" s="15"/>
      <c r="SWG373" s="15"/>
      <c r="SWH373" s="15"/>
      <c r="SWI373" s="15"/>
      <c r="SWJ373" s="15"/>
      <c r="SWK373" s="15"/>
      <c r="SWL373" s="15"/>
      <c r="SWM373" s="15"/>
      <c r="SWN373" s="15"/>
      <c r="SWO373" s="15"/>
      <c r="SWP373" s="10"/>
      <c r="SWQ373" s="10"/>
      <c r="SWR373" s="21"/>
      <c r="SWS373" s="21"/>
      <c r="SWV373" s="21"/>
      <c r="SWW373" s="15"/>
      <c r="SWX373" s="15"/>
      <c r="SWY373" s="15"/>
      <c r="SWZ373" s="15"/>
      <c r="SXA373" s="15"/>
      <c r="SXB373" s="15"/>
      <c r="SXC373" s="15"/>
      <c r="SXD373" s="15"/>
      <c r="SXE373" s="15"/>
      <c r="SXF373" s="15"/>
      <c r="SXG373" s="10"/>
      <c r="SXH373" s="10"/>
      <c r="SXI373" s="21"/>
      <c r="SXJ373" s="21"/>
      <c r="SXM373" s="21"/>
      <c r="SXN373" s="15"/>
      <c r="SXO373" s="15"/>
      <c r="SXP373" s="15"/>
      <c r="SXQ373" s="15"/>
      <c r="SXR373" s="15"/>
      <c r="SXS373" s="15"/>
      <c r="SXT373" s="15"/>
      <c r="SXU373" s="15"/>
      <c r="SXV373" s="15"/>
      <c r="SXW373" s="15"/>
      <c r="SXX373" s="10"/>
      <c r="SXY373" s="10"/>
      <c r="SXZ373" s="21"/>
      <c r="SYA373" s="21"/>
      <c r="SYD373" s="21"/>
      <c r="SYE373" s="15"/>
      <c r="SYF373" s="15"/>
      <c r="SYG373" s="15"/>
      <c r="SYH373" s="15"/>
      <c r="SYI373" s="15"/>
      <c r="SYJ373" s="15"/>
      <c r="SYK373" s="15"/>
      <c r="SYL373" s="15"/>
      <c r="SYM373" s="15"/>
      <c r="SYN373" s="15"/>
      <c r="SYO373" s="10"/>
      <c r="SYP373" s="10"/>
      <c r="SYQ373" s="21"/>
      <c r="SYR373" s="21"/>
      <c r="SYU373" s="21"/>
      <c r="SYV373" s="15"/>
      <c r="SYW373" s="15"/>
      <c r="SYX373" s="15"/>
      <c r="SYY373" s="15"/>
      <c r="SYZ373" s="15"/>
      <c r="SZA373" s="15"/>
      <c r="SZB373" s="15"/>
      <c r="SZC373" s="15"/>
      <c r="SZD373" s="15"/>
      <c r="SZE373" s="15"/>
      <c r="SZF373" s="10"/>
      <c r="SZG373" s="10"/>
      <c r="SZH373" s="21"/>
      <c r="SZI373" s="21"/>
      <c r="SZL373" s="21"/>
      <c r="SZM373" s="15"/>
      <c r="SZN373" s="15"/>
      <c r="SZO373" s="15"/>
      <c r="SZP373" s="15"/>
      <c r="SZQ373" s="15"/>
      <c r="SZR373" s="15"/>
      <c r="SZS373" s="15"/>
      <c r="SZT373" s="15"/>
      <c r="SZU373" s="15"/>
      <c r="SZV373" s="15"/>
      <c r="SZW373" s="10"/>
      <c r="SZX373" s="10"/>
      <c r="SZY373" s="21"/>
      <c r="SZZ373" s="21"/>
      <c r="TAC373" s="21"/>
      <c r="TAD373" s="15"/>
      <c r="TAE373" s="15"/>
      <c r="TAF373" s="15"/>
      <c r="TAG373" s="15"/>
      <c r="TAH373" s="15"/>
      <c r="TAI373" s="15"/>
      <c r="TAJ373" s="15"/>
      <c r="TAK373" s="15"/>
      <c r="TAL373" s="15"/>
      <c r="TAM373" s="15"/>
      <c r="TAN373" s="10"/>
      <c r="TAO373" s="10"/>
      <c r="TAP373" s="21"/>
      <c r="TAQ373" s="21"/>
      <c r="TAT373" s="21"/>
      <c r="TAU373" s="15"/>
      <c r="TAV373" s="15"/>
      <c r="TAW373" s="15"/>
      <c r="TAX373" s="15"/>
      <c r="TAY373" s="15"/>
      <c r="TAZ373" s="15"/>
      <c r="TBA373" s="15"/>
      <c r="TBB373" s="15"/>
      <c r="TBC373" s="15"/>
      <c r="TBD373" s="15"/>
      <c r="TBE373" s="10"/>
      <c r="TBF373" s="10"/>
      <c r="TBG373" s="21"/>
      <c r="TBH373" s="21"/>
      <c r="TBK373" s="21"/>
      <c r="TBL373" s="15"/>
      <c r="TBM373" s="15"/>
      <c r="TBN373" s="15"/>
      <c r="TBO373" s="15"/>
      <c r="TBP373" s="15"/>
      <c r="TBQ373" s="15"/>
      <c r="TBR373" s="15"/>
      <c r="TBS373" s="15"/>
      <c r="TBT373" s="15"/>
      <c r="TBU373" s="15"/>
      <c r="TBV373" s="10"/>
      <c r="TBW373" s="10"/>
      <c r="TBX373" s="21"/>
      <c r="TBY373" s="21"/>
      <c r="TCB373" s="21"/>
      <c r="TCC373" s="15"/>
      <c r="TCD373" s="15"/>
      <c r="TCE373" s="15"/>
      <c r="TCF373" s="15"/>
      <c r="TCG373" s="15"/>
      <c r="TCH373" s="15"/>
      <c r="TCI373" s="15"/>
      <c r="TCJ373" s="15"/>
      <c r="TCK373" s="15"/>
      <c r="TCL373" s="15"/>
      <c r="TCM373" s="10"/>
      <c r="TCN373" s="10"/>
      <c r="TCO373" s="21"/>
      <c r="TCP373" s="21"/>
      <c r="TCS373" s="21"/>
      <c r="TCT373" s="15"/>
      <c r="TCU373" s="15"/>
      <c r="TCV373" s="15"/>
      <c r="TCW373" s="15"/>
      <c r="TCX373" s="15"/>
      <c r="TCY373" s="15"/>
      <c r="TCZ373" s="15"/>
      <c r="TDA373" s="15"/>
      <c r="TDB373" s="15"/>
      <c r="TDC373" s="15"/>
      <c r="TDD373" s="10"/>
      <c r="TDE373" s="10"/>
      <c r="TDF373" s="21"/>
      <c r="TDG373" s="21"/>
      <c r="TDJ373" s="21"/>
      <c r="TDK373" s="15"/>
      <c r="TDL373" s="15"/>
      <c r="TDM373" s="15"/>
      <c r="TDN373" s="15"/>
      <c r="TDO373" s="15"/>
      <c r="TDP373" s="15"/>
      <c r="TDQ373" s="15"/>
      <c r="TDR373" s="15"/>
      <c r="TDS373" s="15"/>
      <c r="TDT373" s="15"/>
      <c r="TDU373" s="10"/>
      <c r="TDV373" s="10"/>
      <c r="TDW373" s="21"/>
      <c r="TDX373" s="21"/>
      <c r="TEA373" s="21"/>
      <c r="TEB373" s="15"/>
      <c r="TEC373" s="15"/>
      <c r="TED373" s="15"/>
      <c r="TEE373" s="15"/>
      <c r="TEF373" s="15"/>
      <c r="TEG373" s="15"/>
      <c r="TEH373" s="15"/>
      <c r="TEI373" s="15"/>
      <c r="TEJ373" s="15"/>
      <c r="TEK373" s="15"/>
      <c r="TEL373" s="10"/>
      <c r="TEM373" s="10"/>
      <c r="TEN373" s="21"/>
      <c r="TEO373" s="21"/>
      <c r="TER373" s="21"/>
      <c r="TES373" s="15"/>
      <c r="TET373" s="15"/>
      <c r="TEU373" s="15"/>
      <c r="TEV373" s="15"/>
      <c r="TEW373" s="15"/>
      <c r="TEX373" s="15"/>
      <c r="TEY373" s="15"/>
      <c r="TEZ373" s="15"/>
      <c r="TFA373" s="15"/>
      <c r="TFB373" s="15"/>
      <c r="TFC373" s="10"/>
      <c r="TFD373" s="10"/>
      <c r="TFE373" s="21"/>
      <c r="TFF373" s="21"/>
      <c r="TFI373" s="21"/>
      <c r="TFJ373" s="15"/>
      <c r="TFK373" s="15"/>
      <c r="TFL373" s="15"/>
      <c r="TFM373" s="15"/>
      <c r="TFN373" s="15"/>
      <c r="TFO373" s="15"/>
      <c r="TFP373" s="15"/>
      <c r="TFQ373" s="15"/>
      <c r="TFR373" s="15"/>
      <c r="TFS373" s="15"/>
      <c r="TFT373" s="10"/>
      <c r="TFU373" s="10"/>
      <c r="TFV373" s="21"/>
      <c r="TFW373" s="21"/>
      <c r="TFZ373" s="21"/>
      <c r="TGA373" s="15"/>
      <c r="TGB373" s="15"/>
      <c r="TGC373" s="15"/>
      <c r="TGD373" s="15"/>
      <c r="TGE373" s="15"/>
      <c r="TGF373" s="15"/>
      <c r="TGG373" s="15"/>
      <c r="TGH373" s="15"/>
      <c r="TGI373" s="15"/>
      <c r="TGJ373" s="15"/>
      <c r="TGK373" s="10"/>
      <c r="TGL373" s="10"/>
      <c r="TGM373" s="21"/>
      <c r="TGN373" s="21"/>
      <c r="TGQ373" s="21"/>
      <c r="TGR373" s="15"/>
      <c r="TGS373" s="15"/>
      <c r="TGT373" s="15"/>
      <c r="TGU373" s="15"/>
      <c r="TGV373" s="15"/>
      <c r="TGW373" s="15"/>
      <c r="TGX373" s="15"/>
      <c r="TGY373" s="15"/>
      <c r="TGZ373" s="15"/>
      <c r="THA373" s="15"/>
      <c r="THB373" s="10"/>
      <c r="THC373" s="10"/>
      <c r="THD373" s="21"/>
      <c r="THE373" s="21"/>
      <c r="THH373" s="21"/>
      <c r="THI373" s="15"/>
      <c r="THJ373" s="15"/>
      <c r="THK373" s="15"/>
      <c r="THL373" s="15"/>
      <c r="THM373" s="15"/>
      <c r="THN373" s="15"/>
      <c r="THO373" s="15"/>
      <c r="THP373" s="15"/>
      <c r="THQ373" s="15"/>
      <c r="THR373" s="15"/>
      <c r="THS373" s="10"/>
      <c r="THT373" s="10"/>
      <c r="THU373" s="21"/>
      <c r="THV373" s="21"/>
      <c r="THY373" s="21"/>
      <c r="THZ373" s="15"/>
      <c r="TIA373" s="15"/>
      <c r="TIB373" s="15"/>
      <c r="TIC373" s="15"/>
      <c r="TID373" s="15"/>
      <c r="TIE373" s="15"/>
      <c r="TIF373" s="15"/>
      <c r="TIG373" s="15"/>
      <c r="TIH373" s="15"/>
      <c r="TII373" s="15"/>
      <c r="TIJ373" s="10"/>
      <c r="TIK373" s="10"/>
      <c r="TIL373" s="21"/>
      <c r="TIM373" s="21"/>
      <c r="TIP373" s="21"/>
      <c r="TIQ373" s="15"/>
      <c r="TIR373" s="15"/>
      <c r="TIS373" s="15"/>
      <c r="TIT373" s="15"/>
      <c r="TIU373" s="15"/>
      <c r="TIV373" s="15"/>
      <c r="TIW373" s="15"/>
      <c r="TIX373" s="15"/>
      <c r="TIY373" s="15"/>
      <c r="TIZ373" s="15"/>
      <c r="TJA373" s="10"/>
      <c r="TJB373" s="10"/>
      <c r="TJC373" s="21"/>
      <c r="TJD373" s="21"/>
      <c r="TJG373" s="21"/>
      <c r="TJH373" s="15"/>
      <c r="TJI373" s="15"/>
      <c r="TJJ373" s="15"/>
      <c r="TJK373" s="15"/>
      <c r="TJL373" s="15"/>
      <c r="TJM373" s="15"/>
      <c r="TJN373" s="15"/>
      <c r="TJO373" s="15"/>
      <c r="TJP373" s="15"/>
      <c r="TJQ373" s="15"/>
      <c r="TJR373" s="10"/>
      <c r="TJS373" s="10"/>
      <c r="TJT373" s="21"/>
      <c r="TJU373" s="21"/>
      <c r="TJX373" s="21"/>
      <c r="TJY373" s="15"/>
      <c r="TJZ373" s="15"/>
      <c r="TKA373" s="15"/>
      <c r="TKB373" s="15"/>
      <c r="TKC373" s="15"/>
      <c r="TKD373" s="15"/>
      <c r="TKE373" s="15"/>
      <c r="TKF373" s="15"/>
      <c r="TKG373" s="15"/>
      <c r="TKH373" s="15"/>
      <c r="TKI373" s="10"/>
      <c r="TKJ373" s="10"/>
      <c r="TKK373" s="21"/>
      <c r="TKL373" s="21"/>
      <c r="TKO373" s="21"/>
      <c r="TKP373" s="15"/>
      <c r="TKQ373" s="15"/>
      <c r="TKR373" s="15"/>
      <c r="TKS373" s="15"/>
      <c r="TKT373" s="15"/>
      <c r="TKU373" s="15"/>
      <c r="TKV373" s="15"/>
      <c r="TKW373" s="15"/>
      <c r="TKX373" s="15"/>
      <c r="TKY373" s="15"/>
      <c r="TKZ373" s="10"/>
      <c r="TLA373" s="10"/>
      <c r="TLB373" s="21"/>
      <c r="TLC373" s="21"/>
      <c r="TLF373" s="21"/>
      <c r="TLG373" s="15"/>
      <c r="TLH373" s="15"/>
      <c r="TLI373" s="15"/>
      <c r="TLJ373" s="15"/>
      <c r="TLK373" s="15"/>
      <c r="TLL373" s="15"/>
      <c r="TLM373" s="15"/>
      <c r="TLN373" s="15"/>
      <c r="TLO373" s="15"/>
      <c r="TLP373" s="15"/>
      <c r="TLQ373" s="10"/>
      <c r="TLR373" s="10"/>
      <c r="TLS373" s="21"/>
      <c r="TLT373" s="21"/>
      <c r="TLW373" s="21"/>
      <c r="TLX373" s="15"/>
      <c r="TLY373" s="15"/>
      <c r="TLZ373" s="15"/>
      <c r="TMA373" s="15"/>
      <c r="TMB373" s="15"/>
      <c r="TMC373" s="15"/>
      <c r="TMD373" s="15"/>
      <c r="TME373" s="15"/>
      <c r="TMF373" s="15"/>
      <c r="TMG373" s="15"/>
      <c r="TMH373" s="10"/>
      <c r="TMI373" s="10"/>
      <c r="TMJ373" s="21"/>
      <c r="TMK373" s="21"/>
      <c r="TMN373" s="21"/>
      <c r="TMO373" s="15"/>
      <c r="TMP373" s="15"/>
      <c r="TMQ373" s="15"/>
      <c r="TMR373" s="15"/>
      <c r="TMS373" s="15"/>
      <c r="TMT373" s="15"/>
      <c r="TMU373" s="15"/>
      <c r="TMV373" s="15"/>
      <c r="TMW373" s="15"/>
      <c r="TMX373" s="15"/>
      <c r="TMY373" s="10"/>
      <c r="TMZ373" s="10"/>
      <c r="TNA373" s="21"/>
      <c r="TNB373" s="21"/>
      <c r="TNE373" s="21"/>
      <c r="TNF373" s="15"/>
      <c r="TNG373" s="15"/>
      <c r="TNH373" s="15"/>
      <c r="TNI373" s="15"/>
      <c r="TNJ373" s="15"/>
      <c r="TNK373" s="15"/>
      <c r="TNL373" s="15"/>
      <c r="TNM373" s="15"/>
      <c r="TNN373" s="15"/>
      <c r="TNO373" s="15"/>
      <c r="TNP373" s="10"/>
      <c r="TNQ373" s="10"/>
      <c r="TNR373" s="21"/>
      <c r="TNS373" s="21"/>
      <c r="TNV373" s="21"/>
      <c r="TNW373" s="15"/>
      <c r="TNX373" s="15"/>
      <c r="TNY373" s="15"/>
      <c r="TNZ373" s="15"/>
      <c r="TOA373" s="15"/>
      <c r="TOB373" s="15"/>
      <c r="TOC373" s="15"/>
      <c r="TOD373" s="15"/>
      <c r="TOE373" s="15"/>
      <c r="TOF373" s="15"/>
      <c r="TOG373" s="10"/>
      <c r="TOH373" s="10"/>
      <c r="TOI373" s="21"/>
      <c r="TOJ373" s="21"/>
      <c r="TOM373" s="21"/>
      <c r="TON373" s="15"/>
      <c r="TOO373" s="15"/>
      <c r="TOP373" s="15"/>
      <c r="TOQ373" s="15"/>
      <c r="TOR373" s="15"/>
      <c r="TOS373" s="15"/>
      <c r="TOT373" s="15"/>
      <c r="TOU373" s="15"/>
      <c r="TOV373" s="15"/>
      <c r="TOW373" s="15"/>
      <c r="TOX373" s="10"/>
      <c r="TOY373" s="10"/>
      <c r="TOZ373" s="21"/>
      <c r="TPA373" s="21"/>
      <c r="TPD373" s="21"/>
      <c r="TPE373" s="15"/>
      <c r="TPF373" s="15"/>
      <c r="TPG373" s="15"/>
      <c r="TPH373" s="15"/>
      <c r="TPI373" s="15"/>
      <c r="TPJ373" s="15"/>
      <c r="TPK373" s="15"/>
      <c r="TPL373" s="15"/>
      <c r="TPM373" s="15"/>
      <c r="TPN373" s="15"/>
      <c r="TPO373" s="10"/>
      <c r="TPP373" s="10"/>
      <c r="TPQ373" s="21"/>
      <c r="TPR373" s="21"/>
      <c r="TPU373" s="21"/>
      <c r="TPV373" s="15"/>
      <c r="TPW373" s="15"/>
      <c r="TPX373" s="15"/>
      <c r="TPY373" s="15"/>
      <c r="TPZ373" s="15"/>
      <c r="TQA373" s="15"/>
      <c r="TQB373" s="15"/>
      <c r="TQC373" s="15"/>
      <c r="TQD373" s="15"/>
      <c r="TQE373" s="15"/>
      <c r="TQF373" s="10"/>
      <c r="TQG373" s="10"/>
      <c r="TQH373" s="21"/>
      <c r="TQI373" s="21"/>
      <c r="TQL373" s="21"/>
      <c r="TQM373" s="15"/>
      <c r="TQN373" s="15"/>
      <c r="TQO373" s="15"/>
      <c r="TQP373" s="15"/>
      <c r="TQQ373" s="15"/>
      <c r="TQR373" s="15"/>
      <c r="TQS373" s="15"/>
      <c r="TQT373" s="15"/>
      <c r="TQU373" s="15"/>
      <c r="TQV373" s="15"/>
      <c r="TQW373" s="10"/>
      <c r="TQX373" s="10"/>
      <c r="TQY373" s="21"/>
      <c r="TQZ373" s="21"/>
      <c r="TRC373" s="21"/>
      <c r="TRD373" s="15"/>
      <c r="TRE373" s="15"/>
      <c r="TRF373" s="15"/>
      <c r="TRG373" s="15"/>
      <c r="TRH373" s="15"/>
      <c r="TRI373" s="15"/>
      <c r="TRJ373" s="15"/>
      <c r="TRK373" s="15"/>
      <c r="TRL373" s="15"/>
      <c r="TRM373" s="15"/>
      <c r="TRN373" s="10"/>
      <c r="TRO373" s="10"/>
      <c r="TRP373" s="21"/>
      <c r="TRQ373" s="21"/>
      <c r="TRT373" s="21"/>
      <c r="TRU373" s="15"/>
      <c r="TRV373" s="15"/>
      <c r="TRW373" s="15"/>
      <c r="TRX373" s="15"/>
      <c r="TRY373" s="15"/>
      <c r="TRZ373" s="15"/>
      <c r="TSA373" s="15"/>
      <c r="TSB373" s="15"/>
      <c r="TSC373" s="15"/>
      <c r="TSD373" s="15"/>
      <c r="TSE373" s="10"/>
      <c r="TSF373" s="10"/>
      <c r="TSG373" s="21"/>
      <c r="TSH373" s="21"/>
      <c r="TSK373" s="21"/>
      <c r="TSL373" s="15"/>
      <c r="TSM373" s="15"/>
      <c r="TSN373" s="15"/>
      <c r="TSO373" s="15"/>
      <c r="TSP373" s="15"/>
      <c r="TSQ373" s="15"/>
      <c r="TSR373" s="15"/>
      <c r="TSS373" s="15"/>
      <c r="TST373" s="15"/>
      <c r="TSU373" s="15"/>
      <c r="TSV373" s="10"/>
      <c r="TSW373" s="10"/>
      <c r="TSX373" s="21"/>
      <c r="TSY373" s="21"/>
      <c r="TTB373" s="21"/>
      <c r="TTC373" s="15"/>
      <c r="TTD373" s="15"/>
      <c r="TTE373" s="15"/>
      <c r="TTF373" s="15"/>
      <c r="TTG373" s="15"/>
      <c r="TTH373" s="15"/>
      <c r="TTI373" s="15"/>
      <c r="TTJ373" s="15"/>
      <c r="TTK373" s="15"/>
      <c r="TTL373" s="15"/>
      <c r="TTM373" s="10"/>
      <c r="TTN373" s="10"/>
      <c r="TTO373" s="21"/>
      <c r="TTP373" s="21"/>
      <c r="TTS373" s="21"/>
      <c r="TTT373" s="15"/>
      <c r="TTU373" s="15"/>
      <c r="TTV373" s="15"/>
      <c r="TTW373" s="15"/>
      <c r="TTX373" s="15"/>
      <c r="TTY373" s="15"/>
      <c r="TTZ373" s="15"/>
      <c r="TUA373" s="15"/>
      <c r="TUB373" s="15"/>
      <c r="TUC373" s="15"/>
      <c r="TUD373" s="10"/>
      <c r="TUE373" s="10"/>
      <c r="TUF373" s="21"/>
      <c r="TUG373" s="21"/>
      <c r="TUJ373" s="21"/>
      <c r="TUK373" s="15"/>
      <c r="TUL373" s="15"/>
      <c r="TUM373" s="15"/>
      <c r="TUN373" s="15"/>
      <c r="TUO373" s="15"/>
      <c r="TUP373" s="15"/>
      <c r="TUQ373" s="15"/>
      <c r="TUR373" s="15"/>
      <c r="TUS373" s="15"/>
      <c r="TUT373" s="15"/>
      <c r="TUU373" s="10"/>
      <c r="TUV373" s="10"/>
      <c r="TUW373" s="21"/>
      <c r="TUX373" s="21"/>
      <c r="TVA373" s="21"/>
      <c r="TVB373" s="15"/>
      <c r="TVC373" s="15"/>
      <c r="TVD373" s="15"/>
      <c r="TVE373" s="15"/>
      <c r="TVF373" s="15"/>
      <c r="TVG373" s="15"/>
      <c r="TVH373" s="15"/>
      <c r="TVI373" s="15"/>
      <c r="TVJ373" s="15"/>
      <c r="TVK373" s="15"/>
      <c r="TVL373" s="10"/>
      <c r="TVM373" s="10"/>
      <c r="TVN373" s="21"/>
      <c r="TVO373" s="21"/>
      <c r="TVR373" s="21"/>
      <c r="TVS373" s="15"/>
      <c r="TVT373" s="15"/>
      <c r="TVU373" s="15"/>
      <c r="TVV373" s="15"/>
      <c r="TVW373" s="15"/>
      <c r="TVX373" s="15"/>
      <c r="TVY373" s="15"/>
      <c r="TVZ373" s="15"/>
      <c r="TWA373" s="15"/>
      <c r="TWB373" s="15"/>
      <c r="TWC373" s="10"/>
      <c r="TWD373" s="10"/>
      <c r="TWE373" s="21"/>
      <c r="TWF373" s="21"/>
      <c r="TWI373" s="21"/>
      <c r="TWJ373" s="15"/>
      <c r="TWK373" s="15"/>
      <c r="TWL373" s="15"/>
      <c r="TWM373" s="15"/>
      <c r="TWN373" s="15"/>
      <c r="TWO373" s="15"/>
      <c r="TWP373" s="15"/>
      <c r="TWQ373" s="15"/>
      <c r="TWR373" s="15"/>
      <c r="TWS373" s="15"/>
      <c r="TWT373" s="10"/>
      <c r="TWU373" s="10"/>
      <c r="TWV373" s="21"/>
      <c r="TWW373" s="21"/>
      <c r="TWZ373" s="21"/>
      <c r="TXA373" s="15"/>
      <c r="TXB373" s="15"/>
      <c r="TXC373" s="15"/>
      <c r="TXD373" s="15"/>
      <c r="TXE373" s="15"/>
      <c r="TXF373" s="15"/>
      <c r="TXG373" s="15"/>
      <c r="TXH373" s="15"/>
      <c r="TXI373" s="15"/>
      <c r="TXJ373" s="15"/>
      <c r="TXK373" s="10"/>
      <c r="TXL373" s="10"/>
      <c r="TXM373" s="21"/>
      <c r="TXN373" s="21"/>
      <c r="TXQ373" s="21"/>
      <c r="TXR373" s="15"/>
      <c r="TXS373" s="15"/>
      <c r="TXT373" s="15"/>
      <c r="TXU373" s="15"/>
      <c r="TXV373" s="15"/>
      <c r="TXW373" s="15"/>
      <c r="TXX373" s="15"/>
      <c r="TXY373" s="15"/>
      <c r="TXZ373" s="15"/>
      <c r="TYA373" s="15"/>
      <c r="TYB373" s="10"/>
      <c r="TYC373" s="10"/>
      <c r="TYD373" s="21"/>
      <c r="TYE373" s="21"/>
      <c r="TYH373" s="21"/>
      <c r="TYI373" s="15"/>
      <c r="TYJ373" s="15"/>
      <c r="TYK373" s="15"/>
      <c r="TYL373" s="15"/>
      <c r="TYM373" s="15"/>
      <c r="TYN373" s="15"/>
      <c r="TYO373" s="15"/>
      <c r="TYP373" s="15"/>
      <c r="TYQ373" s="15"/>
      <c r="TYR373" s="15"/>
      <c r="TYS373" s="10"/>
      <c r="TYT373" s="10"/>
      <c r="TYU373" s="21"/>
      <c r="TYV373" s="21"/>
      <c r="TYY373" s="21"/>
      <c r="TYZ373" s="15"/>
      <c r="TZA373" s="15"/>
      <c r="TZB373" s="15"/>
      <c r="TZC373" s="15"/>
      <c r="TZD373" s="15"/>
      <c r="TZE373" s="15"/>
      <c r="TZF373" s="15"/>
      <c r="TZG373" s="15"/>
      <c r="TZH373" s="15"/>
      <c r="TZI373" s="15"/>
      <c r="TZJ373" s="10"/>
      <c r="TZK373" s="10"/>
      <c r="TZL373" s="21"/>
      <c r="TZM373" s="21"/>
      <c r="TZP373" s="21"/>
      <c r="TZQ373" s="15"/>
      <c r="TZR373" s="15"/>
      <c r="TZS373" s="15"/>
      <c r="TZT373" s="15"/>
      <c r="TZU373" s="15"/>
      <c r="TZV373" s="15"/>
      <c r="TZW373" s="15"/>
      <c r="TZX373" s="15"/>
      <c r="TZY373" s="15"/>
      <c r="TZZ373" s="15"/>
      <c r="UAA373" s="10"/>
      <c r="UAB373" s="10"/>
      <c r="UAC373" s="21"/>
      <c r="UAD373" s="21"/>
      <c r="UAG373" s="21"/>
      <c r="UAH373" s="15"/>
      <c r="UAI373" s="15"/>
      <c r="UAJ373" s="15"/>
      <c r="UAK373" s="15"/>
      <c r="UAL373" s="15"/>
      <c r="UAM373" s="15"/>
      <c r="UAN373" s="15"/>
      <c r="UAO373" s="15"/>
      <c r="UAP373" s="15"/>
      <c r="UAQ373" s="15"/>
      <c r="UAR373" s="10"/>
      <c r="UAS373" s="10"/>
      <c r="UAT373" s="21"/>
      <c r="UAU373" s="21"/>
      <c r="UAX373" s="21"/>
      <c r="UAY373" s="15"/>
      <c r="UAZ373" s="15"/>
      <c r="UBA373" s="15"/>
      <c r="UBB373" s="15"/>
      <c r="UBC373" s="15"/>
      <c r="UBD373" s="15"/>
      <c r="UBE373" s="15"/>
      <c r="UBF373" s="15"/>
      <c r="UBG373" s="15"/>
      <c r="UBH373" s="15"/>
      <c r="UBI373" s="10"/>
      <c r="UBJ373" s="10"/>
      <c r="UBK373" s="21"/>
      <c r="UBL373" s="21"/>
      <c r="UBO373" s="21"/>
      <c r="UBP373" s="15"/>
      <c r="UBQ373" s="15"/>
      <c r="UBR373" s="15"/>
      <c r="UBS373" s="15"/>
      <c r="UBT373" s="15"/>
      <c r="UBU373" s="15"/>
      <c r="UBV373" s="15"/>
      <c r="UBW373" s="15"/>
      <c r="UBX373" s="15"/>
      <c r="UBY373" s="15"/>
      <c r="UBZ373" s="10"/>
      <c r="UCA373" s="10"/>
      <c r="UCB373" s="21"/>
      <c r="UCC373" s="21"/>
      <c r="UCF373" s="21"/>
      <c r="UCG373" s="15"/>
      <c r="UCH373" s="15"/>
      <c r="UCI373" s="15"/>
      <c r="UCJ373" s="15"/>
      <c r="UCK373" s="15"/>
      <c r="UCL373" s="15"/>
      <c r="UCM373" s="15"/>
      <c r="UCN373" s="15"/>
      <c r="UCO373" s="15"/>
      <c r="UCP373" s="15"/>
      <c r="UCQ373" s="10"/>
      <c r="UCR373" s="10"/>
      <c r="UCS373" s="21"/>
      <c r="UCT373" s="21"/>
      <c r="UCW373" s="21"/>
      <c r="UCX373" s="15"/>
      <c r="UCY373" s="15"/>
      <c r="UCZ373" s="15"/>
      <c r="UDA373" s="15"/>
      <c r="UDB373" s="15"/>
      <c r="UDC373" s="15"/>
      <c r="UDD373" s="15"/>
      <c r="UDE373" s="15"/>
      <c r="UDF373" s="15"/>
      <c r="UDG373" s="15"/>
      <c r="UDH373" s="10"/>
      <c r="UDI373" s="10"/>
      <c r="UDJ373" s="21"/>
      <c r="UDK373" s="21"/>
      <c r="UDN373" s="21"/>
      <c r="UDO373" s="15"/>
      <c r="UDP373" s="15"/>
      <c r="UDQ373" s="15"/>
      <c r="UDR373" s="15"/>
      <c r="UDS373" s="15"/>
      <c r="UDT373" s="15"/>
      <c r="UDU373" s="15"/>
      <c r="UDV373" s="15"/>
      <c r="UDW373" s="15"/>
      <c r="UDX373" s="15"/>
      <c r="UDY373" s="10"/>
      <c r="UDZ373" s="10"/>
      <c r="UEA373" s="21"/>
      <c r="UEB373" s="21"/>
      <c r="UEE373" s="21"/>
      <c r="UEF373" s="15"/>
      <c r="UEG373" s="15"/>
      <c r="UEH373" s="15"/>
      <c r="UEI373" s="15"/>
      <c r="UEJ373" s="15"/>
      <c r="UEK373" s="15"/>
      <c r="UEL373" s="15"/>
      <c r="UEM373" s="15"/>
      <c r="UEN373" s="15"/>
      <c r="UEO373" s="15"/>
      <c r="UEP373" s="10"/>
      <c r="UEQ373" s="10"/>
      <c r="UER373" s="21"/>
      <c r="UES373" s="21"/>
      <c r="UEV373" s="21"/>
      <c r="UEW373" s="15"/>
      <c r="UEX373" s="15"/>
      <c r="UEY373" s="15"/>
      <c r="UEZ373" s="15"/>
      <c r="UFA373" s="15"/>
      <c r="UFB373" s="15"/>
      <c r="UFC373" s="15"/>
      <c r="UFD373" s="15"/>
      <c r="UFE373" s="15"/>
      <c r="UFF373" s="15"/>
      <c r="UFG373" s="10"/>
      <c r="UFH373" s="10"/>
      <c r="UFI373" s="21"/>
      <c r="UFJ373" s="21"/>
      <c r="UFM373" s="21"/>
      <c r="UFN373" s="15"/>
      <c r="UFO373" s="15"/>
      <c r="UFP373" s="15"/>
      <c r="UFQ373" s="15"/>
      <c r="UFR373" s="15"/>
      <c r="UFS373" s="15"/>
      <c r="UFT373" s="15"/>
      <c r="UFU373" s="15"/>
      <c r="UFV373" s="15"/>
      <c r="UFW373" s="15"/>
      <c r="UFX373" s="10"/>
      <c r="UFY373" s="10"/>
      <c r="UFZ373" s="21"/>
      <c r="UGA373" s="21"/>
      <c r="UGD373" s="21"/>
      <c r="UGE373" s="15"/>
      <c r="UGF373" s="15"/>
      <c r="UGG373" s="15"/>
      <c r="UGH373" s="15"/>
      <c r="UGI373" s="15"/>
      <c r="UGJ373" s="15"/>
      <c r="UGK373" s="15"/>
      <c r="UGL373" s="15"/>
      <c r="UGM373" s="15"/>
      <c r="UGN373" s="15"/>
      <c r="UGO373" s="10"/>
      <c r="UGP373" s="10"/>
      <c r="UGQ373" s="21"/>
      <c r="UGR373" s="21"/>
      <c r="UGU373" s="21"/>
      <c r="UGV373" s="15"/>
      <c r="UGW373" s="15"/>
      <c r="UGX373" s="15"/>
      <c r="UGY373" s="15"/>
      <c r="UGZ373" s="15"/>
      <c r="UHA373" s="15"/>
      <c r="UHB373" s="15"/>
      <c r="UHC373" s="15"/>
      <c r="UHD373" s="15"/>
      <c r="UHE373" s="15"/>
      <c r="UHF373" s="10"/>
      <c r="UHG373" s="10"/>
      <c r="UHH373" s="21"/>
      <c r="UHI373" s="21"/>
      <c r="UHL373" s="21"/>
      <c r="UHM373" s="15"/>
      <c r="UHN373" s="15"/>
      <c r="UHO373" s="15"/>
      <c r="UHP373" s="15"/>
      <c r="UHQ373" s="15"/>
      <c r="UHR373" s="15"/>
      <c r="UHS373" s="15"/>
      <c r="UHT373" s="15"/>
      <c r="UHU373" s="15"/>
      <c r="UHV373" s="15"/>
      <c r="UHW373" s="10"/>
      <c r="UHX373" s="10"/>
      <c r="UHY373" s="21"/>
      <c r="UHZ373" s="21"/>
      <c r="UIC373" s="21"/>
      <c r="UID373" s="15"/>
      <c r="UIE373" s="15"/>
      <c r="UIF373" s="15"/>
      <c r="UIG373" s="15"/>
      <c r="UIH373" s="15"/>
      <c r="UII373" s="15"/>
      <c r="UIJ373" s="15"/>
      <c r="UIK373" s="15"/>
      <c r="UIL373" s="15"/>
      <c r="UIM373" s="15"/>
      <c r="UIN373" s="10"/>
      <c r="UIO373" s="10"/>
      <c r="UIP373" s="21"/>
      <c r="UIQ373" s="21"/>
      <c r="UIT373" s="21"/>
      <c r="UIU373" s="15"/>
      <c r="UIV373" s="15"/>
      <c r="UIW373" s="15"/>
      <c r="UIX373" s="15"/>
      <c r="UIY373" s="15"/>
      <c r="UIZ373" s="15"/>
      <c r="UJA373" s="15"/>
      <c r="UJB373" s="15"/>
      <c r="UJC373" s="15"/>
      <c r="UJD373" s="15"/>
      <c r="UJE373" s="10"/>
      <c r="UJF373" s="10"/>
      <c r="UJG373" s="21"/>
      <c r="UJH373" s="21"/>
      <c r="UJK373" s="21"/>
      <c r="UJL373" s="15"/>
      <c r="UJM373" s="15"/>
      <c r="UJN373" s="15"/>
      <c r="UJO373" s="15"/>
      <c r="UJP373" s="15"/>
      <c r="UJQ373" s="15"/>
      <c r="UJR373" s="15"/>
      <c r="UJS373" s="15"/>
      <c r="UJT373" s="15"/>
      <c r="UJU373" s="15"/>
      <c r="UJV373" s="10"/>
      <c r="UJW373" s="10"/>
      <c r="UJX373" s="21"/>
      <c r="UJY373" s="21"/>
      <c r="UKB373" s="21"/>
      <c r="UKC373" s="15"/>
      <c r="UKD373" s="15"/>
      <c r="UKE373" s="15"/>
      <c r="UKF373" s="15"/>
      <c r="UKG373" s="15"/>
      <c r="UKH373" s="15"/>
      <c r="UKI373" s="15"/>
      <c r="UKJ373" s="15"/>
      <c r="UKK373" s="15"/>
      <c r="UKL373" s="15"/>
      <c r="UKM373" s="10"/>
      <c r="UKN373" s="10"/>
      <c r="UKO373" s="21"/>
      <c r="UKP373" s="21"/>
      <c r="UKS373" s="21"/>
      <c r="UKT373" s="15"/>
      <c r="UKU373" s="15"/>
      <c r="UKV373" s="15"/>
      <c r="UKW373" s="15"/>
      <c r="UKX373" s="15"/>
      <c r="UKY373" s="15"/>
      <c r="UKZ373" s="15"/>
      <c r="ULA373" s="15"/>
      <c r="ULB373" s="15"/>
      <c r="ULC373" s="15"/>
      <c r="ULD373" s="10"/>
      <c r="ULE373" s="10"/>
      <c r="ULF373" s="21"/>
      <c r="ULG373" s="21"/>
      <c r="ULJ373" s="21"/>
      <c r="ULK373" s="15"/>
      <c r="ULL373" s="15"/>
      <c r="ULM373" s="15"/>
      <c r="ULN373" s="15"/>
      <c r="ULO373" s="15"/>
      <c r="ULP373" s="15"/>
      <c r="ULQ373" s="15"/>
      <c r="ULR373" s="15"/>
      <c r="ULS373" s="15"/>
      <c r="ULT373" s="15"/>
      <c r="ULU373" s="10"/>
      <c r="ULV373" s="10"/>
      <c r="ULW373" s="21"/>
      <c r="ULX373" s="21"/>
      <c r="UMA373" s="21"/>
      <c r="UMB373" s="15"/>
      <c r="UMC373" s="15"/>
      <c r="UMD373" s="15"/>
      <c r="UME373" s="15"/>
      <c r="UMF373" s="15"/>
      <c r="UMG373" s="15"/>
      <c r="UMH373" s="15"/>
      <c r="UMI373" s="15"/>
      <c r="UMJ373" s="15"/>
      <c r="UMK373" s="15"/>
      <c r="UML373" s="10"/>
      <c r="UMM373" s="10"/>
      <c r="UMN373" s="21"/>
      <c r="UMO373" s="21"/>
      <c r="UMR373" s="21"/>
      <c r="UMS373" s="15"/>
      <c r="UMT373" s="15"/>
      <c r="UMU373" s="15"/>
      <c r="UMV373" s="15"/>
      <c r="UMW373" s="15"/>
      <c r="UMX373" s="15"/>
      <c r="UMY373" s="15"/>
      <c r="UMZ373" s="15"/>
      <c r="UNA373" s="15"/>
      <c r="UNB373" s="15"/>
      <c r="UNC373" s="10"/>
      <c r="UND373" s="10"/>
      <c r="UNE373" s="21"/>
      <c r="UNF373" s="21"/>
      <c r="UNI373" s="21"/>
      <c r="UNJ373" s="15"/>
      <c r="UNK373" s="15"/>
      <c r="UNL373" s="15"/>
      <c r="UNM373" s="15"/>
      <c r="UNN373" s="15"/>
      <c r="UNO373" s="15"/>
      <c r="UNP373" s="15"/>
      <c r="UNQ373" s="15"/>
      <c r="UNR373" s="15"/>
      <c r="UNS373" s="15"/>
      <c r="UNT373" s="10"/>
      <c r="UNU373" s="10"/>
      <c r="UNV373" s="21"/>
      <c r="UNW373" s="21"/>
      <c r="UNZ373" s="21"/>
      <c r="UOA373" s="15"/>
      <c r="UOB373" s="15"/>
      <c r="UOC373" s="15"/>
      <c r="UOD373" s="15"/>
      <c r="UOE373" s="15"/>
      <c r="UOF373" s="15"/>
      <c r="UOG373" s="15"/>
      <c r="UOH373" s="15"/>
      <c r="UOI373" s="15"/>
      <c r="UOJ373" s="15"/>
      <c r="UOK373" s="10"/>
      <c r="UOL373" s="10"/>
      <c r="UOM373" s="21"/>
      <c r="UON373" s="21"/>
      <c r="UOQ373" s="21"/>
      <c r="UOR373" s="15"/>
      <c r="UOS373" s="15"/>
      <c r="UOT373" s="15"/>
      <c r="UOU373" s="15"/>
      <c r="UOV373" s="15"/>
      <c r="UOW373" s="15"/>
      <c r="UOX373" s="15"/>
      <c r="UOY373" s="15"/>
      <c r="UOZ373" s="15"/>
      <c r="UPA373" s="15"/>
      <c r="UPB373" s="10"/>
      <c r="UPC373" s="10"/>
      <c r="UPD373" s="21"/>
      <c r="UPE373" s="21"/>
      <c r="UPH373" s="21"/>
      <c r="UPI373" s="15"/>
      <c r="UPJ373" s="15"/>
      <c r="UPK373" s="15"/>
      <c r="UPL373" s="15"/>
      <c r="UPM373" s="15"/>
      <c r="UPN373" s="15"/>
      <c r="UPO373" s="15"/>
      <c r="UPP373" s="15"/>
      <c r="UPQ373" s="15"/>
      <c r="UPR373" s="15"/>
      <c r="UPS373" s="10"/>
      <c r="UPT373" s="10"/>
      <c r="UPU373" s="21"/>
      <c r="UPV373" s="21"/>
      <c r="UPY373" s="21"/>
      <c r="UPZ373" s="15"/>
      <c r="UQA373" s="15"/>
      <c r="UQB373" s="15"/>
      <c r="UQC373" s="15"/>
      <c r="UQD373" s="15"/>
      <c r="UQE373" s="15"/>
      <c r="UQF373" s="15"/>
      <c r="UQG373" s="15"/>
      <c r="UQH373" s="15"/>
      <c r="UQI373" s="15"/>
      <c r="UQJ373" s="10"/>
      <c r="UQK373" s="10"/>
      <c r="UQL373" s="21"/>
      <c r="UQM373" s="21"/>
      <c r="UQP373" s="21"/>
      <c r="UQQ373" s="15"/>
      <c r="UQR373" s="15"/>
      <c r="UQS373" s="15"/>
      <c r="UQT373" s="15"/>
      <c r="UQU373" s="15"/>
      <c r="UQV373" s="15"/>
      <c r="UQW373" s="15"/>
      <c r="UQX373" s="15"/>
      <c r="UQY373" s="15"/>
      <c r="UQZ373" s="15"/>
      <c r="URA373" s="10"/>
      <c r="URB373" s="10"/>
      <c r="URC373" s="21"/>
      <c r="URD373" s="21"/>
      <c r="URG373" s="21"/>
      <c r="URH373" s="15"/>
      <c r="URI373" s="15"/>
      <c r="URJ373" s="15"/>
      <c r="URK373" s="15"/>
      <c r="URL373" s="15"/>
      <c r="URM373" s="15"/>
      <c r="URN373" s="15"/>
      <c r="URO373" s="15"/>
      <c r="URP373" s="15"/>
      <c r="URQ373" s="15"/>
      <c r="URR373" s="10"/>
      <c r="URS373" s="10"/>
      <c r="URT373" s="21"/>
      <c r="URU373" s="21"/>
      <c r="URX373" s="21"/>
      <c r="URY373" s="15"/>
      <c r="URZ373" s="15"/>
      <c r="USA373" s="15"/>
      <c r="USB373" s="15"/>
      <c r="USC373" s="15"/>
      <c r="USD373" s="15"/>
      <c r="USE373" s="15"/>
      <c r="USF373" s="15"/>
      <c r="USG373" s="15"/>
      <c r="USH373" s="15"/>
      <c r="USI373" s="10"/>
      <c r="USJ373" s="10"/>
      <c r="USK373" s="21"/>
      <c r="USL373" s="21"/>
      <c r="USO373" s="21"/>
      <c r="USP373" s="15"/>
      <c r="USQ373" s="15"/>
      <c r="USR373" s="15"/>
      <c r="USS373" s="15"/>
      <c r="UST373" s="15"/>
      <c r="USU373" s="15"/>
      <c r="USV373" s="15"/>
      <c r="USW373" s="15"/>
      <c r="USX373" s="15"/>
      <c r="USY373" s="15"/>
      <c r="USZ373" s="10"/>
      <c r="UTA373" s="10"/>
      <c r="UTB373" s="21"/>
      <c r="UTC373" s="21"/>
      <c r="UTF373" s="21"/>
      <c r="UTG373" s="15"/>
      <c r="UTH373" s="15"/>
      <c r="UTI373" s="15"/>
      <c r="UTJ373" s="15"/>
      <c r="UTK373" s="15"/>
      <c r="UTL373" s="15"/>
      <c r="UTM373" s="15"/>
      <c r="UTN373" s="15"/>
      <c r="UTO373" s="15"/>
      <c r="UTP373" s="15"/>
      <c r="UTQ373" s="10"/>
      <c r="UTR373" s="10"/>
      <c r="UTS373" s="21"/>
      <c r="UTT373" s="21"/>
      <c r="UTW373" s="21"/>
      <c r="UTX373" s="15"/>
      <c r="UTY373" s="15"/>
      <c r="UTZ373" s="15"/>
      <c r="UUA373" s="15"/>
      <c r="UUB373" s="15"/>
      <c r="UUC373" s="15"/>
      <c r="UUD373" s="15"/>
      <c r="UUE373" s="15"/>
      <c r="UUF373" s="15"/>
      <c r="UUG373" s="15"/>
      <c r="UUH373" s="10"/>
      <c r="UUI373" s="10"/>
      <c r="UUJ373" s="21"/>
      <c r="UUK373" s="21"/>
      <c r="UUN373" s="21"/>
      <c r="UUO373" s="15"/>
      <c r="UUP373" s="15"/>
      <c r="UUQ373" s="15"/>
      <c r="UUR373" s="15"/>
      <c r="UUS373" s="15"/>
      <c r="UUT373" s="15"/>
      <c r="UUU373" s="15"/>
      <c r="UUV373" s="15"/>
      <c r="UUW373" s="15"/>
      <c r="UUX373" s="15"/>
      <c r="UUY373" s="10"/>
      <c r="UUZ373" s="10"/>
      <c r="UVA373" s="21"/>
      <c r="UVB373" s="21"/>
      <c r="UVE373" s="21"/>
      <c r="UVF373" s="15"/>
      <c r="UVG373" s="15"/>
      <c r="UVH373" s="15"/>
      <c r="UVI373" s="15"/>
      <c r="UVJ373" s="15"/>
      <c r="UVK373" s="15"/>
      <c r="UVL373" s="15"/>
      <c r="UVM373" s="15"/>
      <c r="UVN373" s="15"/>
      <c r="UVO373" s="15"/>
      <c r="UVP373" s="10"/>
      <c r="UVQ373" s="10"/>
      <c r="UVR373" s="21"/>
      <c r="UVS373" s="21"/>
      <c r="UVV373" s="21"/>
      <c r="UVW373" s="15"/>
      <c r="UVX373" s="15"/>
      <c r="UVY373" s="15"/>
      <c r="UVZ373" s="15"/>
      <c r="UWA373" s="15"/>
      <c r="UWB373" s="15"/>
      <c r="UWC373" s="15"/>
      <c r="UWD373" s="15"/>
      <c r="UWE373" s="15"/>
      <c r="UWF373" s="15"/>
      <c r="UWG373" s="10"/>
      <c r="UWH373" s="10"/>
      <c r="UWI373" s="21"/>
      <c r="UWJ373" s="21"/>
      <c r="UWM373" s="21"/>
      <c r="UWN373" s="15"/>
      <c r="UWO373" s="15"/>
      <c r="UWP373" s="15"/>
      <c r="UWQ373" s="15"/>
      <c r="UWR373" s="15"/>
      <c r="UWS373" s="15"/>
      <c r="UWT373" s="15"/>
      <c r="UWU373" s="15"/>
      <c r="UWV373" s="15"/>
      <c r="UWW373" s="15"/>
      <c r="UWX373" s="10"/>
      <c r="UWY373" s="10"/>
      <c r="UWZ373" s="21"/>
      <c r="UXA373" s="21"/>
      <c r="UXD373" s="21"/>
      <c r="UXE373" s="15"/>
      <c r="UXF373" s="15"/>
      <c r="UXG373" s="15"/>
      <c r="UXH373" s="15"/>
      <c r="UXI373" s="15"/>
      <c r="UXJ373" s="15"/>
      <c r="UXK373" s="15"/>
      <c r="UXL373" s="15"/>
      <c r="UXM373" s="15"/>
      <c r="UXN373" s="15"/>
      <c r="UXO373" s="10"/>
      <c r="UXP373" s="10"/>
      <c r="UXQ373" s="21"/>
      <c r="UXR373" s="21"/>
      <c r="UXU373" s="21"/>
      <c r="UXV373" s="15"/>
      <c r="UXW373" s="15"/>
      <c r="UXX373" s="15"/>
      <c r="UXY373" s="15"/>
      <c r="UXZ373" s="15"/>
      <c r="UYA373" s="15"/>
      <c r="UYB373" s="15"/>
      <c r="UYC373" s="15"/>
      <c r="UYD373" s="15"/>
      <c r="UYE373" s="15"/>
      <c r="UYF373" s="10"/>
      <c r="UYG373" s="10"/>
      <c r="UYH373" s="21"/>
      <c r="UYI373" s="21"/>
      <c r="UYL373" s="21"/>
      <c r="UYM373" s="15"/>
      <c r="UYN373" s="15"/>
      <c r="UYO373" s="15"/>
      <c r="UYP373" s="15"/>
      <c r="UYQ373" s="15"/>
      <c r="UYR373" s="15"/>
      <c r="UYS373" s="15"/>
      <c r="UYT373" s="15"/>
      <c r="UYU373" s="15"/>
      <c r="UYV373" s="15"/>
      <c r="UYW373" s="10"/>
      <c r="UYX373" s="10"/>
      <c r="UYY373" s="21"/>
      <c r="UYZ373" s="21"/>
      <c r="UZC373" s="21"/>
      <c r="UZD373" s="15"/>
      <c r="UZE373" s="15"/>
      <c r="UZF373" s="15"/>
      <c r="UZG373" s="15"/>
      <c r="UZH373" s="15"/>
      <c r="UZI373" s="15"/>
      <c r="UZJ373" s="15"/>
      <c r="UZK373" s="15"/>
      <c r="UZL373" s="15"/>
      <c r="UZM373" s="15"/>
      <c r="UZN373" s="10"/>
      <c r="UZO373" s="10"/>
      <c r="UZP373" s="21"/>
      <c r="UZQ373" s="21"/>
      <c r="UZT373" s="21"/>
      <c r="UZU373" s="15"/>
      <c r="UZV373" s="15"/>
      <c r="UZW373" s="15"/>
      <c r="UZX373" s="15"/>
      <c r="UZY373" s="15"/>
      <c r="UZZ373" s="15"/>
      <c r="VAA373" s="15"/>
      <c r="VAB373" s="15"/>
      <c r="VAC373" s="15"/>
      <c r="VAD373" s="15"/>
      <c r="VAE373" s="10"/>
      <c r="VAF373" s="10"/>
      <c r="VAG373" s="21"/>
      <c r="VAH373" s="21"/>
      <c r="VAK373" s="21"/>
      <c r="VAL373" s="15"/>
      <c r="VAM373" s="15"/>
      <c r="VAN373" s="15"/>
      <c r="VAO373" s="15"/>
      <c r="VAP373" s="15"/>
      <c r="VAQ373" s="15"/>
      <c r="VAR373" s="15"/>
      <c r="VAS373" s="15"/>
      <c r="VAT373" s="15"/>
      <c r="VAU373" s="15"/>
      <c r="VAV373" s="10"/>
      <c r="VAW373" s="10"/>
      <c r="VAX373" s="21"/>
      <c r="VAY373" s="21"/>
      <c r="VBB373" s="21"/>
      <c r="VBC373" s="15"/>
      <c r="VBD373" s="15"/>
      <c r="VBE373" s="15"/>
      <c r="VBF373" s="15"/>
      <c r="VBG373" s="15"/>
      <c r="VBH373" s="15"/>
      <c r="VBI373" s="15"/>
      <c r="VBJ373" s="15"/>
      <c r="VBK373" s="15"/>
      <c r="VBL373" s="15"/>
      <c r="VBM373" s="10"/>
      <c r="VBN373" s="10"/>
      <c r="VBO373" s="21"/>
      <c r="VBP373" s="21"/>
      <c r="VBS373" s="21"/>
      <c r="VBT373" s="15"/>
      <c r="VBU373" s="15"/>
      <c r="VBV373" s="15"/>
      <c r="VBW373" s="15"/>
      <c r="VBX373" s="15"/>
      <c r="VBY373" s="15"/>
      <c r="VBZ373" s="15"/>
      <c r="VCA373" s="15"/>
      <c r="VCB373" s="15"/>
      <c r="VCC373" s="15"/>
      <c r="VCD373" s="10"/>
      <c r="VCE373" s="10"/>
      <c r="VCF373" s="21"/>
      <c r="VCG373" s="21"/>
      <c r="VCJ373" s="21"/>
      <c r="VCK373" s="15"/>
      <c r="VCL373" s="15"/>
      <c r="VCM373" s="15"/>
      <c r="VCN373" s="15"/>
      <c r="VCO373" s="15"/>
      <c r="VCP373" s="15"/>
      <c r="VCQ373" s="15"/>
      <c r="VCR373" s="15"/>
      <c r="VCS373" s="15"/>
      <c r="VCT373" s="15"/>
      <c r="VCU373" s="10"/>
      <c r="VCV373" s="10"/>
      <c r="VCW373" s="21"/>
      <c r="VCX373" s="21"/>
      <c r="VDA373" s="21"/>
      <c r="VDB373" s="15"/>
      <c r="VDC373" s="15"/>
      <c r="VDD373" s="15"/>
      <c r="VDE373" s="15"/>
      <c r="VDF373" s="15"/>
      <c r="VDG373" s="15"/>
      <c r="VDH373" s="15"/>
      <c r="VDI373" s="15"/>
      <c r="VDJ373" s="15"/>
      <c r="VDK373" s="15"/>
      <c r="VDL373" s="10"/>
      <c r="VDM373" s="10"/>
      <c r="VDN373" s="21"/>
      <c r="VDO373" s="21"/>
      <c r="VDR373" s="21"/>
      <c r="VDS373" s="15"/>
      <c r="VDT373" s="15"/>
      <c r="VDU373" s="15"/>
      <c r="VDV373" s="15"/>
      <c r="VDW373" s="15"/>
      <c r="VDX373" s="15"/>
      <c r="VDY373" s="15"/>
      <c r="VDZ373" s="15"/>
      <c r="VEA373" s="15"/>
      <c r="VEB373" s="15"/>
      <c r="VEC373" s="10"/>
      <c r="VED373" s="10"/>
      <c r="VEE373" s="21"/>
      <c r="VEF373" s="21"/>
      <c r="VEI373" s="21"/>
      <c r="VEJ373" s="15"/>
      <c r="VEK373" s="15"/>
      <c r="VEL373" s="15"/>
      <c r="VEM373" s="15"/>
      <c r="VEN373" s="15"/>
      <c r="VEO373" s="15"/>
      <c r="VEP373" s="15"/>
      <c r="VEQ373" s="15"/>
      <c r="VER373" s="15"/>
      <c r="VES373" s="15"/>
      <c r="VET373" s="10"/>
      <c r="VEU373" s="10"/>
      <c r="VEV373" s="21"/>
      <c r="VEW373" s="21"/>
      <c r="VEZ373" s="21"/>
      <c r="VFA373" s="15"/>
      <c r="VFB373" s="15"/>
      <c r="VFC373" s="15"/>
      <c r="VFD373" s="15"/>
      <c r="VFE373" s="15"/>
      <c r="VFF373" s="15"/>
      <c r="VFG373" s="15"/>
      <c r="VFH373" s="15"/>
      <c r="VFI373" s="15"/>
      <c r="VFJ373" s="15"/>
      <c r="VFK373" s="10"/>
      <c r="VFL373" s="10"/>
      <c r="VFM373" s="21"/>
      <c r="VFN373" s="21"/>
      <c r="VFQ373" s="21"/>
      <c r="VFR373" s="15"/>
      <c r="VFS373" s="15"/>
      <c r="VFT373" s="15"/>
      <c r="VFU373" s="15"/>
      <c r="VFV373" s="15"/>
      <c r="VFW373" s="15"/>
      <c r="VFX373" s="15"/>
      <c r="VFY373" s="15"/>
      <c r="VFZ373" s="15"/>
      <c r="VGA373" s="15"/>
      <c r="VGB373" s="10"/>
      <c r="VGC373" s="10"/>
      <c r="VGD373" s="21"/>
      <c r="VGE373" s="21"/>
      <c r="VGH373" s="21"/>
      <c r="VGI373" s="15"/>
      <c r="VGJ373" s="15"/>
      <c r="VGK373" s="15"/>
      <c r="VGL373" s="15"/>
      <c r="VGM373" s="15"/>
      <c r="VGN373" s="15"/>
      <c r="VGO373" s="15"/>
      <c r="VGP373" s="15"/>
      <c r="VGQ373" s="15"/>
      <c r="VGR373" s="15"/>
      <c r="VGS373" s="10"/>
      <c r="VGT373" s="10"/>
      <c r="VGU373" s="21"/>
      <c r="VGV373" s="21"/>
      <c r="VGY373" s="21"/>
      <c r="VGZ373" s="15"/>
      <c r="VHA373" s="15"/>
      <c r="VHB373" s="15"/>
      <c r="VHC373" s="15"/>
      <c r="VHD373" s="15"/>
      <c r="VHE373" s="15"/>
      <c r="VHF373" s="15"/>
      <c r="VHG373" s="15"/>
      <c r="VHH373" s="15"/>
      <c r="VHI373" s="15"/>
      <c r="VHJ373" s="10"/>
      <c r="VHK373" s="10"/>
      <c r="VHL373" s="21"/>
      <c r="VHM373" s="21"/>
      <c r="VHP373" s="21"/>
      <c r="VHQ373" s="15"/>
      <c r="VHR373" s="15"/>
      <c r="VHS373" s="15"/>
      <c r="VHT373" s="15"/>
      <c r="VHU373" s="15"/>
      <c r="VHV373" s="15"/>
      <c r="VHW373" s="15"/>
      <c r="VHX373" s="15"/>
      <c r="VHY373" s="15"/>
      <c r="VHZ373" s="15"/>
      <c r="VIA373" s="10"/>
      <c r="VIB373" s="10"/>
      <c r="VIC373" s="21"/>
      <c r="VID373" s="21"/>
      <c r="VIG373" s="21"/>
      <c r="VIH373" s="15"/>
      <c r="VII373" s="15"/>
      <c r="VIJ373" s="15"/>
      <c r="VIK373" s="15"/>
      <c r="VIL373" s="15"/>
      <c r="VIM373" s="15"/>
      <c r="VIN373" s="15"/>
      <c r="VIO373" s="15"/>
      <c r="VIP373" s="15"/>
      <c r="VIQ373" s="15"/>
      <c r="VIR373" s="10"/>
      <c r="VIS373" s="10"/>
      <c r="VIT373" s="21"/>
      <c r="VIU373" s="21"/>
      <c r="VIX373" s="21"/>
      <c r="VIY373" s="15"/>
      <c r="VIZ373" s="15"/>
      <c r="VJA373" s="15"/>
      <c r="VJB373" s="15"/>
      <c r="VJC373" s="15"/>
      <c r="VJD373" s="15"/>
      <c r="VJE373" s="15"/>
      <c r="VJF373" s="15"/>
      <c r="VJG373" s="15"/>
      <c r="VJH373" s="15"/>
      <c r="VJI373" s="10"/>
      <c r="VJJ373" s="10"/>
      <c r="VJK373" s="21"/>
      <c r="VJL373" s="21"/>
      <c r="VJO373" s="21"/>
      <c r="VJP373" s="15"/>
      <c r="VJQ373" s="15"/>
      <c r="VJR373" s="15"/>
      <c r="VJS373" s="15"/>
      <c r="VJT373" s="15"/>
      <c r="VJU373" s="15"/>
      <c r="VJV373" s="15"/>
      <c r="VJW373" s="15"/>
      <c r="VJX373" s="15"/>
      <c r="VJY373" s="15"/>
      <c r="VJZ373" s="10"/>
      <c r="VKA373" s="10"/>
      <c r="VKB373" s="21"/>
      <c r="VKC373" s="21"/>
      <c r="VKF373" s="21"/>
      <c r="VKG373" s="15"/>
      <c r="VKH373" s="15"/>
      <c r="VKI373" s="15"/>
      <c r="VKJ373" s="15"/>
      <c r="VKK373" s="15"/>
      <c r="VKL373" s="15"/>
      <c r="VKM373" s="15"/>
      <c r="VKN373" s="15"/>
      <c r="VKO373" s="15"/>
      <c r="VKP373" s="15"/>
      <c r="VKQ373" s="10"/>
      <c r="VKR373" s="10"/>
      <c r="VKS373" s="21"/>
      <c r="VKT373" s="21"/>
      <c r="VKW373" s="21"/>
      <c r="VKX373" s="15"/>
      <c r="VKY373" s="15"/>
      <c r="VKZ373" s="15"/>
      <c r="VLA373" s="15"/>
      <c r="VLB373" s="15"/>
      <c r="VLC373" s="15"/>
      <c r="VLD373" s="15"/>
      <c r="VLE373" s="15"/>
      <c r="VLF373" s="15"/>
      <c r="VLG373" s="15"/>
      <c r="VLH373" s="10"/>
      <c r="VLI373" s="10"/>
      <c r="VLJ373" s="21"/>
      <c r="VLK373" s="21"/>
      <c r="VLN373" s="21"/>
      <c r="VLO373" s="15"/>
      <c r="VLP373" s="15"/>
      <c r="VLQ373" s="15"/>
      <c r="VLR373" s="15"/>
      <c r="VLS373" s="15"/>
      <c r="VLT373" s="15"/>
      <c r="VLU373" s="15"/>
      <c r="VLV373" s="15"/>
      <c r="VLW373" s="15"/>
      <c r="VLX373" s="15"/>
      <c r="VLY373" s="10"/>
      <c r="VLZ373" s="10"/>
      <c r="VMA373" s="21"/>
      <c r="VMB373" s="21"/>
      <c r="VME373" s="21"/>
      <c r="VMF373" s="15"/>
      <c r="VMG373" s="15"/>
      <c r="VMH373" s="15"/>
      <c r="VMI373" s="15"/>
      <c r="VMJ373" s="15"/>
      <c r="VMK373" s="15"/>
      <c r="VML373" s="15"/>
      <c r="VMM373" s="15"/>
      <c r="VMN373" s="15"/>
      <c r="VMO373" s="15"/>
      <c r="VMP373" s="10"/>
      <c r="VMQ373" s="10"/>
      <c r="VMR373" s="21"/>
      <c r="VMS373" s="21"/>
      <c r="VMV373" s="21"/>
      <c r="VMW373" s="15"/>
      <c r="VMX373" s="15"/>
      <c r="VMY373" s="15"/>
      <c r="VMZ373" s="15"/>
      <c r="VNA373" s="15"/>
      <c r="VNB373" s="15"/>
      <c r="VNC373" s="15"/>
      <c r="VND373" s="15"/>
      <c r="VNE373" s="15"/>
      <c r="VNF373" s="15"/>
      <c r="VNG373" s="10"/>
      <c r="VNH373" s="10"/>
      <c r="VNI373" s="21"/>
      <c r="VNJ373" s="21"/>
      <c r="VNM373" s="21"/>
      <c r="VNN373" s="15"/>
      <c r="VNO373" s="15"/>
      <c r="VNP373" s="15"/>
      <c r="VNQ373" s="15"/>
      <c r="VNR373" s="15"/>
      <c r="VNS373" s="15"/>
      <c r="VNT373" s="15"/>
      <c r="VNU373" s="15"/>
      <c r="VNV373" s="15"/>
      <c r="VNW373" s="15"/>
      <c r="VNX373" s="10"/>
      <c r="VNY373" s="10"/>
      <c r="VNZ373" s="21"/>
      <c r="VOA373" s="21"/>
      <c r="VOD373" s="21"/>
      <c r="VOE373" s="15"/>
      <c r="VOF373" s="15"/>
      <c r="VOG373" s="15"/>
      <c r="VOH373" s="15"/>
      <c r="VOI373" s="15"/>
      <c r="VOJ373" s="15"/>
      <c r="VOK373" s="15"/>
      <c r="VOL373" s="15"/>
      <c r="VOM373" s="15"/>
      <c r="VON373" s="15"/>
      <c r="VOO373" s="10"/>
      <c r="VOP373" s="10"/>
      <c r="VOQ373" s="21"/>
      <c r="VOR373" s="21"/>
      <c r="VOU373" s="21"/>
      <c r="VOV373" s="15"/>
      <c r="VOW373" s="15"/>
      <c r="VOX373" s="15"/>
      <c r="VOY373" s="15"/>
      <c r="VOZ373" s="15"/>
      <c r="VPA373" s="15"/>
      <c r="VPB373" s="15"/>
      <c r="VPC373" s="15"/>
      <c r="VPD373" s="15"/>
      <c r="VPE373" s="15"/>
      <c r="VPF373" s="10"/>
      <c r="VPG373" s="10"/>
      <c r="VPH373" s="21"/>
      <c r="VPI373" s="21"/>
      <c r="VPL373" s="21"/>
      <c r="VPM373" s="15"/>
      <c r="VPN373" s="15"/>
      <c r="VPO373" s="15"/>
      <c r="VPP373" s="15"/>
      <c r="VPQ373" s="15"/>
      <c r="VPR373" s="15"/>
      <c r="VPS373" s="15"/>
      <c r="VPT373" s="15"/>
      <c r="VPU373" s="15"/>
      <c r="VPV373" s="15"/>
      <c r="VPW373" s="10"/>
      <c r="VPX373" s="10"/>
      <c r="VPY373" s="21"/>
      <c r="VPZ373" s="21"/>
      <c r="VQC373" s="21"/>
      <c r="VQD373" s="15"/>
      <c r="VQE373" s="15"/>
      <c r="VQF373" s="15"/>
      <c r="VQG373" s="15"/>
      <c r="VQH373" s="15"/>
      <c r="VQI373" s="15"/>
      <c r="VQJ373" s="15"/>
      <c r="VQK373" s="15"/>
      <c r="VQL373" s="15"/>
      <c r="VQM373" s="15"/>
      <c r="VQN373" s="10"/>
      <c r="VQO373" s="10"/>
      <c r="VQP373" s="21"/>
      <c r="VQQ373" s="21"/>
      <c r="VQT373" s="21"/>
      <c r="VQU373" s="15"/>
      <c r="VQV373" s="15"/>
      <c r="VQW373" s="15"/>
      <c r="VQX373" s="15"/>
      <c r="VQY373" s="15"/>
      <c r="VQZ373" s="15"/>
      <c r="VRA373" s="15"/>
      <c r="VRB373" s="15"/>
      <c r="VRC373" s="15"/>
      <c r="VRD373" s="15"/>
      <c r="VRE373" s="10"/>
      <c r="VRF373" s="10"/>
      <c r="VRG373" s="21"/>
      <c r="VRH373" s="21"/>
      <c r="VRK373" s="21"/>
      <c r="VRL373" s="15"/>
      <c r="VRM373" s="15"/>
      <c r="VRN373" s="15"/>
      <c r="VRO373" s="15"/>
      <c r="VRP373" s="15"/>
      <c r="VRQ373" s="15"/>
      <c r="VRR373" s="15"/>
      <c r="VRS373" s="15"/>
      <c r="VRT373" s="15"/>
      <c r="VRU373" s="15"/>
      <c r="VRV373" s="10"/>
      <c r="VRW373" s="10"/>
      <c r="VRX373" s="21"/>
      <c r="VRY373" s="21"/>
      <c r="VSB373" s="21"/>
      <c r="VSC373" s="15"/>
      <c r="VSD373" s="15"/>
      <c r="VSE373" s="15"/>
      <c r="VSF373" s="15"/>
      <c r="VSG373" s="15"/>
      <c r="VSH373" s="15"/>
      <c r="VSI373" s="15"/>
      <c r="VSJ373" s="15"/>
      <c r="VSK373" s="15"/>
      <c r="VSL373" s="15"/>
      <c r="VSM373" s="10"/>
      <c r="VSN373" s="10"/>
      <c r="VSO373" s="21"/>
      <c r="VSP373" s="21"/>
      <c r="VSS373" s="21"/>
      <c r="VST373" s="15"/>
      <c r="VSU373" s="15"/>
      <c r="VSV373" s="15"/>
      <c r="VSW373" s="15"/>
      <c r="VSX373" s="15"/>
      <c r="VSY373" s="15"/>
      <c r="VSZ373" s="15"/>
      <c r="VTA373" s="15"/>
      <c r="VTB373" s="15"/>
      <c r="VTC373" s="15"/>
      <c r="VTD373" s="10"/>
      <c r="VTE373" s="10"/>
      <c r="VTF373" s="21"/>
      <c r="VTG373" s="21"/>
      <c r="VTJ373" s="21"/>
      <c r="VTK373" s="15"/>
      <c r="VTL373" s="15"/>
      <c r="VTM373" s="15"/>
      <c r="VTN373" s="15"/>
      <c r="VTO373" s="15"/>
      <c r="VTP373" s="15"/>
      <c r="VTQ373" s="15"/>
      <c r="VTR373" s="15"/>
      <c r="VTS373" s="15"/>
      <c r="VTT373" s="15"/>
      <c r="VTU373" s="10"/>
      <c r="VTV373" s="10"/>
      <c r="VTW373" s="21"/>
      <c r="VTX373" s="21"/>
      <c r="VUA373" s="21"/>
      <c r="VUB373" s="15"/>
      <c r="VUC373" s="15"/>
      <c r="VUD373" s="15"/>
      <c r="VUE373" s="15"/>
      <c r="VUF373" s="15"/>
      <c r="VUG373" s="15"/>
      <c r="VUH373" s="15"/>
      <c r="VUI373" s="15"/>
      <c r="VUJ373" s="15"/>
      <c r="VUK373" s="15"/>
      <c r="VUL373" s="10"/>
      <c r="VUM373" s="10"/>
      <c r="VUN373" s="21"/>
      <c r="VUO373" s="21"/>
      <c r="VUR373" s="21"/>
      <c r="VUS373" s="15"/>
      <c r="VUT373" s="15"/>
      <c r="VUU373" s="15"/>
      <c r="VUV373" s="15"/>
      <c r="VUW373" s="15"/>
      <c r="VUX373" s="15"/>
      <c r="VUY373" s="15"/>
      <c r="VUZ373" s="15"/>
      <c r="VVA373" s="15"/>
      <c r="VVB373" s="15"/>
      <c r="VVC373" s="10"/>
      <c r="VVD373" s="10"/>
      <c r="VVE373" s="21"/>
      <c r="VVF373" s="21"/>
      <c r="VVI373" s="21"/>
      <c r="VVJ373" s="15"/>
      <c r="VVK373" s="15"/>
      <c r="VVL373" s="15"/>
      <c r="VVM373" s="15"/>
      <c r="VVN373" s="15"/>
      <c r="VVO373" s="15"/>
      <c r="VVP373" s="15"/>
      <c r="VVQ373" s="15"/>
      <c r="VVR373" s="15"/>
      <c r="VVS373" s="15"/>
      <c r="VVT373" s="10"/>
      <c r="VVU373" s="10"/>
      <c r="VVV373" s="21"/>
      <c r="VVW373" s="21"/>
      <c r="VVZ373" s="21"/>
      <c r="VWA373" s="15"/>
      <c r="VWB373" s="15"/>
      <c r="VWC373" s="15"/>
      <c r="VWD373" s="15"/>
      <c r="VWE373" s="15"/>
      <c r="VWF373" s="15"/>
      <c r="VWG373" s="15"/>
      <c r="VWH373" s="15"/>
      <c r="VWI373" s="15"/>
      <c r="VWJ373" s="15"/>
      <c r="VWK373" s="10"/>
      <c r="VWL373" s="10"/>
      <c r="VWM373" s="21"/>
      <c r="VWN373" s="21"/>
      <c r="VWQ373" s="21"/>
      <c r="VWR373" s="15"/>
      <c r="VWS373" s="15"/>
      <c r="VWT373" s="15"/>
      <c r="VWU373" s="15"/>
      <c r="VWV373" s="15"/>
      <c r="VWW373" s="15"/>
      <c r="VWX373" s="15"/>
      <c r="VWY373" s="15"/>
      <c r="VWZ373" s="15"/>
      <c r="VXA373" s="15"/>
      <c r="VXB373" s="10"/>
      <c r="VXC373" s="10"/>
      <c r="VXD373" s="21"/>
      <c r="VXE373" s="21"/>
      <c r="VXH373" s="21"/>
      <c r="VXI373" s="15"/>
      <c r="VXJ373" s="15"/>
      <c r="VXK373" s="15"/>
      <c r="VXL373" s="15"/>
      <c r="VXM373" s="15"/>
      <c r="VXN373" s="15"/>
      <c r="VXO373" s="15"/>
      <c r="VXP373" s="15"/>
      <c r="VXQ373" s="15"/>
      <c r="VXR373" s="15"/>
      <c r="VXS373" s="10"/>
      <c r="VXT373" s="10"/>
      <c r="VXU373" s="21"/>
      <c r="VXV373" s="21"/>
      <c r="VXY373" s="21"/>
      <c r="VXZ373" s="15"/>
      <c r="VYA373" s="15"/>
      <c r="VYB373" s="15"/>
      <c r="VYC373" s="15"/>
      <c r="VYD373" s="15"/>
      <c r="VYE373" s="15"/>
      <c r="VYF373" s="15"/>
      <c r="VYG373" s="15"/>
      <c r="VYH373" s="15"/>
      <c r="VYI373" s="15"/>
      <c r="VYJ373" s="10"/>
      <c r="VYK373" s="10"/>
      <c r="VYL373" s="21"/>
      <c r="VYM373" s="21"/>
      <c r="VYP373" s="21"/>
      <c r="VYQ373" s="15"/>
      <c r="VYR373" s="15"/>
      <c r="VYS373" s="15"/>
      <c r="VYT373" s="15"/>
      <c r="VYU373" s="15"/>
      <c r="VYV373" s="15"/>
      <c r="VYW373" s="15"/>
      <c r="VYX373" s="15"/>
      <c r="VYY373" s="15"/>
      <c r="VYZ373" s="15"/>
      <c r="VZA373" s="10"/>
      <c r="VZB373" s="10"/>
      <c r="VZC373" s="21"/>
      <c r="VZD373" s="21"/>
      <c r="VZG373" s="21"/>
      <c r="VZH373" s="15"/>
      <c r="VZI373" s="15"/>
      <c r="VZJ373" s="15"/>
      <c r="VZK373" s="15"/>
      <c r="VZL373" s="15"/>
      <c r="VZM373" s="15"/>
      <c r="VZN373" s="15"/>
      <c r="VZO373" s="15"/>
      <c r="VZP373" s="15"/>
      <c r="VZQ373" s="15"/>
      <c r="VZR373" s="10"/>
      <c r="VZS373" s="10"/>
      <c r="VZT373" s="21"/>
      <c r="VZU373" s="21"/>
      <c r="VZX373" s="21"/>
      <c r="VZY373" s="15"/>
      <c r="VZZ373" s="15"/>
      <c r="WAA373" s="15"/>
      <c r="WAB373" s="15"/>
      <c r="WAC373" s="15"/>
      <c r="WAD373" s="15"/>
      <c r="WAE373" s="15"/>
      <c r="WAF373" s="15"/>
      <c r="WAG373" s="15"/>
      <c r="WAH373" s="15"/>
      <c r="WAI373" s="10"/>
      <c r="WAJ373" s="10"/>
      <c r="WAK373" s="21"/>
      <c r="WAL373" s="21"/>
      <c r="WAO373" s="21"/>
      <c r="WAP373" s="15"/>
      <c r="WAQ373" s="15"/>
      <c r="WAR373" s="15"/>
      <c r="WAS373" s="15"/>
      <c r="WAT373" s="15"/>
      <c r="WAU373" s="15"/>
      <c r="WAV373" s="15"/>
      <c r="WAW373" s="15"/>
      <c r="WAX373" s="15"/>
      <c r="WAY373" s="15"/>
      <c r="WAZ373" s="10"/>
      <c r="WBA373" s="10"/>
      <c r="WBB373" s="21"/>
      <c r="WBC373" s="21"/>
      <c r="WBF373" s="21"/>
      <c r="WBG373" s="15"/>
      <c r="WBH373" s="15"/>
      <c r="WBI373" s="15"/>
      <c r="WBJ373" s="15"/>
      <c r="WBK373" s="15"/>
      <c r="WBL373" s="15"/>
      <c r="WBM373" s="15"/>
      <c r="WBN373" s="15"/>
      <c r="WBO373" s="15"/>
      <c r="WBP373" s="15"/>
      <c r="WBQ373" s="10"/>
      <c r="WBR373" s="10"/>
      <c r="WBS373" s="21"/>
      <c r="WBT373" s="21"/>
      <c r="WBW373" s="21"/>
      <c r="WBX373" s="15"/>
      <c r="WBY373" s="15"/>
      <c r="WBZ373" s="15"/>
      <c r="WCA373" s="15"/>
      <c r="WCB373" s="15"/>
      <c r="WCC373" s="15"/>
      <c r="WCD373" s="15"/>
      <c r="WCE373" s="15"/>
      <c r="WCF373" s="15"/>
      <c r="WCG373" s="15"/>
      <c r="WCH373" s="10"/>
      <c r="WCI373" s="10"/>
      <c r="WCJ373" s="21"/>
      <c r="WCK373" s="21"/>
      <c r="WCN373" s="21"/>
      <c r="WCO373" s="15"/>
      <c r="WCP373" s="15"/>
      <c r="WCQ373" s="15"/>
      <c r="WCR373" s="15"/>
      <c r="WCS373" s="15"/>
      <c r="WCT373" s="15"/>
      <c r="WCU373" s="15"/>
      <c r="WCV373" s="15"/>
      <c r="WCW373" s="15"/>
      <c r="WCX373" s="15"/>
      <c r="WCY373" s="10"/>
      <c r="WCZ373" s="10"/>
      <c r="WDA373" s="21"/>
      <c r="WDB373" s="21"/>
      <c r="WDE373" s="21"/>
      <c r="WDF373" s="15"/>
      <c r="WDG373" s="15"/>
      <c r="WDH373" s="15"/>
      <c r="WDI373" s="15"/>
      <c r="WDJ373" s="15"/>
      <c r="WDK373" s="15"/>
      <c r="WDL373" s="15"/>
      <c r="WDM373" s="15"/>
      <c r="WDN373" s="15"/>
      <c r="WDO373" s="15"/>
      <c r="WDP373" s="10"/>
      <c r="WDQ373" s="10"/>
      <c r="WDR373" s="21"/>
      <c r="WDS373" s="21"/>
      <c r="WDV373" s="21"/>
      <c r="WDW373" s="15"/>
      <c r="WDX373" s="15"/>
      <c r="WDY373" s="15"/>
      <c r="WDZ373" s="15"/>
      <c r="WEA373" s="15"/>
      <c r="WEB373" s="15"/>
      <c r="WEC373" s="15"/>
      <c r="WED373" s="15"/>
      <c r="WEE373" s="15"/>
      <c r="WEF373" s="15"/>
      <c r="WEG373" s="10"/>
      <c r="WEH373" s="10"/>
      <c r="WEI373" s="21"/>
      <c r="WEJ373" s="21"/>
      <c r="WEM373" s="21"/>
      <c r="WEN373" s="15"/>
      <c r="WEO373" s="15"/>
      <c r="WEP373" s="15"/>
      <c r="WEQ373" s="15"/>
      <c r="WER373" s="15"/>
      <c r="WES373" s="15"/>
      <c r="WET373" s="15"/>
      <c r="WEU373" s="15"/>
      <c r="WEV373" s="15"/>
      <c r="WEW373" s="15"/>
      <c r="WEX373" s="10"/>
      <c r="WEY373" s="10"/>
      <c r="WEZ373" s="21"/>
      <c r="WFA373" s="21"/>
      <c r="WFD373" s="21"/>
      <c r="WFE373" s="15"/>
      <c r="WFF373" s="15"/>
      <c r="WFG373" s="15"/>
      <c r="WFH373" s="15"/>
      <c r="WFI373" s="15"/>
      <c r="WFJ373" s="15"/>
      <c r="WFK373" s="15"/>
      <c r="WFL373" s="15"/>
      <c r="WFM373" s="15"/>
      <c r="WFN373" s="15"/>
      <c r="WFO373" s="10"/>
      <c r="WFP373" s="10"/>
      <c r="WFQ373" s="21"/>
      <c r="WFR373" s="21"/>
      <c r="WFU373" s="21"/>
      <c r="WFV373" s="15"/>
      <c r="WFW373" s="15"/>
      <c r="WFX373" s="15"/>
      <c r="WFY373" s="15"/>
      <c r="WFZ373" s="15"/>
      <c r="WGA373" s="15"/>
      <c r="WGB373" s="15"/>
      <c r="WGC373" s="15"/>
      <c r="WGD373" s="15"/>
      <c r="WGE373" s="15"/>
      <c r="WGF373" s="10"/>
      <c r="WGG373" s="10"/>
      <c r="WGH373" s="21"/>
      <c r="WGI373" s="21"/>
      <c r="WGL373" s="21"/>
      <c r="WGM373" s="15"/>
      <c r="WGN373" s="15"/>
      <c r="WGO373" s="15"/>
      <c r="WGP373" s="15"/>
      <c r="WGQ373" s="15"/>
      <c r="WGR373" s="15"/>
      <c r="WGS373" s="15"/>
      <c r="WGT373" s="15"/>
      <c r="WGU373" s="15"/>
      <c r="WGV373" s="15"/>
      <c r="WGW373" s="10"/>
      <c r="WGX373" s="10"/>
      <c r="WGY373" s="21"/>
      <c r="WGZ373" s="21"/>
      <c r="WHC373" s="21"/>
      <c r="WHD373" s="15"/>
      <c r="WHE373" s="15"/>
      <c r="WHF373" s="15"/>
      <c r="WHG373" s="15"/>
      <c r="WHH373" s="15"/>
      <c r="WHI373" s="15"/>
      <c r="WHJ373" s="15"/>
      <c r="WHK373" s="15"/>
      <c r="WHL373" s="15"/>
      <c r="WHM373" s="15"/>
      <c r="WHN373" s="10"/>
      <c r="WHO373" s="10"/>
      <c r="WHP373" s="21"/>
      <c r="WHQ373" s="21"/>
      <c r="WHT373" s="21"/>
      <c r="WHU373" s="15"/>
      <c r="WHV373" s="15"/>
      <c r="WHW373" s="15"/>
      <c r="WHX373" s="15"/>
      <c r="WHY373" s="15"/>
      <c r="WHZ373" s="15"/>
      <c r="WIA373" s="15"/>
      <c r="WIB373" s="15"/>
      <c r="WIC373" s="15"/>
      <c r="WID373" s="15"/>
      <c r="WIE373" s="10"/>
      <c r="WIF373" s="10"/>
      <c r="WIG373" s="21"/>
      <c r="WIH373" s="21"/>
      <c r="WIK373" s="21"/>
      <c r="WIL373" s="15"/>
      <c r="WIM373" s="15"/>
      <c r="WIN373" s="15"/>
      <c r="WIO373" s="15"/>
      <c r="WIP373" s="15"/>
      <c r="WIQ373" s="15"/>
      <c r="WIR373" s="15"/>
      <c r="WIS373" s="15"/>
      <c r="WIT373" s="15"/>
      <c r="WIU373" s="15"/>
      <c r="WIV373" s="10"/>
      <c r="WIW373" s="10"/>
      <c r="WIX373" s="21"/>
      <c r="WIY373" s="21"/>
      <c r="WJB373" s="21"/>
      <c r="WJC373" s="15"/>
      <c r="WJD373" s="15"/>
      <c r="WJE373" s="15"/>
      <c r="WJF373" s="15"/>
      <c r="WJG373" s="15"/>
      <c r="WJH373" s="15"/>
      <c r="WJI373" s="15"/>
      <c r="WJJ373" s="15"/>
      <c r="WJK373" s="15"/>
      <c r="WJL373" s="15"/>
      <c r="WJM373" s="10"/>
      <c r="WJN373" s="10"/>
      <c r="WJO373" s="21"/>
      <c r="WJP373" s="21"/>
      <c r="WJS373" s="21"/>
      <c r="WJT373" s="15"/>
      <c r="WJU373" s="15"/>
      <c r="WJV373" s="15"/>
      <c r="WJW373" s="15"/>
      <c r="WJX373" s="15"/>
      <c r="WJY373" s="15"/>
      <c r="WJZ373" s="15"/>
      <c r="WKA373" s="15"/>
      <c r="WKB373" s="15"/>
      <c r="WKC373" s="15"/>
      <c r="WKD373" s="10"/>
      <c r="WKE373" s="10"/>
      <c r="WKF373" s="21"/>
      <c r="WKG373" s="21"/>
      <c r="WKJ373" s="21"/>
      <c r="WKK373" s="15"/>
      <c r="WKL373" s="15"/>
      <c r="WKM373" s="15"/>
      <c r="WKN373" s="15"/>
      <c r="WKO373" s="15"/>
      <c r="WKP373" s="15"/>
      <c r="WKQ373" s="15"/>
      <c r="WKR373" s="15"/>
      <c r="WKS373" s="15"/>
      <c r="WKT373" s="15"/>
      <c r="WKU373" s="10"/>
      <c r="WKV373" s="10"/>
      <c r="WKW373" s="21"/>
      <c r="WKX373" s="21"/>
      <c r="WLA373" s="21"/>
      <c r="WLB373" s="15"/>
      <c r="WLC373" s="15"/>
      <c r="WLD373" s="15"/>
      <c r="WLE373" s="15"/>
      <c r="WLF373" s="15"/>
      <c r="WLG373" s="15"/>
      <c r="WLH373" s="15"/>
      <c r="WLI373" s="15"/>
      <c r="WLJ373" s="15"/>
      <c r="WLK373" s="15"/>
      <c r="WLL373" s="10"/>
      <c r="WLM373" s="10"/>
      <c r="WLN373" s="21"/>
      <c r="WLO373" s="21"/>
      <c r="WLR373" s="21"/>
      <c r="WLS373" s="15"/>
      <c r="WLT373" s="15"/>
      <c r="WLU373" s="15"/>
      <c r="WLV373" s="15"/>
      <c r="WLW373" s="15"/>
      <c r="WLX373" s="15"/>
      <c r="WLY373" s="15"/>
      <c r="WLZ373" s="15"/>
      <c r="WMA373" s="15"/>
      <c r="WMB373" s="15"/>
      <c r="WMC373" s="10"/>
      <c r="WMD373" s="10"/>
      <c r="WME373" s="21"/>
      <c r="WMF373" s="21"/>
      <c r="WMI373" s="21"/>
      <c r="WMJ373" s="15"/>
      <c r="WMK373" s="15"/>
      <c r="WML373" s="15"/>
      <c r="WMM373" s="15"/>
      <c r="WMN373" s="15"/>
      <c r="WMO373" s="15"/>
      <c r="WMP373" s="15"/>
      <c r="WMQ373" s="15"/>
      <c r="WMR373" s="15"/>
      <c r="WMS373" s="15"/>
      <c r="WMT373" s="10"/>
      <c r="WMU373" s="10"/>
      <c r="WMV373" s="21"/>
      <c r="WMW373" s="21"/>
      <c r="WMZ373" s="21"/>
      <c r="WNA373" s="15"/>
      <c r="WNB373" s="15"/>
      <c r="WNC373" s="15"/>
      <c r="WND373" s="15"/>
      <c r="WNE373" s="15"/>
      <c r="WNF373" s="15"/>
      <c r="WNG373" s="15"/>
      <c r="WNH373" s="15"/>
      <c r="WNI373" s="15"/>
      <c r="WNJ373" s="15"/>
      <c r="WNK373" s="10"/>
      <c r="WNL373" s="10"/>
      <c r="WNM373" s="21"/>
      <c r="WNN373" s="21"/>
      <c r="WNQ373" s="21"/>
      <c r="WNR373" s="15"/>
      <c r="WNS373" s="15"/>
      <c r="WNT373" s="15"/>
      <c r="WNU373" s="15"/>
      <c r="WNV373" s="15"/>
      <c r="WNW373" s="15"/>
      <c r="WNX373" s="15"/>
      <c r="WNY373" s="15"/>
      <c r="WNZ373" s="15"/>
      <c r="WOA373" s="15"/>
      <c r="WOB373" s="10"/>
      <c r="WOC373" s="10"/>
      <c r="WOD373" s="21"/>
      <c r="WOE373" s="21"/>
      <c r="WOH373" s="21"/>
      <c r="WOI373" s="15"/>
      <c r="WOJ373" s="15"/>
      <c r="WOK373" s="15"/>
      <c r="WOL373" s="15"/>
      <c r="WOM373" s="15"/>
      <c r="WON373" s="15"/>
      <c r="WOO373" s="15"/>
      <c r="WOP373" s="15"/>
      <c r="WOQ373" s="15"/>
      <c r="WOR373" s="15"/>
      <c r="WOS373" s="10"/>
      <c r="WOT373" s="10"/>
      <c r="WOU373" s="21"/>
      <c r="WOV373" s="21"/>
      <c r="WOY373" s="21"/>
      <c r="WOZ373" s="15"/>
      <c r="WPA373" s="15"/>
      <c r="WPB373" s="15"/>
      <c r="WPC373" s="15"/>
      <c r="WPD373" s="15"/>
      <c r="WPE373" s="15"/>
      <c r="WPF373" s="15"/>
      <c r="WPG373" s="15"/>
      <c r="WPH373" s="15"/>
      <c r="WPI373" s="15"/>
      <c r="WPJ373" s="10"/>
      <c r="WPK373" s="10"/>
      <c r="WPL373" s="21"/>
      <c r="WPM373" s="21"/>
      <c r="WPP373" s="21"/>
      <c r="WPQ373" s="15"/>
      <c r="WPR373" s="15"/>
      <c r="WPS373" s="15"/>
      <c r="WPT373" s="15"/>
      <c r="WPU373" s="15"/>
      <c r="WPV373" s="15"/>
      <c r="WPW373" s="15"/>
      <c r="WPX373" s="15"/>
      <c r="WPY373" s="15"/>
      <c r="WPZ373" s="15"/>
      <c r="WQA373" s="10"/>
      <c r="WQB373" s="10"/>
      <c r="WQC373" s="21"/>
      <c r="WQD373" s="21"/>
      <c r="WQG373" s="21"/>
      <c r="WQH373" s="15"/>
      <c r="WQI373" s="15"/>
      <c r="WQJ373" s="15"/>
      <c r="WQK373" s="15"/>
      <c r="WQL373" s="15"/>
      <c r="WQM373" s="15"/>
      <c r="WQN373" s="15"/>
      <c r="WQO373" s="15"/>
      <c r="WQP373" s="15"/>
      <c r="WQQ373" s="15"/>
      <c r="WQR373" s="10"/>
      <c r="WQS373" s="10"/>
      <c r="WQT373" s="21"/>
      <c r="WQU373" s="21"/>
      <c r="WQX373" s="21"/>
      <c r="WQY373" s="15"/>
      <c r="WQZ373" s="15"/>
      <c r="WRA373" s="15"/>
      <c r="WRB373" s="15"/>
      <c r="WRC373" s="15"/>
      <c r="WRD373" s="15"/>
      <c r="WRE373" s="15"/>
      <c r="WRF373" s="15"/>
      <c r="WRG373" s="15"/>
      <c r="WRH373" s="15"/>
      <c r="WRI373" s="10"/>
      <c r="WRJ373" s="10"/>
      <c r="WRK373" s="21"/>
      <c r="WRL373" s="21"/>
      <c r="WRO373" s="21"/>
      <c r="WRP373" s="15"/>
      <c r="WRQ373" s="15"/>
      <c r="WRR373" s="15"/>
      <c r="WRS373" s="15"/>
      <c r="WRT373" s="15"/>
      <c r="WRU373" s="15"/>
      <c r="WRV373" s="15"/>
      <c r="WRW373" s="15"/>
      <c r="WRX373" s="15"/>
      <c r="WRY373" s="15"/>
      <c r="WRZ373" s="10"/>
      <c r="WSA373" s="10"/>
      <c r="WSB373" s="21"/>
      <c r="WSC373" s="21"/>
      <c r="WSF373" s="21"/>
      <c r="WSG373" s="15"/>
      <c r="WSH373" s="15"/>
      <c r="WSI373" s="15"/>
      <c r="WSJ373" s="15"/>
      <c r="WSK373" s="15"/>
      <c r="WSL373" s="15"/>
      <c r="WSM373" s="15"/>
      <c r="WSN373" s="15"/>
      <c r="WSO373" s="15"/>
      <c r="WSP373" s="15"/>
      <c r="WSQ373" s="10"/>
      <c r="WSR373" s="10"/>
      <c r="WSS373" s="21"/>
      <c r="WST373" s="21"/>
      <c r="WSW373" s="21"/>
      <c r="WSX373" s="15"/>
      <c r="WSY373" s="15"/>
      <c r="WSZ373" s="15"/>
      <c r="WTA373" s="15"/>
      <c r="WTB373" s="15"/>
      <c r="WTC373" s="15"/>
      <c r="WTD373" s="15"/>
      <c r="WTE373" s="15"/>
      <c r="WTF373" s="15"/>
      <c r="WTG373" s="15"/>
      <c r="WTH373" s="10"/>
      <c r="WTI373" s="10"/>
      <c r="WTJ373" s="21"/>
      <c r="WTK373" s="21"/>
      <c r="WTN373" s="21"/>
      <c r="WTO373" s="15"/>
      <c r="WTP373" s="15"/>
      <c r="WTQ373" s="15"/>
      <c r="WTR373" s="15"/>
      <c r="WTS373" s="15"/>
      <c r="WTT373" s="15"/>
      <c r="WTU373" s="15"/>
      <c r="WTV373" s="15"/>
      <c r="WTW373" s="15"/>
      <c r="WTX373" s="15"/>
      <c r="WTY373" s="10"/>
      <c r="WTZ373" s="10"/>
      <c r="WUA373" s="21"/>
      <c r="WUB373" s="21"/>
      <c r="WUE373" s="21"/>
      <c r="WUF373" s="15"/>
      <c r="WUG373" s="15"/>
      <c r="WUH373" s="15"/>
      <c r="WUI373" s="15"/>
      <c r="WUJ373" s="15"/>
      <c r="WUK373" s="15"/>
      <c r="WUL373" s="15"/>
      <c r="WUM373" s="15"/>
      <c r="WUN373" s="15"/>
      <c r="WUO373" s="15"/>
      <c r="WUP373" s="10"/>
      <c r="WUQ373" s="10"/>
      <c r="WUR373" s="21"/>
      <c r="WUS373" s="21"/>
      <c r="WUV373" s="21"/>
      <c r="WUW373" s="15"/>
      <c r="WUX373" s="15"/>
      <c r="WUY373" s="15"/>
      <c r="WUZ373" s="15"/>
      <c r="WVA373" s="15"/>
      <c r="WVB373" s="15"/>
      <c r="WVC373" s="15"/>
      <c r="WVD373" s="15"/>
      <c r="WVE373" s="15"/>
      <c r="WVF373" s="15"/>
      <c r="WVG373" s="10"/>
      <c r="WVH373" s="10"/>
      <c r="WVI373" s="21"/>
      <c r="WVJ373" s="21"/>
      <c r="WVM373" s="21"/>
      <c r="WVN373" s="15"/>
      <c r="WVO373" s="15"/>
      <c r="WVP373" s="15"/>
      <c r="WVQ373" s="15"/>
      <c r="WVR373" s="15"/>
      <c r="WVS373" s="15"/>
      <c r="WVT373" s="15"/>
      <c r="WVU373" s="15"/>
      <c r="WVV373" s="15"/>
      <c r="WVW373" s="15"/>
      <c r="WVX373" s="10"/>
      <c r="WVY373" s="10"/>
      <c r="WVZ373" s="21"/>
      <c r="WWA373" s="21"/>
      <c r="WWD373" s="21"/>
      <c r="WWE373" s="15"/>
      <c r="WWF373" s="15"/>
      <c r="WWG373" s="15"/>
      <c r="WWH373" s="15"/>
      <c r="WWI373" s="15"/>
      <c r="WWJ373" s="15"/>
      <c r="WWK373" s="15"/>
      <c r="WWL373" s="15"/>
      <c r="WWM373" s="15"/>
      <c r="WWN373" s="15"/>
      <c r="WWO373" s="10"/>
      <c r="WWP373" s="10"/>
      <c r="WWQ373" s="21"/>
      <c r="WWR373" s="21"/>
      <c r="WWU373" s="21"/>
      <c r="WWV373" s="15"/>
      <c r="WWW373" s="15"/>
      <c r="WWX373" s="15"/>
      <c r="WWY373" s="15"/>
      <c r="WWZ373" s="15"/>
      <c r="WXA373" s="15"/>
      <c r="WXB373" s="15"/>
      <c r="WXC373" s="15"/>
      <c r="WXD373" s="15"/>
      <c r="WXE373" s="15"/>
      <c r="WXF373" s="10"/>
      <c r="WXG373" s="10"/>
      <c r="WXH373" s="21"/>
      <c r="WXI373" s="21"/>
      <c r="WXL373" s="21"/>
      <c r="WXM373" s="15"/>
      <c r="WXN373" s="15"/>
      <c r="WXO373" s="15"/>
      <c r="WXP373" s="15"/>
      <c r="WXQ373" s="15"/>
      <c r="WXR373" s="15"/>
      <c r="WXS373" s="15"/>
      <c r="WXT373" s="15"/>
      <c r="WXU373" s="15"/>
      <c r="WXV373" s="15"/>
      <c r="WXW373" s="10"/>
      <c r="WXX373" s="10"/>
      <c r="WXY373" s="21"/>
      <c r="WXZ373" s="21"/>
      <c r="WYC373" s="21"/>
      <c r="WYD373" s="15"/>
      <c r="WYE373" s="15"/>
      <c r="WYF373" s="15"/>
      <c r="WYG373" s="15"/>
      <c r="WYH373" s="15"/>
      <c r="WYI373" s="15"/>
      <c r="WYJ373" s="15"/>
      <c r="WYK373" s="15"/>
      <c r="WYL373" s="15"/>
      <c r="WYM373" s="15"/>
      <c r="WYN373" s="10"/>
      <c r="WYO373" s="10"/>
      <c r="WYP373" s="21"/>
      <c r="WYQ373" s="21"/>
      <c r="WYT373" s="21"/>
      <c r="WYU373" s="15"/>
      <c r="WYV373" s="15"/>
      <c r="WYW373" s="15"/>
      <c r="WYX373" s="15"/>
      <c r="WYY373" s="15"/>
      <c r="WYZ373" s="15"/>
      <c r="WZA373" s="15"/>
      <c r="WZB373" s="15"/>
      <c r="WZC373" s="15"/>
      <c r="WZD373" s="15"/>
      <c r="WZE373" s="10"/>
      <c r="WZF373" s="10"/>
      <c r="WZG373" s="21"/>
      <c r="WZH373" s="21"/>
      <c r="WZK373" s="21"/>
      <c r="WZL373" s="15"/>
      <c r="WZM373" s="15"/>
      <c r="WZN373" s="15"/>
      <c r="WZO373" s="15"/>
      <c r="WZP373" s="15"/>
      <c r="WZQ373" s="15"/>
      <c r="WZR373" s="15"/>
      <c r="WZS373" s="15"/>
      <c r="WZT373" s="15"/>
      <c r="WZU373" s="15"/>
      <c r="WZV373" s="10"/>
      <c r="WZW373" s="10"/>
      <c r="WZX373" s="21"/>
      <c r="WZY373" s="21"/>
      <c r="XAB373" s="21"/>
      <c r="XAC373" s="15"/>
      <c r="XAD373" s="15"/>
      <c r="XAE373" s="15"/>
      <c r="XAF373" s="15"/>
      <c r="XAG373" s="15"/>
      <c r="XAH373" s="15"/>
      <c r="XAI373" s="15"/>
      <c r="XAJ373" s="15"/>
      <c r="XAK373" s="15"/>
      <c r="XAL373" s="15"/>
      <c r="XAM373" s="10"/>
      <c r="XAN373" s="10"/>
      <c r="XAO373" s="21"/>
      <c r="XAP373" s="21"/>
      <c r="XAS373" s="21"/>
      <c r="XAT373" s="15"/>
      <c r="XAU373" s="15"/>
      <c r="XAV373" s="15"/>
      <c r="XAW373" s="15"/>
      <c r="XAX373" s="15"/>
      <c r="XAY373" s="15"/>
      <c r="XAZ373" s="15"/>
      <c r="XBA373" s="15"/>
      <c r="XBB373" s="15"/>
      <c r="XBC373" s="15"/>
      <c r="XBD373" s="10"/>
      <c r="XBE373" s="10"/>
      <c r="XBF373" s="21"/>
      <c r="XBG373" s="21"/>
      <c r="XBJ373" s="21"/>
      <c r="XBK373" s="15"/>
      <c r="XBL373" s="15"/>
      <c r="XBM373" s="15"/>
      <c r="XBN373" s="15"/>
      <c r="XBO373" s="15"/>
      <c r="XBP373" s="15"/>
      <c r="XBQ373" s="15"/>
      <c r="XBR373" s="15"/>
      <c r="XBS373" s="15"/>
      <c r="XBT373" s="15"/>
      <c r="XBU373" s="10"/>
      <c r="XBV373" s="10"/>
      <c r="XBW373" s="21"/>
      <c r="XBX373" s="21"/>
      <c r="XCA373" s="21"/>
      <c r="XCB373" s="15"/>
      <c r="XCC373" s="15"/>
      <c r="XCD373" s="15"/>
      <c r="XCE373" s="15"/>
      <c r="XCF373" s="15"/>
      <c r="XCG373" s="15"/>
      <c r="XCH373" s="15"/>
      <c r="XCI373" s="15"/>
      <c r="XCJ373" s="15"/>
      <c r="XCK373" s="15"/>
      <c r="XCL373" s="10"/>
      <c r="XCM373" s="10"/>
      <c r="XCN373" s="21"/>
      <c r="XCO373" s="21"/>
      <c r="XCR373" s="21"/>
      <c r="XCS373" s="15"/>
      <c r="XCT373" s="15"/>
      <c r="XCU373" s="15"/>
      <c r="XCV373" s="15"/>
      <c r="XCW373" s="15"/>
      <c r="XCX373" s="15"/>
      <c r="XCY373" s="15"/>
      <c r="XCZ373" s="15"/>
      <c r="XDA373" s="15"/>
      <c r="XDB373" s="15"/>
      <c r="XDC373" s="10"/>
      <c r="XDD373" s="10"/>
      <c r="XDE373" s="21"/>
      <c r="XDF373" s="21"/>
      <c r="XDI373" s="21"/>
      <c r="XDJ373" s="15"/>
      <c r="XDK373" s="15"/>
      <c r="XDL373" s="15"/>
      <c r="XDM373" s="15"/>
      <c r="XDN373" s="15"/>
      <c r="XDO373" s="15"/>
      <c r="XDP373" s="15"/>
      <c r="XDQ373" s="15"/>
      <c r="XDR373" s="15"/>
      <c r="XDS373" s="15"/>
      <c r="XDT373" s="10"/>
      <c r="XDU373" s="10"/>
      <c r="XDV373" s="21"/>
      <c r="XDW373" s="21"/>
      <c r="XDZ373" s="21"/>
      <c r="XEA373" s="15"/>
      <c r="XEB373" s="15"/>
      <c r="XEC373" s="15"/>
      <c r="XED373" s="15"/>
      <c r="XEE373" s="15"/>
      <c r="XEF373" s="15"/>
      <c r="XEG373" s="15"/>
      <c r="XEH373" s="15"/>
      <c r="XEI373" s="15"/>
      <c r="XEJ373" s="15"/>
      <c r="XEK373" s="10"/>
      <c r="XEL373" s="10"/>
      <c r="XEM373" s="21"/>
      <c r="XEN373" s="21"/>
      <c r="XEQ373" s="21"/>
      <c r="XER373" s="15"/>
      <c r="XES373" s="15"/>
      <c r="XET373" s="15"/>
      <c r="XEU373" s="15"/>
      <c r="XEV373" s="15"/>
      <c r="XEW373" s="15"/>
      <c r="XEX373" s="15"/>
      <c r="XEY373" s="15"/>
      <c r="XEZ373" s="15"/>
      <c r="XFA373" s="15"/>
      <c r="XFB373" s="10"/>
      <c r="XFC373" s="10"/>
      <c r="XFD373" s="21"/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775</v>
      </c>
      <c r="E374" s="45" t="s">
        <v>772</v>
      </c>
      <c r="F374" s="45" t="s">
        <v>777</v>
      </c>
      <c r="G374" s="45" t="s">
        <v>207</v>
      </c>
      <c r="H374" s="45" t="s">
        <v>354</v>
      </c>
      <c r="I374" s="44" t="s">
        <v>776</v>
      </c>
      <c r="J374" s="44">
        <v>99</v>
      </c>
      <c r="K374" s="46" t="s">
        <v>712</v>
      </c>
      <c r="L374" s="46" t="s">
        <v>694</v>
      </c>
      <c r="M374" s="47" t="s">
        <v>1426</v>
      </c>
      <c r="N374" s="47" t="s">
        <v>1735</v>
      </c>
      <c r="O374" s="48"/>
      <c r="P374" s="48"/>
      <c r="Q374" s="45"/>
      <c r="S374" s="1">
        <f t="shared" si="225"/>
        <v>0</v>
      </c>
      <c r="T374" s="1">
        <f t="shared" si="226"/>
        <v>0</v>
      </c>
      <c r="U374" s="1">
        <f t="shared" si="227"/>
        <v>0</v>
      </c>
      <c r="V374" s="1">
        <f t="shared" si="228"/>
        <v>0</v>
      </c>
      <c r="W374" s="1">
        <f t="shared" si="229"/>
        <v>0</v>
      </c>
      <c r="X374" s="1">
        <f t="shared" si="230"/>
        <v>0</v>
      </c>
      <c r="Y374" s="1">
        <f t="shared" si="231"/>
        <v>0</v>
      </c>
      <c r="Z374" s="1">
        <f t="shared" si="232"/>
        <v>0</v>
      </c>
      <c r="AA374" s="1">
        <f t="shared" si="233"/>
        <v>0</v>
      </c>
      <c r="AB374" s="1">
        <f t="shared" si="234"/>
        <v>0</v>
      </c>
      <c r="AD374" s="1">
        <f t="shared" si="235"/>
        <v>0</v>
      </c>
      <c r="AE374" s="1">
        <f t="shared" si="236"/>
        <v>0</v>
      </c>
      <c r="AF374" s="1">
        <f t="shared" si="221"/>
        <v>0</v>
      </c>
      <c r="AG374" s="1">
        <f t="shared" si="222"/>
        <v>0</v>
      </c>
      <c r="AH374" s="1">
        <f t="shared" si="223"/>
        <v>0</v>
      </c>
      <c r="AI374" s="1">
        <f t="shared" si="224"/>
        <v>1</v>
      </c>
    </row>
    <row r="375" spans="1:4094 4097:8191 8194:12288 12291:16384" ht="14.25" customHeight="1" x14ac:dyDescent="0.25">
      <c r="A375" s="44">
        <v>1</v>
      </c>
      <c r="B375" s="44">
        <v>2</v>
      </c>
      <c r="C375" s="44">
        <v>5</v>
      </c>
      <c r="D375" s="45" t="s">
        <v>775</v>
      </c>
      <c r="E375" s="45" t="s">
        <v>772</v>
      </c>
      <c r="F375" s="45" t="s">
        <v>1006</v>
      </c>
      <c r="G375" s="45" t="s">
        <v>190</v>
      </c>
      <c r="H375" s="45" t="s">
        <v>354</v>
      </c>
      <c r="I375" s="44" t="s">
        <v>1007</v>
      </c>
      <c r="J375" s="44">
        <v>99</v>
      </c>
      <c r="K375" s="46" t="s">
        <v>712</v>
      </c>
      <c r="L375" s="46" t="s">
        <v>694</v>
      </c>
      <c r="M375" s="47" t="s">
        <v>1426</v>
      </c>
      <c r="N375" s="47" t="s">
        <v>1735</v>
      </c>
      <c r="O375" s="48"/>
      <c r="P375" s="48"/>
      <c r="Q375" s="45"/>
      <c r="S375" s="1">
        <f t="shared" si="225"/>
        <v>0</v>
      </c>
      <c r="T375" s="1">
        <f t="shared" si="226"/>
        <v>0</v>
      </c>
      <c r="U375" s="1">
        <f t="shared" si="227"/>
        <v>0</v>
      </c>
      <c r="V375" s="1">
        <f t="shared" si="228"/>
        <v>0</v>
      </c>
      <c r="W375" s="1">
        <f t="shared" si="229"/>
        <v>0</v>
      </c>
      <c r="X375" s="1">
        <f t="shared" si="230"/>
        <v>0</v>
      </c>
      <c r="Y375" s="1">
        <f t="shared" si="231"/>
        <v>0</v>
      </c>
      <c r="Z375" s="1">
        <f t="shared" si="232"/>
        <v>0</v>
      </c>
      <c r="AA375" s="1">
        <f t="shared" si="233"/>
        <v>0</v>
      </c>
      <c r="AB375" s="1">
        <f t="shared" si="234"/>
        <v>0</v>
      </c>
      <c r="AD375" s="1">
        <f t="shared" si="235"/>
        <v>0</v>
      </c>
      <c r="AE375" s="1">
        <f t="shared" si="236"/>
        <v>0</v>
      </c>
      <c r="AF375" s="1">
        <f t="shared" si="221"/>
        <v>0</v>
      </c>
      <c r="AG375" s="1">
        <f t="shared" si="222"/>
        <v>0</v>
      </c>
      <c r="AH375" s="1">
        <f t="shared" si="223"/>
        <v>0</v>
      </c>
      <c r="AI375" s="1">
        <f t="shared" si="224"/>
        <v>0</v>
      </c>
    </row>
    <row r="376" spans="1:4094 4097:8191 8194:12288 12291:16384" ht="14.25" customHeight="1" x14ac:dyDescent="0.25">
      <c r="A376" s="15">
        <v>0</v>
      </c>
      <c r="B376" s="15">
        <v>2</v>
      </c>
      <c r="C376" s="15">
        <v>5</v>
      </c>
      <c r="D376" s="16" t="s">
        <v>916</v>
      </c>
      <c r="E376" s="16" t="s">
        <v>911</v>
      </c>
      <c r="F376" s="16" t="s">
        <v>929</v>
      </c>
      <c r="G376" s="16" t="s">
        <v>1350</v>
      </c>
      <c r="H376" s="16" t="s">
        <v>354</v>
      </c>
      <c r="I376" s="15" t="s">
        <v>770</v>
      </c>
      <c r="J376" s="15">
        <v>99</v>
      </c>
      <c r="K376" s="10" t="s">
        <v>703</v>
      </c>
      <c r="L376" s="10">
        <v>20</v>
      </c>
      <c r="M376" s="19" t="s">
        <v>1427</v>
      </c>
      <c r="N376" s="19"/>
      <c r="Q376" s="16"/>
      <c r="S376" s="1">
        <f t="shared" si="225"/>
        <v>0</v>
      </c>
      <c r="T376" s="1">
        <f t="shared" si="226"/>
        <v>0</v>
      </c>
      <c r="U376" s="1">
        <f t="shared" si="227"/>
        <v>0</v>
      </c>
      <c r="V376" s="1">
        <f t="shared" si="228"/>
        <v>0</v>
      </c>
      <c r="W376" s="1">
        <f t="shared" si="229"/>
        <v>0</v>
      </c>
      <c r="X376" s="1">
        <f t="shared" si="230"/>
        <v>0</v>
      </c>
      <c r="Y376" s="1">
        <f t="shared" si="231"/>
        <v>0</v>
      </c>
      <c r="Z376" s="1">
        <f t="shared" si="232"/>
        <v>0</v>
      </c>
      <c r="AA376" s="1">
        <f t="shared" si="233"/>
        <v>0</v>
      </c>
      <c r="AB376" s="1">
        <f t="shared" si="234"/>
        <v>0</v>
      </c>
      <c r="AD376" s="1">
        <f t="shared" si="235"/>
        <v>0</v>
      </c>
      <c r="AE376" s="1">
        <f t="shared" si="236"/>
        <v>0</v>
      </c>
      <c r="AF376" s="1">
        <f t="shared" si="221"/>
        <v>0</v>
      </c>
      <c r="AG376" s="1">
        <f t="shared" si="222"/>
        <v>0</v>
      </c>
      <c r="AH376" s="1">
        <f t="shared" si="223"/>
        <v>0</v>
      </c>
      <c r="AI376" s="1">
        <f t="shared" si="224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1921</v>
      </c>
      <c r="E377" s="32"/>
      <c r="F377" s="32" t="s">
        <v>1922</v>
      </c>
      <c r="G377" s="32" t="s">
        <v>208</v>
      </c>
      <c r="H377" s="32" t="s">
        <v>354</v>
      </c>
      <c r="I377" s="31" t="s">
        <v>1923</v>
      </c>
      <c r="J377" s="31">
        <v>3</v>
      </c>
      <c r="K377" s="33" t="s">
        <v>703</v>
      </c>
      <c r="L377" s="33"/>
      <c r="M377" s="34"/>
      <c r="N377" s="34" t="s">
        <v>1727</v>
      </c>
      <c r="O377" s="35">
        <v>1</v>
      </c>
      <c r="P377" s="35">
        <v>1</v>
      </c>
      <c r="Q377" s="32" t="s">
        <v>1924</v>
      </c>
      <c r="S377" s="1">
        <f t="shared" si="225"/>
        <v>0</v>
      </c>
      <c r="T377" s="1">
        <f t="shared" si="226"/>
        <v>0</v>
      </c>
      <c r="U377" s="1">
        <f t="shared" si="227"/>
        <v>1</v>
      </c>
      <c r="V377" s="1">
        <f t="shared" si="228"/>
        <v>0</v>
      </c>
      <c r="W377" s="1">
        <f t="shared" si="229"/>
        <v>0</v>
      </c>
      <c r="X377" s="1">
        <f t="shared" si="230"/>
        <v>0</v>
      </c>
      <c r="Y377" s="1">
        <f t="shared" si="231"/>
        <v>0</v>
      </c>
      <c r="Z377" s="1">
        <f t="shared" si="232"/>
        <v>0</v>
      </c>
      <c r="AA377" s="1">
        <f t="shared" si="233"/>
        <v>0</v>
      </c>
      <c r="AB377" s="1">
        <f t="shared" si="234"/>
        <v>0</v>
      </c>
      <c r="AD377" s="1">
        <f t="shared" si="235"/>
        <v>1</v>
      </c>
      <c r="AE377" s="1">
        <f t="shared" si="236"/>
        <v>0</v>
      </c>
      <c r="AF377" s="1">
        <f t="shared" si="221"/>
        <v>1</v>
      </c>
      <c r="AG377" s="1">
        <f t="shared" si="222"/>
        <v>0</v>
      </c>
      <c r="AH377" s="1">
        <f t="shared" si="223"/>
        <v>1</v>
      </c>
      <c r="AI377" s="1">
        <f t="shared" si="224"/>
        <v>0</v>
      </c>
    </row>
    <row r="378" spans="1:4094 4097:8191 8194:12288 12291:16384" ht="14.25" customHeight="1" x14ac:dyDescent="0.25">
      <c r="A378" s="31">
        <v>0</v>
      </c>
      <c r="B378" s="31">
        <v>2</v>
      </c>
      <c r="C378" s="31">
        <v>5</v>
      </c>
      <c r="D378" s="32" t="s">
        <v>1270</v>
      </c>
      <c r="E378" s="32" t="s">
        <v>1271</v>
      </c>
      <c r="F378" s="32" t="s">
        <v>1272</v>
      </c>
      <c r="G378" s="32" t="s">
        <v>220</v>
      </c>
      <c r="H378" s="32" t="s">
        <v>354</v>
      </c>
      <c r="I378" s="31" t="s">
        <v>1723</v>
      </c>
      <c r="J378" s="31">
        <v>8</v>
      </c>
      <c r="K378" s="33" t="s">
        <v>713</v>
      </c>
      <c r="L378" s="33" t="s">
        <v>39</v>
      </c>
      <c r="M378" s="34" t="s">
        <v>39</v>
      </c>
      <c r="N378" s="34" t="s">
        <v>1727</v>
      </c>
      <c r="O378" s="35">
        <v>1</v>
      </c>
      <c r="P378" s="35">
        <v>1</v>
      </c>
      <c r="Q378" s="32"/>
      <c r="S378" s="1">
        <f t="shared" si="225"/>
        <v>0</v>
      </c>
      <c r="T378" s="1">
        <f t="shared" si="226"/>
        <v>0</v>
      </c>
      <c r="U378" s="1">
        <f t="shared" si="227"/>
        <v>0</v>
      </c>
      <c r="V378" s="1">
        <f t="shared" si="228"/>
        <v>0</v>
      </c>
      <c r="W378" s="1">
        <f t="shared" si="229"/>
        <v>0</v>
      </c>
      <c r="X378" s="1">
        <f t="shared" si="230"/>
        <v>0</v>
      </c>
      <c r="Y378" s="1">
        <f t="shared" si="231"/>
        <v>0</v>
      </c>
      <c r="Z378" s="1">
        <f t="shared" si="232"/>
        <v>1</v>
      </c>
      <c r="AA378" s="1">
        <f t="shared" si="233"/>
        <v>0</v>
      </c>
      <c r="AB378" s="1">
        <f t="shared" si="234"/>
        <v>0</v>
      </c>
      <c r="AD378" s="1">
        <f t="shared" si="235"/>
        <v>1</v>
      </c>
      <c r="AE378" s="1">
        <f t="shared" si="236"/>
        <v>0</v>
      </c>
      <c r="AF378" s="1">
        <f t="shared" si="221"/>
        <v>1</v>
      </c>
      <c r="AG378" s="1">
        <f t="shared" si="222"/>
        <v>0</v>
      </c>
      <c r="AH378" s="1">
        <f t="shared" si="223"/>
        <v>1</v>
      </c>
      <c r="AI378" s="1">
        <f t="shared" si="224"/>
        <v>0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1082</v>
      </c>
      <c r="E379" s="32" t="s">
        <v>155</v>
      </c>
      <c r="F379" s="32" t="s">
        <v>1066</v>
      </c>
      <c r="G379" s="32" t="s">
        <v>321</v>
      </c>
      <c r="H379" s="32" t="s">
        <v>354</v>
      </c>
      <c r="I379" s="31" t="s">
        <v>1067</v>
      </c>
      <c r="J379" s="31">
        <v>99</v>
      </c>
      <c r="K379" s="33" t="s">
        <v>713</v>
      </c>
      <c r="L379" s="33" t="s">
        <v>694</v>
      </c>
      <c r="M379" s="34" t="s">
        <v>1428</v>
      </c>
      <c r="N379" s="34" t="s">
        <v>1756</v>
      </c>
      <c r="O379" s="35">
        <v>1</v>
      </c>
      <c r="P379" s="35"/>
      <c r="Q379" s="32"/>
      <c r="S379" s="1">
        <f t="shared" si="225"/>
        <v>0</v>
      </c>
      <c r="T379" s="1">
        <f t="shared" si="226"/>
        <v>0</v>
      </c>
      <c r="U379" s="1">
        <f t="shared" si="227"/>
        <v>0</v>
      </c>
      <c r="V379" s="1">
        <f t="shared" si="228"/>
        <v>0</v>
      </c>
      <c r="W379" s="1">
        <f t="shared" si="229"/>
        <v>0</v>
      </c>
      <c r="X379" s="1">
        <f t="shared" si="230"/>
        <v>0</v>
      </c>
      <c r="Y379" s="1">
        <f t="shared" si="231"/>
        <v>0</v>
      </c>
      <c r="Z379" s="1">
        <f t="shared" si="232"/>
        <v>0</v>
      </c>
      <c r="AA379" s="1">
        <f t="shared" si="233"/>
        <v>0</v>
      </c>
      <c r="AB379" s="1">
        <f t="shared" si="234"/>
        <v>0</v>
      </c>
      <c r="AD379" s="1">
        <f t="shared" si="235"/>
        <v>0</v>
      </c>
      <c r="AE379" s="1">
        <f t="shared" si="236"/>
        <v>1</v>
      </c>
      <c r="AF379" s="1">
        <f t="shared" si="221"/>
        <v>0</v>
      </c>
      <c r="AG379" s="1">
        <f t="shared" si="222"/>
        <v>1</v>
      </c>
      <c r="AH379" s="1">
        <f t="shared" si="223"/>
        <v>0</v>
      </c>
      <c r="AI379" s="1">
        <f t="shared" si="224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796</v>
      </c>
      <c r="E380" s="32" t="s">
        <v>772</v>
      </c>
      <c r="F380" s="32" t="s">
        <v>932</v>
      </c>
      <c r="G380" s="32" t="s">
        <v>220</v>
      </c>
      <c r="H380" s="32" t="s">
        <v>354</v>
      </c>
      <c r="I380" s="31" t="s">
        <v>797</v>
      </c>
      <c r="J380" s="31">
        <v>8</v>
      </c>
      <c r="K380" s="33" t="s">
        <v>703</v>
      </c>
      <c r="L380" s="33">
        <v>20</v>
      </c>
      <c r="M380" s="34" t="s">
        <v>1419</v>
      </c>
      <c r="N380" s="34" t="s">
        <v>1825</v>
      </c>
      <c r="O380" s="35">
        <v>1</v>
      </c>
      <c r="P380" s="35"/>
      <c r="Q380" s="32"/>
      <c r="S380" s="1">
        <f t="shared" ref="S380:S382" si="249">IF(J380=$S$7,1,0)</f>
        <v>0</v>
      </c>
      <c r="T380" s="1">
        <f t="shared" ref="T380:T382" si="250">IF(J380=$T$7,1,0)</f>
        <v>0</v>
      </c>
      <c r="U380" s="1">
        <f t="shared" ref="U380:U382" si="251">IF(J380=$U$7,1,0)</f>
        <v>0</v>
      </c>
      <c r="V380" s="1">
        <f t="shared" ref="V380:V382" si="252">IF(J380=$V$7,1,0)</f>
        <v>0</v>
      </c>
      <c r="W380" s="1">
        <f t="shared" ref="W380:W382" si="253">IF(J380=$W$7,1,0)</f>
        <v>0</v>
      </c>
      <c r="X380" s="1">
        <f t="shared" ref="X380:X382" si="254">IF(J380=$X$7,1,0)</f>
        <v>0</v>
      </c>
      <c r="Y380" s="1">
        <f t="shared" ref="Y380:Y382" si="255">IF(J380=$Y$7,1,0)</f>
        <v>0</v>
      </c>
      <c r="Z380" s="1">
        <f t="shared" ref="Z380:Z382" si="256">IF(J380=$Z$7,1,0)</f>
        <v>1</v>
      </c>
      <c r="AA380" s="1">
        <f t="shared" ref="AA380:AA382" si="257">IF(J380=$AA$7,1,0)</f>
        <v>0</v>
      </c>
      <c r="AB380" s="1">
        <f t="shared" ref="AB380:AB382" si="258">IF(J380=$AB$7,1,0)</f>
        <v>0</v>
      </c>
      <c r="AD380" s="1">
        <f t="shared" ref="AD380:AD382" si="259">+O380*P380</f>
        <v>0</v>
      </c>
      <c r="AE380" s="1">
        <f t="shared" ref="AE380:AE382" si="260">O380*(1-P380)</f>
        <v>1</v>
      </c>
      <c r="AF380" s="1">
        <f t="shared" si="221"/>
        <v>0</v>
      </c>
      <c r="AG380" s="1">
        <f t="shared" si="222"/>
        <v>1</v>
      </c>
      <c r="AH380" s="1">
        <f t="shared" si="223"/>
        <v>0</v>
      </c>
      <c r="AI380" s="1">
        <f t="shared" si="224"/>
        <v>1</v>
      </c>
    </row>
    <row r="381" spans="1:4094 4097:8191 8194:12288 12291:16384" ht="14.25" customHeight="1" x14ac:dyDescent="0.25">
      <c r="A381" s="49">
        <v>0</v>
      </c>
      <c r="B381" s="49">
        <v>2</v>
      </c>
      <c r="C381" s="49">
        <v>5</v>
      </c>
      <c r="D381" s="50" t="s">
        <v>79</v>
      </c>
      <c r="E381" s="50" t="s">
        <v>159</v>
      </c>
      <c r="F381" s="50" t="s">
        <v>268</v>
      </c>
      <c r="G381" s="50" t="s">
        <v>213</v>
      </c>
      <c r="H381" s="50" t="s">
        <v>354</v>
      </c>
      <c r="I381" s="49" t="s">
        <v>425</v>
      </c>
      <c r="J381" s="49">
        <v>1</v>
      </c>
      <c r="K381" s="51" t="s">
        <v>955</v>
      </c>
      <c r="L381" s="51" t="s">
        <v>704</v>
      </c>
      <c r="M381" s="52" t="s">
        <v>727</v>
      </c>
      <c r="N381" s="52" t="s">
        <v>1743</v>
      </c>
      <c r="O381" s="53">
        <v>1</v>
      </c>
      <c r="P381" s="53"/>
      <c r="Q381" s="50"/>
      <c r="S381" s="1">
        <f t="shared" si="249"/>
        <v>1</v>
      </c>
      <c r="T381" s="1">
        <f t="shared" si="250"/>
        <v>0</v>
      </c>
      <c r="U381" s="1">
        <f t="shared" si="251"/>
        <v>0</v>
      </c>
      <c r="V381" s="1">
        <f t="shared" si="252"/>
        <v>0</v>
      </c>
      <c r="W381" s="1">
        <f t="shared" si="253"/>
        <v>0</v>
      </c>
      <c r="X381" s="1">
        <f t="shared" si="254"/>
        <v>0</v>
      </c>
      <c r="Y381" s="1">
        <f t="shared" si="255"/>
        <v>0</v>
      </c>
      <c r="Z381" s="1">
        <f t="shared" si="256"/>
        <v>0</v>
      </c>
      <c r="AA381" s="1">
        <f t="shared" si="257"/>
        <v>0</v>
      </c>
      <c r="AB381" s="1">
        <f t="shared" si="258"/>
        <v>0</v>
      </c>
      <c r="AD381" s="1">
        <f t="shared" si="259"/>
        <v>0</v>
      </c>
      <c r="AE381" s="1">
        <f t="shared" si="260"/>
        <v>1</v>
      </c>
      <c r="AF381" s="1">
        <f t="shared" si="221"/>
        <v>0</v>
      </c>
      <c r="AG381" s="1">
        <f t="shared" si="222"/>
        <v>1</v>
      </c>
      <c r="AH381" s="1">
        <f t="shared" si="223"/>
        <v>0</v>
      </c>
      <c r="AI381" s="1">
        <f t="shared" si="224"/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1642</v>
      </c>
      <c r="E382" s="32" t="s">
        <v>1654</v>
      </c>
      <c r="F382" s="32" t="s">
        <v>1551</v>
      </c>
      <c r="G382" s="32" t="s">
        <v>262</v>
      </c>
      <c r="H382" s="32" t="s">
        <v>354</v>
      </c>
      <c r="I382" s="31" t="s">
        <v>1552</v>
      </c>
      <c r="J382" s="31">
        <v>99</v>
      </c>
      <c r="K382" s="33" t="s">
        <v>955</v>
      </c>
      <c r="L382" s="33">
        <v>40</v>
      </c>
      <c r="M382" s="34" t="s">
        <v>39</v>
      </c>
      <c r="N382" s="34" t="s">
        <v>1825</v>
      </c>
      <c r="O382" s="35">
        <v>1</v>
      </c>
      <c r="P382" s="35"/>
      <c r="Q382" s="32"/>
      <c r="S382" s="1">
        <f t="shared" si="249"/>
        <v>0</v>
      </c>
      <c r="T382" s="1">
        <f t="shared" si="250"/>
        <v>0</v>
      </c>
      <c r="U382" s="1">
        <f t="shared" si="251"/>
        <v>0</v>
      </c>
      <c r="V382" s="1">
        <f t="shared" si="252"/>
        <v>0</v>
      </c>
      <c r="W382" s="1">
        <f t="shared" si="253"/>
        <v>0</v>
      </c>
      <c r="X382" s="1">
        <f t="shared" si="254"/>
        <v>0</v>
      </c>
      <c r="Y382" s="1">
        <f t="shared" si="255"/>
        <v>0</v>
      </c>
      <c r="Z382" s="1">
        <f t="shared" si="256"/>
        <v>0</v>
      </c>
      <c r="AA382" s="1">
        <f t="shared" si="257"/>
        <v>0</v>
      </c>
      <c r="AB382" s="1">
        <f t="shared" si="258"/>
        <v>0</v>
      </c>
      <c r="AD382" s="1">
        <f t="shared" si="259"/>
        <v>0</v>
      </c>
      <c r="AE382" s="1">
        <f t="shared" si="260"/>
        <v>1</v>
      </c>
      <c r="AF382" s="1">
        <f t="shared" si="221"/>
        <v>0</v>
      </c>
      <c r="AG382" s="1">
        <f t="shared" si="222"/>
        <v>1</v>
      </c>
      <c r="AH382" s="1">
        <f t="shared" si="223"/>
        <v>0</v>
      </c>
      <c r="AI382" s="1">
        <f t="shared" si="224"/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1297</v>
      </c>
      <c r="E383" s="32" t="s">
        <v>27</v>
      </c>
      <c r="F383" s="32" t="s">
        <v>1298</v>
      </c>
      <c r="G383" s="32" t="s">
        <v>1299</v>
      </c>
      <c r="H383" s="32" t="s">
        <v>354</v>
      </c>
      <c r="I383" s="31" t="s">
        <v>1300</v>
      </c>
      <c r="J383" s="31">
        <v>99</v>
      </c>
      <c r="K383" s="33" t="s">
        <v>955</v>
      </c>
      <c r="L383" s="33" t="s">
        <v>39</v>
      </c>
      <c r="M383" s="34" t="s">
        <v>39</v>
      </c>
      <c r="N383" s="34" t="s">
        <v>1727</v>
      </c>
      <c r="O383" s="35">
        <v>1</v>
      </c>
      <c r="P383" s="35">
        <v>1</v>
      </c>
      <c r="Q383" s="36"/>
      <c r="S383" s="1">
        <f t="shared" si="225"/>
        <v>0</v>
      </c>
      <c r="T383" s="1">
        <f t="shared" si="226"/>
        <v>0</v>
      </c>
      <c r="U383" s="1">
        <f t="shared" si="227"/>
        <v>0</v>
      </c>
      <c r="V383" s="1">
        <f t="shared" si="228"/>
        <v>0</v>
      </c>
      <c r="W383" s="1">
        <f t="shared" si="229"/>
        <v>0</v>
      </c>
      <c r="X383" s="1">
        <f t="shared" si="230"/>
        <v>0</v>
      </c>
      <c r="Y383" s="1">
        <f t="shared" si="231"/>
        <v>0</v>
      </c>
      <c r="Z383" s="1">
        <f t="shared" si="232"/>
        <v>0</v>
      </c>
      <c r="AA383" s="1">
        <f t="shared" si="233"/>
        <v>0</v>
      </c>
      <c r="AB383" s="1">
        <f t="shared" si="234"/>
        <v>0</v>
      </c>
      <c r="AD383" s="1">
        <f t="shared" si="235"/>
        <v>1</v>
      </c>
      <c r="AE383" s="1">
        <f t="shared" si="236"/>
        <v>0</v>
      </c>
      <c r="AF383" s="1">
        <f t="shared" si="221"/>
        <v>1</v>
      </c>
      <c r="AG383" s="1">
        <f t="shared" si="222"/>
        <v>0</v>
      </c>
      <c r="AH383" s="1">
        <f t="shared" si="223"/>
        <v>1</v>
      </c>
      <c r="AI383" s="1">
        <f t="shared" si="224"/>
        <v>0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1603</v>
      </c>
      <c r="E384" s="45" t="s">
        <v>159</v>
      </c>
      <c r="F384" s="45" t="s">
        <v>1675</v>
      </c>
      <c r="G384" s="45" t="s">
        <v>1468</v>
      </c>
      <c r="H384" s="45" t="s">
        <v>354</v>
      </c>
      <c r="I384" s="44" t="s">
        <v>1469</v>
      </c>
      <c r="J384" s="44">
        <v>99</v>
      </c>
      <c r="K384" s="46" t="s">
        <v>713</v>
      </c>
      <c r="L384" s="46" t="s">
        <v>696</v>
      </c>
      <c r="M384" s="47" t="s">
        <v>1470</v>
      </c>
      <c r="N384" s="47" t="s">
        <v>1747</v>
      </c>
      <c r="O384" s="48"/>
      <c r="P384" s="48"/>
      <c r="Q384" s="45"/>
      <c r="S384" s="1">
        <f t="shared" si="225"/>
        <v>0</v>
      </c>
      <c r="T384" s="1">
        <f t="shared" si="226"/>
        <v>0</v>
      </c>
      <c r="U384" s="1">
        <f t="shared" si="227"/>
        <v>0</v>
      </c>
      <c r="V384" s="1">
        <f t="shared" si="228"/>
        <v>0</v>
      </c>
      <c r="W384" s="1">
        <f t="shared" si="229"/>
        <v>0</v>
      </c>
      <c r="X384" s="1">
        <f t="shared" si="230"/>
        <v>0</v>
      </c>
      <c r="Y384" s="1">
        <f t="shared" si="231"/>
        <v>0</v>
      </c>
      <c r="Z384" s="1">
        <f t="shared" si="232"/>
        <v>0</v>
      </c>
      <c r="AA384" s="1">
        <f t="shared" si="233"/>
        <v>0</v>
      </c>
      <c r="AB384" s="1">
        <f t="shared" si="234"/>
        <v>0</v>
      </c>
      <c r="AD384" s="1">
        <f t="shared" si="235"/>
        <v>0</v>
      </c>
      <c r="AE384" s="1">
        <f t="shared" si="236"/>
        <v>0</v>
      </c>
      <c r="AF384" s="1">
        <f t="shared" ref="AF384:AF387" si="261">+O384*P384*(1-A384)</f>
        <v>0</v>
      </c>
      <c r="AG384" s="1">
        <f t="shared" ref="AG384:AG387" si="262">O384*(1-P384)*(1-A384)</f>
        <v>0</v>
      </c>
      <c r="AH384" s="1">
        <f t="shared" ref="AH384:AH387" si="263">+P384*(1-A384)</f>
        <v>0</v>
      </c>
      <c r="AI384" s="1">
        <f t="shared" ref="AI384:AI387" si="264">+(1-A384)*(1-P384)</f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2046</v>
      </c>
      <c r="E385" s="32" t="s">
        <v>2047</v>
      </c>
      <c r="F385" s="32" t="s">
        <v>2048</v>
      </c>
      <c r="G385" s="32" t="s">
        <v>2051</v>
      </c>
      <c r="H385" s="32" t="s">
        <v>354</v>
      </c>
      <c r="I385" s="31" t="s">
        <v>2049</v>
      </c>
      <c r="J385" s="31"/>
      <c r="K385" s="33" t="s">
        <v>1822</v>
      </c>
      <c r="L385" s="33"/>
      <c r="M385" s="34"/>
      <c r="N385" s="34" t="s">
        <v>1727</v>
      </c>
      <c r="O385" s="35">
        <v>1</v>
      </c>
      <c r="P385" s="35">
        <v>1</v>
      </c>
      <c r="Q385" s="32" t="s">
        <v>2050</v>
      </c>
      <c r="S385" s="1">
        <f t="shared" si="225"/>
        <v>0</v>
      </c>
      <c r="T385" s="1">
        <f t="shared" si="226"/>
        <v>0</v>
      </c>
      <c r="U385" s="1">
        <f t="shared" si="227"/>
        <v>0</v>
      </c>
      <c r="V385" s="1">
        <f t="shared" si="228"/>
        <v>0</v>
      </c>
      <c r="W385" s="1">
        <f t="shared" si="229"/>
        <v>0</v>
      </c>
      <c r="X385" s="1">
        <f t="shared" si="230"/>
        <v>0</v>
      </c>
      <c r="Y385" s="1">
        <f t="shared" si="231"/>
        <v>0</v>
      </c>
      <c r="Z385" s="1">
        <f t="shared" si="232"/>
        <v>0</v>
      </c>
      <c r="AA385" s="1">
        <f t="shared" si="233"/>
        <v>0</v>
      </c>
      <c r="AB385" s="1">
        <f t="shared" si="234"/>
        <v>0</v>
      </c>
      <c r="AD385" s="1">
        <f t="shared" si="235"/>
        <v>1</v>
      </c>
      <c r="AE385" s="1">
        <f t="shared" si="236"/>
        <v>0</v>
      </c>
      <c r="AF385" s="1">
        <f t="shared" si="261"/>
        <v>1</v>
      </c>
      <c r="AG385" s="1">
        <f t="shared" si="262"/>
        <v>0</v>
      </c>
      <c r="AH385" s="1">
        <f t="shared" si="263"/>
        <v>1</v>
      </c>
      <c r="AI385" s="1">
        <f t="shared" si="26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1778</v>
      </c>
      <c r="E386" s="32" t="s">
        <v>155</v>
      </c>
      <c r="F386" s="32" t="s">
        <v>1779</v>
      </c>
      <c r="G386" s="32" t="s">
        <v>656</v>
      </c>
      <c r="H386" s="32" t="s">
        <v>354</v>
      </c>
      <c r="I386" s="31" t="s">
        <v>1780</v>
      </c>
      <c r="J386" s="31"/>
      <c r="K386" s="33" t="s">
        <v>703</v>
      </c>
      <c r="L386" s="33">
        <v>40</v>
      </c>
      <c r="M386" s="34" t="s">
        <v>1781</v>
      </c>
      <c r="N386" s="34" t="s">
        <v>1743</v>
      </c>
      <c r="O386" s="35">
        <v>1</v>
      </c>
      <c r="P386" s="35"/>
      <c r="Q386" s="32"/>
      <c r="S386" s="1">
        <f t="shared" si="225"/>
        <v>0</v>
      </c>
      <c r="T386" s="1">
        <f t="shared" si="226"/>
        <v>0</v>
      </c>
      <c r="U386" s="1">
        <f t="shared" si="227"/>
        <v>0</v>
      </c>
      <c r="V386" s="1">
        <f t="shared" si="228"/>
        <v>0</v>
      </c>
      <c r="W386" s="1">
        <f t="shared" si="229"/>
        <v>0</v>
      </c>
      <c r="X386" s="1">
        <f t="shared" si="230"/>
        <v>0</v>
      </c>
      <c r="Y386" s="1">
        <f t="shared" si="231"/>
        <v>0</v>
      </c>
      <c r="Z386" s="1">
        <f t="shared" si="232"/>
        <v>0</v>
      </c>
      <c r="AA386" s="1">
        <f t="shared" si="233"/>
        <v>0</v>
      </c>
      <c r="AB386" s="1">
        <f t="shared" si="234"/>
        <v>0</v>
      </c>
      <c r="AD386" s="1">
        <f t="shared" si="235"/>
        <v>0</v>
      </c>
      <c r="AE386" s="1">
        <f t="shared" si="236"/>
        <v>1</v>
      </c>
      <c r="AF386" s="1">
        <f t="shared" si="261"/>
        <v>0</v>
      </c>
      <c r="AG386" s="1">
        <f t="shared" si="262"/>
        <v>1</v>
      </c>
      <c r="AH386" s="1">
        <f t="shared" si="263"/>
        <v>0</v>
      </c>
      <c r="AI386" s="1">
        <f t="shared" si="264"/>
        <v>1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837</v>
      </c>
      <c r="E387" s="45" t="s">
        <v>831</v>
      </c>
      <c r="F387" s="45" t="s">
        <v>941</v>
      </c>
      <c r="G387" s="45" t="s">
        <v>180</v>
      </c>
      <c r="H387" s="45" t="s">
        <v>354</v>
      </c>
      <c r="I387" s="44" t="s">
        <v>1109</v>
      </c>
      <c r="J387" s="44">
        <v>10</v>
      </c>
      <c r="K387" s="46" t="s">
        <v>712</v>
      </c>
      <c r="L387" s="46" t="s">
        <v>693</v>
      </c>
      <c r="M387" s="47" t="s">
        <v>1429</v>
      </c>
      <c r="N387" s="47" t="s">
        <v>1741</v>
      </c>
      <c r="O387" s="48"/>
      <c r="P387" s="48"/>
      <c r="Q387" s="45"/>
      <c r="S387" s="1">
        <f t="shared" ref="S387" si="265">IF(J387=$S$7,1,0)</f>
        <v>0</v>
      </c>
      <c r="T387" s="1">
        <f t="shared" ref="T387" si="266">IF(J387=$T$7,1,0)</f>
        <v>0</v>
      </c>
      <c r="U387" s="1">
        <f t="shared" ref="U387" si="267">IF(J387=$U$7,1,0)</f>
        <v>0</v>
      </c>
      <c r="V387" s="1">
        <f t="shared" ref="V387" si="268">IF(J387=$V$7,1,0)</f>
        <v>0</v>
      </c>
      <c r="W387" s="1">
        <f t="shared" ref="W387" si="269">IF(J387=$W$7,1,0)</f>
        <v>0</v>
      </c>
      <c r="X387" s="1">
        <f t="shared" ref="X387" si="270">IF(J387=$X$7,1,0)</f>
        <v>0</v>
      </c>
      <c r="Y387" s="1">
        <f t="shared" ref="Y387" si="271">IF(J387=$Y$7,1,0)</f>
        <v>0</v>
      </c>
      <c r="Z387" s="1">
        <f t="shared" ref="Z387" si="272">IF(J387=$Z$7,1,0)</f>
        <v>0</v>
      </c>
      <c r="AA387" s="1">
        <f t="shared" ref="AA387" si="273">IF(J387=$AA$7,1,0)</f>
        <v>0</v>
      </c>
      <c r="AB387" s="1">
        <f t="shared" ref="AB387" si="274">IF(J387=$AB$7,1,0)</f>
        <v>1</v>
      </c>
      <c r="AD387" s="1">
        <f t="shared" ref="AD387" si="275">+O387*P387</f>
        <v>0</v>
      </c>
      <c r="AE387" s="1">
        <f t="shared" ref="AE387" si="276">O387*(1-P387)</f>
        <v>0</v>
      </c>
      <c r="AF387" s="1">
        <f t="shared" si="261"/>
        <v>0</v>
      </c>
      <c r="AG387" s="1">
        <f t="shared" si="262"/>
        <v>0</v>
      </c>
      <c r="AH387" s="1">
        <f t="shared" si="263"/>
        <v>0</v>
      </c>
      <c r="AI387" s="1">
        <f t="shared" si="264"/>
        <v>1</v>
      </c>
    </row>
    <row r="388" spans="1:35" ht="14.25" customHeight="1" x14ac:dyDescent="0.25">
      <c r="A388" s="57">
        <v>0</v>
      </c>
      <c r="B388" s="57">
        <v>2</v>
      </c>
      <c r="C388" s="57">
        <v>6</v>
      </c>
      <c r="D388" s="58" t="s">
        <v>1543</v>
      </c>
      <c r="E388" s="58" t="s">
        <v>27</v>
      </c>
      <c r="F388" s="58" t="s">
        <v>1545</v>
      </c>
      <c r="G388" s="58" t="s">
        <v>1534</v>
      </c>
      <c r="H388" s="58" t="s">
        <v>354</v>
      </c>
      <c r="I388" s="57" t="s">
        <v>1544</v>
      </c>
      <c r="J388" s="57">
        <v>5</v>
      </c>
      <c r="K388" s="59" t="s">
        <v>955</v>
      </c>
      <c r="L388" s="59" t="s">
        <v>39</v>
      </c>
      <c r="M388" s="60" t="s">
        <v>39</v>
      </c>
      <c r="N388" s="61"/>
      <c r="O388" s="62"/>
      <c r="P388" s="62"/>
      <c r="Q388" s="66" t="s">
        <v>1900</v>
      </c>
      <c r="S388" s="1">
        <f t="shared" si="225"/>
        <v>0</v>
      </c>
      <c r="T388" s="1">
        <f t="shared" si="226"/>
        <v>0</v>
      </c>
      <c r="U388" s="1">
        <f t="shared" si="227"/>
        <v>0</v>
      </c>
      <c r="V388" s="1">
        <f t="shared" si="228"/>
        <v>0</v>
      </c>
      <c r="W388" s="1">
        <f t="shared" si="229"/>
        <v>1</v>
      </c>
      <c r="X388" s="1">
        <f t="shared" si="230"/>
        <v>0</v>
      </c>
      <c r="Y388" s="1">
        <f t="shared" si="231"/>
        <v>0</v>
      </c>
      <c r="Z388" s="1">
        <f t="shared" si="232"/>
        <v>0</v>
      </c>
      <c r="AA388" s="1">
        <f t="shared" si="233"/>
        <v>0</v>
      </c>
      <c r="AB388" s="1">
        <f t="shared" si="234"/>
        <v>0</v>
      </c>
      <c r="AD388" s="1">
        <f t="shared" si="235"/>
        <v>0</v>
      </c>
      <c r="AE388" s="1">
        <f t="shared" si="236"/>
        <v>0</v>
      </c>
      <c r="AF388" s="1">
        <f t="shared" si="221"/>
        <v>0</v>
      </c>
      <c r="AG388" s="1">
        <f t="shared" si="222"/>
        <v>0</v>
      </c>
      <c r="AH388" s="1">
        <f t="shared" si="223"/>
        <v>0</v>
      </c>
      <c r="AI388" s="1">
        <f t="shared" si="224"/>
        <v>1</v>
      </c>
    </row>
    <row r="389" spans="1:35" ht="14.25" customHeight="1" x14ac:dyDescent="0.25">
      <c r="A389" s="44">
        <v>0</v>
      </c>
      <c r="B389" s="44">
        <v>2</v>
      </c>
      <c r="C389" s="44">
        <v>6</v>
      </c>
      <c r="D389" s="45" t="s">
        <v>519</v>
      </c>
      <c r="E389" s="45" t="s">
        <v>31</v>
      </c>
      <c r="F389" s="45" t="s">
        <v>672</v>
      </c>
      <c r="G389" s="45" t="s">
        <v>200</v>
      </c>
      <c r="H389" s="45" t="s">
        <v>354</v>
      </c>
      <c r="I389" s="44" t="s">
        <v>520</v>
      </c>
      <c r="J389" s="44">
        <v>2</v>
      </c>
      <c r="K389" s="46" t="s">
        <v>954</v>
      </c>
      <c r="L389" s="46" t="s">
        <v>694</v>
      </c>
      <c r="M389" s="47" t="s">
        <v>1430</v>
      </c>
      <c r="N389" s="47" t="s">
        <v>1735</v>
      </c>
      <c r="O389" s="48"/>
      <c r="P389" s="48"/>
      <c r="Q389" s="45"/>
      <c r="S389" s="1">
        <f t="shared" si="225"/>
        <v>0</v>
      </c>
      <c r="T389" s="1">
        <f t="shared" si="226"/>
        <v>1</v>
      </c>
      <c r="U389" s="1">
        <f t="shared" si="227"/>
        <v>0</v>
      </c>
      <c r="V389" s="1">
        <f t="shared" si="228"/>
        <v>0</v>
      </c>
      <c r="W389" s="1">
        <f t="shared" si="229"/>
        <v>0</v>
      </c>
      <c r="X389" s="1">
        <f t="shared" si="230"/>
        <v>0</v>
      </c>
      <c r="Y389" s="1">
        <f t="shared" si="231"/>
        <v>0</v>
      </c>
      <c r="Z389" s="1">
        <f t="shared" si="232"/>
        <v>0</v>
      </c>
      <c r="AA389" s="1">
        <f t="shared" si="233"/>
        <v>0</v>
      </c>
      <c r="AB389" s="1">
        <f t="shared" si="234"/>
        <v>0</v>
      </c>
      <c r="AD389" s="1">
        <f t="shared" si="235"/>
        <v>0</v>
      </c>
      <c r="AE389" s="1">
        <f t="shared" si="236"/>
        <v>0</v>
      </c>
      <c r="AF389" s="1">
        <f t="shared" si="221"/>
        <v>0</v>
      </c>
      <c r="AG389" s="1">
        <f t="shared" si="222"/>
        <v>0</v>
      </c>
      <c r="AH389" s="1">
        <f t="shared" si="223"/>
        <v>0</v>
      </c>
      <c r="AI389" s="1">
        <f t="shared" si="224"/>
        <v>1</v>
      </c>
    </row>
    <row r="390" spans="1:35" ht="14.25" customHeight="1" x14ac:dyDescent="0.25">
      <c r="A390" s="31">
        <v>0</v>
      </c>
      <c r="B390" s="31">
        <v>2</v>
      </c>
      <c r="C390" s="31">
        <v>6</v>
      </c>
      <c r="D390" s="32" t="s">
        <v>53</v>
      </c>
      <c r="E390" s="32" t="s">
        <v>31</v>
      </c>
      <c r="F390" s="32" t="s">
        <v>210</v>
      </c>
      <c r="G390" s="32" t="s">
        <v>211</v>
      </c>
      <c r="H390" s="32" t="s">
        <v>354</v>
      </c>
      <c r="I390" s="31" t="s">
        <v>392</v>
      </c>
      <c r="J390" s="31">
        <v>1</v>
      </c>
      <c r="K390" s="33" t="s">
        <v>712</v>
      </c>
      <c r="L390" s="33" t="s">
        <v>704</v>
      </c>
      <c r="M390" s="34" t="s">
        <v>728</v>
      </c>
      <c r="N390" s="34" t="s">
        <v>1743</v>
      </c>
      <c r="O390" s="35">
        <v>1</v>
      </c>
      <c r="P390" s="35"/>
      <c r="Q390" s="32"/>
      <c r="S390" s="1">
        <f t="shared" si="225"/>
        <v>1</v>
      </c>
      <c r="T390" s="1">
        <f t="shared" si="226"/>
        <v>0</v>
      </c>
      <c r="U390" s="1">
        <f t="shared" si="227"/>
        <v>0</v>
      </c>
      <c r="V390" s="1">
        <f t="shared" si="228"/>
        <v>0</v>
      </c>
      <c r="W390" s="1">
        <f t="shared" si="229"/>
        <v>0</v>
      </c>
      <c r="X390" s="1">
        <f t="shared" si="230"/>
        <v>0</v>
      </c>
      <c r="Y390" s="1">
        <f t="shared" si="231"/>
        <v>0</v>
      </c>
      <c r="Z390" s="1">
        <f t="shared" si="232"/>
        <v>0</v>
      </c>
      <c r="AA390" s="1">
        <f t="shared" si="233"/>
        <v>0</v>
      </c>
      <c r="AB390" s="1">
        <f t="shared" si="234"/>
        <v>0</v>
      </c>
      <c r="AD390" s="1">
        <f t="shared" si="235"/>
        <v>0</v>
      </c>
      <c r="AE390" s="1">
        <f t="shared" si="236"/>
        <v>1</v>
      </c>
      <c r="AF390" s="1">
        <f t="shared" si="221"/>
        <v>0</v>
      </c>
      <c r="AG390" s="1">
        <f t="shared" si="222"/>
        <v>1</v>
      </c>
      <c r="AH390" s="1">
        <f t="shared" si="223"/>
        <v>0</v>
      </c>
      <c r="AI390" s="1">
        <f t="shared" si="224"/>
        <v>1</v>
      </c>
    </row>
    <row r="391" spans="1:35" ht="14.25" customHeight="1" x14ac:dyDescent="0.25">
      <c r="A391" s="31">
        <v>0</v>
      </c>
      <c r="B391" s="31">
        <v>2</v>
      </c>
      <c r="C391" s="31">
        <v>6</v>
      </c>
      <c r="D391" s="32" t="s">
        <v>1862</v>
      </c>
      <c r="E391" s="32" t="s">
        <v>1863</v>
      </c>
      <c r="F391" s="32" t="s">
        <v>1864</v>
      </c>
      <c r="G391" s="32"/>
      <c r="H391" s="32" t="s">
        <v>354</v>
      </c>
      <c r="I391" s="31" t="s">
        <v>1865</v>
      </c>
      <c r="J391" s="31">
        <v>99</v>
      </c>
      <c r="K391" s="33" t="s">
        <v>703</v>
      </c>
      <c r="L391" s="33">
        <v>25</v>
      </c>
      <c r="M391" s="34" t="s">
        <v>1866</v>
      </c>
      <c r="N391" s="34" t="s">
        <v>1743</v>
      </c>
      <c r="O391" s="35">
        <v>1</v>
      </c>
      <c r="P391" s="35"/>
      <c r="Q391" s="32" t="s">
        <v>2052</v>
      </c>
      <c r="S391" s="1">
        <f t="shared" si="225"/>
        <v>0</v>
      </c>
      <c r="T391" s="1">
        <f t="shared" si="226"/>
        <v>0</v>
      </c>
      <c r="U391" s="1">
        <f t="shared" si="227"/>
        <v>0</v>
      </c>
      <c r="V391" s="1">
        <f t="shared" si="228"/>
        <v>0</v>
      </c>
      <c r="W391" s="1">
        <f t="shared" si="229"/>
        <v>0</v>
      </c>
      <c r="X391" s="1">
        <f t="shared" si="230"/>
        <v>0</v>
      </c>
      <c r="Y391" s="1">
        <f t="shared" si="231"/>
        <v>0</v>
      </c>
      <c r="Z391" s="1">
        <f t="shared" si="232"/>
        <v>0</v>
      </c>
      <c r="AA391" s="1">
        <f t="shared" si="233"/>
        <v>0</v>
      </c>
      <c r="AB391" s="1">
        <f t="shared" si="234"/>
        <v>0</v>
      </c>
      <c r="AD391" s="1">
        <f t="shared" si="235"/>
        <v>0</v>
      </c>
      <c r="AE391" s="1">
        <f t="shared" si="236"/>
        <v>1</v>
      </c>
      <c r="AF391" s="1">
        <f t="shared" si="221"/>
        <v>0</v>
      </c>
      <c r="AG391" s="1">
        <f t="shared" si="222"/>
        <v>1</v>
      </c>
      <c r="AH391" s="1">
        <f t="shared" si="223"/>
        <v>0</v>
      </c>
      <c r="AI391" s="1">
        <f t="shared" si="224"/>
        <v>1</v>
      </c>
    </row>
    <row r="392" spans="1:35" ht="14.25" customHeight="1" x14ac:dyDescent="0.25">
      <c r="A392" s="15">
        <v>0</v>
      </c>
      <c r="B392" s="15">
        <v>2</v>
      </c>
      <c r="C392" s="15">
        <v>6</v>
      </c>
      <c r="D392" s="16" t="s">
        <v>80</v>
      </c>
      <c r="E392" s="16" t="s">
        <v>31</v>
      </c>
      <c r="F392" s="16" t="s">
        <v>270</v>
      </c>
      <c r="G392" s="16" t="s">
        <v>224</v>
      </c>
      <c r="H392" s="16" t="s">
        <v>354</v>
      </c>
      <c r="I392" s="15" t="s">
        <v>678</v>
      </c>
      <c r="J392" s="15">
        <v>99</v>
      </c>
      <c r="K392" s="10" t="s">
        <v>955</v>
      </c>
      <c r="L392" s="10" t="s">
        <v>694</v>
      </c>
      <c r="M392" s="19" t="s">
        <v>1431</v>
      </c>
      <c r="N392" s="19"/>
      <c r="Q392" s="16"/>
      <c r="S392" s="1">
        <f t="shared" si="225"/>
        <v>0</v>
      </c>
      <c r="T392" s="1">
        <f t="shared" si="226"/>
        <v>0</v>
      </c>
      <c r="U392" s="1">
        <f t="shared" si="227"/>
        <v>0</v>
      </c>
      <c r="V392" s="1">
        <f t="shared" si="228"/>
        <v>0</v>
      </c>
      <c r="W392" s="1">
        <f t="shared" si="229"/>
        <v>0</v>
      </c>
      <c r="X392" s="1">
        <f t="shared" si="230"/>
        <v>0</v>
      </c>
      <c r="Y392" s="1">
        <f t="shared" si="231"/>
        <v>0</v>
      </c>
      <c r="Z392" s="1">
        <f t="shared" si="232"/>
        <v>0</v>
      </c>
      <c r="AA392" s="1">
        <f t="shared" si="233"/>
        <v>0</v>
      </c>
      <c r="AB392" s="1">
        <f t="shared" si="234"/>
        <v>0</v>
      </c>
      <c r="AD392" s="1">
        <f t="shared" si="235"/>
        <v>0</v>
      </c>
      <c r="AE392" s="1">
        <f t="shared" si="236"/>
        <v>0</v>
      </c>
      <c r="AF392" s="1">
        <f t="shared" si="221"/>
        <v>0</v>
      </c>
      <c r="AG392" s="1">
        <f t="shared" si="222"/>
        <v>0</v>
      </c>
      <c r="AH392" s="1">
        <f t="shared" si="223"/>
        <v>0</v>
      </c>
      <c r="AI392" s="1">
        <f t="shared" si="224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639</v>
      </c>
      <c r="E393" s="45" t="s">
        <v>31</v>
      </c>
      <c r="F393" s="45" t="s">
        <v>640</v>
      </c>
      <c r="G393" s="45" t="s">
        <v>240</v>
      </c>
      <c r="H393" s="45" t="s">
        <v>354</v>
      </c>
      <c r="I393" s="44" t="s">
        <v>641</v>
      </c>
      <c r="J393" s="44">
        <v>1</v>
      </c>
      <c r="K393" s="46" t="s">
        <v>713</v>
      </c>
      <c r="L393" s="46" t="s">
        <v>694</v>
      </c>
      <c r="M393" s="47" t="s">
        <v>1432</v>
      </c>
      <c r="N393" s="47" t="s">
        <v>1735</v>
      </c>
      <c r="O393" s="48"/>
      <c r="P393" s="48"/>
      <c r="Q393" s="45"/>
      <c r="S393" s="1">
        <f t="shared" si="225"/>
        <v>1</v>
      </c>
      <c r="T393" s="1">
        <f t="shared" si="226"/>
        <v>0</v>
      </c>
      <c r="U393" s="1">
        <f t="shared" si="227"/>
        <v>0</v>
      </c>
      <c r="V393" s="1">
        <f t="shared" si="228"/>
        <v>0</v>
      </c>
      <c r="W393" s="1">
        <f t="shared" si="229"/>
        <v>0</v>
      </c>
      <c r="X393" s="1">
        <f t="shared" si="230"/>
        <v>0</v>
      </c>
      <c r="Y393" s="1">
        <f t="shared" si="231"/>
        <v>0</v>
      </c>
      <c r="Z393" s="1">
        <f t="shared" si="232"/>
        <v>0</v>
      </c>
      <c r="AA393" s="1">
        <f t="shared" si="233"/>
        <v>0</v>
      </c>
      <c r="AB393" s="1">
        <f t="shared" si="234"/>
        <v>0</v>
      </c>
      <c r="AD393" s="1">
        <f t="shared" si="235"/>
        <v>0</v>
      </c>
      <c r="AE393" s="1">
        <f t="shared" si="236"/>
        <v>0</v>
      </c>
      <c r="AF393" s="1">
        <f t="shared" si="221"/>
        <v>0</v>
      </c>
      <c r="AG393" s="1">
        <f t="shared" si="222"/>
        <v>0</v>
      </c>
      <c r="AH393" s="1">
        <f t="shared" si="223"/>
        <v>0</v>
      </c>
      <c r="AI393" s="1">
        <f t="shared" si="224"/>
        <v>1</v>
      </c>
    </row>
    <row r="394" spans="1:35" ht="14.25" customHeight="1" x14ac:dyDescent="0.25">
      <c r="A394" s="44">
        <v>0</v>
      </c>
      <c r="B394" s="44">
        <v>2</v>
      </c>
      <c r="C394" s="44">
        <v>6</v>
      </c>
      <c r="D394" s="45" t="s">
        <v>1135</v>
      </c>
      <c r="E394" s="45" t="s">
        <v>31</v>
      </c>
      <c r="F394" s="45" t="s">
        <v>672</v>
      </c>
      <c r="G394" s="45" t="s">
        <v>200</v>
      </c>
      <c r="H394" s="45" t="s">
        <v>354</v>
      </c>
      <c r="I394" s="44" t="s">
        <v>520</v>
      </c>
      <c r="J394" s="44">
        <v>2</v>
      </c>
      <c r="K394" s="46" t="s">
        <v>712</v>
      </c>
      <c r="L394" s="46" t="s">
        <v>694</v>
      </c>
      <c r="M394" s="47" t="s">
        <v>728</v>
      </c>
      <c r="N394" s="47" t="s">
        <v>1735</v>
      </c>
      <c r="O394" s="48"/>
      <c r="P394" s="48"/>
      <c r="Q394" s="45"/>
      <c r="S394" s="1">
        <f t="shared" si="225"/>
        <v>0</v>
      </c>
      <c r="T394" s="1">
        <f t="shared" si="226"/>
        <v>1</v>
      </c>
      <c r="U394" s="1">
        <f t="shared" si="227"/>
        <v>0</v>
      </c>
      <c r="V394" s="1">
        <f t="shared" si="228"/>
        <v>0</v>
      </c>
      <c r="W394" s="1">
        <f t="shared" si="229"/>
        <v>0</v>
      </c>
      <c r="X394" s="1">
        <f t="shared" si="230"/>
        <v>0</v>
      </c>
      <c r="Y394" s="1">
        <f t="shared" si="231"/>
        <v>0</v>
      </c>
      <c r="Z394" s="1">
        <f t="shared" si="232"/>
        <v>0</v>
      </c>
      <c r="AA394" s="1">
        <f t="shared" si="233"/>
        <v>0</v>
      </c>
      <c r="AB394" s="1">
        <f t="shared" si="234"/>
        <v>0</v>
      </c>
      <c r="AD394" s="1">
        <f t="shared" si="235"/>
        <v>0</v>
      </c>
      <c r="AE394" s="1">
        <f t="shared" si="236"/>
        <v>0</v>
      </c>
      <c r="AF394" s="1">
        <f t="shared" si="221"/>
        <v>0</v>
      </c>
      <c r="AG394" s="1">
        <f t="shared" si="222"/>
        <v>0</v>
      </c>
      <c r="AH394" s="1">
        <f t="shared" si="223"/>
        <v>0</v>
      </c>
      <c r="AI394" s="1">
        <f t="shared" si="224"/>
        <v>1</v>
      </c>
    </row>
    <row r="395" spans="1:35" ht="14.25" customHeight="1" x14ac:dyDescent="0.25">
      <c r="A395" s="44">
        <v>0</v>
      </c>
      <c r="B395" s="44">
        <v>2</v>
      </c>
      <c r="C395" s="44">
        <v>6</v>
      </c>
      <c r="D395" s="45" t="s">
        <v>1083</v>
      </c>
      <c r="E395" s="45" t="s">
        <v>159</v>
      </c>
      <c r="F395" s="45" t="s">
        <v>198</v>
      </c>
      <c r="G395" s="45" t="s">
        <v>199</v>
      </c>
      <c r="H395" s="45" t="s">
        <v>354</v>
      </c>
      <c r="I395" s="44" t="s">
        <v>388</v>
      </c>
      <c r="J395" s="44">
        <v>99</v>
      </c>
      <c r="K395" s="46" t="s">
        <v>712</v>
      </c>
      <c r="L395" s="46" t="s">
        <v>716</v>
      </c>
      <c r="M395" s="47" t="s">
        <v>730</v>
      </c>
      <c r="N395" s="47" t="s">
        <v>1734</v>
      </c>
      <c r="O395" s="48"/>
      <c r="P395" s="48"/>
      <c r="Q395" s="45"/>
      <c r="S395" s="1">
        <f t="shared" si="225"/>
        <v>0</v>
      </c>
      <c r="T395" s="1">
        <f t="shared" si="226"/>
        <v>0</v>
      </c>
      <c r="U395" s="1">
        <f t="shared" si="227"/>
        <v>0</v>
      </c>
      <c r="V395" s="1">
        <f t="shared" si="228"/>
        <v>0</v>
      </c>
      <c r="W395" s="1">
        <f t="shared" si="229"/>
        <v>0</v>
      </c>
      <c r="X395" s="1">
        <f t="shared" si="230"/>
        <v>0</v>
      </c>
      <c r="Y395" s="1">
        <f t="shared" si="231"/>
        <v>0</v>
      </c>
      <c r="Z395" s="1">
        <f t="shared" si="232"/>
        <v>0</v>
      </c>
      <c r="AA395" s="1">
        <f t="shared" si="233"/>
        <v>0</v>
      </c>
      <c r="AB395" s="1">
        <f t="shared" si="234"/>
        <v>0</v>
      </c>
      <c r="AD395" s="1">
        <f t="shared" si="235"/>
        <v>0</v>
      </c>
      <c r="AE395" s="1">
        <f t="shared" si="236"/>
        <v>0</v>
      </c>
      <c r="AF395" s="1">
        <f t="shared" si="221"/>
        <v>0</v>
      </c>
      <c r="AG395" s="1">
        <f t="shared" si="222"/>
        <v>0</v>
      </c>
      <c r="AH395" s="1">
        <f t="shared" si="223"/>
        <v>0</v>
      </c>
      <c r="AI395" s="1">
        <f t="shared" si="224"/>
        <v>1</v>
      </c>
    </row>
    <row r="396" spans="1:35" ht="14.25" customHeight="1" x14ac:dyDescent="0.25">
      <c r="A396" s="31">
        <v>0</v>
      </c>
      <c r="B396" s="31">
        <v>2</v>
      </c>
      <c r="C396" s="31">
        <v>7</v>
      </c>
      <c r="D396" s="32" t="s">
        <v>509</v>
      </c>
      <c r="E396" s="32" t="s">
        <v>156</v>
      </c>
      <c r="F396" s="32" t="s">
        <v>510</v>
      </c>
      <c r="G396" s="32" t="s">
        <v>39</v>
      </c>
      <c r="H396" s="32" t="s">
        <v>354</v>
      </c>
      <c r="I396" s="31" t="s">
        <v>942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25"/>
        <v>0</v>
      </c>
      <c r="T396" s="1">
        <f t="shared" si="226"/>
        <v>0</v>
      </c>
      <c r="U396" s="1">
        <f t="shared" si="227"/>
        <v>0</v>
      </c>
      <c r="V396" s="1">
        <f t="shared" si="228"/>
        <v>0</v>
      </c>
      <c r="W396" s="1">
        <f t="shared" si="229"/>
        <v>0</v>
      </c>
      <c r="X396" s="1">
        <f t="shared" si="230"/>
        <v>0</v>
      </c>
      <c r="Y396" s="1">
        <f t="shared" si="231"/>
        <v>1</v>
      </c>
      <c r="Z396" s="1">
        <f t="shared" si="232"/>
        <v>0</v>
      </c>
      <c r="AA396" s="1">
        <f t="shared" si="233"/>
        <v>0</v>
      </c>
      <c r="AB396" s="1">
        <f t="shared" si="234"/>
        <v>0</v>
      </c>
      <c r="AD396" s="1">
        <f t="shared" si="235"/>
        <v>1</v>
      </c>
      <c r="AE396" s="1">
        <f t="shared" si="236"/>
        <v>0</v>
      </c>
      <c r="AF396" s="1">
        <f t="shared" si="221"/>
        <v>1</v>
      </c>
      <c r="AG396" s="1">
        <f t="shared" si="222"/>
        <v>0</v>
      </c>
      <c r="AH396" s="1">
        <f t="shared" si="223"/>
        <v>1</v>
      </c>
      <c r="AI396" s="1">
        <f t="shared" si="224"/>
        <v>0</v>
      </c>
    </row>
    <row r="397" spans="1:35" ht="14.25" customHeight="1" x14ac:dyDescent="0.25">
      <c r="A397" s="31">
        <v>0</v>
      </c>
      <c r="B397" s="31">
        <v>2</v>
      </c>
      <c r="C397" s="31">
        <v>7</v>
      </c>
      <c r="D397" s="32" t="s">
        <v>70</v>
      </c>
      <c r="E397" s="32" t="s">
        <v>28</v>
      </c>
      <c r="F397" s="32" t="s">
        <v>673</v>
      </c>
      <c r="G397" s="32" t="s">
        <v>258</v>
      </c>
      <c r="H397" s="32" t="s">
        <v>354</v>
      </c>
      <c r="I397" s="31" t="s">
        <v>417</v>
      </c>
      <c r="J397" s="31">
        <v>8</v>
      </c>
      <c r="K397" s="33" t="s">
        <v>713</v>
      </c>
      <c r="L397" s="33" t="s">
        <v>713</v>
      </c>
      <c r="M397" s="34" t="s">
        <v>731</v>
      </c>
      <c r="N397" s="34" t="s">
        <v>1743</v>
      </c>
      <c r="O397" s="35">
        <v>1</v>
      </c>
      <c r="P397" s="35"/>
      <c r="Q397" s="32"/>
      <c r="S397" s="1">
        <f t="shared" si="225"/>
        <v>0</v>
      </c>
      <c r="T397" s="1">
        <f t="shared" si="226"/>
        <v>0</v>
      </c>
      <c r="U397" s="1">
        <f t="shared" si="227"/>
        <v>0</v>
      </c>
      <c r="V397" s="1">
        <f t="shared" si="228"/>
        <v>0</v>
      </c>
      <c r="W397" s="1">
        <f t="shared" si="229"/>
        <v>0</v>
      </c>
      <c r="X397" s="1">
        <f t="shared" si="230"/>
        <v>0</v>
      </c>
      <c r="Y397" s="1">
        <f t="shared" si="231"/>
        <v>0</v>
      </c>
      <c r="Z397" s="1">
        <f t="shared" si="232"/>
        <v>1</v>
      </c>
      <c r="AA397" s="1">
        <f t="shared" si="233"/>
        <v>0</v>
      </c>
      <c r="AB397" s="1">
        <f t="shared" si="234"/>
        <v>0</v>
      </c>
      <c r="AD397" s="1">
        <f t="shared" si="235"/>
        <v>0</v>
      </c>
      <c r="AE397" s="1">
        <f t="shared" si="236"/>
        <v>1</v>
      </c>
      <c r="AF397" s="1">
        <f t="shared" si="221"/>
        <v>0</v>
      </c>
      <c r="AG397" s="1">
        <f t="shared" si="222"/>
        <v>1</v>
      </c>
      <c r="AH397" s="1">
        <f t="shared" si="223"/>
        <v>0</v>
      </c>
      <c r="AI397" s="1">
        <f t="shared" si="224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654</v>
      </c>
      <c r="E398" s="32" t="s">
        <v>156</v>
      </c>
      <c r="F398" s="32" t="s">
        <v>585</v>
      </c>
      <c r="G398" s="32" t="s">
        <v>249</v>
      </c>
      <c r="H398" s="32" t="s">
        <v>354</v>
      </c>
      <c r="I398" s="31" t="s">
        <v>679</v>
      </c>
      <c r="J398" s="31">
        <v>7</v>
      </c>
      <c r="K398" s="33" t="s">
        <v>955</v>
      </c>
      <c r="L398" s="33" t="s">
        <v>39</v>
      </c>
      <c r="M398" s="34" t="s">
        <v>39</v>
      </c>
      <c r="N398" s="34" t="s">
        <v>1727</v>
      </c>
      <c r="O398" s="35">
        <v>1</v>
      </c>
      <c r="P398" s="35">
        <v>1</v>
      </c>
      <c r="Q398" s="32"/>
      <c r="S398" s="1">
        <f t="shared" si="225"/>
        <v>0</v>
      </c>
      <c r="T398" s="1">
        <f t="shared" si="226"/>
        <v>0</v>
      </c>
      <c r="U398" s="1">
        <f t="shared" si="227"/>
        <v>0</v>
      </c>
      <c r="V398" s="1">
        <f t="shared" si="228"/>
        <v>0</v>
      </c>
      <c r="W398" s="1">
        <f t="shared" si="229"/>
        <v>0</v>
      </c>
      <c r="X398" s="1">
        <f t="shared" si="230"/>
        <v>0</v>
      </c>
      <c r="Y398" s="1">
        <f t="shared" si="231"/>
        <v>1</v>
      </c>
      <c r="Z398" s="1">
        <f t="shared" si="232"/>
        <v>0</v>
      </c>
      <c r="AA398" s="1">
        <f t="shared" si="233"/>
        <v>0</v>
      </c>
      <c r="AB398" s="1">
        <f t="shared" si="234"/>
        <v>0</v>
      </c>
      <c r="AD398" s="1">
        <f t="shared" si="235"/>
        <v>1</v>
      </c>
      <c r="AE398" s="1">
        <f t="shared" si="236"/>
        <v>0</v>
      </c>
      <c r="AF398" s="1">
        <f t="shared" si="221"/>
        <v>1</v>
      </c>
      <c r="AG398" s="1">
        <f t="shared" si="222"/>
        <v>0</v>
      </c>
      <c r="AH398" s="1">
        <f t="shared" si="223"/>
        <v>1</v>
      </c>
      <c r="AI398" s="1">
        <f t="shared" si="224"/>
        <v>0</v>
      </c>
    </row>
    <row r="399" spans="1:35" ht="14.25" customHeight="1" x14ac:dyDescent="0.25">
      <c r="A399" s="44">
        <v>0</v>
      </c>
      <c r="B399" s="44">
        <v>2</v>
      </c>
      <c r="C399" s="44">
        <v>7</v>
      </c>
      <c r="D399" s="45" t="s">
        <v>1634</v>
      </c>
      <c r="E399" s="45" t="s">
        <v>156</v>
      </c>
      <c r="F399" s="45" t="s">
        <v>1657</v>
      </c>
      <c r="G399" s="45" t="s">
        <v>213</v>
      </c>
      <c r="H399" s="45" t="s">
        <v>354</v>
      </c>
      <c r="I399" s="44" t="s">
        <v>594</v>
      </c>
      <c r="J399" s="44">
        <v>1</v>
      </c>
      <c r="K399" s="46" t="s">
        <v>712</v>
      </c>
      <c r="L399" s="46" t="s">
        <v>722</v>
      </c>
      <c r="M399" s="47" t="s">
        <v>1433</v>
      </c>
      <c r="N399" s="47" t="s">
        <v>1735</v>
      </c>
      <c r="O399" s="48"/>
      <c r="P399" s="48"/>
      <c r="Q399" s="45"/>
      <c r="S399" s="1">
        <f t="shared" si="225"/>
        <v>1</v>
      </c>
      <c r="T399" s="1">
        <f t="shared" si="226"/>
        <v>0</v>
      </c>
      <c r="U399" s="1">
        <f t="shared" si="227"/>
        <v>0</v>
      </c>
      <c r="V399" s="1">
        <f t="shared" si="228"/>
        <v>0</v>
      </c>
      <c r="W399" s="1">
        <f t="shared" si="229"/>
        <v>0</v>
      </c>
      <c r="X399" s="1">
        <f t="shared" si="230"/>
        <v>0</v>
      </c>
      <c r="Y399" s="1">
        <f t="shared" si="231"/>
        <v>0</v>
      </c>
      <c r="Z399" s="1">
        <f t="shared" si="232"/>
        <v>0</v>
      </c>
      <c r="AA399" s="1">
        <f t="shared" si="233"/>
        <v>0</v>
      </c>
      <c r="AB399" s="1">
        <f t="shared" si="234"/>
        <v>0</v>
      </c>
      <c r="AD399" s="1">
        <f t="shared" si="235"/>
        <v>0</v>
      </c>
      <c r="AE399" s="1">
        <f t="shared" si="236"/>
        <v>0</v>
      </c>
      <c r="AF399" s="1">
        <f t="shared" si="221"/>
        <v>0</v>
      </c>
      <c r="AG399" s="1">
        <f t="shared" si="222"/>
        <v>0</v>
      </c>
      <c r="AH399" s="1">
        <f t="shared" si="223"/>
        <v>0</v>
      </c>
      <c r="AI399" s="1">
        <f t="shared" si="224"/>
        <v>1</v>
      </c>
    </row>
    <row r="400" spans="1:35" ht="14.25" customHeight="1" x14ac:dyDescent="0.25">
      <c r="A400" s="44">
        <v>0</v>
      </c>
      <c r="B400" s="44">
        <v>2</v>
      </c>
      <c r="C400" s="44">
        <v>7</v>
      </c>
      <c r="D400" s="45" t="s">
        <v>1070</v>
      </c>
      <c r="E400" s="45" t="s">
        <v>1046</v>
      </c>
      <c r="F400" s="45" t="s">
        <v>1071</v>
      </c>
      <c r="G400" s="45" t="s">
        <v>213</v>
      </c>
      <c r="H400" s="45" t="s">
        <v>354</v>
      </c>
      <c r="I400" s="44" t="s">
        <v>1072</v>
      </c>
      <c r="J400" s="44">
        <v>1</v>
      </c>
      <c r="K400" s="46" t="s">
        <v>955</v>
      </c>
      <c r="L400" s="46" t="s">
        <v>722</v>
      </c>
      <c r="M400" s="47" t="s">
        <v>1434</v>
      </c>
      <c r="N400" s="47" t="s">
        <v>1735</v>
      </c>
      <c r="O400" s="48"/>
      <c r="P400" s="48"/>
      <c r="Q400" s="45" t="s">
        <v>1918</v>
      </c>
      <c r="S400" s="1">
        <f t="shared" si="225"/>
        <v>1</v>
      </c>
      <c r="T400" s="1">
        <f t="shared" si="226"/>
        <v>0</v>
      </c>
      <c r="U400" s="1">
        <f t="shared" si="227"/>
        <v>0</v>
      </c>
      <c r="V400" s="1">
        <f t="shared" si="228"/>
        <v>0</v>
      </c>
      <c r="W400" s="1">
        <f t="shared" si="229"/>
        <v>0</v>
      </c>
      <c r="X400" s="1">
        <f t="shared" si="230"/>
        <v>0</v>
      </c>
      <c r="Y400" s="1">
        <f t="shared" si="231"/>
        <v>0</v>
      </c>
      <c r="Z400" s="1">
        <f t="shared" si="232"/>
        <v>0</v>
      </c>
      <c r="AA400" s="1">
        <f t="shared" si="233"/>
        <v>0</v>
      </c>
      <c r="AB400" s="1">
        <f t="shared" si="234"/>
        <v>0</v>
      </c>
      <c r="AD400" s="1">
        <f t="shared" si="235"/>
        <v>0</v>
      </c>
      <c r="AE400" s="1">
        <f t="shared" si="236"/>
        <v>0</v>
      </c>
      <c r="AF400" s="1">
        <f t="shared" si="221"/>
        <v>0</v>
      </c>
      <c r="AG400" s="1">
        <f t="shared" si="222"/>
        <v>0</v>
      </c>
      <c r="AH400" s="1">
        <f t="shared" si="223"/>
        <v>0</v>
      </c>
      <c r="AI400" s="1">
        <f t="shared" si="224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1017</v>
      </c>
      <c r="E401" s="32" t="s">
        <v>156</v>
      </c>
      <c r="F401" s="32" t="s">
        <v>1088</v>
      </c>
      <c r="G401" s="32" t="s">
        <v>1098</v>
      </c>
      <c r="H401" s="32" t="s">
        <v>354</v>
      </c>
      <c r="I401" s="31" t="s">
        <v>1018</v>
      </c>
      <c r="J401" s="31">
        <v>99</v>
      </c>
      <c r="K401" s="33" t="s">
        <v>713</v>
      </c>
      <c r="L401" s="33" t="s">
        <v>722</v>
      </c>
      <c r="M401" s="34" t="s">
        <v>1434</v>
      </c>
      <c r="N401" s="34" t="s">
        <v>1748</v>
      </c>
      <c r="O401" s="35">
        <v>1</v>
      </c>
      <c r="P401" s="35"/>
      <c r="Q401" s="32"/>
      <c r="S401" s="1">
        <f t="shared" si="225"/>
        <v>0</v>
      </c>
      <c r="T401" s="1">
        <f t="shared" si="226"/>
        <v>0</v>
      </c>
      <c r="U401" s="1">
        <f t="shared" si="227"/>
        <v>0</v>
      </c>
      <c r="V401" s="1">
        <f t="shared" si="228"/>
        <v>0</v>
      </c>
      <c r="W401" s="1">
        <f t="shared" si="229"/>
        <v>0</v>
      </c>
      <c r="X401" s="1">
        <f t="shared" si="230"/>
        <v>0</v>
      </c>
      <c r="Y401" s="1">
        <f t="shared" si="231"/>
        <v>0</v>
      </c>
      <c r="Z401" s="1">
        <f t="shared" si="232"/>
        <v>0</v>
      </c>
      <c r="AA401" s="1">
        <f t="shared" si="233"/>
        <v>0</v>
      </c>
      <c r="AB401" s="1">
        <f t="shared" si="234"/>
        <v>0</v>
      </c>
      <c r="AD401" s="1">
        <f t="shared" si="235"/>
        <v>0</v>
      </c>
      <c r="AE401" s="1">
        <f t="shared" si="236"/>
        <v>1</v>
      </c>
      <c r="AF401" s="1">
        <f t="shared" si="221"/>
        <v>0</v>
      </c>
      <c r="AG401" s="1">
        <f t="shared" si="222"/>
        <v>1</v>
      </c>
      <c r="AH401" s="1">
        <f t="shared" si="223"/>
        <v>0</v>
      </c>
      <c r="AI401" s="1">
        <f t="shared" si="224"/>
        <v>1</v>
      </c>
    </row>
    <row r="402" spans="1:35" ht="14.25" customHeight="1" x14ac:dyDescent="0.25">
      <c r="A402" s="31">
        <v>0</v>
      </c>
      <c r="B402" s="31">
        <v>2</v>
      </c>
      <c r="C402" s="31">
        <v>7</v>
      </c>
      <c r="D402" s="32" t="s">
        <v>1205</v>
      </c>
      <c r="E402" s="32" t="s">
        <v>1332</v>
      </c>
      <c r="F402" s="32" t="s">
        <v>1206</v>
      </c>
      <c r="G402" s="32" t="s">
        <v>39</v>
      </c>
      <c r="H402" s="32" t="s">
        <v>354</v>
      </c>
      <c r="I402" s="31" t="s">
        <v>1685</v>
      </c>
      <c r="J402" s="31">
        <v>99</v>
      </c>
      <c r="K402" s="33" t="s">
        <v>955</v>
      </c>
      <c r="L402" s="33" t="s">
        <v>729</v>
      </c>
      <c r="M402" s="34" t="s">
        <v>1435</v>
      </c>
      <c r="N402" s="34" t="s">
        <v>1748</v>
      </c>
      <c r="O402" s="35">
        <v>1</v>
      </c>
      <c r="P402" s="35"/>
      <c r="Q402" s="32"/>
      <c r="S402" s="1">
        <f t="shared" si="225"/>
        <v>0</v>
      </c>
      <c r="T402" s="1">
        <f t="shared" si="226"/>
        <v>0</v>
      </c>
      <c r="U402" s="1">
        <f t="shared" si="227"/>
        <v>0</v>
      </c>
      <c r="V402" s="1">
        <f t="shared" si="228"/>
        <v>0</v>
      </c>
      <c r="W402" s="1">
        <f t="shared" si="229"/>
        <v>0</v>
      </c>
      <c r="X402" s="1">
        <f t="shared" si="230"/>
        <v>0</v>
      </c>
      <c r="Y402" s="1">
        <f t="shared" si="231"/>
        <v>0</v>
      </c>
      <c r="Z402" s="1">
        <f t="shared" si="232"/>
        <v>0</v>
      </c>
      <c r="AA402" s="1">
        <f t="shared" si="233"/>
        <v>0</v>
      </c>
      <c r="AB402" s="1">
        <f t="shared" si="234"/>
        <v>0</v>
      </c>
      <c r="AD402" s="1">
        <f t="shared" si="235"/>
        <v>0</v>
      </c>
      <c r="AE402" s="1">
        <f t="shared" si="236"/>
        <v>1</v>
      </c>
      <c r="AF402" s="1">
        <f t="shared" si="221"/>
        <v>0</v>
      </c>
      <c r="AG402" s="1">
        <f t="shared" si="222"/>
        <v>1</v>
      </c>
      <c r="AH402" s="1">
        <f t="shared" si="223"/>
        <v>0</v>
      </c>
      <c r="AI402" s="1">
        <f t="shared" si="224"/>
        <v>1</v>
      </c>
    </row>
    <row r="403" spans="1:35" ht="14.25" customHeight="1" x14ac:dyDescent="0.25">
      <c r="A403" s="31">
        <v>0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644</v>
      </c>
      <c r="G403" s="32" t="s">
        <v>535</v>
      </c>
      <c r="H403" s="32" t="s">
        <v>354</v>
      </c>
      <c r="I403" s="31" t="s">
        <v>394</v>
      </c>
      <c r="J403" s="31">
        <v>6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25"/>
        <v>0</v>
      </c>
      <c r="T403" s="1">
        <f t="shared" si="226"/>
        <v>0</v>
      </c>
      <c r="U403" s="1">
        <f t="shared" si="227"/>
        <v>0</v>
      </c>
      <c r="V403" s="1">
        <f t="shared" si="228"/>
        <v>0</v>
      </c>
      <c r="W403" s="1">
        <f t="shared" si="229"/>
        <v>0</v>
      </c>
      <c r="X403" s="1">
        <f t="shared" si="230"/>
        <v>1</v>
      </c>
      <c r="Y403" s="1">
        <f t="shared" si="231"/>
        <v>0</v>
      </c>
      <c r="Z403" s="1">
        <f t="shared" si="232"/>
        <v>0</v>
      </c>
      <c r="AA403" s="1">
        <f t="shared" si="233"/>
        <v>0</v>
      </c>
      <c r="AB403" s="1">
        <f t="shared" si="234"/>
        <v>0</v>
      </c>
      <c r="AD403" s="1">
        <f t="shared" si="235"/>
        <v>0</v>
      </c>
      <c r="AE403" s="1">
        <f t="shared" si="236"/>
        <v>1</v>
      </c>
      <c r="AF403" s="1">
        <f t="shared" si="221"/>
        <v>0</v>
      </c>
      <c r="AG403" s="1">
        <f t="shared" si="222"/>
        <v>1</v>
      </c>
      <c r="AH403" s="1">
        <f t="shared" si="223"/>
        <v>0</v>
      </c>
      <c r="AI403" s="1">
        <f t="shared" si="224"/>
        <v>1</v>
      </c>
    </row>
    <row r="404" spans="1:35" ht="14.25" customHeight="1" x14ac:dyDescent="0.25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216</v>
      </c>
      <c r="G404" s="32" t="s">
        <v>39</v>
      </c>
      <c r="H404" s="32" t="s">
        <v>354</v>
      </c>
      <c r="I404" s="31" t="s">
        <v>30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25"/>
        <v>0</v>
      </c>
      <c r="T404" s="1">
        <f t="shared" si="226"/>
        <v>0</v>
      </c>
      <c r="U404" s="1">
        <f t="shared" si="227"/>
        <v>0</v>
      </c>
      <c r="V404" s="1">
        <f t="shared" si="228"/>
        <v>0</v>
      </c>
      <c r="W404" s="1">
        <f t="shared" si="229"/>
        <v>0</v>
      </c>
      <c r="X404" s="1">
        <f t="shared" si="230"/>
        <v>0</v>
      </c>
      <c r="Y404" s="1">
        <f t="shared" si="231"/>
        <v>0</v>
      </c>
      <c r="Z404" s="1">
        <f t="shared" si="232"/>
        <v>0</v>
      </c>
      <c r="AA404" s="1">
        <f t="shared" si="233"/>
        <v>0</v>
      </c>
      <c r="AB404" s="1">
        <f t="shared" si="234"/>
        <v>0</v>
      </c>
      <c r="AD404" s="1">
        <f t="shared" si="235"/>
        <v>0</v>
      </c>
      <c r="AE404" s="1">
        <f t="shared" si="236"/>
        <v>1</v>
      </c>
      <c r="AF404" s="1">
        <f t="shared" ref="AF404:AF469" si="277">+O404*P404*(1-A404)</f>
        <v>0</v>
      </c>
      <c r="AG404" s="1">
        <f t="shared" ref="AG404:AG469" si="278">O404*(1-P404)*(1-A404)</f>
        <v>0</v>
      </c>
      <c r="AH404" s="1">
        <f t="shared" ref="AH404:AH469" si="279">+P404*(1-A404)</f>
        <v>0</v>
      </c>
      <c r="AI404" s="1">
        <f t="shared" ref="AI404:AI469" si="280">+(1-A404)*(1-P404)</f>
        <v>0</v>
      </c>
    </row>
    <row r="405" spans="1:35" ht="14.25" customHeight="1" x14ac:dyDescent="0.25">
      <c r="A405" s="31">
        <v>1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215</v>
      </c>
      <c r="G405" s="32" t="s">
        <v>39</v>
      </c>
      <c r="H405" s="32" t="s">
        <v>354</v>
      </c>
      <c r="I405" s="31" t="s">
        <v>394</v>
      </c>
      <c r="J405" s="31">
        <v>99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25"/>
        <v>0</v>
      </c>
      <c r="T405" s="1">
        <f t="shared" si="226"/>
        <v>0</v>
      </c>
      <c r="U405" s="1">
        <f t="shared" si="227"/>
        <v>0</v>
      </c>
      <c r="V405" s="1">
        <f t="shared" si="228"/>
        <v>0</v>
      </c>
      <c r="W405" s="1">
        <f t="shared" si="229"/>
        <v>0</v>
      </c>
      <c r="X405" s="1">
        <f t="shared" si="230"/>
        <v>0</v>
      </c>
      <c r="Y405" s="1">
        <f t="shared" si="231"/>
        <v>0</v>
      </c>
      <c r="Z405" s="1">
        <f t="shared" si="232"/>
        <v>0</v>
      </c>
      <c r="AA405" s="1">
        <f t="shared" si="233"/>
        <v>0</v>
      </c>
      <c r="AB405" s="1">
        <f t="shared" si="234"/>
        <v>0</v>
      </c>
      <c r="AD405" s="1">
        <f t="shared" si="235"/>
        <v>0</v>
      </c>
      <c r="AE405" s="1">
        <f t="shared" si="236"/>
        <v>1</v>
      </c>
      <c r="AF405" s="1">
        <f t="shared" si="277"/>
        <v>0</v>
      </c>
      <c r="AG405" s="1">
        <f t="shared" si="278"/>
        <v>0</v>
      </c>
      <c r="AH405" s="1">
        <f t="shared" si="279"/>
        <v>0</v>
      </c>
      <c r="AI405" s="1">
        <f t="shared" si="280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217</v>
      </c>
      <c r="G406" s="32" t="s">
        <v>218</v>
      </c>
      <c r="H406" s="32" t="s">
        <v>354</v>
      </c>
      <c r="I406" s="31" t="s">
        <v>395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25"/>
        <v>0</v>
      </c>
      <c r="T406" s="1">
        <f t="shared" si="226"/>
        <v>0</v>
      </c>
      <c r="U406" s="1">
        <f t="shared" si="227"/>
        <v>0</v>
      </c>
      <c r="V406" s="1">
        <f t="shared" si="228"/>
        <v>0</v>
      </c>
      <c r="W406" s="1">
        <f t="shared" si="229"/>
        <v>0</v>
      </c>
      <c r="X406" s="1">
        <f t="shared" si="230"/>
        <v>0</v>
      </c>
      <c r="Y406" s="1">
        <f t="shared" si="231"/>
        <v>0</v>
      </c>
      <c r="Z406" s="1">
        <f t="shared" si="232"/>
        <v>0</v>
      </c>
      <c r="AA406" s="1">
        <f t="shared" si="233"/>
        <v>0</v>
      </c>
      <c r="AB406" s="1">
        <f t="shared" si="234"/>
        <v>0</v>
      </c>
      <c r="AD406" s="1">
        <f t="shared" si="235"/>
        <v>0</v>
      </c>
      <c r="AE406" s="1">
        <f t="shared" si="236"/>
        <v>1</v>
      </c>
      <c r="AF406" s="1">
        <f t="shared" si="277"/>
        <v>0</v>
      </c>
      <c r="AG406" s="1">
        <f t="shared" si="278"/>
        <v>0</v>
      </c>
      <c r="AH406" s="1">
        <f t="shared" si="279"/>
        <v>0</v>
      </c>
      <c r="AI406" s="1">
        <f t="shared" si="280"/>
        <v>0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6" t="s">
        <v>2054</v>
      </c>
      <c r="E407" s="36" t="s">
        <v>156</v>
      </c>
      <c r="F407" s="36" t="s">
        <v>2055</v>
      </c>
      <c r="G407" s="36" t="s">
        <v>220</v>
      </c>
      <c r="H407" s="36" t="s">
        <v>354</v>
      </c>
      <c r="I407" s="37" t="s">
        <v>2056</v>
      </c>
      <c r="J407" s="31">
        <v>99</v>
      </c>
      <c r="K407" s="33" t="s">
        <v>703</v>
      </c>
      <c r="L407" s="33">
        <v>10</v>
      </c>
      <c r="M407" s="34" t="s">
        <v>2057</v>
      </c>
      <c r="N407" s="34" t="s">
        <v>1748</v>
      </c>
      <c r="O407" s="35">
        <v>1</v>
      </c>
      <c r="P407" s="35"/>
      <c r="Q407" s="32"/>
      <c r="S407" s="1">
        <f t="shared" si="225"/>
        <v>0</v>
      </c>
      <c r="T407" s="1">
        <f t="shared" si="226"/>
        <v>0</v>
      </c>
      <c r="U407" s="1">
        <f t="shared" si="227"/>
        <v>0</v>
      </c>
      <c r="V407" s="1">
        <f t="shared" si="228"/>
        <v>0</v>
      </c>
      <c r="W407" s="1">
        <f t="shared" si="229"/>
        <v>0</v>
      </c>
      <c r="X407" s="1">
        <f t="shared" si="230"/>
        <v>0</v>
      </c>
      <c r="Y407" s="1">
        <f t="shared" si="231"/>
        <v>0</v>
      </c>
      <c r="Z407" s="1">
        <f t="shared" si="232"/>
        <v>0</v>
      </c>
      <c r="AA407" s="1">
        <f t="shared" si="233"/>
        <v>0</v>
      </c>
      <c r="AB407" s="1">
        <f t="shared" si="234"/>
        <v>0</v>
      </c>
      <c r="AD407" s="1">
        <f t="shared" si="235"/>
        <v>0</v>
      </c>
      <c r="AE407" s="1">
        <f t="shared" si="236"/>
        <v>1</v>
      </c>
      <c r="AF407" s="1">
        <f t="shared" si="277"/>
        <v>0</v>
      </c>
      <c r="AG407" s="1">
        <f t="shared" si="278"/>
        <v>1</v>
      </c>
      <c r="AH407" s="1">
        <f t="shared" si="279"/>
        <v>0</v>
      </c>
      <c r="AI407" s="1">
        <f t="shared" si="280"/>
        <v>1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68</v>
      </c>
      <c r="E408" s="45" t="s">
        <v>28</v>
      </c>
      <c r="F408" s="45" t="s">
        <v>253</v>
      </c>
      <c r="G408" s="45" t="s">
        <v>254</v>
      </c>
      <c r="H408" s="45" t="s">
        <v>354</v>
      </c>
      <c r="I408" s="44" t="s">
        <v>414</v>
      </c>
      <c r="J408" s="44">
        <v>99</v>
      </c>
      <c r="K408" s="46" t="s">
        <v>713</v>
      </c>
      <c r="L408" s="46" t="s">
        <v>713</v>
      </c>
      <c r="M408" s="47" t="s">
        <v>731</v>
      </c>
      <c r="N408" s="47" t="s">
        <v>1802</v>
      </c>
      <c r="O408" s="48"/>
      <c r="P408" s="48"/>
      <c r="Q408" s="45"/>
      <c r="S408" s="1">
        <f t="shared" ref="S408:S414" si="281">IF(J408=$S$7,1,0)</f>
        <v>0</v>
      </c>
      <c r="T408" s="1">
        <f t="shared" ref="T408:T414" si="282">IF(J408=$T$7,1,0)</f>
        <v>0</v>
      </c>
      <c r="U408" s="1">
        <f t="shared" ref="U408:U414" si="283">IF(J408=$U$7,1,0)</f>
        <v>0</v>
      </c>
      <c r="V408" s="1">
        <f t="shared" ref="V408:V414" si="284">IF(J408=$V$7,1,0)</f>
        <v>0</v>
      </c>
      <c r="W408" s="1">
        <f t="shared" ref="W408:W414" si="285">IF(J408=$W$7,1,0)</f>
        <v>0</v>
      </c>
      <c r="X408" s="1">
        <f t="shared" ref="X408:X414" si="286">IF(J408=$X$7,1,0)</f>
        <v>0</v>
      </c>
      <c r="Y408" s="1">
        <f t="shared" ref="Y408:Y414" si="287">IF(J408=$Y$7,1,0)</f>
        <v>0</v>
      </c>
      <c r="Z408" s="1">
        <f t="shared" ref="Z408:Z414" si="288">IF(J408=$Z$7,1,0)</f>
        <v>0</v>
      </c>
      <c r="AA408" s="1">
        <f t="shared" ref="AA408:AA414" si="289">IF(J408=$AA$7,1,0)</f>
        <v>0</v>
      </c>
      <c r="AB408" s="1">
        <f t="shared" ref="AB408:AB414" si="290">IF(J408=$AB$7,1,0)</f>
        <v>0</v>
      </c>
      <c r="AD408" s="1">
        <f t="shared" ref="AD408:AD414" si="291">+O408*P408</f>
        <v>0</v>
      </c>
      <c r="AE408" s="1">
        <f t="shared" ref="AE408:AE414" si="292">O408*(1-P408)</f>
        <v>0</v>
      </c>
      <c r="AF408" s="1">
        <f t="shared" ref="AF408:AF414" si="293">+O408*P408*(1-A408)</f>
        <v>0</v>
      </c>
      <c r="AG408" s="1">
        <f t="shared" ref="AG408:AG414" si="294">O408*(1-P408)*(1-A408)</f>
        <v>0</v>
      </c>
      <c r="AH408" s="1">
        <f t="shared" ref="AH408:AH414" si="295">+P408*(1-A408)</f>
        <v>0</v>
      </c>
      <c r="AI408" s="1">
        <f t="shared" ref="AI408:AI414" si="296">+(1-A408)*(1-P408)</f>
        <v>1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2018</v>
      </c>
      <c r="E409" s="32" t="s">
        <v>28</v>
      </c>
      <c r="F409" s="32" t="s">
        <v>2020</v>
      </c>
      <c r="G409" s="32" t="s">
        <v>1104</v>
      </c>
      <c r="H409" s="32" t="s">
        <v>354</v>
      </c>
      <c r="I409" s="31" t="s">
        <v>2021</v>
      </c>
      <c r="J409" s="31">
        <v>1</v>
      </c>
      <c r="K409" s="33" t="s">
        <v>703</v>
      </c>
      <c r="L409" s="33"/>
      <c r="M409" s="34"/>
      <c r="N409" s="34" t="s">
        <v>1727</v>
      </c>
      <c r="O409" s="35">
        <v>1</v>
      </c>
      <c r="P409" s="35">
        <v>1</v>
      </c>
      <c r="Q409" s="32" t="s">
        <v>2023</v>
      </c>
      <c r="S409" s="1">
        <f t="shared" si="281"/>
        <v>1</v>
      </c>
      <c r="T409" s="1">
        <f t="shared" si="282"/>
        <v>0</v>
      </c>
      <c r="U409" s="1">
        <f t="shared" si="283"/>
        <v>0</v>
      </c>
      <c r="V409" s="1">
        <f t="shared" si="284"/>
        <v>0</v>
      </c>
      <c r="W409" s="1">
        <f t="shared" si="285"/>
        <v>0</v>
      </c>
      <c r="X409" s="1">
        <f t="shared" si="286"/>
        <v>0</v>
      </c>
      <c r="Y409" s="1">
        <f t="shared" si="287"/>
        <v>0</v>
      </c>
      <c r="Z409" s="1">
        <f t="shared" si="288"/>
        <v>0</v>
      </c>
      <c r="AA409" s="1">
        <f t="shared" si="289"/>
        <v>0</v>
      </c>
      <c r="AB409" s="1">
        <f t="shared" si="290"/>
        <v>0</v>
      </c>
      <c r="AD409" s="1">
        <f t="shared" si="291"/>
        <v>1</v>
      </c>
      <c r="AE409" s="1">
        <f t="shared" si="292"/>
        <v>0</v>
      </c>
      <c r="AF409" s="1">
        <f t="shared" si="293"/>
        <v>1</v>
      </c>
      <c r="AG409" s="1">
        <f t="shared" si="294"/>
        <v>0</v>
      </c>
      <c r="AH409" s="1">
        <f t="shared" si="295"/>
        <v>1</v>
      </c>
      <c r="AI409" s="1">
        <f t="shared" si="296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2018</v>
      </c>
      <c r="E410" s="32" t="s">
        <v>28</v>
      </c>
      <c r="F410" s="32" t="s">
        <v>2019</v>
      </c>
      <c r="G410" s="36" t="s">
        <v>2025</v>
      </c>
      <c r="H410" s="32" t="s">
        <v>354</v>
      </c>
      <c r="I410" s="31" t="s">
        <v>2022</v>
      </c>
      <c r="J410" s="31">
        <v>8</v>
      </c>
      <c r="K410" s="33" t="s">
        <v>703</v>
      </c>
      <c r="L410" s="33"/>
      <c r="M410" s="34"/>
      <c r="N410" s="34" t="s">
        <v>1727</v>
      </c>
      <c r="O410" s="35">
        <v>1</v>
      </c>
      <c r="P410" s="35">
        <v>1</v>
      </c>
      <c r="Q410" s="32" t="s">
        <v>2024</v>
      </c>
      <c r="S410" s="1">
        <f t="shared" si="281"/>
        <v>0</v>
      </c>
      <c r="T410" s="1">
        <f t="shared" si="282"/>
        <v>0</v>
      </c>
      <c r="U410" s="1">
        <f t="shared" si="283"/>
        <v>0</v>
      </c>
      <c r="V410" s="1">
        <f t="shared" si="284"/>
        <v>0</v>
      </c>
      <c r="W410" s="1">
        <f t="shared" si="285"/>
        <v>0</v>
      </c>
      <c r="X410" s="1">
        <f t="shared" si="286"/>
        <v>0</v>
      </c>
      <c r="Y410" s="1">
        <f t="shared" si="287"/>
        <v>0</v>
      </c>
      <c r="Z410" s="1">
        <f t="shared" si="288"/>
        <v>1</v>
      </c>
      <c r="AA410" s="1">
        <f t="shared" si="289"/>
        <v>0</v>
      </c>
      <c r="AB410" s="1">
        <f t="shared" si="290"/>
        <v>0</v>
      </c>
      <c r="AD410" s="1">
        <f t="shared" si="291"/>
        <v>1</v>
      </c>
      <c r="AE410" s="1">
        <f t="shared" si="292"/>
        <v>0</v>
      </c>
      <c r="AF410" s="1">
        <f t="shared" si="293"/>
        <v>0</v>
      </c>
      <c r="AG410" s="1">
        <f t="shared" si="294"/>
        <v>0</v>
      </c>
      <c r="AH410" s="1">
        <f t="shared" si="295"/>
        <v>0</v>
      </c>
      <c r="AI410" s="1">
        <f t="shared" si="296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255</v>
      </c>
      <c r="G411" s="36" t="s">
        <v>207</v>
      </c>
      <c r="H411" s="32" t="s">
        <v>354</v>
      </c>
      <c r="I411" s="31" t="s">
        <v>415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81"/>
        <v>0</v>
      </c>
      <c r="T411" s="1">
        <f t="shared" si="282"/>
        <v>0</v>
      </c>
      <c r="U411" s="1">
        <f t="shared" si="283"/>
        <v>0</v>
      </c>
      <c r="V411" s="1">
        <f t="shared" si="284"/>
        <v>0</v>
      </c>
      <c r="W411" s="1">
        <f t="shared" si="285"/>
        <v>0</v>
      </c>
      <c r="X411" s="1">
        <f t="shared" si="286"/>
        <v>0</v>
      </c>
      <c r="Y411" s="1">
        <f t="shared" si="287"/>
        <v>0</v>
      </c>
      <c r="Z411" s="1">
        <f t="shared" si="288"/>
        <v>0</v>
      </c>
      <c r="AA411" s="1">
        <f t="shared" si="289"/>
        <v>0</v>
      </c>
      <c r="AB411" s="1">
        <f t="shared" si="290"/>
        <v>0</v>
      </c>
      <c r="AD411" s="1">
        <f t="shared" si="291"/>
        <v>1</v>
      </c>
      <c r="AE411" s="1">
        <f t="shared" si="292"/>
        <v>0</v>
      </c>
      <c r="AF411" s="1">
        <f t="shared" si="293"/>
        <v>1</v>
      </c>
      <c r="AG411" s="1">
        <f t="shared" si="294"/>
        <v>0</v>
      </c>
      <c r="AH411" s="1">
        <f t="shared" si="295"/>
        <v>1</v>
      </c>
      <c r="AI411" s="1">
        <f t="shared" si="296"/>
        <v>0</v>
      </c>
    </row>
    <row r="412" spans="1:35" ht="14.25" customHeight="1" x14ac:dyDescent="0.25">
      <c r="A412" s="31">
        <v>1</v>
      </c>
      <c r="B412" s="31">
        <v>2</v>
      </c>
      <c r="C412" s="31">
        <v>7</v>
      </c>
      <c r="D412" s="32" t="s">
        <v>69</v>
      </c>
      <c r="E412" s="32" t="s">
        <v>28</v>
      </c>
      <c r="F412" s="32" t="s">
        <v>1874</v>
      </c>
      <c r="G412" s="36" t="s">
        <v>256</v>
      </c>
      <c r="H412" s="32" t="s">
        <v>354</v>
      </c>
      <c r="I412" s="31" t="s">
        <v>416</v>
      </c>
      <c r="J412" s="31">
        <v>99</v>
      </c>
      <c r="K412" s="33" t="s">
        <v>955</v>
      </c>
      <c r="L412" s="33" t="s">
        <v>713</v>
      </c>
      <c r="M412" s="34" t="s">
        <v>731</v>
      </c>
      <c r="N412" s="34" t="s">
        <v>1733</v>
      </c>
      <c r="O412" s="35">
        <v>1</v>
      </c>
      <c r="P412" s="35">
        <v>1</v>
      </c>
      <c r="Q412" s="32"/>
      <c r="S412" s="1">
        <f t="shared" si="281"/>
        <v>0</v>
      </c>
      <c r="T412" s="1">
        <f t="shared" si="282"/>
        <v>0</v>
      </c>
      <c r="U412" s="1">
        <f t="shared" si="283"/>
        <v>0</v>
      </c>
      <c r="V412" s="1">
        <f t="shared" si="284"/>
        <v>0</v>
      </c>
      <c r="W412" s="1">
        <f t="shared" si="285"/>
        <v>0</v>
      </c>
      <c r="X412" s="1">
        <f t="shared" si="286"/>
        <v>0</v>
      </c>
      <c r="Y412" s="1">
        <f t="shared" si="287"/>
        <v>0</v>
      </c>
      <c r="Z412" s="1">
        <f t="shared" si="288"/>
        <v>0</v>
      </c>
      <c r="AA412" s="1">
        <f t="shared" si="289"/>
        <v>0</v>
      </c>
      <c r="AB412" s="1">
        <f t="shared" si="290"/>
        <v>0</v>
      </c>
      <c r="AD412" s="1">
        <f t="shared" si="291"/>
        <v>1</v>
      </c>
      <c r="AE412" s="1">
        <f t="shared" si="292"/>
        <v>0</v>
      </c>
      <c r="AF412" s="1">
        <f t="shared" si="293"/>
        <v>0</v>
      </c>
      <c r="AG412" s="1">
        <f t="shared" si="294"/>
        <v>0</v>
      </c>
      <c r="AH412" s="1">
        <f t="shared" si="295"/>
        <v>0</v>
      </c>
      <c r="AI412" s="1">
        <f t="shared" si="296"/>
        <v>0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570</v>
      </c>
      <c r="G413" s="36" t="s">
        <v>571</v>
      </c>
      <c r="H413" s="32" t="s">
        <v>354</v>
      </c>
      <c r="I413" s="31" t="s">
        <v>580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81"/>
        <v>0</v>
      </c>
      <c r="T413" s="1">
        <f t="shared" si="282"/>
        <v>0</v>
      </c>
      <c r="U413" s="1">
        <f t="shared" si="283"/>
        <v>0</v>
      </c>
      <c r="V413" s="1">
        <f t="shared" si="284"/>
        <v>0</v>
      </c>
      <c r="W413" s="1">
        <f t="shared" si="285"/>
        <v>0</v>
      </c>
      <c r="X413" s="1">
        <f t="shared" si="286"/>
        <v>0</v>
      </c>
      <c r="Y413" s="1">
        <f t="shared" si="287"/>
        <v>0</v>
      </c>
      <c r="Z413" s="1">
        <f t="shared" si="288"/>
        <v>0</v>
      </c>
      <c r="AA413" s="1">
        <f t="shared" si="289"/>
        <v>0</v>
      </c>
      <c r="AB413" s="1">
        <f t="shared" si="290"/>
        <v>0</v>
      </c>
      <c r="AD413" s="1">
        <f t="shared" si="291"/>
        <v>1</v>
      </c>
      <c r="AE413" s="1">
        <f t="shared" si="292"/>
        <v>0</v>
      </c>
      <c r="AF413" s="1">
        <f t="shared" si="293"/>
        <v>0</v>
      </c>
      <c r="AG413" s="1">
        <f t="shared" si="294"/>
        <v>0</v>
      </c>
      <c r="AH413" s="1">
        <f t="shared" si="295"/>
        <v>0</v>
      </c>
      <c r="AI413" s="1">
        <f t="shared" si="296"/>
        <v>0</v>
      </c>
    </row>
    <row r="414" spans="1:35" ht="14.25" customHeight="1" x14ac:dyDescent="0.25">
      <c r="A414" s="44">
        <v>0</v>
      </c>
      <c r="B414" s="44">
        <v>2</v>
      </c>
      <c r="C414" s="44">
        <v>7</v>
      </c>
      <c r="D414" s="45" t="s">
        <v>71</v>
      </c>
      <c r="E414" s="45" t="s">
        <v>28</v>
      </c>
      <c r="F414" s="45" t="s">
        <v>1349</v>
      </c>
      <c r="G414" s="45" t="s">
        <v>259</v>
      </c>
      <c r="H414" s="45" t="s">
        <v>354</v>
      </c>
      <c r="I414" s="44" t="s">
        <v>418</v>
      </c>
      <c r="J414" s="44">
        <v>99</v>
      </c>
      <c r="K414" s="46" t="s">
        <v>713</v>
      </c>
      <c r="L414" s="46" t="s">
        <v>713</v>
      </c>
      <c r="M414" s="47" t="s">
        <v>731</v>
      </c>
      <c r="N414" s="47" t="s">
        <v>1802</v>
      </c>
      <c r="O414" s="48"/>
      <c r="P414" s="48"/>
      <c r="Q414" s="45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0</v>
      </c>
      <c r="AE414" s="1">
        <f t="shared" si="292"/>
        <v>0</v>
      </c>
      <c r="AF414" s="1">
        <f t="shared" si="293"/>
        <v>0</v>
      </c>
      <c r="AG414" s="1">
        <f t="shared" si="294"/>
        <v>0</v>
      </c>
      <c r="AH414" s="1">
        <f t="shared" si="295"/>
        <v>0</v>
      </c>
      <c r="AI414" s="1">
        <f t="shared" si="296"/>
        <v>1</v>
      </c>
    </row>
    <row r="415" spans="1:35" ht="14.25" customHeight="1" x14ac:dyDescent="0.25">
      <c r="A415" s="44">
        <v>0</v>
      </c>
      <c r="B415" s="44">
        <v>2</v>
      </c>
      <c r="C415" s="44">
        <v>7</v>
      </c>
      <c r="D415" s="45" t="s">
        <v>1062</v>
      </c>
      <c r="E415" s="45" t="s">
        <v>28</v>
      </c>
      <c r="F415" s="45" t="s">
        <v>1063</v>
      </c>
      <c r="G415" s="45" t="s">
        <v>1064</v>
      </c>
      <c r="H415" s="45" t="s">
        <v>354</v>
      </c>
      <c r="I415" s="44" t="s">
        <v>1065</v>
      </c>
      <c r="J415" s="44">
        <v>99</v>
      </c>
      <c r="K415" s="46" t="s">
        <v>713</v>
      </c>
      <c r="L415" s="46" t="s">
        <v>713</v>
      </c>
      <c r="M415" s="47" t="s">
        <v>731</v>
      </c>
      <c r="N415" s="47" t="s">
        <v>1802</v>
      </c>
      <c r="O415" s="48"/>
      <c r="P415" s="48"/>
      <c r="Q415" s="45"/>
      <c r="S415" s="1">
        <f t="shared" ref="S415:S480" si="297">IF(J415=$S$7,1,0)</f>
        <v>0</v>
      </c>
      <c r="T415" s="1">
        <f t="shared" ref="T415:T480" si="298">IF(J415=$T$7,1,0)</f>
        <v>0</v>
      </c>
      <c r="U415" s="1">
        <f t="shared" ref="U415:U480" si="299">IF(J415=$U$7,1,0)</f>
        <v>0</v>
      </c>
      <c r="V415" s="1">
        <f t="shared" ref="V415:V480" si="300">IF(J415=$V$7,1,0)</f>
        <v>0</v>
      </c>
      <c r="W415" s="1">
        <f t="shared" ref="W415:W480" si="301">IF(J415=$W$7,1,0)</f>
        <v>0</v>
      </c>
      <c r="X415" s="1">
        <f t="shared" ref="X415:X480" si="302">IF(J415=$X$7,1,0)</f>
        <v>0</v>
      </c>
      <c r="Y415" s="1">
        <f t="shared" ref="Y415:Y480" si="303">IF(J415=$Y$7,1,0)</f>
        <v>0</v>
      </c>
      <c r="Z415" s="1">
        <f t="shared" ref="Z415:Z480" si="304">IF(J415=$Z$7,1,0)</f>
        <v>0</v>
      </c>
      <c r="AA415" s="1">
        <f t="shared" ref="AA415:AA480" si="305">IF(J415=$AA$7,1,0)</f>
        <v>0</v>
      </c>
      <c r="AB415" s="1">
        <f t="shared" ref="AB415:AB480" si="306">IF(J415=$AB$7,1,0)</f>
        <v>0</v>
      </c>
      <c r="AD415" s="1">
        <f t="shared" ref="AD415:AD480" si="307">+O415*P415</f>
        <v>0</v>
      </c>
      <c r="AE415" s="1">
        <f t="shared" ref="AE415:AE480" si="308">O415*(1-P415)</f>
        <v>0</v>
      </c>
      <c r="AF415" s="1">
        <f t="shared" si="277"/>
        <v>0</v>
      </c>
      <c r="AG415" s="1">
        <f t="shared" si="278"/>
        <v>0</v>
      </c>
      <c r="AH415" s="1">
        <f t="shared" si="279"/>
        <v>0</v>
      </c>
      <c r="AI415" s="1">
        <f t="shared" si="280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1806</v>
      </c>
      <c r="E416" s="32" t="s">
        <v>156</v>
      </c>
      <c r="F416" s="32" t="s">
        <v>1807</v>
      </c>
      <c r="G416" s="32"/>
      <c r="H416" s="32" t="s">
        <v>354</v>
      </c>
      <c r="I416" s="31" t="s">
        <v>1808</v>
      </c>
      <c r="J416" s="31">
        <v>99</v>
      </c>
      <c r="K416" s="33" t="s">
        <v>703</v>
      </c>
      <c r="L416" s="33"/>
      <c r="M416" s="34"/>
      <c r="N416" s="34" t="s">
        <v>1727</v>
      </c>
      <c r="O416" s="35">
        <v>1</v>
      </c>
      <c r="P416" s="35">
        <v>1</v>
      </c>
      <c r="Q416" s="32"/>
      <c r="S416" s="1">
        <f t="shared" si="297"/>
        <v>0</v>
      </c>
      <c r="T416" s="1">
        <f t="shared" si="298"/>
        <v>0</v>
      </c>
      <c r="U416" s="1">
        <f t="shared" si="299"/>
        <v>0</v>
      </c>
      <c r="V416" s="1">
        <f t="shared" si="300"/>
        <v>0</v>
      </c>
      <c r="W416" s="1">
        <f t="shared" si="301"/>
        <v>0</v>
      </c>
      <c r="X416" s="1">
        <f t="shared" si="302"/>
        <v>0</v>
      </c>
      <c r="Y416" s="1">
        <f t="shared" si="303"/>
        <v>0</v>
      </c>
      <c r="Z416" s="1">
        <f t="shared" si="304"/>
        <v>0</v>
      </c>
      <c r="AA416" s="1">
        <f t="shared" si="305"/>
        <v>0</v>
      </c>
      <c r="AB416" s="1">
        <f t="shared" si="306"/>
        <v>0</v>
      </c>
      <c r="AD416" s="1">
        <f t="shared" si="307"/>
        <v>1</v>
      </c>
      <c r="AE416" s="1">
        <f t="shared" si="308"/>
        <v>0</v>
      </c>
      <c r="AF416" s="1">
        <f t="shared" si="277"/>
        <v>1</v>
      </c>
      <c r="AG416" s="1">
        <f t="shared" si="278"/>
        <v>0</v>
      </c>
      <c r="AH416" s="1">
        <f t="shared" si="279"/>
        <v>1</v>
      </c>
      <c r="AI416" s="1">
        <f t="shared" si="280"/>
        <v>0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1178</v>
      </c>
      <c r="E417" s="32" t="s">
        <v>156</v>
      </c>
      <c r="F417" s="32" t="s">
        <v>1179</v>
      </c>
      <c r="G417" s="32" t="s">
        <v>293</v>
      </c>
      <c r="H417" s="32" t="s">
        <v>354</v>
      </c>
      <c r="I417" s="31" t="s">
        <v>1180</v>
      </c>
      <c r="J417" s="31">
        <v>99</v>
      </c>
      <c r="K417" s="33" t="s">
        <v>713</v>
      </c>
      <c r="L417" s="33" t="s">
        <v>722</v>
      </c>
      <c r="M417" s="34" t="s">
        <v>1434</v>
      </c>
      <c r="N417" s="34" t="s">
        <v>1748</v>
      </c>
      <c r="O417" s="35">
        <v>1</v>
      </c>
      <c r="P417" s="35"/>
      <c r="Q417" s="32"/>
      <c r="S417" s="1">
        <f t="shared" si="297"/>
        <v>0</v>
      </c>
      <c r="T417" s="1">
        <f t="shared" si="298"/>
        <v>0</v>
      </c>
      <c r="U417" s="1">
        <f t="shared" si="299"/>
        <v>0</v>
      </c>
      <c r="V417" s="1">
        <f t="shared" si="300"/>
        <v>0</v>
      </c>
      <c r="W417" s="1">
        <f t="shared" si="301"/>
        <v>0</v>
      </c>
      <c r="X417" s="1">
        <f t="shared" si="302"/>
        <v>0</v>
      </c>
      <c r="Y417" s="1">
        <f t="shared" si="303"/>
        <v>0</v>
      </c>
      <c r="Z417" s="1">
        <f t="shared" si="304"/>
        <v>0</v>
      </c>
      <c r="AA417" s="1">
        <f t="shared" si="305"/>
        <v>0</v>
      </c>
      <c r="AB417" s="1">
        <f t="shared" si="306"/>
        <v>0</v>
      </c>
      <c r="AD417" s="1">
        <f t="shared" si="307"/>
        <v>0</v>
      </c>
      <c r="AE417" s="1">
        <f t="shared" si="308"/>
        <v>1</v>
      </c>
      <c r="AF417" s="1">
        <f t="shared" si="277"/>
        <v>0</v>
      </c>
      <c r="AG417" s="1">
        <f t="shared" si="278"/>
        <v>1</v>
      </c>
      <c r="AH417" s="1">
        <f t="shared" si="279"/>
        <v>0</v>
      </c>
      <c r="AI417" s="1">
        <f t="shared" si="280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1153</v>
      </c>
      <c r="E418" s="32" t="s">
        <v>1154</v>
      </c>
      <c r="F418" s="36" t="s">
        <v>1878</v>
      </c>
      <c r="G418" s="32" t="s">
        <v>628</v>
      </c>
      <c r="H418" s="32" t="s">
        <v>354</v>
      </c>
      <c r="I418" s="31" t="s">
        <v>1155</v>
      </c>
      <c r="J418" s="31">
        <v>99</v>
      </c>
      <c r="K418" s="33" t="s">
        <v>713</v>
      </c>
      <c r="L418" s="33" t="s">
        <v>713</v>
      </c>
      <c r="M418" s="34" t="s">
        <v>731</v>
      </c>
      <c r="N418" s="34" t="s">
        <v>1743</v>
      </c>
      <c r="O418" s="35">
        <v>1</v>
      </c>
      <c r="P418" s="35"/>
      <c r="Q418" s="36" t="s">
        <v>1898</v>
      </c>
      <c r="S418" s="1">
        <f t="shared" si="297"/>
        <v>0</v>
      </c>
      <c r="T418" s="1">
        <f t="shared" si="298"/>
        <v>0</v>
      </c>
      <c r="U418" s="1">
        <f t="shared" si="299"/>
        <v>0</v>
      </c>
      <c r="V418" s="1">
        <f t="shared" si="300"/>
        <v>0</v>
      </c>
      <c r="W418" s="1">
        <f t="shared" si="301"/>
        <v>0</v>
      </c>
      <c r="X418" s="1">
        <f t="shared" si="302"/>
        <v>0</v>
      </c>
      <c r="Y418" s="1">
        <f t="shared" si="303"/>
        <v>0</v>
      </c>
      <c r="Z418" s="1">
        <f t="shared" si="304"/>
        <v>0</v>
      </c>
      <c r="AA418" s="1">
        <f t="shared" si="305"/>
        <v>0</v>
      </c>
      <c r="AB418" s="1">
        <f t="shared" si="306"/>
        <v>0</v>
      </c>
      <c r="AD418" s="1">
        <f t="shared" si="307"/>
        <v>0</v>
      </c>
      <c r="AE418" s="1">
        <f t="shared" si="308"/>
        <v>1</v>
      </c>
      <c r="AF418" s="1">
        <f t="shared" si="277"/>
        <v>0</v>
      </c>
      <c r="AG418" s="1">
        <f t="shared" si="278"/>
        <v>1</v>
      </c>
      <c r="AH418" s="1">
        <f t="shared" si="279"/>
        <v>0</v>
      </c>
      <c r="AI418" s="1">
        <f t="shared" si="28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542</v>
      </c>
      <c r="E419" s="32" t="s">
        <v>158</v>
      </c>
      <c r="F419" s="32" t="s">
        <v>195</v>
      </c>
      <c r="G419" s="32" t="s">
        <v>196</v>
      </c>
      <c r="H419" s="32" t="s">
        <v>354</v>
      </c>
      <c r="I419" s="31" t="s">
        <v>550</v>
      </c>
      <c r="J419" s="31">
        <v>99</v>
      </c>
      <c r="K419" s="33" t="s">
        <v>955</v>
      </c>
      <c r="L419" s="33" t="s">
        <v>696</v>
      </c>
      <c r="M419" s="34" t="s">
        <v>1436</v>
      </c>
      <c r="N419" s="34" t="s">
        <v>1748</v>
      </c>
      <c r="O419" s="35">
        <v>1</v>
      </c>
      <c r="P419" s="35"/>
      <c r="Q419" s="32"/>
      <c r="S419" s="1">
        <f t="shared" si="297"/>
        <v>0</v>
      </c>
      <c r="T419" s="1">
        <f t="shared" si="298"/>
        <v>0</v>
      </c>
      <c r="U419" s="1">
        <f t="shared" si="299"/>
        <v>0</v>
      </c>
      <c r="V419" s="1">
        <f t="shared" si="300"/>
        <v>0</v>
      </c>
      <c r="W419" s="1">
        <f t="shared" si="301"/>
        <v>0</v>
      </c>
      <c r="X419" s="1">
        <f t="shared" si="302"/>
        <v>0</v>
      </c>
      <c r="Y419" s="1">
        <f t="shared" si="303"/>
        <v>0</v>
      </c>
      <c r="Z419" s="1">
        <f t="shared" si="304"/>
        <v>0</v>
      </c>
      <c r="AA419" s="1">
        <f t="shared" si="305"/>
        <v>0</v>
      </c>
      <c r="AB419" s="1">
        <f t="shared" si="306"/>
        <v>0</v>
      </c>
      <c r="AD419" s="1">
        <f t="shared" si="307"/>
        <v>0</v>
      </c>
      <c r="AE419" s="1">
        <f t="shared" si="308"/>
        <v>1</v>
      </c>
      <c r="AF419" s="1">
        <f t="shared" si="277"/>
        <v>0</v>
      </c>
      <c r="AG419" s="1">
        <f t="shared" si="278"/>
        <v>1</v>
      </c>
      <c r="AH419" s="1">
        <f t="shared" si="279"/>
        <v>0</v>
      </c>
      <c r="AI419" s="1">
        <f t="shared" si="280"/>
        <v>1</v>
      </c>
    </row>
    <row r="420" spans="1:35" ht="14.25" customHeight="1" x14ac:dyDescent="0.25">
      <c r="A420" s="15">
        <v>0</v>
      </c>
      <c r="B420" s="15">
        <v>2</v>
      </c>
      <c r="C420" s="15">
        <v>7</v>
      </c>
      <c r="D420" s="16" t="s">
        <v>46</v>
      </c>
      <c r="E420" s="16" t="s">
        <v>156</v>
      </c>
      <c r="F420" s="16" t="s">
        <v>183</v>
      </c>
      <c r="G420" s="16" t="s">
        <v>179</v>
      </c>
      <c r="H420" s="16" t="s">
        <v>354</v>
      </c>
      <c r="I420" s="15" t="s">
        <v>382</v>
      </c>
      <c r="J420" s="15">
        <v>10</v>
      </c>
      <c r="K420" s="10" t="s">
        <v>955</v>
      </c>
      <c r="L420" s="10" t="s">
        <v>722</v>
      </c>
      <c r="M420" s="19" t="s">
        <v>1434</v>
      </c>
      <c r="N420" s="19"/>
      <c r="Q420" s="16"/>
      <c r="S420" s="1">
        <f t="shared" si="297"/>
        <v>0</v>
      </c>
      <c r="T420" s="1">
        <f t="shared" si="298"/>
        <v>0</v>
      </c>
      <c r="U420" s="1">
        <f t="shared" si="299"/>
        <v>0</v>
      </c>
      <c r="V420" s="1">
        <f t="shared" si="300"/>
        <v>0</v>
      </c>
      <c r="W420" s="1">
        <f t="shared" si="301"/>
        <v>0</v>
      </c>
      <c r="X420" s="1">
        <f t="shared" si="302"/>
        <v>0</v>
      </c>
      <c r="Y420" s="1">
        <f t="shared" si="303"/>
        <v>0</v>
      </c>
      <c r="Z420" s="1">
        <f t="shared" si="304"/>
        <v>0</v>
      </c>
      <c r="AA420" s="1">
        <f t="shared" si="305"/>
        <v>0</v>
      </c>
      <c r="AB420" s="1">
        <f t="shared" si="306"/>
        <v>1</v>
      </c>
      <c r="AD420" s="1">
        <f t="shared" si="307"/>
        <v>0</v>
      </c>
      <c r="AE420" s="1">
        <f t="shared" si="308"/>
        <v>0</v>
      </c>
      <c r="AF420" s="1">
        <f t="shared" si="277"/>
        <v>0</v>
      </c>
      <c r="AG420" s="1">
        <f t="shared" si="278"/>
        <v>0</v>
      </c>
      <c r="AH420" s="1">
        <f t="shared" si="279"/>
        <v>0</v>
      </c>
      <c r="AI420" s="1">
        <f t="shared" si="280"/>
        <v>1</v>
      </c>
    </row>
    <row r="421" spans="1:35" ht="14.25" customHeight="1" x14ac:dyDescent="0.25">
      <c r="A421" s="44">
        <v>0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248</v>
      </c>
      <c r="G421" s="45" t="s">
        <v>249</v>
      </c>
      <c r="H421" s="45" t="s">
        <v>354</v>
      </c>
      <c r="I421" s="44" t="s">
        <v>411</v>
      </c>
      <c r="J421" s="44">
        <v>7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97"/>
        <v>0</v>
      </c>
      <c r="T421" s="1">
        <f t="shared" si="298"/>
        <v>0</v>
      </c>
      <c r="U421" s="1">
        <f t="shared" si="299"/>
        <v>0</v>
      </c>
      <c r="V421" s="1">
        <f t="shared" si="300"/>
        <v>0</v>
      </c>
      <c r="W421" s="1">
        <f t="shared" si="301"/>
        <v>0</v>
      </c>
      <c r="X421" s="1">
        <f t="shared" si="302"/>
        <v>0</v>
      </c>
      <c r="Y421" s="1">
        <f t="shared" si="303"/>
        <v>1</v>
      </c>
      <c r="Z421" s="1">
        <f t="shared" si="304"/>
        <v>0</v>
      </c>
      <c r="AA421" s="1">
        <f t="shared" si="305"/>
        <v>0</v>
      </c>
      <c r="AB421" s="1">
        <f t="shared" si="306"/>
        <v>0</v>
      </c>
      <c r="AD421" s="1">
        <f t="shared" si="307"/>
        <v>0</v>
      </c>
      <c r="AE421" s="1">
        <f t="shared" si="308"/>
        <v>0</v>
      </c>
      <c r="AF421" s="1">
        <f t="shared" si="277"/>
        <v>0</v>
      </c>
      <c r="AG421" s="1">
        <f t="shared" si="278"/>
        <v>0</v>
      </c>
      <c r="AH421" s="1">
        <f t="shared" si="279"/>
        <v>0</v>
      </c>
      <c r="AI421" s="1">
        <f t="shared" si="280"/>
        <v>1</v>
      </c>
    </row>
    <row r="422" spans="1:35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1039</v>
      </c>
      <c r="G422" s="45" t="s">
        <v>539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/>
      <c r="S422" s="1">
        <f t="shared" si="297"/>
        <v>1</v>
      </c>
      <c r="T422" s="1">
        <f t="shared" si="298"/>
        <v>0</v>
      </c>
      <c r="U422" s="1">
        <f t="shared" si="299"/>
        <v>0</v>
      </c>
      <c r="V422" s="1">
        <f t="shared" si="300"/>
        <v>0</v>
      </c>
      <c r="W422" s="1">
        <f t="shared" si="301"/>
        <v>0</v>
      </c>
      <c r="X422" s="1">
        <f t="shared" si="302"/>
        <v>0</v>
      </c>
      <c r="Y422" s="1">
        <f t="shared" si="303"/>
        <v>0</v>
      </c>
      <c r="Z422" s="1">
        <f t="shared" si="304"/>
        <v>0</v>
      </c>
      <c r="AA422" s="1">
        <f t="shared" si="305"/>
        <v>0</v>
      </c>
      <c r="AB422" s="1">
        <f t="shared" si="306"/>
        <v>0</v>
      </c>
      <c r="AD422" s="1">
        <f t="shared" si="307"/>
        <v>0</v>
      </c>
      <c r="AE422" s="1">
        <f t="shared" si="308"/>
        <v>0</v>
      </c>
      <c r="AF422" s="1">
        <f t="shared" si="277"/>
        <v>0</v>
      </c>
      <c r="AG422" s="1">
        <f t="shared" si="278"/>
        <v>0</v>
      </c>
      <c r="AH422" s="1">
        <f t="shared" si="279"/>
        <v>0</v>
      </c>
      <c r="AI422" s="1">
        <f t="shared" si="280"/>
        <v>0</v>
      </c>
    </row>
    <row r="423" spans="1:35" ht="14.25" customHeight="1" x14ac:dyDescent="0.25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250</v>
      </c>
      <c r="G423" s="45" t="s">
        <v>200</v>
      </c>
      <c r="H423" s="45" t="s">
        <v>354</v>
      </c>
      <c r="I423" s="44" t="s">
        <v>412</v>
      </c>
      <c r="J423" s="44">
        <v>2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97"/>
        <v>0</v>
      </c>
      <c r="T423" s="1">
        <f t="shared" si="298"/>
        <v>1</v>
      </c>
      <c r="U423" s="1">
        <f t="shared" si="299"/>
        <v>0</v>
      </c>
      <c r="V423" s="1">
        <f t="shared" si="300"/>
        <v>0</v>
      </c>
      <c r="W423" s="1">
        <f t="shared" si="301"/>
        <v>0</v>
      </c>
      <c r="X423" s="1">
        <f t="shared" si="302"/>
        <v>0</v>
      </c>
      <c r="Y423" s="1">
        <f t="shared" si="303"/>
        <v>0</v>
      </c>
      <c r="Z423" s="1">
        <f t="shared" si="304"/>
        <v>0</v>
      </c>
      <c r="AA423" s="1">
        <f t="shared" si="305"/>
        <v>0</v>
      </c>
      <c r="AB423" s="1">
        <f t="shared" si="306"/>
        <v>0</v>
      </c>
      <c r="AD423" s="1">
        <f t="shared" si="307"/>
        <v>0</v>
      </c>
      <c r="AE423" s="1">
        <f t="shared" si="308"/>
        <v>0</v>
      </c>
      <c r="AF423" s="1">
        <f t="shared" si="277"/>
        <v>0</v>
      </c>
      <c r="AG423" s="1">
        <f t="shared" si="278"/>
        <v>0</v>
      </c>
      <c r="AH423" s="1">
        <f t="shared" si="279"/>
        <v>0</v>
      </c>
      <c r="AI423" s="1">
        <f t="shared" si="280"/>
        <v>0</v>
      </c>
    </row>
    <row r="424" spans="1:35" ht="14.25" customHeight="1" x14ac:dyDescent="0.25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247</v>
      </c>
      <c r="G424" s="45" t="s">
        <v>1351</v>
      </c>
      <c r="H424" s="45" t="s">
        <v>354</v>
      </c>
      <c r="I424" s="44" t="s">
        <v>30</v>
      </c>
      <c r="J424" s="44">
        <v>1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 t="s">
        <v>1917</v>
      </c>
      <c r="S424" s="1">
        <f t="shared" si="297"/>
        <v>1</v>
      </c>
      <c r="T424" s="1">
        <f t="shared" si="298"/>
        <v>0</v>
      </c>
      <c r="U424" s="1">
        <f t="shared" si="299"/>
        <v>0</v>
      </c>
      <c r="V424" s="1">
        <f t="shared" si="300"/>
        <v>0</v>
      </c>
      <c r="W424" s="1">
        <f t="shared" si="301"/>
        <v>0</v>
      </c>
      <c r="X424" s="1">
        <f t="shared" si="302"/>
        <v>0</v>
      </c>
      <c r="Y424" s="1">
        <f t="shared" si="303"/>
        <v>0</v>
      </c>
      <c r="Z424" s="1">
        <f t="shared" si="304"/>
        <v>0</v>
      </c>
      <c r="AA424" s="1">
        <f t="shared" si="305"/>
        <v>0</v>
      </c>
      <c r="AB424" s="1">
        <f t="shared" si="306"/>
        <v>0</v>
      </c>
      <c r="AD424" s="1">
        <f t="shared" si="307"/>
        <v>0</v>
      </c>
      <c r="AE424" s="1">
        <f t="shared" si="308"/>
        <v>0</v>
      </c>
      <c r="AF424" s="1">
        <f t="shared" si="277"/>
        <v>0</v>
      </c>
      <c r="AG424" s="1">
        <f t="shared" si="278"/>
        <v>0</v>
      </c>
      <c r="AH424" s="1">
        <f t="shared" si="279"/>
        <v>0</v>
      </c>
      <c r="AI424" s="1">
        <f t="shared" si="280"/>
        <v>0</v>
      </c>
    </row>
    <row r="425" spans="1:35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252</v>
      </c>
      <c r="G425" s="45" t="s">
        <v>194</v>
      </c>
      <c r="H425" s="45" t="s">
        <v>354</v>
      </c>
      <c r="I425" s="44" t="s">
        <v>413</v>
      </c>
      <c r="J425" s="44">
        <v>9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297"/>
        <v>0</v>
      </c>
      <c r="T425" s="1">
        <f t="shared" si="298"/>
        <v>0</v>
      </c>
      <c r="U425" s="1">
        <f t="shared" si="299"/>
        <v>0</v>
      </c>
      <c r="V425" s="1">
        <f t="shared" si="300"/>
        <v>0</v>
      </c>
      <c r="W425" s="1">
        <f t="shared" si="301"/>
        <v>0</v>
      </c>
      <c r="X425" s="1">
        <f t="shared" si="302"/>
        <v>0</v>
      </c>
      <c r="Y425" s="1">
        <f t="shared" si="303"/>
        <v>0</v>
      </c>
      <c r="Z425" s="1">
        <f t="shared" si="304"/>
        <v>0</v>
      </c>
      <c r="AA425" s="1">
        <f t="shared" si="305"/>
        <v>1</v>
      </c>
      <c r="AB425" s="1">
        <f t="shared" si="306"/>
        <v>0</v>
      </c>
      <c r="AD425" s="1">
        <f t="shared" si="307"/>
        <v>0</v>
      </c>
      <c r="AE425" s="1">
        <f t="shared" si="308"/>
        <v>0</v>
      </c>
      <c r="AF425" s="1">
        <f t="shared" si="277"/>
        <v>0</v>
      </c>
      <c r="AG425" s="1">
        <f t="shared" si="278"/>
        <v>0</v>
      </c>
      <c r="AH425" s="1">
        <f t="shared" si="279"/>
        <v>0</v>
      </c>
      <c r="AI425" s="1">
        <f t="shared" si="280"/>
        <v>0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1023</v>
      </c>
      <c r="E426" s="45" t="s">
        <v>28</v>
      </c>
      <c r="F426" s="45" t="s">
        <v>1024</v>
      </c>
      <c r="G426" s="45" t="s">
        <v>194</v>
      </c>
      <c r="H426" s="45" t="s">
        <v>354</v>
      </c>
      <c r="I426" s="44" t="s">
        <v>1025</v>
      </c>
      <c r="J426" s="44">
        <v>9</v>
      </c>
      <c r="K426" s="46" t="s">
        <v>712</v>
      </c>
      <c r="L426" s="46" t="s">
        <v>713</v>
      </c>
      <c r="M426" s="47" t="s">
        <v>731</v>
      </c>
      <c r="N426" s="47" t="s">
        <v>1735</v>
      </c>
      <c r="O426" s="48"/>
      <c r="P426" s="48"/>
      <c r="Q426" s="45"/>
      <c r="S426" s="1">
        <f t="shared" si="297"/>
        <v>0</v>
      </c>
      <c r="T426" s="1">
        <f t="shared" si="298"/>
        <v>0</v>
      </c>
      <c r="U426" s="1">
        <f t="shared" si="299"/>
        <v>0</v>
      </c>
      <c r="V426" s="1">
        <f t="shared" si="300"/>
        <v>0</v>
      </c>
      <c r="W426" s="1">
        <f t="shared" si="301"/>
        <v>0</v>
      </c>
      <c r="X426" s="1">
        <f t="shared" si="302"/>
        <v>0</v>
      </c>
      <c r="Y426" s="1">
        <f t="shared" si="303"/>
        <v>0</v>
      </c>
      <c r="Z426" s="1">
        <f t="shared" si="304"/>
        <v>0</v>
      </c>
      <c r="AA426" s="1">
        <f t="shared" si="305"/>
        <v>1</v>
      </c>
      <c r="AB426" s="1">
        <f t="shared" si="306"/>
        <v>0</v>
      </c>
      <c r="AD426" s="1">
        <f t="shared" si="307"/>
        <v>0</v>
      </c>
      <c r="AE426" s="1">
        <f t="shared" si="308"/>
        <v>0</v>
      </c>
      <c r="AF426" s="1">
        <f t="shared" si="277"/>
        <v>0</v>
      </c>
      <c r="AG426" s="1">
        <f t="shared" si="278"/>
        <v>0</v>
      </c>
      <c r="AH426" s="1">
        <f t="shared" si="279"/>
        <v>0</v>
      </c>
      <c r="AI426" s="1">
        <f t="shared" si="28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1833</v>
      </c>
      <c r="E427" s="32" t="s">
        <v>1834</v>
      </c>
      <c r="F427" s="32" t="s">
        <v>1835</v>
      </c>
      <c r="G427" s="32" t="s">
        <v>207</v>
      </c>
      <c r="H427" s="32" t="s">
        <v>354</v>
      </c>
      <c r="I427" s="31" t="s">
        <v>30</v>
      </c>
      <c r="J427" s="31"/>
      <c r="K427" s="33" t="s">
        <v>703</v>
      </c>
      <c r="L427" s="33">
        <v>20</v>
      </c>
      <c r="M427" s="34" t="s">
        <v>1836</v>
      </c>
      <c r="N427" s="34" t="s">
        <v>1743</v>
      </c>
      <c r="O427" s="35">
        <v>1</v>
      </c>
      <c r="P427" s="35"/>
      <c r="Q427" s="32"/>
      <c r="S427" s="1">
        <f t="shared" si="297"/>
        <v>0</v>
      </c>
      <c r="T427" s="1">
        <f t="shared" si="298"/>
        <v>0</v>
      </c>
      <c r="U427" s="1">
        <f t="shared" si="299"/>
        <v>0</v>
      </c>
      <c r="V427" s="1">
        <f t="shared" si="300"/>
        <v>0</v>
      </c>
      <c r="W427" s="1">
        <f t="shared" si="301"/>
        <v>0</v>
      </c>
      <c r="X427" s="1">
        <f t="shared" si="302"/>
        <v>0</v>
      </c>
      <c r="Y427" s="1">
        <f t="shared" si="303"/>
        <v>0</v>
      </c>
      <c r="Z427" s="1">
        <f t="shared" si="304"/>
        <v>0</v>
      </c>
      <c r="AA427" s="1">
        <f t="shared" si="305"/>
        <v>0</v>
      </c>
      <c r="AB427" s="1">
        <f t="shared" si="306"/>
        <v>0</v>
      </c>
      <c r="AD427" s="1">
        <f t="shared" si="307"/>
        <v>0</v>
      </c>
      <c r="AE427" s="1">
        <f t="shared" si="308"/>
        <v>1</v>
      </c>
      <c r="AF427" s="1">
        <f t="shared" si="277"/>
        <v>0</v>
      </c>
      <c r="AG427" s="1">
        <f t="shared" si="278"/>
        <v>1</v>
      </c>
      <c r="AH427" s="1">
        <f t="shared" si="279"/>
        <v>0</v>
      </c>
      <c r="AI427" s="1">
        <f t="shared" si="280"/>
        <v>1</v>
      </c>
    </row>
    <row r="428" spans="1:35" ht="14.25" customHeight="1" x14ac:dyDescent="0.25">
      <c r="A428" s="49">
        <v>0</v>
      </c>
      <c r="B428" s="49">
        <v>2</v>
      </c>
      <c r="C428" s="49">
        <v>7</v>
      </c>
      <c r="D428" s="50" t="s">
        <v>1079</v>
      </c>
      <c r="E428" s="50" t="s">
        <v>544</v>
      </c>
      <c r="F428" s="50" t="s">
        <v>1060</v>
      </c>
      <c r="G428" s="50" t="s">
        <v>238</v>
      </c>
      <c r="H428" s="50" t="s">
        <v>354</v>
      </c>
      <c r="I428" s="49" t="s">
        <v>1061</v>
      </c>
      <c r="J428" s="49">
        <v>99</v>
      </c>
      <c r="K428" s="51" t="s">
        <v>955</v>
      </c>
      <c r="L428" s="51" t="s">
        <v>722</v>
      </c>
      <c r="M428" s="52" t="s">
        <v>1437</v>
      </c>
      <c r="N428" s="52" t="s">
        <v>1743</v>
      </c>
      <c r="O428" s="53">
        <v>1</v>
      </c>
      <c r="P428" s="53"/>
      <c r="Q428" s="50"/>
      <c r="S428" s="1">
        <f t="shared" ref="S428:S432" si="309">IF(J428=$S$7,1,0)</f>
        <v>0</v>
      </c>
      <c r="T428" s="1">
        <f t="shared" ref="T428:T432" si="310">IF(J428=$T$7,1,0)</f>
        <v>0</v>
      </c>
      <c r="U428" s="1">
        <f t="shared" ref="U428:U432" si="311">IF(J428=$U$7,1,0)</f>
        <v>0</v>
      </c>
      <c r="V428" s="1">
        <f t="shared" ref="V428:V432" si="312">IF(J428=$V$7,1,0)</f>
        <v>0</v>
      </c>
      <c r="W428" s="1">
        <f t="shared" ref="W428:W432" si="313">IF(J428=$W$7,1,0)</f>
        <v>0</v>
      </c>
      <c r="X428" s="1">
        <f t="shared" ref="X428:X432" si="314">IF(J428=$X$7,1,0)</f>
        <v>0</v>
      </c>
      <c r="Y428" s="1">
        <f t="shared" ref="Y428:Y432" si="315">IF(J428=$Y$7,1,0)</f>
        <v>0</v>
      </c>
      <c r="Z428" s="1">
        <f t="shared" ref="Z428:Z432" si="316">IF(J428=$Z$7,1,0)</f>
        <v>0</v>
      </c>
      <c r="AA428" s="1">
        <f t="shared" ref="AA428:AA432" si="317">IF(J428=$AA$7,1,0)</f>
        <v>0</v>
      </c>
      <c r="AB428" s="1">
        <f t="shared" ref="AB428:AB432" si="318">IF(J428=$AB$7,1,0)</f>
        <v>0</v>
      </c>
      <c r="AD428" s="1">
        <f t="shared" ref="AD428:AD432" si="319">+O428*P428</f>
        <v>0</v>
      </c>
      <c r="AE428" s="1">
        <f t="shared" ref="AE428:AE432" si="320">O428*(1-P428)</f>
        <v>1</v>
      </c>
      <c r="AF428" s="1">
        <f t="shared" ref="AF428:AF432" si="321">+O428*P428*(1-A428)</f>
        <v>0</v>
      </c>
      <c r="AG428" s="1">
        <f t="shared" ref="AG428:AG432" si="322">O428*(1-P428)*(1-A428)</f>
        <v>1</v>
      </c>
      <c r="AH428" s="1">
        <f t="shared" ref="AH428:AH432" si="323">+P428*(1-A428)</f>
        <v>0</v>
      </c>
      <c r="AI428" s="1">
        <f t="shared" ref="AI428:AI432" si="324">+(1-A428)*(1-P428)</f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1226</v>
      </c>
      <c r="E429" s="32" t="s">
        <v>156</v>
      </c>
      <c r="F429" s="32" t="s">
        <v>1227</v>
      </c>
      <c r="G429" s="32" t="s">
        <v>251</v>
      </c>
      <c r="H429" s="32" t="s">
        <v>354</v>
      </c>
      <c r="I429" s="31" t="s">
        <v>1228</v>
      </c>
      <c r="J429" s="31">
        <v>99</v>
      </c>
      <c r="K429" s="33" t="s">
        <v>713</v>
      </c>
      <c r="L429" s="33">
        <v>10</v>
      </c>
      <c r="M429" s="34" t="s">
        <v>1746</v>
      </c>
      <c r="N429" s="34" t="s">
        <v>1727</v>
      </c>
      <c r="O429" s="35">
        <v>1</v>
      </c>
      <c r="P429" s="35">
        <v>1</v>
      </c>
      <c r="Q429" s="32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0</v>
      </c>
      <c r="AD429" s="1">
        <f t="shared" si="319"/>
        <v>1</v>
      </c>
      <c r="AE429" s="1">
        <f t="shared" si="320"/>
        <v>0</v>
      </c>
      <c r="AF429" s="1">
        <f t="shared" si="321"/>
        <v>1</v>
      </c>
      <c r="AG429" s="1">
        <f t="shared" si="322"/>
        <v>0</v>
      </c>
      <c r="AH429" s="1">
        <f t="shared" si="323"/>
        <v>1</v>
      </c>
      <c r="AI429" s="1">
        <f t="shared" si="324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6" t="s">
        <v>1803</v>
      </c>
      <c r="E430" s="36" t="s">
        <v>28</v>
      </c>
      <c r="F430" s="36" t="s">
        <v>1804</v>
      </c>
      <c r="G430" s="36" t="s">
        <v>180</v>
      </c>
      <c r="H430" s="36" t="s">
        <v>354</v>
      </c>
      <c r="I430" s="37" t="s">
        <v>1805</v>
      </c>
      <c r="J430" s="31">
        <v>10</v>
      </c>
      <c r="K430" s="33" t="s">
        <v>703</v>
      </c>
      <c r="L430" s="33">
        <v>10</v>
      </c>
      <c r="M430" s="34"/>
      <c r="N430" s="34" t="s">
        <v>1727</v>
      </c>
      <c r="O430" s="35">
        <v>1</v>
      </c>
      <c r="P430" s="35">
        <v>1</v>
      </c>
      <c r="Q430" s="36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0</v>
      </c>
      <c r="AB430" s="1">
        <f t="shared" si="318"/>
        <v>1</v>
      </c>
      <c r="AD430" s="1">
        <f t="shared" si="319"/>
        <v>1</v>
      </c>
      <c r="AE430" s="1">
        <f t="shared" si="320"/>
        <v>0</v>
      </c>
      <c r="AF430" s="1">
        <f t="shared" si="321"/>
        <v>1</v>
      </c>
      <c r="AG430" s="1">
        <f t="shared" si="322"/>
        <v>0</v>
      </c>
      <c r="AH430" s="1">
        <f t="shared" si="323"/>
        <v>1</v>
      </c>
      <c r="AI430" s="1">
        <f t="shared" si="324"/>
        <v>0</v>
      </c>
    </row>
    <row r="431" spans="1:35" ht="14.25" customHeight="1" x14ac:dyDescent="0.25">
      <c r="A431" s="37">
        <v>0</v>
      </c>
      <c r="B431" s="37">
        <v>2</v>
      </c>
      <c r="C431" s="37">
        <v>7</v>
      </c>
      <c r="D431" s="36" t="s">
        <v>1585</v>
      </c>
      <c r="E431" s="36" t="s">
        <v>1651</v>
      </c>
      <c r="F431" s="36" t="s">
        <v>1586</v>
      </c>
      <c r="G431" s="36" t="s">
        <v>656</v>
      </c>
      <c r="H431" s="36" t="s">
        <v>354</v>
      </c>
      <c r="I431" s="37" t="s">
        <v>1587</v>
      </c>
      <c r="J431" s="37">
        <v>99</v>
      </c>
      <c r="K431" s="33" t="s">
        <v>713</v>
      </c>
      <c r="L431" s="33" t="s">
        <v>39</v>
      </c>
      <c r="M431" s="34" t="s">
        <v>39</v>
      </c>
      <c r="N431" s="34" t="s">
        <v>1727</v>
      </c>
      <c r="O431" s="35">
        <v>1</v>
      </c>
      <c r="P431" s="35">
        <v>1</v>
      </c>
      <c r="Q431" s="36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1</v>
      </c>
      <c r="AE431" s="1">
        <f t="shared" si="320"/>
        <v>0</v>
      </c>
      <c r="AF431" s="1">
        <f t="shared" si="321"/>
        <v>1</v>
      </c>
      <c r="AG431" s="1">
        <f t="shared" si="322"/>
        <v>0</v>
      </c>
      <c r="AH431" s="1">
        <f t="shared" si="323"/>
        <v>1</v>
      </c>
      <c r="AI431" s="1">
        <f t="shared" si="32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1537</v>
      </c>
      <c r="E432" s="45" t="s">
        <v>28</v>
      </c>
      <c r="F432" s="45" t="s">
        <v>1662</v>
      </c>
      <c r="G432" s="45" t="s">
        <v>287</v>
      </c>
      <c r="H432" s="45" t="s">
        <v>354</v>
      </c>
      <c r="I432" s="44" t="s">
        <v>1688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309"/>
        <v>0</v>
      </c>
      <c r="T432" s="1">
        <f t="shared" si="310"/>
        <v>0</v>
      </c>
      <c r="U432" s="1">
        <f t="shared" si="311"/>
        <v>0</v>
      </c>
      <c r="V432" s="1">
        <f t="shared" si="312"/>
        <v>0</v>
      </c>
      <c r="W432" s="1">
        <f t="shared" si="313"/>
        <v>0</v>
      </c>
      <c r="X432" s="1">
        <f t="shared" si="314"/>
        <v>0</v>
      </c>
      <c r="Y432" s="1">
        <f t="shared" si="315"/>
        <v>0</v>
      </c>
      <c r="Z432" s="1">
        <f t="shared" si="316"/>
        <v>0</v>
      </c>
      <c r="AA432" s="1">
        <f t="shared" si="317"/>
        <v>0</v>
      </c>
      <c r="AB432" s="1">
        <f t="shared" si="318"/>
        <v>0</v>
      </c>
      <c r="AD432" s="1">
        <f t="shared" si="319"/>
        <v>0</v>
      </c>
      <c r="AE432" s="1">
        <f t="shared" si="320"/>
        <v>0</v>
      </c>
      <c r="AF432" s="1">
        <f t="shared" si="321"/>
        <v>0</v>
      </c>
      <c r="AG432" s="1">
        <f t="shared" si="322"/>
        <v>0</v>
      </c>
      <c r="AH432" s="1">
        <f t="shared" si="323"/>
        <v>0</v>
      </c>
      <c r="AI432" s="1">
        <f t="shared" si="32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1328</v>
      </c>
      <c r="E433" s="45" t="s">
        <v>28</v>
      </c>
      <c r="F433" s="45" t="s">
        <v>572</v>
      </c>
      <c r="G433" s="45" t="s">
        <v>181</v>
      </c>
      <c r="H433" s="45" t="s">
        <v>354</v>
      </c>
      <c r="I433" s="44" t="s">
        <v>430</v>
      </c>
      <c r="J433" s="44">
        <v>7</v>
      </c>
      <c r="K433" s="46" t="s">
        <v>712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97"/>
        <v>0</v>
      </c>
      <c r="T433" s="1">
        <f t="shared" si="298"/>
        <v>0</v>
      </c>
      <c r="U433" s="1">
        <f t="shared" si="299"/>
        <v>0</v>
      </c>
      <c r="V433" s="1">
        <f t="shared" si="300"/>
        <v>0</v>
      </c>
      <c r="W433" s="1">
        <f t="shared" si="301"/>
        <v>0</v>
      </c>
      <c r="X433" s="1">
        <f t="shared" si="302"/>
        <v>0</v>
      </c>
      <c r="Y433" s="1">
        <f t="shared" si="303"/>
        <v>1</v>
      </c>
      <c r="Z433" s="1">
        <f t="shared" si="304"/>
        <v>0</v>
      </c>
      <c r="AA433" s="1">
        <f t="shared" si="305"/>
        <v>0</v>
      </c>
      <c r="AB433" s="1">
        <f t="shared" si="306"/>
        <v>0</v>
      </c>
      <c r="AD433" s="1">
        <f t="shared" si="307"/>
        <v>0</v>
      </c>
      <c r="AE433" s="1">
        <f t="shared" si="308"/>
        <v>0</v>
      </c>
      <c r="AF433" s="1">
        <f t="shared" si="277"/>
        <v>0</v>
      </c>
      <c r="AG433" s="1">
        <f t="shared" si="278"/>
        <v>0</v>
      </c>
      <c r="AH433" s="1">
        <f t="shared" si="279"/>
        <v>0</v>
      </c>
      <c r="AI433" s="1">
        <f t="shared" si="28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72</v>
      </c>
      <c r="E434" s="45" t="s">
        <v>28</v>
      </c>
      <c r="F434" s="65" t="s">
        <v>1875</v>
      </c>
      <c r="G434" s="45" t="s">
        <v>235</v>
      </c>
      <c r="H434" s="45" t="s">
        <v>354</v>
      </c>
      <c r="I434" s="44" t="s">
        <v>680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97"/>
        <v>0</v>
      </c>
      <c r="T434" s="1">
        <f t="shared" si="298"/>
        <v>0</v>
      </c>
      <c r="U434" s="1">
        <f t="shared" si="299"/>
        <v>0</v>
      </c>
      <c r="V434" s="1">
        <f t="shared" si="300"/>
        <v>0</v>
      </c>
      <c r="W434" s="1">
        <f t="shared" si="301"/>
        <v>0</v>
      </c>
      <c r="X434" s="1">
        <f t="shared" si="302"/>
        <v>0</v>
      </c>
      <c r="Y434" s="1">
        <f t="shared" si="303"/>
        <v>0</v>
      </c>
      <c r="Z434" s="1">
        <f t="shared" si="304"/>
        <v>0</v>
      </c>
      <c r="AA434" s="1">
        <f t="shared" si="305"/>
        <v>0</v>
      </c>
      <c r="AB434" s="1">
        <f t="shared" si="306"/>
        <v>0</v>
      </c>
      <c r="AD434" s="1">
        <f t="shared" si="307"/>
        <v>0</v>
      </c>
      <c r="AE434" s="1">
        <f t="shared" si="308"/>
        <v>0</v>
      </c>
      <c r="AF434" s="1">
        <f t="shared" si="277"/>
        <v>0</v>
      </c>
      <c r="AG434" s="1">
        <f t="shared" si="278"/>
        <v>0</v>
      </c>
      <c r="AH434" s="1">
        <f t="shared" si="279"/>
        <v>0</v>
      </c>
      <c r="AI434" s="1">
        <f t="shared" si="280"/>
        <v>1</v>
      </c>
    </row>
    <row r="435" spans="1:35" ht="14.25" customHeight="1" x14ac:dyDescent="0.25">
      <c r="A435" s="44">
        <v>1</v>
      </c>
      <c r="B435" s="44">
        <v>2</v>
      </c>
      <c r="C435" s="44">
        <v>7</v>
      </c>
      <c r="D435" s="45" t="s">
        <v>72</v>
      </c>
      <c r="E435" s="45" t="s">
        <v>28</v>
      </c>
      <c r="F435" s="45" t="s">
        <v>261</v>
      </c>
      <c r="G435" s="45" t="s">
        <v>220</v>
      </c>
      <c r="H435" s="45" t="s">
        <v>354</v>
      </c>
      <c r="I435" s="44" t="s">
        <v>420</v>
      </c>
      <c r="J435" s="44">
        <v>8</v>
      </c>
      <c r="K435" s="46" t="s">
        <v>713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297"/>
        <v>0</v>
      </c>
      <c r="T435" s="1">
        <f t="shared" si="298"/>
        <v>0</v>
      </c>
      <c r="U435" s="1">
        <f t="shared" si="299"/>
        <v>0</v>
      </c>
      <c r="V435" s="1">
        <f t="shared" si="300"/>
        <v>0</v>
      </c>
      <c r="W435" s="1">
        <f t="shared" si="301"/>
        <v>0</v>
      </c>
      <c r="X435" s="1">
        <f t="shared" si="302"/>
        <v>0</v>
      </c>
      <c r="Y435" s="1">
        <f t="shared" si="303"/>
        <v>0</v>
      </c>
      <c r="Z435" s="1">
        <f t="shared" si="304"/>
        <v>1</v>
      </c>
      <c r="AA435" s="1">
        <f t="shared" si="305"/>
        <v>0</v>
      </c>
      <c r="AB435" s="1">
        <f t="shared" si="306"/>
        <v>0</v>
      </c>
      <c r="AD435" s="1">
        <f t="shared" si="307"/>
        <v>0</v>
      </c>
      <c r="AE435" s="1">
        <f t="shared" si="308"/>
        <v>0</v>
      </c>
      <c r="AF435" s="1">
        <f t="shared" si="277"/>
        <v>0</v>
      </c>
      <c r="AG435" s="1">
        <f t="shared" si="278"/>
        <v>0</v>
      </c>
      <c r="AH435" s="1">
        <f t="shared" si="279"/>
        <v>0</v>
      </c>
      <c r="AI435" s="1">
        <f t="shared" si="280"/>
        <v>0</v>
      </c>
    </row>
    <row r="436" spans="1:35" ht="14.25" customHeight="1" x14ac:dyDescent="0.25">
      <c r="A436" s="44">
        <v>1</v>
      </c>
      <c r="B436" s="44">
        <v>2</v>
      </c>
      <c r="C436" s="44">
        <v>7</v>
      </c>
      <c r="D436" s="45" t="s">
        <v>72</v>
      </c>
      <c r="E436" s="45" t="s">
        <v>28</v>
      </c>
      <c r="F436" s="45" t="s">
        <v>260</v>
      </c>
      <c r="G436" s="45" t="s">
        <v>178</v>
      </c>
      <c r="H436" s="45" t="s">
        <v>354</v>
      </c>
      <c r="I436" s="44" t="s">
        <v>419</v>
      </c>
      <c r="J436" s="44">
        <v>1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297"/>
        <v>1</v>
      </c>
      <c r="T436" s="1">
        <f t="shared" si="298"/>
        <v>0</v>
      </c>
      <c r="U436" s="1">
        <f t="shared" si="299"/>
        <v>0</v>
      </c>
      <c r="V436" s="1">
        <f t="shared" si="300"/>
        <v>0</v>
      </c>
      <c r="W436" s="1">
        <f t="shared" si="301"/>
        <v>0</v>
      </c>
      <c r="X436" s="1">
        <f t="shared" si="302"/>
        <v>0</v>
      </c>
      <c r="Y436" s="1">
        <f t="shared" si="303"/>
        <v>0</v>
      </c>
      <c r="Z436" s="1">
        <f t="shared" si="304"/>
        <v>0</v>
      </c>
      <c r="AA436" s="1">
        <f t="shared" si="305"/>
        <v>0</v>
      </c>
      <c r="AB436" s="1">
        <f t="shared" si="306"/>
        <v>0</v>
      </c>
      <c r="AD436" s="1">
        <f t="shared" si="307"/>
        <v>0</v>
      </c>
      <c r="AE436" s="1">
        <f t="shared" si="308"/>
        <v>0</v>
      </c>
      <c r="AF436" s="1">
        <f t="shared" si="277"/>
        <v>0</v>
      </c>
      <c r="AG436" s="1">
        <f t="shared" si="278"/>
        <v>0</v>
      </c>
      <c r="AH436" s="1">
        <f t="shared" si="279"/>
        <v>0</v>
      </c>
      <c r="AI436" s="1">
        <f t="shared" si="280"/>
        <v>0</v>
      </c>
    </row>
    <row r="437" spans="1:35" ht="14.25" customHeight="1" x14ac:dyDescent="0.25">
      <c r="A437" s="15">
        <v>0</v>
      </c>
      <c r="B437" s="15">
        <v>2</v>
      </c>
      <c r="C437" s="15">
        <v>7</v>
      </c>
      <c r="D437" s="16" t="s">
        <v>778</v>
      </c>
      <c r="E437" s="16" t="s">
        <v>28</v>
      </c>
      <c r="F437" s="16" t="s">
        <v>779</v>
      </c>
      <c r="G437" s="16" t="s">
        <v>279</v>
      </c>
      <c r="H437" s="16" t="s">
        <v>354</v>
      </c>
      <c r="I437" s="15" t="s">
        <v>780</v>
      </c>
      <c r="J437" s="15">
        <v>99</v>
      </c>
      <c r="K437" s="10" t="s">
        <v>713</v>
      </c>
      <c r="L437" s="10" t="s">
        <v>713</v>
      </c>
      <c r="M437" s="19" t="s">
        <v>731</v>
      </c>
      <c r="N437" s="17"/>
      <c r="Q437" s="16"/>
      <c r="S437" s="1">
        <f t="shared" si="297"/>
        <v>0</v>
      </c>
      <c r="T437" s="1">
        <f t="shared" si="298"/>
        <v>0</v>
      </c>
      <c r="U437" s="1">
        <f t="shared" si="299"/>
        <v>0</v>
      </c>
      <c r="V437" s="1">
        <f t="shared" si="300"/>
        <v>0</v>
      </c>
      <c r="W437" s="1">
        <f t="shared" si="301"/>
        <v>0</v>
      </c>
      <c r="X437" s="1">
        <f t="shared" si="302"/>
        <v>0</v>
      </c>
      <c r="Y437" s="1">
        <f t="shared" si="303"/>
        <v>0</v>
      </c>
      <c r="Z437" s="1">
        <f t="shared" si="304"/>
        <v>0</v>
      </c>
      <c r="AA437" s="1">
        <f t="shared" si="305"/>
        <v>0</v>
      </c>
      <c r="AB437" s="1">
        <f t="shared" si="306"/>
        <v>0</v>
      </c>
      <c r="AD437" s="1">
        <f t="shared" si="307"/>
        <v>0</v>
      </c>
      <c r="AE437" s="1">
        <f t="shared" si="308"/>
        <v>0</v>
      </c>
      <c r="AF437" s="1">
        <f t="shared" si="277"/>
        <v>0</v>
      </c>
      <c r="AG437" s="1">
        <f t="shared" si="278"/>
        <v>0</v>
      </c>
      <c r="AH437" s="1">
        <f t="shared" si="279"/>
        <v>0</v>
      </c>
      <c r="AI437" s="1">
        <f t="shared" si="280"/>
        <v>1</v>
      </c>
    </row>
    <row r="438" spans="1:35" ht="14.25" customHeight="1" x14ac:dyDescent="0.25">
      <c r="A438" s="15">
        <v>0</v>
      </c>
      <c r="B438" s="15">
        <v>2</v>
      </c>
      <c r="C438" s="15">
        <v>7</v>
      </c>
      <c r="D438" s="16" t="s">
        <v>85</v>
      </c>
      <c r="E438" s="16" t="s">
        <v>28</v>
      </c>
      <c r="F438" s="16" t="s">
        <v>278</v>
      </c>
      <c r="G438" s="16" t="s">
        <v>279</v>
      </c>
      <c r="H438" s="16" t="s">
        <v>354</v>
      </c>
      <c r="I438" s="15" t="s">
        <v>434</v>
      </c>
      <c r="J438" s="15">
        <v>99</v>
      </c>
      <c r="K438" s="10" t="s">
        <v>713</v>
      </c>
      <c r="L438" s="10" t="s">
        <v>713</v>
      </c>
      <c r="M438" s="19" t="s">
        <v>731</v>
      </c>
      <c r="N438" s="17"/>
      <c r="Q438" s="16"/>
      <c r="S438" s="1">
        <f t="shared" si="297"/>
        <v>0</v>
      </c>
      <c r="T438" s="1">
        <f t="shared" si="298"/>
        <v>0</v>
      </c>
      <c r="U438" s="1">
        <f t="shared" si="299"/>
        <v>0</v>
      </c>
      <c r="V438" s="1">
        <f t="shared" si="300"/>
        <v>0</v>
      </c>
      <c r="W438" s="1">
        <f t="shared" si="301"/>
        <v>0</v>
      </c>
      <c r="X438" s="1">
        <f t="shared" si="302"/>
        <v>0</v>
      </c>
      <c r="Y438" s="1">
        <f t="shared" si="303"/>
        <v>0</v>
      </c>
      <c r="Z438" s="1">
        <f t="shared" si="304"/>
        <v>0</v>
      </c>
      <c r="AA438" s="1">
        <f t="shared" si="305"/>
        <v>0</v>
      </c>
      <c r="AB438" s="1">
        <f t="shared" si="306"/>
        <v>0</v>
      </c>
      <c r="AD438" s="1">
        <f t="shared" si="307"/>
        <v>0</v>
      </c>
      <c r="AE438" s="1">
        <f t="shared" si="308"/>
        <v>0</v>
      </c>
      <c r="AF438" s="1">
        <f t="shared" si="277"/>
        <v>0</v>
      </c>
      <c r="AG438" s="1">
        <f t="shared" si="278"/>
        <v>0</v>
      </c>
      <c r="AH438" s="1">
        <f t="shared" si="279"/>
        <v>0</v>
      </c>
      <c r="AI438" s="1">
        <f t="shared" si="280"/>
        <v>1</v>
      </c>
    </row>
    <row r="439" spans="1:35" ht="14.25" customHeight="1" x14ac:dyDescent="0.25">
      <c r="A439" s="37">
        <v>0</v>
      </c>
      <c r="B439" s="37">
        <v>2</v>
      </c>
      <c r="C439" s="37">
        <v>7</v>
      </c>
      <c r="D439" s="36" t="s">
        <v>1937</v>
      </c>
      <c r="E439" s="36" t="s">
        <v>28</v>
      </c>
      <c r="F439" s="36" t="s">
        <v>1938</v>
      </c>
      <c r="G439" s="36" t="s">
        <v>185</v>
      </c>
      <c r="H439" s="36" t="s">
        <v>354</v>
      </c>
      <c r="I439" s="37" t="s">
        <v>1939</v>
      </c>
      <c r="J439" s="37">
        <v>99</v>
      </c>
      <c r="K439" s="33" t="s">
        <v>703</v>
      </c>
      <c r="L439" s="33">
        <v>4</v>
      </c>
      <c r="M439" s="34" t="s">
        <v>731</v>
      </c>
      <c r="N439" s="34" t="s">
        <v>1743</v>
      </c>
      <c r="O439" s="35">
        <v>1</v>
      </c>
      <c r="P439" s="35"/>
      <c r="Q439" s="36" t="s">
        <v>1940</v>
      </c>
      <c r="S439" s="1">
        <f t="shared" si="297"/>
        <v>0</v>
      </c>
      <c r="T439" s="1">
        <f t="shared" si="298"/>
        <v>0</v>
      </c>
      <c r="U439" s="1">
        <f t="shared" si="299"/>
        <v>0</v>
      </c>
      <c r="V439" s="1">
        <f t="shared" si="300"/>
        <v>0</v>
      </c>
      <c r="W439" s="1">
        <f t="shared" si="301"/>
        <v>0</v>
      </c>
      <c r="X439" s="1">
        <f t="shared" si="302"/>
        <v>0</v>
      </c>
      <c r="Y439" s="1">
        <f t="shared" si="303"/>
        <v>0</v>
      </c>
      <c r="Z439" s="1">
        <f t="shared" si="304"/>
        <v>0</v>
      </c>
      <c r="AA439" s="1">
        <f t="shared" si="305"/>
        <v>0</v>
      </c>
      <c r="AB439" s="1">
        <f t="shared" si="306"/>
        <v>0</v>
      </c>
      <c r="AD439" s="1">
        <f t="shared" si="307"/>
        <v>0</v>
      </c>
      <c r="AE439" s="1">
        <f t="shared" si="308"/>
        <v>1</v>
      </c>
      <c r="AF439" s="1">
        <f t="shared" si="277"/>
        <v>0</v>
      </c>
      <c r="AG439" s="1">
        <f t="shared" si="278"/>
        <v>1</v>
      </c>
      <c r="AH439" s="1">
        <f t="shared" si="279"/>
        <v>0</v>
      </c>
      <c r="AI439" s="1">
        <f t="shared" si="280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553</v>
      </c>
      <c r="E440" s="45" t="s">
        <v>28</v>
      </c>
      <c r="F440" s="65" t="s">
        <v>1876</v>
      </c>
      <c r="G440" s="45" t="s">
        <v>556</v>
      </c>
      <c r="H440" s="45" t="s">
        <v>354</v>
      </c>
      <c r="I440" s="44" t="s">
        <v>557</v>
      </c>
      <c r="J440" s="44">
        <v>99</v>
      </c>
      <c r="K440" s="46" t="s">
        <v>713</v>
      </c>
      <c r="L440" s="46" t="s">
        <v>713</v>
      </c>
      <c r="M440" s="47" t="s">
        <v>731</v>
      </c>
      <c r="N440" s="47" t="s">
        <v>1802</v>
      </c>
      <c r="O440" s="48"/>
      <c r="P440" s="48"/>
      <c r="Q440" s="45"/>
      <c r="S440" s="1">
        <f t="shared" si="297"/>
        <v>0</v>
      </c>
      <c r="T440" s="1">
        <f t="shared" si="298"/>
        <v>0</v>
      </c>
      <c r="U440" s="1">
        <f t="shared" si="299"/>
        <v>0</v>
      </c>
      <c r="V440" s="1">
        <f t="shared" si="300"/>
        <v>0</v>
      </c>
      <c r="W440" s="1">
        <f t="shared" si="301"/>
        <v>0</v>
      </c>
      <c r="X440" s="1">
        <f t="shared" si="302"/>
        <v>0</v>
      </c>
      <c r="Y440" s="1">
        <f t="shared" si="303"/>
        <v>0</v>
      </c>
      <c r="Z440" s="1">
        <f t="shared" si="304"/>
        <v>0</v>
      </c>
      <c r="AA440" s="1">
        <f t="shared" si="305"/>
        <v>0</v>
      </c>
      <c r="AB440" s="1">
        <f t="shared" si="306"/>
        <v>0</v>
      </c>
      <c r="AD440" s="1">
        <f t="shared" si="307"/>
        <v>0</v>
      </c>
      <c r="AE440" s="1">
        <f t="shared" si="308"/>
        <v>0</v>
      </c>
      <c r="AF440" s="1">
        <f t="shared" si="277"/>
        <v>0</v>
      </c>
      <c r="AG440" s="1">
        <f t="shared" si="278"/>
        <v>0</v>
      </c>
      <c r="AH440" s="1">
        <f t="shared" si="279"/>
        <v>0</v>
      </c>
      <c r="AI440" s="1">
        <f t="shared" si="280"/>
        <v>1</v>
      </c>
    </row>
    <row r="441" spans="1:35" ht="14.25" customHeight="1" x14ac:dyDescent="0.25">
      <c r="A441" s="44">
        <v>1</v>
      </c>
      <c r="B441" s="44">
        <v>2</v>
      </c>
      <c r="C441" s="44">
        <v>7</v>
      </c>
      <c r="D441" s="45" t="s">
        <v>553</v>
      </c>
      <c r="E441" s="45" t="s">
        <v>28</v>
      </c>
      <c r="F441" s="65" t="s">
        <v>1877</v>
      </c>
      <c r="G441" s="45" t="s">
        <v>554</v>
      </c>
      <c r="H441" s="45" t="s">
        <v>354</v>
      </c>
      <c r="I441" s="44" t="s">
        <v>555</v>
      </c>
      <c r="J441" s="44">
        <v>99</v>
      </c>
      <c r="K441" s="46" t="s">
        <v>713</v>
      </c>
      <c r="L441" s="46" t="s">
        <v>713</v>
      </c>
      <c r="M441" s="47" t="s">
        <v>731</v>
      </c>
      <c r="N441" s="47" t="s">
        <v>1802</v>
      </c>
      <c r="O441" s="48"/>
      <c r="P441" s="48"/>
      <c r="Q441" s="45"/>
      <c r="S441" s="1">
        <f t="shared" si="297"/>
        <v>0</v>
      </c>
      <c r="T441" s="1">
        <f t="shared" si="298"/>
        <v>0</v>
      </c>
      <c r="U441" s="1">
        <f t="shared" si="299"/>
        <v>0</v>
      </c>
      <c r="V441" s="1">
        <f t="shared" si="300"/>
        <v>0</v>
      </c>
      <c r="W441" s="1">
        <f t="shared" si="301"/>
        <v>0</v>
      </c>
      <c r="X441" s="1">
        <f t="shared" si="302"/>
        <v>0</v>
      </c>
      <c r="Y441" s="1">
        <f t="shared" si="303"/>
        <v>0</v>
      </c>
      <c r="Z441" s="1">
        <f t="shared" si="304"/>
        <v>0</v>
      </c>
      <c r="AA441" s="1">
        <f t="shared" si="305"/>
        <v>0</v>
      </c>
      <c r="AB441" s="1">
        <f t="shared" si="306"/>
        <v>0</v>
      </c>
      <c r="AD441" s="1">
        <f t="shared" si="307"/>
        <v>0</v>
      </c>
      <c r="AE441" s="1">
        <f t="shared" si="308"/>
        <v>0</v>
      </c>
      <c r="AF441" s="1">
        <f t="shared" si="277"/>
        <v>0</v>
      </c>
      <c r="AG441" s="1">
        <f t="shared" si="278"/>
        <v>0</v>
      </c>
      <c r="AH441" s="1">
        <f t="shared" si="279"/>
        <v>0</v>
      </c>
      <c r="AI441" s="1">
        <f t="shared" si="280"/>
        <v>0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1185</v>
      </c>
      <c r="E442" s="45" t="s">
        <v>28</v>
      </c>
      <c r="F442" s="45" t="s">
        <v>1678</v>
      </c>
      <c r="G442" s="45" t="s">
        <v>235</v>
      </c>
      <c r="H442" s="45" t="s">
        <v>354</v>
      </c>
      <c r="I442" s="44" t="s">
        <v>1366</v>
      </c>
      <c r="J442" s="44">
        <v>99</v>
      </c>
      <c r="K442" s="46" t="s">
        <v>712</v>
      </c>
      <c r="L442" s="46" t="s">
        <v>713</v>
      </c>
      <c r="M442" s="47" t="s">
        <v>731</v>
      </c>
      <c r="N442" s="47" t="s">
        <v>1735</v>
      </c>
      <c r="O442" s="48"/>
      <c r="P442" s="48"/>
      <c r="Q442" s="45"/>
      <c r="S442" s="1">
        <f t="shared" si="297"/>
        <v>0</v>
      </c>
      <c r="T442" s="1">
        <f t="shared" si="298"/>
        <v>0</v>
      </c>
      <c r="U442" s="1">
        <f t="shared" si="299"/>
        <v>0</v>
      </c>
      <c r="V442" s="1">
        <f t="shared" si="300"/>
        <v>0</v>
      </c>
      <c r="W442" s="1">
        <f t="shared" si="301"/>
        <v>0</v>
      </c>
      <c r="X442" s="1">
        <f t="shared" si="302"/>
        <v>0</v>
      </c>
      <c r="Y442" s="1">
        <f t="shared" si="303"/>
        <v>0</v>
      </c>
      <c r="Z442" s="1">
        <f t="shared" si="304"/>
        <v>0</v>
      </c>
      <c r="AA442" s="1">
        <f t="shared" si="305"/>
        <v>0</v>
      </c>
      <c r="AB442" s="1">
        <f t="shared" si="306"/>
        <v>0</v>
      </c>
      <c r="AD442" s="1">
        <f t="shared" si="307"/>
        <v>0</v>
      </c>
      <c r="AE442" s="1">
        <f t="shared" si="308"/>
        <v>0</v>
      </c>
      <c r="AF442" s="1">
        <f t="shared" si="277"/>
        <v>0</v>
      </c>
      <c r="AG442" s="1">
        <f t="shared" si="278"/>
        <v>0</v>
      </c>
      <c r="AH442" s="1">
        <f t="shared" si="279"/>
        <v>0</v>
      </c>
      <c r="AI442" s="1">
        <f t="shared" si="280"/>
        <v>1</v>
      </c>
    </row>
    <row r="443" spans="1:35" ht="14.25" customHeight="1" x14ac:dyDescent="0.25">
      <c r="A443" s="44">
        <v>1</v>
      </c>
      <c r="B443" s="44">
        <v>2</v>
      </c>
      <c r="C443" s="44">
        <v>7</v>
      </c>
      <c r="D443" s="45" t="s">
        <v>1185</v>
      </c>
      <c r="E443" s="45" t="s">
        <v>28</v>
      </c>
      <c r="F443" s="45" t="s">
        <v>1679</v>
      </c>
      <c r="G443" s="45" t="s">
        <v>1352</v>
      </c>
      <c r="H443" s="45" t="s">
        <v>354</v>
      </c>
      <c r="I443" s="44" t="s">
        <v>1367</v>
      </c>
      <c r="J443" s="44">
        <v>99</v>
      </c>
      <c r="K443" s="46" t="s">
        <v>712</v>
      </c>
      <c r="L443" s="46" t="s">
        <v>713</v>
      </c>
      <c r="M443" s="47" t="s">
        <v>731</v>
      </c>
      <c r="N443" s="47" t="s">
        <v>1735</v>
      </c>
      <c r="O443" s="48"/>
      <c r="P443" s="48"/>
      <c r="Q443" s="45"/>
      <c r="S443" s="1">
        <f t="shared" si="297"/>
        <v>0</v>
      </c>
      <c r="T443" s="1">
        <f t="shared" si="298"/>
        <v>0</v>
      </c>
      <c r="U443" s="1">
        <f t="shared" si="299"/>
        <v>0</v>
      </c>
      <c r="V443" s="1">
        <f t="shared" si="300"/>
        <v>0</v>
      </c>
      <c r="W443" s="1">
        <f t="shared" si="301"/>
        <v>0</v>
      </c>
      <c r="X443" s="1">
        <f t="shared" si="302"/>
        <v>0</v>
      </c>
      <c r="Y443" s="1">
        <f t="shared" si="303"/>
        <v>0</v>
      </c>
      <c r="Z443" s="1">
        <f t="shared" si="304"/>
        <v>0</v>
      </c>
      <c r="AA443" s="1">
        <f t="shared" si="305"/>
        <v>0</v>
      </c>
      <c r="AB443" s="1">
        <f t="shared" si="306"/>
        <v>0</v>
      </c>
      <c r="AD443" s="1">
        <f t="shared" si="307"/>
        <v>0</v>
      </c>
      <c r="AE443" s="1">
        <f t="shared" si="308"/>
        <v>0</v>
      </c>
      <c r="AF443" s="1">
        <f t="shared" si="277"/>
        <v>0</v>
      </c>
      <c r="AG443" s="1">
        <f t="shared" si="278"/>
        <v>0</v>
      </c>
      <c r="AH443" s="1">
        <f t="shared" si="279"/>
        <v>0</v>
      </c>
      <c r="AI443" s="1">
        <f t="shared" si="280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1253</v>
      </c>
      <c r="E444" s="32" t="s">
        <v>28</v>
      </c>
      <c r="F444" s="32" t="s">
        <v>1252</v>
      </c>
      <c r="G444" s="32" t="s">
        <v>1237</v>
      </c>
      <c r="H444" s="32" t="s">
        <v>354</v>
      </c>
      <c r="I444" s="31" t="s">
        <v>1254</v>
      </c>
      <c r="J444" s="31">
        <v>99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97"/>
        <v>0</v>
      </c>
      <c r="T444" s="1">
        <f t="shared" si="298"/>
        <v>0</v>
      </c>
      <c r="U444" s="1">
        <f t="shared" si="299"/>
        <v>0</v>
      </c>
      <c r="V444" s="1">
        <f t="shared" si="300"/>
        <v>0</v>
      </c>
      <c r="W444" s="1">
        <f t="shared" si="301"/>
        <v>0</v>
      </c>
      <c r="X444" s="1">
        <f t="shared" si="302"/>
        <v>0</v>
      </c>
      <c r="Y444" s="1">
        <f t="shared" si="303"/>
        <v>0</v>
      </c>
      <c r="Z444" s="1">
        <f t="shared" si="304"/>
        <v>0</v>
      </c>
      <c r="AA444" s="1">
        <f t="shared" si="305"/>
        <v>0</v>
      </c>
      <c r="AB444" s="1">
        <f t="shared" si="306"/>
        <v>0</v>
      </c>
      <c r="AD444" s="1">
        <f t="shared" si="307"/>
        <v>0</v>
      </c>
      <c r="AE444" s="1">
        <f t="shared" si="308"/>
        <v>1</v>
      </c>
      <c r="AF444" s="1">
        <f t="shared" si="277"/>
        <v>0</v>
      </c>
      <c r="AG444" s="1">
        <f t="shared" si="278"/>
        <v>1</v>
      </c>
      <c r="AH444" s="1">
        <f t="shared" si="279"/>
        <v>0</v>
      </c>
      <c r="AI444" s="1">
        <f t="shared" si="280"/>
        <v>1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1253</v>
      </c>
      <c r="E445" s="32" t="s">
        <v>28</v>
      </c>
      <c r="F445" s="32" t="s">
        <v>1251</v>
      </c>
      <c r="G445" s="32" t="s">
        <v>39</v>
      </c>
      <c r="H445" s="32" t="s">
        <v>354</v>
      </c>
      <c r="I445" s="31" t="s">
        <v>1255</v>
      </c>
      <c r="J445" s="31">
        <v>9</v>
      </c>
      <c r="K445" s="33" t="s">
        <v>703</v>
      </c>
      <c r="L445" s="33" t="s">
        <v>713</v>
      </c>
      <c r="M445" s="34" t="s">
        <v>731</v>
      </c>
      <c r="N445" s="34" t="s">
        <v>1743</v>
      </c>
      <c r="O445" s="35">
        <v>1</v>
      </c>
      <c r="P445" s="35"/>
      <c r="Q445" s="32"/>
      <c r="S445" s="1">
        <f t="shared" si="297"/>
        <v>0</v>
      </c>
      <c r="T445" s="1">
        <f t="shared" si="298"/>
        <v>0</v>
      </c>
      <c r="U445" s="1">
        <f t="shared" si="299"/>
        <v>0</v>
      </c>
      <c r="V445" s="1">
        <f t="shared" si="300"/>
        <v>0</v>
      </c>
      <c r="W445" s="1">
        <f t="shared" si="301"/>
        <v>0</v>
      </c>
      <c r="X445" s="1">
        <f t="shared" si="302"/>
        <v>0</v>
      </c>
      <c r="Y445" s="1">
        <f t="shared" si="303"/>
        <v>0</v>
      </c>
      <c r="Z445" s="1">
        <f t="shared" si="304"/>
        <v>0</v>
      </c>
      <c r="AA445" s="1">
        <f t="shared" si="305"/>
        <v>1</v>
      </c>
      <c r="AB445" s="1">
        <f t="shared" si="306"/>
        <v>0</v>
      </c>
      <c r="AD445" s="1">
        <f t="shared" si="307"/>
        <v>0</v>
      </c>
      <c r="AE445" s="1">
        <f t="shared" si="308"/>
        <v>1</v>
      </c>
      <c r="AF445" s="1">
        <f t="shared" si="277"/>
        <v>0</v>
      </c>
      <c r="AG445" s="1">
        <f t="shared" si="278"/>
        <v>0</v>
      </c>
      <c r="AH445" s="1">
        <f t="shared" si="279"/>
        <v>0</v>
      </c>
      <c r="AI445" s="1">
        <f t="shared" si="28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1253</v>
      </c>
      <c r="E446" s="32" t="s">
        <v>28</v>
      </c>
      <c r="F446" s="36" t="s">
        <v>1824</v>
      </c>
      <c r="G446" s="36" t="s">
        <v>258</v>
      </c>
      <c r="H446" s="32" t="s">
        <v>354</v>
      </c>
      <c r="I446" s="37" t="s">
        <v>30</v>
      </c>
      <c r="J446" s="31">
        <v>8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297"/>
        <v>0</v>
      </c>
      <c r="T446" s="1">
        <f t="shared" si="298"/>
        <v>0</v>
      </c>
      <c r="U446" s="1">
        <f t="shared" si="299"/>
        <v>0</v>
      </c>
      <c r="V446" s="1">
        <f t="shared" si="300"/>
        <v>0</v>
      </c>
      <c r="W446" s="1">
        <f t="shared" si="301"/>
        <v>0</v>
      </c>
      <c r="X446" s="1">
        <f t="shared" si="302"/>
        <v>0</v>
      </c>
      <c r="Y446" s="1">
        <f t="shared" si="303"/>
        <v>0</v>
      </c>
      <c r="Z446" s="1">
        <f t="shared" si="304"/>
        <v>1</v>
      </c>
      <c r="AA446" s="1">
        <f t="shared" si="305"/>
        <v>0</v>
      </c>
      <c r="AB446" s="1">
        <f t="shared" si="306"/>
        <v>0</v>
      </c>
      <c r="AD446" s="1">
        <f t="shared" si="307"/>
        <v>0</v>
      </c>
      <c r="AE446" s="1">
        <f t="shared" si="308"/>
        <v>1</v>
      </c>
      <c r="AF446" s="1">
        <f t="shared" si="277"/>
        <v>0</v>
      </c>
      <c r="AG446" s="1">
        <f t="shared" si="278"/>
        <v>0</v>
      </c>
      <c r="AH446" s="1">
        <f t="shared" si="279"/>
        <v>0</v>
      </c>
      <c r="AI446" s="1">
        <f t="shared" si="28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51</v>
      </c>
      <c r="E447" s="32" t="s">
        <v>28</v>
      </c>
      <c r="F447" s="32" t="s">
        <v>674</v>
      </c>
      <c r="G447" s="32" t="s">
        <v>185</v>
      </c>
      <c r="H447" s="32" t="s">
        <v>354</v>
      </c>
      <c r="I447" s="31" t="s">
        <v>390</v>
      </c>
      <c r="J447" s="31">
        <v>99</v>
      </c>
      <c r="K447" s="33" t="s">
        <v>712</v>
      </c>
      <c r="L447" s="33" t="s">
        <v>713</v>
      </c>
      <c r="M447" s="34" t="s">
        <v>731</v>
      </c>
      <c r="N447" s="34" t="s">
        <v>1749</v>
      </c>
      <c r="O447" s="35">
        <v>1</v>
      </c>
      <c r="P447" s="35"/>
      <c r="Q447" s="32"/>
      <c r="S447" s="1">
        <f t="shared" si="297"/>
        <v>0</v>
      </c>
      <c r="T447" s="1">
        <f t="shared" si="298"/>
        <v>0</v>
      </c>
      <c r="U447" s="1">
        <f t="shared" si="299"/>
        <v>0</v>
      </c>
      <c r="V447" s="1">
        <f t="shared" si="300"/>
        <v>0</v>
      </c>
      <c r="W447" s="1">
        <f t="shared" si="301"/>
        <v>0</v>
      </c>
      <c r="X447" s="1">
        <f t="shared" si="302"/>
        <v>0</v>
      </c>
      <c r="Y447" s="1">
        <f t="shared" si="303"/>
        <v>0</v>
      </c>
      <c r="Z447" s="1">
        <f t="shared" si="304"/>
        <v>0</v>
      </c>
      <c r="AA447" s="1">
        <f t="shared" si="305"/>
        <v>0</v>
      </c>
      <c r="AB447" s="1">
        <f t="shared" si="306"/>
        <v>0</v>
      </c>
      <c r="AD447" s="1">
        <f t="shared" si="307"/>
        <v>0</v>
      </c>
      <c r="AE447" s="1">
        <f t="shared" si="308"/>
        <v>1</v>
      </c>
      <c r="AF447" s="1">
        <f t="shared" si="277"/>
        <v>0</v>
      </c>
      <c r="AG447" s="1">
        <f t="shared" si="278"/>
        <v>1</v>
      </c>
      <c r="AH447" s="1">
        <f t="shared" si="279"/>
        <v>0</v>
      </c>
      <c r="AI447" s="1">
        <f t="shared" si="280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1081</v>
      </c>
      <c r="E448" s="45" t="s">
        <v>28</v>
      </c>
      <c r="F448" s="45" t="s">
        <v>998</v>
      </c>
      <c r="G448" s="45" t="s">
        <v>240</v>
      </c>
      <c r="H448" s="45" t="s">
        <v>354</v>
      </c>
      <c r="I448" s="44" t="s">
        <v>1106</v>
      </c>
      <c r="J448" s="44">
        <v>1</v>
      </c>
      <c r="K448" s="46" t="s">
        <v>712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97"/>
        <v>1</v>
      </c>
      <c r="T448" s="1">
        <f t="shared" si="298"/>
        <v>0</v>
      </c>
      <c r="U448" s="1">
        <f t="shared" si="299"/>
        <v>0</v>
      </c>
      <c r="V448" s="1">
        <f t="shared" si="300"/>
        <v>0</v>
      </c>
      <c r="W448" s="1">
        <f t="shared" si="301"/>
        <v>0</v>
      </c>
      <c r="X448" s="1">
        <f t="shared" si="302"/>
        <v>0</v>
      </c>
      <c r="Y448" s="1">
        <f t="shared" si="303"/>
        <v>0</v>
      </c>
      <c r="Z448" s="1">
        <f t="shared" si="304"/>
        <v>0</v>
      </c>
      <c r="AA448" s="1">
        <f t="shared" si="305"/>
        <v>0</v>
      </c>
      <c r="AB448" s="1">
        <f t="shared" si="306"/>
        <v>0</v>
      </c>
      <c r="AD448" s="1">
        <f t="shared" si="307"/>
        <v>0</v>
      </c>
      <c r="AE448" s="1">
        <f t="shared" si="308"/>
        <v>0</v>
      </c>
      <c r="AF448" s="1">
        <f t="shared" si="277"/>
        <v>0</v>
      </c>
      <c r="AG448" s="1">
        <f t="shared" si="278"/>
        <v>0</v>
      </c>
      <c r="AH448" s="1">
        <f t="shared" si="279"/>
        <v>0</v>
      </c>
      <c r="AI448" s="1">
        <f t="shared" si="280"/>
        <v>1</v>
      </c>
    </row>
    <row r="449" spans="1:35" ht="14.25" customHeight="1" x14ac:dyDescent="0.25">
      <c r="A449" s="44">
        <v>1</v>
      </c>
      <c r="B449" s="44">
        <v>2</v>
      </c>
      <c r="C449" s="44">
        <v>7</v>
      </c>
      <c r="D449" s="45" t="s">
        <v>1081</v>
      </c>
      <c r="E449" s="45" t="s">
        <v>28</v>
      </c>
      <c r="F449" s="45" t="s">
        <v>999</v>
      </c>
      <c r="G449" s="45" t="s">
        <v>1099</v>
      </c>
      <c r="H449" s="45" t="s">
        <v>354</v>
      </c>
      <c r="I449" s="44" t="s">
        <v>1107</v>
      </c>
      <c r="J449" s="44">
        <v>1</v>
      </c>
      <c r="K449" s="46" t="s">
        <v>712</v>
      </c>
      <c r="L449" s="46" t="s">
        <v>713</v>
      </c>
      <c r="M449" s="47" t="s">
        <v>731</v>
      </c>
      <c r="N449" s="47" t="s">
        <v>1735</v>
      </c>
      <c r="O449" s="48"/>
      <c r="P449" s="48"/>
      <c r="Q449" s="45"/>
      <c r="S449" s="1">
        <f t="shared" si="297"/>
        <v>1</v>
      </c>
      <c r="T449" s="1">
        <f t="shared" si="298"/>
        <v>0</v>
      </c>
      <c r="U449" s="1">
        <f t="shared" si="299"/>
        <v>0</v>
      </c>
      <c r="V449" s="1">
        <f t="shared" si="300"/>
        <v>0</v>
      </c>
      <c r="W449" s="1">
        <f t="shared" si="301"/>
        <v>0</v>
      </c>
      <c r="X449" s="1">
        <f t="shared" si="302"/>
        <v>0</v>
      </c>
      <c r="Y449" s="1">
        <f t="shared" si="303"/>
        <v>0</v>
      </c>
      <c r="Z449" s="1">
        <f t="shared" si="304"/>
        <v>0</v>
      </c>
      <c r="AA449" s="1">
        <f t="shared" si="305"/>
        <v>0</v>
      </c>
      <c r="AB449" s="1">
        <f t="shared" si="306"/>
        <v>0</v>
      </c>
      <c r="AD449" s="1">
        <f t="shared" si="307"/>
        <v>0</v>
      </c>
      <c r="AE449" s="1">
        <f t="shared" si="308"/>
        <v>0</v>
      </c>
      <c r="AF449" s="1">
        <f t="shared" si="277"/>
        <v>0</v>
      </c>
      <c r="AG449" s="1">
        <f t="shared" si="278"/>
        <v>0</v>
      </c>
      <c r="AH449" s="1">
        <f t="shared" si="279"/>
        <v>0</v>
      </c>
      <c r="AI449" s="1">
        <f t="shared" si="280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1638</v>
      </c>
      <c r="E450" s="32" t="s">
        <v>156</v>
      </c>
      <c r="F450" s="32" t="s">
        <v>1491</v>
      </c>
      <c r="G450" s="32" t="s">
        <v>1492</v>
      </c>
      <c r="H450" s="32" t="s">
        <v>354</v>
      </c>
      <c r="I450" s="31" t="s">
        <v>1493</v>
      </c>
      <c r="J450" s="31">
        <v>99</v>
      </c>
      <c r="K450" s="33" t="s">
        <v>955</v>
      </c>
      <c r="L450" s="33" t="s">
        <v>722</v>
      </c>
      <c r="M450" s="34" t="s">
        <v>732</v>
      </c>
      <c r="N450" s="34" t="s">
        <v>1748</v>
      </c>
      <c r="O450" s="35">
        <v>1</v>
      </c>
      <c r="P450" s="35"/>
      <c r="Q450" s="32"/>
      <c r="S450" s="1">
        <f t="shared" si="297"/>
        <v>0</v>
      </c>
      <c r="T450" s="1">
        <f t="shared" si="298"/>
        <v>0</v>
      </c>
      <c r="U450" s="1">
        <f t="shared" si="299"/>
        <v>0</v>
      </c>
      <c r="V450" s="1">
        <f t="shared" si="300"/>
        <v>0</v>
      </c>
      <c r="W450" s="1">
        <f t="shared" si="301"/>
        <v>0</v>
      </c>
      <c r="X450" s="1">
        <f t="shared" si="302"/>
        <v>0</v>
      </c>
      <c r="Y450" s="1">
        <f t="shared" si="303"/>
        <v>0</v>
      </c>
      <c r="Z450" s="1">
        <f t="shared" si="304"/>
        <v>0</v>
      </c>
      <c r="AA450" s="1">
        <f t="shared" si="305"/>
        <v>0</v>
      </c>
      <c r="AB450" s="1">
        <f t="shared" si="306"/>
        <v>0</v>
      </c>
      <c r="AD450" s="1">
        <f t="shared" si="307"/>
        <v>0</v>
      </c>
      <c r="AE450" s="1">
        <f t="shared" si="308"/>
        <v>1</v>
      </c>
      <c r="AF450" s="1">
        <f t="shared" si="277"/>
        <v>0</v>
      </c>
      <c r="AG450" s="1">
        <f t="shared" si="278"/>
        <v>1</v>
      </c>
      <c r="AH450" s="1">
        <f t="shared" si="279"/>
        <v>0</v>
      </c>
      <c r="AI450" s="1">
        <f t="shared" si="280"/>
        <v>1</v>
      </c>
    </row>
    <row r="451" spans="1:35" ht="14.25" customHeight="1" x14ac:dyDescent="0.25">
      <c r="A451" s="44">
        <v>0</v>
      </c>
      <c r="B451" s="44">
        <v>2</v>
      </c>
      <c r="C451" s="44">
        <v>7</v>
      </c>
      <c r="D451" s="45" t="s">
        <v>82</v>
      </c>
      <c r="E451" s="45" t="s">
        <v>28</v>
      </c>
      <c r="F451" s="45" t="s">
        <v>274</v>
      </c>
      <c r="G451" s="45" t="s">
        <v>275</v>
      </c>
      <c r="H451" s="45" t="s">
        <v>354</v>
      </c>
      <c r="I451" s="44" t="s">
        <v>429</v>
      </c>
      <c r="J451" s="44">
        <v>7</v>
      </c>
      <c r="K451" s="46" t="s">
        <v>955</v>
      </c>
      <c r="L451" s="46" t="s">
        <v>954</v>
      </c>
      <c r="M451" s="47" t="s">
        <v>968</v>
      </c>
      <c r="N451" s="47" t="s">
        <v>1809</v>
      </c>
      <c r="O451" s="48"/>
      <c r="P451" s="48"/>
      <c r="Q451" s="45"/>
      <c r="S451" s="1">
        <f t="shared" si="297"/>
        <v>0</v>
      </c>
      <c r="T451" s="1">
        <f t="shared" si="298"/>
        <v>0</v>
      </c>
      <c r="U451" s="1">
        <f t="shared" si="299"/>
        <v>0</v>
      </c>
      <c r="V451" s="1">
        <f t="shared" si="300"/>
        <v>0</v>
      </c>
      <c r="W451" s="1">
        <f t="shared" si="301"/>
        <v>0</v>
      </c>
      <c r="X451" s="1">
        <f t="shared" si="302"/>
        <v>0</v>
      </c>
      <c r="Y451" s="1">
        <f t="shared" si="303"/>
        <v>1</v>
      </c>
      <c r="Z451" s="1">
        <f t="shared" si="304"/>
        <v>0</v>
      </c>
      <c r="AA451" s="1">
        <f t="shared" si="305"/>
        <v>0</v>
      </c>
      <c r="AB451" s="1">
        <f t="shared" si="306"/>
        <v>0</v>
      </c>
      <c r="AD451" s="1">
        <f t="shared" si="307"/>
        <v>0</v>
      </c>
      <c r="AE451" s="1">
        <f t="shared" si="308"/>
        <v>0</v>
      </c>
      <c r="AF451" s="1">
        <f t="shared" si="277"/>
        <v>0</v>
      </c>
      <c r="AG451" s="1">
        <f t="shared" si="278"/>
        <v>0</v>
      </c>
      <c r="AH451" s="1">
        <f t="shared" si="279"/>
        <v>0</v>
      </c>
      <c r="AI451" s="1">
        <f t="shared" si="280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76</v>
      </c>
      <c r="E452" s="45" t="s">
        <v>28</v>
      </c>
      <c r="F452" s="45" t="s">
        <v>1681</v>
      </c>
      <c r="G452" s="45" t="s">
        <v>190</v>
      </c>
      <c r="H452" s="45" t="s">
        <v>354</v>
      </c>
      <c r="I452" s="44" t="s">
        <v>423</v>
      </c>
      <c r="J452" s="44">
        <v>99</v>
      </c>
      <c r="K452" s="46" t="s">
        <v>954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297"/>
        <v>0</v>
      </c>
      <c r="T452" s="1">
        <f t="shared" si="298"/>
        <v>0</v>
      </c>
      <c r="U452" s="1">
        <f t="shared" si="299"/>
        <v>0</v>
      </c>
      <c r="V452" s="1">
        <f t="shared" si="300"/>
        <v>0</v>
      </c>
      <c r="W452" s="1">
        <f t="shared" si="301"/>
        <v>0</v>
      </c>
      <c r="X452" s="1">
        <f t="shared" si="302"/>
        <v>0</v>
      </c>
      <c r="Y452" s="1">
        <f t="shared" si="303"/>
        <v>0</v>
      </c>
      <c r="Z452" s="1">
        <f t="shared" si="304"/>
        <v>0</v>
      </c>
      <c r="AA452" s="1">
        <f t="shared" si="305"/>
        <v>0</v>
      </c>
      <c r="AB452" s="1">
        <f t="shared" si="306"/>
        <v>0</v>
      </c>
      <c r="AD452" s="1">
        <f t="shared" si="307"/>
        <v>0</v>
      </c>
      <c r="AE452" s="1">
        <f t="shared" si="308"/>
        <v>0</v>
      </c>
      <c r="AF452" s="1">
        <f t="shared" si="277"/>
        <v>0</v>
      </c>
      <c r="AG452" s="1">
        <f t="shared" si="278"/>
        <v>0</v>
      </c>
      <c r="AH452" s="1">
        <f t="shared" si="279"/>
        <v>0</v>
      </c>
      <c r="AI452" s="1">
        <f t="shared" si="280"/>
        <v>1</v>
      </c>
    </row>
    <row r="453" spans="1:35" ht="14.25" customHeight="1" x14ac:dyDescent="0.25">
      <c r="A453" s="15">
        <v>0</v>
      </c>
      <c r="B453" s="15">
        <v>2</v>
      </c>
      <c r="C453" s="15">
        <v>7</v>
      </c>
      <c r="D453" s="20" t="s">
        <v>2034</v>
      </c>
      <c r="E453" s="16" t="s">
        <v>2038</v>
      </c>
      <c r="F453" s="20" t="s">
        <v>2035</v>
      </c>
      <c r="G453" s="20" t="s">
        <v>2036</v>
      </c>
      <c r="H453" s="20" t="s">
        <v>354</v>
      </c>
      <c r="I453" s="21" t="s">
        <v>2037</v>
      </c>
      <c r="J453" s="15">
        <v>99</v>
      </c>
      <c r="K453" s="10" t="s">
        <v>703</v>
      </c>
      <c r="L453" s="10">
        <v>20</v>
      </c>
      <c r="M453" s="19" t="s">
        <v>2040</v>
      </c>
      <c r="N453" s="19"/>
      <c r="Q453" s="20" t="s">
        <v>2039</v>
      </c>
      <c r="S453" s="1">
        <f t="shared" si="297"/>
        <v>0</v>
      </c>
      <c r="T453" s="1">
        <f t="shared" si="298"/>
        <v>0</v>
      </c>
      <c r="U453" s="1">
        <f t="shared" si="299"/>
        <v>0</v>
      </c>
      <c r="V453" s="1">
        <f t="shared" si="300"/>
        <v>0</v>
      </c>
      <c r="W453" s="1">
        <f t="shared" si="301"/>
        <v>0</v>
      </c>
      <c r="X453" s="1">
        <f t="shared" si="302"/>
        <v>0</v>
      </c>
      <c r="Y453" s="1">
        <f t="shared" si="303"/>
        <v>0</v>
      </c>
      <c r="Z453" s="1">
        <f t="shared" si="304"/>
        <v>0</v>
      </c>
      <c r="AA453" s="1">
        <f t="shared" si="305"/>
        <v>0</v>
      </c>
      <c r="AB453" s="1">
        <f t="shared" si="306"/>
        <v>0</v>
      </c>
      <c r="AD453" s="1">
        <f t="shared" ref="AD453:AD456" si="325">+O453*P453</f>
        <v>0</v>
      </c>
      <c r="AE453" s="1">
        <f t="shared" ref="AE453:AE456" si="326">O453*(1-P453)</f>
        <v>0</v>
      </c>
      <c r="AF453" s="1">
        <f t="shared" ref="AF453:AF456" si="327">+O453*P453*(1-A453)</f>
        <v>0</v>
      </c>
      <c r="AG453" s="1">
        <f t="shared" ref="AG453:AG456" si="328">O453*(1-P453)*(1-A453)</f>
        <v>0</v>
      </c>
      <c r="AH453" s="1">
        <f t="shared" ref="AH453:AH456" si="329">+P453*(1-A453)</f>
        <v>0</v>
      </c>
      <c r="AI453" s="1">
        <f t="shared" ref="AI453:AI456" si="330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1640</v>
      </c>
      <c r="E454" s="32" t="s">
        <v>163</v>
      </c>
      <c r="F454" s="32" t="s">
        <v>244</v>
      </c>
      <c r="G454" s="32" t="s">
        <v>218</v>
      </c>
      <c r="H454" s="32" t="s">
        <v>354</v>
      </c>
      <c r="I454" s="31" t="s">
        <v>408</v>
      </c>
      <c r="J454" s="31">
        <v>99</v>
      </c>
      <c r="K454" s="33" t="s">
        <v>713</v>
      </c>
      <c r="L454" s="33" t="s">
        <v>722</v>
      </c>
      <c r="M454" s="34" t="s">
        <v>732</v>
      </c>
      <c r="N454" s="34" t="s">
        <v>1727</v>
      </c>
      <c r="O454" s="35">
        <v>1</v>
      </c>
      <c r="P454" s="35">
        <v>1</v>
      </c>
      <c r="Q454" s="32"/>
      <c r="S454" s="1">
        <f t="shared" si="297"/>
        <v>0</v>
      </c>
      <c r="T454" s="1">
        <f t="shared" si="298"/>
        <v>0</v>
      </c>
      <c r="U454" s="1">
        <f t="shared" si="299"/>
        <v>0</v>
      </c>
      <c r="V454" s="1">
        <f t="shared" si="300"/>
        <v>0</v>
      </c>
      <c r="W454" s="1">
        <f t="shared" si="301"/>
        <v>0</v>
      </c>
      <c r="X454" s="1">
        <f t="shared" si="302"/>
        <v>0</v>
      </c>
      <c r="Y454" s="1">
        <f t="shared" si="303"/>
        <v>0</v>
      </c>
      <c r="Z454" s="1">
        <f t="shared" si="304"/>
        <v>0</v>
      </c>
      <c r="AA454" s="1">
        <f t="shared" si="305"/>
        <v>0</v>
      </c>
      <c r="AB454" s="1">
        <f t="shared" si="306"/>
        <v>0</v>
      </c>
      <c r="AD454" s="1">
        <f t="shared" si="325"/>
        <v>1</v>
      </c>
      <c r="AE454" s="1">
        <f t="shared" si="326"/>
        <v>0</v>
      </c>
      <c r="AF454" s="1">
        <f t="shared" si="327"/>
        <v>1</v>
      </c>
      <c r="AG454" s="1">
        <f t="shared" si="328"/>
        <v>0</v>
      </c>
      <c r="AH454" s="1">
        <f t="shared" si="329"/>
        <v>1</v>
      </c>
      <c r="AI454" s="1">
        <f t="shared" si="330"/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1538</v>
      </c>
      <c r="E455" s="32" t="s">
        <v>156</v>
      </c>
      <c r="F455" s="32" t="s">
        <v>1539</v>
      </c>
      <c r="G455" s="32" t="s">
        <v>39</v>
      </c>
      <c r="H455" s="32" t="s">
        <v>354</v>
      </c>
      <c r="I455" s="31" t="s">
        <v>1540</v>
      </c>
      <c r="J455" s="31">
        <v>99</v>
      </c>
      <c r="K455" s="33" t="s">
        <v>713</v>
      </c>
      <c r="L455" s="33" t="s">
        <v>722</v>
      </c>
      <c r="M455" s="34" t="s">
        <v>732</v>
      </c>
      <c r="N455" s="34" t="s">
        <v>1748</v>
      </c>
      <c r="O455" s="35">
        <v>1</v>
      </c>
      <c r="P455" s="35"/>
      <c r="Q455" s="32"/>
      <c r="S455" s="1">
        <f t="shared" si="297"/>
        <v>0</v>
      </c>
      <c r="T455" s="1">
        <f t="shared" si="298"/>
        <v>0</v>
      </c>
      <c r="U455" s="1">
        <f t="shared" si="299"/>
        <v>0</v>
      </c>
      <c r="V455" s="1">
        <f t="shared" si="300"/>
        <v>0</v>
      </c>
      <c r="W455" s="1">
        <f t="shared" si="301"/>
        <v>0</v>
      </c>
      <c r="X455" s="1">
        <f t="shared" si="302"/>
        <v>0</v>
      </c>
      <c r="Y455" s="1">
        <f t="shared" si="303"/>
        <v>0</v>
      </c>
      <c r="Z455" s="1">
        <f t="shared" si="304"/>
        <v>0</v>
      </c>
      <c r="AA455" s="1">
        <f t="shared" si="305"/>
        <v>0</v>
      </c>
      <c r="AB455" s="1">
        <f t="shared" si="306"/>
        <v>0</v>
      </c>
      <c r="AD455" s="1">
        <f t="shared" si="325"/>
        <v>0</v>
      </c>
      <c r="AE455" s="1">
        <f t="shared" si="326"/>
        <v>1</v>
      </c>
      <c r="AF455" s="1">
        <f t="shared" si="327"/>
        <v>0</v>
      </c>
      <c r="AG455" s="1">
        <f t="shared" si="328"/>
        <v>1</v>
      </c>
      <c r="AH455" s="1">
        <f t="shared" si="329"/>
        <v>0</v>
      </c>
      <c r="AI455" s="1">
        <f t="shared" si="330"/>
        <v>1</v>
      </c>
    </row>
    <row r="456" spans="1:35" ht="14.25" customHeight="1" x14ac:dyDescent="0.25">
      <c r="A456" s="44">
        <v>0</v>
      </c>
      <c r="B456" s="44">
        <v>2</v>
      </c>
      <c r="C456" s="44">
        <v>7</v>
      </c>
      <c r="D456" s="45" t="s">
        <v>1262</v>
      </c>
      <c r="E456" s="45" t="s">
        <v>1524</v>
      </c>
      <c r="F456" s="45" t="s">
        <v>1355</v>
      </c>
      <c r="G456" s="45" t="s">
        <v>186</v>
      </c>
      <c r="H456" s="45" t="s">
        <v>354</v>
      </c>
      <c r="I456" s="44" t="s">
        <v>1368</v>
      </c>
      <c r="J456" s="44">
        <v>1</v>
      </c>
      <c r="K456" s="46" t="s">
        <v>713</v>
      </c>
      <c r="L456" s="46" t="s">
        <v>716</v>
      </c>
      <c r="M456" s="47" t="s">
        <v>1438</v>
      </c>
      <c r="N456" s="47" t="s">
        <v>1735</v>
      </c>
      <c r="O456" s="48"/>
      <c r="P456" s="48"/>
      <c r="Q456" s="45"/>
      <c r="S456" s="1">
        <f t="shared" si="297"/>
        <v>1</v>
      </c>
      <c r="T456" s="1">
        <f t="shared" si="298"/>
        <v>0</v>
      </c>
      <c r="U456" s="1">
        <f t="shared" si="299"/>
        <v>0</v>
      </c>
      <c r="V456" s="1">
        <f t="shared" si="300"/>
        <v>0</v>
      </c>
      <c r="W456" s="1">
        <f t="shared" si="301"/>
        <v>0</v>
      </c>
      <c r="X456" s="1">
        <f t="shared" si="302"/>
        <v>0</v>
      </c>
      <c r="Y456" s="1">
        <f t="shared" si="303"/>
        <v>0</v>
      </c>
      <c r="Z456" s="1">
        <f t="shared" si="304"/>
        <v>0</v>
      </c>
      <c r="AA456" s="1">
        <f t="shared" si="305"/>
        <v>0</v>
      </c>
      <c r="AB456" s="1">
        <f t="shared" si="306"/>
        <v>0</v>
      </c>
      <c r="AD456" s="1">
        <f t="shared" si="325"/>
        <v>0</v>
      </c>
      <c r="AE456" s="1">
        <f t="shared" si="326"/>
        <v>0</v>
      </c>
      <c r="AF456" s="1">
        <f t="shared" si="327"/>
        <v>0</v>
      </c>
      <c r="AG456" s="1">
        <f t="shared" si="328"/>
        <v>0</v>
      </c>
      <c r="AH456" s="1">
        <f t="shared" si="329"/>
        <v>0</v>
      </c>
      <c r="AI456" s="1">
        <f t="shared" si="330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974</v>
      </c>
      <c r="G457" s="32" t="s">
        <v>1101</v>
      </c>
      <c r="H457" s="32" t="s">
        <v>354</v>
      </c>
      <c r="I457" s="31" t="s">
        <v>1108</v>
      </c>
      <c r="J457" s="31">
        <v>99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97"/>
        <v>0</v>
      </c>
      <c r="T457" s="1">
        <f t="shared" si="298"/>
        <v>0</v>
      </c>
      <c r="U457" s="1">
        <f t="shared" si="299"/>
        <v>0</v>
      </c>
      <c r="V457" s="1">
        <f t="shared" si="300"/>
        <v>0</v>
      </c>
      <c r="W457" s="1">
        <f t="shared" si="301"/>
        <v>0</v>
      </c>
      <c r="X457" s="1">
        <f t="shared" si="302"/>
        <v>0</v>
      </c>
      <c r="Y457" s="1">
        <f t="shared" si="303"/>
        <v>0</v>
      </c>
      <c r="Z457" s="1">
        <f t="shared" si="304"/>
        <v>0</v>
      </c>
      <c r="AA457" s="1">
        <f t="shared" si="305"/>
        <v>0</v>
      </c>
      <c r="AB457" s="1">
        <f t="shared" si="306"/>
        <v>0</v>
      </c>
      <c r="AD457" s="1">
        <f t="shared" si="307"/>
        <v>0</v>
      </c>
      <c r="AE457" s="1">
        <f t="shared" si="308"/>
        <v>1</v>
      </c>
      <c r="AF457" s="1">
        <f t="shared" si="277"/>
        <v>0</v>
      </c>
      <c r="AG457" s="1">
        <f t="shared" si="278"/>
        <v>1</v>
      </c>
      <c r="AH457" s="1">
        <f t="shared" si="279"/>
        <v>0</v>
      </c>
      <c r="AI457" s="1">
        <f t="shared" si="280"/>
        <v>1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245</v>
      </c>
      <c r="G458" s="32" t="s">
        <v>224</v>
      </c>
      <c r="H458" s="32" t="s">
        <v>354</v>
      </c>
      <c r="I458" s="31" t="s">
        <v>409</v>
      </c>
      <c r="J458" s="31">
        <v>99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97"/>
        <v>0</v>
      </c>
      <c r="T458" s="1">
        <f t="shared" si="298"/>
        <v>0</v>
      </c>
      <c r="U458" s="1">
        <f t="shared" si="299"/>
        <v>0</v>
      </c>
      <c r="V458" s="1">
        <f t="shared" si="300"/>
        <v>0</v>
      </c>
      <c r="W458" s="1">
        <f t="shared" si="301"/>
        <v>0</v>
      </c>
      <c r="X458" s="1">
        <f t="shared" si="302"/>
        <v>0</v>
      </c>
      <c r="Y458" s="1">
        <f t="shared" si="303"/>
        <v>0</v>
      </c>
      <c r="Z458" s="1">
        <f t="shared" si="304"/>
        <v>0</v>
      </c>
      <c r="AA458" s="1">
        <f t="shared" si="305"/>
        <v>0</v>
      </c>
      <c r="AB458" s="1">
        <f t="shared" si="306"/>
        <v>0</v>
      </c>
      <c r="AD458" s="1">
        <f t="shared" si="307"/>
        <v>0</v>
      </c>
      <c r="AE458" s="1">
        <f t="shared" si="308"/>
        <v>1</v>
      </c>
      <c r="AF458" s="1">
        <f t="shared" si="277"/>
        <v>0</v>
      </c>
      <c r="AG458" s="1">
        <f t="shared" si="278"/>
        <v>0</v>
      </c>
      <c r="AH458" s="1">
        <f t="shared" si="279"/>
        <v>0</v>
      </c>
      <c r="AI458" s="1">
        <f t="shared" si="280"/>
        <v>0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246</v>
      </c>
      <c r="G459" s="32" t="s">
        <v>220</v>
      </c>
      <c r="H459" s="32" t="s">
        <v>354</v>
      </c>
      <c r="I459" s="31" t="s">
        <v>410</v>
      </c>
      <c r="J459" s="31">
        <v>8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 t="s">
        <v>2017</v>
      </c>
      <c r="S459" s="1">
        <f t="shared" si="297"/>
        <v>0</v>
      </c>
      <c r="T459" s="1">
        <f t="shared" si="298"/>
        <v>0</v>
      </c>
      <c r="U459" s="1">
        <f t="shared" si="299"/>
        <v>0</v>
      </c>
      <c r="V459" s="1">
        <f t="shared" si="300"/>
        <v>0</v>
      </c>
      <c r="W459" s="1">
        <f t="shared" si="301"/>
        <v>0</v>
      </c>
      <c r="X459" s="1">
        <f t="shared" si="302"/>
        <v>0</v>
      </c>
      <c r="Y459" s="1">
        <f t="shared" si="303"/>
        <v>0</v>
      </c>
      <c r="Z459" s="1">
        <f t="shared" si="304"/>
        <v>1</v>
      </c>
      <c r="AA459" s="1">
        <f t="shared" si="305"/>
        <v>0</v>
      </c>
      <c r="AB459" s="1">
        <f t="shared" si="306"/>
        <v>0</v>
      </c>
      <c r="AD459" s="1">
        <f t="shared" si="307"/>
        <v>0</v>
      </c>
      <c r="AE459" s="1">
        <f t="shared" si="308"/>
        <v>1</v>
      </c>
      <c r="AF459" s="1">
        <f t="shared" si="277"/>
        <v>0</v>
      </c>
      <c r="AG459" s="1">
        <f t="shared" si="278"/>
        <v>0</v>
      </c>
      <c r="AH459" s="1">
        <f t="shared" si="279"/>
        <v>0</v>
      </c>
      <c r="AI459" s="1">
        <f t="shared" si="280"/>
        <v>0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1034</v>
      </c>
      <c r="G460" s="32" t="s">
        <v>39</v>
      </c>
      <c r="H460" s="32" t="s">
        <v>354</v>
      </c>
      <c r="I460" s="31" t="s">
        <v>1035</v>
      </c>
      <c r="J460" s="31">
        <v>1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297"/>
        <v>1</v>
      </c>
      <c r="T460" s="1">
        <f t="shared" si="298"/>
        <v>0</v>
      </c>
      <c r="U460" s="1">
        <f t="shared" si="299"/>
        <v>0</v>
      </c>
      <c r="V460" s="1">
        <f t="shared" si="300"/>
        <v>0</v>
      </c>
      <c r="W460" s="1">
        <f t="shared" si="301"/>
        <v>0</v>
      </c>
      <c r="X460" s="1">
        <f t="shared" si="302"/>
        <v>0</v>
      </c>
      <c r="Y460" s="1">
        <f t="shared" si="303"/>
        <v>0</v>
      </c>
      <c r="Z460" s="1">
        <f t="shared" si="304"/>
        <v>0</v>
      </c>
      <c r="AA460" s="1">
        <f t="shared" si="305"/>
        <v>0</v>
      </c>
      <c r="AB460" s="1">
        <f t="shared" si="306"/>
        <v>0</v>
      </c>
      <c r="AD460" s="1">
        <f t="shared" si="307"/>
        <v>0</v>
      </c>
      <c r="AE460" s="1">
        <f t="shared" si="308"/>
        <v>1</v>
      </c>
      <c r="AF460" s="1">
        <f t="shared" si="277"/>
        <v>0</v>
      </c>
      <c r="AG460" s="1">
        <f t="shared" si="278"/>
        <v>0</v>
      </c>
      <c r="AH460" s="1">
        <f t="shared" si="279"/>
        <v>0</v>
      </c>
      <c r="AI460" s="1">
        <f t="shared" si="280"/>
        <v>0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1036</v>
      </c>
      <c r="G461" s="32" t="s">
        <v>302</v>
      </c>
      <c r="H461" s="32" t="s">
        <v>354</v>
      </c>
      <c r="I461" s="31" t="s">
        <v>1037</v>
      </c>
      <c r="J461" s="31">
        <v>1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297"/>
        <v>1</v>
      </c>
      <c r="T461" s="1">
        <f t="shared" si="298"/>
        <v>0</v>
      </c>
      <c r="U461" s="1">
        <f t="shared" si="299"/>
        <v>0</v>
      </c>
      <c r="V461" s="1">
        <f t="shared" si="300"/>
        <v>0</v>
      </c>
      <c r="W461" s="1">
        <f t="shared" si="301"/>
        <v>0</v>
      </c>
      <c r="X461" s="1">
        <f t="shared" si="302"/>
        <v>0</v>
      </c>
      <c r="Y461" s="1">
        <f t="shared" si="303"/>
        <v>0</v>
      </c>
      <c r="Z461" s="1">
        <f t="shared" si="304"/>
        <v>0</v>
      </c>
      <c r="AA461" s="1">
        <f t="shared" si="305"/>
        <v>0</v>
      </c>
      <c r="AB461" s="1">
        <f t="shared" si="306"/>
        <v>0</v>
      </c>
      <c r="AD461" s="1">
        <f t="shared" ref="AD461:AD462" si="331">+O461*P461</f>
        <v>0</v>
      </c>
      <c r="AE461" s="1">
        <f t="shared" ref="AE461:AE462" si="332">O461*(1-P461)</f>
        <v>1</v>
      </c>
      <c r="AF461" s="1">
        <f t="shared" si="277"/>
        <v>0</v>
      </c>
      <c r="AG461" s="1">
        <f t="shared" si="278"/>
        <v>0</v>
      </c>
      <c r="AH461" s="1">
        <f t="shared" si="279"/>
        <v>0</v>
      </c>
      <c r="AI461" s="1">
        <f t="shared" si="280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1573</v>
      </c>
      <c r="E462" s="32" t="s">
        <v>156</v>
      </c>
      <c r="F462" s="32" t="s">
        <v>1574</v>
      </c>
      <c r="G462" s="32" t="s">
        <v>207</v>
      </c>
      <c r="H462" s="32" t="s">
        <v>354</v>
      </c>
      <c r="I462" s="31" t="s">
        <v>1575</v>
      </c>
      <c r="J462" s="31">
        <v>99</v>
      </c>
      <c r="K462" s="33" t="s">
        <v>712</v>
      </c>
      <c r="L462" s="33" t="s">
        <v>722</v>
      </c>
      <c r="M462" s="34" t="s">
        <v>732</v>
      </c>
      <c r="N462" s="34" t="s">
        <v>1946</v>
      </c>
      <c r="O462" s="35">
        <v>1</v>
      </c>
      <c r="P462" s="35"/>
      <c r="Q462" s="32"/>
      <c r="S462" s="1">
        <f t="shared" si="297"/>
        <v>0</v>
      </c>
      <c r="T462" s="1">
        <f t="shared" si="298"/>
        <v>0</v>
      </c>
      <c r="U462" s="1">
        <f t="shared" si="299"/>
        <v>0</v>
      </c>
      <c r="V462" s="1">
        <f t="shared" si="300"/>
        <v>0</v>
      </c>
      <c r="W462" s="1">
        <f t="shared" si="301"/>
        <v>0</v>
      </c>
      <c r="X462" s="1">
        <f t="shared" si="302"/>
        <v>0</v>
      </c>
      <c r="Y462" s="1">
        <f t="shared" si="303"/>
        <v>0</v>
      </c>
      <c r="Z462" s="1">
        <f t="shared" si="304"/>
        <v>0</v>
      </c>
      <c r="AA462" s="1">
        <f t="shared" si="305"/>
        <v>0</v>
      </c>
      <c r="AB462" s="1">
        <f t="shared" si="306"/>
        <v>0</v>
      </c>
      <c r="AD462" s="1">
        <f t="shared" si="331"/>
        <v>0</v>
      </c>
      <c r="AE462" s="1">
        <f t="shared" si="332"/>
        <v>1</v>
      </c>
      <c r="AF462" s="1">
        <f t="shared" si="277"/>
        <v>0</v>
      </c>
      <c r="AG462" s="1">
        <f t="shared" si="278"/>
        <v>1</v>
      </c>
      <c r="AH462" s="1">
        <f t="shared" si="279"/>
        <v>0</v>
      </c>
      <c r="AI462" s="1">
        <f t="shared" si="280"/>
        <v>1</v>
      </c>
    </row>
    <row r="463" spans="1:35" ht="14.25" customHeight="1" x14ac:dyDescent="0.25">
      <c r="A463" s="44">
        <v>0</v>
      </c>
      <c r="B463" s="44">
        <v>2</v>
      </c>
      <c r="C463" s="44">
        <v>7</v>
      </c>
      <c r="D463" s="45" t="s">
        <v>1132</v>
      </c>
      <c r="E463" s="45" t="s">
        <v>28</v>
      </c>
      <c r="F463" s="45" t="s">
        <v>1133</v>
      </c>
      <c r="G463" s="45" t="s">
        <v>220</v>
      </c>
      <c r="H463" s="45" t="s">
        <v>354</v>
      </c>
      <c r="I463" s="44" t="s">
        <v>1134</v>
      </c>
      <c r="J463" s="44">
        <v>8</v>
      </c>
      <c r="K463" s="46" t="s">
        <v>955</v>
      </c>
      <c r="L463" s="46" t="s">
        <v>713</v>
      </c>
      <c r="M463" s="47" t="s">
        <v>731</v>
      </c>
      <c r="N463" s="47" t="s">
        <v>1802</v>
      </c>
      <c r="O463" s="48"/>
      <c r="P463" s="48"/>
      <c r="Q463" s="45"/>
      <c r="S463" s="1">
        <f t="shared" si="297"/>
        <v>0</v>
      </c>
      <c r="T463" s="1">
        <f t="shared" si="298"/>
        <v>0</v>
      </c>
      <c r="U463" s="1">
        <f t="shared" si="299"/>
        <v>0</v>
      </c>
      <c r="V463" s="1">
        <f t="shared" si="300"/>
        <v>0</v>
      </c>
      <c r="W463" s="1">
        <f t="shared" si="301"/>
        <v>0</v>
      </c>
      <c r="X463" s="1">
        <f t="shared" si="302"/>
        <v>0</v>
      </c>
      <c r="Y463" s="1">
        <f t="shared" si="303"/>
        <v>0</v>
      </c>
      <c r="Z463" s="1">
        <f t="shared" si="304"/>
        <v>1</v>
      </c>
      <c r="AA463" s="1">
        <f t="shared" si="305"/>
        <v>0</v>
      </c>
      <c r="AB463" s="1">
        <f t="shared" si="306"/>
        <v>0</v>
      </c>
      <c r="AD463" s="1">
        <f t="shared" si="307"/>
        <v>0</v>
      </c>
      <c r="AE463" s="1">
        <f t="shared" si="308"/>
        <v>0</v>
      </c>
      <c r="AF463" s="1">
        <f t="shared" si="277"/>
        <v>0</v>
      </c>
      <c r="AG463" s="1">
        <f t="shared" si="278"/>
        <v>0</v>
      </c>
      <c r="AH463" s="1">
        <f t="shared" si="279"/>
        <v>0</v>
      </c>
      <c r="AI463" s="1">
        <f t="shared" si="280"/>
        <v>1</v>
      </c>
    </row>
    <row r="464" spans="1:35" ht="14.25" customHeight="1" x14ac:dyDescent="0.25">
      <c r="A464" s="44">
        <v>0</v>
      </c>
      <c r="B464" s="44">
        <v>2</v>
      </c>
      <c r="C464" s="44">
        <v>7</v>
      </c>
      <c r="D464" s="45" t="s">
        <v>73</v>
      </c>
      <c r="E464" s="45" t="s">
        <v>28</v>
      </c>
      <c r="F464" s="45" t="s">
        <v>264</v>
      </c>
      <c r="G464" s="45" t="s">
        <v>194</v>
      </c>
      <c r="H464" s="45" t="s">
        <v>354</v>
      </c>
      <c r="I464" s="44" t="s">
        <v>421</v>
      </c>
      <c r="J464" s="44">
        <v>9</v>
      </c>
      <c r="K464" s="46" t="s">
        <v>712</v>
      </c>
      <c r="L464" s="46" t="s">
        <v>713</v>
      </c>
      <c r="M464" s="47" t="s">
        <v>731</v>
      </c>
      <c r="N464" s="47" t="s">
        <v>1735</v>
      </c>
      <c r="O464" s="48"/>
      <c r="P464" s="48"/>
      <c r="Q464" s="45"/>
      <c r="S464" s="1">
        <f t="shared" si="297"/>
        <v>0</v>
      </c>
      <c r="T464" s="1">
        <f t="shared" si="298"/>
        <v>0</v>
      </c>
      <c r="U464" s="1">
        <f t="shared" si="299"/>
        <v>0</v>
      </c>
      <c r="V464" s="1">
        <f t="shared" si="300"/>
        <v>0</v>
      </c>
      <c r="W464" s="1">
        <f t="shared" si="301"/>
        <v>0</v>
      </c>
      <c r="X464" s="1">
        <f t="shared" si="302"/>
        <v>0</v>
      </c>
      <c r="Y464" s="1">
        <f t="shared" si="303"/>
        <v>0</v>
      </c>
      <c r="Z464" s="1">
        <f t="shared" si="304"/>
        <v>0</v>
      </c>
      <c r="AA464" s="1">
        <f t="shared" si="305"/>
        <v>1</v>
      </c>
      <c r="AB464" s="1">
        <f t="shared" si="306"/>
        <v>0</v>
      </c>
      <c r="AD464" s="1">
        <f t="shared" si="307"/>
        <v>0</v>
      </c>
      <c r="AE464" s="1">
        <f t="shared" si="308"/>
        <v>0</v>
      </c>
      <c r="AF464" s="1">
        <f t="shared" si="277"/>
        <v>0</v>
      </c>
      <c r="AG464" s="1">
        <f t="shared" si="278"/>
        <v>0</v>
      </c>
      <c r="AH464" s="1">
        <f t="shared" si="279"/>
        <v>0</v>
      </c>
      <c r="AI464" s="1">
        <f t="shared" si="280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59</v>
      </c>
      <c r="E465" s="32" t="s">
        <v>163</v>
      </c>
      <c r="F465" s="32" t="s">
        <v>225</v>
      </c>
      <c r="G465" s="32" t="s">
        <v>226</v>
      </c>
      <c r="H465" s="32" t="s">
        <v>354</v>
      </c>
      <c r="I465" s="31" t="s">
        <v>398</v>
      </c>
      <c r="J465" s="31">
        <v>99</v>
      </c>
      <c r="K465" s="33" t="s">
        <v>713</v>
      </c>
      <c r="L465" s="33" t="s">
        <v>722</v>
      </c>
      <c r="M465" s="34" t="s">
        <v>732</v>
      </c>
      <c r="N465" s="34" t="s">
        <v>1750</v>
      </c>
      <c r="O465" s="35">
        <v>1</v>
      </c>
      <c r="P465" s="35"/>
      <c r="Q465" s="32"/>
      <c r="S465" s="1">
        <f t="shared" si="297"/>
        <v>0</v>
      </c>
      <c r="T465" s="1">
        <f t="shared" si="298"/>
        <v>0</v>
      </c>
      <c r="U465" s="1">
        <f t="shared" si="299"/>
        <v>0</v>
      </c>
      <c r="V465" s="1">
        <f t="shared" si="300"/>
        <v>0</v>
      </c>
      <c r="W465" s="1">
        <f t="shared" si="301"/>
        <v>0</v>
      </c>
      <c r="X465" s="1">
        <f t="shared" si="302"/>
        <v>0</v>
      </c>
      <c r="Y465" s="1">
        <f t="shared" si="303"/>
        <v>0</v>
      </c>
      <c r="Z465" s="1">
        <f t="shared" si="304"/>
        <v>0</v>
      </c>
      <c r="AA465" s="1">
        <f t="shared" si="305"/>
        <v>0</v>
      </c>
      <c r="AB465" s="1">
        <f t="shared" si="306"/>
        <v>0</v>
      </c>
      <c r="AD465" s="1">
        <f t="shared" si="307"/>
        <v>0</v>
      </c>
      <c r="AE465" s="1">
        <f t="shared" si="308"/>
        <v>1</v>
      </c>
      <c r="AF465" s="1">
        <f t="shared" si="277"/>
        <v>0</v>
      </c>
      <c r="AG465" s="1">
        <f t="shared" si="278"/>
        <v>1</v>
      </c>
      <c r="AH465" s="1">
        <f t="shared" si="279"/>
        <v>0</v>
      </c>
      <c r="AI465" s="1">
        <f t="shared" si="280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1075</v>
      </c>
      <c r="E466" s="32" t="s">
        <v>156</v>
      </c>
      <c r="F466" s="32" t="s">
        <v>1076</v>
      </c>
      <c r="G466" s="32" t="s">
        <v>220</v>
      </c>
      <c r="H466" s="32" t="s">
        <v>354</v>
      </c>
      <c r="I466" s="31" t="s">
        <v>1077</v>
      </c>
      <c r="J466" s="31">
        <v>8</v>
      </c>
      <c r="K466" s="33" t="s">
        <v>712</v>
      </c>
      <c r="L466" s="33" t="s">
        <v>722</v>
      </c>
      <c r="M466" s="34" t="s">
        <v>732</v>
      </c>
      <c r="N466" s="34" t="s">
        <v>1748</v>
      </c>
      <c r="O466" s="35">
        <v>1</v>
      </c>
      <c r="P466" s="35"/>
      <c r="Q466" s="32"/>
      <c r="S466" s="1">
        <f t="shared" si="297"/>
        <v>0</v>
      </c>
      <c r="T466" s="1">
        <f t="shared" si="298"/>
        <v>0</v>
      </c>
      <c r="U466" s="1">
        <f t="shared" si="299"/>
        <v>0</v>
      </c>
      <c r="V466" s="1">
        <f t="shared" si="300"/>
        <v>0</v>
      </c>
      <c r="W466" s="1">
        <f t="shared" si="301"/>
        <v>0</v>
      </c>
      <c r="X466" s="1">
        <f t="shared" si="302"/>
        <v>0</v>
      </c>
      <c r="Y466" s="1">
        <f t="shared" si="303"/>
        <v>0</v>
      </c>
      <c r="Z466" s="1">
        <f t="shared" si="304"/>
        <v>1</v>
      </c>
      <c r="AA466" s="1">
        <f t="shared" si="305"/>
        <v>0</v>
      </c>
      <c r="AB466" s="1">
        <f t="shared" si="306"/>
        <v>0</v>
      </c>
      <c r="AD466" s="1">
        <f t="shared" si="307"/>
        <v>0</v>
      </c>
      <c r="AE466" s="1">
        <f t="shared" si="308"/>
        <v>1</v>
      </c>
      <c r="AF466" s="1">
        <f t="shared" si="277"/>
        <v>0</v>
      </c>
      <c r="AG466" s="1">
        <f t="shared" si="278"/>
        <v>1</v>
      </c>
      <c r="AH466" s="1">
        <f t="shared" si="279"/>
        <v>0</v>
      </c>
      <c r="AI466" s="1">
        <f t="shared" si="280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81</v>
      </c>
      <c r="E467" s="32" t="s">
        <v>156</v>
      </c>
      <c r="F467" s="32" t="s">
        <v>273</v>
      </c>
      <c r="G467" s="32" t="s">
        <v>254</v>
      </c>
      <c r="H467" s="32" t="s">
        <v>354</v>
      </c>
      <c r="I467" s="31" t="s">
        <v>428</v>
      </c>
      <c r="J467" s="31">
        <v>99</v>
      </c>
      <c r="K467" s="33" t="s">
        <v>713</v>
      </c>
      <c r="L467" s="33" t="s">
        <v>733</v>
      </c>
      <c r="M467" s="34" t="s">
        <v>734</v>
      </c>
      <c r="N467" s="34" t="s">
        <v>1756</v>
      </c>
      <c r="O467" s="35">
        <v>1</v>
      </c>
      <c r="P467" s="35"/>
      <c r="Q467" s="32"/>
      <c r="S467" s="1">
        <f t="shared" si="297"/>
        <v>0</v>
      </c>
      <c r="T467" s="1">
        <f t="shared" si="298"/>
        <v>0</v>
      </c>
      <c r="U467" s="1">
        <f t="shared" si="299"/>
        <v>0</v>
      </c>
      <c r="V467" s="1">
        <f t="shared" si="300"/>
        <v>0</v>
      </c>
      <c r="W467" s="1">
        <f t="shared" si="301"/>
        <v>0</v>
      </c>
      <c r="X467" s="1">
        <f t="shared" si="302"/>
        <v>0</v>
      </c>
      <c r="Y467" s="1">
        <f t="shared" si="303"/>
        <v>0</v>
      </c>
      <c r="Z467" s="1">
        <f t="shared" si="304"/>
        <v>0</v>
      </c>
      <c r="AA467" s="1">
        <f t="shared" si="305"/>
        <v>0</v>
      </c>
      <c r="AB467" s="1">
        <f t="shared" si="306"/>
        <v>0</v>
      </c>
      <c r="AD467" s="1">
        <f t="shared" si="307"/>
        <v>0</v>
      </c>
      <c r="AE467" s="1">
        <f t="shared" si="308"/>
        <v>1</v>
      </c>
      <c r="AF467" s="1">
        <f t="shared" si="277"/>
        <v>0</v>
      </c>
      <c r="AG467" s="1">
        <f t="shared" si="278"/>
        <v>1</v>
      </c>
      <c r="AH467" s="1">
        <f t="shared" si="279"/>
        <v>0</v>
      </c>
      <c r="AI467" s="1">
        <f t="shared" si="280"/>
        <v>1</v>
      </c>
    </row>
    <row r="468" spans="1:35" ht="14.25" customHeight="1" x14ac:dyDescent="0.25">
      <c r="A468" s="37">
        <v>0</v>
      </c>
      <c r="B468" s="37">
        <v>2</v>
      </c>
      <c r="C468" s="37">
        <v>7</v>
      </c>
      <c r="D468" s="36" t="s">
        <v>1775</v>
      </c>
      <c r="E468" s="36" t="s">
        <v>1776</v>
      </c>
      <c r="F468" s="36" t="s">
        <v>1777</v>
      </c>
      <c r="G468" s="36" t="s">
        <v>190</v>
      </c>
      <c r="H468" s="36" t="s">
        <v>354</v>
      </c>
      <c r="I468" s="37"/>
      <c r="J468" s="37"/>
      <c r="K468" s="33" t="s">
        <v>703</v>
      </c>
      <c r="L468" s="33"/>
      <c r="M468" s="34"/>
      <c r="N468" s="34" t="s">
        <v>1727</v>
      </c>
      <c r="O468" s="35">
        <v>1</v>
      </c>
      <c r="P468" s="35">
        <v>1</v>
      </c>
      <c r="Q468" s="36"/>
      <c r="S468" s="1">
        <f t="shared" si="297"/>
        <v>0</v>
      </c>
      <c r="T468" s="1">
        <f t="shared" si="298"/>
        <v>0</v>
      </c>
      <c r="U468" s="1">
        <f t="shared" si="299"/>
        <v>0</v>
      </c>
      <c r="V468" s="1">
        <f t="shared" si="300"/>
        <v>0</v>
      </c>
      <c r="W468" s="1">
        <f t="shared" si="301"/>
        <v>0</v>
      </c>
      <c r="X468" s="1">
        <f t="shared" si="302"/>
        <v>0</v>
      </c>
      <c r="Y468" s="1">
        <f t="shared" si="303"/>
        <v>0</v>
      </c>
      <c r="Z468" s="1">
        <f t="shared" si="304"/>
        <v>0</v>
      </c>
      <c r="AA468" s="1">
        <f t="shared" si="305"/>
        <v>0</v>
      </c>
      <c r="AB468" s="1">
        <f t="shared" si="306"/>
        <v>0</v>
      </c>
      <c r="AD468" s="1">
        <f t="shared" si="307"/>
        <v>1</v>
      </c>
      <c r="AE468" s="1">
        <f t="shared" si="308"/>
        <v>0</v>
      </c>
      <c r="AF468" s="1">
        <f t="shared" si="277"/>
        <v>1</v>
      </c>
      <c r="AG468" s="1">
        <f t="shared" si="278"/>
        <v>0</v>
      </c>
      <c r="AH468" s="1">
        <f t="shared" si="279"/>
        <v>1</v>
      </c>
      <c r="AI468" s="1">
        <f t="shared" si="280"/>
        <v>0</v>
      </c>
    </row>
    <row r="469" spans="1:35" ht="14.25" customHeight="1" x14ac:dyDescent="0.25">
      <c r="A469" s="44">
        <v>0</v>
      </c>
      <c r="B469" s="44">
        <v>2</v>
      </c>
      <c r="C469" s="44">
        <v>7</v>
      </c>
      <c r="D469" s="45" t="s">
        <v>514</v>
      </c>
      <c r="E469" s="45" t="s">
        <v>156</v>
      </c>
      <c r="F469" s="45" t="s">
        <v>574</v>
      </c>
      <c r="G469" s="45" t="s">
        <v>321</v>
      </c>
      <c r="H469" s="45" t="s">
        <v>354</v>
      </c>
      <c r="I469" s="44" t="s">
        <v>581</v>
      </c>
      <c r="J469" s="44">
        <v>99</v>
      </c>
      <c r="K469" s="46" t="s">
        <v>954</v>
      </c>
      <c r="L469" s="46" t="s">
        <v>722</v>
      </c>
      <c r="M469" s="47" t="s">
        <v>732</v>
      </c>
      <c r="N469" s="47" t="s">
        <v>1738</v>
      </c>
      <c r="O469" s="48"/>
      <c r="P469" s="48"/>
      <c r="Q469" s="45"/>
      <c r="S469" s="1">
        <f t="shared" si="297"/>
        <v>0</v>
      </c>
      <c r="T469" s="1">
        <f t="shared" si="298"/>
        <v>0</v>
      </c>
      <c r="U469" s="1">
        <f t="shared" si="299"/>
        <v>0</v>
      </c>
      <c r="V469" s="1">
        <f t="shared" si="300"/>
        <v>0</v>
      </c>
      <c r="W469" s="1">
        <f t="shared" si="301"/>
        <v>0</v>
      </c>
      <c r="X469" s="1">
        <f t="shared" si="302"/>
        <v>0</v>
      </c>
      <c r="Y469" s="1">
        <f t="shared" si="303"/>
        <v>0</v>
      </c>
      <c r="Z469" s="1">
        <f t="shared" si="304"/>
        <v>0</v>
      </c>
      <c r="AA469" s="1">
        <f t="shared" si="305"/>
        <v>0</v>
      </c>
      <c r="AB469" s="1">
        <f t="shared" si="306"/>
        <v>0</v>
      </c>
      <c r="AD469" s="1">
        <f t="shared" si="307"/>
        <v>0</v>
      </c>
      <c r="AE469" s="1">
        <f t="shared" si="308"/>
        <v>0</v>
      </c>
      <c r="AF469" s="1">
        <f t="shared" si="277"/>
        <v>0</v>
      </c>
      <c r="AG469" s="1">
        <f t="shared" si="278"/>
        <v>0</v>
      </c>
      <c r="AH469" s="1">
        <f t="shared" si="279"/>
        <v>0</v>
      </c>
      <c r="AI469" s="1">
        <f t="shared" si="280"/>
        <v>1</v>
      </c>
    </row>
    <row r="470" spans="1:35" ht="14.25" customHeight="1" x14ac:dyDescent="0.25">
      <c r="A470" s="44">
        <v>0</v>
      </c>
      <c r="B470" s="44">
        <v>2</v>
      </c>
      <c r="C470" s="44">
        <v>7</v>
      </c>
      <c r="D470" s="45" t="s">
        <v>74</v>
      </c>
      <c r="E470" s="45" t="s">
        <v>156</v>
      </c>
      <c r="F470" s="45" t="s">
        <v>675</v>
      </c>
      <c r="G470" s="45" t="s">
        <v>265</v>
      </c>
      <c r="H470" s="45" t="s">
        <v>354</v>
      </c>
      <c r="I470" s="44" t="s">
        <v>422</v>
      </c>
      <c r="J470" s="44">
        <v>99</v>
      </c>
      <c r="K470" s="46" t="s">
        <v>712</v>
      </c>
      <c r="L470" s="46" t="s">
        <v>729</v>
      </c>
      <c r="M470" s="47" t="s">
        <v>732</v>
      </c>
      <c r="N470" s="47" t="s">
        <v>1735</v>
      </c>
      <c r="O470" s="48"/>
      <c r="P470" s="48"/>
      <c r="Q470" s="45"/>
      <c r="S470" s="1">
        <f t="shared" ref="S470:S475" si="333">IF(J470=$S$7,1,0)</f>
        <v>0</v>
      </c>
      <c r="T470" s="1">
        <f t="shared" ref="T470:T475" si="334">IF(J470=$T$7,1,0)</f>
        <v>0</v>
      </c>
      <c r="U470" s="1">
        <f t="shared" ref="U470:U475" si="335">IF(J470=$U$7,1,0)</f>
        <v>0</v>
      </c>
      <c r="V470" s="1">
        <f t="shared" ref="V470:V475" si="336">IF(J470=$V$7,1,0)</f>
        <v>0</v>
      </c>
      <c r="W470" s="1">
        <f t="shared" ref="W470:W475" si="337">IF(J470=$W$7,1,0)</f>
        <v>0</v>
      </c>
      <c r="X470" s="1">
        <f t="shared" ref="X470:X475" si="338">IF(J470=$X$7,1,0)</f>
        <v>0</v>
      </c>
      <c r="Y470" s="1">
        <f t="shared" ref="Y470:Y475" si="339">IF(J470=$Y$7,1,0)</f>
        <v>0</v>
      </c>
      <c r="Z470" s="1">
        <f t="shared" ref="Z470:Z475" si="340">IF(J470=$Z$7,1,0)</f>
        <v>0</v>
      </c>
      <c r="AA470" s="1">
        <f t="shared" ref="AA470:AA475" si="341">IF(J470=$AA$7,1,0)</f>
        <v>0</v>
      </c>
      <c r="AB470" s="1">
        <f t="shared" ref="AB470:AB475" si="342">IF(J470=$AB$7,1,0)</f>
        <v>0</v>
      </c>
      <c r="AD470" s="1">
        <f t="shared" ref="AD470:AD475" si="343">+O470*P470</f>
        <v>0</v>
      </c>
      <c r="AE470" s="1">
        <f t="shared" ref="AE470:AE475" si="344">O470*(1-P470)</f>
        <v>0</v>
      </c>
      <c r="AF470" s="1">
        <f t="shared" ref="AF470:AF475" si="345">+O470*P470*(1-A470)</f>
        <v>0</v>
      </c>
      <c r="AG470" s="1">
        <f t="shared" ref="AG470:AG475" si="346">O470*(1-P470)*(1-A470)</f>
        <v>0</v>
      </c>
      <c r="AH470" s="1">
        <f t="shared" ref="AH470:AH475" si="347">+P470*(1-A470)</f>
        <v>0</v>
      </c>
      <c r="AI470" s="1">
        <f t="shared" ref="AI470:AI475" si="348">+(1-A470)*(1-P470)</f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2007</v>
      </c>
      <c r="E471" s="32" t="s">
        <v>156</v>
      </c>
      <c r="F471" s="32" t="s">
        <v>2008</v>
      </c>
      <c r="G471" s="32" t="s">
        <v>283</v>
      </c>
      <c r="H471" s="32" t="s">
        <v>354</v>
      </c>
      <c r="I471" s="31" t="s">
        <v>2009</v>
      </c>
      <c r="J471" s="31">
        <v>99</v>
      </c>
      <c r="K471" s="33" t="s">
        <v>703</v>
      </c>
      <c r="L471" s="33" t="s">
        <v>722</v>
      </c>
      <c r="M471" s="34" t="s">
        <v>732</v>
      </c>
      <c r="N471" s="34" t="s">
        <v>1727</v>
      </c>
      <c r="O471" s="35">
        <v>1</v>
      </c>
      <c r="P471" s="35">
        <v>1</v>
      </c>
      <c r="Q471" s="32"/>
      <c r="S471" s="1">
        <f t="shared" si="333"/>
        <v>0</v>
      </c>
      <c r="T471" s="1">
        <f t="shared" si="334"/>
        <v>0</v>
      </c>
      <c r="U471" s="1">
        <f t="shared" si="335"/>
        <v>0</v>
      </c>
      <c r="V471" s="1">
        <f t="shared" si="336"/>
        <v>0</v>
      </c>
      <c r="W471" s="1">
        <f t="shared" si="337"/>
        <v>0</v>
      </c>
      <c r="X471" s="1">
        <f t="shared" si="338"/>
        <v>0</v>
      </c>
      <c r="Y471" s="1">
        <f t="shared" si="339"/>
        <v>0</v>
      </c>
      <c r="Z471" s="1">
        <f t="shared" si="340"/>
        <v>0</v>
      </c>
      <c r="AA471" s="1">
        <f t="shared" si="341"/>
        <v>0</v>
      </c>
      <c r="AB471" s="1">
        <f t="shared" si="342"/>
        <v>0</v>
      </c>
      <c r="AD471" s="1">
        <f t="shared" si="343"/>
        <v>1</v>
      </c>
      <c r="AE471" s="1">
        <f t="shared" si="344"/>
        <v>0</v>
      </c>
      <c r="AF471" s="1">
        <f t="shared" si="345"/>
        <v>1</v>
      </c>
      <c r="AG471" s="1">
        <f t="shared" si="346"/>
        <v>0</v>
      </c>
      <c r="AH471" s="1">
        <f t="shared" si="347"/>
        <v>1</v>
      </c>
      <c r="AI471" s="1">
        <f t="shared" si="348"/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2007</v>
      </c>
      <c r="E472" s="32" t="s">
        <v>156</v>
      </c>
      <c r="F472" s="32" t="s">
        <v>2010</v>
      </c>
      <c r="G472" s="32" t="s">
        <v>2011</v>
      </c>
      <c r="H472" s="32" t="s">
        <v>354</v>
      </c>
      <c r="I472" s="31" t="s">
        <v>2012</v>
      </c>
      <c r="J472" s="31">
        <v>99</v>
      </c>
      <c r="K472" s="33" t="s">
        <v>703</v>
      </c>
      <c r="L472" s="33" t="s">
        <v>722</v>
      </c>
      <c r="M472" s="34" t="s">
        <v>732</v>
      </c>
      <c r="N472" s="34" t="s">
        <v>1727</v>
      </c>
      <c r="O472" s="35">
        <v>1</v>
      </c>
      <c r="P472" s="35">
        <v>1</v>
      </c>
      <c r="Q472" s="32"/>
      <c r="S472" s="1">
        <f t="shared" si="333"/>
        <v>0</v>
      </c>
      <c r="T472" s="1">
        <f t="shared" si="334"/>
        <v>0</v>
      </c>
      <c r="U472" s="1">
        <f t="shared" si="335"/>
        <v>0</v>
      </c>
      <c r="V472" s="1">
        <f t="shared" si="336"/>
        <v>0</v>
      </c>
      <c r="W472" s="1">
        <f t="shared" si="337"/>
        <v>0</v>
      </c>
      <c r="X472" s="1">
        <f t="shared" si="338"/>
        <v>0</v>
      </c>
      <c r="Y472" s="1">
        <f t="shared" si="339"/>
        <v>0</v>
      </c>
      <c r="Z472" s="1">
        <f t="shared" si="340"/>
        <v>0</v>
      </c>
      <c r="AA472" s="1">
        <f t="shared" si="341"/>
        <v>0</v>
      </c>
      <c r="AB472" s="1">
        <f t="shared" si="342"/>
        <v>0</v>
      </c>
      <c r="AD472" s="1">
        <f t="shared" si="343"/>
        <v>1</v>
      </c>
      <c r="AE472" s="1">
        <f t="shared" si="344"/>
        <v>0</v>
      </c>
      <c r="AF472" s="1">
        <f t="shared" si="345"/>
        <v>0</v>
      </c>
      <c r="AG472" s="1">
        <f t="shared" si="346"/>
        <v>0</v>
      </c>
      <c r="AH472" s="1">
        <f t="shared" si="347"/>
        <v>0</v>
      </c>
      <c r="AI472" s="1">
        <f t="shared" si="348"/>
        <v>0</v>
      </c>
    </row>
    <row r="473" spans="1:35" ht="14.25" customHeight="1" x14ac:dyDescent="0.25">
      <c r="A473" s="15">
        <v>0</v>
      </c>
      <c r="B473" s="15">
        <v>2</v>
      </c>
      <c r="C473" s="15">
        <v>7</v>
      </c>
      <c r="D473" s="20" t="s">
        <v>1858</v>
      </c>
      <c r="E473" s="16" t="s">
        <v>156</v>
      </c>
      <c r="F473" s="20" t="s">
        <v>1859</v>
      </c>
      <c r="G473" s="20" t="s">
        <v>283</v>
      </c>
      <c r="H473" s="20" t="s">
        <v>354</v>
      </c>
      <c r="I473" s="21" t="s">
        <v>1860</v>
      </c>
      <c r="J473" s="15">
        <v>99</v>
      </c>
      <c r="K473" s="10" t="s">
        <v>703</v>
      </c>
      <c r="L473" s="10" t="s">
        <v>722</v>
      </c>
      <c r="M473" s="19" t="s">
        <v>732</v>
      </c>
      <c r="N473" s="19"/>
      <c r="Q473" s="20"/>
      <c r="S473" s="1">
        <f t="shared" si="333"/>
        <v>0</v>
      </c>
      <c r="T473" s="1">
        <f t="shared" si="334"/>
        <v>0</v>
      </c>
      <c r="U473" s="1">
        <f t="shared" si="335"/>
        <v>0</v>
      </c>
      <c r="V473" s="1">
        <f t="shared" si="336"/>
        <v>0</v>
      </c>
      <c r="W473" s="1">
        <f t="shared" si="337"/>
        <v>0</v>
      </c>
      <c r="X473" s="1">
        <f t="shared" si="338"/>
        <v>0</v>
      </c>
      <c r="Y473" s="1">
        <f t="shared" si="339"/>
        <v>0</v>
      </c>
      <c r="Z473" s="1">
        <f t="shared" si="340"/>
        <v>0</v>
      </c>
      <c r="AA473" s="1">
        <f t="shared" si="341"/>
        <v>0</v>
      </c>
      <c r="AB473" s="1">
        <f t="shared" si="342"/>
        <v>0</v>
      </c>
      <c r="AD473" s="1">
        <f t="shared" si="343"/>
        <v>0</v>
      </c>
      <c r="AE473" s="1">
        <f t="shared" si="344"/>
        <v>0</v>
      </c>
      <c r="AF473" s="1">
        <f t="shared" si="345"/>
        <v>0</v>
      </c>
      <c r="AG473" s="1">
        <f t="shared" si="346"/>
        <v>0</v>
      </c>
      <c r="AH473" s="1">
        <f t="shared" si="347"/>
        <v>0</v>
      </c>
      <c r="AI473" s="1">
        <f t="shared" si="348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60</v>
      </c>
      <c r="E474" s="32" t="s">
        <v>163</v>
      </c>
      <c r="F474" s="32" t="s">
        <v>227</v>
      </c>
      <c r="G474" s="32" t="s">
        <v>190</v>
      </c>
      <c r="H474" s="32" t="s">
        <v>354</v>
      </c>
      <c r="I474" s="31" t="s">
        <v>399</v>
      </c>
      <c r="J474" s="31">
        <v>99</v>
      </c>
      <c r="K474" s="33" t="s">
        <v>713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333"/>
        <v>0</v>
      </c>
      <c r="T474" s="1">
        <f t="shared" si="334"/>
        <v>0</v>
      </c>
      <c r="U474" s="1">
        <f t="shared" si="335"/>
        <v>0</v>
      </c>
      <c r="V474" s="1">
        <f t="shared" si="336"/>
        <v>0</v>
      </c>
      <c r="W474" s="1">
        <f t="shared" si="337"/>
        <v>0</v>
      </c>
      <c r="X474" s="1">
        <f t="shared" si="338"/>
        <v>0</v>
      </c>
      <c r="Y474" s="1">
        <f t="shared" si="339"/>
        <v>0</v>
      </c>
      <c r="Z474" s="1">
        <f t="shared" si="340"/>
        <v>0</v>
      </c>
      <c r="AA474" s="1">
        <f t="shared" si="341"/>
        <v>0</v>
      </c>
      <c r="AB474" s="1">
        <f t="shared" si="342"/>
        <v>0</v>
      </c>
      <c r="AD474" s="1">
        <f t="shared" si="343"/>
        <v>0</v>
      </c>
      <c r="AE474" s="1">
        <f t="shared" si="344"/>
        <v>1</v>
      </c>
      <c r="AF474" s="1">
        <f t="shared" si="345"/>
        <v>0</v>
      </c>
      <c r="AG474" s="1">
        <f t="shared" si="346"/>
        <v>1</v>
      </c>
      <c r="AH474" s="1">
        <f t="shared" si="347"/>
        <v>0</v>
      </c>
      <c r="AI474" s="1">
        <f t="shared" si="348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1329</v>
      </c>
      <c r="E475" s="32" t="s">
        <v>156</v>
      </c>
      <c r="F475" s="32" t="s">
        <v>1143</v>
      </c>
      <c r="G475" s="32" t="s">
        <v>192</v>
      </c>
      <c r="H475" s="32" t="s">
        <v>354</v>
      </c>
      <c r="I475" s="31" t="s">
        <v>1369</v>
      </c>
      <c r="J475" s="31">
        <v>99</v>
      </c>
      <c r="K475" s="33" t="s">
        <v>712</v>
      </c>
      <c r="L475" s="33" t="s">
        <v>39</v>
      </c>
      <c r="M475" s="34" t="s">
        <v>39</v>
      </c>
      <c r="N475" s="34" t="s">
        <v>1727</v>
      </c>
      <c r="O475" s="35">
        <v>1</v>
      </c>
      <c r="P475" s="35">
        <v>1</v>
      </c>
      <c r="Q475" s="32"/>
      <c r="S475" s="1">
        <f t="shared" si="333"/>
        <v>0</v>
      </c>
      <c r="T475" s="1">
        <f t="shared" si="334"/>
        <v>0</v>
      </c>
      <c r="U475" s="1">
        <f t="shared" si="335"/>
        <v>0</v>
      </c>
      <c r="V475" s="1">
        <f t="shared" si="336"/>
        <v>0</v>
      </c>
      <c r="W475" s="1">
        <f t="shared" si="337"/>
        <v>0</v>
      </c>
      <c r="X475" s="1">
        <f t="shared" si="338"/>
        <v>0</v>
      </c>
      <c r="Y475" s="1">
        <f t="shared" si="339"/>
        <v>0</v>
      </c>
      <c r="Z475" s="1">
        <f t="shared" si="340"/>
        <v>0</v>
      </c>
      <c r="AA475" s="1">
        <f t="shared" si="341"/>
        <v>0</v>
      </c>
      <c r="AB475" s="1">
        <f t="shared" si="342"/>
        <v>0</v>
      </c>
      <c r="AD475" s="1">
        <f t="shared" si="343"/>
        <v>1</v>
      </c>
      <c r="AE475" s="1">
        <f t="shared" si="344"/>
        <v>0</v>
      </c>
      <c r="AF475" s="1">
        <f t="shared" si="345"/>
        <v>1</v>
      </c>
      <c r="AG475" s="1">
        <f t="shared" si="346"/>
        <v>0</v>
      </c>
      <c r="AH475" s="1">
        <f t="shared" si="347"/>
        <v>1</v>
      </c>
      <c r="AI475" s="1">
        <f t="shared" si="348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589</v>
      </c>
      <c r="E476" s="32" t="s">
        <v>1337</v>
      </c>
      <c r="F476" s="32" t="s">
        <v>676</v>
      </c>
      <c r="G476" s="32" t="s">
        <v>240</v>
      </c>
      <c r="H476" s="32" t="s">
        <v>354</v>
      </c>
      <c r="I476" s="31" t="s">
        <v>405</v>
      </c>
      <c r="J476" s="31">
        <v>1</v>
      </c>
      <c r="K476" s="33" t="s">
        <v>713</v>
      </c>
      <c r="L476" s="33" t="s">
        <v>1711</v>
      </c>
      <c r="M476" s="34" t="s">
        <v>1439</v>
      </c>
      <c r="N476" s="34" t="s">
        <v>1748</v>
      </c>
      <c r="O476" s="35">
        <v>1</v>
      </c>
      <c r="P476" s="35"/>
      <c r="Q476" s="32"/>
      <c r="S476" s="1">
        <f t="shared" si="297"/>
        <v>1</v>
      </c>
      <c r="T476" s="1">
        <f t="shared" si="298"/>
        <v>0</v>
      </c>
      <c r="U476" s="1">
        <f t="shared" si="299"/>
        <v>0</v>
      </c>
      <c r="V476" s="1">
        <f t="shared" si="300"/>
        <v>0</v>
      </c>
      <c r="W476" s="1">
        <f t="shared" si="301"/>
        <v>0</v>
      </c>
      <c r="X476" s="1">
        <f t="shared" si="302"/>
        <v>0</v>
      </c>
      <c r="Y476" s="1">
        <f t="shared" si="303"/>
        <v>0</v>
      </c>
      <c r="Z476" s="1">
        <f t="shared" si="304"/>
        <v>0</v>
      </c>
      <c r="AA476" s="1">
        <f t="shared" si="305"/>
        <v>0</v>
      </c>
      <c r="AB476" s="1">
        <f t="shared" si="306"/>
        <v>0</v>
      </c>
      <c r="AD476" s="1">
        <f t="shared" ref="AD476" si="349">+O476*P476</f>
        <v>0</v>
      </c>
      <c r="AE476" s="1">
        <f t="shared" ref="AE476" si="350">O476*(1-P476)</f>
        <v>1</v>
      </c>
      <c r="AF476" s="1">
        <f t="shared" ref="AF476:AF491" si="351">+O476*P476*(1-A476)</f>
        <v>0</v>
      </c>
      <c r="AG476" s="1">
        <f t="shared" ref="AG476:AG491" si="352">O476*(1-P476)*(1-A476)</f>
        <v>1</v>
      </c>
      <c r="AH476" s="1">
        <f t="shared" ref="AH476:AH491" si="353">+P476*(1-A476)</f>
        <v>0</v>
      </c>
      <c r="AI476" s="1">
        <f t="shared" ref="AI476:AI491" si="354">+(1-A476)*(1-P476)</f>
        <v>1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589</v>
      </c>
      <c r="E477" s="32" t="s">
        <v>1337</v>
      </c>
      <c r="F477" s="32" t="s">
        <v>239</v>
      </c>
      <c r="G477" s="32" t="s">
        <v>178</v>
      </c>
      <c r="H477" s="32" t="s">
        <v>354</v>
      </c>
      <c r="I477" s="31" t="s">
        <v>404</v>
      </c>
      <c r="J477" s="31">
        <v>1</v>
      </c>
      <c r="K477" s="33" t="s">
        <v>713</v>
      </c>
      <c r="L477" s="33" t="s">
        <v>1711</v>
      </c>
      <c r="M477" s="34" t="s">
        <v>1439</v>
      </c>
      <c r="N477" s="34" t="s">
        <v>1748</v>
      </c>
      <c r="O477" s="35">
        <v>1</v>
      </c>
      <c r="P477" s="35"/>
      <c r="Q477" s="36" t="s">
        <v>1911</v>
      </c>
      <c r="S477" s="1">
        <f t="shared" si="297"/>
        <v>1</v>
      </c>
      <c r="T477" s="1">
        <f t="shared" si="298"/>
        <v>0</v>
      </c>
      <c r="U477" s="1">
        <f t="shared" si="299"/>
        <v>0</v>
      </c>
      <c r="V477" s="1">
        <f t="shared" si="300"/>
        <v>0</v>
      </c>
      <c r="W477" s="1">
        <f t="shared" si="301"/>
        <v>0</v>
      </c>
      <c r="X477" s="1">
        <f t="shared" si="302"/>
        <v>0</v>
      </c>
      <c r="Y477" s="1">
        <f t="shared" si="303"/>
        <v>0</v>
      </c>
      <c r="Z477" s="1">
        <f t="shared" si="304"/>
        <v>0</v>
      </c>
      <c r="AA477" s="1">
        <f t="shared" si="305"/>
        <v>0</v>
      </c>
      <c r="AB477" s="1">
        <f t="shared" si="306"/>
        <v>0</v>
      </c>
      <c r="AD477" s="1">
        <f t="shared" si="307"/>
        <v>0</v>
      </c>
      <c r="AE477" s="1">
        <f t="shared" si="308"/>
        <v>1</v>
      </c>
      <c r="AF477" s="1">
        <f t="shared" si="351"/>
        <v>0</v>
      </c>
      <c r="AG477" s="1">
        <f t="shared" si="352"/>
        <v>0</v>
      </c>
      <c r="AH477" s="1">
        <f t="shared" si="353"/>
        <v>0</v>
      </c>
      <c r="AI477" s="1">
        <f t="shared" si="354"/>
        <v>0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1330</v>
      </c>
      <c r="E478" s="32" t="s">
        <v>156</v>
      </c>
      <c r="F478" s="32" t="s">
        <v>1356</v>
      </c>
      <c r="G478" s="32" t="s">
        <v>258</v>
      </c>
      <c r="H478" s="32" t="s">
        <v>354</v>
      </c>
      <c r="I478" s="31" t="s">
        <v>1239</v>
      </c>
      <c r="J478" s="31">
        <v>8</v>
      </c>
      <c r="K478" s="33" t="s">
        <v>955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297"/>
        <v>0</v>
      </c>
      <c r="T478" s="1">
        <f t="shared" si="298"/>
        <v>0</v>
      </c>
      <c r="U478" s="1">
        <f t="shared" si="299"/>
        <v>0</v>
      </c>
      <c r="V478" s="1">
        <f t="shared" si="300"/>
        <v>0</v>
      </c>
      <c r="W478" s="1">
        <f t="shared" si="301"/>
        <v>0</v>
      </c>
      <c r="X478" s="1">
        <f t="shared" si="302"/>
        <v>0</v>
      </c>
      <c r="Y478" s="1">
        <f t="shared" si="303"/>
        <v>0</v>
      </c>
      <c r="Z478" s="1">
        <f t="shared" si="304"/>
        <v>1</v>
      </c>
      <c r="AA478" s="1">
        <f t="shared" si="305"/>
        <v>0</v>
      </c>
      <c r="AB478" s="1">
        <f t="shared" si="306"/>
        <v>0</v>
      </c>
      <c r="AD478" s="1">
        <f t="shared" si="307"/>
        <v>0</v>
      </c>
      <c r="AE478" s="1">
        <f t="shared" si="308"/>
        <v>1</v>
      </c>
      <c r="AF478" s="1">
        <f t="shared" si="351"/>
        <v>0</v>
      </c>
      <c r="AG478" s="1">
        <f t="shared" si="352"/>
        <v>1</v>
      </c>
      <c r="AH478" s="1">
        <f t="shared" si="353"/>
        <v>0</v>
      </c>
      <c r="AI478" s="1">
        <f t="shared" si="354"/>
        <v>1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1330</v>
      </c>
      <c r="E479" s="32" t="s">
        <v>156</v>
      </c>
      <c r="F479" s="32" t="s">
        <v>1218</v>
      </c>
      <c r="G479" s="32" t="s">
        <v>218</v>
      </c>
      <c r="H479" s="32" t="s">
        <v>354</v>
      </c>
      <c r="I479" s="31" t="s">
        <v>1239</v>
      </c>
      <c r="J479" s="31">
        <v>99</v>
      </c>
      <c r="K479" s="33" t="s">
        <v>955</v>
      </c>
      <c r="L479" s="33" t="s">
        <v>722</v>
      </c>
      <c r="M479" s="34" t="s">
        <v>732</v>
      </c>
      <c r="N479" s="34" t="s">
        <v>1748</v>
      </c>
      <c r="O479" s="35">
        <v>1</v>
      </c>
      <c r="P479" s="35"/>
      <c r="Q479" s="32"/>
      <c r="S479" s="1">
        <f t="shared" si="297"/>
        <v>0</v>
      </c>
      <c r="T479" s="1">
        <f t="shared" si="298"/>
        <v>0</v>
      </c>
      <c r="U479" s="1">
        <f t="shared" si="299"/>
        <v>0</v>
      </c>
      <c r="V479" s="1">
        <f t="shared" si="300"/>
        <v>0</v>
      </c>
      <c r="W479" s="1">
        <f t="shared" si="301"/>
        <v>0</v>
      </c>
      <c r="X479" s="1">
        <f t="shared" si="302"/>
        <v>0</v>
      </c>
      <c r="Y479" s="1">
        <f t="shared" si="303"/>
        <v>0</v>
      </c>
      <c r="Z479" s="1">
        <f t="shared" si="304"/>
        <v>0</v>
      </c>
      <c r="AA479" s="1">
        <f t="shared" si="305"/>
        <v>0</v>
      </c>
      <c r="AB479" s="1">
        <f t="shared" si="306"/>
        <v>0</v>
      </c>
      <c r="AD479" s="1">
        <f t="shared" si="307"/>
        <v>0</v>
      </c>
      <c r="AE479" s="1">
        <f t="shared" si="308"/>
        <v>1</v>
      </c>
      <c r="AF479" s="1">
        <f t="shared" si="351"/>
        <v>0</v>
      </c>
      <c r="AG479" s="1">
        <f t="shared" si="352"/>
        <v>0</v>
      </c>
      <c r="AH479" s="1">
        <f t="shared" si="353"/>
        <v>0</v>
      </c>
      <c r="AI479" s="1">
        <f t="shared" si="354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1250</v>
      </c>
      <c r="G480" s="45" t="s">
        <v>220</v>
      </c>
      <c r="H480" s="45" t="s">
        <v>354</v>
      </c>
      <c r="I480" s="44" t="s">
        <v>1370</v>
      </c>
      <c r="J480" s="44">
        <v>8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297"/>
        <v>0</v>
      </c>
      <c r="T480" s="1">
        <f t="shared" si="298"/>
        <v>0</v>
      </c>
      <c r="U480" s="1">
        <f t="shared" si="299"/>
        <v>0</v>
      </c>
      <c r="V480" s="1">
        <f t="shared" si="300"/>
        <v>0</v>
      </c>
      <c r="W480" s="1">
        <f t="shared" si="301"/>
        <v>0</v>
      </c>
      <c r="X480" s="1">
        <f t="shared" si="302"/>
        <v>0</v>
      </c>
      <c r="Y480" s="1">
        <f t="shared" si="303"/>
        <v>0</v>
      </c>
      <c r="Z480" s="1">
        <f t="shared" si="304"/>
        <v>1</v>
      </c>
      <c r="AA480" s="1">
        <f t="shared" si="305"/>
        <v>0</v>
      </c>
      <c r="AB480" s="1">
        <f t="shared" si="306"/>
        <v>0</v>
      </c>
      <c r="AD480" s="1">
        <f t="shared" si="307"/>
        <v>0</v>
      </c>
      <c r="AE480" s="1">
        <f t="shared" si="308"/>
        <v>0</v>
      </c>
      <c r="AF480" s="1">
        <f t="shared" si="351"/>
        <v>0</v>
      </c>
      <c r="AG480" s="1">
        <f t="shared" si="352"/>
        <v>0</v>
      </c>
      <c r="AH480" s="1">
        <f t="shared" si="353"/>
        <v>0</v>
      </c>
      <c r="AI480" s="1">
        <f t="shared" si="354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1248</v>
      </c>
      <c r="E481" s="45" t="s">
        <v>156</v>
      </c>
      <c r="F481" s="45" t="s">
        <v>1357</v>
      </c>
      <c r="G481" s="45" t="s">
        <v>39</v>
      </c>
      <c r="H481" s="45" t="s">
        <v>355</v>
      </c>
      <c r="I481" s="44" t="s">
        <v>1249</v>
      </c>
      <c r="J481" s="44">
        <v>99</v>
      </c>
      <c r="K481" s="46" t="s">
        <v>954</v>
      </c>
      <c r="L481" s="46" t="s">
        <v>722</v>
      </c>
      <c r="M481" s="47" t="s">
        <v>732</v>
      </c>
      <c r="N481" s="47" t="s">
        <v>1735</v>
      </c>
      <c r="O481" s="48"/>
      <c r="P481" s="48"/>
      <c r="Q481" s="65" t="s">
        <v>1904</v>
      </c>
      <c r="S481" s="1">
        <f t="shared" ref="S481:S491" si="355">IF(J481=$S$7,1,0)</f>
        <v>0</v>
      </c>
      <c r="T481" s="1">
        <f t="shared" ref="T481:T491" si="356">IF(J481=$T$7,1,0)</f>
        <v>0</v>
      </c>
      <c r="U481" s="1">
        <f t="shared" ref="U481:U491" si="357">IF(J481=$U$7,1,0)</f>
        <v>0</v>
      </c>
      <c r="V481" s="1">
        <f t="shared" ref="V481:V491" si="358">IF(J481=$V$7,1,0)</f>
        <v>0</v>
      </c>
      <c r="W481" s="1">
        <f t="shared" ref="W481:W491" si="359">IF(J481=$W$7,1,0)</f>
        <v>0</v>
      </c>
      <c r="X481" s="1">
        <f t="shared" ref="X481:X491" si="360">IF(J481=$X$7,1,0)</f>
        <v>0</v>
      </c>
      <c r="Y481" s="1">
        <f t="shared" ref="Y481:Y491" si="361">IF(J481=$Y$7,1,0)</f>
        <v>0</v>
      </c>
      <c r="Z481" s="1">
        <f t="shared" ref="Z481:Z491" si="362">IF(J481=$Z$7,1,0)</f>
        <v>0</v>
      </c>
      <c r="AA481" s="1">
        <f t="shared" ref="AA481:AA491" si="363">IF(J481=$AA$7,1,0)</f>
        <v>0</v>
      </c>
      <c r="AB481" s="1">
        <f t="shared" ref="AB481:AB491" si="364">IF(J481=$AB$7,1,0)</f>
        <v>0</v>
      </c>
      <c r="AD481" s="1">
        <f>+O481*P481</f>
        <v>0</v>
      </c>
      <c r="AE481" s="1">
        <f>O481*(1-P481)</f>
        <v>0</v>
      </c>
      <c r="AF481" s="1">
        <f t="shared" si="351"/>
        <v>0</v>
      </c>
      <c r="AG481" s="1">
        <f t="shared" si="352"/>
        <v>0</v>
      </c>
      <c r="AH481" s="1">
        <f t="shared" si="353"/>
        <v>0</v>
      </c>
      <c r="AI481" s="1">
        <f t="shared" si="354"/>
        <v>0</v>
      </c>
    </row>
    <row r="482" spans="1:35" ht="14.25" customHeight="1" x14ac:dyDescent="0.25">
      <c r="A482" s="44">
        <v>1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1523</v>
      </c>
      <c r="G482" s="45" t="s">
        <v>235</v>
      </c>
      <c r="H482" s="45" t="s">
        <v>354</v>
      </c>
      <c r="I482" s="44" t="s">
        <v>1691</v>
      </c>
      <c r="J482" s="44">
        <v>99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45"/>
      <c r="S482" s="1">
        <f t="shared" si="355"/>
        <v>0</v>
      </c>
      <c r="T482" s="1">
        <f t="shared" si="356"/>
        <v>0</v>
      </c>
      <c r="U482" s="1">
        <f t="shared" si="357"/>
        <v>0</v>
      </c>
      <c r="V482" s="1">
        <f t="shared" si="358"/>
        <v>0</v>
      </c>
      <c r="W482" s="1">
        <f t="shared" si="359"/>
        <v>0</v>
      </c>
      <c r="X482" s="1">
        <f t="shared" si="360"/>
        <v>0</v>
      </c>
      <c r="Y482" s="1">
        <f t="shared" si="361"/>
        <v>0</v>
      </c>
      <c r="Z482" s="1">
        <f t="shared" si="362"/>
        <v>0</v>
      </c>
      <c r="AA482" s="1">
        <f t="shared" si="363"/>
        <v>0</v>
      </c>
      <c r="AB482" s="1">
        <f t="shared" si="364"/>
        <v>0</v>
      </c>
      <c r="AD482" s="1">
        <f>+O482*P482</f>
        <v>0</v>
      </c>
      <c r="AE482" s="1">
        <f>O482*(1-P482)</f>
        <v>0</v>
      </c>
      <c r="AF482" s="1">
        <f t="shared" si="351"/>
        <v>0</v>
      </c>
      <c r="AG482" s="1">
        <f t="shared" si="352"/>
        <v>0</v>
      </c>
      <c r="AH482" s="1">
        <f t="shared" si="353"/>
        <v>0</v>
      </c>
      <c r="AI482" s="1">
        <f t="shared" si="354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1850</v>
      </c>
      <c r="E483" s="32" t="s">
        <v>1851</v>
      </c>
      <c r="F483" s="32" t="s">
        <v>1852</v>
      </c>
      <c r="G483" s="32" t="s">
        <v>265</v>
      </c>
      <c r="H483" s="32" t="s">
        <v>354</v>
      </c>
      <c r="I483" s="31" t="s">
        <v>1853</v>
      </c>
      <c r="J483" s="31">
        <v>99</v>
      </c>
      <c r="K483" s="33" t="s">
        <v>703</v>
      </c>
      <c r="L483" s="33"/>
      <c r="M483" s="34"/>
      <c r="N483" s="34" t="s">
        <v>1727</v>
      </c>
      <c r="O483" s="35">
        <v>1</v>
      </c>
      <c r="P483" s="35">
        <v>1</v>
      </c>
      <c r="Q483" s="32"/>
      <c r="S483" s="1">
        <f t="shared" si="355"/>
        <v>0</v>
      </c>
      <c r="T483" s="1">
        <f t="shared" si="356"/>
        <v>0</v>
      </c>
      <c r="U483" s="1">
        <f t="shared" si="357"/>
        <v>0</v>
      </c>
      <c r="V483" s="1">
        <f t="shared" si="358"/>
        <v>0</v>
      </c>
      <c r="W483" s="1">
        <f t="shared" si="359"/>
        <v>0</v>
      </c>
      <c r="X483" s="1">
        <f t="shared" si="360"/>
        <v>0</v>
      </c>
      <c r="Y483" s="1">
        <f t="shared" si="361"/>
        <v>0</v>
      </c>
      <c r="Z483" s="1">
        <f t="shared" si="362"/>
        <v>0</v>
      </c>
      <c r="AA483" s="1">
        <f t="shared" si="363"/>
        <v>0</v>
      </c>
      <c r="AB483" s="1">
        <f t="shared" si="364"/>
        <v>0</v>
      </c>
      <c r="AD483" s="1">
        <f>+O483*P483</f>
        <v>1</v>
      </c>
      <c r="AE483" s="1">
        <f>O483*(1-P483)</f>
        <v>0</v>
      </c>
      <c r="AF483" s="1">
        <f t="shared" si="351"/>
        <v>1</v>
      </c>
      <c r="AG483" s="1">
        <f t="shared" si="352"/>
        <v>0</v>
      </c>
      <c r="AH483" s="1">
        <f t="shared" si="353"/>
        <v>1</v>
      </c>
      <c r="AI483" s="1">
        <f t="shared" si="354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1243</v>
      </c>
      <c r="E484" s="45" t="s">
        <v>28</v>
      </c>
      <c r="F484" s="45" t="s">
        <v>1236</v>
      </c>
      <c r="G484" s="45" t="s">
        <v>1237</v>
      </c>
      <c r="H484" s="45" t="s">
        <v>354</v>
      </c>
      <c r="I484" s="44" t="s">
        <v>1238</v>
      </c>
      <c r="J484" s="44">
        <v>99</v>
      </c>
      <c r="K484" s="46" t="s">
        <v>712</v>
      </c>
      <c r="L484" s="46" t="s">
        <v>713</v>
      </c>
      <c r="M484" s="47" t="s">
        <v>731</v>
      </c>
      <c r="N484" s="47" t="s">
        <v>1735</v>
      </c>
      <c r="O484" s="48"/>
      <c r="P484" s="48"/>
      <c r="Q484" s="45"/>
      <c r="S484" s="1">
        <f t="shared" si="355"/>
        <v>0</v>
      </c>
      <c r="T484" s="1">
        <f t="shared" si="356"/>
        <v>0</v>
      </c>
      <c r="U484" s="1">
        <f t="shared" si="357"/>
        <v>0</v>
      </c>
      <c r="V484" s="1">
        <f t="shared" si="358"/>
        <v>0</v>
      </c>
      <c r="W484" s="1">
        <f t="shared" si="359"/>
        <v>0</v>
      </c>
      <c r="X484" s="1">
        <f t="shared" si="360"/>
        <v>0</v>
      </c>
      <c r="Y484" s="1">
        <f t="shared" si="361"/>
        <v>0</v>
      </c>
      <c r="Z484" s="1">
        <f t="shared" si="362"/>
        <v>0</v>
      </c>
      <c r="AA484" s="1">
        <f t="shared" si="363"/>
        <v>0</v>
      </c>
      <c r="AB484" s="1">
        <f t="shared" si="364"/>
        <v>0</v>
      </c>
      <c r="AD484" s="1">
        <f t="shared" ref="AD484:AD491" si="365">+O484*P484</f>
        <v>0</v>
      </c>
      <c r="AE484" s="1">
        <f t="shared" ref="AE484:AE491" si="366">O484*(1-P484)</f>
        <v>0</v>
      </c>
      <c r="AF484" s="1">
        <f t="shared" si="351"/>
        <v>0</v>
      </c>
      <c r="AG484" s="1">
        <f t="shared" si="352"/>
        <v>0</v>
      </c>
      <c r="AH484" s="1">
        <f t="shared" si="353"/>
        <v>0</v>
      </c>
      <c r="AI484" s="1">
        <f t="shared" si="354"/>
        <v>1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1240</v>
      </c>
      <c r="E485" s="45" t="s">
        <v>28</v>
      </c>
      <c r="F485" s="45" t="s">
        <v>1241</v>
      </c>
      <c r="G485" s="45" t="s">
        <v>523</v>
      </c>
      <c r="H485" s="45" t="s">
        <v>354</v>
      </c>
      <c r="I485" s="44" t="s">
        <v>1242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/>
      <c r="S485" s="1">
        <f t="shared" si="355"/>
        <v>0</v>
      </c>
      <c r="T485" s="1">
        <f t="shared" si="356"/>
        <v>0</v>
      </c>
      <c r="U485" s="1">
        <f t="shared" si="357"/>
        <v>0</v>
      </c>
      <c r="V485" s="1">
        <f t="shared" si="358"/>
        <v>0</v>
      </c>
      <c r="W485" s="1">
        <f t="shared" si="359"/>
        <v>0</v>
      </c>
      <c r="X485" s="1">
        <f t="shared" si="360"/>
        <v>0</v>
      </c>
      <c r="Y485" s="1">
        <f t="shared" si="361"/>
        <v>0</v>
      </c>
      <c r="Z485" s="1">
        <f t="shared" si="362"/>
        <v>0</v>
      </c>
      <c r="AA485" s="1">
        <f t="shared" si="363"/>
        <v>0</v>
      </c>
      <c r="AB485" s="1">
        <f t="shared" si="364"/>
        <v>0</v>
      </c>
      <c r="AD485" s="1">
        <f t="shared" si="365"/>
        <v>0</v>
      </c>
      <c r="AE485" s="1">
        <f t="shared" si="366"/>
        <v>0</v>
      </c>
      <c r="AF485" s="1">
        <f t="shared" si="351"/>
        <v>0</v>
      </c>
      <c r="AG485" s="1">
        <f t="shared" si="352"/>
        <v>0</v>
      </c>
      <c r="AH485" s="1">
        <f t="shared" si="353"/>
        <v>0</v>
      </c>
      <c r="AI485" s="1">
        <f t="shared" si="354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1846</v>
      </c>
      <c r="E486" s="32" t="s">
        <v>1168</v>
      </c>
      <c r="F486" s="32" t="s">
        <v>1847</v>
      </c>
      <c r="G486" s="32"/>
      <c r="H486" s="32" t="s">
        <v>354</v>
      </c>
      <c r="I486" s="31" t="s">
        <v>1848</v>
      </c>
      <c r="J486" s="31">
        <v>6</v>
      </c>
      <c r="K486" s="33" t="s">
        <v>703</v>
      </c>
      <c r="L486" s="33"/>
      <c r="M486" s="34"/>
      <c r="N486" s="34" t="s">
        <v>1748</v>
      </c>
      <c r="O486" s="35">
        <v>1</v>
      </c>
      <c r="P486" s="35"/>
      <c r="Q486" s="32"/>
      <c r="S486" s="1">
        <f t="shared" si="355"/>
        <v>0</v>
      </c>
      <c r="T486" s="1">
        <f t="shared" si="356"/>
        <v>0</v>
      </c>
      <c r="U486" s="1">
        <f t="shared" si="357"/>
        <v>0</v>
      </c>
      <c r="V486" s="1">
        <f t="shared" si="358"/>
        <v>0</v>
      </c>
      <c r="W486" s="1">
        <f t="shared" si="359"/>
        <v>0</v>
      </c>
      <c r="X486" s="1">
        <f t="shared" si="360"/>
        <v>1</v>
      </c>
      <c r="Y486" s="1">
        <f t="shared" si="361"/>
        <v>0</v>
      </c>
      <c r="Z486" s="1">
        <f t="shared" si="362"/>
        <v>0</v>
      </c>
      <c r="AA486" s="1">
        <f t="shared" si="363"/>
        <v>0</v>
      </c>
      <c r="AB486" s="1">
        <f t="shared" si="364"/>
        <v>0</v>
      </c>
      <c r="AD486" s="1">
        <f t="shared" si="365"/>
        <v>0</v>
      </c>
      <c r="AE486" s="1">
        <f t="shared" si="366"/>
        <v>1</v>
      </c>
      <c r="AF486" s="1">
        <f t="shared" si="351"/>
        <v>0</v>
      </c>
      <c r="AG486" s="1">
        <f t="shared" si="352"/>
        <v>1</v>
      </c>
      <c r="AH486" s="1">
        <f t="shared" si="353"/>
        <v>0</v>
      </c>
      <c r="AI486" s="1">
        <f t="shared" si="354"/>
        <v>1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1458</v>
      </c>
      <c r="E487" s="45" t="s">
        <v>28</v>
      </c>
      <c r="F487" s="45" t="s">
        <v>1459</v>
      </c>
      <c r="G487" s="45" t="s">
        <v>1460</v>
      </c>
      <c r="H487" s="45" t="s">
        <v>354</v>
      </c>
      <c r="I487" s="44" t="s">
        <v>1461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 t="s">
        <v>1931</v>
      </c>
      <c r="S487" s="1">
        <f t="shared" si="355"/>
        <v>0</v>
      </c>
      <c r="T487" s="1">
        <f t="shared" si="356"/>
        <v>0</v>
      </c>
      <c r="U487" s="1">
        <f t="shared" si="357"/>
        <v>0</v>
      </c>
      <c r="V487" s="1">
        <f t="shared" si="358"/>
        <v>0</v>
      </c>
      <c r="W487" s="1">
        <f t="shared" si="359"/>
        <v>0</v>
      </c>
      <c r="X487" s="1">
        <f t="shared" si="360"/>
        <v>0</v>
      </c>
      <c r="Y487" s="1">
        <f t="shared" si="361"/>
        <v>0</v>
      </c>
      <c r="Z487" s="1">
        <f t="shared" si="362"/>
        <v>0</v>
      </c>
      <c r="AA487" s="1">
        <f t="shared" si="363"/>
        <v>0</v>
      </c>
      <c r="AB487" s="1">
        <f t="shared" si="364"/>
        <v>0</v>
      </c>
      <c r="AD487" s="1">
        <f t="shared" si="365"/>
        <v>0</v>
      </c>
      <c r="AE487" s="1">
        <f t="shared" si="366"/>
        <v>0</v>
      </c>
      <c r="AF487" s="1">
        <f t="shared" si="351"/>
        <v>0</v>
      </c>
      <c r="AG487" s="1">
        <f t="shared" si="352"/>
        <v>0</v>
      </c>
      <c r="AH487" s="1">
        <f t="shared" si="353"/>
        <v>0</v>
      </c>
      <c r="AI487" s="1">
        <f t="shared" si="354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575</v>
      </c>
      <c r="G488" s="32" t="s">
        <v>235</v>
      </c>
      <c r="H488" s="32" t="s">
        <v>354</v>
      </c>
      <c r="I488" s="31" t="s">
        <v>582</v>
      </c>
      <c r="J488" s="31">
        <v>99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55"/>
        <v>0</v>
      </c>
      <c r="T488" s="1">
        <f t="shared" si="356"/>
        <v>0</v>
      </c>
      <c r="U488" s="1">
        <f t="shared" si="357"/>
        <v>0</v>
      </c>
      <c r="V488" s="1">
        <f t="shared" si="358"/>
        <v>0</v>
      </c>
      <c r="W488" s="1">
        <f t="shared" si="359"/>
        <v>0</v>
      </c>
      <c r="X488" s="1">
        <f t="shared" si="360"/>
        <v>0</v>
      </c>
      <c r="Y488" s="1">
        <f t="shared" si="361"/>
        <v>0</v>
      </c>
      <c r="Z488" s="1">
        <f t="shared" si="362"/>
        <v>0</v>
      </c>
      <c r="AA488" s="1">
        <f t="shared" si="363"/>
        <v>0</v>
      </c>
      <c r="AB488" s="1">
        <f t="shared" si="364"/>
        <v>0</v>
      </c>
      <c r="AD488" s="1">
        <f t="shared" si="365"/>
        <v>0</v>
      </c>
      <c r="AE488" s="1">
        <f t="shared" si="366"/>
        <v>1</v>
      </c>
      <c r="AF488" s="1">
        <f t="shared" si="351"/>
        <v>0</v>
      </c>
      <c r="AG488" s="1">
        <f t="shared" si="352"/>
        <v>1</v>
      </c>
      <c r="AH488" s="1">
        <f t="shared" si="353"/>
        <v>0</v>
      </c>
      <c r="AI488" s="1">
        <f t="shared" si="354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271</v>
      </c>
      <c r="G489" s="32" t="s">
        <v>180</v>
      </c>
      <c r="H489" s="32" t="s">
        <v>354</v>
      </c>
      <c r="I489" s="31" t="s">
        <v>426</v>
      </c>
      <c r="J489" s="31">
        <v>10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55"/>
        <v>0</v>
      </c>
      <c r="T489" s="1">
        <f t="shared" si="356"/>
        <v>0</v>
      </c>
      <c r="U489" s="1">
        <f t="shared" si="357"/>
        <v>0</v>
      </c>
      <c r="V489" s="1">
        <f t="shared" si="358"/>
        <v>0</v>
      </c>
      <c r="W489" s="1">
        <f t="shared" si="359"/>
        <v>0</v>
      </c>
      <c r="X489" s="1">
        <f t="shared" si="360"/>
        <v>0</v>
      </c>
      <c r="Y489" s="1">
        <f t="shared" si="361"/>
        <v>0</v>
      </c>
      <c r="Z489" s="1">
        <f t="shared" si="362"/>
        <v>0</v>
      </c>
      <c r="AA489" s="1">
        <f t="shared" si="363"/>
        <v>0</v>
      </c>
      <c r="AB489" s="1">
        <f t="shared" si="364"/>
        <v>1</v>
      </c>
      <c r="AD489" s="1">
        <f t="shared" si="365"/>
        <v>0</v>
      </c>
      <c r="AE489" s="1">
        <f t="shared" si="366"/>
        <v>1</v>
      </c>
      <c r="AF489" s="1">
        <f t="shared" si="351"/>
        <v>0</v>
      </c>
      <c r="AG489" s="1">
        <f t="shared" si="352"/>
        <v>0</v>
      </c>
      <c r="AH489" s="1">
        <f t="shared" si="353"/>
        <v>0</v>
      </c>
      <c r="AI489" s="1">
        <f t="shared" si="354"/>
        <v>0</v>
      </c>
    </row>
    <row r="490" spans="1:35" ht="14.25" customHeight="1" x14ac:dyDescent="0.25">
      <c r="A490" s="31">
        <v>1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272</v>
      </c>
      <c r="G490" s="32" t="s">
        <v>39</v>
      </c>
      <c r="H490" s="32" t="s">
        <v>354</v>
      </c>
      <c r="I490" s="31" t="s">
        <v>427</v>
      </c>
      <c r="J490" s="31">
        <v>5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55"/>
        <v>0</v>
      </c>
      <c r="T490" s="1">
        <f t="shared" si="356"/>
        <v>0</v>
      </c>
      <c r="U490" s="1">
        <f t="shared" si="357"/>
        <v>0</v>
      </c>
      <c r="V490" s="1">
        <f t="shared" si="358"/>
        <v>0</v>
      </c>
      <c r="W490" s="1">
        <f t="shared" si="359"/>
        <v>1</v>
      </c>
      <c r="X490" s="1">
        <f t="shared" si="360"/>
        <v>0</v>
      </c>
      <c r="Y490" s="1">
        <f t="shared" si="361"/>
        <v>0</v>
      </c>
      <c r="Z490" s="1">
        <f t="shared" si="362"/>
        <v>0</v>
      </c>
      <c r="AA490" s="1">
        <f t="shared" si="363"/>
        <v>0</v>
      </c>
      <c r="AB490" s="1">
        <f t="shared" si="364"/>
        <v>0</v>
      </c>
      <c r="AD490" s="1">
        <f t="shared" si="365"/>
        <v>0</v>
      </c>
      <c r="AE490" s="1">
        <f t="shared" si="366"/>
        <v>1</v>
      </c>
      <c r="AF490" s="1">
        <f t="shared" si="351"/>
        <v>0</v>
      </c>
      <c r="AG490" s="1">
        <f t="shared" si="352"/>
        <v>0</v>
      </c>
      <c r="AH490" s="1">
        <f t="shared" si="353"/>
        <v>0</v>
      </c>
      <c r="AI490" s="1">
        <f t="shared" si="354"/>
        <v>0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276</v>
      </c>
      <c r="G491" s="32" t="s">
        <v>194</v>
      </c>
      <c r="H491" s="32" t="s">
        <v>354</v>
      </c>
      <c r="I491" s="31" t="s">
        <v>431</v>
      </c>
      <c r="J491" s="31">
        <v>9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55"/>
        <v>0</v>
      </c>
      <c r="T491" s="1">
        <f t="shared" si="356"/>
        <v>0</v>
      </c>
      <c r="U491" s="1">
        <f t="shared" si="357"/>
        <v>0</v>
      </c>
      <c r="V491" s="1">
        <f t="shared" si="358"/>
        <v>0</v>
      </c>
      <c r="W491" s="1">
        <f t="shared" si="359"/>
        <v>0</v>
      </c>
      <c r="X491" s="1">
        <f t="shared" si="360"/>
        <v>0</v>
      </c>
      <c r="Y491" s="1">
        <f t="shared" si="361"/>
        <v>0</v>
      </c>
      <c r="Z491" s="1">
        <f t="shared" si="362"/>
        <v>0</v>
      </c>
      <c r="AA491" s="1">
        <f t="shared" si="363"/>
        <v>1</v>
      </c>
      <c r="AB491" s="1">
        <f t="shared" si="364"/>
        <v>0</v>
      </c>
      <c r="AD491" s="1">
        <f t="shared" si="365"/>
        <v>0</v>
      </c>
      <c r="AE491" s="1">
        <f t="shared" si="366"/>
        <v>1</v>
      </c>
      <c r="AF491" s="1">
        <f t="shared" si="351"/>
        <v>0</v>
      </c>
      <c r="AG491" s="1">
        <f t="shared" si="352"/>
        <v>0</v>
      </c>
      <c r="AH491" s="1">
        <f t="shared" si="353"/>
        <v>0</v>
      </c>
      <c r="AI491" s="1">
        <f t="shared" si="354"/>
        <v>0</v>
      </c>
    </row>
    <row r="492" spans="1:35" ht="14.25" customHeight="1" x14ac:dyDescent="0.25">
      <c r="A492" s="44">
        <v>0</v>
      </c>
      <c r="B492" s="44">
        <v>2</v>
      </c>
      <c r="C492" s="44">
        <v>7</v>
      </c>
      <c r="D492" s="45" t="s">
        <v>1561</v>
      </c>
      <c r="E492" s="45" t="s">
        <v>28</v>
      </c>
      <c r="F492" s="45" t="s">
        <v>1562</v>
      </c>
      <c r="G492" s="45" t="s">
        <v>238</v>
      </c>
      <c r="H492" s="45" t="s">
        <v>354</v>
      </c>
      <c r="I492" s="44" t="s">
        <v>1695</v>
      </c>
      <c r="J492" s="44">
        <v>4</v>
      </c>
      <c r="K492" s="46" t="s">
        <v>713</v>
      </c>
      <c r="L492" s="46" t="s">
        <v>713</v>
      </c>
      <c r="M492" s="47" t="s">
        <v>731</v>
      </c>
      <c r="N492" s="47" t="s">
        <v>1735</v>
      </c>
      <c r="O492" s="48"/>
      <c r="P492" s="48"/>
      <c r="Q492" s="45"/>
      <c r="S492" s="1">
        <f t="shared" ref="S492:S493" si="367">IF(J492=$S$7,1,0)</f>
        <v>0</v>
      </c>
      <c r="T492" s="1">
        <f t="shared" ref="T492:T493" si="368">IF(J492=$T$7,1,0)</f>
        <v>0</v>
      </c>
      <c r="U492" s="1">
        <f t="shared" ref="U492:U493" si="369">IF(J492=$U$7,1,0)</f>
        <v>0</v>
      </c>
      <c r="V492" s="1">
        <f t="shared" ref="V492:V493" si="370">IF(J492=$V$7,1,0)</f>
        <v>1</v>
      </c>
      <c r="W492" s="1">
        <f t="shared" ref="W492:W493" si="371">IF(J492=$W$7,1,0)</f>
        <v>0</v>
      </c>
      <c r="X492" s="1">
        <f t="shared" ref="X492:X493" si="372">IF(J492=$X$7,1,0)</f>
        <v>0</v>
      </c>
      <c r="Y492" s="1">
        <f t="shared" ref="Y492:Y493" si="373">IF(J492=$Y$7,1,0)</f>
        <v>0</v>
      </c>
      <c r="Z492" s="1">
        <f t="shared" ref="Z492:Z493" si="374">IF(J492=$Z$7,1,0)</f>
        <v>0</v>
      </c>
      <c r="AA492" s="1">
        <f t="shared" ref="AA492:AA493" si="375">IF(J492=$AA$7,1,0)</f>
        <v>0</v>
      </c>
      <c r="AB492" s="1">
        <f t="shared" ref="AB492:AB493" si="376">IF(J492=$AB$7,1,0)</f>
        <v>0</v>
      </c>
      <c r="AD492" s="1">
        <f t="shared" ref="AD492:AD493" si="377">+O492*P492</f>
        <v>0</v>
      </c>
      <c r="AE492" s="1">
        <f t="shared" ref="AE492:AE493" si="378">O492*(1-P492)</f>
        <v>0</v>
      </c>
      <c r="AF492" s="1">
        <f t="shared" ref="AF492:AF493" si="379">+O492*P492*(1-A492)</f>
        <v>0</v>
      </c>
      <c r="AG492" s="1">
        <f t="shared" ref="AG492:AG493" si="380">O492*(1-P492)*(1-A492)</f>
        <v>0</v>
      </c>
      <c r="AH492" s="1">
        <f t="shared" ref="AH492:AH493" si="381">+P492*(1-A492)</f>
        <v>0</v>
      </c>
      <c r="AI492" s="1">
        <f t="shared" ref="AI492:AI493" si="382">+(1-A492)*(1-P492)</f>
        <v>1</v>
      </c>
    </row>
    <row r="493" spans="1:35" ht="14.25" customHeight="1" x14ac:dyDescent="0.25">
      <c r="A493" s="44">
        <v>0</v>
      </c>
      <c r="B493" s="44">
        <v>2</v>
      </c>
      <c r="C493" s="44">
        <v>7</v>
      </c>
      <c r="D493" s="45" t="s">
        <v>63</v>
      </c>
      <c r="E493" s="45" t="s">
        <v>44</v>
      </c>
      <c r="F493" s="45" t="s">
        <v>236</v>
      </c>
      <c r="G493" s="45" t="s">
        <v>200</v>
      </c>
      <c r="H493" s="45" t="s">
        <v>354</v>
      </c>
      <c r="I493" s="44" t="s">
        <v>402</v>
      </c>
      <c r="J493" s="44">
        <v>2</v>
      </c>
      <c r="K493" s="46" t="s">
        <v>713</v>
      </c>
      <c r="L493" s="46" t="s">
        <v>722</v>
      </c>
      <c r="M493" s="47" t="s">
        <v>735</v>
      </c>
      <c r="N493" s="47" t="s">
        <v>1735</v>
      </c>
      <c r="O493" s="48"/>
      <c r="P493" s="48"/>
      <c r="Q493" s="45"/>
      <c r="S493" s="1">
        <f t="shared" si="367"/>
        <v>0</v>
      </c>
      <c r="T493" s="1">
        <f t="shared" si="368"/>
        <v>1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0</v>
      </c>
      <c r="AD493" s="1">
        <f t="shared" si="377"/>
        <v>0</v>
      </c>
      <c r="AE493" s="1">
        <f t="shared" si="378"/>
        <v>0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1</v>
      </c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9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9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9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7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7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7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</sheetData>
  <autoFilter ref="A7:Q493" xr:uid="{AEE30112-88BB-441D-AEFC-A7A733AB1798}">
    <sortState xmlns:xlrd2="http://schemas.microsoft.com/office/spreadsheetml/2017/richdata2" ref="A8:Q493">
      <sortCondition ref="B8:B493"/>
      <sortCondition ref="C8:C493"/>
      <sortCondition ref="D8:D493"/>
      <sortCondition ref="A8:A493"/>
    </sortState>
  </autoFilter>
  <sortState xmlns:xlrd2="http://schemas.microsoft.com/office/spreadsheetml/2017/richdata2" ref="A8:Q493">
    <sortCondition ref="B8:B493"/>
    <sortCondition ref="C8:C493"/>
    <sortCondition ref="D8:D493"/>
    <sortCondition ref="A8:A49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2026-07-12T20:08:42Z</dcterms:modified>
</cp:coreProperties>
</file>