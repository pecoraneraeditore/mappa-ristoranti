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EE6456A-5AE3-4459-9EB9-4F63FA3B043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golose'!$A$7:$Q$510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0" i="6" l="1"/>
  <c r="T230" i="6"/>
  <c r="U230" i="6"/>
  <c r="V230" i="6"/>
  <c r="W230" i="6"/>
  <c r="X230" i="6"/>
  <c r="Y230" i="6"/>
  <c r="Z230" i="6"/>
  <c r="AA230" i="6"/>
  <c r="AB230" i="6"/>
  <c r="S231" i="6"/>
  <c r="T231" i="6"/>
  <c r="U231" i="6"/>
  <c r="V231" i="6"/>
  <c r="W231" i="6"/>
  <c r="X231" i="6"/>
  <c r="Y231" i="6"/>
  <c r="Z231" i="6"/>
  <c r="AA231" i="6"/>
  <c r="AB231" i="6"/>
  <c r="S232" i="6"/>
  <c r="T232" i="6"/>
  <c r="U232" i="6"/>
  <c r="V232" i="6"/>
  <c r="W232" i="6"/>
  <c r="X232" i="6"/>
  <c r="Y232" i="6"/>
  <c r="Z232" i="6"/>
  <c r="AA232" i="6"/>
  <c r="AB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5" i="6" l="1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1" i="6"/>
  <c r="T266" i="6"/>
  <c r="T312" i="6"/>
  <c r="T233" i="6"/>
  <c r="T308" i="6"/>
  <c r="T390" i="6"/>
  <c r="T273" i="6"/>
  <c r="T389" i="6"/>
  <c r="T282" i="6"/>
  <c r="T388" i="6"/>
  <c r="T289" i="6"/>
  <c r="T387" i="6"/>
  <c r="T298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394" i="6"/>
  <c r="T241" i="6"/>
  <c r="T305" i="6"/>
  <c r="T386" i="6"/>
  <c r="T393" i="6"/>
  <c r="T250" i="6"/>
  <c r="T324" i="6"/>
  <c r="T454" i="6"/>
  <c r="T392" i="6"/>
  <c r="T459" i="6"/>
  <c r="T448" i="6"/>
  <c r="T464" i="6"/>
  <c r="T320" i="6"/>
  <c r="T453" i="6"/>
  <c r="T458" i="6"/>
  <c r="T469" i="6"/>
  <c r="T474" i="6"/>
  <c r="T476" i="6"/>
  <c r="T480" i="6"/>
  <c r="T483" i="6"/>
  <c r="T486" i="6"/>
  <c r="T490" i="6"/>
  <c r="T492" i="6"/>
  <c r="T495" i="6"/>
  <c r="T499" i="6"/>
  <c r="T503" i="6"/>
  <c r="T505" i="6"/>
  <c r="T508" i="6"/>
  <c r="T447" i="6"/>
  <c r="T463" i="6"/>
  <c r="T471" i="6"/>
  <c r="T477" i="6"/>
  <c r="T482" i="6"/>
  <c r="T485" i="6"/>
  <c r="T489" i="6"/>
  <c r="T494" i="6"/>
  <c r="T497" i="6"/>
  <c r="T501" i="6"/>
  <c r="T504" i="6"/>
  <c r="T507" i="6"/>
  <c r="T509" i="6"/>
  <c r="T452" i="6"/>
  <c r="T470" i="6"/>
  <c r="T473" i="6"/>
  <c r="T475" i="6"/>
  <c r="T478" i="6"/>
  <c r="T481" i="6"/>
  <c r="T484" i="6"/>
  <c r="T487" i="6"/>
  <c r="T491" i="6"/>
  <c r="T493" i="6"/>
  <c r="T496" i="6"/>
  <c r="T500" i="6"/>
  <c r="T502" i="6"/>
  <c r="T506" i="6"/>
  <c r="T510" i="6"/>
  <c r="T457" i="6"/>
  <c r="T468" i="6"/>
  <c r="T472" i="6"/>
  <c r="T479" i="6"/>
  <c r="T488" i="6"/>
  <c r="T498" i="6"/>
  <c r="T465" i="6"/>
  <c r="T446" i="6"/>
  <c r="T462" i="6"/>
  <c r="T467" i="6"/>
  <c r="T257" i="6"/>
  <c r="T451" i="6"/>
  <c r="T456" i="6"/>
  <c r="T449" i="6"/>
  <c r="T445" i="6"/>
  <c r="T461" i="6"/>
  <c r="T450" i="6"/>
  <c r="T466" i="6"/>
  <c r="T455" i="6"/>
  <c r="T460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5" i="6" l="1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394" i="6"/>
  <c r="U241" i="6"/>
  <c r="U305" i="6"/>
  <c r="U444" i="6"/>
  <c r="U449" i="6"/>
  <c r="U465" i="6"/>
  <c r="U454" i="6"/>
  <c r="U459" i="6"/>
  <c r="U448" i="6"/>
  <c r="U464" i="6"/>
  <c r="U460" i="6"/>
  <c r="U440" i="6"/>
  <c r="U453" i="6"/>
  <c r="U443" i="6"/>
  <c r="U458" i="6"/>
  <c r="U447" i="6"/>
  <c r="U463" i="6"/>
  <c r="U452" i="6"/>
  <c r="U45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248" i="6"/>
  <c r="U446" i="6"/>
  <c r="U462" i="6"/>
  <c r="U442" i="6"/>
  <c r="U451" i="6"/>
  <c r="U467" i="6"/>
  <c r="U441" i="6"/>
  <c r="U456" i="6"/>
  <c r="U445" i="6"/>
  <c r="U461" i="6"/>
  <c r="U450" i="6"/>
  <c r="U466" i="6"/>
  <c r="U455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5" i="6" l="1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1" i="6"/>
  <c r="V173" i="6"/>
  <c r="V384" i="6"/>
  <c r="V390" i="6"/>
  <c r="V389" i="6"/>
  <c r="V383" i="6"/>
  <c r="V388" i="6"/>
  <c r="V387" i="6"/>
  <c r="V382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386" i="6"/>
  <c r="V394" i="6"/>
  <c r="V393" i="6"/>
  <c r="V438" i="6"/>
  <c r="V441" i="6"/>
  <c r="V460" i="6"/>
  <c r="V454" i="6"/>
  <c r="V444" i="6"/>
  <c r="V449" i="6"/>
  <c r="V465" i="6"/>
  <c r="V392" i="6"/>
  <c r="V459" i="6"/>
  <c r="V448" i="6"/>
  <c r="V464" i="6"/>
  <c r="V488" i="6"/>
  <c r="V494" i="6"/>
  <c r="V502" i="6"/>
  <c r="V508" i="6"/>
  <c r="V440" i="6"/>
  <c r="V453" i="6"/>
  <c r="V487" i="6"/>
  <c r="V498" i="6"/>
  <c r="V506" i="6"/>
  <c r="V455" i="6"/>
  <c r="V437" i="6"/>
  <c r="V443" i="6"/>
  <c r="V458" i="6"/>
  <c r="V489" i="6"/>
  <c r="V495" i="6"/>
  <c r="V501" i="6"/>
  <c r="V505" i="6"/>
  <c r="V447" i="6"/>
  <c r="V463" i="6"/>
  <c r="V497" i="6"/>
  <c r="V503" i="6"/>
  <c r="V509" i="6"/>
  <c r="V452" i="6"/>
  <c r="V469" i="6"/>
  <c r="V471" i="6"/>
  <c r="V472" i="6"/>
  <c r="V474" i="6"/>
  <c r="V476" i="6"/>
  <c r="V478" i="6"/>
  <c r="V479" i="6"/>
  <c r="V481" i="6"/>
  <c r="V483" i="6"/>
  <c r="V484" i="6"/>
  <c r="V486" i="6"/>
  <c r="V491" i="6"/>
  <c r="V492" i="6"/>
  <c r="V496" i="6"/>
  <c r="V499" i="6"/>
  <c r="V504" i="6"/>
  <c r="V507" i="6"/>
  <c r="V457" i="6"/>
  <c r="V468" i="6"/>
  <c r="V470" i="6"/>
  <c r="V473" i="6"/>
  <c r="V475" i="6"/>
  <c r="V477" i="6"/>
  <c r="V480" i="6"/>
  <c r="V482" i="6"/>
  <c r="V485" i="6"/>
  <c r="V490" i="6"/>
  <c r="V493" i="6"/>
  <c r="V500" i="6"/>
  <c r="V510" i="6"/>
  <c r="V439" i="6"/>
  <c r="V446" i="6"/>
  <c r="V462" i="6"/>
  <c r="V442" i="6"/>
  <c r="V451" i="6"/>
  <c r="V467" i="6"/>
  <c r="V385" i="6"/>
  <c r="V456" i="6"/>
  <c r="V381" i="6"/>
  <c r="V445" i="6"/>
  <c r="V461" i="6"/>
  <c r="V466" i="6"/>
  <c r="V450" i="6"/>
  <c r="V13" i="6"/>
  <c r="V14" i="6"/>
  <c r="V12" i="6"/>
  <c r="V9" i="6"/>
  <c r="W7" i="6"/>
  <c r="V10" i="6"/>
  <c r="V11" i="6"/>
  <c r="V8" i="6"/>
  <c r="U5" i="6"/>
  <c r="H5" i="6"/>
  <c r="W15" i="6" l="1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5" i="6"/>
  <c r="W392" i="6"/>
  <c r="W391" i="6"/>
  <c r="W384" i="6"/>
  <c r="W390" i="6"/>
  <c r="W389" i="6"/>
  <c r="W383" i="6"/>
  <c r="W388" i="6"/>
  <c r="W387" i="6"/>
  <c r="W382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386" i="6"/>
  <c r="W394" i="6"/>
  <c r="W455" i="6"/>
  <c r="W460" i="6"/>
  <c r="W449" i="6"/>
  <c r="W465" i="6"/>
  <c r="W454" i="6"/>
  <c r="W459" i="6"/>
  <c r="W487" i="6"/>
  <c r="W497" i="6"/>
  <c r="W505" i="6"/>
  <c r="W448" i="6"/>
  <c r="W464" i="6"/>
  <c r="W488" i="6"/>
  <c r="W492" i="6"/>
  <c r="W498" i="6"/>
  <c r="W504" i="6"/>
  <c r="W509" i="6"/>
  <c r="W453" i="6"/>
  <c r="W485" i="6"/>
  <c r="W499" i="6"/>
  <c r="W506" i="6"/>
  <c r="W458" i="6"/>
  <c r="W490" i="6"/>
  <c r="W500" i="6"/>
  <c r="W508" i="6"/>
  <c r="W447" i="6"/>
  <c r="W463" i="6"/>
  <c r="W486" i="6"/>
  <c r="W494" i="6"/>
  <c r="W503" i="6"/>
  <c r="W510" i="6"/>
  <c r="W452" i="6"/>
  <c r="W491" i="6"/>
  <c r="W495" i="6"/>
  <c r="W501" i="6"/>
  <c r="W507" i="6"/>
  <c r="W393" i="6"/>
  <c r="W45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9" i="6"/>
  <c r="W493" i="6"/>
  <c r="W496" i="6"/>
  <c r="W502" i="6"/>
  <c r="W446" i="6"/>
  <c r="W462" i="6"/>
  <c r="W451" i="6"/>
  <c r="W467" i="6"/>
  <c r="W456" i="6"/>
  <c r="W445" i="6"/>
  <c r="W461" i="6"/>
  <c r="W450" i="6"/>
  <c r="W466" i="6"/>
  <c r="W13" i="6"/>
  <c r="W14" i="6"/>
  <c r="W12" i="6"/>
  <c r="W8" i="6"/>
  <c r="V5" i="6"/>
  <c r="X7" i="6"/>
  <c r="W10" i="6"/>
  <c r="W9" i="6"/>
  <c r="W11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09" i="6"/>
  <c r="X313" i="6"/>
  <c r="X317" i="6"/>
  <c r="X321" i="6"/>
  <c r="X325" i="6"/>
  <c r="X392" i="6"/>
  <c r="X391" i="6"/>
  <c r="X390" i="6"/>
  <c r="X389" i="6"/>
  <c r="X388" i="6"/>
  <c r="X387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394" i="6"/>
  <c r="X497" i="6"/>
  <c r="X504" i="6"/>
  <c r="X496" i="6"/>
  <c r="X506" i="6"/>
  <c r="X495" i="6"/>
  <c r="X503" i="6"/>
  <c r="X502" i="6"/>
  <c r="X509" i="6"/>
  <c r="X498" i="6"/>
  <c r="X505" i="6"/>
  <c r="X499" i="6"/>
  <c r="X510" i="6"/>
  <c r="X500" i="6"/>
  <c r="X508" i="6"/>
  <c r="X393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501" i="6"/>
  <c r="X507" i="6"/>
  <c r="X467" i="6"/>
  <c r="X13" i="6"/>
  <c r="X14" i="6"/>
  <c r="W5" i="6"/>
  <c r="X10" i="6"/>
  <c r="Y7" i="6"/>
  <c r="X9" i="6"/>
  <c r="X11" i="6"/>
  <c r="X12" i="6"/>
  <c r="X8" i="6"/>
  <c r="Y15" i="6" l="1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3" i="6"/>
  <c r="Y381" i="6"/>
  <c r="Y385" i="6"/>
  <c r="Y392" i="6"/>
  <c r="Y391" i="6"/>
  <c r="Y380" i="6"/>
  <c r="Y384" i="6"/>
  <c r="Y325" i="6"/>
  <c r="Y390" i="6"/>
  <c r="Y321" i="6"/>
  <c r="Y317" i="6"/>
  <c r="Y389" i="6"/>
  <c r="Y313" i="6"/>
  <c r="Y383" i="6"/>
  <c r="Y309" i="6"/>
  <c r="Y388" i="6"/>
  <c r="Y387" i="6"/>
  <c r="Y382" i="6"/>
  <c r="Y399" i="6"/>
  <c r="Y415" i="6"/>
  <c r="Y431" i="6"/>
  <c r="Y450" i="6"/>
  <c r="Y466" i="6"/>
  <c r="Y408" i="6"/>
  <c r="Y424" i="6"/>
  <c r="Y438" i="6"/>
  <c r="Y441" i="6"/>
  <c r="Y455" i="6"/>
  <c r="Y401" i="6"/>
  <c r="Y417" i="6"/>
  <c r="Y433" i="6"/>
  <c r="Y444" i="6"/>
  <c r="Y460" i="6"/>
  <c r="Y410" i="6"/>
  <c r="Y426" i="6"/>
  <c r="Y449" i="6"/>
  <c r="Y465" i="6"/>
  <c r="Y386" i="6"/>
  <c r="Y394" i="6"/>
  <c r="Y403" i="6"/>
  <c r="Y419" i="6"/>
  <c r="Y435" i="6"/>
  <c r="Y454" i="6"/>
  <c r="Y497" i="6"/>
  <c r="Y500" i="6"/>
  <c r="Y509" i="6"/>
  <c r="Y396" i="6"/>
  <c r="Y412" i="6"/>
  <c r="Y428" i="6"/>
  <c r="Y459" i="6"/>
  <c r="Y495" i="6"/>
  <c r="Y503" i="6"/>
  <c r="Y405" i="6"/>
  <c r="Y421" i="6"/>
  <c r="Y440" i="6"/>
  <c r="Y448" i="6"/>
  <c r="Y464" i="6"/>
  <c r="Y496" i="6"/>
  <c r="Y501" i="6"/>
  <c r="Y398" i="6"/>
  <c r="Y414" i="6"/>
  <c r="Y430" i="6"/>
  <c r="Y437" i="6"/>
  <c r="Y443" i="6"/>
  <c r="Y453" i="6"/>
  <c r="Y490" i="6"/>
  <c r="Y506" i="6"/>
  <c r="Y407" i="6"/>
  <c r="Y423" i="6"/>
  <c r="Y458" i="6"/>
  <c r="Y494" i="6"/>
  <c r="Y502" i="6"/>
  <c r="Y400" i="6"/>
  <c r="Y416" i="6"/>
  <c r="Y432" i="6"/>
  <c r="Y447" i="6"/>
  <c r="Y463" i="6"/>
  <c r="Y493" i="6"/>
  <c r="Y505" i="6"/>
  <c r="Y409" i="6"/>
  <c r="Y425" i="6"/>
  <c r="Y452" i="6"/>
  <c r="Y492" i="6"/>
  <c r="Y504" i="6"/>
  <c r="Y402" i="6"/>
  <c r="Y418" i="6"/>
  <c r="Y434" i="6"/>
  <c r="Y439" i="6"/>
  <c r="Y457" i="6"/>
  <c r="Y498" i="6"/>
  <c r="Y507" i="6"/>
  <c r="Y510" i="6"/>
  <c r="Y395" i="6"/>
  <c r="Y411" i="6"/>
  <c r="Y427" i="6"/>
  <c r="Y442" i="6"/>
  <c r="Y446" i="6"/>
  <c r="Y462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1" i="6"/>
  <c r="Y499" i="6"/>
  <c r="Y508" i="6"/>
  <c r="Y422" i="6"/>
  <c r="Y404" i="6"/>
  <c r="Y420" i="6"/>
  <c r="Y436" i="6"/>
  <c r="Y451" i="6"/>
  <c r="Y445" i="6"/>
  <c r="Y397" i="6"/>
  <c r="Y413" i="6"/>
  <c r="Y429" i="6"/>
  <c r="Y456" i="6"/>
  <c r="Y467" i="6"/>
  <c r="Y406" i="6"/>
  <c r="Y461" i="6"/>
  <c r="Y13" i="6"/>
  <c r="Y14" i="6"/>
  <c r="Y12" i="6"/>
  <c r="Y9" i="6"/>
  <c r="Y8" i="6"/>
  <c r="Y10" i="6"/>
  <c r="Y11" i="6"/>
  <c r="Z7" i="6"/>
  <c r="X5" i="6"/>
  <c r="Z15" i="6" l="1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25" i="6"/>
  <c r="Z321" i="6"/>
  <c r="Z317" i="6"/>
  <c r="Z313" i="6"/>
  <c r="Z309" i="6"/>
  <c r="Z406" i="6"/>
  <c r="Z422" i="6"/>
  <c r="Z445" i="6"/>
  <c r="Z461" i="6"/>
  <c r="Z399" i="6"/>
  <c r="Z415" i="6"/>
  <c r="Z431" i="6"/>
  <c r="Z450" i="6"/>
  <c r="Z466" i="6"/>
  <c r="Z455" i="6"/>
  <c r="Z408" i="6"/>
  <c r="Z424" i="6"/>
  <c r="Z438" i="6"/>
  <c r="Z441" i="6"/>
  <c r="Z401" i="6"/>
  <c r="Z417" i="6"/>
  <c r="Z433" i="6"/>
  <c r="Z444" i="6"/>
  <c r="Z460" i="6"/>
  <c r="Z410" i="6"/>
  <c r="Z426" i="6"/>
  <c r="Z449" i="6"/>
  <c r="Z465" i="6"/>
  <c r="Z403" i="6"/>
  <c r="Z419" i="6"/>
  <c r="Z435" i="6"/>
  <c r="Z454" i="6"/>
  <c r="Z396" i="6"/>
  <c r="Z412" i="6"/>
  <c r="Z428" i="6"/>
  <c r="Z459" i="6"/>
  <c r="Z464" i="6"/>
  <c r="Z456" i="6"/>
  <c r="Z405" i="6"/>
  <c r="Z421" i="6"/>
  <c r="Z440" i="6"/>
  <c r="Z448" i="6"/>
  <c r="Z398" i="6"/>
  <c r="Z414" i="6"/>
  <c r="Z430" i="6"/>
  <c r="Z437" i="6"/>
  <c r="Z443" i="6"/>
  <c r="Z453" i="6"/>
  <c r="Z407" i="6"/>
  <c r="Z423" i="6"/>
  <c r="Z458" i="6"/>
  <c r="Z400" i="6"/>
  <c r="Z416" i="6"/>
  <c r="Z432" i="6"/>
  <c r="Z447" i="6"/>
  <c r="Z463" i="6"/>
  <c r="Z413" i="6"/>
  <c r="Z409" i="6"/>
  <c r="Z425" i="6"/>
  <c r="Z452" i="6"/>
  <c r="Z397" i="6"/>
  <c r="Z467" i="6"/>
  <c r="Z402" i="6"/>
  <c r="Z418" i="6"/>
  <c r="Z434" i="6"/>
  <c r="Z439" i="6"/>
  <c r="Z457" i="6"/>
  <c r="Z395" i="6"/>
  <c r="Z411" i="6"/>
  <c r="Z427" i="6"/>
  <c r="Z442" i="6"/>
  <c r="Z446" i="6"/>
  <c r="Z462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404" i="6"/>
  <c r="Z420" i="6"/>
  <c r="Z436" i="6"/>
  <c r="Z451" i="6"/>
  <c r="Z429" i="6"/>
  <c r="Z13" i="6"/>
  <c r="Z14" i="6"/>
  <c r="Z12" i="6"/>
  <c r="Z8" i="6"/>
  <c r="Y5" i="6"/>
  <c r="AA7" i="6"/>
  <c r="Z10" i="6"/>
  <c r="Z9" i="6"/>
  <c r="Z11" i="6"/>
  <c r="AA15" i="6" l="1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328" i="6"/>
  <c r="AA344" i="6"/>
  <c r="AA360" i="6"/>
  <c r="AA376" i="6"/>
  <c r="AA393" i="6"/>
  <c r="AA337" i="6"/>
  <c r="AA353" i="6"/>
  <c r="AA369" i="6"/>
  <c r="AA381" i="6"/>
  <c r="AA385" i="6"/>
  <c r="AA330" i="6"/>
  <c r="AA346" i="6"/>
  <c r="AA362" i="6"/>
  <c r="AA378" i="6"/>
  <c r="AA392" i="6"/>
  <c r="AA339" i="6"/>
  <c r="AA355" i="6"/>
  <c r="AA371" i="6"/>
  <c r="AA332" i="6"/>
  <c r="AA348" i="6"/>
  <c r="AA364" i="6"/>
  <c r="AA391" i="6"/>
  <c r="AA341" i="6"/>
  <c r="AA357" i="6"/>
  <c r="AA373" i="6"/>
  <c r="AA380" i="6"/>
  <c r="AA384" i="6"/>
  <c r="AA334" i="6"/>
  <c r="AA350" i="6"/>
  <c r="AA366" i="6"/>
  <c r="AA390" i="6"/>
  <c r="AA327" i="6"/>
  <c r="AA343" i="6"/>
  <c r="AA359" i="6"/>
  <c r="AA375" i="6"/>
  <c r="AA336" i="6"/>
  <c r="AA352" i="6"/>
  <c r="AA368" i="6"/>
  <c r="AA389" i="6"/>
  <c r="AA329" i="6"/>
  <c r="AA345" i="6"/>
  <c r="AA361" i="6"/>
  <c r="AA377" i="6"/>
  <c r="AA383" i="6"/>
  <c r="AA338" i="6"/>
  <c r="AA354" i="6"/>
  <c r="AA370" i="6"/>
  <c r="AA388" i="6"/>
  <c r="AA331" i="6"/>
  <c r="AA347" i="6"/>
  <c r="AA363" i="6"/>
  <c r="AA379" i="6"/>
  <c r="AA340" i="6"/>
  <c r="AA356" i="6"/>
  <c r="AA372" i="6"/>
  <c r="AA387" i="6"/>
  <c r="AA333" i="6"/>
  <c r="AA342" i="6"/>
  <c r="AA349" i="6"/>
  <c r="AA382" i="6"/>
  <c r="AA386" i="6"/>
  <c r="AA358" i="6"/>
  <c r="AA326" i="6"/>
  <c r="AA365" i="6"/>
  <c r="AA374" i="6"/>
  <c r="AA468" i="6"/>
  <c r="AA470" i="6"/>
  <c r="AA471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6" i="6"/>
  <c r="AA499" i="6"/>
  <c r="AA501" i="6"/>
  <c r="AA504" i="6"/>
  <c r="AA506" i="6"/>
  <c r="AA508" i="6"/>
  <c r="AA510" i="6"/>
  <c r="AA469" i="6"/>
  <c r="AA472" i="6"/>
  <c r="AA474" i="6"/>
  <c r="AA476" i="6"/>
  <c r="AA478" i="6"/>
  <c r="AA480" i="6"/>
  <c r="AA482" i="6"/>
  <c r="AA484" i="6"/>
  <c r="AA486" i="6"/>
  <c r="AA488" i="6"/>
  <c r="AA490" i="6"/>
  <c r="AA492" i="6"/>
  <c r="AA494" i="6"/>
  <c r="AA497" i="6"/>
  <c r="AA498" i="6"/>
  <c r="AA500" i="6"/>
  <c r="AA502" i="6"/>
  <c r="AA503" i="6"/>
  <c r="AA505" i="6"/>
  <c r="AA507" i="6"/>
  <c r="AA509" i="6"/>
  <c r="AA13" i="6"/>
  <c r="AA14" i="6"/>
  <c r="AA11" i="6"/>
  <c r="Z5" i="6"/>
  <c r="AA8" i="6"/>
  <c r="AA10" i="6"/>
  <c r="AA12" i="6"/>
  <c r="AA9" i="6"/>
  <c r="AB7" i="6"/>
  <c r="AB15" i="6" l="1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6" i="6"/>
  <c r="AB335" i="6"/>
  <c r="AB351" i="6"/>
  <c r="AB367" i="6"/>
  <c r="AB394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328" i="6"/>
  <c r="AB344" i="6"/>
  <c r="AB360" i="6"/>
  <c r="AB376" i="6"/>
  <c r="AB393" i="6"/>
  <c r="AB337" i="6"/>
  <c r="AB353" i="6"/>
  <c r="AB369" i="6"/>
  <c r="AB381" i="6"/>
  <c r="AB385" i="6"/>
  <c r="AB330" i="6"/>
  <c r="AB346" i="6"/>
  <c r="AB362" i="6"/>
  <c r="AB378" i="6"/>
  <c r="AB392" i="6"/>
  <c r="AB339" i="6"/>
  <c r="AB355" i="6"/>
  <c r="AB371" i="6"/>
  <c r="AB332" i="6"/>
  <c r="AB348" i="6"/>
  <c r="AB364" i="6"/>
  <c r="AB391" i="6"/>
  <c r="AB341" i="6"/>
  <c r="AB357" i="6"/>
  <c r="AB373" i="6"/>
  <c r="AB380" i="6"/>
  <c r="AB384" i="6"/>
  <c r="AB334" i="6"/>
  <c r="AB350" i="6"/>
  <c r="AB366" i="6"/>
  <c r="AB390" i="6"/>
  <c r="AB327" i="6"/>
  <c r="AB343" i="6"/>
  <c r="AB359" i="6"/>
  <c r="AB375" i="6"/>
  <c r="AB336" i="6"/>
  <c r="AB352" i="6"/>
  <c r="AB368" i="6"/>
  <c r="AB389" i="6"/>
  <c r="AB329" i="6"/>
  <c r="AB345" i="6"/>
  <c r="AB361" i="6"/>
  <c r="AB377" i="6"/>
  <c r="AB383" i="6"/>
  <c r="AB338" i="6"/>
  <c r="AB354" i="6"/>
  <c r="AB370" i="6"/>
  <c r="AB388" i="6"/>
  <c r="AB331" i="6"/>
  <c r="AB347" i="6"/>
  <c r="AB363" i="6"/>
  <c r="AB379" i="6"/>
  <c r="AB474" i="6"/>
  <c r="AB498" i="6"/>
  <c r="AB471" i="6"/>
  <c r="AB499" i="6"/>
  <c r="AB333" i="6"/>
  <c r="AB482" i="6"/>
  <c r="AB497" i="6"/>
  <c r="AB486" i="6"/>
  <c r="AB508" i="6"/>
  <c r="AB340" i="6"/>
  <c r="AB473" i="6"/>
  <c r="AB503" i="6"/>
  <c r="AB507" i="6"/>
  <c r="AB349" i="6"/>
  <c r="AB382" i="6"/>
  <c r="AB502" i="6"/>
  <c r="AB477" i="6"/>
  <c r="AB485" i="6"/>
  <c r="AB493" i="6"/>
  <c r="AB505" i="6"/>
  <c r="AB356" i="6"/>
  <c r="AB492" i="6"/>
  <c r="AB472" i="6"/>
  <c r="AB483" i="6"/>
  <c r="AB494" i="6"/>
  <c r="AB509" i="6"/>
  <c r="AB365" i="6"/>
  <c r="AB469" i="6"/>
  <c r="AB478" i="6"/>
  <c r="AB484" i="6"/>
  <c r="AB491" i="6"/>
  <c r="AB496" i="6"/>
  <c r="AB506" i="6"/>
  <c r="AB480" i="6"/>
  <c r="AB490" i="6"/>
  <c r="AB500" i="6"/>
  <c r="AB510" i="6"/>
  <c r="AB372" i="6"/>
  <c r="AB468" i="6"/>
  <c r="AB476" i="6"/>
  <c r="AB481" i="6"/>
  <c r="AB488" i="6"/>
  <c r="AB495" i="6"/>
  <c r="AB504" i="6"/>
  <c r="AB387" i="6"/>
  <c r="AB487" i="6"/>
  <c r="AB470" i="6"/>
  <c r="AB475" i="6"/>
  <c r="AB479" i="6"/>
  <c r="AB489" i="6"/>
  <c r="AB501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<sst xmlns="http://schemas.openxmlformats.org/spreadsheetml/2006/main" count="4887" uniqueCount="2140">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</sst>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0"/>
  <sheetViews>
    <sheetView tabSelected="1" zoomScaleNormal="100" workbookViewId="0">
      <pane ySplit="7" topLeftCell="A226" activePane="bottomLeft" state="frozen"/>
      <selection pane="bottomLeft" activeCell="L231" sqref="L231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129</v>
      </c>
      <c r="G3" s="5">
        <f>+AF6</f>
        <v>124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289</v>
      </c>
      <c r="G4" s="7">
        <f>+AG6</f>
        <v>253</v>
      </c>
      <c r="H4" s="5">
        <f>+E4-G4</f>
        <v>81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462</v>
      </c>
      <c r="F5" s="8">
        <f>+F3+F4</f>
        <v>418</v>
      </c>
      <c r="G5" s="8">
        <f>+G3+G4</f>
        <v>377</v>
      </c>
      <c r="H5" s="8">
        <f>+H3+H4</f>
        <v>85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SUM(S8:S2452)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SUM(AD8:AD1721)</f>
        <v>129</v>
      </c>
      <c r="AE6" s="1">
        <f t="shared" si="1"/>
        <v>289</v>
      </c>
      <c r="AF6" s="1">
        <f t="shared" si="1"/>
        <v>124</v>
      </c>
      <c r="AG6" s="1">
        <f t="shared" si="1"/>
        <v>253</v>
      </c>
      <c r="AH6" s="1">
        <f t="shared" si="1"/>
        <v>128</v>
      </c>
      <c r="AI6" s="1">
        <f t="shared" si="1"/>
        <v>334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1840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1705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945</v>
      </c>
      <c r="L10" s="46" t="s">
        <v>1668</v>
      </c>
      <c r="M10" s="47" t="s">
        <v>1347</v>
      </c>
      <c r="N10" s="47" t="s">
        <v>1769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1761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s="1" customFormat="1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1761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945</v>
      </c>
      <c r="L15" s="46">
        <v>135</v>
      </c>
      <c r="M15" s="47" t="s">
        <v>2115</v>
      </c>
      <c r="N15" s="47" t="s">
        <v>1769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1664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1716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1809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1852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1705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1710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2110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1871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1865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1750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1879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1723</v>
      </c>
      <c r="E37" s="36" t="s">
        <v>154</v>
      </c>
      <c r="F37" s="36" t="s">
        <v>1724</v>
      </c>
      <c r="G37" s="36"/>
      <c r="H37" s="36" t="s">
        <v>1725</v>
      </c>
      <c r="I37" s="37" t="s">
        <v>1726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1712</v>
      </c>
      <c r="E39" s="36" t="s">
        <v>1713</v>
      </c>
      <c r="F39" s="36" t="s">
        <v>1714</v>
      </c>
      <c r="G39" s="36" t="s">
        <v>319</v>
      </c>
      <c r="H39" s="36" t="s">
        <v>352</v>
      </c>
      <c r="I39" s="37" t="s">
        <v>1715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s="1" customFormat="1" ht="14.25" customHeight="1" x14ac:dyDescent="0.25">
      <c r="A43" s="31">
        <v>0</v>
      </c>
      <c r="B43" s="31">
        <v>1</v>
      </c>
      <c r="C43" s="31">
        <v>2</v>
      </c>
      <c r="D43" s="32" t="s">
        <v>1775</v>
      </c>
      <c r="E43" s="32" t="s">
        <v>174</v>
      </c>
      <c r="F43" s="32" t="s">
        <v>1776</v>
      </c>
      <c r="G43" s="32" t="s">
        <v>193</v>
      </c>
      <c r="H43" s="32" t="s">
        <v>352</v>
      </c>
      <c r="I43" s="31" t="s">
        <v>1777</v>
      </c>
      <c r="J43" s="31">
        <v>9</v>
      </c>
      <c r="K43" s="33" t="s">
        <v>694</v>
      </c>
      <c r="L43" s="33">
        <v>60</v>
      </c>
      <c r="M43" s="34" t="s">
        <v>1778</v>
      </c>
      <c r="N43" s="34" t="s">
        <v>1809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1838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1722</v>
      </c>
      <c r="O44" s="35">
        <v>1</v>
      </c>
      <c r="P44" s="35"/>
      <c r="Q44" s="32" t="s">
        <v>1866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2123</v>
      </c>
      <c r="E46" s="32" t="s">
        <v>174</v>
      </c>
      <c r="F46" s="32" t="s">
        <v>2124</v>
      </c>
      <c r="G46" s="32" t="s">
        <v>177</v>
      </c>
      <c r="H46" s="32" t="s">
        <v>352</v>
      </c>
      <c r="I46" s="31" t="s">
        <v>2125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1785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1750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1709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1955</v>
      </c>
      <c r="E53" s="32" t="s">
        <v>174</v>
      </c>
      <c r="F53" s="32" t="s">
        <v>1956</v>
      </c>
      <c r="G53" s="32" t="s">
        <v>1957</v>
      </c>
      <c r="H53" s="32" t="s">
        <v>352</v>
      </c>
      <c r="I53" s="31" t="s">
        <v>1958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1959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1762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1750</v>
      </c>
      <c r="O55" s="35">
        <v>1</v>
      </c>
      <c r="P55" s="35"/>
      <c r="Q55" s="32" t="s">
        <v>1869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2081</v>
      </c>
      <c r="E56" s="16" t="s">
        <v>171</v>
      </c>
      <c r="F56" s="16" t="s">
        <v>2082</v>
      </c>
      <c r="G56" s="16"/>
      <c r="H56" s="16" t="s">
        <v>2083</v>
      </c>
      <c r="I56" s="15" t="s">
        <v>2084</v>
      </c>
      <c r="J56" s="15">
        <v>15</v>
      </c>
      <c r="K56" s="10" t="s">
        <v>694</v>
      </c>
      <c r="L56" s="10" t="s">
        <v>1704</v>
      </c>
      <c r="M56" s="19" t="s">
        <v>1100</v>
      </c>
      <c r="N56" s="17"/>
      <c r="Q56" s="16" t="s">
        <v>2085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1716</v>
      </c>
      <c r="O57" s="35">
        <v>1</v>
      </c>
      <c r="P57" s="35"/>
      <c r="Q57" s="32" t="s">
        <v>2005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1705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1844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1864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1710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2116</v>
      </c>
      <c r="E67" s="16" t="s">
        <v>174</v>
      </c>
      <c r="F67" s="20" t="s">
        <v>2121</v>
      </c>
      <c r="G67" s="16"/>
      <c r="H67" s="20" t="s">
        <v>2118</v>
      </c>
      <c r="I67" s="21" t="s">
        <v>2117</v>
      </c>
      <c r="J67" s="15">
        <v>16</v>
      </c>
      <c r="K67" s="10" t="s">
        <v>694</v>
      </c>
      <c r="L67" s="10" t="s">
        <v>2119</v>
      </c>
      <c r="M67" s="19" t="s">
        <v>2120</v>
      </c>
      <c r="N67" s="17"/>
      <c r="Q67" s="16" t="s">
        <v>2122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1769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1710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2043</v>
      </c>
      <c r="G70" s="32" t="s">
        <v>2044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1941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2010</v>
      </c>
      <c r="E75" s="32" t="s">
        <v>1937</v>
      </c>
      <c r="F75" s="32" t="s">
        <v>2011</v>
      </c>
      <c r="G75" s="32" t="s">
        <v>283</v>
      </c>
      <c r="H75" s="32" t="s">
        <v>352</v>
      </c>
      <c r="I75" s="31" t="s">
        <v>2012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2013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1966</v>
      </c>
      <c r="E76" s="32" t="s">
        <v>174</v>
      </c>
      <c r="F76" s="36" t="s">
        <v>1967</v>
      </c>
      <c r="G76" s="36" t="s">
        <v>219</v>
      </c>
      <c r="H76" s="36" t="s">
        <v>352</v>
      </c>
      <c r="I76" s="37" t="s">
        <v>1968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1722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1802</v>
      </c>
      <c r="E78" s="32" t="s">
        <v>173</v>
      </c>
      <c r="F78" s="32" t="s">
        <v>1803</v>
      </c>
      <c r="G78" s="32"/>
      <c r="H78" s="32" t="s">
        <v>1804</v>
      </c>
      <c r="I78" s="31" t="s">
        <v>1805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1705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1710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1750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1759</v>
      </c>
      <c r="E83" s="32" t="s">
        <v>169</v>
      </c>
      <c r="F83" s="36" t="s">
        <v>1757</v>
      </c>
      <c r="G83" s="36" t="s">
        <v>231</v>
      </c>
      <c r="H83" s="36" t="s">
        <v>352</v>
      </c>
      <c r="I83" s="37" t="s">
        <v>1758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1710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1785</v>
      </c>
      <c r="O85" s="35">
        <v>1</v>
      </c>
      <c r="P85" s="35"/>
      <c r="Q85" s="36" t="s">
        <v>1841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1705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2" t="s">
        <v>169</v>
      </c>
      <c r="F88" s="36" t="s">
        <v>2063</v>
      </c>
      <c r="G88" s="36" t="s">
        <v>206</v>
      </c>
      <c r="H88" s="36" t="s">
        <v>352</v>
      </c>
      <c r="I88" s="37" t="s">
        <v>2064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1747</v>
      </c>
      <c r="E89" s="16" t="s">
        <v>171</v>
      </c>
      <c r="F89" s="16" t="s">
        <v>1749</v>
      </c>
      <c r="G89" s="16"/>
      <c r="H89" s="16" t="s">
        <v>362</v>
      </c>
      <c r="I89" s="15" t="s">
        <v>1748</v>
      </c>
      <c r="J89" s="15">
        <v>17</v>
      </c>
      <c r="K89" s="10" t="s">
        <v>694</v>
      </c>
      <c r="L89" s="10" t="s">
        <v>1704</v>
      </c>
      <c r="M89" s="19" t="s">
        <v>682</v>
      </c>
      <c r="N89" s="17"/>
      <c r="Q89" s="20" t="s">
        <v>1873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1770</v>
      </c>
      <c r="E90" s="32" t="s">
        <v>171</v>
      </c>
      <c r="F90" s="32" t="s">
        <v>1771</v>
      </c>
      <c r="G90" s="32" t="s">
        <v>1772</v>
      </c>
      <c r="H90" s="32" t="s">
        <v>352</v>
      </c>
      <c r="I90" s="31" t="s">
        <v>1773</v>
      </c>
      <c r="J90" s="31">
        <v>1</v>
      </c>
      <c r="K90" s="33" t="s">
        <v>694</v>
      </c>
      <c r="L90" s="33">
        <v>60</v>
      </c>
      <c r="M90" s="34" t="s">
        <v>1774</v>
      </c>
      <c r="N90" s="34" t="s">
        <v>1809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2020</v>
      </c>
      <c r="E91" s="36" t="s">
        <v>175</v>
      </c>
      <c r="F91" s="36" t="s">
        <v>2018</v>
      </c>
      <c r="G91" s="36" t="s">
        <v>219</v>
      </c>
      <c r="H91" s="36" t="s">
        <v>352</v>
      </c>
      <c r="I91" s="37" t="s">
        <v>2019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1716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1839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1769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1705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1909</v>
      </c>
      <c r="E96" s="20" t="s">
        <v>1937</v>
      </c>
      <c r="F96" s="20" t="s">
        <v>1938</v>
      </c>
      <c r="G96" s="20"/>
      <c r="H96" s="20" t="s">
        <v>1936</v>
      </c>
      <c r="I96" s="21" t="s">
        <v>1939</v>
      </c>
      <c r="J96" s="15">
        <v>18</v>
      </c>
      <c r="K96" s="10" t="s">
        <v>694</v>
      </c>
      <c r="L96" s="10" t="s">
        <v>1704</v>
      </c>
      <c r="M96" s="19" t="s">
        <v>952</v>
      </c>
      <c r="N96" s="17"/>
      <c r="Q96" s="20" t="s">
        <v>1940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1814</v>
      </c>
      <c r="E98" s="36" t="s">
        <v>171</v>
      </c>
      <c r="F98" s="36" t="s">
        <v>1815</v>
      </c>
      <c r="G98" s="36"/>
      <c r="H98" s="36" t="s">
        <v>1816</v>
      </c>
      <c r="I98" s="37" t="s">
        <v>1817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1851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1809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1875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1709</v>
      </c>
      <c r="O101" s="35">
        <v>1</v>
      </c>
      <c r="P101" s="35"/>
      <c r="Q101" s="36" t="s">
        <v>1848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1891</v>
      </c>
      <c r="E103" s="32" t="s">
        <v>1892</v>
      </c>
      <c r="F103" s="36" t="s">
        <v>1893</v>
      </c>
      <c r="G103" s="36"/>
      <c r="H103" s="36" t="s">
        <v>364</v>
      </c>
      <c r="I103" s="37" t="s">
        <v>1895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1894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1762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1705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512</v>
      </c>
      <c r="E107" s="45" t="s">
        <v>169</v>
      </c>
      <c r="F107" s="45" t="s">
        <v>513</v>
      </c>
      <c r="G107" s="45" t="s">
        <v>500</v>
      </c>
      <c r="H107" s="45" t="s">
        <v>352</v>
      </c>
      <c r="I107" s="44" t="s">
        <v>514</v>
      </c>
      <c r="J107" s="44">
        <v>99</v>
      </c>
      <c r="K107" s="46" t="s">
        <v>937</v>
      </c>
      <c r="L107" s="46" t="s">
        <v>685</v>
      </c>
      <c r="M107" s="47" t="s">
        <v>682</v>
      </c>
      <c r="N107" s="47" t="s">
        <v>1703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51"/>
        <v>0</v>
      </c>
      <c r="AG107" s="1">
        <f t="shared" si="52"/>
        <v>0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1809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44">
        <v>0</v>
      </c>
      <c r="B109" s="44">
        <v>1</v>
      </c>
      <c r="C109" s="44">
        <v>3</v>
      </c>
      <c r="D109" s="45" t="s">
        <v>2112</v>
      </c>
      <c r="E109" s="45" t="s">
        <v>169</v>
      </c>
      <c r="F109" s="45" t="s">
        <v>2111</v>
      </c>
      <c r="G109" s="45"/>
      <c r="H109" s="45" t="s">
        <v>352</v>
      </c>
      <c r="I109" s="44" t="s">
        <v>2113</v>
      </c>
      <c r="J109" s="44">
        <v>99</v>
      </c>
      <c r="K109" s="46" t="s">
        <v>694</v>
      </c>
      <c r="L109" s="46"/>
      <c r="M109" s="47"/>
      <c r="N109" s="47" t="s">
        <v>1762</v>
      </c>
      <c r="O109" s="48"/>
      <c r="P109" s="48"/>
      <c r="Q109" s="45" t="s">
        <v>2114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0</v>
      </c>
      <c r="AF109" s="1">
        <f t="shared" si="51"/>
        <v>0</v>
      </c>
      <c r="AG109" s="1">
        <f t="shared" si="52"/>
        <v>0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1843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1705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s="1" customFormat="1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1761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s="1" customFormat="1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s="1" customFormat="1" ht="14.25" customHeight="1" x14ac:dyDescent="0.25">
      <c r="A115" s="15">
        <v>0</v>
      </c>
      <c r="B115" s="15">
        <v>1</v>
      </c>
      <c r="C115" s="15">
        <v>3</v>
      </c>
      <c r="D115" s="20" t="s">
        <v>2075</v>
      </c>
      <c r="E115" s="20" t="s">
        <v>171</v>
      </c>
      <c r="F115" s="20" t="s">
        <v>2076</v>
      </c>
      <c r="G115" s="16"/>
      <c r="H115" s="20" t="s">
        <v>2077</v>
      </c>
      <c r="I115" s="21" t="s">
        <v>2078</v>
      </c>
      <c r="J115" s="15">
        <v>12</v>
      </c>
      <c r="K115" s="10" t="s">
        <v>694</v>
      </c>
      <c r="L115" s="10">
        <v>40</v>
      </c>
      <c r="M115" s="19" t="s">
        <v>1364</v>
      </c>
      <c r="N115" s="17"/>
      <c r="Q115" s="16" t="s">
        <v>2079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51"/>
        <v>0</v>
      </c>
      <c r="AG115" s="1">
        <f t="shared" si="52"/>
        <v>0</v>
      </c>
      <c r="AH115" s="1">
        <f t="shared" si="53"/>
        <v>0</v>
      </c>
      <c r="AI115" s="1">
        <f t="shared" si="54"/>
        <v>1</v>
      </c>
    </row>
    <row r="116" spans="1:35" s="1" customFormat="1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1709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s="1" customFormat="1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s="1" customFormat="1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1842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s="1" customFormat="1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1710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s="1" customFormat="1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1710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s="1" customFormat="1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1710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s="1" customFormat="1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s="1" customFormat="1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1993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s="1" customFormat="1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1705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s="1" customFormat="1" ht="14.25" customHeight="1" x14ac:dyDescent="0.25">
      <c r="A125" s="15">
        <v>0</v>
      </c>
      <c r="B125" s="15">
        <v>1</v>
      </c>
      <c r="C125" s="15">
        <v>3</v>
      </c>
      <c r="D125" s="16" t="s">
        <v>2097</v>
      </c>
      <c r="E125" s="16" t="s">
        <v>169</v>
      </c>
      <c r="F125" s="16" t="s">
        <v>2099</v>
      </c>
      <c r="G125" s="16"/>
      <c r="H125" s="16" t="s">
        <v>372</v>
      </c>
      <c r="I125" s="15" t="s">
        <v>2100</v>
      </c>
      <c r="J125" s="15">
        <v>11</v>
      </c>
      <c r="K125" s="10" t="s">
        <v>694</v>
      </c>
      <c r="L125" s="10">
        <v>50</v>
      </c>
      <c r="M125" s="19" t="s">
        <v>2098</v>
      </c>
      <c r="N125" s="17"/>
      <c r="Q125" s="16" t="s">
        <v>2101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s="1" customFormat="1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1785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s="1" customFormat="1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s="1" customFormat="1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1935</v>
      </c>
      <c r="E129" s="20" t="s">
        <v>171</v>
      </c>
      <c r="F129" s="20" t="s">
        <v>1932</v>
      </c>
      <c r="G129" s="20"/>
      <c r="H129" s="20" t="s">
        <v>1933</v>
      </c>
      <c r="I129" s="21" t="s">
        <v>1931</v>
      </c>
      <c r="J129" s="15">
        <v>17</v>
      </c>
      <c r="K129" s="10" t="s">
        <v>694</v>
      </c>
      <c r="L129" s="10" t="s">
        <v>1704</v>
      </c>
      <c r="M129" s="19" t="s">
        <v>952</v>
      </c>
      <c r="N129" s="17"/>
      <c r="Q129" s="20" t="s">
        <v>1934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1827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1704</v>
      </c>
      <c r="M130" s="47" t="s">
        <v>1365</v>
      </c>
      <c r="N130" s="47" t="s">
        <v>1762</v>
      </c>
      <c r="O130" s="48"/>
      <c r="P130" s="48"/>
      <c r="Q130" s="57" t="s">
        <v>1849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2080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1716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2050</v>
      </c>
      <c r="E133" s="36" t="s">
        <v>171</v>
      </c>
      <c r="F133" s="36" t="s">
        <v>2051</v>
      </c>
      <c r="G133" s="32"/>
      <c r="H133" s="36" t="s">
        <v>2052</v>
      </c>
      <c r="I133" s="37" t="s">
        <v>2053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1709</v>
      </c>
      <c r="O134" s="35">
        <v>1</v>
      </c>
      <c r="P134" s="35"/>
      <c r="Q134" s="36" t="s">
        <v>1854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1704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2106</v>
      </c>
      <c r="E136" s="36" t="s">
        <v>171</v>
      </c>
      <c r="F136" s="36" t="s">
        <v>2107</v>
      </c>
      <c r="G136" s="32"/>
      <c r="H136" s="36" t="s">
        <v>360</v>
      </c>
      <c r="I136" s="37" t="s">
        <v>2108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1705</v>
      </c>
      <c r="O136" s="35">
        <v>1</v>
      </c>
      <c r="P136" s="35"/>
      <c r="Q136" s="32" t="s">
        <v>2109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2057</v>
      </c>
      <c r="E137" s="20" t="s">
        <v>859</v>
      </c>
      <c r="F137" s="20" t="s">
        <v>2058</v>
      </c>
      <c r="G137" s="16"/>
      <c r="H137" s="20" t="s">
        <v>2059</v>
      </c>
      <c r="I137" s="21" t="s">
        <v>2060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1908</v>
      </c>
      <c r="E138" s="20" t="s">
        <v>171</v>
      </c>
      <c r="F138" s="20" t="s">
        <v>1928</v>
      </c>
      <c r="G138" s="20"/>
      <c r="H138" s="20" t="s">
        <v>1927</v>
      </c>
      <c r="I138" s="21" t="s">
        <v>1929</v>
      </c>
      <c r="J138" s="15">
        <v>15</v>
      </c>
      <c r="K138" s="10" t="s">
        <v>694</v>
      </c>
      <c r="L138" s="10" t="s">
        <v>1704</v>
      </c>
      <c r="M138" s="19" t="s">
        <v>952</v>
      </c>
      <c r="N138" s="17"/>
      <c r="Q138" s="20" t="s">
        <v>1930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1705</v>
      </c>
      <c r="O140" s="35">
        <v>1</v>
      </c>
      <c r="P140" s="35"/>
      <c r="Q140" s="36" t="s">
        <v>1847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2128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1785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1704</v>
      </c>
      <c r="M143" s="34" t="s">
        <v>39</v>
      </c>
      <c r="N143" s="34" t="s">
        <v>1709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1761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1762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1716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1752</v>
      </c>
      <c r="E156" s="36" t="s">
        <v>1753</v>
      </c>
      <c r="F156" s="36" t="s">
        <v>1754</v>
      </c>
      <c r="G156" s="36" t="s">
        <v>1755</v>
      </c>
      <c r="H156" s="36" t="s">
        <v>352</v>
      </c>
      <c r="I156" s="37" t="s">
        <v>1756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1704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1709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1710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2032</v>
      </c>
      <c r="E161" s="36" t="s">
        <v>171</v>
      </c>
      <c r="F161" s="36" t="s">
        <v>2033</v>
      </c>
      <c r="G161" s="32"/>
      <c r="H161" s="36" t="s">
        <v>603</v>
      </c>
      <c r="I161" s="37" t="s">
        <v>2034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2035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1906</v>
      </c>
      <c r="E162" s="20" t="s">
        <v>171</v>
      </c>
      <c r="F162" s="20" t="s">
        <v>1921</v>
      </c>
      <c r="G162" s="20"/>
      <c r="H162" s="20" t="s">
        <v>1920</v>
      </c>
      <c r="I162" s="21" t="s">
        <v>1919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1922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1709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1872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1829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1709</v>
      </c>
      <c r="O165" s="35">
        <v>1</v>
      </c>
      <c r="P165" s="35"/>
      <c r="Q165" s="32" t="s">
        <v>1855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1709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1809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1785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1994</v>
      </c>
      <c r="E170" s="32" t="s">
        <v>171</v>
      </c>
      <c r="F170" s="32" t="s">
        <v>1995</v>
      </c>
      <c r="G170" s="32"/>
      <c r="H170" s="32" t="s">
        <v>352</v>
      </c>
      <c r="I170" s="31" t="s">
        <v>1996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1997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1905</v>
      </c>
      <c r="E172" s="20" t="s">
        <v>171</v>
      </c>
      <c r="F172" s="20" t="s">
        <v>1915</v>
      </c>
      <c r="G172" s="20"/>
      <c r="H172" s="20" t="s">
        <v>1916</v>
      </c>
      <c r="I172" s="21" t="s">
        <v>1917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1914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1750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2070</v>
      </c>
      <c r="E174" s="32" t="s">
        <v>174</v>
      </c>
      <c r="F174" s="32" t="s">
        <v>2071</v>
      </c>
      <c r="G174" s="32"/>
      <c r="H174" s="32" t="s">
        <v>2072</v>
      </c>
      <c r="I174" s="37" t="s">
        <v>2073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2074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1910</v>
      </c>
      <c r="E175" s="32" t="s">
        <v>171</v>
      </c>
      <c r="F175" s="32" t="s">
        <v>1912</v>
      </c>
      <c r="G175" s="32"/>
      <c r="H175" s="32" t="s">
        <v>1913</v>
      </c>
      <c r="I175" s="37" t="s">
        <v>1911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1709</v>
      </c>
      <c r="O175" s="35">
        <v>1</v>
      </c>
      <c r="P175" s="35"/>
      <c r="Q175" s="36" t="s">
        <v>1918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1710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1785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1850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1801</v>
      </c>
      <c r="E181" s="32" t="s">
        <v>1068</v>
      </c>
      <c r="F181" s="32" t="s">
        <v>1786</v>
      </c>
      <c r="G181" s="32"/>
      <c r="H181" s="32" t="s">
        <v>370</v>
      </c>
      <c r="I181" s="31" t="s">
        <v>1787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1943</v>
      </c>
      <c r="E184" s="32" t="s">
        <v>1944</v>
      </c>
      <c r="F184" s="32" t="s">
        <v>1945</v>
      </c>
      <c r="G184" s="32" t="s">
        <v>531</v>
      </c>
      <c r="H184" s="32" t="s">
        <v>352</v>
      </c>
      <c r="I184" s="31" t="s">
        <v>1946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1705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1705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1705</v>
      </c>
      <c r="O190" s="35">
        <v>1</v>
      </c>
      <c r="P190" s="35"/>
      <c r="Q190" s="32" t="s">
        <v>1889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1709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1710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1761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1705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2129</v>
      </c>
      <c r="E196" s="32" t="s">
        <v>757</v>
      </c>
      <c r="F196" s="36" t="s">
        <v>2036</v>
      </c>
      <c r="G196" s="36" t="s">
        <v>212</v>
      </c>
      <c r="H196" s="36" t="s">
        <v>352</v>
      </c>
      <c r="I196" s="37" t="s">
        <v>2037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2038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1705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1705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1950</v>
      </c>
      <c r="E200" s="32" t="s">
        <v>165</v>
      </c>
      <c r="F200" s="32" t="s">
        <v>1951</v>
      </c>
      <c r="G200" s="32" t="s">
        <v>1954</v>
      </c>
      <c r="H200" s="32" t="s">
        <v>352</v>
      </c>
      <c r="I200" s="31" t="s">
        <v>1952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1705</v>
      </c>
      <c r="O200" s="35">
        <v>1</v>
      </c>
      <c r="P200" s="35"/>
      <c r="Q200" s="32" t="s">
        <v>1953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1750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1705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1705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2066</v>
      </c>
      <c r="E205" s="32" t="s">
        <v>165</v>
      </c>
      <c r="F205" s="32" t="s">
        <v>2067</v>
      </c>
      <c r="G205" s="32" t="s">
        <v>193</v>
      </c>
      <c r="H205" s="32" t="s">
        <v>352</v>
      </c>
      <c r="I205" s="31" t="s">
        <v>2068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2069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1907</v>
      </c>
      <c r="E206" s="20" t="s">
        <v>876</v>
      </c>
      <c r="F206" s="20" t="s">
        <v>1924</v>
      </c>
      <c r="G206" s="20"/>
      <c r="H206" s="20" t="s">
        <v>1925</v>
      </c>
      <c r="I206" s="21" t="s">
        <v>1923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1926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1853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1705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1785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1830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1709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1710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1716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1900</v>
      </c>
      <c r="E214" s="16" t="s">
        <v>876</v>
      </c>
      <c r="F214" s="16" t="s">
        <v>1902</v>
      </c>
      <c r="G214" s="16"/>
      <c r="H214" s="16" t="s">
        <v>1901</v>
      </c>
      <c r="I214" s="15" t="s">
        <v>1903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1904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1705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1874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1718</v>
      </c>
      <c r="E220" s="32" t="s">
        <v>165</v>
      </c>
      <c r="F220" s="32" t="s">
        <v>1719</v>
      </c>
      <c r="G220" s="32" t="s">
        <v>1720</v>
      </c>
      <c r="H220" s="32" t="s">
        <v>352</v>
      </c>
      <c r="I220" s="31" t="s">
        <v>1721</v>
      </c>
      <c r="J220" s="31">
        <v>1</v>
      </c>
      <c r="K220" s="33" t="s">
        <v>694</v>
      </c>
      <c r="L220" s="33"/>
      <c r="M220" s="34"/>
      <c r="N220" s="34" t="s">
        <v>1709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44">
        <v>0</v>
      </c>
      <c r="B221" s="44">
        <v>1</v>
      </c>
      <c r="C221" s="44">
        <v>5</v>
      </c>
      <c r="D221" s="45" t="s">
        <v>1007</v>
      </c>
      <c r="E221" s="45" t="s">
        <v>1068</v>
      </c>
      <c r="F221" s="45" t="s">
        <v>1008</v>
      </c>
      <c r="G221" s="45" t="s">
        <v>193</v>
      </c>
      <c r="H221" s="45" t="s">
        <v>352</v>
      </c>
      <c r="I221" s="44" t="s">
        <v>1009</v>
      </c>
      <c r="J221" s="44">
        <v>9</v>
      </c>
      <c r="K221" s="46" t="s">
        <v>713</v>
      </c>
      <c r="L221" s="46" t="s">
        <v>1670</v>
      </c>
      <c r="M221" s="47" t="s">
        <v>1571</v>
      </c>
      <c r="N221" s="47" t="s">
        <v>1701</v>
      </c>
      <c r="O221" s="48"/>
      <c r="P221" s="48"/>
      <c r="Q221" s="45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0</v>
      </c>
      <c r="AF221" s="1">
        <f t="shared" si="83"/>
        <v>0</v>
      </c>
      <c r="AG221" s="1">
        <f t="shared" si="84"/>
        <v>0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1761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1785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s="1" customFormat="1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1704</v>
      </c>
      <c r="M225" s="34" t="s">
        <v>951</v>
      </c>
      <c r="N225" s="34" t="s">
        <v>1709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s="1" customFormat="1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1710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1867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1709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s="1" customFormat="1" ht="14.25" customHeight="1" x14ac:dyDescent="0.25">
      <c r="A231" s="31">
        <v>0</v>
      </c>
      <c r="B231" s="31">
        <v>1</v>
      </c>
      <c r="C231" s="31">
        <v>6</v>
      </c>
      <c r="D231" s="36" t="s">
        <v>2136</v>
      </c>
      <c r="E231" s="36" t="s">
        <v>2137</v>
      </c>
      <c r="F231" s="36" t="s">
        <v>2138</v>
      </c>
      <c r="G231" s="36" t="s">
        <v>283</v>
      </c>
      <c r="H231" s="36" t="s">
        <v>352</v>
      </c>
      <c r="I231" s="37" t="s">
        <v>2139</v>
      </c>
      <c r="J231" s="31">
        <v>10</v>
      </c>
      <c r="K231" s="33" t="s">
        <v>694</v>
      </c>
      <c r="L231" s="33"/>
      <c r="M231" s="34"/>
      <c r="N231" s="34" t="s">
        <v>1709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1831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1705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s="1" customFormat="1" ht="14.25" customHeight="1" x14ac:dyDescent="0.25">
      <c r="A235" s="31">
        <v>0</v>
      </c>
      <c r="B235" s="31">
        <v>1</v>
      </c>
      <c r="C235" s="31">
        <v>6</v>
      </c>
      <c r="D235" s="36" t="s">
        <v>2130</v>
      </c>
      <c r="E235" s="32" t="s">
        <v>166</v>
      </c>
      <c r="F235" s="32" t="s">
        <v>1727</v>
      </c>
      <c r="G235" s="32"/>
      <c r="H235" s="32" t="s">
        <v>352</v>
      </c>
      <c r="I235" s="31" t="s">
        <v>1728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1751</v>
      </c>
      <c r="E236" s="32" t="s">
        <v>166</v>
      </c>
      <c r="F236" s="32" t="s">
        <v>1729</v>
      </c>
      <c r="G236" s="32"/>
      <c r="H236" s="32" t="s">
        <v>352</v>
      </c>
      <c r="I236" s="31" t="s">
        <v>1730</v>
      </c>
      <c r="J236" s="31"/>
      <c r="K236" s="33" t="s">
        <v>694</v>
      </c>
      <c r="L236" s="33">
        <v>30</v>
      </c>
      <c r="M236" s="34" t="s">
        <v>1731</v>
      </c>
      <c r="N236" s="34" t="s">
        <v>1709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1709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1705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1710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1711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1705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1709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1809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s="1" customFormat="1" ht="13.9" customHeight="1" x14ac:dyDescent="0.25">
      <c r="A245" s="38">
        <v>0</v>
      </c>
      <c r="B245" s="38">
        <v>1</v>
      </c>
      <c r="C245" s="38">
        <v>6</v>
      </c>
      <c r="D245" s="39" t="s">
        <v>1797</v>
      </c>
      <c r="E245" s="39" t="s">
        <v>1798</v>
      </c>
      <c r="F245" s="39" t="s">
        <v>1799</v>
      </c>
      <c r="G245" s="39"/>
      <c r="H245" s="39" t="s">
        <v>352</v>
      </c>
      <c r="I245" s="38" t="s">
        <v>1800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2046</v>
      </c>
      <c r="E246" s="32" t="s">
        <v>166</v>
      </c>
      <c r="F246" s="32" t="s">
        <v>2047</v>
      </c>
      <c r="G246" s="32"/>
      <c r="H246" s="32" t="s">
        <v>352</v>
      </c>
      <c r="I246" s="31" t="s">
        <v>2048</v>
      </c>
      <c r="J246" s="31"/>
      <c r="K246" s="33" t="s">
        <v>694</v>
      </c>
      <c r="L246" s="33"/>
      <c r="M246" s="34"/>
      <c r="N246" s="34" t="s">
        <v>1709</v>
      </c>
      <c r="O246" s="35">
        <v>1</v>
      </c>
      <c r="P246" s="35"/>
      <c r="Q246" s="32" t="s">
        <v>2049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s="1" customFormat="1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1710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1716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s="1" customFormat="1" ht="14.25" customHeight="1" x14ac:dyDescent="0.25">
      <c r="A249" s="31">
        <v>0</v>
      </c>
      <c r="B249" s="31">
        <v>1</v>
      </c>
      <c r="C249" s="31">
        <v>6</v>
      </c>
      <c r="D249" s="32" t="s">
        <v>2026</v>
      </c>
      <c r="E249" s="32" t="s">
        <v>2027</v>
      </c>
      <c r="F249" s="32" t="s">
        <v>2028</v>
      </c>
      <c r="G249" s="32" t="s">
        <v>207</v>
      </c>
      <c r="H249" s="32" t="s">
        <v>352</v>
      </c>
      <c r="I249" s="31" t="s">
        <v>2029</v>
      </c>
      <c r="J249" s="31">
        <v>3</v>
      </c>
      <c r="K249" s="33" t="s">
        <v>694</v>
      </c>
      <c r="L249" s="33">
        <v>30</v>
      </c>
      <c r="M249" s="34" t="s">
        <v>2030</v>
      </c>
      <c r="N249" s="34" t="s">
        <v>1809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s="1" customFormat="1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1710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s="1" customFormat="1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1710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s="1" customFormat="1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1709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s="1" customFormat="1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1709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s="1" customFormat="1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1722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s="1" customFormat="1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1710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s="1" customFormat="1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1809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s="1" customFormat="1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1760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1716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s="1" customFormat="1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1705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1761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s="1" customFormat="1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2131</v>
      </c>
      <c r="G266" s="36" t="s">
        <v>219</v>
      </c>
      <c r="H266" s="36" t="s">
        <v>352</v>
      </c>
      <c r="I266" s="37" t="s">
        <v>2132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1761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s="1" customFormat="1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1862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s="1" customFormat="1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1785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1709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1809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1785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1809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s="1" customFormat="1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1809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1716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1785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1711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1705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s="1" customFormat="1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1705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s="1" customFormat="1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1978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1705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s="1" customFormat="1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1980</v>
      </c>
      <c r="G284" s="32" t="s">
        <v>208</v>
      </c>
      <c r="H284" s="32" t="s">
        <v>352</v>
      </c>
      <c r="I284" s="31" t="s">
        <v>1979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1705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s="1" customFormat="1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2133</v>
      </c>
      <c r="H285" s="32" t="s">
        <v>352</v>
      </c>
      <c r="I285" s="37" t="s">
        <v>2134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1705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1709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s="1" customFormat="1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1705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1705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s="1" customFormat="1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2055</v>
      </c>
      <c r="G290" s="16" t="s">
        <v>39</v>
      </c>
      <c r="H290" s="20" t="s">
        <v>365</v>
      </c>
      <c r="I290" s="21" t="s">
        <v>2056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s="1" customFormat="1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s="1" customFormat="1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1809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s="1" customFormat="1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1705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s="1" customFormat="1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1785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s="1" customFormat="1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1722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s="1" customFormat="1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s="1" customFormat="1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s="1" customFormat="1" ht="14.25" customHeight="1" x14ac:dyDescent="0.25">
      <c r="A298" s="31">
        <v>0</v>
      </c>
      <c r="B298" s="31">
        <v>1</v>
      </c>
      <c r="C298" s="31">
        <v>7</v>
      </c>
      <c r="D298" s="36" t="s">
        <v>2086</v>
      </c>
      <c r="E298" s="36" t="s">
        <v>29</v>
      </c>
      <c r="F298" s="36" t="s">
        <v>2087</v>
      </c>
      <c r="G298" s="36" t="s">
        <v>239</v>
      </c>
      <c r="H298" s="36" t="s">
        <v>352</v>
      </c>
      <c r="I298" s="37" t="s">
        <v>2088</v>
      </c>
      <c r="J298" s="31">
        <v>1</v>
      </c>
      <c r="K298" s="33" t="s">
        <v>694</v>
      </c>
      <c r="L298" s="33"/>
      <c r="M298" s="34"/>
      <c r="N298" s="34" t="s">
        <v>1709</v>
      </c>
      <c r="O298" s="35">
        <v>1</v>
      </c>
      <c r="P298" s="35"/>
      <c r="Q298" s="32" t="s">
        <v>2089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1709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1717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1942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1722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1722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2021</v>
      </c>
      <c r="E303" s="32" t="s">
        <v>36</v>
      </c>
      <c r="F303" s="32" t="s">
        <v>2022</v>
      </c>
      <c r="G303" s="32" t="s">
        <v>1452</v>
      </c>
      <c r="H303" s="32" t="s">
        <v>352</v>
      </c>
      <c r="I303" s="31" t="s">
        <v>2024</v>
      </c>
      <c r="J303" s="31">
        <v>99</v>
      </c>
      <c r="K303" s="33" t="s">
        <v>694</v>
      </c>
      <c r="L303" s="33">
        <v>7</v>
      </c>
      <c r="M303" s="34" t="s">
        <v>2023</v>
      </c>
      <c r="N303" s="34" t="s">
        <v>1699</v>
      </c>
      <c r="O303" s="35">
        <v>1</v>
      </c>
      <c r="P303" s="35">
        <v>1</v>
      </c>
      <c r="Q303" s="32" t="s">
        <v>2025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s="1" customFormat="1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1965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1858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s="1" customFormat="1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1717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1717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1709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s="1" customFormat="1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1705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1710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s="1" customFormat="1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1709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s="1" customFormat="1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s="1" customFormat="1" ht="14.25" customHeight="1" x14ac:dyDescent="0.25">
      <c r="A315" s="37">
        <v>0</v>
      </c>
      <c r="B315" s="37">
        <v>2</v>
      </c>
      <c r="C315" s="37">
        <v>1</v>
      </c>
      <c r="D315" s="36" t="s">
        <v>1732</v>
      </c>
      <c r="E315" s="36" t="s">
        <v>1733</v>
      </c>
      <c r="F315" s="36" t="s">
        <v>1734</v>
      </c>
      <c r="G315" s="36" t="s">
        <v>179</v>
      </c>
      <c r="H315" s="36" t="s">
        <v>352</v>
      </c>
      <c r="I315" s="37" t="s">
        <v>1735</v>
      </c>
      <c r="J315" s="37"/>
      <c r="K315" s="50" t="s">
        <v>694</v>
      </c>
      <c r="L315" s="33">
        <v>4</v>
      </c>
      <c r="M315" s="34" t="s">
        <v>705</v>
      </c>
      <c r="N315" s="34" t="s">
        <v>1705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1717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s="1" customFormat="1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1821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1705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s="1" customFormat="1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s="1" customFormat="1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1769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s="1" customFormat="1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1717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1705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1709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1722</v>
      </c>
      <c r="O323" s="35">
        <v>1</v>
      </c>
      <c r="P323" s="35"/>
      <c r="Q323" s="32" t="s">
        <v>1861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s="1" customFormat="1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1705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1705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1717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s="1" customFormat="1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1705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1722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1709</v>
      </c>
      <c r="O331" s="35">
        <v>1</v>
      </c>
      <c r="P331" s="35"/>
      <c r="Q331" s="32" t="s">
        <v>1860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s="1" customFormat="1" ht="14.25" customHeight="1" x14ac:dyDescent="0.25">
      <c r="A332" s="31">
        <v>0</v>
      </c>
      <c r="B332" s="31">
        <v>2</v>
      </c>
      <c r="C332" s="31">
        <v>1</v>
      </c>
      <c r="D332" s="32" t="s">
        <v>1743</v>
      </c>
      <c r="E332" s="32" t="s">
        <v>1744</v>
      </c>
      <c r="F332" s="32" t="s">
        <v>1745</v>
      </c>
      <c r="G332" s="32" t="s">
        <v>1746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1705</v>
      </c>
      <c r="O332" s="35">
        <v>1</v>
      </c>
      <c r="P332" s="35"/>
      <c r="Q332" s="32" t="s">
        <v>1868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s="1" customFormat="1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1878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s="1" customFormat="1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1722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1705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1788</v>
      </c>
      <c r="E337" s="32" t="s">
        <v>1789</v>
      </c>
      <c r="F337" s="32" t="s">
        <v>1790</v>
      </c>
      <c r="G337" s="32" t="s">
        <v>195</v>
      </c>
      <c r="H337" s="32" t="s">
        <v>352</v>
      </c>
      <c r="I337" s="31" t="s">
        <v>1791</v>
      </c>
      <c r="J337" s="31"/>
      <c r="K337" s="33" t="s">
        <v>694</v>
      </c>
      <c r="L337" s="33">
        <v>20</v>
      </c>
      <c r="M337" s="34" t="s">
        <v>1792</v>
      </c>
      <c r="N337" s="34" t="s">
        <v>1709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s="1" customFormat="1" ht="14.25" customHeight="1" x14ac:dyDescent="0.25">
      <c r="A338" s="37">
        <v>0</v>
      </c>
      <c r="B338" s="37">
        <v>2</v>
      </c>
      <c r="C338" s="37">
        <v>2</v>
      </c>
      <c r="D338" s="36" t="s">
        <v>2096</v>
      </c>
      <c r="E338" s="36" t="s">
        <v>2094</v>
      </c>
      <c r="F338" s="36" t="s">
        <v>2095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1709</v>
      </c>
      <c r="O339" s="35">
        <v>1</v>
      </c>
      <c r="P339" s="35"/>
      <c r="Q339" s="32"/>
      <c r="S339" s="1">
        <f t="shared" ref="S339:S402" si="113">IF(J339=$S$7,1,0)</f>
        <v>0</v>
      </c>
      <c r="T339" s="1">
        <f t="shared" ref="T339:T402" si="114">IF(J339=$T$7,1,0)</f>
        <v>0</v>
      </c>
      <c r="U339" s="1">
        <f t="shared" ref="U339:U402" si="115">IF(J339=$U$7,1,0)</f>
        <v>0</v>
      </c>
      <c r="V339" s="1">
        <f t="shared" ref="V339:V402" si="116">IF(J339=$V$7,1,0)</f>
        <v>0</v>
      </c>
      <c r="W339" s="1">
        <f t="shared" ref="W339:W402" si="117">IF(J339=$W$7,1,0)</f>
        <v>0</v>
      </c>
      <c r="X339" s="1">
        <f t="shared" ref="X339:X402" si="118">IF(J339=$X$7,1,0)</f>
        <v>0</v>
      </c>
      <c r="Y339" s="1">
        <f t="shared" ref="Y339:Y402" si="119">IF(J339=$Y$7,1,0)</f>
        <v>0</v>
      </c>
      <c r="Z339" s="1">
        <f t="shared" ref="Z339:Z402" si="120">IF(J339=$Z$7,1,0)</f>
        <v>0</v>
      </c>
      <c r="AA339" s="1">
        <f t="shared" ref="AA339:AA402" si="121">IF(J339=$AA$7,1,0)</f>
        <v>0</v>
      </c>
      <c r="AB339" s="1">
        <f t="shared" ref="AB339:AB402" si="122">IF(J339=$AB$7,1,0)</f>
        <v>0</v>
      </c>
      <c r="AD339" s="1">
        <f t="shared" ref="AD339:AD402" si="123">+O339*P339</f>
        <v>0</v>
      </c>
      <c r="AE339" s="1">
        <f t="shared" ref="AE339:AE402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1705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3" si="125">+O340*P340*(1-A340)</f>
        <v>0</v>
      </c>
      <c r="AG340" s="1">
        <f t="shared" ref="AG340:AG403" si="126">O340*(1-P340)*(1-A340)</f>
        <v>1</v>
      </c>
      <c r="AH340" s="1">
        <f t="shared" ref="AH340:AH403" si="127">+P340*(1-A340)</f>
        <v>0</v>
      </c>
      <c r="AI340" s="1">
        <f t="shared" ref="AI340:AI403" si="128">+(1-A340)*(1-P340)</f>
        <v>1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1705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1710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1705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s="1" customFormat="1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1705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1705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1832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1705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s="1" customFormat="1" ht="14.25" customHeight="1" x14ac:dyDescent="0.25">
      <c r="A349" s="31">
        <v>0</v>
      </c>
      <c r="B349" s="31">
        <v>2</v>
      </c>
      <c r="C349" s="31">
        <v>2</v>
      </c>
      <c r="D349" s="32" t="s">
        <v>1706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1707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s="1" customFormat="1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s="1" customFormat="1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s="1" customFormat="1" ht="14.25" customHeight="1" x14ac:dyDescent="0.25">
      <c r="A352" s="59">
        <v>0</v>
      </c>
      <c r="B352" s="59">
        <v>2</v>
      </c>
      <c r="C352" s="59">
        <v>2</v>
      </c>
      <c r="D352" s="49" t="s">
        <v>1947</v>
      </c>
      <c r="E352" s="49" t="s">
        <v>2031</v>
      </c>
      <c r="F352" s="49" t="s">
        <v>1948</v>
      </c>
      <c r="G352" s="49" t="s">
        <v>178</v>
      </c>
      <c r="H352" s="49" t="s">
        <v>352</v>
      </c>
      <c r="I352" s="59" t="s">
        <v>1949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s="1" customFormat="1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1705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s="1" customFormat="1" ht="14.25" customHeight="1" x14ac:dyDescent="0.25">
      <c r="A354" s="31">
        <v>0</v>
      </c>
      <c r="B354" s="31">
        <v>2</v>
      </c>
      <c r="C354" s="31">
        <v>2</v>
      </c>
      <c r="D354" s="32" t="s">
        <v>1884</v>
      </c>
      <c r="E354" s="32" t="s">
        <v>1885</v>
      </c>
      <c r="F354" s="32" t="s">
        <v>1886</v>
      </c>
      <c r="G354" s="32" t="s">
        <v>183</v>
      </c>
      <c r="H354" s="32" t="s">
        <v>352</v>
      </c>
      <c r="I354" s="31" t="s">
        <v>1888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1887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s="1" customFormat="1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1750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1705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s="1" customFormat="1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1705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s="1" customFormat="1" ht="14.25" customHeight="1" x14ac:dyDescent="0.25">
      <c r="A359" s="44">
        <v>0</v>
      </c>
      <c r="B359" s="44">
        <v>2</v>
      </c>
      <c r="C359" s="44">
        <v>3</v>
      </c>
      <c r="D359" s="45" t="s">
        <v>778</v>
      </c>
      <c r="E359" s="45" t="s">
        <v>32</v>
      </c>
      <c r="F359" s="45" t="s">
        <v>779</v>
      </c>
      <c r="G359" s="45" t="s">
        <v>250</v>
      </c>
      <c r="H359" s="45" t="s">
        <v>352</v>
      </c>
      <c r="I359" s="44" t="s">
        <v>780</v>
      </c>
      <c r="J359" s="44">
        <v>99</v>
      </c>
      <c r="K359" s="46" t="s">
        <v>704</v>
      </c>
      <c r="L359" s="46" t="s">
        <v>713</v>
      </c>
      <c r="M359" s="47" t="s">
        <v>714</v>
      </c>
      <c r="N359" s="47" t="s">
        <v>1769</v>
      </c>
      <c r="O359" s="48"/>
      <c r="P359" s="48"/>
      <c r="Q359" s="45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0</v>
      </c>
      <c r="AF359" s="1">
        <f t="shared" si="125"/>
        <v>0</v>
      </c>
      <c r="AG359" s="1">
        <f t="shared" si="126"/>
        <v>0</v>
      </c>
      <c r="AH359" s="1">
        <f t="shared" si="127"/>
        <v>0</v>
      </c>
      <c r="AI359" s="1">
        <f t="shared" si="128"/>
        <v>1</v>
      </c>
    </row>
    <row r="360" spans="1:35" s="1" customFormat="1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1762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1705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1705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s="1" customFormat="1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1709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s="1" customFormat="1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1762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1705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1705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s="1" customFormat="1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s="1" customFormat="1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1785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s="1" customFormat="1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s="1" customFormat="1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1710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s="1" customFormat="1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1705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1710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s="1" customFormat="1" ht="14.25" customHeight="1" x14ac:dyDescent="0.25">
      <c r="A374" s="15">
        <v>0</v>
      </c>
      <c r="B374" s="15">
        <v>2</v>
      </c>
      <c r="C374" s="15">
        <v>4</v>
      </c>
      <c r="D374" s="16" t="s">
        <v>621</v>
      </c>
      <c r="E374" s="16" t="s">
        <v>676</v>
      </c>
      <c r="F374" s="16" t="s">
        <v>662</v>
      </c>
      <c r="G374" s="16" t="s">
        <v>620</v>
      </c>
      <c r="H374" s="16" t="s">
        <v>352</v>
      </c>
      <c r="I374" s="15" t="s">
        <v>622</v>
      </c>
      <c r="J374" s="15">
        <v>99</v>
      </c>
      <c r="K374" s="10" t="s">
        <v>936</v>
      </c>
      <c r="L374" s="10" t="s">
        <v>39</v>
      </c>
      <c r="M374" s="19" t="s">
        <v>39</v>
      </c>
      <c r="N374" s="17"/>
      <c r="Q374" s="20" t="s">
        <v>1856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0</v>
      </c>
      <c r="AE374" s="1">
        <f t="shared" si="124"/>
        <v>0</v>
      </c>
      <c r="AF374" s="1">
        <f t="shared" si="125"/>
        <v>0</v>
      </c>
      <c r="AG374" s="1">
        <f t="shared" si="126"/>
        <v>0</v>
      </c>
      <c r="AH374" s="1">
        <f t="shared" si="127"/>
        <v>0</v>
      </c>
      <c r="AI374" s="1">
        <f t="shared" si="128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1722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1809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1717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s="1" customFormat="1" ht="14.25" customHeight="1" x14ac:dyDescent="0.25">
      <c r="A378" s="31">
        <v>0</v>
      </c>
      <c r="B378" s="31">
        <v>2</v>
      </c>
      <c r="C378" s="31">
        <v>4</v>
      </c>
      <c r="D378" s="32" t="s">
        <v>1981</v>
      </c>
      <c r="E378" s="32" t="s">
        <v>35</v>
      </c>
      <c r="F378" s="32" t="s">
        <v>1982</v>
      </c>
      <c r="G378" s="32" t="s">
        <v>208</v>
      </c>
      <c r="H378" s="32" t="s">
        <v>352</v>
      </c>
      <c r="I378" s="31" t="s">
        <v>1983</v>
      </c>
      <c r="J378" s="31">
        <v>99</v>
      </c>
      <c r="K378" s="33" t="s">
        <v>694</v>
      </c>
      <c r="L378" s="33">
        <v>25</v>
      </c>
      <c r="M378" s="34" t="s">
        <v>1985</v>
      </c>
      <c r="N378" s="34" t="s">
        <v>1809</v>
      </c>
      <c r="O378" s="35">
        <v>1</v>
      </c>
      <c r="P378" s="35"/>
      <c r="Q378" s="32" t="s">
        <v>1984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s="1" customFormat="1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s="1" customFormat="1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s="1" customFormat="1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1716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58</v>
      </c>
      <c r="E382" s="32" t="s">
        <v>44</v>
      </c>
      <c r="F382" s="32" t="s">
        <v>663</v>
      </c>
      <c r="G382" s="32" t="s">
        <v>222</v>
      </c>
      <c r="H382" s="32" t="s">
        <v>352</v>
      </c>
      <c r="I382" s="31" t="s">
        <v>395</v>
      </c>
      <c r="J382" s="31">
        <v>8</v>
      </c>
      <c r="K382" s="33" t="s">
        <v>704</v>
      </c>
      <c r="L382" s="33" t="s">
        <v>707</v>
      </c>
      <c r="M382" s="34" t="s">
        <v>1393</v>
      </c>
      <c r="N382" s="34" t="s">
        <v>1709</v>
      </c>
      <c r="O382" s="35">
        <v>1</v>
      </c>
      <c r="P382" s="35"/>
      <c r="Q382" s="32"/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1</v>
      </c>
      <c r="AA382" s="1">
        <f t="shared" si="121"/>
        <v>0</v>
      </c>
      <c r="AB382" s="1">
        <f t="shared" si="122"/>
        <v>0</v>
      </c>
      <c r="AD382" s="1">
        <f t="shared" si="123"/>
        <v>0</v>
      </c>
      <c r="AE382" s="1">
        <f t="shared" si="124"/>
        <v>1</v>
      </c>
      <c r="AF382" s="1">
        <f t="shared" si="125"/>
        <v>0</v>
      </c>
      <c r="AG382" s="1">
        <f t="shared" si="126"/>
        <v>1</v>
      </c>
      <c r="AH382" s="1">
        <f t="shared" si="127"/>
        <v>0</v>
      </c>
      <c r="AI382" s="1">
        <f t="shared" si="128"/>
        <v>1</v>
      </c>
    </row>
    <row r="383" spans="1:35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817</v>
      </c>
      <c r="E383" s="32" t="s">
        <v>816</v>
      </c>
      <c r="F383" s="32" t="s">
        <v>907</v>
      </c>
      <c r="G383" s="32" t="s">
        <v>212</v>
      </c>
      <c r="H383" s="32" t="s">
        <v>352</v>
      </c>
      <c r="I383" s="31" t="s">
        <v>818</v>
      </c>
      <c r="J383" s="31">
        <v>1</v>
      </c>
      <c r="K383" s="33" t="s">
        <v>703</v>
      </c>
      <c r="L383" s="33" t="s">
        <v>684</v>
      </c>
      <c r="M383" s="34" t="s">
        <v>1394</v>
      </c>
      <c r="N383" s="34" t="s">
        <v>1705</v>
      </c>
      <c r="O383" s="35">
        <v>1</v>
      </c>
      <c r="P383" s="35"/>
      <c r="Q383" s="32"/>
      <c r="S383" s="1">
        <f t="shared" si="113"/>
        <v>1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0</v>
      </c>
      <c r="AA383" s="1">
        <f t="shared" si="121"/>
        <v>0</v>
      </c>
      <c r="AB383" s="1">
        <f t="shared" si="122"/>
        <v>0</v>
      </c>
      <c r="AD383" s="1">
        <f t="shared" si="123"/>
        <v>0</v>
      </c>
      <c r="AE383" s="1">
        <f t="shared" si="124"/>
        <v>1</v>
      </c>
      <c r="AF383" s="1">
        <f t="shared" si="125"/>
        <v>0</v>
      </c>
      <c r="AG383" s="1">
        <f t="shared" si="126"/>
        <v>1</v>
      </c>
      <c r="AH383" s="1">
        <f t="shared" si="127"/>
        <v>0</v>
      </c>
      <c r="AI383" s="1">
        <f t="shared" si="128"/>
        <v>1</v>
      </c>
    </row>
    <row r="384" spans="1:35" s="1" customFormat="1" ht="14.25" customHeight="1" x14ac:dyDescent="0.25">
      <c r="A384" s="31">
        <v>0</v>
      </c>
      <c r="B384" s="31">
        <v>2</v>
      </c>
      <c r="C384" s="31">
        <v>5</v>
      </c>
      <c r="D384" s="36" t="s">
        <v>2014</v>
      </c>
      <c r="E384" s="36" t="s">
        <v>169</v>
      </c>
      <c r="F384" s="36" t="s">
        <v>2015</v>
      </c>
      <c r="G384" s="36" t="s">
        <v>1501</v>
      </c>
      <c r="H384" s="36" t="s">
        <v>352</v>
      </c>
      <c r="I384" s="37" t="s">
        <v>2016</v>
      </c>
      <c r="J384" s="31">
        <v>5</v>
      </c>
      <c r="K384" s="33" t="s">
        <v>694</v>
      </c>
      <c r="L384" s="33"/>
      <c r="M384" s="34"/>
      <c r="N384" s="34" t="s">
        <v>1693</v>
      </c>
      <c r="O384" s="35">
        <v>1</v>
      </c>
      <c r="P384" s="35">
        <v>1</v>
      </c>
      <c r="Q384" s="36" t="s">
        <v>2017</v>
      </c>
      <c r="S384" s="1">
        <f t="shared" si="113"/>
        <v>0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1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3"/>
        <v>1</v>
      </c>
      <c r="AE384" s="1">
        <f t="shared" si="124"/>
        <v>0</v>
      </c>
      <c r="AF384" s="1">
        <f t="shared" si="125"/>
        <v>1</v>
      </c>
      <c r="AG384" s="1">
        <f t="shared" si="126"/>
        <v>0</v>
      </c>
      <c r="AH384" s="1">
        <f t="shared" si="127"/>
        <v>1</v>
      </c>
      <c r="AI384" s="1">
        <f t="shared" si="128"/>
        <v>0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65</v>
      </c>
      <c r="E385" s="32" t="s">
        <v>163</v>
      </c>
      <c r="F385" s="32" t="s">
        <v>543</v>
      </c>
      <c r="G385" s="32" t="s">
        <v>193</v>
      </c>
      <c r="H385" s="32" t="s">
        <v>352</v>
      </c>
      <c r="I385" s="31" t="s">
        <v>548</v>
      </c>
      <c r="J385" s="31">
        <v>9</v>
      </c>
      <c r="K385" s="33" t="s">
        <v>704</v>
      </c>
      <c r="L385" s="33" t="s">
        <v>678</v>
      </c>
      <c r="M385" s="34" t="s">
        <v>1412</v>
      </c>
      <c r="N385" s="34" t="s">
        <v>1722</v>
      </c>
      <c r="O385" s="35">
        <v>1</v>
      </c>
      <c r="P385" s="35"/>
      <c r="Q385" s="32"/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0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1</v>
      </c>
      <c r="AB385" s="1">
        <f t="shared" si="122"/>
        <v>0</v>
      </c>
      <c r="AD385" s="1">
        <f t="shared" si="123"/>
        <v>0</v>
      </c>
      <c r="AE385" s="1">
        <f t="shared" si="124"/>
        <v>1</v>
      </c>
      <c r="AF385" s="1">
        <f t="shared" si="125"/>
        <v>0</v>
      </c>
      <c r="AG385" s="1">
        <f t="shared" si="126"/>
        <v>1</v>
      </c>
      <c r="AH385" s="1">
        <f t="shared" si="127"/>
        <v>0</v>
      </c>
      <c r="AI385" s="1">
        <f t="shared" si="128"/>
        <v>1</v>
      </c>
    </row>
    <row r="386" spans="1:35" s="1" customFormat="1" ht="14.25" customHeight="1" x14ac:dyDescent="0.25">
      <c r="A386" s="44">
        <v>0</v>
      </c>
      <c r="B386" s="44">
        <v>2</v>
      </c>
      <c r="C386" s="44">
        <v>5</v>
      </c>
      <c r="D386" s="45" t="s">
        <v>1455</v>
      </c>
      <c r="E386" s="45" t="s">
        <v>35</v>
      </c>
      <c r="F386" s="57" t="s">
        <v>1833</v>
      </c>
      <c r="G386" s="45" t="s">
        <v>221</v>
      </c>
      <c r="H386" s="45" t="s">
        <v>352</v>
      </c>
      <c r="I386" s="44" t="s">
        <v>1652</v>
      </c>
      <c r="J386" s="44">
        <v>99</v>
      </c>
      <c r="K386" s="46" t="s">
        <v>704</v>
      </c>
      <c r="L386" s="46">
        <v>25</v>
      </c>
      <c r="M386" s="47" t="s">
        <v>39</v>
      </c>
      <c r="N386" s="47" t="s">
        <v>1702</v>
      </c>
      <c r="O386" s="48"/>
      <c r="P386" s="48"/>
      <c r="Q386" s="45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0</v>
      </c>
      <c r="AB386" s="1">
        <f t="shared" si="122"/>
        <v>0</v>
      </c>
      <c r="AD386" s="1">
        <f t="shared" si="123"/>
        <v>0</v>
      </c>
      <c r="AE386" s="1">
        <f t="shared" si="124"/>
        <v>0</v>
      </c>
      <c r="AF386" s="1">
        <f t="shared" si="125"/>
        <v>0</v>
      </c>
      <c r="AG386" s="1">
        <f t="shared" si="126"/>
        <v>0</v>
      </c>
      <c r="AH386" s="1">
        <f t="shared" si="127"/>
        <v>0</v>
      </c>
      <c r="AI386" s="1">
        <f t="shared" si="128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1779</v>
      </c>
      <c r="E387" s="32" t="s">
        <v>757</v>
      </c>
      <c r="F387" s="32" t="s">
        <v>1780</v>
      </c>
      <c r="G387" s="32" t="s">
        <v>223</v>
      </c>
      <c r="H387" s="32" t="s">
        <v>352</v>
      </c>
      <c r="I387" s="31" t="s">
        <v>1781</v>
      </c>
      <c r="J387" s="31">
        <v>99</v>
      </c>
      <c r="K387" s="33" t="s">
        <v>1782</v>
      </c>
      <c r="L387" s="33">
        <v>40</v>
      </c>
      <c r="M387" s="34" t="s">
        <v>1783</v>
      </c>
      <c r="N387" s="34" t="s">
        <v>1809</v>
      </c>
      <c r="O387" s="35">
        <v>1</v>
      </c>
      <c r="P387" s="35"/>
      <c r="Q387" s="32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1</v>
      </c>
      <c r="AF387" s="1">
        <f t="shared" si="125"/>
        <v>0</v>
      </c>
      <c r="AG387" s="1">
        <f t="shared" si="126"/>
        <v>1</v>
      </c>
      <c r="AH387" s="1">
        <f t="shared" si="127"/>
        <v>0</v>
      </c>
      <c r="AI387" s="1">
        <f t="shared" si="128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608</v>
      </c>
      <c r="E388" s="32" t="s">
        <v>677</v>
      </c>
      <c r="F388" s="32" t="s">
        <v>609</v>
      </c>
      <c r="G388" s="32" t="s">
        <v>285</v>
      </c>
      <c r="H388" s="32" t="s">
        <v>352</v>
      </c>
      <c r="I388" s="31" t="s">
        <v>610</v>
      </c>
      <c r="J388" s="31">
        <v>99</v>
      </c>
      <c r="K388" s="33" t="s">
        <v>703</v>
      </c>
      <c r="L388" s="33" t="s">
        <v>695</v>
      </c>
      <c r="M388" s="34" t="s">
        <v>1395</v>
      </c>
      <c r="N388" s="34" t="s">
        <v>1705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1457</v>
      </c>
      <c r="E389" s="32" t="s">
        <v>757</v>
      </c>
      <c r="F389" s="32" t="s">
        <v>1458</v>
      </c>
      <c r="G389" s="32" t="s">
        <v>195</v>
      </c>
      <c r="H389" s="32" t="s">
        <v>352</v>
      </c>
      <c r="I389" s="31" t="s">
        <v>1459</v>
      </c>
      <c r="J389" s="31">
        <v>99</v>
      </c>
      <c r="K389" s="33" t="s">
        <v>935</v>
      </c>
      <c r="L389" s="33" t="s">
        <v>684</v>
      </c>
      <c r="M389" s="34" t="s">
        <v>1386</v>
      </c>
      <c r="N389" s="34" t="s">
        <v>1705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760</v>
      </c>
      <c r="E390" s="32" t="s">
        <v>757</v>
      </c>
      <c r="F390" s="32" t="s">
        <v>762</v>
      </c>
      <c r="G390" s="32" t="s">
        <v>206</v>
      </c>
      <c r="H390" s="32" t="s">
        <v>352</v>
      </c>
      <c r="I390" s="31" t="s">
        <v>761</v>
      </c>
      <c r="J390" s="31">
        <v>99</v>
      </c>
      <c r="K390" s="33" t="s">
        <v>703</v>
      </c>
      <c r="L390" s="33" t="s">
        <v>685</v>
      </c>
      <c r="M390" s="34" t="s">
        <v>1396</v>
      </c>
      <c r="N390" s="34" t="s">
        <v>1705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s="1" customFormat="1" ht="14.25" customHeight="1" x14ac:dyDescent="0.25">
      <c r="A391" s="31">
        <v>1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987</v>
      </c>
      <c r="G391" s="32" t="s">
        <v>189</v>
      </c>
      <c r="H391" s="32" t="s">
        <v>352</v>
      </c>
      <c r="I391" s="31" t="s">
        <v>988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1705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0</v>
      </c>
      <c r="AH391" s="1">
        <f t="shared" si="127"/>
        <v>0</v>
      </c>
      <c r="AI391" s="1">
        <f t="shared" si="128"/>
        <v>0</v>
      </c>
    </row>
    <row r="392" spans="1:35" s="1" customFormat="1" ht="14.25" customHeight="1" x14ac:dyDescent="0.25">
      <c r="A392" s="15">
        <v>0</v>
      </c>
      <c r="B392" s="15">
        <v>2</v>
      </c>
      <c r="C392" s="15">
        <v>5</v>
      </c>
      <c r="D392" s="16" t="s">
        <v>899</v>
      </c>
      <c r="E392" s="16" t="s">
        <v>894</v>
      </c>
      <c r="F392" s="16" t="s">
        <v>912</v>
      </c>
      <c r="G392" s="16" t="s">
        <v>1323</v>
      </c>
      <c r="H392" s="16" t="s">
        <v>352</v>
      </c>
      <c r="I392" s="15" t="s">
        <v>755</v>
      </c>
      <c r="J392" s="15">
        <v>99</v>
      </c>
      <c r="K392" s="10" t="s">
        <v>694</v>
      </c>
      <c r="L392" s="10">
        <v>20</v>
      </c>
      <c r="M392" s="19" t="s">
        <v>1397</v>
      </c>
      <c r="N392" s="19"/>
      <c r="Q392" s="16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0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1880</v>
      </c>
      <c r="E393" s="32"/>
      <c r="F393" s="32" t="s">
        <v>1881</v>
      </c>
      <c r="G393" s="32" t="s">
        <v>207</v>
      </c>
      <c r="H393" s="32" t="s">
        <v>352</v>
      </c>
      <c r="I393" s="31" t="s">
        <v>1882</v>
      </c>
      <c r="J393" s="31">
        <v>3</v>
      </c>
      <c r="K393" s="33" t="s">
        <v>694</v>
      </c>
      <c r="L393" s="33"/>
      <c r="M393" s="34"/>
      <c r="N393" s="34" t="s">
        <v>1693</v>
      </c>
      <c r="O393" s="35">
        <v>1</v>
      </c>
      <c r="P393" s="35">
        <v>1</v>
      </c>
      <c r="Q393" s="32" t="s">
        <v>1883</v>
      </c>
      <c r="S393" s="1">
        <f t="shared" si="113"/>
        <v>0</v>
      </c>
      <c r="T393" s="1">
        <f t="shared" si="114"/>
        <v>0</v>
      </c>
      <c r="U393" s="1">
        <f t="shared" si="115"/>
        <v>1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1</v>
      </c>
      <c r="AE393" s="1">
        <f t="shared" si="124"/>
        <v>0</v>
      </c>
      <c r="AF393" s="1">
        <f t="shared" si="125"/>
        <v>1</v>
      </c>
      <c r="AG393" s="1">
        <f t="shared" si="126"/>
        <v>0</v>
      </c>
      <c r="AH393" s="1">
        <f t="shared" si="127"/>
        <v>1</v>
      </c>
      <c r="AI393" s="1">
        <f t="shared" si="128"/>
        <v>0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1244</v>
      </c>
      <c r="E394" s="32" t="s">
        <v>1245</v>
      </c>
      <c r="F394" s="32" t="s">
        <v>1246</v>
      </c>
      <c r="G394" s="32" t="s">
        <v>219</v>
      </c>
      <c r="H394" s="32" t="s">
        <v>352</v>
      </c>
      <c r="I394" s="31" t="s">
        <v>1689</v>
      </c>
      <c r="J394" s="31">
        <v>8</v>
      </c>
      <c r="K394" s="33" t="s">
        <v>704</v>
      </c>
      <c r="L394" s="33" t="s">
        <v>39</v>
      </c>
      <c r="M394" s="34" t="s">
        <v>39</v>
      </c>
      <c r="N394" s="34" t="s">
        <v>1693</v>
      </c>
      <c r="O394" s="35">
        <v>1</v>
      </c>
      <c r="P394" s="35">
        <v>1</v>
      </c>
      <c r="Q394" s="32"/>
      <c r="S394" s="1">
        <f t="shared" si="113"/>
        <v>0</v>
      </c>
      <c r="T394" s="1">
        <f t="shared" si="114"/>
        <v>0</v>
      </c>
      <c r="U394" s="1">
        <f t="shared" si="115"/>
        <v>0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1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s="1" customFormat="1" ht="14.25" customHeight="1" x14ac:dyDescent="0.25">
      <c r="A395" s="31">
        <v>0</v>
      </c>
      <c r="B395" s="31">
        <v>2</v>
      </c>
      <c r="C395" s="31">
        <v>5</v>
      </c>
      <c r="D395" s="32" t="s">
        <v>1063</v>
      </c>
      <c r="E395" s="32" t="s">
        <v>154</v>
      </c>
      <c r="F395" s="32" t="s">
        <v>1047</v>
      </c>
      <c r="G395" s="32" t="s">
        <v>319</v>
      </c>
      <c r="H395" s="32" t="s">
        <v>352</v>
      </c>
      <c r="I395" s="31" t="s">
        <v>1048</v>
      </c>
      <c r="J395" s="31">
        <v>99</v>
      </c>
      <c r="K395" s="33" t="s">
        <v>704</v>
      </c>
      <c r="L395" s="33" t="s">
        <v>685</v>
      </c>
      <c r="M395" s="34" t="s">
        <v>1398</v>
      </c>
      <c r="N395" s="34" t="s">
        <v>1717</v>
      </c>
      <c r="O395" s="35">
        <v>1</v>
      </c>
      <c r="P395" s="35"/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0</v>
      </c>
      <c r="AA395" s="1">
        <f t="shared" si="121"/>
        <v>0</v>
      </c>
      <c r="AB395" s="1">
        <f t="shared" si="122"/>
        <v>0</v>
      </c>
      <c r="AD395" s="1">
        <f t="shared" si="123"/>
        <v>0</v>
      </c>
      <c r="AE395" s="1">
        <f t="shared" si="124"/>
        <v>1</v>
      </c>
      <c r="AF395" s="1">
        <f t="shared" si="125"/>
        <v>0</v>
      </c>
      <c r="AG395" s="1">
        <f t="shared" si="126"/>
        <v>1</v>
      </c>
      <c r="AH395" s="1">
        <f t="shared" si="127"/>
        <v>0</v>
      </c>
      <c r="AI395" s="1">
        <f t="shared" si="128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5</v>
      </c>
      <c r="D396" s="32" t="s">
        <v>781</v>
      </c>
      <c r="E396" s="32" t="s">
        <v>757</v>
      </c>
      <c r="F396" s="32" t="s">
        <v>915</v>
      </c>
      <c r="G396" s="32" t="s">
        <v>219</v>
      </c>
      <c r="H396" s="32" t="s">
        <v>352</v>
      </c>
      <c r="I396" s="31" t="s">
        <v>782</v>
      </c>
      <c r="J396" s="31">
        <v>8</v>
      </c>
      <c r="K396" s="33" t="s">
        <v>694</v>
      </c>
      <c r="L396" s="33">
        <v>20</v>
      </c>
      <c r="M396" s="34" t="s">
        <v>1389</v>
      </c>
      <c r="N396" s="34" t="s">
        <v>1785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1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79</v>
      </c>
      <c r="E397" s="32" t="s">
        <v>158</v>
      </c>
      <c r="F397" s="32" t="s">
        <v>267</v>
      </c>
      <c r="G397" s="32" t="s">
        <v>212</v>
      </c>
      <c r="H397" s="32" t="s">
        <v>352</v>
      </c>
      <c r="I397" s="31" t="s">
        <v>423</v>
      </c>
      <c r="J397" s="31">
        <v>1</v>
      </c>
      <c r="K397" s="33" t="s">
        <v>936</v>
      </c>
      <c r="L397" s="33" t="s">
        <v>695</v>
      </c>
      <c r="M397" s="34" t="s">
        <v>718</v>
      </c>
      <c r="N397" s="34" t="s">
        <v>1705</v>
      </c>
      <c r="O397" s="35">
        <v>1</v>
      </c>
      <c r="P397" s="35"/>
      <c r="Q397" s="32"/>
      <c r="S397" s="1">
        <f t="shared" si="113"/>
        <v>1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0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6" t="s">
        <v>2103</v>
      </c>
      <c r="E398" s="36" t="s">
        <v>816</v>
      </c>
      <c r="F398" s="36" t="s">
        <v>2104</v>
      </c>
      <c r="G398" s="36" t="s">
        <v>202</v>
      </c>
      <c r="H398" s="36" t="s">
        <v>352</v>
      </c>
      <c r="I398" s="37" t="s">
        <v>2105</v>
      </c>
      <c r="J398" s="31">
        <v>99</v>
      </c>
      <c r="K398" s="33" t="s">
        <v>694</v>
      </c>
      <c r="L398" s="33"/>
      <c r="M398" s="34"/>
      <c r="N398" s="34" t="s">
        <v>1693</v>
      </c>
      <c r="O398" s="35">
        <v>1</v>
      </c>
      <c r="P398" s="35">
        <v>1</v>
      </c>
      <c r="Q398" s="32"/>
      <c r="S398" s="1">
        <f t="shared" si="113"/>
        <v>0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1</v>
      </c>
      <c r="AE398" s="1">
        <f t="shared" si="124"/>
        <v>0</v>
      </c>
      <c r="AF398" s="1">
        <f t="shared" si="125"/>
        <v>1</v>
      </c>
      <c r="AG398" s="1">
        <f t="shared" si="126"/>
        <v>0</v>
      </c>
      <c r="AH398" s="1">
        <f t="shared" si="127"/>
        <v>1</v>
      </c>
      <c r="AI398" s="1">
        <f t="shared" si="128"/>
        <v>0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2039</v>
      </c>
      <c r="E399" s="32" t="s">
        <v>171</v>
      </c>
      <c r="F399" s="32" t="s">
        <v>2040</v>
      </c>
      <c r="G399" s="32" t="s">
        <v>206</v>
      </c>
      <c r="H399" s="32" t="s">
        <v>352</v>
      </c>
      <c r="I399" s="31" t="s">
        <v>2041</v>
      </c>
      <c r="J399" s="31">
        <v>99</v>
      </c>
      <c r="K399" s="33" t="s">
        <v>694</v>
      </c>
      <c r="L399" s="33">
        <v>30</v>
      </c>
      <c r="M399" s="34" t="s">
        <v>951</v>
      </c>
      <c r="N399" s="34" t="s">
        <v>1705</v>
      </c>
      <c r="O399" s="35">
        <v>1</v>
      </c>
      <c r="P399" s="35"/>
      <c r="Q399" s="32" t="s">
        <v>2042</v>
      </c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0</v>
      </c>
      <c r="AE399" s="1">
        <f t="shared" si="124"/>
        <v>1</v>
      </c>
      <c r="AF399" s="1">
        <f t="shared" si="125"/>
        <v>0</v>
      </c>
      <c r="AG399" s="1">
        <f t="shared" si="126"/>
        <v>1</v>
      </c>
      <c r="AH399" s="1">
        <f t="shared" si="127"/>
        <v>0</v>
      </c>
      <c r="AI399" s="1">
        <f t="shared" si="128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5</v>
      </c>
      <c r="D400" s="32" t="s">
        <v>1609</v>
      </c>
      <c r="E400" s="32" t="s">
        <v>1621</v>
      </c>
      <c r="F400" s="32" t="s">
        <v>1518</v>
      </c>
      <c r="G400" s="32" t="s">
        <v>261</v>
      </c>
      <c r="H400" s="32" t="s">
        <v>352</v>
      </c>
      <c r="I400" s="31" t="s">
        <v>1519</v>
      </c>
      <c r="J400" s="31">
        <v>99</v>
      </c>
      <c r="K400" s="33" t="s">
        <v>936</v>
      </c>
      <c r="L400" s="33">
        <v>40</v>
      </c>
      <c r="M400" s="34" t="s">
        <v>39</v>
      </c>
      <c r="N400" s="34" t="s">
        <v>1785</v>
      </c>
      <c r="O400" s="35">
        <v>1</v>
      </c>
      <c r="P400" s="35"/>
      <c r="Q400" s="32"/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5</v>
      </c>
      <c r="D401" s="32" t="s">
        <v>1271</v>
      </c>
      <c r="E401" s="32" t="s">
        <v>27</v>
      </c>
      <c r="F401" s="32" t="s">
        <v>1272</v>
      </c>
      <c r="G401" s="32" t="s">
        <v>1273</v>
      </c>
      <c r="H401" s="32" t="s">
        <v>352</v>
      </c>
      <c r="I401" s="31" t="s">
        <v>1274</v>
      </c>
      <c r="J401" s="31">
        <v>99</v>
      </c>
      <c r="K401" s="33" t="s">
        <v>936</v>
      </c>
      <c r="L401" s="33" t="s">
        <v>39</v>
      </c>
      <c r="M401" s="34" t="s">
        <v>39</v>
      </c>
      <c r="N401" s="34" t="s">
        <v>1693</v>
      </c>
      <c r="O401" s="35">
        <v>1</v>
      </c>
      <c r="P401" s="35">
        <v>1</v>
      </c>
      <c r="Q401" s="36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1</v>
      </c>
      <c r="AE401" s="1">
        <f t="shared" si="124"/>
        <v>0</v>
      </c>
      <c r="AF401" s="1">
        <f t="shared" si="125"/>
        <v>1</v>
      </c>
      <c r="AG401" s="1">
        <f t="shared" si="126"/>
        <v>0</v>
      </c>
      <c r="AH401" s="1">
        <f t="shared" si="127"/>
        <v>1</v>
      </c>
      <c r="AI401" s="1">
        <f t="shared" si="128"/>
        <v>0</v>
      </c>
    </row>
    <row r="402" spans="1:35" s="1" customFormat="1" ht="14.25" customHeight="1" x14ac:dyDescent="0.25">
      <c r="A402" s="15">
        <v>0</v>
      </c>
      <c r="B402" s="15">
        <v>2</v>
      </c>
      <c r="C402" s="15">
        <v>5</v>
      </c>
      <c r="D402" s="16" t="s">
        <v>1570</v>
      </c>
      <c r="E402" s="16" t="s">
        <v>158</v>
      </c>
      <c r="F402" s="16" t="s">
        <v>2102</v>
      </c>
      <c r="G402" s="16" t="s">
        <v>1437</v>
      </c>
      <c r="H402" s="16" t="s">
        <v>352</v>
      </c>
      <c r="I402" s="15" t="s">
        <v>1438</v>
      </c>
      <c r="J402" s="15">
        <v>99</v>
      </c>
      <c r="K402" s="10" t="s">
        <v>704</v>
      </c>
      <c r="L402" s="10" t="s">
        <v>687</v>
      </c>
      <c r="M402" s="19" t="s">
        <v>1439</v>
      </c>
      <c r="N402" s="19"/>
      <c r="Q402" s="1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0</v>
      </c>
      <c r="AE402" s="1">
        <f t="shared" si="124"/>
        <v>0</v>
      </c>
      <c r="AF402" s="1">
        <f t="shared" si="125"/>
        <v>0</v>
      </c>
      <c r="AG402" s="1">
        <f t="shared" si="126"/>
        <v>0</v>
      </c>
      <c r="AH402" s="1">
        <f t="shared" si="127"/>
        <v>0</v>
      </c>
      <c r="AI402" s="1">
        <f t="shared" si="128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5</v>
      </c>
      <c r="D403" s="32" t="s">
        <v>1998</v>
      </c>
      <c r="E403" s="32" t="s">
        <v>1999</v>
      </c>
      <c r="F403" s="32" t="s">
        <v>2000</v>
      </c>
      <c r="G403" s="32" t="s">
        <v>2003</v>
      </c>
      <c r="H403" s="32" t="s">
        <v>352</v>
      </c>
      <c r="I403" s="31" t="s">
        <v>2001</v>
      </c>
      <c r="J403" s="31"/>
      <c r="K403" s="33" t="s">
        <v>1782</v>
      </c>
      <c r="L403" s="33"/>
      <c r="M403" s="34"/>
      <c r="N403" s="34" t="s">
        <v>1693</v>
      </c>
      <c r="O403" s="35">
        <v>1</v>
      </c>
      <c r="P403" s="35">
        <v>1</v>
      </c>
      <c r="Q403" s="32" t="s">
        <v>2002</v>
      </c>
      <c r="S403" s="1">
        <f t="shared" ref="S403:S466" si="129">IF(J403=$S$7,1,0)</f>
        <v>0</v>
      </c>
      <c r="T403" s="1">
        <f t="shared" ref="T403:T466" si="130">IF(J403=$T$7,1,0)</f>
        <v>0</v>
      </c>
      <c r="U403" s="1">
        <f t="shared" ref="U403:U466" si="131">IF(J403=$U$7,1,0)</f>
        <v>0</v>
      </c>
      <c r="V403" s="1">
        <f t="shared" ref="V403:V466" si="132">IF(J403=$V$7,1,0)</f>
        <v>0</v>
      </c>
      <c r="W403" s="1">
        <f t="shared" ref="W403:W466" si="133">IF(J403=$W$7,1,0)</f>
        <v>0</v>
      </c>
      <c r="X403" s="1">
        <f t="shared" ref="X403:X466" si="134">IF(J403=$X$7,1,0)</f>
        <v>0</v>
      </c>
      <c r="Y403" s="1">
        <f t="shared" ref="Y403:Y466" si="135">IF(J403=$Y$7,1,0)</f>
        <v>0</v>
      </c>
      <c r="Z403" s="1">
        <f t="shared" ref="Z403:Z466" si="136">IF(J403=$Z$7,1,0)</f>
        <v>0</v>
      </c>
      <c r="AA403" s="1">
        <f t="shared" ref="AA403:AA466" si="137">IF(J403=$AA$7,1,0)</f>
        <v>0</v>
      </c>
      <c r="AB403" s="1">
        <f t="shared" ref="AB403:AB466" si="138">IF(J403=$AB$7,1,0)</f>
        <v>0</v>
      </c>
      <c r="AD403" s="1">
        <f t="shared" ref="AD403:AD466" si="139">+O403*P403</f>
        <v>1</v>
      </c>
      <c r="AE403" s="1">
        <f t="shared" ref="AE403:AE466" si="140">O403*(1-P403)</f>
        <v>0</v>
      </c>
      <c r="AF403" s="1">
        <f t="shared" si="125"/>
        <v>1</v>
      </c>
      <c r="AG403" s="1">
        <f t="shared" si="126"/>
        <v>0</v>
      </c>
      <c r="AH403" s="1">
        <f t="shared" si="127"/>
        <v>1</v>
      </c>
      <c r="AI403" s="1">
        <f t="shared" si="128"/>
        <v>0</v>
      </c>
    </row>
    <row r="404" spans="1:35" s="1" customFormat="1" ht="14.25" customHeight="1" x14ac:dyDescent="0.25">
      <c r="A404" s="31">
        <v>0</v>
      </c>
      <c r="B404" s="31">
        <v>2</v>
      </c>
      <c r="C404" s="31">
        <v>5</v>
      </c>
      <c r="D404" s="32" t="s">
        <v>1739</v>
      </c>
      <c r="E404" s="32" t="s">
        <v>154</v>
      </c>
      <c r="F404" s="32" t="s">
        <v>1740</v>
      </c>
      <c r="G404" s="32" t="s">
        <v>648</v>
      </c>
      <c r="H404" s="32" t="s">
        <v>352</v>
      </c>
      <c r="I404" s="31" t="s">
        <v>1741</v>
      </c>
      <c r="J404" s="31"/>
      <c r="K404" s="33" t="s">
        <v>694</v>
      </c>
      <c r="L404" s="33">
        <v>40</v>
      </c>
      <c r="M404" s="34" t="s">
        <v>1742</v>
      </c>
      <c r="N404" s="34" t="s">
        <v>1705</v>
      </c>
      <c r="O404" s="35">
        <v>1</v>
      </c>
      <c r="P404" s="35"/>
      <c r="Q404" s="32"/>
      <c r="S404" s="1">
        <f t="shared" si="129"/>
        <v>0</v>
      </c>
      <c r="T404" s="1">
        <f t="shared" si="130"/>
        <v>0</v>
      </c>
      <c r="U404" s="1">
        <f t="shared" si="131"/>
        <v>0</v>
      </c>
      <c r="V404" s="1">
        <f t="shared" si="132"/>
        <v>0</v>
      </c>
      <c r="W404" s="1">
        <f t="shared" si="133"/>
        <v>0</v>
      </c>
      <c r="X404" s="1">
        <f t="shared" si="134"/>
        <v>0</v>
      </c>
      <c r="Y404" s="1">
        <f t="shared" si="135"/>
        <v>0</v>
      </c>
      <c r="Z404" s="1">
        <f t="shared" si="136"/>
        <v>0</v>
      </c>
      <c r="AA404" s="1">
        <f t="shared" si="137"/>
        <v>0</v>
      </c>
      <c r="AB404" s="1">
        <f t="shared" si="138"/>
        <v>0</v>
      </c>
      <c r="AD404" s="1">
        <f t="shared" si="139"/>
        <v>0</v>
      </c>
      <c r="AE404" s="1">
        <f t="shared" si="140"/>
        <v>1</v>
      </c>
      <c r="AF404" s="1">
        <f t="shared" ref="AF404:AF467" si="141">+O404*P404*(1-A404)</f>
        <v>0</v>
      </c>
      <c r="AG404" s="1">
        <f t="shared" ref="AG404:AG467" si="142">O404*(1-P404)*(1-A404)</f>
        <v>1</v>
      </c>
      <c r="AH404" s="1">
        <f t="shared" ref="AH404:AH467" si="143">+P404*(1-A404)</f>
        <v>0</v>
      </c>
      <c r="AI404" s="1">
        <f t="shared" ref="AI404:AI467" si="144">+(1-A404)*(1-P404)</f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5</v>
      </c>
      <c r="D405" s="32" t="s">
        <v>822</v>
      </c>
      <c r="E405" s="32" t="s">
        <v>816</v>
      </c>
      <c r="F405" s="32" t="s">
        <v>923</v>
      </c>
      <c r="G405" s="32" t="s">
        <v>179</v>
      </c>
      <c r="H405" s="32" t="s">
        <v>352</v>
      </c>
      <c r="I405" s="31" t="s">
        <v>1090</v>
      </c>
      <c r="J405" s="31">
        <v>10</v>
      </c>
      <c r="K405" s="33" t="s">
        <v>703</v>
      </c>
      <c r="L405" s="33" t="s">
        <v>684</v>
      </c>
      <c r="M405" s="34" t="s">
        <v>1399</v>
      </c>
      <c r="N405" s="34" t="s">
        <v>1716</v>
      </c>
      <c r="O405" s="35">
        <v>1</v>
      </c>
      <c r="P405" s="35"/>
      <c r="Q405" s="32"/>
      <c r="S405" s="1">
        <f t="shared" si="129"/>
        <v>0</v>
      </c>
      <c r="T405" s="1">
        <f t="shared" si="130"/>
        <v>0</v>
      </c>
      <c r="U405" s="1">
        <f t="shared" si="131"/>
        <v>0</v>
      </c>
      <c r="V405" s="1">
        <f t="shared" si="132"/>
        <v>0</v>
      </c>
      <c r="W405" s="1">
        <f t="shared" si="133"/>
        <v>0</v>
      </c>
      <c r="X405" s="1">
        <f t="shared" si="134"/>
        <v>0</v>
      </c>
      <c r="Y405" s="1">
        <f t="shared" si="135"/>
        <v>0</v>
      </c>
      <c r="Z405" s="1">
        <f t="shared" si="136"/>
        <v>0</v>
      </c>
      <c r="AA405" s="1">
        <f t="shared" si="137"/>
        <v>0</v>
      </c>
      <c r="AB405" s="1">
        <f t="shared" si="138"/>
        <v>1</v>
      </c>
      <c r="AD405" s="1">
        <f t="shared" si="139"/>
        <v>0</v>
      </c>
      <c r="AE405" s="1">
        <f t="shared" si="140"/>
        <v>1</v>
      </c>
      <c r="AF405" s="1">
        <f t="shared" si="141"/>
        <v>0</v>
      </c>
      <c r="AG405" s="1">
        <f t="shared" si="142"/>
        <v>1</v>
      </c>
      <c r="AH405" s="1">
        <f t="shared" si="143"/>
        <v>0</v>
      </c>
      <c r="AI405" s="1">
        <f t="shared" si="144"/>
        <v>1</v>
      </c>
    </row>
    <row r="406" spans="1:35" s="1" customFormat="1" ht="14.25" customHeight="1" x14ac:dyDescent="0.25">
      <c r="A406" s="51">
        <v>0</v>
      </c>
      <c r="B406" s="51">
        <v>2</v>
      </c>
      <c r="C406" s="51">
        <v>6</v>
      </c>
      <c r="D406" s="52" t="s">
        <v>1510</v>
      </c>
      <c r="E406" s="52" t="s">
        <v>27</v>
      </c>
      <c r="F406" s="52" t="s">
        <v>1512</v>
      </c>
      <c r="G406" s="52" t="s">
        <v>1501</v>
      </c>
      <c r="H406" s="52" t="s">
        <v>352</v>
      </c>
      <c r="I406" s="51" t="s">
        <v>1511</v>
      </c>
      <c r="J406" s="51">
        <v>5</v>
      </c>
      <c r="K406" s="53" t="s">
        <v>936</v>
      </c>
      <c r="L406" s="53" t="s">
        <v>39</v>
      </c>
      <c r="M406" s="54" t="s">
        <v>39</v>
      </c>
      <c r="N406" s="55"/>
      <c r="O406" s="56"/>
      <c r="P406" s="56"/>
      <c r="Q406" s="58" t="s">
        <v>1859</v>
      </c>
      <c r="S406" s="1">
        <f t="shared" si="129"/>
        <v>0</v>
      </c>
      <c r="T406" s="1">
        <f t="shared" si="130"/>
        <v>0</v>
      </c>
      <c r="U406" s="1">
        <f t="shared" si="131"/>
        <v>0</v>
      </c>
      <c r="V406" s="1">
        <f t="shared" si="132"/>
        <v>0</v>
      </c>
      <c r="W406" s="1">
        <f t="shared" si="133"/>
        <v>1</v>
      </c>
      <c r="X406" s="1">
        <f t="shared" si="134"/>
        <v>0</v>
      </c>
      <c r="Y406" s="1">
        <f t="shared" si="135"/>
        <v>0</v>
      </c>
      <c r="Z406" s="1">
        <f t="shared" si="136"/>
        <v>0</v>
      </c>
      <c r="AA406" s="1">
        <f t="shared" si="137"/>
        <v>0</v>
      </c>
      <c r="AB406" s="1">
        <f t="shared" si="138"/>
        <v>0</v>
      </c>
      <c r="AD406" s="1">
        <f t="shared" si="139"/>
        <v>0</v>
      </c>
      <c r="AE406" s="1">
        <f t="shared" si="140"/>
        <v>0</v>
      </c>
      <c r="AF406" s="1">
        <f t="shared" si="141"/>
        <v>0</v>
      </c>
      <c r="AG406" s="1">
        <f t="shared" si="142"/>
        <v>0</v>
      </c>
      <c r="AH406" s="1">
        <f t="shared" si="143"/>
        <v>0</v>
      </c>
      <c r="AI406" s="1">
        <f t="shared" si="144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6</v>
      </c>
      <c r="D407" s="32" t="s">
        <v>515</v>
      </c>
      <c r="E407" s="32" t="s">
        <v>31</v>
      </c>
      <c r="F407" s="32" t="s">
        <v>664</v>
      </c>
      <c r="G407" s="32" t="s">
        <v>199</v>
      </c>
      <c r="H407" s="32" t="s">
        <v>352</v>
      </c>
      <c r="I407" s="31" t="s">
        <v>516</v>
      </c>
      <c r="J407" s="31">
        <v>2</v>
      </c>
      <c r="K407" s="33" t="s">
        <v>935</v>
      </c>
      <c r="L407" s="33" t="s">
        <v>685</v>
      </c>
      <c r="M407" s="34" t="s">
        <v>1400</v>
      </c>
      <c r="N407" s="34" t="s">
        <v>1705</v>
      </c>
      <c r="O407" s="35">
        <v>1</v>
      </c>
      <c r="P407" s="35"/>
      <c r="Q407" s="32"/>
      <c r="S407" s="1">
        <f t="shared" si="129"/>
        <v>0</v>
      </c>
      <c r="T407" s="1">
        <f t="shared" si="130"/>
        <v>1</v>
      </c>
      <c r="U407" s="1">
        <f t="shared" si="131"/>
        <v>0</v>
      </c>
      <c r="V407" s="1">
        <f t="shared" si="132"/>
        <v>0</v>
      </c>
      <c r="W407" s="1">
        <f t="shared" si="133"/>
        <v>0</v>
      </c>
      <c r="X407" s="1">
        <f t="shared" si="134"/>
        <v>0</v>
      </c>
      <c r="Y407" s="1">
        <f t="shared" si="135"/>
        <v>0</v>
      </c>
      <c r="Z407" s="1">
        <f t="shared" si="136"/>
        <v>0</v>
      </c>
      <c r="AA407" s="1">
        <f t="shared" si="137"/>
        <v>0</v>
      </c>
      <c r="AB407" s="1">
        <f t="shared" si="138"/>
        <v>0</v>
      </c>
      <c r="AD407" s="1">
        <f t="shared" si="139"/>
        <v>0</v>
      </c>
      <c r="AE407" s="1">
        <f t="shared" si="140"/>
        <v>1</v>
      </c>
      <c r="AF407" s="1">
        <f t="shared" si="141"/>
        <v>0</v>
      </c>
      <c r="AG407" s="1">
        <f t="shared" si="142"/>
        <v>1</v>
      </c>
      <c r="AH407" s="1">
        <f t="shared" si="143"/>
        <v>0</v>
      </c>
      <c r="AI407" s="1">
        <f t="shared" si="144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6</v>
      </c>
      <c r="D408" s="32" t="s">
        <v>53</v>
      </c>
      <c r="E408" s="32" t="s">
        <v>31</v>
      </c>
      <c r="F408" s="32" t="s">
        <v>209</v>
      </c>
      <c r="G408" s="32" t="s">
        <v>210</v>
      </c>
      <c r="H408" s="32" t="s">
        <v>352</v>
      </c>
      <c r="I408" s="31" t="s">
        <v>390</v>
      </c>
      <c r="J408" s="31">
        <v>1</v>
      </c>
      <c r="K408" s="33" t="s">
        <v>703</v>
      </c>
      <c r="L408" s="33" t="s">
        <v>695</v>
      </c>
      <c r="M408" s="34" t="s">
        <v>719</v>
      </c>
      <c r="N408" s="34" t="s">
        <v>1705</v>
      </c>
      <c r="O408" s="35">
        <v>1</v>
      </c>
      <c r="P408" s="35"/>
      <c r="Q408" s="32"/>
      <c r="S408" s="1">
        <f t="shared" si="129"/>
        <v>1</v>
      </c>
      <c r="T408" s="1">
        <f t="shared" si="130"/>
        <v>0</v>
      </c>
      <c r="U408" s="1">
        <f t="shared" si="131"/>
        <v>0</v>
      </c>
      <c r="V408" s="1">
        <f t="shared" si="132"/>
        <v>0</v>
      </c>
      <c r="W408" s="1">
        <f t="shared" si="133"/>
        <v>0</v>
      </c>
      <c r="X408" s="1">
        <f t="shared" si="134"/>
        <v>0</v>
      </c>
      <c r="Y408" s="1">
        <f t="shared" si="135"/>
        <v>0</v>
      </c>
      <c r="Z408" s="1">
        <f t="shared" si="136"/>
        <v>0</v>
      </c>
      <c r="AA408" s="1">
        <f t="shared" si="137"/>
        <v>0</v>
      </c>
      <c r="AB408" s="1">
        <f t="shared" si="138"/>
        <v>0</v>
      </c>
      <c r="AD408" s="1">
        <f t="shared" si="139"/>
        <v>0</v>
      </c>
      <c r="AE408" s="1">
        <f t="shared" si="140"/>
        <v>1</v>
      </c>
      <c r="AF408" s="1">
        <f t="shared" si="141"/>
        <v>0</v>
      </c>
      <c r="AG408" s="1">
        <f t="shared" si="142"/>
        <v>1</v>
      </c>
      <c r="AH408" s="1">
        <f t="shared" si="143"/>
        <v>0</v>
      </c>
      <c r="AI408" s="1">
        <f t="shared" si="144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6</v>
      </c>
      <c r="D409" s="32" t="s">
        <v>1822</v>
      </c>
      <c r="E409" s="32" t="s">
        <v>1823</v>
      </c>
      <c r="F409" s="32" t="s">
        <v>1824</v>
      </c>
      <c r="G409" s="32"/>
      <c r="H409" s="32" t="s">
        <v>352</v>
      </c>
      <c r="I409" s="31" t="s">
        <v>1825</v>
      </c>
      <c r="J409" s="31">
        <v>99</v>
      </c>
      <c r="K409" s="33" t="s">
        <v>694</v>
      </c>
      <c r="L409" s="33">
        <v>25</v>
      </c>
      <c r="M409" s="34" t="s">
        <v>1826</v>
      </c>
      <c r="N409" s="34" t="s">
        <v>1705</v>
      </c>
      <c r="O409" s="35">
        <v>1</v>
      </c>
      <c r="P409" s="35"/>
      <c r="Q409" s="32" t="s">
        <v>2004</v>
      </c>
      <c r="S409" s="1">
        <f t="shared" si="129"/>
        <v>0</v>
      </c>
      <c r="T409" s="1">
        <f t="shared" si="130"/>
        <v>0</v>
      </c>
      <c r="U409" s="1">
        <f t="shared" si="131"/>
        <v>0</v>
      </c>
      <c r="V409" s="1">
        <f t="shared" si="132"/>
        <v>0</v>
      </c>
      <c r="W409" s="1">
        <f t="shared" si="133"/>
        <v>0</v>
      </c>
      <c r="X409" s="1">
        <f t="shared" si="134"/>
        <v>0</v>
      </c>
      <c r="Y409" s="1">
        <f t="shared" si="135"/>
        <v>0</v>
      </c>
      <c r="Z409" s="1">
        <f t="shared" si="136"/>
        <v>0</v>
      </c>
      <c r="AA409" s="1">
        <f t="shared" si="137"/>
        <v>0</v>
      </c>
      <c r="AB409" s="1">
        <f t="shared" si="138"/>
        <v>0</v>
      </c>
      <c r="AD409" s="1">
        <f t="shared" si="139"/>
        <v>0</v>
      </c>
      <c r="AE409" s="1">
        <f t="shared" si="140"/>
        <v>1</v>
      </c>
      <c r="AF409" s="1">
        <f t="shared" si="141"/>
        <v>0</v>
      </c>
      <c r="AG409" s="1">
        <f t="shared" si="142"/>
        <v>1</v>
      </c>
      <c r="AH409" s="1">
        <f t="shared" si="143"/>
        <v>0</v>
      </c>
      <c r="AI409" s="1">
        <f t="shared" si="144"/>
        <v>1</v>
      </c>
    </row>
    <row r="410" spans="1:35" s="1" customFormat="1" ht="14.25" customHeight="1" x14ac:dyDescent="0.25">
      <c r="A410" s="44">
        <v>0</v>
      </c>
      <c r="B410" s="44">
        <v>2</v>
      </c>
      <c r="C410" s="44">
        <v>6</v>
      </c>
      <c r="D410" s="45" t="s">
        <v>80</v>
      </c>
      <c r="E410" s="45" t="s">
        <v>31</v>
      </c>
      <c r="F410" s="45" t="s">
        <v>269</v>
      </c>
      <c r="G410" s="45" t="s">
        <v>223</v>
      </c>
      <c r="H410" s="45" t="s">
        <v>352</v>
      </c>
      <c r="I410" s="44" t="s">
        <v>670</v>
      </c>
      <c r="J410" s="44">
        <v>99</v>
      </c>
      <c r="K410" s="46" t="s">
        <v>936</v>
      </c>
      <c r="L410" s="46" t="s">
        <v>685</v>
      </c>
      <c r="M410" s="47" t="s">
        <v>1401</v>
      </c>
      <c r="N410" s="47" t="s">
        <v>1769</v>
      </c>
      <c r="O410" s="48"/>
      <c r="P410" s="48"/>
      <c r="Q410" s="45"/>
      <c r="S410" s="1">
        <f t="shared" si="129"/>
        <v>0</v>
      </c>
      <c r="T410" s="1">
        <f t="shared" si="130"/>
        <v>0</v>
      </c>
      <c r="U410" s="1">
        <f t="shared" si="131"/>
        <v>0</v>
      </c>
      <c r="V410" s="1">
        <f t="shared" si="132"/>
        <v>0</v>
      </c>
      <c r="W410" s="1">
        <f t="shared" si="133"/>
        <v>0</v>
      </c>
      <c r="X410" s="1">
        <f t="shared" si="134"/>
        <v>0</v>
      </c>
      <c r="Y410" s="1">
        <f t="shared" si="135"/>
        <v>0</v>
      </c>
      <c r="Z410" s="1">
        <f t="shared" si="136"/>
        <v>0</v>
      </c>
      <c r="AA410" s="1">
        <f t="shared" si="137"/>
        <v>0</v>
      </c>
      <c r="AB410" s="1">
        <f t="shared" si="138"/>
        <v>0</v>
      </c>
      <c r="AD410" s="1">
        <f t="shared" si="139"/>
        <v>0</v>
      </c>
      <c r="AE410" s="1">
        <f t="shared" si="140"/>
        <v>0</v>
      </c>
      <c r="AF410" s="1">
        <f t="shared" si="141"/>
        <v>0</v>
      </c>
      <c r="AG410" s="1">
        <f t="shared" si="142"/>
        <v>0</v>
      </c>
      <c r="AH410" s="1">
        <f t="shared" si="143"/>
        <v>0</v>
      </c>
      <c r="AI410" s="1">
        <f t="shared" si="144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6</v>
      </c>
      <c r="D411" s="32" t="s">
        <v>631</v>
      </c>
      <c r="E411" s="32" t="s">
        <v>31</v>
      </c>
      <c r="F411" s="32" t="s">
        <v>632</v>
      </c>
      <c r="G411" s="32" t="s">
        <v>239</v>
      </c>
      <c r="H411" s="32" t="s">
        <v>352</v>
      </c>
      <c r="I411" s="31" t="s">
        <v>633</v>
      </c>
      <c r="J411" s="31">
        <v>1</v>
      </c>
      <c r="K411" s="33" t="s">
        <v>704</v>
      </c>
      <c r="L411" s="33" t="s">
        <v>685</v>
      </c>
      <c r="M411" s="34" t="s">
        <v>1402</v>
      </c>
      <c r="N411" s="34" t="s">
        <v>1705</v>
      </c>
      <c r="O411" s="35">
        <v>1</v>
      </c>
      <c r="P411" s="35"/>
      <c r="Q411" s="32"/>
      <c r="S411" s="1">
        <f t="shared" si="129"/>
        <v>1</v>
      </c>
      <c r="T411" s="1">
        <f t="shared" si="130"/>
        <v>0</v>
      </c>
      <c r="U411" s="1">
        <f t="shared" si="131"/>
        <v>0</v>
      </c>
      <c r="V411" s="1">
        <f t="shared" si="132"/>
        <v>0</v>
      </c>
      <c r="W411" s="1">
        <f t="shared" si="133"/>
        <v>0</v>
      </c>
      <c r="X411" s="1">
        <f t="shared" si="134"/>
        <v>0</v>
      </c>
      <c r="Y411" s="1">
        <f t="shared" si="135"/>
        <v>0</v>
      </c>
      <c r="Z411" s="1">
        <f t="shared" si="136"/>
        <v>0</v>
      </c>
      <c r="AA411" s="1">
        <f t="shared" si="137"/>
        <v>0</v>
      </c>
      <c r="AB411" s="1">
        <f t="shared" si="138"/>
        <v>0</v>
      </c>
      <c r="AD411" s="1">
        <f t="shared" si="139"/>
        <v>0</v>
      </c>
      <c r="AE411" s="1">
        <f t="shared" si="140"/>
        <v>1</v>
      </c>
      <c r="AF411" s="1">
        <f t="shared" si="141"/>
        <v>0</v>
      </c>
      <c r="AG411" s="1">
        <f t="shared" si="142"/>
        <v>1</v>
      </c>
      <c r="AH411" s="1">
        <f t="shared" si="143"/>
        <v>0</v>
      </c>
      <c r="AI411" s="1">
        <f t="shared" si="144"/>
        <v>1</v>
      </c>
    </row>
    <row r="412" spans="1:35" s="1" customFormat="1" ht="14.25" customHeight="1" x14ac:dyDescent="0.25">
      <c r="A412" s="44">
        <v>0</v>
      </c>
      <c r="B412" s="44">
        <v>2</v>
      </c>
      <c r="C412" s="44">
        <v>6</v>
      </c>
      <c r="D412" s="45" t="s">
        <v>1113</v>
      </c>
      <c r="E412" s="45" t="s">
        <v>31</v>
      </c>
      <c r="F412" s="45" t="s">
        <v>664</v>
      </c>
      <c r="G412" s="45" t="s">
        <v>199</v>
      </c>
      <c r="H412" s="45" t="s">
        <v>352</v>
      </c>
      <c r="I412" s="44" t="s">
        <v>516</v>
      </c>
      <c r="J412" s="44">
        <v>2</v>
      </c>
      <c r="K412" s="46" t="s">
        <v>703</v>
      </c>
      <c r="L412" s="46" t="s">
        <v>685</v>
      </c>
      <c r="M412" s="47" t="s">
        <v>719</v>
      </c>
      <c r="N412" s="47" t="s">
        <v>1701</v>
      </c>
      <c r="O412" s="48"/>
      <c r="P412" s="48"/>
      <c r="Q412" s="45"/>
      <c r="S412" s="1">
        <f t="shared" si="129"/>
        <v>0</v>
      </c>
      <c r="T412" s="1">
        <f t="shared" si="130"/>
        <v>1</v>
      </c>
      <c r="U412" s="1">
        <f t="shared" si="131"/>
        <v>0</v>
      </c>
      <c r="V412" s="1">
        <f t="shared" si="132"/>
        <v>0</v>
      </c>
      <c r="W412" s="1">
        <f t="shared" si="133"/>
        <v>0</v>
      </c>
      <c r="X412" s="1">
        <f t="shared" si="134"/>
        <v>0</v>
      </c>
      <c r="Y412" s="1">
        <f t="shared" si="135"/>
        <v>0</v>
      </c>
      <c r="Z412" s="1">
        <f t="shared" si="136"/>
        <v>0</v>
      </c>
      <c r="AA412" s="1">
        <f t="shared" si="137"/>
        <v>0</v>
      </c>
      <c r="AB412" s="1">
        <f t="shared" si="138"/>
        <v>0</v>
      </c>
      <c r="AD412" s="1">
        <f t="shared" si="139"/>
        <v>0</v>
      </c>
      <c r="AE412" s="1">
        <f t="shared" si="140"/>
        <v>0</v>
      </c>
      <c r="AF412" s="1">
        <f t="shared" si="141"/>
        <v>0</v>
      </c>
      <c r="AG412" s="1">
        <f t="shared" si="142"/>
        <v>0</v>
      </c>
      <c r="AH412" s="1">
        <f t="shared" si="143"/>
        <v>0</v>
      </c>
      <c r="AI412" s="1">
        <f t="shared" si="144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6</v>
      </c>
      <c r="D413" s="32" t="s">
        <v>1064</v>
      </c>
      <c r="E413" s="32" t="s">
        <v>158</v>
      </c>
      <c r="F413" s="32" t="s">
        <v>197</v>
      </c>
      <c r="G413" s="32" t="s">
        <v>198</v>
      </c>
      <c r="H413" s="32" t="s">
        <v>352</v>
      </c>
      <c r="I413" s="31" t="s">
        <v>386</v>
      </c>
      <c r="J413" s="31">
        <v>99</v>
      </c>
      <c r="K413" s="33" t="s">
        <v>703</v>
      </c>
      <c r="L413" s="33" t="s">
        <v>707</v>
      </c>
      <c r="M413" s="34" t="s">
        <v>721</v>
      </c>
      <c r="N413" s="34" t="s">
        <v>1710</v>
      </c>
      <c r="O413" s="35">
        <v>1</v>
      </c>
      <c r="P413" s="35"/>
      <c r="Q413" s="32"/>
      <c r="S413" s="1">
        <f t="shared" si="129"/>
        <v>0</v>
      </c>
      <c r="T413" s="1">
        <f t="shared" si="130"/>
        <v>0</v>
      </c>
      <c r="U413" s="1">
        <f t="shared" si="131"/>
        <v>0</v>
      </c>
      <c r="V413" s="1">
        <f t="shared" si="132"/>
        <v>0</v>
      </c>
      <c r="W413" s="1">
        <f t="shared" si="133"/>
        <v>0</v>
      </c>
      <c r="X413" s="1">
        <f t="shared" si="134"/>
        <v>0</v>
      </c>
      <c r="Y413" s="1">
        <f t="shared" si="135"/>
        <v>0</v>
      </c>
      <c r="Z413" s="1">
        <f t="shared" si="136"/>
        <v>0</v>
      </c>
      <c r="AA413" s="1">
        <f t="shared" si="137"/>
        <v>0</v>
      </c>
      <c r="AB413" s="1">
        <f t="shared" si="138"/>
        <v>0</v>
      </c>
      <c r="AD413" s="1">
        <f t="shared" si="139"/>
        <v>0</v>
      </c>
      <c r="AE413" s="1">
        <f t="shared" si="140"/>
        <v>1</v>
      </c>
      <c r="AF413" s="1">
        <f t="shared" si="141"/>
        <v>0</v>
      </c>
      <c r="AG413" s="1">
        <f t="shared" si="142"/>
        <v>1</v>
      </c>
      <c r="AH413" s="1">
        <f t="shared" si="143"/>
        <v>0</v>
      </c>
      <c r="AI413" s="1">
        <f t="shared" si="144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505</v>
      </c>
      <c r="E414" s="32" t="s">
        <v>155</v>
      </c>
      <c r="F414" s="32" t="s">
        <v>506</v>
      </c>
      <c r="G414" s="32" t="s">
        <v>39</v>
      </c>
      <c r="H414" s="32" t="s">
        <v>352</v>
      </c>
      <c r="I414" s="31" t="s">
        <v>924</v>
      </c>
      <c r="J414" s="31">
        <v>7</v>
      </c>
      <c r="K414" s="33" t="s">
        <v>936</v>
      </c>
      <c r="L414" s="33" t="s">
        <v>39</v>
      </c>
      <c r="M414" s="34" t="s">
        <v>39</v>
      </c>
      <c r="N414" s="34" t="s">
        <v>1693</v>
      </c>
      <c r="O414" s="35">
        <v>1</v>
      </c>
      <c r="P414" s="35">
        <v>1</v>
      </c>
      <c r="Q414" s="32"/>
      <c r="S414" s="1">
        <f t="shared" si="129"/>
        <v>0</v>
      </c>
      <c r="T414" s="1">
        <f t="shared" si="130"/>
        <v>0</v>
      </c>
      <c r="U414" s="1">
        <f t="shared" si="131"/>
        <v>0</v>
      </c>
      <c r="V414" s="1">
        <f t="shared" si="132"/>
        <v>0</v>
      </c>
      <c r="W414" s="1">
        <f t="shared" si="133"/>
        <v>0</v>
      </c>
      <c r="X414" s="1">
        <f t="shared" si="134"/>
        <v>0</v>
      </c>
      <c r="Y414" s="1">
        <f t="shared" si="135"/>
        <v>1</v>
      </c>
      <c r="Z414" s="1">
        <f t="shared" si="136"/>
        <v>0</v>
      </c>
      <c r="AA414" s="1">
        <f t="shared" si="137"/>
        <v>0</v>
      </c>
      <c r="AB414" s="1">
        <f t="shared" si="138"/>
        <v>0</v>
      </c>
      <c r="AD414" s="1">
        <f t="shared" si="139"/>
        <v>1</v>
      </c>
      <c r="AE414" s="1">
        <f t="shared" si="140"/>
        <v>0</v>
      </c>
      <c r="AF414" s="1">
        <f t="shared" si="141"/>
        <v>1</v>
      </c>
      <c r="AG414" s="1">
        <f t="shared" si="142"/>
        <v>0</v>
      </c>
      <c r="AH414" s="1">
        <f t="shared" si="143"/>
        <v>1</v>
      </c>
      <c r="AI414" s="1">
        <f t="shared" si="144"/>
        <v>0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70</v>
      </c>
      <c r="E415" s="32" t="s">
        <v>28</v>
      </c>
      <c r="F415" s="32" t="s">
        <v>665</v>
      </c>
      <c r="G415" s="32" t="s">
        <v>257</v>
      </c>
      <c r="H415" s="32" t="s">
        <v>352</v>
      </c>
      <c r="I415" s="31" t="s">
        <v>415</v>
      </c>
      <c r="J415" s="31">
        <v>8</v>
      </c>
      <c r="K415" s="33" t="s">
        <v>704</v>
      </c>
      <c r="L415" s="33" t="s">
        <v>704</v>
      </c>
      <c r="M415" s="34" t="s">
        <v>722</v>
      </c>
      <c r="N415" s="34" t="s">
        <v>1705</v>
      </c>
      <c r="O415" s="35">
        <v>1</v>
      </c>
      <c r="P415" s="35"/>
      <c r="Q415" s="32"/>
      <c r="S415" s="1">
        <f t="shared" si="129"/>
        <v>0</v>
      </c>
      <c r="T415" s="1">
        <f t="shared" si="130"/>
        <v>0</v>
      </c>
      <c r="U415" s="1">
        <f t="shared" si="131"/>
        <v>0</v>
      </c>
      <c r="V415" s="1">
        <f t="shared" si="132"/>
        <v>0</v>
      </c>
      <c r="W415" s="1">
        <f t="shared" si="133"/>
        <v>0</v>
      </c>
      <c r="X415" s="1">
        <f t="shared" si="134"/>
        <v>0</v>
      </c>
      <c r="Y415" s="1">
        <f t="shared" si="135"/>
        <v>0</v>
      </c>
      <c r="Z415" s="1">
        <f t="shared" si="136"/>
        <v>1</v>
      </c>
      <c r="AA415" s="1">
        <f t="shared" si="137"/>
        <v>0</v>
      </c>
      <c r="AB415" s="1">
        <f t="shared" si="138"/>
        <v>0</v>
      </c>
      <c r="AD415" s="1">
        <f t="shared" si="139"/>
        <v>0</v>
      </c>
      <c r="AE415" s="1">
        <f t="shared" si="140"/>
        <v>1</v>
      </c>
      <c r="AF415" s="1">
        <f t="shared" si="141"/>
        <v>0</v>
      </c>
      <c r="AG415" s="1">
        <f t="shared" si="142"/>
        <v>1</v>
      </c>
      <c r="AH415" s="1">
        <f t="shared" si="143"/>
        <v>0</v>
      </c>
      <c r="AI415" s="1">
        <f t="shared" si="144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646</v>
      </c>
      <c r="E416" s="32" t="s">
        <v>155</v>
      </c>
      <c r="F416" s="32" t="s">
        <v>577</v>
      </c>
      <c r="G416" s="32" t="s">
        <v>248</v>
      </c>
      <c r="H416" s="32" t="s">
        <v>352</v>
      </c>
      <c r="I416" s="31" t="s">
        <v>671</v>
      </c>
      <c r="J416" s="31">
        <v>7</v>
      </c>
      <c r="K416" s="33" t="s">
        <v>936</v>
      </c>
      <c r="L416" s="33" t="s">
        <v>39</v>
      </c>
      <c r="M416" s="34" t="s">
        <v>39</v>
      </c>
      <c r="N416" s="34" t="s">
        <v>1693</v>
      </c>
      <c r="O416" s="35">
        <v>1</v>
      </c>
      <c r="P416" s="35">
        <v>1</v>
      </c>
      <c r="Q416" s="32"/>
      <c r="S416" s="1">
        <f t="shared" si="129"/>
        <v>0</v>
      </c>
      <c r="T416" s="1">
        <f t="shared" si="130"/>
        <v>0</v>
      </c>
      <c r="U416" s="1">
        <f t="shared" si="131"/>
        <v>0</v>
      </c>
      <c r="V416" s="1">
        <f t="shared" si="132"/>
        <v>0</v>
      </c>
      <c r="W416" s="1">
        <f t="shared" si="133"/>
        <v>0</v>
      </c>
      <c r="X416" s="1">
        <f t="shared" si="134"/>
        <v>0</v>
      </c>
      <c r="Y416" s="1">
        <f t="shared" si="135"/>
        <v>1</v>
      </c>
      <c r="Z416" s="1">
        <f t="shared" si="136"/>
        <v>0</v>
      </c>
      <c r="AA416" s="1">
        <f t="shared" si="137"/>
        <v>0</v>
      </c>
      <c r="AB416" s="1">
        <f t="shared" si="138"/>
        <v>0</v>
      </c>
      <c r="AD416" s="1">
        <f t="shared" si="139"/>
        <v>1</v>
      </c>
      <c r="AE416" s="1">
        <f t="shared" si="140"/>
        <v>0</v>
      </c>
      <c r="AF416" s="1">
        <f t="shared" si="141"/>
        <v>1</v>
      </c>
      <c r="AG416" s="1">
        <f t="shared" si="142"/>
        <v>0</v>
      </c>
      <c r="AH416" s="1">
        <f t="shared" si="143"/>
        <v>1</v>
      </c>
      <c r="AI416" s="1">
        <f t="shared" si="144"/>
        <v>0</v>
      </c>
    </row>
    <row r="417" spans="1:35" s="1" customFormat="1" ht="14.25" customHeight="1" x14ac:dyDescent="0.25">
      <c r="A417" s="44">
        <v>0</v>
      </c>
      <c r="B417" s="44">
        <v>2</v>
      </c>
      <c r="C417" s="44">
        <v>7</v>
      </c>
      <c r="D417" s="45" t="s">
        <v>1601</v>
      </c>
      <c r="E417" s="45" t="s">
        <v>155</v>
      </c>
      <c r="F417" s="45" t="s">
        <v>1624</v>
      </c>
      <c r="G417" s="45" t="s">
        <v>212</v>
      </c>
      <c r="H417" s="45" t="s">
        <v>352</v>
      </c>
      <c r="I417" s="44" t="s">
        <v>586</v>
      </c>
      <c r="J417" s="44">
        <v>1</v>
      </c>
      <c r="K417" s="46" t="s">
        <v>703</v>
      </c>
      <c r="L417" s="46" t="s">
        <v>713</v>
      </c>
      <c r="M417" s="47" t="s">
        <v>1403</v>
      </c>
      <c r="N417" s="47" t="s">
        <v>1701</v>
      </c>
      <c r="O417" s="48"/>
      <c r="P417" s="48"/>
      <c r="Q417" s="45"/>
      <c r="S417" s="1">
        <f t="shared" si="129"/>
        <v>1</v>
      </c>
      <c r="T417" s="1">
        <f t="shared" si="130"/>
        <v>0</v>
      </c>
      <c r="U417" s="1">
        <f t="shared" si="131"/>
        <v>0</v>
      </c>
      <c r="V417" s="1">
        <f t="shared" si="132"/>
        <v>0</v>
      </c>
      <c r="W417" s="1">
        <f t="shared" si="133"/>
        <v>0</v>
      </c>
      <c r="X417" s="1">
        <f t="shared" si="134"/>
        <v>0</v>
      </c>
      <c r="Y417" s="1">
        <f t="shared" si="135"/>
        <v>0</v>
      </c>
      <c r="Z417" s="1">
        <f t="shared" si="136"/>
        <v>0</v>
      </c>
      <c r="AA417" s="1">
        <f t="shared" si="137"/>
        <v>0</v>
      </c>
      <c r="AB417" s="1">
        <f t="shared" si="138"/>
        <v>0</v>
      </c>
      <c r="AD417" s="1">
        <f t="shared" si="139"/>
        <v>0</v>
      </c>
      <c r="AE417" s="1">
        <f t="shared" si="140"/>
        <v>0</v>
      </c>
      <c r="AF417" s="1">
        <f t="shared" si="141"/>
        <v>0</v>
      </c>
      <c r="AG417" s="1">
        <f t="shared" si="142"/>
        <v>0</v>
      </c>
      <c r="AH417" s="1">
        <f t="shared" si="143"/>
        <v>0</v>
      </c>
      <c r="AI417" s="1">
        <f t="shared" si="144"/>
        <v>1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1051</v>
      </c>
      <c r="E418" s="32" t="s">
        <v>1027</v>
      </c>
      <c r="F418" s="32" t="s">
        <v>1052</v>
      </c>
      <c r="G418" s="32" t="s">
        <v>212</v>
      </c>
      <c r="H418" s="32" t="s">
        <v>352</v>
      </c>
      <c r="I418" s="31" t="s">
        <v>1053</v>
      </c>
      <c r="J418" s="31">
        <v>1</v>
      </c>
      <c r="K418" s="33" t="s">
        <v>936</v>
      </c>
      <c r="L418" s="33" t="s">
        <v>713</v>
      </c>
      <c r="M418" s="34" t="s">
        <v>1404</v>
      </c>
      <c r="N418" s="34" t="s">
        <v>1705</v>
      </c>
      <c r="O418" s="35">
        <v>1</v>
      </c>
      <c r="P418" s="35"/>
      <c r="Q418" s="32" t="s">
        <v>1877</v>
      </c>
      <c r="S418" s="1">
        <f t="shared" si="129"/>
        <v>1</v>
      </c>
      <c r="T418" s="1">
        <f t="shared" si="130"/>
        <v>0</v>
      </c>
      <c r="U418" s="1">
        <f t="shared" si="131"/>
        <v>0</v>
      </c>
      <c r="V418" s="1">
        <f t="shared" si="132"/>
        <v>0</v>
      </c>
      <c r="W418" s="1">
        <f t="shared" si="133"/>
        <v>0</v>
      </c>
      <c r="X418" s="1">
        <f t="shared" si="134"/>
        <v>0</v>
      </c>
      <c r="Y418" s="1">
        <f t="shared" si="135"/>
        <v>0</v>
      </c>
      <c r="Z418" s="1">
        <f t="shared" si="136"/>
        <v>0</v>
      </c>
      <c r="AA418" s="1">
        <f t="shared" si="137"/>
        <v>0</v>
      </c>
      <c r="AB418" s="1">
        <f t="shared" si="138"/>
        <v>0</v>
      </c>
      <c r="AD418" s="1">
        <f t="shared" si="139"/>
        <v>0</v>
      </c>
      <c r="AE418" s="1">
        <f t="shared" si="140"/>
        <v>1</v>
      </c>
      <c r="AF418" s="1">
        <f t="shared" si="141"/>
        <v>0</v>
      </c>
      <c r="AG418" s="1">
        <f t="shared" si="142"/>
        <v>1</v>
      </c>
      <c r="AH418" s="1">
        <f t="shared" si="143"/>
        <v>0</v>
      </c>
      <c r="AI418" s="1">
        <f t="shared" si="144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998</v>
      </c>
      <c r="E419" s="32" t="s">
        <v>155</v>
      </c>
      <c r="F419" s="32" t="s">
        <v>1069</v>
      </c>
      <c r="G419" s="32" t="s">
        <v>1079</v>
      </c>
      <c r="H419" s="32" t="s">
        <v>352</v>
      </c>
      <c r="I419" s="31" t="s">
        <v>999</v>
      </c>
      <c r="J419" s="31">
        <v>99</v>
      </c>
      <c r="K419" s="33" t="s">
        <v>704</v>
      </c>
      <c r="L419" s="33" t="s">
        <v>713</v>
      </c>
      <c r="M419" s="34" t="s">
        <v>1404</v>
      </c>
      <c r="N419" s="34" t="s">
        <v>1709</v>
      </c>
      <c r="O419" s="35">
        <v>1</v>
      </c>
      <c r="P419" s="35"/>
      <c r="Q419" s="32"/>
      <c r="S419" s="1">
        <f t="shared" si="129"/>
        <v>0</v>
      </c>
      <c r="T419" s="1">
        <f t="shared" si="130"/>
        <v>0</v>
      </c>
      <c r="U419" s="1">
        <f t="shared" si="131"/>
        <v>0</v>
      </c>
      <c r="V419" s="1">
        <f t="shared" si="132"/>
        <v>0</v>
      </c>
      <c r="W419" s="1">
        <f t="shared" si="133"/>
        <v>0</v>
      </c>
      <c r="X419" s="1">
        <f t="shared" si="134"/>
        <v>0</v>
      </c>
      <c r="Y419" s="1">
        <f t="shared" si="135"/>
        <v>0</v>
      </c>
      <c r="Z419" s="1">
        <f t="shared" si="136"/>
        <v>0</v>
      </c>
      <c r="AA419" s="1">
        <f t="shared" si="137"/>
        <v>0</v>
      </c>
      <c r="AB419" s="1">
        <f t="shared" si="138"/>
        <v>0</v>
      </c>
      <c r="AD419" s="1">
        <f t="shared" si="139"/>
        <v>0</v>
      </c>
      <c r="AE419" s="1">
        <f t="shared" si="140"/>
        <v>1</v>
      </c>
      <c r="AF419" s="1">
        <f t="shared" si="141"/>
        <v>0</v>
      </c>
      <c r="AG419" s="1">
        <f t="shared" si="142"/>
        <v>1</v>
      </c>
      <c r="AH419" s="1">
        <f t="shared" si="143"/>
        <v>0</v>
      </c>
      <c r="AI419" s="1">
        <f t="shared" si="144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1180</v>
      </c>
      <c r="E420" s="32" t="s">
        <v>1306</v>
      </c>
      <c r="F420" s="32" t="s">
        <v>1181</v>
      </c>
      <c r="G420" s="32" t="s">
        <v>39</v>
      </c>
      <c r="H420" s="32" t="s">
        <v>352</v>
      </c>
      <c r="I420" s="31" t="s">
        <v>1651</v>
      </c>
      <c r="J420" s="31">
        <v>99</v>
      </c>
      <c r="K420" s="33" t="s">
        <v>936</v>
      </c>
      <c r="L420" s="33" t="s">
        <v>720</v>
      </c>
      <c r="M420" s="34" t="s">
        <v>1405</v>
      </c>
      <c r="N420" s="34" t="s">
        <v>1709</v>
      </c>
      <c r="O420" s="35">
        <v>1</v>
      </c>
      <c r="P420" s="35"/>
      <c r="Q420" s="32"/>
      <c r="S420" s="1">
        <f t="shared" si="129"/>
        <v>0</v>
      </c>
      <c r="T420" s="1">
        <f t="shared" si="130"/>
        <v>0</v>
      </c>
      <c r="U420" s="1">
        <f t="shared" si="131"/>
        <v>0</v>
      </c>
      <c r="V420" s="1">
        <f t="shared" si="132"/>
        <v>0</v>
      </c>
      <c r="W420" s="1">
        <f t="shared" si="133"/>
        <v>0</v>
      </c>
      <c r="X420" s="1">
        <f t="shared" si="134"/>
        <v>0</v>
      </c>
      <c r="Y420" s="1">
        <f t="shared" si="135"/>
        <v>0</v>
      </c>
      <c r="Z420" s="1">
        <f t="shared" si="136"/>
        <v>0</v>
      </c>
      <c r="AA420" s="1">
        <f t="shared" si="137"/>
        <v>0</v>
      </c>
      <c r="AB420" s="1">
        <f t="shared" si="138"/>
        <v>0</v>
      </c>
      <c r="AD420" s="1">
        <f t="shared" si="139"/>
        <v>0</v>
      </c>
      <c r="AE420" s="1">
        <f t="shared" si="140"/>
        <v>1</v>
      </c>
      <c r="AF420" s="1">
        <f t="shared" si="141"/>
        <v>0</v>
      </c>
      <c r="AG420" s="1">
        <f t="shared" si="142"/>
        <v>1</v>
      </c>
      <c r="AH420" s="1">
        <f t="shared" si="143"/>
        <v>0</v>
      </c>
      <c r="AI420" s="1">
        <f t="shared" si="144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636</v>
      </c>
      <c r="G421" s="32" t="s">
        <v>531</v>
      </c>
      <c r="H421" s="32" t="s">
        <v>352</v>
      </c>
      <c r="I421" s="31" t="s">
        <v>392</v>
      </c>
      <c r="J421" s="31">
        <v>6</v>
      </c>
      <c r="K421" s="33" t="s">
        <v>703</v>
      </c>
      <c r="L421" s="33" t="s">
        <v>704</v>
      </c>
      <c r="M421" s="34" t="s">
        <v>722</v>
      </c>
      <c r="N421" s="34" t="s">
        <v>1722</v>
      </c>
      <c r="O421" s="35">
        <v>1</v>
      </c>
      <c r="P421" s="35"/>
      <c r="Q421" s="32"/>
      <c r="S421" s="1">
        <f t="shared" si="129"/>
        <v>0</v>
      </c>
      <c r="T421" s="1">
        <f t="shared" si="130"/>
        <v>0</v>
      </c>
      <c r="U421" s="1">
        <f t="shared" si="131"/>
        <v>0</v>
      </c>
      <c r="V421" s="1">
        <f t="shared" si="132"/>
        <v>0</v>
      </c>
      <c r="W421" s="1">
        <f t="shared" si="133"/>
        <v>0</v>
      </c>
      <c r="X421" s="1">
        <f t="shared" si="134"/>
        <v>1</v>
      </c>
      <c r="Y421" s="1">
        <f t="shared" si="135"/>
        <v>0</v>
      </c>
      <c r="Z421" s="1">
        <f t="shared" si="136"/>
        <v>0</v>
      </c>
      <c r="AA421" s="1">
        <f t="shared" si="137"/>
        <v>0</v>
      </c>
      <c r="AB421" s="1">
        <f t="shared" si="138"/>
        <v>0</v>
      </c>
      <c r="AD421" s="1">
        <f t="shared" si="139"/>
        <v>0</v>
      </c>
      <c r="AE421" s="1">
        <f t="shared" si="140"/>
        <v>1</v>
      </c>
      <c r="AF421" s="1">
        <f t="shared" si="141"/>
        <v>0</v>
      </c>
      <c r="AG421" s="1">
        <f t="shared" si="142"/>
        <v>1</v>
      </c>
      <c r="AH421" s="1">
        <f t="shared" si="143"/>
        <v>0</v>
      </c>
      <c r="AI421" s="1">
        <f t="shared" si="144"/>
        <v>1</v>
      </c>
    </row>
    <row r="422" spans="1:35" s="1" customFormat="1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215</v>
      </c>
      <c r="G422" s="32" t="s">
        <v>39</v>
      </c>
      <c r="H422" s="32" t="s">
        <v>352</v>
      </c>
      <c r="I422" s="31" t="s">
        <v>30</v>
      </c>
      <c r="J422" s="31">
        <v>99</v>
      </c>
      <c r="K422" s="33" t="s">
        <v>703</v>
      </c>
      <c r="L422" s="33" t="s">
        <v>704</v>
      </c>
      <c r="M422" s="34" t="s">
        <v>722</v>
      </c>
      <c r="N422" s="34" t="s">
        <v>1722</v>
      </c>
      <c r="O422" s="35">
        <v>1</v>
      </c>
      <c r="P422" s="35"/>
      <c r="Q422" s="32"/>
      <c r="S422" s="1">
        <f t="shared" si="129"/>
        <v>0</v>
      </c>
      <c r="T422" s="1">
        <f t="shared" si="130"/>
        <v>0</v>
      </c>
      <c r="U422" s="1">
        <f t="shared" si="131"/>
        <v>0</v>
      </c>
      <c r="V422" s="1">
        <f t="shared" si="132"/>
        <v>0</v>
      </c>
      <c r="W422" s="1">
        <f t="shared" si="133"/>
        <v>0</v>
      </c>
      <c r="X422" s="1">
        <f t="shared" si="134"/>
        <v>0</v>
      </c>
      <c r="Y422" s="1">
        <f t="shared" si="135"/>
        <v>0</v>
      </c>
      <c r="Z422" s="1">
        <f t="shared" si="136"/>
        <v>0</v>
      </c>
      <c r="AA422" s="1">
        <f t="shared" si="137"/>
        <v>0</v>
      </c>
      <c r="AB422" s="1">
        <f t="shared" si="138"/>
        <v>0</v>
      </c>
      <c r="AD422" s="1">
        <f t="shared" si="139"/>
        <v>0</v>
      </c>
      <c r="AE422" s="1">
        <f t="shared" si="140"/>
        <v>1</v>
      </c>
      <c r="AF422" s="1">
        <f t="shared" si="141"/>
        <v>0</v>
      </c>
      <c r="AG422" s="1">
        <f t="shared" si="142"/>
        <v>0</v>
      </c>
      <c r="AH422" s="1">
        <f t="shared" si="143"/>
        <v>0</v>
      </c>
      <c r="AI422" s="1">
        <f t="shared" si="144"/>
        <v>0</v>
      </c>
    </row>
    <row r="423" spans="1:35" s="1" customFormat="1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214</v>
      </c>
      <c r="G423" s="32" t="s">
        <v>39</v>
      </c>
      <c r="H423" s="32" t="s">
        <v>352</v>
      </c>
      <c r="I423" s="31" t="s">
        <v>392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1722</v>
      </c>
      <c r="O423" s="35">
        <v>1</v>
      </c>
      <c r="P423" s="35"/>
      <c r="Q423" s="32"/>
      <c r="S423" s="1">
        <f t="shared" si="129"/>
        <v>0</v>
      </c>
      <c r="T423" s="1">
        <f t="shared" si="130"/>
        <v>0</v>
      </c>
      <c r="U423" s="1">
        <f t="shared" si="131"/>
        <v>0</v>
      </c>
      <c r="V423" s="1">
        <f t="shared" si="132"/>
        <v>0</v>
      </c>
      <c r="W423" s="1">
        <f t="shared" si="133"/>
        <v>0</v>
      </c>
      <c r="X423" s="1">
        <f t="shared" si="134"/>
        <v>0</v>
      </c>
      <c r="Y423" s="1">
        <f t="shared" si="135"/>
        <v>0</v>
      </c>
      <c r="Z423" s="1">
        <f t="shared" si="136"/>
        <v>0</v>
      </c>
      <c r="AA423" s="1">
        <f t="shared" si="137"/>
        <v>0</v>
      </c>
      <c r="AB423" s="1">
        <f t="shared" si="138"/>
        <v>0</v>
      </c>
      <c r="AD423" s="1">
        <f t="shared" si="139"/>
        <v>0</v>
      </c>
      <c r="AE423" s="1">
        <f t="shared" si="140"/>
        <v>1</v>
      </c>
      <c r="AF423" s="1">
        <f t="shared" si="141"/>
        <v>0</v>
      </c>
      <c r="AG423" s="1">
        <f t="shared" si="142"/>
        <v>0</v>
      </c>
      <c r="AH423" s="1">
        <f t="shared" si="143"/>
        <v>0</v>
      </c>
      <c r="AI423" s="1">
        <f t="shared" si="144"/>
        <v>0</v>
      </c>
    </row>
    <row r="424" spans="1:35" s="1" customFormat="1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216</v>
      </c>
      <c r="G424" s="32" t="s">
        <v>217</v>
      </c>
      <c r="H424" s="32" t="s">
        <v>352</v>
      </c>
      <c r="I424" s="31" t="s">
        <v>393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1722</v>
      </c>
      <c r="O424" s="35">
        <v>1</v>
      </c>
      <c r="P424" s="35"/>
      <c r="Q424" s="32"/>
      <c r="S424" s="1">
        <f t="shared" si="129"/>
        <v>0</v>
      </c>
      <c r="T424" s="1">
        <f t="shared" si="130"/>
        <v>0</v>
      </c>
      <c r="U424" s="1">
        <f t="shared" si="131"/>
        <v>0</v>
      </c>
      <c r="V424" s="1">
        <f t="shared" si="132"/>
        <v>0</v>
      </c>
      <c r="W424" s="1">
        <f t="shared" si="133"/>
        <v>0</v>
      </c>
      <c r="X424" s="1">
        <f t="shared" si="134"/>
        <v>0</v>
      </c>
      <c r="Y424" s="1">
        <f t="shared" si="135"/>
        <v>0</v>
      </c>
      <c r="Z424" s="1">
        <f t="shared" si="136"/>
        <v>0</v>
      </c>
      <c r="AA424" s="1">
        <f t="shared" si="137"/>
        <v>0</v>
      </c>
      <c r="AB424" s="1">
        <f t="shared" si="138"/>
        <v>0</v>
      </c>
      <c r="AD424" s="1">
        <f t="shared" si="139"/>
        <v>0</v>
      </c>
      <c r="AE424" s="1">
        <f t="shared" si="140"/>
        <v>1</v>
      </c>
      <c r="AF424" s="1">
        <f t="shared" si="141"/>
        <v>0</v>
      </c>
      <c r="AG424" s="1">
        <f t="shared" si="142"/>
        <v>0</v>
      </c>
      <c r="AH424" s="1">
        <f t="shared" si="143"/>
        <v>0</v>
      </c>
      <c r="AI424" s="1">
        <f t="shared" si="144"/>
        <v>0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6" t="s">
        <v>2006</v>
      </c>
      <c r="E425" s="36" t="s">
        <v>155</v>
      </c>
      <c r="F425" s="36" t="s">
        <v>2007</v>
      </c>
      <c r="G425" s="36" t="s">
        <v>219</v>
      </c>
      <c r="H425" s="36" t="s">
        <v>352</v>
      </c>
      <c r="I425" s="37" t="s">
        <v>2008</v>
      </c>
      <c r="J425" s="31">
        <v>99</v>
      </c>
      <c r="K425" s="33" t="s">
        <v>694</v>
      </c>
      <c r="L425" s="33">
        <v>10</v>
      </c>
      <c r="M425" s="34" t="s">
        <v>2009</v>
      </c>
      <c r="N425" s="34" t="s">
        <v>1709</v>
      </c>
      <c r="O425" s="35">
        <v>1</v>
      </c>
      <c r="P425" s="35"/>
      <c r="Q425" s="32"/>
      <c r="S425" s="1">
        <f t="shared" si="129"/>
        <v>0</v>
      </c>
      <c r="T425" s="1">
        <f t="shared" si="130"/>
        <v>0</v>
      </c>
      <c r="U425" s="1">
        <f t="shared" si="131"/>
        <v>0</v>
      </c>
      <c r="V425" s="1">
        <f t="shared" si="132"/>
        <v>0</v>
      </c>
      <c r="W425" s="1">
        <f t="shared" si="133"/>
        <v>0</v>
      </c>
      <c r="X425" s="1">
        <f t="shared" si="134"/>
        <v>0</v>
      </c>
      <c r="Y425" s="1">
        <f t="shared" si="135"/>
        <v>0</v>
      </c>
      <c r="Z425" s="1">
        <f t="shared" si="136"/>
        <v>0</v>
      </c>
      <c r="AA425" s="1">
        <f t="shared" si="137"/>
        <v>0</v>
      </c>
      <c r="AB425" s="1">
        <f t="shared" si="138"/>
        <v>0</v>
      </c>
      <c r="AD425" s="1">
        <f t="shared" si="139"/>
        <v>0</v>
      </c>
      <c r="AE425" s="1">
        <f t="shared" si="140"/>
        <v>1</v>
      </c>
      <c r="AF425" s="1">
        <f t="shared" si="141"/>
        <v>0</v>
      </c>
      <c r="AG425" s="1">
        <f t="shared" si="142"/>
        <v>1</v>
      </c>
      <c r="AH425" s="1">
        <f t="shared" si="143"/>
        <v>0</v>
      </c>
      <c r="AI425" s="1">
        <f t="shared" si="144"/>
        <v>1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6" t="s">
        <v>68</v>
      </c>
      <c r="E426" s="36" t="s">
        <v>28</v>
      </c>
      <c r="F426" s="36" t="s">
        <v>252</v>
      </c>
      <c r="G426" s="36" t="s">
        <v>253</v>
      </c>
      <c r="H426" s="36" t="s">
        <v>352</v>
      </c>
      <c r="I426" s="37" t="s">
        <v>412</v>
      </c>
      <c r="J426" s="31">
        <v>99</v>
      </c>
      <c r="K426" s="33" t="s">
        <v>704</v>
      </c>
      <c r="L426" s="33" t="s">
        <v>704</v>
      </c>
      <c r="M426" s="34" t="s">
        <v>722</v>
      </c>
      <c r="N426" s="34" t="s">
        <v>1785</v>
      </c>
      <c r="O426" s="35">
        <v>1</v>
      </c>
      <c r="P426" s="35"/>
      <c r="Q426" s="32"/>
      <c r="S426" s="1">
        <f t="shared" si="129"/>
        <v>0</v>
      </c>
      <c r="T426" s="1">
        <f t="shared" si="130"/>
        <v>0</v>
      </c>
      <c r="U426" s="1">
        <f t="shared" si="131"/>
        <v>0</v>
      </c>
      <c r="V426" s="1">
        <f t="shared" si="132"/>
        <v>0</v>
      </c>
      <c r="W426" s="1">
        <f t="shared" si="133"/>
        <v>0</v>
      </c>
      <c r="X426" s="1">
        <f t="shared" si="134"/>
        <v>0</v>
      </c>
      <c r="Y426" s="1">
        <f t="shared" si="135"/>
        <v>0</v>
      </c>
      <c r="Z426" s="1">
        <f t="shared" si="136"/>
        <v>0</v>
      </c>
      <c r="AA426" s="1">
        <f t="shared" si="137"/>
        <v>0</v>
      </c>
      <c r="AB426" s="1">
        <f t="shared" si="138"/>
        <v>0</v>
      </c>
      <c r="AD426" s="1">
        <f t="shared" si="139"/>
        <v>0</v>
      </c>
      <c r="AE426" s="1">
        <f t="shared" si="140"/>
        <v>1</v>
      </c>
      <c r="AF426" s="1">
        <f t="shared" si="141"/>
        <v>0</v>
      </c>
      <c r="AG426" s="1">
        <f t="shared" si="142"/>
        <v>1</v>
      </c>
      <c r="AH426" s="1">
        <f t="shared" si="143"/>
        <v>0</v>
      </c>
      <c r="AI426" s="1">
        <f t="shared" si="144"/>
        <v>1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2" t="s">
        <v>1970</v>
      </c>
      <c r="E427" s="32" t="s">
        <v>28</v>
      </c>
      <c r="F427" s="32" t="s">
        <v>1972</v>
      </c>
      <c r="G427" s="32" t="s">
        <v>1085</v>
      </c>
      <c r="H427" s="32" t="s">
        <v>352</v>
      </c>
      <c r="I427" s="31" t="s">
        <v>1973</v>
      </c>
      <c r="J427" s="31">
        <v>1</v>
      </c>
      <c r="K427" s="33" t="s">
        <v>694</v>
      </c>
      <c r="L427" s="33"/>
      <c r="M427" s="34"/>
      <c r="N427" s="34" t="s">
        <v>1693</v>
      </c>
      <c r="O427" s="35">
        <v>1</v>
      </c>
      <c r="P427" s="35">
        <v>1</v>
      </c>
      <c r="Q427" s="32" t="s">
        <v>1975</v>
      </c>
      <c r="S427" s="1">
        <f t="shared" si="129"/>
        <v>1</v>
      </c>
      <c r="T427" s="1">
        <f t="shared" si="130"/>
        <v>0</v>
      </c>
      <c r="U427" s="1">
        <f t="shared" si="131"/>
        <v>0</v>
      </c>
      <c r="V427" s="1">
        <f t="shared" si="132"/>
        <v>0</v>
      </c>
      <c r="W427" s="1">
        <f t="shared" si="133"/>
        <v>0</v>
      </c>
      <c r="X427" s="1">
        <f t="shared" si="134"/>
        <v>0</v>
      </c>
      <c r="Y427" s="1">
        <f t="shared" si="135"/>
        <v>0</v>
      </c>
      <c r="Z427" s="1">
        <f t="shared" si="136"/>
        <v>0</v>
      </c>
      <c r="AA427" s="1">
        <f t="shared" si="137"/>
        <v>0</v>
      </c>
      <c r="AB427" s="1">
        <f t="shared" si="138"/>
        <v>0</v>
      </c>
      <c r="AD427" s="1">
        <f t="shared" si="139"/>
        <v>1</v>
      </c>
      <c r="AE427" s="1">
        <f t="shared" si="140"/>
        <v>0</v>
      </c>
      <c r="AF427" s="1">
        <f t="shared" si="141"/>
        <v>1</v>
      </c>
      <c r="AG427" s="1">
        <f t="shared" si="142"/>
        <v>0</v>
      </c>
      <c r="AH427" s="1">
        <f t="shared" si="143"/>
        <v>1</v>
      </c>
      <c r="AI427" s="1">
        <f t="shared" si="144"/>
        <v>0</v>
      </c>
    </row>
    <row r="428" spans="1:35" s="1" customFormat="1" ht="14.25" customHeight="1" x14ac:dyDescent="0.25">
      <c r="A428" s="31">
        <v>1</v>
      </c>
      <c r="B428" s="31">
        <v>2</v>
      </c>
      <c r="C428" s="31">
        <v>7</v>
      </c>
      <c r="D428" s="32" t="s">
        <v>1970</v>
      </c>
      <c r="E428" s="32" t="s">
        <v>28</v>
      </c>
      <c r="F428" s="32" t="s">
        <v>1971</v>
      </c>
      <c r="G428" s="36" t="s">
        <v>1977</v>
      </c>
      <c r="H428" s="32" t="s">
        <v>352</v>
      </c>
      <c r="I428" s="31" t="s">
        <v>1974</v>
      </c>
      <c r="J428" s="31">
        <v>8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1976</v>
      </c>
      <c r="S428" s="1">
        <f t="shared" si="129"/>
        <v>0</v>
      </c>
      <c r="T428" s="1">
        <f t="shared" si="130"/>
        <v>0</v>
      </c>
      <c r="U428" s="1">
        <f t="shared" si="131"/>
        <v>0</v>
      </c>
      <c r="V428" s="1">
        <f t="shared" si="132"/>
        <v>0</v>
      </c>
      <c r="W428" s="1">
        <f t="shared" si="133"/>
        <v>0</v>
      </c>
      <c r="X428" s="1">
        <f t="shared" si="134"/>
        <v>0</v>
      </c>
      <c r="Y428" s="1">
        <f t="shared" si="135"/>
        <v>0</v>
      </c>
      <c r="Z428" s="1">
        <f t="shared" si="136"/>
        <v>1</v>
      </c>
      <c r="AA428" s="1">
        <f t="shared" si="137"/>
        <v>0</v>
      </c>
      <c r="AB428" s="1">
        <f t="shared" si="138"/>
        <v>0</v>
      </c>
      <c r="AD428" s="1">
        <f t="shared" si="139"/>
        <v>1</v>
      </c>
      <c r="AE428" s="1">
        <f t="shared" si="140"/>
        <v>0</v>
      </c>
      <c r="AF428" s="1">
        <f t="shared" si="141"/>
        <v>0</v>
      </c>
      <c r="AG428" s="1">
        <f t="shared" si="142"/>
        <v>0</v>
      </c>
      <c r="AH428" s="1">
        <f t="shared" si="143"/>
        <v>0</v>
      </c>
      <c r="AI428" s="1">
        <f t="shared" si="144"/>
        <v>0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254</v>
      </c>
      <c r="G429" s="36" t="s">
        <v>206</v>
      </c>
      <c r="H429" s="32" t="s">
        <v>352</v>
      </c>
      <c r="I429" s="31" t="s">
        <v>413</v>
      </c>
      <c r="J429" s="31">
        <v>99</v>
      </c>
      <c r="K429" s="33" t="s">
        <v>936</v>
      </c>
      <c r="L429" s="33" t="s">
        <v>704</v>
      </c>
      <c r="M429" s="34" t="s">
        <v>722</v>
      </c>
      <c r="N429" s="34" t="s">
        <v>1699</v>
      </c>
      <c r="O429" s="35">
        <v>1</v>
      </c>
      <c r="P429" s="35">
        <v>1</v>
      </c>
      <c r="Q429" s="32"/>
      <c r="S429" s="1">
        <f t="shared" si="129"/>
        <v>0</v>
      </c>
      <c r="T429" s="1">
        <f t="shared" si="130"/>
        <v>0</v>
      </c>
      <c r="U429" s="1">
        <f t="shared" si="131"/>
        <v>0</v>
      </c>
      <c r="V429" s="1">
        <f t="shared" si="132"/>
        <v>0</v>
      </c>
      <c r="W429" s="1">
        <f t="shared" si="133"/>
        <v>0</v>
      </c>
      <c r="X429" s="1">
        <f t="shared" si="134"/>
        <v>0</v>
      </c>
      <c r="Y429" s="1">
        <f t="shared" si="135"/>
        <v>0</v>
      </c>
      <c r="Z429" s="1">
        <f t="shared" si="136"/>
        <v>0</v>
      </c>
      <c r="AA429" s="1">
        <f t="shared" si="137"/>
        <v>0</v>
      </c>
      <c r="AB429" s="1">
        <f t="shared" si="138"/>
        <v>0</v>
      </c>
      <c r="AD429" s="1">
        <f t="shared" si="139"/>
        <v>1</v>
      </c>
      <c r="AE429" s="1">
        <f t="shared" si="140"/>
        <v>0</v>
      </c>
      <c r="AF429" s="1">
        <f t="shared" si="141"/>
        <v>1</v>
      </c>
      <c r="AG429" s="1">
        <f t="shared" si="142"/>
        <v>0</v>
      </c>
      <c r="AH429" s="1">
        <f t="shared" si="143"/>
        <v>1</v>
      </c>
      <c r="AI429" s="1">
        <f t="shared" si="144"/>
        <v>0</v>
      </c>
    </row>
    <row r="430" spans="1:35" s="1" customFormat="1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1834</v>
      </c>
      <c r="G430" s="36" t="s">
        <v>255</v>
      </c>
      <c r="H430" s="32" t="s">
        <v>352</v>
      </c>
      <c r="I430" s="31" t="s">
        <v>414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29"/>
        <v>0</v>
      </c>
      <c r="T430" s="1">
        <f t="shared" si="130"/>
        <v>0</v>
      </c>
      <c r="U430" s="1">
        <f t="shared" si="131"/>
        <v>0</v>
      </c>
      <c r="V430" s="1">
        <f t="shared" si="132"/>
        <v>0</v>
      </c>
      <c r="W430" s="1">
        <f t="shared" si="133"/>
        <v>0</v>
      </c>
      <c r="X430" s="1">
        <f t="shared" si="134"/>
        <v>0</v>
      </c>
      <c r="Y430" s="1">
        <f t="shared" si="135"/>
        <v>0</v>
      </c>
      <c r="Z430" s="1">
        <f t="shared" si="136"/>
        <v>0</v>
      </c>
      <c r="AA430" s="1">
        <f t="shared" si="137"/>
        <v>0</v>
      </c>
      <c r="AB430" s="1">
        <f t="shared" si="138"/>
        <v>0</v>
      </c>
      <c r="AD430" s="1">
        <f t="shared" si="139"/>
        <v>1</v>
      </c>
      <c r="AE430" s="1">
        <f t="shared" si="140"/>
        <v>0</v>
      </c>
      <c r="AF430" s="1">
        <f t="shared" si="141"/>
        <v>0</v>
      </c>
      <c r="AG430" s="1">
        <f t="shared" si="142"/>
        <v>0</v>
      </c>
      <c r="AH430" s="1">
        <f t="shared" si="143"/>
        <v>0</v>
      </c>
      <c r="AI430" s="1">
        <f t="shared" si="144"/>
        <v>0</v>
      </c>
    </row>
    <row r="431" spans="1:35" s="1" customFormat="1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563</v>
      </c>
      <c r="G431" s="36" t="s">
        <v>564</v>
      </c>
      <c r="H431" s="32" t="s">
        <v>352</v>
      </c>
      <c r="I431" s="31" t="s">
        <v>572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29"/>
        <v>0</v>
      </c>
      <c r="T431" s="1">
        <f t="shared" si="130"/>
        <v>0</v>
      </c>
      <c r="U431" s="1">
        <f t="shared" si="131"/>
        <v>0</v>
      </c>
      <c r="V431" s="1">
        <f t="shared" si="132"/>
        <v>0</v>
      </c>
      <c r="W431" s="1">
        <f t="shared" si="133"/>
        <v>0</v>
      </c>
      <c r="X431" s="1">
        <f t="shared" si="134"/>
        <v>0</v>
      </c>
      <c r="Y431" s="1">
        <f t="shared" si="135"/>
        <v>0</v>
      </c>
      <c r="Z431" s="1">
        <f t="shared" si="136"/>
        <v>0</v>
      </c>
      <c r="AA431" s="1">
        <f t="shared" si="137"/>
        <v>0</v>
      </c>
      <c r="AB431" s="1">
        <f t="shared" si="138"/>
        <v>0</v>
      </c>
      <c r="AD431" s="1">
        <f t="shared" si="139"/>
        <v>1</v>
      </c>
      <c r="AE431" s="1">
        <f t="shared" si="140"/>
        <v>0</v>
      </c>
      <c r="AF431" s="1">
        <f t="shared" si="141"/>
        <v>0</v>
      </c>
      <c r="AG431" s="1">
        <f t="shared" si="142"/>
        <v>0</v>
      </c>
      <c r="AH431" s="1">
        <f t="shared" si="143"/>
        <v>0</v>
      </c>
      <c r="AI431" s="1">
        <f t="shared" si="144"/>
        <v>0</v>
      </c>
    </row>
    <row r="432" spans="1:35" s="1" customFormat="1" ht="14.25" customHeight="1" x14ac:dyDescent="0.25">
      <c r="A432" s="44">
        <v>0</v>
      </c>
      <c r="B432" s="44">
        <v>2</v>
      </c>
      <c r="C432" s="44">
        <v>7</v>
      </c>
      <c r="D432" s="45" t="s">
        <v>71</v>
      </c>
      <c r="E432" s="45" t="s">
        <v>28</v>
      </c>
      <c r="F432" s="45" t="s">
        <v>1322</v>
      </c>
      <c r="G432" s="45" t="s">
        <v>258</v>
      </c>
      <c r="H432" s="45" t="s">
        <v>352</v>
      </c>
      <c r="I432" s="44" t="s">
        <v>416</v>
      </c>
      <c r="J432" s="44">
        <v>99</v>
      </c>
      <c r="K432" s="46" t="s">
        <v>704</v>
      </c>
      <c r="L432" s="46" t="s">
        <v>704</v>
      </c>
      <c r="M432" s="47" t="s">
        <v>722</v>
      </c>
      <c r="N432" s="47" t="s">
        <v>1762</v>
      </c>
      <c r="O432" s="48"/>
      <c r="P432" s="48"/>
      <c r="Q432" s="45"/>
      <c r="S432" s="1">
        <f t="shared" si="129"/>
        <v>0</v>
      </c>
      <c r="T432" s="1">
        <f t="shared" si="130"/>
        <v>0</v>
      </c>
      <c r="U432" s="1">
        <f t="shared" si="131"/>
        <v>0</v>
      </c>
      <c r="V432" s="1">
        <f t="shared" si="132"/>
        <v>0</v>
      </c>
      <c r="W432" s="1">
        <f t="shared" si="133"/>
        <v>0</v>
      </c>
      <c r="X432" s="1">
        <f t="shared" si="134"/>
        <v>0</v>
      </c>
      <c r="Y432" s="1">
        <f t="shared" si="135"/>
        <v>0</v>
      </c>
      <c r="Z432" s="1">
        <f t="shared" si="136"/>
        <v>0</v>
      </c>
      <c r="AA432" s="1">
        <f t="shared" si="137"/>
        <v>0</v>
      </c>
      <c r="AB432" s="1">
        <f t="shared" si="138"/>
        <v>0</v>
      </c>
      <c r="AD432" s="1">
        <f t="shared" si="139"/>
        <v>0</v>
      </c>
      <c r="AE432" s="1">
        <f t="shared" si="140"/>
        <v>0</v>
      </c>
      <c r="AF432" s="1">
        <f t="shared" si="141"/>
        <v>0</v>
      </c>
      <c r="AG432" s="1">
        <f t="shared" si="142"/>
        <v>0</v>
      </c>
      <c r="AH432" s="1">
        <f t="shared" si="143"/>
        <v>0</v>
      </c>
      <c r="AI432" s="1">
        <f t="shared" si="144"/>
        <v>1</v>
      </c>
    </row>
    <row r="433" spans="1:35" s="1" customFormat="1" ht="14.25" customHeight="1" x14ac:dyDescent="0.25">
      <c r="A433" s="44">
        <v>0</v>
      </c>
      <c r="B433" s="44">
        <v>2</v>
      </c>
      <c r="C433" s="44">
        <v>7</v>
      </c>
      <c r="D433" s="45" t="s">
        <v>1043</v>
      </c>
      <c r="E433" s="45" t="s">
        <v>28</v>
      </c>
      <c r="F433" s="45" t="s">
        <v>1044</v>
      </c>
      <c r="G433" s="45" t="s">
        <v>1045</v>
      </c>
      <c r="H433" s="45" t="s">
        <v>352</v>
      </c>
      <c r="I433" s="44" t="s">
        <v>1046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1762</v>
      </c>
      <c r="O433" s="48"/>
      <c r="P433" s="48"/>
      <c r="Q433" s="45"/>
      <c r="S433" s="1">
        <f t="shared" si="129"/>
        <v>0</v>
      </c>
      <c r="T433" s="1">
        <f t="shared" si="130"/>
        <v>0</v>
      </c>
      <c r="U433" s="1">
        <f t="shared" si="131"/>
        <v>0</v>
      </c>
      <c r="V433" s="1">
        <f t="shared" si="132"/>
        <v>0</v>
      </c>
      <c r="W433" s="1">
        <f t="shared" si="133"/>
        <v>0</v>
      </c>
      <c r="X433" s="1">
        <f t="shared" si="134"/>
        <v>0</v>
      </c>
      <c r="Y433" s="1">
        <f t="shared" si="135"/>
        <v>0</v>
      </c>
      <c r="Z433" s="1">
        <f t="shared" si="136"/>
        <v>0</v>
      </c>
      <c r="AA433" s="1">
        <f t="shared" si="137"/>
        <v>0</v>
      </c>
      <c r="AB433" s="1">
        <f t="shared" si="138"/>
        <v>0</v>
      </c>
      <c r="AD433" s="1">
        <f t="shared" si="139"/>
        <v>0</v>
      </c>
      <c r="AE433" s="1">
        <f t="shared" si="140"/>
        <v>0</v>
      </c>
      <c r="AF433" s="1">
        <f t="shared" si="141"/>
        <v>0</v>
      </c>
      <c r="AG433" s="1">
        <f t="shared" si="142"/>
        <v>0</v>
      </c>
      <c r="AH433" s="1">
        <f t="shared" si="143"/>
        <v>0</v>
      </c>
      <c r="AI433" s="1">
        <f t="shared" si="144"/>
        <v>1</v>
      </c>
    </row>
    <row r="434" spans="1:35" s="1" customFormat="1" ht="14.25" customHeight="1" x14ac:dyDescent="0.25">
      <c r="A434" s="31">
        <v>0</v>
      </c>
      <c r="B434" s="31">
        <v>2</v>
      </c>
      <c r="C434" s="31">
        <v>7</v>
      </c>
      <c r="D434" s="32" t="s">
        <v>1766</v>
      </c>
      <c r="E434" s="32" t="s">
        <v>155</v>
      </c>
      <c r="F434" s="32" t="s">
        <v>1767</v>
      </c>
      <c r="G434" s="32"/>
      <c r="H434" s="32" t="s">
        <v>352</v>
      </c>
      <c r="I434" s="31" t="s">
        <v>1768</v>
      </c>
      <c r="J434" s="31">
        <v>99</v>
      </c>
      <c r="K434" s="33" t="s">
        <v>694</v>
      </c>
      <c r="L434" s="33"/>
      <c r="M434" s="34"/>
      <c r="N434" s="34" t="s">
        <v>1693</v>
      </c>
      <c r="O434" s="35">
        <v>1</v>
      </c>
      <c r="P434" s="35">
        <v>1</v>
      </c>
      <c r="Q434" s="32"/>
      <c r="S434" s="1">
        <f t="shared" si="129"/>
        <v>0</v>
      </c>
      <c r="T434" s="1">
        <f t="shared" si="130"/>
        <v>0</v>
      </c>
      <c r="U434" s="1">
        <f t="shared" si="131"/>
        <v>0</v>
      </c>
      <c r="V434" s="1">
        <f t="shared" si="132"/>
        <v>0</v>
      </c>
      <c r="W434" s="1">
        <f t="shared" si="133"/>
        <v>0</v>
      </c>
      <c r="X434" s="1">
        <f t="shared" si="134"/>
        <v>0</v>
      </c>
      <c r="Y434" s="1">
        <f t="shared" si="135"/>
        <v>0</v>
      </c>
      <c r="Z434" s="1">
        <f t="shared" si="136"/>
        <v>0</v>
      </c>
      <c r="AA434" s="1">
        <f t="shared" si="137"/>
        <v>0</v>
      </c>
      <c r="AB434" s="1">
        <f t="shared" si="138"/>
        <v>0</v>
      </c>
      <c r="AD434" s="1">
        <f t="shared" si="139"/>
        <v>1</v>
      </c>
      <c r="AE434" s="1">
        <f t="shared" si="140"/>
        <v>0</v>
      </c>
      <c r="AF434" s="1">
        <f t="shared" si="141"/>
        <v>1</v>
      </c>
      <c r="AG434" s="1">
        <f t="shared" si="142"/>
        <v>0</v>
      </c>
      <c r="AH434" s="1">
        <f t="shared" si="143"/>
        <v>1</v>
      </c>
      <c r="AI434" s="1">
        <f t="shared" si="144"/>
        <v>0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2" t="s">
        <v>1156</v>
      </c>
      <c r="E435" s="32" t="s">
        <v>155</v>
      </c>
      <c r="F435" s="32" t="s">
        <v>1157</v>
      </c>
      <c r="G435" s="32" t="s">
        <v>291</v>
      </c>
      <c r="H435" s="32" t="s">
        <v>352</v>
      </c>
      <c r="I435" s="31" t="s">
        <v>1158</v>
      </c>
      <c r="J435" s="31">
        <v>99</v>
      </c>
      <c r="K435" s="33" t="s">
        <v>704</v>
      </c>
      <c r="L435" s="33" t="s">
        <v>713</v>
      </c>
      <c r="M435" s="34" t="s">
        <v>1404</v>
      </c>
      <c r="N435" s="34" t="s">
        <v>1709</v>
      </c>
      <c r="O435" s="35">
        <v>1</v>
      </c>
      <c r="P435" s="35"/>
      <c r="Q435" s="32"/>
      <c r="S435" s="1">
        <f t="shared" si="129"/>
        <v>0</v>
      </c>
      <c r="T435" s="1">
        <f t="shared" si="130"/>
        <v>0</v>
      </c>
      <c r="U435" s="1">
        <f t="shared" si="131"/>
        <v>0</v>
      </c>
      <c r="V435" s="1">
        <f t="shared" si="132"/>
        <v>0</v>
      </c>
      <c r="W435" s="1">
        <f t="shared" si="133"/>
        <v>0</v>
      </c>
      <c r="X435" s="1">
        <f t="shared" si="134"/>
        <v>0</v>
      </c>
      <c r="Y435" s="1">
        <f t="shared" si="135"/>
        <v>0</v>
      </c>
      <c r="Z435" s="1">
        <f t="shared" si="136"/>
        <v>0</v>
      </c>
      <c r="AA435" s="1">
        <f t="shared" si="137"/>
        <v>0</v>
      </c>
      <c r="AB435" s="1">
        <f t="shared" si="138"/>
        <v>0</v>
      </c>
      <c r="AD435" s="1">
        <f t="shared" si="139"/>
        <v>0</v>
      </c>
      <c r="AE435" s="1">
        <f t="shared" si="140"/>
        <v>1</v>
      </c>
      <c r="AF435" s="1">
        <f t="shared" si="141"/>
        <v>0</v>
      </c>
      <c r="AG435" s="1">
        <f t="shared" si="142"/>
        <v>1</v>
      </c>
      <c r="AH435" s="1">
        <f t="shared" si="143"/>
        <v>0</v>
      </c>
      <c r="AI435" s="1">
        <f t="shared" si="144"/>
        <v>1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6" t="s">
        <v>2135</v>
      </c>
      <c r="E436" s="32" t="s">
        <v>155</v>
      </c>
      <c r="F436" s="32" t="s">
        <v>1960</v>
      </c>
      <c r="G436" s="32" t="s">
        <v>281</v>
      </c>
      <c r="H436" s="32" t="s">
        <v>352</v>
      </c>
      <c r="I436" s="31" t="s">
        <v>1961</v>
      </c>
      <c r="J436" s="31">
        <v>99</v>
      </c>
      <c r="K436" s="33" t="s">
        <v>694</v>
      </c>
      <c r="L436" s="33" t="s">
        <v>713</v>
      </c>
      <c r="M436" s="34" t="s">
        <v>723</v>
      </c>
      <c r="N436" s="34" t="s">
        <v>1693</v>
      </c>
      <c r="O436" s="35">
        <v>1</v>
      </c>
      <c r="P436" s="35">
        <v>1</v>
      </c>
      <c r="Q436" s="32"/>
      <c r="S436" s="1">
        <f t="shared" si="129"/>
        <v>0</v>
      </c>
      <c r="T436" s="1">
        <f t="shared" si="130"/>
        <v>0</v>
      </c>
      <c r="U436" s="1">
        <f t="shared" si="131"/>
        <v>0</v>
      </c>
      <c r="V436" s="1">
        <f t="shared" si="132"/>
        <v>0</v>
      </c>
      <c r="W436" s="1">
        <f t="shared" si="133"/>
        <v>0</v>
      </c>
      <c r="X436" s="1">
        <f t="shared" si="134"/>
        <v>0</v>
      </c>
      <c r="Y436" s="1">
        <f t="shared" si="135"/>
        <v>0</v>
      </c>
      <c r="Z436" s="1">
        <f t="shared" si="136"/>
        <v>0</v>
      </c>
      <c r="AA436" s="1">
        <f t="shared" si="137"/>
        <v>0</v>
      </c>
      <c r="AB436" s="1">
        <f t="shared" si="138"/>
        <v>0</v>
      </c>
      <c r="AD436" s="1">
        <f t="shared" si="139"/>
        <v>1</v>
      </c>
      <c r="AE436" s="1">
        <f t="shared" si="140"/>
        <v>0</v>
      </c>
      <c r="AF436" s="1">
        <f t="shared" si="141"/>
        <v>1</v>
      </c>
      <c r="AG436" s="1">
        <f t="shared" si="142"/>
        <v>0</v>
      </c>
      <c r="AH436" s="1">
        <f t="shared" si="143"/>
        <v>1</v>
      </c>
      <c r="AI436" s="1">
        <f t="shared" si="144"/>
        <v>0</v>
      </c>
    </row>
    <row r="437" spans="1:35" s="1" customFormat="1" ht="14.25" customHeight="1" x14ac:dyDescent="0.25">
      <c r="A437" s="31">
        <v>1</v>
      </c>
      <c r="B437" s="31">
        <v>2</v>
      </c>
      <c r="C437" s="31">
        <v>7</v>
      </c>
      <c r="D437" s="36" t="s">
        <v>2135</v>
      </c>
      <c r="E437" s="32" t="s">
        <v>155</v>
      </c>
      <c r="F437" s="32" t="s">
        <v>1962</v>
      </c>
      <c r="G437" s="32" t="s">
        <v>1963</v>
      </c>
      <c r="H437" s="32" t="s">
        <v>352</v>
      </c>
      <c r="I437" s="31" t="s">
        <v>1964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29"/>
        <v>0</v>
      </c>
      <c r="T437" s="1">
        <f t="shared" si="130"/>
        <v>0</v>
      </c>
      <c r="U437" s="1">
        <f t="shared" si="131"/>
        <v>0</v>
      </c>
      <c r="V437" s="1">
        <f t="shared" si="132"/>
        <v>0</v>
      </c>
      <c r="W437" s="1">
        <f t="shared" si="133"/>
        <v>0</v>
      </c>
      <c r="X437" s="1">
        <f t="shared" si="134"/>
        <v>0</v>
      </c>
      <c r="Y437" s="1">
        <f t="shared" si="135"/>
        <v>0</v>
      </c>
      <c r="Z437" s="1">
        <f t="shared" si="136"/>
        <v>0</v>
      </c>
      <c r="AA437" s="1">
        <f t="shared" si="137"/>
        <v>0</v>
      </c>
      <c r="AB437" s="1">
        <f t="shared" si="138"/>
        <v>0</v>
      </c>
      <c r="AD437" s="1">
        <f t="shared" si="139"/>
        <v>1</v>
      </c>
      <c r="AE437" s="1">
        <f t="shared" si="140"/>
        <v>0</v>
      </c>
      <c r="AF437" s="1">
        <f t="shared" si="141"/>
        <v>0</v>
      </c>
      <c r="AG437" s="1">
        <f t="shared" si="142"/>
        <v>0</v>
      </c>
      <c r="AH437" s="1">
        <f t="shared" si="143"/>
        <v>0</v>
      </c>
      <c r="AI437" s="1">
        <f t="shared" si="144"/>
        <v>0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2" t="s">
        <v>1131</v>
      </c>
      <c r="E438" s="32" t="s">
        <v>1132</v>
      </c>
      <c r="F438" s="36" t="s">
        <v>1837</v>
      </c>
      <c r="G438" s="32" t="s">
        <v>620</v>
      </c>
      <c r="H438" s="32" t="s">
        <v>352</v>
      </c>
      <c r="I438" s="31" t="s">
        <v>1133</v>
      </c>
      <c r="J438" s="31">
        <v>99</v>
      </c>
      <c r="K438" s="33" t="s">
        <v>704</v>
      </c>
      <c r="L438" s="33" t="s">
        <v>704</v>
      </c>
      <c r="M438" s="34" t="s">
        <v>722</v>
      </c>
      <c r="N438" s="34" t="s">
        <v>1705</v>
      </c>
      <c r="O438" s="35">
        <v>1</v>
      </c>
      <c r="P438" s="35"/>
      <c r="Q438" s="36" t="s">
        <v>1857</v>
      </c>
      <c r="S438" s="1">
        <f t="shared" si="129"/>
        <v>0</v>
      </c>
      <c r="T438" s="1">
        <f t="shared" si="130"/>
        <v>0</v>
      </c>
      <c r="U438" s="1">
        <f t="shared" si="131"/>
        <v>0</v>
      </c>
      <c r="V438" s="1">
        <f t="shared" si="132"/>
        <v>0</v>
      </c>
      <c r="W438" s="1">
        <f t="shared" si="133"/>
        <v>0</v>
      </c>
      <c r="X438" s="1">
        <f t="shared" si="134"/>
        <v>0</v>
      </c>
      <c r="Y438" s="1">
        <f t="shared" si="135"/>
        <v>0</v>
      </c>
      <c r="Z438" s="1">
        <f t="shared" si="136"/>
        <v>0</v>
      </c>
      <c r="AA438" s="1">
        <f t="shared" si="137"/>
        <v>0</v>
      </c>
      <c r="AB438" s="1">
        <f t="shared" si="138"/>
        <v>0</v>
      </c>
      <c r="AD438" s="1">
        <f t="shared" si="139"/>
        <v>0</v>
      </c>
      <c r="AE438" s="1">
        <f t="shared" si="140"/>
        <v>1</v>
      </c>
      <c r="AF438" s="1">
        <f t="shared" si="141"/>
        <v>0</v>
      </c>
      <c r="AG438" s="1">
        <f t="shared" si="142"/>
        <v>1</v>
      </c>
      <c r="AH438" s="1">
        <f t="shared" si="143"/>
        <v>0</v>
      </c>
      <c r="AI438" s="1">
        <f t="shared" si="144"/>
        <v>1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2" t="s">
        <v>538</v>
      </c>
      <c r="E439" s="32" t="s">
        <v>157</v>
      </c>
      <c r="F439" s="32" t="s">
        <v>194</v>
      </c>
      <c r="G439" s="32" t="s">
        <v>195</v>
      </c>
      <c r="H439" s="32" t="s">
        <v>352</v>
      </c>
      <c r="I439" s="31" t="s">
        <v>546</v>
      </c>
      <c r="J439" s="31">
        <v>99</v>
      </c>
      <c r="K439" s="33" t="s">
        <v>936</v>
      </c>
      <c r="L439" s="33" t="s">
        <v>687</v>
      </c>
      <c r="M439" s="34" t="s">
        <v>1406</v>
      </c>
      <c r="N439" s="34" t="s">
        <v>1709</v>
      </c>
      <c r="O439" s="35">
        <v>1</v>
      </c>
      <c r="P439" s="35"/>
      <c r="Q439" s="32"/>
      <c r="S439" s="1">
        <f t="shared" si="129"/>
        <v>0</v>
      </c>
      <c r="T439" s="1">
        <f t="shared" si="130"/>
        <v>0</v>
      </c>
      <c r="U439" s="1">
        <f t="shared" si="131"/>
        <v>0</v>
      </c>
      <c r="V439" s="1">
        <f t="shared" si="132"/>
        <v>0</v>
      </c>
      <c r="W439" s="1">
        <f t="shared" si="133"/>
        <v>0</v>
      </c>
      <c r="X439" s="1">
        <f t="shared" si="134"/>
        <v>0</v>
      </c>
      <c r="Y439" s="1">
        <f t="shared" si="135"/>
        <v>0</v>
      </c>
      <c r="Z439" s="1">
        <f t="shared" si="136"/>
        <v>0</v>
      </c>
      <c r="AA439" s="1">
        <f t="shared" si="137"/>
        <v>0</v>
      </c>
      <c r="AB439" s="1">
        <f t="shared" si="138"/>
        <v>0</v>
      </c>
      <c r="AD439" s="1">
        <f t="shared" si="139"/>
        <v>0</v>
      </c>
      <c r="AE439" s="1">
        <f t="shared" si="140"/>
        <v>1</v>
      </c>
      <c r="AF439" s="1">
        <f t="shared" si="141"/>
        <v>0</v>
      </c>
      <c r="AG439" s="1">
        <f t="shared" si="142"/>
        <v>1</v>
      </c>
      <c r="AH439" s="1">
        <f t="shared" si="143"/>
        <v>0</v>
      </c>
      <c r="AI439" s="1">
        <f t="shared" si="144"/>
        <v>1</v>
      </c>
    </row>
    <row r="440" spans="1:35" s="1" customFormat="1" ht="14.25" customHeight="1" x14ac:dyDescent="0.25">
      <c r="A440" s="44">
        <v>0</v>
      </c>
      <c r="B440" s="44">
        <v>2</v>
      </c>
      <c r="C440" s="44">
        <v>7</v>
      </c>
      <c r="D440" s="45" t="s">
        <v>46</v>
      </c>
      <c r="E440" s="45" t="s">
        <v>155</v>
      </c>
      <c r="F440" s="45" t="s">
        <v>182</v>
      </c>
      <c r="G440" s="45" t="s">
        <v>178</v>
      </c>
      <c r="H440" s="45" t="s">
        <v>352</v>
      </c>
      <c r="I440" s="44" t="s">
        <v>380</v>
      </c>
      <c r="J440" s="44">
        <v>10</v>
      </c>
      <c r="K440" s="46" t="s">
        <v>936</v>
      </c>
      <c r="L440" s="46" t="s">
        <v>713</v>
      </c>
      <c r="M440" s="47" t="s">
        <v>1404</v>
      </c>
      <c r="N440" s="47" t="s">
        <v>1769</v>
      </c>
      <c r="O440" s="48"/>
      <c r="P440" s="48"/>
      <c r="Q440" s="45"/>
      <c r="S440" s="1">
        <f t="shared" si="129"/>
        <v>0</v>
      </c>
      <c r="T440" s="1">
        <f t="shared" si="130"/>
        <v>0</v>
      </c>
      <c r="U440" s="1">
        <f t="shared" si="131"/>
        <v>0</v>
      </c>
      <c r="V440" s="1">
        <f t="shared" si="132"/>
        <v>0</v>
      </c>
      <c r="W440" s="1">
        <f t="shared" si="133"/>
        <v>0</v>
      </c>
      <c r="X440" s="1">
        <f t="shared" si="134"/>
        <v>0</v>
      </c>
      <c r="Y440" s="1">
        <f t="shared" si="135"/>
        <v>0</v>
      </c>
      <c r="Z440" s="1">
        <f t="shared" si="136"/>
        <v>0</v>
      </c>
      <c r="AA440" s="1">
        <f t="shared" si="137"/>
        <v>0</v>
      </c>
      <c r="AB440" s="1">
        <f t="shared" si="138"/>
        <v>1</v>
      </c>
      <c r="AD440" s="1">
        <f t="shared" si="139"/>
        <v>0</v>
      </c>
      <c r="AE440" s="1">
        <f t="shared" si="140"/>
        <v>0</v>
      </c>
      <c r="AF440" s="1">
        <f t="shared" si="141"/>
        <v>0</v>
      </c>
      <c r="AG440" s="1">
        <f t="shared" si="142"/>
        <v>0</v>
      </c>
      <c r="AH440" s="1">
        <f t="shared" si="143"/>
        <v>0</v>
      </c>
      <c r="AI440" s="1">
        <f t="shared" si="144"/>
        <v>1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247</v>
      </c>
      <c r="G441" s="32" t="s">
        <v>248</v>
      </c>
      <c r="H441" s="32" t="s">
        <v>352</v>
      </c>
      <c r="I441" s="31" t="s">
        <v>409</v>
      </c>
      <c r="J441" s="31">
        <v>7</v>
      </c>
      <c r="K441" s="33" t="s">
        <v>704</v>
      </c>
      <c r="L441" s="33" t="s">
        <v>704</v>
      </c>
      <c r="M441" s="34" t="s">
        <v>722</v>
      </c>
      <c r="N441" s="34" t="s">
        <v>1710</v>
      </c>
      <c r="O441" s="35">
        <v>1</v>
      </c>
      <c r="P441" s="35"/>
      <c r="Q441" s="32"/>
      <c r="S441" s="1">
        <f t="shared" si="129"/>
        <v>0</v>
      </c>
      <c r="T441" s="1">
        <f t="shared" si="130"/>
        <v>0</v>
      </c>
      <c r="U441" s="1">
        <f t="shared" si="131"/>
        <v>0</v>
      </c>
      <c r="V441" s="1">
        <f t="shared" si="132"/>
        <v>0</v>
      </c>
      <c r="W441" s="1">
        <f t="shared" si="133"/>
        <v>0</v>
      </c>
      <c r="X441" s="1">
        <f t="shared" si="134"/>
        <v>0</v>
      </c>
      <c r="Y441" s="1">
        <f t="shared" si="135"/>
        <v>1</v>
      </c>
      <c r="Z441" s="1">
        <f t="shared" si="136"/>
        <v>0</v>
      </c>
      <c r="AA441" s="1">
        <f t="shared" si="137"/>
        <v>0</v>
      </c>
      <c r="AB441" s="1">
        <f t="shared" si="138"/>
        <v>0</v>
      </c>
      <c r="AD441" s="1">
        <f t="shared" si="139"/>
        <v>0</v>
      </c>
      <c r="AE441" s="1">
        <f t="shared" si="140"/>
        <v>1</v>
      </c>
      <c r="AF441" s="1">
        <f t="shared" si="141"/>
        <v>0</v>
      </c>
      <c r="AG441" s="1">
        <f t="shared" si="142"/>
        <v>1</v>
      </c>
      <c r="AH441" s="1">
        <f t="shared" si="143"/>
        <v>0</v>
      </c>
      <c r="AI441" s="1">
        <f t="shared" si="144"/>
        <v>1</v>
      </c>
    </row>
    <row r="442" spans="1:35" s="1" customFormat="1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1020</v>
      </c>
      <c r="G442" s="32" t="s">
        <v>535</v>
      </c>
      <c r="H442" s="32" t="s">
        <v>352</v>
      </c>
      <c r="I442" s="31" t="s">
        <v>30</v>
      </c>
      <c r="J442" s="31">
        <v>1</v>
      </c>
      <c r="K442" s="33" t="s">
        <v>704</v>
      </c>
      <c r="L442" s="33" t="s">
        <v>704</v>
      </c>
      <c r="M442" s="34" t="s">
        <v>722</v>
      </c>
      <c r="N442" s="34" t="s">
        <v>1710</v>
      </c>
      <c r="O442" s="35">
        <v>1</v>
      </c>
      <c r="P442" s="35"/>
      <c r="Q442" s="32"/>
      <c r="S442" s="1">
        <f t="shared" si="129"/>
        <v>1</v>
      </c>
      <c r="T442" s="1">
        <f t="shared" si="130"/>
        <v>0</v>
      </c>
      <c r="U442" s="1">
        <f t="shared" si="131"/>
        <v>0</v>
      </c>
      <c r="V442" s="1">
        <f t="shared" si="132"/>
        <v>0</v>
      </c>
      <c r="W442" s="1">
        <f t="shared" si="133"/>
        <v>0</v>
      </c>
      <c r="X442" s="1">
        <f t="shared" si="134"/>
        <v>0</v>
      </c>
      <c r="Y442" s="1">
        <f t="shared" si="135"/>
        <v>0</v>
      </c>
      <c r="Z442" s="1">
        <f t="shared" si="136"/>
        <v>0</v>
      </c>
      <c r="AA442" s="1">
        <f t="shared" si="137"/>
        <v>0</v>
      </c>
      <c r="AB442" s="1">
        <f t="shared" si="138"/>
        <v>0</v>
      </c>
      <c r="AD442" s="1">
        <f t="shared" si="139"/>
        <v>0</v>
      </c>
      <c r="AE442" s="1">
        <f t="shared" si="140"/>
        <v>1</v>
      </c>
      <c r="AF442" s="1">
        <f t="shared" si="141"/>
        <v>0</v>
      </c>
      <c r="AG442" s="1">
        <f t="shared" si="142"/>
        <v>0</v>
      </c>
      <c r="AH442" s="1">
        <f t="shared" si="143"/>
        <v>0</v>
      </c>
      <c r="AI442" s="1">
        <f t="shared" si="144"/>
        <v>0</v>
      </c>
    </row>
    <row r="443" spans="1:35" s="1" customFormat="1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249</v>
      </c>
      <c r="G443" s="32" t="s">
        <v>199</v>
      </c>
      <c r="H443" s="32" t="s">
        <v>352</v>
      </c>
      <c r="I443" s="31" t="s">
        <v>410</v>
      </c>
      <c r="J443" s="31">
        <v>2</v>
      </c>
      <c r="K443" s="33" t="s">
        <v>704</v>
      </c>
      <c r="L443" s="33" t="s">
        <v>704</v>
      </c>
      <c r="M443" s="34" t="s">
        <v>722</v>
      </c>
      <c r="N443" s="34" t="s">
        <v>1710</v>
      </c>
      <c r="O443" s="35">
        <v>1</v>
      </c>
      <c r="P443" s="35"/>
      <c r="Q443" s="32"/>
      <c r="S443" s="1">
        <f t="shared" si="129"/>
        <v>0</v>
      </c>
      <c r="T443" s="1">
        <f t="shared" si="130"/>
        <v>1</v>
      </c>
      <c r="U443" s="1">
        <f t="shared" si="131"/>
        <v>0</v>
      </c>
      <c r="V443" s="1">
        <f t="shared" si="132"/>
        <v>0</v>
      </c>
      <c r="W443" s="1">
        <f t="shared" si="133"/>
        <v>0</v>
      </c>
      <c r="X443" s="1">
        <f t="shared" si="134"/>
        <v>0</v>
      </c>
      <c r="Y443" s="1">
        <f t="shared" si="135"/>
        <v>0</v>
      </c>
      <c r="Z443" s="1">
        <f t="shared" si="136"/>
        <v>0</v>
      </c>
      <c r="AA443" s="1">
        <f t="shared" si="137"/>
        <v>0</v>
      </c>
      <c r="AB443" s="1">
        <f t="shared" si="138"/>
        <v>0</v>
      </c>
      <c r="AD443" s="1">
        <f t="shared" si="139"/>
        <v>0</v>
      </c>
      <c r="AE443" s="1">
        <f t="shared" si="140"/>
        <v>1</v>
      </c>
      <c r="AF443" s="1">
        <f t="shared" si="141"/>
        <v>0</v>
      </c>
      <c r="AG443" s="1">
        <f t="shared" si="142"/>
        <v>0</v>
      </c>
      <c r="AH443" s="1">
        <f t="shared" si="143"/>
        <v>0</v>
      </c>
      <c r="AI443" s="1">
        <f t="shared" si="144"/>
        <v>0</v>
      </c>
    </row>
    <row r="444" spans="1:35" s="1" customFormat="1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246</v>
      </c>
      <c r="G444" s="32" t="s">
        <v>1324</v>
      </c>
      <c r="H444" s="32" t="s">
        <v>352</v>
      </c>
      <c r="I444" s="31" t="s">
        <v>30</v>
      </c>
      <c r="J444" s="31">
        <v>1</v>
      </c>
      <c r="K444" s="33" t="s">
        <v>704</v>
      </c>
      <c r="L444" s="33" t="s">
        <v>704</v>
      </c>
      <c r="M444" s="34" t="s">
        <v>722</v>
      </c>
      <c r="N444" s="34" t="s">
        <v>1710</v>
      </c>
      <c r="O444" s="35">
        <v>1</v>
      </c>
      <c r="P444" s="35"/>
      <c r="Q444" s="32" t="s">
        <v>1876</v>
      </c>
      <c r="S444" s="1">
        <f t="shared" si="129"/>
        <v>1</v>
      </c>
      <c r="T444" s="1">
        <f t="shared" si="130"/>
        <v>0</v>
      </c>
      <c r="U444" s="1">
        <f t="shared" si="131"/>
        <v>0</v>
      </c>
      <c r="V444" s="1">
        <f t="shared" si="132"/>
        <v>0</v>
      </c>
      <c r="W444" s="1">
        <f t="shared" si="133"/>
        <v>0</v>
      </c>
      <c r="X444" s="1">
        <f t="shared" si="134"/>
        <v>0</v>
      </c>
      <c r="Y444" s="1">
        <f t="shared" si="135"/>
        <v>0</v>
      </c>
      <c r="Z444" s="1">
        <f t="shared" si="136"/>
        <v>0</v>
      </c>
      <c r="AA444" s="1">
        <f t="shared" si="137"/>
        <v>0</v>
      </c>
      <c r="AB444" s="1">
        <f t="shared" si="138"/>
        <v>0</v>
      </c>
      <c r="AD444" s="1">
        <f t="shared" si="139"/>
        <v>0</v>
      </c>
      <c r="AE444" s="1">
        <f t="shared" si="140"/>
        <v>1</v>
      </c>
      <c r="AF444" s="1">
        <f t="shared" si="141"/>
        <v>0</v>
      </c>
      <c r="AG444" s="1">
        <f t="shared" si="142"/>
        <v>0</v>
      </c>
      <c r="AH444" s="1">
        <f t="shared" si="143"/>
        <v>0</v>
      </c>
      <c r="AI444" s="1">
        <f t="shared" si="144"/>
        <v>0</v>
      </c>
    </row>
    <row r="445" spans="1:35" s="1" customFormat="1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251</v>
      </c>
      <c r="G445" s="32" t="s">
        <v>193</v>
      </c>
      <c r="H445" s="32" t="s">
        <v>352</v>
      </c>
      <c r="I445" s="31" t="s">
        <v>411</v>
      </c>
      <c r="J445" s="31">
        <v>9</v>
      </c>
      <c r="K445" s="33" t="s">
        <v>704</v>
      </c>
      <c r="L445" s="33" t="s">
        <v>704</v>
      </c>
      <c r="M445" s="34" t="s">
        <v>722</v>
      </c>
      <c r="N445" s="34" t="s">
        <v>1710</v>
      </c>
      <c r="O445" s="35">
        <v>1</v>
      </c>
      <c r="P445" s="35"/>
      <c r="Q445" s="32"/>
      <c r="S445" s="1">
        <f t="shared" si="129"/>
        <v>0</v>
      </c>
      <c r="T445" s="1">
        <f t="shared" si="130"/>
        <v>0</v>
      </c>
      <c r="U445" s="1">
        <f t="shared" si="131"/>
        <v>0</v>
      </c>
      <c r="V445" s="1">
        <f t="shared" si="132"/>
        <v>0</v>
      </c>
      <c r="W445" s="1">
        <f t="shared" si="133"/>
        <v>0</v>
      </c>
      <c r="X445" s="1">
        <f t="shared" si="134"/>
        <v>0</v>
      </c>
      <c r="Y445" s="1">
        <f t="shared" si="135"/>
        <v>0</v>
      </c>
      <c r="Z445" s="1">
        <f t="shared" si="136"/>
        <v>0</v>
      </c>
      <c r="AA445" s="1">
        <f t="shared" si="137"/>
        <v>1</v>
      </c>
      <c r="AB445" s="1">
        <f t="shared" si="138"/>
        <v>0</v>
      </c>
      <c r="AD445" s="1">
        <f t="shared" si="139"/>
        <v>0</v>
      </c>
      <c r="AE445" s="1">
        <f t="shared" si="140"/>
        <v>1</v>
      </c>
      <c r="AF445" s="1">
        <f t="shared" si="141"/>
        <v>0</v>
      </c>
      <c r="AG445" s="1">
        <f t="shared" si="142"/>
        <v>0</v>
      </c>
      <c r="AH445" s="1">
        <f t="shared" si="143"/>
        <v>0</v>
      </c>
      <c r="AI445" s="1">
        <f t="shared" si="144"/>
        <v>0</v>
      </c>
    </row>
    <row r="446" spans="1:35" s="1" customFormat="1" ht="14.25" customHeight="1" x14ac:dyDescent="0.25">
      <c r="A446" s="31">
        <v>0</v>
      </c>
      <c r="B446" s="31">
        <v>2</v>
      </c>
      <c r="C446" s="31">
        <v>7</v>
      </c>
      <c r="D446" s="32" t="s">
        <v>1004</v>
      </c>
      <c r="E446" s="32" t="s">
        <v>28</v>
      </c>
      <c r="F446" s="32" t="s">
        <v>1005</v>
      </c>
      <c r="G446" s="32" t="s">
        <v>193</v>
      </c>
      <c r="H446" s="32" t="s">
        <v>352</v>
      </c>
      <c r="I446" s="31" t="s">
        <v>1006</v>
      </c>
      <c r="J446" s="31">
        <v>9</v>
      </c>
      <c r="K446" s="33" t="s">
        <v>703</v>
      </c>
      <c r="L446" s="33" t="s">
        <v>704</v>
      </c>
      <c r="M446" s="34" t="s">
        <v>722</v>
      </c>
      <c r="N446" s="34" t="s">
        <v>1705</v>
      </c>
      <c r="O446" s="35">
        <v>1</v>
      </c>
      <c r="P446" s="35"/>
      <c r="Q446" s="32"/>
      <c r="S446" s="1">
        <f t="shared" si="129"/>
        <v>0</v>
      </c>
      <c r="T446" s="1">
        <f t="shared" si="130"/>
        <v>0</v>
      </c>
      <c r="U446" s="1">
        <f t="shared" si="131"/>
        <v>0</v>
      </c>
      <c r="V446" s="1">
        <f t="shared" si="132"/>
        <v>0</v>
      </c>
      <c r="W446" s="1">
        <f t="shared" si="133"/>
        <v>0</v>
      </c>
      <c r="X446" s="1">
        <f t="shared" si="134"/>
        <v>0</v>
      </c>
      <c r="Y446" s="1">
        <f t="shared" si="135"/>
        <v>0</v>
      </c>
      <c r="Z446" s="1">
        <f t="shared" si="136"/>
        <v>0</v>
      </c>
      <c r="AA446" s="1">
        <f t="shared" si="137"/>
        <v>1</v>
      </c>
      <c r="AB446" s="1">
        <f t="shared" si="138"/>
        <v>0</v>
      </c>
      <c r="AD446" s="1">
        <f t="shared" si="139"/>
        <v>0</v>
      </c>
      <c r="AE446" s="1">
        <f t="shared" si="140"/>
        <v>1</v>
      </c>
      <c r="AF446" s="1">
        <f t="shared" si="141"/>
        <v>0</v>
      </c>
      <c r="AG446" s="1">
        <f t="shared" si="142"/>
        <v>1</v>
      </c>
      <c r="AH446" s="1">
        <f t="shared" si="143"/>
        <v>0</v>
      </c>
      <c r="AI446" s="1">
        <f t="shared" si="144"/>
        <v>1</v>
      </c>
    </row>
    <row r="447" spans="1:35" s="1" customFormat="1" ht="14.25" customHeight="1" x14ac:dyDescent="0.25">
      <c r="A447" s="31">
        <v>0</v>
      </c>
      <c r="B447" s="31">
        <v>2</v>
      </c>
      <c r="C447" s="31">
        <v>7</v>
      </c>
      <c r="D447" s="32" t="s">
        <v>1793</v>
      </c>
      <c r="E447" s="32" t="s">
        <v>1794</v>
      </c>
      <c r="F447" s="32" t="s">
        <v>1795</v>
      </c>
      <c r="G447" s="32" t="s">
        <v>206</v>
      </c>
      <c r="H447" s="32" t="s">
        <v>352</v>
      </c>
      <c r="I447" s="31" t="s">
        <v>30</v>
      </c>
      <c r="J447" s="31"/>
      <c r="K447" s="33" t="s">
        <v>694</v>
      </c>
      <c r="L447" s="33">
        <v>20</v>
      </c>
      <c r="M447" s="34" t="s">
        <v>1796</v>
      </c>
      <c r="N447" s="34" t="s">
        <v>1705</v>
      </c>
      <c r="O447" s="35">
        <v>1</v>
      </c>
      <c r="P447" s="35"/>
      <c r="Q447" s="32"/>
      <c r="S447" s="1">
        <f t="shared" si="129"/>
        <v>0</v>
      </c>
      <c r="T447" s="1">
        <f t="shared" si="130"/>
        <v>0</v>
      </c>
      <c r="U447" s="1">
        <f t="shared" si="131"/>
        <v>0</v>
      </c>
      <c r="V447" s="1">
        <f t="shared" si="132"/>
        <v>0</v>
      </c>
      <c r="W447" s="1">
        <f t="shared" si="133"/>
        <v>0</v>
      </c>
      <c r="X447" s="1">
        <f t="shared" si="134"/>
        <v>0</v>
      </c>
      <c r="Y447" s="1">
        <f t="shared" si="135"/>
        <v>0</v>
      </c>
      <c r="Z447" s="1">
        <f t="shared" si="136"/>
        <v>0</v>
      </c>
      <c r="AA447" s="1">
        <f t="shared" si="137"/>
        <v>0</v>
      </c>
      <c r="AB447" s="1">
        <f t="shared" si="138"/>
        <v>0</v>
      </c>
      <c r="AD447" s="1">
        <f t="shared" si="139"/>
        <v>0</v>
      </c>
      <c r="AE447" s="1">
        <f t="shared" si="140"/>
        <v>1</v>
      </c>
      <c r="AF447" s="1">
        <f t="shared" si="141"/>
        <v>0</v>
      </c>
      <c r="AG447" s="1">
        <f t="shared" si="142"/>
        <v>1</v>
      </c>
      <c r="AH447" s="1">
        <f t="shared" si="143"/>
        <v>0</v>
      </c>
      <c r="AI447" s="1">
        <f t="shared" si="144"/>
        <v>1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1060</v>
      </c>
      <c r="E448" s="32" t="s">
        <v>540</v>
      </c>
      <c r="F448" s="32" t="s">
        <v>1041</v>
      </c>
      <c r="G448" s="32" t="s">
        <v>237</v>
      </c>
      <c r="H448" s="32" t="s">
        <v>352</v>
      </c>
      <c r="I448" s="31" t="s">
        <v>1042</v>
      </c>
      <c r="J448" s="31">
        <v>99</v>
      </c>
      <c r="K448" s="33" t="s">
        <v>936</v>
      </c>
      <c r="L448" s="33" t="s">
        <v>713</v>
      </c>
      <c r="M448" s="34" t="s">
        <v>1407</v>
      </c>
      <c r="N448" s="34" t="s">
        <v>1705</v>
      </c>
      <c r="O448" s="35">
        <v>1</v>
      </c>
      <c r="P448" s="35"/>
      <c r="Q448" s="32"/>
      <c r="S448" s="1">
        <f t="shared" si="129"/>
        <v>0</v>
      </c>
      <c r="T448" s="1">
        <f t="shared" si="130"/>
        <v>0</v>
      </c>
      <c r="U448" s="1">
        <f t="shared" si="131"/>
        <v>0</v>
      </c>
      <c r="V448" s="1">
        <f t="shared" si="132"/>
        <v>0</v>
      </c>
      <c r="W448" s="1">
        <f t="shared" si="133"/>
        <v>0</v>
      </c>
      <c r="X448" s="1">
        <f t="shared" si="134"/>
        <v>0</v>
      </c>
      <c r="Y448" s="1">
        <f t="shared" si="135"/>
        <v>0</v>
      </c>
      <c r="Z448" s="1">
        <f t="shared" si="136"/>
        <v>0</v>
      </c>
      <c r="AA448" s="1">
        <f t="shared" si="137"/>
        <v>0</v>
      </c>
      <c r="AB448" s="1">
        <f t="shared" si="138"/>
        <v>0</v>
      </c>
      <c r="AD448" s="1">
        <f t="shared" si="139"/>
        <v>0</v>
      </c>
      <c r="AE448" s="1">
        <f t="shared" si="140"/>
        <v>1</v>
      </c>
      <c r="AF448" s="1">
        <f t="shared" si="141"/>
        <v>0</v>
      </c>
      <c r="AG448" s="1">
        <f t="shared" si="142"/>
        <v>1</v>
      </c>
      <c r="AH448" s="1">
        <f t="shared" si="143"/>
        <v>0</v>
      </c>
      <c r="AI448" s="1">
        <f t="shared" si="144"/>
        <v>1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1201</v>
      </c>
      <c r="E449" s="32" t="s">
        <v>155</v>
      </c>
      <c r="F449" s="32" t="s">
        <v>1202</v>
      </c>
      <c r="G449" s="32" t="s">
        <v>250</v>
      </c>
      <c r="H449" s="32" t="s">
        <v>352</v>
      </c>
      <c r="I449" s="31" t="s">
        <v>1203</v>
      </c>
      <c r="J449" s="31">
        <v>99</v>
      </c>
      <c r="K449" s="33" t="s">
        <v>704</v>
      </c>
      <c r="L449" s="33">
        <v>10</v>
      </c>
      <c r="M449" s="34" t="s">
        <v>1708</v>
      </c>
      <c r="N449" s="34" t="s">
        <v>1693</v>
      </c>
      <c r="O449" s="35">
        <v>1</v>
      </c>
      <c r="P449" s="35">
        <v>1</v>
      </c>
      <c r="Q449" s="32"/>
      <c r="S449" s="1">
        <f t="shared" si="129"/>
        <v>0</v>
      </c>
      <c r="T449" s="1">
        <f t="shared" si="130"/>
        <v>0</v>
      </c>
      <c r="U449" s="1">
        <f t="shared" si="131"/>
        <v>0</v>
      </c>
      <c r="V449" s="1">
        <f t="shared" si="132"/>
        <v>0</v>
      </c>
      <c r="W449" s="1">
        <f t="shared" si="133"/>
        <v>0</v>
      </c>
      <c r="X449" s="1">
        <f t="shared" si="134"/>
        <v>0</v>
      </c>
      <c r="Y449" s="1">
        <f t="shared" si="135"/>
        <v>0</v>
      </c>
      <c r="Z449" s="1">
        <f t="shared" si="136"/>
        <v>0</v>
      </c>
      <c r="AA449" s="1">
        <f t="shared" si="137"/>
        <v>0</v>
      </c>
      <c r="AB449" s="1">
        <f t="shared" si="138"/>
        <v>0</v>
      </c>
      <c r="AD449" s="1">
        <f t="shared" si="139"/>
        <v>1</v>
      </c>
      <c r="AE449" s="1">
        <f t="shared" si="140"/>
        <v>0</v>
      </c>
      <c r="AF449" s="1">
        <f t="shared" si="141"/>
        <v>1</v>
      </c>
      <c r="AG449" s="1">
        <f t="shared" si="142"/>
        <v>0</v>
      </c>
      <c r="AH449" s="1">
        <f t="shared" si="143"/>
        <v>1</v>
      </c>
      <c r="AI449" s="1">
        <f t="shared" si="144"/>
        <v>0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6" t="s">
        <v>1763</v>
      </c>
      <c r="E450" s="36" t="s">
        <v>28</v>
      </c>
      <c r="F450" s="36" t="s">
        <v>1764</v>
      </c>
      <c r="G450" s="36" t="s">
        <v>179</v>
      </c>
      <c r="H450" s="36" t="s">
        <v>352</v>
      </c>
      <c r="I450" s="37" t="s">
        <v>1765</v>
      </c>
      <c r="J450" s="31">
        <v>10</v>
      </c>
      <c r="K450" s="33" t="s">
        <v>694</v>
      </c>
      <c r="L450" s="33">
        <v>10</v>
      </c>
      <c r="M450" s="34"/>
      <c r="N450" s="34" t="s">
        <v>1693</v>
      </c>
      <c r="O450" s="35">
        <v>1</v>
      </c>
      <c r="P450" s="35">
        <v>1</v>
      </c>
      <c r="Q450" s="36"/>
      <c r="S450" s="1">
        <f t="shared" si="129"/>
        <v>0</v>
      </c>
      <c r="T450" s="1">
        <f t="shared" si="130"/>
        <v>0</v>
      </c>
      <c r="U450" s="1">
        <f t="shared" si="131"/>
        <v>0</v>
      </c>
      <c r="V450" s="1">
        <f t="shared" si="132"/>
        <v>0</v>
      </c>
      <c r="W450" s="1">
        <f t="shared" si="133"/>
        <v>0</v>
      </c>
      <c r="X450" s="1">
        <f t="shared" si="134"/>
        <v>0</v>
      </c>
      <c r="Y450" s="1">
        <f t="shared" si="135"/>
        <v>0</v>
      </c>
      <c r="Z450" s="1">
        <f t="shared" si="136"/>
        <v>0</v>
      </c>
      <c r="AA450" s="1">
        <f t="shared" si="137"/>
        <v>0</v>
      </c>
      <c r="AB450" s="1">
        <f t="shared" si="138"/>
        <v>1</v>
      </c>
      <c r="AD450" s="1">
        <f t="shared" si="139"/>
        <v>1</v>
      </c>
      <c r="AE450" s="1">
        <f t="shared" si="140"/>
        <v>0</v>
      </c>
      <c r="AF450" s="1">
        <f t="shared" si="141"/>
        <v>1</v>
      </c>
      <c r="AG450" s="1">
        <f t="shared" si="142"/>
        <v>0</v>
      </c>
      <c r="AH450" s="1">
        <f t="shared" si="143"/>
        <v>1</v>
      </c>
      <c r="AI450" s="1">
        <f t="shared" si="144"/>
        <v>0</v>
      </c>
    </row>
    <row r="451" spans="1:35" s="1" customFormat="1" ht="14.25" customHeight="1" x14ac:dyDescent="0.25">
      <c r="A451" s="37">
        <v>0</v>
      </c>
      <c r="B451" s="37">
        <v>2</v>
      </c>
      <c r="C451" s="37">
        <v>7</v>
      </c>
      <c r="D451" s="36" t="s">
        <v>1552</v>
      </c>
      <c r="E451" s="36" t="s">
        <v>1618</v>
      </c>
      <c r="F451" s="36" t="s">
        <v>1553</v>
      </c>
      <c r="G451" s="36" t="s">
        <v>648</v>
      </c>
      <c r="H451" s="36" t="s">
        <v>352</v>
      </c>
      <c r="I451" s="37" t="s">
        <v>1554</v>
      </c>
      <c r="J451" s="37">
        <v>99</v>
      </c>
      <c r="K451" s="33" t="s">
        <v>704</v>
      </c>
      <c r="L451" s="33" t="s">
        <v>39</v>
      </c>
      <c r="M451" s="34" t="s">
        <v>39</v>
      </c>
      <c r="N451" s="34" t="s">
        <v>1693</v>
      </c>
      <c r="O451" s="35">
        <v>1</v>
      </c>
      <c r="P451" s="35">
        <v>1</v>
      </c>
      <c r="Q451" s="36"/>
      <c r="S451" s="1">
        <f t="shared" si="129"/>
        <v>0</v>
      </c>
      <c r="T451" s="1">
        <f t="shared" si="130"/>
        <v>0</v>
      </c>
      <c r="U451" s="1">
        <f t="shared" si="131"/>
        <v>0</v>
      </c>
      <c r="V451" s="1">
        <f t="shared" si="132"/>
        <v>0</v>
      </c>
      <c r="W451" s="1">
        <f t="shared" si="133"/>
        <v>0</v>
      </c>
      <c r="X451" s="1">
        <f t="shared" si="134"/>
        <v>0</v>
      </c>
      <c r="Y451" s="1">
        <f t="shared" si="135"/>
        <v>0</v>
      </c>
      <c r="Z451" s="1">
        <f t="shared" si="136"/>
        <v>0</v>
      </c>
      <c r="AA451" s="1">
        <f t="shared" si="137"/>
        <v>0</v>
      </c>
      <c r="AB451" s="1">
        <f t="shared" si="138"/>
        <v>0</v>
      </c>
      <c r="AD451" s="1">
        <f t="shared" si="139"/>
        <v>1</v>
      </c>
      <c r="AE451" s="1">
        <f t="shared" si="140"/>
        <v>0</v>
      </c>
      <c r="AF451" s="1">
        <f t="shared" si="141"/>
        <v>1</v>
      </c>
      <c r="AG451" s="1">
        <f t="shared" si="142"/>
        <v>0</v>
      </c>
      <c r="AH451" s="1">
        <f t="shared" si="143"/>
        <v>1</v>
      </c>
      <c r="AI451" s="1">
        <f t="shared" si="144"/>
        <v>0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1504</v>
      </c>
      <c r="E452" s="32" t="s">
        <v>28</v>
      </c>
      <c r="F452" s="32" t="s">
        <v>1629</v>
      </c>
      <c r="G452" s="32" t="s">
        <v>285</v>
      </c>
      <c r="H452" s="32" t="s">
        <v>352</v>
      </c>
      <c r="I452" s="31" t="s">
        <v>1654</v>
      </c>
      <c r="J452" s="31">
        <v>99</v>
      </c>
      <c r="K452" s="33" t="s">
        <v>704</v>
      </c>
      <c r="L452" s="33" t="s">
        <v>704</v>
      </c>
      <c r="M452" s="34" t="s">
        <v>722</v>
      </c>
      <c r="N452" s="34" t="s">
        <v>1705</v>
      </c>
      <c r="O452" s="35">
        <v>1</v>
      </c>
      <c r="P452" s="35"/>
      <c r="Q452" s="32"/>
      <c r="S452" s="1">
        <f t="shared" si="129"/>
        <v>0</v>
      </c>
      <c r="T452" s="1">
        <f t="shared" si="130"/>
        <v>0</v>
      </c>
      <c r="U452" s="1">
        <f t="shared" si="131"/>
        <v>0</v>
      </c>
      <c r="V452" s="1">
        <f t="shared" si="132"/>
        <v>0</v>
      </c>
      <c r="W452" s="1">
        <f t="shared" si="133"/>
        <v>0</v>
      </c>
      <c r="X452" s="1">
        <f t="shared" si="134"/>
        <v>0</v>
      </c>
      <c r="Y452" s="1">
        <f t="shared" si="135"/>
        <v>0</v>
      </c>
      <c r="Z452" s="1">
        <f t="shared" si="136"/>
        <v>0</v>
      </c>
      <c r="AA452" s="1">
        <f t="shared" si="137"/>
        <v>0</v>
      </c>
      <c r="AB452" s="1">
        <f t="shared" si="138"/>
        <v>0</v>
      </c>
      <c r="AD452" s="1">
        <f t="shared" si="139"/>
        <v>0</v>
      </c>
      <c r="AE452" s="1">
        <f t="shared" si="140"/>
        <v>1</v>
      </c>
      <c r="AF452" s="1">
        <f t="shared" si="141"/>
        <v>0</v>
      </c>
      <c r="AG452" s="1">
        <f t="shared" si="142"/>
        <v>1</v>
      </c>
      <c r="AH452" s="1">
        <f t="shared" si="143"/>
        <v>0</v>
      </c>
      <c r="AI452" s="1">
        <f t="shared" si="144"/>
        <v>1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1302</v>
      </c>
      <c r="E453" s="32" t="s">
        <v>28</v>
      </c>
      <c r="F453" s="32" t="s">
        <v>565</v>
      </c>
      <c r="G453" s="32" t="s">
        <v>180</v>
      </c>
      <c r="H453" s="32" t="s">
        <v>352</v>
      </c>
      <c r="I453" s="31" t="s">
        <v>428</v>
      </c>
      <c r="J453" s="31">
        <v>7</v>
      </c>
      <c r="K453" s="33" t="s">
        <v>703</v>
      </c>
      <c r="L453" s="33" t="s">
        <v>704</v>
      </c>
      <c r="M453" s="34" t="s">
        <v>722</v>
      </c>
      <c r="N453" s="34" t="s">
        <v>1705</v>
      </c>
      <c r="O453" s="35">
        <v>1</v>
      </c>
      <c r="P453" s="35"/>
      <c r="Q453" s="32"/>
      <c r="S453" s="1">
        <f t="shared" si="129"/>
        <v>0</v>
      </c>
      <c r="T453" s="1">
        <f t="shared" si="130"/>
        <v>0</v>
      </c>
      <c r="U453" s="1">
        <f t="shared" si="131"/>
        <v>0</v>
      </c>
      <c r="V453" s="1">
        <f t="shared" si="132"/>
        <v>0</v>
      </c>
      <c r="W453" s="1">
        <f t="shared" si="133"/>
        <v>0</v>
      </c>
      <c r="X453" s="1">
        <f t="shared" si="134"/>
        <v>0</v>
      </c>
      <c r="Y453" s="1">
        <f t="shared" si="135"/>
        <v>1</v>
      </c>
      <c r="Z453" s="1">
        <f t="shared" si="136"/>
        <v>0</v>
      </c>
      <c r="AA453" s="1">
        <f t="shared" si="137"/>
        <v>0</v>
      </c>
      <c r="AB453" s="1">
        <f t="shared" si="138"/>
        <v>0</v>
      </c>
      <c r="AD453" s="1">
        <f t="shared" si="139"/>
        <v>0</v>
      </c>
      <c r="AE453" s="1">
        <f t="shared" si="140"/>
        <v>1</v>
      </c>
      <c r="AF453" s="1">
        <f t="shared" si="141"/>
        <v>0</v>
      </c>
      <c r="AG453" s="1">
        <f t="shared" si="142"/>
        <v>1</v>
      </c>
      <c r="AH453" s="1">
        <f t="shared" si="143"/>
        <v>0</v>
      </c>
      <c r="AI453" s="1">
        <f t="shared" si="144"/>
        <v>1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72</v>
      </c>
      <c r="E454" s="32" t="s">
        <v>28</v>
      </c>
      <c r="F454" s="32" t="s">
        <v>260</v>
      </c>
      <c r="G454" s="32" t="s">
        <v>219</v>
      </c>
      <c r="H454" s="32" t="s">
        <v>352</v>
      </c>
      <c r="I454" s="31" t="s">
        <v>418</v>
      </c>
      <c r="J454" s="31">
        <v>8</v>
      </c>
      <c r="K454" s="33" t="s">
        <v>704</v>
      </c>
      <c r="L454" s="33" t="s">
        <v>704</v>
      </c>
      <c r="M454" s="34" t="s">
        <v>722</v>
      </c>
      <c r="N454" s="34" t="s">
        <v>1705</v>
      </c>
      <c r="O454" s="35">
        <v>1</v>
      </c>
      <c r="P454" s="35"/>
      <c r="Q454" s="32"/>
      <c r="S454" s="1">
        <f t="shared" si="129"/>
        <v>0</v>
      </c>
      <c r="T454" s="1">
        <f t="shared" si="130"/>
        <v>0</v>
      </c>
      <c r="U454" s="1">
        <f t="shared" si="131"/>
        <v>0</v>
      </c>
      <c r="V454" s="1">
        <f t="shared" si="132"/>
        <v>0</v>
      </c>
      <c r="W454" s="1">
        <f t="shared" si="133"/>
        <v>0</v>
      </c>
      <c r="X454" s="1">
        <f t="shared" si="134"/>
        <v>0</v>
      </c>
      <c r="Y454" s="1">
        <f t="shared" si="135"/>
        <v>0</v>
      </c>
      <c r="Z454" s="1">
        <f t="shared" si="136"/>
        <v>1</v>
      </c>
      <c r="AA454" s="1">
        <f t="shared" si="137"/>
        <v>0</v>
      </c>
      <c r="AB454" s="1">
        <f t="shared" si="138"/>
        <v>0</v>
      </c>
      <c r="AD454" s="1">
        <f t="shared" si="139"/>
        <v>0</v>
      </c>
      <c r="AE454" s="1">
        <f t="shared" si="140"/>
        <v>1</v>
      </c>
      <c r="AF454" s="1">
        <f t="shared" si="141"/>
        <v>0</v>
      </c>
      <c r="AG454" s="1">
        <f t="shared" si="142"/>
        <v>1</v>
      </c>
      <c r="AH454" s="1">
        <f t="shared" si="143"/>
        <v>0</v>
      </c>
      <c r="AI454" s="1">
        <f t="shared" si="144"/>
        <v>1</v>
      </c>
    </row>
    <row r="455" spans="1:35" s="1" customFormat="1" ht="14.25" customHeight="1" x14ac:dyDescent="0.25">
      <c r="A455" s="31">
        <v>1</v>
      </c>
      <c r="B455" s="31">
        <v>2</v>
      </c>
      <c r="C455" s="31">
        <v>7</v>
      </c>
      <c r="D455" s="32" t="s">
        <v>72</v>
      </c>
      <c r="E455" s="32" t="s">
        <v>28</v>
      </c>
      <c r="F455" s="32" t="s">
        <v>259</v>
      </c>
      <c r="G455" s="32" t="s">
        <v>177</v>
      </c>
      <c r="H455" s="32" t="s">
        <v>352</v>
      </c>
      <c r="I455" s="31" t="s">
        <v>417</v>
      </c>
      <c r="J455" s="31">
        <v>1</v>
      </c>
      <c r="K455" s="33" t="s">
        <v>704</v>
      </c>
      <c r="L455" s="33" t="s">
        <v>704</v>
      </c>
      <c r="M455" s="34" t="s">
        <v>722</v>
      </c>
      <c r="N455" s="34" t="s">
        <v>1705</v>
      </c>
      <c r="O455" s="35">
        <v>1</v>
      </c>
      <c r="P455" s="35"/>
      <c r="Q455" s="32"/>
      <c r="S455" s="1">
        <f t="shared" si="129"/>
        <v>1</v>
      </c>
      <c r="T455" s="1">
        <f t="shared" si="130"/>
        <v>0</v>
      </c>
      <c r="U455" s="1">
        <f t="shared" si="131"/>
        <v>0</v>
      </c>
      <c r="V455" s="1">
        <f t="shared" si="132"/>
        <v>0</v>
      </c>
      <c r="W455" s="1">
        <f t="shared" si="133"/>
        <v>0</v>
      </c>
      <c r="X455" s="1">
        <f t="shared" si="134"/>
        <v>0</v>
      </c>
      <c r="Y455" s="1">
        <f t="shared" si="135"/>
        <v>0</v>
      </c>
      <c r="Z455" s="1">
        <f t="shared" si="136"/>
        <v>0</v>
      </c>
      <c r="AA455" s="1">
        <f t="shared" si="137"/>
        <v>0</v>
      </c>
      <c r="AB455" s="1">
        <f t="shared" si="138"/>
        <v>0</v>
      </c>
      <c r="AD455" s="1">
        <f t="shared" si="139"/>
        <v>0</v>
      </c>
      <c r="AE455" s="1">
        <f t="shared" si="140"/>
        <v>1</v>
      </c>
      <c r="AF455" s="1">
        <f t="shared" si="141"/>
        <v>0</v>
      </c>
      <c r="AG455" s="1">
        <f t="shared" si="142"/>
        <v>0</v>
      </c>
      <c r="AH455" s="1">
        <f t="shared" si="143"/>
        <v>0</v>
      </c>
      <c r="AI455" s="1">
        <f t="shared" si="144"/>
        <v>0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763</v>
      </c>
      <c r="E456" s="32" t="s">
        <v>28</v>
      </c>
      <c r="F456" s="32" t="s">
        <v>764</v>
      </c>
      <c r="G456" s="32" t="s">
        <v>278</v>
      </c>
      <c r="H456" s="32" t="s">
        <v>352</v>
      </c>
      <c r="I456" s="31" t="s">
        <v>765</v>
      </c>
      <c r="J456" s="31">
        <v>99</v>
      </c>
      <c r="K456" s="33" t="s">
        <v>704</v>
      </c>
      <c r="L456" s="33" t="s">
        <v>704</v>
      </c>
      <c r="M456" s="34" t="s">
        <v>722</v>
      </c>
      <c r="N456" s="34" t="s">
        <v>1705</v>
      </c>
      <c r="O456" s="35">
        <v>1</v>
      </c>
      <c r="P456" s="35"/>
      <c r="Q456" s="32"/>
      <c r="S456" s="1">
        <f t="shared" si="129"/>
        <v>0</v>
      </c>
      <c r="T456" s="1">
        <f t="shared" si="130"/>
        <v>0</v>
      </c>
      <c r="U456" s="1">
        <f t="shared" si="131"/>
        <v>0</v>
      </c>
      <c r="V456" s="1">
        <f t="shared" si="132"/>
        <v>0</v>
      </c>
      <c r="W456" s="1">
        <f t="shared" si="133"/>
        <v>0</v>
      </c>
      <c r="X456" s="1">
        <f t="shared" si="134"/>
        <v>0</v>
      </c>
      <c r="Y456" s="1">
        <f t="shared" si="135"/>
        <v>0</v>
      </c>
      <c r="Z456" s="1">
        <f t="shared" si="136"/>
        <v>0</v>
      </c>
      <c r="AA456" s="1">
        <f t="shared" si="137"/>
        <v>0</v>
      </c>
      <c r="AB456" s="1">
        <f t="shared" si="138"/>
        <v>0</v>
      </c>
      <c r="AD456" s="1">
        <f t="shared" si="139"/>
        <v>0</v>
      </c>
      <c r="AE456" s="1">
        <f t="shared" si="140"/>
        <v>1</v>
      </c>
      <c r="AF456" s="1">
        <f t="shared" si="141"/>
        <v>0</v>
      </c>
      <c r="AG456" s="1">
        <f t="shared" si="142"/>
        <v>1</v>
      </c>
      <c r="AH456" s="1">
        <f t="shared" si="143"/>
        <v>0</v>
      </c>
      <c r="AI456" s="1">
        <f t="shared" si="144"/>
        <v>1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85</v>
      </c>
      <c r="E457" s="32" t="s">
        <v>28</v>
      </c>
      <c r="F457" s="32" t="s">
        <v>277</v>
      </c>
      <c r="G457" s="32" t="s">
        <v>278</v>
      </c>
      <c r="H457" s="32" t="s">
        <v>352</v>
      </c>
      <c r="I457" s="31" t="s">
        <v>432</v>
      </c>
      <c r="J457" s="31">
        <v>99</v>
      </c>
      <c r="K457" s="33" t="s">
        <v>704</v>
      </c>
      <c r="L457" s="33" t="s">
        <v>704</v>
      </c>
      <c r="M457" s="34" t="s">
        <v>722</v>
      </c>
      <c r="N457" s="34" t="s">
        <v>1705</v>
      </c>
      <c r="O457" s="35">
        <v>1</v>
      </c>
      <c r="P457" s="35"/>
      <c r="Q457" s="32"/>
      <c r="S457" s="1">
        <f t="shared" si="129"/>
        <v>0</v>
      </c>
      <c r="T457" s="1">
        <f t="shared" si="130"/>
        <v>0</v>
      </c>
      <c r="U457" s="1">
        <f t="shared" si="131"/>
        <v>0</v>
      </c>
      <c r="V457" s="1">
        <f t="shared" si="132"/>
        <v>0</v>
      </c>
      <c r="W457" s="1">
        <f t="shared" si="133"/>
        <v>0</v>
      </c>
      <c r="X457" s="1">
        <f t="shared" si="134"/>
        <v>0</v>
      </c>
      <c r="Y457" s="1">
        <f t="shared" si="135"/>
        <v>0</v>
      </c>
      <c r="Z457" s="1">
        <f t="shared" si="136"/>
        <v>0</v>
      </c>
      <c r="AA457" s="1">
        <f t="shared" si="137"/>
        <v>0</v>
      </c>
      <c r="AB457" s="1">
        <f t="shared" si="138"/>
        <v>0</v>
      </c>
      <c r="AD457" s="1">
        <f t="shared" si="139"/>
        <v>0</v>
      </c>
      <c r="AE457" s="1">
        <f t="shared" si="140"/>
        <v>1</v>
      </c>
      <c r="AF457" s="1">
        <f t="shared" si="141"/>
        <v>0</v>
      </c>
      <c r="AG457" s="1">
        <f t="shared" si="142"/>
        <v>1</v>
      </c>
      <c r="AH457" s="1">
        <f t="shared" si="143"/>
        <v>0</v>
      </c>
      <c r="AI457" s="1">
        <f t="shared" si="144"/>
        <v>1</v>
      </c>
    </row>
    <row r="458" spans="1:35" s="1" customFormat="1" ht="14.25" customHeight="1" x14ac:dyDescent="0.25">
      <c r="A458" s="37">
        <v>0</v>
      </c>
      <c r="B458" s="37">
        <v>2</v>
      </c>
      <c r="C458" s="37">
        <v>7</v>
      </c>
      <c r="D458" s="36" t="s">
        <v>1896</v>
      </c>
      <c r="E458" s="36" t="s">
        <v>28</v>
      </c>
      <c r="F458" s="36" t="s">
        <v>1897</v>
      </c>
      <c r="G458" s="36" t="s">
        <v>184</v>
      </c>
      <c r="H458" s="36" t="s">
        <v>352</v>
      </c>
      <c r="I458" s="37" t="s">
        <v>1898</v>
      </c>
      <c r="J458" s="37">
        <v>99</v>
      </c>
      <c r="K458" s="33" t="s">
        <v>694</v>
      </c>
      <c r="L458" s="33">
        <v>4</v>
      </c>
      <c r="M458" s="34" t="s">
        <v>722</v>
      </c>
      <c r="N458" s="34" t="s">
        <v>1705</v>
      </c>
      <c r="O458" s="35">
        <v>1</v>
      </c>
      <c r="P458" s="35"/>
      <c r="Q458" s="36" t="s">
        <v>1899</v>
      </c>
      <c r="S458" s="1">
        <f t="shared" si="129"/>
        <v>0</v>
      </c>
      <c r="T458" s="1">
        <f t="shared" si="130"/>
        <v>0</v>
      </c>
      <c r="U458" s="1">
        <f t="shared" si="131"/>
        <v>0</v>
      </c>
      <c r="V458" s="1">
        <f t="shared" si="132"/>
        <v>0</v>
      </c>
      <c r="W458" s="1">
        <f t="shared" si="133"/>
        <v>0</v>
      </c>
      <c r="X458" s="1">
        <f t="shared" si="134"/>
        <v>0</v>
      </c>
      <c r="Y458" s="1">
        <f t="shared" si="135"/>
        <v>0</v>
      </c>
      <c r="Z458" s="1">
        <f t="shared" si="136"/>
        <v>0</v>
      </c>
      <c r="AA458" s="1">
        <f t="shared" si="137"/>
        <v>0</v>
      </c>
      <c r="AB458" s="1">
        <f t="shared" si="138"/>
        <v>0</v>
      </c>
      <c r="AD458" s="1">
        <f t="shared" si="139"/>
        <v>0</v>
      </c>
      <c r="AE458" s="1">
        <f t="shared" si="140"/>
        <v>1</v>
      </c>
      <c r="AF458" s="1">
        <f t="shared" si="141"/>
        <v>0</v>
      </c>
      <c r="AG458" s="1">
        <f t="shared" si="142"/>
        <v>1</v>
      </c>
      <c r="AH458" s="1">
        <f t="shared" si="143"/>
        <v>0</v>
      </c>
      <c r="AI458" s="1">
        <f t="shared" si="144"/>
        <v>1</v>
      </c>
    </row>
    <row r="459" spans="1:35" s="1" customFormat="1" ht="14.25" customHeight="1" x14ac:dyDescent="0.25">
      <c r="A459" s="37">
        <v>0</v>
      </c>
      <c r="B459" s="37">
        <v>2</v>
      </c>
      <c r="C459" s="37">
        <v>7</v>
      </c>
      <c r="D459" s="36" t="s">
        <v>549</v>
      </c>
      <c r="E459" s="36" t="s">
        <v>28</v>
      </c>
      <c r="F459" s="36" t="s">
        <v>1835</v>
      </c>
      <c r="G459" s="36" t="s">
        <v>552</v>
      </c>
      <c r="H459" s="36" t="s">
        <v>352</v>
      </c>
      <c r="I459" s="37" t="s">
        <v>553</v>
      </c>
      <c r="J459" s="37">
        <v>99</v>
      </c>
      <c r="K459" s="33" t="s">
        <v>704</v>
      </c>
      <c r="L459" s="33" t="s">
        <v>704</v>
      </c>
      <c r="M459" s="34" t="s">
        <v>722</v>
      </c>
      <c r="N459" s="34" t="s">
        <v>1785</v>
      </c>
      <c r="O459" s="35">
        <v>1</v>
      </c>
      <c r="P459" s="35"/>
      <c r="Q459" s="36"/>
      <c r="S459" s="1">
        <f t="shared" si="129"/>
        <v>0</v>
      </c>
      <c r="T459" s="1">
        <f t="shared" si="130"/>
        <v>0</v>
      </c>
      <c r="U459" s="1">
        <f t="shared" si="131"/>
        <v>0</v>
      </c>
      <c r="V459" s="1">
        <f t="shared" si="132"/>
        <v>0</v>
      </c>
      <c r="W459" s="1">
        <f t="shared" si="133"/>
        <v>0</v>
      </c>
      <c r="X459" s="1">
        <f t="shared" si="134"/>
        <v>0</v>
      </c>
      <c r="Y459" s="1">
        <f t="shared" si="135"/>
        <v>0</v>
      </c>
      <c r="Z459" s="1">
        <f t="shared" si="136"/>
        <v>0</v>
      </c>
      <c r="AA459" s="1">
        <f t="shared" si="137"/>
        <v>0</v>
      </c>
      <c r="AB459" s="1">
        <f t="shared" si="138"/>
        <v>0</v>
      </c>
      <c r="AD459" s="1">
        <f t="shared" si="139"/>
        <v>0</v>
      </c>
      <c r="AE459" s="1">
        <f t="shared" si="140"/>
        <v>1</v>
      </c>
      <c r="AF459" s="1">
        <f t="shared" si="141"/>
        <v>0</v>
      </c>
      <c r="AG459" s="1">
        <f t="shared" si="142"/>
        <v>1</v>
      </c>
      <c r="AH459" s="1">
        <f t="shared" si="143"/>
        <v>0</v>
      </c>
      <c r="AI459" s="1">
        <f t="shared" si="144"/>
        <v>1</v>
      </c>
    </row>
    <row r="460" spans="1:35" s="1" customFormat="1" ht="14.25" customHeight="1" x14ac:dyDescent="0.25">
      <c r="A460" s="37">
        <v>1</v>
      </c>
      <c r="B460" s="37">
        <v>2</v>
      </c>
      <c r="C460" s="37">
        <v>7</v>
      </c>
      <c r="D460" s="36" t="s">
        <v>549</v>
      </c>
      <c r="E460" s="36" t="s">
        <v>28</v>
      </c>
      <c r="F460" s="36" t="s">
        <v>1836</v>
      </c>
      <c r="G460" s="36" t="s">
        <v>550</v>
      </c>
      <c r="H460" s="36" t="s">
        <v>352</v>
      </c>
      <c r="I460" s="37" t="s">
        <v>551</v>
      </c>
      <c r="J460" s="37">
        <v>99</v>
      </c>
      <c r="K460" s="33" t="s">
        <v>704</v>
      </c>
      <c r="L460" s="33" t="s">
        <v>704</v>
      </c>
      <c r="M460" s="34" t="s">
        <v>722</v>
      </c>
      <c r="N460" s="34" t="s">
        <v>1785</v>
      </c>
      <c r="O460" s="35">
        <v>1</v>
      </c>
      <c r="P460" s="35"/>
      <c r="Q460" s="36"/>
      <c r="S460" s="1">
        <f t="shared" si="129"/>
        <v>0</v>
      </c>
      <c r="T460" s="1">
        <f t="shared" si="130"/>
        <v>0</v>
      </c>
      <c r="U460" s="1">
        <f t="shared" si="131"/>
        <v>0</v>
      </c>
      <c r="V460" s="1">
        <f t="shared" si="132"/>
        <v>0</v>
      </c>
      <c r="W460" s="1">
        <f t="shared" si="133"/>
        <v>0</v>
      </c>
      <c r="X460" s="1">
        <f t="shared" si="134"/>
        <v>0</v>
      </c>
      <c r="Y460" s="1">
        <f t="shared" si="135"/>
        <v>0</v>
      </c>
      <c r="Z460" s="1">
        <f t="shared" si="136"/>
        <v>0</v>
      </c>
      <c r="AA460" s="1">
        <f t="shared" si="137"/>
        <v>0</v>
      </c>
      <c r="AB460" s="1">
        <f t="shared" si="138"/>
        <v>0</v>
      </c>
      <c r="AD460" s="1">
        <f t="shared" si="139"/>
        <v>0</v>
      </c>
      <c r="AE460" s="1">
        <f t="shared" si="140"/>
        <v>1</v>
      </c>
      <c r="AF460" s="1">
        <f t="shared" si="141"/>
        <v>0</v>
      </c>
      <c r="AG460" s="1">
        <f t="shared" si="142"/>
        <v>0</v>
      </c>
      <c r="AH460" s="1">
        <f t="shared" si="143"/>
        <v>0</v>
      </c>
      <c r="AI460" s="1">
        <f t="shared" si="144"/>
        <v>0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1160</v>
      </c>
      <c r="E461" s="32" t="s">
        <v>28</v>
      </c>
      <c r="F461" s="32" t="s">
        <v>1644</v>
      </c>
      <c r="G461" s="32" t="s">
        <v>234</v>
      </c>
      <c r="H461" s="32" t="s">
        <v>352</v>
      </c>
      <c r="I461" s="31" t="s">
        <v>1338</v>
      </c>
      <c r="J461" s="31">
        <v>99</v>
      </c>
      <c r="K461" s="33" t="s">
        <v>703</v>
      </c>
      <c r="L461" s="33" t="s">
        <v>704</v>
      </c>
      <c r="M461" s="34" t="s">
        <v>722</v>
      </c>
      <c r="N461" s="34" t="s">
        <v>1705</v>
      </c>
      <c r="O461" s="35">
        <v>1</v>
      </c>
      <c r="P461" s="35"/>
      <c r="Q461" s="32"/>
      <c r="S461" s="1">
        <f t="shared" si="129"/>
        <v>0</v>
      </c>
      <c r="T461" s="1">
        <f t="shared" si="130"/>
        <v>0</v>
      </c>
      <c r="U461" s="1">
        <f t="shared" si="131"/>
        <v>0</v>
      </c>
      <c r="V461" s="1">
        <f t="shared" si="132"/>
        <v>0</v>
      </c>
      <c r="W461" s="1">
        <f t="shared" si="133"/>
        <v>0</v>
      </c>
      <c r="X461" s="1">
        <f t="shared" si="134"/>
        <v>0</v>
      </c>
      <c r="Y461" s="1">
        <f t="shared" si="135"/>
        <v>0</v>
      </c>
      <c r="Z461" s="1">
        <f t="shared" si="136"/>
        <v>0</v>
      </c>
      <c r="AA461" s="1">
        <f t="shared" si="137"/>
        <v>0</v>
      </c>
      <c r="AB461" s="1">
        <f t="shared" si="138"/>
        <v>0</v>
      </c>
      <c r="AD461" s="1">
        <f t="shared" si="139"/>
        <v>0</v>
      </c>
      <c r="AE461" s="1">
        <f t="shared" si="140"/>
        <v>1</v>
      </c>
      <c r="AF461" s="1">
        <f t="shared" si="141"/>
        <v>0</v>
      </c>
      <c r="AG461" s="1">
        <f t="shared" si="142"/>
        <v>1</v>
      </c>
      <c r="AH461" s="1">
        <f t="shared" si="143"/>
        <v>0</v>
      </c>
      <c r="AI461" s="1">
        <f t="shared" si="144"/>
        <v>1</v>
      </c>
    </row>
    <row r="462" spans="1:35" s="1" customFormat="1" ht="14.25" customHeight="1" x14ac:dyDescent="0.25">
      <c r="A462" s="31">
        <v>1</v>
      </c>
      <c r="B462" s="31">
        <v>2</v>
      </c>
      <c r="C462" s="31">
        <v>7</v>
      </c>
      <c r="D462" s="32" t="s">
        <v>1160</v>
      </c>
      <c r="E462" s="32" t="s">
        <v>28</v>
      </c>
      <c r="F462" s="32" t="s">
        <v>1645</v>
      </c>
      <c r="G462" s="32" t="s">
        <v>1325</v>
      </c>
      <c r="H462" s="32" t="s">
        <v>352</v>
      </c>
      <c r="I462" s="31" t="s">
        <v>1339</v>
      </c>
      <c r="J462" s="31">
        <v>99</v>
      </c>
      <c r="K462" s="33" t="s">
        <v>703</v>
      </c>
      <c r="L462" s="33" t="s">
        <v>704</v>
      </c>
      <c r="M462" s="34" t="s">
        <v>722</v>
      </c>
      <c r="N462" s="34" t="s">
        <v>1705</v>
      </c>
      <c r="O462" s="35">
        <v>1</v>
      </c>
      <c r="P462" s="35"/>
      <c r="Q462" s="32"/>
      <c r="S462" s="1">
        <f t="shared" si="129"/>
        <v>0</v>
      </c>
      <c r="T462" s="1">
        <f t="shared" si="130"/>
        <v>0</v>
      </c>
      <c r="U462" s="1">
        <f t="shared" si="131"/>
        <v>0</v>
      </c>
      <c r="V462" s="1">
        <f t="shared" si="132"/>
        <v>0</v>
      </c>
      <c r="W462" s="1">
        <f t="shared" si="133"/>
        <v>0</v>
      </c>
      <c r="X462" s="1">
        <f t="shared" si="134"/>
        <v>0</v>
      </c>
      <c r="Y462" s="1">
        <f t="shared" si="135"/>
        <v>0</v>
      </c>
      <c r="Z462" s="1">
        <f t="shared" si="136"/>
        <v>0</v>
      </c>
      <c r="AA462" s="1">
        <f t="shared" si="137"/>
        <v>0</v>
      </c>
      <c r="AB462" s="1">
        <f t="shared" si="138"/>
        <v>0</v>
      </c>
      <c r="AD462" s="1">
        <f t="shared" si="139"/>
        <v>0</v>
      </c>
      <c r="AE462" s="1">
        <f t="shared" si="140"/>
        <v>1</v>
      </c>
      <c r="AF462" s="1">
        <f t="shared" si="141"/>
        <v>0</v>
      </c>
      <c r="AG462" s="1">
        <f t="shared" si="142"/>
        <v>0</v>
      </c>
      <c r="AH462" s="1">
        <f t="shared" si="143"/>
        <v>0</v>
      </c>
      <c r="AI462" s="1">
        <f t="shared" si="144"/>
        <v>0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1228</v>
      </c>
      <c r="E463" s="32" t="s">
        <v>28</v>
      </c>
      <c r="F463" s="32" t="s">
        <v>1227</v>
      </c>
      <c r="G463" s="32" t="s">
        <v>1212</v>
      </c>
      <c r="H463" s="32" t="s">
        <v>352</v>
      </c>
      <c r="I463" s="31" t="s">
        <v>1229</v>
      </c>
      <c r="J463" s="31">
        <v>99</v>
      </c>
      <c r="K463" s="33" t="s">
        <v>694</v>
      </c>
      <c r="L463" s="33" t="s">
        <v>704</v>
      </c>
      <c r="M463" s="34" t="s">
        <v>722</v>
      </c>
      <c r="N463" s="34" t="s">
        <v>1705</v>
      </c>
      <c r="O463" s="35">
        <v>1</v>
      </c>
      <c r="P463" s="35"/>
      <c r="Q463" s="32"/>
      <c r="S463" s="1">
        <f t="shared" si="129"/>
        <v>0</v>
      </c>
      <c r="T463" s="1">
        <f t="shared" si="130"/>
        <v>0</v>
      </c>
      <c r="U463" s="1">
        <f t="shared" si="131"/>
        <v>0</v>
      </c>
      <c r="V463" s="1">
        <f t="shared" si="132"/>
        <v>0</v>
      </c>
      <c r="W463" s="1">
        <f t="shared" si="133"/>
        <v>0</v>
      </c>
      <c r="X463" s="1">
        <f t="shared" si="134"/>
        <v>0</v>
      </c>
      <c r="Y463" s="1">
        <f t="shared" si="135"/>
        <v>0</v>
      </c>
      <c r="Z463" s="1">
        <f t="shared" si="136"/>
        <v>0</v>
      </c>
      <c r="AA463" s="1">
        <f t="shared" si="137"/>
        <v>0</v>
      </c>
      <c r="AB463" s="1">
        <f t="shared" si="138"/>
        <v>0</v>
      </c>
      <c r="AD463" s="1">
        <f t="shared" si="139"/>
        <v>0</v>
      </c>
      <c r="AE463" s="1">
        <f t="shared" si="140"/>
        <v>1</v>
      </c>
      <c r="AF463" s="1">
        <f t="shared" si="141"/>
        <v>0</v>
      </c>
      <c r="AG463" s="1">
        <f t="shared" si="142"/>
        <v>1</v>
      </c>
      <c r="AH463" s="1">
        <f t="shared" si="143"/>
        <v>0</v>
      </c>
      <c r="AI463" s="1">
        <f t="shared" si="144"/>
        <v>1</v>
      </c>
    </row>
    <row r="464" spans="1:35" s="1" customFormat="1" ht="14.25" customHeight="1" x14ac:dyDescent="0.25">
      <c r="A464" s="31">
        <v>1</v>
      </c>
      <c r="B464" s="31">
        <v>2</v>
      </c>
      <c r="C464" s="31">
        <v>7</v>
      </c>
      <c r="D464" s="32" t="s">
        <v>1228</v>
      </c>
      <c r="E464" s="32" t="s">
        <v>28</v>
      </c>
      <c r="F464" s="32" t="s">
        <v>1226</v>
      </c>
      <c r="G464" s="32" t="s">
        <v>39</v>
      </c>
      <c r="H464" s="32" t="s">
        <v>352</v>
      </c>
      <c r="I464" s="31" t="s">
        <v>1230</v>
      </c>
      <c r="J464" s="31">
        <v>9</v>
      </c>
      <c r="K464" s="33" t="s">
        <v>694</v>
      </c>
      <c r="L464" s="33" t="s">
        <v>704</v>
      </c>
      <c r="M464" s="34" t="s">
        <v>722</v>
      </c>
      <c r="N464" s="34" t="s">
        <v>1705</v>
      </c>
      <c r="O464" s="35">
        <v>1</v>
      </c>
      <c r="P464" s="35"/>
      <c r="Q464" s="32"/>
      <c r="S464" s="1">
        <f t="shared" si="129"/>
        <v>0</v>
      </c>
      <c r="T464" s="1">
        <f t="shared" si="130"/>
        <v>0</v>
      </c>
      <c r="U464" s="1">
        <f t="shared" si="131"/>
        <v>0</v>
      </c>
      <c r="V464" s="1">
        <f t="shared" si="132"/>
        <v>0</v>
      </c>
      <c r="W464" s="1">
        <f t="shared" si="133"/>
        <v>0</v>
      </c>
      <c r="X464" s="1">
        <f t="shared" si="134"/>
        <v>0</v>
      </c>
      <c r="Y464" s="1">
        <f t="shared" si="135"/>
        <v>0</v>
      </c>
      <c r="Z464" s="1">
        <f t="shared" si="136"/>
        <v>0</v>
      </c>
      <c r="AA464" s="1">
        <f t="shared" si="137"/>
        <v>1</v>
      </c>
      <c r="AB464" s="1">
        <f t="shared" si="138"/>
        <v>0</v>
      </c>
      <c r="AD464" s="1">
        <f t="shared" si="139"/>
        <v>0</v>
      </c>
      <c r="AE464" s="1">
        <f t="shared" si="140"/>
        <v>1</v>
      </c>
      <c r="AF464" s="1">
        <f t="shared" si="141"/>
        <v>0</v>
      </c>
      <c r="AG464" s="1">
        <f t="shared" si="142"/>
        <v>0</v>
      </c>
      <c r="AH464" s="1">
        <f t="shared" si="143"/>
        <v>0</v>
      </c>
      <c r="AI464" s="1">
        <f t="shared" si="144"/>
        <v>0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1228</v>
      </c>
      <c r="E465" s="32" t="s">
        <v>28</v>
      </c>
      <c r="F465" s="36" t="s">
        <v>1784</v>
      </c>
      <c r="G465" s="36" t="s">
        <v>257</v>
      </c>
      <c r="H465" s="32" t="s">
        <v>352</v>
      </c>
      <c r="I465" s="37" t="s">
        <v>30</v>
      </c>
      <c r="J465" s="31">
        <v>8</v>
      </c>
      <c r="K465" s="33" t="s">
        <v>694</v>
      </c>
      <c r="L465" s="33" t="s">
        <v>704</v>
      </c>
      <c r="M465" s="34" t="s">
        <v>722</v>
      </c>
      <c r="N465" s="34" t="s">
        <v>1705</v>
      </c>
      <c r="O465" s="35">
        <v>1</v>
      </c>
      <c r="P465" s="35"/>
      <c r="Q465" s="32"/>
      <c r="S465" s="1">
        <f t="shared" si="129"/>
        <v>0</v>
      </c>
      <c r="T465" s="1">
        <f t="shared" si="130"/>
        <v>0</v>
      </c>
      <c r="U465" s="1">
        <f t="shared" si="131"/>
        <v>0</v>
      </c>
      <c r="V465" s="1">
        <f t="shared" si="132"/>
        <v>0</v>
      </c>
      <c r="W465" s="1">
        <f t="shared" si="133"/>
        <v>0</v>
      </c>
      <c r="X465" s="1">
        <f t="shared" si="134"/>
        <v>0</v>
      </c>
      <c r="Y465" s="1">
        <f t="shared" si="135"/>
        <v>0</v>
      </c>
      <c r="Z465" s="1">
        <f t="shared" si="136"/>
        <v>1</v>
      </c>
      <c r="AA465" s="1">
        <f t="shared" si="137"/>
        <v>0</v>
      </c>
      <c r="AB465" s="1">
        <f t="shared" si="138"/>
        <v>0</v>
      </c>
      <c r="AD465" s="1">
        <f t="shared" si="139"/>
        <v>0</v>
      </c>
      <c r="AE465" s="1">
        <f t="shared" si="140"/>
        <v>1</v>
      </c>
      <c r="AF465" s="1">
        <f t="shared" si="141"/>
        <v>0</v>
      </c>
      <c r="AG465" s="1">
        <f t="shared" si="142"/>
        <v>0</v>
      </c>
      <c r="AH465" s="1">
        <f t="shared" si="143"/>
        <v>0</v>
      </c>
      <c r="AI465" s="1">
        <f t="shared" si="144"/>
        <v>0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51</v>
      </c>
      <c r="E466" s="32" t="s">
        <v>28</v>
      </c>
      <c r="F466" s="32" t="s">
        <v>666</v>
      </c>
      <c r="G466" s="32" t="s">
        <v>184</v>
      </c>
      <c r="H466" s="32" t="s">
        <v>352</v>
      </c>
      <c r="I466" s="31" t="s">
        <v>388</v>
      </c>
      <c r="J466" s="31">
        <v>99</v>
      </c>
      <c r="K466" s="33" t="s">
        <v>703</v>
      </c>
      <c r="L466" s="33" t="s">
        <v>704</v>
      </c>
      <c r="M466" s="34" t="s">
        <v>722</v>
      </c>
      <c r="N466" s="34" t="s">
        <v>1710</v>
      </c>
      <c r="O466" s="35">
        <v>1</v>
      </c>
      <c r="P466" s="35"/>
      <c r="Q466" s="32"/>
      <c r="S466" s="1">
        <f t="shared" si="129"/>
        <v>0</v>
      </c>
      <c r="T466" s="1">
        <f t="shared" si="130"/>
        <v>0</v>
      </c>
      <c r="U466" s="1">
        <f t="shared" si="131"/>
        <v>0</v>
      </c>
      <c r="V466" s="1">
        <f t="shared" si="132"/>
        <v>0</v>
      </c>
      <c r="W466" s="1">
        <f t="shared" si="133"/>
        <v>0</v>
      </c>
      <c r="X466" s="1">
        <f t="shared" si="134"/>
        <v>0</v>
      </c>
      <c r="Y466" s="1">
        <f t="shared" si="135"/>
        <v>0</v>
      </c>
      <c r="Z466" s="1">
        <f t="shared" si="136"/>
        <v>0</v>
      </c>
      <c r="AA466" s="1">
        <f t="shared" si="137"/>
        <v>0</v>
      </c>
      <c r="AB466" s="1">
        <f t="shared" si="138"/>
        <v>0</v>
      </c>
      <c r="AD466" s="1">
        <f t="shared" si="139"/>
        <v>0</v>
      </c>
      <c r="AE466" s="1">
        <f t="shared" si="140"/>
        <v>1</v>
      </c>
      <c r="AF466" s="1">
        <f t="shared" si="141"/>
        <v>0</v>
      </c>
      <c r="AG466" s="1">
        <f t="shared" si="142"/>
        <v>1</v>
      </c>
      <c r="AH466" s="1">
        <f t="shared" si="143"/>
        <v>0</v>
      </c>
      <c r="AI466" s="1">
        <f t="shared" si="144"/>
        <v>1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1062</v>
      </c>
      <c r="E467" s="32" t="s">
        <v>28</v>
      </c>
      <c r="F467" s="32" t="s">
        <v>979</v>
      </c>
      <c r="G467" s="32" t="s">
        <v>239</v>
      </c>
      <c r="H467" s="32" t="s">
        <v>352</v>
      </c>
      <c r="I467" s="31" t="s">
        <v>1087</v>
      </c>
      <c r="J467" s="31">
        <v>1</v>
      </c>
      <c r="K467" s="33" t="s">
        <v>703</v>
      </c>
      <c r="L467" s="33" t="s">
        <v>704</v>
      </c>
      <c r="M467" s="34" t="s">
        <v>722</v>
      </c>
      <c r="N467" s="34" t="s">
        <v>1705</v>
      </c>
      <c r="O467" s="35">
        <v>1</v>
      </c>
      <c r="P467" s="35"/>
      <c r="Q467" s="32"/>
      <c r="S467" s="1">
        <f t="shared" ref="S467:S510" si="145">IF(J467=$S$7,1,0)</f>
        <v>1</v>
      </c>
      <c r="T467" s="1">
        <f t="shared" ref="T467:T510" si="146">IF(J467=$T$7,1,0)</f>
        <v>0</v>
      </c>
      <c r="U467" s="1">
        <f t="shared" ref="U467:U510" si="147">IF(J467=$U$7,1,0)</f>
        <v>0</v>
      </c>
      <c r="V467" s="1">
        <f t="shared" ref="V467:V510" si="148">IF(J467=$V$7,1,0)</f>
        <v>0</v>
      </c>
      <c r="W467" s="1">
        <f t="shared" ref="W467:W510" si="149">IF(J467=$W$7,1,0)</f>
        <v>0</v>
      </c>
      <c r="X467" s="1">
        <f t="shared" ref="X467:X510" si="150">IF(J467=$X$7,1,0)</f>
        <v>0</v>
      </c>
      <c r="Y467" s="1">
        <f t="shared" ref="Y467:Y510" si="151">IF(J467=$Y$7,1,0)</f>
        <v>0</v>
      </c>
      <c r="Z467" s="1">
        <f t="shared" ref="Z467:Z510" si="152">IF(J467=$Z$7,1,0)</f>
        <v>0</v>
      </c>
      <c r="AA467" s="1">
        <f t="shared" ref="AA467:AA510" si="153">IF(J467=$AA$7,1,0)</f>
        <v>0</v>
      </c>
      <c r="AB467" s="1">
        <f t="shared" ref="AB467:AB510" si="154">IF(J467=$AB$7,1,0)</f>
        <v>0</v>
      </c>
      <c r="AD467" s="1">
        <f t="shared" ref="AD467:AD510" si="155">+O467*P467</f>
        <v>0</v>
      </c>
      <c r="AE467" s="1">
        <f t="shared" ref="AE467:AE510" si="156">O467*(1-P467)</f>
        <v>1</v>
      </c>
      <c r="AF467" s="1">
        <f t="shared" si="141"/>
        <v>0</v>
      </c>
      <c r="AG467" s="1">
        <f t="shared" si="142"/>
        <v>1</v>
      </c>
      <c r="AH467" s="1">
        <f t="shared" si="143"/>
        <v>0</v>
      </c>
      <c r="AI467" s="1">
        <f t="shared" si="144"/>
        <v>1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1062</v>
      </c>
      <c r="E468" s="32" t="s">
        <v>28</v>
      </c>
      <c r="F468" s="32" t="s">
        <v>980</v>
      </c>
      <c r="G468" s="32" t="s">
        <v>1080</v>
      </c>
      <c r="H468" s="32" t="s">
        <v>352</v>
      </c>
      <c r="I468" s="31" t="s">
        <v>1088</v>
      </c>
      <c r="J468" s="31">
        <v>1</v>
      </c>
      <c r="K468" s="33" t="s">
        <v>703</v>
      </c>
      <c r="L468" s="33" t="s">
        <v>704</v>
      </c>
      <c r="M468" s="34" t="s">
        <v>722</v>
      </c>
      <c r="N468" s="34" t="s">
        <v>1705</v>
      </c>
      <c r="O468" s="35">
        <v>1</v>
      </c>
      <c r="P468" s="35"/>
      <c r="Q468" s="32"/>
      <c r="S468" s="1">
        <f t="shared" si="145"/>
        <v>1</v>
      </c>
      <c r="T468" s="1">
        <f t="shared" si="146"/>
        <v>0</v>
      </c>
      <c r="U468" s="1">
        <f t="shared" si="147"/>
        <v>0</v>
      </c>
      <c r="V468" s="1">
        <f t="shared" si="148"/>
        <v>0</v>
      </c>
      <c r="W468" s="1">
        <f t="shared" si="149"/>
        <v>0</v>
      </c>
      <c r="X468" s="1">
        <f t="shared" si="150"/>
        <v>0</v>
      </c>
      <c r="Y468" s="1">
        <f t="shared" si="151"/>
        <v>0</v>
      </c>
      <c r="Z468" s="1">
        <f t="shared" si="152"/>
        <v>0</v>
      </c>
      <c r="AA468" s="1">
        <f t="shared" si="153"/>
        <v>0</v>
      </c>
      <c r="AB468" s="1">
        <f t="shared" si="154"/>
        <v>0</v>
      </c>
      <c r="AD468" s="1">
        <f t="shared" si="155"/>
        <v>0</v>
      </c>
      <c r="AE468" s="1">
        <f t="shared" si="156"/>
        <v>1</v>
      </c>
      <c r="AF468" s="1">
        <f t="shared" ref="AF468:AF510" si="157">+O468*P468*(1-A468)</f>
        <v>0</v>
      </c>
      <c r="AG468" s="1">
        <f t="shared" ref="AG468:AG510" si="158">O468*(1-P468)*(1-A468)</f>
        <v>0</v>
      </c>
      <c r="AH468" s="1">
        <f t="shared" ref="AH468:AH510" si="159">+P468*(1-A468)</f>
        <v>0</v>
      </c>
      <c r="AI468" s="1">
        <f t="shared" ref="AI468:AI510" si="160">+(1-A468)*(1-P468)</f>
        <v>0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1605</v>
      </c>
      <c r="E469" s="32" t="s">
        <v>155</v>
      </c>
      <c r="F469" s="32" t="s">
        <v>1460</v>
      </c>
      <c r="G469" s="32" t="s">
        <v>1461</v>
      </c>
      <c r="H469" s="32" t="s">
        <v>352</v>
      </c>
      <c r="I469" s="31" t="s">
        <v>1462</v>
      </c>
      <c r="J469" s="31">
        <v>99</v>
      </c>
      <c r="K469" s="33" t="s">
        <v>936</v>
      </c>
      <c r="L469" s="33" t="s">
        <v>713</v>
      </c>
      <c r="M469" s="34" t="s">
        <v>723</v>
      </c>
      <c r="N469" s="34" t="s">
        <v>1709</v>
      </c>
      <c r="O469" s="35">
        <v>1</v>
      </c>
      <c r="P469" s="35"/>
      <c r="Q469" s="32"/>
      <c r="S469" s="1">
        <f t="shared" si="145"/>
        <v>0</v>
      </c>
      <c r="T469" s="1">
        <f t="shared" si="146"/>
        <v>0</v>
      </c>
      <c r="U469" s="1">
        <f t="shared" si="147"/>
        <v>0</v>
      </c>
      <c r="V469" s="1">
        <f t="shared" si="148"/>
        <v>0</v>
      </c>
      <c r="W469" s="1">
        <f t="shared" si="149"/>
        <v>0</v>
      </c>
      <c r="X469" s="1">
        <f t="shared" si="150"/>
        <v>0</v>
      </c>
      <c r="Y469" s="1">
        <f t="shared" si="151"/>
        <v>0</v>
      </c>
      <c r="Z469" s="1">
        <f t="shared" si="152"/>
        <v>0</v>
      </c>
      <c r="AA469" s="1">
        <f t="shared" si="153"/>
        <v>0</v>
      </c>
      <c r="AB469" s="1">
        <f t="shared" si="154"/>
        <v>0</v>
      </c>
      <c r="AD469" s="1">
        <f t="shared" si="155"/>
        <v>0</v>
      </c>
      <c r="AE469" s="1">
        <f t="shared" si="156"/>
        <v>1</v>
      </c>
      <c r="AF469" s="1">
        <f t="shared" si="157"/>
        <v>0</v>
      </c>
      <c r="AG469" s="1">
        <f t="shared" si="158"/>
        <v>1</v>
      </c>
      <c r="AH469" s="1">
        <f t="shared" si="159"/>
        <v>0</v>
      </c>
      <c r="AI469" s="1">
        <f t="shared" si="160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82</v>
      </c>
      <c r="E470" s="32" t="s">
        <v>28</v>
      </c>
      <c r="F470" s="32" t="s">
        <v>273</v>
      </c>
      <c r="G470" s="32" t="s">
        <v>274</v>
      </c>
      <c r="H470" s="32" t="s">
        <v>352</v>
      </c>
      <c r="I470" s="31" t="s">
        <v>427</v>
      </c>
      <c r="J470" s="31">
        <v>7</v>
      </c>
      <c r="K470" s="33" t="s">
        <v>936</v>
      </c>
      <c r="L470" s="33" t="s">
        <v>935</v>
      </c>
      <c r="M470" s="34" t="s">
        <v>949</v>
      </c>
      <c r="N470" s="34" t="s">
        <v>1809</v>
      </c>
      <c r="O470" s="35">
        <v>1</v>
      </c>
      <c r="P470" s="35"/>
      <c r="Q470" s="32"/>
      <c r="S470" s="1">
        <f t="shared" si="145"/>
        <v>0</v>
      </c>
      <c r="T470" s="1">
        <f t="shared" si="146"/>
        <v>0</v>
      </c>
      <c r="U470" s="1">
        <f t="shared" si="147"/>
        <v>0</v>
      </c>
      <c r="V470" s="1">
        <f t="shared" si="148"/>
        <v>0</v>
      </c>
      <c r="W470" s="1">
        <f t="shared" si="149"/>
        <v>0</v>
      </c>
      <c r="X470" s="1">
        <f t="shared" si="150"/>
        <v>0</v>
      </c>
      <c r="Y470" s="1">
        <f t="shared" si="151"/>
        <v>1</v>
      </c>
      <c r="Z470" s="1">
        <f t="shared" si="152"/>
        <v>0</v>
      </c>
      <c r="AA470" s="1">
        <f t="shared" si="153"/>
        <v>0</v>
      </c>
      <c r="AB470" s="1">
        <f t="shared" si="154"/>
        <v>0</v>
      </c>
      <c r="AD470" s="1">
        <f t="shared" si="155"/>
        <v>0</v>
      </c>
      <c r="AE470" s="1">
        <f t="shared" si="156"/>
        <v>1</v>
      </c>
      <c r="AF470" s="1">
        <f t="shared" si="157"/>
        <v>0</v>
      </c>
      <c r="AG470" s="1">
        <f t="shared" si="158"/>
        <v>1</v>
      </c>
      <c r="AH470" s="1">
        <f t="shared" si="159"/>
        <v>0</v>
      </c>
      <c r="AI470" s="1">
        <f t="shared" si="160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76</v>
      </c>
      <c r="E471" s="32" t="s">
        <v>28</v>
      </c>
      <c r="F471" s="32" t="s">
        <v>1647</v>
      </c>
      <c r="G471" s="32" t="s">
        <v>189</v>
      </c>
      <c r="H471" s="32" t="s">
        <v>352</v>
      </c>
      <c r="I471" s="31" t="s">
        <v>421</v>
      </c>
      <c r="J471" s="31">
        <v>99</v>
      </c>
      <c r="K471" s="33" t="s">
        <v>935</v>
      </c>
      <c r="L471" s="33" t="s">
        <v>704</v>
      </c>
      <c r="M471" s="34" t="s">
        <v>722</v>
      </c>
      <c r="N471" s="34" t="s">
        <v>1705</v>
      </c>
      <c r="O471" s="35">
        <v>1</v>
      </c>
      <c r="P471" s="35"/>
      <c r="Q471" s="32"/>
      <c r="S471" s="1">
        <f t="shared" si="145"/>
        <v>0</v>
      </c>
      <c r="T471" s="1">
        <f t="shared" si="146"/>
        <v>0</v>
      </c>
      <c r="U471" s="1">
        <f t="shared" si="147"/>
        <v>0</v>
      </c>
      <c r="V471" s="1">
        <f t="shared" si="148"/>
        <v>0</v>
      </c>
      <c r="W471" s="1">
        <f t="shared" si="149"/>
        <v>0</v>
      </c>
      <c r="X471" s="1">
        <f t="shared" si="150"/>
        <v>0</v>
      </c>
      <c r="Y471" s="1">
        <f t="shared" si="151"/>
        <v>0</v>
      </c>
      <c r="Z471" s="1">
        <f t="shared" si="152"/>
        <v>0</v>
      </c>
      <c r="AA471" s="1">
        <f t="shared" si="153"/>
        <v>0</v>
      </c>
      <c r="AB471" s="1">
        <f t="shared" si="154"/>
        <v>0</v>
      </c>
      <c r="AD471" s="1">
        <f t="shared" si="155"/>
        <v>0</v>
      </c>
      <c r="AE471" s="1">
        <f t="shared" si="156"/>
        <v>1</v>
      </c>
      <c r="AF471" s="1">
        <f t="shared" si="157"/>
        <v>0</v>
      </c>
      <c r="AG471" s="1">
        <f t="shared" si="158"/>
        <v>1</v>
      </c>
      <c r="AH471" s="1">
        <f t="shared" si="159"/>
        <v>0</v>
      </c>
      <c r="AI471" s="1">
        <f t="shared" si="160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6" t="s">
        <v>1986</v>
      </c>
      <c r="E472" s="32" t="s">
        <v>1990</v>
      </c>
      <c r="F472" s="36" t="s">
        <v>1987</v>
      </c>
      <c r="G472" s="36" t="s">
        <v>1988</v>
      </c>
      <c r="H472" s="36" t="s">
        <v>352</v>
      </c>
      <c r="I472" s="37" t="s">
        <v>1989</v>
      </c>
      <c r="J472" s="31">
        <v>99</v>
      </c>
      <c r="K472" s="33" t="s">
        <v>694</v>
      </c>
      <c r="L472" s="33">
        <v>20</v>
      </c>
      <c r="M472" s="34" t="s">
        <v>1992</v>
      </c>
      <c r="N472" s="34" t="s">
        <v>1709</v>
      </c>
      <c r="O472" s="35">
        <v>1</v>
      </c>
      <c r="P472" s="35"/>
      <c r="Q472" s="36" t="s">
        <v>1991</v>
      </c>
      <c r="S472" s="1">
        <f t="shared" si="145"/>
        <v>0</v>
      </c>
      <c r="T472" s="1">
        <f t="shared" si="146"/>
        <v>0</v>
      </c>
      <c r="U472" s="1">
        <f t="shared" si="147"/>
        <v>0</v>
      </c>
      <c r="V472" s="1">
        <f t="shared" si="148"/>
        <v>0</v>
      </c>
      <c r="W472" s="1">
        <f t="shared" si="149"/>
        <v>0</v>
      </c>
      <c r="X472" s="1">
        <f t="shared" si="150"/>
        <v>0</v>
      </c>
      <c r="Y472" s="1">
        <f t="shared" si="151"/>
        <v>0</v>
      </c>
      <c r="Z472" s="1">
        <f t="shared" si="152"/>
        <v>0</v>
      </c>
      <c r="AA472" s="1">
        <f t="shared" si="153"/>
        <v>0</v>
      </c>
      <c r="AB472" s="1">
        <f t="shared" si="154"/>
        <v>0</v>
      </c>
      <c r="AD472" s="1">
        <f t="shared" si="155"/>
        <v>0</v>
      </c>
      <c r="AE472" s="1">
        <f t="shared" si="156"/>
        <v>1</v>
      </c>
      <c r="AF472" s="1">
        <f t="shared" si="157"/>
        <v>0</v>
      </c>
      <c r="AG472" s="1">
        <f t="shared" si="158"/>
        <v>1</v>
      </c>
      <c r="AH472" s="1">
        <f t="shared" si="159"/>
        <v>0</v>
      </c>
      <c r="AI472" s="1">
        <f t="shared" si="160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1607</v>
      </c>
      <c r="E473" s="32" t="s">
        <v>162</v>
      </c>
      <c r="F473" s="32" t="s">
        <v>243</v>
      </c>
      <c r="G473" s="32" t="s">
        <v>217</v>
      </c>
      <c r="H473" s="32" t="s">
        <v>352</v>
      </c>
      <c r="I473" s="31" t="s">
        <v>406</v>
      </c>
      <c r="J473" s="31">
        <v>99</v>
      </c>
      <c r="K473" s="33" t="s">
        <v>704</v>
      </c>
      <c r="L473" s="33" t="s">
        <v>713</v>
      </c>
      <c r="M473" s="34" t="s">
        <v>723</v>
      </c>
      <c r="N473" s="34" t="s">
        <v>1693</v>
      </c>
      <c r="O473" s="35">
        <v>1</v>
      </c>
      <c r="P473" s="35">
        <v>1</v>
      </c>
      <c r="Q473" s="32"/>
      <c r="S473" s="1">
        <f t="shared" si="145"/>
        <v>0</v>
      </c>
      <c r="T473" s="1">
        <f t="shared" si="146"/>
        <v>0</v>
      </c>
      <c r="U473" s="1">
        <f t="shared" si="147"/>
        <v>0</v>
      </c>
      <c r="V473" s="1">
        <f t="shared" si="148"/>
        <v>0</v>
      </c>
      <c r="W473" s="1">
        <f t="shared" si="149"/>
        <v>0</v>
      </c>
      <c r="X473" s="1">
        <f t="shared" si="150"/>
        <v>0</v>
      </c>
      <c r="Y473" s="1">
        <f t="shared" si="151"/>
        <v>0</v>
      </c>
      <c r="Z473" s="1">
        <f t="shared" si="152"/>
        <v>0</v>
      </c>
      <c r="AA473" s="1">
        <f t="shared" si="153"/>
        <v>0</v>
      </c>
      <c r="AB473" s="1">
        <f t="shared" si="154"/>
        <v>0</v>
      </c>
      <c r="AD473" s="1">
        <f t="shared" si="155"/>
        <v>1</v>
      </c>
      <c r="AE473" s="1">
        <f t="shared" si="156"/>
        <v>0</v>
      </c>
      <c r="AF473" s="1">
        <f t="shared" si="157"/>
        <v>1</v>
      </c>
      <c r="AG473" s="1">
        <f t="shared" si="158"/>
        <v>0</v>
      </c>
      <c r="AH473" s="1">
        <f t="shared" si="159"/>
        <v>1</v>
      </c>
      <c r="AI473" s="1">
        <f t="shared" si="160"/>
        <v>0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1505</v>
      </c>
      <c r="E474" s="32" t="s">
        <v>155</v>
      </c>
      <c r="F474" s="32" t="s">
        <v>1506</v>
      </c>
      <c r="G474" s="32" t="s">
        <v>39</v>
      </c>
      <c r="H474" s="32" t="s">
        <v>352</v>
      </c>
      <c r="I474" s="31" t="s">
        <v>1507</v>
      </c>
      <c r="J474" s="31">
        <v>99</v>
      </c>
      <c r="K474" s="33" t="s">
        <v>704</v>
      </c>
      <c r="L474" s="33" t="s">
        <v>713</v>
      </c>
      <c r="M474" s="34" t="s">
        <v>723</v>
      </c>
      <c r="N474" s="34" t="s">
        <v>1709</v>
      </c>
      <c r="O474" s="35">
        <v>1</v>
      </c>
      <c r="P474" s="35"/>
      <c r="Q474" s="32"/>
      <c r="S474" s="1">
        <f t="shared" si="145"/>
        <v>0</v>
      </c>
      <c r="T474" s="1">
        <f t="shared" si="146"/>
        <v>0</v>
      </c>
      <c r="U474" s="1">
        <f t="shared" si="147"/>
        <v>0</v>
      </c>
      <c r="V474" s="1">
        <f t="shared" si="148"/>
        <v>0</v>
      </c>
      <c r="W474" s="1">
        <f t="shared" si="149"/>
        <v>0</v>
      </c>
      <c r="X474" s="1">
        <f t="shared" si="150"/>
        <v>0</v>
      </c>
      <c r="Y474" s="1">
        <f t="shared" si="151"/>
        <v>0</v>
      </c>
      <c r="Z474" s="1">
        <f t="shared" si="152"/>
        <v>0</v>
      </c>
      <c r="AA474" s="1">
        <f t="shared" si="153"/>
        <v>0</v>
      </c>
      <c r="AB474" s="1">
        <f t="shared" si="154"/>
        <v>0</v>
      </c>
      <c r="AD474" s="1">
        <f t="shared" si="155"/>
        <v>0</v>
      </c>
      <c r="AE474" s="1">
        <f t="shared" si="156"/>
        <v>1</v>
      </c>
      <c r="AF474" s="1">
        <f t="shared" si="157"/>
        <v>0</v>
      </c>
      <c r="AG474" s="1">
        <f t="shared" si="158"/>
        <v>1</v>
      </c>
      <c r="AH474" s="1">
        <f t="shared" si="159"/>
        <v>0</v>
      </c>
      <c r="AI474" s="1">
        <f t="shared" si="160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955</v>
      </c>
      <c r="G475" s="32" t="s">
        <v>1082</v>
      </c>
      <c r="H475" s="32" t="s">
        <v>352</v>
      </c>
      <c r="I475" s="31" t="s">
        <v>1089</v>
      </c>
      <c r="J475" s="31">
        <v>99</v>
      </c>
      <c r="K475" s="33" t="s">
        <v>704</v>
      </c>
      <c r="L475" s="33" t="s">
        <v>704</v>
      </c>
      <c r="M475" s="34" t="s">
        <v>722</v>
      </c>
      <c r="N475" s="34" t="s">
        <v>1705</v>
      </c>
      <c r="O475" s="35">
        <v>1</v>
      </c>
      <c r="P475" s="35"/>
      <c r="Q475" s="32"/>
      <c r="S475" s="1">
        <f t="shared" si="145"/>
        <v>0</v>
      </c>
      <c r="T475" s="1">
        <f t="shared" si="146"/>
        <v>0</v>
      </c>
      <c r="U475" s="1">
        <f t="shared" si="147"/>
        <v>0</v>
      </c>
      <c r="V475" s="1">
        <f t="shared" si="148"/>
        <v>0</v>
      </c>
      <c r="W475" s="1">
        <f t="shared" si="149"/>
        <v>0</v>
      </c>
      <c r="X475" s="1">
        <f t="shared" si="150"/>
        <v>0</v>
      </c>
      <c r="Y475" s="1">
        <f t="shared" si="151"/>
        <v>0</v>
      </c>
      <c r="Z475" s="1">
        <f t="shared" si="152"/>
        <v>0</v>
      </c>
      <c r="AA475" s="1">
        <f t="shared" si="153"/>
        <v>0</v>
      </c>
      <c r="AB475" s="1">
        <f t="shared" si="154"/>
        <v>0</v>
      </c>
      <c r="AD475" s="1">
        <f t="shared" si="155"/>
        <v>0</v>
      </c>
      <c r="AE475" s="1">
        <f t="shared" si="156"/>
        <v>1</v>
      </c>
      <c r="AF475" s="1">
        <f t="shared" si="157"/>
        <v>0</v>
      </c>
      <c r="AG475" s="1">
        <f t="shared" si="158"/>
        <v>1</v>
      </c>
      <c r="AH475" s="1">
        <f t="shared" si="159"/>
        <v>0</v>
      </c>
      <c r="AI475" s="1">
        <f t="shared" si="160"/>
        <v>1</v>
      </c>
    </row>
    <row r="476" spans="1:35" s="1" customFormat="1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244</v>
      </c>
      <c r="G476" s="32" t="s">
        <v>223</v>
      </c>
      <c r="H476" s="32" t="s">
        <v>352</v>
      </c>
      <c r="I476" s="31" t="s">
        <v>407</v>
      </c>
      <c r="J476" s="31">
        <v>99</v>
      </c>
      <c r="K476" s="33" t="s">
        <v>704</v>
      </c>
      <c r="L476" s="33" t="s">
        <v>704</v>
      </c>
      <c r="M476" s="34" t="s">
        <v>722</v>
      </c>
      <c r="N476" s="34" t="s">
        <v>1705</v>
      </c>
      <c r="O476" s="35">
        <v>1</v>
      </c>
      <c r="P476" s="35"/>
      <c r="Q476" s="32"/>
      <c r="S476" s="1">
        <f t="shared" si="145"/>
        <v>0</v>
      </c>
      <c r="T476" s="1">
        <f t="shared" si="146"/>
        <v>0</v>
      </c>
      <c r="U476" s="1">
        <f t="shared" si="147"/>
        <v>0</v>
      </c>
      <c r="V476" s="1">
        <f t="shared" si="148"/>
        <v>0</v>
      </c>
      <c r="W476" s="1">
        <f t="shared" si="149"/>
        <v>0</v>
      </c>
      <c r="X476" s="1">
        <f t="shared" si="150"/>
        <v>0</v>
      </c>
      <c r="Y476" s="1">
        <f t="shared" si="151"/>
        <v>0</v>
      </c>
      <c r="Z476" s="1">
        <f t="shared" si="152"/>
        <v>0</v>
      </c>
      <c r="AA476" s="1">
        <f t="shared" si="153"/>
        <v>0</v>
      </c>
      <c r="AB476" s="1">
        <f t="shared" si="154"/>
        <v>0</v>
      </c>
      <c r="AD476" s="1">
        <f t="shared" si="155"/>
        <v>0</v>
      </c>
      <c r="AE476" s="1">
        <f t="shared" si="156"/>
        <v>1</v>
      </c>
      <c r="AF476" s="1">
        <f t="shared" si="157"/>
        <v>0</v>
      </c>
      <c r="AG476" s="1">
        <f t="shared" si="158"/>
        <v>0</v>
      </c>
      <c r="AH476" s="1">
        <f t="shared" si="159"/>
        <v>0</v>
      </c>
      <c r="AI476" s="1">
        <f t="shared" si="160"/>
        <v>0</v>
      </c>
    </row>
    <row r="477" spans="1:35" s="1" customFormat="1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245</v>
      </c>
      <c r="G477" s="32" t="s">
        <v>219</v>
      </c>
      <c r="H477" s="32" t="s">
        <v>352</v>
      </c>
      <c r="I477" s="31" t="s">
        <v>408</v>
      </c>
      <c r="J477" s="31">
        <v>8</v>
      </c>
      <c r="K477" s="33" t="s">
        <v>704</v>
      </c>
      <c r="L477" s="33" t="s">
        <v>704</v>
      </c>
      <c r="M477" s="34" t="s">
        <v>722</v>
      </c>
      <c r="N477" s="34" t="s">
        <v>1705</v>
      </c>
      <c r="O477" s="35">
        <v>1</v>
      </c>
      <c r="P477" s="35"/>
      <c r="Q477" s="32" t="s">
        <v>1969</v>
      </c>
      <c r="S477" s="1">
        <f t="shared" si="145"/>
        <v>0</v>
      </c>
      <c r="T477" s="1">
        <f t="shared" si="146"/>
        <v>0</v>
      </c>
      <c r="U477" s="1">
        <f t="shared" si="147"/>
        <v>0</v>
      </c>
      <c r="V477" s="1">
        <f t="shared" si="148"/>
        <v>0</v>
      </c>
      <c r="W477" s="1">
        <f t="shared" si="149"/>
        <v>0</v>
      </c>
      <c r="X477" s="1">
        <f t="shared" si="150"/>
        <v>0</v>
      </c>
      <c r="Y477" s="1">
        <f t="shared" si="151"/>
        <v>0</v>
      </c>
      <c r="Z477" s="1">
        <f t="shared" si="152"/>
        <v>1</v>
      </c>
      <c r="AA477" s="1">
        <f t="shared" si="153"/>
        <v>0</v>
      </c>
      <c r="AB477" s="1">
        <f t="shared" si="154"/>
        <v>0</v>
      </c>
      <c r="AD477" s="1">
        <f t="shared" si="155"/>
        <v>0</v>
      </c>
      <c r="AE477" s="1">
        <f t="shared" si="156"/>
        <v>1</v>
      </c>
      <c r="AF477" s="1">
        <f t="shared" si="157"/>
        <v>0</v>
      </c>
      <c r="AG477" s="1">
        <f t="shared" si="158"/>
        <v>0</v>
      </c>
      <c r="AH477" s="1">
        <f t="shared" si="159"/>
        <v>0</v>
      </c>
      <c r="AI477" s="1">
        <f t="shared" si="160"/>
        <v>0</v>
      </c>
    </row>
    <row r="478" spans="1:35" s="1" customFormat="1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1015</v>
      </c>
      <c r="G478" s="32" t="s">
        <v>39</v>
      </c>
      <c r="H478" s="32" t="s">
        <v>352</v>
      </c>
      <c r="I478" s="31" t="s">
        <v>1016</v>
      </c>
      <c r="J478" s="31">
        <v>1</v>
      </c>
      <c r="K478" s="33" t="s">
        <v>704</v>
      </c>
      <c r="L478" s="33" t="s">
        <v>704</v>
      </c>
      <c r="M478" s="34" t="s">
        <v>722</v>
      </c>
      <c r="N478" s="34" t="s">
        <v>1705</v>
      </c>
      <c r="O478" s="35">
        <v>1</v>
      </c>
      <c r="P478" s="35"/>
      <c r="Q478" s="32"/>
      <c r="S478" s="1">
        <f t="shared" si="145"/>
        <v>1</v>
      </c>
      <c r="T478" s="1">
        <f t="shared" si="146"/>
        <v>0</v>
      </c>
      <c r="U478" s="1">
        <f t="shared" si="147"/>
        <v>0</v>
      </c>
      <c r="V478" s="1">
        <f t="shared" si="148"/>
        <v>0</v>
      </c>
      <c r="W478" s="1">
        <f t="shared" si="149"/>
        <v>0</v>
      </c>
      <c r="X478" s="1">
        <f t="shared" si="150"/>
        <v>0</v>
      </c>
      <c r="Y478" s="1">
        <f t="shared" si="151"/>
        <v>0</v>
      </c>
      <c r="Z478" s="1">
        <f t="shared" si="152"/>
        <v>0</v>
      </c>
      <c r="AA478" s="1">
        <f t="shared" si="153"/>
        <v>0</v>
      </c>
      <c r="AB478" s="1">
        <f t="shared" si="154"/>
        <v>0</v>
      </c>
      <c r="AD478" s="1">
        <f t="shared" si="155"/>
        <v>0</v>
      </c>
      <c r="AE478" s="1">
        <f t="shared" si="156"/>
        <v>1</v>
      </c>
      <c r="AF478" s="1">
        <f t="shared" si="157"/>
        <v>0</v>
      </c>
      <c r="AG478" s="1">
        <f t="shared" si="158"/>
        <v>0</v>
      </c>
      <c r="AH478" s="1">
        <f t="shared" si="159"/>
        <v>0</v>
      </c>
      <c r="AI478" s="1">
        <f t="shared" si="160"/>
        <v>0</v>
      </c>
    </row>
    <row r="479" spans="1:35" s="1" customFormat="1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1017</v>
      </c>
      <c r="G479" s="32" t="s">
        <v>300</v>
      </c>
      <c r="H479" s="32" t="s">
        <v>352</v>
      </c>
      <c r="I479" s="31" t="s">
        <v>1018</v>
      </c>
      <c r="J479" s="31">
        <v>1</v>
      </c>
      <c r="K479" s="33" t="s">
        <v>704</v>
      </c>
      <c r="L479" s="33" t="s">
        <v>704</v>
      </c>
      <c r="M479" s="34" t="s">
        <v>722</v>
      </c>
      <c r="N479" s="34" t="s">
        <v>1705</v>
      </c>
      <c r="O479" s="35">
        <v>1</v>
      </c>
      <c r="P479" s="35"/>
      <c r="Q479" s="32"/>
      <c r="S479" s="1">
        <f t="shared" si="145"/>
        <v>1</v>
      </c>
      <c r="T479" s="1">
        <f t="shared" si="146"/>
        <v>0</v>
      </c>
      <c r="U479" s="1">
        <f t="shared" si="147"/>
        <v>0</v>
      </c>
      <c r="V479" s="1">
        <f t="shared" si="148"/>
        <v>0</v>
      </c>
      <c r="W479" s="1">
        <f t="shared" si="149"/>
        <v>0</v>
      </c>
      <c r="X479" s="1">
        <f t="shared" si="150"/>
        <v>0</v>
      </c>
      <c r="Y479" s="1">
        <f t="shared" si="151"/>
        <v>0</v>
      </c>
      <c r="Z479" s="1">
        <f t="shared" si="152"/>
        <v>0</v>
      </c>
      <c r="AA479" s="1">
        <f t="shared" si="153"/>
        <v>0</v>
      </c>
      <c r="AB479" s="1">
        <f t="shared" si="154"/>
        <v>0</v>
      </c>
      <c r="AD479" s="1">
        <f t="shared" si="155"/>
        <v>0</v>
      </c>
      <c r="AE479" s="1">
        <f t="shared" si="156"/>
        <v>1</v>
      </c>
      <c r="AF479" s="1">
        <f t="shared" si="157"/>
        <v>0</v>
      </c>
      <c r="AG479" s="1">
        <f t="shared" si="158"/>
        <v>0</v>
      </c>
      <c r="AH479" s="1">
        <f t="shared" si="159"/>
        <v>0</v>
      </c>
      <c r="AI479" s="1">
        <f t="shared" si="160"/>
        <v>0</v>
      </c>
    </row>
    <row r="480" spans="1:35" s="1" customFormat="1" ht="14.25" customHeight="1" x14ac:dyDescent="0.25">
      <c r="A480" s="15">
        <v>0</v>
      </c>
      <c r="B480" s="15">
        <v>2</v>
      </c>
      <c r="C480" s="15">
        <v>7</v>
      </c>
      <c r="D480" s="20" t="s">
        <v>1540</v>
      </c>
      <c r="E480" s="20" t="s">
        <v>155</v>
      </c>
      <c r="F480" s="20" t="s">
        <v>1541</v>
      </c>
      <c r="G480" s="16" t="s">
        <v>206</v>
      </c>
      <c r="H480" s="20" t="s">
        <v>352</v>
      </c>
      <c r="I480" s="21" t="s">
        <v>1542</v>
      </c>
      <c r="J480" s="15">
        <v>99</v>
      </c>
      <c r="K480" s="10" t="s">
        <v>703</v>
      </c>
      <c r="L480" s="10" t="s">
        <v>713</v>
      </c>
      <c r="M480" s="19" t="s">
        <v>723</v>
      </c>
      <c r="N480" s="17"/>
      <c r="Q480" s="16"/>
      <c r="S480" s="1">
        <f t="shared" si="145"/>
        <v>0</v>
      </c>
      <c r="T480" s="1">
        <f t="shared" si="146"/>
        <v>0</v>
      </c>
      <c r="U480" s="1">
        <f t="shared" si="147"/>
        <v>0</v>
      </c>
      <c r="V480" s="1">
        <f t="shared" si="148"/>
        <v>0</v>
      </c>
      <c r="W480" s="1">
        <f t="shared" si="149"/>
        <v>0</v>
      </c>
      <c r="X480" s="1">
        <f t="shared" si="150"/>
        <v>0</v>
      </c>
      <c r="Y480" s="1">
        <f t="shared" si="151"/>
        <v>0</v>
      </c>
      <c r="Z480" s="1">
        <f t="shared" si="152"/>
        <v>0</v>
      </c>
      <c r="AA480" s="1">
        <f t="shared" si="153"/>
        <v>0</v>
      </c>
      <c r="AB480" s="1">
        <f t="shared" si="154"/>
        <v>0</v>
      </c>
      <c r="AD480" s="1">
        <f t="shared" si="155"/>
        <v>0</v>
      </c>
      <c r="AE480" s="1">
        <f t="shared" si="156"/>
        <v>0</v>
      </c>
      <c r="AF480" s="1">
        <f t="shared" si="157"/>
        <v>0</v>
      </c>
      <c r="AG480" s="1">
        <f t="shared" si="158"/>
        <v>0</v>
      </c>
      <c r="AH480" s="1">
        <f t="shared" si="159"/>
        <v>0</v>
      </c>
      <c r="AI480" s="1">
        <f t="shared" si="160"/>
        <v>1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73</v>
      </c>
      <c r="E481" s="32" t="s">
        <v>28</v>
      </c>
      <c r="F481" s="32" t="s">
        <v>263</v>
      </c>
      <c r="G481" s="32" t="s">
        <v>193</v>
      </c>
      <c r="H481" s="32" t="s">
        <v>352</v>
      </c>
      <c r="I481" s="31" t="s">
        <v>419</v>
      </c>
      <c r="J481" s="31">
        <v>9</v>
      </c>
      <c r="K481" s="33" t="s">
        <v>703</v>
      </c>
      <c r="L481" s="33" t="s">
        <v>704</v>
      </c>
      <c r="M481" s="34" t="s">
        <v>722</v>
      </c>
      <c r="N481" s="34" t="s">
        <v>1705</v>
      </c>
      <c r="O481" s="35">
        <v>1</v>
      </c>
      <c r="P481" s="35"/>
      <c r="Q481" s="32"/>
      <c r="S481" s="1">
        <f t="shared" si="145"/>
        <v>0</v>
      </c>
      <c r="T481" s="1">
        <f t="shared" si="146"/>
        <v>0</v>
      </c>
      <c r="U481" s="1">
        <f t="shared" si="147"/>
        <v>0</v>
      </c>
      <c r="V481" s="1">
        <f t="shared" si="148"/>
        <v>0</v>
      </c>
      <c r="W481" s="1">
        <f t="shared" si="149"/>
        <v>0</v>
      </c>
      <c r="X481" s="1">
        <f t="shared" si="150"/>
        <v>0</v>
      </c>
      <c r="Y481" s="1">
        <f t="shared" si="151"/>
        <v>0</v>
      </c>
      <c r="Z481" s="1">
        <f t="shared" si="152"/>
        <v>0</v>
      </c>
      <c r="AA481" s="1">
        <f t="shared" si="153"/>
        <v>1</v>
      </c>
      <c r="AB481" s="1">
        <f t="shared" si="154"/>
        <v>0</v>
      </c>
      <c r="AD481" s="1">
        <f t="shared" si="155"/>
        <v>0</v>
      </c>
      <c r="AE481" s="1">
        <f t="shared" si="156"/>
        <v>1</v>
      </c>
      <c r="AF481" s="1">
        <f t="shared" si="157"/>
        <v>0</v>
      </c>
      <c r="AG481" s="1">
        <f t="shared" si="158"/>
        <v>1</v>
      </c>
      <c r="AH481" s="1">
        <f t="shared" si="159"/>
        <v>0</v>
      </c>
      <c r="AI481" s="1">
        <f t="shared" si="160"/>
        <v>1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59</v>
      </c>
      <c r="E482" s="32" t="s">
        <v>162</v>
      </c>
      <c r="F482" s="32" t="s">
        <v>224</v>
      </c>
      <c r="G482" s="32" t="s">
        <v>225</v>
      </c>
      <c r="H482" s="32" t="s">
        <v>352</v>
      </c>
      <c r="I482" s="31" t="s">
        <v>396</v>
      </c>
      <c r="J482" s="31">
        <v>99</v>
      </c>
      <c r="K482" s="33" t="s">
        <v>704</v>
      </c>
      <c r="L482" s="33" t="s">
        <v>713</v>
      </c>
      <c r="M482" s="34" t="s">
        <v>723</v>
      </c>
      <c r="N482" s="34" t="s">
        <v>1711</v>
      </c>
      <c r="O482" s="35">
        <v>1</v>
      </c>
      <c r="P482" s="35"/>
      <c r="Q482" s="32"/>
      <c r="S482" s="1">
        <f t="shared" si="145"/>
        <v>0</v>
      </c>
      <c r="T482" s="1">
        <f t="shared" si="146"/>
        <v>0</v>
      </c>
      <c r="U482" s="1">
        <f t="shared" si="147"/>
        <v>0</v>
      </c>
      <c r="V482" s="1">
        <f t="shared" si="148"/>
        <v>0</v>
      </c>
      <c r="W482" s="1">
        <f t="shared" si="149"/>
        <v>0</v>
      </c>
      <c r="X482" s="1">
        <f t="shared" si="150"/>
        <v>0</v>
      </c>
      <c r="Y482" s="1">
        <f t="shared" si="151"/>
        <v>0</v>
      </c>
      <c r="Z482" s="1">
        <f t="shared" si="152"/>
        <v>0</v>
      </c>
      <c r="AA482" s="1">
        <f t="shared" si="153"/>
        <v>0</v>
      </c>
      <c r="AB482" s="1">
        <f t="shared" si="154"/>
        <v>0</v>
      </c>
      <c r="AD482" s="1">
        <f t="shared" si="155"/>
        <v>0</v>
      </c>
      <c r="AE482" s="1">
        <f t="shared" si="156"/>
        <v>1</v>
      </c>
      <c r="AF482" s="1">
        <f t="shared" si="157"/>
        <v>0</v>
      </c>
      <c r="AG482" s="1">
        <f t="shared" si="158"/>
        <v>1</v>
      </c>
      <c r="AH482" s="1">
        <f t="shared" si="159"/>
        <v>0</v>
      </c>
      <c r="AI482" s="1">
        <f t="shared" si="160"/>
        <v>1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1056</v>
      </c>
      <c r="E483" s="32" t="s">
        <v>155</v>
      </c>
      <c r="F483" s="32" t="s">
        <v>1057</v>
      </c>
      <c r="G483" s="32" t="s">
        <v>219</v>
      </c>
      <c r="H483" s="32" t="s">
        <v>352</v>
      </c>
      <c r="I483" s="31" t="s">
        <v>1058</v>
      </c>
      <c r="J483" s="31">
        <v>8</v>
      </c>
      <c r="K483" s="33" t="s">
        <v>703</v>
      </c>
      <c r="L483" s="33" t="s">
        <v>713</v>
      </c>
      <c r="M483" s="34" t="s">
        <v>723</v>
      </c>
      <c r="N483" s="34" t="s">
        <v>1709</v>
      </c>
      <c r="O483" s="35">
        <v>1</v>
      </c>
      <c r="P483" s="35"/>
      <c r="Q483" s="32"/>
      <c r="S483" s="1">
        <f t="shared" si="145"/>
        <v>0</v>
      </c>
      <c r="T483" s="1">
        <f t="shared" si="146"/>
        <v>0</v>
      </c>
      <c r="U483" s="1">
        <f t="shared" si="147"/>
        <v>0</v>
      </c>
      <c r="V483" s="1">
        <f t="shared" si="148"/>
        <v>0</v>
      </c>
      <c r="W483" s="1">
        <f t="shared" si="149"/>
        <v>0</v>
      </c>
      <c r="X483" s="1">
        <f t="shared" si="150"/>
        <v>0</v>
      </c>
      <c r="Y483" s="1">
        <f t="shared" si="151"/>
        <v>0</v>
      </c>
      <c r="Z483" s="1">
        <f t="shared" si="152"/>
        <v>1</v>
      </c>
      <c r="AA483" s="1">
        <f t="shared" si="153"/>
        <v>0</v>
      </c>
      <c r="AB483" s="1">
        <f t="shared" si="154"/>
        <v>0</v>
      </c>
      <c r="AD483" s="1">
        <f t="shared" si="155"/>
        <v>0</v>
      </c>
      <c r="AE483" s="1">
        <f t="shared" si="156"/>
        <v>1</v>
      </c>
      <c r="AF483" s="1">
        <f t="shared" si="157"/>
        <v>0</v>
      </c>
      <c r="AG483" s="1">
        <f t="shared" si="158"/>
        <v>1</v>
      </c>
      <c r="AH483" s="1">
        <f t="shared" si="159"/>
        <v>0</v>
      </c>
      <c r="AI483" s="1">
        <f t="shared" si="160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81</v>
      </c>
      <c r="E484" s="32" t="s">
        <v>155</v>
      </c>
      <c r="F484" s="32" t="s">
        <v>272</v>
      </c>
      <c r="G484" s="32" t="s">
        <v>253</v>
      </c>
      <c r="H484" s="32" t="s">
        <v>352</v>
      </c>
      <c r="I484" s="31" t="s">
        <v>426</v>
      </c>
      <c r="J484" s="31">
        <v>99</v>
      </c>
      <c r="K484" s="33" t="s">
        <v>704</v>
      </c>
      <c r="L484" s="33" t="s">
        <v>724</v>
      </c>
      <c r="M484" s="34" t="s">
        <v>725</v>
      </c>
      <c r="N484" s="34" t="s">
        <v>1717</v>
      </c>
      <c r="O484" s="35">
        <v>1</v>
      </c>
      <c r="P484" s="35"/>
      <c r="Q484" s="32"/>
      <c r="S484" s="1">
        <f t="shared" si="145"/>
        <v>0</v>
      </c>
      <c r="T484" s="1">
        <f t="shared" si="146"/>
        <v>0</v>
      </c>
      <c r="U484" s="1">
        <f t="shared" si="147"/>
        <v>0</v>
      </c>
      <c r="V484" s="1">
        <f t="shared" si="148"/>
        <v>0</v>
      </c>
      <c r="W484" s="1">
        <f t="shared" si="149"/>
        <v>0</v>
      </c>
      <c r="X484" s="1">
        <f t="shared" si="150"/>
        <v>0</v>
      </c>
      <c r="Y484" s="1">
        <f t="shared" si="151"/>
        <v>0</v>
      </c>
      <c r="Z484" s="1">
        <f t="shared" si="152"/>
        <v>0</v>
      </c>
      <c r="AA484" s="1">
        <f t="shared" si="153"/>
        <v>0</v>
      </c>
      <c r="AB484" s="1">
        <f t="shared" si="154"/>
        <v>0</v>
      </c>
      <c r="AD484" s="1">
        <f t="shared" si="155"/>
        <v>0</v>
      </c>
      <c r="AE484" s="1">
        <f t="shared" si="156"/>
        <v>1</v>
      </c>
      <c r="AF484" s="1">
        <f t="shared" si="157"/>
        <v>0</v>
      </c>
      <c r="AG484" s="1">
        <f t="shared" si="158"/>
        <v>1</v>
      </c>
      <c r="AH484" s="1">
        <f t="shared" si="159"/>
        <v>0</v>
      </c>
      <c r="AI484" s="1">
        <f t="shared" si="160"/>
        <v>1</v>
      </c>
    </row>
    <row r="485" spans="1:35" s="1" customFormat="1" ht="14.25" customHeight="1" x14ac:dyDescent="0.25">
      <c r="A485" s="37">
        <v>0</v>
      </c>
      <c r="B485" s="37">
        <v>2</v>
      </c>
      <c r="C485" s="37">
        <v>7</v>
      </c>
      <c r="D485" s="36" t="s">
        <v>1736</v>
      </c>
      <c r="E485" s="36" t="s">
        <v>1737</v>
      </c>
      <c r="F485" s="36" t="s">
        <v>1738</v>
      </c>
      <c r="G485" s="36" t="s">
        <v>189</v>
      </c>
      <c r="H485" s="36" t="s">
        <v>352</v>
      </c>
      <c r="I485" s="37"/>
      <c r="J485" s="37"/>
      <c r="K485" s="33" t="s">
        <v>694</v>
      </c>
      <c r="L485" s="33"/>
      <c r="M485" s="34"/>
      <c r="N485" s="34" t="s">
        <v>1693</v>
      </c>
      <c r="O485" s="35">
        <v>1</v>
      </c>
      <c r="P485" s="35">
        <v>1</v>
      </c>
      <c r="Q485" s="36"/>
      <c r="S485" s="1">
        <f t="shared" si="145"/>
        <v>0</v>
      </c>
      <c r="T485" s="1">
        <f t="shared" si="146"/>
        <v>0</v>
      </c>
      <c r="U485" s="1">
        <f t="shared" si="147"/>
        <v>0</v>
      </c>
      <c r="V485" s="1">
        <f t="shared" si="148"/>
        <v>0</v>
      </c>
      <c r="W485" s="1">
        <f t="shared" si="149"/>
        <v>0</v>
      </c>
      <c r="X485" s="1">
        <f t="shared" si="150"/>
        <v>0</v>
      </c>
      <c r="Y485" s="1">
        <f t="shared" si="151"/>
        <v>0</v>
      </c>
      <c r="Z485" s="1">
        <f t="shared" si="152"/>
        <v>0</v>
      </c>
      <c r="AA485" s="1">
        <f t="shared" si="153"/>
        <v>0</v>
      </c>
      <c r="AB485" s="1">
        <f t="shared" si="154"/>
        <v>0</v>
      </c>
      <c r="AD485" s="1">
        <f t="shared" si="155"/>
        <v>1</v>
      </c>
      <c r="AE485" s="1">
        <f t="shared" si="156"/>
        <v>0</v>
      </c>
      <c r="AF485" s="1">
        <f t="shared" si="157"/>
        <v>1</v>
      </c>
      <c r="AG485" s="1">
        <f t="shared" si="158"/>
        <v>0</v>
      </c>
      <c r="AH485" s="1">
        <f t="shared" si="159"/>
        <v>1</v>
      </c>
      <c r="AI485" s="1">
        <f t="shared" si="160"/>
        <v>0</v>
      </c>
    </row>
    <row r="486" spans="1:35" s="1" customFormat="1" ht="14.25" customHeight="1" x14ac:dyDescent="0.25">
      <c r="A486" s="37">
        <v>0</v>
      </c>
      <c r="B486" s="37">
        <v>2</v>
      </c>
      <c r="C486" s="37">
        <v>7</v>
      </c>
      <c r="D486" s="36" t="s">
        <v>510</v>
      </c>
      <c r="E486" s="36" t="s">
        <v>155</v>
      </c>
      <c r="F486" s="36" t="s">
        <v>567</v>
      </c>
      <c r="G486" s="36" t="s">
        <v>319</v>
      </c>
      <c r="H486" s="36" t="s">
        <v>352</v>
      </c>
      <c r="I486" s="37" t="s">
        <v>573</v>
      </c>
      <c r="J486" s="37">
        <v>99</v>
      </c>
      <c r="K486" s="33" t="s">
        <v>935</v>
      </c>
      <c r="L486" s="33" t="s">
        <v>713</v>
      </c>
      <c r="M486" s="34" t="s">
        <v>723</v>
      </c>
      <c r="N486" s="34" t="s">
        <v>1722</v>
      </c>
      <c r="O486" s="35">
        <v>1</v>
      </c>
      <c r="P486" s="35"/>
      <c r="Q486" s="36"/>
      <c r="S486" s="1">
        <f t="shared" si="145"/>
        <v>0</v>
      </c>
      <c r="T486" s="1">
        <f t="shared" si="146"/>
        <v>0</v>
      </c>
      <c r="U486" s="1">
        <f t="shared" si="147"/>
        <v>0</v>
      </c>
      <c r="V486" s="1">
        <f t="shared" si="148"/>
        <v>0</v>
      </c>
      <c r="W486" s="1">
        <f t="shared" si="149"/>
        <v>0</v>
      </c>
      <c r="X486" s="1">
        <f t="shared" si="150"/>
        <v>0</v>
      </c>
      <c r="Y486" s="1">
        <f t="shared" si="151"/>
        <v>0</v>
      </c>
      <c r="Z486" s="1">
        <f t="shared" si="152"/>
        <v>0</v>
      </c>
      <c r="AA486" s="1">
        <f t="shared" si="153"/>
        <v>0</v>
      </c>
      <c r="AB486" s="1">
        <f t="shared" si="154"/>
        <v>0</v>
      </c>
      <c r="AD486" s="1">
        <f t="shared" si="155"/>
        <v>0</v>
      </c>
      <c r="AE486" s="1">
        <f t="shared" si="156"/>
        <v>1</v>
      </c>
      <c r="AF486" s="1">
        <f t="shared" si="157"/>
        <v>0</v>
      </c>
      <c r="AG486" s="1">
        <f t="shared" si="158"/>
        <v>1</v>
      </c>
      <c r="AH486" s="1">
        <f t="shared" si="159"/>
        <v>0</v>
      </c>
      <c r="AI486" s="1">
        <f t="shared" si="160"/>
        <v>1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74</v>
      </c>
      <c r="E487" s="32" t="s">
        <v>155</v>
      </c>
      <c r="F487" s="32" t="s">
        <v>667</v>
      </c>
      <c r="G487" s="32" t="s">
        <v>264</v>
      </c>
      <c r="H487" s="32" t="s">
        <v>352</v>
      </c>
      <c r="I487" s="31" t="s">
        <v>420</v>
      </c>
      <c r="J487" s="31">
        <v>99</v>
      </c>
      <c r="K487" s="33" t="s">
        <v>703</v>
      </c>
      <c r="L487" s="33" t="s">
        <v>720</v>
      </c>
      <c r="M487" s="34" t="s">
        <v>723</v>
      </c>
      <c r="N487" s="34" t="s">
        <v>1705</v>
      </c>
      <c r="O487" s="35">
        <v>1</v>
      </c>
      <c r="P487" s="35"/>
      <c r="Q487" s="32"/>
      <c r="S487" s="1">
        <f t="shared" si="145"/>
        <v>0</v>
      </c>
      <c r="T487" s="1">
        <f t="shared" si="146"/>
        <v>0</v>
      </c>
      <c r="U487" s="1">
        <f t="shared" si="147"/>
        <v>0</v>
      </c>
      <c r="V487" s="1">
        <f t="shared" si="148"/>
        <v>0</v>
      </c>
      <c r="W487" s="1">
        <f t="shared" si="149"/>
        <v>0</v>
      </c>
      <c r="X487" s="1">
        <f t="shared" si="150"/>
        <v>0</v>
      </c>
      <c r="Y487" s="1">
        <f t="shared" si="151"/>
        <v>0</v>
      </c>
      <c r="Z487" s="1">
        <f t="shared" si="152"/>
        <v>0</v>
      </c>
      <c r="AA487" s="1">
        <f t="shared" si="153"/>
        <v>0</v>
      </c>
      <c r="AB487" s="1">
        <f t="shared" si="154"/>
        <v>0</v>
      </c>
      <c r="AD487" s="1">
        <f t="shared" si="155"/>
        <v>0</v>
      </c>
      <c r="AE487" s="1">
        <f t="shared" si="156"/>
        <v>1</v>
      </c>
      <c r="AF487" s="1">
        <f t="shared" si="157"/>
        <v>0</v>
      </c>
      <c r="AG487" s="1">
        <f t="shared" si="158"/>
        <v>1</v>
      </c>
      <c r="AH487" s="1">
        <f t="shared" si="159"/>
        <v>0</v>
      </c>
      <c r="AI487" s="1">
        <f t="shared" si="160"/>
        <v>1</v>
      </c>
    </row>
    <row r="488" spans="1:35" s="1" customFormat="1" ht="14.25" customHeight="1" x14ac:dyDescent="0.25">
      <c r="A488" s="15">
        <v>0</v>
      </c>
      <c r="B488" s="15">
        <v>2</v>
      </c>
      <c r="C488" s="15">
        <v>7</v>
      </c>
      <c r="D488" s="20" t="s">
        <v>1818</v>
      </c>
      <c r="E488" s="16" t="s">
        <v>155</v>
      </c>
      <c r="F488" s="20" t="s">
        <v>1819</v>
      </c>
      <c r="G488" s="20" t="s">
        <v>281</v>
      </c>
      <c r="H488" s="20" t="s">
        <v>352</v>
      </c>
      <c r="I488" s="21" t="s">
        <v>1820</v>
      </c>
      <c r="J488" s="15">
        <v>99</v>
      </c>
      <c r="K488" s="10" t="s">
        <v>694</v>
      </c>
      <c r="L488" s="10" t="s">
        <v>713</v>
      </c>
      <c r="M488" s="19" t="s">
        <v>723</v>
      </c>
      <c r="N488" s="19"/>
      <c r="Q488" s="20"/>
      <c r="S488" s="1">
        <f t="shared" si="145"/>
        <v>0</v>
      </c>
      <c r="T488" s="1">
        <f t="shared" si="146"/>
        <v>0</v>
      </c>
      <c r="U488" s="1">
        <f t="shared" si="147"/>
        <v>0</v>
      </c>
      <c r="V488" s="1">
        <f t="shared" si="148"/>
        <v>0</v>
      </c>
      <c r="W488" s="1">
        <f t="shared" si="149"/>
        <v>0</v>
      </c>
      <c r="X488" s="1">
        <f t="shared" si="150"/>
        <v>0</v>
      </c>
      <c r="Y488" s="1">
        <f t="shared" si="151"/>
        <v>0</v>
      </c>
      <c r="Z488" s="1">
        <f t="shared" si="152"/>
        <v>0</v>
      </c>
      <c r="AA488" s="1">
        <f t="shared" si="153"/>
        <v>0</v>
      </c>
      <c r="AB488" s="1">
        <f t="shared" si="154"/>
        <v>0</v>
      </c>
      <c r="AD488" s="1">
        <f t="shared" si="155"/>
        <v>0</v>
      </c>
      <c r="AE488" s="1">
        <f t="shared" si="156"/>
        <v>0</v>
      </c>
      <c r="AF488" s="1">
        <f t="shared" si="157"/>
        <v>0</v>
      </c>
      <c r="AG488" s="1">
        <f t="shared" si="158"/>
        <v>0</v>
      </c>
      <c r="AH488" s="1">
        <f t="shared" si="159"/>
        <v>0</v>
      </c>
      <c r="AI488" s="1">
        <f t="shared" si="160"/>
        <v>1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60</v>
      </c>
      <c r="E489" s="32" t="s">
        <v>162</v>
      </c>
      <c r="F489" s="32" t="s">
        <v>226</v>
      </c>
      <c r="G489" s="32" t="s">
        <v>189</v>
      </c>
      <c r="H489" s="32" t="s">
        <v>352</v>
      </c>
      <c r="I489" s="31" t="s">
        <v>397</v>
      </c>
      <c r="J489" s="31">
        <v>99</v>
      </c>
      <c r="K489" s="33" t="s">
        <v>704</v>
      </c>
      <c r="L489" s="33" t="s">
        <v>713</v>
      </c>
      <c r="M489" s="34" t="s">
        <v>723</v>
      </c>
      <c r="N489" s="34" t="s">
        <v>1709</v>
      </c>
      <c r="O489" s="35">
        <v>1</v>
      </c>
      <c r="P489" s="35"/>
      <c r="Q489" s="32"/>
      <c r="S489" s="1">
        <f t="shared" si="145"/>
        <v>0</v>
      </c>
      <c r="T489" s="1">
        <f t="shared" si="146"/>
        <v>0</v>
      </c>
      <c r="U489" s="1">
        <f t="shared" si="147"/>
        <v>0</v>
      </c>
      <c r="V489" s="1">
        <f t="shared" si="148"/>
        <v>0</v>
      </c>
      <c r="W489" s="1">
        <f t="shared" si="149"/>
        <v>0</v>
      </c>
      <c r="X489" s="1">
        <f t="shared" si="150"/>
        <v>0</v>
      </c>
      <c r="Y489" s="1">
        <f t="shared" si="151"/>
        <v>0</v>
      </c>
      <c r="Z489" s="1">
        <f t="shared" si="152"/>
        <v>0</v>
      </c>
      <c r="AA489" s="1">
        <f t="shared" si="153"/>
        <v>0</v>
      </c>
      <c r="AB489" s="1">
        <f t="shared" si="154"/>
        <v>0</v>
      </c>
      <c r="AD489" s="1">
        <f t="shared" si="155"/>
        <v>0</v>
      </c>
      <c r="AE489" s="1">
        <f t="shared" si="156"/>
        <v>1</v>
      </c>
      <c r="AF489" s="1">
        <f t="shared" si="157"/>
        <v>0</v>
      </c>
      <c r="AG489" s="1">
        <f t="shared" si="158"/>
        <v>1</v>
      </c>
      <c r="AH489" s="1">
        <f t="shared" si="159"/>
        <v>0</v>
      </c>
      <c r="AI489" s="1">
        <f t="shared" si="160"/>
        <v>1</v>
      </c>
    </row>
    <row r="490" spans="1:35" s="1" customFormat="1" ht="14.25" customHeight="1" x14ac:dyDescent="0.25">
      <c r="A490" s="31">
        <v>0</v>
      </c>
      <c r="B490" s="31">
        <v>2</v>
      </c>
      <c r="C490" s="31">
        <v>7</v>
      </c>
      <c r="D490" s="32" t="s">
        <v>1303</v>
      </c>
      <c r="E490" s="32" t="s">
        <v>155</v>
      </c>
      <c r="F490" s="32" t="s">
        <v>1121</v>
      </c>
      <c r="G490" s="32" t="s">
        <v>191</v>
      </c>
      <c r="H490" s="32" t="s">
        <v>352</v>
      </c>
      <c r="I490" s="31" t="s">
        <v>1340</v>
      </c>
      <c r="J490" s="31">
        <v>99</v>
      </c>
      <c r="K490" s="33" t="s">
        <v>703</v>
      </c>
      <c r="L490" s="33" t="s">
        <v>39</v>
      </c>
      <c r="M490" s="34" t="s">
        <v>39</v>
      </c>
      <c r="N490" s="34" t="s">
        <v>1693</v>
      </c>
      <c r="O490" s="35">
        <v>1</v>
      </c>
      <c r="P490" s="35">
        <v>1</v>
      </c>
      <c r="Q490" s="32"/>
      <c r="S490" s="1">
        <f t="shared" si="145"/>
        <v>0</v>
      </c>
      <c r="T490" s="1">
        <f t="shared" si="146"/>
        <v>0</v>
      </c>
      <c r="U490" s="1">
        <f t="shared" si="147"/>
        <v>0</v>
      </c>
      <c r="V490" s="1">
        <f t="shared" si="148"/>
        <v>0</v>
      </c>
      <c r="W490" s="1">
        <f t="shared" si="149"/>
        <v>0</v>
      </c>
      <c r="X490" s="1">
        <f t="shared" si="150"/>
        <v>0</v>
      </c>
      <c r="Y490" s="1">
        <f t="shared" si="151"/>
        <v>0</v>
      </c>
      <c r="Z490" s="1">
        <f t="shared" si="152"/>
        <v>0</v>
      </c>
      <c r="AA490" s="1">
        <f t="shared" si="153"/>
        <v>0</v>
      </c>
      <c r="AB490" s="1">
        <f t="shared" si="154"/>
        <v>0</v>
      </c>
      <c r="AD490" s="1">
        <f t="shared" si="155"/>
        <v>1</v>
      </c>
      <c r="AE490" s="1">
        <f t="shared" si="156"/>
        <v>0</v>
      </c>
      <c r="AF490" s="1">
        <f t="shared" si="157"/>
        <v>1</v>
      </c>
      <c r="AG490" s="1">
        <f t="shared" si="158"/>
        <v>0</v>
      </c>
      <c r="AH490" s="1">
        <f t="shared" si="159"/>
        <v>1</v>
      </c>
      <c r="AI490" s="1">
        <f t="shared" si="160"/>
        <v>0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581</v>
      </c>
      <c r="E491" s="32" t="s">
        <v>1311</v>
      </c>
      <c r="F491" s="32" t="s">
        <v>668</v>
      </c>
      <c r="G491" s="32" t="s">
        <v>239</v>
      </c>
      <c r="H491" s="32" t="s">
        <v>352</v>
      </c>
      <c r="I491" s="31" t="s">
        <v>403</v>
      </c>
      <c r="J491" s="31">
        <v>1</v>
      </c>
      <c r="K491" s="33" t="s">
        <v>704</v>
      </c>
      <c r="L491" s="33" t="s">
        <v>1677</v>
      </c>
      <c r="M491" s="34" t="s">
        <v>1408</v>
      </c>
      <c r="N491" s="34" t="s">
        <v>1709</v>
      </c>
      <c r="O491" s="35">
        <v>1</v>
      </c>
      <c r="P491" s="35"/>
      <c r="Q491" s="32"/>
      <c r="S491" s="1">
        <f t="shared" si="145"/>
        <v>1</v>
      </c>
      <c r="T491" s="1">
        <f t="shared" si="146"/>
        <v>0</v>
      </c>
      <c r="U491" s="1">
        <f t="shared" si="147"/>
        <v>0</v>
      </c>
      <c r="V491" s="1">
        <f t="shared" si="148"/>
        <v>0</v>
      </c>
      <c r="W491" s="1">
        <f t="shared" si="149"/>
        <v>0</v>
      </c>
      <c r="X491" s="1">
        <f t="shared" si="150"/>
        <v>0</v>
      </c>
      <c r="Y491" s="1">
        <f t="shared" si="151"/>
        <v>0</v>
      </c>
      <c r="Z491" s="1">
        <f t="shared" si="152"/>
        <v>0</v>
      </c>
      <c r="AA491" s="1">
        <f t="shared" si="153"/>
        <v>0</v>
      </c>
      <c r="AB491" s="1">
        <f t="shared" si="154"/>
        <v>0</v>
      </c>
      <c r="AD491" s="1">
        <f t="shared" si="155"/>
        <v>0</v>
      </c>
      <c r="AE491" s="1">
        <f t="shared" si="156"/>
        <v>1</v>
      </c>
      <c r="AF491" s="1">
        <f t="shared" si="157"/>
        <v>0</v>
      </c>
      <c r="AG491" s="1">
        <f t="shared" si="158"/>
        <v>1</v>
      </c>
      <c r="AH491" s="1">
        <f t="shared" si="159"/>
        <v>0</v>
      </c>
      <c r="AI491" s="1">
        <f t="shared" si="160"/>
        <v>1</v>
      </c>
    </row>
    <row r="492" spans="1:35" s="1" customFormat="1" ht="14.25" customHeight="1" x14ac:dyDescent="0.25">
      <c r="A492" s="31">
        <v>1</v>
      </c>
      <c r="B492" s="31">
        <v>2</v>
      </c>
      <c r="C492" s="31">
        <v>7</v>
      </c>
      <c r="D492" s="32" t="s">
        <v>581</v>
      </c>
      <c r="E492" s="32" t="s">
        <v>1311</v>
      </c>
      <c r="F492" s="32" t="s">
        <v>238</v>
      </c>
      <c r="G492" s="32" t="s">
        <v>177</v>
      </c>
      <c r="H492" s="32" t="s">
        <v>352</v>
      </c>
      <c r="I492" s="31" t="s">
        <v>402</v>
      </c>
      <c r="J492" s="31">
        <v>1</v>
      </c>
      <c r="K492" s="33" t="s">
        <v>704</v>
      </c>
      <c r="L492" s="33" t="s">
        <v>1677</v>
      </c>
      <c r="M492" s="34" t="s">
        <v>1408</v>
      </c>
      <c r="N492" s="34" t="s">
        <v>1709</v>
      </c>
      <c r="O492" s="35">
        <v>1</v>
      </c>
      <c r="P492" s="35"/>
      <c r="Q492" s="36" t="s">
        <v>1870</v>
      </c>
      <c r="S492" s="1">
        <f t="shared" si="145"/>
        <v>1</v>
      </c>
      <c r="T492" s="1">
        <f t="shared" si="146"/>
        <v>0</v>
      </c>
      <c r="U492" s="1">
        <f t="shared" si="147"/>
        <v>0</v>
      </c>
      <c r="V492" s="1">
        <f t="shared" si="148"/>
        <v>0</v>
      </c>
      <c r="W492" s="1">
        <f t="shared" si="149"/>
        <v>0</v>
      </c>
      <c r="X492" s="1">
        <f t="shared" si="150"/>
        <v>0</v>
      </c>
      <c r="Y492" s="1">
        <f t="shared" si="151"/>
        <v>0</v>
      </c>
      <c r="Z492" s="1">
        <f t="shared" si="152"/>
        <v>0</v>
      </c>
      <c r="AA492" s="1">
        <f t="shared" si="153"/>
        <v>0</v>
      </c>
      <c r="AB492" s="1">
        <f t="shared" si="154"/>
        <v>0</v>
      </c>
      <c r="AD492" s="1">
        <f t="shared" si="155"/>
        <v>0</v>
      </c>
      <c r="AE492" s="1">
        <f t="shared" si="156"/>
        <v>1</v>
      </c>
      <c r="AF492" s="1">
        <f t="shared" si="157"/>
        <v>0</v>
      </c>
      <c r="AG492" s="1">
        <f t="shared" si="158"/>
        <v>0</v>
      </c>
      <c r="AH492" s="1">
        <f t="shared" si="159"/>
        <v>0</v>
      </c>
      <c r="AI492" s="1">
        <f t="shared" si="160"/>
        <v>0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1304</v>
      </c>
      <c r="E493" s="32" t="s">
        <v>155</v>
      </c>
      <c r="F493" s="32" t="s">
        <v>1328</v>
      </c>
      <c r="G493" s="32" t="s">
        <v>257</v>
      </c>
      <c r="H493" s="32" t="s">
        <v>352</v>
      </c>
      <c r="I493" s="31" t="s">
        <v>1214</v>
      </c>
      <c r="J493" s="31">
        <v>8</v>
      </c>
      <c r="K493" s="33" t="s">
        <v>936</v>
      </c>
      <c r="L493" s="33" t="s">
        <v>713</v>
      </c>
      <c r="M493" s="34" t="s">
        <v>723</v>
      </c>
      <c r="N493" s="34" t="s">
        <v>1709</v>
      </c>
      <c r="O493" s="35">
        <v>1</v>
      </c>
      <c r="P493" s="35"/>
      <c r="Q493" s="32"/>
      <c r="S493" s="1">
        <f t="shared" si="145"/>
        <v>0</v>
      </c>
      <c r="T493" s="1">
        <f t="shared" si="146"/>
        <v>0</v>
      </c>
      <c r="U493" s="1">
        <f t="shared" si="147"/>
        <v>0</v>
      </c>
      <c r="V493" s="1">
        <f t="shared" si="148"/>
        <v>0</v>
      </c>
      <c r="W493" s="1">
        <f t="shared" si="149"/>
        <v>0</v>
      </c>
      <c r="X493" s="1">
        <f t="shared" si="150"/>
        <v>0</v>
      </c>
      <c r="Y493" s="1">
        <f t="shared" si="151"/>
        <v>0</v>
      </c>
      <c r="Z493" s="1">
        <f t="shared" si="152"/>
        <v>1</v>
      </c>
      <c r="AA493" s="1">
        <f t="shared" si="153"/>
        <v>0</v>
      </c>
      <c r="AB493" s="1">
        <f t="shared" si="154"/>
        <v>0</v>
      </c>
      <c r="AD493" s="1">
        <f t="shared" si="155"/>
        <v>0</v>
      </c>
      <c r="AE493" s="1">
        <f t="shared" si="156"/>
        <v>1</v>
      </c>
      <c r="AF493" s="1">
        <f t="shared" si="157"/>
        <v>0</v>
      </c>
      <c r="AG493" s="1">
        <f t="shared" si="158"/>
        <v>1</v>
      </c>
      <c r="AH493" s="1">
        <f t="shared" si="159"/>
        <v>0</v>
      </c>
      <c r="AI493" s="1">
        <f t="shared" si="160"/>
        <v>1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1304</v>
      </c>
      <c r="E494" s="32" t="s">
        <v>155</v>
      </c>
      <c r="F494" s="32" t="s">
        <v>1193</v>
      </c>
      <c r="G494" s="32" t="s">
        <v>217</v>
      </c>
      <c r="H494" s="32" t="s">
        <v>352</v>
      </c>
      <c r="I494" s="31" t="s">
        <v>1214</v>
      </c>
      <c r="J494" s="31">
        <v>99</v>
      </c>
      <c r="K494" s="33" t="s">
        <v>936</v>
      </c>
      <c r="L494" s="33" t="s">
        <v>713</v>
      </c>
      <c r="M494" s="34" t="s">
        <v>723</v>
      </c>
      <c r="N494" s="34" t="s">
        <v>1709</v>
      </c>
      <c r="O494" s="35">
        <v>1</v>
      </c>
      <c r="P494" s="35"/>
      <c r="Q494" s="32"/>
      <c r="S494" s="1">
        <f t="shared" si="145"/>
        <v>0</v>
      </c>
      <c r="T494" s="1">
        <f t="shared" si="146"/>
        <v>0</v>
      </c>
      <c r="U494" s="1">
        <f t="shared" si="147"/>
        <v>0</v>
      </c>
      <c r="V494" s="1">
        <f t="shared" si="148"/>
        <v>0</v>
      </c>
      <c r="W494" s="1">
        <f t="shared" si="149"/>
        <v>0</v>
      </c>
      <c r="X494" s="1">
        <f t="shared" si="150"/>
        <v>0</v>
      </c>
      <c r="Y494" s="1">
        <f t="shared" si="151"/>
        <v>0</v>
      </c>
      <c r="Z494" s="1">
        <f t="shared" si="152"/>
        <v>0</v>
      </c>
      <c r="AA494" s="1">
        <f t="shared" si="153"/>
        <v>0</v>
      </c>
      <c r="AB494" s="1">
        <f t="shared" si="154"/>
        <v>0</v>
      </c>
      <c r="AD494" s="1">
        <f t="shared" si="155"/>
        <v>0</v>
      </c>
      <c r="AE494" s="1">
        <f t="shared" si="156"/>
        <v>1</v>
      </c>
      <c r="AF494" s="1">
        <f t="shared" si="157"/>
        <v>0</v>
      </c>
      <c r="AG494" s="1">
        <f t="shared" si="158"/>
        <v>0</v>
      </c>
      <c r="AH494" s="1">
        <f t="shared" si="159"/>
        <v>0</v>
      </c>
      <c r="AI494" s="1">
        <f t="shared" si="160"/>
        <v>0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1223</v>
      </c>
      <c r="E495" s="32" t="s">
        <v>155</v>
      </c>
      <c r="F495" s="32" t="s">
        <v>1225</v>
      </c>
      <c r="G495" s="32" t="s">
        <v>219</v>
      </c>
      <c r="H495" s="32" t="s">
        <v>352</v>
      </c>
      <c r="I495" s="31" t="s">
        <v>1341</v>
      </c>
      <c r="J495" s="31">
        <v>8</v>
      </c>
      <c r="K495" s="33" t="s">
        <v>935</v>
      </c>
      <c r="L495" s="33" t="s">
        <v>713</v>
      </c>
      <c r="M495" s="34" t="s">
        <v>723</v>
      </c>
      <c r="N495" s="34" t="s">
        <v>1705</v>
      </c>
      <c r="O495" s="35">
        <v>1</v>
      </c>
      <c r="P495" s="35"/>
      <c r="Q495" s="32"/>
      <c r="S495" s="1">
        <f t="shared" si="145"/>
        <v>0</v>
      </c>
      <c r="T495" s="1">
        <f t="shared" si="146"/>
        <v>0</v>
      </c>
      <c r="U495" s="1">
        <f t="shared" si="147"/>
        <v>0</v>
      </c>
      <c r="V495" s="1">
        <f t="shared" si="148"/>
        <v>0</v>
      </c>
      <c r="W495" s="1">
        <f t="shared" si="149"/>
        <v>0</v>
      </c>
      <c r="X495" s="1">
        <f t="shared" si="150"/>
        <v>0</v>
      </c>
      <c r="Y495" s="1">
        <f t="shared" si="151"/>
        <v>0</v>
      </c>
      <c r="Z495" s="1">
        <f t="shared" si="152"/>
        <v>1</v>
      </c>
      <c r="AA495" s="1">
        <f t="shared" si="153"/>
        <v>0</v>
      </c>
      <c r="AB495" s="1">
        <f t="shared" si="154"/>
        <v>0</v>
      </c>
      <c r="AD495" s="1">
        <f t="shared" si="155"/>
        <v>0</v>
      </c>
      <c r="AE495" s="1">
        <f t="shared" si="156"/>
        <v>1</v>
      </c>
      <c r="AF495" s="1">
        <f t="shared" si="157"/>
        <v>0</v>
      </c>
      <c r="AG495" s="1">
        <f t="shared" si="158"/>
        <v>1</v>
      </c>
      <c r="AH495" s="1">
        <f t="shared" si="159"/>
        <v>0</v>
      </c>
      <c r="AI495" s="1">
        <f t="shared" si="160"/>
        <v>1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1223</v>
      </c>
      <c r="E496" s="32" t="s">
        <v>155</v>
      </c>
      <c r="F496" s="32" t="s">
        <v>1329</v>
      </c>
      <c r="G496" s="32" t="s">
        <v>39</v>
      </c>
      <c r="H496" s="32" t="s">
        <v>353</v>
      </c>
      <c r="I496" s="31" t="s">
        <v>1224</v>
      </c>
      <c r="J496" s="31">
        <v>99</v>
      </c>
      <c r="K496" s="33" t="s">
        <v>935</v>
      </c>
      <c r="L496" s="33" t="s">
        <v>713</v>
      </c>
      <c r="M496" s="34" t="s">
        <v>723</v>
      </c>
      <c r="N496" s="34" t="s">
        <v>1705</v>
      </c>
      <c r="O496" s="35">
        <v>1</v>
      </c>
      <c r="P496" s="35"/>
      <c r="Q496" s="32" t="s">
        <v>1863</v>
      </c>
      <c r="S496" s="1">
        <f t="shared" si="145"/>
        <v>0</v>
      </c>
      <c r="T496" s="1">
        <f t="shared" si="146"/>
        <v>0</v>
      </c>
      <c r="U496" s="1">
        <f t="shared" si="147"/>
        <v>0</v>
      </c>
      <c r="V496" s="1">
        <f t="shared" si="148"/>
        <v>0</v>
      </c>
      <c r="W496" s="1">
        <f t="shared" si="149"/>
        <v>0</v>
      </c>
      <c r="X496" s="1">
        <f t="shared" si="150"/>
        <v>0</v>
      </c>
      <c r="Y496" s="1">
        <f t="shared" si="151"/>
        <v>0</v>
      </c>
      <c r="Z496" s="1">
        <f t="shared" si="152"/>
        <v>0</v>
      </c>
      <c r="AA496" s="1">
        <f t="shared" si="153"/>
        <v>0</v>
      </c>
      <c r="AB496" s="1">
        <f t="shared" si="154"/>
        <v>0</v>
      </c>
      <c r="AD496" s="1">
        <f t="shared" si="155"/>
        <v>0</v>
      </c>
      <c r="AE496" s="1">
        <f t="shared" si="156"/>
        <v>1</v>
      </c>
      <c r="AF496" s="1">
        <f t="shared" si="157"/>
        <v>0</v>
      </c>
      <c r="AG496" s="1">
        <f t="shared" si="158"/>
        <v>0</v>
      </c>
      <c r="AH496" s="1">
        <f t="shared" si="159"/>
        <v>0</v>
      </c>
      <c r="AI496" s="1">
        <f t="shared" si="160"/>
        <v>0</v>
      </c>
    </row>
    <row r="497" spans="1:35" s="1" customFormat="1" ht="14.25" customHeight="1" x14ac:dyDescent="0.25">
      <c r="A497" s="31">
        <v>1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1491</v>
      </c>
      <c r="G497" s="32" t="s">
        <v>234</v>
      </c>
      <c r="H497" s="32" t="s">
        <v>352</v>
      </c>
      <c r="I497" s="31" t="s">
        <v>1657</v>
      </c>
      <c r="J497" s="31">
        <v>99</v>
      </c>
      <c r="K497" s="33" t="s">
        <v>935</v>
      </c>
      <c r="L497" s="33" t="s">
        <v>713</v>
      </c>
      <c r="M497" s="34" t="s">
        <v>723</v>
      </c>
      <c r="N497" s="34" t="s">
        <v>1705</v>
      </c>
      <c r="O497" s="35">
        <v>1</v>
      </c>
      <c r="P497" s="35"/>
      <c r="Q497" s="32"/>
      <c r="S497" s="1">
        <f t="shared" si="145"/>
        <v>0</v>
      </c>
      <c r="T497" s="1">
        <f t="shared" si="146"/>
        <v>0</v>
      </c>
      <c r="U497" s="1">
        <f t="shared" si="147"/>
        <v>0</v>
      </c>
      <c r="V497" s="1">
        <f t="shared" si="148"/>
        <v>0</v>
      </c>
      <c r="W497" s="1">
        <f t="shared" si="149"/>
        <v>0</v>
      </c>
      <c r="X497" s="1">
        <f t="shared" si="150"/>
        <v>0</v>
      </c>
      <c r="Y497" s="1">
        <f t="shared" si="151"/>
        <v>0</v>
      </c>
      <c r="Z497" s="1">
        <f t="shared" si="152"/>
        <v>0</v>
      </c>
      <c r="AA497" s="1">
        <f t="shared" si="153"/>
        <v>0</v>
      </c>
      <c r="AB497" s="1">
        <f t="shared" si="154"/>
        <v>0</v>
      </c>
      <c r="AD497" s="1">
        <f t="shared" si="155"/>
        <v>0</v>
      </c>
      <c r="AE497" s="1">
        <f t="shared" si="156"/>
        <v>1</v>
      </c>
      <c r="AF497" s="1">
        <f t="shared" si="157"/>
        <v>0</v>
      </c>
      <c r="AG497" s="1">
        <f t="shared" si="158"/>
        <v>0</v>
      </c>
      <c r="AH497" s="1">
        <f t="shared" si="159"/>
        <v>0</v>
      </c>
      <c r="AI497" s="1">
        <f t="shared" si="160"/>
        <v>0</v>
      </c>
    </row>
    <row r="498" spans="1:35" s="1" customFormat="1" ht="14.25" customHeight="1" x14ac:dyDescent="0.25">
      <c r="A498" s="31">
        <v>0</v>
      </c>
      <c r="B498" s="31">
        <v>2</v>
      </c>
      <c r="C498" s="31">
        <v>7</v>
      </c>
      <c r="D498" s="32" t="s">
        <v>1810</v>
      </c>
      <c r="E498" s="32" t="s">
        <v>1811</v>
      </c>
      <c r="F498" s="32" t="s">
        <v>1812</v>
      </c>
      <c r="G498" s="32" t="s">
        <v>264</v>
      </c>
      <c r="H498" s="32" t="s">
        <v>352</v>
      </c>
      <c r="I498" s="31" t="s">
        <v>1813</v>
      </c>
      <c r="J498" s="31">
        <v>99</v>
      </c>
      <c r="K498" s="33" t="s">
        <v>694</v>
      </c>
      <c r="L498" s="33"/>
      <c r="M498" s="34"/>
      <c r="N498" s="34" t="s">
        <v>1693</v>
      </c>
      <c r="O498" s="35">
        <v>1</v>
      </c>
      <c r="P498" s="35">
        <v>1</v>
      </c>
      <c r="Q498" s="32"/>
      <c r="S498" s="1">
        <f t="shared" si="145"/>
        <v>0</v>
      </c>
      <c r="T498" s="1">
        <f t="shared" si="146"/>
        <v>0</v>
      </c>
      <c r="U498" s="1">
        <f t="shared" si="147"/>
        <v>0</v>
      </c>
      <c r="V498" s="1">
        <f t="shared" si="148"/>
        <v>0</v>
      </c>
      <c r="W498" s="1">
        <f t="shared" si="149"/>
        <v>0</v>
      </c>
      <c r="X498" s="1">
        <f t="shared" si="150"/>
        <v>0</v>
      </c>
      <c r="Y498" s="1">
        <f t="shared" si="151"/>
        <v>0</v>
      </c>
      <c r="Z498" s="1">
        <f t="shared" si="152"/>
        <v>0</v>
      </c>
      <c r="AA498" s="1">
        <f t="shared" si="153"/>
        <v>0</v>
      </c>
      <c r="AB498" s="1">
        <f t="shared" si="154"/>
        <v>0</v>
      </c>
      <c r="AD498" s="1">
        <f t="shared" si="155"/>
        <v>1</v>
      </c>
      <c r="AE498" s="1">
        <f t="shared" si="156"/>
        <v>0</v>
      </c>
      <c r="AF498" s="1">
        <f t="shared" si="157"/>
        <v>1</v>
      </c>
      <c r="AG498" s="1">
        <f t="shared" si="158"/>
        <v>0</v>
      </c>
      <c r="AH498" s="1">
        <f t="shared" si="159"/>
        <v>1</v>
      </c>
      <c r="AI498" s="1">
        <f t="shared" si="160"/>
        <v>0</v>
      </c>
    </row>
    <row r="499" spans="1:35" s="1" customFormat="1" ht="14.25" customHeight="1" x14ac:dyDescent="0.25">
      <c r="A499" s="31">
        <v>0</v>
      </c>
      <c r="B499" s="31">
        <v>2</v>
      </c>
      <c r="C499" s="31">
        <v>7</v>
      </c>
      <c r="D499" s="32" t="s">
        <v>1218</v>
      </c>
      <c r="E499" s="32" t="s">
        <v>28</v>
      </c>
      <c r="F499" s="32" t="s">
        <v>1211</v>
      </c>
      <c r="G499" s="32" t="s">
        <v>1212</v>
      </c>
      <c r="H499" s="32" t="s">
        <v>352</v>
      </c>
      <c r="I499" s="31" t="s">
        <v>1213</v>
      </c>
      <c r="J499" s="31">
        <v>99</v>
      </c>
      <c r="K499" s="33" t="s">
        <v>703</v>
      </c>
      <c r="L499" s="33" t="s">
        <v>704</v>
      </c>
      <c r="M499" s="34" t="s">
        <v>722</v>
      </c>
      <c r="N499" s="34" t="s">
        <v>1705</v>
      </c>
      <c r="O499" s="35">
        <v>1</v>
      </c>
      <c r="P499" s="35"/>
      <c r="Q499" s="32"/>
      <c r="S499" s="1">
        <f t="shared" si="145"/>
        <v>0</v>
      </c>
      <c r="T499" s="1">
        <f t="shared" si="146"/>
        <v>0</v>
      </c>
      <c r="U499" s="1">
        <f t="shared" si="147"/>
        <v>0</v>
      </c>
      <c r="V499" s="1">
        <f t="shared" si="148"/>
        <v>0</v>
      </c>
      <c r="W499" s="1">
        <f t="shared" si="149"/>
        <v>0</v>
      </c>
      <c r="X499" s="1">
        <f t="shared" si="150"/>
        <v>0</v>
      </c>
      <c r="Y499" s="1">
        <f t="shared" si="151"/>
        <v>0</v>
      </c>
      <c r="Z499" s="1">
        <f t="shared" si="152"/>
        <v>0</v>
      </c>
      <c r="AA499" s="1">
        <f t="shared" si="153"/>
        <v>0</v>
      </c>
      <c r="AB499" s="1">
        <f t="shared" si="154"/>
        <v>0</v>
      </c>
      <c r="AD499" s="1">
        <f t="shared" si="155"/>
        <v>0</v>
      </c>
      <c r="AE499" s="1">
        <f t="shared" si="156"/>
        <v>1</v>
      </c>
      <c r="AF499" s="1">
        <f t="shared" si="157"/>
        <v>0</v>
      </c>
      <c r="AG499" s="1">
        <f t="shared" si="158"/>
        <v>1</v>
      </c>
      <c r="AH499" s="1">
        <f t="shared" si="159"/>
        <v>0</v>
      </c>
      <c r="AI499" s="1">
        <f t="shared" si="160"/>
        <v>1</v>
      </c>
    </row>
    <row r="500" spans="1:35" s="1" customFormat="1" ht="14.25" customHeight="1" x14ac:dyDescent="0.25">
      <c r="A500" s="31">
        <v>1</v>
      </c>
      <c r="B500" s="31">
        <v>2</v>
      </c>
      <c r="C500" s="31">
        <v>7</v>
      </c>
      <c r="D500" s="32" t="s">
        <v>1215</v>
      </c>
      <c r="E500" s="32" t="s">
        <v>28</v>
      </c>
      <c r="F500" s="32" t="s">
        <v>1216</v>
      </c>
      <c r="G500" s="32" t="s">
        <v>519</v>
      </c>
      <c r="H500" s="32" t="s">
        <v>352</v>
      </c>
      <c r="I500" s="31" t="s">
        <v>1217</v>
      </c>
      <c r="J500" s="31">
        <v>99</v>
      </c>
      <c r="K500" s="33" t="s">
        <v>703</v>
      </c>
      <c r="L500" s="33" t="s">
        <v>704</v>
      </c>
      <c r="M500" s="34" t="s">
        <v>722</v>
      </c>
      <c r="N500" s="34" t="s">
        <v>1705</v>
      </c>
      <c r="O500" s="35">
        <v>1</v>
      </c>
      <c r="P500" s="35"/>
      <c r="Q500" s="32"/>
      <c r="S500" s="1">
        <f t="shared" si="145"/>
        <v>0</v>
      </c>
      <c r="T500" s="1">
        <f t="shared" si="146"/>
        <v>0</v>
      </c>
      <c r="U500" s="1">
        <f t="shared" si="147"/>
        <v>0</v>
      </c>
      <c r="V500" s="1">
        <f t="shared" si="148"/>
        <v>0</v>
      </c>
      <c r="W500" s="1">
        <f t="shared" si="149"/>
        <v>0</v>
      </c>
      <c r="X500" s="1">
        <f t="shared" si="150"/>
        <v>0</v>
      </c>
      <c r="Y500" s="1">
        <f t="shared" si="151"/>
        <v>0</v>
      </c>
      <c r="Z500" s="1">
        <f t="shared" si="152"/>
        <v>0</v>
      </c>
      <c r="AA500" s="1">
        <f t="shared" si="153"/>
        <v>0</v>
      </c>
      <c r="AB500" s="1">
        <f t="shared" si="154"/>
        <v>0</v>
      </c>
      <c r="AD500" s="1">
        <f t="shared" si="155"/>
        <v>0</v>
      </c>
      <c r="AE500" s="1">
        <f t="shared" si="156"/>
        <v>1</v>
      </c>
      <c r="AF500" s="1">
        <f t="shared" si="157"/>
        <v>0</v>
      </c>
      <c r="AG500" s="1">
        <f t="shared" si="158"/>
        <v>0</v>
      </c>
      <c r="AH500" s="1">
        <f t="shared" si="159"/>
        <v>0</v>
      </c>
      <c r="AI500" s="1">
        <f t="shared" si="160"/>
        <v>0</v>
      </c>
    </row>
    <row r="501" spans="1:35" s="1" customFormat="1" ht="14.25" customHeight="1" x14ac:dyDescent="0.25">
      <c r="A501" s="31">
        <v>0</v>
      </c>
      <c r="B501" s="31">
        <v>2</v>
      </c>
      <c r="C501" s="31">
        <v>7</v>
      </c>
      <c r="D501" s="32" t="s">
        <v>1806</v>
      </c>
      <c r="E501" s="32" t="s">
        <v>1146</v>
      </c>
      <c r="F501" s="32" t="s">
        <v>1807</v>
      </c>
      <c r="G501" s="32"/>
      <c r="H501" s="32" t="s">
        <v>352</v>
      </c>
      <c r="I501" s="31" t="s">
        <v>1808</v>
      </c>
      <c r="J501" s="31">
        <v>6</v>
      </c>
      <c r="K501" s="33" t="s">
        <v>694</v>
      </c>
      <c r="L501" s="33"/>
      <c r="M501" s="34"/>
      <c r="N501" s="34" t="s">
        <v>1709</v>
      </c>
      <c r="O501" s="35">
        <v>1</v>
      </c>
      <c r="P501" s="35"/>
      <c r="Q501" s="32"/>
      <c r="S501" s="1">
        <f t="shared" si="145"/>
        <v>0</v>
      </c>
      <c r="T501" s="1">
        <f t="shared" si="146"/>
        <v>0</v>
      </c>
      <c r="U501" s="1">
        <f t="shared" si="147"/>
        <v>0</v>
      </c>
      <c r="V501" s="1">
        <f t="shared" si="148"/>
        <v>0</v>
      </c>
      <c r="W501" s="1">
        <f t="shared" si="149"/>
        <v>0</v>
      </c>
      <c r="X501" s="1">
        <f t="shared" si="150"/>
        <v>1</v>
      </c>
      <c r="Y501" s="1">
        <f t="shared" si="151"/>
        <v>0</v>
      </c>
      <c r="Z501" s="1">
        <f t="shared" si="152"/>
        <v>0</v>
      </c>
      <c r="AA501" s="1">
        <f t="shared" si="153"/>
        <v>0</v>
      </c>
      <c r="AB501" s="1">
        <f t="shared" si="154"/>
        <v>0</v>
      </c>
      <c r="AD501" s="1">
        <f t="shared" si="155"/>
        <v>0</v>
      </c>
      <c r="AE501" s="1">
        <f t="shared" si="156"/>
        <v>1</v>
      </c>
      <c r="AF501" s="1">
        <f t="shared" si="157"/>
        <v>0</v>
      </c>
      <c r="AG501" s="1">
        <f t="shared" si="158"/>
        <v>1</v>
      </c>
      <c r="AH501" s="1">
        <f t="shared" si="159"/>
        <v>0</v>
      </c>
      <c r="AI501" s="1">
        <f t="shared" si="160"/>
        <v>1</v>
      </c>
    </row>
    <row r="502" spans="1:35" s="1" customFormat="1" ht="14.25" customHeight="1" x14ac:dyDescent="0.25">
      <c r="A502" s="31">
        <v>0</v>
      </c>
      <c r="B502" s="31">
        <v>2</v>
      </c>
      <c r="C502" s="31">
        <v>7</v>
      </c>
      <c r="D502" s="32" t="s">
        <v>1427</v>
      </c>
      <c r="E502" s="32" t="s">
        <v>28</v>
      </c>
      <c r="F502" s="32" t="s">
        <v>1428</v>
      </c>
      <c r="G502" s="32" t="s">
        <v>1429</v>
      </c>
      <c r="H502" s="32" t="s">
        <v>352</v>
      </c>
      <c r="I502" s="31" t="s">
        <v>1430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1705</v>
      </c>
      <c r="O502" s="35">
        <v>1</v>
      </c>
      <c r="P502" s="35"/>
      <c r="Q502" s="32" t="s">
        <v>1890</v>
      </c>
      <c r="S502" s="1">
        <f t="shared" si="145"/>
        <v>0</v>
      </c>
      <c r="T502" s="1">
        <f t="shared" si="146"/>
        <v>0</v>
      </c>
      <c r="U502" s="1">
        <f t="shared" si="147"/>
        <v>0</v>
      </c>
      <c r="V502" s="1">
        <f t="shared" si="148"/>
        <v>0</v>
      </c>
      <c r="W502" s="1">
        <f t="shared" si="149"/>
        <v>0</v>
      </c>
      <c r="X502" s="1">
        <f t="shared" si="150"/>
        <v>0</v>
      </c>
      <c r="Y502" s="1">
        <f t="shared" si="151"/>
        <v>0</v>
      </c>
      <c r="Z502" s="1">
        <f t="shared" si="152"/>
        <v>0</v>
      </c>
      <c r="AA502" s="1">
        <f t="shared" si="153"/>
        <v>0</v>
      </c>
      <c r="AB502" s="1">
        <f t="shared" si="154"/>
        <v>0</v>
      </c>
      <c r="AD502" s="1">
        <f t="shared" si="155"/>
        <v>0</v>
      </c>
      <c r="AE502" s="1">
        <f t="shared" si="156"/>
        <v>1</v>
      </c>
      <c r="AF502" s="1">
        <f t="shared" si="157"/>
        <v>0</v>
      </c>
      <c r="AG502" s="1">
        <f t="shared" si="158"/>
        <v>1</v>
      </c>
      <c r="AH502" s="1">
        <f t="shared" si="159"/>
        <v>0</v>
      </c>
      <c r="AI502" s="1">
        <f t="shared" si="160"/>
        <v>1</v>
      </c>
    </row>
    <row r="503" spans="1:35" s="1" customFormat="1" ht="14.25" customHeight="1" x14ac:dyDescent="0.25">
      <c r="A503" s="31">
        <v>0</v>
      </c>
      <c r="B503" s="31">
        <v>2</v>
      </c>
      <c r="C503" s="31">
        <v>7</v>
      </c>
      <c r="D503" s="32" t="s">
        <v>2090</v>
      </c>
      <c r="E503" s="32" t="s">
        <v>155</v>
      </c>
      <c r="F503" s="32" t="s">
        <v>2091</v>
      </c>
      <c r="G503" s="32" t="s">
        <v>552</v>
      </c>
      <c r="H503" s="32" t="s">
        <v>352</v>
      </c>
      <c r="I503" s="31" t="s">
        <v>2092</v>
      </c>
      <c r="J503" s="31">
        <v>99</v>
      </c>
      <c r="K503" s="33" t="s">
        <v>694</v>
      </c>
      <c r="L503" s="33">
        <v>7</v>
      </c>
      <c r="M503" s="34" t="s">
        <v>723</v>
      </c>
      <c r="N503" s="34" t="s">
        <v>1709</v>
      </c>
      <c r="O503" s="35">
        <v>1</v>
      </c>
      <c r="P503" s="35"/>
      <c r="Q503" s="32"/>
      <c r="S503" s="1">
        <f t="shared" si="145"/>
        <v>0</v>
      </c>
      <c r="T503" s="1">
        <f t="shared" si="146"/>
        <v>0</v>
      </c>
      <c r="U503" s="1">
        <f t="shared" si="147"/>
        <v>0</v>
      </c>
      <c r="V503" s="1">
        <f t="shared" si="148"/>
        <v>0</v>
      </c>
      <c r="W503" s="1">
        <f t="shared" si="149"/>
        <v>0</v>
      </c>
      <c r="X503" s="1">
        <f t="shared" si="150"/>
        <v>0</v>
      </c>
      <c r="Y503" s="1">
        <f t="shared" si="151"/>
        <v>0</v>
      </c>
      <c r="Z503" s="1">
        <f t="shared" si="152"/>
        <v>0</v>
      </c>
      <c r="AA503" s="1">
        <f t="shared" si="153"/>
        <v>0</v>
      </c>
      <c r="AB503" s="1">
        <f t="shared" si="154"/>
        <v>0</v>
      </c>
      <c r="AD503" s="1">
        <f t="shared" si="155"/>
        <v>0</v>
      </c>
      <c r="AE503" s="1">
        <f t="shared" si="156"/>
        <v>1</v>
      </c>
      <c r="AF503" s="1">
        <f t="shared" si="157"/>
        <v>0</v>
      </c>
      <c r="AG503" s="1">
        <f t="shared" si="158"/>
        <v>1</v>
      </c>
      <c r="AH503" s="1">
        <f t="shared" si="159"/>
        <v>0</v>
      </c>
      <c r="AI503" s="1">
        <f t="shared" si="160"/>
        <v>1</v>
      </c>
    </row>
    <row r="504" spans="1:35" s="1" customFormat="1" ht="14.25" customHeight="1" x14ac:dyDescent="0.25">
      <c r="A504" s="31">
        <v>1</v>
      </c>
      <c r="B504" s="31">
        <v>2</v>
      </c>
      <c r="C504" s="31">
        <v>7</v>
      </c>
      <c r="D504" s="32" t="s">
        <v>2090</v>
      </c>
      <c r="E504" s="32" t="s">
        <v>155</v>
      </c>
      <c r="F504" s="32" t="s">
        <v>2093</v>
      </c>
      <c r="G504" s="32" t="s">
        <v>203</v>
      </c>
      <c r="H504" s="32" t="s">
        <v>352</v>
      </c>
      <c r="I504" s="31" t="s">
        <v>2092</v>
      </c>
      <c r="J504" s="31">
        <v>7</v>
      </c>
      <c r="K504" s="33" t="s">
        <v>694</v>
      </c>
      <c r="L504" s="33">
        <v>7</v>
      </c>
      <c r="M504" s="34" t="s">
        <v>723</v>
      </c>
      <c r="N504" s="34" t="s">
        <v>1709</v>
      </c>
      <c r="O504" s="35">
        <v>1</v>
      </c>
      <c r="P504" s="35"/>
      <c r="Q504" s="32"/>
      <c r="S504" s="1">
        <f t="shared" si="145"/>
        <v>0</v>
      </c>
      <c r="T504" s="1">
        <f t="shared" si="146"/>
        <v>0</v>
      </c>
      <c r="U504" s="1">
        <f t="shared" si="147"/>
        <v>0</v>
      </c>
      <c r="V504" s="1">
        <f t="shared" si="148"/>
        <v>0</v>
      </c>
      <c r="W504" s="1">
        <f t="shared" si="149"/>
        <v>0</v>
      </c>
      <c r="X504" s="1">
        <f t="shared" si="150"/>
        <v>0</v>
      </c>
      <c r="Y504" s="1">
        <f t="shared" si="151"/>
        <v>1</v>
      </c>
      <c r="Z504" s="1">
        <f t="shared" si="152"/>
        <v>0</v>
      </c>
      <c r="AA504" s="1">
        <f t="shared" si="153"/>
        <v>0</v>
      </c>
      <c r="AB504" s="1">
        <f t="shared" si="154"/>
        <v>0</v>
      </c>
      <c r="AD504" s="1">
        <f t="shared" si="155"/>
        <v>0</v>
      </c>
      <c r="AE504" s="1">
        <f t="shared" si="156"/>
        <v>1</v>
      </c>
      <c r="AF504" s="1">
        <f t="shared" si="157"/>
        <v>0</v>
      </c>
      <c r="AG504" s="1">
        <f t="shared" si="158"/>
        <v>0</v>
      </c>
      <c r="AH504" s="1">
        <f t="shared" si="159"/>
        <v>0</v>
      </c>
      <c r="AI504" s="1">
        <f t="shared" si="160"/>
        <v>0</v>
      </c>
    </row>
    <row r="505" spans="1:35" s="1" customFormat="1" ht="14.25" customHeight="1" x14ac:dyDescent="0.25">
      <c r="A505" s="31">
        <v>0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568</v>
      </c>
      <c r="G505" s="32" t="s">
        <v>234</v>
      </c>
      <c r="H505" s="32" t="s">
        <v>352</v>
      </c>
      <c r="I505" s="31" t="s">
        <v>574</v>
      </c>
      <c r="J505" s="31">
        <v>99</v>
      </c>
      <c r="K505" s="33" t="s">
        <v>703</v>
      </c>
      <c r="L505" s="33" t="s">
        <v>720</v>
      </c>
      <c r="M505" s="34" t="s">
        <v>1409</v>
      </c>
      <c r="N505" s="34" t="s">
        <v>1709</v>
      </c>
      <c r="O505" s="35">
        <v>1</v>
      </c>
      <c r="P505" s="35"/>
      <c r="Q505" s="32"/>
      <c r="S505" s="1">
        <f t="shared" si="145"/>
        <v>0</v>
      </c>
      <c r="T505" s="1">
        <f t="shared" si="146"/>
        <v>0</v>
      </c>
      <c r="U505" s="1">
        <f t="shared" si="147"/>
        <v>0</v>
      </c>
      <c r="V505" s="1">
        <f t="shared" si="148"/>
        <v>0</v>
      </c>
      <c r="W505" s="1">
        <f t="shared" si="149"/>
        <v>0</v>
      </c>
      <c r="X505" s="1">
        <f t="shared" si="150"/>
        <v>0</v>
      </c>
      <c r="Y505" s="1">
        <f t="shared" si="151"/>
        <v>0</v>
      </c>
      <c r="Z505" s="1">
        <f t="shared" si="152"/>
        <v>0</v>
      </c>
      <c r="AA505" s="1">
        <f t="shared" si="153"/>
        <v>0</v>
      </c>
      <c r="AB505" s="1">
        <f t="shared" si="154"/>
        <v>0</v>
      </c>
      <c r="AD505" s="1">
        <f t="shared" si="155"/>
        <v>0</v>
      </c>
      <c r="AE505" s="1">
        <f t="shared" si="156"/>
        <v>1</v>
      </c>
      <c r="AF505" s="1">
        <f t="shared" si="157"/>
        <v>0</v>
      </c>
      <c r="AG505" s="1">
        <f t="shared" si="158"/>
        <v>1</v>
      </c>
      <c r="AH505" s="1">
        <f t="shared" si="159"/>
        <v>0</v>
      </c>
      <c r="AI505" s="1">
        <f t="shared" si="160"/>
        <v>1</v>
      </c>
    </row>
    <row r="506" spans="1:35" s="1" customFormat="1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270</v>
      </c>
      <c r="G506" s="32" t="s">
        <v>179</v>
      </c>
      <c r="H506" s="32" t="s">
        <v>352</v>
      </c>
      <c r="I506" s="31" t="s">
        <v>424</v>
      </c>
      <c r="J506" s="31">
        <v>10</v>
      </c>
      <c r="K506" s="33" t="s">
        <v>703</v>
      </c>
      <c r="L506" s="33" t="s">
        <v>720</v>
      </c>
      <c r="M506" s="34" t="s">
        <v>1409</v>
      </c>
      <c r="N506" s="34" t="s">
        <v>1709</v>
      </c>
      <c r="O506" s="35">
        <v>1</v>
      </c>
      <c r="P506" s="35"/>
      <c r="Q506" s="32"/>
      <c r="S506" s="1">
        <f t="shared" si="145"/>
        <v>0</v>
      </c>
      <c r="T506" s="1">
        <f t="shared" si="146"/>
        <v>0</v>
      </c>
      <c r="U506" s="1">
        <f t="shared" si="147"/>
        <v>0</v>
      </c>
      <c r="V506" s="1">
        <f t="shared" si="148"/>
        <v>0</v>
      </c>
      <c r="W506" s="1">
        <f t="shared" si="149"/>
        <v>0</v>
      </c>
      <c r="X506" s="1">
        <f t="shared" si="150"/>
        <v>0</v>
      </c>
      <c r="Y506" s="1">
        <f t="shared" si="151"/>
        <v>0</v>
      </c>
      <c r="Z506" s="1">
        <f t="shared" si="152"/>
        <v>0</v>
      </c>
      <c r="AA506" s="1">
        <f t="shared" si="153"/>
        <v>0</v>
      </c>
      <c r="AB506" s="1">
        <f t="shared" si="154"/>
        <v>1</v>
      </c>
      <c r="AD506" s="1">
        <f t="shared" si="155"/>
        <v>0</v>
      </c>
      <c r="AE506" s="1">
        <f t="shared" si="156"/>
        <v>1</v>
      </c>
      <c r="AF506" s="1">
        <f t="shared" si="157"/>
        <v>0</v>
      </c>
      <c r="AG506" s="1">
        <f t="shared" si="158"/>
        <v>0</v>
      </c>
      <c r="AH506" s="1">
        <f t="shared" si="159"/>
        <v>0</v>
      </c>
      <c r="AI506" s="1">
        <f t="shared" si="160"/>
        <v>0</v>
      </c>
    </row>
    <row r="507" spans="1:35" s="1" customFormat="1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271</v>
      </c>
      <c r="G507" s="32" t="s">
        <v>39</v>
      </c>
      <c r="H507" s="32" t="s">
        <v>352</v>
      </c>
      <c r="I507" s="31" t="s">
        <v>425</v>
      </c>
      <c r="J507" s="31">
        <v>5</v>
      </c>
      <c r="K507" s="33" t="s">
        <v>703</v>
      </c>
      <c r="L507" s="33" t="s">
        <v>720</v>
      </c>
      <c r="M507" s="34" t="s">
        <v>1409</v>
      </c>
      <c r="N507" s="34" t="s">
        <v>1709</v>
      </c>
      <c r="O507" s="35">
        <v>1</v>
      </c>
      <c r="P507" s="35"/>
      <c r="Q507" s="32"/>
      <c r="S507" s="1">
        <f t="shared" si="145"/>
        <v>0</v>
      </c>
      <c r="T507" s="1">
        <f t="shared" si="146"/>
        <v>0</v>
      </c>
      <c r="U507" s="1">
        <f t="shared" si="147"/>
        <v>0</v>
      </c>
      <c r="V507" s="1">
        <f t="shared" si="148"/>
        <v>0</v>
      </c>
      <c r="W507" s="1">
        <f t="shared" si="149"/>
        <v>1</v>
      </c>
      <c r="X507" s="1">
        <f t="shared" si="150"/>
        <v>0</v>
      </c>
      <c r="Y507" s="1">
        <f t="shared" si="151"/>
        <v>0</v>
      </c>
      <c r="Z507" s="1">
        <f t="shared" si="152"/>
        <v>0</v>
      </c>
      <c r="AA507" s="1">
        <f t="shared" si="153"/>
        <v>0</v>
      </c>
      <c r="AB507" s="1">
        <f t="shared" si="154"/>
        <v>0</v>
      </c>
      <c r="AD507" s="1">
        <f t="shared" si="155"/>
        <v>0</v>
      </c>
      <c r="AE507" s="1">
        <f t="shared" si="156"/>
        <v>1</v>
      </c>
      <c r="AF507" s="1">
        <f t="shared" si="157"/>
        <v>0</v>
      </c>
      <c r="AG507" s="1">
        <f t="shared" si="158"/>
        <v>0</v>
      </c>
      <c r="AH507" s="1">
        <f t="shared" si="159"/>
        <v>0</v>
      </c>
      <c r="AI507" s="1">
        <f t="shared" si="160"/>
        <v>0</v>
      </c>
    </row>
    <row r="508" spans="1:35" s="1" customFormat="1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275</v>
      </c>
      <c r="G508" s="32" t="s">
        <v>193</v>
      </c>
      <c r="H508" s="32" t="s">
        <v>352</v>
      </c>
      <c r="I508" s="31" t="s">
        <v>429</v>
      </c>
      <c r="J508" s="31">
        <v>9</v>
      </c>
      <c r="K508" s="33" t="s">
        <v>703</v>
      </c>
      <c r="L508" s="33" t="s">
        <v>720</v>
      </c>
      <c r="M508" s="34" t="s">
        <v>1409</v>
      </c>
      <c r="N508" s="34" t="s">
        <v>1709</v>
      </c>
      <c r="O508" s="35">
        <v>1</v>
      </c>
      <c r="P508" s="35"/>
      <c r="Q508" s="32"/>
      <c r="S508" s="1">
        <f t="shared" si="145"/>
        <v>0</v>
      </c>
      <c r="T508" s="1">
        <f t="shared" si="146"/>
        <v>0</v>
      </c>
      <c r="U508" s="1">
        <f t="shared" si="147"/>
        <v>0</v>
      </c>
      <c r="V508" s="1">
        <f t="shared" si="148"/>
        <v>0</v>
      </c>
      <c r="W508" s="1">
        <f t="shared" si="149"/>
        <v>0</v>
      </c>
      <c r="X508" s="1">
        <f t="shared" si="150"/>
        <v>0</v>
      </c>
      <c r="Y508" s="1">
        <f t="shared" si="151"/>
        <v>0</v>
      </c>
      <c r="Z508" s="1">
        <f t="shared" si="152"/>
        <v>0</v>
      </c>
      <c r="AA508" s="1">
        <f t="shared" si="153"/>
        <v>1</v>
      </c>
      <c r="AB508" s="1">
        <f t="shared" si="154"/>
        <v>0</v>
      </c>
      <c r="AD508" s="1">
        <f t="shared" si="155"/>
        <v>0</v>
      </c>
      <c r="AE508" s="1">
        <f t="shared" si="156"/>
        <v>1</v>
      </c>
      <c r="AF508" s="1">
        <f t="shared" si="157"/>
        <v>0</v>
      </c>
      <c r="AG508" s="1">
        <f t="shared" si="158"/>
        <v>0</v>
      </c>
      <c r="AH508" s="1">
        <f t="shared" si="159"/>
        <v>0</v>
      </c>
      <c r="AI508" s="1">
        <f t="shared" si="160"/>
        <v>0</v>
      </c>
    </row>
    <row r="509" spans="1:35" s="1" customFormat="1" ht="14.25" customHeight="1" x14ac:dyDescent="0.25">
      <c r="A509" s="31">
        <v>0</v>
      </c>
      <c r="B509" s="31">
        <v>2</v>
      </c>
      <c r="C509" s="31">
        <v>7</v>
      </c>
      <c r="D509" s="32" t="s">
        <v>1528</v>
      </c>
      <c r="E509" s="32" t="s">
        <v>28</v>
      </c>
      <c r="F509" s="32" t="s">
        <v>1529</v>
      </c>
      <c r="G509" s="32" t="s">
        <v>237</v>
      </c>
      <c r="H509" s="32" t="s">
        <v>352</v>
      </c>
      <c r="I509" s="31" t="s">
        <v>1661</v>
      </c>
      <c r="J509" s="31">
        <v>4</v>
      </c>
      <c r="K509" s="33" t="s">
        <v>704</v>
      </c>
      <c r="L509" s="33" t="s">
        <v>704</v>
      </c>
      <c r="M509" s="34" t="s">
        <v>722</v>
      </c>
      <c r="N509" s="34" t="s">
        <v>1705</v>
      </c>
      <c r="O509" s="35">
        <v>1</v>
      </c>
      <c r="P509" s="35"/>
      <c r="Q509" s="32"/>
      <c r="S509" s="1">
        <f t="shared" si="145"/>
        <v>0</v>
      </c>
      <c r="T509" s="1">
        <f t="shared" si="146"/>
        <v>0</v>
      </c>
      <c r="U509" s="1">
        <f t="shared" si="147"/>
        <v>0</v>
      </c>
      <c r="V509" s="1">
        <f t="shared" si="148"/>
        <v>1</v>
      </c>
      <c r="W509" s="1">
        <f t="shared" si="149"/>
        <v>0</v>
      </c>
      <c r="X509" s="1">
        <f t="shared" si="150"/>
        <v>0</v>
      </c>
      <c r="Y509" s="1">
        <f t="shared" si="151"/>
        <v>0</v>
      </c>
      <c r="Z509" s="1">
        <f t="shared" si="152"/>
        <v>0</v>
      </c>
      <c r="AA509" s="1">
        <f t="shared" si="153"/>
        <v>0</v>
      </c>
      <c r="AB509" s="1">
        <f t="shared" si="154"/>
        <v>0</v>
      </c>
      <c r="AD509" s="1">
        <f t="shared" si="155"/>
        <v>0</v>
      </c>
      <c r="AE509" s="1">
        <f t="shared" si="156"/>
        <v>1</v>
      </c>
      <c r="AF509" s="1">
        <f t="shared" si="157"/>
        <v>0</v>
      </c>
      <c r="AG509" s="1">
        <f t="shared" si="158"/>
        <v>1</v>
      </c>
      <c r="AH509" s="1">
        <f t="shared" si="159"/>
        <v>0</v>
      </c>
      <c r="AI509" s="1">
        <f t="shared" si="160"/>
        <v>1</v>
      </c>
    </row>
    <row r="510" spans="1:35" s="1" customFormat="1" ht="14.25" customHeight="1" x14ac:dyDescent="0.25">
      <c r="A510" s="31">
        <v>0</v>
      </c>
      <c r="B510" s="31">
        <v>2</v>
      </c>
      <c r="C510" s="31">
        <v>7</v>
      </c>
      <c r="D510" s="32" t="s">
        <v>63</v>
      </c>
      <c r="E510" s="32" t="s">
        <v>44</v>
      </c>
      <c r="F510" s="32" t="s">
        <v>235</v>
      </c>
      <c r="G510" s="32" t="s">
        <v>199</v>
      </c>
      <c r="H510" s="32" t="s">
        <v>352</v>
      </c>
      <c r="I510" s="31" t="s">
        <v>400</v>
      </c>
      <c r="J510" s="31">
        <v>2</v>
      </c>
      <c r="K510" s="33" t="s">
        <v>704</v>
      </c>
      <c r="L510" s="33" t="s">
        <v>713</v>
      </c>
      <c r="M510" s="34" t="s">
        <v>726</v>
      </c>
      <c r="N510" s="34" t="s">
        <v>1705</v>
      </c>
      <c r="O510" s="35">
        <v>1</v>
      </c>
      <c r="P510" s="35"/>
      <c r="Q510" s="32"/>
      <c r="S510" s="1">
        <f t="shared" si="145"/>
        <v>0</v>
      </c>
      <c r="T510" s="1">
        <f t="shared" si="146"/>
        <v>1</v>
      </c>
      <c r="U510" s="1">
        <f t="shared" si="147"/>
        <v>0</v>
      </c>
      <c r="V510" s="1">
        <f t="shared" si="148"/>
        <v>0</v>
      </c>
      <c r="W510" s="1">
        <f t="shared" si="149"/>
        <v>0</v>
      </c>
      <c r="X510" s="1">
        <f t="shared" si="150"/>
        <v>0</v>
      </c>
      <c r="Y510" s="1">
        <f t="shared" si="151"/>
        <v>0</v>
      </c>
      <c r="Z510" s="1">
        <f t="shared" si="152"/>
        <v>0</v>
      </c>
      <c r="AA510" s="1">
        <f t="shared" si="153"/>
        <v>0</v>
      </c>
      <c r="AB510" s="1">
        <f t="shared" si="154"/>
        <v>0</v>
      </c>
      <c r="AD510" s="1">
        <f t="shared" si="155"/>
        <v>0</v>
      </c>
      <c r="AE510" s="1">
        <f t="shared" si="156"/>
        <v>1</v>
      </c>
      <c r="AF510" s="1">
        <f t="shared" si="157"/>
        <v>0</v>
      </c>
      <c r="AG510" s="1">
        <f t="shared" si="158"/>
        <v>1</v>
      </c>
      <c r="AH510" s="1">
        <f t="shared" si="159"/>
        <v>0</v>
      </c>
      <c r="AI510" s="1">
        <f t="shared" si="160"/>
        <v>1</v>
      </c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L801" s="10"/>
      <c r="M801" s="19"/>
      <c r="N801" s="17"/>
      <c r="Q801" s="20"/>
    </row>
    <row r="802" spans="1:17" s="1" customFormat="1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L802" s="10"/>
      <c r="M802" s="19"/>
      <c r="N802" s="17"/>
      <c r="Q802" s="16"/>
    </row>
    <row r="803" spans="1:17" s="1" customFormat="1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L803" s="10"/>
      <c r="M803" s="19"/>
      <c r="N803" s="17"/>
      <c r="Q803" s="16"/>
    </row>
    <row r="804" spans="1:17" s="1" customFormat="1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L804" s="10"/>
      <c r="M804" s="19"/>
      <c r="N804" s="17"/>
      <c r="Q804" s="16"/>
    </row>
    <row r="805" spans="1:17" s="1" customFormat="1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L805" s="10"/>
      <c r="M805" s="19"/>
      <c r="N805" s="17"/>
      <c r="Q805" s="16"/>
    </row>
    <row r="806" spans="1:17" s="1" customFormat="1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L806" s="10"/>
      <c r="M806" s="17"/>
      <c r="N806" s="17"/>
      <c r="Q806" s="16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7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7"/>
      <c r="N808" s="17"/>
      <c r="Q808" s="16"/>
    </row>
    <row r="809" spans="1:17" s="1" customFormat="1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L809" s="10"/>
      <c r="M809" s="17"/>
      <c r="N809" s="17"/>
      <c r="Q809" s="16"/>
    </row>
    <row r="810" spans="1:17" s="1" customFormat="1" ht="14.25" customHeight="1" x14ac:dyDescent="0.2">
      <c r="D810" s="2"/>
      <c r="E810" s="11"/>
      <c r="F810" s="2"/>
      <c r="G810" s="11"/>
      <c r="H810" s="11"/>
      <c r="L810" s="10"/>
      <c r="M810" s="14"/>
      <c r="N810" s="14"/>
      <c r="Q810" s="11"/>
    </row>
  </sheetData>
  <autoFilter ref="A7:Q510" xr:uid="{AEE30112-88BB-441D-AEFC-A7A733AB1798}">
    <sortState xmlns:xlrd2="http://schemas.microsoft.com/office/spreadsheetml/2017/richdata2" ref="A8:Q510">
      <sortCondition ref="B8:B510"/>
      <sortCondition ref="C8:C510"/>
      <sortCondition ref="D8:D510"/>
      <sortCondition ref="A8:A510"/>
    </sortState>
  </autoFilter>
  <sortState xmlns:xlrd2="http://schemas.microsoft.com/office/spreadsheetml/2017/richdata2" ref="A8:Q510">
    <sortCondition ref="B8:B510"/>
    <sortCondition ref="C8:C510"/>
    <sortCondition ref="D8:D510"/>
    <sortCondition ref="A8:A51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2026-09-20T12:16:33Z</dcterms:modified>
</cp:coreProperties>
</file>