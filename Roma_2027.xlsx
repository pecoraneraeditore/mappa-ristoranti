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0083FE7F-AF20-4F76-993A-B8F1058EF4AB}" xr6:coauthVersionLast="47" xr6:coauthVersionMax="47" xr10:uidLastSave="{00000000-0000-0000-0000-000000000000}"/>
  <bookViews>
    <workbookView xWindow="-120" yWindow="-120" windowWidth="29040" windowHeight="15840" tabRatio="665" xr2:uid="{370BB6BA-2F30-4775-942F-04016D8D18C4}"/>
  </bookViews>
  <sheets>
    <sheet name="Tavole e pause golose" sheetId="6" r:id="rId1"/>
  </sheets>
  <definedNames>
    <definedName name="_xlnm._FilterDatabase" localSheetId="0" hidden="1">'Tavole e pause golose'!$A$7:$Q$500</definedName>
    <definedName name="_xlnm.Print_Area" localSheetId="0">'Tavole e pause golose'!$D$7:$I$186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291" i="6" l="1"/>
  <c r="AE291" i="6"/>
  <c r="AF291" i="6"/>
  <c r="AG291" i="6"/>
  <c r="AH291" i="6"/>
  <c r="AI291" i="6"/>
  <c r="S291" i="6"/>
  <c r="T291" i="6"/>
  <c r="U291" i="6"/>
  <c r="V291" i="6"/>
  <c r="W291" i="6"/>
  <c r="X291" i="6"/>
  <c r="Y291" i="6"/>
  <c r="Z291" i="6"/>
  <c r="AA291" i="6"/>
  <c r="AB291" i="6"/>
  <c r="AD54" i="6"/>
  <c r="AE54" i="6"/>
  <c r="AF54" i="6"/>
  <c r="AG54" i="6"/>
  <c r="AH54" i="6"/>
  <c r="AI54" i="6"/>
  <c r="AD55" i="6"/>
  <c r="AE55" i="6"/>
  <c r="AF55" i="6"/>
  <c r="AG55" i="6"/>
  <c r="AH55" i="6"/>
  <c r="AI55" i="6"/>
  <c r="AD56" i="6"/>
  <c r="AE56" i="6"/>
  <c r="AF56" i="6"/>
  <c r="AG56" i="6"/>
  <c r="AH56" i="6"/>
  <c r="AI56" i="6"/>
  <c r="AD57" i="6"/>
  <c r="AE57" i="6"/>
  <c r="AF57" i="6"/>
  <c r="AG57" i="6"/>
  <c r="AH57" i="6"/>
  <c r="AI57" i="6"/>
  <c r="S55" i="6"/>
  <c r="AD112" i="6"/>
  <c r="AE112" i="6"/>
  <c r="AF112" i="6"/>
  <c r="AG112" i="6"/>
  <c r="AH112" i="6"/>
  <c r="AI112" i="6"/>
  <c r="AD113" i="6"/>
  <c r="AE113" i="6"/>
  <c r="AF113" i="6"/>
  <c r="AG113" i="6"/>
  <c r="AH113" i="6"/>
  <c r="AI113" i="6"/>
  <c r="AD114" i="6"/>
  <c r="AE114" i="6"/>
  <c r="AF114" i="6"/>
  <c r="AG114" i="6"/>
  <c r="AH114" i="6"/>
  <c r="AI114" i="6"/>
  <c r="S112" i="6"/>
  <c r="S166" i="6"/>
  <c r="AD166" i="6"/>
  <c r="AE166" i="6"/>
  <c r="AF166" i="6"/>
  <c r="AG166" i="6"/>
  <c r="AH166" i="6"/>
  <c r="AI166" i="6"/>
  <c r="S167" i="6"/>
  <c r="AD167" i="6"/>
  <c r="AE167" i="6"/>
  <c r="AF167" i="6"/>
  <c r="AG167" i="6"/>
  <c r="AH167" i="6"/>
  <c r="AI167" i="6"/>
  <c r="S168" i="6"/>
  <c r="AD168" i="6"/>
  <c r="AE168" i="6"/>
  <c r="AF168" i="6"/>
  <c r="AG168" i="6"/>
  <c r="AH168" i="6"/>
  <c r="AI168" i="6"/>
  <c r="S169" i="6"/>
  <c r="AD169" i="6"/>
  <c r="AE169" i="6"/>
  <c r="AF169" i="6"/>
  <c r="AG169" i="6"/>
  <c r="AH169" i="6"/>
  <c r="AI169" i="6"/>
  <c r="S170" i="6"/>
  <c r="AD170" i="6"/>
  <c r="AE170" i="6"/>
  <c r="AF170" i="6"/>
  <c r="AG170" i="6"/>
  <c r="AH170" i="6"/>
  <c r="AI170" i="6"/>
  <c r="S171" i="6"/>
  <c r="AD171" i="6"/>
  <c r="AE171" i="6"/>
  <c r="AF171" i="6"/>
  <c r="AG171" i="6"/>
  <c r="AH171" i="6"/>
  <c r="AI171" i="6"/>
  <c r="S172" i="6"/>
  <c r="AD172" i="6"/>
  <c r="AE172" i="6"/>
  <c r="AF172" i="6"/>
  <c r="AG172" i="6"/>
  <c r="AH172" i="6"/>
  <c r="AI172" i="6"/>
  <c r="S201" i="6"/>
  <c r="AD201" i="6"/>
  <c r="AE201" i="6"/>
  <c r="AF201" i="6"/>
  <c r="AG201" i="6"/>
  <c r="AH201" i="6"/>
  <c r="AI201" i="6"/>
  <c r="S202" i="6"/>
  <c r="AD202" i="6"/>
  <c r="AE202" i="6"/>
  <c r="AF202" i="6"/>
  <c r="AG202" i="6"/>
  <c r="AH202" i="6"/>
  <c r="AI202" i="6"/>
  <c r="S203" i="6"/>
  <c r="AD203" i="6"/>
  <c r="AE203" i="6"/>
  <c r="AF203" i="6"/>
  <c r="AG203" i="6"/>
  <c r="AH203" i="6"/>
  <c r="AI203" i="6"/>
  <c r="S204" i="6"/>
  <c r="AD204" i="6"/>
  <c r="AE204" i="6"/>
  <c r="AF204" i="6"/>
  <c r="AG204" i="6"/>
  <c r="AH204" i="6"/>
  <c r="AI204" i="6"/>
  <c r="S13" i="6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1" i="6"/>
  <c r="AD51" i="6"/>
  <c r="AE51" i="6"/>
  <c r="AF51" i="6"/>
  <c r="AG51" i="6"/>
  <c r="AH51" i="6"/>
  <c r="AI51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S54" i="6"/>
  <c r="S56" i="6"/>
  <c r="S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AD71" i="6"/>
  <c r="AE71" i="6"/>
  <c r="AF71" i="6"/>
  <c r="AG71" i="6"/>
  <c r="AH71" i="6"/>
  <c r="AI71" i="6"/>
  <c r="S72" i="6"/>
  <c r="AD72" i="6"/>
  <c r="AE72" i="6"/>
  <c r="AF72" i="6"/>
  <c r="AG72" i="6"/>
  <c r="AH72" i="6"/>
  <c r="AI72" i="6"/>
  <c r="S73" i="6"/>
  <c r="AD73" i="6"/>
  <c r="AE73" i="6"/>
  <c r="AF73" i="6"/>
  <c r="AG73" i="6"/>
  <c r="AH73" i="6"/>
  <c r="AI73" i="6"/>
  <c r="S74" i="6"/>
  <c r="AD74" i="6"/>
  <c r="AE74" i="6"/>
  <c r="AF74" i="6"/>
  <c r="AG74" i="6"/>
  <c r="AH74" i="6"/>
  <c r="AI74" i="6"/>
  <c r="S75" i="6"/>
  <c r="AD75" i="6"/>
  <c r="AE75" i="6"/>
  <c r="AF75" i="6"/>
  <c r="AG75" i="6"/>
  <c r="AH75" i="6"/>
  <c r="AI75" i="6"/>
  <c r="S76" i="6"/>
  <c r="AD76" i="6"/>
  <c r="AE76" i="6"/>
  <c r="AF76" i="6"/>
  <c r="AG76" i="6"/>
  <c r="AH76" i="6"/>
  <c r="AI76" i="6"/>
  <c r="S77" i="6"/>
  <c r="AD77" i="6"/>
  <c r="AE77" i="6"/>
  <c r="AF77" i="6"/>
  <c r="AG77" i="6"/>
  <c r="AH77" i="6"/>
  <c r="AI77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4" i="6"/>
  <c r="AD84" i="6"/>
  <c r="AE84" i="6"/>
  <c r="AF84" i="6"/>
  <c r="AG84" i="6"/>
  <c r="AH84" i="6"/>
  <c r="AI84" i="6"/>
  <c r="S85" i="6"/>
  <c r="AD85" i="6"/>
  <c r="AE85" i="6"/>
  <c r="AF85" i="6"/>
  <c r="AG85" i="6"/>
  <c r="AH85" i="6"/>
  <c r="AI85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1" i="6"/>
  <c r="AD91" i="6"/>
  <c r="AE91" i="6"/>
  <c r="AF91" i="6"/>
  <c r="AG91" i="6"/>
  <c r="AH91" i="6"/>
  <c r="AI91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S94" i="6"/>
  <c r="AD94" i="6"/>
  <c r="AE94" i="6"/>
  <c r="AF94" i="6"/>
  <c r="AG94" i="6"/>
  <c r="AH94" i="6"/>
  <c r="AI94" i="6"/>
  <c r="S95" i="6"/>
  <c r="AD95" i="6"/>
  <c r="AE95" i="6"/>
  <c r="AF95" i="6"/>
  <c r="AG95" i="6"/>
  <c r="AH95" i="6"/>
  <c r="AI95" i="6"/>
  <c r="S96" i="6"/>
  <c r="AD96" i="6"/>
  <c r="AE96" i="6"/>
  <c r="AF96" i="6"/>
  <c r="AG96" i="6"/>
  <c r="AH96" i="6"/>
  <c r="AI96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99" i="6"/>
  <c r="AD99" i="6"/>
  <c r="AE99" i="6"/>
  <c r="AF99" i="6"/>
  <c r="AG99" i="6"/>
  <c r="AH99" i="6"/>
  <c r="AI99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3" i="6"/>
  <c r="S114" i="6"/>
  <c r="S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0" i="6"/>
  <c r="AD120" i="6"/>
  <c r="AE120" i="6"/>
  <c r="AF120" i="6"/>
  <c r="AG120" i="6"/>
  <c r="AH120" i="6"/>
  <c r="AI120" i="6"/>
  <c r="S121" i="6"/>
  <c r="AD121" i="6"/>
  <c r="AE121" i="6"/>
  <c r="AF121" i="6"/>
  <c r="AG121" i="6"/>
  <c r="AH121" i="6"/>
  <c r="AI121" i="6"/>
  <c r="S122" i="6"/>
  <c r="AD122" i="6"/>
  <c r="AE122" i="6"/>
  <c r="AF122" i="6"/>
  <c r="AG122" i="6"/>
  <c r="AH122" i="6"/>
  <c r="AI122" i="6"/>
  <c r="S123" i="6"/>
  <c r="AD123" i="6"/>
  <c r="AE123" i="6"/>
  <c r="AF123" i="6"/>
  <c r="AG123" i="6"/>
  <c r="AH123" i="6"/>
  <c r="AI123" i="6"/>
  <c r="S124" i="6"/>
  <c r="AD124" i="6"/>
  <c r="AE124" i="6"/>
  <c r="AF124" i="6"/>
  <c r="AG124" i="6"/>
  <c r="AH124" i="6"/>
  <c r="AI124" i="6"/>
  <c r="S125" i="6"/>
  <c r="AD125" i="6"/>
  <c r="AE125" i="6"/>
  <c r="AF125" i="6"/>
  <c r="AG125" i="6"/>
  <c r="AH125" i="6"/>
  <c r="AI125" i="6"/>
  <c r="S126" i="6"/>
  <c r="AD126" i="6"/>
  <c r="AE126" i="6"/>
  <c r="AF126" i="6"/>
  <c r="AG126" i="6"/>
  <c r="AH126" i="6"/>
  <c r="AI126" i="6"/>
  <c r="S127" i="6"/>
  <c r="AD127" i="6"/>
  <c r="AE127" i="6"/>
  <c r="AF127" i="6"/>
  <c r="AG127" i="6"/>
  <c r="AH127" i="6"/>
  <c r="AI127" i="6"/>
  <c r="S128" i="6"/>
  <c r="AD128" i="6"/>
  <c r="AE128" i="6"/>
  <c r="AF128" i="6"/>
  <c r="AG128" i="6"/>
  <c r="AH128" i="6"/>
  <c r="AI128" i="6"/>
  <c r="S129" i="6"/>
  <c r="AD129" i="6"/>
  <c r="AE129" i="6"/>
  <c r="AF129" i="6"/>
  <c r="AG129" i="6"/>
  <c r="AH129" i="6"/>
  <c r="AI129" i="6"/>
  <c r="S130" i="6"/>
  <c r="AD130" i="6"/>
  <c r="AE130" i="6"/>
  <c r="AF130" i="6"/>
  <c r="AG130" i="6"/>
  <c r="AH130" i="6"/>
  <c r="AI130" i="6"/>
  <c r="S131" i="6"/>
  <c r="AD131" i="6"/>
  <c r="AE131" i="6"/>
  <c r="AF131" i="6"/>
  <c r="AG131" i="6"/>
  <c r="AH131" i="6"/>
  <c r="AI131" i="6"/>
  <c r="S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8" i="6"/>
  <c r="AD138" i="6"/>
  <c r="AE138" i="6"/>
  <c r="AF138" i="6"/>
  <c r="AG138" i="6"/>
  <c r="AH138" i="6"/>
  <c r="AI138" i="6"/>
  <c r="S139" i="6"/>
  <c r="AD139" i="6"/>
  <c r="AE139" i="6"/>
  <c r="AF139" i="6"/>
  <c r="AG139" i="6"/>
  <c r="AH139" i="6"/>
  <c r="AI139" i="6"/>
  <c r="S140" i="6"/>
  <c r="AD140" i="6"/>
  <c r="AE140" i="6"/>
  <c r="AF140" i="6"/>
  <c r="AG140" i="6"/>
  <c r="AH140" i="6"/>
  <c r="AI140" i="6"/>
  <c r="S141" i="6"/>
  <c r="AD141" i="6"/>
  <c r="AE141" i="6"/>
  <c r="AF141" i="6"/>
  <c r="AG141" i="6"/>
  <c r="AH141" i="6"/>
  <c r="AI141" i="6"/>
  <c r="S142" i="6"/>
  <c r="AD142" i="6"/>
  <c r="AE142" i="6"/>
  <c r="AF142" i="6"/>
  <c r="AG142" i="6"/>
  <c r="AH142" i="6"/>
  <c r="AI142" i="6"/>
  <c r="S143" i="6"/>
  <c r="AD143" i="6"/>
  <c r="AE143" i="6"/>
  <c r="AF143" i="6"/>
  <c r="AG143" i="6"/>
  <c r="AH143" i="6"/>
  <c r="AI143" i="6"/>
  <c r="S144" i="6"/>
  <c r="AD144" i="6"/>
  <c r="AE144" i="6"/>
  <c r="AF144" i="6"/>
  <c r="AG144" i="6"/>
  <c r="AH144" i="6"/>
  <c r="AI144" i="6"/>
  <c r="S145" i="6"/>
  <c r="AD145" i="6"/>
  <c r="AE145" i="6"/>
  <c r="AF145" i="6"/>
  <c r="AG145" i="6"/>
  <c r="AH145" i="6"/>
  <c r="AI145" i="6"/>
  <c r="S146" i="6"/>
  <c r="AD146" i="6"/>
  <c r="AE146" i="6"/>
  <c r="AF146" i="6"/>
  <c r="AG146" i="6"/>
  <c r="AH146" i="6"/>
  <c r="AI146" i="6"/>
  <c r="S147" i="6"/>
  <c r="AD147" i="6"/>
  <c r="AE147" i="6"/>
  <c r="AF147" i="6"/>
  <c r="AG147" i="6"/>
  <c r="AH147" i="6"/>
  <c r="AI147" i="6"/>
  <c r="S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1" i="6"/>
  <c r="AD151" i="6"/>
  <c r="AE151" i="6"/>
  <c r="AF151" i="6"/>
  <c r="AG151" i="6"/>
  <c r="AH151" i="6"/>
  <c r="AI151" i="6"/>
  <c r="S152" i="6"/>
  <c r="AD152" i="6"/>
  <c r="AE152" i="6"/>
  <c r="AF152" i="6"/>
  <c r="AG152" i="6"/>
  <c r="AH152" i="6"/>
  <c r="AI152" i="6"/>
  <c r="S153" i="6"/>
  <c r="AD153" i="6"/>
  <c r="AE153" i="6"/>
  <c r="AF153" i="6"/>
  <c r="AG153" i="6"/>
  <c r="AH153" i="6"/>
  <c r="AI153" i="6"/>
  <c r="S154" i="6"/>
  <c r="AD154" i="6"/>
  <c r="AE154" i="6"/>
  <c r="AF154" i="6"/>
  <c r="AG154" i="6"/>
  <c r="AH154" i="6"/>
  <c r="AI154" i="6"/>
  <c r="S155" i="6"/>
  <c r="AD155" i="6"/>
  <c r="AE155" i="6"/>
  <c r="AF155" i="6"/>
  <c r="AG155" i="6"/>
  <c r="AH155" i="6"/>
  <c r="AI155" i="6"/>
  <c r="S156" i="6"/>
  <c r="AD156" i="6"/>
  <c r="AE156" i="6"/>
  <c r="AF156" i="6"/>
  <c r="AG156" i="6"/>
  <c r="AH156" i="6"/>
  <c r="AI156" i="6"/>
  <c r="S157" i="6"/>
  <c r="AD157" i="6"/>
  <c r="AE157" i="6"/>
  <c r="AF157" i="6"/>
  <c r="AG157" i="6"/>
  <c r="AH157" i="6"/>
  <c r="AI157" i="6"/>
  <c r="S158" i="6"/>
  <c r="AD158" i="6"/>
  <c r="AE158" i="6"/>
  <c r="AF158" i="6"/>
  <c r="AG158" i="6"/>
  <c r="AH158" i="6"/>
  <c r="AI158" i="6"/>
  <c r="S159" i="6"/>
  <c r="AD159" i="6"/>
  <c r="AE159" i="6"/>
  <c r="AF159" i="6"/>
  <c r="AG159" i="6"/>
  <c r="AH159" i="6"/>
  <c r="AI159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S162" i="6"/>
  <c r="AD162" i="6"/>
  <c r="AE162" i="6"/>
  <c r="AF162" i="6"/>
  <c r="AG162" i="6"/>
  <c r="AH162" i="6"/>
  <c r="AI162" i="6"/>
  <c r="S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73" i="6"/>
  <c r="AD173" i="6"/>
  <c r="AE173" i="6"/>
  <c r="AF173" i="6"/>
  <c r="AG173" i="6"/>
  <c r="AH173" i="6"/>
  <c r="AI173" i="6"/>
  <c r="S174" i="6"/>
  <c r="AD174" i="6"/>
  <c r="AE174" i="6"/>
  <c r="AF174" i="6"/>
  <c r="AG174" i="6"/>
  <c r="AH174" i="6"/>
  <c r="AI174" i="6"/>
  <c r="S175" i="6"/>
  <c r="AD175" i="6"/>
  <c r="AE175" i="6"/>
  <c r="AF175" i="6"/>
  <c r="AG175" i="6"/>
  <c r="AH175" i="6"/>
  <c r="AI175" i="6"/>
  <c r="S176" i="6"/>
  <c r="AD176" i="6"/>
  <c r="AE176" i="6"/>
  <c r="AF176" i="6"/>
  <c r="AG176" i="6"/>
  <c r="AH176" i="6"/>
  <c r="AI176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AD179" i="6"/>
  <c r="AE179" i="6"/>
  <c r="AF179" i="6"/>
  <c r="AG179" i="6"/>
  <c r="AH179" i="6"/>
  <c r="AI179" i="6"/>
  <c r="S180" i="6"/>
  <c r="AD180" i="6"/>
  <c r="AE180" i="6"/>
  <c r="AF180" i="6"/>
  <c r="AG180" i="6"/>
  <c r="AH180" i="6"/>
  <c r="AI180" i="6"/>
  <c r="S181" i="6"/>
  <c r="AD181" i="6"/>
  <c r="AE181" i="6"/>
  <c r="AF181" i="6"/>
  <c r="AG181" i="6"/>
  <c r="AH181" i="6"/>
  <c r="AI181" i="6"/>
  <c r="S182" i="6"/>
  <c r="AD182" i="6"/>
  <c r="AE182" i="6"/>
  <c r="AF182" i="6"/>
  <c r="AG182" i="6"/>
  <c r="AH182" i="6"/>
  <c r="AI182" i="6"/>
  <c r="S183" i="6"/>
  <c r="AD183" i="6"/>
  <c r="AE183" i="6"/>
  <c r="AF183" i="6"/>
  <c r="AG183" i="6"/>
  <c r="AH183" i="6"/>
  <c r="AI183" i="6"/>
  <c r="S184" i="6"/>
  <c r="AD184" i="6"/>
  <c r="AE184" i="6"/>
  <c r="AF184" i="6"/>
  <c r="AG184" i="6"/>
  <c r="AH184" i="6"/>
  <c r="AI184" i="6"/>
  <c r="S185" i="6"/>
  <c r="AD185" i="6"/>
  <c r="AE185" i="6"/>
  <c r="AF185" i="6"/>
  <c r="AG185" i="6"/>
  <c r="AH185" i="6"/>
  <c r="AI185" i="6"/>
  <c r="S186" i="6"/>
  <c r="AD186" i="6"/>
  <c r="AE186" i="6"/>
  <c r="AF186" i="6"/>
  <c r="AG186" i="6"/>
  <c r="AH186" i="6"/>
  <c r="AI186" i="6"/>
  <c r="S187" i="6"/>
  <c r="AD187" i="6"/>
  <c r="AE187" i="6"/>
  <c r="AF187" i="6"/>
  <c r="AG187" i="6"/>
  <c r="AH187" i="6"/>
  <c r="AI187" i="6"/>
  <c r="S188" i="6"/>
  <c r="AD188" i="6"/>
  <c r="AE188" i="6"/>
  <c r="AF188" i="6"/>
  <c r="AG188" i="6"/>
  <c r="AH188" i="6"/>
  <c r="AI188" i="6"/>
  <c r="S189" i="6"/>
  <c r="AD189" i="6"/>
  <c r="AE189" i="6"/>
  <c r="AF189" i="6"/>
  <c r="AG189" i="6"/>
  <c r="AH189" i="6"/>
  <c r="AI189" i="6"/>
  <c r="S190" i="6"/>
  <c r="AD190" i="6"/>
  <c r="AE190" i="6"/>
  <c r="AF190" i="6"/>
  <c r="AG190" i="6"/>
  <c r="AH190" i="6"/>
  <c r="AI190" i="6"/>
  <c r="S191" i="6"/>
  <c r="AD191" i="6"/>
  <c r="AE191" i="6"/>
  <c r="AF191" i="6"/>
  <c r="AG191" i="6"/>
  <c r="AH191" i="6"/>
  <c r="AI191" i="6"/>
  <c r="S192" i="6"/>
  <c r="AD192" i="6"/>
  <c r="AE192" i="6"/>
  <c r="AF192" i="6"/>
  <c r="AG192" i="6"/>
  <c r="AH192" i="6"/>
  <c r="AI192" i="6"/>
  <c r="S193" i="6"/>
  <c r="AD193" i="6"/>
  <c r="AE193" i="6"/>
  <c r="AF193" i="6"/>
  <c r="AG193" i="6"/>
  <c r="AH193" i="6"/>
  <c r="AI193" i="6"/>
  <c r="S194" i="6"/>
  <c r="AD194" i="6"/>
  <c r="AE194" i="6"/>
  <c r="AF194" i="6"/>
  <c r="AG194" i="6"/>
  <c r="AH194" i="6"/>
  <c r="AI194" i="6"/>
  <c r="S195" i="6"/>
  <c r="AD195" i="6"/>
  <c r="AE195" i="6"/>
  <c r="AF195" i="6"/>
  <c r="AG195" i="6"/>
  <c r="AH195" i="6"/>
  <c r="AI195" i="6"/>
  <c r="S196" i="6"/>
  <c r="AD196" i="6"/>
  <c r="AE196" i="6"/>
  <c r="AF196" i="6"/>
  <c r="AG196" i="6"/>
  <c r="AH196" i="6"/>
  <c r="AI196" i="6"/>
  <c r="S197" i="6"/>
  <c r="AD197" i="6"/>
  <c r="AE197" i="6"/>
  <c r="AF197" i="6"/>
  <c r="AG197" i="6"/>
  <c r="AH197" i="6"/>
  <c r="AI197" i="6"/>
  <c r="S198" i="6"/>
  <c r="AD198" i="6"/>
  <c r="AE198" i="6"/>
  <c r="AF198" i="6"/>
  <c r="AG198" i="6"/>
  <c r="AH198" i="6"/>
  <c r="AI198" i="6"/>
  <c r="S199" i="6"/>
  <c r="AD199" i="6"/>
  <c r="AE199" i="6"/>
  <c r="AF199" i="6"/>
  <c r="AG199" i="6"/>
  <c r="AH199" i="6"/>
  <c r="AI199" i="6"/>
  <c r="S200" i="6"/>
  <c r="AD200" i="6"/>
  <c r="AE200" i="6"/>
  <c r="AF200" i="6"/>
  <c r="AG200" i="6"/>
  <c r="AH200" i="6"/>
  <c r="AI200" i="6"/>
  <c r="S205" i="6"/>
  <c r="AD205" i="6"/>
  <c r="AE205" i="6"/>
  <c r="AF205" i="6"/>
  <c r="AG205" i="6"/>
  <c r="AH205" i="6"/>
  <c r="AI205" i="6"/>
  <c r="S206" i="6"/>
  <c r="AD206" i="6"/>
  <c r="AE206" i="6"/>
  <c r="AF206" i="6"/>
  <c r="AG206" i="6"/>
  <c r="AH206" i="6"/>
  <c r="AI206" i="6"/>
  <c r="S207" i="6"/>
  <c r="AD207" i="6"/>
  <c r="AE207" i="6"/>
  <c r="AF207" i="6"/>
  <c r="AG207" i="6"/>
  <c r="AH207" i="6"/>
  <c r="AI207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AD210" i="6"/>
  <c r="AE210" i="6"/>
  <c r="AF210" i="6"/>
  <c r="AG210" i="6"/>
  <c r="AH210" i="6"/>
  <c r="AI210" i="6"/>
  <c r="S211" i="6"/>
  <c r="AD211" i="6"/>
  <c r="AE211" i="6"/>
  <c r="AF211" i="6"/>
  <c r="AG211" i="6"/>
  <c r="AH211" i="6"/>
  <c r="AI211" i="6"/>
  <c r="S212" i="6"/>
  <c r="AD212" i="6"/>
  <c r="AE212" i="6"/>
  <c r="AF212" i="6"/>
  <c r="AG212" i="6"/>
  <c r="AH212" i="6"/>
  <c r="AI212" i="6"/>
  <c r="S213" i="6"/>
  <c r="AD213" i="6"/>
  <c r="AE213" i="6"/>
  <c r="AF213" i="6"/>
  <c r="AG213" i="6"/>
  <c r="AH213" i="6"/>
  <c r="AI213" i="6"/>
  <c r="S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216" i="6"/>
  <c r="AD216" i="6"/>
  <c r="AE216" i="6"/>
  <c r="AF216" i="6"/>
  <c r="AG216" i="6"/>
  <c r="AH216" i="6"/>
  <c r="AI216" i="6"/>
  <c r="S217" i="6"/>
  <c r="AD217" i="6"/>
  <c r="AE217" i="6"/>
  <c r="AF217" i="6"/>
  <c r="AG217" i="6"/>
  <c r="AH217" i="6"/>
  <c r="AI217" i="6"/>
  <c r="S218" i="6"/>
  <c r="AD218" i="6"/>
  <c r="AE218" i="6"/>
  <c r="AF218" i="6"/>
  <c r="AG218" i="6"/>
  <c r="AH218" i="6"/>
  <c r="AI218" i="6"/>
  <c r="S219" i="6"/>
  <c r="AD219" i="6"/>
  <c r="AE219" i="6"/>
  <c r="AF219" i="6"/>
  <c r="AG219" i="6"/>
  <c r="AH219" i="6"/>
  <c r="AI219" i="6"/>
  <c r="S220" i="6"/>
  <c r="AD220" i="6"/>
  <c r="AE220" i="6"/>
  <c r="AF220" i="6"/>
  <c r="AG220" i="6"/>
  <c r="AH220" i="6"/>
  <c r="AI220" i="6"/>
  <c r="S221" i="6"/>
  <c r="AD221" i="6"/>
  <c r="AE221" i="6"/>
  <c r="AF221" i="6"/>
  <c r="AG221" i="6"/>
  <c r="AH221" i="6"/>
  <c r="AI221" i="6"/>
  <c r="S222" i="6"/>
  <c r="AD222" i="6"/>
  <c r="AE222" i="6"/>
  <c r="AF222" i="6"/>
  <c r="AG222" i="6"/>
  <c r="AH222" i="6"/>
  <c r="AI222" i="6"/>
  <c r="S223" i="6"/>
  <c r="AD223" i="6"/>
  <c r="AE223" i="6"/>
  <c r="AF223" i="6"/>
  <c r="AG223" i="6"/>
  <c r="AH223" i="6"/>
  <c r="AI223" i="6"/>
  <c r="S224" i="6"/>
  <c r="AD224" i="6"/>
  <c r="AE224" i="6"/>
  <c r="AF224" i="6"/>
  <c r="AG224" i="6"/>
  <c r="AH224" i="6"/>
  <c r="AI224" i="6"/>
  <c r="S225" i="6"/>
  <c r="AD225" i="6"/>
  <c r="AE225" i="6"/>
  <c r="AF225" i="6"/>
  <c r="AG225" i="6"/>
  <c r="AH225" i="6"/>
  <c r="AI225" i="6"/>
  <c r="S226" i="6"/>
  <c r="AD226" i="6"/>
  <c r="AE226" i="6"/>
  <c r="AF226" i="6"/>
  <c r="AG226" i="6"/>
  <c r="AH226" i="6"/>
  <c r="AI226" i="6"/>
  <c r="S227" i="6"/>
  <c r="AD227" i="6"/>
  <c r="AE227" i="6"/>
  <c r="AF227" i="6"/>
  <c r="AG227" i="6"/>
  <c r="AH227" i="6"/>
  <c r="AI227" i="6"/>
  <c r="S228" i="6"/>
  <c r="AD228" i="6"/>
  <c r="AE228" i="6"/>
  <c r="AF228" i="6"/>
  <c r="AG228" i="6"/>
  <c r="AH228" i="6"/>
  <c r="AI228" i="6"/>
  <c r="S229" i="6"/>
  <c r="AD229" i="6"/>
  <c r="AE229" i="6"/>
  <c r="AF229" i="6"/>
  <c r="AG229" i="6"/>
  <c r="AH229" i="6"/>
  <c r="AI229" i="6"/>
  <c r="S230" i="6"/>
  <c r="AD230" i="6"/>
  <c r="AE230" i="6"/>
  <c r="AF230" i="6"/>
  <c r="AG230" i="6"/>
  <c r="AH230" i="6"/>
  <c r="AI230" i="6"/>
  <c r="S231" i="6"/>
  <c r="AD231" i="6"/>
  <c r="AE231" i="6"/>
  <c r="AF231" i="6"/>
  <c r="AG231" i="6"/>
  <c r="AH231" i="6"/>
  <c r="AI231" i="6"/>
  <c r="S232" i="6"/>
  <c r="AD232" i="6"/>
  <c r="AE232" i="6"/>
  <c r="AF232" i="6"/>
  <c r="AG232" i="6"/>
  <c r="AH232" i="6"/>
  <c r="AI232" i="6"/>
  <c r="S233" i="6"/>
  <c r="AD233" i="6"/>
  <c r="AE233" i="6"/>
  <c r="AF233" i="6"/>
  <c r="AG233" i="6"/>
  <c r="AH233" i="6"/>
  <c r="AI233" i="6"/>
  <c r="S234" i="6"/>
  <c r="AD234" i="6"/>
  <c r="AE234" i="6"/>
  <c r="AF234" i="6"/>
  <c r="AG234" i="6"/>
  <c r="AH234" i="6"/>
  <c r="AI234" i="6"/>
  <c r="S235" i="6"/>
  <c r="AD235" i="6"/>
  <c r="AE235" i="6"/>
  <c r="AF235" i="6"/>
  <c r="AG235" i="6"/>
  <c r="AH235" i="6"/>
  <c r="AI235" i="6"/>
  <c r="S236" i="6"/>
  <c r="AD236" i="6"/>
  <c r="AE236" i="6"/>
  <c r="AF236" i="6"/>
  <c r="AG236" i="6"/>
  <c r="AH236" i="6"/>
  <c r="AI236" i="6"/>
  <c r="S237" i="6"/>
  <c r="AD237" i="6"/>
  <c r="AE237" i="6"/>
  <c r="AF237" i="6"/>
  <c r="AG237" i="6"/>
  <c r="AH237" i="6"/>
  <c r="AI237" i="6"/>
  <c r="S238" i="6"/>
  <c r="AD238" i="6"/>
  <c r="AE238" i="6"/>
  <c r="AF238" i="6"/>
  <c r="AG238" i="6"/>
  <c r="AH238" i="6"/>
  <c r="AI238" i="6"/>
  <c r="S239" i="6"/>
  <c r="AD239" i="6"/>
  <c r="AE239" i="6"/>
  <c r="AF239" i="6"/>
  <c r="AG239" i="6"/>
  <c r="AH239" i="6"/>
  <c r="AI239" i="6"/>
  <c r="S240" i="6"/>
  <c r="AD240" i="6"/>
  <c r="AE240" i="6"/>
  <c r="AF240" i="6"/>
  <c r="AG240" i="6"/>
  <c r="AH240" i="6"/>
  <c r="AI240" i="6"/>
  <c r="S241" i="6"/>
  <c r="AD241" i="6"/>
  <c r="AE241" i="6"/>
  <c r="AF241" i="6"/>
  <c r="AG241" i="6"/>
  <c r="AH241" i="6"/>
  <c r="AI241" i="6"/>
  <c r="S242" i="6"/>
  <c r="AD242" i="6"/>
  <c r="AE242" i="6"/>
  <c r="AF242" i="6"/>
  <c r="AG242" i="6"/>
  <c r="AH242" i="6"/>
  <c r="AI242" i="6"/>
  <c r="S243" i="6"/>
  <c r="AD243" i="6"/>
  <c r="AE243" i="6"/>
  <c r="AF243" i="6"/>
  <c r="AG243" i="6"/>
  <c r="AH243" i="6"/>
  <c r="AI243" i="6"/>
  <c r="S244" i="6"/>
  <c r="AD244" i="6"/>
  <c r="AE244" i="6"/>
  <c r="AF244" i="6"/>
  <c r="AG244" i="6"/>
  <c r="AH244" i="6"/>
  <c r="AI244" i="6"/>
  <c r="S245" i="6"/>
  <c r="AD245" i="6"/>
  <c r="AE245" i="6"/>
  <c r="AF245" i="6"/>
  <c r="AG245" i="6"/>
  <c r="AH245" i="6"/>
  <c r="AI245" i="6"/>
  <c r="S246" i="6"/>
  <c r="AD246" i="6"/>
  <c r="AE246" i="6"/>
  <c r="AF246" i="6"/>
  <c r="AG246" i="6"/>
  <c r="AH246" i="6"/>
  <c r="AI246" i="6"/>
  <c r="S247" i="6"/>
  <c r="AD247" i="6"/>
  <c r="AE247" i="6"/>
  <c r="AF247" i="6"/>
  <c r="AG247" i="6"/>
  <c r="AH247" i="6"/>
  <c r="AI247" i="6"/>
  <c r="S248" i="6"/>
  <c r="AD248" i="6"/>
  <c r="AE248" i="6"/>
  <c r="AF248" i="6"/>
  <c r="AG248" i="6"/>
  <c r="AH248" i="6"/>
  <c r="AI248" i="6"/>
  <c r="S249" i="6"/>
  <c r="AD249" i="6"/>
  <c r="AE249" i="6"/>
  <c r="AF249" i="6"/>
  <c r="AG249" i="6"/>
  <c r="AH249" i="6"/>
  <c r="AI249" i="6"/>
  <c r="S250" i="6"/>
  <c r="AD250" i="6"/>
  <c r="AE250" i="6"/>
  <c r="AF250" i="6"/>
  <c r="AG250" i="6"/>
  <c r="AH250" i="6"/>
  <c r="AI250" i="6"/>
  <c r="S251" i="6"/>
  <c r="AD251" i="6"/>
  <c r="AE251" i="6"/>
  <c r="AF251" i="6"/>
  <c r="AG251" i="6"/>
  <c r="AH251" i="6"/>
  <c r="AI251" i="6"/>
  <c r="S252" i="6"/>
  <c r="AD252" i="6"/>
  <c r="AE252" i="6"/>
  <c r="AF252" i="6"/>
  <c r="AG252" i="6"/>
  <c r="AH252" i="6"/>
  <c r="AI252" i="6"/>
  <c r="S253" i="6"/>
  <c r="AD253" i="6"/>
  <c r="AE253" i="6"/>
  <c r="AF253" i="6"/>
  <c r="AG253" i="6"/>
  <c r="AH253" i="6"/>
  <c r="AI253" i="6"/>
  <c r="S254" i="6"/>
  <c r="AD254" i="6"/>
  <c r="AE254" i="6"/>
  <c r="AF254" i="6"/>
  <c r="AG254" i="6"/>
  <c r="AH254" i="6"/>
  <c r="AI254" i="6"/>
  <c r="S255" i="6"/>
  <c r="AD255" i="6"/>
  <c r="AE255" i="6"/>
  <c r="AF255" i="6"/>
  <c r="AG255" i="6"/>
  <c r="AH255" i="6"/>
  <c r="AI255" i="6"/>
  <c r="S256" i="6"/>
  <c r="AD256" i="6"/>
  <c r="AE256" i="6"/>
  <c r="AF256" i="6"/>
  <c r="AG256" i="6"/>
  <c r="AH256" i="6"/>
  <c r="AI256" i="6"/>
  <c r="S257" i="6"/>
  <c r="AD257" i="6"/>
  <c r="AE257" i="6"/>
  <c r="AF257" i="6"/>
  <c r="AG257" i="6"/>
  <c r="AH257" i="6"/>
  <c r="AI257" i="6"/>
  <c r="S258" i="6"/>
  <c r="AD258" i="6"/>
  <c r="AE258" i="6"/>
  <c r="AF258" i="6"/>
  <c r="AG258" i="6"/>
  <c r="AH258" i="6"/>
  <c r="AI258" i="6"/>
  <c r="S259" i="6"/>
  <c r="AD259" i="6"/>
  <c r="AE259" i="6"/>
  <c r="AF259" i="6"/>
  <c r="AG259" i="6"/>
  <c r="AH259" i="6"/>
  <c r="AI259" i="6"/>
  <c r="S260" i="6"/>
  <c r="AD260" i="6"/>
  <c r="AE260" i="6"/>
  <c r="AF260" i="6"/>
  <c r="AG260" i="6"/>
  <c r="AH260" i="6"/>
  <c r="AI260" i="6"/>
  <c r="S261" i="6"/>
  <c r="AD261" i="6"/>
  <c r="AE261" i="6"/>
  <c r="AF261" i="6"/>
  <c r="AG261" i="6"/>
  <c r="AH261" i="6"/>
  <c r="AI261" i="6"/>
  <c r="S262" i="6"/>
  <c r="AD262" i="6"/>
  <c r="AE262" i="6"/>
  <c r="AF262" i="6"/>
  <c r="AG262" i="6"/>
  <c r="AH262" i="6"/>
  <c r="AI262" i="6"/>
  <c r="S263" i="6"/>
  <c r="AD263" i="6"/>
  <c r="AE263" i="6"/>
  <c r="AF263" i="6"/>
  <c r="AG263" i="6"/>
  <c r="AH263" i="6"/>
  <c r="AI263" i="6"/>
  <c r="S264" i="6"/>
  <c r="AD264" i="6"/>
  <c r="AE264" i="6"/>
  <c r="AF264" i="6"/>
  <c r="AG264" i="6"/>
  <c r="AH264" i="6"/>
  <c r="AI264" i="6"/>
  <c r="S265" i="6"/>
  <c r="AD265" i="6"/>
  <c r="AE265" i="6"/>
  <c r="AF265" i="6"/>
  <c r="AG265" i="6"/>
  <c r="AH265" i="6"/>
  <c r="AI265" i="6"/>
  <c r="S266" i="6"/>
  <c r="AD266" i="6"/>
  <c r="AE266" i="6"/>
  <c r="AF266" i="6"/>
  <c r="AG266" i="6"/>
  <c r="AH266" i="6"/>
  <c r="AI266" i="6"/>
  <c r="S267" i="6"/>
  <c r="AD267" i="6"/>
  <c r="AE267" i="6"/>
  <c r="AF267" i="6"/>
  <c r="AG267" i="6"/>
  <c r="AH267" i="6"/>
  <c r="AI267" i="6"/>
  <c r="S268" i="6"/>
  <c r="AD268" i="6"/>
  <c r="AE268" i="6"/>
  <c r="AF268" i="6"/>
  <c r="AG268" i="6"/>
  <c r="AH268" i="6"/>
  <c r="AI268" i="6"/>
  <c r="S269" i="6"/>
  <c r="AD269" i="6"/>
  <c r="AE269" i="6"/>
  <c r="AF269" i="6"/>
  <c r="AG269" i="6"/>
  <c r="AH269" i="6"/>
  <c r="AI269" i="6"/>
  <c r="S270" i="6"/>
  <c r="AD270" i="6"/>
  <c r="AE270" i="6"/>
  <c r="AF270" i="6"/>
  <c r="AG270" i="6"/>
  <c r="AH270" i="6"/>
  <c r="AI270" i="6"/>
  <c r="S271" i="6"/>
  <c r="AD271" i="6"/>
  <c r="AE271" i="6"/>
  <c r="AF271" i="6"/>
  <c r="AG271" i="6"/>
  <c r="AH271" i="6"/>
  <c r="AI271" i="6"/>
  <c r="S272" i="6"/>
  <c r="AD272" i="6"/>
  <c r="AE272" i="6"/>
  <c r="AF272" i="6"/>
  <c r="AG272" i="6"/>
  <c r="AH272" i="6"/>
  <c r="AI272" i="6"/>
  <c r="S273" i="6"/>
  <c r="AD273" i="6"/>
  <c r="AE273" i="6"/>
  <c r="AF273" i="6"/>
  <c r="AG273" i="6"/>
  <c r="AH273" i="6"/>
  <c r="AI273" i="6"/>
  <c r="S274" i="6"/>
  <c r="AD274" i="6"/>
  <c r="AE274" i="6"/>
  <c r="AF274" i="6"/>
  <c r="AG274" i="6"/>
  <c r="AH274" i="6"/>
  <c r="AI274" i="6"/>
  <c r="S275" i="6"/>
  <c r="AD275" i="6"/>
  <c r="AE275" i="6"/>
  <c r="AF275" i="6"/>
  <c r="AG275" i="6"/>
  <c r="AH275" i="6"/>
  <c r="AI275" i="6"/>
  <c r="S276" i="6"/>
  <c r="AD276" i="6"/>
  <c r="AE276" i="6"/>
  <c r="AF276" i="6"/>
  <c r="AG276" i="6"/>
  <c r="AH276" i="6"/>
  <c r="AI276" i="6"/>
  <c r="S277" i="6"/>
  <c r="AD277" i="6"/>
  <c r="AE277" i="6"/>
  <c r="AF277" i="6"/>
  <c r="AG277" i="6"/>
  <c r="AH277" i="6"/>
  <c r="AI277" i="6"/>
  <c r="S278" i="6"/>
  <c r="AD278" i="6"/>
  <c r="AE278" i="6"/>
  <c r="AF278" i="6"/>
  <c r="AG278" i="6"/>
  <c r="AH278" i="6"/>
  <c r="AI278" i="6"/>
  <c r="S279" i="6"/>
  <c r="AD279" i="6"/>
  <c r="AE279" i="6"/>
  <c r="AF279" i="6"/>
  <c r="AG279" i="6"/>
  <c r="AH279" i="6"/>
  <c r="AI279" i="6"/>
  <c r="S280" i="6"/>
  <c r="AD280" i="6"/>
  <c r="AE280" i="6"/>
  <c r="AF280" i="6"/>
  <c r="AG280" i="6"/>
  <c r="AH280" i="6"/>
  <c r="AI280" i="6"/>
  <c r="S281" i="6"/>
  <c r="AD281" i="6"/>
  <c r="AE281" i="6"/>
  <c r="AF281" i="6"/>
  <c r="AG281" i="6"/>
  <c r="AH281" i="6"/>
  <c r="AI281" i="6"/>
  <c r="S282" i="6"/>
  <c r="AD282" i="6"/>
  <c r="AE282" i="6"/>
  <c r="AF282" i="6"/>
  <c r="AG282" i="6"/>
  <c r="AH282" i="6"/>
  <c r="AI282" i="6"/>
  <c r="S283" i="6"/>
  <c r="AD283" i="6"/>
  <c r="AE283" i="6"/>
  <c r="AF283" i="6"/>
  <c r="AG283" i="6"/>
  <c r="AH283" i="6"/>
  <c r="AI283" i="6"/>
  <c r="S284" i="6"/>
  <c r="AD284" i="6"/>
  <c r="AE284" i="6"/>
  <c r="AF284" i="6"/>
  <c r="AG284" i="6"/>
  <c r="AH284" i="6"/>
  <c r="AI284" i="6"/>
  <c r="S285" i="6"/>
  <c r="AD285" i="6"/>
  <c r="AE285" i="6"/>
  <c r="AF285" i="6"/>
  <c r="AG285" i="6"/>
  <c r="AH285" i="6"/>
  <c r="AI285" i="6"/>
  <c r="S286" i="6"/>
  <c r="AD286" i="6"/>
  <c r="AE286" i="6"/>
  <c r="AF286" i="6"/>
  <c r="AG286" i="6"/>
  <c r="AH286" i="6"/>
  <c r="AI286" i="6"/>
  <c r="S287" i="6"/>
  <c r="AD287" i="6"/>
  <c r="AE287" i="6"/>
  <c r="AF287" i="6"/>
  <c r="AG287" i="6"/>
  <c r="AH287" i="6"/>
  <c r="AI287" i="6"/>
  <c r="S288" i="6"/>
  <c r="AD288" i="6"/>
  <c r="AE288" i="6"/>
  <c r="AF288" i="6"/>
  <c r="AG288" i="6"/>
  <c r="AH288" i="6"/>
  <c r="AI288" i="6"/>
  <c r="S289" i="6"/>
  <c r="AD289" i="6"/>
  <c r="AE289" i="6"/>
  <c r="AF289" i="6"/>
  <c r="AG289" i="6"/>
  <c r="AH289" i="6"/>
  <c r="AI289" i="6"/>
  <c r="S290" i="6"/>
  <c r="AD290" i="6"/>
  <c r="AE290" i="6"/>
  <c r="AF290" i="6"/>
  <c r="AG290" i="6"/>
  <c r="AH290" i="6"/>
  <c r="AI290" i="6"/>
  <c r="S292" i="6"/>
  <c r="AD292" i="6"/>
  <c r="AE292" i="6"/>
  <c r="AF292" i="6"/>
  <c r="AG292" i="6"/>
  <c r="AH292" i="6"/>
  <c r="AI292" i="6"/>
  <c r="S293" i="6"/>
  <c r="AD293" i="6"/>
  <c r="AE293" i="6"/>
  <c r="AF293" i="6"/>
  <c r="AG293" i="6"/>
  <c r="AH293" i="6"/>
  <c r="AI293" i="6"/>
  <c r="S294" i="6"/>
  <c r="AD294" i="6"/>
  <c r="AE294" i="6"/>
  <c r="AF294" i="6"/>
  <c r="AG294" i="6"/>
  <c r="AH294" i="6"/>
  <c r="AI294" i="6"/>
  <c r="S295" i="6"/>
  <c r="AD295" i="6"/>
  <c r="AE295" i="6"/>
  <c r="AF295" i="6"/>
  <c r="AG295" i="6"/>
  <c r="AH295" i="6"/>
  <c r="AI295" i="6"/>
  <c r="S296" i="6"/>
  <c r="AD296" i="6"/>
  <c r="AE296" i="6"/>
  <c r="AF296" i="6"/>
  <c r="AG296" i="6"/>
  <c r="AH296" i="6"/>
  <c r="AI296" i="6"/>
  <c r="S297" i="6"/>
  <c r="AD297" i="6"/>
  <c r="AE297" i="6"/>
  <c r="AF297" i="6"/>
  <c r="AG297" i="6"/>
  <c r="AH297" i="6"/>
  <c r="AI297" i="6"/>
  <c r="S298" i="6"/>
  <c r="AD298" i="6"/>
  <c r="AE298" i="6"/>
  <c r="AF298" i="6"/>
  <c r="AG298" i="6"/>
  <c r="AH298" i="6"/>
  <c r="AI298" i="6"/>
  <c r="S299" i="6"/>
  <c r="AD299" i="6"/>
  <c r="AE299" i="6"/>
  <c r="AF299" i="6"/>
  <c r="AG299" i="6"/>
  <c r="AH299" i="6"/>
  <c r="AI299" i="6"/>
  <c r="S300" i="6"/>
  <c r="AD300" i="6"/>
  <c r="AE300" i="6"/>
  <c r="AF300" i="6"/>
  <c r="AG300" i="6"/>
  <c r="AH300" i="6"/>
  <c r="AI300" i="6"/>
  <c r="S301" i="6"/>
  <c r="AD301" i="6"/>
  <c r="AE301" i="6"/>
  <c r="AF301" i="6"/>
  <c r="AG301" i="6"/>
  <c r="AH301" i="6"/>
  <c r="AI301" i="6"/>
  <c r="S302" i="6"/>
  <c r="AD302" i="6"/>
  <c r="AE302" i="6"/>
  <c r="AF302" i="6"/>
  <c r="AG302" i="6"/>
  <c r="AH302" i="6"/>
  <c r="AI302" i="6"/>
  <c r="S303" i="6"/>
  <c r="AD303" i="6"/>
  <c r="AE303" i="6"/>
  <c r="AF303" i="6"/>
  <c r="AG303" i="6"/>
  <c r="AH303" i="6"/>
  <c r="AI303" i="6"/>
  <c r="S304" i="6"/>
  <c r="AD304" i="6"/>
  <c r="AE304" i="6"/>
  <c r="AF304" i="6"/>
  <c r="AG304" i="6"/>
  <c r="AH304" i="6"/>
  <c r="AI304" i="6"/>
  <c r="S305" i="6"/>
  <c r="AD305" i="6"/>
  <c r="AE305" i="6"/>
  <c r="AF305" i="6"/>
  <c r="AG305" i="6"/>
  <c r="AH305" i="6"/>
  <c r="AI305" i="6"/>
  <c r="S306" i="6"/>
  <c r="AD306" i="6"/>
  <c r="AE306" i="6"/>
  <c r="AF306" i="6"/>
  <c r="AG306" i="6"/>
  <c r="AH306" i="6"/>
  <c r="AI306" i="6"/>
  <c r="S307" i="6"/>
  <c r="AD307" i="6"/>
  <c r="AE307" i="6"/>
  <c r="AF307" i="6"/>
  <c r="AG307" i="6"/>
  <c r="AH307" i="6"/>
  <c r="AI307" i="6"/>
  <c r="S308" i="6"/>
  <c r="AD308" i="6"/>
  <c r="AE308" i="6"/>
  <c r="AF308" i="6"/>
  <c r="AG308" i="6"/>
  <c r="AH308" i="6"/>
  <c r="AI308" i="6"/>
  <c r="S309" i="6"/>
  <c r="AD309" i="6"/>
  <c r="AE309" i="6"/>
  <c r="AF309" i="6"/>
  <c r="AG309" i="6"/>
  <c r="AH309" i="6"/>
  <c r="AI309" i="6"/>
  <c r="S310" i="6"/>
  <c r="AD310" i="6"/>
  <c r="AE310" i="6"/>
  <c r="AF310" i="6"/>
  <c r="AG310" i="6"/>
  <c r="AH310" i="6"/>
  <c r="AI310" i="6"/>
  <c r="S311" i="6"/>
  <c r="AD311" i="6"/>
  <c r="AE311" i="6"/>
  <c r="AF311" i="6"/>
  <c r="AG311" i="6"/>
  <c r="AH311" i="6"/>
  <c r="AI311" i="6"/>
  <c r="S312" i="6"/>
  <c r="AD312" i="6"/>
  <c r="AE312" i="6"/>
  <c r="AF312" i="6"/>
  <c r="AG312" i="6"/>
  <c r="AH312" i="6"/>
  <c r="AI312" i="6"/>
  <c r="S313" i="6"/>
  <c r="AD313" i="6"/>
  <c r="AE313" i="6"/>
  <c r="AF313" i="6"/>
  <c r="AG313" i="6"/>
  <c r="AH313" i="6"/>
  <c r="AI313" i="6"/>
  <c r="S314" i="6"/>
  <c r="AD314" i="6"/>
  <c r="AE314" i="6"/>
  <c r="AF314" i="6"/>
  <c r="AG314" i="6"/>
  <c r="AH314" i="6"/>
  <c r="AI314" i="6"/>
  <c r="S315" i="6"/>
  <c r="AD315" i="6"/>
  <c r="AE315" i="6"/>
  <c r="AF315" i="6"/>
  <c r="AG315" i="6"/>
  <c r="AH315" i="6"/>
  <c r="AI315" i="6"/>
  <c r="S316" i="6"/>
  <c r="AD316" i="6"/>
  <c r="AE316" i="6"/>
  <c r="AF316" i="6"/>
  <c r="AG316" i="6"/>
  <c r="AH316" i="6"/>
  <c r="AI316" i="6"/>
  <c r="S317" i="6"/>
  <c r="AD317" i="6"/>
  <c r="AE317" i="6"/>
  <c r="AF317" i="6"/>
  <c r="AG317" i="6"/>
  <c r="AH317" i="6"/>
  <c r="AI317" i="6"/>
  <c r="S318" i="6"/>
  <c r="AD318" i="6"/>
  <c r="AE318" i="6"/>
  <c r="AF318" i="6"/>
  <c r="AG318" i="6"/>
  <c r="AH318" i="6"/>
  <c r="AI318" i="6"/>
  <c r="S319" i="6"/>
  <c r="AD319" i="6"/>
  <c r="AE319" i="6"/>
  <c r="AF319" i="6"/>
  <c r="AG319" i="6"/>
  <c r="AH319" i="6"/>
  <c r="AI319" i="6"/>
  <c r="S320" i="6"/>
  <c r="AD320" i="6"/>
  <c r="AE320" i="6"/>
  <c r="AF320" i="6"/>
  <c r="AG320" i="6"/>
  <c r="AH320" i="6"/>
  <c r="AI320" i="6"/>
  <c r="S321" i="6"/>
  <c r="AD321" i="6"/>
  <c r="AE321" i="6"/>
  <c r="AF321" i="6"/>
  <c r="AG321" i="6"/>
  <c r="AH321" i="6"/>
  <c r="AI321" i="6"/>
  <c r="S322" i="6"/>
  <c r="AD322" i="6"/>
  <c r="AE322" i="6"/>
  <c r="AF322" i="6"/>
  <c r="AG322" i="6"/>
  <c r="AH322" i="6"/>
  <c r="AI322" i="6"/>
  <c r="S323" i="6"/>
  <c r="AD323" i="6"/>
  <c r="AE323" i="6"/>
  <c r="AF323" i="6"/>
  <c r="AG323" i="6"/>
  <c r="AH323" i="6"/>
  <c r="AI323" i="6"/>
  <c r="S324" i="6"/>
  <c r="AD324" i="6"/>
  <c r="AE324" i="6"/>
  <c r="AF324" i="6"/>
  <c r="AG324" i="6"/>
  <c r="AH324" i="6"/>
  <c r="AI324" i="6"/>
  <c r="S325" i="6"/>
  <c r="AD325" i="6"/>
  <c r="AE325" i="6"/>
  <c r="AF325" i="6"/>
  <c r="AG325" i="6"/>
  <c r="AH325" i="6"/>
  <c r="AI325" i="6"/>
  <c r="S326" i="6"/>
  <c r="AD326" i="6"/>
  <c r="AE326" i="6"/>
  <c r="AF326" i="6"/>
  <c r="AG326" i="6"/>
  <c r="AH326" i="6"/>
  <c r="AI326" i="6"/>
  <c r="S327" i="6"/>
  <c r="AD327" i="6"/>
  <c r="AE327" i="6"/>
  <c r="AF327" i="6"/>
  <c r="AG327" i="6"/>
  <c r="AH327" i="6"/>
  <c r="AI327" i="6"/>
  <c r="S328" i="6"/>
  <c r="AD328" i="6"/>
  <c r="AE328" i="6"/>
  <c r="AF328" i="6"/>
  <c r="AG328" i="6"/>
  <c r="AH328" i="6"/>
  <c r="AI328" i="6"/>
  <c r="S329" i="6"/>
  <c r="AD329" i="6"/>
  <c r="AE329" i="6"/>
  <c r="AF329" i="6"/>
  <c r="AG329" i="6"/>
  <c r="AH329" i="6"/>
  <c r="AI329" i="6"/>
  <c r="S330" i="6"/>
  <c r="AD330" i="6"/>
  <c r="AE330" i="6"/>
  <c r="AF330" i="6"/>
  <c r="AG330" i="6"/>
  <c r="AH330" i="6"/>
  <c r="AI330" i="6"/>
  <c r="S331" i="6"/>
  <c r="AD331" i="6"/>
  <c r="AE331" i="6"/>
  <c r="AF331" i="6"/>
  <c r="AG331" i="6"/>
  <c r="AH331" i="6"/>
  <c r="AI331" i="6"/>
  <c r="S332" i="6"/>
  <c r="AD332" i="6"/>
  <c r="AE332" i="6"/>
  <c r="AF332" i="6"/>
  <c r="AG332" i="6"/>
  <c r="AH332" i="6"/>
  <c r="AI332" i="6"/>
  <c r="S333" i="6"/>
  <c r="AD333" i="6"/>
  <c r="AE333" i="6"/>
  <c r="AF333" i="6"/>
  <c r="AG333" i="6"/>
  <c r="AH333" i="6"/>
  <c r="AI333" i="6"/>
  <c r="S334" i="6"/>
  <c r="AD334" i="6"/>
  <c r="AE334" i="6"/>
  <c r="AF334" i="6"/>
  <c r="AG334" i="6"/>
  <c r="AH334" i="6"/>
  <c r="AI334" i="6"/>
  <c r="S335" i="6"/>
  <c r="AD335" i="6"/>
  <c r="AE335" i="6"/>
  <c r="AF335" i="6"/>
  <c r="AG335" i="6"/>
  <c r="AH335" i="6"/>
  <c r="AI335" i="6"/>
  <c r="S336" i="6"/>
  <c r="AD336" i="6"/>
  <c r="AE336" i="6"/>
  <c r="AF336" i="6"/>
  <c r="AG336" i="6"/>
  <c r="AH336" i="6"/>
  <c r="AI336" i="6"/>
  <c r="S337" i="6"/>
  <c r="AD337" i="6"/>
  <c r="AE337" i="6"/>
  <c r="AF337" i="6"/>
  <c r="AG337" i="6"/>
  <c r="AH337" i="6"/>
  <c r="AI337" i="6"/>
  <c r="S338" i="6"/>
  <c r="AD338" i="6"/>
  <c r="AE338" i="6"/>
  <c r="AF338" i="6"/>
  <c r="AG338" i="6"/>
  <c r="AH338" i="6"/>
  <c r="AI338" i="6"/>
  <c r="S339" i="6"/>
  <c r="AD339" i="6"/>
  <c r="AE339" i="6"/>
  <c r="AF339" i="6"/>
  <c r="AG339" i="6"/>
  <c r="AH339" i="6"/>
  <c r="AI339" i="6"/>
  <c r="S340" i="6"/>
  <c r="AD340" i="6"/>
  <c r="AE340" i="6"/>
  <c r="AF340" i="6"/>
  <c r="AG340" i="6"/>
  <c r="AH340" i="6"/>
  <c r="AI340" i="6"/>
  <c r="S341" i="6"/>
  <c r="AD341" i="6"/>
  <c r="AE341" i="6"/>
  <c r="AF341" i="6"/>
  <c r="AG341" i="6"/>
  <c r="AH341" i="6"/>
  <c r="AI341" i="6"/>
  <c r="S342" i="6"/>
  <c r="AD342" i="6"/>
  <c r="AE342" i="6"/>
  <c r="AF342" i="6"/>
  <c r="AG342" i="6"/>
  <c r="AH342" i="6"/>
  <c r="AI342" i="6"/>
  <c r="S343" i="6"/>
  <c r="AD343" i="6"/>
  <c r="AE343" i="6"/>
  <c r="AF343" i="6"/>
  <c r="AG343" i="6"/>
  <c r="AH343" i="6"/>
  <c r="AI343" i="6"/>
  <c r="S344" i="6"/>
  <c r="AD344" i="6"/>
  <c r="AE344" i="6"/>
  <c r="AF344" i="6"/>
  <c r="AG344" i="6"/>
  <c r="AH344" i="6"/>
  <c r="AI344" i="6"/>
  <c r="S345" i="6"/>
  <c r="AD345" i="6"/>
  <c r="AE345" i="6"/>
  <c r="AF345" i="6"/>
  <c r="AG345" i="6"/>
  <c r="AH345" i="6"/>
  <c r="AI345" i="6"/>
  <c r="S346" i="6"/>
  <c r="AD346" i="6"/>
  <c r="AE346" i="6"/>
  <c r="AF346" i="6"/>
  <c r="AG346" i="6"/>
  <c r="AH346" i="6"/>
  <c r="AI346" i="6"/>
  <c r="S347" i="6"/>
  <c r="AD347" i="6"/>
  <c r="AE347" i="6"/>
  <c r="AF347" i="6"/>
  <c r="AG347" i="6"/>
  <c r="AH347" i="6"/>
  <c r="AI347" i="6"/>
  <c r="S348" i="6"/>
  <c r="AD348" i="6"/>
  <c r="AE348" i="6"/>
  <c r="AF348" i="6"/>
  <c r="AG348" i="6"/>
  <c r="AH348" i="6"/>
  <c r="AI348" i="6"/>
  <c r="S349" i="6"/>
  <c r="AD349" i="6"/>
  <c r="AE349" i="6"/>
  <c r="AF349" i="6"/>
  <c r="AG349" i="6"/>
  <c r="AH349" i="6"/>
  <c r="AI349" i="6"/>
  <c r="S350" i="6"/>
  <c r="AD350" i="6"/>
  <c r="AE350" i="6"/>
  <c r="AF350" i="6"/>
  <c r="AG350" i="6"/>
  <c r="AH350" i="6"/>
  <c r="AI350" i="6"/>
  <c r="S351" i="6"/>
  <c r="AD351" i="6"/>
  <c r="AE351" i="6"/>
  <c r="AF351" i="6"/>
  <c r="AG351" i="6"/>
  <c r="AH351" i="6"/>
  <c r="AI351" i="6"/>
  <c r="S352" i="6"/>
  <c r="AD352" i="6"/>
  <c r="AE352" i="6"/>
  <c r="AF352" i="6"/>
  <c r="AG352" i="6"/>
  <c r="AH352" i="6"/>
  <c r="AI352" i="6"/>
  <c r="S353" i="6"/>
  <c r="AD353" i="6"/>
  <c r="AE353" i="6"/>
  <c r="AF353" i="6"/>
  <c r="AG353" i="6"/>
  <c r="AH353" i="6"/>
  <c r="AI353" i="6"/>
  <c r="S354" i="6"/>
  <c r="AD354" i="6"/>
  <c r="AE354" i="6"/>
  <c r="AF354" i="6"/>
  <c r="AG354" i="6"/>
  <c r="AH354" i="6"/>
  <c r="AI354" i="6"/>
  <c r="S355" i="6"/>
  <c r="AD355" i="6"/>
  <c r="AE355" i="6"/>
  <c r="AF355" i="6"/>
  <c r="AG355" i="6"/>
  <c r="AH355" i="6"/>
  <c r="AI355" i="6"/>
  <c r="S356" i="6"/>
  <c r="AD356" i="6"/>
  <c r="AE356" i="6"/>
  <c r="AF356" i="6"/>
  <c r="AG356" i="6"/>
  <c r="AH356" i="6"/>
  <c r="AI356" i="6"/>
  <c r="S357" i="6"/>
  <c r="AD357" i="6"/>
  <c r="AE357" i="6"/>
  <c r="AF357" i="6"/>
  <c r="AG357" i="6"/>
  <c r="AH357" i="6"/>
  <c r="AI357" i="6"/>
  <c r="S358" i="6"/>
  <c r="AD358" i="6"/>
  <c r="AE358" i="6"/>
  <c r="AF358" i="6"/>
  <c r="AG358" i="6"/>
  <c r="AH358" i="6"/>
  <c r="AI358" i="6"/>
  <c r="S359" i="6"/>
  <c r="AD359" i="6"/>
  <c r="AE359" i="6"/>
  <c r="AF359" i="6"/>
  <c r="AG359" i="6"/>
  <c r="AH359" i="6"/>
  <c r="AI359" i="6"/>
  <c r="S360" i="6"/>
  <c r="AD360" i="6"/>
  <c r="AE360" i="6"/>
  <c r="AF360" i="6"/>
  <c r="AG360" i="6"/>
  <c r="AH360" i="6"/>
  <c r="AI360" i="6"/>
  <c r="S361" i="6"/>
  <c r="AD361" i="6"/>
  <c r="AE361" i="6"/>
  <c r="AF361" i="6"/>
  <c r="AG361" i="6"/>
  <c r="AH361" i="6"/>
  <c r="AI361" i="6"/>
  <c r="S362" i="6"/>
  <c r="AD362" i="6"/>
  <c r="AE362" i="6"/>
  <c r="AF362" i="6"/>
  <c r="AG362" i="6"/>
  <c r="AH362" i="6"/>
  <c r="AI362" i="6"/>
  <c r="S363" i="6"/>
  <c r="AD363" i="6"/>
  <c r="AE363" i="6"/>
  <c r="AF363" i="6"/>
  <c r="AG363" i="6"/>
  <c r="AH363" i="6"/>
  <c r="AI363" i="6"/>
  <c r="S364" i="6"/>
  <c r="AD364" i="6"/>
  <c r="AE364" i="6"/>
  <c r="AF364" i="6"/>
  <c r="AG364" i="6"/>
  <c r="AH364" i="6"/>
  <c r="AI364" i="6"/>
  <c r="S365" i="6"/>
  <c r="AD365" i="6"/>
  <c r="AE365" i="6"/>
  <c r="AF365" i="6"/>
  <c r="AG365" i="6"/>
  <c r="AH365" i="6"/>
  <c r="AI365" i="6"/>
  <c r="S366" i="6"/>
  <c r="AD366" i="6"/>
  <c r="AE366" i="6"/>
  <c r="AF366" i="6"/>
  <c r="AG366" i="6"/>
  <c r="AH366" i="6"/>
  <c r="AI366" i="6"/>
  <c r="S367" i="6"/>
  <c r="AD367" i="6"/>
  <c r="AE367" i="6"/>
  <c r="AF367" i="6"/>
  <c r="AG367" i="6"/>
  <c r="AH367" i="6"/>
  <c r="AI367" i="6"/>
  <c r="S368" i="6"/>
  <c r="AD368" i="6"/>
  <c r="AE368" i="6"/>
  <c r="AF368" i="6"/>
  <c r="AG368" i="6"/>
  <c r="AH368" i="6"/>
  <c r="AI368" i="6"/>
  <c r="S369" i="6"/>
  <c r="AD369" i="6"/>
  <c r="AE369" i="6"/>
  <c r="AF369" i="6"/>
  <c r="AG369" i="6"/>
  <c r="AH369" i="6"/>
  <c r="AI369" i="6"/>
  <c r="S370" i="6"/>
  <c r="AD370" i="6"/>
  <c r="AE370" i="6"/>
  <c r="AF370" i="6"/>
  <c r="AG370" i="6"/>
  <c r="AH370" i="6"/>
  <c r="AI370" i="6"/>
  <c r="S371" i="6"/>
  <c r="AD371" i="6"/>
  <c r="AE371" i="6"/>
  <c r="AF371" i="6"/>
  <c r="AG371" i="6"/>
  <c r="AH371" i="6"/>
  <c r="AI371" i="6"/>
  <c r="S372" i="6"/>
  <c r="AD372" i="6"/>
  <c r="AE372" i="6"/>
  <c r="AF372" i="6"/>
  <c r="AG372" i="6"/>
  <c r="AH372" i="6"/>
  <c r="AI372" i="6"/>
  <c r="S373" i="6"/>
  <c r="AD373" i="6"/>
  <c r="AE373" i="6"/>
  <c r="AF373" i="6"/>
  <c r="AG373" i="6"/>
  <c r="AH373" i="6"/>
  <c r="AI373" i="6"/>
  <c r="S374" i="6"/>
  <c r="AD374" i="6"/>
  <c r="AE374" i="6"/>
  <c r="AF374" i="6"/>
  <c r="AG374" i="6"/>
  <c r="AH374" i="6"/>
  <c r="AI374" i="6"/>
  <c r="S375" i="6"/>
  <c r="AD375" i="6"/>
  <c r="AE375" i="6"/>
  <c r="AF375" i="6"/>
  <c r="AG375" i="6"/>
  <c r="AH375" i="6"/>
  <c r="AI375" i="6"/>
  <c r="S376" i="6"/>
  <c r="AD376" i="6"/>
  <c r="AE376" i="6"/>
  <c r="AF376" i="6"/>
  <c r="AG376" i="6"/>
  <c r="AH376" i="6"/>
  <c r="AI376" i="6"/>
  <c r="S377" i="6"/>
  <c r="AD377" i="6"/>
  <c r="AE377" i="6"/>
  <c r="AF377" i="6"/>
  <c r="AG377" i="6"/>
  <c r="AH377" i="6"/>
  <c r="AI377" i="6"/>
  <c r="S378" i="6"/>
  <c r="AD378" i="6"/>
  <c r="AE378" i="6"/>
  <c r="AF378" i="6"/>
  <c r="AG378" i="6"/>
  <c r="AH378" i="6"/>
  <c r="AI378" i="6"/>
  <c r="S379" i="6"/>
  <c r="AD379" i="6"/>
  <c r="AE379" i="6"/>
  <c r="AF379" i="6"/>
  <c r="AG379" i="6"/>
  <c r="AH379" i="6"/>
  <c r="AI379" i="6"/>
  <c r="S380" i="6"/>
  <c r="AD380" i="6"/>
  <c r="AE380" i="6"/>
  <c r="AF380" i="6"/>
  <c r="AG380" i="6"/>
  <c r="AH380" i="6"/>
  <c r="AI380" i="6"/>
  <c r="S381" i="6"/>
  <c r="AD381" i="6"/>
  <c r="AE381" i="6"/>
  <c r="AF381" i="6"/>
  <c r="AG381" i="6"/>
  <c r="AH381" i="6"/>
  <c r="AI381" i="6"/>
  <c r="S382" i="6"/>
  <c r="AD382" i="6"/>
  <c r="AE382" i="6"/>
  <c r="AF382" i="6"/>
  <c r="AG382" i="6"/>
  <c r="AH382" i="6"/>
  <c r="AI382" i="6"/>
  <c r="S383" i="6"/>
  <c r="AD383" i="6"/>
  <c r="AE383" i="6"/>
  <c r="AF383" i="6"/>
  <c r="AG383" i="6"/>
  <c r="AH383" i="6"/>
  <c r="AI383" i="6"/>
  <c r="S384" i="6"/>
  <c r="AD384" i="6"/>
  <c r="AE384" i="6"/>
  <c r="AF384" i="6"/>
  <c r="AG384" i="6"/>
  <c r="AH384" i="6"/>
  <c r="AI384" i="6"/>
  <c r="S385" i="6"/>
  <c r="AD385" i="6"/>
  <c r="AE385" i="6"/>
  <c r="AF385" i="6"/>
  <c r="AG385" i="6"/>
  <c r="AH385" i="6"/>
  <c r="AI385" i="6"/>
  <c r="S386" i="6"/>
  <c r="AD386" i="6"/>
  <c r="AE386" i="6"/>
  <c r="AF386" i="6"/>
  <c r="AG386" i="6"/>
  <c r="AH386" i="6"/>
  <c r="AI386" i="6"/>
  <c r="S387" i="6"/>
  <c r="AD387" i="6"/>
  <c r="AE387" i="6"/>
  <c r="AF387" i="6"/>
  <c r="AG387" i="6"/>
  <c r="AH387" i="6"/>
  <c r="AI387" i="6"/>
  <c r="S388" i="6"/>
  <c r="AD388" i="6"/>
  <c r="AE388" i="6"/>
  <c r="AF388" i="6"/>
  <c r="AG388" i="6"/>
  <c r="AH388" i="6"/>
  <c r="AI388" i="6"/>
  <c r="S389" i="6"/>
  <c r="AD389" i="6"/>
  <c r="AE389" i="6"/>
  <c r="AF389" i="6"/>
  <c r="AG389" i="6"/>
  <c r="AH389" i="6"/>
  <c r="AI389" i="6"/>
  <c r="S390" i="6"/>
  <c r="AD390" i="6"/>
  <c r="AE390" i="6"/>
  <c r="AF390" i="6"/>
  <c r="AG390" i="6"/>
  <c r="AH390" i="6"/>
  <c r="AI390" i="6"/>
  <c r="S391" i="6"/>
  <c r="AD391" i="6"/>
  <c r="AE391" i="6"/>
  <c r="AF391" i="6"/>
  <c r="AG391" i="6"/>
  <c r="AH391" i="6"/>
  <c r="AI391" i="6"/>
  <c r="S392" i="6"/>
  <c r="AD392" i="6"/>
  <c r="AE392" i="6"/>
  <c r="AF392" i="6"/>
  <c r="AG392" i="6"/>
  <c r="AH392" i="6"/>
  <c r="AI392" i="6"/>
  <c r="S393" i="6"/>
  <c r="AD393" i="6"/>
  <c r="AE393" i="6"/>
  <c r="AF393" i="6"/>
  <c r="AG393" i="6"/>
  <c r="AH393" i="6"/>
  <c r="AI393" i="6"/>
  <c r="S394" i="6"/>
  <c r="AD394" i="6"/>
  <c r="AE394" i="6"/>
  <c r="AF394" i="6"/>
  <c r="AG394" i="6"/>
  <c r="AH394" i="6"/>
  <c r="AI394" i="6"/>
  <c r="S395" i="6"/>
  <c r="AD395" i="6"/>
  <c r="AE395" i="6"/>
  <c r="AF395" i="6"/>
  <c r="AG395" i="6"/>
  <c r="AH395" i="6"/>
  <c r="AI395" i="6"/>
  <c r="S396" i="6"/>
  <c r="AD396" i="6"/>
  <c r="AE396" i="6"/>
  <c r="AF396" i="6"/>
  <c r="AG396" i="6"/>
  <c r="AH396" i="6"/>
  <c r="AI396" i="6"/>
  <c r="S397" i="6"/>
  <c r="AD397" i="6"/>
  <c r="AE397" i="6"/>
  <c r="AF397" i="6"/>
  <c r="AG397" i="6"/>
  <c r="AH397" i="6"/>
  <c r="AI397" i="6"/>
  <c r="S398" i="6"/>
  <c r="AD398" i="6"/>
  <c r="AE398" i="6"/>
  <c r="AF398" i="6"/>
  <c r="AG398" i="6"/>
  <c r="AH398" i="6"/>
  <c r="AI398" i="6"/>
  <c r="S399" i="6"/>
  <c r="AD399" i="6"/>
  <c r="AE399" i="6"/>
  <c r="AF399" i="6"/>
  <c r="AG399" i="6"/>
  <c r="AH399" i="6"/>
  <c r="AI399" i="6"/>
  <c r="S400" i="6"/>
  <c r="AD400" i="6"/>
  <c r="AE400" i="6"/>
  <c r="AF400" i="6"/>
  <c r="AG400" i="6"/>
  <c r="AH400" i="6"/>
  <c r="AI400" i="6"/>
  <c r="S401" i="6"/>
  <c r="AD401" i="6"/>
  <c r="AE401" i="6"/>
  <c r="AF401" i="6"/>
  <c r="AG401" i="6"/>
  <c r="AH401" i="6"/>
  <c r="AI401" i="6"/>
  <c r="S402" i="6"/>
  <c r="AD402" i="6"/>
  <c r="AE402" i="6"/>
  <c r="AF402" i="6"/>
  <c r="AG402" i="6"/>
  <c r="AH402" i="6"/>
  <c r="AI402" i="6"/>
  <c r="S403" i="6"/>
  <c r="AD403" i="6"/>
  <c r="AE403" i="6"/>
  <c r="AF403" i="6"/>
  <c r="AG403" i="6"/>
  <c r="AH403" i="6"/>
  <c r="AI403" i="6"/>
  <c r="S404" i="6"/>
  <c r="AD404" i="6"/>
  <c r="AE404" i="6"/>
  <c r="AF404" i="6"/>
  <c r="AG404" i="6"/>
  <c r="AH404" i="6"/>
  <c r="AI404" i="6"/>
  <c r="S405" i="6"/>
  <c r="AD405" i="6"/>
  <c r="AE405" i="6"/>
  <c r="AF405" i="6"/>
  <c r="AG405" i="6"/>
  <c r="AH405" i="6"/>
  <c r="AI405" i="6"/>
  <c r="S406" i="6"/>
  <c r="AD406" i="6"/>
  <c r="AE406" i="6"/>
  <c r="AF406" i="6"/>
  <c r="AG406" i="6"/>
  <c r="AH406" i="6"/>
  <c r="AI406" i="6"/>
  <c r="S407" i="6"/>
  <c r="AD407" i="6"/>
  <c r="AE407" i="6"/>
  <c r="AF407" i="6"/>
  <c r="AG407" i="6"/>
  <c r="AH407" i="6"/>
  <c r="AI407" i="6"/>
  <c r="S408" i="6"/>
  <c r="AD408" i="6"/>
  <c r="AE408" i="6"/>
  <c r="AF408" i="6"/>
  <c r="AG408" i="6"/>
  <c r="AH408" i="6"/>
  <c r="AI408" i="6"/>
  <c r="S409" i="6"/>
  <c r="AD409" i="6"/>
  <c r="AE409" i="6"/>
  <c r="AF409" i="6"/>
  <c r="AG409" i="6"/>
  <c r="AH409" i="6"/>
  <c r="AI409" i="6"/>
  <c r="S410" i="6"/>
  <c r="AD410" i="6"/>
  <c r="AE410" i="6"/>
  <c r="AF410" i="6"/>
  <c r="AG410" i="6"/>
  <c r="AH410" i="6"/>
  <c r="AI410" i="6"/>
  <c r="S411" i="6"/>
  <c r="AD411" i="6"/>
  <c r="AE411" i="6"/>
  <c r="AF411" i="6"/>
  <c r="AG411" i="6"/>
  <c r="AH411" i="6"/>
  <c r="AI411" i="6"/>
  <c r="S412" i="6"/>
  <c r="AD412" i="6"/>
  <c r="AE412" i="6"/>
  <c r="AF412" i="6"/>
  <c r="AG412" i="6"/>
  <c r="AH412" i="6"/>
  <c r="AI412" i="6"/>
  <c r="S413" i="6"/>
  <c r="AD413" i="6"/>
  <c r="AE413" i="6"/>
  <c r="AF413" i="6"/>
  <c r="AG413" i="6"/>
  <c r="AH413" i="6"/>
  <c r="AI413" i="6"/>
  <c r="S414" i="6"/>
  <c r="AD414" i="6"/>
  <c r="AE414" i="6"/>
  <c r="AF414" i="6"/>
  <c r="AG414" i="6"/>
  <c r="AH414" i="6"/>
  <c r="AI414" i="6"/>
  <c r="S415" i="6"/>
  <c r="AD415" i="6"/>
  <c r="AE415" i="6"/>
  <c r="AF415" i="6"/>
  <c r="AG415" i="6"/>
  <c r="AH415" i="6"/>
  <c r="AI415" i="6"/>
  <c r="S416" i="6"/>
  <c r="AD416" i="6"/>
  <c r="AE416" i="6"/>
  <c r="AF416" i="6"/>
  <c r="AG416" i="6"/>
  <c r="AH416" i="6"/>
  <c r="AI416" i="6"/>
  <c r="S417" i="6"/>
  <c r="AD417" i="6"/>
  <c r="AE417" i="6"/>
  <c r="AF417" i="6"/>
  <c r="AG417" i="6"/>
  <c r="AH417" i="6"/>
  <c r="AI417" i="6"/>
  <c r="S418" i="6"/>
  <c r="AD418" i="6"/>
  <c r="AE418" i="6"/>
  <c r="AF418" i="6"/>
  <c r="AG418" i="6"/>
  <c r="AH418" i="6"/>
  <c r="AI418" i="6"/>
  <c r="S419" i="6"/>
  <c r="AD419" i="6"/>
  <c r="AE419" i="6"/>
  <c r="AF419" i="6"/>
  <c r="AG419" i="6"/>
  <c r="AH419" i="6"/>
  <c r="AI419" i="6"/>
  <c r="S420" i="6"/>
  <c r="AD420" i="6"/>
  <c r="AE420" i="6"/>
  <c r="AF420" i="6"/>
  <c r="AG420" i="6"/>
  <c r="AH420" i="6"/>
  <c r="AI420" i="6"/>
  <c r="S421" i="6"/>
  <c r="AD421" i="6"/>
  <c r="AE421" i="6"/>
  <c r="AF421" i="6"/>
  <c r="AG421" i="6"/>
  <c r="AH421" i="6"/>
  <c r="AI421" i="6"/>
  <c r="S422" i="6"/>
  <c r="AD422" i="6"/>
  <c r="AE422" i="6"/>
  <c r="AF422" i="6"/>
  <c r="AG422" i="6"/>
  <c r="AH422" i="6"/>
  <c r="AI422" i="6"/>
  <c r="S423" i="6"/>
  <c r="AD423" i="6"/>
  <c r="AE423" i="6"/>
  <c r="AF423" i="6"/>
  <c r="AG423" i="6"/>
  <c r="AH423" i="6"/>
  <c r="AI423" i="6"/>
  <c r="S424" i="6"/>
  <c r="AD424" i="6"/>
  <c r="AE424" i="6"/>
  <c r="AF424" i="6"/>
  <c r="AG424" i="6"/>
  <c r="AH424" i="6"/>
  <c r="AI424" i="6"/>
  <c r="S425" i="6"/>
  <c r="AD425" i="6"/>
  <c r="AE425" i="6"/>
  <c r="AF425" i="6"/>
  <c r="AG425" i="6"/>
  <c r="AH425" i="6"/>
  <c r="AI425" i="6"/>
  <c r="S426" i="6"/>
  <c r="AD426" i="6"/>
  <c r="AE426" i="6"/>
  <c r="AF426" i="6"/>
  <c r="AG426" i="6"/>
  <c r="AH426" i="6"/>
  <c r="AI426" i="6"/>
  <c r="S427" i="6"/>
  <c r="AD427" i="6"/>
  <c r="AE427" i="6"/>
  <c r="AF427" i="6"/>
  <c r="AG427" i="6"/>
  <c r="AH427" i="6"/>
  <c r="AI427" i="6"/>
  <c r="S428" i="6"/>
  <c r="AD428" i="6"/>
  <c r="AE428" i="6"/>
  <c r="AF428" i="6"/>
  <c r="AG428" i="6"/>
  <c r="AH428" i="6"/>
  <c r="AI428" i="6"/>
  <c r="S429" i="6"/>
  <c r="AD429" i="6"/>
  <c r="AE429" i="6"/>
  <c r="AF429" i="6"/>
  <c r="AG429" i="6"/>
  <c r="AH429" i="6"/>
  <c r="AI429" i="6"/>
  <c r="S430" i="6"/>
  <c r="AD430" i="6"/>
  <c r="AE430" i="6"/>
  <c r="AF430" i="6"/>
  <c r="AG430" i="6"/>
  <c r="AH430" i="6"/>
  <c r="AI430" i="6"/>
  <c r="S431" i="6"/>
  <c r="AD431" i="6"/>
  <c r="AE431" i="6"/>
  <c r="AF431" i="6"/>
  <c r="AG431" i="6"/>
  <c r="AH431" i="6"/>
  <c r="AI431" i="6"/>
  <c r="S432" i="6"/>
  <c r="AD432" i="6"/>
  <c r="AE432" i="6"/>
  <c r="AF432" i="6"/>
  <c r="AG432" i="6"/>
  <c r="AH432" i="6"/>
  <c r="AI432" i="6"/>
  <c r="S433" i="6"/>
  <c r="AD433" i="6"/>
  <c r="AE433" i="6"/>
  <c r="AF433" i="6"/>
  <c r="AG433" i="6"/>
  <c r="AH433" i="6"/>
  <c r="AI433" i="6"/>
  <c r="S434" i="6"/>
  <c r="AD434" i="6"/>
  <c r="AE434" i="6"/>
  <c r="AF434" i="6"/>
  <c r="AG434" i="6"/>
  <c r="AH434" i="6"/>
  <c r="AI434" i="6"/>
  <c r="S435" i="6"/>
  <c r="AD435" i="6"/>
  <c r="AE435" i="6"/>
  <c r="AF435" i="6"/>
  <c r="AG435" i="6"/>
  <c r="AH435" i="6"/>
  <c r="AI435" i="6"/>
  <c r="S436" i="6"/>
  <c r="AD436" i="6"/>
  <c r="AE436" i="6"/>
  <c r="AF436" i="6"/>
  <c r="AG436" i="6"/>
  <c r="AH436" i="6"/>
  <c r="AI436" i="6"/>
  <c r="S437" i="6"/>
  <c r="AD437" i="6"/>
  <c r="AE437" i="6"/>
  <c r="AF437" i="6"/>
  <c r="AG437" i="6"/>
  <c r="AH437" i="6"/>
  <c r="AI437" i="6"/>
  <c r="S438" i="6"/>
  <c r="AD438" i="6"/>
  <c r="AE438" i="6"/>
  <c r="AF438" i="6"/>
  <c r="AG438" i="6"/>
  <c r="AH438" i="6"/>
  <c r="AI438" i="6"/>
  <c r="S439" i="6"/>
  <c r="AD439" i="6"/>
  <c r="AE439" i="6"/>
  <c r="AF439" i="6"/>
  <c r="AG439" i="6"/>
  <c r="AH439" i="6"/>
  <c r="AI439" i="6"/>
  <c r="S440" i="6"/>
  <c r="AD440" i="6"/>
  <c r="AE440" i="6"/>
  <c r="AF440" i="6"/>
  <c r="AG440" i="6"/>
  <c r="AH440" i="6"/>
  <c r="AI440" i="6"/>
  <c r="S441" i="6"/>
  <c r="AD441" i="6"/>
  <c r="AE441" i="6"/>
  <c r="AF441" i="6"/>
  <c r="AG441" i="6"/>
  <c r="AH441" i="6"/>
  <c r="AI441" i="6"/>
  <c r="S442" i="6"/>
  <c r="AD442" i="6"/>
  <c r="AE442" i="6"/>
  <c r="AF442" i="6"/>
  <c r="AG442" i="6"/>
  <c r="AH442" i="6"/>
  <c r="AI442" i="6"/>
  <c r="S443" i="6"/>
  <c r="AD443" i="6"/>
  <c r="AE443" i="6"/>
  <c r="AF443" i="6"/>
  <c r="AG443" i="6"/>
  <c r="AH443" i="6"/>
  <c r="AI443" i="6"/>
  <c r="S444" i="6"/>
  <c r="AD444" i="6"/>
  <c r="AE444" i="6"/>
  <c r="AF444" i="6"/>
  <c r="AG444" i="6"/>
  <c r="AH444" i="6"/>
  <c r="AI444" i="6"/>
  <c r="S445" i="6"/>
  <c r="AD445" i="6"/>
  <c r="AE445" i="6"/>
  <c r="AF445" i="6"/>
  <c r="AG445" i="6"/>
  <c r="AH445" i="6"/>
  <c r="AI445" i="6"/>
  <c r="S446" i="6"/>
  <c r="AD446" i="6"/>
  <c r="AE446" i="6"/>
  <c r="AF446" i="6"/>
  <c r="AG446" i="6"/>
  <c r="AH446" i="6"/>
  <c r="AI446" i="6"/>
  <c r="S447" i="6"/>
  <c r="AD447" i="6"/>
  <c r="AE447" i="6"/>
  <c r="AF447" i="6"/>
  <c r="AG447" i="6"/>
  <c r="AH447" i="6"/>
  <c r="AI447" i="6"/>
  <c r="S448" i="6"/>
  <c r="AD448" i="6"/>
  <c r="AE448" i="6"/>
  <c r="AF448" i="6"/>
  <c r="AG448" i="6"/>
  <c r="AH448" i="6"/>
  <c r="AI448" i="6"/>
  <c r="S449" i="6"/>
  <c r="AD449" i="6"/>
  <c r="AE449" i="6"/>
  <c r="AF449" i="6"/>
  <c r="AG449" i="6"/>
  <c r="AH449" i="6"/>
  <c r="AI449" i="6"/>
  <c r="S450" i="6"/>
  <c r="AD450" i="6"/>
  <c r="AE450" i="6"/>
  <c r="AF450" i="6"/>
  <c r="AG450" i="6"/>
  <c r="AH450" i="6"/>
  <c r="AI450" i="6"/>
  <c r="S451" i="6"/>
  <c r="AD451" i="6"/>
  <c r="AE451" i="6"/>
  <c r="AF451" i="6"/>
  <c r="AG451" i="6"/>
  <c r="AH451" i="6"/>
  <c r="AI451" i="6"/>
  <c r="S452" i="6"/>
  <c r="AD452" i="6"/>
  <c r="AE452" i="6"/>
  <c r="AF452" i="6"/>
  <c r="AG452" i="6"/>
  <c r="AH452" i="6"/>
  <c r="AI452" i="6"/>
  <c r="S453" i="6"/>
  <c r="AD453" i="6"/>
  <c r="AE453" i="6"/>
  <c r="AF453" i="6"/>
  <c r="AG453" i="6"/>
  <c r="AH453" i="6"/>
  <c r="AI453" i="6"/>
  <c r="S454" i="6"/>
  <c r="AD454" i="6"/>
  <c r="AE454" i="6"/>
  <c r="AF454" i="6"/>
  <c r="AG454" i="6"/>
  <c r="AH454" i="6"/>
  <c r="AI454" i="6"/>
  <c r="S455" i="6"/>
  <c r="AD455" i="6"/>
  <c r="AE455" i="6"/>
  <c r="AF455" i="6"/>
  <c r="AG455" i="6"/>
  <c r="AH455" i="6"/>
  <c r="AI455" i="6"/>
  <c r="S456" i="6"/>
  <c r="AD456" i="6"/>
  <c r="AE456" i="6"/>
  <c r="AF456" i="6"/>
  <c r="AG456" i="6"/>
  <c r="AH456" i="6"/>
  <c r="AI456" i="6"/>
  <c r="S457" i="6"/>
  <c r="AD457" i="6"/>
  <c r="AE457" i="6"/>
  <c r="AF457" i="6"/>
  <c r="AG457" i="6"/>
  <c r="AH457" i="6"/>
  <c r="AI457" i="6"/>
  <c r="S458" i="6"/>
  <c r="AD458" i="6"/>
  <c r="AE458" i="6"/>
  <c r="AF458" i="6"/>
  <c r="AG458" i="6"/>
  <c r="AH458" i="6"/>
  <c r="AI458" i="6"/>
  <c r="S459" i="6"/>
  <c r="AD459" i="6"/>
  <c r="AE459" i="6"/>
  <c r="AF459" i="6"/>
  <c r="AG459" i="6"/>
  <c r="AH459" i="6"/>
  <c r="AI459" i="6"/>
  <c r="S460" i="6"/>
  <c r="AD460" i="6"/>
  <c r="AE460" i="6"/>
  <c r="AF460" i="6"/>
  <c r="AG460" i="6"/>
  <c r="AH460" i="6"/>
  <c r="AI460" i="6"/>
  <c r="S461" i="6"/>
  <c r="AD461" i="6"/>
  <c r="AE461" i="6"/>
  <c r="AF461" i="6"/>
  <c r="AG461" i="6"/>
  <c r="AH461" i="6"/>
  <c r="AI461" i="6"/>
  <c r="S462" i="6"/>
  <c r="AD462" i="6"/>
  <c r="AE462" i="6"/>
  <c r="AF462" i="6"/>
  <c r="AG462" i="6"/>
  <c r="AH462" i="6"/>
  <c r="AI462" i="6"/>
  <c r="S463" i="6"/>
  <c r="AD463" i="6"/>
  <c r="AE463" i="6"/>
  <c r="AF463" i="6"/>
  <c r="AG463" i="6"/>
  <c r="AH463" i="6"/>
  <c r="AI463" i="6"/>
  <c r="S464" i="6"/>
  <c r="AD464" i="6"/>
  <c r="AE464" i="6"/>
  <c r="AF464" i="6"/>
  <c r="AG464" i="6"/>
  <c r="AH464" i="6"/>
  <c r="AI464" i="6"/>
  <c r="S465" i="6"/>
  <c r="AD465" i="6"/>
  <c r="AE465" i="6"/>
  <c r="AF465" i="6"/>
  <c r="AG465" i="6"/>
  <c r="AH465" i="6"/>
  <c r="AI465" i="6"/>
  <c r="S466" i="6"/>
  <c r="AD466" i="6"/>
  <c r="AE466" i="6"/>
  <c r="AF466" i="6"/>
  <c r="AG466" i="6"/>
  <c r="AH466" i="6"/>
  <c r="AI466" i="6"/>
  <c r="S467" i="6"/>
  <c r="AD467" i="6"/>
  <c r="AE467" i="6"/>
  <c r="AF467" i="6"/>
  <c r="AG467" i="6"/>
  <c r="AH467" i="6"/>
  <c r="AI467" i="6"/>
  <c r="S468" i="6"/>
  <c r="AD468" i="6"/>
  <c r="AE468" i="6"/>
  <c r="AF468" i="6"/>
  <c r="AG468" i="6"/>
  <c r="AH468" i="6"/>
  <c r="AI468" i="6"/>
  <c r="S469" i="6"/>
  <c r="AD469" i="6"/>
  <c r="AE469" i="6"/>
  <c r="AF469" i="6"/>
  <c r="AG469" i="6"/>
  <c r="AH469" i="6"/>
  <c r="AI469" i="6"/>
  <c r="S470" i="6"/>
  <c r="AD470" i="6"/>
  <c r="AE470" i="6"/>
  <c r="AF470" i="6"/>
  <c r="AG470" i="6"/>
  <c r="AH470" i="6"/>
  <c r="AI470" i="6"/>
  <c r="S471" i="6"/>
  <c r="AD471" i="6"/>
  <c r="AE471" i="6"/>
  <c r="AF471" i="6"/>
  <c r="AG471" i="6"/>
  <c r="AH471" i="6"/>
  <c r="AI471" i="6"/>
  <c r="S472" i="6"/>
  <c r="AD472" i="6"/>
  <c r="AE472" i="6"/>
  <c r="AF472" i="6"/>
  <c r="AG472" i="6"/>
  <c r="AH472" i="6"/>
  <c r="AI472" i="6"/>
  <c r="S473" i="6"/>
  <c r="AD473" i="6"/>
  <c r="AE473" i="6"/>
  <c r="AF473" i="6"/>
  <c r="AG473" i="6"/>
  <c r="AH473" i="6"/>
  <c r="AI473" i="6"/>
  <c r="S474" i="6"/>
  <c r="AD474" i="6"/>
  <c r="AE474" i="6"/>
  <c r="AF474" i="6"/>
  <c r="AG474" i="6"/>
  <c r="AH474" i="6"/>
  <c r="AI474" i="6"/>
  <c r="S475" i="6"/>
  <c r="AD475" i="6"/>
  <c r="AE475" i="6"/>
  <c r="AF475" i="6"/>
  <c r="AG475" i="6"/>
  <c r="AH475" i="6"/>
  <c r="AI475" i="6"/>
  <c r="S476" i="6"/>
  <c r="AD476" i="6"/>
  <c r="AE476" i="6"/>
  <c r="AF476" i="6"/>
  <c r="AG476" i="6"/>
  <c r="AH476" i="6"/>
  <c r="AI476" i="6"/>
  <c r="S477" i="6"/>
  <c r="AD477" i="6"/>
  <c r="AE477" i="6"/>
  <c r="AF477" i="6"/>
  <c r="AG477" i="6"/>
  <c r="AH477" i="6"/>
  <c r="AI477" i="6"/>
  <c r="S478" i="6"/>
  <c r="AD478" i="6"/>
  <c r="AE478" i="6"/>
  <c r="AF478" i="6"/>
  <c r="AG478" i="6"/>
  <c r="AH478" i="6"/>
  <c r="AI478" i="6"/>
  <c r="S479" i="6"/>
  <c r="AD479" i="6"/>
  <c r="AE479" i="6"/>
  <c r="AF479" i="6"/>
  <c r="AG479" i="6"/>
  <c r="AH479" i="6"/>
  <c r="AI479" i="6"/>
  <c r="S480" i="6"/>
  <c r="AD480" i="6"/>
  <c r="AE480" i="6"/>
  <c r="AF480" i="6"/>
  <c r="AG480" i="6"/>
  <c r="AH480" i="6"/>
  <c r="AI480" i="6"/>
  <c r="S481" i="6"/>
  <c r="AD481" i="6"/>
  <c r="AE481" i="6"/>
  <c r="AF481" i="6"/>
  <c r="AG481" i="6"/>
  <c r="AH481" i="6"/>
  <c r="AI481" i="6"/>
  <c r="S482" i="6"/>
  <c r="AD482" i="6"/>
  <c r="AE482" i="6"/>
  <c r="AF482" i="6"/>
  <c r="AG482" i="6"/>
  <c r="AH482" i="6"/>
  <c r="AI482" i="6"/>
  <c r="S483" i="6"/>
  <c r="AD483" i="6"/>
  <c r="AE483" i="6"/>
  <c r="AF483" i="6"/>
  <c r="AG483" i="6"/>
  <c r="AH483" i="6"/>
  <c r="AI483" i="6"/>
  <c r="S484" i="6"/>
  <c r="AD484" i="6"/>
  <c r="AE484" i="6"/>
  <c r="AF484" i="6"/>
  <c r="AG484" i="6"/>
  <c r="AH484" i="6"/>
  <c r="AI484" i="6"/>
  <c r="S485" i="6"/>
  <c r="AD485" i="6"/>
  <c r="AE485" i="6"/>
  <c r="AF485" i="6"/>
  <c r="AG485" i="6"/>
  <c r="AH485" i="6"/>
  <c r="AI485" i="6"/>
  <c r="S486" i="6"/>
  <c r="AD486" i="6"/>
  <c r="AE486" i="6"/>
  <c r="AF486" i="6"/>
  <c r="AG486" i="6"/>
  <c r="AH486" i="6"/>
  <c r="AI486" i="6"/>
  <c r="S487" i="6"/>
  <c r="AD487" i="6"/>
  <c r="AE487" i="6"/>
  <c r="AF487" i="6"/>
  <c r="AG487" i="6"/>
  <c r="AH487" i="6"/>
  <c r="AI487" i="6"/>
  <c r="S488" i="6"/>
  <c r="AD488" i="6"/>
  <c r="AE488" i="6"/>
  <c r="AF488" i="6"/>
  <c r="AG488" i="6"/>
  <c r="AH488" i="6"/>
  <c r="AI488" i="6"/>
  <c r="S489" i="6"/>
  <c r="AD489" i="6"/>
  <c r="AE489" i="6"/>
  <c r="AF489" i="6"/>
  <c r="AG489" i="6"/>
  <c r="AH489" i="6"/>
  <c r="AI489" i="6"/>
  <c r="S490" i="6"/>
  <c r="AD490" i="6"/>
  <c r="AE490" i="6"/>
  <c r="AF490" i="6"/>
  <c r="AG490" i="6"/>
  <c r="AH490" i="6"/>
  <c r="AI490" i="6"/>
  <c r="S491" i="6"/>
  <c r="AD491" i="6"/>
  <c r="AE491" i="6"/>
  <c r="AF491" i="6"/>
  <c r="AG491" i="6"/>
  <c r="AH491" i="6"/>
  <c r="AI491" i="6"/>
  <c r="S492" i="6"/>
  <c r="AD492" i="6"/>
  <c r="AE492" i="6"/>
  <c r="AF492" i="6"/>
  <c r="AG492" i="6"/>
  <c r="AH492" i="6"/>
  <c r="AI492" i="6"/>
  <c r="S493" i="6"/>
  <c r="AD493" i="6"/>
  <c r="AE493" i="6"/>
  <c r="AF493" i="6"/>
  <c r="AG493" i="6"/>
  <c r="AH493" i="6"/>
  <c r="AI493" i="6"/>
  <c r="S494" i="6"/>
  <c r="AD494" i="6"/>
  <c r="AE494" i="6"/>
  <c r="AF494" i="6"/>
  <c r="AG494" i="6"/>
  <c r="AH494" i="6"/>
  <c r="AI494" i="6"/>
  <c r="S495" i="6"/>
  <c r="AD495" i="6"/>
  <c r="AE495" i="6"/>
  <c r="AF495" i="6"/>
  <c r="AG495" i="6"/>
  <c r="AH495" i="6"/>
  <c r="AI495" i="6"/>
  <c r="S496" i="6"/>
  <c r="AD496" i="6"/>
  <c r="AE496" i="6"/>
  <c r="AF496" i="6"/>
  <c r="AG496" i="6"/>
  <c r="AH496" i="6"/>
  <c r="AI496" i="6"/>
  <c r="S497" i="6"/>
  <c r="AD497" i="6"/>
  <c r="AE497" i="6"/>
  <c r="AF497" i="6"/>
  <c r="AG497" i="6"/>
  <c r="AH497" i="6"/>
  <c r="AI497" i="6"/>
  <c r="S498" i="6"/>
  <c r="AD498" i="6"/>
  <c r="AE498" i="6"/>
  <c r="AF498" i="6"/>
  <c r="AG498" i="6"/>
  <c r="AH498" i="6"/>
  <c r="AI498" i="6"/>
  <c r="S499" i="6"/>
  <c r="AD499" i="6"/>
  <c r="AE499" i="6"/>
  <c r="AF499" i="6"/>
  <c r="AG499" i="6"/>
  <c r="AH499" i="6"/>
  <c r="AI499" i="6"/>
  <c r="S500" i="6"/>
  <c r="AD500" i="6"/>
  <c r="AE500" i="6"/>
  <c r="AF500" i="6"/>
  <c r="AG500" i="6"/>
  <c r="AH500" i="6"/>
  <c r="AI500" i="6"/>
  <c r="S12" i="6"/>
  <c r="AD12" i="6"/>
  <c r="AE12" i="6"/>
  <c r="AF12" i="6"/>
  <c r="AG12" i="6"/>
  <c r="AH12" i="6"/>
  <c r="AI12" i="6"/>
  <c r="S9" i="6"/>
  <c r="AD9" i="6"/>
  <c r="AE9" i="6"/>
  <c r="AF9" i="6"/>
  <c r="AG9" i="6"/>
  <c r="AH9" i="6"/>
  <c r="AI9" i="6"/>
  <c r="S10" i="6"/>
  <c r="AD10" i="6"/>
  <c r="AE10" i="6"/>
  <c r="AF10" i="6"/>
  <c r="AG10" i="6"/>
  <c r="AH10" i="6"/>
  <c r="AI10" i="6"/>
  <c r="S11" i="6"/>
  <c r="AD11" i="6"/>
  <c r="AE11" i="6"/>
  <c r="AF11" i="6"/>
  <c r="AG11" i="6"/>
  <c r="AH11" i="6"/>
  <c r="AI11" i="6"/>
  <c r="S8" i="6"/>
  <c r="AD8" i="6"/>
  <c r="AE8" i="6"/>
  <c r="AF8" i="6"/>
  <c r="AG8" i="6"/>
  <c r="AH8" i="6"/>
  <c r="AI8" i="6"/>
  <c r="T7" i="6"/>
  <c r="T166" i="6" s="1"/>
  <c r="T55" i="6" l="1"/>
  <c r="T112" i="6"/>
  <c r="T204" i="6"/>
  <c r="T202" i="6"/>
  <c r="T203" i="6"/>
  <c r="T201" i="6"/>
  <c r="T172" i="6"/>
  <c r="T171" i="6"/>
  <c r="T170" i="6"/>
  <c r="T169" i="6"/>
  <c r="T168" i="6"/>
  <c r="T167" i="6"/>
  <c r="T13" i="6"/>
  <c r="T14" i="6"/>
  <c r="T15" i="6"/>
  <c r="T16" i="6"/>
  <c r="T17" i="6"/>
  <c r="T18" i="6"/>
  <c r="T19" i="6"/>
  <c r="T20" i="6"/>
  <c r="T21" i="6"/>
  <c r="T22" i="6"/>
  <c r="T23" i="6"/>
  <c r="T24" i="6"/>
  <c r="T25" i="6"/>
  <c r="T26" i="6"/>
  <c r="T27" i="6"/>
  <c r="T28" i="6"/>
  <c r="T29" i="6"/>
  <c r="T30" i="6"/>
  <c r="T31" i="6"/>
  <c r="T32" i="6"/>
  <c r="T33" i="6"/>
  <c r="T34" i="6"/>
  <c r="T35" i="6"/>
  <c r="T36" i="6"/>
  <c r="T37" i="6"/>
  <c r="T38" i="6"/>
  <c r="T39" i="6"/>
  <c r="T40" i="6"/>
  <c r="T41" i="6"/>
  <c r="T42" i="6"/>
  <c r="T43" i="6"/>
  <c r="T44" i="6"/>
  <c r="T45" i="6"/>
  <c r="T46" i="6"/>
  <c r="T47" i="6"/>
  <c r="T48" i="6"/>
  <c r="T49" i="6"/>
  <c r="T50" i="6"/>
  <c r="T51" i="6"/>
  <c r="T52" i="6"/>
  <c r="T53" i="6"/>
  <c r="T54" i="6"/>
  <c r="T56" i="6"/>
  <c r="T57" i="6"/>
  <c r="T58" i="6"/>
  <c r="T59" i="6"/>
  <c r="T60" i="6"/>
  <c r="T61" i="6"/>
  <c r="T62" i="6"/>
  <c r="T63" i="6"/>
  <c r="T64" i="6"/>
  <c r="T65" i="6"/>
  <c r="T66" i="6"/>
  <c r="T67" i="6"/>
  <c r="T68" i="6"/>
  <c r="T69" i="6"/>
  <c r="T70" i="6"/>
  <c r="T71" i="6"/>
  <c r="T72" i="6"/>
  <c r="T73" i="6"/>
  <c r="T74" i="6"/>
  <c r="T75" i="6"/>
  <c r="T76" i="6"/>
  <c r="T77" i="6"/>
  <c r="T78" i="6"/>
  <c r="T79" i="6"/>
  <c r="T80" i="6"/>
  <c r="T81" i="6"/>
  <c r="T82" i="6"/>
  <c r="T83" i="6"/>
  <c r="T84" i="6"/>
  <c r="T85" i="6"/>
  <c r="T86" i="6"/>
  <c r="T87" i="6"/>
  <c r="T88" i="6"/>
  <c r="T89" i="6"/>
  <c r="T90" i="6"/>
  <c r="T91" i="6"/>
  <c r="T92" i="6"/>
  <c r="T93" i="6"/>
  <c r="T94" i="6"/>
  <c r="T95" i="6"/>
  <c r="T96" i="6"/>
  <c r="T97" i="6"/>
  <c r="T98" i="6"/>
  <c r="T109" i="6"/>
  <c r="T126" i="6"/>
  <c r="T134" i="6"/>
  <c r="T102" i="6"/>
  <c r="T119" i="6"/>
  <c r="T143" i="6"/>
  <c r="T147" i="6"/>
  <c r="T111" i="6"/>
  <c r="T131" i="6"/>
  <c r="T163" i="6"/>
  <c r="T104" i="6"/>
  <c r="T121" i="6"/>
  <c r="T139" i="6"/>
  <c r="T114" i="6"/>
  <c r="T128" i="6"/>
  <c r="T136" i="6"/>
  <c r="T106" i="6"/>
  <c r="T123" i="6"/>
  <c r="T142" i="6"/>
  <c r="T146" i="6"/>
  <c r="T150" i="6"/>
  <c r="T154" i="6"/>
  <c r="T158" i="6"/>
  <c r="T162" i="6"/>
  <c r="T99" i="6"/>
  <c r="T116" i="6"/>
  <c r="T133" i="6"/>
  <c r="T108" i="6"/>
  <c r="T125" i="6"/>
  <c r="T101" i="6"/>
  <c r="T118" i="6"/>
  <c r="T130" i="6"/>
  <c r="T138" i="6"/>
  <c r="T110" i="6"/>
  <c r="T141" i="6"/>
  <c r="T145" i="6"/>
  <c r="T149" i="6"/>
  <c r="T153" i="6"/>
  <c r="T157" i="6"/>
  <c r="T161" i="6"/>
  <c r="T103" i="6"/>
  <c r="T120" i="6"/>
  <c r="T127" i="6"/>
  <c r="T135" i="6"/>
  <c r="T113" i="6"/>
  <c r="T105" i="6"/>
  <c r="T122" i="6"/>
  <c r="T132" i="6"/>
  <c r="T165" i="6"/>
  <c r="T173" i="6"/>
  <c r="T174" i="6"/>
  <c r="T175" i="6"/>
  <c r="T176" i="6"/>
  <c r="T177" i="6"/>
  <c r="T178" i="6"/>
  <c r="T179" i="6"/>
  <c r="T180" i="6"/>
  <c r="T181" i="6"/>
  <c r="T182" i="6"/>
  <c r="T183" i="6"/>
  <c r="T184" i="6"/>
  <c r="T185" i="6"/>
  <c r="T186" i="6"/>
  <c r="T187" i="6"/>
  <c r="T188" i="6"/>
  <c r="T189" i="6"/>
  <c r="T190" i="6"/>
  <c r="T191" i="6"/>
  <c r="T192" i="6"/>
  <c r="T193" i="6"/>
  <c r="T194" i="6"/>
  <c r="T195" i="6"/>
  <c r="T196" i="6"/>
  <c r="T197" i="6"/>
  <c r="T198" i="6"/>
  <c r="T199" i="6"/>
  <c r="T200" i="6"/>
  <c r="T205" i="6"/>
  <c r="T206" i="6"/>
  <c r="T207" i="6"/>
  <c r="T208" i="6"/>
  <c r="T209" i="6"/>
  <c r="T210" i="6"/>
  <c r="T211" i="6"/>
  <c r="T212" i="6"/>
  <c r="T213" i="6"/>
  <c r="T214" i="6"/>
  <c r="T215" i="6"/>
  <c r="T216" i="6"/>
  <c r="T217" i="6"/>
  <c r="T218" i="6"/>
  <c r="T219" i="6"/>
  <c r="T220" i="6"/>
  <c r="T221" i="6"/>
  <c r="T222" i="6"/>
  <c r="T223" i="6"/>
  <c r="T224" i="6"/>
  <c r="T225" i="6"/>
  <c r="T226" i="6"/>
  <c r="T227" i="6"/>
  <c r="T228" i="6"/>
  <c r="T229" i="6"/>
  <c r="T230" i="6"/>
  <c r="T231" i="6"/>
  <c r="T232" i="6"/>
  <c r="T233" i="6"/>
  <c r="T234" i="6"/>
  <c r="T235" i="6"/>
  <c r="T236" i="6"/>
  <c r="T237" i="6"/>
  <c r="T238" i="6"/>
  <c r="T115" i="6"/>
  <c r="T144" i="6"/>
  <c r="T148" i="6"/>
  <c r="T152" i="6"/>
  <c r="T156" i="6"/>
  <c r="T160" i="6"/>
  <c r="T107" i="6"/>
  <c r="T239" i="6"/>
  <c r="T240" i="6"/>
  <c r="T241" i="6"/>
  <c r="T242" i="6"/>
  <c r="T243" i="6"/>
  <c r="T244" i="6"/>
  <c r="T245" i="6"/>
  <c r="T246" i="6"/>
  <c r="T247" i="6"/>
  <c r="T248" i="6"/>
  <c r="T249" i="6"/>
  <c r="T250" i="6"/>
  <c r="T251" i="6"/>
  <c r="T252" i="6"/>
  <c r="T253" i="6"/>
  <c r="T254" i="6"/>
  <c r="T255" i="6"/>
  <c r="T256" i="6"/>
  <c r="T257" i="6"/>
  <c r="T258" i="6"/>
  <c r="T259" i="6"/>
  <c r="T260" i="6"/>
  <c r="T261" i="6"/>
  <c r="T262" i="6"/>
  <c r="T263" i="6"/>
  <c r="T264" i="6"/>
  <c r="T265" i="6"/>
  <c r="T266" i="6"/>
  <c r="T267" i="6"/>
  <c r="T268" i="6"/>
  <c r="T269" i="6"/>
  <c r="T270" i="6"/>
  <c r="T271" i="6"/>
  <c r="T272" i="6"/>
  <c r="T273" i="6"/>
  <c r="T274" i="6"/>
  <c r="T275" i="6"/>
  <c r="T276" i="6"/>
  <c r="T277" i="6"/>
  <c r="T278" i="6"/>
  <c r="T279" i="6"/>
  <c r="T280" i="6"/>
  <c r="T281" i="6"/>
  <c r="T282" i="6"/>
  <c r="T283" i="6"/>
  <c r="T284" i="6"/>
  <c r="T285" i="6"/>
  <c r="T286" i="6"/>
  <c r="T287" i="6"/>
  <c r="T288" i="6"/>
  <c r="T289" i="6"/>
  <c r="T290" i="6"/>
  <c r="T292" i="6"/>
  <c r="T293" i="6"/>
  <c r="T294" i="6"/>
  <c r="T295" i="6"/>
  <c r="T296" i="6"/>
  <c r="T297" i="6"/>
  <c r="T298" i="6"/>
  <c r="T299" i="6"/>
  <c r="T300" i="6"/>
  <c r="T117" i="6"/>
  <c r="T124" i="6"/>
  <c r="T137" i="6"/>
  <c r="T164" i="6"/>
  <c r="T129" i="6"/>
  <c r="T140" i="6"/>
  <c r="T100" i="6"/>
  <c r="T159" i="6"/>
  <c r="T301" i="6"/>
  <c r="T302" i="6"/>
  <c r="T303" i="6"/>
  <c r="T304" i="6"/>
  <c r="T305" i="6"/>
  <c r="T306" i="6"/>
  <c r="T307" i="6"/>
  <c r="T308" i="6"/>
  <c r="T309" i="6"/>
  <c r="T310" i="6"/>
  <c r="T311" i="6"/>
  <c r="T312" i="6"/>
  <c r="T313" i="6"/>
  <c r="T314" i="6"/>
  <c r="T315" i="6"/>
  <c r="T316" i="6"/>
  <c r="T317" i="6"/>
  <c r="T318" i="6"/>
  <c r="T319" i="6"/>
  <c r="T320" i="6"/>
  <c r="T321" i="6"/>
  <c r="T322" i="6"/>
  <c r="T323" i="6"/>
  <c r="T324" i="6"/>
  <c r="T325" i="6"/>
  <c r="T326" i="6"/>
  <c r="T327" i="6"/>
  <c r="T328" i="6"/>
  <c r="T329" i="6"/>
  <c r="T330" i="6"/>
  <c r="T331" i="6"/>
  <c r="T332" i="6"/>
  <c r="T333" i="6"/>
  <c r="T334" i="6"/>
  <c r="T335" i="6"/>
  <c r="T336" i="6"/>
  <c r="T337" i="6"/>
  <c r="T338" i="6"/>
  <c r="T339" i="6"/>
  <c r="T340" i="6"/>
  <c r="T341" i="6"/>
  <c r="T342" i="6"/>
  <c r="T343" i="6"/>
  <c r="T344" i="6"/>
  <c r="T345" i="6"/>
  <c r="T346" i="6"/>
  <c r="T347" i="6"/>
  <c r="T348" i="6"/>
  <c r="T349" i="6"/>
  <c r="T350" i="6"/>
  <c r="T351" i="6"/>
  <c r="T352" i="6"/>
  <c r="T353" i="6"/>
  <c r="T354" i="6"/>
  <c r="T355" i="6"/>
  <c r="T356" i="6"/>
  <c r="T357" i="6"/>
  <c r="T358" i="6"/>
  <c r="T359" i="6"/>
  <c r="T360" i="6"/>
  <c r="T361" i="6"/>
  <c r="T362" i="6"/>
  <c r="T363" i="6"/>
  <c r="T364" i="6"/>
  <c r="T365" i="6"/>
  <c r="T366" i="6"/>
  <c r="T367" i="6"/>
  <c r="T368" i="6"/>
  <c r="T369" i="6"/>
  <c r="T370" i="6"/>
  <c r="T371" i="6"/>
  <c r="T372" i="6"/>
  <c r="T373" i="6"/>
  <c r="T374" i="6"/>
  <c r="T375" i="6"/>
  <c r="T155" i="6"/>
  <c r="T151" i="6"/>
  <c r="T419" i="6"/>
  <c r="T418" i="6"/>
  <c r="T417" i="6"/>
  <c r="T416" i="6"/>
  <c r="T415" i="6"/>
  <c r="T414" i="6"/>
  <c r="T413" i="6"/>
  <c r="T412" i="6"/>
  <c r="T411" i="6"/>
  <c r="T410" i="6"/>
  <c r="T409" i="6"/>
  <c r="T408" i="6"/>
  <c r="T407" i="6"/>
  <c r="T406" i="6"/>
  <c r="T405" i="6"/>
  <c r="T404" i="6"/>
  <c r="T403" i="6"/>
  <c r="T402" i="6"/>
  <c r="T401" i="6"/>
  <c r="T400" i="6"/>
  <c r="T399" i="6"/>
  <c r="T398" i="6"/>
  <c r="T397" i="6"/>
  <c r="T396" i="6"/>
  <c r="T395" i="6"/>
  <c r="T394" i="6"/>
  <c r="T393" i="6"/>
  <c r="T392" i="6"/>
  <c r="T391" i="6"/>
  <c r="T390" i="6"/>
  <c r="T389" i="6"/>
  <c r="T388" i="6"/>
  <c r="T387" i="6"/>
  <c r="T386" i="6"/>
  <c r="T385" i="6"/>
  <c r="T384" i="6"/>
  <c r="T383" i="6"/>
  <c r="T382" i="6"/>
  <c r="T381" i="6"/>
  <c r="T380" i="6"/>
  <c r="T379" i="6"/>
  <c r="T378" i="6"/>
  <c r="T377" i="6"/>
  <c r="T376" i="6"/>
  <c r="T500" i="6"/>
  <c r="T499" i="6"/>
  <c r="T498" i="6"/>
  <c r="T497" i="6"/>
  <c r="T496" i="6"/>
  <c r="T495" i="6"/>
  <c r="T494" i="6"/>
  <c r="T493" i="6"/>
  <c r="T492" i="6"/>
  <c r="T491" i="6"/>
  <c r="T490" i="6"/>
  <c r="T489" i="6"/>
  <c r="T488" i="6"/>
  <c r="T487" i="6"/>
  <c r="T486" i="6"/>
  <c r="T485" i="6"/>
  <c r="T484" i="6"/>
  <c r="T483" i="6"/>
  <c r="T482" i="6"/>
  <c r="T481" i="6"/>
  <c r="T480" i="6"/>
  <c r="T479" i="6"/>
  <c r="T478" i="6"/>
  <c r="T477" i="6"/>
  <c r="T476" i="6"/>
  <c r="T475" i="6"/>
  <c r="T474" i="6"/>
  <c r="T473" i="6"/>
  <c r="T472" i="6"/>
  <c r="T471" i="6"/>
  <c r="T470" i="6"/>
  <c r="T469" i="6"/>
  <c r="T468" i="6"/>
  <c r="T467" i="6"/>
  <c r="T466" i="6"/>
  <c r="T465" i="6"/>
  <c r="T464" i="6"/>
  <c r="T463" i="6"/>
  <c r="T462" i="6"/>
  <c r="T461" i="6"/>
  <c r="T460" i="6"/>
  <c r="T459" i="6"/>
  <c r="T458" i="6"/>
  <c r="T457" i="6"/>
  <c r="T456" i="6"/>
  <c r="T455" i="6"/>
  <c r="T454" i="6"/>
  <c r="T453" i="6"/>
  <c r="T452" i="6"/>
  <c r="T451" i="6"/>
  <c r="T450" i="6"/>
  <c r="T449" i="6"/>
  <c r="T448" i="6"/>
  <c r="T447" i="6"/>
  <c r="T446" i="6"/>
  <c r="T445" i="6"/>
  <c r="T444" i="6"/>
  <c r="T443" i="6"/>
  <c r="T442" i="6"/>
  <c r="T441" i="6"/>
  <c r="T440" i="6"/>
  <c r="T439" i="6"/>
  <c r="T438" i="6"/>
  <c r="T437" i="6"/>
  <c r="T436" i="6"/>
  <c r="T435" i="6"/>
  <c r="T434" i="6"/>
  <c r="T433" i="6"/>
  <c r="T432" i="6"/>
  <c r="T431" i="6"/>
  <c r="T430" i="6"/>
  <c r="T429" i="6"/>
  <c r="T428" i="6"/>
  <c r="T427" i="6"/>
  <c r="T426" i="6"/>
  <c r="T425" i="6"/>
  <c r="T424" i="6"/>
  <c r="T423" i="6"/>
  <c r="T422" i="6"/>
  <c r="T421" i="6"/>
  <c r="T420" i="6"/>
  <c r="T9" i="6"/>
  <c r="T11" i="6"/>
  <c r="U7" i="6"/>
  <c r="T12" i="6"/>
  <c r="T10" i="6"/>
  <c r="AD6" i="6"/>
  <c r="F3" i="6" s="1"/>
  <c r="S5" i="6"/>
  <c r="AF6" i="6"/>
  <c r="G3" i="6" s="1"/>
  <c r="AG6" i="6"/>
  <c r="G4" i="6" s="1"/>
  <c r="AE6" i="6"/>
  <c r="F4" i="6" s="1"/>
  <c r="AI6" i="6"/>
  <c r="E4" i="6" s="1"/>
  <c r="AH6" i="6"/>
  <c r="E3" i="6" s="1"/>
  <c r="T8" i="6"/>
  <c r="U112" i="6" l="1"/>
  <c r="U55" i="6"/>
  <c r="U166" i="6"/>
  <c r="U167" i="6"/>
  <c r="U168" i="6"/>
  <c r="U169" i="6"/>
  <c r="U170" i="6"/>
  <c r="U171" i="6"/>
  <c r="U172" i="6"/>
  <c r="U204" i="6"/>
  <c r="U201" i="6"/>
  <c r="U202" i="6"/>
  <c r="U203" i="6"/>
  <c r="U13" i="6"/>
  <c r="U14" i="6"/>
  <c r="U15" i="6"/>
  <c r="U16" i="6"/>
  <c r="U17" i="6"/>
  <c r="U18" i="6"/>
  <c r="U19" i="6"/>
  <c r="U20" i="6"/>
  <c r="U21" i="6"/>
  <c r="U22" i="6"/>
  <c r="U52" i="6"/>
  <c r="U61" i="6"/>
  <c r="U69" i="6"/>
  <c r="U77" i="6"/>
  <c r="U85" i="6"/>
  <c r="U44" i="6"/>
  <c r="U97" i="6"/>
  <c r="U49" i="6"/>
  <c r="U58" i="6"/>
  <c r="U66" i="6"/>
  <c r="U74" i="6"/>
  <c r="U82" i="6"/>
  <c r="U90" i="6"/>
  <c r="U96" i="6"/>
  <c r="U46" i="6"/>
  <c r="U54" i="6"/>
  <c r="U63" i="6"/>
  <c r="U71" i="6"/>
  <c r="U79" i="6"/>
  <c r="U87" i="6"/>
  <c r="U95" i="6"/>
  <c r="U51" i="6"/>
  <c r="U60" i="6"/>
  <c r="U68" i="6"/>
  <c r="U76" i="6"/>
  <c r="U84" i="6"/>
  <c r="U23" i="6"/>
  <c r="U25" i="6"/>
  <c r="U27" i="6"/>
  <c r="U29" i="6"/>
  <c r="U31" i="6"/>
  <c r="U33" i="6"/>
  <c r="U35" i="6"/>
  <c r="U37" i="6"/>
  <c r="U39" i="6"/>
  <c r="U41" i="6"/>
  <c r="U94" i="6"/>
  <c r="U43" i="6"/>
  <c r="U48" i="6"/>
  <c r="U57" i="6"/>
  <c r="U65" i="6"/>
  <c r="U73" i="6"/>
  <c r="U81" i="6"/>
  <c r="U89" i="6"/>
  <c r="U93" i="6"/>
  <c r="U45" i="6"/>
  <c r="U53" i="6"/>
  <c r="U62" i="6"/>
  <c r="U70" i="6"/>
  <c r="U78" i="6"/>
  <c r="U86" i="6"/>
  <c r="U92" i="6"/>
  <c r="U50" i="6"/>
  <c r="U59" i="6"/>
  <c r="U67" i="6"/>
  <c r="U75" i="6"/>
  <c r="U83" i="6"/>
  <c r="U91" i="6"/>
  <c r="U88" i="6"/>
  <c r="U100" i="6"/>
  <c r="U117" i="6"/>
  <c r="U164" i="6"/>
  <c r="U109" i="6"/>
  <c r="U126" i="6"/>
  <c r="U134" i="6"/>
  <c r="U102" i="6"/>
  <c r="U119" i="6"/>
  <c r="U143" i="6"/>
  <c r="U147" i="6"/>
  <c r="U151" i="6"/>
  <c r="U155" i="6"/>
  <c r="U159" i="6"/>
  <c r="U111" i="6"/>
  <c r="U131" i="6"/>
  <c r="U163" i="6"/>
  <c r="U56" i="6"/>
  <c r="U104" i="6"/>
  <c r="U121" i="6"/>
  <c r="U139" i="6"/>
  <c r="U42" i="6"/>
  <c r="U80" i="6"/>
  <c r="U114" i="6"/>
  <c r="U128" i="6"/>
  <c r="U136" i="6"/>
  <c r="U40" i="6"/>
  <c r="U106" i="6"/>
  <c r="U123" i="6"/>
  <c r="U142" i="6"/>
  <c r="U146" i="6"/>
  <c r="U150" i="6"/>
  <c r="U154" i="6"/>
  <c r="U158" i="6"/>
  <c r="U162" i="6"/>
  <c r="U38" i="6"/>
  <c r="U99" i="6"/>
  <c r="U116" i="6"/>
  <c r="U133" i="6"/>
  <c r="U36" i="6"/>
  <c r="U108" i="6"/>
  <c r="U125" i="6"/>
  <c r="U34" i="6"/>
  <c r="U47" i="6"/>
  <c r="U101" i="6"/>
  <c r="U118" i="6"/>
  <c r="U130" i="6"/>
  <c r="U138" i="6"/>
  <c r="U32" i="6"/>
  <c r="U72" i="6"/>
  <c r="U110" i="6"/>
  <c r="U141" i="6"/>
  <c r="U145" i="6"/>
  <c r="U149" i="6"/>
  <c r="U153" i="6"/>
  <c r="U157" i="6"/>
  <c r="U161" i="6"/>
  <c r="U30" i="6"/>
  <c r="U103" i="6"/>
  <c r="U120" i="6"/>
  <c r="U127" i="6"/>
  <c r="U135" i="6"/>
  <c r="U28" i="6"/>
  <c r="U113" i="6"/>
  <c r="U26" i="6"/>
  <c r="U105" i="6"/>
  <c r="U122" i="6"/>
  <c r="U132" i="6"/>
  <c r="U165" i="6"/>
  <c r="U173" i="6"/>
  <c r="U174" i="6"/>
  <c r="U175" i="6"/>
  <c r="U176" i="6"/>
  <c r="U177" i="6"/>
  <c r="U178" i="6"/>
  <c r="U179" i="6"/>
  <c r="U180" i="6"/>
  <c r="U181" i="6"/>
  <c r="U182" i="6"/>
  <c r="U183" i="6"/>
  <c r="U184" i="6"/>
  <c r="U185" i="6"/>
  <c r="U186" i="6"/>
  <c r="U187" i="6"/>
  <c r="U188" i="6"/>
  <c r="U189" i="6"/>
  <c r="U190" i="6"/>
  <c r="U191" i="6"/>
  <c r="U192" i="6"/>
  <c r="U193" i="6"/>
  <c r="U194" i="6"/>
  <c r="U195" i="6"/>
  <c r="U196" i="6"/>
  <c r="U197" i="6"/>
  <c r="U198" i="6"/>
  <c r="U199" i="6"/>
  <c r="U200" i="6"/>
  <c r="U205" i="6"/>
  <c r="U206" i="6"/>
  <c r="U207" i="6"/>
  <c r="U208" i="6"/>
  <c r="U209" i="6"/>
  <c r="U210" i="6"/>
  <c r="U211" i="6"/>
  <c r="U212" i="6"/>
  <c r="U213" i="6"/>
  <c r="U214" i="6"/>
  <c r="U215" i="6"/>
  <c r="U216" i="6"/>
  <c r="U217" i="6"/>
  <c r="U218" i="6"/>
  <c r="U219" i="6"/>
  <c r="U220" i="6"/>
  <c r="U221" i="6"/>
  <c r="U222" i="6"/>
  <c r="U223" i="6"/>
  <c r="U224" i="6"/>
  <c r="U225" i="6"/>
  <c r="U226" i="6"/>
  <c r="U227" i="6"/>
  <c r="U228" i="6"/>
  <c r="U229" i="6"/>
  <c r="U230" i="6"/>
  <c r="U231" i="6"/>
  <c r="U232" i="6"/>
  <c r="U233" i="6"/>
  <c r="U234" i="6"/>
  <c r="U235" i="6"/>
  <c r="U236" i="6"/>
  <c r="U237" i="6"/>
  <c r="U238" i="6"/>
  <c r="U64" i="6"/>
  <c r="U107" i="6"/>
  <c r="U239" i="6"/>
  <c r="U240" i="6"/>
  <c r="U241" i="6"/>
  <c r="U242" i="6"/>
  <c r="U243" i="6"/>
  <c r="U244" i="6"/>
  <c r="U245" i="6"/>
  <c r="U246" i="6"/>
  <c r="U247" i="6"/>
  <c r="U248" i="6"/>
  <c r="U249" i="6"/>
  <c r="U250" i="6"/>
  <c r="U251" i="6"/>
  <c r="U252" i="6"/>
  <c r="U253" i="6"/>
  <c r="U254" i="6"/>
  <c r="U255" i="6"/>
  <c r="U256" i="6"/>
  <c r="U257" i="6"/>
  <c r="U258" i="6"/>
  <c r="U259" i="6"/>
  <c r="U260" i="6"/>
  <c r="U261" i="6"/>
  <c r="U262" i="6"/>
  <c r="U263" i="6"/>
  <c r="U264" i="6"/>
  <c r="U265" i="6"/>
  <c r="U266" i="6"/>
  <c r="U267" i="6"/>
  <c r="U268" i="6"/>
  <c r="U269" i="6"/>
  <c r="U270" i="6"/>
  <c r="U271" i="6"/>
  <c r="U272" i="6"/>
  <c r="U273" i="6"/>
  <c r="U274" i="6"/>
  <c r="U275" i="6"/>
  <c r="U276" i="6"/>
  <c r="U277" i="6"/>
  <c r="U278" i="6"/>
  <c r="U279" i="6"/>
  <c r="U280" i="6"/>
  <c r="U281" i="6"/>
  <c r="U282" i="6"/>
  <c r="U283" i="6"/>
  <c r="U284" i="6"/>
  <c r="U285" i="6"/>
  <c r="U286" i="6"/>
  <c r="U287" i="6"/>
  <c r="U288" i="6"/>
  <c r="U289" i="6"/>
  <c r="U290" i="6"/>
  <c r="U292" i="6"/>
  <c r="U293" i="6"/>
  <c r="U294" i="6"/>
  <c r="U295" i="6"/>
  <c r="U296" i="6"/>
  <c r="U297" i="6"/>
  <c r="U298" i="6"/>
  <c r="U299" i="6"/>
  <c r="U115" i="6"/>
  <c r="U124" i="6"/>
  <c r="U137" i="6"/>
  <c r="U148" i="6"/>
  <c r="U152" i="6"/>
  <c r="U156" i="6"/>
  <c r="U160" i="6"/>
  <c r="U144" i="6"/>
  <c r="U129" i="6"/>
  <c r="U140" i="6"/>
  <c r="U24" i="6"/>
  <c r="U300" i="6"/>
  <c r="U301" i="6"/>
  <c r="U302" i="6"/>
  <c r="U303" i="6"/>
  <c r="U304" i="6"/>
  <c r="U305" i="6"/>
  <c r="U306" i="6"/>
  <c r="U307" i="6"/>
  <c r="U308" i="6"/>
  <c r="U309" i="6"/>
  <c r="U310" i="6"/>
  <c r="U311" i="6"/>
  <c r="U312" i="6"/>
  <c r="U313" i="6"/>
  <c r="U314" i="6"/>
  <c r="U315" i="6"/>
  <c r="U316" i="6"/>
  <c r="U317" i="6"/>
  <c r="U318" i="6"/>
  <c r="U319" i="6"/>
  <c r="U320" i="6"/>
  <c r="U321" i="6"/>
  <c r="U322" i="6"/>
  <c r="U323" i="6"/>
  <c r="U324" i="6"/>
  <c r="U325" i="6"/>
  <c r="U326" i="6"/>
  <c r="U327" i="6"/>
  <c r="U328" i="6"/>
  <c r="U329" i="6"/>
  <c r="U330" i="6"/>
  <c r="U331" i="6"/>
  <c r="U332" i="6"/>
  <c r="U333" i="6"/>
  <c r="U334" i="6"/>
  <c r="U335" i="6"/>
  <c r="U336" i="6"/>
  <c r="U337" i="6"/>
  <c r="U338" i="6"/>
  <c r="U339" i="6"/>
  <c r="U340" i="6"/>
  <c r="U341" i="6"/>
  <c r="U342" i="6"/>
  <c r="U343" i="6"/>
  <c r="U344" i="6"/>
  <c r="U345" i="6"/>
  <c r="U346" i="6"/>
  <c r="U347" i="6"/>
  <c r="U348" i="6"/>
  <c r="U349" i="6"/>
  <c r="U350" i="6"/>
  <c r="U351" i="6"/>
  <c r="U98" i="6"/>
  <c r="U357" i="6"/>
  <c r="U373" i="6"/>
  <c r="U362" i="6"/>
  <c r="U367" i="6"/>
  <c r="U372" i="6"/>
  <c r="U353" i="6"/>
  <c r="U361" i="6"/>
  <c r="U356" i="6"/>
  <c r="U366" i="6"/>
  <c r="U371" i="6"/>
  <c r="U368" i="6"/>
  <c r="U360" i="6"/>
  <c r="U365" i="6"/>
  <c r="U376" i="6"/>
  <c r="U377" i="6"/>
  <c r="U378" i="6"/>
  <c r="U379" i="6"/>
  <c r="U380" i="6"/>
  <c r="U381" i="6"/>
  <c r="U382" i="6"/>
  <c r="U383" i="6"/>
  <c r="U384" i="6"/>
  <c r="U385" i="6"/>
  <c r="U386" i="6"/>
  <c r="U387" i="6"/>
  <c r="U388" i="6"/>
  <c r="U389" i="6"/>
  <c r="U390" i="6"/>
  <c r="U391" i="6"/>
  <c r="U392" i="6"/>
  <c r="U393" i="6"/>
  <c r="U394" i="6"/>
  <c r="U395" i="6"/>
  <c r="U396" i="6"/>
  <c r="U397" i="6"/>
  <c r="U398" i="6"/>
  <c r="U399" i="6"/>
  <c r="U400" i="6"/>
  <c r="U401" i="6"/>
  <c r="U402" i="6"/>
  <c r="U403" i="6"/>
  <c r="U404" i="6"/>
  <c r="U405" i="6"/>
  <c r="U406" i="6"/>
  <c r="U407" i="6"/>
  <c r="U408" i="6"/>
  <c r="U409" i="6"/>
  <c r="U410" i="6"/>
  <c r="U411" i="6"/>
  <c r="U412" i="6"/>
  <c r="U413" i="6"/>
  <c r="U414" i="6"/>
  <c r="U415" i="6"/>
  <c r="U416" i="6"/>
  <c r="U417" i="6"/>
  <c r="U418" i="6"/>
  <c r="U419" i="6"/>
  <c r="U352" i="6"/>
  <c r="U370" i="6"/>
  <c r="U355" i="6"/>
  <c r="U359" i="6"/>
  <c r="U375" i="6"/>
  <c r="U364" i="6"/>
  <c r="U369" i="6"/>
  <c r="U358" i="6"/>
  <c r="U374" i="6"/>
  <c r="U363" i="6"/>
  <c r="U354" i="6"/>
  <c r="U485" i="6"/>
  <c r="U489" i="6"/>
  <c r="U491" i="6"/>
  <c r="U493" i="6"/>
  <c r="U495" i="6"/>
  <c r="U496" i="6"/>
  <c r="U497" i="6"/>
  <c r="U499" i="6"/>
  <c r="U420" i="6"/>
  <c r="U421" i="6"/>
  <c r="U422" i="6"/>
  <c r="U423" i="6"/>
  <c r="U424" i="6"/>
  <c r="U425" i="6"/>
  <c r="U426" i="6"/>
  <c r="U427" i="6"/>
  <c r="U428" i="6"/>
  <c r="U429" i="6"/>
  <c r="U430" i="6"/>
  <c r="U431" i="6"/>
  <c r="U432" i="6"/>
  <c r="U433" i="6"/>
  <c r="U434" i="6"/>
  <c r="U435" i="6"/>
  <c r="U436" i="6"/>
  <c r="U437" i="6"/>
  <c r="U438" i="6"/>
  <c r="U439" i="6"/>
  <c r="U440" i="6"/>
  <c r="U441" i="6"/>
  <c r="U442" i="6"/>
  <c r="U443" i="6"/>
  <c r="U444" i="6"/>
  <c r="U445" i="6"/>
  <c r="U446" i="6"/>
  <c r="U447" i="6"/>
  <c r="U448" i="6"/>
  <c r="U449" i="6"/>
  <c r="U450" i="6"/>
  <c r="U451" i="6"/>
  <c r="U452" i="6"/>
  <c r="U453" i="6"/>
  <c r="U454" i="6"/>
  <c r="U455" i="6"/>
  <c r="U456" i="6"/>
  <c r="U457" i="6"/>
  <c r="U458" i="6"/>
  <c r="U459" i="6"/>
  <c r="U460" i="6"/>
  <c r="U461" i="6"/>
  <c r="U462" i="6"/>
  <c r="U463" i="6"/>
  <c r="U464" i="6"/>
  <c r="U465" i="6"/>
  <c r="U466" i="6"/>
  <c r="U467" i="6"/>
  <c r="U468" i="6"/>
  <c r="U469" i="6"/>
  <c r="U470" i="6"/>
  <c r="U471" i="6"/>
  <c r="U472" i="6"/>
  <c r="U473" i="6"/>
  <c r="U474" i="6"/>
  <c r="U475" i="6"/>
  <c r="U476" i="6"/>
  <c r="U477" i="6"/>
  <c r="U478" i="6"/>
  <c r="U479" i="6"/>
  <c r="U480" i="6"/>
  <c r="U481" i="6"/>
  <c r="U482" i="6"/>
  <c r="U483" i="6"/>
  <c r="U484" i="6"/>
  <c r="U486" i="6"/>
  <c r="U487" i="6"/>
  <c r="U488" i="6"/>
  <c r="U490" i="6"/>
  <c r="U492" i="6"/>
  <c r="U494" i="6"/>
  <c r="U498" i="6"/>
  <c r="U500" i="6"/>
  <c r="V7" i="6"/>
  <c r="U9" i="6"/>
  <c r="U11" i="6"/>
  <c r="U10" i="6"/>
  <c r="U8" i="6"/>
  <c r="U12" i="6"/>
  <c r="F5" i="6"/>
  <c r="G5" i="6"/>
  <c r="E5" i="6"/>
  <c r="H4" i="6"/>
  <c r="H3" i="6"/>
  <c r="T5" i="6"/>
  <c r="V112" i="6" l="1"/>
  <c r="V55" i="6"/>
  <c r="V166" i="6"/>
  <c r="V167" i="6"/>
  <c r="V168" i="6"/>
  <c r="V169" i="6"/>
  <c r="V170" i="6"/>
  <c r="V171" i="6"/>
  <c r="V172" i="6"/>
  <c r="V201" i="6"/>
  <c r="V202" i="6"/>
  <c r="V203" i="6"/>
  <c r="V204" i="6"/>
  <c r="V13" i="6"/>
  <c r="V14" i="6"/>
  <c r="V15" i="6"/>
  <c r="V16" i="6"/>
  <c r="V17" i="6"/>
  <c r="V18" i="6"/>
  <c r="V19" i="6"/>
  <c r="V20" i="6"/>
  <c r="V21" i="6"/>
  <c r="V22" i="6"/>
  <c r="V23" i="6"/>
  <c r="V24" i="6"/>
  <c r="V25" i="6"/>
  <c r="V26" i="6"/>
  <c r="V27" i="6"/>
  <c r="V28" i="6"/>
  <c r="V29" i="6"/>
  <c r="V30" i="6"/>
  <c r="V31" i="6"/>
  <c r="V32" i="6"/>
  <c r="V33" i="6"/>
  <c r="V34" i="6"/>
  <c r="V35" i="6"/>
  <c r="V36" i="6"/>
  <c r="V37" i="6"/>
  <c r="V38" i="6"/>
  <c r="V39" i="6"/>
  <c r="V40" i="6"/>
  <c r="V41" i="6"/>
  <c r="V42" i="6"/>
  <c r="V43" i="6"/>
  <c r="V44" i="6"/>
  <c r="V45" i="6"/>
  <c r="V46" i="6"/>
  <c r="V47" i="6"/>
  <c r="V48" i="6"/>
  <c r="V49" i="6"/>
  <c r="V50" i="6"/>
  <c r="V51" i="6"/>
  <c r="V52" i="6"/>
  <c r="V53" i="6"/>
  <c r="V54" i="6"/>
  <c r="V56" i="6"/>
  <c r="V57" i="6"/>
  <c r="V58" i="6"/>
  <c r="V59" i="6"/>
  <c r="V60" i="6"/>
  <c r="V61" i="6"/>
  <c r="V62" i="6"/>
  <c r="V63" i="6"/>
  <c r="V64" i="6"/>
  <c r="V65" i="6"/>
  <c r="V66" i="6"/>
  <c r="V67" i="6"/>
  <c r="V68" i="6"/>
  <c r="V69" i="6"/>
  <c r="V70" i="6"/>
  <c r="V71" i="6"/>
  <c r="V72" i="6"/>
  <c r="V73" i="6"/>
  <c r="V74" i="6"/>
  <c r="V75" i="6"/>
  <c r="V76" i="6"/>
  <c r="V77" i="6"/>
  <c r="V78" i="6"/>
  <c r="V79" i="6"/>
  <c r="V80" i="6"/>
  <c r="V81" i="6"/>
  <c r="V82" i="6"/>
  <c r="V83" i="6"/>
  <c r="V84" i="6"/>
  <c r="V85" i="6"/>
  <c r="V86" i="6"/>
  <c r="V87" i="6"/>
  <c r="V88" i="6"/>
  <c r="V89" i="6"/>
  <c r="V90" i="6"/>
  <c r="V98" i="6"/>
  <c r="V99" i="6"/>
  <c r="V100" i="6"/>
  <c r="V101" i="6"/>
  <c r="V102" i="6"/>
  <c r="V103" i="6"/>
  <c r="V104" i="6"/>
  <c r="V105" i="6"/>
  <c r="V106" i="6"/>
  <c r="V107" i="6"/>
  <c r="V108" i="6"/>
  <c r="V109" i="6"/>
  <c r="V110" i="6"/>
  <c r="V111" i="6"/>
  <c r="V113" i="6"/>
  <c r="V114" i="6"/>
  <c r="V115" i="6"/>
  <c r="V116" i="6"/>
  <c r="V117" i="6"/>
  <c r="V118" i="6"/>
  <c r="V119" i="6"/>
  <c r="V120" i="6"/>
  <c r="V121" i="6"/>
  <c r="V122" i="6"/>
  <c r="V123" i="6"/>
  <c r="V124" i="6"/>
  <c r="V125" i="6"/>
  <c r="V126" i="6"/>
  <c r="V127" i="6"/>
  <c r="V128" i="6"/>
  <c r="V129" i="6"/>
  <c r="V130" i="6"/>
  <c r="V131" i="6"/>
  <c r="V132" i="6"/>
  <c r="V133" i="6"/>
  <c r="V134" i="6"/>
  <c r="V135" i="6"/>
  <c r="V136" i="6"/>
  <c r="V137" i="6"/>
  <c r="V138" i="6"/>
  <c r="V139" i="6"/>
  <c r="V140" i="6"/>
  <c r="V141" i="6"/>
  <c r="V142" i="6"/>
  <c r="V143" i="6"/>
  <c r="V144" i="6"/>
  <c r="V145" i="6"/>
  <c r="V146" i="6"/>
  <c r="V147" i="6"/>
  <c r="V148" i="6"/>
  <c r="V149" i="6"/>
  <c r="V150" i="6"/>
  <c r="V151" i="6"/>
  <c r="V152" i="6"/>
  <c r="V153" i="6"/>
  <c r="V154" i="6"/>
  <c r="V155" i="6"/>
  <c r="V156" i="6"/>
  <c r="V157" i="6"/>
  <c r="V158" i="6"/>
  <c r="V159" i="6"/>
  <c r="V160" i="6"/>
  <c r="V161" i="6"/>
  <c r="V97" i="6"/>
  <c r="V96" i="6"/>
  <c r="V95" i="6"/>
  <c r="V94" i="6"/>
  <c r="V93" i="6"/>
  <c r="V92" i="6"/>
  <c r="V163" i="6"/>
  <c r="V91" i="6"/>
  <c r="V162" i="6"/>
  <c r="V234" i="6"/>
  <c r="V180" i="6"/>
  <c r="V188" i="6"/>
  <c r="V196" i="6"/>
  <c r="V205" i="6"/>
  <c r="V213" i="6"/>
  <c r="V221" i="6"/>
  <c r="V177" i="6"/>
  <c r="V185" i="6"/>
  <c r="V193" i="6"/>
  <c r="V210" i="6"/>
  <c r="V218" i="6"/>
  <c r="V226" i="6"/>
  <c r="V233" i="6"/>
  <c r="V239" i="6"/>
  <c r="V240" i="6"/>
  <c r="V241" i="6"/>
  <c r="V242" i="6"/>
  <c r="V243" i="6"/>
  <c r="V244" i="6"/>
  <c r="V245" i="6"/>
  <c r="V246" i="6"/>
  <c r="V247" i="6"/>
  <c r="V248" i="6"/>
  <c r="V249" i="6"/>
  <c r="V250" i="6"/>
  <c r="V251" i="6"/>
  <c r="V252" i="6"/>
  <c r="V253" i="6"/>
  <c r="V254" i="6"/>
  <c r="V255" i="6"/>
  <c r="V256" i="6"/>
  <c r="V257" i="6"/>
  <c r="V258" i="6"/>
  <c r="V259" i="6"/>
  <c r="V260" i="6"/>
  <c r="V261" i="6"/>
  <c r="V262" i="6"/>
  <c r="V263" i="6"/>
  <c r="V264" i="6"/>
  <c r="V265" i="6"/>
  <c r="V266" i="6"/>
  <c r="V267" i="6"/>
  <c r="V268" i="6"/>
  <c r="V269" i="6"/>
  <c r="V270" i="6"/>
  <c r="V271" i="6"/>
  <c r="V272" i="6"/>
  <c r="V273" i="6"/>
  <c r="V274" i="6"/>
  <c r="V275" i="6"/>
  <c r="V276" i="6"/>
  <c r="V277" i="6"/>
  <c r="V278" i="6"/>
  <c r="V279" i="6"/>
  <c r="V280" i="6"/>
  <c r="V281" i="6"/>
  <c r="V282" i="6"/>
  <c r="V283" i="6"/>
  <c r="V284" i="6"/>
  <c r="V285" i="6"/>
  <c r="V286" i="6"/>
  <c r="V287" i="6"/>
  <c r="V229" i="6"/>
  <c r="V238" i="6"/>
  <c r="V174" i="6"/>
  <c r="V182" i="6"/>
  <c r="V190" i="6"/>
  <c r="V198" i="6"/>
  <c r="V207" i="6"/>
  <c r="V215" i="6"/>
  <c r="V164" i="6"/>
  <c r="V179" i="6"/>
  <c r="V187" i="6"/>
  <c r="V195" i="6"/>
  <c r="V212" i="6"/>
  <c r="V220" i="6"/>
  <c r="V232" i="6"/>
  <c r="V237" i="6"/>
  <c r="V176" i="6"/>
  <c r="V184" i="6"/>
  <c r="V192" i="6"/>
  <c r="V200" i="6"/>
  <c r="V209" i="6"/>
  <c r="V217" i="6"/>
  <c r="V225" i="6"/>
  <c r="V228" i="6"/>
  <c r="V236" i="6"/>
  <c r="V173" i="6"/>
  <c r="V181" i="6"/>
  <c r="V189" i="6"/>
  <c r="V197" i="6"/>
  <c r="V206" i="6"/>
  <c r="V214" i="6"/>
  <c r="V222" i="6"/>
  <c r="V231" i="6"/>
  <c r="V178" i="6"/>
  <c r="V186" i="6"/>
  <c r="V194" i="6"/>
  <c r="V227" i="6"/>
  <c r="V175" i="6"/>
  <c r="V230" i="6"/>
  <c r="V295" i="6"/>
  <c r="V292" i="6"/>
  <c r="V298" i="6"/>
  <c r="V224" i="6"/>
  <c r="V288" i="6"/>
  <c r="V191" i="6"/>
  <c r="V216" i="6"/>
  <c r="V297" i="6"/>
  <c r="V290" i="6"/>
  <c r="V208" i="6"/>
  <c r="V235" i="6"/>
  <c r="V300" i="6"/>
  <c r="V301" i="6"/>
  <c r="V302" i="6"/>
  <c r="V303" i="6"/>
  <c r="V304" i="6"/>
  <c r="V305" i="6"/>
  <c r="V306" i="6"/>
  <c r="V307" i="6"/>
  <c r="V308" i="6"/>
  <c r="V309" i="6"/>
  <c r="V310" i="6"/>
  <c r="V311" i="6"/>
  <c r="V312" i="6"/>
  <c r="V313" i="6"/>
  <c r="V314" i="6"/>
  <c r="V315" i="6"/>
  <c r="V316" i="6"/>
  <c r="V317" i="6"/>
  <c r="V318" i="6"/>
  <c r="V319" i="6"/>
  <c r="V320" i="6"/>
  <c r="V321" i="6"/>
  <c r="V322" i="6"/>
  <c r="V323" i="6"/>
  <c r="V324" i="6"/>
  <c r="V325" i="6"/>
  <c r="V326" i="6"/>
  <c r="V327" i="6"/>
  <c r="V328" i="6"/>
  <c r="V329" i="6"/>
  <c r="V330" i="6"/>
  <c r="V331" i="6"/>
  <c r="V332" i="6"/>
  <c r="V333" i="6"/>
  <c r="V334" i="6"/>
  <c r="V335" i="6"/>
  <c r="V336" i="6"/>
  <c r="V337" i="6"/>
  <c r="V338" i="6"/>
  <c r="V339" i="6"/>
  <c r="V340" i="6"/>
  <c r="V341" i="6"/>
  <c r="V342" i="6"/>
  <c r="V343" i="6"/>
  <c r="V344" i="6"/>
  <c r="V345" i="6"/>
  <c r="V346" i="6"/>
  <c r="V347" i="6"/>
  <c r="V348" i="6"/>
  <c r="V349" i="6"/>
  <c r="V350" i="6"/>
  <c r="V351" i="6"/>
  <c r="V352" i="6"/>
  <c r="V353" i="6"/>
  <c r="V354" i="6"/>
  <c r="V355" i="6"/>
  <c r="V356" i="6"/>
  <c r="V357" i="6"/>
  <c r="V358" i="6"/>
  <c r="V359" i="6"/>
  <c r="V360" i="6"/>
  <c r="V361" i="6"/>
  <c r="V362" i="6"/>
  <c r="V363" i="6"/>
  <c r="V364" i="6"/>
  <c r="V365" i="6"/>
  <c r="V366" i="6"/>
  <c r="V367" i="6"/>
  <c r="V368" i="6"/>
  <c r="V369" i="6"/>
  <c r="V370" i="6"/>
  <c r="V371" i="6"/>
  <c r="V372" i="6"/>
  <c r="V373" i="6"/>
  <c r="V374" i="6"/>
  <c r="V375" i="6"/>
  <c r="V183" i="6"/>
  <c r="V223" i="6"/>
  <c r="V219" i="6"/>
  <c r="V293" i="6"/>
  <c r="V296" i="6"/>
  <c r="V299" i="6"/>
  <c r="V199" i="6"/>
  <c r="V211" i="6"/>
  <c r="V294" i="6"/>
  <c r="V289" i="6"/>
  <c r="V376" i="6"/>
  <c r="V377" i="6"/>
  <c r="V378" i="6"/>
  <c r="V379" i="6"/>
  <c r="V380" i="6"/>
  <c r="V381" i="6"/>
  <c r="V382" i="6"/>
  <c r="V383" i="6"/>
  <c r="V384" i="6"/>
  <c r="V385" i="6"/>
  <c r="V386" i="6"/>
  <c r="V387" i="6"/>
  <c r="V388" i="6"/>
  <c r="V389" i="6"/>
  <c r="V390" i="6"/>
  <c r="V391" i="6"/>
  <c r="V392" i="6"/>
  <c r="V393" i="6"/>
  <c r="V394" i="6"/>
  <c r="V395" i="6"/>
  <c r="V396" i="6"/>
  <c r="V397" i="6"/>
  <c r="V398" i="6"/>
  <c r="V399" i="6"/>
  <c r="V400" i="6"/>
  <c r="V401" i="6"/>
  <c r="V402" i="6"/>
  <c r="V403" i="6"/>
  <c r="V404" i="6"/>
  <c r="V405" i="6"/>
  <c r="V406" i="6"/>
  <c r="V407" i="6"/>
  <c r="V408" i="6"/>
  <c r="V409" i="6"/>
  <c r="V410" i="6"/>
  <c r="V411" i="6"/>
  <c r="V412" i="6"/>
  <c r="V413" i="6"/>
  <c r="V414" i="6"/>
  <c r="V415" i="6"/>
  <c r="V416" i="6"/>
  <c r="V417" i="6"/>
  <c r="V418" i="6"/>
  <c r="V419" i="6"/>
  <c r="V165" i="6"/>
  <c r="V420" i="6"/>
  <c r="V421" i="6"/>
  <c r="V422" i="6"/>
  <c r="V423" i="6"/>
  <c r="V424" i="6"/>
  <c r="V425" i="6"/>
  <c r="V426" i="6"/>
  <c r="V427" i="6"/>
  <c r="V428" i="6"/>
  <c r="V429" i="6"/>
  <c r="V430" i="6"/>
  <c r="V431" i="6"/>
  <c r="V432" i="6"/>
  <c r="V433" i="6"/>
  <c r="V434" i="6"/>
  <c r="V435" i="6"/>
  <c r="V436" i="6"/>
  <c r="V437" i="6"/>
  <c r="V438" i="6"/>
  <c r="V439" i="6"/>
  <c r="V440" i="6"/>
  <c r="V441" i="6"/>
  <c r="V442" i="6"/>
  <c r="V443" i="6"/>
  <c r="V444" i="6"/>
  <c r="V445" i="6"/>
  <c r="V446" i="6"/>
  <c r="V447" i="6"/>
  <c r="V448" i="6"/>
  <c r="V449" i="6"/>
  <c r="V450" i="6"/>
  <c r="V451" i="6"/>
  <c r="V452" i="6"/>
  <c r="V453" i="6"/>
  <c r="V454" i="6"/>
  <c r="V455" i="6"/>
  <c r="V456" i="6"/>
  <c r="V457" i="6"/>
  <c r="V458" i="6"/>
  <c r="V459" i="6"/>
  <c r="V460" i="6"/>
  <c r="V461" i="6"/>
  <c r="V462" i="6"/>
  <c r="V463" i="6"/>
  <c r="V464" i="6"/>
  <c r="V465" i="6"/>
  <c r="V466" i="6"/>
  <c r="V467" i="6"/>
  <c r="V468" i="6"/>
  <c r="V469" i="6"/>
  <c r="V470" i="6"/>
  <c r="V471" i="6"/>
  <c r="V472" i="6"/>
  <c r="V473" i="6"/>
  <c r="V474" i="6"/>
  <c r="V475" i="6"/>
  <c r="V476" i="6"/>
  <c r="V477" i="6"/>
  <c r="V478" i="6"/>
  <c r="V479" i="6"/>
  <c r="V480" i="6"/>
  <c r="V481" i="6"/>
  <c r="V482" i="6"/>
  <c r="V483" i="6"/>
  <c r="V484" i="6"/>
  <c r="V485" i="6"/>
  <c r="V486" i="6"/>
  <c r="V487" i="6"/>
  <c r="V488" i="6"/>
  <c r="V489" i="6"/>
  <c r="V490" i="6"/>
  <c r="V491" i="6"/>
  <c r="V492" i="6"/>
  <c r="V493" i="6"/>
  <c r="V494" i="6"/>
  <c r="V495" i="6"/>
  <c r="V496" i="6"/>
  <c r="V497" i="6"/>
  <c r="V498" i="6"/>
  <c r="V499" i="6"/>
  <c r="V500" i="6"/>
  <c r="V12" i="6"/>
  <c r="V9" i="6"/>
  <c r="W7" i="6"/>
  <c r="V10" i="6"/>
  <c r="V11" i="6"/>
  <c r="V8" i="6"/>
  <c r="U5" i="6"/>
  <c r="H5" i="6"/>
  <c r="W112" i="6" l="1"/>
  <c r="W55" i="6"/>
  <c r="W166" i="6"/>
  <c r="W167" i="6"/>
  <c r="W168" i="6"/>
  <c r="W169" i="6"/>
  <c r="W170" i="6"/>
  <c r="W171" i="6"/>
  <c r="W172" i="6"/>
  <c r="W201" i="6"/>
  <c r="W202" i="6"/>
  <c r="W203" i="6"/>
  <c r="W204" i="6"/>
  <c r="W13" i="6"/>
  <c r="W14" i="6"/>
  <c r="W15" i="6"/>
  <c r="W16" i="6"/>
  <c r="W17" i="6"/>
  <c r="W18" i="6"/>
  <c r="W19" i="6"/>
  <c r="W20" i="6"/>
  <c r="W21" i="6"/>
  <c r="W22" i="6"/>
  <c r="W23" i="6"/>
  <c r="W24" i="6"/>
  <c r="W25" i="6"/>
  <c r="W26" i="6"/>
  <c r="W27" i="6"/>
  <c r="W28" i="6"/>
  <c r="W29" i="6"/>
  <c r="W30" i="6"/>
  <c r="W31" i="6"/>
  <c r="W32" i="6"/>
  <c r="W33" i="6"/>
  <c r="W34" i="6"/>
  <c r="W35" i="6"/>
  <c r="W36" i="6"/>
  <c r="W37" i="6"/>
  <c r="W38" i="6"/>
  <c r="W39" i="6"/>
  <c r="W40" i="6"/>
  <c r="W41" i="6"/>
  <c r="W42" i="6"/>
  <c r="W43" i="6"/>
  <c r="W44" i="6"/>
  <c r="W45" i="6"/>
  <c r="W46" i="6"/>
  <c r="W47" i="6"/>
  <c r="W48" i="6"/>
  <c r="W49" i="6"/>
  <c r="W50" i="6"/>
  <c r="W51" i="6"/>
  <c r="W52" i="6"/>
  <c r="W53" i="6"/>
  <c r="W54" i="6"/>
  <c r="W56" i="6"/>
  <c r="W57" i="6"/>
  <c r="W58" i="6"/>
  <c r="W59" i="6"/>
  <c r="W60" i="6"/>
  <c r="W61" i="6"/>
  <c r="W62" i="6"/>
  <c r="W63" i="6"/>
  <c r="W64" i="6"/>
  <c r="W65" i="6"/>
  <c r="W66" i="6"/>
  <c r="W67" i="6"/>
  <c r="W68" i="6"/>
  <c r="W69" i="6"/>
  <c r="W70" i="6"/>
  <c r="W71" i="6"/>
  <c r="W72" i="6"/>
  <c r="W73" i="6"/>
  <c r="W74" i="6"/>
  <c r="W75" i="6"/>
  <c r="W76" i="6"/>
  <c r="W77" i="6"/>
  <c r="W78" i="6"/>
  <c r="W79" i="6"/>
  <c r="W80" i="6"/>
  <c r="W81" i="6"/>
  <c r="W82" i="6"/>
  <c r="W83" i="6"/>
  <c r="W84" i="6"/>
  <c r="W85" i="6"/>
  <c r="W86" i="6"/>
  <c r="W87" i="6"/>
  <c r="W88" i="6"/>
  <c r="W89" i="6"/>
  <c r="W98" i="6"/>
  <c r="W99" i="6"/>
  <c r="W100" i="6"/>
  <c r="W101" i="6"/>
  <c r="W102" i="6"/>
  <c r="W103" i="6"/>
  <c r="W104" i="6"/>
  <c r="W105" i="6"/>
  <c r="W106" i="6"/>
  <c r="W107" i="6"/>
  <c r="W108" i="6"/>
  <c r="W109" i="6"/>
  <c r="W110" i="6"/>
  <c r="W111" i="6"/>
  <c r="W113" i="6"/>
  <c r="W114" i="6"/>
  <c r="W115" i="6"/>
  <c r="W116" i="6"/>
  <c r="W117" i="6"/>
  <c r="W118" i="6"/>
  <c r="W119" i="6"/>
  <c r="W120" i="6"/>
  <c r="W121" i="6"/>
  <c r="W122" i="6"/>
  <c r="W123" i="6"/>
  <c r="W124" i="6"/>
  <c r="W125" i="6"/>
  <c r="W126" i="6"/>
  <c r="W127" i="6"/>
  <c r="W128" i="6"/>
  <c r="W129" i="6"/>
  <c r="W130" i="6"/>
  <c r="W131" i="6"/>
  <c r="W132" i="6"/>
  <c r="W133" i="6"/>
  <c r="W134" i="6"/>
  <c r="W135" i="6"/>
  <c r="W136" i="6"/>
  <c r="W137" i="6"/>
  <c r="W138" i="6"/>
  <c r="W139" i="6"/>
  <c r="W140" i="6"/>
  <c r="W141" i="6"/>
  <c r="W142" i="6"/>
  <c r="W143" i="6"/>
  <c r="W144" i="6"/>
  <c r="W145" i="6"/>
  <c r="W146" i="6"/>
  <c r="W147" i="6"/>
  <c r="W148" i="6"/>
  <c r="W149" i="6"/>
  <c r="W150" i="6"/>
  <c r="W151" i="6"/>
  <c r="W152" i="6"/>
  <c r="W153" i="6"/>
  <c r="W154" i="6"/>
  <c r="W155" i="6"/>
  <c r="W156" i="6"/>
  <c r="W157" i="6"/>
  <c r="W158" i="6"/>
  <c r="W159" i="6"/>
  <c r="W160" i="6"/>
  <c r="W161" i="6"/>
  <c r="W162" i="6"/>
  <c r="W163" i="6"/>
  <c r="W164" i="6"/>
  <c r="W165" i="6"/>
  <c r="W90" i="6"/>
  <c r="W97" i="6"/>
  <c r="W96" i="6"/>
  <c r="W95" i="6"/>
  <c r="W94" i="6"/>
  <c r="W93" i="6"/>
  <c r="W92" i="6"/>
  <c r="W91" i="6"/>
  <c r="W175" i="6"/>
  <c r="W183" i="6"/>
  <c r="W191" i="6"/>
  <c r="W199" i="6"/>
  <c r="W208" i="6"/>
  <c r="W216" i="6"/>
  <c r="W224" i="6"/>
  <c r="W230" i="6"/>
  <c r="W234" i="6"/>
  <c r="W180" i="6"/>
  <c r="W188" i="6"/>
  <c r="W196" i="6"/>
  <c r="W205" i="6"/>
  <c r="W213" i="6"/>
  <c r="W221" i="6"/>
  <c r="W177" i="6"/>
  <c r="W185" i="6"/>
  <c r="W193" i="6"/>
  <c r="W210" i="6"/>
  <c r="W218" i="6"/>
  <c r="W226" i="6"/>
  <c r="W233" i="6"/>
  <c r="W239" i="6"/>
  <c r="W240" i="6"/>
  <c r="W241" i="6"/>
  <c r="W242" i="6"/>
  <c r="W243" i="6"/>
  <c r="W244" i="6"/>
  <c r="W245" i="6"/>
  <c r="W246" i="6"/>
  <c r="W247" i="6"/>
  <c r="W248" i="6"/>
  <c r="W249" i="6"/>
  <c r="W250" i="6"/>
  <c r="W251" i="6"/>
  <c r="W252" i="6"/>
  <c r="W253" i="6"/>
  <c r="W254" i="6"/>
  <c r="W255" i="6"/>
  <c r="W256" i="6"/>
  <c r="W257" i="6"/>
  <c r="W258" i="6"/>
  <c r="W259" i="6"/>
  <c r="W260" i="6"/>
  <c r="W261" i="6"/>
  <c r="W262" i="6"/>
  <c r="W263" i="6"/>
  <c r="W264" i="6"/>
  <c r="W265" i="6"/>
  <c r="W266" i="6"/>
  <c r="W267" i="6"/>
  <c r="W268" i="6"/>
  <c r="W269" i="6"/>
  <c r="W270" i="6"/>
  <c r="W271" i="6"/>
  <c r="W272" i="6"/>
  <c r="W273" i="6"/>
  <c r="W274" i="6"/>
  <c r="W275" i="6"/>
  <c r="W276" i="6"/>
  <c r="W277" i="6"/>
  <c r="W278" i="6"/>
  <c r="W279" i="6"/>
  <c r="W280" i="6"/>
  <c r="W281" i="6"/>
  <c r="W282" i="6"/>
  <c r="W283" i="6"/>
  <c r="W284" i="6"/>
  <c r="W285" i="6"/>
  <c r="W286" i="6"/>
  <c r="W287" i="6"/>
  <c r="W288" i="6"/>
  <c r="W289" i="6"/>
  <c r="W290" i="6"/>
  <c r="W292" i="6"/>
  <c r="W293" i="6"/>
  <c r="W174" i="6"/>
  <c r="W182" i="6"/>
  <c r="W190" i="6"/>
  <c r="W198" i="6"/>
  <c r="W207" i="6"/>
  <c r="W215" i="6"/>
  <c r="W223" i="6"/>
  <c r="W179" i="6"/>
  <c r="W187" i="6"/>
  <c r="W195" i="6"/>
  <c r="W212" i="6"/>
  <c r="W220" i="6"/>
  <c r="W232" i="6"/>
  <c r="W237" i="6"/>
  <c r="W176" i="6"/>
  <c r="W184" i="6"/>
  <c r="W192" i="6"/>
  <c r="W200" i="6"/>
  <c r="W209" i="6"/>
  <c r="W217" i="6"/>
  <c r="W225" i="6"/>
  <c r="W228" i="6"/>
  <c r="W236" i="6"/>
  <c r="W173" i="6"/>
  <c r="W181" i="6"/>
  <c r="W189" i="6"/>
  <c r="W197" i="6"/>
  <c r="W206" i="6"/>
  <c r="W214" i="6"/>
  <c r="W222" i="6"/>
  <c r="W231" i="6"/>
  <c r="W178" i="6"/>
  <c r="W186" i="6"/>
  <c r="W194" i="6"/>
  <c r="W211" i="6"/>
  <c r="W219" i="6"/>
  <c r="W235" i="6"/>
  <c r="W238" i="6"/>
  <c r="W295" i="6"/>
  <c r="W298" i="6"/>
  <c r="W294" i="6"/>
  <c r="W297" i="6"/>
  <c r="W229" i="6"/>
  <c r="W227" i="6"/>
  <c r="W300" i="6"/>
  <c r="W301" i="6"/>
  <c r="W302" i="6"/>
  <c r="W303" i="6"/>
  <c r="W304" i="6"/>
  <c r="W305" i="6"/>
  <c r="W306" i="6"/>
  <c r="W307" i="6"/>
  <c r="W308" i="6"/>
  <c r="W309" i="6"/>
  <c r="W310" i="6"/>
  <c r="W311" i="6"/>
  <c r="W312" i="6"/>
  <c r="W313" i="6"/>
  <c r="W314" i="6"/>
  <c r="W315" i="6"/>
  <c r="W316" i="6"/>
  <c r="W317" i="6"/>
  <c r="W318" i="6"/>
  <c r="W319" i="6"/>
  <c r="W320" i="6"/>
  <c r="W321" i="6"/>
  <c r="W322" i="6"/>
  <c r="W323" i="6"/>
  <c r="W324" i="6"/>
  <c r="W325" i="6"/>
  <c r="W326" i="6"/>
  <c r="W327" i="6"/>
  <c r="W328" i="6"/>
  <c r="W329" i="6"/>
  <c r="W330" i="6"/>
  <c r="W331" i="6"/>
  <c r="W332" i="6"/>
  <c r="W333" i="6"/>
  <c r="W334" i="6"/>
  <c r="W335" i="6"/>
  <c r="W336" i="6"/>
  <c r="W337" i="6"/>
  <c r="W338" i="6"/>
  <c r="W339" i="6"/>
  <c r="W340" i="6"/>
  <c r="W341" i="6"/>
  <c r="W342" i="6"/>
  <c r="W343" i="6"/>
  <c r="W344" i="6"/>
  <c r="W345" i="6"/>
  <c r="W346" i="6"/>
  <c r="W347" i="6"/>
  <c r="W348" i="6"/>
  <c r="W349" i="6"/>
  <c r="W350" i="6"/>
  <c r="W351" i="6"/>
  <c r="W296" i="6"/>
  <c r="W354" i="6"/>
  <c r="W368" i="6"/>
  <c r="W357" i="6"/>
  <c r="W373" i="6"/>
  <c r="W362" i="6"/>
  <c r="W367" i="6"/>
  <c r="W372" i="6"/>
  <c r="W353" i="6"/>
  <c r="W361" i="6"/>
  <c r="W356" i="6"/>
  <c r="W366" i="6"/>
  <c r="W371" i="6"/>
  <c r="W299" i="6"/>
  <c r="W360" i="6"/>
  <c r="W365" i="6"/>
  <c r="W352" i="6"/>
  <c r="W370" i="6"/>
  <c r="W376" i="6"/>
  <c r="W377" i="6"/>
  <c r="W378" i="6"/>
  <c r="W379" i="6"/>
  <c r="W380" i="6"/>
  <c r="W381" i="6"/>
  <c r="W382" i="6"/>
  <c r="W383" i="6"/>
  <c r="W384" i="6"/>
  <c r="W385" i="6"/>
  <c r="W386" i="6"/>
  <c r="W387" i="6"/>
  <c r="W388" i="6"/>
  <c r="W389" i="6"/>
  <c r="W390" i="6"/>
  <c r="W391" i="6"/>
  <c r="W392" i="6"/>
  <c r="W393" i="6"/>
  <c r="W394" i="6"/>
  <c r="W395" i="6"/>
  <c r="W396" i="6"/>
  <c r="W397" i="6"/>
  <c r="W398" i="6"/>
  <c r="W399" i="6"/>
  <c r="W400" i="6"/>
  <c r="W401" i="6"/>
  <c r="W402" i="6"/>
  <c r="W403" i="6"/>
  <c r="W404" i="6"/>
  <c r="W405" i="6"/>
  <c r="W406" i="6"/>
  <c r="W407" i="6"/>
  <c r="W408" i="6"/>
  <c r="W409" i="6"/>
  <c r="W410" i="6"/>
  <c r="W411" i="6"/>
  <c r="W412" i="6"/>
  <c r="W413" i="6"/>
  <c r="W414" i="6"/>
  <c r="W415" i="6"/>
  <c r="W416" i="6"/>
  <c r="W417" i="6"/>
  <c r="W418" i="6"/>
  <c r="W419" i="6"/>
  <c r="W355" i="6"/>
  <c r="W359" i="6"/>
  <c r="W375" i="6"/>
  <c r="W364" i="6"/>
  <c r="W369" i="6"/>
  <c r="W358" i="6"/>
  <c r="W374" i="6"/>
  <c r="W363" i="6"/>
  <c r="W485" i="6"/>
  <c r="W488" i="6"/>
  <c r="W490" i="6"/>
  <c r="W492" i="6"/>
  <c r="W493" i="6"/>
  <c r="W495" i="6"/>
  <c r="W497" i="6"/>
  <c r="W498" i="6"/>
  <c r="W500" i="6"/>
  <c r="W420" i="6"/>
  <c r="W421" i="6"/>
  <c r="W422" i="6"/>
  <c r="W423" i="6"/>
  <c r="W424" i="6"/>
  <c r="W425" i="6"/>
  <c r="W426" i="6"/>
  <c r="W427" i="6"/>
  <c r="W428" i="6"/>
  <c r="W429" i="6"/>
  <c r="W430" i="6"/>
  <c r="W431" i="6"/>
  <c r="W432" i="6"/>
  <c r="W433" i="6"/>
  <c r="W434" i="6"/>
  <c r="W435" i="6"/>
  <c r="W436" i="6"/>
  <c r="W437" i="6"/>
  <c r="W438" i="6"/>
  <c r="W439" i="6"/>
  <c r="W440" i="6"/>
  <c r="W441" i="6"/>
  <c r="W442" i="6"/>
  <c r="W443" i="6"/>
  <c r="W444" i="6"/>
  <c r="W445" i="6"/>
  <c r="W446" i="6"/>
  <c r="W447" i="6"/>
  <c r="W448" i="6"/>
  <c r="W449" i="6"/>
  <c r="W450" i="6"/>
  <c r="W451" i="6"/>
  <c r="W452" i="6"/>
  <c r="W453" i="6"/>
  <c r="W454" i="6"/>
  <c r="W455" i="6"/>
  <c r="W456" i="6"/>
  <c r="W457" i="6"/>
  <c r="W458" i="6"/>
  <c r="W459" i="6"/>
  <c r="W460" i="6"/>
  <c r="W461" i="6"/>
  <c r="W462" i="6"/>
  <c r="W463" i="6"/>
  <c r="W464" i="6"/>
  <c r="W465" i="6"/>
  <c r="W466" i="6"/>
  <c r="W467" i="6"/>
  <c r="W468" i="6"/>
  <c r="W469" i="6"/>
  <c r="W470" i="6"/>
  <c r="W471" i="6"/>
  <c r="W472" i="6"/>
  <c r="W473" i="6"/>
  <c r="W474" i="6"/>
  <c r="W475" i="6"/>
  <c r="W476" i="6"/>
  <c r="W477" i="6"/>
  <c r="W478" i="6"/>
  <c r="W479" i="6"/>
  <c r="W480" i="6"/>
  <c r="W481" i="6"/>
  <c r="W482" i="6"/>
  <c r="W483" i="6"/>
  <c r="W484" i="6"/>
  <c r="W486" i="6"/>
  <c r="W487" i="6"/>
  <c r="W489" i="6"/>
  <c r="W491" i="6"/>
  <c r="W494" i="6"/>
  <c r="W496" i="6"/>
  <c r="W499" i="6"/>
  <c r="W12" i="6"/>
  <c r="W8" i="6"/>
  <c r="V5" i="6"/>
  <c r="X7" i="6"/>
  <c r="W10" i="6"/>
  <c r="W9" i="6"/>
  <c r="W11" i="6"/>
  <c r="X112" i="6" l="1"/>
  <c r="X55" i="6"/>
  <c r="X166" i="6"/>
  <c r="X167" i="6"/>
  <c r="X168" i="6"/>
  <c r="X169" i="6"/>
  <c r="X170" i="6"/>
  <c r="X171" i="6"/>
  <c r="X172" i="6"/>
  <c r="X201" i="6"/>
  <c r="X202" i="6"/>
  <c r="X203" i="6"/>
  <c r="X204" i="6"/>
  <c r="X13" i="6"/>
  <c r="X14" i="6"/>
  <c r="X15" i="6"/>
  <c r="X16" i="6"/>
  <c r="X17" i="6"/>
  <c r="X18" i="6"/>
  <c r="X19" i="6"/>
  <c r="X20" i="6"/>
  <c r="X21" i="6"/>
  <c r="X22" i="6"/>
  <c r="X23" i="6"/>
  <c r="X24" i="6"/>
  <c r="X25" i="6"/>
  <c r="X26" i="6"/>
  <c r="X27" i="6"/>
  <c r="X28" i="6"/>
  <c r="X29" i="6"/>
  <c r="X30" i="6"/>
  <c r="X31" i="6"/>
  <c r="X32" i="6"/>
  <c r="X33" i="6"/>
  <c r="X34" i="6"/>
  <c r="X35" i="6"/>
  <c r="X36" i="6"/>
  <c r="X37" i="6"/>
  <c r="X38" i="6"/>
  <c r="X39" i="6"/>
  <c r="X40" i="6"/>
  <c r="X41" i="6"/>
  <c r="X42" i="6"/>
  <c r="X43" i="6"/>
  <c r="X44" i="6"/>
  <c r="X45" i="6"/>
  <c r="X46" i="6"/>
  <c r="X47" i="6"/>
  <c r="X48" i="6"/>
  <c r="X49" i="6"/>
  <c r="X50" i="6"/>
  <c r="X51" i="6"/>
  <c r="X52" i="6"/>
  <c r="X53" i="6"/>
  <c r="X54" i="6"/>
  <c r="X56" i="6"/>
  <c r="X57" i="6"/>
  <c r="X58" i="6"/>
  <c r="X59" i="6"/>
  <c r="X60" i="6"/>
  <c r="X61" i="6"/>
  <c r="X62" i="6"/>
  <c r="X63" i="6"/>
  <c r="X64" i="6"/>
  <c r="X65" i="6"/>
  <c r="X66" i="6"/>
  <c r="X67" i="6"/>
  <c r="X68" i="6"/>
  <c r="X69" i="6"/>
  <c r="X70" i="6"/>
  <c r="X71" i="6"/>
  <c r="X72" i="6"/>
  <c r="X73" i="6"/>
  <c r="X74" i="6"/>
  <c r="X75" i="6"/>
  <c r="X76" i="6"/>
  <c r="X77" i="6"/>
  <c r="X78" i="6"/>
  <c r="X79" i="6"/>
  <c r="X80" i="6"/>
  <c r="X81" i="6"/>
  <c r="X82" i="6"/>
  <c r="X83" i="6"/>
  <c r="X84" i="6"/>
  <c r="X85" i="6"/>
  <c r="X86" i="6"/>
  <c r="X87" i="6"/>
  <c r="X88" i="6"/>
  <c r="X89" i="6"/>
  <c r="X90" i="6"/>
  <c r="X91" i="6"/>
  <c r="X98" i="6"/>
  <c r="X99" i="6"/>
  <c r="X100" i="6"/>
  <c r="X101" i="6"/>
  <c r="X102" i="6"/>
  <c r="X103" i="6"/>
  <c r="X104" i="6"/>
  <c r="X105" i="6"/>
  <c r="X106" i="6"/>
  <c r="X107" i="6"/>
  <c r="X108" i="6"/>
  <c r="X109" i="6"/>
  <c r="X110" i="6"/>
  <c r="X111" i="6"/>
  <c r="X113" i="6"/>
  <c r="X114" i="6"/>
  <c r="X115" i="6"/>
  <c r="X116" i="6"/>
  <c r="X117" i="6"/>
  <c r="X118" i="6"/>
  <c r="X119" i="6"/>
  <c r="X120" i="6"/>
  <c r="X121" i="6"/>
  <c r="X122" i="6"/>
  <c r="X123" i="6"/>
  <c r="X124" i="6"/>
  <c r="X125" i="6"/>
  <c r="X97" i="6"/>
  <c r="X96" i="6"/>
  <c r="X95" i="6"/>
  <c r="X94" i="6"/>
  <c r="X93" i="6"/>
  <c r="X92" i="6"/>
  <c r="X129" i="6"/>
  <c r="X137" i="6"/>
  <c r="X140" i="6"/>
  <c r="X173" i="6"/>
  <c r="X174" i="6"/>
  <c r="X175" i="6"/>
  <c r="X176" i="6"/>
  <c r="X177" i="6"/>
  <c r="X178" i="6"/>
  <c r="X179" i="6"/>
  <c r="X180" i="6"/>
  <c r="X181" i="6"/>
  <c r="X182" i="6"/>
  <c r="X183" i="6"/>
  <c r="X184" i="6"/>
  <c r="X185" i="6"/>
  <c r="X186" i="6"/>
  <c r="X187" i="6"/>
  <c r="X188" i="6"/>
  <c r="X189" i="6"/>
  <c r="X190" i="6"/>
  <c r="X191" i="6"/>
  <c r="X192" i="6"/>
  <c r="X193" i="6"/>
  <c r="X194" i="6"/>
  <c r="X195" i="6"/>
  <c r="X196" i="6"/>
  <c r="X197" i="6"/>
  <c r="X198" i="6"/>
  <c r="X199" i="6"/>
  <c r="X200" i="6"/>
  <c r="X205" i="6"/>
  <c r="X206" i="6"/>
  <c r="X207" i="6"/>
  <c r="X208" i="6"/>
  <c r="X209" i="6"/>
  <c r="X210" i="6"/>
  <c r="X211" i="6"/>
  <c r="X212" i="6"/>
  <c r="X213" i="6"/>
  <c r="X214" i="6"/>
  <c r="X215" i="6"/>
  <c r="X216" i="6"/>
  <c r="X217" i="6"/>
  <c r="X218" i="6"/>
  <c r="X219" i="6"/>
  <c r="X220" i="6"/>
  <c r="X221" i="6"/>
  <c r="X222" i="6"/>
  <c r="X223" i="6"/>
  <c r="X224" i="6"/>
  <c r="X225" i="6"/>
  <c r="X126" i="6"/>
  <c r="X134" i="6"/>
  <c r="X164" i="6"/>
  <c r="X143" i="6"/>
  <c r="X147" i="6"/>
  <c r="X151" i="6"/>
  <c r="X155" i="6"/>
  <c r="X159" i="6"/>
  <c r="X131" i="6"/>
  <c r="X139" i="6"/>
  <c r="X163" i="6"/>
  <c r="X128" i="6"/>
  <c r="X136" i="6"/>
  <c r="X142" i="6"/>
  <c r="X146" i="6"/>
  <c r="X150" i="6"/>
  <c r="X154" i="6"/>
  <c r="X158" i="6"/>
  <c r="X133" i="6"/>
  <c r="X162" i="6"/>
  <c r="X130" i="6"/>
  <c r="X138" i="6"/>
  <c r="X141" i="6"/>
  <c r="X145" i="6"/>
  <c r="X149" i="6"/>
  <c r="X153" i="6"/>
  <c r="X157" i="6"/>
  <c r="X161" i="6"/>
  <c r="X127" i="6"/>
  <c r="X135" i="6"/>
  <c r="X132" i="6"/>
  <c r="X165" i="6"/>
  <c r="X227" i="6"/>
  <c r="X230" i="6"/>
  <c r="X234" i="6"/>
  <c r="X229" i="6"/>
  <c r="X238" i="6"/>
  <c r="X148" i="6"/>
  <c r="X152" i="6"/>
  <c r="X156" i="6"/>
  <c r="X160" i="6"/>
  <c r="X232" i="6"/>
  <c r="X237" i="6"/>
  <c r="X144" i="6"/>
  <c r="X228" i="6"/>
  <c r="X236" i="6"/>
  <c r="X226" i="6"/>
  <c r="X240" i="6"/>
  <c r="X242" i="6"/>
  <c r="X244" i="6"/>
  <c r="X246" i="6"/>
  <c r="X248" i="6"/>
  <c r="X250" i="6"/>
  <c r="X252" i="6"/>
  <c r="X254" i="6"/>
  <c r="X256" i="6"/>
  <c r="X258" i="6"/>
  <c r="X260" i="6"/>
  <c r="X262" i="6"/>
  <c r="X264" i="6"/>
  <c r="X266" i="6"/>
  <c r="X268" i="6"/>
  <c r="X270" i="6"/>
  <c r="X272" i="6"/>
  <c r="X274" i="6"/>
  <c r="X276" i="6"/>
  <c r="X278" i="6"/>
  <c r="X280" i="6"/>
  <c r="X282" i="6"/>
  <c r="X284" i="6"/>
  <c r="X286" i="6"/>
  <c r="X292" i="6"/>
  <c r="X295" i="6"/>
  <c r="X298" i="6"/>
  <c r="X288" i="6"/>
  <c r="X294" i="6"/>
  <c r="X231" i="6"/>
  <c r="X233" i="6"/>
  <c r="X290" i="6"/>
  <c r="X297" i="6"/>
  <c r="X235" i="6"/>
  <c r="X239" i="6"/>
  <c r="X241" i="6"/>
  <c r="X243" i="6"/>
  <c r="X245" i="6"/>
  <c r="X247" i="6"/>
  <c r="X249" i="6"/>
  <c r="X251" i="6"/>
  <c r="X253" i="6"/>
  <c r="X255" i="6"/>
  <c r="X257" i="6"/>
  <c r="X259" i="6"/>
  <c r="X261" i="6"/>
  <c r="X263" i="6"/>
  <c r="X265" i="6"/>
  <c r="X267" i="6"/>
  <c r="X269" i="6"/>
  <c r="X271" i="6"/>
  <c r="X273" i="6"/>
  <c r="X275" i="6"/>
  <c r="X277" i="6"/>
  <c r="X279" i="6"/>
  <c r="X281" i="6"/>
  <c r="X283" i="6"/>
  <c r="X285" i="6"/>
  <c r="X287" i="6"/>
  <c r="X300" i="6"/>
  <c r="X301" i="6"/>
  <c r="X302" i="6"/>
  <c r="X303" i="6"/>
  <c r="X304" i="6"/>
  <c r="X305" i="6"/>
  <c r="X306" i="6"/>
  <c r="X307" i="6"/>
  <c r="X308" i="6"/>
  <c r="X309" i="6"/>
  <c r="X310" i="6"/>
  <c r="X311" i="6"/>
  <c r="X312" i="6"/>
  <c r="X313" i="6"/>
  <c r="X314" i="6"/>
  <c r="X315" i="6"/>
  <c r="X316" i="6"/>
  <c r="X317" i="6"/>
  <c r="X318" i="6"/>
  <c r="X319" i="6"/>
  <c r="X320" i="6"/>
  <c r="X321" i="6"/>
  <c r="X322" i="6"/>
  <c r="X323" i="6"/>
  <c r="X324" i="6"/>
  <c r="X325" i="6"/>
  <c r="X326" i="6"/>
  <c r="X327" i="6"/>
  <c r="X328" i="6"/>
  <c r="X329" i="6"/>
  <c r="X330" i="6"/>
  <c r="X331" i="6"/>
  <c r="X332" i="6"/>
  <c r="X333" i="6"/>
  <c r="X334" i="6"/>
  <c r="X335" i="6"/>
  <c r="X336" i="6"/>
  <c r="X337" i="6"/>
  <c r="X338" i="6"/>
  <c r="X339" i="6"/>
  <c r="X340" i="6"/>
  <c r="X341" i="6"/>
  <c r="X342" i="6"/>
  <c r="X343" i="6"/>
  <c r="X344" i="6"/>
  <c r="X345" i="6"/>
  <c r="X346" i="6"/>
  <c r="X347" i="6"/>
  <c r="X348" i="6"/>
  <c r="X349" i="6"/>
  <c r="X350" i="6"/>
  <c r="X351" i="6"/>
  <c r="X352" i="6"/>
  <c r="X353" i="6"/>
  <c r="X354" i="6"/>
  <c r="X355" i="6"/>
  <c r="X356" i="6"/>
  <c r="X293" i="6"/>
  <c r="X289" i="6"/>
  <c r="X299" i="6"/>
  <c r="X363" i="6"/>
  <c r="X368" i="6"/>
  <c r="X296" i="6"/>
  <c r="X357" i="6"/>
  <c r="X373" i="6"/>
  <c r="X362" i="6"/>
  <c r="X367" i="6"/>
  <c r="X372" i="6"/>
  <c r="X361" i="6"/>
  <c r="X366" i="6"/>
  <c r="X371" i="6"/>
  <c r="X360" i="6"/>
  <c r="X365" i="6"/>
  <c r="X370" i="6"/>
  <c r="X376" i="6"/>
  <c r="X377" i="6"/>
  <c r="X378" i="6"/>
  <c r="X379" i="6"/>
  <c r="X380" i="6"/>
  <c r="X381" i="6"/>
  <c r="X382" i="6"/>
  <c r="X383" i="6"/>
  <c r="X384" i="6"/>
  <c r="X385" i="6"/>
  <c r="X386" i="6"/>
  <c r="X387" i="6"/>
  <c r="X388" i="6"/>
  <c r="X389" i="6"/>
  <c r="X390" i="6"/>
  <c r="X391" i="6"/>
  <c r="X392" i="6"/>
  <c r="X393" i="6"/>
  <c r="X394" i="6"/>
  <c r="X395" i="6"/>
  <c r="X396" i="6"/>
  <c r="X397" i="6"/>
  <c r="X398" i="6"/>
  <c r="X399" i="6"/>
  <c r="X400" i="6"/>
  <c r="X401" i="6"/>
  <c r="X402" i="6"/>
  <c r="X403" i="6"/>
  <c r="X404" i="6"/>
  <c r="X405" i="6"/>
  <c r="X406" i="6"/>
  <c r="X407" i="6"/>
  <c r="X408" i="6"/>
  <c r="X409" i="6"/>
  <c r="X410" i="6"/>
  <c r="X411" i="6"/>
  <c r="X412" i="6"/>
  <c r="X413" i="6"/>
  <c r="X414" i="6"/>
  <c r="X415" i="6"/>
  <c r="X416" i="6"/>
  <c r="X417" i="6"/>
  <c r="X418" i="6"/>
  <c r="X419" i="6"/>
  <c r="X359" i="6"/>
  <c r="X375" i="6"/>
  <c r="X364" i="6"/>
  <c r="X369" i="6"/>
  <c r="X358" i="6"/>
  <c r="X374" i="6"/>
  <c r="X498" i="6"/>
  <c r="X420" i="6"/>
  <c r="X421" i="6"/>
  <c r="X422" i="6"/>
  <c r="X423" i="6"/>
  <c r="X424" i="6"/>
  <c r="X425" i="6"/>
  <c r="X426" i="6"/>
  <c r="X427" i="6"/>
  <c r="X428" i="6"/>
  <c r="X429" i="6"/>
  <c r="X430" i="6"/>
  <c r="X431" i="6"/>
  <c r="X432" i="6"/>
  <c r="X433" i="6"/>
  <c r="X434" i="6"/>
  <c r="X435" i="6"/>
  <c r="X436" i="6"/>
  <c r="X437" i="6"/>
  <c r="X438" i="6"/>
  <c r="X439" i="6"/>
  <c r="X440" i="6"/>
  <c r="X441" i="6"/>
  <c r="X442" i="6"/>
  <c r="X443" i="6"/>
  <c r="X444" i="6"/>
  <c r="X445" i="6"/>
  <c r="X446" i="6"/>
  <c r="X447" i="6"/>
  <c r="X448" i="6"/>
  <c r="X449" i="6"/>
  <c r="X450" i="6"/>
  <c r="X451" i="6"/>
  <c r="X452" i="6"/>
  <c r="X453" i="6"/>
  <c r="X454" i="6"/>
  <c r="X455" i="6"/>
  <c r="X456" i="6"/>
  <c r="X457" i="6"/>
  <c r="X458" i="6"/>
  <c r="X459" i="6"/>
  <c r="X460" i="6"/>
  <c r="X461" i="6"/>
  <c r="X462" i="6"/>
  <c r="X463" i="6"/>
  <c r="X464" i="6"/>
  <c r="X465" i="6"/>
  <c r="X466" i="6"/>
  <c r="X467" i="6"/>
  <c r="X468" i="6"/>
  <c r="X469" i="6"/>
  <c r="X470" i="6"/>
  <c r="X471" i="6"/>
  <c r="X472" i="6"/>
  <c r="X473" i="6"/>
  <c r="X474" i="6"/>
  <c r="X475" i="6"/>
  <c r="X476" i="6"/>
  <c r="X477" i="6"/>
  <c r="X478" i="6"/>
  <c r="X479" i="6"/>
  <c r="X480" i="6"/>
  <c r="X481" i="6"/>
  <c r="X482" i="6"/>
  <c r="X483" i="6"/>
  <c r="X484" i="6"/>
  <c r="X485" i="6"/>
  <c r="X486" i="6"/>
  <c r="X487" i="6"/>
  <c r="X488" i="6"/>
  <c r="X489" i="6"/>
  <c r="X490" i="6"/>
  <c r="X491" i="6"/>
  <c r="X492" i="6"/>
  <c r="X493" i="6"/>
  <c r="X494" i="6"/>
  <c r="X495" i="6"/>
  <c r="X496" i="6"/>
  <c r="X497" i="6"/>
  <c r="X499" i="6"/>
  <c r="X500" i="6"/>
  <c r="W5" i="6"/>
  <c r="X10" i="6"/>
  <c r="Y7" i="6"/>
  <c r="X9" i="6"/>
  <c r="X11" i="6"/>
  <c r="X12" i="6"/>
  <c r="X8" i="6"/>
  <c r="Y112" i="6" l="1"/>
  <c r="Y55" i="6"/>
  <c r="Y166" i="6"/>
  <c r="Y167" i="6"/>
  <c r="Y168" i="6"/>
  <c r="Y169" i="6"/>
  <c r="Y170" i="6"/>
  <c r="Y171" i="6"/>
  <c r="Y172" i="6"/>
  <c r="Y201" i="6"/>
  <c r="Y202" i="6"/>
  <c r="Y203" i="6"/>
  <c r="Y204" i="6"/>
  <c r="Y13" i="6"/>
  <c r="Y14" i="6"/>
  <c r="Y15" i="6"/>
  <c r="Y16" i="6"/>
  <c r="Y17" i="6"/>
  <c r="Y18" i="6"/>
  <c r="Y19" i="6"/>
  <c r="Y20" i="6"/>
  <c r="Y21" i="6"/>
  <c r="Y22" i="6"/>
  <c r="Y23" i="6"/>
  <c r="Y24" i="6"/>
  <c r="Y25" i="6"/>
  <c r="Y26" i="6"/>
  <c r="Y27" i="6"/>
  <c r="Y28" i="6"/>
  <c r="Y29" i="6"/>
  <c r="Y30" i="6"/>
  <c r="Y31" i="6"/>
  <c r="Y32" i="6"/>
  <c r="Y33" i="6"/>
  <c r="Y34" i="6"/>
  <c r="Y35" i="6"/>
  <c r="Y36" i="6"/>
  <c r="Y37" i="6"/>
  <c r="Y38" i="6"/>
  <c r="Y39" i="6"/>
  <c r="Y40" i="6"/>
  <c r="Y41" i="6"/>
  <c r="Y42" i="6"/>
  <c r="Y52" i="6"/>
  <c r="Y61" i="6"/>
  <c r="Y69" i="6"/>
  <c r="Y77" i="6"/>
  <c r="Y85" i="6"/>
  <c r="Y91" i="6"/>
  <c r="Y44" i="6"/>
  <c r="Y49" i="6"/>
  <c r="Y58" i="6"/>
  <c r="Y66" i="6"/>
  <c r="Y74" i="6"/>
  <c r="Y82" i="6"/>
  <c r="Y98" i="6"/>
  <c r="Y99" i="6"/>
  <c r="Y100" i="6"/>
  <c r="Y101" i="6"/>
  <c r="Y102" i="6"/>
  <c r="Y103" i="6"/>
  <c r="Y104" i="6"/>
  <c r="Y105" i="6"/>
  <c r="Y106" i="6"/>
  <c r="Y107" i="6"/>
  <c r="Y108" i="6"/>
  <c r="Y109" i="6"/>
  <c r="Y110" i="6"/>
  <c r="Y111" i="6"/>
  <c r="Y113" i="6"/>
  <c r="Y114" i="6"/>
  <c r="Y115" i="6"/>
  <c r="Y116" i="6"/>
  <c r="Y117" i="6"/>
  <c r="Y118" i="6"/>
  <c r="Y119" i="6"/>
  <c r="Y120" i="6"/>
  <c r="Y121" i="6"/>
  <c r="Y122" i="6"/>
  <c r="Y123" i="6"/>
  <c r="Y124" i="6"/>
  <c r="Y125" i="6"/>
  <c r="Y126" i="6"/>
  <c r="Y127" i="6"/>
  <c r="Y128" i="6"/>
  <c r="Y129" i="6"/>
  <c r="Y130" i="6"/>
  <c r="Y131" i="6"/>
  <c r="Y132" i="6"/>
  <c r="Y133" i="6"/>
  <c r="Y134" i="6"/>
  <c r="Y135" i="6"/>
  <c r="Y136" i="6"/>
  <c r="Y137" i="6"/>
  <c r="Y138" i="6"/>
  <c r="Y139" i="6"/>
  <c r="Y140" i="6"/>
  <c r="Y90" i="6"/>
  <c r="Y46" i="6"/>
  <c r="Y54" i="6"/>
  <c r="Y63" i="6"/>
  <c r="Y71" i="6"/>
  <c r="Y79" i="6"/>
  <c r="Y87" i="6"/>
  <c r="Y97" i="6"/>
  <c r="Y51" i="6"/>
  <c r="Y60" i="6"/>
  <c r="Y68" i="6"/>
  <c r="Y76" i="6"/>
  <c r="Y84" i="6"/>
  <c r="Y96" i="6"/>
  <c r="Y43" i="6"/>
  <c r="Y48" i="6"/>
  <c r="Y57" i="6"/>
  <c r="Y65" i="6"/>
  <c r="Y73" i="6"/>
  <c r="Y81" i="6"/>
  <c r="Y89" i="6"/>
  <c r="Y95" i="6"/>
  <c r="Y45" i="6"/>
  <c r="Y53" i="6"/>
  <c r="Y62" i="6"/>
  <c r="Y70" i="6"/>
  <c r="Y78" i="6"/>
  <c r="Y86" i="6"/>
  <c r="Y94" i="6"/>
  <c r="Y50" i="6"/>
  <c r="Y59" i="6"/>
  <c r="Y67" i="6"/>
  <c r="Y75" i="6"/>
  <c r="Y83" i="6"/>
  <c r="Y93" i="6"/>
  <c r="Y64" i="6"/>
  <c r="Y144" i="6"/>
  <c r="Y148" i="6"/>
  <c r="Y152" i="6"/>
  <c r="Y156" i="6"/>
  <c r="Y160" i="6"/>
  <c r="Y165" i="6"/>
  <c r="Y88" i="6"/>
  <c r="Y92" i="6"/>
  <c r="Y164" i="6"/>
  <c r="Y143" i="6"/>
  <c r="Y147" i="6"/>
  <c r="Y151" i="6"/>
  <c r="Y155" i="6"/>
  <c r="Y159" i="6"/>
  <c r="Y56" i="6"/>
  <c r="Y80" i="6"/>
  <c r="Y163" i="6"/>
  <c r="Y142" i="6"/>
  <c r="Y146" i="6"/>
  <c r="Y150" i="6"/>
  <c r="Y154" i="6"/>
  <c r="Y158" i="6"/>
  <c r="Y162" i="6"/>
  <c r="Y47" i="6"/>
  <c r="Y72" i="6"/>
  <c r="Y141" i="6"/>
  <c r="Y145" i="6"/>
  <c r="Y149" i="6"/>
  <c r="Y153" i="6"/>
  <c r="Y157" i="6"/>
  <c r="Y161" i="6"/>
  <c r="Y235" i="6"/>
  <c r="Y175" i="6"/>
  <c r="Y183" i="6"/>
  <c r="Y191" i="6"/>
  <c r="Y199" i="6"/>
  <c r="Y208" i="6"/>
  <c r="Y216" i="6"/>
  <c r="Y224" i="6"/>
  <c r="Y227" i="6"/>
  <c r="Y230" i="6"/>
  <c r="Y180" i="6"/>
  <c r="Y188" i="6"/>
  <c r="Y196" i="6"/>
  <c r="Y205" i="6"/>
  <c r="Y213" i="6"/>
  <c r="Y221" i="6"/>
  <c r="Y234" i="6"/>
  <c r="Y177" i="6"/>
  <c r="Y185" i="6"/>
  <c r="Y193" i="6"/>
  <c r="Y210" i="6"/>
  <c r="Y226" i="6"/>
  <c r="Y233" i="6"/>
  <c r="Y239" i="6"/>
  <c r="Y240" i="6"/>
  <c r="Y241" i="6"/>
  <c r="Y242" i="6"/>
  <c r="Y243" i="6"/>
  <c r="Y244" i="6"/>
  <c r="Y245" i="6"/>
  <c r="Y246" i="6"/>
  <c r="Y247" i="6"/>
  <c r="Y248" i="6"/>
  <c r="Y249" i="6"/>
  <c r="Y250" i="6"/>
  <c r="Y251" i="6"/>
  <c r="Y252" i="6"/>
  <c r="Y253" i="6"/>
  <c r="Y254" i="6"/>
  <c r="Y255" i="6"/>
  <c r="Y256" i="6"/>
  <c r="Y257" i="6"/>
  <c r="Y258" i="6"/>
  <c r="Y259" i="6"/>
  <c r="Y260" i="6"/>
  <c r="Y261" i="6"/>
  <c r="Y262" i="6"/>
  <c r="Y263" i="6"/>
  <c r="Y264" i="6"/>
  <c r="Y265" i="6"/>
  <c r="Y266" i="6"/>
  <c r="Y267" i="6"/>
  <c r="Y268" i="6"/>
  <c r="Y269" i="6"/>
  <c r="Y270" i="6"/>
  <c r="Y271" i="6"/>
  <c r="Y272" i="6"/>
  <c r="Y273" i="6"/>
  <c r="Y274" i="6"/>
  <c r="Y275" i="6"/>
  <c r="Y276" i="6"/>
  <c r="Y277" i="6"/>
  <c r="Y278" i="6"/>
  <c r="Y279" i="6"/>
  <c r="Y280" i="6"/>
  <c r="Y281" i="6"/>
  <c r="Y282" i="6"/>
  <c r="Y283" i="6"/>
  <c r="Y284" i="6"/>
  <c r="Y285" i="6"/>
  <c r="Y286" i="6"/>
  <c r="Y287" i="6"/>
  <c r="Y288" i="6"/>
  <c r="Y289" i="6"/>
  <c r="Y290" i="6"/>
  <c r="Y292" i="6"/>
  <c r="Y293" i="6"/>
  <c r="Y294" i="6"/>
  <c r="Y295" i="6"/>
  <c r="Y296" i="6"/>
  <c r="Y297" i="6"/>
  <c r="Y298" i="6"/>
  <c r="Y299" i="6"/>
  <c r="Y174" i="6"/>
  <c r="Y182" i="6"/>
  <c r="Y190" i="6"/>
  <c r="Y198" i="6"/>
  <c r="Y207" i="6"/>
  <c r="Y215" i="6"/>
  <c r="Y223" i="6"/>
  <c r="Y229" i="6"/>
  <c r="Y238" i="6"/>
  <c r="Y179" i="6"/>
  <c r="Y187" i="6"/>
  <c r="Y195" i="6"/>
  <c r="Y212" i="6"/>
  <c r="Y220" i="6"/>
  <c r="Y232" i="6"/>
  <c r="Y237" i="6"/>
  <c r="Y176" i="6"/>
  <c r="Y184" i="6"/>
  <c r="Y192" i="6"/>
  <c r="Y200" i="6"/>
  <c r="Y209" i="6"/>
  <c r="Y217" i="6"/>
  <c r="Y225" i="6"/>
  <c r="Y228" i="6"/>
  <c r="Y173" i="6"/>
  <c r="Y181" i="6"/>
  <c r="Y189" i="6"/>
  <c r="Y197" i="6"/>
  <c r="Y206" i="6"/>
  <c r="Y231" i="6"/>
  <c r="Y186" i="6"/>
  <c r="Y236" i="6"/>
  <c r="Y222" i="6"/>
  <c r="Y218" i="6"/>
  <c r="Y214" i="6"/>
  <c r="Y178" i="6"/>
  <c r="Y194" i="6"/>
  <c r="Y300" i="6"/>
  <c r="Y301" i="6"/>
  <c r="Y302" i="6"/>
  <c r="Y303" i="6"/>
  <c r="Y304" i="6"/>
  <c r="Y305" i="6"/>
  <c r="Y306" i="6"/>
  <c r="Y307" i="6"/>
  <c r="Y308" i="6"/>
  <c r="Y309" i="6"/>
  <c r="Y310" i="6"/>
  <c r="Y311" i="6"/>
  <c r="Y312" i="6"/>
  <c r="Y313" i="6"/>
  <c r="Y314" i="6"/>
  <c r="Y315" i="6"/>
  <c r="Y316" i="6"/>
  <c r="Y317" i="6"/>
  <c r="Y318" i="6"/>
  <c r="Y319" i="6"/>
  <c r="Y320" i="6"/>
  <c r="Y321" i="6"/>
  <c r="Y322" i="6"/>
  <c r="Y323" i="6"/>
  <c r="Y324" i="6"/>
  <c r="Y325" i="6"/>
  <c r="Y326" i="6"/>
  <c r="Y327" i="6"/>
  <c r="Y328" i="6"/>
  <c r="Y329" i="6"/>
  <c r="Y330" i="6"/>
  <c r="Y331" i="6"/>
  <c r="Y332" i="6"/>
  <c r="Y333" i="6"/>
  <c r="Y334" i="6"/>
  <c r="Y335" i="6"/>
  <c r="Y336" i="6"/>
  <c r="Y337" i="6"/>
  <c r="Y338" i="6"/>
  <c r="Y339" i="6"/>
  <c r="Y340" i="6"/>
  <c r="Y341" i="6"/>
  <c r="Y342" i="6"/>
  <c r="Y343" i="6"/>
  <c r="Y344" i="6"/>
  <c r="Y345" i="6"/>
  <c r="Y346" i="6"/>
  <c r="Y347" i="6"/>
  <c r="Y348" i="6"/>
  <c r="Y349" i="6"/>
  <c r="Y350" i="6"/>
  <c r="Y351" i="6"/>
  <c r="Y352" i="6"/>
  <c r="Y353" i="6"/>
  <c r="Y354" i="6"/>
  <c r="Y355" i="6"/>
  <c r="Y356" i="6"/>
  <c r="Y219" i="6"/>
  <c r="Y211" i="6"/>
  <c r="Y358" i="6"/>
  <c r="Y374" i="6"/>
  <c r="Y363" i="6"/>
  <c r="Y368" i="6"/>
  <c r="Y369" i="6"/>
  <c r="Y357" i="6"/>
  <c r="Y373" i="6"/>
  <c r="Y362" i="6"/>
  <c r="Y367" i="6"/>
  <c r="Y372" i="6"/>
  <c r="Y361" i="6"/>
  <c r="Y366" i="6"/>
  <c r="Y371" i="6"/>
  <c r="Y360" i="6"/>
  <c r="Y365" i="6"/>
  <c r="Y370" i="6"/>
  <c r="Y376" i="6"/>
  <c r="Y377" i="6"/>
  <c r="Y378" i="6"/>
  <c r="Y379" i="6"/>
  <c r="Y380" i="6"/>
  <c r="Y381" i="6"/>
  <c r="Y382" i="6"/>
  <c r="Y383" i="6"/>
  <c r="Y384" i="6"/>
  <c r="Y385" i="6"/>
  <c r="Y386" i="6"/>
  <c r="Y387" i="6"/>
  <c r="Y388" i="6"/>
  <c r="Y389" i="6"/>
  <c r="Y390" i="6"/>
  <c r="Y391" i="6"/>
  <c r="Y392" i="6"/>
  <c r="Y393" i="6"/>
  <c r="Y394" i="6"/>
  <c r="Y395" i="6"/>
  <c r="Y396" i="6"/>
  <c r="Y397" i="6"/>
  <c r="Y398" i="6"/>
  <c r="Y399" i="6"/>
  <c r="Y400" i="6"/>
  <c r="Y401" i="6"/>
  <c r="Y402" i="6"/>
  <c r="Y403" i="6"/>
  <c r="Y404" i="6"/>
  <c r="Y405" i="6"/>
  <c r="Y406" i="6"/>
  <c r="Y407" i="6"/>
  <c r="Y408" i="6"/>
  <c r="Y409" i="6"/>
  <c r="Y410" i="6"/>
  <c r="Y411" i="6"/>
  <c r="Y412" i="6"/>
  <c r="Y413" i="6"/>
  <c r="Y414" i="6"/>
  <c r="Y415" i="6"/>
  <c r="Y416" i="6"/>
  <c r="Y417" i="6"/>
  <c r="Y418" i="6"/>
  <c r="Y419" i="6"/>
  <c r="Y359" i="6"/>
  <c r="Y375" i="6"/>
  <c r="Y364" i="6"/>
  <c r="Y420" i="6"/>
  <c r="Y421" i="6"/>
  <c r="Y422" i="6"/>
  <c r="Y423" i="6"/>
  <c r="Y424" i="6"/>
  <c r="Y425" i="6"/>
  <c r="Y426" i="6"/>
  <c r="Y427" i="6"/>
  <c r="Y428" i="6"/>
  <c r="Y429" i="6"/>
  <c r="Y430" i="6"/>
  <c r="Y431" i="6"/>
  <c r="Y432" i="6"/>
  <c r="Y433" i="6"/>
  <c r="Y434" i="6"/>
  <c r="Y435" i="6"/>
  <c r="Y436" i="6"/>
  <c r="Y437" i="6"/>
  <c r="Y438" i="6"/>
  <c r="Y439" i="6"/>
  <c r="Y440" i="6"/>
  <c r="Y441" i="6"/>
  <c r="Y442" i="6"/>
  <c r="Y443" i="6"/>
  <c r="Y444" i="6"/>
  <c r="Y445" i="6"/>
  <c r="Y446" i="6"/>
  <c r="Y447" i="6"/>
  <c r="Y448" i="6"/>
  <c r="Y449" i="6"/>
  <c r="Y450" i="6"/>
  <c r="Y451" i="6"/>
  <c r="Y452" i="6"/>
  <c r="Y453" i="6"/>
  <c r="Y454" i="6"/>
  <c r="Y455" i="6"/>
  <c r="Y456" i="6"/>
  <c r="Y457" i="6"/>
  <c r="Y458" i="6"/>
  <c r="Y459" i="6"/>
  <c r="Y460" i="6"/>
  <c r="Y461" i="6"/>
  <c r="Y462" i="6"/>
  <c r="Y463" i="6"/>
  <c r="Y464" i="6"/>
  <c r="Y465" i="6"/>
  <c r="Y466" i="6"/>
  <c r="Y467" i="6"/>
  <c r="Y468" i="6"/>
  <c r="Y469" i="6"/>
  <c r="Y470" i="6"/>
  <c r="Y471" i="6"/>
  <c r="Y472" i="6"/>
  <c r="Y473" i="6"/>
  <c r="Y474" i="6"/>
  <c r="Y475" i="6"/>
  <c r="Y476" i="6"/>
  <c r="Y477" i="6"/>
  <c r="Y478" i="6"/>
  <c r="Y479" i="6"/>
  <c r="Y480" i="6"/>
  <c r="Y481" i="6"/>
  <c r="Y482" i="6"/>
  <c r="Y483" i="6"/>
  <c r="Y484" i="6"/>
  <c r="Y485" i="6"/>
  <c r="Y486" i="6"/>
  <c r="Y487" i="6"/>
  <c r="Y488" i="6"/>
  <c r="Y489" i="6"/>
  <c r="Y490" i="6"/>
  <c r="Y491" i="6"/>
  <c r="Y492" i="6"/>
  <c r="Y493" i="6"/>
  <c r="Y494" i="6"/>
  <c r="Y495" i="6"/>
  <c r="Y496" i="6"/>
  <c r="Y497" i="6"/>
  <c r="Y498" i="6"/>
  <c r="Y499" i="6"/>
  <c r="Y500" i="6"/>
  <c r="Y12" i="6"/>
  <c r="Y9" i="6"/>
  <c r="Y8" i="6"/>
  <c r="Y10" i="6"/>
  <c r="Y11" i="6"/>
  <c r="Z7" i="6"/>
  <c r="X5" i="6"/>
  <c r="Z112" i="6" l="1"/>
  <c r="Z55" i="6"/>
  <c r="Z166" i="6"/>
  <c r="Z167" i="6"/>
  <c r="Z168" i="6"/>
  <c r="Z169" i="6"/>
  <c r="Z170" i="6"/>
  <c r="Z171" i="6"/>
  <c r="Z172" i="6"/>
  <c r="Z201" i="6"/>
  <c r="Z202" i="6"/>
  <c r="Z203" i="6"/>
  <c r="Z204" i="6"/>
  <c r="Z13" i="6"/>
  <c r="Z14" i="6"/>
  <c r="Z15" i="6"/>
  <c r="Z16" i="6"/>
  <c r="Z17" i="6"/>
  <c r="Z18" i="6"/>
  <c r="Z19" i="6"/>
  <c r="Z20" i="6"/>
  <c r="Z21" i="6"/>
  <c r="Z22" i="6"/>
  <c r="Z23" i="6"/>
  <c r="Z24" i="6"/>
  <c r="Z25" i="6"/>
  <c r="Z26" i="6"/>
  <c r="Z27" i="6"/>
  <c r="Z28" i="6"/>
  <c r="Z29" i="6"/>
  <c r="Z30" i="6"/>
  <c r="Z31" i="6"/>
  <c r="Z32" i="6"/>
  <c r="Z33" i="6"/>
  <c r="Z34" i="6"/>
  <c r="Z35" i="6"/>
  <c r="Z36" i="6"/>
  <c r="Z37" i="6"/>
  <c r="Z38" i="6"/>
  <c r="Z39" i="6"/>
  <c r="Z40" i="6"/>
  <c r="Z41" i="6"/>
  <c r="Z42" i="6"/>
  <c r="Z43" i="6"/>
  <c r="Z44" i="6"/>
  <c r="Z45" i="6"/>
  <c r="Z46" i="6"/>
  <c r="Z47" i="6"/>
  <c r="Z48" i="6"/>
  <c r="Z49" i="6"/>
  <c r="Z50" i="6"/>
  <c r="Z51" i="6"/>
  <c r="Z52" i="6"/>
  <c r="Z53" i="6"/>
  <c r="Z54" i="6"/>
  <c r="Z56" i="6"/>
  <c r="Z57" i="6"/>
  <c r="Z58" i="6"/>
  <c r="Z59" i="6"/>
  <c r="Z60" i="6"/>
  <c r="Z61" i="6"/>
  <c r="Z62" i="6"/>
  <c r="Z63" i="6"/>
  <c r="Z64" i="6"/>
  <c r="Z65" i="6"/>
  <c r="Z66" i="6"/>
  <c r="Z67" i="6"/>
  <c r="Z68" i="6"/>
  <c r="Z69" i="6"/>
  <c r="Z70" i="6"/>
  <c r="Z71" i="6"/>
  <c r="Z72" i="6"/>
  <c r="Z73" i="6"/>
  <c r="Z74" i="6"/>
  <c r="Z75" i="6"/>
  <c r="Z76" i="6"/>
  <c r="Z77" i="6"/>
  <c r="Z78" i="6"/>
  <c r="Z79" i="6"/>
  <c r="Z80" i="6"/>
  <c r="Z81" i="6"/>
  <c r="Z82" i="6"/>
  <c r="Z83" i="6"/>
  <c r="Z84" i="6"/>
  <c r="Z85" i="6"/>
  <c r="Z86" i="6"/>
  <c r="Z87" i="6"/>
  <c r="Z88" i="6"/>
  <c r="Z89" i="6"/>
  <c r="Z90" i="6"/>
  <c r="Z92" i="6"/>
  <c r="Z91" i="6"/>
  <c r="Z98" i="6"/>
  <c r="Z99" i="6"/>
  <c r="Z100" i="6"/>
  <c r="Z101" i="6"/>
  <c r="Z102" i="6"/>
  <c r="Z103" i="6"/>
  <c r="Z104" i="6"/>
  <c r="Z105" i="6"/>
  <c r="Z106" i="6"/>
  <c r="Z107" i="6"/>
  <c r="Z108" i="6"/>
  <c r="Z109" i="6"/>
  <c r="Z110" i="6"/>
  <c r="Z111" i="6"/>
  <c r="Z113" i="6"/>
  <c r="Z114" i="6"/>
  <c r="Z115" i="6"/>
  <c r="Z116" i="6"/>
  <c r="Z117" i="6"/>
  <c r="Z118" i="6"/>
  <c r="Z119" i="6"/>
  <c r="Z120" i="6"/>
  <c r="Z121" i="6"/>
  <c r="Z122" i="6"/>
  <c r="Z123" i="6"/>
  <c r="Z124" i="6"/>
  <c r="Z125" i="6"/>
  <c r="Z126" i="6"/>
  <c r="Z127" i="6"/>
  <c r="Z128" i="6"/>
  <c r="Z129" i="6"/>
  <c r="Z130" i="6"/>
  <c r="Z131" i="6"/>
  <c r="Z132" i="6"/>
  <c r="Z133" i="6"/>
  <c r="Z134" i="6"/>
  <c r="Z135" i="6"/>
  <c r="Z136" i="6"/>
  <c r="Z137" i="6"/>
  <c r="Z138" i="6"/>
  <c r="Z139" i="6"/>
  <c r="Z140" i="6"/>
  <c r="Z141" i="6"/>
  <c r="Z142" i="6"/>
  <c r="Z143" i="6"/>
  <c r="Z144" i="6"/>
  <c r="Z145" i="6"/>
  <c r="Z146" i="6"/>
  <c r="Z147" i="6"/>
  <c r="Z148" i="6"/>
  <c r="Z149" i="6"/>
  <c r="Z150" i="6"/>
  <c r="Z151" i="6"/>
  <c r="Z152" i="6"/>
  <c r="Z153" i="6"/>
  <c r="Z154" i="6"/>
  <c r="Z155" i="6"/>
  <c r="Z156" i="6"/>
  <c r="Z157" i="6"/>
  <c r="Z158" i="6"/>
  <c r="Z159" i="6"/>
  <c r="Z160" i="6"/>
  <c r="Z161" i="6"/>
  <c r="Z162" i="6"/>
  <c r="Z163" i="6"/>
  <c r="Z164" i="6"/>
  <c r="Z165" i="6"/>
  <c r="Z97" i="6"/>
  <c r="Z96" i="6"/>
  <c r="Z95" i="6"/>
  <c r="Z94" i="6"/>
  <c r="Z173" i="6"/>
  <c r="Z174" i="6"/>
  <c r="Z175" i="6"/>
  <c r="Z176" i="6"/>
  <c r="Z177" i="6"/>
  <c r="Z178" i="6"/>
  <c r="Z179" i="6"/>
  <c r="Z180" i="6"/>
  <c r="Z181" i="6"/>
  <c r="Z182" i="6"/>
  <c r="Z183" i="6"/>
  <c r="Z184" i="6"/>
  <c r="Z185" i="6"/>
  <c r="Z186" i="6"/>
  <c r="Z187" i="6"/>
  <c r="Z188" i="6"/>
  <c r="Z189" i="6"/>
  <c r="Z190" i="6"/>
  <c r="Z191" i="6"/>
  <c r="Z192" i="6"/>
  <c r="Z193" i="6"/>
  <c r="Z194" i="6"/>
  <c r="Z195" i="6"/>
  <c r="Z196" i="6"/>
  <c r="Z197" i="6"/>
  <c r="Z198" i="6"/>
  <c r="Z199" i="6"/>
  <c r="Z200" i="6"/>
  <c r="Z205" i="6"/>
  <c r="Z206" i="6"/>
  <c r="Z207" i="6"/>
  <c r="Z208" i="6"/>
  <c r="Z209" i="6"/>
  <c r="Z210" i="6"/>
  <c r="Z211" i="6"/>
  <c r="Z212" i="6"/>
  <c r="Z213" i="6"/>
  <c r="Z214" i="6"/>
  <c r="Z215" i="6"/>
  <c r="Z216" i="6"/>
  <c r="Z217" i="6"/>
  <c r="Z218" i="6"/>
  <c r="Z219" i="6"/>
  <c r="Z220" i="6"/>
  <c r="Z221" i="6"/>
  <c r="Z222" i="6"/>
  <c r="Z223" i="6"/>
  <c r="Z224" i="6"/>
  <c r="Z225" i="6"/>
  <c r="Z226" i="6"/>
  <c r="Z227" i="6"/>
  <c r="Z228" i="6"/>
  <c r="Z229" i="6"/>
  <c r="Z93" i="6"/>
  <c r="Z235" i="6"/>
  <c r="Z230" i="6"/>
  <c r="Z234" i="6"/>
  <c r="Z233" i="6"/>
  <c r="Z239" i="6"/>
  <c r="Z240" i="6"/>
  <c r="Z241" i="6"/>
  <c r="Z242" i="6"/>
  <c r="Z243" i="6"/>
  <c r="Z244" i="6"/>
  <c r="Z245" i="6"/>
  <c r="Z246" i="6"/>
  <c r="Z247" i="6"/>
  <c r="Z248" i="6"/>
  <c r="Z249" i="6"/>
  <c r="Z250" i="6"/>
  <c r="Z251" i="6"/>
  <c r="Z252" i="6"/>
  <c r="Z253" i="6"/>
  <c r="Z254" i="6"/>
  <c r="Z255" i="6"/>
  <c r="Z256" i="6"/>
  <c r="Z257" i="6"/>
  <c r="Z258" i="6"/>
  <c r="Z259" i="6"/>
  <c r="Z260" i="6"/>
  <c r="Z261" i="6"/>
  <c r="Z262" i="6"/>
  <c r="Z263" i="6"/>
  <c r="Z264" i="6"/>
  <c r="Z265" i="6"/>
  <c r="Z266" i="6"/>
  <c r="Z267" i="6"/>
  <c r="Z268" i="6"/>
  <c r="Z269" i="6"/>
  <c r="Z270" i="6"/>
  <c r="Z271" i="6"/>
  <c r="Z272" i="6"/>
  <c r="Z273" i="6"/>
  <c r="Z274" i="6"/>
  <c r="Z275" i="6"/>
  <c r="Z276" i="6"/>
  <c r="Z277" i="6"/>
  <c r="Z278" i="6"/>
  <c r="Z279" i="6"/>
  <c r="Z280" i="6"/>
  <c r="Z281" i="6"/>
  <c r="Z282" i="6"/>
  <c r="Z283" i="6"/>
  <c r="Z284" i="6"/>
  <c r="Z285" i="6"/>
  <c r="Z238" i="6"/>
  <c r="Z232" i="6"/>
  <c r="Z237" i="6"/>
  <c r="Z236" i="6"/>
  <c r="Z286" i="6"/>
  <c r="Z292" i="6"/>
  <c r="Z295" i="6"/>
  <c r="Z298" i="6"/>
  <c r="Z294" i="6"/>
  <c r="Z231" i="6"/>
  <c r="Z290" i="6"/>
  <c r="Z297" i="6"/>
  <c r="Z287" i="6"/>
  <c r="Z300" i="6"/>
  <c r="Z301" i="6"/>
  <c r="Z302" i="6"/>
  <c r="Z303" i="6"/>
  <c r="Z304" i="6"/>
  <c r="Z305" i="6"/>
  <c r="Z306" i="6"/>
  <c r="Z307" i="6"/>
  <c r="Z308" i="6"/>
  <c r="Z309" i="6"/>
  <c r="Z310" i="6"/>
  <c r="Z311" i="6"/>
  <c r="Z312" i="6"/>
  <c r="Z313" i="6"/>
  <c r="Z314" i="6"/>
  <c r="Z315" i="6"/>
  <c r="Z316" i="6"/>
  <c r="Z317" i="6"/>
  <c r="Z318" i="6"/>
  <c r="Z319" i="6"/>
  <c r="Z320" i="6"/>
  <c r="Z321" i="6"/>
  <c r="Z322" i="6"/>
  <c r="Z323" i="6"/>
  <c r="Z324" i="6"/>
  <c r="Z325" i="6"/>
  <c r="Z326" i="6"/>
  <c r="Z327" i="6"/>
  <c r="Z328" i="6"/>
  <c r="Z329" i="6"/>
  <c r="Z330" i="6"/>
  <c r="Z331" i="6"/>
  <c r="Z332" i="6"/>
  <c r="Z333" i="6"/>
  <c r="Z334" i="6"/>
  <c r="Z335" i="6"/>
  <c r="Z336" i="6"/>
  <c r="Z337" i="6"/>
  <c r="Z338" i="6"/>
  <c r="Z339" i="6"/>
  <c r="Z340" i="6"/>
  <c r="Z341" i="6"/>
  <c r="Z342" i="6"/>
  <c r="Z343" i="6"/>
  <c r="Z344" i="6"/>
  <c r="Z345" i="6"/>
  <c r="Z346" i="6"/>
  <c r="Z347" i="6"/>
  <c r="Z348" i="6"/>
  <c r="Z349" i="6"/>
  <c r="Z350" i="6"/>
  <c r="Z351" i="6"/>
  <c r="Z296" i="6"/>
  <c r="Z369" i="6"/>
  <c r="Z364" i="6"/>
  <c r="Z354" i="6"/>
  <c r="Z358" i="6"/>
  <c r="Z374" i="6"/>
  <c r="Z363" i="6"/>
  <c r="Z368" i="6"/>
  <c r="Z357" i="6"/>
  <c r="Z373" i="6"/>
  <c r="Z289" i="6"/>
  <c r="Z362" i="6"/>
  <c r="Z353" i="6"/>
  <c r="Z367" i="6"/>
  <c r="Z408" i="6"/>
  <c r="Z356" i="6"/>
  <c r="Z372" i="6"/>
  <c r="Z411" i="6"/>
  <c r="Z361" i="6"/>
  <c r="Z406" i="6"/>
  <c r="Z299" i="6"/>
  <c r="Z366" i="6"/>
  <c r="Z409" i="6"/>
  <c r="Z371" i="6"/>
  <c r="Z405" i="6"/>
  <c r="Z293" i="6"/>
  <c r="Z352" i="6"/>
  <c r="Z360" i="6"/>
  <c r="Z402" i="6"/>
  <c r="Z288" i="6"/>
  <c r="Z355" i="6"/>
  <c r="Z365" i="6"/>
  <c r="Z403" i="6"/>
  <c r="Z370" i="6"/>
  <c r="Z376" i="6"/>
  <c r="Z377" i="6"/>
  <c r="Z378" i="6"/>
  <c r="Z379" i="6"/>
  <c r="Z380" i="6"/>
  <c r="Z381" i="6"/>
  <c r="Z382" i="6"/>
  <c r="Z383" i="6"/>
  <c r="Z384" i="6"/>
  <c r="Z385" i="6"/>
  <c r="Z386" i="6"/>
  <c r="Z387" i="6"/>
  <c r="Z388" i="6"/>
  <c r="Z389" i="6"/>
  <c r="Z390" i="6"/>
  <c r="Z391" i="6"/>
  <c r="Z392" i="6"/>
  <c r="Z393" i="6"/>
  <c r="Z394" i="6"/>
  <c r="Z395" i="6"/>
  <c r="Z396" i="6"/>
  <c r="Z397" i="6"/>
  <c r="Z398" i="6"/>
  <c r="Z399" i="6"/>
  <c r="Z400" i="6"/>
  <c r="Z401" i="6"/>
  <c r="Z404" i="6"/>
  <c r="Z407" i="6"/>
  <c r="Z410" i="6"/>
  <c r="Z412" i="6"/>
  <c r="Z413" i="6"/>
  <c r="Z414" i="6"/>
  <c r="Z415" i="6"/>
  <c r="Z416" i="6"/>
  <c r="Z417" i="6"/>
  <c r="Z418" i="6"/>
  <c r="Z419" i="6"/>
  <c r="Z359" i="6"/>
  <c r="Z375" i="6"/>
  <c r="Z420" i="6"/>
  <c r="Z421" i="6"/>
  <c r="Z422" i="6"/>
  <c r="Z423" i="6"/>
  <c r="Z424" i="6"/>
  <c r="Z425" i="6"/>
  <c r="Z426" i="6"/>
  <c r="Z427" i="6"/>
  <c r="Z428" i="6"/>
  <c r="Z429" i="6"/>
  <c r="Z430" i="6"/>
  <c r="Z431" i="6"/>
  <c r="Z432" i="6"/>
  <c r="Z433" i="6"/>
  <c r="Z434" i="6"/>
  <c r="Z435" i="6"/>
  <c r="Z436" i="6"/>
  <c r="Z437" i="6"/>
  <c r="Z438" i="6"/>
  <c r="Z439" i="6"/>
  <c r="Z440" i="6"/>
  <c r="Z441" i="6"/>
  <c r="Z442" i="6"/>
  <c r="Z443" i="6"/>
  <c r="Z444" i="6"/>
  <c r="Z445" i="6"/>
  <c r="Z446" i="6"/>
  <c r="Z447" i="6"/>
  <c r="Z448" i="6"/>
  <c r="Z449" i="6"/>
  <c r="Z450" i="6"/>
  <c r="Z451" i="6"/>
  <c r="Z452" i="6"/>
  <c r="Z453" i="6"/>
  <c r="Z454" i="6"/>
  <c r="Z455" i="6"/>
  <c r="Z456" i="6"/>
  <c r="Z457" i="6"/>
  <c r="Z458" i="6"/>
  <c r="Z459" i="6"/>
  <c r="Z460" i="6"/>
  <c r="Z461" i="6"/>
  <c r="Z462" i="6"/>
  <c r="Z463" i="6"/>
  <c r="Z464" i="6"/>
  <c r="Z465" i="6"/>
  <c r="Z466" i="6"/>
  <c r="Z467" i="6"/>
  <c r="Z468" i="6"/>
  <c r="Z469" i="6"/>
  <c r="Z470" i="6"/>
  <c r="Z471" i="6"/>
  <c r="Z472" i="6"/>
  <c r="Z473" i="6"/>
  <c r="Z474" i="6"/>
  <c r="Z475" i="6"/>
  <c r="Z476" i="6"/>
  <c r="Z477" i="6"/>
  <c r="Z478" i="6"/>
  <c r="Z479" i="6"/>
  <c r="Z480" i="6"/>
  <c r="Z481" i="6"/>
  <c r="Z482" i="6"/>
  <c r="Z483" i="6"/>
  <c r="Z484" i="6"/>
  <c r="Z485" i="6"/>
  <c r="Z486" i="6"/>
  <c r="Z487" i="6"/>
  <c r="Z488" i="6"/>
  <c r="Z489" i="6"/>
  <c r="Z490" i="6"/>
  <c r="Z491" i="6"/>
  <c r="Z492" i="6"/>
  <c r="Z493" i="6"/>
  <c r="Z494" i="6"/>
  <c r="Z495" i="6"/>
  <c r="Z496" i="6"/>
  <c r="Z497" i="6"/>
  <c r="Z498" i="6"/>
  <c r="Z499" i="6"/>
  <c r="Z500" i="6"/>
  <c r="Z12" i="6"/>
  <c r="Z8" i="6"/>
  <c r="Y5" i="6"/>
  <c r="AA7" i="6"/>
  <c r="Z10" i="6"/>
  <c r="Z9" i="6"/>
  <c r="Z11" i="6"/>
  <c r="AA112" i="6" l="1"/>
  <c r="AA55" i="6"/>
  <c r="AA166" i="6"/>
  <c r="AA167" i="6"/>
  <c r="AA168" i="6"/>
  <c r="AA169" i="6"/>
  <c r="AA170" i="6"/>
  <c r="AA171" i="6"/>
  <c r="AA172" i="6"/>
  <c r="AA201" i="6"/>
  <c r="AA202" i="6"/>
  <c r="AA203" i="6"/>
  <c r="AA204" i="6"/>
  <c r="AA13" i="6"/>
  <c r="AA14" i="6"/>
  <c r="AA15" i="6"/>
  <c r="AA16" i="6"/>
  <c r="AA17" i="6"/>
  <c r="AA18" i="6"/>
  <c r="AA19" i="6"/>
  <c r="AA20" i="6"/>
  <c r="AA21" i="6"/>
  <c r="AA22" i="6"/>
  <c r="AA23" i="6"/>
  <c r="AA24" i="6"/>
  <c r="AA25" i="6"/>
  <c r="AA26" i="6"/>
  <c r="AA27" i="6"/>
  <c r="AA28" i="6"/>
  <c r="AA29" i="6"/>
  <c r="AA30" i="6"/>
  <c r="AA31" i="6"/>
  <c r="AA32" i="6"/>
  <c r="AA33" i="6"/>
  <c r="AA34" i="6"/>
  <c r="AA35" i="6"/>
  <c r="AA36" i="6"/>
  <c r="AA37" i="6"/>
  <c r="AA38" i="6"/>
  <c r="AA39" i="6"/>
  <c r="AA40" i="6"/>
  <c r="AA41" i="6"/>
  <c r="AA42" i="6"/>
  <c r="AA43" i="6"/>
  <c r="AA44" i="6"/>
  <c r="AA47" i="6"/>
  <c r="AA56" i="6"/>
  <c r="AA64" i="6"/>
  <c r="AA72" i="6"/>
  <c r="AA80" i="6"/>
  <c r="AA88" i="6"/>
  <c r="AA92" i="6"/>
  <c r="AA52" i="6"/>
  <c r="AA61" i="6"/>
  <c r="AA69" i="6"/>
  <c r="AA77" i="6"/>
  <c r="AA85" i="6"/>
  <c r="AA91" i="6"/>
  <c r="AA49" i="6"/>
  <c r="AA58" i="6"/>
  <c r="AA66" i="6"/>
  <c r="AA74" i="6"/>
  <c r="AA82" i="6"/>
  <c r="AA90" i="6"/>
  <c r="AA98" i="6"/>
  <c r="AA99" i="6"/>
  <c r="AA100" i="6"/>
  <c r="AA101" i="6"/>
  <c r="AA102" i="6"/>
  <c r="AA103" i="6"/>
  <c r="AA104" i="6"/>
  <c r="AA105" i="6"/>
  <c r="AA106" i="6"/>
  <c r="AA107" i="6"/>
  <c r="AA108" i="6"/>
  <c r="AA109" i="6"/>
  <c r="AA110" i="6"/>
  <c r="AA111" i="6"/>
  <c r="AA113" i="6"/>
  <c r="AA114" i="6"/>
  <c r="AA115" i="6"/>
  <c r="AA116" i="6"/>
  <c r="AA117" i="6"/>
  <c r="AA118" i="6"/>
  <c r="AA119" i="6"/>
  <c r="AA120" i="6"/>
  <c r="AA121" i="6"/>
  <c r="AA122" i="6"/>
  <c r="AA123" i="6"/>
  <c r="AA124" i="6"/>
  <c r="AA125" i="6"/>
  <c r="AA126" i="6"/>
  <c r="AA127" i="6"/>
  <c r="AA128" i="6"/>
  <c r="AA129" i="6"/>
  <c r="AA130" i="6"/>
  <c r="AA131" i="6"/>
  <c r="AA132" i="6"/>
  <c r="AA133" i="6"/>
  <c r="AA134" i="6"/>
  <c r="AA135" i="6"/>
  <c r="AA136" i="6"/>
  <c r="AA137" i="6"/>
  <c r="AA46" i="6"/>
  <c r="AA54" i="6"/>
  <c r="AA63" i="6"/>
  <c r="AA71" i="6"/>
  <c r="AA79" i="6"/>
  <c r="AA87" i="6"/>
  <c r="AA97" i="6"/>
  <c r="AA51" i="6"/>
  <c r="AA60" i="6"/>
  <c r="AA68" i="6"/>
  <c r="AA76" i="6"/>
  <c r="AA84" i="6"/>
  <c r="AA96" i="6"/>
  <c r="AA48" i="6"/>
  <c r="AA57" i="6"/>
  <c r="AA65" i="6"/>
  <c r="AA73" i="6"/>
  <c r="AA81" i="6"/>
  <c r="AA89" i="6"/>
  <c r="AA95" i="6"/>
  <c r="AA45" i="6"/>
  <c r="AA53" i="6"/>
  <c r="AA62" i="6"/>
  <c r="AA70" i="6"/>
  <c r="AA78" i="6"/>
  <c r="AA86" i="6"/>
  <c r="AA94" i="6"/>
  <c r="AA50" i="6"/>
  <c r="AA75" i="6"/>
  <c r="AA140" i="6"/>
  <c r="AA144" i="6"/>
  <c r="AA173" i="6"/>
  <c r="AA174" i="6"/>
  <c r="AA175" i="6"/>
  <c r="AA176" i="6"/>
  <c r="AA177" i="6"/>
  <c r="AA178" i="6"/>
  <c r="AA179" i="6"/>
  <c r="AA180" i="6"/>
  <c r="AA181" i="6"/>
  <c r="AA182" i="6"/>
  <c r="AA183" i="6"/>
  <c r="AA184" i="6"/>
  <c r="AA185" i="6"/>
  <c r="AA186" i="6"/>
  <c r="AA187" i="6"/>
  <c r="AA188" i="6"/>
  <c r="AA189" i="6"/>
  <c r="AA190" i="6"/>
  <c r="AA191" i="6"/>
  <c r="AA192" i="6"/>
  <c r="AA193" i="6"/>
  <c r="AA194" i="6"/>
  <c r="AA195" i="6"/>
  <c r="AA196" i="6"/>
  <c r="AA197" i="6"/>
  <c r="AA198" i="6"/>
  <c r="AA199" i="6"/>
  <c r="AA200" i="6"/>
  <c r="AA205" i="6"/>
  <c r="AA206" i="6"/>
  <c r="AA207" i="6"/>
  <c r="AA208" i="6"/>
  <c r="AA209" i="6"/>
  <c r="AA210" i="6"/>
  <c r="AA211" i="6"/>
  <c r="AA212" i="6"/>
  <c r="AA213" i="6"/>
  <c r="AA214" i="6"/>
  <c r="AA215" i="6"/>
  <c r="AA216" i="6"/>
  <c r="AA217" i="6"/>
  <c r="AA218" i="6"/>
  <c r="AA219" i="6"/>
  <c r="AA220" i="6"/>
  <c r="AA221" i="6"/>
  <c r="AA222" i="6"/>
  <c r="AA223" i="6"/>
  <c r="AA224" i="6"/>
  <c r="AA225" i="6"/>
  <c r="AA226" i="6"/>
  <c r="AA227" i="6"/>
  <c r="AA228" i="6"/>
  <c r="AA229" i="6"/>
  <c r="AA230" i="6"/>
  <c r="AA231" i="6"/>
  <c r="AA232" i="6"/>
  <c r="AA164" i="6"/>
  <c r="AA143" i="6"/>
  <c r="AA147" i="6"/>
  <c r="AA151" i="6"/>
  <c r="AA155" i="6"/>
  <c r="AA159" i="6"/>
  <c r="AA67" i="6"/>
  <c r="AA139" i="6"/>
  <c r="AA163" i="6"/>
  <c r="AA142" i="6"/>
  <c r="AA146" i="6"/>
  <c r="AA150" i="6"/>
  <c r="AA154" i="6"/>
  <c r="AA158" i="6"/>
  <c r="AA93" i="6"/>
  <c r="AA162" i="6"/>
  <c r="AA59" i="6"/>
  <c r="AA138" i="6"/>
  <c r="AA83" i="6"/>
  <c r="AA141" i="6"/>
  <c r="AA145" i="6"/>
  <c r="AA149" i="6"/>
  <c r="AA153" i="6"/>
  <c r="AA157" i="6"/>
  <c r="AA161" i="6"/>
  <c r="AA165" i="6"/>
  <c r="AA235" i="6"/>
  <c r="AA233" i="6"/>
  <c r="AA239" i="6"/>
  <c r="AA240" i="6"/>
  <c r="AA241" i="6"/>
  <c r="AA242" i="6"/>
  <c r="AA243" i="6"/>
  <c r="AA244" i="6"/>
  <c r="AA245" i="6"/>
  <c r="AA246" i="6"/>
  <c r="AA247" i="6"/>
  <c r="AA248" i="6"/>
  <c r="AA249" i="6"/>
  <c r="AA250" i="6"/>
  <c r="AA251" i="6"/>
  <c r="AA252" i="6"/>
  <c r="AA253" i="6"/>
  <c r="AA254" i="6"/>
  <c r="AA255" i="6"/>
  <c r="AA256" i="6"/>
  <c r="AA257" i="6"/>
  <c r="AA258" i="6"/>
  <c r="AA259" i="6"/>
  <c r="AA260" i="6"/>
  <c r="AA261" i="6"/>
  <c r="AA262" i="6"/>
  <c r="AA263" i="6"/>
  <c r="AA264" i="6"/>
  <c r="AA265" i="6"/>
  <c r="AA266" i="6"/>
  <c r="AA267" i="6"/>
  <c r="AA268" i="6"/>
  <c r="AA269" i="6"/>
  <c r="AA270" i="6"/>
  <c r="AA271" i="6"/>
  <c r="AA272" i="6"/>
  <c r="AA273" i="6"/>
  <c r="AA274" i="6"/>
  <c r="AA275" i="6"/>
  <c r="AA276" i="6"/>
  <c r="AA277" i="6"/>
  <c r="AA278" i="6"/>
  <c r="AA279" i="6"/>
  <c r="AA280" i="6"/>
  <c r="AA281" i="6"/>
  <c r="AA282" i="6"/>
  <c r="AA283" i="6"/>
  <c r="AA284" i="6"/>
  <c r="AA285" i="6"/>
  <c r="AA286" i="6"/>
  <c r="AA287" i="6"/>
  <c r="AA288" i="6"/>
  <c r="AA289" i="6"/>
  <c r="AA290" i="6"/>
  <c r="AA292" i="6"/>
  <c r="AA293" i="6"/>
  <c r="AA294" i="6"/>
  <c r="AA295" i="6"/>
  <c r="AA296" i="6"/>
  <c r="AA297" i="6"/>
  <c r="AA298" i="6"/>
  <c r="AA299" i="6"/>
  <c r="AA148" i="6"/>
  <c r="AA152" i="6"/>
  <c r="AA156" i="6"/>
  <c r="AA160" i="6"/>
  <c r="AA238" i="6"/>
  <c r="AA237" i="6"/>
  <c r="AA234" i="6"/>
  <c r="AA236" i="6"/>
  <c r="AA364" i="6"/>
  <c r="AA300" i="6"/>
  <c r="AA302" i="6"/>
  <c r="AA304" i="6"/>
  <c r="AA306" i="6"/>
  <c r="AA308" i="6"/>
  <c r="AA310" i="6"/>
  <c r="AA312" i="6"/>
  <c r="AA314" i="6"/>
  <c r="AA316" i="6"/>
  <c r="AA318" i="6"/>
  <c r="AA320" i="6"/>
  <c r="AA322" i="6"/>
  <c r="AA324" i="6"/>
  <c r="AA326" i="6"/>
  <c r="AA328" i="6"/>
  <c r="AA330" i="6"/>
  <c r="AA331" i="6"/>
  <c r="AA333" i="6"/>
  <c r="AA335" i="6"/>
  <c r="AA337" i="6"/>
  <c r="AA339" i="6"/>
  <c r="AA341" i="6"/>
  <c r="AA343" i="6"/>
  <c r="AA345" i="6"/>
  <c r="AA347" i="6"/>
  <c r="AA349" i="6"/>
  <c r="AA351" i="6"/>
  <c r="AA369" i="6"/>
  <c r="AA354" i="6"/>
  <c r="AA358" i="6"/>
  <c r="AA374" i="6"/>
  <c r="AA363" i="6"/>
  <c r="AA368" i="6"/>
  <c r="AA357" i="6"/>
  <c r="AA373" i="6"/>
  <c r="AA362" i="6"/>
  <c r="AA359" i="6"/>
  <c r="AA375" i="6"/>
  <c r="AA353" i="6"/>
  <c r="AA367" i="6"/>
  <c r="AA356" i="6"/>
  <c r="AA372" i="6"/>
  <c r="AA301" i="6"/>
  <c r="AA303" i="6"/>
  <c r="AA305" i="6"/>
  <c r="AA307" i="6"/>
  <c r="AA309" i="6"/>
  <c r="AA311" i="6"/>
  <c r="AA313" i="6"/>
  <c r="AA315" i="6"/>
  <c r="AA317" i="6"/>
  <c r="AA319" i="6"/>
  <c r="AA321" i="6"/>
  <c r="AA323" i="6"/>
  <c r="AA325" i="6"/>
  <c r="AA327" i="6"/>
  <c r="AA329" i="6"/>
  <c r="AA332" i="6"/>
  <c r="AA334" i="6"/>
  <c r="AA336" i="6"/>
  <c r="AA338" i="6"/>
  <c r="AA340" i="6"/>
  <c r="AA342" i="6"/>
  <c r="AA344" i="6"/>
  <c r="AA346" i="6"/>
  <c r="AA348" i="6"/>
  <c r="AA350" i="6"/>
  <c r="AA361" i="6"/>
  <c r="AA366" i="6"/>
  <c r="AA371" i="6"/>
  <c r="AA352" i="6"/>
  <c r="AA360" i="6"/>
  <c r="AA355" i="6"/>
  <c r="AA365" i="6"/>
  <c r="AA370" i="6"/>
  <c r="AA376" i="6"/>
  <c r="AA377" i="6"/>
  <c r="AA378" i="6"/>
  <c r="AA379" i="6"/>
  <c r="AA380" i="6"/>
  <c r="AA381" i="6"/>
  <c r="AA382" i="6"/>
  <c r="AA383" i="6"/>
  <c r="AA384" i="6"/>
  <c r="AA385" i="6"/>
  <c r="AA386" i="6"/>
  <c r="AA387" i="6"/>
  <c r="AA388" i="6"/>
  <c r="AA389" i="6"/>
  <c r="AA390" i="6"/>
  <c r="AA391" i="6"/>
  <c r="AA392" i="6"/>
  <c r="AA393" i="6"/>
  <c r="AA394" i="6"/>
  <c r="AA395" i="6"/>
  <c r="AA396" i="6"/>
  <c r="AA397" i="6"/>
  <c r="AA398" i="6"/>
  <c r="AA399" i="6"/>
  <c r="AA400" i="6"/>
  <c r="AA401" i="6"/>
  <c r="AA402" i="6"/>
  <c r="AA403" i="6"/>
  <c r="AA404" i="6"/>
  <c r="AA405" i="6"/>
  <c r="AA406" i="6"/>
  <c r="AA407" i="6"/>
  <c r="AA408" i="6"/>
  <c r="AA409" i="6"/>
  <c r="AA410" i="6"/>
  <c r="AA411" i="6"/>
  <c r="AA412" i="6"/>
  <c r="AA413" i="6"/>
  <c r="AA414" i="6"/>
  <c r="AA415" i="6"/>
  <c r="AA416" i="6"/>
  <c r="AA417" i="6"/>
  <c r="AA418" i="6"/>
  <c r="AA419" i="6"/>
  <c r="AA484" i="6"/>
  <c r="AA488" i="6"/>
  <c r="AA492" i="6"/>
  <c r="AA494" i="6"/>
  <c r="AA496" i="6"/>
  <c r="AA498" i="6"/>
  <c r="AA500" i="6"/>
  <c r="AA485" i="6"/>
  <c r="AA489" i="6"/>
  <c r="AA491" i="6"/>
  <c r="AA493" i="6"/>
  <c r="AA495" i="6"/>
  <c r="AA499" i="6"/>
  <c r="AA420" i="6"/>
  <c r="AA421" i="6"/>
  <c r="AA422" i="6"/>
  <c r="AA423" i="6"/>
  <c r="AA424" i="6"/>
  <c r="AA425" i="6"/>
  <c r="AA426" i="6"/>
  <c r="AA427" i="6"/>
  <c r="AA428" i="6"/>
  <c r="AA429" i="6"/>
  <c r="AA430" i="6"/>
  <c r="AA431" i="6"/>
  <c r="AA432" i="6"/>
  <c r="AA433" i="6"/>
  <c r="AA434" i="6"/>
  <c r="AA435" i="6"/>
  <c r="AA436" i="6"/>
  <c r="AA437" i="6"/>
  <c r="AA438" i="6"/>
  <c r="AA439" i="6"/>
  <c r="AA440" i="6"/>
  <c r="AA441" i="6"/>
  <c r="AA442" i="6"/>
  <c r="AA443" i="6"/>
  <c r="AA444" i="6"/>
  <c r="AA445" i="6"/>
  <c r="AA446" i="6"/>
  <c r="AA447" i="6"/>
  <c r="AA448" i="6"/>
  <c r="AA449" i="6"/>
  <c r="AA450" i="6"/>
  <c r="AA451" i="6"/>
  <c r="AA452" i="6"/>
  <c r="AA453" i="6"/>
  <c r="AA454" i="6"/>
  <c r="AA455" i="6"/>
  <c r="AA456" i="6"/>
  <c r="AA457" i="6"/>
  <c r="AA458" i="6"/>
  <c r="AA459" i="6"/>
  <c r="AA460" i="6"/>
  <c r="AA461" i="6"/>
  <c r="AA462" i="6"/>
  <c r="AA463" i="6"/>
  <c r="AA464" i="6"/>
  <c r="AA465" i="6"/>
  <c r="AA466" i="6"/>
  <c r="AA467" i="6"/>
  <c r="AA468" i="6"/>
  <c r="AA469" i="6"/>
  <c r="AA470" i="6"/>
  <c r="AA471" i="6"/>
  <c r="AA472" i="6"/>
  <c r="AA473" i="6"/>
  <c r="AA474" i="6"/>
  <c r="AA475" i="6"/>
  <c r="AA476" i="6"/>
  <c r="AA477" i="6"/>
  <c r="AA478" i="6"/>
  <c r="AA479" i="6"/>
  <c r="AA480" i="6"/>
  <c r="AA481" i="6"/>
  <c r="AA482" i="6"/>
  <c r="AA483" i="6"/>
  <c r="AA486" i="6"/>
  <c r="AA487" i="6"/>
  <c r="AA490" i="6"/>
  <c r="AA497" i="6"/>
  <c r="AA11" i="6"/>
  <c r="Z5" i="6"/>
  <c r="AA8" i="6"/>
  <c r="AA10" i="6"/>
  <c r="AA12" i="6"/>
  <c r="AA9" i="6"/>
  <c r="AB7" i="6"/>
  <c r="AB112" i="6" l="1"/>
  <c r="AB55" i="6"/>
  <c r="AB166" i="6"/>
  <c r="AB167" i="6"/>
  <c r="AB168" i="6"/>
  <c r="AB169" i="6"/>
  <c r="AB170" i="6"/>
  <c r="AB171" i="6"/>
  <c r="AB172" i="6"/>
  <c r="AB201" i="6"/>
  <c r="AB202" i="6"/>
  <c r="AB203" i="6"/>
  <c r="AB204" i="6"/>
  <c r="AB13" i="6"/>
  <c r="AB14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56" i="6"/>
  <c r="AB57" i="6"/>
  <c r="AB58" i="6"/>
  <c r="AB59" i="6"/>
  <c r="AB60" i="6"/>
  <c r="AB61" i="6"/>
  <c r="AB62" i="6"/>
  <c r="AB63" i="6"/>
  <c r="AB64" i="6"/>
  <c r="AB65" i="6"/>
  <c r="AB66" i="6"/>
  <c r="AB67" i="6"/>
  <c r="AB68" i="6"/>
  <c r="AB69" i="6"/>
  <c r="AB70" i="6"/>
  <c r="AB71" i="6"/>
  <c r="AB72" i="6"/>
  <c r="AB73" i="6"/>
  <c r="AB74" i="6"/>
  <c r="AB75" i="6"/>
  <c r="AB76" i="6"/>
  <c r="AB77" i="6"/>
  <c r="AB78" i="6"/>
  <c r="AB79" i="6"/>
  <c r="AB80" i="6"/>
  <c r="AB81" i="6"/>
  <c r="AB82" i="6"/>
  <c r="AB83" i="6"/>
  <c r="AB84" i="6"/>
  <c r="AB85" i="6"/>
  <c r="AB86" i="6"/>
  <c r="AB87" i="6"/>
  <c r="AB88" i="6"/>
  <c r="AB89" i="6"/>
  <c r="AB90" i="6"/>
  <c r="AB91" i="6"/>
  <c r="AB92" i="6"/>
  <c r="AB93" i="6"/>
  <c r="AB94" i="6"/>
  <c r="AB95" i="6"/>
  <c r="AB96" i="6"/>
  <c r="AB97" i="6"/>
  <c r="AB98" i="6"/>
  <c r="AB99" i="6"/>
  <c r="AB100" i="6"/>
  <c r="AB101" i="6"/>
  <c r="AB102" i="6"/>
  <c r="AB103" i="6"/>
  <c r="AB104" i="6"/>
  <c r="AB105" i="6"/>
  <c r="AB106" i="6"/>
  <c r="AB107" i="6"/>
  <c r="AB108" i="6"/>
  <c r="AB109" i="6"/>
  <c r="AB110" i="6"/>
  <c r="AB111" i="6"/>
  <c r="AB113" i="6"/>
  <c r="AB114" i="6"/>
  <c r="AB115" i="6"/>
  <c r="AB116" i="6"/>
  <c r="AB117" i="6"/>
  <c r="AB118" i="6"/>
  <c r="AB119" i="6"/>
  <c r="AB120" i="6"/>
  <c r="AB121" i="6"/>
  <c r="AB122" i="6"/>
  <c r="AB123" i="6"/>
  <c r="AB124" i="6"/>
  <c r="AB125" i="6"/>
  <c r="AB126" i="6"/>
  <c r="AB127" i="6"/>
  <c r="AB128" i="6"/>
  <c r="AB129" i="6"/>
  <c r="AB130" i="6"/>
  <c r="AB131" i="6"/>
  <c r="AB132" i="6"/>
  <c r="AB133" i="6"/>
  <c r="AB134" i="6"/>
  <c r="AB135" i="6"/>
  <c r="AB136" i="6"/>
  <c r="AB137" i="6"/>
  <c r="AB138" i="6"/>
  <c r="AB139" i="6"/>
  <c r="AB140" i="6"/>
  <c r="AB141" i="6"/>
  <c r="AB142" i="6"/>
  <c r="AB143" i="6"/>
  <c r="AB144" i="6"/>
  <c r="AB145" i="6"/>
  <c r="AB146" i="6"/>
  <c r="AB147" i="6"/>
  <c r="AB148" i="6"/>
  <c r="AB149" i="6"/>
  <c r="AB150" i="6"/>
  <c r="AB151" i="6"/>
  <c r="AB152" i="6"/>
  <c r="AB153" i="6"/>
  <c r="AB154" i="6"/>
  <c r="AB155" i="6"/>
  <c r="AB156" i="6"/>
  <c r="AB157" i="6"/>
  <c r="AB158" i="6"/>
  <c r="AB159" i="6"/>
  <c r="AB160" i="6"/>
  <c r="AB161" i="6"/>
  <c r="AB162" i="6"/>
  <c r="AB163" i="6"/>
  <c r="AB164" i="6"/>
  <c r="AB165" i="6"/>
  <c r="AB173" i="6"/>
  <c r="AB174" i="6"/>
  <c r="AB175" i="6"/>
  <c r="AB176" i="6"/>
  <c r="AB177" i="6"/>
  <c r="AB178" i="6"/>
  <c r="AB179" i="6"/>
  <c r="AB180" i="6"/>
  <c r="AB181" i="6"/>
  <c r="AB182" i="6"/>
  <c r="AB183" i="6"/>
  <c r="AB184" i="6"/>
  <c r="AB185" i="6"/>
  <c r="AB186" i="6"/>
  <c r="AB187" i="6"/>
  <c r="AB188" i="6"/>
  <c r="AB189" i="6"/>
  <c r="AB190" i="6"/>
  <c r="AB191" i="6"/>
  <c r="AB192" i="6"/>
  <c r="AB193" i="6"/>
  <c r="AB194" i="6"/>
  <c r="AB195" i="6"/>
  <c r="AB196" i="6"/>
  <c r="AB197" i="6"/>
  <c r="AB198" i="6"/>
  <c r="AB199" i="6"/>
  <c r="AB200" i="6"/>
  <c r="AB205" i="6"/>
  <c r="AB206" i="6"/>
  <c r="AB207" i="6"/>
  <c r="AB208" i="6"/>
  <c r="AB209" i="6"/>
  <c r="AB210" i="6"/>
  <c r="AB211" i="6"/>
  <c r="AB212" i="6"/>
  <c r="AB213" i="6"/>
  <c r="AB214" i="6"/>
  <c r="AB215" i="6"/>
  <c r="AB216" i="6"/>
  <c r="AB217" i="6"/>
  <c r="AB218" i="6"/>
  <c r="AB219" i="6"/>
  <c r="AB220" i="6"/>
  <c r="AB221" i="6"/>
  <c r="AB222" i="6"/>
  <c r="AB223" i="6"/>
  <c r="AB224" i="6"/>
  <c r="AB225" i="6"/>
  <c r="AB226" i="6"/>
  <c r="AB227" i="6"/>
  <c r="AB228" i="6"/>
  <c r="AB229" i="6"/>
  <c r="AB230" i="6"/>
  <c r="AB231" i="6"/>
  <c r="AB232" i="6"/>
  <c r="AB233" i="6"/>
  <c r="AB234" i="6"/>
  <c r="AB235" i="6"/>
  <c r="AB236" i="6"/>
  <c r="AB237" i="6"/>
  <c r="AB238" i="6"/>
  <c r="AB239" i="6"/>
  <c r="AB240" i="6"/>
  <c r="AB241" i="6"/>
  <c r="AB242" i="6"/>
  <c r="AB243" i="6"/>
  <c r="AB244" i="6"/>
  <c r="AB245" i="6"/>
  <c r="AB246" i="6"/>
  <c r="AB247" i="6"/>
  <c r="AB248" i="6"/>
  <c r="AB249" i="6"/>
  <c r="AB250" i="6"/>
  <c r="AB251" i="6"/>
  <c r="AB252" i="6"/>
  <c r="AB253" i="6"/>
  <c r="AB254" i="6"/>
  <c r="AB255" i="6"/>
  <c r="AB256" i="6"/>
  <c r="AB257" i="6"/>
  <c r="AB258" i="6"/>
  <c r="AB259" i="6"/>
  <c r="AB260" i="6"/>
  <c r="AB261" i="6"/>
  <c r="AB262" i="6"/>
  <c r="AB263" i="6"/>
  <c r="AB264" i="6"/>
  <c r="AB265" i="6"/>
  <c r="AB266" i="6"/>
  <c r="AB267" i="6"/>
  <c r="AB268" i="6"/>
  <c r="AB269" i="6"/>
  <c r="AB270" i="6"/>
  <c r="AB271" i="6"/>
  <c r="AB272" i="6"/>
  <c r="AB273" i="6"/>
  <c r="AB274" i="6"/>
  <c r="AB275" i="6"/>
  <c r="AB276" i="6"/>
  <c r="AB277" i="6"/>
  <c r="AB278" i="6"/>
  <c r="AB279" i="6"/>
  <c r="AB280" i="6"/>
  <c r="AB281" i="6"/>
  <c r="AB282" i="6"/>
  <c r="AB283" i="6"/>
  <c r="AB284" i="6"/>
  <c r="AB285" i="6"/>
  <c r="AB286" i="6"/>
  <c r="AB287" i="6"/>
  <c r="AB288" i="6"/>
  <c r="AB289" i="6"/>
  <c r="AB290" i="6"/>
  <c r="AB292" i="6"/>
  <c r="AB293" i="6"/>
  <c r="AB294" i="6"/>
  <c r="AB295" i="6"/>
  <c r="AB296" i="6"/>
  <c r="AB297" i="6"/>
  <c r="AB298" i="6"/>
  <c r="AB299" i="6"/>
  <c r="AB300" i="6"/>
  <c r="AB301" i="6"/>
  <c r="AB302" i="6"/>
  <c r="AB303" i="6"/>
  <c r="AB304" i="6"/>
  <c r="AB305" i="6"/>
  <c r="AB306" i="6"/>
  <c r="AB307" i="6"/>
  <c r="AB308" i="6"/>
  <c r="AB309" i="6"/>
  <c r="AB310" i="6"/>
  <c r="AB311" i="6"/>
  <c r="AB312" i="6"/>
  <c r="AB313" i="6"/>
  <c r="AB314" i="6"/>
  <c r="AB315" i="6"/>
  <c r="AB316" i="6"/>
  <c r="AB317" i="6"/>
  <c r="AB318" i="6"/>
  <c r="AB319" i="6"/>
  <c r="AB320" i="6"/>
  <c r="AB321" i="6"/>
  <c r="AB322" i="6"/>
  <c r="AB323" i="6"/>
  <c r="AB324" i="6"/>
  <c r="AB325" i="6"/>
  <c r="AB326" i="6"/>
  <c r="AB327" i="6"/>
  <c r="AB328" i="6"/>
  <c r="AB329" i="6"/>
  <c r="AB330" i="6"/>
  <c r="AB331" i="6"/>
  <c r="AB332" i="6"/>
  <c r="AB333" i="6"/>
  <c r="AB334" i="6"/>
  <c r="AB335" i="6"/>
  <c r="AB336" i="6"/>
  <c r="AB337" i="6"/>
  <c r="AB338" i="6"/>
  <c r="AB339" i="6"/>
  <c r="AB340" i="6"/>
  <c r="AB341" i="6"/>
  <c r="AB342" i="6"/>
  <c r="AB343" i="6"/>
  <c r="AB344" i="6"/>
  <c r="AB345" i="6"/>
  <c r="AB346" i="6"/>
  <c r="AB347" i="6"/>
  <c r="AB348" i="6"/>
  <c r="AB349" i="6"/>
  <c r="AB350" i="6"/>
  <c r="AB351" i="6"/>
  <c r="AB352" i="6"/>
  <c r="AB353" i="6"/>
  <c r="AB354" i="6"/>
  <c r="AB355" i="6"/>
  <c r="AB356" i="6"/>
  <c r="AB357" i="6"/>
  <c r="AB358" i="6"/>
  <c r="AB359" i="6"/>
  <c r="AB360" i="6"/>
  <c r="AB361" i="6"/>
  <c r="AB362" i="6"/>
  <c r="AB363" i="6"/>
  <c r="AB364" i="6"/>
  <c r="AB365" i="6"/>
  <c r="AB366" i="6"/>
  <c r="AB367" i="6"/>
  <c r="AB368" i="6"/>
  <c r="AB369" i="6"/>
  <c r="AB370" i="6"/>
  <c r="AB371" i="6"/>
  <c r="AB372" i="6"/>
  <c r="AB373" i="6"/>
  <c r="AB374" i="6"/>
  <c r="AB375" i="6"/>
  <c r="AB382" i="6"/>
  <c r="AB389" i="6"/>
  <c r="AB394" i="6"/>
  <c r="AB398" i="6"/>
  <c r="AB402" i="6"/>
  <c r="AB406" i="6"/>
  <c r="AB411" i="6"/>
  <c r="AB416" i="6"/>
  <c r="AB419" i="6"/>
  <c r="AB387" i="6"/>
  <c r="AB413" i="6"/>
  <c r="AB378" i="6"/>
  <c r="AB381" i="6"/>
  <c r="AB384" i="6"/>
  <c r="AB386" i="6"/>
  <c r="AB390" i="6"/>
  <c r="AB395" i="6"/>
  <c r="AB399" i="6"/>
  <c r="AB403" i="6"/>
  <c r="AB407" i="6"/>
  <c r="AB412" i="6"/>
  <c r="AB417" i="6"/>
  <c r="AB379" i="6"/>
  <c r="AB397" i="6"/>
  <c r="AB405" i="6"/>
  <c r="AB409" i="6"/>
  <c r="AB414" i="6"/>
  <c r="AB377" i="6"/>
  <c r="AB393" i="6"/>
  <c r="AB401" i="6"/>
  <c r="AB408" i="6"/>
  <c r="AB415" i="6"/>
  <c r="AB391" i="6"/>
  <c r="AB376" i="6"/>
  <c r="AB380" i="6"/>
  <c r="AB383" i="6"/>
  <c r="AB385" i="6"/>
  <c r="AB388" i="6"/>
  <c r="AB392" i="6"/>
  <c r="AB396" i="6"/>
  <c r="AB400" i="6"/>
  <c r="AB404" i="6"/>
  <c r="AB410" i="6"/>
  <c r="AB418" i="6"/>
  <c r="AB494" i="6"/>
  <c r="AB498" i="6"/>
  <c r="AB492" i="6"/>
  <c r="AB496" i="6"/>
  <c r="AB499" i="6"/>
  <c r="AB500" i="6"/>
  <c r="AB420" i="6"/>
  <c r="AB421" i="6"/>
  <c r="AB422" i="6"/>
  <c r="AB423" i="6"/>
  <c r="AB424" i="6"/>
  <c r="AB425" i="6"/>
  <c r="AB426" i="6"/>
  <c r="AB427" i="6"/>
  <c r="AB428" i="6"/>
  <c r="AB429" i="6"/>
  <c r="AB430" i="6"/>
  <c r="AB431" i="6"/>
  <c r="AB432" i="6"/>
  <c r="AB433" i="6"/>
  <c r="AB434" i="6"/>
  <c r="AB435" i="6"/>
  <c r="AB436" i="6"/>
  <c r="AB437" i="6"/>
  <c r="AB438" i="6"/>
  <c r="AB439" i="6"/>
  <c r="AB440" i="6"/>
  <c r="AB441" i="6"/>
  <c r="AB442" i="6"/>
  <c r="AB443" i="6"/>
  <c r="AB444" i="6"/>
  <c r="AB445" i="6"/>
  <c r="AB446" i="6"/>
  <c r="AB447" i="6"/>
  <c r="AB448" i="6"/>
  <c r="AB449" i="6"/>
  <c r="AB450" i="6"/>
  <c r="AB451" i="6"/>
  <c r="AB452" i="6"/>
  <c r="AB453" i="6"/>
  <c r="AB454" i="6"/>
  <c r="AB455" i="6"/>
  <c r="AB456" i="6"/>
  <c r="AB457" i="6"/>
  <c r="AB458" i="6"/>
  <c r="AB459" i="6"/>
  <c r="AB460" i="6"/>
  <c r="AB461" i="6"/>
  <c r="AB462" i="6"/>
  <c r="AB463" i="6"/>
  <c r="AB464" i="6"/>
  <c r="AB465" i="6"/>
  <c r="AB466" i="6"/>
  <c r="AB467" i="6"/>
  <c r="AB468" i="6"/>
  <c r="AB469" i="6"/>
  <c r="AB470" i="6"/>
  <c r="AB471" i="6"/>
  <c r="AB472" i="6"/>
  <c r="AB473" i="6"/>
  <c r="AB474" i="6"/>
  <c r="AB475" i="6"/>
  <c r="AB476" i="6"/>
  <c r="AB477" i="6"/>
  <c r="AB478" i="6"/>
  <c r="AB479" i="6"/>
  <c r="AB480" i="6"/>
  <c r="AB481" i="6"/>
  <c r="AB482" i="6"/>
  <c r="AB483" i="6"/>
  <c r="AB484" i="6"/>
  <c r="AB485" i="6"/>
  <c r="AB486" i="6"/>
  <c r="AB487" i="6"/>
  <c r="AB488" i="6"/>
  <c r="AB489" i="6"/>
  <c r="AB490" i="6"/>
  <c r="AB491" i="6"/>
  <c r="AB493" i="6"/>
  <c r="AB495" i="6"/>
  <c r="AB497" i="6"/>
  <c r="AB11" i="6"/>
  <c r="AB9" i="6"/>
  <c r="AB12" i="6"/>
  <c r="AB10" i="6"/>
  <c r="AA5" i="6"/>
  <c r="AB8" i="6"/>
  <c r="AB5" i="6" l="1"/>
</calcChain>
</file>

<file path=xl/sharedStrings.xml><?xml version="1.0" encoding="utf-8"?>
<sst xmlns="http://schemas.openxmlformats.org/spreadsheetml/2006/main" count="4800" uniqueCount="2108">
  <si>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</si>
  <si>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</si>
  <si>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</si>
  <si>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</si>
  <si>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</si>
  <si>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</si>
  <si>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</si>
  <si>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</si>
  <si>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</si>
  <si>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</si>
  <si>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</si>
  <si>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</si>
  <si>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</si>
  <si>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</si>
  <si>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</si>
  <si>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</si>
  <si>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</si>
  <si>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</si>
  <si>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</si>
  <si>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</si>
  <si>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</si>
  <si>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</si>
  <si>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</si>
  <si>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</si>
  <si>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</si>
  <si>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</si>
  <si>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</si>
  <si>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bistrot</t>
  </si>
  <si>
    <t>gelateria</t>
  </si>
  <si>
    <t>pizzeria</t>
  </si>
  <si>
    <t>n.d.</t>
  </si>
  <si>
    <t>cocktail bar</t>
  </si>
  <si>
    <t>pasticceria / caffetteria</t>
  </si>
  <si>
    <t>pastificio con cucina</t>
  </si>
  <si>
    <t>caffetteria</t>
  </si>
  <si>
    <t>enoteca</t>
  </si>
  <si>
    <t>bar / pasticceria</t>
  </si>
  <si>
    <t>ristorante / cocktail bar</t>
  </si>
  <si>
    <t>sala da tè</t>
  </si>
  <si>
    <t/>
  </si>
  <si>
    <t>Berberè</t>
  </si>
  <si>
    <t>non recensibile</t>
  </si>
  <si>
    <t>Città</t>
  </si>
  <si>
    <t>Trapizzino</t>
  </si>
  <si>
    <t>panineria</t>
  </si>
  <si>
    <t>Mordi &amp; Vai</t>
  </si>
  <si>
    <t>Elettroforno Frontoni</t>
  </si>
  <si>
    <t>Pasticceria Barberini</t>
  </si>
  <si>
    <t>Cristalli di Zucchero</t>
  </si>
  <si>
    <t>Casa Manfredi</t>
  </si>
  <si>
    <t>Latteria</t>
  </si>
  <si>
    <t>Gori Gelato</t>
  </si>
  <si>
    <t>Nero Vaniglia</t>
  </si>
  <si>
    <t>Jerry Thomas Speakeasy</t>
  </si>
  <si>
    <t>Roscioli Caffè</t>
  </si>
  <si>
    <t>Claudio Torcè</t>
  </si>
  <si>
    <t>Fabrica</t>
  </si>
  <si>
    <t>D'Antoni dal 1974</t>
  </si>
  <si>
    <t>200 gradi</t>
  </si>
  <si>
    <t>Pane e Tempesta</t>
  </si>
  <si>
    <t>Prelibato</t>
  </si>
  <si>
    <t>Santi Sebastiano e Valentino</t>
  </si>
  <si>
    <t>Cus Cus</t>
  </si>
  <si>
    <t>Zia Rosetta</t>
  </si>
  <si>
    <t>Ciao Checca</t>
  </si>
  <si>
    <t>Aromaticus</t>
  </si>
  <si>
    <t>Neve di Latte</t>
  </si>
  <si>
    <t>Fatamorgana</t>
  </si>
  <si>
    <t>Come il Latte</t>
  </si>
  <si>
    <t>Cremeria Alpi</t>
  </si>
  <si>
    <t>Al Settimo Gelo</t>
  </si>
  <si>
    <t>Cremeria Aurelia</t>
  </si>
  <si>
    <t>Gelateria dei Gracchi</t>
  </si>
  <si>
    <t>Otaleg!</t>
  </si>
  <si>
    <t>Pizzarium</t>
  </si>
  <si>
    <t>Il Goccetto</t>
  </si>
  <si>
    <t>La Gourmandise</t>
  </si>
  <si>
    <t>Baccano</t>
  </si>
  <si>
    <t>Mangiafuoco</t>
  </si>
  <si>
    <t>Open Baladin</t>
  </si>
  <si>
    <t>Metropolita</t>
  </si>
  <si>
    <t>Pinsere</t>
  </si>
  <si>
    <t>La Casa del Cremolato</t>
  </si>
  <si>
    <t>La Differenza</t>
  </si>
  <si>
    <t>Mostò</t>
  </si>
  <si>
    <t>Gelateria I Mannari</t>
  </si>
  <si>
    <t>180g pizzeria romana</t>
  </si>
  <si>
    <t>Da Enzo al 29</t>
  </si>
  <si>
    <t>Fermentum</t>
  </si>
  <si>
    <t>Galbi</t>
  </si>
  <si>
    <t>Green T.</t>
  </si>
  <si>
    <t>Hasekura</t>
  </si>
  <si>
    <t>La Gatta Mangiona</t>
  </si>
  <si>
    <t>La Punta Expendio de Agave</t>
  </si>
  <si>
    <t>Lin</t>
  </si>
  <si>
    <t>Magnifica</t>
  </si>
  <si>
    <t>Piccolo Buco</t>
  </si>
  <si>
    <t>Sakana Sushi</t>
  </si>
  <si>
    <t>Seu Pizza Illuminati</t>
  </si>
  <si>
    <t>Waraku</t>
  </si>
  <si>
    <t>La Trota</t>
  </si>
  <si>
    <t>Trattoria del Pesce</t>
  </si>
  <si>
    <t>Per Me</t>
  </si>
  <si>
    <t>Da Fausto</t>
  </si>
  <si>
    <t>Lo Stuzzichino</t>
  </si>
  <si>
    <t>Iotto</t>
  </si>
  <si>
    <t>Il Pacchero Solitario</t>
  </si>
  <si>
    <t>Il Giardino</t>
  </si>
  <si>
    <t>Osteria del Velodromo Vecchio</t>
  </si>
  <si>
    <t>Il Pagliaccio</t>
  </si>
  <si>
    <t>Osteria del Vicolo Fatato</t>
  </si>
  <si>
    <t>Pascucci al Porticciolo</t>
  </si>
  <si>
    <t>Bistrot 64</t>
  </si>
  <si>
    <t>Pipero</t>
  </si>
  <si>
    <t>Chinappi</t>
  </si>
  <si>
    <t>Il Convivio Troiani</t>
  </si>
  <si>
    <t>Enoteca La Torre</t>
  </si>
  <si>
    <t>Materia Prima</t>
  </si>
  <si>
    <t>Chalet del Lago</t>
  </si>
  <si>
    <t>Il Tino</t>
  </si>
  <si>
    <t>La Pergola del Rome Cavalieri</t>
  </si>
  <si>
    <t>Hand Made</t>
  </si>
  <si>
    <t>Osteria La Briciola</t>
  </si>
  <si>
    <t>Acqua Pazza</t>
  </si>
  <si>
    <t>Acquolina</t>
  </si>
  <si>
    <t>Da Cesare</t>
  </si>
  <si>
    <t>Felice</t>
  </si>
  <si>
    <t>Il Torchio</t>
  </si>
  <si>
    <t>La Baia</t>
  </si>
  <si>
    <t>Mamma Angelina</t>
  </si>
  <si>
    <t>Osteria Bonelli</t>
  </si>
  <si>
    <t>Prato di Sopra</t>
  </si>
  <si>
    <t>Riso Amaro</t>
  </si>
  <si>
    <t>Roscioli</t>
  </si>
  <si>
    <t>Trattoria Monti</t>
  </si>
  <si>
    <t>Armando al Pantheon</t>
  </si>
  <si>
    <t>Flavio al Velavevodetto</t>
  </si>
  <si>
    <t>Moma</t>
  </si>
  <si>
    <t>Cuoco e Camicia</t>
  </si>
  <si>
    <t>Glass Hostaria</t>
  </si>
  <si>
    <t>Il Calice e la Stella</t>
  </si>
  <si>
    <t>Ristorante degli Angeli</t>
  </si>
  <si>
    <t>Al Ceppo</t>
  </si>
  <si>
    <t>Satricvm</t>
  </si>
  <si>
    <t>Osteria “Il Bersagliere”</t>
  </si>
  <si>
    <t>La Locanda del Bere</t>
  </si>
  <si>
    <t>Santo Palato</t>
  </si>
  <si>
    <t>La Parolina</t>
  </si>
  <si>
    <t>Sora Maria e Arcangelo</t>
  </si>
  <si>
    <t>All'Oro</t>
  </si>
  <si>
    <t>La Tavernaccia</t>
  </si>
  <si>
    <t>Zia Restaurant</t>
  </si>
  <si>
    <t>Osteria del Borgo</t>
  </si>
  <si>
    <t>Retrobottega</t>
  </si>
  <si>
    <t>vineria con cucina</t>
  </si>
  <si>
    <t>pizzeria al taglio</t>
  </si>
  <si>
    <t>gastronomia</t>
  </si>
  <si>
    <t>street food venezuelano</t>
  </si>
  <si>
    <t>birreria con cucina</t>
  </si>
  <si>
    <t>caffetteria / pasticceria</t>
  </si>
  <si>
    <t>bistrot / sala da tè</t>
  </si>
  <si>
    <t>bar / pasticceria / gelateria</t>
  </si>
  <si>
    <t>pizzeria al taglio / panificio</t>
  </si>
  <si>
    <t>negozio / bistrot</t>
  </si>
  <si>
    <t>cinese</t>
  </si>
  <si>
    <t>romana</t>
  </si>
  <si>
    <t>giapponese</t>
  </si>
  <si>
    <t>coreana</t>
  </si>
  <si>
    <t>messicana</t>
  </si>
  <si>
    <t>pesce</t>
  </si>
  <si>
    <t>ricercata</t>
  </si>
  <si>
    <t>tradizionale</t>
  </si>
  <si>
    <t>legata al territorio</t>
  </si>
  <si>
    <t>creativa</t>
  </si>
  <si>
    <t>tradizionale con spunti creativi</t>
  </si>
  <si>
    <t>principalmente pesce</t>
  </si>
  <si>
    <t>gastronomia con cucina</t>
  </si>
  <si>
    <t>Piazza del Popolo</t>
  </si>
  <si>
    <t>San Paolo</t>
  </si>
  <si>
    <t>Testaccio</t>
  </si>
  <si>
    <t>Piazza Istria</t>
  </si>
  <si>
    <t>Largo Somalia</t>
  </si>
  <si>
    <t>Via Ostiense, 387</t>
  </si>
  <si>
    <t>Batteria Nomentana</t>
  </si>
  <si>
    <t>Montesacro</t>
  </si>
  <si>
    <t>Piazza Navona</t>
  </si>
  <si>
    <t>Via Marmorata, 41</t>
  </si>
  <si>
    <t>Largo Benedetto Bompiani, 8/10</t>
  </si>
  <si>
    <t>Via di Val Tellina, 114</t>
  </si>
  <si>
    <t>Monteverde</t>
  </si>
  <si>
    <t>Viale Aventino, 91/93</t>
  </si>
  <si>
    <t>FAO</t>
  </si>
  <si>
    <t>Vicolo della Scala, 1</t>
  </si>
  <si>
    <t>Trastevere</t>
  </si>
  <si>
    <t>Via Tolemaide, 16</t>
  </si>
  <si>
    <t>Trionfale</t>
  </si>
  <si>
    <t>Porta Portese</t>
  </si>
  <si>
    <t>Via Carlo Caneva, 15</t>
  </si>
  <si>
    <t>Portonaccio</t>
  </si>
  <si>
    <t>Monti</t>
  </si>
  <si>
    <t>Laurentino</t>
  </si>
  <si>
    <t>Piramide</t>
  </si>
  <si>
    <t>Talenti</t>
  </si>
  <si>
    <t>Salario</t>
  </si>
  <si>
    <t>Viale Parioli, 200</t>
  </si>
  <si>
    <t>Circonvallazione Ostiense, 201</t>
  </si>
  <si>
    <t>Garbatella</t>
  </si>
  <si>
    <t>Pigneto</t>
  </si>
  <si>
    <t>San Giovanni</t>
  </si>
  <si>
    <t>Vicolo Cellini, 30</t>
  </si>
  <si>
    <t>Corso Vittorio Emanuele</t>
  </si>
  <si>
    <t>Piazza Benedetto Cairoli, 16</t>
  </si>
  <si>
    <t>Campo de' Fiori</t>
  </si>
  <si>
    <t>Aventino</t>
  </si>
  <si>
    <t>Viale Aventino, 59</t>
  </si>
  <si>
    <t>Viale Marconi, 445</t>
  </si>
  <si>
    <t>Viale dell'Aeronautica, 105</t>
  </si>
  <si>
    <t>EUR</t>
  </si>
  <si>
    <t>Via Girolamo Savonarola, 8</t>
  </si>
  <si>
    <t>Prati</t>
  </si>
  <si>
    <t>Collatino</t>
  </si>
  <si>
    <t>Furio Camillo</t>
  </si>
  <si>
    <t>Musei Vaticani</t>
  </si>
  <si>
    <t>Flaminio</t>
  </si>
  <si>
    <t>Via Giovanni de Calvi, 23/25</t>
  </si>
  <si>
    <t>Colli Portuensi</t>
  </si>
  <si>
    <t>Viale di Villa Pamphili, 214</t>
  </si>
  <si>
    <t>Pietralata</t>
  </si>
  <si>
    <t>Via Piave, 55</t>
  </si>
  <si>
    <t>Piazza Fiume</t>
  </si>
  <si>
    <t>Arco di Travertino</t>
  </si>
  <si>
    <t>Centocelle</t>
  </si>
  <si>
    <t>Via Tirso, 107</t>
  </si>
  <si>
    <t>Via Arezzo, 39</t>
  </si>
  <si>
    <t>Piazza Bologna</t>
  </si>
  <si>
    <t>Via Urbana, 54</t>
  </si>
  <si>
    <t>Piazza di Spagna, 23</t>
  </si>
  <si>
    <t>San Lorenzo</t>
  </si>
  <si>
    <t>Via di Ripetta, 40</t>
  </si>
  <si>
    <t>Pantheon</t>
  </si>
  <si>
    <t>Piazza di Firenze, 25/26</t>
  </si>
  <si>
    <t>Campo Marzio</t>
  </si>
  <si>
    <t>Via Urbana, 134</t>
  </si>
  <si>
    <t>Viale Europa, 339</t>
  </si>
  <si>
    <t>Via Luigi Poletti, 6</t>
  </si>
  <si>
    <t>Via Federico Cesi, 1</t>
  </si>
  <si>
    <t>Via dei Chiavari, 37</t>
  </si>
  <si>
    <t>Via Lago di Lesina, 9/11</t>
  </si>
  <si>
    <t>Trieste</t>
  </si>
  <si>
    <t>Piazza degli Zingari, 5</t>
  </si>
  <si>
    <t>Piazza Re di Roma</t>
  </si>
  <si>
    <t>Via Roma Libera, 11</t>
  </si>
  <si>
    <t>Via Silvio Spaventa 24/26</t>
  </si>
  <si>
    <t>Piazza Sallustio</t>
  </si>
  <si>
    <t>Via Padre Reginaldo Giuliani, 16</t>
  </si>
  <si>
    <t>Acilia</t>
  </si>
  <si>
    <t>Esquilino</t>
  </si>
  <si>
    <t>Piazza Mazzini</t>
  </si>
  <si>
    <t>Piazza Irnerio</t>
  </si>
  <si>
    <t>Via di Ripetta, 261</t>
  </si>
  <si>
    <t>Via dei Gracchi, 272</t>
  </si>
  <si>
    <t>Appio Latino</t>
  </si>
  <si>
    <t>Fontana di Trevi</t>
  </si>
  <si>
    <t>Via di San Cosimato, 14/A</t>
  </si>
  <si>
    <t>Piazzale degli Eroi</t>
  </si>
  <si>
    <t>Via dei Banchi Vecchi, 14</t>
  </si>
  <si>
    <t>Via delle Muratte, 23</t>
  </si>
  <si>
    <t>Via degli Specchi, 6</t>
  </si>
  <si>
    <t>Piazza Cavour</t>
  </si>
  <si>
    <t>Piazza Gentile da Fabriano, 2</t>
  </si>
  <si>
    <t>Via Giovanni Branca, 88</t>
  </si>
  <si>
    <t>Piazzale di Ponte Milvio, 13</t>
  </si>
  <si>
    <t>Via Flavia, 98</t>
  </si>
  <si>
    <t>Via di Priscilla, 18</t>
  </si>
  <si>
    <t>Piazza Crati</t>
  </si>
  <si>
    <t>Piazza Trilussa, 46</t>
  </si>
  <si>
    <t>Viale Pinturicchio, 32</t>
  </si>
  <si>
    <t>Via di Grotta Perfetta, 125</t>
  </si>
  <si>
    <t>Montagnola</t>
  </si>
  <si>
    <t>Via Mantova, 5</t>
  </si>
  <si>
    <t>Via Lemonia, 214</t>
  </si>
  <si>
    <t>Cinecittà</t>
  </si>
  <si>
    <t>Via Cremera, 21</t>
  </si>
  <si>
    <t>Ostiense</t>
  </si>
  <si>
    <t>Via dei Serpenti, 27</t>
  </si>
  <si>
    <t>Portuense</t>
  </si>
  <si>
    <t>Via Federico Ozanam, 30/32</t>
  </si>
  <si>
    <t>Via di Santa Cecilia, 8</t>
  </si>
  <si>
    <t>Via Basento, 70/76</t>
  </si>
  <si>
    <t>Via Po</t>
  </si>
  <si>
    <t>Via Ugo de Carolis, 72/D</t>
  </si>
  <si>
    <t>Balduina</t>
  </si>
  <si>
    <t>Via della Torre Clementina, 114</t>
  </si>
  <si>
    <t>Via del Lavatore, 91</t>
  </si>
  <si>
    <t>Via del Gazometro, 54</t>
  </si>
  <si>
    <t>Via Angelo Bargoni, 10/18</t>
  </si>
  <si>
    <t>Via Santa Susanna, 33</t>
  </si>
  <si>
    <t>Via Folco Portinari, 27</t>
  </si>
  <si>
    <t>Monteverde Nuovo</t>
  </si>
  <si>
    <t>Vicolo del Malpasso, 9</t>
  </si>
  <si>
    <t>Via Giulia</t>
  </si>
  <si>
    <t>Piazza Cesare Beccaria, 6</t>
  </si>
  <si>
    <t>Corso Vittorio Emanuele, 96</t>
  </si>
  <si>
    <t>Via Giuseppe Verdi, 29</t>
  </si>
  <si>
    <t>Via degli Ulivi, 43</t>
  </si>
  <si>
    <t>Via Genzano, 139</t>
  </si>
  <si>
    <t>Via Cicerone, 40</t>
  </si>
  <si>
    <t>Via dei Banchi Vecchi, 129/A</t>
  </si>
  <si>
    <t>Vicolo Forno Fatato, 11</t>
  </si>
  <si>
    <t>Viale Traiano, 85</t>
  </si>
  <si>
    <t>MAXXI</t>
  </si>
  <si>
    <t>Corso Vittorio Emanuele II, 250</t>
  </si>
  <si>
    <t>Chiesa Nuova</t>
  </si>
  <si>
    <t>Vicolo dei Soldati, 31</t>
  </si>
  <si>
    <t>Lungotevere delle Armi, 22/23</t>
  </si>
  <si>
    <t>Piazza Monte Grappa</t>
  </si>
  <si>
    <t>Via Sardegna, 8</t>
  </si>
  <si>
    <t>Via G.G. Belli, 59/61</t>
  </si>
  <si>
    <t>Via Reginaldo Belloni, 28/29</t>
  </si>
  <si>
    <t>Tuscolano</t>
  </si>
  <si>
    <t>Via Cadlolo, 101</t>
  </si>
  <si>
    <t>Monte Mario</t>
  </si>
  <si>
    <t>Via Scuole Rurali, 1</t>
  </si>
  <si>
    <t>Via del Vantaggio, 14</t>
  </si>
  <si>
    <t>Via Augusto Valenziani, 19</t>
  </si>
  <si>
    <t>Via del Casaletto, 45</t>
  </si>
  <si>
    <t>Via Mastro Giorgio, 29</t>
  </si>
  <si>
    <t>Via Goffredo Mameli, 3</t>
  </si>
  <si>
    <t>Via Silvi Marina, 1</t>
  </si>
  <si>
    <t>Viale Arrigo Boito, 65</t>
  </si>
  <si>
    <t>Viale dell'Acquedotto Alessandrino, 172/174</t>
  </si>
  <si>
    <t>Torpignattara</t>
  </si>
  <si>
    <t>Via Principe Amedeo, 7</t>
  </si>
  <si>
    <t>Viale Regina Margherita, 22</t>
  </si>
  <si>
    <t>Via dei Giubbonari, 21/22</t>
  </si>
  <si>
    <t>Via di Monte Testaccio, 97/99</t>
  </si>
  <si>
    <t>Ex Mattatoio</t>
  </si>
  <si>
    <t>Via di San Basilio, 42/43</t>
  </si>
  <si>
    <t>Vicolo del Cinque, 58</t>
  </si>
  <si>
    <t>Piazza Trilussa</t>
  </si>
  <si>
    <t>Piazza Garibaldi, 9</t>
  </si>
  <si>
    <t>Località Madonna degli Angeli</t>
  </si>
  <si>
    <t>Via Panama, 2</t>
  </si>
  <si>
    <t>Piazza Ungheria</t>
  </si>
  <si>
    <t>Strada Nettuno-Cisterna, 1227 - Loc. Le Ferriere</t>
  </si>
  <si>
    <t>Via Casilina, km 25,000</t>
  </si>
  <si>
    <t>Via Foro Appio, 64 - Loc. Borgo Faiti</t>
  </si>
  <si>
    <t>Via Giacomo Leopardi, 1</t>
  </si>
  <si>
    <t>Via Roma, 45</t>
  </si>
  <si>
    <t>Via Giuseppe Pisanelli, 23/25</t>
  </si>
  <si>
    <t>Via Goffredo Mameli, 45</t>
  </si>
  <si>
    <t>Via Borgo di Sopra, 21/23</t>
  </si>
  <si>
    <t>Roma</t>
  </si>
  <si>
    <t>Fiumicino</t>
  </si>
  <si>
    <t>Rivodutri</t>
  </si>
  <si>
    <t>Fondi</t>
  </si>
  <si>
    <t>Campodimele</t>
  </si>
  <si>
    <t>Campagnano di Roma</t>
  </si>
  <si>
    <t>Aprilia</t>
  </si>
  <si>
    <t>Ventotene</t>
  </si>
  <si>
    <t>Grottaferrata</t>
  </si>
  <si>
    <t>Tivoli</t>
  </si>
  <si>
    <t>Piglio</t>
  </si>
  <si>
    <t>Terracina</t>
  </si>
  <si>
    <t>Formia</t>
  </si>
  <si>
    <t>Latina</t>
  </si>
  <si>
    <t>Pontinia</t>
  </si>
  <si>
    <t>Genazzano</t>
  </si>
  <si>
    <t>Anguillara Sabazia</t>
  </si>
  <si>
    <t>Fregene</t>
  </si>
  <si>
    <t>Viterbo</t>
  </si>
  <si>
    <t>Ponza</t>
  </si>
  <si>
    <t>Anzio</t>
  </si>
  <si>
    <t>Frascati</t>
  </si>
  <si>
    <t>Canepina</t>
  </si>
  <si>
    <t>Magliano Sabina</t>
  </si>
  <si>
    <t>Colonna</t>
  </si>
  <si>
    <t>Trevinano</t>
  </si>
  <si>
    <t>Olevano Romano</t>
  </si>
  <si>
    <t>393/8123386</t>
  </si>
  <si>
    <t>06/45619534</t>
  </si>
  <si>
    <t>06/57250431</t>
  </si>
  <si>
    <t>06/5124103</t>
  </si>
  <si>
    <t>06/58230323</t>
  </si>
  <si>
    <t>06/97605892</t>
  </si>
  <si>
    <t>06/58332008</t>
  </si>
  <si>
    <t>06/45551271</t>
  </si>
  <si>
    <t>06/80662455</t>
  </si>
  <si>
    <t>06/8272092</t>
  </si>
  <si>
    <t>06/5780306</t>
  </si>
  <si>
    <t>06/96845937</t>
  </si>
  <si>
    <t>06/89165330</t>
  </si>
  <si>
    <t>06/5746876</t>
  </si>
  <si>
    <t>06/97882939</t>
  </si>
  <si>
    <t>06/2593441</t>
  </si>
  <si>
    <t>06/39754239</t>
  </si>
  <si>
    <t>06/87725015</t>
  </si>
  <si>
    <t>06/93577165</t>
  </si>
  <si>
    <t>06/42815714</t>
  </si>
  <si>
    <t>06/87568048</t>
  </si>
  <si>
    <t>06/31052516</t>
  </si>
  <si>
    <t>06/6786027</t>
  </si>
  <si>
    <t>06/32652670</t>
  </si>
  <si>
    <t>06/68803029</t>
  </si>
  <si>
    <t>06/68300368</t>
  </si>
  <si>
    <t>06/4881355</t>
  </si>
  <si>
    <t>06/69363592</t>
  </si>
  <si>
    <t>06/3208485</t>
  </si>
  <si>
    <t>06/3225744</t>
  </si>
  <si>
    <t>06/86391589</t>
  </si>
  <si>
    <t>06/48906955</t>
  </si>
  <si>
    <t>06/5803615</t>
  </si>
  <si>
    <t>06/42903882</t>
  </si>
  <si>
    <t>06/88921386</t>
  </si>
  <si>
    <t>06/5211942</t>
  </si>
  <si>
    <t>06/3725567</t>
  </si>
  <si>
    <t>06/6632499</t>
  </si>
  <si>
    <t>06/3224727</t>
  </si>
  <si>
    <t>06/3216668</t>
  </si>
  <si>
    <t>338/6515450</t>
  </si>
  <si>
    <t>06/39745416</t>
  </si>
  <si>
    <t>377/4116621</t>
  </si>
  <si>
    <t>06/69941166</t>
  </si>
  <si>
    <t>06/6838989</t>
  </si>
  <si>
    <t>06/43419624</t>
  </si>
  <si>
    <t>06/33221964</t>
  </si>
  <si>
    <t>06/42020924</t>
  </si>
  <si>
    <t>06/86200724</t>
  </si>
  <si>
    <t>06/64012423</t>
  </si>
  <si>
    <t>06/5817312</t>
  </si>
  <si>
    <t>06/70496477</t>
  </si>
  <si>
    <t>392/2579616</t>
  </si>
  <si>
    <t>06/5410448</t>
  </si>
  <si>
    <t>06/45654390</t>
  </si>
  <si>
    <t>06/5812260</t>
  </si>
  <si>
    <t>06/8842132</t>
  </si>
  <si>
    <t>06/6798628</t>
  </si>
  <si>
    <t>06/483648</t>
  </si>
  <si>
    <t>06/5346702</t>
  </si>
  <si>
    <t>06/5816665</t>
  </si>
  <si>
    <t>06/8546270</t>
  </si>
  <si>
    <t>06/6505251</t>
  </si>
  <si>
    <t>06/69380163</t>
  </si>
  <si>
    <t>06/5883384</t>
  </si>
  <si>
    <t>06/21702358</t>
  </si>
  <si>
    <t>0746/685078</t>
  </si>
  <si>
    <t>06/95945393</t>
  </si>
  <si>
    <t>06/6877365</t>
  </si>
  <si>
    <t>0771/531268</t>
  </si>
  <si>
    <t>0771/598099</t>
  </si>
  <si>
    <t>06/9041746</t>
  </si>
  <si>
    <t>06/92062042</t>
  </si>
  <si>
    <t>0771/85020</t>
  </si>
  <si>
    <t>06/7886793</t>
  </si>
  <si>
    <t>06/9411904</t>
  </si>
  <si>
    <t>06/68809595</t>
  </si>
  <si>
    <t>0775/503035</t>
  </si>
  <si>
    <t>06/65029204</t>
  </si>
  <si>
    <t>06/3235531</t>
  </si>
  <si>
    <t>06/68139022</t>
  </si>
  <si>
    <t>06/6869432</t>
  </si>
  <si>
    <t>06/45668304</t>
  </si>
  <si>
    <t>0773/86391</t>
  </si>
  <si>
    <t>06/3210992</t>
  </si>
  <si>
    <t>06/9968229</t>
  </si>
  <si>
    <t>06/35092152</t>
  </si>
  <si>
    <t>06/66562063</t>
  </si>
  <si>
    <t>0774/418421</t>
  </si>
  <si>
    <t>0771/80643</t>
  </si>
  <si>
    <t>06/3201590</t>
  </si>
  <si>
    <t>06/35072243</t>
  </si>
  <si>
    <t>06/4819005</t>
  </si>
  <si>
    <t>06/536015</t>
  </si>
  <si>
    <t>06/5746800</t>
  </si>
  <si>
    <t>06/9425520</t>
  </si>
  <si>
    <t>06/66561647</t>
  </si>
  <si>
    <t>06/8608928</t>
  </si>
  <si>
    <t>329/8633077</t>
  </si>
  <si>
    <t>06/94315464</t>
  </si>
  <si>
    <t>0771/523655</t>
  </si>
  <si>
    <t>06/6875287</t>
  </si>
  <si>
    <t>06/68803034</t>
  </si>
  <si>
    <t>06/5744194</t>
  </si>
  <si>
    <t>06/42011798</t>
  </si>
  <si>
    <t>06/88922987</t>
  </si>
  <si>
    <t>06/58335903</t>
  </si>
  <si>
    <t>328/9024761</t>
  </si>
  <si>
    <t>0744/91377</t>
  </si>
  <si>
    <t>06/8419696</t>
  </si>
  <si>
    <t>349/1923153</t>
  </si>
  <si>
    <t>0773/258620</t>
  </si>
  <si>
    <t>06/77207354</t>
  </si>
  <si>
    <t>0763/717130</t>
  </si>
  <si>
    <t>06/9564043</t>
  </si>
  <si>
    <t>06/97996907</t>
  </si>
  <si>
    <t>06/5812792</t>
  </si>
  <si>
    <t>06/23488093</t>
  </si>
  <si>
    <t>06/30430023</t>
  </si>
  <si>
    <t>Trecca - cucina di mercato</t>
  </si>
  <si>
    <t>Via Alessandro Severo, 222</t>
  </si>
  <si>
    <t>Ex Fiera</t>
  </si>
  <si>
    <t>06/88650867</t>
  </si>
  <si>
    <t>Molo 29</t>
  </si>
  <si>
    <t>Via Mario Musco, 29/31</t>
  </si>
  <si>
    <t>06/59600651</t>
  </si>
  <si>
    <t>Agostino</t>
  </si>
  <si>
    <t>Corso Trieste, 66</t>
  </si>
  <si>
    <t>Via Tuscolana, 1677</t>
  </si>
  <si>
    <t>Caffè Conti</t>
  </si>
  <si>
    <t>La Briciola di Adriana</t>
  </si>
  <si>
    <t>Pizza Chef</t>
  </si>
  <si>
    <t>Faro - Caffè Specialty</t>
  </si>
  <si>
    <t>Da Michele</t>
  </si>
  <si>
    <t>Via Tiberio Imperatore, 95/97</t>
  </si>
  <si>
    <t>06/5404352</t>
  </si>
  <si>
    <t>Drink Kong</t>
  </si>
  <si>
    <t>06/23488666</t>
  </si>
  <si>
    <t>Mikachan</t>
  </si>
  <si>
    <t>Via Torcegno, 39</t>
  </si>
  <si>
    <t>Infernetto</t>
  </si>
  <si>
    <t>338/1737246</t>
  </si>
  <si>
    <t>Osteria Fratelli Mori</t>
  </si>
  <si>
    <t>romana / pizzeria</t>
  </si>
  <si>
    <t>Via dei Conciatori, 10</t>
  </si>
  <si>
    <t>331/3234399</t>
  </si>
  <si>
    <t>Mudejar Spiriti e Cucina</t>
  </si>
  <si>
    <t>Sperlonga</t>
  </si>
  <si>
    <t>338/6839418</t>
  </si>
  <si>
    <t>Mater</t>
  </si>
  <si>
    <t>Fiano Romano</t>
  </si>
  <si>
    <t>Idylio by Apreda</t>
  </si>
  <si>
    <t>Parioli</t>
  </si>
  <si>
    <t>Artigiano del Caffè</t>
  </si>
  <si>
    <t>Via Famagosta, 14</t>
  </si>
  <si>
    <t>329/7467044</t>
  </si>
  <si>
    <t>Piazza di Spagna</t>
  </si>
  <si>
    <t>06/36000009</t>
  </si>
  <si>
    <t>street food romano</t>
  </si>
  <si>
    <t>El maiz</t>
  </si>
  <si>
    <t>panificio con cucina</t>
  </si>
  <si>
    <t>forno / bistrot</t>
  </si>
  <si>
    <t>tradizionale / romana</t>
  </si>
  <si>
    <t>Vermicino</t>
  </si>
  <si>
    <t>Via Natale del Grande, 6/7</t>
  </si>
  <si>
    <t>Piazza dei Quiriti, 4/5</t>
  </si>
  <si>
    <t>Via Domenichino, 14</t>
  </si>
  <si>
    <t>06/66006878</t>
  </si>
  <si>
    <t>06/3972 5514</t>
  </si>
  <si>
    <t>06/88798381</t>
  </si>
  <si>
    <t>Gelato d'Essai</t>
  </si>
  <si>
    <t>Prenestino</t>
  </si>
  <si>
    <t>06/89232228</t>
  </si>
  <si>
    <t>Colli Aniene</t>
  </si>
  <si>
    <t>06/64264692</t>
  </si>
  <si>
    <t>Via Cesare Baronio, 179</t>
  </si>
  <si>
    <t>06/69306952</t>
  </si>
  <si>
    <t>Fax Factory</t>
  </si>
  <si>
    <t>caffetteria specialty</t>
  </si>
  <si>
    <t>Via Antonio Raimondi, 87</t>
  </si>
  <si>
    <t>06/69301043</t>
  </si>
  <si>
    <t>Sushisen</t>
  </si>
  <si>
    <t>indirizzo
plurimo</t>
  </si>
  <si>
    <t>riservato
per</t>
  </si>
  <si>
    <t>Duke's - Fine Casual Bar &amp; Restaurant</t>
  </si>
  <si>
    <t>Babingtons</t>
  </si>
  <si>
    <t>Misticanza - Osteria della Terra</t>
  </si>
  <si>
    <t>Via Cristoforo Colombo, 1897</t>
  </si>
  <si>
    <t>Casal Palocco</t>
  </si>
  <si>
    <t>Via Bisagno, 19</t>
  </si>
  <si>
    <t>Ghetto</t>
  </si>
  <si>
    <t>Via Clelia, 63/A</t>
  </si>
  <si>
    <t>Piazzale delle Province, 9</t>
  </si>
  <si>
    <t>Via Dietro la Chiesa, 3/4</t>
  </si>
  <si>
    <t>Via dei Vascellari, 29</t>
  </si>
  <si>
    <t>pasticceria</t>
  </si>
  <si>
    <t>vegetariana</t>
  </si>
  <si>
    <t>06/53095459</t>
  </si>
  <si>
    <t>06/87566046</t>
  </si>
  <si>
    <t>06/90239685</t>
  </si>
  <si>
    <t>06/5756945</t>
  </si>
  <si>
    <t>Sintesi</t>
  </si>
  <si>
    <t>Via Adige, 19/21</t>
  </si>
  <si>
    <t>Viale dei Castani, 17</t>
  </si>
  <si>
    <t>Ariccia</t>
  </si>
  <si>
    <t>06/45557597</t>
  </si>
  <si>
    <t>Salmoneria</t>
  </si>
  <si>
    <t>bottega con cucina</t>
  </si>
  <si>
    <t>Angelo Pezzella</t>
  </si>
  <si>
    <t>Via Appia Nuova, 1095</t>
  </si>
  <si>
    <t>06/7188560</t>
  </si>
  <si>
    <t>06/45495604</t>
  </si>
  <si>
    <t>Largo Argentina</t>
  </si>
  <si>
    <t>Barred</t>
  </si>
  <si>
    <t>Via Cesena, 30</t>
  </si>
  <si>
    <t>06/97273382</t>
  </si>
  <si>
    <t>Bottega Tredici</t>
  </si>
  <si>
    <t>Via dei Falegnami, 14</t>
  </si>
  <si>
    <t>06/92118504</t>
  </si>
  <si>
    <t>Via dell'Arco della Ciambella, 20</t>
  </si>
  <si>
    <t>Sinosteria</t>
  </si>
  <si>
    <t>324/6399916</t>
  </si>
  <si>
    <t>Viale Guglielmo Marconi, 586</t>
  </si>
  <si>
    <t>Radici - pizzicheria salentina</t>
  </si>
  <si>
    <t>street food pugliese</t>
  </si>
  <si>
    <t>Via Emanuele Filiberto, 38</t>
  </si>
  <si>
    <t>06/89021483</t>
  </si>
  <si>
    <t>tradizionale / carne</t>
  </si>
  <si>
    <t>Subiaco</t>
  </si>
  <si>
    <t>06/86937299</t>
  </si>
  <si>
    <t>La Villetta</t>
  </si>
  <si>
    <t>Via del Porticciolo Romano, snc</t>
  </si>
  <si>
    <t>0771/723113</t>
  </si>
  <si>
    <t>Dumpling Bar</t>
  </si>
  <si>
    <t>Piazza Antonio Meucci, 1</t>
  </si>
  <si>
    <t>344/0658913</t>
  </si>
  <si>
    <t>Gastromario</t>
  </si>
  <si>
    <t>pasticceria / bistrot</t>
  </si>
  <si>
    <t>Via Voghera, 10</t>
  </si>
  <si>
    <t>Piazza Lodi</t>
  </si>
  <si>
    <t>06/79782584</t>
  </si>
  <si>
    <t>Vicolo del Bologna, 19</t>
  </si>
  <si>
    <t>342/3006808</t>
  </si>
  <si>
    <t>Via di Tor Pignattara, 190</t>
  </si>
  <si>
    <t>345/5479532</t>
  </si>
  <si>
    <t>Collina Fleming</t>
  </si>
  <si>
    <t>Mine</t>
  </si>
  <si>
    <t>06/3337879</t>
  </si>
  <si>
    <t>347/9998983</t>
  </si>
  <si>
    <t>Porto Quadro</t>
  </si>
  <si>
    <t>Piazza Ippolito Nievo, 13/14</t>
  </si>
  <si>
    <t>340/8640569</t>
  </si>
  <si>
    <t>Tram Tram</t>
  </si>
  <si>
    <t>06/490416</t>
  </si>
  <si>
    <t>Via dei Reti, 44/46</t>
  </si>
  <si>
    <t>Centro</t>
  </si>
  <si>
    <t>N.O.D.O.</t>
  </si>
  <si>
    <t>Piazza delle Coppelle, 52</t>
  </si>
  <si>
    <t>06/94376334</t>
  </si>
  <si>
    <t>Carter Oblio</t>
  </si>
  <si>
    <t>Via Giuseppe Gioachino Belli, 21</t>
  </si>
  <si>
    <t>Piazza Euclide, 25</t>
  </si>
  <si>
    <t>Via Val di Sangro, 35</t>
  </si>
  <si>
    <t>348/0081620</t>
  </si>
  <si>
    <t>La Ciambella bar à vin</t>
  </si>
  <si>
    <t>Menabó Vino e Cucina</t>
  </si>
  <si>
    <t>Mangiadischi la moderna trattoria</t>
  </si>
  <si>
    <t>a Rota - pizzeria romanesca</t>
  </si>
  <si>
    <t>Il tuo fornaio</t>
  </si>
  <si>
    <t>Pasticceria Walter Musco</t>
  </si>
  <si>
    <t>Enoteca L'Antidoto</t>
  </si>
  <si>
    <t>amARanto</t>
  </si>
  <si>
    <t>Viale della Pineta di Fregene, 52/C</t>
  </si>
  <si>
    <t>San Pietro</t>
  </si>
  <si>
    <t>Via delle Palme, 44/D-E</t>
  </si>
  <si>
    <t>Corso San Leone, 3/A</t>
  </si>
  <si>
    <t>Via San Vito, 13/A</t>
  </si>
  <si>
    <t>Via Ostiense, 166/A</t>
  </si>
  <si>
    <t>Via Giuseppe Giulietti, 21/A</t>
  </si>
  <si>
    <t>Via Prenestina, 321/A</t>
  </si>
  <si>
    <t>Via Genazzano, 32</t>
  </si>
  <si>
    <t>Villa Gordiani</t>
  </si>
  <si>
    <t>Via Pier Paolo Pasolini, snc</t>
  </si>
  <si>
    <t>Via Dino Penazzato, 83/H</t>
  </si>
  <si>
    <t>Via Francesco Sapori, 35</t>
  </si>
  <si>
    <t>Tor Marancia</t>
  </si>
  <si>
    <t>Via Beniamino Franklin, 12/E</t>
  </si>
  <si>
    <t>Via Flaminia, 732/B</t>
  </si>
  <si>
    <t>Piazza del Risorgimento, 3</t>
  </si>
  <si>
    <t>Piazza di San Martino ai Monti, 8</t>
  </si>
  <si>
    <t>Via Vodice, 21/A</t>
  </si>
  <si>
    <t>Piazza Menenio Agrippa, 8/B-C</t>
  </si>
  <si>
    <t>Via della Meloria, 43</t>
  </si>
  <si>
    <t>Via della Dogana Vecchia, 12/13</t>
  </si>
  <si>
    <t>06/6832930</t>
  </si>
  <si>
    <t>06/84381895</t>
  </si>
  <si>
    <t>06/93374742</t>
  </si>
  <si>
    <t>06/89831448</t>
  </si>
  <si>
    <t>creativa / pesce</t>
  </si>
  <si>
    <t>tradizionale / rivisitata</t>
  </si>
  <si>
    <t>vegetariana / vegana</t>
  </si>
  <si>
    <t>principalmente romana</t>
  </si>
  <si>
    <t>bottega / bistrot</t>
  </si>
  <si>
    <t>ravioleria cinese</t>
  </si>
  <si>
    <t>45</t>
  </si>
  <si>
    <t>40+20</t>
  </si>
  <si>
    <t>40</t>
  </si>
  <si>
    <t xml:space="preserve">	primo, secondo e dolce (o antipasto)</t>
  </si>
  <si>
    <t>primo, secondo e dolce (o antipasto)</t>
  </si>
  <si>
    <t>25+20</t>
  </si>
  <si>
    <t>35</t>
  </si>
  <si>
    <t>30</t>
  </si>
  <si>
    <t>50+20</t>
  </si>
  <si>
    <t>25</t>
  </si>
  <si>
    <t>30+20</t>
  </si>
  <si>
    <t>antipasto, primo e secondo</t>
  </si>
  <si>
    <t>La Galleria di Sopra</t>
  </si>
  <si>
    <t>Via Leonardo Murialdo, 9</t>
  </si>
  <si>
    <t>Albano Laziale</t>
  </si>
  <si>
    <t>7½</t>
  </si>
  <si>
    <t>novità</t>
  </si>
  <si>
    <t>20</t>
  </si>
  <si>
    <t>1 tipo di sushi (roll o nigiri), un piatto caldo, 1 frittura, 1 dolce</t>
  </si>
  <si>
    <t>1 tacos, 2 piatti forti</t>
  </si>
  <si>
    <t>1 ramen + altri due piatti salati</t>
  </si>
  <si>
    <t>un antipasto e due pizze</t>
  </si>
  <si>
    <t>Tonda</t>
  </si>
  <si>
    <t>Via Valle Corteno, 31</t>
  </si>
  <si>
    <t>06/8180960</t>
  </si>
  <si>
    <t>4,5</t>
  </si>
  <si>
    <t>4</t>
  </si>
  <si>
    <t>1 caffè, 1 cappuccino, 1 lievito</t>
  </si>
  <si>
    <t>2 piatti salati e una centrifuga o succo</t>
  </si>
  <si>
    <t>15</t>
  </si>
  <si>
    <t>2 piatti di pasta diversi</t>
  </si>
  <si>
    <t>2 ciotole cuscus diverse e un antipasto</t>
  </si>
  <si>
    <t>1 panino + 1 piatto freddo</t>
  </si>
  <si>
    <t>12</t>
  </si>
  <si>
    <t>due panini diversi e un fritto</t>
  </si>
  <si>
    <t>7</t>
  </si>
  <si>
    <t>tè + fetta di torta o dolce monoporzione</t>
  </si>
  <si>
    <t>17</t>
  </si>
  <si>
    <t>tea menù</t>
  </si>
  <si>
    <t>1 calice di vino + 2 piatti</t>
  </si>
  <si>
    <t>1 burger + 1 un'alra preparazione salata</t>
  </si>
  <si>
    <t>2 cocktail diversi</t>
  </si>
  <si>
    <t>10</t>
  </si>
  <si>
    <t>1 panino + 1 tagliere</t>
  </si>
  <si>
    <t>1 cono o 1 coppetta con tre gusti+panna</t>
  </si>
  <si>
    <t>2 tranci di pizza piccoli (obbligatorio la margherita) + 1 fritto caratteristico</t>
  </si>
  <si>
    <t>9</t>
  </si>
  <si>
    <t>2 pinse diverse</t>
  </si>
  <si>
    <t>3 mini panini diversi</t>
  </si>
  <si>
    <t>Buccia</t>
  </si>
  <si>
    <t>Sabaudia</t>
  </si>
  <si>
    <t>366/4990849</t>
  </si>
  <si>
    <t>Osteria del Tempo Perso</t>
  </si>
  <si>
    <t>Piazza San Rocco, 13</t>
  </si>
  <si>
    <t>Casalvieri</t>
  </si>
  <si>
    <t>0776/638039</t>
  </si>
  <si>
    <t>Osteria Santa Lucia</t>
  </si>
  <si>
    <t>Corso della Repubblica, 26</t>
  </si>
  <si>
    <t>Frosinone</t>
  </si>
  <si>
    <t>0775/211863</t>
  </si>
  <si>
    <t>Santuccio ai Colli</t>
  </si>
  <si>
    <t>Via Santi Sebastiano e Rocco, 95</t>
  </si>
  <si>
    <t>Sezze</t>
  </si>
  <si>
    <t>0773/888573</t>
  </si>
  <si>
    <t>Da Antonio</t>
  </si>
  <si>
    <t>Via Mario Lizzani, 21</t>
  </si>
  <si>
    <t>Torre Spaccata</t>
  </si>
  <si>
    <t>391/7475549</t>
  </si>
  <si>
    <t>Pupillo Pura Pizza</t>
  </si>
  <si>
    <t>Madeleine</t>
  </si>
  <si>
    <t>Via Monte Santo, 64</t>
  </si>
  <si>
    <t>06/3728537</t>
  </si>
  <si>
    <t>19.2 Winebar Enoteca</t>
  </si>
  <si>
    <t>winebar / caffetteria</t>
  </si>
  <si>
    <t>Largo Benito Jacovitti, 16</t>
  </si>
  <si>
    <t>Torrino</t>
  </si>
  <si>
    <t>347/4387426</t>
  </si>
  <si>
    <t>1 tagliere + 1 sfizio</t>
  </si>
  <si>
    <t>06/52831571</t>
  </si>
  <si>
    <t>Nettuno</t>
  </si>
  <si>
    <t>enoteca con cucina</t>
  </si>
  <si>
    <t>Via Pontina Km 74,000</t>
  </si>
  <si>
    <t>1 primo, 1 secondo+ 1 antipasto o 1 dolce</t>
  </si>
  <si>
    <t>Enoteca La Mescita</t>
  </si>
  <si>
    <t>333/3015847</t>
  </si>
  <si>
    <t>Via Luigi Fincati, 44</t>
  </si>
  <si>
    <t>Gelateria I Gemelli</t>
  </si>
  <si>
    <t>Via Fonte Buono, 114</t>
  </si>
  <si>
    <t>349/8360994</t>
  </si>
  <si>
    <t>0773/241940</t>
  </si>
  <si>
    <t>Via Antonio Pacinotti, 83</t>
  </si>
  <si>
    <t>Via Nino Bixio, 1</t>
  </si>
  <si>
    <t>06/630640</t>
  </si>
  <si>
    <t>street food cinese</t>
  </si>
  <si>
    <t>Via Bergamo, 15</t>
  </si>
  <si>
    <t>Drogherie del Mare</t>
  </si>
  <si>
    <t>388/8348616</t>
  </si>
  <si>
    <t>Via Giusti, 18</t>
  </si>
  <si>
    <t>Aventina</t>
  </si>
  <si>
    <t>06/66594151</t>
  </si>
  <si>
    <t>Viale della Piramide Cestia, 9</t>
  </si>
  <si>
    <t>Charlotte</t>
  </si>
  <si>
    <t>Via Vercelli, 12/14</t>
  </si>
  <si>
    <t>06/25399727</t>
  </si>
  <si>
    <t>Magazzino Scipioni</t>
  </si>
  <si>
    <t>06/39745233</t>
  </si>
  <si>
    <t>Bosco - Officine del Tartufo</t>
  </si>
  <si>
    <t>Mogano</t>
  </si>
  <si>
    <t>Formello</t>
  </si>
  <si>
    <t>Via del Praticello Alto, 5</t>
  </si>
  <si>
    <t>327/2312156</t>
  </si>
  <si>
    <t>Spiazzo</t>
  </si>
  <si>
    <t>Ponte di Ferro</t>
  </si>
  <si>
    <t>Via Giovan Battista Marzi, 1</t>
  </si>
  <si>
    <t>Tarquinia</t>
  </si>
  <si>
    <t>0766/731637</t>
  </si>
  <si>
    <t>Via Filippo Nicolai, 44</t>
  </si>
  <si>
    <t>Caprarola</t>
  </si>
  <si>
    <t>0761/646173</t>
  </si>
  <si>
    <t>Forma</t>
  </si>
  <si>
    <t>Via Trieste, 9</t>
  </si>
  <si>
    <t>Civitavecchia</t>
  </si>
  <si>
    <t>0766/672647</t>
  </si>
  <si>
    <t>Rimessa Roscioli</t>
  </si>
  <si>
    <t>06/68803914</t>
  </si>
  <si>
    <t>Il Casaletto</t>
  </si>
  <si>
    <t>Strada Grottana, 9</t>
  </si>
  <si>
    <t>Grotte Santo Stefano</t>
  </si>
  <si>
    <t>0761/367077</t>
  </si>
  <si>
    <t>Contrasto</t>
  </si>
  <si>
    <t>0761/973117</t>
  </si>
  <si>
    <t>Spaccio Grosso</t>
  </si>
  <si>
    <t>Via Ancona, 40</t>
  </si>
  <si>
    <t>06/9419004</t>
  </si>
  <si>
    <t>Ristorante Belvedere dal 1933</t>
  </si>
  <si>
    <t>Via Regina Margherita, 29</t>
  </si>
  <si>
    <t>Dazio Roma</t>
  </si>
  <si>
    <t>Via Nomentana, 1206</t>
  </si>
  <si>
    <t>06/83525515</t>
  </si>
  <si>
    <t>tapas bar</t>
  </si>
  <si>
    <t>53 Untitled</t>
  </si>
  <si>
    <t>375/7150155</t>
  </si>
  <si>
    <t>Pastorie</t>
  </si>
  <si>
    <t>Via Pesaro, 40</t>
  </si>
  <si>
    <t>393/9558235</t>
  </si>
  <si>
    <t>Vinificio</t>
  </si>
  <si>
    <t>Dogma</t>
  </si>
  <si>
    <t>06/86679819</t>
  </si>
  <si>
    <t>Piazza Zama, 34</t>
  </si>
  <si>
    <t>Velo Pasticceria</t>
  </si>
  <si>
    <t>06/45427861</t>
  </si>
  <si>
    <t>Via del Corso, 63</t>
  </si>
  <si>
    <t>Via Faleria, 12</t>
  </si>
  <si>
    <t>06/97278919</t>
  </si>
  <si>
    <t>I Quintili</t>
  </si>
  <si>
    <t>Via Eurialo, 7/C</t>
  </si>
  <si>
    <t>06/80077157</t>
  </si>
  <si>
    <t>06/2016003</t>
  </si>
  <si>
    <t>Caffè Doria</t>
  </si>
  <si>
    <t>06/6793805</t>
  </si>
  <si>
    <t>Il Maritozzo Rosso</t>
  </si>
  <si>
    <t>06/5817363</t>
  </si>
  <si>
    <t>Via Pietro Cavallini, 25</t>
  </si>
  <si>
    <t>06/90543525</t>
  </si>
  <si>
    <t>Pulejo</t>
  </si>
  <si>
    <t>Via dei Gracchi, 31</t>
  </si>
  <si>
    <t>06/85956532</t>
  </si>
  <si>
    <t>Baccio e i Gradini</t>
  </si>
  <si>
    <t>Viale della Piramide Cestia, 25</t>
  </si>
  <si>
    <t>351/8823737</t>
  </si>
  <si>
    <t>Tulipane</t>
  </si>
  <si>
    <t>Via del Pavone, 28</t>
  </si>
  <si>
    <t>06/01903840</t>
  </si>
  <si>
    <t>Piazza della Cancelleria, 80</t>
  </si>
  <si>
    <t>06/6897080</t>
  </si>
  <si>
    <t>Molo 21</t>
  </si>
  <si>
    <t>Lungomare Guglielmo Marconi, 21</t>
  </si>
  <si>
    <t>Santa Marinella</t>
  </si>
  <si>
    <t>L'Elementare</t>
  </si>
  <si>
    <t>Via Benedetta, 23</t>
  </si>
  <si>
    <t>06/5894016</t>
  </si>
  <si>
    <t>Michele Chinappi</t>
  </si>
  <si>
    <t>pesce / pizzeria</t>
  </si>
  <si>
    <t>Via Abate Tosti, 101</t>
  </si>
  <si>
    <t>0771/279917</t>
  </si>
  <si>
    <t>Via Guido de Ruggiero, 64</t>
  </si>
  <si>
    <t>06/95938970</t>
  </si>
  <si>
    <t>oWine</t>
  </si>
  <si>
    <t>Contatto</t>
  </si>
  <si>
    <t>Via Gioberti, 11</t>
  </si>
  <si>
    <t>06/21700957</t>
  </si>
  <si>
    <t>0773/703921</t>
  </si>
  <si>
    <t>Cassino</t>
  </si>
  <si>
    <t>Il Vecchio Mulino</t>
  </si>
  <si>
    <t>territoriale</t>
  </si>
  <si>
    <t>Lubriano</t>
  </si>
  <si>
    <t>0761/780505</t>
  </si>
  <si>
    <t>0774/282499</t>
  </si>
  <si>
    <t>NU' Trattoria Italiana dal 1960</t>
  </si>
  <si>
    <t>tipica</t>
  </si>
  <si>
    <t>Acuto</t>
  </si>
  <si>
    <t>0775/56372</t>
  </si>
  <si>
    <t>L'Osteria dell'Orologio</t>
  </si>
  <si>
    <t>Umami - trattoria giapponese</t>
  </si>
  <si>
    <t>Clementina</t>
  </si>
  <si>
    <t>Via della Torre Clementina, 158</t>
  </si>
  <si>
    <t>328/8181651</t>
  </si>
  <si>
    <t>Extremis</t>
  </si>
  <si>
    <t>Via del Casale Rocchi, 20/22</t>
  </si>
  <si>
    <t>06/87809051</t>
  </si>
  <si>
    <t>Osteria di Maccarese</t>
  </si>
  <si>
    <t>06/30328324</t>
  </si>
  <si>
    <t>Maccarese</t>
  </si>
  <si>
    <t>ricercata / principalmente pesce</t>
  </si>
  <si>
    <t>street food al tartufo</t>
  </si>
  <si>
    <t>panini di mare</t>
  </si>
  <si>
    <t>enoteca naturale</t>
  </si>
  <si>
    <t>hamburgheria / ristorante di carne</t>
  </si>
  <si>
    <t>cocktail bar / bistrot</t>
  </si>
  <si>
    <t>caffetteria / sala da tè</t>
  </si>
  <si>
    <t>abruzzese</t>
  </si>
  <si>
    <t>Dopo Lavoro Ricreativo</t>
  </si>
  <si>
    <t>Er Macellaio</t>
  </si>
  <si>
    <t>Forno Conti &amp; Co.</t>
  </si>
  <si>
    <t>Jiamo Lab</t>
  </si>
  <si>
    <t>LATTA - Fermenti e miscele</t>
  </si>
  <si>
    <t>Li Somari</t>
  </si>
  <si>
    <t>Mamma Orso</t>
  </si>
  <si>
    <t>Piano C - Circolo del vino</t>
  </si>
  <si>
    <t>Vineria Cesare dal 1963</t>
  </si>
  <si>
    <t>Via del Monte della Farina, 53</t>
  </si>
  <si>
    <t>Via Macerata, 8/C</t>
  </si>
  <si>
    <t>Galleria Doria Pamphilj, Via della Gatta, 1</t>
  </si>
  <si>
    <t>Via Cardinal Pietro La Fontaine, 21</t>
  </si>
  <si>
    <t>GRA</t>
  </si>
  <si>
    <t>Viale Aurelio Galleppini, 60/66</t>
  </si>
  <si>
    <t>Via Francesco Cangiullo, 16</t>
  </si>
  <si>
    <t>Contrada Taverna</t>
  </si>
  <si>
    <t>Via degli Scipioni, 30-30/A</t>
  </si>
  <si>
    <t>Via Arezzo, 17</t>
  </si>
  <si>
    <t>Via Prenestina, 27</t>
  </si>
  <si>
    <t>Via del Conservatorio, 58</t>
  </si>
  <si>
    <t>Porta Pia</t>
  </si>
  <si>
    <t>Via Mario Menghini, 99</t>
  </si>
  <si>
    <t>Parco della Caffarella</t>
  </si>
  <si>
    <t>Via San Francesco Nuovo, 1</t>
  </si>
  <si>
    <t>Piazza dell’Emporio, 1</t>
  </si>
  <si>
    <t>06/84382178</t>
  </si>
  <si>
    <t>06/88939709</t>
  </si>
  <si>
    <t>06/2757595</t>
  </si>
  <si>
    <t>06/99448583</t>
  </si>
  <si>
    <t>06/88923791</t>
  </si>
  <si>
    <t>06/97277922</t>
  </si>
  <si>
    <t>0766/1894210</t>
  </si>
  <si>
    <t>347/6632731</t>
  </si>
  <si>
    <t>331/4428878</t>
  </si>
  <si>
    <t>065562738</t>
  </si>
  <si>
    <t>06/89138094</t>
  </si>
  <si>
    <t>5</t>
  </si>
  <si>
    <t>3,5</t>
  </si>
  <si>
    <t>7+</t>
  </si>
  <si>
    <t>8-</t>
  </si>
  <si>
    <t>7-</t>
  </si>
  <si>
    <t>2,5</t>
  </si>
  <si>
    <t>8½</t>
  </si>
  <si>
    <t>3</t>
  </si>
  <si>
    <t>8</t>
  </si>
  <si>
    <t>6½</t>
  </si>
  <si>
    <t>8+</t>
  </si>
  <si>
    <t>9½</t>
  </si>
  <si>
    <t>9-</t>
  </si>
  <si>
    <t>9+</t>
  </si>
  <si>
    <t>2 cremolati diversi + panna</t>
  </si>
  <si>
    <t>due piatti salati + 1 dolce</t>
  </si>
  <si>
    <t>antipasto, primo, secondo, dolce</t>
  </si>
  <si>
    <t>antipasto, primo, secondo e dolce</t>
  </si>
  <si>
    <t>uno dei due menù degustazione</t>
  </si>
  <si>
    <t>due pizze diverse + 1 fritto</t>
  </si>
  <si>
    <t>Via Nomentana, 335/F</t>
  </si>
  <si>
    <t>Namo Ristobottega</t>
  </si>
  <si>
    <t>Via Firenze, 30</t>
  </si>
  <si>
    <t>06/87759632</t>
  </si>
  <si>
    <t>Mifang</t>
  </si>
  <si>
    <t>Scottadito</t>
  </si>
  <si>
    <t>Via Veglia, 14</t>
  </si>
  <si>
    <t>06/97162153</t>
  </si>
  <si>
    <t>06/52372056</t>
  </si>
  <si>
    <t>Al Setaccio</t>
  </si>
  <si>
    <t>Via di Mezzocammino, 193</t>
  </si>
  <si>
    <t>Tor de Cenci</t>
  </si>
  <si>
    <t>Via Francesco D'Ovidio, 27</t>
  </si>
  <si>
    <t>06/87609540</t>
  </si>
  <si>
    <t>Montelanico</t>
  </si>
  <si>
    <t>353/4196130</t>
  </si>
  <si>
    <t>Trattoria della Fortuna</t>
  </si>
  <si>
    <t>06/9004098</t>
  </si>
  <si>
    <t>Monterotondo</t>
  </si>
  <si>
    <t>Via Salaria, 57</t>
  </si>
  <si>
    <t>Iodio</t>
  </si>
  <si>
    <t>06/89619556</t>
  </si>
  <si>
    <t>La Barrique</t>
  </si>
  <si>
    <t>06/47825953</t>
  </si>
  <si>
    <t>Piazza di Sant'Eustachio, 47</t>
  </si>
  <si>
    <t>Via dei Pettinari, 43</t>
  </si>
  <si>
    <t>La Locanda della Chiocciola</t>
  </si>
  <si>
    <t>Orte</t>
  </si>
  <si>
    <t>Piazza delle Coppelle, 8</t>
  </si>
  <si>
    <t>06/89024862</t>
  </si>
  <si>
    <t>Via degli Stradivari, 1</t>
  </si>
  <si>
    <t>06/5017873</t>
  </si>
  <si>
    <t>Via Fratelli Bonnet, 5</t>
  </si>
  <si>
    <t>349/6134850</t>
  </si>
  <si>
    <t>Lievito Francesco Arnesano</t>
  </si>
  <si>
    <t>Via Simone Martini, 6/8</t>
  </si>
  <si>
    <t>Ai Due Otri</t>
  </si>
  <si>
    <t>Via Antonio de Viti de Marco, 36/38</t>
  </si>
  <si>
    <t>Corso Francia</t>
  </si>
  <si>
    <t>06/3292209</t>
  </si>
  <si>
    <t>Kohaku</t>
  </si>
  <si>
    <t>Via Marche, 66</t>
  </si>
  <si>
    <t>06/45665202</t>
  </si>
  <si>
    <t>Arte Bianca di Gabriele</t>
  </si>
  <si>
    <t>06/2757763</t>
  </si>
  <si>
    <t>Garibaldi dal 1970</t>
  </si>
  <si>
    <t>Via Tiberina, 62</t>
  </si>
  <si>
    <t>Prima Porta</t>
  </si>
  <si>
    <t>06/33611962</t>
  </si>
  <si>
    <t>Fior di Luna</t>
  </si>
  <si>
    <t>Via della Lungaretta, 96</t>
  </si>
  <si>
    <t>06/64561314</t>
  </si>
  <si>
    <t>Proloco Trastevere</t>
  </si>
  <si>
    <t>Via Goffredo Mameli, 23</t>
  </si>
  <si>
    <t>06/45596137</t>
  </si>
  <si>
    <t>Locanda Altobelli</t>
  </si>
  <si>
    <t>346/8256622</t>
  </si>
  <si>
    <t>Via Annunziata, 121</t>
  </si>
  <si>
    <t>Dieci</t>
  </si>
  <si>
    <t>Nepi</t>
  </si>
  <si>
    <t>Via Vittorio Veneto, 112</t>
  </si>
  <si>
    <t>06/87756896</t>
  </si>
  <si>
    <t>Via dei Banchi Vecchi, 140</t>
  </si>
  <si>
    <t>06/69276422</t>
  </si>
  <si>
    <t>Ludovisi</t>
  </si>
  <si>
    <t>Via della Croce, 46/47</t>
  </si>
  <si>
    <t>Piazza della Quercia, 23</t>
  </si>
  <si>
    <t>06/68300932</t>
  </si>
  <si>
    <t>Caffè Fleming</t>
  </si>
  <si>
    <t>06/3333960</t>
  </si>
  <si>
    <t>Via della Giuliana, 33</t>
  </si>
  <si>
    <t>06/98874558</t>
  </si>
  <si>
    <t>panificio / pizzeria al taglio</t>
  </si>
  <si>
    <t>Ristorante Moi</t>
  </si>
  <si>
    <t>Via Antonio Serra, 15</t>
  </si>
  <si>
    <t>06/87600399</t>
  </si>
  <si>
    <t>Viale dei Quattro Venti, 70</t>
  </si>
  <si>
    <t>Orma</t>
  </si>
  <si>
    <t>06/8543182</t>
  </si>
  <si>
    <t>Federico Prodon Pâtisserie</t>
  </si>
  <si>
    <t>Il Marchese</t>
  </si>
  <si>
    <t>Via di Ripetta, 162</t>
  </si>
  <si>
    <t>Ara Pacis</t>
  </si>
  <si>
    <t>06/90218872</t>
  </si>
  <si>
    <t>Tinello Bistrot</t>
  </si>
  <si>
    <t>Castel Gandolfo</t>
  </si>
  <si>
    <t>Via dei Dalmati, 3</t>
  </si>
  <si>
    <t>06/65498083</t>
  </si>
  <si>
    <t>Criollo - Il Bistrot Del Gelato</t>
  </si>
  <si>
    <t>Via Giuseppe Bagnera, 59</t>
  </si>
  <si>
    <t>Viale Marconi</t>
  </si>
  <si>
    <t>328/2511673</t>
  </si>
  <si>
    <t>Piazza di Santa Maria Ausiliatrice, 17/18</t>
  </si>
  <si>
    <t>327/9470778</t>
  </si>
  <si>
    <t>Via Licinio Stolone, 92</t>
  </si>
  <si>
    <t>327/4128238</t>
  </si>
  <si>
    <t>Antico Forno Roscioli</t>
  </si>
  <si>
    <t>Via dei Chiavari, 34</t>
  </si>
  <si>
    <t>06/6864045</t>
  </si>
  <si>
    <t>Capannelle</t>
  </si>
  <si>
    <t>Casa Manfredi Teatro</t>
  </si>
  <si>
    <t>Panificio Marè Prati</t>
  </si>
  <si>
    <t>Viale Angelico, 88</t>
  </si>
  <si>
    <t>06/37511594</t>
  </si>
  <si>
    <t>La Quercia</t>
  </si>
  <si>
    <t>Forno Ottavi 1921</t>
  </si>
  <si>
    <t>Grani, farine e caffè</t>
  </si>
  <si>
    <t>Günther Gelato</t>
  </si>
  <si>
    <t>Lento - Vineria con Cucina</t>
  </si>
  <si>
    <t>Pork’n’Roll</t>
  </si>
  <si>
    <t>Crunch!</t>
  </si>
  <si>
    <t>Mama-ya Ramen</t>
  </si>
  <si>
    <t>couscouseria siciliana</t>
  </si>
  <si>
    <t>tradizionale / pizzeria</t>
  </si>
  <si>
    <t>Largo Sangemini, 7/B-C</t>
  </si>
  <si>
    <t>Via dei Conciatori, 5/A</t>
  </si>
  <si>
    <t>Via Tortolini, 3/A</t>
  </si>
  <si>
    <t>Via Monte Cadria, 125</t>
  </si>
  <si>
    <t>Via G. Marconi, 25/A</t>
  </si>
  <si>
    <t>Via Tor de' Schiavi, 55/d</t>
  </si>
  <si>
    <t>Via del Boschetto, 41</t>
  </si>
  <si>
    <t>Via Boncompagni, 31/33</t>
  </si>
  <si>
    <t>Via dei Pastori, 26-A/28</t>
  </si>
  <si>
    <t>Via Vigna di Corte, 6</t>
  </si>
  <si>
    <t>Camilluccia</t>
  </si>
  <si>
    <t>Lungotevere dei Vallati</t>
  </si>
  <si>
    <t>Serafico</t>
  </si>
  <si>
    <t>Viale XXI Aprile</t>
  </si>
  <si>
    <t>Ponte Testaccio</t>
  </si>
  <si>
    <t>Via Boncompagni</t>
  </si>
  <si>
    <t>Piazza Farnese</t>
  </si>
  <si>
    <t>Repubblica</t>
  </si>
  <si>
    <t>06/68808292</t>
  </si>
  <si>
    <t>06/68395030</t>
  </si>
  <si>
    <t>06/69346839</t>
  </si>
  <si>
    <t>389/1798451</t>
  </si>
  <si>
    <t>06/83082083</t>
  </si>
  <si>
    <t>06/39728547</t>
  </si>
  <si>
    <t>0761/770885</t>
  </si>
  <si>
    <t>06/5522778</t>
  </si>
  <si>
    <t>06/9459338</t>
  </si>
  <si>
    <t>06/9322791</t>
  </si>
  <si>
    <t>0761/402734</t>
  </si>
  <si>
    <t>06/35452285</t>
  </si>
  <si>
    <t>06/5744958</t>
  </si>
  <si>
    <t xml:space="preserve">1 antipasto, 1 primo, 1 secondo, 1 dolce </t>
  </si>
  <si>
    <t>un antipasto e due pizze diverse</t>
  </si>
  <si>
    <t>Via Piave, 8</t>
  </si>
  <si>
    <t>376/2067672</t>
  </si>
  <si>
    <t>Le Levain Café</t>
  </si>
  <si>
    <t>0746/249202</t>
  </si>
  <si>
    <t>Contigliano</t>
  </si>
  <si>
    <t>Via Umberto I, 2</t>
  </si>
  <si>
    <t>La Palazzina</t>
  </si>
  <si>
    <t>351/7164206</t>
  </si>
  <si>
    <t>San Cesareo</t>
  </si>
  <si>
    <t>Love</t>
  </si>
  <si>
    <t>06/96525119</t>
  </si>
  <si>
    <t>Nite Kong</t>
  </si>
  <si>
    <t>366/8171293</t>
  </si>
  <si>
    <t>Portale 21 - Opificio di cucina</t>
  </si>
  <si>
    <t>Marino</t>
  </si>
  <si>
    <t>06/94837668</t>
  </si>
  <si>
    <t>Via Rodolfo Morandi, 32</t>
  </si>
  <si>
    <t>45+20</t>
  </si>
  <si>
    <t>0774/282912</t>
  </si>
  <si>
    <t>Viale Aventino, 46</t>
  </si>
  <si>
    <t>Santa Romana</t>
  </si>
  <si>
    <t>Piazza Certaldo, 12</t>
  </si>
  <si>
    <t>06/69317674</t>
  </si>
  <si>
    <t>Magliana</t>
  </si>
  <si>
    <t>Via Reggio Emilia, 24</t>
  </si>
  <si>
    <t>06/88936084</t>
  </si>
  <si>
    <t>06/2590699</t>
  </si>
  <si>
    <t>Via del Gazometro, 5/A</t>
  </si>
  <si>
    <t>06/45479738</t>
  </si>
  <si>
    <t>Don Choc</t>
  </si>
  <si>
    <t>gelateria / cioccolateria</t>
  </si>
  <si>
    <t>06/33221585</t>
  </si>
  <si>
    <t>06/64760483</t>
  </si>
  <si>
    <t>Piazza Rivarola, 21</t>
  </si>
  <si>
    <t>266 La Barraca</t>
  </si>
  <si>
    <t>Lungomare delle Meduse, 266</t>
  </si>
  <si>
    <t>06/85386554</t>
  </si>
  <si>
    <t>06/24597135</t>
  </si>
  <si>
    <t>Song</t>
  </si>
  <si>
    <t>06/3215804</t>
  </si>
  <si>
    <t>Via Valadier, 14</t>
  </si>
  <si>
    <t>Lido di Ostia</t>
  </si>
  <si>
    <t>Piazza Barberini</t>
  </si>
  <si>
    <t>06/3231436</t>
  </si>
  <si>
    <t>street food</t>
  </si>
  <si>
    <t>Osteria La Massaia</t>
  </si>
  <si>
    <t>06/52205140</t>
  </si>
  <si>
    <t>Via della Seta, 1</t>
  </si>
  <si>
    <t>Hotel Vilòn</t>
  </si>
  <si>
    <t>Via dell'Arancio, 68/69</t>
  </si>
  <si>
    <t>06/878187</t>
  </si>
  <si>
    <t>Hotel De' Ricci</t>
  </si>
  <si>
    <t>Via della Barchetta, 14</t>
  </si>
  <si>
    <t>06/6874775</t>
  </si>
  <si>
    <t>Da Tullio</t>
  </si>
  <si>
    <t>Via della Balduina, 211</t>
  </si>
  <si>
    <t>06/35347252</t>
  </si>
  <si>
    <t>Conca d'Oro</t>
  </si>
  <si>
    <t>Gelato Romano</t>
  </si>
  <si>
    <t>Casaloca</t>
  </si>
  <si>
    <t>Corso di Francia, 207</t>
  </si>
  <si>
    <t>06/40069361</t>
  </si>
  <si>
    <t>spagnola</t>
  </si>
  <si>
    <t>La Perla</t>
  </si>
  <si>
    <t>Via Collebianco, 11</t>
  </si>
  <si>
    <t>339/8876306</t>
  </si>
  <si>
    <t>Arpino</t>
  </si>
  <si>
    <t>Porta Maggiore</t>
  </si>
  <si>
    <t>06/69350147</t>
  </si>
  <si>
    <t>Oolong</t>
  </si>
  <si>
    <t>06/21707385</t>
  </si>
  <si>
    <t>Nena Mercato&amp;Cucina</t>
  </si>
  <si>
    <t>Via dei Sabelli, 193</t>
  </si>
  <si>
    <t>06/83434951</t>
  </si>
  <si>
    <t>La Tana dei Carbonari</t>
  </si>
  <si>
    <t>Via XX Settembre, 35</t>
  </si>
  <si>
    <t>Roccagorga</t>
  </si>
  <si>
    <t>351/7434838</t>
  </si>
  <si>
    <t>Becco</t>
  </si>
  <si>
    <t>Piazzale degli Eroi, 7</t>
  </si>
  <si>
    <t>Contrada Rapello</t>
  </si>
  <si>
    <t>0774/034382</t>
  </si>
  <si>
    <t>Popina Trattoria</t>
  </si>
  <si>
    <t>06/72499997</t>
  </si>
  <si>
    <t>Via Giovanni Verga, 42</t>
  </si>
  <si>
    <t>Trattoria A Casa Di Rita</t>
  </si>
  <si>
    <t>Via delle Ciliegie, 145</t>
  </si>
  <si>
    <t>Alessandrino</t>
  </si>
  <si>
    <t>338/9860960</t>
  </si>
  <si>
    <t>Il Maratoneta</t>
  </si>
  <si>
    <t>Via dei Volsci, 99</t>
  </si>
  <si>
    <t>Viale Europa, 15</t>
  </si>
  <si>
    <t>Via Santa Margherita, 1</t>
  </si>
  <si>
    <t>Cori</t>
  </si>
  <si>
    <t>06/9678949</t>
  </si>
  <si>
    <t>wine bar / bistrot</t>
  </si>
  <si>
    <t>Sottobanco</t>
  </si>
  <si>
    <t>Via Paolo Frisi, 1</t>
  </si>
  <si>
    <t>06/85857447</t>
  </si>
  <si>
    <t>Frumentario</t>
  </si>
  <si>
    <t>Via Tuscolana, 26</t>
  </si>
  <si>
    <t>324/0578982</t>
  </si>
  <si>
    <t>Mi Cucina Cinese Contemporanea</t>
  </si>
  <si>
    <t>Via Giovanni Botero, 31/33</t>
  </si>
  <si>
    <t>06/89346223</t>
  </si>
  <si>
    <t>Colli Albani</t>
  </si>
  <si>
    <t>InFucina</t>
  </si>
  <si>
    <t>Via dei Salentini, 6/12</t>
  </si>
  <si>
    <t>06/88791819</t>
  </si>
  <si>
    <t>Via Enrico Fermi, 102/104</t>
  </si>
  <si>
    <t>Marconi</t>
  </si>
  <si>
    <t>06/55296621</t>
  </si>
  <si>
    <t>06/45683049</t>
  </si>
  <si>
    <t>Stefano Ferrara - Gelateria</t>
  </si>
  <si>
    <t>Via Francesco Cilea, 244/246</t>
  </si>
  <si>
    <t>06/5578634</t>
  </si>
  <si>
    <t>Stefano Ferrara - Formaessenza</t>
  </si>
  <si>
    <t>Maksymovych</t>
  </si>
  <si>
    <t>06/5576474</t>
  </si>
  <si>
    <t>tradizionale con spunti creativi / pizzeria</t>
  </si>
  <si>
    <t>Via della Portella, 31</t>
  </si>
  <si>
    <t>Sancho</t>
  </si>
  <si>
    <t>06/6580690</t>
  </si>
  <si>
    <t>Via Giuseppe Gioachino Belli, 3/A</t>
  </si>
  <si>
    <t>Viale Trastevere, 255</t>
  </si>
  <si>
    <t>Via Pietro Blaserna, 11</t>
  </si>
  <si>
    <t>Giuffrè forno &amp; gelato</t>
  </si>
  <si>
    <t>06/77205274</t>
  </si>
  <si>
    <t>06/5899616</t>
  </si>
  <si>
    <t>Locanda Nocera</t>
  </si>
  <si>
    <t>Via Viggiano, 155</t>
  </si>
  <si>
    <t>351/7590202</t>
  </si>
  <si>
    <t>Tor Carbone</t>
  </si>
  <si>
    <t>Zero Miglia</t>
  </si>
  <si>
    <t>06/9803030</t>
  </si>
  <si>
    <t>Gallo Ristorante di Pesce</t>
  </si>
  <si>
    <t>Krapfen Paglia</t>
  </si>
  <si>
    <t>bar/ pasticceria</t>
  </si>
  <si>
    <t>Piazza Anco Marzio, 18/19</t>
  </si>
  <si>
    <t>06/5623344</t>
  </si>
  <si>
    <t>Via Girolamo Benzoni, 34</t>
  </si>
  <si>
    <t>334/3855945</t>
  </si>
  <si>
    <t>Koû Koû</t>
  </si>
  <si>
    <t>pasticceria / cucina giapponese</t>
  </si>
  <si>
    <t>Via Monte Pertica, 41</t>
  </si>
  <si>
    <t>Casa Matti</t>
  </si>
  <si>
    <t>Via Sabotino, 49/51</t>
  </si>
  <si>
    <t>06/93563371</t>
  </si>
  <si>
    <t>Hiromi La Maison</t>
  </si>
  <si>
    <t>Via Giovanni Schiaparelli, 21</t>
  </si>
  <si>
    <t>06/89325263</t>
  </si>
  <si>
    <t>TAC - Thin And Crunchy</t>
  </si>
  <si>
    <t>Via Fiume delle Perle, 136/138</t>
  </si>
  <si>
    <t>Mostacciano</t>
  </si>
  <si>
    <t>06/45652738</t>
  </si>
  <si>
    <t>Via Flaminia, 64</t>
  </si>
  <si>
    <t>Piazzale Flaminio</t>
  </si>
  <si>
    <t>06/64781692</t>
  </si>
  <si>
    <t>Marzapane Café &amp; Bakery</t>
  </si>
  <si>
    <t>Mazzo</t>
  </si>
  <si>
    <t>Via degli Equi, 62</t>
  </si>
  <si>
    <t>06/69420455</t>
  </si>
  <si>
    <t>Bap</t>
  </si>
  <si>
    <t>Via Raffaele Cadorna, 5</t>
  </si>
  <si>
    <t>06/2428174</t>
  </si>
  <si>
    <t>Piazza dei Caprettari, 56/60</t>
  </si>
  <si>
    <t>Libera</t>
  </si>
  <si>
    <t>Via Luigi Tosti, 54</t>
  </si>
  <si>
    <t>due dolci e una bevanda "lavorata" (tè, caffè)</t>
  </si>
  <si>
    <t>Scima</t>
  </si>
  <si>
    <t>Via Annia Regilla, 110</t>
  </si>
  <si>
    <t>Quarto Miglio</t>
  </si>
  <si>
    <t>339/8743355</t>
  </si>
  <si>
    <t>Via Cassia, 1839</t>
  </si>
  <si>
    <t>La Storta</t>
  </si>
  <si>
    <t>06/94379873</t>
  </si>
  <si>
    <t>Pontisso</t>
  </si>
  <si>
    <t>Via Antonio Cantore, 3</t>
  </si>
  <si>
    <t>06/86214524</t>
  </si>
  <si>
    <t>Mile</t>
  </si>
  <si>
    <t>Via Pesaro, 8</t>
  </si>
  <si>
    <t>327/5878046</t>
  </si>
  <si>
    <t>N'Antro</t>
  </si>
  <si>
    <t>Largo Appio Claudio, 350</t>
  </si>
  <si>
    <t>333/3900984</t>
  </si>
  <si>
    <t>TE Caffè</t>
  </si>
  <si>
    <t>caffetteria specialty / pasticceria</t>
  </si>
  <si>
    <t>Via Sforza Pallavicini, 19/25</t>
  </si>
  <si>
    <t>Castel Sant'Angelo</t>
  </si>
  <si>
    <t>375/7051217</t>
  </si>
  <si>
    <t>Sordoni</t>
  </si>
  <si>
    <t>Friccico Mangia&amp;Bevi</t>
  </si>
  <si>
    <t>La Bottega delle tre Sorelle</t>
  </si>
  <si>
    <t>MIA - pizzeria creativa</t>
  </si>
  <si>
    <t>NUH Osteria Contemporanea</t>
  </si>
  <si>
    <t>Ristorante Delicato</t>
  </si>
  <si>
    <t>Svario-Pizza Bar</t>
  </si>
  <si>
    <t>UMA</t>
  </si>
  <si>
    <t>Barnum Café</t>
  </si>
  <si>
    <t>Cafè Merenda</t>
  </si>
  <si>
    <t>Gelateria daRe</t>
  </si>
  <si>
    <t>Ruver - teglia frazionata</t>
  </si>
  <si>
    <t>San Biagio pizza e bolle</t>
  </si>
  <si>
    <t>cucina tradizionale con spunti creativi</t>
  </si>
  <si>
    <t>tramezzineria</t>
  </si>
  <si>
    <t>forno / caffetteria specialty</t>
  </si>
  <si>
    <t>caffetteria specialty / bakery</t>
  </si>
  <si>
    <t>albergo con sala da tè</t>
  </si>
  <si>
    <t>caffetteria specialty / forno</t>
  </si>
  <si>
    <t>sandwicheria</t>
  </si>
  <si>
    <t>bar / pasticceria / bistrot</t>
  </si>
  <si>
    <t>Contrada Rapello, 13</t>
  </si>
  <si>
    <t>Viale dei Colli Portuensi, 169</t>
  </si>
  <si>
    <t>Via di Santa Croce in Gerusalemme, 29</t>
  </si>
  <si>
    <t>Piazza Alessandria</t>
  </si>
  <si>
    <t>Via Giovanni XXIII, snc</t>
  </si>
  <si>
    <t>Via del Carzolese, 1 ang. Via Casilina</t>
  </si>
  <si>
    <t>Via Collatina, 126/D</t>
  </si>
  <si>
    <t>Via della Missione, 56</t>
  </si>
  <si>
    <t>Via Val Senio, 18</t>
  </si>
  <si>
    <t>Via Aurelia, 388/B</t>
  </si>
  <si>
    <t>Mezzocammino</t>
  </si>
  <si>
    <t>Campo dei Fiori</t>
  </si>
  <si>
    <t>Casalbertone</t>
  </si>
  <si>
    <t>Vicolo del Cedro, 26</t>
  </si>
  <si>
    <t>Via Tunisi, 51</t>
  </si>
  <si>
    <t>Via Oslavia, 39</t>
  </si>
  <si>
    <t>Via della Torre Clementina 142/A</t>
  </si>
  <si>
    <t>Via Flaminia, 67</t>
  </si>
  <si>
    <t>Torvaianica</t>
  </si>
  <si>
    <t>06/87807070</t>
  </si>
  <si>
    <t>06/42990845</t>
  </si>
  <si>
    <t>320/6851104</t>
  </si>
  <si>
    <t>06/701 8134</t>
  </si>
  <si>
    <t>351/9711876</t>
  </si>
  <si>
    <t>06/97997519 - 349/3603694</t>
  </si>
  <si>
    <t>06/24406688</t>
  </si>
  <si>
    <t>06/23488536</t>
  </si>
  <si>
    <t>327/0737999</t>
  </si>
  <si>
    <t>06/86299316</t>
  </si>
  <si>
    <t>pl.</t>
  </si>
  <si>
    <t>m.</t>
  </si>
  <si>
    <t>c.</t>
  </si>
  <si>
    <t>Perc.</t>
  </si>
  <si>
    <t>Piatti da provare</t>
  </si>
  <si>
    <t>menù il "vostro All'Oro"</t>
  </si>
  <si>
    <t>menù degustazione 5 portate</t>
  </si>
  <si>
    <t>menù Idylio Butterfly</t>
  </si>
  <si>
    <t>menù degustazione</t>
  </si>
  <si>
    <t>menù "primi passi"</t>
  </si>
  <si>
    <t>menù "piccolo"</t>
  </si>
  <si>
    <t>menù degustazione 6 portate</t>
  </si>
  <si>
    <t>3 piatti salati e 1 dolce</t>
  </si>
  <si>
    <t>menù 5 portate</t>
  </si>
  <si>
    <t>menù "bar a vin"</t>
  </si>
  <si>
    <t>55+20</t>
  </si>
  <si>
    <t>menù degustazione "La Perla"</t>
  </si>
  <si>
    <t>menù degustazione 6 piatti</t>
  </si>
  <si>
    <t>degustazione da 5 portate</t>
  </si>
  <si>
    <t>antipasto (no taglieri), primo, secondo a base di carne, dolci</t>
  </si>
  <si>
    <t>antipasto,primo,secondo e dolce</t>
  </si>
  <si>
    <t>1 antipasto, 1 primo, 1 secondo, 1 dolce (no semplici verdure)</t>
  </si>
  <si>
    <t>antipasto, primo,secondo e dolce</t>
  </si>
  <si>
    <t>1 antipasto (no taglieri e bruschette, verificare se quello della casa contiene cose cucinate, in caso prenderlo, altrimenti sostituirlo con un altro primo), 1 primo, 1 secondo e 1 dolce</t>
  </si>
  <si>
    <t>antipasto (no salumi e sott'oli, primo, secondo e dolce</t>
  </si>
  <si>
    <t>antipasto, primo,secondo, dolce</t>
  </si>
  <si>
    <t>antipasto,primo, secondo e dolce</t>
  </si>
  <si>
    <t>antipasto, primo, secondo,dolce</t>
  </si>
  <si>
    <t>da provare a cena: antipasto, primo, secondo e dolce</t>
  </si>
  <si>
    <t>menù percorso romano</t>
  </si>
  <si>
    <t>antipasto, riso o noodles, secondo di carne o pesce, dolce</t>
  </si>
  <si>
    <t>1 raviolo (no verdure), 1 dim sum, 1 piatto di riso (no semplice), 1 secondo (carne o verdure ma non piatti semplici)</t>
  </si>
  <si>
    <t>menù dim sum</t>
  </si>
  <si>
    <t>1 ramen, 1 piatto tra gyoza, bun o agemono, 1 tipo di huramaki</t>
  </si>
  <si>
    <t>1 fritto, 1 pizza classica, 1 gourmet, 1 dolce</t>
  </si>
  <si>
    <t>due pizze diverse + 1 fritto + 1 lingotto</t>
  </si>
  <si>
    <t>due pizze diverse+1antipasto o fritto+1 dolce</t>
  </si>
  <si>
    <t>due pizze diverse + 1 antipasto</t>
  </si>
  <si>
    <t>due pizze diverse+1 fritto+ 1 dolce</t>
  </si>
  <si>
    <t>1 fritto, due pizze diverse,1 dolce</t>
  </si>
  <si>
    <t>1 fritto, uno spicchio di pizza al padellino, 2 pizze diverse, 1 cocktail</t>
  </si>
  <si>
    <t>3 maritozzi piccoli, magari due salati e uno dolce</t>
  </si>
  <si>
    <t>1 puccia, 1 primo o secondo</t>
  </si>
  <si>
    <t>formula afternoon tea</t>
  </si>
  <si>
    <t>3 piatti salati + 1 calice di vino</t>
  </si>
  <si>
    <t>1 calice di vino + 1 sfizio+1 crostone</t>
  </si>
  <si>
    <t>2 piatti dal menù (no dolce e no piatti di sole verdure); per il vino ho calcolato 5€ di rimborso come il costo medio di un calice anche se la bottiglia rimane a chi la compra.</t>
  </si>
  <si>
    <t>un calice e 2 piatti (no cose semplici o di sole verdure)</t>
  </si>
  <si>
    <t>un calice + 1 fermentato e 2 piatti</t>
  </si>
  <si>
    <t>un calice + 2 fermini e 1 piatto</t>
  </si>
  <si>
    <t>2 piatti salati (no ostriche) e 1 calice di vino</t>
  </si>
  <si>
    <t>2 panini diversi</t>
  </si>
  <si>
    <t>short trip</t>
  </si>
  <si>
    <t>tre varietà di dumpling diversi</t>
  </si>
  <si>
    <t>1 calice di vino, 1 snack, 2 piatti diversi</t>
  </si>
  <si>
    <t>2 hamburger diversi + 1 fritto</t>
  </si>
  <si>
    <t>1 crostino, 1 tagliere misto, 1 piatto, 1 calice di vino</t>
  </si>
  <si>
    <t>3 piatti salati e 1 dolce (no salumi e formaggi, una sola tapas)</t>
  </si>
  <si>
    <t>2 cocktail diversi più due tapas</t>
  </si>
  <si>
    <t>2 cocktail + 1 piatto</t>
  </si>
  <si>
    <t>2 cocktail diversi + 1 piatto</t>
  </si>
  <si>
    <t>2 pizze al tegamino (1 "tradizione", 1 "evoluzione")</t>
  </si>
  <si>
    <t>2 tranci di pizza diversi + 1 fritto</t>
  </si>
  <si>
    <t>3 tramezzini diversi</t>
  </si>
  <si>
    <t>1 arepas, 1 empanada, 1 piatto a scelta</t>
  </si>
  <si>
    <t>2 tranci di pizza piccoli + 1 fritto caratteristico</t>
  </si>
  <si>
    <t>2 panini diversi con tipologie di pesce diverse</t>
  </si>
  <si>
    <t>2 trapizzini diversi + 1 fritto</t>
  </si>
  <si>
    <t>3 piatti salati + 1 dolce</t>
  </si>
  <si>
    <t>due pizze diverse, 1 fritto o antipasto, 1 dolce</t>
  </si>
  <si>
    <t>menù serale: antipasto (no insalate), primo, secondo (no sandwiches), dolce</t>
  </si>
  <si>
    <t>Via Conca d'Oro, 38</t>
  </si>
  <si>
    <t>06/83797040</t>
  </si>
  <si>
    <t>menù da 6 portate</t>
  </si>
  <si>
    <t>Riccioli d'Oro</t>
  </si>
  <si>
    <t>Mordi Roma</t>
  </si>
  <si>
    <t>334/7301833</t>
  </si>
  <si>
    <t>Aiki Pub</t>
  </si>
  <si>
    <t>Via Gaetano Rappini, 23</t>
  </si>
  <si>
    <t>378/3064424</t>
  </si>
  <si>
    <t>4 piatti salati (no sfizi iniziali e solo verdure)+ 1 dolce</t>
  </si>
  <si>
    <t>GioMà</t>
  </si>
  <si>
    <t>Via Calpurnio Fiamma, 40/44</t>
  </si>
  <si>
    <t>06/7674717</t>
  </si>
  <si>
    <t>1 fritto, 2 pizze diverse, 1 dolce</t>
  </si>
  <si>
    <t>Terra Gelato</t>
  </si>
  <si>
    <t>Piazza Santa Maria Maggiore, 9</t>
  </si>
  <si>
    <t>Via Cavour</t>
  </si>
  <si>
    <t>06/45666656</t>
  </si>
  <si>
    <t>Avus</t>
  </si>
  <si>
    <t>Via Cavour, 117</t>
  </si>
  <si>
    <t>vegetariano ma non solo</t>
  </si>
  <si>
    <t>06/30324564</t>
  </si>
  <si>
    <t>Via Muggia, 14</t>
  </si>
  <si>
    <t>Fase - cucina spontanea</t>
  </si>
  <si>
    <t>Quadraro</t>
  </si>
  <si>
    <t>370/1411858</t>
  </si>
  <si>
    <t xml:space="preserve">2 tapas salate e una dolce+2 birre diverse </t>
  </si>
  <si>
    <t>Giù Upside Down Restaurant</t>
  </si>
  <si>
    <t>Via Paolo Stoppa, 40</t>
  </si>
  <si>
    <t>Giardino di Roma</t>
  </si>
  <si>
    <t>375/5475445</t>
  </si>
  <si>
    <t>06/69401880</t>
  </si>
  <si>
    <t>Via Siria, 3</t>
  </si>
  <si>
    <t>menù 6 portate</t>
  </si>
  <si>
    <t>06/23209132</t>
  </si>
  <si>
    <t>3 piatti salati+1 dolce</t>
  </si>
  <si>
    <t>Nomisan</t>
  </si>
  <si>
    <t xml:space="preserve"> 342/8036080</t>
  </si>
  <si>
    <t>Viale Gianluigi Bonelli, 237</t>
  </si>
  <si>
    <t>Mezzocamino</t>
  </si>
  <si>
    <t>Brucio - La Contemporanea</t>
  </si>
  <si>
    <t>Brucio - La Romana</t>
  </si>
  <si>
    <t>Ciaparat</t>
  </si>
  <si>
    <t>06/86299221</t>
  </si>
  <si>
    <t>Enofficina</t>
  </si>
  <si>
    <t>Via Trionfale, 50</t>
  </si>
  <si>
    <t>06/39742353</t>
  </si>
  <si>
    <t>Via Vibio Mariano, 5</t>
  </si>
  <si>
    <t>Tomba di Nerone</t>
  </si>
  <si>
    <t>06/33251114 - 334/3112437</t>
  </si>
  <si>
    <t>333/4327944</t>
  </si>
  <si>
    <t>Said dal 1923</t>
  </si>
  <si>
    <t>cioccolateria / bistrot</t>
  </si>
  <si>
    <t>Via Tiburtina, 135</t>
  </si>
  <si>
    <t>06/4469204</t>
  </si>
  <si>
    <t>Piatto Romano</t>
  </si>
  <si>
    <t>Via Giovanni Battista Bodoni, 62</t>
  </si>
  <si>
    <t>06/64014447</t>
  </si>
  <si>
    <t>Locanda Ruggieri</t>
  </si>
  <si>
    <t>Via del Rio, 10</t>
  </si>
  <si>
    <t>333/4758507</t>
  </si>
  <si>
    <t>Il Grecale</t>
  </si>
  <si>
    <t>Riviera Zanardelli, 57</t>
  </si>
  <si>
    <t>06/9846822</t>
  </si>
  <si>
    <t>Locanda Dorica</t>
  </si>
  <si>
    <t>06/5590376</t>
  </si>
  <si>
    <t>Vicolo Giorgi, 15</t>
  </si>
  <si>
    <t>Velletri</t>
  </si>
  <si>
    <t>Casa Malgarini</t>
  </si>
  <si>
    <t>06/87772889</t>
  </si>
  <si>
    <t>Parco di Veio</t>
  </si>
  <si>
    <t>Osteria Landi</t>
  </si>
  <si>
    <t>06/56305565</t>
  </si>
  <si>
    <t>Via Claudio, 28</t>
  </si>
  <si>
    <t>Santa Pizza</t>
  </si>
  <si>
    <t>06/85951563</t>
  </si>
  <si>
    <t>La Lampara</t>
  </si>
  <si>
    <t>Passoscuro</t>
  </si>
  <si>
    <t>06/6672038</t>
  </si>
  <si>
    <t>Via Catania, 51</t>
  </si>
  <si>
    <t>Borgo San Giorgio</t>
  </si>
  <si>
    <t>Via dei Pastori, 30</t>
  </si>
  <si>
    <t>06/59603683</t>
  </si>
  <si>
    <t>Tratto</t>
  </si>
  <si>
    <t>Viale Dell’Aeronautica 67/69</t>
  </si>
  <si>
    <t>06/5921244</t>
  </si>
  <si>
    <t>Enoteca Cavour 313</t>
  </si>
  <si>
    <t>Via Cavour, 313</t>
  </si>
  <si>
    <t>06/6785496</t>
  </si>
  <si>
    <t>Ponte Milvio</t>
  </si>
  <si>
    <t>Via Appia Nuova, 37</t>
  </si>
  <si>
    <t>379/1290077</t>
  </si>
  <si>
    <t>Gelasio</t>
  </si>
  <si>
    <t>Lina - La Pizza in Teglia</t>
  </si>
  <si>
    <t>Circonvallazione Trionfale, 53</t>
  </si>
  <si>
    <t>351/7747767</t>
  </si>
  <si>
    <t>Via Ponte Gregoriano, 1</t>
  </si>
  <si>
    <t>0774/011261</t>
  </si>
  <si>
    <t>Da Brando</t>
  </si>
  <si>
    <t>06/33225327</t>
  </si>
  <si>
    <t>Via Flaminia, 532</t>
  </si>
  <si>
    <t>Casale Verdeluna</t>
  </si>
  <si>
    <t>Località Civitella, 3</t>
  </si>
  <si>
    <t>0775/503051</t>
  </si>
  <si>
    <t>Atlas</t>
  </si>
  <si>
    <t>Via Ciro Menotti, 16/18</t>
  </si>
  <si>
    <t>Via Latina, 80</t>
  </si>
  <si>
    <t>06/86675708</t>
  </si>
  <si>
    <t>Shell</t>
  </si>
  <si>
    <t>libreria / bistrot</t>
  </si>
  <si>
    <t>Vicolo della Fontana, 28</t>
  </si>
  <si>
    <t>Villa Paganini</t>
  </si>
  <si>
    <t>06/86726388</t>
  </si>
  <si>
    <t>Divina Giulia</t>
  </si>
  <si>
    <t>340/8244624</t>
  </si>
  <si>
    <t>menù degustazione Albore</t>
  </si>
  <si>
    <t>Zelato</t>
  </si>
  <si>
    <t>Via degli Aurunci, 40</t>
  </si>
  <si>
    <t>342/5470485</t>
  </si>
  <si>
    <t>Luna</t>
  </si>
  <si>
    <t>Via delle Quattro Fontane, 175</t>
  </si>
  <si>
    <t>06/45595900</t>
  </si>
  <si>
    <t>Osteria Anna</t>
  </si>
  <si>
    <t>S.R. 630 Cassino Formia km. 15</t>
  </si>
  <si>
    <t>Castelnuovo Parano</t>
  </si>
  <si>
    <t>0776/952596</t>
  </si>
  <si>
    <t>Via Savoia, 38/42</t>
  </si>
  <si>
    <t>menù degustazione Dim Sum e Ramen</t>
  </si>
  <si>
    <t>Nonnarè</t>
  </si>
  <si>
    <t>Piazza Augusto Albini, 10</t>
  </si>
  <si>
    <t>328/5367252</t>
  </si>
  <si>
    <t>Cheebo</t>
  </si>
  <si>
    <t>hamburgheria</t>
  </si>
  <si>
    <t>351/7598556</t>
  </si>
  <si>
    <t>Via Aretusa, 6</t>
  </si>
  <si>
    <t>La Rustica</t>
  </si>
  <si>
    <t>1 smashburger, 1 burger con pollo o pulled pork</t>
  </si>
  <si>
    <t>Mario L'Ostricaro</t>
  </si>
  <si>
    <t>0773/702461</t>
  </si>
  <si>
    <t>Via Appia, km 102</t>
  </si>
  <si>
    <t>Garage Forno</t>
  </si>
  <si>
    <t>Via Paolo II, 14</t>
  </si>
  <si>
    <t>392/2984896</t>
  </si>
  <si>
    <t>Nomos Ante</t>
  </si>
  <si>
    <t>Via di San Paolo alla Regola, 3</t>
  </si>
  <si>
    <t>06/84102388</t>
  </si>
  <si>
    <t>Al Madrigale</t>
  </si>
  <si>
    <t>Mafè - osteria moderna</t>
  </si>
  <si>
    <t>Via Valsavaranche, 29/31</t>
  </si>
  <si>
    <t>Prati Fiscali</t>
  </si>
  <si>
    <t>Toma 52</t>
  </si>
  <si>
    <t>Via Cremona, 52/B</t>
  </si>
  <si>
    <t>06/5126917</t>
  </si>
  <si>
    <t>Arcangelo Vino &amp; Cucina</t>
  </si>
  <si>
    <t>Via Gallia, 28</t>
  </si>
  <si>
    <t>Trattoria del Cimino dal 1895</t>
  </si>
  <si>
    <t>Viale dello Scalo di San Lorenzo, 10</t>
  </si>
  <si>
    <t>06/85874176</t>
  </si>
  <si>
    <t>Taps</t>
  </si>
  <si>
    <t>1 antipasto, 1 primo, 1 secondo e 1 dolce</t>
  </si>
  <si>
    <t>Tante Care Cose</t>
  </si>
  <si>
    <t>Via Carlo Errera, 46</t>
  </si>
  <si>
    <t>333/6776681</t>
  </si>
  <si>
    <t>3 piatti salati</t>
  </si>
  <si>
    <t>La Renardière</t>
  </si>
  <si>
    <t>francese</t>
  </si>
  <si>
    <t>Viale Aventino, 31</t>
  </si>
  <si>
    <t>06/87785445</t>
  </si>
  <si>
    <t>due primi tipici, un secondo e un dolce</t>
  </si>
  <si>
    <t>Rosina - cucina di casa</t>
  </si>
  <si>
    <t>Vicolo delle Grotte, 27</t>
  </si>
  <si>
    <t>06/69374499</t>
  </si>
  <si>
    <t>Metis</t>
  </si>
  <si>
    <t>Piazza Enrico Martini, 24/25</t>
  </si>
  <si>
    <t>06/40066729</t>
  </si>
  <si>
    <t>Mare Bistrot</t>
  </si>
  <si>
    <t>Via della Torre Clementina, 126</t>
  </si>
  <si>
    <t>334/7978290</t>
  </si>
  <si>
    <t>L'Osteria di Ianus</t>
  </si>
  <si>
    <t>Antrodoco</t>
  </si>
  <si>
    <t>335/6151823</t>
  </si>
  <si>
    <t>Via Amiterno, 70</t>
  </si>
  <si>
    <t>Avenida Calò</t>
  </si>
  <si>
    <t>06/89238209</t>
  </si>
  <si>
    <t>La Taverna dei Corsari</t>
  </si>
  <si>
    <t>Piazza Vittorio Veneto, 10</t>
  </si>
  <si>
    <t>Montopoli di Sabina</t>
  </si>
  <si>
    <t>0765/279279</t>
  </si>
  <si>
    <t>v.26</t>
  </si>
  <si>
    <t>Amerina - la pizzetta</t>
  </si>
  <si>
    <t>EGO</t>
  </si>
  <si>
    <t>GianPà</t>
  </si>
  <si>
    <t>Hosteria Grappolo d'Oro</t>
  </si>
  <si>
    <t>Inverso</t>
  </si>
  <si>
    <t>Isotta - Trattoria Cortese</t>
  </si>
  <si>
    <t>Lievito Pizza Pane</t>
  </si>
  <si>
    <t>NuAN</t>
  </si>
  <si>
    <t>Santí - tradizione contadina</t>
  </si>
  <si>
    <t>Sicché - Roba toscana</t>
  </si>
  <si>
    <t>Trattoria Enoteca Assunta</t>
  </si>
  <si>
    <t>De Novo e D'Antico</t>
  </si>
  <si>
    <t>Aqla</t>
  </si>
  <si>
    <t>Sensorio Coffee Lab</t>
  </si>
  <si>
    <t>Dar Basha</t>
  </si>
  <si>
    <t>italiana / francese</t>
  </si>
  <si>
    <t>creativo</t>
  </si>
  <si>
    <t>pizzeria al taglio / forno</t>
  </si>
  <si>
    <t>tradizionale rivisitata</t>
  </si>
  <si>
    <t>cucina romana</t>
  </si>
  <si>
    <t>osteria contemporanea</t>
  </si>
  <si>
    <t>bar</t>
  </si>
  <si>
    <t>marocchina</t>
  </si>
  <si>
    <t>Largo dei Librari, 82</t>
  </si>
  <si>
    <t>Via Litoranea, Km 20,600</t>
  </si>
  <si>
    <t>Via Flaminia, 677/A</t>
  </si>
  <si>
    <t>Via della Giustiniana, 670/B</t>
  </si>
  <si>
    <t>Via Etruria, 35</t>
  </si>
  <si>
    <t>Via Portuense, 727 F/G</t>
  </si>
  <si>
    <t>Viale dei Quattro Venti, 152/C</t>
  </si>
  <si>
    <t>Campo dei fiori</t>
  </si>
  <si>
    <t>Via Carlo Livi, 10/16</t>
  </si>
  <si>
    <t>Torrevecchia</t>
  </si>
  <si>
    <t>Via Carbonia, 35</t>
  </si>
  <si>
    <t>Piazza Alessandria c/o Mercato Nomentano - box A2</t>
  </si>
  <si>
    <t>Re di Roma</t>
  </si>
  <si>
    <t>Piazza di San Paolo alla Regola, 40</t>
  </si>
  <si>
    <t>Via di Villa Faonte, 94</t>
  </si>
  <si>
    <t>Tufello</t>
  </si>
  <si>
    <t>Porta Metronia</t>
  </si>
  <si>
    <t>Via Beniamino Franklin, 12/C</t>
  </si>
  <si>
    <t xml:space="preserve"> Via Gaio Melisso, 32</t>
  </si>
  <si>
    <t>Piazza Giuseppe Mazzini, 45</t>
  </si>
  <si>
    <t>Via Giovanni Amendola 1/B</t>
  </si>
  <si>
    <t>Via Giacomo Boni, 33/35</t>
  </si>
  <si>
    <t>Piazza Santa Maria Consolatrice, 15/16</t>
  </si>
  <si>
    <t>Via Andrea Busiri Vici, 13</t>
  </si>
  <si>
    <t>Via Felice Cavallotti, 36/B</t>
  </si>
  <si>
    <t>Viale Pinturicchio, 38/42</t>
  </si>
  <si>
    <t>Via Aurora, 10</t>
  </si>
  <si>
    <t>Porta Pinciana</t>
  </si>
  <si>
    <t>06/98183647</t>
  </si>
  <si>
    <t>06/89716513</t>
  </si>
  <si>
    <t>331/1264351</t>
  </si>
  <si>
    <t>06/6858 5315</t>
  </si>
  <si>
    <t>06/90537554</t>
  </si>
  <si>
    <t>0765/ 480785 - 331/1650624</t>
  </si>
  <si>
    <t>06/55280963</t>
  </si>
  <si>
    <t>329/9299705</t>
  </si>
  <si>
    <t>06/4466573</t>
  </si>
  <si>
    <t>333/2256285</t>
  </si>
  <si>
    <t>375/8666287</t>
  </si>
  <si>
    <t>06/94377684 - 375/8207355</t>
  </si>
  <si>
    <t>6+</t>
  </si>
  <si>
    <t>10-</t>
  </si>
  <si>
    <t>50</t>
  </si>
  <si>
    <t>60</t>
  </si>
  <si>
    <t>85</t>
  </si>
  <si>
    <t>115</t>
  </si>
  <si>
    <t>65</t>
  </si>
  <si>
    <t>55</t>
  </si>
  <si>
    <t>150</t>
  </si>
  <si>
    <t>80</t>
  </si>
  <si>
    <t>34</t>
  </si>
  <si>
    <t>130</t>
  </si>
  <si>
    <t>6</t>
  </si>
  <si>
    <t>110</t>
  </si>
  <si>
    <t>18</t>
  </si>
  <si>
    <t>70</t>
  </si>
  <si>
    <t>29</t>
  </si>
  <si>
    <t>120</t>
  </si>
  <si>
    <t>100</t>
  </si>
  <si>
    <t>Dondolo</t>
  </si>
  <si>
    <t>Via di Monte Sacro, 23</t>
  </si>
  <si>
    <t>bakery</t>
  </si>
  <si>
    <t>06/45752197</t>
  </si>
  <si>
    <t>Diego Vitagliano</t>
  </si>
  <si>
    <t>Via Chiana, 80</t>
  </si>
  <si>
    <t>06/72276443</t>
  </si>
  <si>
    <t>351/3100815</t>
  </si>
  <si>
    <t>Stecca</t>
  </si>
  <si>
    <t>Viale Guglielmo Massaia, 28</t>
  </si>
  <si>
    <t>06/01906053</t>
  </si>
  <si>
    <t>Fernanda D'Arienzo</t>
  </si>
  <si>
    <t>1 caffè, 1 cappuccino, 1 krapfen e 1 lievito</t>
  </si>
  <si>
    <t>Da Danilo</t>
  </si>
  <si>
    <t>Via Petrarca, 13</t>
  </si>
  <si>
    <t>Piazza Vittorio</t>
  </si>
  <si>
    <t>06/77200111</t>
  </si>
  <si>
    <t>Simone Cargiani</t>
  </si>
  <si>
    <t>bloccato per Elisa Del Frate</t>
  </si>
  <si>
    <t>bloccato per Fabrizio Sbicca</t>
  </si>
  <si>
    <t>bloccato per Francesca Sebastio</t>
  </si>
  <si>
    <t>bloccato per Giorgio Sorbino</t>
  </si>
  <si>
    <t>bloccato per Giulia Maria Bellucci</t>
  </si>
  <si>
    <t>bloccato per Luca Veglianti</t>
  </si>
  <si>
    <t>bloccato per Marco Silleni</t>
  </si>
  <si>
    <t>bloccato per Valentino Affinita</t>
  </si>
  <si>
    <t>35+20</t>
  </si>
  <si>
    <t>Fabrizio Sbicca</t>
  </si>
  <si>
    <t>MAE - Slow Brunchers</t>
  </si>
  <si>
    <t>1 tipo di pancake, 1 tipo di uova, 1 tipo di bagel, 1 bevanda</t>
  </si>
  <si>
    <t>1 fritto e 3 tranci piccoli di pizze diverse</t>
  </si>
  <si>
    <t>bloccato per Matteo Damiani</t>
  </si>
  <si>
    <t>Luca Veglianti</t>
  </si>
  <si>
    <t>Elisa Del Frate</t>
  </si>
  <si>
    <t>Andrea Angiolino</t>
  </si>
  <si>
    <t>Brado</t>
  </si>
  <si>
    <t>carne / selvaggina</t>
  </si>
  <si>
    <t>Viale Amelia, 42</t>
  </si>
  <si>
    <t>375/5140851</t>
  </si>
  <si>
    <t>Valentino Affinita</t>
  </si>
  <si>
    <t>Giorgio Sorbino</t>
  </si>
  <si>
    <t>Poldo e Gianna</t>
  </si>
  <si>
    <t>Vicolo Rosini, 6</t>
  </si>
  <si>
    <t>Parlamento</t>
  </si>
  <si>
    <t>06/6893499</t>
  </si>
  <si>
    <t>Giulia Maria Bellucci</t>
  </si>
  <si>
    <t>Bless</t>
  </si>
  <si>
    <t>Via dell’Indipendenza, 208</t>
  </si>
  <si>
    <t>Gaeta</t>
  </si>
  <si>
    <t>0771/030188</t>
  </si>
  <si>
    <t>Via Marcantonio Bragadin, 13</t>
  </si>
  <si>
    <t>348/4302368 - 06/69459860</t>
  </si>
  <si>
    <t>Via Emilio Faà di Bruno, 31</t>
  </si>
  <si>
    <t>392/4799773</t>
  </si>
  <si>
    <t>4 piatti scelti dalle varie categorie</t>
  </si>
  <si>
    <t>Forno Ritorno</t>
  </si>
  <si>
    <t>forno / caffetteria</t>
  </si>
  <si>
    <t>Via Amerigo Vespucci, 20</t>
  </si>
  <si>
    <t>392/7768427</t>
  </si>
  <si>
    <t>Pizza Baar</t>
  </si>
  <si>
    <t>pizzeria al taglio / caffetteria specialty</t>
  </si>
  <si>
    <t xml:space="preserve">Via di Donna Olimpia, 71 </t>
  </si>
  <si>
    <t>Vineria Risorgimento</t>
  </si>
  <si>
    <t>Piazza del Risorgimento, 7</t>
  </si>
  <si>
    <t>06/89533745</t>
  </si>
  <si>
    <t>i calice di vino, 1 pane&amp;olio (per verificare lo stato dell'olio), 1 piatto dalla sezione Gastronomia, 1 piatto da Padellotto (no solo verdure), 1 trancio di pizza</t>
  </si>
  <si>
    <t>Slow</t>
  </si>
  <si>
    <t>caffetteria specilty / bakery</t>
  </si>
  <si>
    <t>Corso Vittorio Emanuele II, 73</t>
  </si>
  <si>
    <t>Largo di Torre Argentina</t>
  </si>
  <si>
    <t>Alla Magnatora</t>
  </si>
  <si>
    <t>0775/1626000</t>
  </si>
  <si>
    <t>Via Volubro, 4</t>
  </si>
  <si>
    <t>Marco Silleni</t>
  </si>
  <si>
    <t>Ie Koji Sakaba</t>
  </si>
  <si>
    <t>Ie Koji Japanese Izakaya</t>
  </si>
  <si>
    <t>Mr. Meat Kitchen and Grill</t>
  </si>
  <si>
    <t>carne</t>
  </si>
  <si>
    <t>Via di Salone, 248</t>
  </si>
  <si>
    <t>Settecamini</t>
  </si>
  <si>
    <t>345/1764800</t>
  </si>
  <si>
    <t>Viale delle Orchidee, 100</t>
  </si>
  <si>
    <t>349/2422046</t>
  </si>
  <si>
    <t>100C Vino e Pesce</t>
  </si>
  <si>
    <t>1 montanara, 1 pizza Bruma, 1 pizza Roots, 1 spicchio doppio crunch</t>
  </si>
  <si>
    <t>Francesca Sebastio</t>
  </si>
  <si>
    <t>bloccato per Anca Enache</t>
  </si>
  <si>
    <t>Futura</t>
  </si>
  <si>
    <t>Piazza di Santa Maria Liberatrice, 31</t>
  </si>
  <si>
    <t>375/6342191</t>
  </si>
  <si>
    <t>Crunch Teglia</t>
  </si>
  <si>
    <t>Via della Bufalotta, 284</t>
  </si>
  <si>
    <t>06/99606077</t>
  </si>
  <si>
    <t>bloccato per Vanessa Picena</t>
  </si>
  <si>
    <t xml:space="preserve">Angelino "ai Fori" dal 1947 </t>
  </si>
  <si>
    <t>Largo Corrado Ricci, 40</t>
  </si>
  <si>
    <t>Fori Imperiali</t>
  </si>
  <si>
    <t>06/6791121</t>
  </si>
  <si>
    <t>antipasto (no salumi e formaggi), primo (preferibilmente della tradizione romana), secondo, dolce</t>
  </si>
  <si>
    <t>Controluce</t>
  </si>
  <si>
    <t>Via della Luce, 44</t>
  </si>
  <si>
    <t>06/5814839</t>
  </si>
  <si>
    <t>1 antipasto, 1 primo, 1 secondo, 1 dolce (no piatti semplici)</t>
  </si>
  <si>
    <t>Concreto Cucina e Vino</t>
  </si>
  <si>
    <t>Via Marianna Dionigi, 4</t>
  </si>
  <si>
    <t>06/5415084</t>
  </si>
  <si>
    <t xml:space="preserve">novità </t>
  </si>
  <si>
    <t>3 piatti salati (no giardiniera, no selezione formaggi e salumi, no sfizi iniziali)+ 1 dolce</t>
  </si>
  <si>
    <t>Via Antonio Cantore, 13</t>
  </si>
  <si>
    <t>Anca Enache</t>
  </si>
  <si>
    <t>Piazza delle Erbe, 16</t>
  </si>
  <si>
    <t>348/7277746</t>
  </si>
  <si>
    <t>Bottega Popolare</t>
  </si>
  <si>
    <t>cucina piemontese</t>
  </si>
  <si>
    <t>Via Andrea Doria, 41 Mercato Trionfale Box 113</t>
  </si>
  <si>
    <t>334/3351068</t>
  </si>
  <si>
    <t>farinata, plin, vitello tonnato</t>
  </si>
  <si>
    <t>Forno Bianchi</t>
  </si>
  <si>
    <t>forno / pizzeria</t>
  </si>
  <si>
    <t>Largo delle Sette Chiese, 16</t>
  </si>
  <si>
    <t>2 pezzi di pizza diversi+1 croissant salato</t>
  </si>
  <si>
    <t>Mrgda Ristorante</t>
  </si>
  <si>
    <t>etiope / eritrea</t>
  </si>
  <si>
    <t>Via Prenestina, 182</t>
  </si>
  <si>
    <t>329/933355</t>
  </si>
  <si>
    <t>Schenardino - Cucina Pizza &amp; Vino</t>
  </si>
  <si>
    <t>Specus</t>
  </si>
  <si>
    <t>Via Casilina, 315</t>
  </si>
  <si>
    <t>Valmontone</t>
  </si>
  <si>
    <t>06/89522332</t>
  </si>
  <si>
    <t>SupplicAmy</t>
  </si>
  <si>
    <t>Viale Parioli, 69</t>
  </si>
  <si>
    <t>377/3192153</t>
  </si>
  <si>
    <t>Vanessa Picena</t>
  </si>
  <si>
    <t>Sando Ie Koji</t>
  </si>
  <si>
    <t>street food giapponese</t>
  </si>
  <si>
    <t>Via Andrea Doria, 32</t>
  </si>
  <si>
    <t>392/8208889</t>
  </si>
  <si>
    <t>Brasserie La Neige</t>
  </si>
  <si>
    <t>Piazzale Plan De Valli, 50</t>
  </si>
  <si>
    <t>Terminillo</t>
  </si>
  <si>
    <t>379/1573597</t>
  </si>
  <si>
    <t>POP Pizzeria Popolare</t>
  </si>
  <si>
    <t>Largo Appio Claudio, 384</t>
  </si>
  <si>
    <t>351/7850356</t>
  </si>
  <si>
    <t>347/6145569</t>
  </si>
  <si>
    <t>Laverve fermenteria</t>
  </si>
  <si>
    <t>kombucha bar</t>
  </si>
  <si>
    <t>Via di Portonaccio, 21</t>
  </si>
  <si>
    <t>340/0832288</t>
  </si>
  <si>
    <t>kombucha alla spina, cocktail base kombucha e 2 sfizi (no patatine)</t>
  </si>
  <si>
    <t>Località Seripola, snc</t>
  </si>
  <si>
    <t>Via Guglielmo Calderini, 64</t>
  </si>
  <si>
    <t>Cesano</t>
  </si>
  <si>
    <t>Via Giovanni da Castel Bolognese, 63</t>
  </si>
  <si>
    <t>Via del Piè di Marmo, 28</t>
  </si>
  <si>
    <t>Largo Magnagrecia, 4</t>
  </si>
  <si>
    <t>Piazza S. Donà di Piave, 14</t>
  </si>
  <si>
    <t>Via dei Basaldella</t>
  </si>
  <si>
    <t>Viale delle Provincie, 30</t>
  </si>
  <si>
    <t>Viale Battista Bardanzellu, 77</t>
  </si>
  <si>
    <t>Via Tor de' Schiavi, 295</t>
  </si>
  <si>
    <t>Via Flaminia, 732</t>
  </si>
  <si>
    <t>Via di Monte Polacco, 4</t>
  </si>
  <si>
    <t>Salita de' Crescenzi, 31</t>
  </si>
  <si>
    <t>GPS</t>
  </si>
  <si>
    <t>40.895192392463066, 12.967058864523024</t>
  </si>
  <si>
    <t>40.79678482724941, 13.431396627622997</t>
  </si>
  <si>
    <t>41.639568304291025, 12.914128534051267</t>
  </si>
  <si>
    <t>41.52541475846666, 13.154755650341361</t>
  </si>
  <si>
    <t>41.668130127692955, 13.606285625808828</t>
  </si>
  <si>
    <t>41.63148771384029, 13.713537624096158</t>
  </si>
  <si>
    <t>41.39343717130358, 13.520841403709602</t>
  </si>
  <si>
    <t>42.09074687985093, 12.262343120947389</t>
  </si>
  <si>
    <t>42.47050614347387, 12.359566954675824</t>
  </si>
  <si>
    <t>42.38615019515154, 12.495906231519927</t>
  </si>
  <si>
    <t>42.45690899942159, 12.978489249161939</t>
  </si>
  <si>
    <t>42.498441707211114, 12.849190594785567</t>
  </si>
  <si>
    <t>42.63589349730473, 12.10927651128648</t>
  </si>
  <si>
    <t>42.24496578825659, 12.692992578950797</t>
  </si>
  <si>
    <t>42.08197413933925, 12.34996953999624</t>
  </si>
  <si>
    <t>41.94512375144278, 12.472919696984244</t>
  </si>
  <si>
    <t>41.94568113790995, 12.473223499943083</t>
  </si>
  <si>
    <t>41.94655573927396, 12.473496611504828</t>
  </si>
  <si>
    <t>41.9397435293709, 12.46968372581943</t>
  </si>
  <si>
    <t>41.9142700552323, 12.474733789090989</t>
  </si>
  <si>
    <t>41.91405522000567, 12.47504955492014</t>
  </si>
  <si>
    <t>41.77138755806573, 12.228188973513207</t>
  </si>
  <si>
    <t>41.77134406682577, 12.229144156450465</t>
  </si>
  <si>
    <t>41.77138359115486, 12.229620634749661</t>
  </si>
  <si>
    <t>41.51116783711071, 12.741851017737611</t>
  </si>
  <si>
    <t>41.8944379009184, 12.493778041993513</t>
  </si>
  <si>
    <t>41.94435489991688, 12.469034833268445</t>
  </si>
  <si>
    <t>41.89638993454456, 12.476047171258973</t>
  </si>
  <si>
    <t>41.9043954992026, 12.47526483926433</t>
  </si>
  <si>
    <t>41.90816049359635, 12.476063715583715</t>
  </si>
  <si>
    <t>41.89776107504589, 12.468759116941461</t>
  </si>
  <si>
    <t>41.37728946359321, 13.737764537660487</t>
  </si>
  <si>
    <t>41.82955701496672, 13.166111144621077</t>
  </si>
  <si>
    <t>41.82857927673047, 13.143353525815082</t>
  </si>
  <si>
    <t>41.80976549234967, 13.122920514770096</t>
  </si>
  <si>
    <t>41.89472309055656, 12.474234812461015</t>
  </si>
  <si>
    <t>41.89456883018618, 12.474274381610769</t>
  </si>
  <si>
    <t>Luca Veglianti (chiuso)</t>
  </si>
  <si>
    <t>41.768741212395845, 12.661723908109279</t>
  </si>
  <si>
    <t>IMHO</t>
  </si>
  <si>
    <t>Via Renzo da Ceri, 6</t>
  </si>
  <si>
    <t>06/94410660</t>
  </si>
  <si>
    <t>41.89206094245367, 12.5381366209542</t>
  </si>
  <si>
    <t>Radici Social Food</t>
  </si>
  <si>
    <t>brunch / caffetteria specialty</t>
  </si>
  <si>
    <t>Via Val Chisone, 28</t>
  </si>
  <si>
    <t>41.93387740594664, 12.52730874517291</t>
  </si>
  <si>
    <t>06/85353456</t>
  </si>
  <si>
    <t>41.8956791569936, 12.501959002216351</t>
  </si>
  <si>
    <t>41.89679564973395, 12.499504573152592</t>
  </si>
  <si>
    <t>Chinappi dal Presidente</t>
  </si>
  <si>
    <t>principalmente pesce / pizzeria</t>
  </si>
  <si>
    <t>Via Anfiteatro, 8</t>
  </si>
  <si>
    <t>41.257529410024596, 13.607647265635304</t>
  </si>
  <si>
    <t>0771/790002</t>
  </si>
  <si>
    <t>Gelateria Numa</t>
  </si>
  <si>
    <t>Via Franco Sacchetti, 105</t>
  </si>
  <si>
    <t>352/0104703</t>
  </si>
  <si>
    <t>41.94700822535606, 12.54287904662492</t>
  </si>
  <si>
    <t>Osteria al Forno di Agnese</t>
  </si>
  <si>
    <t>Civita di Bagnoregio</t>
  </si>
  <si>
    <t>Via S. Maria del Cassero</t>
  </si>
  <si>
    <t>0761/792571</t>
  </si>
  <si>
    <t>42.62801832889736, 12.113497979928281</t>
  </si>
  <si>
    <t>Matteo Damiani</t>
  </si>
  <si>
    <t>Parco delle Querce</t>
  </si>
  <si>
    <t>Orsola</t>
  </si>
  <si>
    <t>Il Filo Rosso di Coralli</t>
  </si>
  <si>
    <t>Leon d'Oro</t>
  </si>
  <si>
    <t>Bacchettone e Zazzà</t>
  </si>
  <si>
    <t>Piazzetta del Sole</t>
  </si>
  <si>
    <t>0761/458606</t>
  </si>
  <si>
    <t>Via XX Settembre, 129</t>
  </si>
  <si>
    <t>Farnese</t>
  </si>
  <si>
    <t>42.54204862838347, 11.832933159518674</t>
  </si>
  <si>
    <t>Km 15, SP13</t>
  </si>
  <si>
    <t>Valentano</t>
  </si>
  <si>
    <t>331/7702747</t>
  </si>
  <si>
    <t>42.54891885981214, 11.722242354291765</t>
  </si>
  <si>
    <t>0766/96070</t>
  </si>
  <si>
    <t>Allumiere</t>
  </si>
  <si>
    <t>Piazza della Repubblica, 4</t>
  </si>
  <si>
    <t>42.15604104501563, 11.902343389858135</t>
  </si>
  <si>
    <t>339/3998616</t>
  </si>
  <si>
    <t>Via Costa Del Sole, snc</t>
  </si>
  <si>
    <t>Collebaccaro</t>
  </si>
  <si>
    <t>42.39219014190762, 12.772112791252264</t>
  </si>
  <si>
    <t>Leonessa</t>
  </si>
  <si>
    <t>Corso San Giuseppe da Leonessa, 120</t>
  </si>
  <si>
    <t>0746/923320</t>
  </si>
  <si>
    <t>42.56262903667231, 12.963527058287966</t>
  </si>
  <si>
    <t>0775/662091</t>
  </si>
  <si>
    <t>Via dell'Orologio, 11/A</t>
  </si>
  <si>
    <t>Castro dei Volsci</t>
  </si>
  <si>
    <t>41.50866221112778, 13.40640249472946</t>
  </si>
  <si>
    <t>La Locanda del Ditirambo</t>
  </si>
  <si>
    <t>Castelforte</t>
  </si>
  <si>
    <t>principalmente carne</t>
  </si>
  <si>
    <t>Via delle Terme, 77</t>
  </si>
  <si>
    <t>0771/607015</t>
  </si>
  <si>
    <t>41.28954879741742, 13.83952498668336</t>
  </si>
  <si>
    <t>42.40925664400598, 12.76587676294282</t>
  </si>
  <si>
    <t>Via del Pellegrino, 63/65</t>
  </si>
  <si>
    <t>Terracotta Osteria con Brace</t>
  </si>
  <si>
    <t>osteria con brace</t>
  </si>
  <si>
    <t>Viale Maresciallo Pilsudski, 44</t>
  </si>
  <si>
    <t>393/0692511</t>
  </si>
  <si>
    <t>Origine</t>
  </si>
  <si>
    <t>Via Corinto, 66</t>
  </si>
  <si>
    <t>06/83405656</t>
  </si>
  <si>
    <t>Da Zacca ar 20</t>
  </si>
  <si>
    <t>Via Domenico Millelire, 20</t>
  </si>
  <si>
    <t>345/5017051</t>
  </si>
  <si>
    <t>41.90530306820849, 12.44651286331835</t>
  </si>
  <si>
    <t>Cipro</t>
  </si>
  <si>
    <t>Gordito</t>
  </si>
  <si>
    <t>Via Francesco Coletti, 21</t>
  </si>
  <si>
    <t>Vigna Clara</t>
  </si>
  <si>
    <t>366/5038646</t>
  </si>
  <si>
    <t>41.94641094326607, 12.465099700815312</t>
  </si>
  <si>
    <t>Pizzeria Der Biondo</t>
  </si>
  <si>
    <t>Via Tuscolana, 1472</t>
  </si>
  <si>
    <t>393/1161874</t>
  </si>
  <si>
    <t>Via Tornimparte, 3A</t>
  </si>
  <si>
    <t>Castelverde</t>
  </si>
  <si>
    <t>340/2752791</t>
  </si>
  <si>
    <t>41.819274095380585, 12.647856071662343</t>
  </si>
  <si>
    <t>Scambio Cucina Condivisa</t>
  </si>
  <si>
    <t>Via Federico Cesi, 22</t>
  </si>
  <si>
    <t>06/95008310</t>
  </si>
  <si>
    <t>41.90631739386229, 12.47060841676495</t>
  </si>
  <si>
    <t>Crema Alta Gelateria</t>
  </si>
  <si>
    <t>Via Leone IV, 62a</t>
  </si>
  <si>
    <t>Via Giulia, 18</t>
  </si>
  <si>
    <t>06/68805851</t>
  </si>
  <si>
    <t>06/42917005</t>
  </si>
  <si>
    <t>41.89563754119089, 12.468609293963063</t>
  </si>
  <si>
    <t>41.90996742029194, 12.454795365832444</t>
  </si>
  <si>
    <t>Largo Trionfale</t>
  </si>
  <si>
    <t>Via degli Stradivari, 25</t>
  </si>
  <si>
    <t>06/69310694</t>
  </si>
  <si>
    <t>Via Gallia, 83</t>
  </si>
  <si>
    <t>Ruvido</t>
  </si>
  <si>
    <t>Via Apulia, 11</t>
  </si>
  <si>
    <t>06/97619059</t>
  </si>
  <si>
    <t>41.88173174194172, 12.504400880125283</t>
  </si>
  <si>
    <t>due piatti principali + calice di vino</t>
  </si>
  <si>
    <t>Labhalo</t>
  </si>
  <si>
    <t>Via Giuseppe Candiani, 69</t>
  </si>
  <si>
    <t>Tor Tre Teste</t>
  </si>
  <si>
    <t>327/4576545</t>
  </si>
  <si>
    <t>fast fusion food</t>
  </si>
  <si>
    <t>41.891703213366675, 12.584924888955737</t>
  </si>
  <si>
    <t>1 snack (no nachos, no plant), 1 bao o 1 taco, 1 ciotola piccola con proteine</t>
  </si>
  <si>
    <t>41.861343527588865, 12.18767684194969</t>
  </si>
  <si>
    <t>Osteria Pontina</t>
  </si>
  <si>
    <t>Via Anime Sante, 31</t>
  </si>
  <si>
    <t>338/2477534</t>
  </si>
  <si>
    <t>41.55425946313123, 12.962091128660296</t>
  </si>
  <si>
    <t>Vetro</t>
  </si>
  <si>
    <t>snack bar</t>
  </si>
  <si>
    <t>Viale Carso, 17</t>
  </si>
  <si>
    <t>06/69317804</t>
  </si>
  <si>
    <t>41.919368054530466, 12.45991023163961</t>
  </si>
  <si>
    <t>Piazzale Clodio</t>
  </si>
  <si>
    <t>41.90607809405537, 12.53551711972588</t>
  </si>
  <si>
    <t>41.934777415596464, 12.420204632620242</t>
  </si>
  <si>
    <t>Clove</t>
  </si>
  <si>
    <t>Via dei Gracchi, 229</t>
  </si>
  <si>
    <t>06/35291876</t>
  </si>
  <si>
    <t>1 menù pranzo oppure due spicchi salati e un fritto</t>
  </si>
  <si>
    <t>Sbracio</t>
  </si>
  <si>
    <t>Via Enrico Fermi, 142</t>
  </si>
  <si>
    <t>06/45544466</t>
  </si>
  <si>
    <t>41.864863982721744, 12.473675090627594</t>
  </si>
  <si>
    <t>Alicina</t>
  </si>
  <si>
    <t>Via Riano, 15 - Mercato Rionale Ponte Milvio, box 8-9-10</t>
  </si>
  <si>
    <t>335/7743957</t>
  </si>
  <si>
    <t>41.93843330293366, 12.469444484857682</t>
  </si>
  <si>
    <t>Piazza dei Quiriti, 19/20</t>
  </si>
  <si>
    <t>06/31076456</t>
  </si>
  <si>
    <t>Aqualunae</t>
  </si>
  <si>
    <t>Caffè Colombo</t>
  </si>
  <si>
    <t>Via Bartolomeo Cavaceppi, 103/111</t>
  </si>
  <si>
    <t>1 caffè, 1 cappuccino, 2 lieviti (1 tradizionale, 1 vegano)</t>
  </si>
  <si>
    <t>06/59879544</t>
  </si>
  <si>
    <t>41.79699881917897, 12.430385400824383</t>
  </si>
  <si>
    <t>Parseh</t>
  </si>
  <si>
    <t>persiana</t>
  </si>
  <si>
    <t>Via Isidoro di Carace, 6</t>
  </si>
  <si>
    <t>351/7745120</t>
  </si>
  <si>
    <t>3 piatti salati, 1 dolce</t>
  </si>
  <si>
    <t>caffèa specialty / brunch</t>
  </si>
  <si>
    <t>Origini Cibo e Vino</t>
  </si>
  <si>
    <t>Via della Pila, 14</t>
  </si>
  <si>
    <t>328/2466250</t>
  </si>
  <si>
    <t>41.922880689590514, 13.09081426816814</t>
  </si>
  <si>
    <t>Rimessa F.A.B.</t>
  </si>
  <si>
    <t>Via delle Zoccolette, 28</t>
  </si>
  <si>
    <t>06/95550234</t>
  </si>
  <si>
    <t>41.89282296914112, 12.472263712577922</t>
  </si>
  <si>
    <t>Raimondo</t>
  </si>
  <si>
    <t>Via Rosa Raimondi Garibaldi, 4</t>
  </si>
  <si>
    <t>06/86673381</t>
  </si>
  <si>
    <t>41.85970610279957, 12.493624587269387</t>
  </si>
  <si>
    <t>Via del Velabro, 9</t>
  </si>
  <si>
    <t>Circo Massimo</t>
  </si>
  <si>
    <t>41.889136189812106, 12.482551076173982</t>
  </si>
  <si>
    <t>Nakai</t>
  </si>
  <si>
    <t>Via di Santa Maria alle Fornaci, 14</t>
  </si>
  <si>
    <t>06/5133215</t>
  </si>
  <si>
    <t>41.898029886075065, 12.455706103885415</t>
  </si>
  <si>
    <t>La Tartaruga</t>
  </si>
  <si>
    <t>Via degli Ontani, 5</t>
  </si>
  <si>
    <t>Colleferro</t>
  </si>
  <si>
    <t>393/2933251</t>
  </si>
  <si>
    <t>41.722300234899336, 12.985776634939107</t>
  </si>
  <si>
    <t>Via Cesare Battisti, 30</t>
  </si>
  <si>
    <t>352/0640619</t>
  </si>
  <si>
    <t>Le Murelle</t>
  </si>
  <si>
    <t>Strada delle Murelle</t>
  </si>
  <si>
    <t>Montalto di Castro</t>
  </si>
  <si>
    <t>380/3424684</t>
  </si>
  <si>
    <t>42.31012456889271, 11.603388514188062</t>
  </si>
  <si>
    <t>Albertino alla Garbatella
--
Albertino alla Garbatella</t>
  </si>
  <si>
    <t>Via Guglielmo Massaia, 25/b</t>
  </si>
  <si>
    <t>392/7753940</t>
  </si>
  <si>
    <t>41.864422414935156, 12.492143684658373</t>
  </si>
  <si>
    <t>Il Duca in Trastevere</t>
  </si>
  <si>
    <t>Vicolo del Cinque, 56</t>
  </si>
  <si>
    <t>06/5817706</t>
  </si>
  <si>
    <t>41.89062969509955, 12.469286624826061</t>
  </si>
  <si>
    <t>Pepe Nero</t>
  </si>
  <si>
    <t>Viale Regina Margherita, snc</t>
  </si>
  <si>
    <t>Capodimonte</t>
  </si>
  <si>
    <t>0761/871909</t>
  </si>
  <si>
    <t>42.553602550849845, 11.89465268098301</t>
  </si>
  <si>
    <t>Hosteria Amedeo</t>
  </si>
  <si>
    <t>Via Montecompatri, 31</t>
  </si>
  <si>
    <t>Monte Porzio Catone</t>
  </si>
  <si>
    <t>06/94341163</t>
  </si>
  <si>
    <t>41.809800593317306, 12.726402166442702</t>
  </si>
  <si>
    <t>41.82441192672199, 12.794924682160278</t>
  </si>
  <si>
    <t xml:space="preserve">Il Picchio </t>
  </si>
  <si>
    <t>Piazza Vittorio Emanuele, 33</t>
  </si>
  <si>
    <t>Torano</t>
  </si>
  <si>
    <t>348/2328300</t>
  </si>
  <si>
    <t>42.1527981195671, 13.25939272388225</t>
  </si>
  <si>
    <t>Vico Pizza &amp; Wine</t>
  </si>
  <si>
    <t>Piazza Rondanini, 47</t>
  </si>
  <si>
    <t>06/87809501</t>
  </si>
  <si>
    <t>41.89979359752863, 12.475981967920298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</si>
</sst>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22"/>
        <bgColor indexed="0"/>
      </patternFill>
    </fill>
    <fill>
      <patternFill patternType="solid">
        <fgColor indexed="1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23">
    <xf numFmtId="0" fontId="0" fillId="0" borderId="0"/>
    <xf numFmtId="0" fontId="14" fillId="0" borderId="0" applyNumberFormat="0" applyFill="0" applyBorder="0" applyAlignment="0" applyProtection="0">
      <alignment vertical="top"/>
      <protection locked="0"/>
    </xf>
    <xf numFmtId="164" fontId="13" fillId="0" borderId="0" applyFont="0" applyFill="0" applyBorder="0" applyAlignment="0" applyProtection="0"/>
    <xf numFmtId="0" fontId="6" fillId="0" borderId="0"/>
    <xf numFmtId="0" fontId="3" fillId="0" borderId="0"/>
    <xf numFmtId="0" fontId="13" fillId="0" borderId="0"/>
    <xf numFmtId="0" fontId="3" fillId="0" borderId="0"/>
    <xf numFmtId="0" fontId="7" fillId="0" borderId="0"/>
    <xf numFmtId="0" fontId="5" fillId="0" borderId="0"/>
    <xf numFmtId="0" fontId="9" fillId="0" borderId="0"/>
    <xf numFmtId="0" fontId="5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69">
    <xf numFmtId="0" fontId="0" fillId="0" borderId="0" xfId="0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8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center" vertical="center"/>
    </xf>
    <xf numFmtId="0" fontId="3" fillId="0" borderId="0" xfId="8" applyFont="1" applyAlignment="1">
      <alignment vertical="center" wrapText="1"/>
    </xf>
    <xf numFmtId="0" fontId="10" fillId="0" borderId="0" xfId="9" applyFont="1" applyAlignment="1">
      <alignment horizontal="center" wrapText="1"/>
    </xf>
    <xf numFmtId="0" fontId="10" fillId="0" borderId="0" xfId="9" applyFont="1" applyAlignment="1">
      <alignment wrapText="1"/>
    </xf>
    <xf numFmtId="0" fontId="10" fillId="0" borderId="0" xfId="9" applyFont="1" applyAlignment="1">
      <alignment horizontal="left" wrapText="1"/>
    </xf>
    <xf numFmtId="0" fontId="8" fillId="3" borderId="4" xfId="7" applyFont="1" applyFill="1" applyBorder="1" applyAlignment="1">
      <alignment horizontal="center"/>
    </xf>
    <xf numFmtId="0" fontId="8" fillId="0" borderId="0" xfId="9" applyFont="1" applyAlignment="1">
      <alignment horizontal="left" wrapText="1"/>
    </xf>
    <xf numFmtId="0" fontId="8" fillId="0" borderId="0" xfId="9" applyFont="1" applyAlignment="1">
      <alignment wrapText="1"/>
    </xf>
    <xf numFmtId="0" fontId="8" fillId="0" borderId="0" xfId="9" applyFont="1" applyAlignment="1">
      <alignment horizontal="center" wrapText="1"/>
    </xf>
    <xf numFmtId="0" fontId="11" fillId="4" borderId="5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 wrapText="1"/>
    </xf>
    <xf numFmtId="0" fontId="11" fillId="6" borderId="5" xfId="0" applyFont="1" applyFill="1" applyBorder="1" applyAlignment="1">
      <alignment horizontal="center" vertical="center"/>
    </xf>
    <xf numFmtId="0" fontId="11" fillId="7" borderId="5" xfId="0" applyFont="1" applyFill="1" applyBorder="1" applyAlignment="1">
      <alignment horizontal="center" vertical="center" wrapText="1"/>
    </xf>
    <xf numFmtId="0" fontId="11" fillId="8" borderId="0" xfId="8" applyFont="1" applyFill="1" applyAlignment="1">
      <alignment horizontal="center" vertical="center" wrapText="1"/>
    </xf>
    <xf numFmtId="0" fontId="8" fillId="3" borderId="6" xfId="10" applyFont="1" applyFill="1" applyBorder="1" applyAlignment="1">
      <alignment horizontal="center"/>
    </xf>
    <xf numFmtId="0" fontId="8" fillId="3" borderId="4" xfId="9" applyFont="1" applyFill="1" applyBorder="1" applyAlignment="1">
      <alignment horizontal="left"/>
    </xf>
    <xf numFmtId="0" fontId="8" fillId="3" borderId="6" xfId="10" applyFont="1" applyFill="1" applyBorder="1" applyAlignment="1">
      <alignment horizontal="left"/>
    </xf>
    <xf numFmtId="0" fontId="11" fillId="9" borderId="5" xfId="0" applyFont="1" applyFill="1" applyBorder="1" applyAlignment="1">
      <alignment horizontal="center" vertical="center"/>
    </xf>
    <xf numFmtId="0" fontId="10" fillId="10" borderId="0" xfId="9" applyFont="1" applyFill="1" applyAlignment="1">
      <alignment horizontal="center" wrapText="1"/>
    </xf>
    <xf numFmtId="0" fontId="10" fillId="10" borderId="0" xfId="9" applyFont="1" applyFill="1" applyAlignment="1">
      <alignment wrapText="1"/>
    </xf>
    <xf numFmtId="0" fontId="3" fillId="10" borderId="0" xfId="8" applyFont="1" applyFill="1" applyAlignment="1">
      <alignment horizontal="center" vertical="center" wrapText="1"/>
    </xf>
    <xf numFmtId="0" fontId="8" fillId="10" borderId="0" xfId="9" applyFont="1" applyFill="1" applyAlignment="1">
      <alignment horizontal="left" wrapText="1"/>
    </xf>
    <xf numFmtId="0" fontId="3" fillId="10" borderId="0" xfId="0" applyFont="1" applyFill="1" applyAlignment="1">
      <alignment horizontal="center" vertical="center"/>
    </xf>
    <xf numFmtId="0" fontId="8" fillId="10" borderId="0" xfId="9" applyFont="1" applyFill="1" applyAlignment="1">
      <alignment wrapText="1"/>
    </xf>
    <xf numFmtId="0" fontId="8" fillId="10" borderId="0" xfId="9" applyFont="1" applyFill="1" applyAlignment="1">
      <alignment horizontal="center" wrapText="1"/>
    </xf>
    <xf numFmtId="0" fontId="10" fillId="9" borderId="0" xfId="9" applyFont="1" applyFill="1" applyAlignment="1">
      <alignment horizontal="center" wrapText="1"/>
    </xf>
    <xf numFmtId="0" fontId="10" fillId="9" borderId="0" xfId="9" applyFont="1" applyFill="1" applyAlignment="1">
      <alignment wrapText="1"/>
    </xf>
    <xf numFmtId="0" fontId="3" fillId="9" borderId="0" xfId="8" applyFont="1" applyFill="1" applyAlignment="1">
      <alignment horizontal="center" vertical="center" wrapText="1"/>
    </xf>
    <xf numFmtId="0" fontId="8" fillId="9" borderId="0" xfId="9" applyFont="1" applyFill="1" applyAlignment="1">
      <alignment horizontal="left" wrapText="1"/>
    </xf>
    <xf numFmtId="0" fontId="10" fillId="9" borderId="0" xfId="9" applyFont="1" applyFill="1" applyAlignment="1">
      <alignment horizontal="left" wrapText="1"/>
    </xf>
    <xf numFmtId="0" fontId="3" fillId="9" borderId="0" xfId="0" applyFont="1" applyFill="1" applyAlignment="1">
      <alignment horizontal="center" vertical="center"/>
    </xf>
    <xf numFmtId="0" fontId="10" fillId="5" borderId="0" xfId="9" applyFont="1" applyFill="1" applyAlignment="1">
      <alignment horizontal="center" wrapText="1"/>
    </xf>
    <xf numFmtId="0" fontId="10" fillId="5" borderId="0" xfId="9" applyFont="1" applyFill="1" applyAlignment="1">
      <alignment wrapText="1"/>
    </xf>
    <xf numFmtId="0" fontId="3" fillId="5" borderId="0" xfId="8" applyFont="1" applyFill="1" applyAlignment="1">
      <alignment horizontal="center" vertical="center" wrapText="1"/>
    </xf>
    <xf numFmtId="0" fontId="8" fillId="5" borderId="0" xfId="9" applyFont="1" applyFill="1" applyAlignment="1">
      <alignment horizontal="left" wrapText="1"/>
    </xf>
    <xf numFmtId="0" fontId="3" fillId="5" borderId="0" xfId="0" applyFont="1" applyFill="1" applyAlignment="1">
      <alignment horizontal="center" vertical="center"/>
    </xf>
    <xf numFmtId="0" fontId="10" fillId="6" borderId="0" xfId="9" applyFont="1" applyFill="1" applyAlignment="1">
      <alignment horizontal="center" wrapText="1"/>
    </xf>
    <xf numFmtId="0" fontId="10" fillId="6" borderId="0" xfId="9" applyFont="1" applyFill="1" applyAlignment="1">
      <alignment wrapText="1"/>
    </xf>
    <xf numFmtId="0" fontId="3" fillId="6" borderId="0" xfId="8" applyFont="1" applyFill="1" applyAlignment="1">
      <alignment horizontal="center" vertical="center" wrapText="1"/>
    </xf>
    <xf numFmtId="0" fontId="8" fillId="6" borderId="0" xfId="9" applyFont="1" applyFill="1" applyAlignment="1">
      <alignment horizontal="left" wrapText="1"/>
    </xf>
    <xf numFmtId="0" fontId="3" fillId="6" borderId="0" xfId="0" applyFont="1" applyFill="1" applyAlignment="1">
      <alignment horizontal="center" vertical="center"/>
    </xf>
    <xf numFmtId="0" fontId="8" fillId="9" borderId="0" xfId="9" applyFont="1" applyFill="1" applyAlignment="1">
      <alignment wrapText="1"/>
    </xf>
    <xf numFmtId="0" fontId="8" fillId="6" borderId="0" xfId="9" applyFont="1" applyFill="1" applyAlignment="1">
      <alignment wrapText="1"/>
    </xf>
    <xf numFmtId="0" fontId="5" fillId="10" borderId="0" xfId="9" applyFont="1" applyFill="1" applyAlignment="1">
      <alignment horizontal="center" wrapText="1"/>
    </xf>
    <xf numFmtId="0" fontId="10" fillId="8" borderId="0" xfId="9" applyFont="1" applyFill="1" applyAlignment="1">
      <alignment horizontal="center" wrapText="1"/>
    </xf>
    <xf numFmtId="0" fontId="10" fillId="8" borderId="0" xfId="9" applyFont="1" applyFill="1" applyAlignment="1">
      <alignment wrapText="1"/>
    </xf>
    <xf numFmtId="0" fontId="3" fillId="8" borderId="0" xfId="8" applyFont="1" applyFill="1" applyAlignment="1">
      <alignment horizontal="center" vertical="center" wrapText="1"/>
    </xf>
    <xf numFmtId="0" fontId="8" fillId="8" borderId="0" xfId="9" applyFont="1" applyFill="1" applyAlignment="1">
      <alignment horizontal="left" wrapText="1"/>
    </xf>
    <xf numFmtId="0" fontId="10" fillId="8" borderId="0" xfId="9" applyFont="1" applyFill="1" applyAlignment="1">
      <alignment horizontal="left" wrapText="1"/>
    </xf>
    <xf numFmtId="0" fontId="3" fillId="8" borderId="0" xfId="0" applyFont="1" applyFill="1" applyAlignment="1">
      <alignment horizontal="center" vertical="center"/>
    </xf>
    <xf numFmtId="0" fontId="8" fillId="6" borderId="0" xfId="9" applyFont="1" applyFill="1" applyAlignment="1">
      <alignment horizontal="center" wrapText="1"/>
    </xf>
    <xf numFmtId="0" fontId="8" fillId="5" borderId="0" xfId="9" applyFont="1" applyFill="1" applyAlignment="1">
      <alignment wrapText="1"/>
    </xf>
    <xf numFmtId="0" fontId="8" fillId="8" borderId="0" xfId="9" applyFont="1" applyFill="1" applyAlignment="1">
      <alignment wrapText="1"/>
    </xf>
    <xf numFmtId="0" fontId="8" fillId="9" borderId="0" xfId="9" applyFont="1" applyFill="1" applyAlignment="1">
      <alignment horizontal="center" wrapText="1"/>
    </xf>
    <xf numFmtId="0" fontId="15" fillId="9" borderId="0" xfId="0" applyFont="1" applyFill="1" applyAlignment="1">
      <alignment horizontal="center" vertical="center"/>
    </xf>
    <xf numFmtId="0" fontId="12" fillId="0" borderId="0" xfId="0" applyFont="1" applyAlignment="1">
      <alignment horizontal="center" vertical="center"/>
    </xf>
  </cellXfs>
  <cellStyles count="23">
    <cellStyle name="Collegamento ipertestuale 2" xfId="1" xr:uid="{BB94F41A-D5C6-4F8C-A563-8CC3AA6A9845}"/>
    <cellStyle name="Migliaia 2" xfId="2" xr:uid="{4B29E8E3-4E0F-4FC7-892F-A3B6FFAC2F05}"/>
    <cellStyle name="Normale" xfId="0" builtinId="0"/>
    <cellStyle name="Normale 2" xfId="3" xr:uid="{096CBD50-F433-46C8-80F5-B79FAE02FD52}"/>
    <cellStyle name="Normale 2 2" xfId="4" xr:uid="{CB6DAD72-1EB8-4FDC-9CB6-B9E82A86A6B9}"/>
    <cellStyle name="Normale 3" xfId="5" xr:uid="{85935AF1-2163-4E90-B3E1-017E40D5A6F4}"/>
    <cellStyle name="Normale 4" xfId="6" xr:uid="{A400F8A0-6216-4910-8DA0-197CB13D271B}"/>
    <cellStyle name="Normale_Locali da provare_4" xfId="7" xr:uid="{39E0E402-CF6C-4005-AE64-5DEF6D6DA7D1}"/>
    <cellStyle name="Normale_Ristoranti" xfId="8" xr:uid="{255E40EE-50BA-4C07-A4A9-E348E5495724}"/>
    <cellStyle name="Normale_Tavole e pause golose" xfId="9" xr:uid="{F9E92C35-1D2E-4658-BB67-EA93AF7462FE}"/>
    <cellStyle name="Normale_Tavole e pause golose_1" xfId="10" xr:uid="{85702457-6C8D-4DA2-90E2-E0D71DF14F11}"/>
    <cellStyle name="Percentuale 2" xfId="11" xr:uid="{DC49FEE1-D34F-4833-AB65-8127900D4206}"/>
    <cellStyle name="Percentuale 2 2" xfId="12" xr:uid="{71FAADCA-3C99-44E4-B744-C2F4B56061F1}"/>
    <cellStyle name="Percentuale 2 2 2" xfId="13" xr:uid="{B67F6AE5-5390-4D84-994A-D3E71488B8EA}"/>
    <cellStyle name="Percentuale 2 2 2 2" xfId="14" xr:uid="{3D568C5B-67DB-44DB-B93A-26C009CA29BA}"/>
    <cellStyle name="Percentuale 2 3" xfId="15" xr:uid="{8576ACC6-7B92-4287-A6F5-1DF2FE433CC0}"/>
    <cellStyle name="Percentuale 2 3 2" xfId="16" xr:uid="{34D0E967-D0D9-402B-8D01-01A86A43CA2A}"/>
    <cellStyle name="Percentuale 3" xfId="17" xr:uid="{EF2C2284-8F09-415E-B84F-57F287EFFD29}"/>
    <cellStyle name="Percentuale 3 2" xfId="18" xr:uid="{6CDD1AA1-B6DC-4EAB-BE85-CED041A5C7AA}"/>
    <cellStyle name="Percentuale 3 2 2" xfId="19" xr:uid="{68ECB8EA-AF8E-4CCE-8C44-B018BD1C06C0}"/>
    <cellStyle name="Percentuale 3 2 2 2" xfId="20" xr:uid="{EF0E4ABE-C49C-4DE8-8541-1413AF901F2B}"/>
    <cellStyle name="Percentuale 3 3" xfId="21" xr:uid="{18355B6F-3AB5-4FB7-9A26-80642E63573B}"/>
    <cellStyle name="Percentuale 3 3 2" xfId="22" xr:uid="{75C47007-311F-4D25-B521-E0F82B833469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F1B98-D301-4D81-BF1C-BA4579F153A5}">
  <sheetPr>
    <pageSetUpPr fitToPage="1"/>
  </sheetPr>
  <dimension ref="A1:XFD799"/>
  <sheetViews>
    <sheetView tabSelected="1" zoomScaleNormal="100" workbookViewId="0">
      <pane ySplit="7" topLeftCell="A269" activePane="bottomLeft" state="frozen"/>
      <selection pane="bottomLeft" activeCell="AJ289" sqref="AJ289"/>
    </sheetView>
  </sheetViews>
  <sheetFormatPr defaultColWidth="9.140625" defaultRowHeight="14.25" customHeight="1" x14ac:dyDescent="0.2"/>
  <cols>
    <col min="1" max="1" width="5.28515625" style="1" customWidth="1"/>
    <col min="2" max="2" width="3.7109375" style="1" customWidth="1"/>
    <col min="3" max="3" width="3.85546875" style="1" customWidth="1"/>
    <col min="4" max="4" width="29.7109375" style="2" customWidth="1"/>
    <col min="5" max="5" width="19" style="11" customWidth="1"/>
    <col min="6" max="6" width="25.7109375" style="2" customWidth="1"/>
    <col min="7" max="7" width="27" style="11" customWidth="1"/>
    <col min="8" max="8" width="17.28515625" style="11" customWidth="1"/>
    <col min="9" max="9" width="19" style="1" customWidth="1"/>
    <col min="10" max="10" width="10.5703125" style="1" customWidth="1"/>
    <col min="11" max="11" width="9.28515625" style="1" customWidth="1"/>
    <col min="12" max="12" width="12.42578125" style="10" customWidth="1"/>
    <col min="13" max="13" width="35.7109375" style="14" customWidth="1"/>
    <col min="14" max="14" width="21.140625" style="14" customWidth="1"/>
    <col min="15" max="15" width="6.42578125" style="1" customWidth="1"/>
    <col min="16" max="16" width="7" style="1" customWidth="1"/>
    <col min="17" max="17" width="17.28515625" style="11" customWidth="1"/>
    <col min="18" max="18" width="7.42578125" style="1" customWidth="1"/>
    <col min="19" max="19" width="9.28515625" style="1" customWidth="1"/>
    <col min="20" max="20" width="8.28515625" style="1" customWidth="1"/>
    <col min="21" max="21" width="5.7109375" style="1" customWidth="1"/>
    <col min="22" max="27" width="9.42578125" style="1" bestFit="1" customWidth="1"/>
    <col min="28" max="28" width="10.85546875" style="1" bestFit="1" customWidth="1"/>
    <col min="29" max="29" width="7" style="1" customWidth="1"/>
    <col min="30" max="30" width="21.85546875" style="1" customWidth="1"/>
    <col min="31" max="31" width="27.28515625" style="1" customWidth="1"/>
    <col min="32" max="32" width="18" style="1" customWidth="1"/>
    <col min="33" max="33" width="19.85546875" style="1" customWidth="1"/>
    <col min="34" max="34" width="15.140625" style="1" customWidth="1"/>
    <col min="35" max="35" width="18.140625" style="1" customWidth="1"/>
    <col min="36" max="16384" width="9.140625" style="1"/>
  </cols>
  <sheetData>
    <row r="1" spans="1:35" ht="14.25" customHeight="1" x14ac:dyDescent="0.2">
      <c r="D1" s="1"/>
      <c r="F1" s="1"/>
    </row>
    <row r="2" spans="1:35" ht="14.25" customHeight="1" x14ac:dyDescent="0.2">
      <c r="D2" s="3" t="s">
        <v>8</v>
      </c>
      <c r="E2" s="12" t="s">
        <v>24</v>
      </c>
      <c r="F2" s="3" t="s">
        <v>25</v>
      </c>
      <c r="G2" s="12" t="s">
        <v>26</v>
      </c>
      <c r="H2" s="12" t="s">
        <v>20</v>
      </c>
    </row>
    <row r="3" spans="1:35" ht="27" customHeight="1" x14ac:dyDescent="0.2">
      <c r="D3" s="1" t="s">
        <v>2</v>
      </c>
      <c r="E3" s="5">
        <f>+AH6</f>
        <v>125</v>
      </c>
      <c r="F3" s="5">
        <f>+AD6</f>
        <v>119</v>
      </c>
      <c r="G3" s="5">
        <f>+AF6</f>
        <v>114</v>
      </c>
      <c r="H3" s="5">
        <f>+E3-G3</f>
        <v>11</v>
      </c>
      <c r="I3" s="13" t="s">
        <v>9</v>
      </c>
      <c r="J3" s="4"/>
      <c r="K3" s="4"/>
    </row>
    <row r="4" spans="1:35" ht="27" customHeight="1" x14ac:dyDescent="0.25">
      <c r="D4" s="6" t="s">
        <v>3</v>
      </c>
      <c r="E4" s="7">
        <f>+AI6</f>
        <v>329</v>
      </c>
      <c r="F4" s="7">
        <f>+AE6</f>
        <v>234</v>
      </c>
      <c r="G4" s="7">
        <f>+AG6</f>
        <v>208</v>
      </c>
      <c r="H4" s="5">
        <f>+E4-G4</f>
        <v>121</v>
      </c>
      <c r="I4" s="22" t="s">
        <v>10</v>
      </c>
      <c r="J4" s="23" t="s">
        <v>562</v>
      </c>
      <c r="K4" s="24" t="s">
        <v>19</v>
      </c>
      <c r="M4" s="17"/>
      <c r="N4" s="17"/>
    </row>
    <row r="5" spans="1:35" ht="14.25" customHeight="1" x14ac:dyDescent="0.25">
      <c r="D5" s="8" t="s">
        <v>12</v>
      </c>
      <c r="E5" s="8">
        <f>+E3+E4</f>
        <v>454</v>
      </c>
      <c r="F5" s="8">
        <f>+F3+F4</f>
        <v>353</v>
      </c>
      <c r="G5" s="8">
        <f>+G3+G4</f>
        <v>322</v>
      </c>
      <c r="H5" s="8">
        <f>+H3+H4</f>
        <v>132</v>
      </c>
      <c r="I5" s="30" t="s">
        <v>16</v>
      </c>
      <c r="J5" s="25" t="s">
        <v>561</v>
      </c>
      <c r="K5" s="26" t="s">
        <v>41</v>
      </c>
      <c r="M5" s="17"/>
      <c r="N5" s="17"/>
      <c r="Q5" s="9"/>
      <c r="S5" s="9">
        <f t="shared" ref="S5:AB5" si="0">SUM(S8:S2442)</f>
        <v>59</v>
      </c>
      <c r="T5" s="9">
        <f t="shared" si="0"/>
        <v>10</v>
      </c>
      <c r="U5" s="9">
        <f t="shared" si="0"/>
        <v>6</v>
      </c>
      <c r="V5" s="9">
        <f t="shared" si="0"/>
        <v>6</v>
      </c>
      <c r="W5" s="9">
        <f t="shared" si="0"/>
        <v>3</v>
      </c>
      <c r="X5" s="9">
        <f t="shared" si="0"/>
        <v>5</v>
      </c>
      <c r="Y5" s="9">
        <f t="shared" si="0"/>
        <v>17</v>
      </c>
      <c r="Z5" s="9">
        <f t="shared" si="0"/>
        <v>29</v>
      </c>
      <c r="AA5" s="9">
        <f t="shared" si="0"/>
        <v>18</v>
      </c>
      <c r="AB5" s="9">
        <f t="shared" si="0"/>
        <v>22</v>
      </c>
      <c r="AC5" s="9"/>
      <c r="AD5" s="9"/>
      <c r="AE5" s="9"/>
      <c r="AF5" s="9"/>
      <c r="AG5" s="9"/>
    </row>
    <row r="6" spans="1:35" ht="14.25" customHeight="1" x14ac:dyDescent="0.25">
      <c r="D6" s="1"/>
      <c r="F6" s="1"/>
      <c r="M6" s="17"/>
      <c r="N6" s="17"/>
      <c r="S6" s="1" t="s">
        <v>15</v>
      </c>
      <c r="T6" s="1" t="s">
        <v>15</v>
      </c>
      <c r="U6" s="1" t="s">
        <v>15</v>
      </c>
      <c r="V6" s="1" t="s">
        <v>15</v>
      </c>
      <c r="W6" s="1" t="s">
        <v>15</v>
      </c>
      <c r="X6" s="1" t="s">
        <v>15</v>
      </c>
      <c r="Y6" s="1" t="s">
        <v>15</v>
      </c>
      <c r="Z6" s="1" t="s">
        <v>15</v>
      </c>
      <c r="AA6" s="1" t="s">
        <v>15</v>
      </c>
      <c r="AB6" s="1" t="s">
        <v>15</v>
      </c>
      <c r="AD6" s="1">
        <f t="shared" ref="AD6:AI6" si="1">SUM(AD8:AD1711)</f>
        <v>119</v>
      </c>
      <c r="AE6" s="1">
        <f t="shared" si="1"/>
        <v>234</v>
      </c>
      <c r="AF6" s="1">
        <f t="shared" si="1"/>
        <v>114</v>
      </c>
      <c r="AG6" s="1">
        <f t="shared" si="1"/>
        <v>208</v>
      </c>
      <c r="AH6" s="1">
        <f t="shared" si="1"/>
        <v>125</v>
      </c>
      <c r="AI6" s="1">
        <f t="shared" si="1"/>
        <v>329</v>
      </c>
    </row>
    <row r="7" spans="1:35" s="68" customFormat="1" ht="14.25" customHeight="1" x14ac:dyDescent="0.25">
      <c r="A7" s="27" t="s">
        <v>1348</v>
      </c>
      <c r="B7" s="27" t="s">
        <v>1349</v>
      </c>
      <c r="C7" s="27" t="s">
        <v>1350</v>
      </c>
      <c r="D7" s="29" t="s">
        <v>13</v>
      </c>
      <c r="E7" s="29" t="s">
        <v>23</v>
      </c>
      <c r="F7" s="29" t="s">
        <v>14</v>
      </c>
      <c r="G7" s="29" t="s">
        <v>18</v>
      </c>
      <c r="H7" s="29" t="s">
        <v>42</v>
      </c>
      <c r="I7" s="27" t="s">
        <v>11</v>
      </c>
      <c r="J7" s="27" t="s">
        <v>1351</v>
      </c>
      <c r="K7" s="27" t="s">
        <v>1607</v>
      </c>
      <c r="L7" s="27" t="s">
        <v>17</v>
      </c>
      <c r="M7" s="29" t="s">
        <v>1352</v>
      </c>
      <c r="N7" s="28" t="s">
        <v>0</v>
      </c>
      <c r="O7" s="18" t="s">
        <v>1</v>
      </c>
      <c r="P7" s="18" t="s">
        <v>2</v>
      </c>
      <c r="Q7" s="29" t="s">
        <v>1855</v>
      </c>
      <c r="S7" s="68">
        <v>1</v>
      </c>
      <c r="T7" s="68">
        <f>+S7+1</f>
        <v>2</v>
      </c>
      <c r="U7" s="68">
        <f t="shared" ref="U7:AB7" si="2">+T7+1</f>
        <v>3</v>
      </c>
      <c r="V7" s="68">
        <f t="shared" si="2"/>
        <v>4</v>
      </c>
      <c r="W7" s="68">
        <f t="shared" si="2"/>
        <v>5</v>
      </c>
      <c r="X7" s="68">
        <f t="shared" si="2"/>
        <v>6</v>
      </c>
      <c r="Y7" s="68">
        <f t="shared" si="2"/>
        <v>7</v>
      </c>
      <c r="Z7" s="68">
        <f t="shared" si="2"/>
        <v>8</v>
      </c>
      <c r="AA7" s="68">
        <f t="shared" si="2"/>
        <v>9</v>
      </c>
      <c r="AB7" s="68">
        <f t="shared" si="2"/>
        <v>10</v>
      </c>
      <c r="AD7" s="68" t="s">
        <v>21</v>
      </c>
      <c r="AE7" s="68" t="s">
        <v>22</v>
      </c>
      <c r="AF7" s="68" t="s">
        <v>4</v>
      </c>
      <c r="AG7" s="68" t="s">
        <v>5</v>
      </c>
      <c r="AH7" s="68" t="s">
        <v>6</v>
      </c>
      <c r="AI7" s="68" t="s">
        <v>7</v>
      </c>
    </row>
    <row r="8" spans="1:35" ht="14.25" customHeight="1" x14ac:dyDescent="0.25">
      <c r="A8" s="31">
        <v>0</v>
      </c>
      <c r="B8" s="31">
        <v>1</v>
      </c>
      <c r="C8" s="31">
        <v>1</v>
      </c>
      <c r="D8" s="32" t="s">
        <v>124</v>
      </c>
      <c r="E8" s="32" t="s">
        <v>896</v>
      </c>
      <c r="F8" s="32" t="s">
        <v>323</v>
      </c>
      <c r="G8" s="32" t="s">
        <v>177</v>
      </c>
      <c r="H8" s="32" t="s">
        <v>352</v>
      </c>
      <c r="I8" s="31" t="s">
        <v>469</v>
      </c>
      <c r="J8" s="31">
        <v>1</v>
      </c>
      <c r="K8" s="33" t="s">
        <v>729</v>
      </c>
      <c r="L8" s="33">
        <v>200</v>
      </c>
      <c r="M8" s="34" t="s">
        <v>39</v>
      </c>
      <c r="N8" s="34" t="s">
        <v>1717</v>
      </c>
      <c r="O8" s="35">
        <v>1</v>
      </c>
      <c r="P8" s="35"/>
      <c r="Q8" s="32"/>
      <c r="S8" s="1">
        <f>IF(J8=$S$7,1,0)</f>
        <v>1</v>
      </c>
      <c r="T8" s="1">
        <f>IF(J8=$T$7,1,0)</f>
        <v>0</v>
      </c>
      <c r="U8" s="1">
        <f>IF(J8=$U$7,1,0)</f>
        <v>0</v>
      </c>
      <c r="V8" s="1">
        <f>IF(J8=$V$7,1,0)</f>
        <v>0</v>
      </c>
      <c r="W8" s="1">
        <f>IF(J8=$W$7,1,0)</f>
        <v>0</v>
      </c>
      <c r="X8" s="1">
        <f>IF(J8=$X$7,1,0)</f>
        <v>0</v>
      </c>
      <c r="Y8" s="1">
        <f>IF(J8=$Y$7,1,0)</f>
        <v>0</v>
      </c>
      <c r="Z8" s="1">
        <f>IF(J8=$Z$7,1,0)</f>
        <v>0</v>
      </c>
      <c r="AA8" s="1">
        <f>IF(J8=$AA$7,1,0)</f>
        <v>0</v>
      </c>
      <c r="AB8" s="1">
        <f>IF(J8=$AB$7,1,0)</f>
        <v>0</v>
      </c>
      <c r="AD8" s="1">
        <f>+O8*P8</f>
        <v>0</v>
      </c>
      <c r="AE8" s="1">
        <f>O8*(1-P8)</f>
        <v>1</v>
      </c>
      <c r="AF8" s="1">
        <f t="shared" ref="AF8:AF12" si="3">+O8*P8*(1-A8)</f>
        <v>0</v>
      </c>
      <c r="AG8" s="1">
        <f t="shared" ref="AG8:AG12" si="4">O8*(1-P8)*(1-A8)</f>
        <v>1</v>
      </c>
      <c r="AH8" s="1">
        <f t="shared" ref="AH8:AH12" si="5">+P8*(1-A8)</f>
        <v>0</v>
      </c>
      <c r="AI8" s="1">
        <f t="shared" ref="AI8:AI12" si="6">+(1-A8)*(1-P8)</f>
        <v>1</v>
      </c>
    </row>
    <row r="9" spans="1:35" ht="14.25" customHeight="1" x14ac:dyDescent="0.25">
      <c r="A9" s="31">
        <v>0</v>
      </c>
      <c r="B9" s="31">
        <v>1</v>
      </c>
      <c r="C9" s="31">
        <v>1</v>
      </c>
      <c r="D9" s="32" t="s">
        <v>1565</v>
      </c>
      <c r="E9" s="32" t="s">
        <v>170</v>
      </c>
      <c r="F9" s="32" t="s">
        <v>1515</v>
      </c>
      <c r="G9" s="32" t="s">
        <v>39</v>
      </c>
      <c r="H9" s="32" t="s">
        <v>361</v>
      </c>
      <c r="I9" s="31" t="s">
        <v>1516</v>
      </c>
      <c r="J9" s="31">
        <v>99</v>
      </c>
      <c r="K9" s="33" t="s">
        <v>951</v>
      </c>
      <c r="L9" s="33" t="s">
        <v>1675</v>
      </c>
      <c r="M9" s="34" t="s">
        <v>1356</v>
      </c>
      <c r="N9" s="34" t="s">
        <v>1701</v>
      </c>
      <c r="O9" s="35">
        <v>1</v>
      </c>
      <c r="P9" s="35">
        <v>1</v>
      </c>
      <c r="Q9" s="32"/>
      <c r="S9" s="1">
        <f>IF(J9=$S$7,1,0)</f>
        <v>0</v>
      </c>
      <c r="T9" s="1">
        <f>IF(J9=$T$7,1,0)</f>
        <v>0</v>
      </c>
      <c r="U9" s="1">
        <f>IF(J9=$U$7,1,0)</f>
        <v>0</v>
      </c>
      <c r="V9" s="1">
        <f>IF(J9=$V$7,1,0)</f>
        <v>0</v>
      </c>
      <c r="W9" s="1">
        <f>IF(J9=$W$7,1,0)</f>
        <v>0</v>
      </c>
      <c r="X9" s="1">
        <f>IF(J9=$X$7,1,0)</f>
        <v>0</v>
      </c>
      <c r="Y9" s="1">
        <f>IF(J9=$Y$7,1,0)</f>
        <v>0</v>
      </c>
      <c r="Z9" s="1">
        <f>IF(J9=$Z$7,1,0)</f>
        <v>0</v>
      </c>
      <c r="AA9" s="1">
        <f>IF(J9=$AA$7,1,0)</f>
        <v>0</v>
      </c>
      <c r="AB9" s="1">
        <f>IF(J9=$AB$7,1,0)</f>
        <v>0</v>
      </c>
      <c r="AD9" s="1">
        <f>+O9*P9</f>
        <v>1</v>
      </c>
      <c r="AE9" s="1">
        <f>O9*(1-P9)</f>
        <v>0</v>
      </c>
      <c r="AF9" s="1">
        <f t="shared" si="3"/>
        <v>1</v>
      </c>
      <c r="AG9" s="1">
        <f t="shared" si="4"/>
        <v>0</v>
      </c>
      <c r="AH9" s="1">
        <f t="shared" si="5"/>
        <v>1</v>
      </c>
      <c r="AI9" s="1">
        <f t="shared" si="6"/>
        <v>0</v>
      </c>
    </row>
    <row r="10" spans="1:35" ht="14.25" customHeight="1" x14ac:dyDescent="0.25">
      <c r="A10" s="44">
        <v>0</v>
      </c>
      <c r="B10" s="44">
        <v>1</v>
      </c>
      <c r="C10" s="44">
        <v>1</v>
      </c>
      <c r="D10" s="45" t="s">
        <v>149</v>
      </c>
      <c r="E10" s="45" t="s">
        <v>170</v>
      </c>
      <c r="F10" s="45" t="s">
        <v>349</v>
      </c>
      <c r="G10" s="45" t="s">
        <v>177</v>
      </c>
      <c r="H10" s="45" t="s">
        <v>352</v>
      </c>
      <c r="I10" s="44" t="s">
        <v>494</v>
      </c>
      <c r="J10" s="44">
        <v>1</v>
      </c>
      <c r="K10" s="46" t="s">
        <v>951</v>
      </c>
      <c r="L10" s="46" t="s">
        <v>1676</v>
      </c>
      <c r="M10" s="47" t="s">
        <v>1353</v>
      </c>
      <c r="N10" s="47" t="s">
        <v>1721</v>
      </c>
      <c r="O10" s="48"/>
      <c r="P10" s="48"/>
      <c r="Q10" s="45"/>
      <c r="S10" s="1">
        <f>IF(J10=$S$7,1,0)</f>
        <v>1</v>
      </c>
      <c r="T10" s="1">
        <f>IF(J10=$T$7,1,0)</f>
        <v>0</v>
      </c>
      <c r="U10" s="1">
        <f>IF(J10=$U$7,1,0)</f>
        <v>0</v>
      </c>
      <c r="V10" s="1">
        <f>IF(J10=$V$7,1,0)</f>
        <v>0</v>
      </c>
      <c r="W10" s="1">
        <f>IF(J10=$W$7,1,0)</f>
        <v>0</v>
      </c>
      <c r="X10" s="1">
        <f>IF(J10=$X$7,1,0)</f>
        <v>0</v>
      </c>
      <c r="Y10" s="1">
        <f>IF(J10=$Y$7,1,0)</f>
        <v>0</v>
      </c>
      <c r="Z10" s="1">
        <f>IF(J10=$Z$7,1,0)</f>
        <v>0</v>
      </c>
      <c r="AA10" s="1">
        <f>IF(J10=$AA$7,1,0)</f>
        <v>0</v>
      </c>
      <c r="AB10" s="1">
        <f>IF(J10=$AB$7,1,0)</f>
        <v>0</v>
      </c>
      <c r="AD10" s="1">
        <f>+O10*P10</f>
        <v>0</v>
      </c>
      <c r="AE10" s="1">
        <f>O10*(1-P10)</f>
        <v>0</v>
      </c>
      <c r="AF10" s="1">
        <f t="shared" si="3"/>
        <v>0</v>
      </c>
      <c r="AG10" s="1">
        <f t="shared" si="4"/>
        <v>0</v>
      </c>
      <c r="AH10" s="1">
        <f t="shared" si="5"/>
        <v>0</v>
      </c>
      <c r="AI10" s="1">
        <f t="shared" si="6"/>
        <v>1</v>
      </c>
    </row>
    <row r="11" spans="1:35" ht="14.25" customHeight="1" x14ac:dyDescent="0.25">
      <c r="A11" s="31">
        <v>0</v>
      </c>
      <c r="B11" s="31">
        <v>1</v>
      </c>
      <c r="C11" s="31">
        <v>1</v>
      </c>
      <c r="D11" s="32" t="s">
        <v>1019</v>
      </c>
      <c r="E11" s="32" t="s">
        <v>173</v>
      </c>
      <c r="F11" s="32" t="s">
        <v>1077</v>
      </c>
      <c r="G11" s="32" t="s">
        <v>39</v>
      </c>
      <c r="H11" s="32" t="s">
        <v>1020</v>
      </c>
      <c r="I11" s="31" t="s">
        <v>1099</v>
      </c>
      <c r="J11" s="31">
        <v>16</v>
      </c>
      <c r="K11" s="33" t="s">
        <v>949</v>
      </c>
      <c r="L11" s="33">
        <v>45</v>
      </c>
      <c r="M11" s="34" t="s">
        <v>1354</v>
      </c>
      <c r="N11" s="34" t="s">
        <v>1799</v>
      </c>
      <c r="O11" s="35">
        <v>1</v>
      </c>
      <c r="P11" s="35"/>
      <c r="Q11" s="32"/>
      <c r="S11" s="1">
        <f>IF(J11=$S$7,1,0)</f>
        <v>0</v>
      </c>
      <c r="T11" s="1">
        <f>IF(J11=$T$7,1,0)</f>
        <v>0</v>
      </c>
      <c r="U11" s="1">
        <f>IF(J11=$U$7,1,0)</f>
        <v>0</v>
      </c>
      <c r="V11" s="1">
        <f>IF(J11=$V$7,1,0)</f>
        <v>0</v>
      </c>
      <c r="W11" s="1">
        <f>IF(J11=$W$7,1,0)</f>
        <v>0</v>
      </c>
      <c r="X11" s="1">
        <f>IF(J11=$X$7,1,0)</f>
        <v>0</v>
      </c>
      <c r="Y11" s="1">
        <f>IF(J11=$Y$7,1,0)</f>
        <v>0</v>
      </c>
      <c r="Z11" s="1">
        <f>IF(J11=$Z$7,1,0)</f>
        <v>0</v>
      </c>
      <c r="AA11" s="1">
        <f>IF(J11=$AA$7,1,0)</f>
        <v>0</v>
      </c>
      <c r="AB11" s="1">
        <f>IF(J11=$AB$7,1,0)</f>
        <v>0</v>
      </c>
      <c r="AD11" s="1">
        <f>+O11*P11</f>
        <v>0</v>
      </c>
      <c r="AE11" s="1">
        <f>O11*(1-P11)</f>
        <v>1</v>
      </c>
      <c r="AF11" s="1">
        <f t="shared" si="3"/>
        <v>0</v>
      </c>
      <c r="AG11" s="1">
        <f t="shared" si="4"/>
        <v>1</v>
      </c>
      <c r="AH11" s="1">
        <f t="shared" si="5"/>
        <v>0</v>
      </c>
      <c r="AI11" s="1">
        <f t="shared" si="6"/>
        <v>1</v>
      </c>
    </row>
    <row r="12" spans="1:35" ht="14.25" customHeight="1" x14ac:dyDescent="0.25">
      <c r="A12" s="44">
        <v>0</v>
      </c>
      <c r="B12" s="44">
        <v>1</v>
      </c>
      <c r="C12" s="44">
        <v>1</v>
      </c>
      <c r="D12" s="45" t="s">
        <v>116</v>
      </c>
      <c r="E12" s="45" t="s">
        <v>170</v>
      </c>
      <c r="F12" s="45" t="s">
        <v>314</v>
      </c>
      <c r="G12" s="45" t="s">
        <v>315</v>
      </c>
      <c r="H12" s="45" t="s">
        <v>352</v>
      </c>
      <c r="I12" s="44" t="s">
        <v>461</v>
      </c>
      <c r="J12" s="44">
        <v>8</v>
      </c>
      <c r="K12" s="46" t="s">
        <v>953</v>
      </c>
      <c r="L12" s="46" t="s">
        <v>1679</v>
      </c>
      <c r="M12" s="47" t="s">
        <v>1106</v>
      </c>
      <c r="N12" s="47" t="s">
        <v>1710</v>
      </c>
      <c r="O12" s="48"/>
      <c r="P12" s="48"/>
      <c r="Q12" s="45"/>
      <c r="S12" s="1">
        <f t="shared" ref="S12:S16" si="7">IF(J12=$S$7,1,0)</f>
        <v>0</v>
      </c>
      <c r="T12" s="1">
        <f t="shared" ref="T12:T16" si="8">IF(J12=$T$7,1,0)</f>
        <v>0</v>
      </c>
      <c r="U12" s="1">
        <f t="shared" ref="U12:U16" si="9">IF(J12=$U$7,1,0)</f>
        <v>0</v>
      </c>
      <c r="V12" s="1">
        <f t="shared" ref="V12:V16" si="10">IF(J12=$V$7,1,0)</f>
        <v>0</v>
      </c>
      <c r="W12" s="1">
        <f t="shared" ref="W12:W16" si="11">IF(J12=$W$7,1,0)</f>
        <v>0</v>
      </c>
      <c r="X12" s="1">
        <f t="shared" ref="X12:X16" si="12">IF(J12=$X$7,1,0)</f>
        <v>0</v>
      </c>
      <c r="Y12" s="1">
        <f t="shared" ref="Y12:Y16" si="13">IF(J12=$Y$7,1,0)</f>
        <v>0</v>
      </c>
      <c r="Z12" s="1">
        <f t="shared" ref="Z12:Z16" si="14">IF(J12=$Z$7,1,0)</f>
        <v>1</v>
      </c>
      <c r="AA12" s="1">
        <f t="shared" ref="AA12:AA16" si="15">IF(J12=$AA$7,1,0)</f>
        <v>0</v>
      </c>
      <c r="AB12" s="1">
        <f t="shared" ref="AB12:AB16" si="16">IF(J12=$AB$7,1,0)</f>
        <v>0</v>
      </c>
      <c r="AD12" s="1">
        <f t="shared" ref="AD12:AD16" si="17">+O12*P12</f>
        <v>0</v>
      </c>
      <c r="AE12" s="1">
        <f t="shared" ref="AE12:AE16" si="18">O12*(1-P12)</f>
        <v>0</v>
      </c>
      <c r="AF12" s="1">
        <f t="shared" si="3"/>
        <v>0</v>
      </c>
      <c r="AG12" s="1">
        <f t="shared" si="4"/>
        <v>0</v>
      </c>
      <c r="AH12" s="1">
        <f t="shared" si="5"/>
        <v>0</v>
      </c>
      <c r="AI12" s="1">
        <f t="shared" si="6"/>
        <v>1</v>
      </c>
    </row>
    <row r="13" spans="1:35" ht="14.25" customHeight="1" x14ac:dyDescent="0.25">
      <c r="A13" s="44">
        <v>0</v>
      </c>
      <c r="B13" s="44">
        <v>1</v>
      </c>
      <c r="C13" s="44">
        <v>1</v>
      </c>
      <c r="D13" s="45" t="s">
        <v>139</v>
      </c>
      <c r="E13" s="45" t="s">
        <v>170</v>
      </c>
      <c r="F13" s="45" t="s">
        <v>338</v>
      </c>
      <c r="G13" s="45" t="s">
        <v>339</v>
      </c>
      <c r="H13" s="45" t="s">
        <v>352</v>
      </c>
      <c r="I13" s="44" t="s">
        <v>485</v>
      </c>
      <c r="J13" s="44">
        <v>10</v>
      </c>
      <c r="K13" s="46" t="s">
        <v>951</v>
      </c>
      <c r="L13" s="46" t="s">
        <v>1680</v>
      </c>
      <c r="M13" s="47" t="s">
        <v>1106</v>
      </c>
      <c r="N13" s="47" t="s">
        <v>1710</v>
      </c>
      <c r="O13" s="48"/>
      <c r="P13" s="48"/>
      <c r="Q13" s="45"/>
      <c r="S13" s="1">
        <f t="shared" si="7"/>
        <v>0</v>
      </c>
      <c r="T13" s="1">
        <f t="shared" si="8"/>
        <v>0</v>
      </c>
      <c r="U13" s="1">
        <f t="shared" si="9"/>
        <v>0</v>
      </c>
      <c r="V13" s="1">
        <f t="shared" si="10"/>
        <v>0</v>
      </c>
      <c r="W13" s="1">
        <f t="shared" si="11"/>
        <v>0</v>
      </c>
      <c r="X13" s="1">
        <f t="shared" si="12"/>
        <v>0</v>
      </c>
      <c r="Y13" s="1">
        <f t="shared" si="13"/>
        <v>0</v>
      </c>
      <c r="Z13" s="1">
        <f t="shared" si="14"/>
        <v>0</v>
      </c>
      <c r="AA13" s="1">
        <f t="shared" si="15"/>
        <v>0</v>
      </c>
      <c r="AB13" s="1">
        <f t="shared" si="16"/>
        <v>1</v>
      </c>
      <c r="AD13" s="1">
        <f t="shared" si="17"/>
        <v>0</v>
      </c>
      <c r="AE13" s="1">
        <f t="shared" si="18"/>
        <v>0</v>
      </c>
      <c r="AF13" s="1">
        <f t="shared" ref="AF13:AF77" si="19">+O13*P13*(1-A13)</f>
        <v>0</v>
      </c>
      <c r="AG13" s="1">
        <f t="shared" ref="AG13:AG77" si="20">O13*(1-P13)*(1-A13)</f>
        <v>0</v>
      </c>
      <c r="AH13" s="1">
        <f t="shared" ref="AH13:AH77" si="21">+P13*(1-A13)</f>
        <v>0</v>
      </c>
      <c r="AI13" s="1">
        <f t="shared" ref="AI13:AI77" si="22">+(1-A13)*(1-P13)</f>
        <v>1</v>
      </c>
    </row>
    <row r="14" spans="1:35" ht="14.25" customHeight="1" x14ac:dyDescent="0.25">
      <c r="A14" s="31">
        <v>0</v>
      </c>
      <c r="B14" s="31">
        <v>1</v>
      </c>
      <c r="C14" s="31">
        <v>1</v>
      </c>
      <c r="D14" s="32" t="s">
        <v>530</v>
      </c>
      <c r="E14" s="32" t="s">
        <v>170</v>
      </c>
      <c r="F14" s="32" t="s">
        <v>1273</v>
      </c>
      <c r="G14" s="32" t="s">
        <v>239</v>
      </c>
      <c r="H14" s="32" t="s">
        <v>352</v>
      </c>
      <c r="I14" s="31" t="s">
        <v>1338</v>
      </c>
      <c r="J14" s="31">
        <v>1</v>
      </c>
      <c r="K14" s="33" t="s">
        <v>947</v>
      </c>
      <c r="L14" s="33" t="s">
        <v>1682</v>
      </c>
      <c r="M14" s="34" t="s">
        <v>1355</v>
      </c>
      <c r="N14" s="34" t="s">
        <v>1722</v>
      </c>
      <c r="O14" s="35">
        <v>1</v>
      </c>
      <c r="P14" s="35"/>
      <c r="Q14" s="32"/>
      <c r="S14" s="1">
        <f t="shared" si="7"/>
        <v>1</v>
      </c>
      <c r="T14" s="1">
        <f t="shared" si="8"/>
        <v>0</v>
      </c>
      <c r="U14" s="1">
        <f t="shared" si="9"/>
        <v>0</v>
      </c>
      <c r="V14" s="1">
        <f t="shared" si="10"/>
        <v>0</v>
      </c>
      <c r="W14" s="1">
        <f t="shared" si="11"/>
        <v>0</v>
      </c>
      <c r="X14" s="1">
        <f t="shared" si="12"/>
        <v>0</v>
      </c>
      <c r="Y14" s="1">
        <f t="shared" si="13"/>
        <v>0</v>
      </c>
      <c r="Z14" s="1">
        <f t="shared" si="14"/>
        <v>0</v>
      </c>
      <c r="AA14" s="1">
        <f t="shared" si="15"/>
        <v>0</v>
      </c>
      <c r="AB14" s="1">
        <f t="shared" si="16"/>
        <v>0</v>
      </c>
      <c r="AD14" s="1">
        <f t="shared" si="17"/>
        <v>0</v>
      </c>
      <c r="AE14" s="1">
        <f t="shared" si="18"/>
        <v>1</v>
      </c>
      <c r="AF14" s="1">
        <f t="shared" si="19"/>
        <v>0</v>
      </c>
      <c r="AG14" s="1">
        <f t="shared" si="20"/>
        <v>1</v>
      </c>
      <c r="AH14" s="1">
        <f t="shared" si="21"/>
        <v>0</v>
      </c>
      <c r="AI14" s="1">
        <f t="shared" si="22"/>
        <v>1</v>
      </c>
    </row>
    <row r="15" spans="1:35" ht="14.25" customHeight="1" x14ac:dyDescent="0.25">
      <c r="A15" s="44">
        <v>0</v>
      </c>
      <c r="B15" s="44">
        <v>1</v>
      </c>
      <c r="C15" s="44">
        <v>1</v>
      </c>
      <c r="D15" s="45" t="s">
        <v>115</v>
      </c>
      <c r="E15" s="45" t="s">
        <v>170</v>
      </c>
      <c r="F15" s="45" t="s">
        <v>313</v>
      </c>
      <c r="G15" s="45" t="s">
        <v>185</v>
      </c>
      <c r="H15" s="45" t="s">
        <v>352</v>
      </c>
      <c r="I15" s="44" t="s">
        <v>460</v>
      </c>
      <c r="J15" s="44">
        <v>1</v>
      </c>
      <c r="K15" s="46" t="s">
        <v>951</v>
      </c>
      <c r="L15" s="46" t="s">
        <v>1680</v>
      </c>
      <c r="M15" s="47" t="s">
        <v>1106</v>
      </c>
      <c r="N15" s="47" t="s">
        <v>1721</v>
      </c>
      <c r="O15" s="48"/>
      <c r="P15" s="48"/>
      <c r="Q15" s="45"/>
      <c r="S15" s="1">
        <f t="shared" si="7"/>
        <v>1</v>
      </c>
      <c r="T15" s="1">
        <f t="shared" si="8"/>
        <v>0</v>
      </c>
      <c r="U15" s="1">
        <f t="shared" si="9"/>
        <v>0</v>
      </c>
      <c r="V15" s="1">
        <f t="shared" si="10"/>
        <v>0</v>
      </c>
      <c r="W15" s="1">
        <f t="shared" si="11"/>
        <v>0</v>
      </c>
      <c r="X15" s="1">
        <f t="shared" si="12"/>
        <v>0</v>
      </c>
      <c r="Y15" s="1">
        <f t="shared" si="13"/>
        <v>0</v>
      </c>
      <c r="Z15" s="1">
        <f t="shared" si="14"/>
        <v>0</v>
      </c>
      <c r="AA15" s="1">
        <f t="shared" si="15"/>
        <v>0</v>
      </c>
      <c r="AB15" s="1">
        <f t="shared" si="16"/>
        <v>0</v>
      </c>
      <c r="AD15" s="1">
        <f t="shared" si="17"/>
        <v>0</v>
      </c>
      <c r="AE15" s="1">
        <f t="shared" si="18"/>
        <v>0</v>
      </c>
      <c r="AF15" s="1">
        <f t="shared" si="19"/>
        <v>0</v>
      </c>
      <c r="AG15" s="1">
        <f t="shared" si="20"/>
        <v>0</v>
      </c>
      <c r="AH15" s="1">
        <f t="shared" si="21"/>
        <v>0</v>
      </c>
      <c r="AI15" s="1">
        <f t="shared" si="22"/>
        <v>1</v>
      </c>
    </row>
    <row r="16" spans="1:35" ht="14.25" customHeight="1" x14ac:dyDescent="0.25">
      <c r="A16" s="38">
        <v>0</v>
      </c>
      <c r="B16" s="38">
        <v>1</v>
      </c>
      <c r="C16" s="38">
        <v>1</v>
      </c>
      <c r="D16" s="39" t="s">
        <v>109</v>
      </c>
      <c r="E16" s="39" t="s">
        <v>170</v>
      </c>
      <c r="F16" s="39" t="s">
        <v>307</v>
      </c>
      <c r="G16" s="39" t="s">
        <v>212</v>
      </c>
      <c r="H16" s="39" t="s">
        <v>352</v>
      </c>
      <c r="I16" s="38" t="s">
        <v>455</v>
      </c>
      <c r="J16" s="38">
        <v>1</v>
      </c>
      <c r="K16" s="40" t="s">
        <v>1672</v>
      </c>
      <c r="L16" s="40" t="s">
        <v>39</v>
      </c>
      <c r="M16" s="41" t="s">
        <v>39</v>
      </c>
      <c r="N16" s="42"/>
      <c r="O16" s="43"/>
      <c r="P16" s="43">
        <v>1</v>
      </c>
      <c r="Q16" s="39"/>
      <c r="S16" s="1">
        <f t="shared" si="7"/>
        <v>1</v>
      </c>
      <c r="T16" s="1">
        <f t="shared" si="8"/>
        <v>0</v>
      </c>
      <c r="U16" s="1">
        <f t="shared" si="9"/>
        <v>0</v>
      </c>
      <c r="V16" s="1">
        <f t="shared" si="10"/>
        <v>0</v>
      </c>
      <c r="W16" s="1">
        <f t="shared" si="11"/>
        <v>0</v>
      </c>
      <c r="X16" s="1">
        <f t="shared" si="12"/>
        <v>0</v>
      </c>
      <c r="Y16" s="1">
        <f t="shared" si="13"/>
        <v>0</v>
      </c>
      <c r="Z16" s="1">
        <f t="shared" si="14"/>
        <v>0</v>
      </c>
      <c r="AA16" s="1">
        <f t="shared" si="15"/>
        <v>0</v>
      </c>
      <c r="AB16" s="1">
        <f t="shared" si="16"/>
        <v>0</v>
      </c>
      <c r="AD16" s="1">
        <f t="shared" si="17"/>
        <v>0</v>
      </c>
      <c r="AE16" s="1">
        <f t="shared" si="18"/>
        <v>0</v>
      </c>
      <c r="AF16" s="1">
        <f t="shared" si="19"/>
        <v>0</v>
      </c>
      <c r="AG16" s="1">
        <f t="shared" si="20"/>
        <v>0</v>
      </c>
      <c r="AH16" s="1">
        <f t="shared" si="21"/>
        <v>1</v>
      </c>
      <c r="AI16" s="1">
        <f t="shared" si="22"/>
        <v>0</v>
      </c>
    </row>
    <row r="17" spans="1:35" ht="14.25" customHeight="1" x14ac:dyDescent="0.25">
      <c r="A17" s="44">
        <v>0</v>
      </c>
      <c r="B17" s="44">
        <v>1</v>
      </c>
      <c r="C17" s="44">
        <v>1</v>
      </c>
      <c r="D17" s="45" t="s">
        <v>119</v>
      </c>
      <c r="E17" s="45" t="s">
        <v>677</v>
      </c>
      <c r="F17" s="45" t="s">
        <v>1078</v>
      </c>
      <c r="G17" s="45" t="s">
        <v>39</v>
      </c>
      <c r="H17" s="45" t="s">
        <v>353</v>
      </c>
      <c r="I17" s="44" t="s">
        <v>1100</v>
      </c>
      <c r="J17" s="44">
        <v>11</v>
      </c>
      <c r="K17" s="46" t="s">
        <v>953</v>
      </c>
      <c r="L17" s="46" t="s">
        <v>1688</v>
      </c>
      <c r="M17" s="47" t="s">
        <v>1356</v>
      </c>
      <c r="N17" s="47" t="s">
        <v>1715</v>
      </c>
      <c r="O17" s="48"/>
      <c r="P17" s="48"/>
      <c r="Q17" s="45"/>
      <c r="S17" s="1">
        <f t="shared" ref="S17:S81" si="23">IF(J17=$S$7,1,0)</f>
        <v>0</v>
      </c>
      <c r="T17" s="1">
        <f t="shared" ref="T17:T81" si="24">IF(J17=$T$7,1,0)</f>
        <v>0</v>
      </c>
      <c r="U17" s="1">
        <f t="shared" ref="U17:U81" si="25">IF(J17=$U$7,1,0)</f>
        <v>0</v>
      </c>
      <c r="V17" s="1">
        <f t="shared" ref="V17:V81" si="26">IF(J17=$V$7,1,0)</f>
        <v>0</v>
      </c>
      <c r="W17" s="1">
        <f t="shared" ref="W17:W81" si="27">IF(J17=$W$7,1,0)</f>
        <v>0</v>
      </c>
      <c r="X17" s="1">
        <f t="shared" ref="X17:X81" si="28">IF(J17=$X$7,1,0)</f>
        <v>0</v>
      </c>
      <c r="Y17" s="1">
        <f t="shared" ref="Y17:Y81" si="29">IF(J17=$Y$7,1,0)</f>
        <v>0</v>
      </c>
      <c r="Z17" s="1">
        <f t="shared" ref="Z17:Z81" si="30">IF(J17=$Z$7,1,0)</f>
        <v>0</v>
      </c>
      <c r="AA17" s="1">
        <f t="shared" ref="AA17:AA81" si="31">IF(J17=$AA$7,1,0)</f>
        <v>0</v>
      </c>
      <c r="AB17" s="1">
        <f t="shared" ref="AB17:AB81" si="32">IF(J17=$AB$7,1,0)</f>
        <v>0</v>
      </c>
      <c r="AD17" s="1">
        <f t="shared" ref="AD17:AD81" si="33">+O17*P17</f>
        <v>0</v>
      </c>
      <c r="AE17" s="1">
        <f t="shared" ref="AE17:AE81" si="34">O17*(1-P17)</f>
        <v>0</v>
      </c>
      <c r="AF17" s="1">
        <f t="shared" si="19"/>
        <v>0</v>
      </c>
      <c r="AG17" s="1">
        <f t="shared" si="20"/>
        <v>0</v>
      </c>
      <c r="AH17" s="1">
        <f t="shared" si="21"/>
        <v>0</v>
      </c>
      <c r="AI17" s="1">
        <f t="shared" si="22"/>
        <v>1</v>
      </c>
    </row>
    <row r="18" spans="1:35" ht="14.25" customHeight="1" x14ac:dyDescent="0.25">
      <c r="A18" s="44">
        <v>0</v>
      </c>
      <c r="B18" s="44">
        <v>1</v>
      </c>
      <c r="C18" s="44">
        <v>1</v>
      </c>
      <c r="D18" s="45" t="s">
        <v>147</v>
      </c>
      <c r="E18" s="45" t="s">
        <v>170</v>
      </c>
      <c r="F18" s="45" t="s">
        <v>347</v>
      </c>
      <c r="G18" s="45" t="s">
        <v>39</v>
      </c>
      <c r="H18" s="45" t="s">
        <v>377</v>
      </c>
      <c r="I18" s="44" t="s">
        <v>492</v>
      </c>
      <c r="J18" s="44">
        <v>16</v>
      </c>
      <c r="K18" s="46" t="s">
        <v>947</v>
      </c>
      <c r="L18" s="46">
        <v>75</v>
      </c>
      <c r="M18" s="47" t="s">
        <v>1356</v>
      </c>
      <c r="N18" s="47" t="s">
        <v>1776</v>
      </c>
      <c r="O18" s="48"/>
      <c r="P18" s="48"/>
      <c r="Q18" s="45"/>
      <c r="S18" s="1">
        <f t="shared" si="23"/>
        <v>0</v>
      </c>
      <c r="T18" s="1">
        <f t="shared" si="24"/>
        <v>0</v>
      </c>
      <c r="U18" s="1">
        <f t="shared" si="25"/>
        <v>0</v>
      </c>
      <c r="V18" s="1">
        <f t="shared" si="26"/>
        <v>0</v>
      </c>
      <c r="W18" s="1">
        <f t="shared" si="27"/>
        <v>0</v>
      </c>
      <c r="X18" s="1">
        <f t="shared" si="28"/>
        <v>0</v>
      </c>
      <c r="Y18" s="1">
        <f t="shared" si="29"/>
        <v>0</v>
      </c>
      <c r="Z18" s="1">
        <f t="shared" si="30"/>
        <v>0</v>
      </c>
      <c r="AA18" s="1">
        <f t="shared" si="31"/>
        <v>0</v>
      </c>
      <c r="AB18" s="1">
        <f t="shared" si="32"/>
        <v>0</v>
      </c>
      <c r="AD18" s="1">
        <f t="shared" si="33"/>
        <v>0</v>
      </c>
      <c r="AE18" s="1">
        <f t="shared" si="34"/>
        <v>0</v>
      </c>
      <c r="AF18" s="1">
        <f t="shared" si="19"/>
        <v>0</v>
      </c>
      <c r="AG18" s="1">
        <f t="shared" si="20"/>
        <v>0</v>
      </c>
      <c r="AH18" s="1">
        <f t="shared" si="21"/>
        <v>0</v>
      </c>
      <c r="AI18" s="1">
        <f t="shared" si="22"/>
        <v>1</v>
      </c>
    </row>
    <row r="19" spans="1:35" ht="14.25" customHeight="1" x14ac:dyDescent="0.25">
      <c r="A19" s="31">
        <v>0</v>
      </c>
      <c r="B19" s="31">
        <v>1</v>
      </c>
      <c r="C19" s="31">
        <v>1</v>
      </c>
      <c r="D19" s="32" t="s">
        <v>120</v>
      </c>
      <c r="E19" s="32" t="s">
        <v>170</v>
      </c>
      <c r="F19" s="32" t="s">
        <v>320</v>
      </c>
      <c r="G19" s="32" t="s">
        <v>321</v>
      </c>
      <c r="H19" s="32" t="s">
        <v>352</v>
      </c>
      <c r="I19" s="31" t="s">
        <v>465</v>
      </c>
      <c r="J19" s="31">
        <v>99</v>
      </c>
      <c r="K19" s="33" t="s">
        <v>952</v>
      </c>
      <c r="L19" s="33">
        <v>200</v>
      </c>
      <c r="M19" s="34" t="s">
        <v>39</v>
      </c>
      <c r="N19" s="34" t="s">
        <v>1823</v>
      </c>
      <c r="O19" s="35">
        <v>1</v>
      </c>
      <c r="P19" s="35"/>
      <c r="Q19" s="32"/>
      <c r="S19" s="1">
        <f t="shared" si="23"/>
        <v>0</v>
      </c>
      <c r="T19" s="1">
        <f t="shared" si="24"/>
        <v>0</v>
      </c>
      <c r="U19" s="1">
        <f t="shared" si="25"/>
        <v>0</v>
      </c>
      <c r="V19" s="1">
        <f t="shared" si="26"/>
        <v>0</v>
      </c>
      <c r="W19" s="1">
        <f t="shared" si="27"/>
        <v>0</v>
      </c>
      <c r="X19" s="1">
        <f t="shared" si="28"/>
        <v>0</v>
      </c>
      <c r="Y19" s="1">
        <f t="shared" si="29"/>
        <v>0</v>
      </c>
      <c r="Z19" s="1">
        <f t="shared" si="30"/>
        <v>0</v>
      </c>
      <c r="AA19" s="1">
        <f t="shared" si="31"/>
        <v>0</v>
      </c>
      <c r="AB19" s="1">
        <f t="shared" si="32"/>
        <v>0</v>
      </c>
      <c r="AD19" s="1">
        <f t="shared" si="33"/>
        <v>0</v>
      </c>
      <c r="AE19" s="1">
        <f t="shared" si="34"/>
        <v>1</v>
      </c>
      <c r="AF19" s="1">
        <f t="shared" si="19"/>
        <v>0</v>
      </c>
      <c r="AG19" s="1">
        <f t="shared" si="20"/>
        <v>1</v>
      </c>
      <c r="AH19" s="1">
        <f t="shared" si="21"/>
        <v>0</v>
      </c>
      <c r="AI19" s="1">
        <f t="shared" si="22"/>
        <v>1</v>
      </c>
    </row>
    <row r="20" spans="1:35" ht="14.25" customHeight="1" x14ac:dyDescent="0.25">
      <c r="A20" s="38">
        <v>0</v>
      </c>
      <c r="B20" s="38">
        <v>1</v>
      </c>
      <c r="C20" s="38">
        <v>1</v>
      </c>
      <c r="D20" s="39" t="s">
        <v>100</v>
      </c>
      <c r="E20" s="39" t="s">
        <v>170</v>
      </c>
      <c r="F20" s="39" t="s">
        <v>296</v>
      </c>
      <c r="G20" s="39" t="s">
        <v>39</v>
      </c>
      <c r="H20" s="39" t="s">
        <v>354</v>
      </c>
      <c r="I20" s="38" t="s">
        <v>445</v>
      </c>
      <c r="J20" s="38">
        <v>15</v>
      </c>
      <c r="K20" s="40" t="s">
        <v>954</v>
      </c>
      <c r="L20" s="40" t="s">
        <v>39</v>
      </c>
      <c r="M20" s="41" t="s">
        <v>39</v>
      </c>
      <c r="N20" s="42"/>
      <c r="O20" s="43"/>
      <c r="P20" s="43">
        <v>1</v>
      </c>
      <c r="Q20" s="54" t="s">
        <v>1867</v>
      </c>
      <c r="S20" s="1">
        <f t="shared" si="23"/>
        <v>0</v>
      </c>
      <c r="T20" s="1">
        <f t="shared" si="24"/>
        <v>0</v>
      </c>
      <c r="U20" s="1">
        <f t="shared" si="25"/>
        <v>0</v>
      </c>
      <c r="V20" s="1">
        <f t="shared" si="26"/>
        <v>0</v>
      </c>
      <c r="W20" s="1">
        <f t="shared" si="27"/>
        <v>0</v>
      </c>
      <c r="X20" s="1">
        <f t="shared" si="28"/>
        <v>0</v>
      </c>
      <c r="Y20" s="1">
        <f t="shared" si="29"/>
        <v>0</v>
      </c>
      <c r="Z20" s="1">
        <f t="shared" si="30"/>
        <v>0</v>
      </c>
      <c r="AA20" s="1">
        <f t="shared" si="31"/>
        <v>0</v>
      </c>
      <c r="AB20" s="1">
        <f t="shared" si="32"/>
        <v>0</v>
      </c>
      <c r="AD20" s="1">
        <f t="shared" si="33"/>
        <v>0</v>
      </c>
      <c r="AE20" s="1">
        <f t="shared" si="34"/>
        <v>0</v>
      </c>
      <c r="AF20" s="1">
        <f t="shared" si="19"/>
        <v>0</v>
      </c>
      <c r="AG20" s="1">
        <f t="shared" si="20"/>
        <v>0</v>
      </c>
      <c r="AH20" s="1">
        <f t="shared" si="21"/>
        <v>1</v>
      </c>
      <c r="AI20" s="1">
        <f t="shared" si="22"/>
        <v>0</v>
      </c>
    </row>
    <row r="21" spans="1:35" ht="14.25" customHeight="1" x14ac:dyDescent="0.25">
      <c r="A21" s="31">
        <v>0</v>
      </c>
      <c r="B21" s="31">
        <v>1</v>
      </c>
      <c r="C21" s="31">
        <v>1</v>
      </c>
      <c r="D21" s="32" t="s">
        <v>885</v>
      </c>
      <c r="E21" s="32" t="s">
        <v>169</v>
      </c>
      <c r="F21" s="32" t="s">
        <v>292</v>
      </c>
      <c r="G21" s="32" t="s">
        <v>39</v>
      </c>
      <c r="H21" s="32" t="s">
        <v>353</v>
      </c>
      <c r="I21" s="31" t="s">
        <v>441</v>
      </c>
      <c r="J21" s="31">
        <v>11</v>
      </c>
      <c r="K21" s="33" t="s">
        <v>947</v>
      </c>
      <c r="L21" s="33" t="s">
        <v>39</v>
      </c>
      <c r="M21" s="34" t="s">
        <v>39</v>
      </c>
      <c r="N21" s="34" t="s">
        <v>1701</v>
      </c>
      <c r="O21" s="35">
        <v>1</v>
      </c>
      <c r="P21" s="35">
        <v>1</v>
      </c>
      <c r="Q21" s="32"/>
      <c r="S21" s="1">
        <f t="shared" si="23"/>
        <v>0</v>
      </c>
      <c r="T21" s="1">
        <f t="shared" si="24"/>
        <v>0</v>
      </c>
      <c r="U21" s="1">
        <f t="shared" si="25"/>
        <v>0</v>
      </c>
      <c r="V21" s="1">
        <f t="shared" si="26"/>
        <v>0</v>
      </c>
      <c r="W21" s="1">
        <f t="shared" si="27"/>
        <v>0</v>
      </c>
      <c r="X21" s="1">
        <f t="shared" si="28"/>
        <v>0</v>
      </c>
      <c r="Y21" s="1">
        <f t="shared" si="29"/>
        <v>0</v>
      </c>
      <c r="Z21" s="1">
        <f t="shared" si="30"/>
        <v>0</v>
      </c>
      <c r="AA21" s="1">
        <f t="shared" si="31"/>
        <v>0</v>
      </c>
      <c r="AB21" s="1">
        <f t="shared" si="32"/>
        <v>0</v>
      </c>
      <c r="AD21" s="1">
        <f t="shared" si="33"/>
        <v>1</v>
      </c>
      <c r="AE21" s="1">
        <f t="shared" si="34"/>
        <v>0</v>
      </c>
      <c r="AF21" s="1">
        <f t="shared" si="19"/>
        <v>1</v>
      </c>
      <c r="AG21" s="1">
        <f t="shared" si="20"/>
        <v>0</v>
      </c>
      <c r="AH21" s="1">
        <f t="shared" si="21"/>
        <v>1</v>
      </c>
      <c r="AI21" s="1">
        <f t="shared" si="22"/>
        <v>0</v>
      </c>
    </row>
    <row r="22" spans="1:35" ht="14.25" customHeight="1" x14ac:dyDescent="0.25">
      <c r="A22" s="31">
        <v>0</v>
      </c>
      <c r="B22" s="31">
        <v>1</v>
      </c>
      <c r="C22" s="31">
        <v>1</v>
      </c>
      <c r="D22" s="32" t="s">
        <v>117</v>
      </c>
      <c r="E22" s="32" t="s">
        <v>170</v>
      </c>
      <c r="F22" s="32" t="s">
        <v>316</v>
      </c>
      <c r="G22" s="32" t="s">
        <v>39</v>
      </c>
      <c r="H22" s="32" t="s">
        <v>366</v>
      </c>
      <c r="I22" s="31" t="s">
        <v>462</v>
      </c>
      <c r="J22" s="31">
        <v>18</v>
      </c>
      <c r="K22" s="33" t="s">
        <v>954</v>
      </c>
      <c r="L22" s="33" t="s">
        <v>39</v>
      </c>
      <c r="M22" s="34" t="s">
        <v>39</v>
      </c>
      <c r="N22" s="34" t="s">
        <v>1707</v>
      </c>
      <c r="O22" s="35">
        <v>1</v>
      </c>
      <c r="P22" s="35">
        <v>1</v>
      </c>
      <c r="Q22" s="32"/>
      <c r="S22" s="1">
        <f t="shared" si="23"/>
        <v>0</v>
      </c>
      <c r="T22" s="1">
        <f t="shared" si="24"/>
        <v>0</v>
      </c>
      <c r="U22" s="1">
        <f t="shared" si="25"/>
        <v>0</v>
      </c>
      <c r="V22" s="1">
        <f t="shared" si="26"/>
        <v>0</v>
      </c>
      <c r="W22" s="1">
        <f t="shared" si="27"/>
        <v>0</v>
      </c>
      <c r="X22" s="1">
        <f t="shared" si="28"/>
        <v>0</v>
      </c>
      <c r="Y22" s="1">
        <f t="shared" si="29"/>
        <v>0</v>
      </c>
      <c r="Z22" s="1">
        <f t="shared" si="30"/>
        <v>0</v>
      </c>
      <c r="AA22" s="1">
        <f t="shared" si="31"/>
        <v>0</v>
      </c>
      <c r="AB22" s="1">
        <f t="shared" si="32"/>
        <v>0</v>
      </c>
      <c r="AD22" s="1">
        <f t="shared" si="33"/>
        <v>1</v>
      </c>
      <c r="AE22" s="1">
        <f t="shared" si="34"/>
        <v>0</v>
      </c>
      <c r="AF22" s="1">
        <f t="shared" si="19"/>
        <v>1</v>
      </c>
      <c r="AG22" s="1">
        <f t="shared" si="20"/>
        <v>0</v>
      </c>
      <c r="AH22" s="1">
        <f t="shared" si="21"/>
        <v>1</v>
      </c>
      <c r="AI22" s="1">
        <f t="shared" si="22"/>
        <v>0</v>
      </c>
    </row>
    <row r="23" spans="1:35" ht="14.25" customHeight="1" x14ac:dyDescent="0.25">
      <c r="A23" s="31">
        <v>0</v>
      </c>
      <c r="B23" s="31">
        <v>1</v>
      </c>
      <c r="C23" s="31">
        <v>1</v>
      </c>
      <c r="D23" s="32" t="s">
        <v>137</v>
      </c>
      <c r="E23" s="32" t="s">
        <v>678</v>
      </c>
      <c r="F23" s="32" t="s">
        <v>337</v>
      </c>
      <c r="G23" s="32" t="s">
        <v>1150</v>
      </c>
      <c r="H23" s="32" t="s">
        <v>352</v>
      </c>
      <c r="I23" s="31" t="s">
        <v>483</v>
      </c>
      <c r="J23" s="31">
        <v>1</v>
      </c>
      <c r="K23" s="33" t="s">
        <v>947</v>
      </c>
      <c r="L23" s="33" t="s">
        <v>1680</v>
      </c>
      <c r="M23" s="34" t="s">
        <v>1106</v>
      </c>
      <c r="N23" s="34" t="s">
        <v>1717</v>
      </c>
      <c r="O23" s="35">
        <v>1</v>
      </c>
      <c r="P23" s="35"/>
      <c r="Q23" s="32"/>
      <c r="S23" s="1">
        <f t="shared" si="23"/>
        <v>1</v>
      </c>
      <c r="T23" s="1">
        <f t="shared" si="24"/>
        <v>0</v>
      </c>
      <c r="U23" s="1">
        <f t="shared" si="25"/>
        <v>0</v>
      </c>
      <c r="V23" s="1">
        <f t="shared" si="26"/>
        <v>0</v>
      </c>
      <c r="W23" s="1">
        <f t="shared" si="27"/>
        <v>0</v>
      </c>
      <c r="X23" s="1">
        <f t="shared" si="28"/>
        <v>0</v>
      </c>
      <c r="Y23" s="1">
        <f t="shared" si="29"/>
        <v>0</v>
      </c>
      <c r="Z23" s="1">
        <f t="shared" si="30"/>
        <v>0</v>
      </c>
      <c r="AA23" s="1">
        <f t="shared" si="31"/>
        <v>0</v>
      </c>
      <c r="AB23" s="1">
        <f t="shared" si="32"/>
        <v>0</v>
      </c>
      <c r="AD23" s="1">
        <f t="shared" si="33"/>
        <v>0</v>
      </c>
      <c r="AE23" s="1">
        <f t="shared" si="34"/>
        <v>1</v>
      </c>
      <c r="AF23" s="1">
        <f t="shared" si="19"/>
        <v>0</v>
      </c>
      <c r="AG23" s="1">
        <f t="shared" si="20"/>
        <v>1</v>
      </c>
      <c r="AH23" s="1">
        <f t="shared" si="21"/>
        <v>0</v>
      </c>
      <c r="AI23" s="1">
        <f t="shared" si="22"/>
        <v>1</v>
      </c>
    </row>
    <row r="24" spans="1:35" ht="14.25" customHeight="1" x14ac:dyDescent="0.25">
      <c r="A24" s="31">
        <v>0</v>
      </c>
      <c r="B24" s="31">
        <v>1</v>
      </c>
      <c r="C24" s="31">
        <v>1</v>
      </c>
      <c r="D24" s="32" t="s">
        <v>1562</v>
      </c>
      <c r="E24" s="32" t="s">
        <v>170</v>
      </c>
      <c r="F24" s="32" t="s">
        <v>1563</v>
      </c>
      <c r="G24" s="32" t="s">
        <v>212</v>
      </c>
      <c r="H24" s="32" t="s">
        <v>352</v>
      </c>
      <c r="I24" s="31" t="s">
        <v>1564</v>
      </c>
      <c r="J24" s="31">
        <v>1</v>
      </c>
      <c r="K24" s="33" t="s">
        <v>953</v>
      </c>
      <c r="L24" s="33" t="s">
        <v>39</v>
      </c>
      <c r="M24" s="34" t="s">
        <v>39</v>
      </c>
      <c r="N24" s="34" t="s">
        <v>1701</v>
      </c>
      <c r="O24" s="35">
        <v>1</v>
      </c>
      <c r="P24" s="35">
        <v>1</v>
      </c>
      <c r="Q24" s="32"/>
      <c r="S24" s="1">
        <f t="shared" si="23"/>
        <v>1</v>
      </c>
      <c r="T24" s="1">
        <f t="shared" si="24"/>
        <v>0</v>
      </c>
      <c r="U24" s="1">
        <f t="shared" si="25"/>
        <v>0</v>
      </c>
      <c r="V24" s="1">
        <f t="shared" si="26"/>
        <v>0</v>
      </c>
      <c r="W24" s="1">
        <f t="shared" si="27"/>
        <v>0</v>
      </c>
      <c r="X24" s="1">
        <f t="shared" si="28"/>
        <v>0</v>
      </c>
      <c r="Y24" s="1">
        <f t="shared" si="29"/>
        <v>0</v>
      </c>
      <c r="Z24" s="1">
        <f t="shared" si="30"/>
        <v>0</v>
      </c>
      <c r="AA24" s="1">
        <f t="shared" si="31"/>
        <v>0</v>
      </c>
      <c r="AB24" s="1">
        <f t="shared" si="32"/>
        <v>0</v>
      </c>
      <c r="AD24" s="1">
        <f t="shared" si="33"/>
        <v>1</v>
      </c>
      <c r="AE24" s="1">
        <f t="shared" si="34"/>
        <v>0</v>
      </c>
      <c r="AF24" s="1">
        <f t="shared" si="19"/>
        <v>1</v>
      </c>
      <c r="AG24" s="1">
        <f t="shared" si="20"/>
        <v>0</v>
      </c>
      <c r="AH24" s="1">
        <f t="shared" si="21"/>
        <v>1</v>
      </c>
      <c r="AI24" s="1">
        <f t="shared" si="22"/>
        <v>0</v>
      </c>
    </row>
    <row r="25" spans="1:35" ht="14.25" customHeight="1" x14ac:dyDescent="0.25">
      <c r="A25" s="31">
        <v>0</v>
      </c>
      <c r="B25" s="31">
        <v>1</v>
      </c>
      <c r="C25" s="31">
        <v>1</v>
      </c>
      <c r="D25" s="32" t="s">
        <v>1038</v>
      </c>
      <c r="E25" s="32" t="s">
        <v>170</v>
      </c>
      <c r="F25" s="32" t="s">
        <v>1082</v>
      </c>
      <c r="G25" s="32" t="s">
        <v>1025</v>
      </c>
      <c r="H25" s="32" t="s">
        <v>352</v>
      </c>
      <c r="I25" s="31" t="s">
        <v>1039</v>
      </c>
      <c r="J25" s="31">
        <v>99</v>
      </c>
      <c r="K25" s="33" t="s">
        <v>729</v>
      </c>
      <c r="L25" s="33">
        <v>150</v>
      </c>
      <c r="M25" s="34" t="s">
        <v>39</v>
      </c>
      <c r="N25" s="34" t="s">
        <v>1723</v>
      </c>
      <c r="O25" s="35">
        <v>1</v>
      </c>
      <c r="P25" s="35"/>
      <c r="Q25" s="32"/>
      <c r="S25" s="1">
        <f t="shared" si="23"/>
        <v>0</v>
      </c>
      <c r="T25" s="1">
        <f t="shared" si="24"/>
        <v>0</v>
      </c>
      <c r="U25" s="1">
        <f t="shared" si="25"/>
        <v>0</v>
      </c>
      <c r="V25" s="1">
        <f t="shared" si="26"/>
        <v>0</v>
      </c>
      <c r="W25" s="1">
        <f t="shared" si="27"/>
        <v>0</v>
      </c>
      <c r="X25" s="1">
        <f t="shared" si="28"/>
        <v>0</v>
      </c>
      <c r="Y25" s="1">
        <f t="shared" si="29"/>
        <v>0</v>
      </c>
      <c r="Z25" s="1">
        <f t="shared" si="30"/>
        <v>0</v>
      </c>
      <c r="AA25" s="1">
        <f t="shared" si="31"/>
        <v>0</v>
      </c>
      <c r="AB25" s="1">
        <f t="shared" si="32"/>
        <v>0</v>
      </c>
      <c r="AD25" s="1">
        <f t="shared" si="33"/>
        <v>0</v>
      </c>
      <c r="AE25" s="1">
        <f t="shared" si="34"/>
        <v>1</v>
      </c>
      <c r="AF25" s="1">
        <f t="shared" si="19"/>
        <v>0</v>
      </c>
      <c r="AG25" s="1">
        <f t="shared" si="20"/>
        <v>1</v>
      </c>
      <c r="AH25" s="1">
        <f t="shared" si="21"/>
        <v>0</v>
      </c>
      <c r="AI25" s="1">
        <f t="shared" si="22"/>
        <v>1</v>
      </c>
    </row>
    <row r="26" spans="1:35" ht="14.25" customHeight="1" x14ac:dyDescent="0.25">
      <c r="A26" s="38">
        <v>0</v>
      </c>
      <c r="B26" s="38">
        <v>1</v>
      </c>
      <c r="C26" s="38">
        <v>1</v>
      </c>
      <c r="D26" s="39" t="s">
        <v>111</v>
      </c>
      <c r="E26" s="39" t="s">
        <v>169</v>
      </c>
      <c r="F26" s="39" t="s">
        <v>309</v>
      </c>
      <c r="G26" s="39" t="s">
        <v>39</v>
      </c>
      <c r="H26" s="39" t="s">
        <v>353</v>
      </c>
      <c r="I26" s="38" t="s">
        <v>457</v>
      </c>
      <c r="J26" s="38">
        <v>11</v>
      </c>
      <c r="K26" s="40" t="s">
        <v>729</v>
      </c>
      <c r="L26" s="40" t="s">
        <v>39</v>
      </c>
      <c r="M26" s="41" t="s">
        <v>39</v>
      </c>
      <c r="N26" s="42"/>
      <c r="O26" s="43"/>
      <c r="P26" s="43">
        <v>1</v>
      </c>
      <c r="Q26" s="39"/>
      <c r="S26" s="1">
        <f t="shared" si="23"/>
        <v>0</v>
      </c>
      <c r="T26" s="1">
        <f t="shared" si="24"/>
        <v>0</v>
      </c>
      <c r="U26" s="1">
        <f t="shared" si="25"/>
        <v>0</v>
      </c>
      <c r="V26" s="1">
        <f t="shared" si="26"/>
        <v>0</v>
      </c>
      <c r="W26" s="1">
        <f t="shared" si="27"/>
        <v>0</v>
      </c>
      <c r="X26" s="1">
        <f t="shared" si="28"/>
        <v>0</v>
      </c>
      <c r="Y26" s="1">
        <f t="shared" si="29"/>
        <v>0</v>
      </c>
      <c r="Z26" s="1">
        <f t="shared" si="30"/>
        <v>0</v>
      </c>
      <c r="AA26" s="1">
        <f t="shared" si="31"/>
        <v>0</v>
      </c>
      <c r="AB26" s="1">
        <f t="shared" si="32"/>
        <v>0</v>
      </c>
      <c r="AD26" s="1">
        <f t="shared" si="33"/>
        <v>0</v>
      </c>
      <c r="AE26" s="1">
        <f t="shared" si="34"/>
        <v>0</v>
      </c>
      <c r="AF26" s="1">
        <f t="shared" si="19"/>
        <v>0</v>
      </c>
      <c r="AG26" s="1">
        <f t="shared" si="20"/>
        <v>0</v>
      </c>
      <c r="AH26" s="1">
        <f t="shared" si="21"/>
        <v>1</v>
      </c>
      <c r="AI26" s="1">
        <f t="shared" si="22"/>
        <v>0</v>
      </c>
    </row>
    <row r="27" spans="1:35" ht="14.25" customHeight="1" x14ac:dyDescent="0.25">
      <c r="A27" s="44">
        <v>0</v>
      </c>
      <c r="B27" s="44">
        <v>1</v>
      </c>
      <c r="C27" s="44">
        <v>1</v>
      </c>
      <c r="D27" s="45" t="s">
        <v>102</v>
      </c>
      <c r="E27" s="45" t="s">
        <v>170</v>
      </c>
      <c r="F27" s="45" t="s">
        <v>299</v>
      </c>
      <c r="G27" s="45" t="s">
        <v>300</v>
      </c>
      <c r="H27" s="45" t="s">
        <v>352</v>
      </c>
      <c r="I27" s="44" t="s">
        <v>447</v>
      </c>
      <c r="J27" s="44">
        <v>1</v>
      </c>
      <c r="K27" s="46" t="s">
        <v>951</v>
      </c>
      <c r="L27" s="46" t="s">
        <v>1689</v>
      </c>
      <c r="M27" s="47" t="s">
        <v>1357</v>
      </c>
      <c r="N27" s="47" t="s">
        <v>1710</v>
      </c>
      <c r="O27" s="48"/>
      <c r="P27" s="48"/>
      <c r="Q27" s="45"/>
      <c r="S27" s="1">
        <f t="shared" si="23"/>
        <v>1</v>
      </c>
      <c r="T27" s="1">
        <f t="shared" si="24"/>
        <v>0</v>
      </c>
      <c r="U27" s="1">
        <f t="shared" si="25"/>
        <v>0</v>
      </c>
      <c r="V27" s="1">
        <f t="shared" si="26"/>
        <v>0</v>
      </c>
      <c r="W27" s="1">
        <f t="shared" si="27"/>
        <v>0</v>
      </c>
      <c r="X27" s="1">
        <f t="shared" si="28"/>
        <v>0</v>
      </c>
      <c r="Y27" s="1">
        <f t="shared" si="29"/>
        <v>0</v>
      </c>
      <c r="Z27" s="1">
        <f t="shared" si="30"/>
        <v>0</v>
      </c>
      <c r="AA27" s="1">
        <f t="shared" si="31"/>
        <v>0</v>
      </c>
      <c r="AB27" s="1">
        <f t="shared" si="32"/>
        <v>0</v>
      </c>
      <c r="AD27" s="1">
        <f t="shared" si="33"/>
        <v>0</v>
      </c>
      <c r="AE27" s="1">
        <f t="shared" si="34"/>
        <v>0</v>
      </c>
      <c r="AF27" s="1">
        <f t="shared" si="19"/>
        <v>0</v>
      </c>
      <c r="AG27" s="1">
        <f t="shared" si="20"/>
        <v>0</v>
      </c>
      <c r="AH27" s="1">
        <f t="shared" si="21"/>
        <v>0</v>
      </c>
      <c r="AI27" s="1">
        <f t="shared" si="22"/>
        <v>1</v>
      </c>
    </row>
    <row r="28" spans="1:35" ht="14.25" customHeight="1" x14ac:dyDescent="0.25">
      <c r="A28" s="31">
        <v>0</v>
      </c>
      <c r="B28" s="31">
        <v>1</v>
      </c>
      <c r="C28" s="31">
        <v>1</v>
      </c>
      <c r="D28" s="32" t="s">
        <v>113</v>
      </c>
      <c r="E28" s="32" t="s">
        <v>170</v>
      </c>
      <c r="F28" s="32" t="s">
        <v>311</v>
      </c>
      <c r="G28" s="32" t="s">
        <v>312</v>
      </c>
      <c r="H28" s="32" t="s">
        <v>352</v>
      </c>
      <c r="I28" s="31" t="s">
        <v>459</v>
      </c>
      <c r="J28" s="31">
        <v>1</v>
      </c>
      <c r="K28" s="33" t="s">
        <v>954</v>
      </c>
      <c r="L28" s="33" t="s">
        <v>39</v>
      </c>
      <c r="M28" s="34" t="s">
        <v>39</v>
      </c>
      <c r="N28" s="34" t="s">
        <v>1707</v>
      </c>
      <c r="O28" s="35">
        <v>1</v>
      </c>
      <c r="P28" s="35">
        <v>1</v>
      </c>
      <c r="Q28" s="32" t="s">
        <v>1886</v>
      </c>
      <c r="S28" s="1">
        <f t="shared" si="23"/>
        <v>1</v>
      </c>
      <c r="T28" s="1">
        <f t="shared" si="24"/>
        <v>0</v>
      </c>
      <c r="U28" s="1">
        <f t="shared" si="25"/>
        <v>0</v>
      </c>
      <c r="V28" s="1">
        <f t="shared" si="26"/>
        <v>0</v>
      </c>
      <c r="W28" s="1">
        <f t="shared" si="27"/>
        <v>0</v>
      </c>
      <c r="X28" s="1">
        <f t="shared" si="28"/>
        <v>0</v>
      </c>
      <c r="Y28" s="1">
        <f t="shared" si="29"/>
        <v>0</v>
      </c>
      <c r="Z28" s="1">
        <f t="shared" si="30"/>
        <v>0</v>
      </c>
      <c r="AA28" s="1">
        <f t="shared" si="31"/>
        <v>0</v>
      </c>
      <c r="AB28" s="1">
        <f t="shared" si="32"/>
        <v>0</v>
      </c>
      <c r="AD28" s="1">
        <f t="shared" si="33"/>
        <v>1</v>
      </c>
      <c r="AE28" s="1">
        <f t="shared" si="34"/>
        <v>0</v>
      </c>
      <c r="AF28" s="1">
        <f t="shared" si="19"/>
        <v>1</v>
      </c>
      <c r="AG28" s="1">
        <f t="shared" si="20"/>
        <v>0</v>
      </c>
      <c r="AH28" s="1">
        <f t="shared" si="21"/>
        <v>1</v>
      </c>
      <c r="AI28" s="1">
        <f t="shared" si="22"/>
        <v>0</v>
      </c>
    </row>
    <row r="29" spans="1:35" ht="14.25" customHeight="1" x14ac:dyDescent="0.25">
      <c r="A29" s="31">
        <v>0</v>
      </c>
      <c r="B29" s="31">
        <v>1</v>
      </c>
      <c r="C29" s="31">
        <v>1</v>
      </c>
      <c r="D29" s="32" t="s">
        <v>847</v>
      </c>
      <c r="E29" s="32" t="s">
        <v>170</v>
      </c>
      <c r="F29" s="32" t="s">
        <v>848</v>
      </c>
      <c r="G29" s="32" t="s">
        <v>219</v>
      </c>
      <c r="H29" s="32" t="s">
        <v>352</v>
      </c>
      <c r="I29" s="31" t="s">
        <v>849</v>
      </c>
      <c r="J29" s="31">
        <v>8</v>
      </c>
      <c r="K29" s="33" t="s">
        <v>951</v>
      </c>
      <c r="L29" s="33" t="s">
        <v>1684</v>
      </c>
      <c r="M29" s="34" t="s">
        <v>1534</v>
      </c>
      <c r="N29" s="34" t="s">
        <v>1730</v>
      </c>
      <c r="O29" s="35">
        <v>1</v>
      </c>
      <c r="P29" s="35"/>
      <c r="Q29" s="32"/>
      <c r="S29" s="1">
        <f t="shared" si="23"/>
        <v>0</v>
      </c>
      <c r="T29" s="1">
        <f t="shared" si="24"/>
        <v>0</v>
      </c>
      <c r="U29" s="1">
        <f t="shared" si="25"/>
        <v>0</v>
      </c>
      <c r="V29" s="1">
        <f t="shared" si="26"/>
        <v>0</v>
      </c>
      <c r="W29" s="1">
        <f t="shared" si="27"/>
        <v>0</v>
      </c>
      <c r="X29" s="1">
        <f t="shared" si="28"/>
        <v>0</v>
      </c>
      <c r="Y29" s="1">
        <f t="shared" si="29"/>
        <v>0</v>
      </c>
      <c r="Z29" s="1">
        <f t="shared" si="30"/>
        <v>1</v>
      </c>
      <c r="AA29" s="1">
        <f t="shared" si="31"/>
        <v>0</v>
      </c>
      <c r="AB29" s="1">
        <f t="shared" si="32"/>
        <v>0</v>
      </c>
      <c r="AD29" s="1">
        <f t="shared" si="33"/>
        <v>0</v>
      </c>
      <c r="AE29" s="1">
        <f t="shared" si="34"/>
        <v>1</v>
      </c>
      <c r="AF29" s="1">
        <f t="shared" si="19"/>
        <v>0</v>
      </c>
      <c r="AG29" s="1">
        <f t="shared" si="20"/>
        <v>1</v>
      </c>
      <c r="AH29" s="1">
        <f t="shared" si="21"/>
        <v>0</v>
      </c>
      <c r="AI29" s="1">
        <f t="shared" si="22"/>
        <v>1</v>
      </c>
    </row>
    <row r="30" spans="1:35" ht="14.25" customHeight="1" x14ac:dyDescent="0.25">
      <c r="A30" s="31">
        <v>0</v>
      </c>
      <c r="B30" s="31">
        <v>1</v>
      </c>
      <c r="C30" s="31">
        <v>1</v>
      </c>
      <c r="D30" s="32" t="s">
        <v>132</v>
      </c>
      <c r="E30" s="32" t="s">
        <v>170</v>
      </c>
      <c r="F30" s="32" t="s">
        <v>333</v>
      </c>
      <c r="G30" s="32" t="s">
        <v>39</v>
      </c>
      <c r="H30" s="32" t="s">
        <v>355</v>
      </c>
      <c r="I30" s="31" t="s">
        <v>479</v>
      </c>
      <c r="J30" s="31">
        <v>18</v>
      </c>
      <c r="K30" s="33" t="s">
        <v>947</v>
      </c>
      <c r="L30" s="33" t="s">
        <v>39</v>
      </c>
      <c r="M30" s="34" t="s">
        <v>39</v>
      </c>
      <c r="N30" s="34" t="s">
        <v>1707</v>
      </c>
      <c r="O30" s="35">
        <v>1</v>
      </c>
      <c r="P30" s="35">
        <v>1</v>
      </c>
      <c r="Q30" s="32"/>
      <c r="S30" s="1">
        <f t="shared" si="23"/>
        <v>0</v>
      </c>
      <c r="T30" s="1">
        <f t="shared" si="24"/>
        <v>0</v>
      </c>
      <c r="U30" s="1">
        <f t="shared" si="25"/>
        <v>0</v>
      </c>
      <c r="V30" s="1">
        <f t="shared" si="26"/>
        <v>0</v>
      </c>
      <c r="W30" s="1">
        <f t="shared" si="27"/>
        <v>0</v>
      </c>
      <c r="X30" s="1">
        <f t="shared" si="28"/>
        <v>0</v>
      </c>
      <c r="Y30" s="1">
        <f t="shared" si="29"/>
        <v>0</v>
      </c>
      <c r="Z30" s="1">
        <f t="shared" si="30"/>
        <v>0</v>
      </c>
      <c r="AA30" s="1">
        <f t="shared" si="31"/>
        <v>0</v>
      </c>
      <c r="AB30" s="1">
        <f t="shared" si="32"/>
        <v>0</v>
      </c>
      <c r="AD30" s="1">
        <f t="shared" si="33"/>
        <v>1</v>
      </c>
      <c r="AE30" s="1">
        <f t="shared" si="34"/>
        <v>0</v>
      </c>
      <c r="AF30" s="1">
        <f t="shared" si="19"/>
        <v>1</v>
      </c>
      <c r="AG30" s="1">
        <f t="shared" si="20"/>
        <v>0</v>
      </c>
      <c r="AH30" s="1">
        <f t="shared" si="21"/>
        <v>1</v>
      </c>
      <c r="AI30" s="1">
        <f t="shared" si="22"/>
        <v>0</v>
      </c>
    </row>
    <row r="31" spans="1:35" ht="14.25" customHeight="1" x14ac:dyDescent="0.25">
      <c r="A31" s="44">
        <v>0</v>
      </c>
      <c r="B31" s="44">
        <v>1</v>
      </c>
      <c r="C31" s="44">
        <v>1</v>
      </c>
      <c r="D31" s="45" t="s">
        <v>143</v>
      </c>
      <c r="E31" s="45" t="s">
        <v>173</v>
      </c>
      <c r="F31" s="45" t="s">
        <v>344</v>
      </c>
      <c r="G31" s="45" t="s">
        <v>39</v>
      </c>
      <c r="H31" s="45" t="s">
        <v>365</v>
      </c>
      <c r="I31" s="44" t="s">
        <v>489</v>
      </c>
      <c r="J31" s="44">
        <v>18</v>
      </c>
      <c r="K31" s="46" t="s">
        <v>951</v>
      </c>
      <c r="L31" s="46">
        <v>70</v>
      </c>
      <c r="M31" s="47" t="s">
        <v>1358</v>
      </c>
      <c r="N31" s="47" t="s">
        <v>1708</v>
      </c>
      <c r="O31" s="48"/>
      <c r="P31" s="48"/>
      <c r="Q31" s="64" t="s">
        <v>1880</v>
      </c>
      <c r="S31" s="1">
        <f t="shared" si="23"/>
        <v>0</v>
      </c>
      <c r="T31" s="1">
        <f t="shared" si="24"/>
        <v>0</v>
      </c>
      <c r="U31" s="1">
        <f t="shared" si="25"/>
        <v>0</v>
      </c>
      <c r="V31" s="1">
        <f t="shared" si="26"/>
        <v>0</v>
      </c>
      <c r="W31" s="1">
        <f t="shared" si="27"/>
        <v>0</v>
      </c>
      <c r="X31" s="1">
        <f t="shared" si="28"/>
        <v>0</v>
      </c>
      <c r="Y31" s="1">
        <f t="shared" si="29"/>
        <v>0</v>
      </c>
      <c r="Z31" s="1">
        <f t="shared" si="30"/>
        <v>0</v>
      </c>
      <c r="AA31" s="1">
        <f t="shared" si="31"/>
        <v>0</v>
      </c>
      <c r="AB31" s="1">
        <f t="shared" si="32"/>
        <v>0</v>
      </c>
      <c r="AD31" s="1">
        <f t="shared" si="33"/>
        <v>0</v>
      </c>
      <c r="AE31" s="1">
        <f t="shared" si="34"/>
        <v>0</v>
      </c>
      <c r="AF31" s="1">
        <f t="shared" si="19"/>
        <v>0</v>
      </c>
      <c r="AG31" s="1">
        <f t="shared" si="20"/>
        <v>0</v>
      </c>
      <c r="AH31" s="1">
        <f t="shared" si="21"/>
        <v>0</v>
      </c>
      <c r="AI31" s="1">
        <f t="shared" si="22"/>
        <v>1</v>
      </c>
    </row>
    <row r="32" spans="1:35" ht="14.25" customHeight="1" x14ac:dyDescent="0.25">
      <c r="A32" s="31">
        <v>0</v>
      </c>
      <c r="B32" s="31">
        <v>1</v>
      </c>
      <c r="C32" s="31">
        <v>1</v>
      </c>
      <c r="D32" s="36" t="s">
        <v>151</v>
      </c>
      <c r="E32" s="36" t="s">
        <v>170</v>
      </c>
      <c r="F32" s="36" t="s">
        <v>350</v>
      </c>
      <c r="G32" s="36" t="s">
        <v>193</v>
      </c>
      <c r="H32" s="36" t="s">
        <v>352</v>
      </c>
      <c r="I32" s="37" t="s">
        <v>496</v>
      </c>
      <c r="J32" s="31">
        <v>9</v>
      </c>
      <c r="K32" s="33" t="s">
        <v>947</v>
      </c>
      <c r="L32" s="33" t="s">
        <v>1680</v>
      </c>
      <c r="M32" s="34" t="s">
        <v>1359</v>
      </c>
      <c r="N32" s="34" t="s">
        <v>1730</v>
      </c>
      <c r="O32" s="35">
        <v>1</v>
      </c>
      <c r="P32" s="35"/>
      <c r="Q32" s="36"/>
      <c r="S32" s="1">
        <f t="shared" si="23"/>
        <v>0</v>
      </c>
      <c r="T32" s="1">
        <f t="shared" si="24"/>
        <v>0</v>
      </c>
      <c r="U32" s="1">
        <f t="shared" si="25"/>
        <v>0</v>
      </c>
      <c r="V32" s="1">
        <f t="shared" si="26"/>
        <v>0</v>
      </c>
      <c r="W32" s="1">
        <f t="shared" si="27"/>
        <v>0</v>
      </c>
      <c r="X32" s="1">
        <f t="shared" si="28"/>
        <v>0</v>
      </c>
      <c r="Y32" s="1">
        <f t="shared" si="29"/>
        <v>0</v>
      </c>
      <c r="Z32" s="1">
        <f t="shared" si="30"/>
        <v>0</v>
      </c>
      <c r="AA32" s="1">
        <f t="shared" si="31"/>
        <v>1</v>
      </c>
      <c r="AB32" s="1">
        <f t="shared" si="32"/>
        <v>0</v>
      </c>
      <c r="AD32" s="1">
        <f t="shared" si="33"/>
        <v>0</v>
      </c>
      <c r="AE32" s="1">
        <f t="shared" si="34"/>
        <v>1</v>
      </c>
      <c r="AF32" s="1">
        <f t="shared" si="19"/>
        <v>0</v>
      </c>
      <c r="AG32" s="1">
        <f t="shared" si="20"/>
        <v>1</v>
      </c>
      <c r="AH32" s="1">
        <f t="shared" si="21"/>
        <v>0</v>
      </c>
      <c r="AI32" s="1">
        <f t="shared" si="22"/>
        <v>1</v>
      </c>
    </row>
    <row r="33" spans="1:35" ht="14.25" customHeight="1" x14ac:dyDescent="0.25">
      <c r="A33" s="31">
        <v>0</v>
      </c>
      <c r="B33" s="31">
        <v>1</v>
      </c>
      <c r="C33" s="31">
        <v>2</v>
      </c>
      <c r="D33" s="36" t="s">
        <v>1523</v>
      </c>
      <c r="E33" s="36" t="s">
        <v>1227</v>
      </c>
      <c r="F33" s="36" t="s">
        <v>1524</v>
      </c>
      <c r="G33" s="36" t="s">
        <v>257</v>
      </c>
      <c r="H33" s="36" t="s">
        <v>352</v>
      </c>
      <c r="I33" s="37" t="s">
        <v>470</v>
      </c>
      <c r="J33" s="31">
        <v>8</v>
      </c>
      <c r="K33" s="33" t="s">
        <v>698</v>
      </c>
      <c r="L33" s="33" t="s">
        <v>685</v>
      </c>
      <c r="M33" s="34" t="s">
        <v>686</v>
      </c>
      <c r="N33" s="34" t="s">
        <v>1763</v>
      </c>
      <c r="O33" s="35">
        <v>1</v>
      </c>
      <c r="P33" s="35"/>
      <c r="Q33" s="36"/>
      <c r="S33" s="1">
        <f t="shared" si="23"/>
        <v>0</v>
      </c>
      <c r="T33" s="1">
        <f t="shared" si="24"/>
        <v>0</v>
      </c>
      <c r="U33" s="1">
        <f t="shared" si="25"/>
        <v>0</v>
      </c>
      <c r="V33" s="1">
        <f t="shared" si="26"/>
        <v>0</v>
      </c>
      <c r="W33" s="1">
        <f t="shared" si="27"/>
        <v>0</v>
      </c>
      <c r="X33" s="1">
        <f t="shared" si="28"/>
        <v>0</v>
      </c>
      <c r="Y33" s="1">
        <f t="shared" si="29"/>
        <v>0</v>
      </c>
      <c r="Z33" s="1">
        <f t="shared" si="30"/>
        <v>1</v>
      </c>
      <c r="AA33" s="1">
        <f t="shared" si="31"/>
        <v>0</v>
      </c>
      <c r="AB33" s="1">
        <f t="shared" si="32"/>
        <v>0</v>
      </c>
      <c r="AD33" s="1">
        <f t="shared" si="33"/>
        <v>0</v>
      </c>
      <c r="AE33" s="1">
        <f t="shared" si="34"/>
        <v>1</v>
      </c>
      <c r="AF33" s="1">
        <f t="shared" si="19"/>
        <v>0</v>
      </c>
      <c r="AG33" s="1">
        <f t="shared" si="20"/>
        <v>1</v>
      </c>
      <c r="AH33" s="1">
        <f t="shared" si="21"/>
        <v>0</v>
      </c>
      <c r="AI33" s="1">
        <f t="shared" si="22"/>
        <v>1</v>
      </c>
    </row>
    <row r="34" spans="1:35" ht="14.25" customHeight="1" x14ac:dyDescent="0.25">
      <c r="A34" s="31">
        <v>0</v>
      </c>
      <c r="B34" s="31">
        <v>1</v>
      </c>
      <c r="C34" s="31">
        <v>2</v>
      </c>
      <c r="D34" s="36" t="s">
        <v>1437</v>
      </c>
      <c r="E34" s="36" t="s">
        <v>1439</v>
      </c>
      <c r="F34" s="36" t="s">
        <v>1438</v>
      </c>
      <c r="G34" s="36"/>
      <c r="H34" s="36" t="s">
        <v>1122</v>
      </c>
      <c r="I34" s="37" t="s">
        <v>1440</v>
      </c>
      <c r="J34" s="31">
        <v>99</v>
      </c>
      <c r="K34" s="33" t="s">
        <v>699</v>
      </c>
      <c r="L34" s="33"/>
      <c r="M34" s="34"/>
      <c r="N34" s="34" t="s">
        <v>1701</v>
      </c>
      <c r="O34" s="35">
        <v>1</v>
      </c>
      <c r="P34" s="35">
        <v>1</v>
      </c>
      <c r="Q34" s="36" t="s">
        <v>1894</v>
      </c>
      <c r="S34" s="1">
        <f t="shared" si="23"/>
        <v>0</v>
      </c>
      <c r="T34" s="1">
        <f t="shared" si="24"/>
        <v>0</v>
      </c>
      <c r="U34" s="1">
        <f t="shared" si="25"/>
        <v>0</v>
      </c>
      <c r="V34" s="1">
        <f t="shared" si="26"/>
        <v>0</v>
      </c>
      <c r="W34" s="1">
        <f t="shared" si="27"/>
        <v>0</v>
      </c>
      <c r="X34" s="1">
        <f t="shared" si="28"/>
        <v>0</v>
      </c>
      <c r="Y34" s="1">
        <f t="shared" si="29"/>
        <v>0</v>
      </c>
      <c r="Z34" s="1">
        <f t="shared" si="30"/>
        <v>0</v>
      </c>
      <c r="AA34" s="1">
        <f t="shared" si="31"/>
        <v>0</v>
      </c>
      <c r="AB34" s="1">
        <f t="shared" si="32"/>
        <v>0</v>
      </c>
      <c r="AD34" s="1">
        <f t="shared" si="33"/>
        <v>1</v>
      </c>
      <c r="AE34" s="1">
        <f t="shared" si="34"/>
        <v>0</v>
      </c>
      <c r="AF34" s="1">
        <f t="shared" si="19"/>
        <v>1</v>
      </c>
      <c r="AG34" s="1">
        <f t="shared" si="20"/>
        <v>0</v>
      </c>
      <c r="AH34" s="1">
        <f t="shared" si="21"/>
        <v>1</v>
      </c>
      <c r="AI34" s="1">
        <f t="shared" si="22"/>
        <v>0</v>
      </c>
    </row>
    <row r="35" spans="1:35" ht="14.25" customHeight="1" x14ac:dyDescent="0.25">
      <c r="A35" s="44">
        <v>0</v>
      </c>
      <c r="B35" s="44">
        <v>1</v>
      </c>
      <c r="C35" s="44">
        <v>2</v>
      </c>
      <c r="D35" s="45" t="s">
        <v>592</v>
      </c>
      <c r="E35" s="45" t="s">
        <v>174</v>
      </c>
      <c r="F35" s="45" t="s">
        <v>593</v>
      </c>
      <c r="G35" s="45" t="s">
        <v>250</v>
      </c>
      <c r="H35" s="45" t="s">
        <v>352</v>
      </c>
      <c r="I35" s="44" t="s">
        <v>594</v>
      </c>
      <c r="J35" s="44">
        <v>99</v>
      </c>
      <c r="K35" s="46" t="s">
        <v>943</v>
      </c>
      <c r="L35" s="46" t="s">
        <v>685</v>
      </c>
      <c r="M35" s="47" t="s">
        <v>1360</v>
      </c>
      <c r="N35" s="47" t="s">
        <v>1721</v>
      </c>
      <c r="O35" s="48"/>
      <c r="P35" s="48"/>
      <c r="Q35" s="45"/>
      <c r="S35" s="1">
        <f t="shared" si="23"/>
        <v>0</v>
      </c>
      <c r="T35" s="1">
        <f t="shared" si="24"/>
        <v>0</v>
      </c>
      <c r="U35" s="1">
        <f t="shared" si="25"/>
        <v>0</v>
      </c>
      <c r="V35" s="1">
        <f t="shared" si="26"/>
        <v>0</v>
      </c>
      <c r="W35" s="1">
        <f t="shared" si="27"/>
        <v>0</v>
      </c>
      <c r="X35" s="1">
        <f t="shared" si="28"/>
        <v>0</v>
      </c>
      <c r="Y35" s="1">
        <f t="shared" si="29"/>
        <v>0</v>
      </c>
      <c r="Z35" s="1">
        <f t="shared" si="30"/>
        <v>0</v>
      </c>
      <c r="AA35" s="1">
        <f t="shared" si="31"/>
        <v>0</v>
      </c>
      <c r="AB35" s="1">
        <f t="shared" si="32"/>
        <v>0</v>
      </c>
      <c r="AD35" s="1">
        <f t="shared" si="33"/>
        <v>0</v>
      </c>
      <c r="AE35" s="1">
        <f t="shared" si="34"/>
        <v>0</v>
      </c>
      <c r="AF35" s="1">
        <f t="shared" si="19"/>
        <v>0</v>
      </c>
      <c r="AG35" s="1">
        <f t="shared" si="20"/>
        <v>0</v>
      </c>
      <c r="AH35" s="1">
        <f t="shared" si="21"/>
        <v>0</v>
      </c>
      <c r="AI35" s="1">
        <f t="shared" si="22"/>
        <v>1</v>
      </c>
    </row>
    <row r="36" spans="1:35" ht="14.25" customHeight="1" x14ac:dyDescent="0.25">
      <c r="A36" s="44">
        <v>0</v>
      </c>
      <c r="B36" s="44">
        <v>1</v>
      </c>
      <c r="C36" s="44">
        <v>2</v>
      </c>
      <c r="D36" s="45" t="s">
        <v>112</v>
      </c>
      <c r="E36" s="45" t="s">
        <v>174</v>
      </c>
      <c r="F36" s="64" t="s">
        <v>1842</v>
      </c>
      <c r="G36" s="45" t="s">
        <v>310</v>
      </c>
      <c r="H36" s="45" t="s">
        <v>352</v>
      </c>
      <c r="I36" s="44" t="s">
        <v>458</v>
      </c>
      <c r="J36" s="44">
        <v>99</v>
      </c>
      <c r="K36" s="46" t="s">
        <v>698</v>
      </c>
      <c r="L36" s="46" t="s">
        <v>685</v>
      </c>
      <c r="M36" s="47" t="s">
        <v>687</v>
      </c>
      <c r="N36" s="47" t="s">
        <v>1776</v>
      </c>
      <c r="O36" s="48"/>
      <c r="P36" s="48"/>
      <c r="Q36" s="45"/>
      <c r="S36" s="1">
        <f t="shared" si="23"/>
        <v>0</v>
      </c>
      <c r="T36" s="1">
        <f t="shared" si="24"/>
        <v>0</v>
      </c>
      <c r="U36" s="1">
        <f t="shared" si="25"/>
        <v>0</v>
      </c>
      <c r="V36" s="1">
        <f t="shared" si="26"/>
        <v>0</v>
      </c>
      <c r="W36" s="1">
        <f t="shared" si="27"/>
        <v>0</v>
      </c>
      <c r="X36" s="1">
        <f t="shared" si="28"/>
        <v>0</v>
      </c>
      <c r="Y36" s="1">
        <f t="shared" si="29"/>
        <v>0</v>
      </c>
      <c r="Z36" s="1">
        <f t="shared" si="30"/>
        <v>0</v>
      </c>
      <c r="AA36" s="1">
        <f t="shared" si="31"/>
        <v>0</v>
      </c>
      <c r="AB36" s="1">
        <f t="shared" si="32"/>
        <v>0</v>
      </c>
      <c r="AD36" s="1">
        <f t="shared" si="33"/>
        <v>0</v>
      </c>
      <c r="AE36" s="1">
        <f t="shared" si="34"/>
        <v>0</v>
      </c>
      <c r="AF36" s="1">
        <f t="shared" si="19"/>
        <v>0</v>
      </c>
      <c r="AG36" s="1">
        <f t="shared" si="20"/>
        <v>0</v>
      </c>
      <c r="AH36" s="1">
        <f t="shared" si="21"/>
        <v>0</v>
      </c>
      <c r="AI36" s="1">
        <f t="shared" si="22"/>
        <v>1</v>
      </c>
    </row>
    <row r="37" spans="1:35" ht="14.25" customHeight="1" x14ac:dyDescent="0.25">
      <c r="A37" s="31">
        <v>0</v>
      </c>
      <c r="B37" s="31">
        <v>1</v>
      </c>
      <c r="C37" s="31">
        <v>2</v>
      </c>
      <c r="D37" s="36" t="s">
        <v>1736</v>
      </c>
      <c r="E37" s="36" t="s">
        <v>154</v>
      </c>
      <c r="F37" s="36" t="s">
        <v>1737</v>
      </c>
      <c r="G37" s="36"/>
      <c r="H37" s="36" t="s">
        <v>1738</v>
      </c>
      <c r="I37" s="37" t="s">
        <v>1739</v>
      </c>
      <c r="J37" s="31">
        <v>18</v>
      </c>
      <c r="K37" s="33" t="s">
        <v>699</v>
      </c>
      <c r="L37" s="33">
        <v>55</v>
      </c>
      <c r="M37" s="34" t="s">
        <v>1452</v>
      </c>
      <c r="N37" s="34" t="s">
        <v>1707</v>
      </c>
      <c r="O37" s="35">
        <v>1</v>
      </c>
      <c r="P37" s="35">
        <v>1</v>
      </c>
      <c r="Q37" s="36"/>
      <c r="S37" s="1">
        <f t="shared" si="23"/>
        <v>0</v>
      </c>
      <c r="T37" s="1">
        <f t="shared" si="24"/>
        <v>0</v>
      </c>
      <c r="U37" s="1">
        <f t="shared" si="25"/>
        <v>0</v>
      </c>
      <c r="V37" s="1">
        <f t="shared" si="26"/>
        <v>0</v>
      </c>
      <c r="W37" s="1">
        <f t="shared" si="27"/>
        <v>0</v>
      </c>
      <c r="X37" s="1">
        <f t="shared" si="28"/>
        <v>0</v>
      </c>
      <c r="Y37" s="1">
        <f t="shared" si="29"/>
        <v>0</v>
      </c>
      <c r="Z37" s="1">
        <f t="shared" si="30"/>
        <v>0</v>
      </c>
      <c r="AA37" s="1">
        <f t="shared" si="31"/>
        <v>0</v>
      </c>
      <c r="AB37" s="1">
        <f t="shared" si="32"/>
        <v>0</v>
      </c>
      <c r="AD37" s="1">
        <f t="shared" si="33"/>
        <v>1</v>
      </c>
      <c r="AE37" s="1">
        <f t="shared" si="34"/>
        <v>0</v>
      </c>
      <c r="AF37" s="1">
        <f t="shared" si="19"/>
        <v>1</v>
      </c>
      <c r="AG37" s="1">
        <f t="shared" si="20"/>
        <v>0</v>
      </c>
      <c r="AH37" s="1">
        <f t="shared" si="21"/>
        <v>1</v>
      </c>
      <c r="AI37" s="1">
        <f t="shared" si="22"/>
        <v>0</v>
      </c>
    </row>
    <row r="38" spans="1:35" ht="14.25" customHeight="1" x14ac:dyDescent="0.25">
      <c r="A38" s="31">
        <v>0</v>
      </c>
      <c r="B38" s="31">
        <v>1</v>
      </c>
      <c r="C38" s="31">
        <v>2</v>
      </c>
      <c r="D38" s="36" t="s">
        <v>595</v>
      </c>
      <c r="E38" s="36" t="s">
        <v>174</v>
      </c>
      <c r="F38" s="36" t="s">
        <v>596</v>
      </c>
      <c r="G38" s="36" t="s">
        <v>569</v>
      </c>
      <c r="H38" s="36" t="s">
        <v>352</v>
      </c>
      <c r="I38" s="37" t="s">
        <v>597</v>
      </c>
      <c r="J38" s="31">
        <v>1</v>
      </c>
      <c r="K38" s="33" t="s">
        <v>943</v>
      </c>
      <c r="L38" s="33" t="s">
        <v>1677</v>
      </c>
      <c r="M38" s="34" t="s">
        <v>1359</v>
      </c>
      <c r="N38" s="34" t="s">
        <v>1722</v>
      </c>
      <c r="O38" s="35">
        <v>1</v>
      </c>
      <c r="P38" s="35"/>
      <c r="Q38" s="36"/>
      <c r="S38" s="1">
        <f t="shared" si="23"/>
        <v>1</v>
      </c>
      <c r="T38" s="1">
        <f t="shared" si="24"/>
        <v>0</v>
      </c>
      <c r="U38" s="1">
        <f t="shared" si="25"/>
        <v>0</v>
      </c>
      <c r="V38" s="1">
        <f t="shared" si="26"/>
        <v>0</v>
      </c>
      <c r="W38" s="1">
        <f t="shared" si="27"/>
        <v>0</v>
      </c>
      <c r="X38" s="1">
        <f t="shared" si="28"/>
        <v>0</v>
      </c>
      <c r="Y38" s="1">
        <f t="shared" si="29"/>
        <v>0</v>
      </c>
      <c r="Z38" s="1">
        <f t="shared" si="30"/>
        <v>0</v>
      </c>
      <c r="AA38" s="1">
        <f t="shared" si="31"/>
        <v>0</v>
      </c>
      <c r="AB38" s="1">
        <f t="shared" si="32"/>
        <v>0</v>
      </c>
      <c r="AD38" s="1">
        <f t="shared" si="33"/>
        <v>0</v>
      </c>
      <c r="AE38" s="1">
        <f t="shared" si="34"/>
        <v>1</v>
      </c>
      <c r="AF38" s="1">
        <f t="shared" si="19"/>
        <v>0</v>
      </c>
      <c r="AG38" s="1">
        <f t="shared" si="20"/>
        <v>1</v>
      </c>
      <c r="AH38" s="1">
        <f t="shared" si="21"/>
        <v>0</v>
      </c>
      <c r="AI38" s="1">
        <f t="shared" si="22"/>
        <v>1</v>
      </c>
    </row>
    <row r="39" spans="1:35" ht="14.25" customHeight="1" x14ac:dyDescent="0.25">
      <c r="A39" s="31">
        <v>0</v>
      </c>
      <c r="B39" s="31">
        <v>1</v>
      </c>
      <c r="C39" s="31">
        <v>2</v>
      </c>
      <c r="D39" s="36" t="s">
        <v>1725</v>
      </c>
      <c r="E39" s="36" t="s">
        <v>1726</v>
      </c>
      <c r="F39" s="36" t="s">
        <v>1727</v>
      </c>
      <c r="G39" s="36" t="s">
        <v>319</v>
      </c>
      <c r="H39" s="36" t="s">
        <v>352</v>
      </c>
      <c r="I39" s="37" t="s">
        <v>1728</v>
      </c>
      <c r="J39" s="31">
        <v>99</v>
      </c>
      <c r="K39" s="33" t="s">
        <v>699</v>
      </c>
      <c r="L39" s="33"/>
      <c r="M39" s="34"/>
      <c r="N39" s="34" t="s">
        <v>1707</v>
      </c>
      <c r="O39" s="35">
        <v>1</v>
      </c>
      <c r="P39" s="35">
        <v>1</v>
      </c>
      <c r="Q39" s="36"/>
      <c r="S39" s="1">
        <f t="shared" si="23"/>
        <v>0</v>
      </c>
      <c r="T39" s="1">
        <f t="shared" si="24"/>
        <v>0</v>
      </c>
      <c r="U39" s="1">
        <f t="shared" si="25"/>
        <v>0</v>
      </c>
      <c r="V39" s="1">
        <f t="shared" si="26"/>
        <v>0</v>
      </c>
      <c r="W39" s="1">
        <f t="shared" si="27"/>
        <v>0</v>
      </c>
      <c r="X39" s="1">
        <f t="shared" si="28"/>
        <v>0</v>
      </c>
      <c r="Y39" s="1">
        <f t="shared" si="29"/>
        <v>0</v>
      </c>
      <c r="Z39" s="1">
        <f t="shared" si="30"/>
        <v>0</v>
      </c>
      <c r="AA39" s="1">
        <f t="shared" si="31"/>
        <v>0</v>
      </c>
      <c r="AB39" s="1">
        <f t="shared" si="32"/>
        <v>0</v>
      </c>
      <c r="AD39" s="1">
        <f t="shared" si="33"/>
        <v>1</v>
      </c>
      <c r="AE39" s="1">
        <f t="shared" si="34"/>
        <v>0</v>
      </c>
      <c r="AF39" s="1">
        <f t="shared" si="19"/>
        <v>1</v>
      </c>
      <c r="AG39" s="1">
        <f t="shared" si="20"/>
        <v>0</v>
      </c>
      <c r="AH39" s="1">
        <f t="shared" si="21"/>
        <v>1</v>
      </c>
      <c r="AI39" s="1">
        <f t="shared" si="22"/>
        <v>0</v>
      </c>
    </row>
    <row r="40" spans="1:35" ht="14.25" customHeight="1" x14ac:dyDescent="0.25">
      <c r="A40" s="44">
        <v>0</v>
      </c>
      <c r="B40" s="44">
        <v>1</v>
      </c>
      <c r="C40" s="44">
        <v>2</v>
      </c>
      <c r="D40" s="45" t="s">
        <v>638</v>
      </c>
      <c r="E40" s="45" t="s">
        <v>174</v>
      </c>
      <c r="F40" s="45" t="s">
        <v>639</v>
      </c>
      <c r="G40" s="45" t="s">
        <v>219</v>
      </c>
      <c r="H40" s="45" t="s">
        <v>352</v>
      </c>
      <c r="I40" s="44" t="s">
        <v>1098</v>
      </c>
      <c r="J40" s="44">
        <v>8</v>
      </c>
      <c r="K40" s="46" t="s">
        <v>943</v>
      </c>
      <c r="L40" s="46" t="s">
        <v>1674</v>
      </c>
      <c r="M40" s="47" t="s">
        <v>1354</v>
      </c>
      <c r="N40" s="47" t="s">
        <v>1711</v>
      </c>
      <c r="O40" s="48"/>
      <c r="P40" s="48"/>
      <c r="Q40" s="45"/>
      <c r="S40" s="1">
        <f t="shared" si="23"/>
        <v>0</v>
      </c>
      <c r="T40" s="1">
        <f t="shared" si="24"/>
        <v>0</v>
      </c>
      <c r="U40" s="1">
        <f t="shared" si="25"/>
        <v>0</v>
      </c>
      <c r="V40" s="1">
        <f t="shared" si="26"/>
        <v>0</v>
      </c>
      <c r="W40" s="1">
        <f t="shared" si="27"/>
        <v>0</v>
      </c>
      <c r="X40" s="1">
        <f t="shared" si="28"/>
        <v>0</v>
      </c>
      <c r="Y40" s="1">
        <f t="shared" si="29"/>
        <v>0</v>
      </c>
      <c r="Z40" s="1">
        <f t="shared" si="30"/>
        <v>1</v>
      </c>
      <c r="AA40" s="1">
        <f t="shared" si="31"/>
        <v>0</v>
      </c>
      <c r="AB40" s="1">
        <f t="shared" si="32"/>
        <v>0</v>
      </c>
      <c r="AD40" s="1">
        <f t="shared" si="33"/>
        <v>0</v>
      </c>
      <c r="AE40" s="1">
        <f t="shared" si="34"/>
        <v>0</v>
      </c>
      <c r="AF40" s="1">
        <f t="shared" si="19"/>
        <v>0</v>
      </c>
      <c r="AG40" s="1">
        <f t="shared" si="20"/>
        <v>0</v>
      </c>
      <c r="AH40" s="1">
        <f t="shared" si="21"/>
        <v>0</v>
      </c>
      <c r="AI40" s="1">
        <f t="shared" si="22"/>
        <v>1</v>
      </c>
    </row>
    <row r="41" spans="1:35" ht="14.25" customHeight="1" x14ac:dyDescent="0.25">
      <c r="A41" s="31">
        <v>0</v>
      </c>
      <c r="B41" s="31">
        <v>1</v>
      </c>
      <c r="C41" s="31">
        <v>2</v>
      </c>
      <c r="D41" s="36" t="s">
        <v>1487</v>
      </c>
      <c r="E41" s="36" t="s">
        <v>174</v>
      </c>
      <c r="F41" s="36" t="s">
        <v>1634</v>
      </c>
      <c r="G41" s="36" t="s">
        <v>1489</v>
      </c>
      <c r="H41" s="36" t="s">
        <v>352</v>
      </c>
      <c r="I41" s="37" t="s">
        <v>1488</v>
      </c>
      <c r="J41" s="31">
        <v>99</v>
      </c>
      <c r="K41" s="33" t="s">
        <v>944</v>
      </c>
      <c r="L41" s="33" t="s">
        <v>39</v>
      </c>
      <c r="M41" s="34" t="s">
        <v>39</v>
      </c>
      <c r="N41" s="34" t="s">
        <v>1701</v>
      </c>
      <c r="O41" s="35">
        <v>1</v>
      </c>
      <c r="P41" s="35">
        <v>1</v>
      </c>
      <c r="Q41" s="36"/>
      <c r="S41" s="1">
        <f t="shared" si="23"/>
        <v>0</v>
      </c>
      <c r="T41" s="1">
        <f t="shared" si="24"/>
        <v>0</v>
      </c>
      <c r="U41" s="1">
        <f t="shared" si="25"/>
        <v>0</v>
      </c>
      <c r="V41" s="1">
        <f t="shared" si="26"/>
        <v>0</v>
      </c>
      <c r="W41" s="1">
        <f t="shared" si="27"/>
        <v>0</v>
      </c>
      <c r="X41" s="1">
        <f t="shared" si="28"/>
        <v>0</v>
      </c>
      <c r="Y41" s="1">
        <f t="shared" si="29"/>
        <v>0</v>
      </c>
      <c r="Z41" s="1">
        <f t="shared" si="30"/>
        <v>0</v>
      </c>
      <c r="AA41" s="1">
        <f t="shared" si="31"/>
        <v>0</v>
      </c>
      <c r="AB41" s="1">
        <f t="shared" si="32"/>
        <v>0</v>
      </c>
      <c r="AD41" s="1">
        <f t="shared" si="33"/>
        <v>1</v>
      </c>
      <c r="AE41" s="1">
        <f t="shared" si="34"/>
        <v>0</v>
      </c>
      <c r="AF41" s="1">
        <f t="shared" si="19"/>
        <v>1</v>
      </c>
      <c r="AG41" s="1">
        <f t="shared" si="20"/>
        <v>0</v>
      </c>
      <c r="AH41" s="1">
        <f t="shared" si="21"/>
        <v>1</v>
      </c>
      <c r="AI41" s="1">
        <f t="shared" si="22"/>
        <v>0</v>
      </c>
    </row>
    <row r="42" spans="1:35" ht="14.25" customHeight="1" x14ac:dyDescent="0.25">
      <c r="A42" s="31">
        <v>0</v>
      </c>
      <c r="B42" s="31">
        <v>1</v>
      </c>
      <c r="C42" s="31">
        <v>2</v>
      </c>
      <c r="D42" s="32" t="s">
        <v>871</v>
      </c>
      <c r="E42" s="32" t="s">
        <v>173</v>
      </c>
      <c r="F42" s="32" t="s">
        <v>872</v>
      </c>
      <c r="G42" s="32" t="s">
        <v>39</v>
      </c>
      <c r="H42" s="32" t="s">
        <v>373</v>
      </c>
      <c r="I42" s="31" t="s">
        <v>873</v>
      </c>
      <c r="J42" s="31">
        <v>12</v>
      </c>
      <c r="K42" s="33" t="s">
        <v>698</v>
      </c>
      <c r="L42" s="33" t="s">
        <v>1678</v>
      </c>
      <c r="M42" s="34" t="s">
        <v>1361</v>
      </c>
      <c r="N42" s="34" t="s">
        <v>1799</v>
      </c>
      <c r="O42" s="35">
        <v>1</v>
      </c>
      <c r="P42" s="35"/>
      <c r="Q42" s="32"/>
      <c r="S42" s="1">
        <f t="shared" si="23"/>
        <v>0</v>
      </c>
      <c r="T42" s="1">
        <f t="shared" si="24"/>
        <v>0</v>
      </c>
      <c r="U42" s="1">
        <f t="shared" si="25"/>
        <v>0</v>
      </c>
      <c r="V42" s="1">
        <f t="shared" si="26"/>
        <v>0</v>
      </c>
      <c r="W42" s="1">
        <f t="shared" si="27"/>
        <v>0</v>
      </c>
      <c r="X42" s="1">
        <f t="shared" si="28"/>
        <v>0</v>
      </c>
      <c r="Y42" s="1">
        <f t="shared" si="29"/>
        <v>0</v>
      </c>
      <c r="Z42" s="1">
        <f t="shared" si="30"/>
        <v>0</v>
      </c>
      <c r="AA42" s="1">
        <f t="shared" si="31"/>
        <v>0</v>
      </c>
      <c r="AB42" s="1">
        <f t="shared" si="32"/>
        <v>0</v>
      </c>
      <c r="AD42" s="1">
        <f t="shared" si="33"/>
        <v>0</v>
      </c>
      <c r="AE42" s="1">
        <f t="shared" si="34"/>
        <v>1</v>
      </c>
      <c r="AF42" s="1">
        <f t="shared" si="19"/>
        <v>0</v>
      </c>
      <c r="AG42" s="1">
        <f t="shared" si="20"/>
        <v>1</v>
      </c>
      <c r="AH42" s="1">
        <f t="shared" si="21"/>
        <v>0</v>
      </c>
      <c r="AI42" s="1">
        <f t="shared" si="22"/>
        <v>1</v>
      </c>
    </row>
    <row r="43" spans="1:35" ht="14.25" customHeight="1" x14ac:dyDescent="0.25">
      <c r="A43" s="44">
        <v>0</v>
      </c>
      <c r="B43" s="44">
        <v>1</v>
      </c>
      <c r="C43" s="44">
        <v>2</v>
      </c>
      <c r="D43" s="45" t="s">
        <v>1789</v>
      </c>
      <c r="E43" s="45" t="s">
        <v>174</v>
      </c>
      <c r="F43" s="45" t="s">
        <v>1790</v>
      </c>
      <c r="G43" s="45" t="s">
        <v>193</v>
      </c>
      <c r="H43" s="45" t="s">
        <v>352</v>
      </c>
      <c r="I43" s="44" t="s">
        <v>1791</v>
      </c>
      <c r="J43" s="44">
        <v>9</v>
      </c>
      <c r="K43" s="46" t="s">
        <v>699</v>
      </c>
      <c r="L43" s="46">
        <v>60</v>
      </c>
      <c r="M43" s="47" t="s">
        <v>1792</v>
      </c>
      <c r="N43" s="47" t="s">
        <v>1783</v>
      </c>
      <c r="O43" s="48"/>
      <c r="P43" s="48"/>
      <c r="Q43" s="45"/>
      <c r="S43" s="1">
        <f t="shared" si="23"/>
        <v>0</v>
      </c>
      <c r="T43" s="1">
        <f t="shared" si="24"/>
        <v>0</v>
      </c>
      <c r="U43" s="1">
        <f t="shared" si="25"/>
        <v>0</v>
      </c>
      <c r="V43" s="1">
        <f t="shared" si="26"/>
        <v>0</v>
      </c>
      <c r="W43" s="1">
        <f t="shared" si="27"/>
        <v>0</v>
      </c>
      <c r="X43" s="1">
        <f t="shared" si="28"/>
        <v>0</v>
      </c>
      <c r="Y43" s="1">
        <f t="shared" si="29"/>
        <v>0</v>
      </c>
      <c r="Z43" s="1">
        <f t="shared" si="30"/>
        <v>0</v>
      </c>
      <c r="AA43" s="1">
        <f t="shared" si="31"/>
        <v>1</v>
      </c>
      <c r="AB43" s="1">
        <f t="shared" si="32"/>
        <v>0</v>
      </c>
      <c r="AD43" s="1">
        <f t="shared" si="33"/>
        <v>0</v>
      </c>
      <c r="AE43" s="1">
        <f t="shared" si="34"/>
        <v>0</v>
      </c>
      <c r="AF43" s="1">
        <f t="shared" si="19"/>
        <v>0</v>
      </c>
      <c r="AG43" s="1">
        <f t="shared" si="20"/>
        <v>0</v>
      </c>
      <c r="AH43" s="1">
        <f t="shared" si="21"/>
        <v>0</v>
      </c>
      <c r="AI43" s="1">
        <f t="shared" si="22"/>
        <v>1</v>
      </c>
    </row>
    <row r="44" spans="1:35" ht="14.25" customHeight="1" x14ac:dyDescent="0.25">
      <c r="A44" s="44">
        <v>0</v>
      </c>
      <c r="B44" s="44">
        <v>1</v>
      </c>
      <c r="C44" s="44">
        <v>2</v>
      </c>
      <c r="D44" s="45" t="s">
        <v>138</v>
      </c>
      <c r="E44" s="45" t="s">
        <v>174</v>
      </c>
      <c r="F44" s="64" t="s">
        <v>1853</v>
      </c>
      <c r="G44" s="45" t="s">
        <v>199</v>
      </c>
      <c r="H44" s="45" t="s">
        <v>352</v>
      </c>
      <c r="I44" s="44" t="s">
        <v>484</v>
      </c>
      <c r="J44" s="44">
        <v>2</v>
      </c>
      <c r="K44" s="46" t="s">
        <v>943</v>
      </c>
      <c r="L44" s="46" t="s">
        <v>689</v>
      </c>
      <c r="M44" s="47" t="s">
        <v>687</v>
      </c>
      <c r="N44" s="47" t="s">
        <v>1712</v>
      </c>
      <c r="O44" s="48"/>
      <c r="P44" s="48"/>
      <c r="Q44" s="64" t="s">
        <v>1881</v>
      </c>
      <c r="S44" s="1">
        <f t="shared" si="23"/>
        <v>0</v>
      </c>
      <c r="T44" s="1">
        <f t="shared" si="24"/>
        <v>1</v>
      </c>
      <c r="U44" s="1">
        <f t="shared" si="25"/>
        <v>0</v>
      </c>
      <c r="V44" s="1">
        <f t="shared" si="26"/>
        <v>0</v>
      </c>
      <c r="W44" s="1">
        <f t="shared" si="27"/>
        <v>0</v>
      </c>
      <c r="X44" s="1">
        <f t="shared" si="28"/>
        <v>0</v>
      </c>
      <c r="Y44" s="1">
        <f t="shared" si="29"/>
        <v>0</v>
      </c>
      <c r="Z44" s="1">
        <f t="shared" si="30"/>
        <v>0</v>
      </c>
      <c r="AA44" s="1">
        <f t="shared" si="31"/>
        <v>0</v>
      </c>
      <c r="AB44" s="1">
        <f t="shared" si="32"/>
        <v>0</v>
      </c>
      <c r="AD44" s="1">
        <f t="shared" si="33"/>
        <v>0</v>
      </c>
      <c r="AE44" s="1">
        <f t="shared" si="34"/>
        <v>0</v>
      </c>
      <c r="AF44" s="1">
        <f t="shared" si="19"/>
        <v>0</v>
      </c>
      <c r="AG44" s="1">
        <f t="shared" si="20"/>
        <v>0</v>
      </c>
      <c r="AH44" s="1">
        <f t="shared" si="21"/>
        <v>0</v>
      </c>
      <c r="AI44" s="1">
        <f t="shared" si="22"/>
        <v>1</v>
      </c>
    </row>
    <row r="45" spans="1:35" ht="14.25" customHeight="1" x14ac:dyDescent="0.25">
      <c r="A45" s="31">
        <v>0</v>
      </c>
      <c r="B45" s="31">
        <v>1</v>
      </c>
      <c r="C45" s="31">
        <v>2</v>
      </c>
      <c r="D45" s="32" t="s">
        <v>829</v>
      </c>
      <c r="E45" s="32" t="s">
        <v>174</v>
      </c>
      <c r="F45" s="32" t="s">
        <v>831</v>
      </c>
      <c r="G45" s="32" t="s">
        <v>39</v>
      </c>
      <c r="H45" s="32" t="s">
        <v>352</v>
      </c>
      <c r="I45" s="31" t="s">
        <v>830</v>
      </c>
      <c r="J45" s="31">
        <v>99</v>
      </c>
      <c r="K45" s="33" t="s">
        <v>949</v>
      </c>
      <c r="L45" s="33" t="s">
        <v>39</v>
      </c>
      <c r="M45" s="34" t="s">
        <v>39</v>
      </c>
      <c r="N45" s="34" t="s">
        <v>1707</v>
      </c>
      <c r="O45" s="35">
        <v>1</v>
      </c>
      <c r="P45" s="35">
        <v>1</v>
      </c>
      <c r="Q45" s="32"/>
      <c r="S45" s="1">
        <f t="shared" si="23"/>
        <v>0</v>
      </c>
      <c r="T45" s="1">
        <f t="shared" si="24"/>
        <v>0</v>
      </c>
      <c r="U45" s="1">
        <f t="shared" si="25"/>
        <v>0</v>
      </c>
      <c r="V45" s="1">
        <f t="shared" si="26"/>
        <v>0</v>
      </c>
      <c r="W45" s="1">
        <f t="shared" si="27"/>
        <v>0</v>
      </c>
      <c r="X45" s="1">
        <f t="shared" si="28"/>
        <v>0</v>
      </c>
      <c r="Y45" s="1">
        <f t="shared" si="29"/>
        <v>0</v>
      </c>
      <c r="Z45" s="1">
        <f t="shared" si="30"/>
        <v>0</v>
      </c>
      <c r="AA45" s="1">
        <f t="shared" si="31"/>
        <v>0</v>
      </c>
      <c r="AB45" s="1">
        <f t="shared" si="32"/>
        <v>0</v>
      </c>
      <c r="AD45" s="1">
        <f t="shared" si="33"/>
        <v>1</v>
      </c>
      <c r="AE45" s="1">
        <f t="shared" si="34"/>
        <v>0</v>
      </c>
      <c r="AF45" s="1">
        <f t="shared" si="19"/>
        <v>1</v>
      </c>
      <c r="AG45" s="1">
        <f t="shared" si="20"/>
        <v>0</v>
      </c>
      <c r="AH45" s="1">
        <f t="shared" si="21"/>
        <v>1</v>
      </c>
      <c r="AI45" s="1">
        <f t="shared" si="22"/>
        <v>0</v>
      </c>
    </row>
    <row r="46" spans="1:35" ht="14.25" customHeight="1" x14ac:dyDescent="0.25">
      <c r="A46" s="44">
        <v>0</v>
      </c>
      <c r="B46" s="44">
        <v>1</v>
      </c>
      <c r="C46" s="44">
        <v>2</v>
      </c>
      <c r="D46" s="45" t="s">
        <v>904</v>
      </c>
      <c r="E46" s="45" t="s">
        <v>174</v>
      </c>
      <c r="F46" s="45" t="s">
        <v>774</v>
      </c>
      <c r="G46" s="45" t="s">
        <v>39</v>
      </c>
      <c r="H46" s="45" t="s">
        <v>373</v>
      </c>
      <c r="I46" s="44" t="s">
        <v>775</v>
      </c>
      <c r="J46" s="44">
        <v>12</v>
      </c>
      <c r="K46" s="46" t="s">
        <v>718</v>
      </c>
      <c r="L46" s="46" t="s">
        <v>1673</v>
      </c>
      <c r="M46" s="47" t="s">
        <v>1106</v>
      </c>
      <c r="N46" s="47" t="s">
        <v>1776</v>
      </c>
      <c r="O46" s="48"/>
      <c r="P46" s="48"/>
      <c r="Q46" s="45"/>
      <c r="S46" s="1">
        <f t="shared" si="23"/>
        <v>0</v>
      </c>
      <c r="T46" s="1">
        <f t="shared" si="24"/>
        <v>0</v>
      </c>
      <c r="U46" s="1">
        <f t="shared" si="25"/>
        <v>0</v>
      </c>
      <c r="V46" s="1">
        <f t="shared" si="26"/>
        <v>0</v>
      </c>
      <c r="W46" s="1">
        <f t="shared" si="27"/>
        <v>0</v>
      </c>
      <c r="X46" s="1">
        <f t="shared" si="28"/>
        <v>0</v>
      </c>
      <c r="Y46" s="1">
        <f t="shared" si="29"/>
        <v>0</v>
      </c>
      <c r="Z46" s="1">
        <f t="shared" si="30"/>
        <v>0</v>
      </c>
      <c r="AA46" s="1">
        <f t="shared" si="31"/>
        <v>0</v>
      </c>
      <c r="AB46" s="1">
        <f t="shared" si="32"/>
        <v>0</v>
      </c>
      <c r="AD46" s="1">
        <f t="shared" si="33"/>
        <v>0</v>
      </c>
      <c r="AE46" s="1">
        <f t="shared" si="34"/>
        <v>0</v>
      </c>
      <c r="AF46" s="1">
        <f t="shared" si="19"/>
        <v>0</v>
      </c>
      <c r="AG46" s="1">
        <f t="shared" si="20"/>
        <v>0</v>
      </c>
      <c r="AH46" s="1">
        <f t="shared" si="21"/>
        <v>0</v>
      </c>
      <c r="AI46" s="1">
        <f t="shared" si="22"/>
        <v>1</v>
      </c>
    </row>
    <row r="47" spans="1:35" ht="14.25" customHeight="1" x14ac:dyDescent="0.25">
      <c r="A47" s="31">
        <v>0</v>
      </c>
      <c r="B47" s="31">
        <v>1</v>
      </c>
      <c r="C47" s="31">
        <v>2</v>
      </c>
      <c r="D47" s="32" t="s">
        <v>1609</v>
      </c>
      <c r="E47" s="32" t="s">
        <v>173</v>
      </c>
      <c r="F47" s="32" t="s">
        <v>1635</v>
      </c>
      <c r="G47" s="32" t="s">
        <v>250</v>
      </c>
      <c r="H47" s="32" t="s">
        <v>352</v>
      </c>
      <c r="I47" s="31" t="s">
        <v>1537</v>
      </c>
      <c r="J47" s="31">
        <v>99</v>
      </c>
      <c r="K47" s="33" t="s">
        <v>944</v>
      </c>
      <c r="L47" s="33" t="s">
        <v>39</v>
      </c>
      <c r="M47" s="34" t="s">
        <v>39</v>
      </c>
      <c r="N47" s="34" t="s">
        <v>1701</v>
      </c>
      <c r="O47" s="35">
        <v>1</v>
      </c>
      <c r="P47" s="35">
        <v>1</v>
      </c>
      <c r="Q47" s="32"/>
      <c r="S47" s="1">
        <f t="shared" si="23"/>
        <v>0</v>
      </c>
      <c r="T47" s="1">
        <f t="shared" si="24"/>
        <v>0</v>
      </c>
      <c r="U47" s="1">
        <f t="shared" si="25"/>
        <v>0</v>
      </c>
      <c r="V47" s="1">
        <f t="shared" si="26"/>
        <v>0</v>
      </c>
      <c r="W47" s="1">
        <f t="shared" si="27"/>
        <v>0</v>
      </c>
      <c r="X47" s="1">
        <f t="shared" si="28"/>
        <v>0</v>
      </c>
      <c r="Y47" s="1">
        <f t="shared" si="29"/>
        <v>0</v>
      </c>
      <c r="Z47" s="1">
        <f t="shared" si="30"/>
        <v>0</v>
      </c>
      <c r="AA47" s="1">
        <f t="shared" si="31"/>
        <v>0</v>
      </c>
      <c r="AB47" s="1">
        <f t="shared" si="32"/>
        <v>0</v>
      </c>
      <c r="AD47" s="1">
        <f t="shared" si="33"/>
        <v>1</v>
      </c>
      <c r="AE47" s="1">
        <f t="shared" si="34"/>
        <v>0</v>
      </c>
      <c r="AF47" s="1">
        <f t="shared" si="19"/>
        <v>1</v>
      </c>
      <c r="AG47" s="1">
        <f t="shared" si="20"/>
        <v>0</v>
      </c>
      <c r="AH47" s="1">
        <f t="shared" si="21"/>
        <v>1</v>
      </c>
      <c r="AI47" s="1">
        <f t="shared" si="22"/>
        <v>0</v>
      </c>
    </row>
    <row r="48" spans="1:35" ht="14.25" customHeight="1" x14ac:dyDescent="0.25">
      <c r="A48" s="31">
        <v>0</v>
      </c>
      <c r="B48" s="31">
        <v>1</v>
      </c>
      <c r="C48" s="31">
        <v>2</v>
      </c>
      <c r="D48" s="32" t="s">
        <v>1505</v>
      </c>
      <c r="E48" s="32" t="s">
        <v>1623</v>
      </c>
      <c r="F48" s="32" t="s">
        <v>1506</v>
      </c>
      <c r="G48" s="32" t="s">
        <v>199</v>
      </c>
      <c r="H48" s="32" t="s">
        <v>352</v>
      </c>
      <c r="I48" s="31" t="s">
        <v>1507</v>
      </c>
      <c r="J48" s="31">
        <v>2</v>
      </c>
      <c r="K48" s="33" t="s">
        <v>943</v>
      </c>
      <c r="L48" s="33">
        <v>70</v>
      </c>
      <c r="M48" s="34" t="s">
        <v>39</v>
      </c>
      <c r="N48" s="34" t="s">
        <v>1763</v>
      </c>
      <c r="O48" s="35">
        <v>1</v>
      </c>
      <c r="P48" s="35"/>
      <c r="Q48" s="32"/>
      <c r="S48" s="1">
        <f t="shared" si="23"/>
        <v>0</v>
      </c>
      <c r="T48" s="1">
        <f t="shared" si="24"/>
        <v>1</v>
      </c>
      <c r="U48" s="1">
        <f t="shared" si="25"/>
        <v>0</v>
      </c>
      <c r="V48" s="1">
        <f t="shared" si="26"/>
        <v>0</v>
      </c>
      <c r="W48" s="1">
        <f t="shared" si="27"/>
        <v>0</v>
      </c>
      <c r="X48" s="1">
        <f t="shared" si="28"/>
        <v>0</v>
      </c>
      <c r="Y48" s="1">
        <f t="shared" si="29"/>
        <v>0</v>
      </c>
      <c r="Z48" s="1">
        <f t="shared" si="30"/>
        <v>0</v>
      </c>
      <c r="AA48" s="1">
        <f t="shared" si="31"/>
        <v>0</v>
      </c>
      <c r="AB48" s="1">
        <f t="shared" si="32"/>
        <v>0</v>
      </c>
      <c r="AD48" s="1">
        <f t="shared" si="33"/>
        <v>0</v>
      </c>
      <c r="AE48" s="1">
        <f t="shared" si="34"/>
        <v>1</v>
      </c>
      <c r="AF48" s="1">
        <f t="shared" si="19"/>
        <v>0</v>
      </c>
      <c r="AG48" s="1">
        <f t="shared" si="20"/>
        <v>1</v>
      </c>
      <c r="AH48" s="1">
        <f t="shared" si="21"/>
        <v>0</v>
      </c>
      <c r="AI48" s="1">
        <f t="shared" si="22"/>
        <v>1</v>
      </c>
    </row>
    <row r="49" spans="1:35" ht="14.25" customHeight="1" x14ac:dyDescent="0.25">
      <c r="A49" s="44">
        <v>0</v>
      </c>
      <c r="B49" s="44">
        <v>1</v>
      </c>
      <c r="C49" s="44">
        <v>2</v>
      </c>
      <c r="D49" s="45" t="s">
        <v>1442</v>
      </c>
      <c r="E49" s="45" t="s">
        <v>1624</v>
      </c>
      <c r="F49" s="45" t="s">
        <v>1441</v>
      </c>
      <c r="G49" s="45" t="s">
        <v>219</v>
      </c>
      <c r="H49" s="45" t="s">
        <v>352</v>
      </c>
      <c r="I49" s="44" t="s">
        <v>1661</v>
      </c>
      <c r="J49" s="44">
        <v>8</v>
      </c>
      <c r="K49" s="46" t="s">
        <v>698</v>
      </c>
      <c r="L49" s="46">
        <v>70</v>
      </c>
      <c r="M49" s="47" t="s">
        <v>39</v>
      </c>
      <c r="N49" s="47" t="s">
        <v>1711</v>
      </c>
      <c r="O49" s="48"/>
      <c r="P49" s="48"/>
      <c r="Q49" s="45"/>
      <c r="S49" s="1">
        <f t="shared" si="23"/>
        <v>0</v>
      </c>
      <c r="T49" s="1">
        <f t="shared" si="24"/>
        <v>0</v>
      </c>
      <c r="U49" s="1">
        <f t="shared" si="25"/>
        <v>0</v>
      </c>
      <c r="V49" s="1">
        <f t="shared" si="26"/>
        <v>0</v>
      </c>
      <c r="W49" s="1">
        <f t="shared" si="27"/>
        <v>0</v>
      </c>
      <c r="X49" s="1">
        <f t="shared" si="28"/>
        <v>0</v>
      </c>
      <c r="Y49" s="1">
        <f t="shared" si="29"/>
        <v>0</v>
      </c>
      <c r="Z49" s="1">
        <f t="shared" si="30"/>
        <v>1</v>
      </c>
      <c r="AA49" s="1">
        <f t="shared" si="31"/>
        <v>0</v>
      </c>
      <c r="AB49" s="1">
        <f t="shared" si="32"/>
        <v>0</v>
      </c>
      <c r="AD49" s="1">
        <f t="shared" si="33"/>
        <v>0</v>
      </c>
      <c r="AE49" s="1">
        <f t="shared" si="34"/>
        <v>0</v>
      </c>
      <c r="AF49" s="1">
        <f t="shared" si="19"/>
        <v>0</v>
      </c>
      <c r="AG49" s="1">
        <f t="shared" si="20"/>
        <v>0</v>
      </c>
      <c r="AH49" s="1">
        <f t="shared" si="21"/>
        <v>0</v>
      </c>
      <c r="AI49" s="1">
        <f t="shared" si="22"/>
        <v>1</v>
      </c>
    </row>
    <row r="50" spans="1:35" ht="14.25" customHeight="1" x14ac:dyDescent="0.25">
      <c r="A50" s="31">
        <v>0</v>
      </c>
      <c r="B50" s="31">
        <v>1</v>
      </c>
      <c r="C50" s="31">
        <v>2</v>
      </c>
      <c r="D50" s="32" t="s">
        <v>802</v>
      </c>
      <c r="E50" s="32" t="s">
        <v>174</v>
      </c>
      <c r="F50" s="32" t="s">
        <v>803</v>
      </c>
      <c r="G50" s="32" t="s">
        <v>39</v>
      </c>
      <c r="H50" s="32" t="s">
        <v>804</v>
      </c>
      <c r="I50" s="31" t="s">
        <v>805</v>
      </c>
      <c r="J50" s="31">
        <v>11</v>
      </c>
      <c r="K50" s="33" t="s">
        <v>699</v>
      </c>
      <c r="L50" s="33">
        <v>50</v>
      </c>
      <c r="M50" s="34" t="s">
        <v>1106</v>
      </c>
      <c r="N50" s="34" t="s">
        <v>1920</v>
      </c>
      <c r="O50" s="35">
        <v>1</v>
      </c>
      <c r="P50" s="35"/>
      <c r="Q50" s="32"/>
      <c r="S50" s="1">
        <f t="shared" si="23"/>
        <v>0</v>
      </c>
      <c r="T50" s="1">
        <f t="shared" si="24"/>
        <v>0</v>
      </c>
      <c r="U50" s="1">
        <f t="shared" si="25"/>
        <v>0</v>
      </c>
      <c r="V50" s="1">
        <f t="shared" si="26"/>
        <v>0</v>
      </c>
      <c r="W50" s="1">
        <f t="shared" si="27"/>
        <v>0</v>
      </c>
      <c r="X50" s="1">
        <f t="shared" si="28"/>
        <v>0</v>
      </c>
      <c r="Y50" s="1">
        <f t="shared" si="29"/>
        <v>0</v>
      </c>
      <c r="Z50" s="1">
        <f t="shared" si="30"/>
        <v>0</v>
      </c>
      <c r="AA50" s="1">
        <f t="shared" si="31"/>
        <v>0</v>
      </c>
      <c r="AB50" s="1">
        <f t="shared" si="32"/>
        <v>0</v>
      </c>
      <c r="AD50" s="1">
        <f t="shared" si="33"/>
        <v>0</v>
      </c>
      <c r="AE50" s="1">
        <f t="shared" si="34"/>
        <v>1</v>
      </c>
      <c r="AF50" s="1">
        <f t="shared" si="19"/>
        <v>0</v>
      </c>
      <c r="AG50" s="1">
        <f t="shared" si="20"/>
        <v>1</v>
      </c>
      <c r="AH50" s="1">
        <f t="shared" si="21"/>
        <v>0</v>
      </c>
      <c r="AI50" s="1">
        <f t="shared" si="22"/>
        <v>1</v>
      </c>
    </row>
    <row r="51" spans="1:35" ht="14.25" customHeight="1" x14ac:dyDescent="0.25">
      <c r="A51" s="31">
        <v>0</v>
      </c>
      <c r="B51" s="31">
        <v>1</v>
      </c>
      <c r="C51" s="31">
        <v>2</v>
      </c>
      <c r="D51" s="32" t="s">
        <v>1446</v>
      </c>
      <c r="E51" s="32"/>
      <c r="F51" s="32" t="s">
        <v>1447</v>
      </c>
      <c r="G51" s="32" t="s">
        <v>1448</v>
      </c>
      <c r="H51" s="32" t="s">
        <v>352</v>
      </c>
      <c r="I51" s="31" t="s">
        <v>1449</v>
      </c>
      <c r="J51" s="31">
        <v>99</v>
      </c>
      <c r="K51" s="33" t="s">
        <v>699</v>
      </c>
      <c r="L51" s="33">
        <v>35</v>
      </c>
      <c r="M51" s="34" t="s">
        <v>1454</v>
      </c>
      <c r="N51" s="34" t="s">
        <v>1722</v>
      </c>
      <c r="O51" s="35">
        <v>1</v>
      </c>
      <c r="P51" s="35"/>
      <c r="Q51" s="32"/>
      <c r="S51" s="1">
        <f t="shared" si="23"/>
        <v>0</v>
      </c>
      <c r="T51" s="1">
        <f t="shared" si="24"/>
        <v>0</v>
      </c>
      <c r="U51" s="1">
        <f t="shared" si="25"/>
        <v>0</v>
      </c>
      <c r="V51" s="1">
        <f t="shared" si="26"/>
        <v>0</v>
      </c>
      <c r="W51" s="1">
        <f t="shared" si="27"/>
        <v>0</v>
      </c>
      <c r="X51" s="1">
        <f t="shared" si="28"/>
        <v>0</v>
      </c>
      <c r="Y51" s="1">
        <f t="shared" si="29"/>
        <v>0</v>
      </c>
      <c r="Z51" s="1">
        <f t="shared" si="30"/>
        <v>0</v>
      </c>
      <c r="AA51" s="1">
        <f t="shared" si="31"/>
        <v>0</v>
      </c>
      <c r="AB51" s="1">
        <f t="shared" si="32"/>
        <v>0</v>
      </c>
      <c r="AD51" s="1">
        <f t="shared" si="33"/>
        <v>0</v>
      </c>
      <c r="AE51" s="1">
        <f t="shared" si="34"/>
        <v>1</v>
      </c>
      <c r="AF51" s="1">
        <f t="shared" si="19"/>
        <v>0</v>
      </c>
      <c r="AG51" s="1">
        <f t="shared" si="20"/>
        <v>1</v>
      </c>
      <c r="AH51" s="1">
        <f t="shared" si="21"/>
        <v>0</v>
      </c>
      <c r="AI51" s="1">
        <f t="shared" si="22"/>
        <v>1</v>
      </c>
    </row>
    <row r="52" spans="1:35" ht="14.25" customHeight="1" x14ac:dyDescent="0.25">
      <c r="A52" s="31">
        <v>0</v>
      </c>
      <c r="B52" s="31">
        <v>1</v>
      </c>
      <c r="C52" s="31">
        <v>2</v>
      </c>
      <c r="D52" s="32" t="s">
        <v>1971</v>
      </c>
      <c r="E52" s="32" t="s">
        <v>174</v>
      </c>
      <c r="F52" s="32" t="s">
        <v>1972</v>
      </c>
      <c r="G52" s="32" t="s">
        <v>1973</v>
      </c>
      <c r="H52" s="32" t="s">
        <v>352</v>
      </c>
      <c r="I52" s="31" t="s">
        <v>1974</v>
      </c>
      <c r="J52" s="31">
        <v>99</v>
      </c>
      <c r="K52" s="33" t="s">
        <v>699</v>
      </c>
      <c r="L52" s="33"/>
      <c r="M52" s="34"/>
      <c r="N52" s="34" t="s">
        <v>1707</v>
      </c>
      <c r="O52" s="35">
        <v>1</v>
      </c>
      <c r="P52" s="35">
        <v>1</v>
      </c>
      <c r="Q52" s="32" t="s">
        <v>1975</v>
      </c>
      <c r="S52" s="1">
        <f t="shared" si="23"/>
        <v>0</v>
      </c>
      <c r="T52" s="1">
        <f t="shared" si="24"/>
        <v>0</v>
      </c>
      <c r="U52" s="1">
        <f t="shared" si="25"/>
        <v>0</v>
      </c>
      <c r="V52" s="1">
        <f t="shared" si="26"/>
        <v>0</v>
      </c>
      <c r="W52" s="1">
        <f t="shared" si="27"/>
        <v>0</v>
      </c>
      <c r="X52" s="1">
        <f t="shared" si="28"/>
        <v>0</v>
      </c>
      <c r="Y52" s="1">
        <f t="shared" si="29"/>
        <v>0</v>
      </c>
      <c r="Z52" s="1">
        <f t="shared" si="30"/>
        <v>0</v>
      </c>
      <c r="AA52" s="1">
        <f t="shared" si="31"/>
        <v>0</v>
      </c>
      <c r="AB52" s="1">
        <f t="shared" si="32"/>
        <v>0</v>
      </c>
      <c r="AD52" s="1">
        <f t="shared" si="33"/>
        <v>1</v>
      </c>
      <c r="AE52" s="1">
        <f t="shared" si="34"/>
        <v>0</v>
      </c>
      <c r="AF52" s="1">
        <f t="shared" si="19"/>
        <v>1</v>
      </c>
      <c r="AG52" s="1">
        <f t="shared" si="20"/>
        <v>0</v>
      </c>
      <c r="AH52" s="1">
        <f t="shared" si="21"/>
        <v>1</v>
      </c>
      <c r="AI52" s="1">
        <f t="shared" si="22"/>
        <v>0</v>
      </c>
    </row>
    <row r="53" spans="1:35" ht="14.25" customHeight="1" x14ac:dyDescent="0.25">
      <c r="A53" s="44">
        <v>0</v>
      </c>
      <c r="B53" s="44">
        <v>1</v>
      </c>
      <c r="C53" s="44">
        <v>2</v>
      </c>
      <c r="D53" s="45" t="s">
        <v>121</v>
      </c>
      <c r="E53" s="45" t="s">
        <v>174</v>
      </c>
      <c r="F53" s="45" t="s">
        <v>651</v>
      </c>
      <c r="G53" s="45" t="s">
        <v>39</v>
      </c>
      <c r="H53" s="45" t="s">
        <v>369</v>
      </c>
      <c r="I53" s="44" t="s">
        <v>466</v>
      </c>
      <c r="J53" s="44">
        <v>11</v>
      </c>
      <c r="K53" s="46" t="s">
        <v>699</v>
      </c>
      <c r="L53" s="46">
        <v>40</v>
      </c>
      <c r="M53" s="47" t="s">
        <v>687</v>
      </c>
      <c r="N53" s="47" t="s">
        <v>1776</v>
      </c>
      <c r="O53" s="48"/>
      <c r="P53" s="48"/>
      <c r="Q53" s="45"/>
      <c r="S53" s="1">
        <f t="shared" si="23"/>
        <v>0</v>
      </c>
      <c r="T53" s="1">
        <f t="shared" si="24"/>
        <v>0</v>
      </c>
      <c r="U53" s="1">
        <f t="shared" si="25"/>
        <v>0</v>
      </c>
      <c r="V53" s="1">
        <f t="shared" si="26"/>
        <v>0</v>
      </c>
      <c r="W53" s="1">
        <f t="shared" si="27"/>
        <v>0</v>
      </c>
      <c r="X53" s="1">
        <f t="shared" si="28"/>
        <v>0</v>
      </c>
      <c r="Y53" s="1">
        <f t="shared" si="29"/>
        <v>0</v>
      </c>
      <c r="Z53" s="1">
        <f t="shared" si="30"/>
        <v>0</v>
      </c>
      <c r="AA53" s="1">
        <f t="shared" si="31"/>
        <v>0</v>
      </c>
      <c r="AB53" s="1">
        <f t="shared" si="32"/>
        <v>0</v>
      </c>
      <c r="AD53" s="1">
        <f t="shared" si="33"/>
        <v>0</v>
      </c>
      <c r="AE53" s="1">
        <f t="shared" si="34"/>
        <v>0</v>
      </c>
      <c r="AF53" s="1">
        <f t="shared" si="19"/>
        <v>0</v>
      </c>
      <c r="AG53" s="1">
        <f t="shared" si="20"/>
        <v>0</v>
      </c>
      <c r="AH53" s="1">
        <f t="shared" si="21"/>
        <v>0</v>
      </c>
      <c r="AI53" s="1">
        <f t="shared" si="22"/>
        <v>1</v>
      </c>
    </row>
    <row r="54" spans="1:35" ht="14.25" customHeight="1" x14ac:dyDescent="0.25">
      <c r="A54" s="31">
        <v>0</v>
      </c>
      <c r="B54" s="31">
        <v>1</v>
      </c>
      <c r="C54" s="31">
        <v>2</v>
      </c>
      <c r="D54" s="32" t="s">
        <v>1041</v>
      </c>
      <c r="E54" s="32" t="s">
        <v>174</v>
      </c>
      <c r="F54" s="32" t="s">
        <v>1042</v>
      </c>
      <c r="G54" s="32" t="s">
        <v>1043</v>
      </c>
      <c r="H54" s="32" t="s">
        <v>352</v>
      </c>
      <c r="I54" s="31" t="s">
        <v>1044</v>
      </c>
      <c r="J54" s="31">
        <v>1</v>
      </c>
      <c r="K54" s="33" t="s">
        <v>718</v>
      </c>
      <c r="L54" s="33" t="s">
        <v>683</v>
      </c>
      <c r="M54" s="34" t="s">
        <v>1106</v>
      </c>
      <c r="N54" s="34" t="s">
        <v>1763</v>
      </c>
      <c r="O54" s="35">
        <v>1</v>
      </c>
      <c r="P54" s="35"/>
      <c r="Q54" s="32" t="s">
        <v>1884</v>
      </c>
      <c r="S54" s="1">
        <f t="shared" si="23"/>
        <v>1</v>
      </c>
      <c r="T54" s="1">
        <f t="shared" si="24"/>
        <v>0</v>
      </c>
      <c r="U54" s="1">
        <f t="shared" si="25"/>
        <v>0</v>
      </c>
      <c r="V54" s="1">
        <f t="shared" si="26"/>
        <v>0</v>
      </c>
      <c r="W54" s="1">
        <f t="shared" si="27"/>
        <v>0</v>
      </c>
      <c r="X54" s="1">
        <f t="shared" si="28"/>
        <v>0</v>
      </c>
      <c r="Y54" s="1">
        <f t="shared" si="29"/>
        <v>0</v>
      </c>
      <c r="Z54" s="1">
        <f t="shared" si="30"/>
        <v>0</v>
      </c>
      <c r="AA54" s="1">
        <f t="shared" si="31"/>
        <v>0</v>
      </c>
      <c r="AB54" s="1">
        <f t="shared" si="32"/>
        <v>0</v>
      </c>
      <c r="AD54" s="1">
        <f t="shared" ref="AD54:AD57" si="35">+O54*P54</f>
        <v>0</v>
      </c>
      <c r="AE54" s="1">
        <f t="shared" ref="AE54:AE57" si="36">O54*(1-P54)</f>
        <v>1</v>
      </c>
      <c r="AF54" s="1">
        <f t="shared" ref="AF54:AF57" si="37">+O54*P54*(1-A54)</f>
        <v>0</v>
      </c>
      <c r="AG54" s="1">
        <f t="shared" ref="AG54:AG57" si="38">O54*(1-P54)*(1-A54)</f>
        <v>1</v>
      </c>
      <c r="AH54" s="1">
        <f t="shared" ref="AH54:AH57" si="39">+P54*(1-A54)</f>
        <v>0</v>
      </c>
      <c r="AI54" s="1">
        <f t="shared" ref="AI54:AI57" si="40">+(1-A54)*(1-P54)</f>
        <v>1</v>
      </c>
    </row>
    <row r="55" spans="1:35" ht="14.25" customHeight="1" x14ac:dyDescent="0.25">
      <c r="A55" s="15">
        <v>0</v>
      </c>
      <c r="B55" s="15">
        <v>1</v>
      </c>
      <c r="C55" s="15">
        <v>2</v>
      </c>
      <c r="D55" s="16" t="s">
        <v>2099</v>
      </c>
      <c r="E55" s="16" t="s">
        <v>171</v>
      </c>
      <c r="F55" s="16" t="s">
        <v>2100</v>
      </c>
      <c r="G55" s="16"/>
      <c r="H55" s="16" t="s">
        <v>2101</v>
      </c>
      <c r="I55" s="15" t="s">
        <v>2102</v>
      </c>
      <c r="J55" s="15">
        <v>15</v>
      </c>
      <c r="K55" s="10" t="s">
        <v>699</v>
      </c>
      <c r="L55" s="10" t="s">
        <v>1716</v>
      </c>
      <c r="M55" s="19" t="s">
        <v>1106</v>
      </c>
      <c r="N55" s="17"/>
      <c r="Q55" s="16" t="s">
        <v>2103</v>
      </c>
      <c r="S55" s="1">
        <f t="shared" si="23"/>
        <v>0</v>
      </c>
      <c r="T55" s="1">
        <f t="shared" si="24"/>
        <v>0</v>
      </c>
      <c r="U55" s="1">
        <f t="shared" si="25"/>
        <v>0</v>
      </c>
      <c r="V55" s="1">
        <f t="shared" si="26"/>
        <v>0</v>
      </c>
      <c r="W55" s="1">
        <f t="shared" si="27"/>
        <v>0</v>
      </c>
      <c r="X55" s="1">
        <f t="shared" si="28"/>
        <v>0</v>
      </c>
      <c r="Y55" s="1">
        <f t="shared" si="29"/>
        <v>0</v>
      </c>
      <c r="Z55" s="1">
        <f t="shared" si="30"/>
        <v>0</v>
      </c>
      <c r="AA55" s="1">
        <f t="shared" si="31"/>
        <v>0</v>
      </c>
      <c r="AB55" s="1">
        <f t="shared" si="32"/>
        <v>0</v>
      </c>
      <c r="AD55" s="1">
        <f t="shared" si="35"/>
        <v>0</v>
      </c>
      <c r="AE55" s="1">
        <f t="shared" si="36"/>
        <v>0</v>
      </c>
      <c r="AF55" s="1">
        <f t="shared" si="37"/>
        <v>0</v>
      </c>
      <c r="AG55" s="1">
        <f t="shared" si="38"/>
        <v>0</v>
      </c>
      <c r="AH55" s="1">
        <f t="shared" si="39"/>
        <v>0</v>
      </c>
      <c r="AI55" s="1">
        <f t="shared" si="40"/>
        <v>1</v>
      </c>
    </row>
    <row r="56" spans="1:35" ht="14.25" customHeight="1" x14ac:dyDescent="0.25">
      <c r="A56" s="31">
        <v>0</v>
      </c>
      <c r="B56" s="31">
        <v>1</v>
      </c>
      <c r="C56" s="31">
        <v>2</v>
      </c>
      <c r="D56" s="32" t="s">
        <v>1613</v>
      </c>
      <c r="E56" s="32" t="s">
        <v>174</v>
      </c>
      <c r="F56" s="32" t="s">
        <v>1639</v>
      </c>
      <c r="G56" s="32" t="s">
        <v>1640</v>
      </c>
      <c r="H56" s="32" t="s">
        <v>352</v>
      </c>
      <c r="I56" s="31" t="s">
        <v>1453</v>
      </c>
      <c r="J56" s="31">
        <v>99</v>
      </c>
      <c r="K56" s="33" t="s">
        <v>698</v>
      </c>
      <c r="L56" s="33">
        <v>45</v>
      </c>
      <c r="M56" s="34" t="s">
        <v>39</v>
      </c>
      <c r="N56" s="34" t="s">
        <v>1729</v>
      </c>
      <c r="O56" s="35">
        <v>1</v>
      </c>
      <c r="P56" s="35"/>
      <c r="Q56" s="32" t="s">
        <v>2022</v>
      </c>
      <c r="S56" s="1">
        <f t="shared" si="23"/>
        <v>0</v>
      </c>
      <c r="T56" s="1">
        <f t="shared" si="24"/>
        <v>0</v>
      </c>
      <c r="U56" s="1">
        <f t="shared" si="25"/>
        <v>0</v>
      </c>
      <c r="V56" s="1">
        <f t="shared" si="26"/>
        <v>0</v>
      </c>
      <c r="W56" s="1">
        <f t="shared" si="27"/>
        <v>0</v>
      </c>
      <c r="X56" s="1">
        <f t="shared" si="28"/>
        <v>0</v>
      </c>
      <c r="Y56" s="1">
        <f t="shared" si="29"/>
        <v>0</v>
      </c>
      <c r="Z56" s="1">
        <f t="shared" si="30"/>
        <v>0</v>
      </c>
      <c r="AA56" s="1">
        <f t="shared" si="31"/>
        <v>0</v>
      </c>
      <c r="AB56" s="1">
        <f t="shared" si="32"/>
        <v>0</v>
      </c>
      <c r="AD56" s="1">
        <f t="shared" si="35"/>
        <v>0</v>
      </c>
      <c r="AE56" s="1">
        <f t="shared" si="36"/>
        <v>1</v>
      </c>
      <c r="AF56" s="1">
        <f t="shared" si="37"/>
        <v>0</v>
      </c>
      <c r="AG56" s="1">
        <f t="shared" si="38"/>
        <v>1</v>
      </c>
      <c r="AH56" s="1">
        <f t="shared" si="39"/>
        <v>0</v>
      </c>
      <c r="AI56" s="1">
        <f t="shared" si="40"/>
        <v>1</v>
      </c>
    </row>
    <row r="57" spans="1:35" ht="14.25" customHeight="1" x14ac:dyDescent="0.25">
      <c r="A57" s="31">
        <v>0</v>
      </c>
      <c r="B57" s="31">
        <v>1</v>
      </c>
      <c r="C57" s="31">
        <v>2</v>
      </c>
      <c r="D57" s="32" t="s">
        <v>643</v>
      </c>
      <c r="E57" s="32" t="s">
        <v>174</v>
      </c>
      <c r="F57" s="32" t="s">
        <v>598</v>
      </c>
      <c r="G57" s="32" t="s">
        <v>591</v>
      </c>
      <c r="H57" s="32" t="s">
        <v>352</v>
      </c>
      <c r="I57" s="31" t="s">
        <v>673</v>
      </c>
      <c r="J57" s="31">
        <v>1</v>
      </c>
      <c r="K57" s="33" t="s">
        <v>698</v>
      </c>
      <c r="L57" s="33" t="s">
        <v>1674</v>
      </c>
      <c r="M57" s="34" t="s">
        <v>1362</v>
      </c>
      <c r="N57" s="34" t="s">
        <v>1717</v>
      </c>
      <c r="O57" s="35">
        <v>1</v>
      </c>
      <c r="P57" s="35"/>
      <c r="Q57" s="32"/>
      <c r="S57" s="1">
        <f t="shared" si="23"/>
        <v>1</v>
      </c>
      <c r="T57" s="1">
        <f t="shared" si="24"/>
        <v>0</v>
      </c>
      <c r="U57" s="1">
        <f t="shared" si="25"/>
        <v>0</v>
      </c>
      <c r="V57" s="1">
        <f t="shared" si="26"/>
        <v>0</v>
      </c>
      <c r="W57" s="1">
        <f t="shared" si="27"/>
        <v>0</v>
      </c>
      <c r="X57" s="1">
        <f t="shared" si="28"/>
        <v>0</v>
      </c>
      <c r="Y57" s="1">
        <f t="shared" si="29"/>
        <v>0</v>
      </c>
      <c r="Z57" s="1">
        <f t="shared" si="30"/>
        <v>0</v>
      </c>
      <c r="AA57" s="1">
        <f t="shared" si="31"/>
        <v>0</v>
      </c>
      <c r="AB57" s="1">
        <f t="shared" si="32"/>
        <v>0</v>
      </c>
      <c r="AD57" s="1">
        <f t="shared" si="35"/>
        <v>0</v>
      </c>
      <c r="AE57" s="1">
        <f t="shared" si="36"/>
        <v>1</v>
      </c>
      <c r="AF57" s="1">
        <f t="shared" si="37"/>
        <v>0</v>
      </c>
      <c r="AG57" s="1">
        <f t="shared" si="38"/>
        <v>1</v>
      </c>
      <c r="AH57" s="1">
        <f t="shared" si="39"/>
        <v>0</v>
      </c>
      <c r="AI57" s="1">
        <f t="shared" si="40"/>
        <v>1</v>
      </c>
    </row>
    <row r="58" spans="1:35" ht="14.25" customHeight="1" x14ac:dyDescent="0.25">
      <c r="A58" s="15">
        <v>0</v>
      </c>
      <c r="B58" s="15">
        <v>1</v>
      </c>
      <c r="C58" s="15">
        <v>2</v>
      </c>
      <c r="D58" s="16" t="s">
        <v>1171</v>
      </c>
      <c r="E58" s="16" t="s">
        <v>173</v>
      </c>
      <c r="F58" s="16" t="s">
        <v>1172</v>
      </c>
      <c r="G58" s="16" t="s">
        <v>39</v>
      </c>
      <c r="H58" s="16" t="s">
        <v>1174</v>
      </c>
      <c r="I58" s="15" t="s">
        <v>1173</v>
      </c>
      <c r="J58" s="15">
        <v>17</v>
      </c>
      <c r="K58" s="10" t="s">
        <v>699</v>
      </c>
      <c r="L58" s="10" t="s">
        <v>1363</v>
      </c>
      <c r="M58" s="19" t="s">
        <v>1364</v>
      </c>
      <c r="N58" s="17"/>
      <c r="Q58" s="16" t="s">
        <v>1860</v>
      </c>
      <c r="S58" s="1">
        <f t="shared" si="23"/>
        <v>0</v>
      </c>
      <c r="T58" s="1">
        <f t="shared" si="24"/>
        <v>0</v>
      </c>
      <c r="U58" s="1">
        <f t="shared" si="25"/>
        <v>0</v>
      </c>
      <c r="V58" s="1">
        <f t="shared" si="26"/>
        <v>0</v>
      </c>
      <c r="W58" s="1">
        <f t="shared" si="27"/>
        <v>0</v>
      </c>
      <c r="X58" s="1">
        <f t="shared" si="28"/>
        <v>0</v>
      </c>
      <c r="Y58" s="1">
        <f t="shared" si="29"/>
        <v>0</v>
      </c>
      <c r="Z58" s="1">
        <f t="shared" si="30"/>
        <v>0</v>
      </c>
      <c r="AA58" s="1">
        <f t="shared" si="31"/>
        <v>0</v>
      </c>
      <c r="AB58" s="1">
        <f t="shared" si="32"/>
        <v>0</v>
      </c>
      <c r="AD58" s="1">
        <f t="shared" si="33"/>
        <v>0</v>
      </c>
      <c r="AE58" s="1">
        <f t="shared" si="34"/>
        <v>0</v>
      </c>
      <c r="AF58" s="1">
        <f t="shared" si="19"/>
        <v>0</v>
      </c>
      <c r="AG58" s="1">
        <f t="shared" si="20"/>
        <v>0</v>
      </c>
      <c r="AH58" s="1">
        <f t="shared" si="21"/>
        <v>0</v>
      </c>
      <c r="AI58" s="1">
        <f t="shared" si="22"/>
        <v>1</v>
      </c>
    </row>
    <row r="59" spans="1:35" ht="14.25" customHeight="1" x14ac:dyDescent="0.25">
      <c r="A59" s="15">
        <v>0</v>
      </c>
      <c r="B59" s="15">
        <v>1</v>
      </c>
      <c r="C59" s="15">
        <v>2</v>
      </c>
      <c r="D59" s="16" t="s">
        <v>1182</v>
      </c>
      <c r="E59" s="16" t="s">
        <v>173</v>
      </c>
      <c r="F59" s="16" t="s">
        <v>1183</v>
      </c>
      <c r="G59" s="16" t="s">
        <v>39</v>
      </c>
      <c r="H59" s="16" t="s">
        <v>1184</v>
      </c>
      <c r="I59" s="15" t="s">
        <v>1185</v>
      </c>
      <c r="J59" s="15">
        <v>18</v>
      </c>
      <c r="K59" s="10" t="s">
        <v>944</v>
      </c>
      <c r="L59" s="10" t="s">
        <v>691</v>
      </c>
      <c r="M59" s="19" t="s">
        <v>957</v>
      </c>
      <c r="N59" s="17"/>
      <c r="Q59" s="16" t="s">
        <v>1859</v>
      </c>
      <c r="S59" s="1">
        <f t="shared" si="23"/>
        <v>0</v>
      </c>
      <c r="T59" s="1">
        <f t="shared" si="24"/>
        <v>0</v>
      </c>
      <c r="U59" s="1">
        <f t="shared" si="25"/>
        <v>0</v>
      </c>
      <c r="V59" s="1">
        <f t="shared" si="26"/>
        <v>0</v>
      </c>
      <c r="W59" s="1">
        <f t="shared" si="27"/>
        <v>0</v>
      </c>
      <c r="X59" s="1">
        <f t="shared" si="28"/>
        <v>0</v>
      </c>
      <c r="Y59" s="1">
        <f t="shared" si="29"/>
        <v>0</v>
      </c>
      <c r="Z59" s="1">
        <f t="shared" si="30"/>
        <v>0</v>
      </c>
      <c r="AA59" s="1">
        <f t="shared" si="31"/>
        <v>0</v>
      </c>
      <c r="AB59" s="1">
        <f t="shared" si="32"/>
        <v>0</v>
      </c>
      <c r="AD59" s="1">
        <f t="shared" si="33"/>
        <v>0</v>
      </c>
      <c r="AE59" s="1">
        <f t="shared" si="34"/>
        <v>0</v>
      </c>
      <c r="AF59" s="1">
        <f t="shared" si="19"/>
        <v>0</v>
      </c>
      <c r="AG59" s="1">
        <f t="shared" si="20"/>
        <v>0</v>
      </c>
      <c r="AH59" s="1">
        <f t="shared" si="21"/>
        <v>0</v>
      </c>
      <c r="AI59" s="1">
        <f t="shared" si="22"/>
        <v>1</v>
      </c>
    </row>
    <row r="60" spans="1:35" ht="14.25" customHeight="1" x14ac:dyDescent="0.25">
      <c r="A60" s="15">
        <v>0</v>
      </c>
      <c r="B60" s="15">
        <v>1</v>
      </c>
      <c r="C60" s="15">
        <v>2</v>
      </c>
      <c r="D60" s="16" t="s">
        <v>1016</v>
      </c>
      <c r="E60" s="16" t="s">
        <v>174</v>
      </c>
      <c r="F60" s="16" t="s">
        <v>1018</v>
      </c>
      <c r="G60" s="16" t="s">
        <v>39</v>
      </c>
      <c r="H60" s="16" t="s">
        <v>363</v>
      </c>
      <c r="I60" s="15" t="s">
        <v>1017</v>
      </c>
      <c r="J60" s="15">
        <v>18</v>
      </c>
      <c r="K60" s="10" t="s">
        <v>698</v>
      </c>
      <c r="L60" s="10" t="s">
        <v>1125</v>
      </c>
      <c r="M60" s="19" t="s">
        <v>687</v>
      </c>
      <c r="N60" s="17"/>
      <c r="Q60" s="16"/>
      <c r="S60" s="1">
        <f t="shared" si="23"/>
        <v>0</v>
      </c>
      <c r="T60" s="1">
        <f t="shared" si="24"/>
        <v>0</v>
      </c>
      <c r="U60" s="1">
        <f t="shared" si="25"/>
        <v>0</v>
      </c>
      <c r="V60" s="1">
        <f t="shared" si="26"/>
        <v>0</v>
      </c>
      <c r="W60" s="1">
        <f t="shared" si="27"/>
        <v>0</v>
      </c>
      <c r="X60" s="1">
        <f t="shared" si="28"/>
        <v>0</v>
      </c>
      <c r="Y60" s="1">
        <f t="shared" si="29"/>
        <v>0</v>
      </c>
      <c r="Z60" s="1">
        <f t="shared" si="30"/>
        <v>0</v>
      </c>
      <c r="AA60" s="1">
        <f t="shared" si="31"/>
        <v>0</v>
      </c>
      <c r="AB60" s="1">
        <f t="shared" si="32"/>
        <v>0</v>
      </c>
      <c r="AD60" s="1">
        <f t="shared" si="33"/>
        <v>0</v>
      </c>
      <c r="AE60" s="1">
        <f t="shared" si="34"/>
        <v>0</v>
      </c>
      <c r="AF60" s="1">
        <f t="shared" si="19"/>
        <v>0</v>
      </c>
      <c r="AG60" s="1">
        <f t="shared" si="20"/>
        <v>0</v>
      </c>
      <c r="AH60" s="1">
        <f t="shared" si="21"/>
        <v>0</v>
      </c>
      <c r="AI60" s="1">
        <f t="shared" si="22"/>
        <v>1</v>
      </c>
    </row>
    <row r="61" spans="1:35" ht="14.25" customHeight="1" x14ac:dyDescent="0.25">
      <c r="A61" s="31">
        <v>0</v>
      </c>
      <c r="B61" s="31">
        <v>1</v>
      </c>
      <c r="C61" s="31">
        <v>2</v>
      </c>
      <c r="D61" s="32" t="s">
        <v>1566</v>
      </c>
      <c r="E61" s="32" t="s">
        <v>174</v>
      </c>
      <c r="F61" s="32" t="s">
        <v>1567</v>
      </c>
      <c r="G61" s="32" t="s">
        <v>1568</v>
      </c>
      <c r="H61" s="32" t="s">
        <v>352</v>
      </c>
      <c r="I61" s="31" t="s">
        <v>1462</v>
      </c>
      <c r="J61" s="31">
        <v>99</v>
      </c>
      <c r="K61" s="33" t="s">
        <v>698</v>
      </c>
      <c r="L61" s="33" t="s">
        <v>39</v>
      </c>
      <c r="M61" s="34" t="s">
        <v>39</v>
      </c>
      <c r="N61" s="34" t="s">
        <v>1701</v>
      </c>
      <c r="O61" s="35">
        <v>1</v>
      </c>
      <c r="P61" s="35">
        <v>1</v>
      </c>
      <c r="Q61" s="32"/>
      <c r="S61" s="1">
        <f t="shared" si="23"/>
        <v>0</v>
      </c>
      <c r="T61" s="1">
        <f t="shared" si="24"/>
        <v>0</v>
      </c>
      <c r="U61" s="1">
        <f t="shared" si="25"/>
        <v>0</v>
      </c>
      <c r="V61" s="1">
        <f t="shared" si="26"/>
        <v>0</v>
      </c>
      <c r="W61" s="1">
        <f t="shared" si="27"/>
        <v>0</v>
      </c>
      <c r="X61" s="1">
        <f t="shared" si="28"/>
        <v>0</v>
      </c>
      <c r="Y61" s="1">
        <f t="shared" si="29"/>
        <v>0</v>
      </c>
      <c r="Z61" s="1">
        <f t="shared" si="30"/>
        <v>0</v>
      </c>
      <c r="AA61" s="1">
        <f t="shared" si="31"/>
        <v>0</v>
      </c>
      <c r="AB61" s="1">
        <f t="shared" si="32"/>
        <v>0</v>
      </c>
      <c r="AD61" s="1">
        <f t="shared" si="33"/>
        <v>1</v>
      </c>
      <c r="AE61" s="1">
        <f t="shared" si="34"/>
        <v>0</v>
      </c>
      <c r="AF61" s="1">
        <f t="shared" si="19"/>
        <v>1</v>
      </c>
      <c r="AG61" s="1">
        <f t="shared" si="20"/>
        <v>0</v>
      </c>
      <c r="AH61" s="1">
        <f t="shared" si="21"/>
        <v>1</v>
      </c>
      <c r="AI61" s="1">
        <f t="shared" si="22"/>
        <v>0</v>
      </c>
    </row>
    <row r="62" spans="1:35" ht="14.25" customHeight="1" x14ac:dyDescent="0.25">
      <c r="A62" s="31">
        <v>0</v>
      </c>
      <c r="B62" s="31">
        <v>1</v>
      </c>
      <c r="C62" s="31">
        <v>2</v>
      </c>
      <c r="D62" s="32" t="s">
        <v>1594</v>
      </c>
      <c r="E62" s="32" t="s">
        <v>169</v>
      </c>
      <c r="F62" s="32" t="s">
        <v>1595</v>
      </c>
      <c r="G62" s="32" t="s">
        <v>39</v>
      </c>
      <c r="H62" s="32" t="s">
        <v>353</v>
      </c>
      <c r="I62" s="31" t="s">
        <v>1596</v>
      </c>
      <c r="J62" s="31">
        <v>11</v>
      </c>
      <c r="K62" s="33" t="s">
        <v>944</v>
      </c>
      <c r="L62" s="33" t="s">
        <v>39</v>
      </c>
      <c r="M62" s="34" t="s">
        <v>39</v>
      </c>
      <c r="N62" s="34" t="s">
        <v>1701</v>
      </c>
      <c r="O62" s="35">
        <v>1</v>
      </c>
      <c r="P62" s="35">
        <v>1</v>
      </c>
      <c r="Q62" s="36" t="s">
        <v>1879</v>
      </c>
      <c r="S62" s="1">
        <f t="shared" si="23"/>
        <v>0</v>
      </c>
      <c r="T62" s="1">
        <f t="shared" si="24"/>
        <v>0</v>
      </c>
      <c r="U62" s="1">
        <f t="shared" si="25"/>
        <v>0</v>
      </c>
      <c r="V62" s="1">
        <f t="shared" si="26"/>
        <v>0</v>
      </c>
      <c r="W62" s="1">
        <f t="shared" si="27"/>
        <v>0</v>
      </c>
      <c r="X62" s="1">
        <f t="shared" si="28"/>
        <v>0</v>
      </c>
      <c r="Y62" s="1">
        <f t="shared" si="29"/>
        <v>0</v>
      </c>
      <c r="Z62" s="1">
        <f t="shared" si="30"/>
        <v>0</v>
      </c>
      <c r="AA62" s="1">
        <f t="shared" si="31"/>
        <v>0</v>
      </c>
      <c r="AB62" s="1">
        <f t="shared" si="32"/>
        <v>0</v>
      </c>
      <c r="AD62" s="1">
        <f t="shared" si="33"/>
        <v>1</v>
      </c>
      <c r="AE62" s="1">
        <f t="shared" si="34"/>
        <v>0</v>
      </c>
      <c r="AF62" s="1">
        <f t="shared" si="19"/>
        <v>1</v>
      </c>
      <c r="AG62" s="1">
        <f t="shared" si="20"/>
        <v>0</v>
      </c>
      <c r="AH62" s="1">
        <f t="shared" si="21"/>
        <v>1</v>
      </c>
      <c r="AI62" s="1">
        <f t="shared" si="22"/>
        <v>0</v>
      </c>
    </row>
    <row r="63" spans="1:35" ht="14.25" customHeight="1" x14ac:dyDescent="0.25">
      <c r="A63" s="31">
        <v>0</v>
      </c>
      <c r="B63" s="31">
        <v>1</v>
      </c>
      <c r="C63" s="31">
        <v>2</v>
      </c>
      <c r="D63" s="32" t="s">
        <v>1591</v>
      </c>
      <c r="E63" s="32" t="s">
        <v>173</v>
      </c>
      <c r="F63" s="32" t="s">
        <v>1592</v>
      </c>
      <c r="G63" s="32" t="s">
        <v>1458</v>
      </c>
      <c r="H63" s="32" t="s">
        <v>352</v>
      </c>
      <c r="I63" s="31" t="s">
        <v>1593</v>
      </c>
      <c r="J63" s="31">
        <v>99</v>
      </c>
      <c r="K63" s="33" t="s">
        <v>949</v>
      </c>
      <c r="L63" s="33" t="s">
        <v>39</v>
      </c>
      <c r="M63" s="34" t="s">
        <v>39</v>
      </c>
      <c r="N63" s="34" t="s">
        <v>1701</v>
      </c>
      <c r="O63" s="35">
        <v>1</v>
      </c>
      <c r="P63" s="35">
        <v>1</v>
      </c>
      <c r="Q63" s="32"/>
      <c r="S63" s="1">
        <f t="shared" si="23"/>
        <v>0</v>
      </c>
      <c r="T63" s="1">
        <f t="shared" si="24"/>
        <v>0</v>
      </c>
      <c r="U63" s="1">
        <f t="shared" si="25"/>
        <v>0</v>
      </c>
      <c r="V63" s="1">
        <f t="shared" si="26"/>
        <v>0</v>
      </c>
      <c r="W63" s="1">
        <f t="shared" si="27"/>
        <v>0</v>
      </c>
      <c r="X63" s="1">
        <f t="shared" si="28"/>
        <v>0</v>
      </c>
      <c r="Y63" s="1">
        <f t="shared" si="29"/>
        <v>0</v>
      </c>
      <c r="Z63" s="1">
        <f t="shared" si="30"/>
        <v>0</v>
      </c>
      <c r="AA63" s="1">
        <f t="shared" si="31"/>
        <v>0</v>
      </c>
      <c r="AB63" s="1">
        <f t="shared" si="32"/>
        <v>0</v>
      </c>
      <c r="AD63" s="1">
        <f t="shared" si="33"/>
        <v>1</v>
      </c>
      <c r="AE63" s="1">
        <f t="shared" si="34"/>
        <v>0</v>
      </c>
      <c r="AF63" s="1">
        <f t="shared" si="19"/>
        <v>1</v>
      </c>
      <c r="AG63" s="1">
        <f t="shared" si="20"/>
        <v>0</v>
      </c>
      <c r="AH63" s="1">
        <f t="shared" si="21"/>
        <v>1</v>
      </c>
      <c r="AI63" s="1">
        <f t="shared" si="22"/>
        <v>0</v>
      </c>
    </row>
    <row r="64" spans="1:35" ht="14.25" customHeight="1" x14ac:dyDescent="0.25">
      <c r="A64" s="31">
        <v>0</v>
      </c>
      <c r="B64" s="31">
        <v>1</v>
      </c>
      <c r="C64" s="31">
        <v>2</v>
      </c>
      <c r="D64" s="32" t="s">
        <v>565</v>
      </c>
      <c r="E64" s="32" t="s">
        <v>575</v>
      </c>
      <c r="F64" s="32" t="s">
        <v>554</v>
      </c>
      <c r="G64" s="32" t="s">
        <v>261</v>
      </c>
      <c r="H64" s="32" t="s">
        <v>352</v>
      </c>
      <c r="I64" s="31" t="s">
        <v>555</v>
      </c>
      <c r="J64" s="31">
        <v>99</v>
      </c>
      <c r="K64" s="33" t="s">
        <v>943</v>
      </c>
      <c r="L64" s="33" t="s">
        <v>39</v>
      </c>
      <c r="M64" s="34" t="s">
        <v>39</v>
      </c>
      <c r="N64" s="34" t="s">
        <v>1701</v>
      </c>
      <c r="O64" s="35">
        <v>1</v>
      </c>
      <c r="P64" s="35">
        <v>1</v>
      </c>
      <c r="Q64" s="32"/>
      <c r="S64" s="1">
        <f t="shared" si="23"/>
        <v>0</v>
      </c>
      <c r="T64" s="1">
        <f t="shared" si="24"/>
        <v>0</v>
      </c>
      <c r="U64" s="1">
        <f t="shared" si="25"/>
        <v>0</v>
      </c>
      <c r="V64" s="1">
        <f t="shared" si="26"/>
        <v>0</v>
      </c>
      <c r="W64" s="1">
        <f t="shared" si="27"/>
        <v>0</v>
      </c>
      <c r="X64" s="1">
        <f t="shared" si="28"/>
        <v>0</v>
      </c>
      <c r="Y64" s="1">
        <f t="shared" si="29"/>
        <v>0</v>
      </c>
      <c r="Z64" s="1">
        <f t="shared" si="30"/>
        <v>0</v>
      </c>
      <c r="AA64" s="1">
        <f t="shared" si="31"/>
        <v>0</v>
      </c>
      <c r="AB64" s="1">
        <f t="shared" si="32"/>
        <v>0</v>
      </c>
      <c r="AD64" s="1">
        <f t="shared" si="33"/>
        <v>1</v>
      </c>
      <c r="AE64" s="1">
        <f t="shared" si="34"/>
        <v>0</v>
      </c>
      <c r="AF64" s="1">
        <f t="shared" si="19"/>
        <v>1</v>
      </c>
      <c r="AG64" s="1">
        <f t="shared" si="20"/>
        <v>0</v>
      </c>
      <c r="AH64" s="1">
        <f t="shared" si="21"/>
        <v>1</v>
      </c>
      <c r="AI64" s="1">
        <f t="shared" si="22"/>
        <v>0</v>
      </c>
    </row>
    <row r="65" spans="1:35" ht="14.25" customHeight="1" x14ac:dyDescent="0.25">
      <c r="A65" s="31">
        <v>0</v>
      </c>
      <c r="B65" s="31">
        <v>1</v>
      </c>
      <c r="C65" s="31">
        <v>2</v>
      </c>
      <c r="D65" s="32" t="s">
        <v>790</v>
      </c>
      <c r="E65" s="32" t="s">
        <v>173</v>
      </c>
      <c r="F65" s="32" t="s">
        <v>792</v>
      </c>
      <c r="G65" s="32" t="s">
        <v>39</v>
      </c>
      <c r="H65" s="32" t="s">
        <v>791</v>
      </c>
      <c r="I65" s="31" t="s">
        <v>793</v>
      </c>
      <c r="J65" s="31">
        <v>14</v>
      </c>
      <c r="K65" s="33" t="s">
        <v>951</v>
      </c>
      <c r="L65" s="33" t="s">
        <v>1680</v>
      </c>
      <c r="M65" s="34" t="s">
        <v>1356</v>
      </c>
      <c r="N65" s="34" t="s">
        <v>1723</v>
      </c>
      <c r="O65" s="35">
        <v>1</v>
      </c>
      <c r="P65" s="35"/>
      <c r="Q65" s="32"/>
      <c r="S65" s="1">
        <f t="shared" si="23"/>
        <v>0</v>
      </c>
      <c r="T65" s="1">
        <f t="shared" si="24"/>
        <v>0</v>
      </c>
      <c r="U65" s="1">
        <f t="shared" si="25"/>
        <v>0</v>
      </c>
      <c r="V65" s="1">
        <f t="shared" si="26"/>
        <v>0</v>
      </c>
      <c r="W65" s="1">
        <f t="shared" si="27"/>
        <v>0</v>
      </c>
      <c r="X65" s="1">
        <f t="shared" si="28"/>
        <v>0</v>
      </c>
      <c r="Y65" s="1">
        <f t="shared" si="29"/>
        <v>0</v>
      </c>
      <c r="Z65" s="1">
        <f t="shared" si="30"/>
        <v>0</v>
      </c>
      <c r="AA65" s="1">
        <f t="shared" si="31"/>
        <v>0</v>
      </c>
      <c r="AB65" s="1">
        <f t="shared" si="32"/>
        <v>0</v>
      </c>
      <c r="AD65" s="1">
        <f t="shared" si="33"/>
        <v>0</v>
      </c>
      <c r="AE65" s="1">
        <f t="shared" si="34"/>
        <v>1</v>
      </c>
      <c r="AF65" s="1">
        <f t="shared" si="19"/>
        <v>0</v>
      </c>
      <c r="AG65" s="1">
        <f t="shared" si="20"/>
        <v>1</v>
      </c>
      <c r="AH65" s="1">
        <f t="shared" si="21"/>
        <v>0</v>
      </c>
      <c r="AI65" s="1">
        <f t="shared" si="22"/>
        <v>1</v>
      </c>
    </row>
    <row r="66" spans="1:35" ht="14.25" customHeight="1" x14ac:dyDescent="0.25">
      <c r="A66" s="15">
        <v>0</v>
      </c>
      <c r="B66" s="15">
        <v>1</v>
      </c>
      <c r="C66" s="15">
        <v>2</v>
      </c>
      <c r="D66" s="16" t="s">
        <v>1302</v>
      </c>
      <c r="E66" s="16" t="s">
        <v>174</v>
      </c>
      <c r="F66" s="16" t="s">
        <v>1326</v>
      </c>
      <c r="G66" s="16" t="s">
        <v>39</v>
      </c>
      <c r="H66" s="16" t="s">
        <v>361</v>
      </c>
      <c r="I66" s="15" t="s">
        <v>1126</v>
      </c>
      <c r="J66" s="15">
        <v>14</v>
      </c>
      <c r="K66" s="10" t="s">
        <v>718</v>
      </c>
      <c r="L66" s="10" t="s">
        <v>1673</v>
      </c>
      <c r="M66" s="19" t="s">
        <v>959</v>
      </c>
      <c r="N66" s="17"/>
      <c r="Q66" s="16"/>
      <c r="S66" s="1">
        <f t="shared" si="23"/>
        <v>0</v>
      </c>
      <c r="T66" s="1">
        <f t="shared" si="24"/>
        <v>0</v>
      </c>
      <c r="U66" s="1">
        <f t="shared" si="25"/>
        <v>0</v>
      </c>
      <c r="V66" s="1">
        <f t="shared" si="26"/>
        <v>0</v>
      </c>
      <c r="W66" s="1">
        <f t="shared" si="27"/>
        <v>0</v>
      </c>
      <c r="X66" s="1">
        <f t="shared" si="28"/>
        <v>0</v>
      </c>
      <c r="Y66" s="1">
        <f t="shared" si="29"/>
        <v>0</v>
      </c>
      <c r="Z66" s="1">
        <f t="shared" si="30"/>
        <v>0</v>
      </c>
      <c r="AA66" s="1">
        <f t="shared" si="31"/>
        <v>0</v>
      </c>
      <c r="AB66" s="1">
        <f t="shared" si="32"/>
        <v>0</v>
      </c>
      <c r="AD66" s="1">
        <f t="shared" si="33"/>
        <v>0</v>
      </c>
      <c r="AE66" s="1">
        <f t="shared" si="34"/>
        <v>0</v>
      </c>
      <c r="AF66" s="1">
        <f t="shared" si="19"/>
        <v>0</v>
      </c>
      <c r="AG66" s="1">
        <f t="shared" si="20"/>
        <v>0</v>
      </c>
      <c r="AH66" s="1">
        <f t="shared" si="21"/>
        <v>0</v>
      </c>
      <c r="AI66" s="1">
        <f t="shared" si="22"/>
        <v>1</v>
      </c>
    </row>
    <row r="67" spans="1:35" ht="14.25" customHeight="1" x14ac:dyDescent="0.25">
      <c r="A67" s="44">
        <v>0</v>
      </c>
      <c r="B67" s="44">
        <v>1</v>
      </c>
      <c r="C67" s="44">
        <v>2</v>
      </c>
      <c r="D67" s="45" t="s">
        <v>1490</v>
      </c>
      <c r="E67" s="45" t="s">
        <v>169</v>
      </c>
      <c r="F67" s="45" t="s">
        <v>1492</v>
      </c>
      <c r="G67" s="45" t="s">
        <v>1149</v>
      </c>
      <c r="H67" s="45" t="s">
        <v>352</v>
      </c>
      <c r="I67" s="44" t="s">
        <v>1491</v>
      </c>
      <c r="J67" s="44">
        <v>11</v>
      </c>
      <c r="K67" s="46" t="s">
        <v>718</v>
      </c>
      <c r="L67" s="46">
        <v>50</v>
      </c>
      <c r="M67" s="47" t="s">
        <v>39</v>
      </c>
      <c r="N67" s="47" t="s">
        <v>1783</v>
      </c>
      <c r="O67" s="48"/>
      <c r="P67" s="48"/>
      <c r="Q67" s="45"/>
      <c r="S67" s="1">
        <f t="shared" si="23"/>
        <v>0</v>
      </c>
      <c r="T67" s="1">
        <f t="shared" si="24"/>
        <v>0</v>
      </c>
      <c r="U67" s="1">
        <f t="shared" si="25"/>
        <v>0</v>
      </c>
      <c r="V67" s="1">
        <f t="shared" si="26"/>
        <v>0</v>
      </c>
      <c r="W67" s="1">
        <f t="shared" si="27"/>
        <v>0</v>
      </c>
      <c r="X67" s="1">
        <f t="shared" si="28"/>
        <v>0</v>
      </c>
      <c r="Y67" s="1">
        <f t="shared" si="29"/>
        <v>0</v>
      </c>
      <c r="Z67" s="1">
        <f t="shared" si="30"/>
        <v>0</v>
      </c>
      <c r="AA67" s="1">
        <f t="shared" si="31"/>
        <v>0</v>
      </c>
      <c r="AB67" s="1">
        <f t="shared" si="32"/>
        <v>0</v>
      </c>
      <c r="AD67" s="1">
        <f t="shared" si="33"/>
        <v>0</v>
      </c>
      <c r="AE67" s="1">
        <f t="shared" si="34"/>
        <v>0</v>
      </c>
      <c r="AF67" s="1">
        <f t="shared" si="19"/>
        <v>0</v>
      </c>
      <c r="AG67" s="1">
        <f t="shared" si="20"/>
        <v>0</v>
      </c>
      <c r="AH67" s="1">
        <f t="shared" si="21"/>
        <v>0</v>
      </c>
      <c r="AI67" s="1">
        <f t="shared" si="22"/>
        <v>1</v>
      </c>
    </row>
    <row r="68" spans="1:35" ht="14.25" customHeight="1" x14ac:dyDescent="0.25">
      <c r="A68" s="31">
        <v>0</v>
      </c>
      <c r="B68" s="31">
        <v>1</v>
      </c>
      <c r="C68" s="31">
        <v>2</v>
      </c>
      <c r="D68" s="32" t="s">
        <v>1121</v>
      </c>
      <c r="E68" s="32" t="s">
        <v>174</v>
      </c>
      <c r="F68" s="32" t="s">
        <v>1124</v>
      </c>
      <c r="G68" s="32" t="s">
        <v>39</v>
      </c>
      <c r="H68" s="32" t="s">
        <v>1122</v>
      </c>
      <c r="I68" s="31" t="s">
        <v>1123</v>
      </c>
      <c r="J68" s="31">
        <v>12</v>
      </c>
      <c r="K68" s="33" t="s">
        <v>699</v>
      </c>
      <c r="L68" s="33">
        <v>50</v>
      </c>
      <c r="M68" s="34" t="s">
        <v>39</v>
      </c>
      <c r="N68" s="34" t="s">
        <v>1723</v>
      </c>
      <c r="O68" s="35">
        <v>1</v>
      </c>
      <c r="P68" s="35"/>
      <c r="Q68" s="32"/>
      <c r="S68" s="1">
        <f t="shared" si="23"/>
        <v>0</v>
      </c>
      <c r="T68" s="1">
        <f t="shared" si="24"/>
        <v>0</v>
      </c>
      <c r="U68" s="1">
        <f t="shared" si="25"/>
        <v>0</v>
      </c>
      <c r="V68" s="1">
        <f t="shared" si="26"/>
        <v>0</v>
      </c>
      <c r="W68" s="1">
        <f t="shared" si="27"/>
        <v>0</v>
      </c>
      <c r="X68" s="1">
        <f t="shared" si="28"/>
        <v>0</v>
      </c>
      <c r="Y68" s="1">
        <f t="shared" si="29"/>
        <v>0</v>
      </c>
      <c r="Z68" s="1">
        <f t="shared" si="30"/>
        <v>0</v>
      </c>
      <c r="AA68" s="1">
        <f t="shared" si="31"/>
        <v>0</v>
      </c>
      <c r="AB68" s="1">
        <f t="shared" si="32"/>
        <v>0</v>
      </c>
      <c r="AD68" s="1">
        <f t="shared" si="33"/>
        <v>0</v>
      </c>
      <c r="AE68" s="1">
        <f t="shared" si="34"/>
        <v>1</v>
      </c>
      <c r="AF68" s="1">
        <f t="shared" si="19"/>
        <v>0</v>
      </c>
      <c r="AG68" s="1">
        <f t="shared" si="20"/>
        <v>1</v>
      </c>
      <c r="AH68" s="1">
        <f t="shared" si="21"/>
        <v>0</v>
      </c>
      <c r="AI68" s="1">
        <f t="shared" si="22"/>
        <v>1</v>
      </c>
    </row>
    <row r="69" spans="1:35" ht="14.25" customHeight="1" x14ac:dyDescent="0.25">
      <c r="A69" s="31">
        <v>0</v>
      </c>
      <c r="B69" s="31">
        <v>1</v>
      </c>
      <c r="C69" s="31">
        <v>2</v>
      </c>
      <c r="D69" s="32" t="s">
        <v>153</v>
      </c>
      <c r="E69" s="32" t="s">
        <v>170</v>
      </c>
      <c r="F69" s="32" t="s">
        <v>2061</v>
      </c>
      <c r="G69" s="32" t="s">
        <v>2062</v>
      </c>
      <c r="H69" s="32" t="s">
        <v>352</v>
      </c>
      <c r="I69" s="31"/>
      <c r="J69" s="31">
        <v>1</v>
      </c>
      <c r="K69" s="33" t="s">
        <v>947</v>
      </c>
      <c r="L69" s="33" t="s">
        <v>39</v>
      </c>
      <c r="M69" s="34" t="s">
        <v>39</v>
      </c>
      <c r="N69" s="34" t="s">
        <v>1707</v>
      </c>
      <c r="O69" s="35">
        <v>1</v>
      </c>
      <c r="P69" s="35">
        <v>1</v>
      </c>
      <c r="Q69" s="32" t="s">
        <v>2063</v>
      </c>
      <c r="S69" s="1">
        <f t="shared" si="23"/>
        <v>1</v>
      </c>
      <c r="T69" s="1">
        <f t="shared" si="24"/>
        <v>0</v>
      </c>
      <c r="U69" s="1">
        <f t="shared" si="25"/>
        <v>0</v>
      </c>
      <c r="V69" s="1">
        <f t="shared" si="26"/>
        <v>0</v>
      </c>
      <c r="W69" s="1">
        <f t="shared" si="27"/>
        <v>0</v>
      </c>
      <c r="X69" s="1">
        <f t="shared" si="28"/>
        <v>0</v>
      </c>
      <c r="Y69" s="1">
        <f t="shared" si="29"/>
        <v>0</v>
      </c>
      <c r="Z69" s="1">
        <f t="shared" si="30"/>
        <v>0</v>
      </c>
      <c r="AA69" s="1">
        <f t="shared" si="31"/>
        <v>0</v>
      </c>
      <c r="AB69" s="1">
        <f t="shared" si="32"/>
        <v>0</v>
      </c>
      <c r="AD69" s="1">
        <f t="shared" si="33"/>
        <v>1</v>
      </c>
      <c r="AE69" s="1">
        <f t="shared" si="34"/>
        <v>0</v>
      </c>
      <c r="AF69" s="1">
        <f t="shared" si="19"/>
        <v>1</v>
      </c>
      <c r="AG69" s="1">
        <f t="shared" si="20"/>
        <v>0</v>
      </c>
      <c r="AH69" s="1">
        <f t="shared" si="21"/>
        <v>1</v>
      </c>
      <c r="AI69" s="1">
        <f t="shared" si="22"/>
        <v>0</v>
      </c>
    </row>
    <row r="70" spans="1:35" ht="14.25" customHeight="1" x14ac:dyDescent="0.25">
      <c r="A70" s="31">
        <v>0</v>
      </c>
      <c r="B70" s="31">
        <v>1</v>
      </c>
      <c r="C70" s="31">
        <v>2</v>
      </c>
      <c r="D70" s="32" t="s">
        <v>1422</v>
      </c>
      <c r="E70" s="32" t="s">
        <v>174</v>
      </c>
      <c r="F70" s="32" t="s">
        <v>1419</v>
      </c>
      <c r="G70" s="32" t="s">
        <v>39</v>
      </c>
      <c r="H70" s="32" t="s">
        <v>352</v>
      </c>
      <c r="I70" s="31" t="s">
        <v>1420</v>
      </c>
      <c r="J70" s="31">
        <v>99</v>
      </c>
      <c r="K70" s="33" t="s">
        <v>698</v>
      </c>
      <c r="L70" s="33" t="s">
        <v>685</v>
      </c>
      <c r="M70" s="34" t="s">
        <v>1421</v>
      </c>
      <c r="N70" s="34" t="s">
        <v>1701</v>
      </c>
      <c r="O70" s="35">
        <v>1</v>
      </c>
      <c r="P70" s="35">
        <v>1</v>
      </c>
      <c r="Q70" s="32"/>
      <c r="S70" s="1">
        <f t="shared" si="23"/>
        <v>0</v>
      </c>
      <c r="T70" s="1">
        <f t="shared" si="24"/>
        <v>0</v>
      </c>
      <c r="U70" s="1">
        <f t="shared" si="25"/>
        <v>0</v>
      </c>
      <c r="V70" s="1">
        <f t="shared" si="26"/>
        <v>0</v>
      </c>
      <c r="W70" s="1">
        <f t="shared" si="27"/>
        <v>0</v>
      </c>
      <c r="X70" s="1">
        <f t="shared" si="28"/>
        <v>0</v>
      </c>
      <c r="Y70" s="1">
        <f t="shared" si="29"/>
        <v>0</v>
      </c>
      <c r="Z70" s="1">
        <f t="shared" si="30"/>
        <v>0</v>
      </c>
      <c r="AA70" s="1">
        <f t="shared" si="31"/>
        <v>0</v>
      </c>
      <c r="AB70" s="1">
        <f t="shared" si="32"/>
        <v>0</v>
      </c>
      <c r="AD70" s="1">
        <f t="shared" si="33"/>
        <v>1</v>
      </c>
      <c r="AE70" s="1">
        <f t="shared" si="34"/>
        <v>0</v>
      </c>
      <c r="AF70" s="1">
        <f t="shared" si="19"/>
        <v>1</v>
      </c>
      <c r="AG70" s="1">
        <f t="shared" si="20"/>
        <v>0</v>
      </c>
      <c r="AH70" s="1">
        <f t="shared" si="21"/>
        <v>1</v>
      </c>
      <c r="AI70" s="1">
        <f t="shared" si="22"/>
        <v>0</v>
      </c>
    </row>
    <row r="71" spans="1:35" ht="14.25" customHeight="1" x14ac:dyDescent="0.25">
      <c r="A71" s="38">
        <v>0</v>
      </c>
      <c r="B71" s="38">
        <v>1</v>
      </c>
      <c r="C71" s="38">
        <v>2</v>
      </c>
      <c r="D71" s="54" t="s">
        <v>806</v>
      </c>
      <c r="E71" s="39" t="s">
        <v>174</v>
      </c>
      <c r="F71" s="39" t="s">
        <v>924</v>
      </c>
      <c r="G71" s="39" t="s">
        <v>212</v>
      </c>
      <c r="H71" s="39" t="s">
        <v>352</v>
      </c>
      <c r="I71" s="38" t="s">
        <v>807</v>
      </c>
      <c r="J71" s="38">
        <v>1</v>
      </c>
      <c r="K71" s="40" t="s">
        <v>943</v>
      </c>
      <c r="L71" s="40" t="s">
        <v>39</v>
      </c>
      <c r="M71" s="41" t="s">
        <v>39</v>
      </c>
      <c r="N71" s="42"/>
      <c r="O71" s="43"/>
      <c r="P71" s="43">
        <v>1</v>
      </c>
      <c r="Q71" s="39"/>
      <c r="S71" s="1">
        <f t="shared" si="23"/>
        <v>1</v>
      </c>
      <c r="T71" s="1">
        <f t="shared" si="24"/>
        <v>0</v>
      </c>
      <c r="U71" s="1">
        <f t="shared" si="25"/>
        <v>0</v>
      </c>
      <c r="V71" s="1">
        <f t="shared" si="26"/>
        <v>0</v>
      </c>
      <c r="W71" s="1">
        <f t="shared" si="27"/>
        <v>0</v>
      </c>
      <c r="X71" s="1">
        <f t="shared" si="28"/>
        <v>0</v>
      </c>
      <c r="Y71" s="1">
        <f t="shared" si="29"/>
        <v>0</v>
      </c>
      <c r="Z71" s="1">
        <f t="shared" si="30"/>
        <v>0</v>
      </c>
      <c r="AA71" s="1">
        <f t="shared" si="31"/>
        <v>0</v>
      </c>
      <c r="AB71" s="1">
        <f t="shared" si="32"/>
        <v>0</v>
      </c>
      <c r="AD71" s="1">
        <f t="shared" si="33"/>
        <v>0</v>
      </c>
      <c r="AE71" s="1">
        <f t="shared" si="34"/>
        <v>0</v>
      </c>
      <c r="AF71" s="1">
        <f t="shared" si="19"/>
        <v>0</v>
      </c>
      <c r="AG71" s="1">
        <f t="shared" si="20"/>
        <v>0</v>
      </c>
      <c r="AH71" s="1">
        <f t="shared" si="21"/>
        <v>1</v>
      </c>
      <c r="AI71" s="1">
        <f t="shared" si="22"/>
        <v>0</v>
      </c>
    </row>
    <row r="72" spans="1:35" ht="14.25" customHeight="1" x14ac:dyDescent="0.25">
      <c r="A72" s="31">
        <v>0</v>
      </c>
      <c r="B72" s="31">
        <v>1</v>
      </c>
      <c r="C72" s="31">
        <v>2</v>
      </c>
      <c r="D72" s="32" t="s">
        <v>1303</v>
      </c>
      <c r="E72" s="32" t="s">
        <v>174</v>
      </c>
      <c r="F72" s="32" t="s">
        <v>1113</v>
      </c>
      <c r="G72" s="32" t="s">
        <v>39</v>
      </c>
      <c r="H72" s="32" t="s">
        <v>1112</v>
      </c>
      <c r="I72" s="31" t="s">
        <v>1111</v>
      </c>
      <c r="J72" s="31">
        <v>15</v>
      </c>
      <c r="K72" s="33" t="s">
        <v>944</v>
      </c>
      <c r="L72" s="33">
        <v>75</v>
      </c>
      <c r="M72" s="34" t="s">
        <v>1365</v>
      </c>
      <c r="N72" s="34" t="s">
        <v>1707</v>
      </c>
      <c r="O72" s="35">
        <v>1</v>
      </c>
      <c r="P72" s="35">
        <v>1</v>
      </c>
      <c r="Q72" s="32" t="s">
        <v>1957</v>
      </c>
      <c r="S72" s="1">
        <f t="shared" si="23"/>
        <v>0</v>
      </c>
      <c r="T72" s="1">
        <f t="shared" si="24"/>
        <v>0</v>
      </c>
      <c r="U72" s="1">
        <f t="shared" si="25"/>
        <v>0</v>
      </c>
      <c r="V72" s="1">
        <f t="shared" si="26"/>
        <v>0</v>
      </c>
      <c r="W72" s="1">
        <f t="shared" si="27"/>
        <v>0</v>
      </c>
      <c r="X72" s="1">
        <f t="shared" si="28"/>
        <v>0</v>
      </c>
      <c r="Y72" s="1">
        <f t="shared" si="29"/>
        <v>0</v>
      </c>
      <c r="Z72" s="1">
        <f t="shared" si="30"/>
        <v>0</v>
      </c>
      <c r="AA72" s="1">
        <f t="shared" si="31"/>
        <v>0</v>
      </c>
      <c r="AB72" s="1">
        <f t="shared" si="32"/>
        <v>0</v>
      </c>
      <c r="AD72" s="1">
        <f t="shared" si="33"/>
        <v>1</v>
      </c>
      <c r="AE72" s="1">
        <f t="shared" si="34"/>
        <v>0</v>
      </c>
      <c r="AF72" s="1">
        <f t="shared" si="19"/>
        <v>1</v>
      </c>
      <c r="AG72" s="1">
        <f t="shared" si="20"/>
        <v>0</v>
      </c>
      <c r="AH72" s="1">
        <f t="shared" si="21"/>
        <v>1</v>
      </c>
      <c r="AI72" s="1">
        <f t="shared" si="22"/>
        <v>0</v>
      </c>
    </row>
    <row r="73" spans="1:35" ht="14.25" customHeight="1" x14ac:dyDescent="0.25">
      <c r="A73" s="31">
        <v>0</v>
      </c>
      <c r="B73" s="31">
        <v>1</v>
      </c>
      <c r="C73" s="31">
        <v>2</v>
      </c>
      <c r="D73" s="32" t="s">
        <v>1034</v>
      </c>
      <c r="E73" s="32" t="s">
        <v>173</v>
      </c>
      <c r="F73" s="32" t="s">
        <v>1035</v>
      </c>
      <c r="G73" s="32" t="s">
        <v>624</v>
      </c>
      <c r="H73" s="32" t="s">
        <v>352</v>
      </c>
      <c r="I73" s="31" t="s">
        <v>1036</v>
      </c>
      <c r="J73" s="31">
        <v>99</v>
      </c>
      <c r="K73" s="33" t="s">
        <v>698</v>
      </c>
      <c r="L73" s="33" t="s">
        <v>39</v>
      </c>
      <c r="M73" s="34" t="s">
        <v>39</v>
      </c>
      <c r="N73" s="34" t="s">
        <v>1707</v>
      </c>
      <c r="O73" s="35">
        <v>1</v>
      </c>
      <c r="P73" s="35">
        <v>1</v>
      </c>
      <c r="Q73" s="32"/>
      <c r="S73" s="1">
        <f t="shared" si="23"/>
        <v>0</v>
      </c>
      <c r="T73" s="1">
        <f t="shared" si="24"/>
        <v>0</v>
      </c>
      <c r="U73" s="1">
        <f t="shared" si="25"/>
        <v>0</v>
      </c>
      <c r="V73" s="1">
        <f t="shared" si="26"/>
        <v>0</v>
      </c>
      <c r="W73" s="1">
        <f t="shared" si="27"/>
        <v>0</v>
      </c>
      <c r="X73" s="1">
        <f t="shared" si="28"/>
        <v>0</v>
      </c>
      <c r="Y73" s="1">
        <f t="shared" si="29"/>
        <v>0</v>
      </c>
      <c r="Z73" s="1">
        <f t="shared" si="30"/>
        <v>0</v>
      </c>
      <c r="AA73" s="1">
        <f t="shared" si="31"/>
        <v>0</v>
      </c>
      <c r="AB73" s="1">
        <f t="shared" si="32"/>
        <v>0</v>
      </c>
      <c r="AD73" s="1">
        <f t="shared" si="33"/>
        <v>1</v>
      </c>
      <c r="AE73" s="1">
        <f t="shared" si="34"/>
        <v>0</v>
      </c>
      <c r="AF73" s="1">
        <f t="shared" si="19"/>
        <v>1</v>
      </c>
      <c r="AG73" s="1">
        <f t="shared" si="20"/>
        <v>0</v>
      </c>
      <c r="AH73" s="1">
        <f t="shared" si="21"/>
        <v>1</v>
      </c>
      <c r="AI73" s="1">
        <f t="shared" si="22"/>
        <v>0</v>
      </c>
    </row>
    <row r="74" spans="1:35" ht="14.25" customHeight="1" x14ac:dyDescent="0.25">
      <c r="A74" s="31">
        <v>0</v>
      </c>
      <c r="B74" s="31">
        <v>1</v>
      </c>
      <c r="C74" s="31">
        <v>2</v>
      </c>
      <c r="D74" s="32" t="s">
        <v>2027</v>
      </c>
      <c r="E74" s="32" t="s">
        <v>1953</v>
      </c>
      <c r="F74" s="32" t="s">
        <v>2028</v>
      </c>
      <c r="G74" s="32" t="s">
        <v>283</v>
      </c>
      <c r="H74" s="32" t="s">
        <v>352</v>
      </c>
      <c r="I74" s="31" t="s">
        <v>2029</v>
      </c>
      <c r="J74" s="31">
        <v>10</v>
      </c>
      <c r="K74" s="33" t="s">
        <v>699</v>
      </c>
      <c r="L74" s="33"/>
      <c r="M74" s="34"/>
      <c r="N74" s="34" t="s">
        <v>1707</v>
      </c>
      <c r="O74" s="35">
        <v>1</v>
      </c>
      <c r="P74" s="35">
        <v>1</v>
      </c>
      <c r="Q74" s="36" t="s">
        <v>2030</v>
      </c>
      <c r="S74" s="1">
        <f t="shared" si="23"/>
        <v>0</v>
      </c>
      <c r="T74" s="1">
        <f t="shared" si="24"/>
        <v>0</v>
      </c>
      <c r="U74" s="1">
        <f t="shared" si="25"/>
        <v>0</v>
      </c>
      <c r="V74" s="1">
        <f t="shared" si="26"/>
        <v>0</v>
      </c>
      <c r="W74" s="1">
        <f t="shared" si="27"/>
        <v>0</v>
      </c>
      <c r="X74" s="1">
        <f t="shared" si="28"/>
        <v>0</v>
      </c>
      <c r="Y74" s="1">
        <f t="shared" si="29"/>
        <v>0</v>
      </c>
      <c r="Z74" s="1">
        <f t="shared" si="30"/>
        <v>0</v>
      </c>
      <c r="AA74" s="1">
        <f t="shared" si="31"/>
        <v>0</v>
      </c>
      <c r="AB74" s="1">
        <f t="shared" si="32"/>
        <v>1</v>
      </c>
      <c r="AD74" s="1">
        <f t="shared" si="33"/>
        <v>1</v>
      </c>
      <c r="AE74" s="1">
        <f t="shared" si="34"/>
        <v>0</v>
      </c>
      <c r="AF74" s="1">
        <f t="shared" si="19"/>
        <v>1</v>
      </c>
      <c r="AG74" s="1">
        <f t="shared" si="20"/>
        <v>0</v>
      </c>
      <c r="AH74" s="1">
        <f t="shared" si="21"/>
        <v>1</v>
      </c>
      <c r="AI74" s="1">
        <f t="shared" si="22"/>
        <v>0</v>
      </c>
    </row>
    <row r="75" spans="1:35" ht="14.25" customHeight="1" x14ac:dyDescent="0.25">
      <c r="A75" s="31">
        <v>0</v>
      </c>
      <c r="B75" s="31">
        <v>1</v>
      </c>
      <c r="C75" s="31">
        <v>2</v>
      </c>
      <c r="D75" s="36" t="s">
        <v>1983</v>
      </c>
      <c r="E75" s="32" t="s">
        <v>174</v>
      </c>
      <c r="F75" s="36" t="s">
        <v>1984</v>
      </c>
      <c r="G75" s="36" t="s">
        <v>219</v>
      </c>
      <c r="H75" s="36" t="s">
        <v>352</v>
      </c>
      <c r="I75" s="37" t="s">
        <v>1985</v>
      </c>
      <c r="J75" s="31">
        <v>8</v>
      </c>
      <c r="K75" s="33" t="s">
        <v>699</v>
      </c>
      <c r="L75" s="33"/>
      <c r="M75" s="34"/>
      <c r="N75" s="34" t="s">
        <v>1707</v>
      </c>
      <c r="O75" s="35">
        <v>1</v>
      </c>
      <c r="P75" s="35">
        <v>1</v>
      </c>
      <c r="Q75" s="32"/>
      <c r="S75" s="1">
        <f t="shared" si="23"/>
        <v>0</v>
      </c>
      <c r="T75" s="1">
        <f t="shared" si="24"/>
        <v>0</v>
      </c>
      <c r="U75" s="1">
        <f t="shared" si="25"/>
        <v>0</v>
      </c>
      <c r="V75" s="1">
        <f t="shared" si="26"/>
        <v>0</v>
      </c>
      <c r="W75" s="1">
        <f t="shared" si="27"/>
        <v>0</v>
      </c>
      <c r="X75" s="1">
        <f t="shared" si="28"/>
        <v>0</v>
      </c>
      <c r="Y75" s="1">
        <f t="shared" si="29"/>
        <v>0</v>
      </c>
      <c r="Z75" s="1">
        <f t="shared" si="30"/>
        <v>1</v>
      </c>
      <c r="AA75" s="1">
        <f t="shared" si="31"/>
        <v>0</v>
      </c>
      <c r="AB75" s="1">
        <f t="shared" si="32"/>
        <v>0</v>
      </c>
      <c r="AD75" s="1">
        <f t="shared" si="33"/>
        <v>1</v>
      </c>
      <c r="AE75" s="1">
        <f t="shared" si="34"/>
        <v>0</v>
      </c>
      <c r="AF75" s="1">
        <f t="shared" si="19"/>
        <v>1</v>
      </c>
      <c r="AG75" s="1">
        <f t="shared" si="20"/>
        <v>0</v>
      </c>
      <c r="AH75" s="1">
        <f t="shared" si="21"/>
        <v>1</v>
      </c>
      <c r="AI75" s="1">
        <f t="shared" si="22"/>
        <v>0</v>
      </c>
    </row>
    <row r="76" spans="1:35" ht="14.25" customHeight="1" x14ac:dyDescent="0.25">
      <c r="A76" s="44">
        <v>0</v>
      </c>
      <c r="B76" s="44">
        <v>1</v>
      </c>
      <c r="C76" s="44">
        <v>2</v>
      </c>
      <c r="D76" s="45" t="s">
        <v>580</v>
      </c>
      <c r="E76" s="45" t="s">
        <v>173</v>
      </c>
      <c r="F76" s="45" t="s">
        <v>582</v>
      </c>
      <c r="G76" s="45" t="s">
        <v>39</v>
      </c>
      <c r="H76" s="45" t="s">
        <v>583</v>
      </c>
      <c r="I76" s="44" t="s">
        <v>584</v>
      </c>
      <c r="J76" s="44">
        <v>12</v>
      </c>
      <c r="K76" s="46" t="s">
        <v>947</v>
      </c>
      <c r="L76" s="46" t="s">
        <v>1686</v>
      </c>
      <c r="M76" s="47" t="s">
        <v>1356</v>
      </c>
      <c r="N76" s="47" t="s">
        <v>1712</v>
      </c>
      <c r="O76" s="48"/>
      <c r="P76" s="48"/>
      <c r="Q76" s="45"/>
      <c r="S76" s="1">
        <f t="shared" si="23"/>
        <v>0</v>
      </c>
      <c r="T76" s="1">
        <f t="shared" si="24"/>
        <v>0</v>
      </c>
      <c r="U76" s="1">
        <f t="shared" si="25"/>
        <v>0</v>
      </c>
      <c r="V76" s="1">
        <f t="shared" si="26"/>
        <v>0</v>
      </c>
      <c r="W76" s="1">
        <f t="shared" si="27"/>
        <v>0</v>
      </c>
      <c r="X76" s="1">
        <f t="shared" si="28"/>
        <v>0</v>
      </c>
      <c r="Y76" s="1">
        <f t="shared" si="29"/>
        <v>0</v>
      </c>
      <c r="Z76" s="1">
        <f t="shared" si="30"/>
        <v>0</v>
      </c>
      <c r="AA76" s="1">
        <f t="shared" si="31"/>
        <v>0</v>
      </c>
      <c r="AB76" s="1">
        <f t="shared" si="32"/>
        <v>0</v>
      </c>
      <c r="AD76" s="1">
        <f t="shared" si="33"/>
        <v>0</v>
      </c>
      <c r="AE76" s="1">
        <f t="shared" si="34"/>
        <v>0</v>
      </c>
      <c r="AF76" s="1">
        <f t="shared" si="19"/>
        <v>0</v>
      </c>
      <c r="AG76" s="1">
        <f t="shared" si="20"/>
        <v>0</v>
      </c>
      <c r="AH76" s="1">
        <f t="shared" si="21"/>
        <v>0</v>
      </c>
      <c r="AI76" s="1">
        <f t="shared" si="22"/>
        <v>1</v>
      </c>
    </row>
    <row r="77" spans="1:35" ht="14.25" customHeight="1" x14ac:dyDescent="0.25">
      <c r="A77" s="31">
        <v>0</v>
      </c>
      <c r="B77" s="31">
        <v>1</v>
      </c>
      <c r="C77" s="31">
        <v>2</v>
      </c>
      <c r="D77" s="32" t="s">
        <v>1816</v>
      </c>
      <c r="E77" s="32" t="s">
        <v>173</v>
      </c>
      <c r="F77" s="32" t="s">
        <v>1817</v>
      </c>
      <c r="G77" s="32"/>
      <c r="H77" s="32" t="s">
        <v>1818</v>
      </c>
      <c r="I77" s="31" t="s">
        <v>1819</v>
      </c>
      <c r="J77" s="31">
        <v>14</v>
      </c>
      <c r="K77" s="33" t="s">
        <v>699</v>
      </c>
      <c r="L77" s="33">
        <v>75</v>
      </c>
      <c r="M77" s="34" t="s">
        <v>958</v>
      </c>
      <c r="N77" s="34" t="s">
        <v>1717</v>
      </c>
      <c r="O77" s="35">
        <v>1</v>
      </c>
      <c r="P77" s="35"/>
      <c r="Q77" s="32"/>
      <c r="S77" s="1">
        <f t="shared" si="23"/>
        <v>0</v>
      </c>
      <c r="T77" s="1">
        <f t="shared" si="24"/>
        <v>0</v>
      </c>
      <c r="U77" s="1">
        <f t="shared" si="25"/>
        <v>0</v>
      </c>
      <c r="V77" s="1">
        <f t="shared" si="26"/>
        <v>0</v>
      </c>
      <c r="W77" s="1">
        <f t="shared" si="27"/>
        <v>0</v>
      </c>
      <c r="X77" s="1">
        <f t="shared" si="28"/>
        <v>0</v>
      </c>
      <c r="Y77" s="1">
        <f t="shared" si="29"/>
        <v>0</v>
      </c>
      <c r="Z77" s="1">
        <f t="shared" si="30"/>
        <v>0</v>
      </c>
      <c r="AA77" s="1">
        <f t="shared" si="31"/>
        <v>0</v>
      </c>
      <c r="AB77" s="1">
        <f t="shared" si="32"/>
        <v>0</v>
      </c>
      <c r="AD77" s="1">
        <f t="shared" si="33"/>
        <v>0</v>
      </c>
      <c r="AE77" s="1">
        <f t="shared" si="34"/>
        <v>1</v>
      </c>
      <c r="AF77" s="1">
        <f t="shared" si="19"/>
        <v>0</v>
      </c>
      <c r="AG77" s="1">
        <f t="shared" si="20"/>
        <v>1</v>
      </c>
      <c r="AH77" s="1">
        <f t="shared" si="21"/>
        <v>0</v>
      </c>
      <c r="AI77" s="1">
        <f t="shared" si="22"/>
        <v>1</v>
      </c>
    </row>
    <row r="78" spans="1:35" ht="14.25" customHeight="1" x14ac:dyDescent="0.25">
      <c r="A78" s="31">
        <v>0</v>
      </c>
      <c r="B78" s="31">
        <v>1</v>
      </c>
      <c r="C78" s="31">
        <v>2</v>
      </c>
      <c r="D78" s="36" t="s">
        <v>1698</v>
      </c>
      <c r="E78" s="32" t="s">
        <v>174</v>
      </c>
      <c r="F78" s="36" t="s">
        <v>1699</v>
      </c>
      <c r="G78" s="36" t="s">
        <v>206</v>
      </c>
      <c r="H78" s="36" t="s">
        <v>352</v>
      </c>
      <c r="I78" s="37" t="s">
        <v>1700</v>
      </c>
      <c r="J78" s="31">
        <v>99</v>
      </c>
      <c r="K78" s="33" t="s">
        <v>699</v>
      </c>
      <c r="L78" s="33"/>
      <c r="M78" s="34"/>
      <c r="N78" s="34" t="s">
        <v>1701</v>
      </c>
      <c r="O78" s="35">
        <v>1</v>
      </c>
      <c r="P78" s="35">
        <v>1</v>
      </c>
      <c r="Q78" s="36"/>
      <c r="S78" s="1">
        <f t="shared" si="23"/>
        <v>0</v>
      </c>
      <c r="T78" s="1">
        <f t="shared" si="24"/>
        <v>0</v>
      </c>
      <c r="U78" s="1">
        <f t="shared" si="25"/>
        <v>0</v>
      </c>
      <c r="V78" s="1">
        <f t="shared" si="26"/>
        <v>0</v>
      </c>
      <c r="W78" s="1">
        <f t="shared" si="27"/>
        <v>0</v>
      </c>
      <c r="X78" s="1">
        <f t="shared" si="28"/>
        <v>0</v>
      </c>
      <c r="Y78" s="1">
        <f t="shared" si="29"/>
        <v>0</v>
      </c>
      <c r="Z78" s="1">
        <f t="shared" si="30"/>
        <v>0</v>
      </c>
      <c r="AA78" s="1">
        <f t="shared" si="31"/>
        <v>0</v>
      </c>
      <c r="AB78" s="1">
        <f t="shared" si="32"/>
        <v>0</v>
      </c>
      <c r="AD78" s="1">
        <f t="shared" si="33"/>
        <v>1</v>
      </c>
      <c r="AE78" s="1">
        <f t="shared" si="34"/>
        <v>0</v>
      </c>
      <c r="AF78" s="1">
        <f t="shared" ref="AF78:AF142" si="41">+O78*P78*(1-A78)</f>
        <v>1</v>
      </c>
      <c r="AG78" s="1">
        <f t="shared" ref="AG78:AG142" si="42">O78*(1-P78)*(1-A78)</f>
        <v>0</v>
      </c>
      <c r="AH78" s="1">
        <f t="shared" ref="AH78:AH142" si="43">+P78*(1-A78)</f>
        <v>1</v>
      </c>
      <c r="AI78" s="1">
        <f t="shared" ref="AI78:AI142" si="44">+(1-A78)*(1-P78)</f>
        <v>0</v>
      </c>
    </row>
    <row r="79" spans="1:35" ht="14.25" customHeight="1" x14ac:dyDescent="0.25">
      <c r="A79" s="31">
        <v>0</v>
      </c>
      <c r="B79" s="31">
        <v>1</v>
      </c>
      <c r="C79" s="31">
        <v>2</v>
      </c>
      <c r="D79" s="36" t="s">
        <v>1045</v>
      </c>
      <c r="E79" s="32" t="s">
        <v>174</v>
      </c>
      <c r="F79" s="36" t="s">
        <v>1084</v>
      </c>
      <c r="G79" s="36" t="s">
        <v>39</v>
      </c>
      <c r="H79" s="36" t="s">
        <v>1046</v>
      </c>
      <c r="I79" s="37" t="s">
        <v>1145</v>
      </c>
      <c r="J79" s="31">
        <v>13</v>
      </c>
      <c r="K79" s="33" t="s">
        <v>698</v>
      </c>
      <c r="L79" s="33" t="s">
        <v>685</v>
      </c>
      <c r="M79" s="34" t="s">
        <v>1416</v>
      </c>
      <c r="N79" s="34" t="s">
        <v>1723</v>
      </c>
      <c r="O79" s="35">
        <v>1</v>
      </c>
      <c r="P79" s="35"/>
      <c r="Q79" s="36"/>
      <c r="S79" s="1">
        <f t="shared" si="23"/>
        <v>0</v>
      </c>
      <c r="T79" s="1">
        <f t="shared" si="24"/>
        <v>0</v>
      </c>
      <c r="U79" s="1">
        <f t="shared" si="25"/>
        <v>0</v>
      </c>
      <c r="V79" s="1">
        <f t="shared" si="26"/>
        <v>0</v>
      </c>
      <c r="W79" s="1">
        <f t="shared" si="27"/>
        <v>0</v>
      </c>
      <c r="X79" s="1">
        <f t="shared" si="28"/>
        <v>0</v>
      </c>
      <c r="Y79" s="1">
        <f t="shared" si="29"/>
        <v>0</v>
      </c>
      <c r="Z79" s="1">
        <f t="shared" si="30"/>
        <v>0</v>
      </c>
      <c r="AA79" s="1">
        <f t="shared" si="31"/>
        <v>0</v>
      </c>
      <c r="AB79" s="1">
        <f t="shared" si="32"/>
        <v>0</v>
      </c>
      <c r="AD79" s="1">
        <f t="shared" si="33"/>
        <v>0</v>
      </c>
      <c r="AE79" s="1">
        <f t="shared" si="34"/>
        <v>1</v>
      </c>
      <c r="AF79" s="1">
        <f t="shared" si="41"/>
        <v>0</v>
      </c>
      <c r="AG79" s="1">
        <f t="shared" si="42"/>
        <v>1</v>
      </c>
      <c r="AH79" s="1">
        <f t="shared" si="43"/>
        <v>0</v>
      </c>
      <c r="AI79" s="1">
        <f t="shared" si="44"/>
        <v>1</v>
      </c>
    </row>
    <row r="80" spans="1:35" ht="14.25" customHeight="1" x14ac:dyDescent="0.25">
      <c r="A80" s="31">
        <v>0</v>
      </c>
      <c r="B80" s="31">
        <v>1</v>
      </c>
      <c r="C80" s="31">
        <v>2</v>
      </c>
      <c r="D80" s="36" t="s">
        <v>1569</v>
      </c>
      <c r="E80" s="32" t="s">
        <v>174</v>
      </c>
      <c r="F80" s="36" t="s">
        <v>1570</v>
      </c>
      <c r="G80" s="36" t="s">
        <v>234</v>
      </c>
      <c r="H80" s="36" t="s">
        <v>352</v>
      </c>
      <c r="I80" s="37" t="s">
        <v>1571</v>
      </c>
      <c r="J80" s="31">
        <v>99</v>
      </c>
      <c r="K80" s="33" t="s">
        <v>943</v>
      </c>
      <c r="L80" s="33">
        <v>45</v>
      </c>
      <c r="M80" s="34" t="s">
        <v>39</v>
      </c>
      <c r="N80" s="34" t="s">
        <v>1763</v>
      </c>
      <c r="O80" s="35">
        <v>1</v>
      </c>
      <c r="P80" s="35"/>
      <c r="Q80" s="36"/>
      <c r="S80" s="1">
        <f t="shared" si="23"/>
        <v>0</v>
      </c>
      <c r="T80" s="1">
        <f t="shared" si="24"/>
        <v>0</v>
      </c>
      <c r="U80" s="1">
        <f t="shared" si="25"/>
        <v>0</v>
      </c>
      <c r="V80" s="1">
        <f t="shared" si="26"/>
        <v>0</v>
      </c>
      <c r="W80" s="1">
        <f t="shared" si="27"/>
        <v>0</v>
      </c>
      <c r="X80" s="1">
        <f t="shared" si="28"/>
        <v>0</v>
      </c>
      <c r="Y80" s="1">
        <f t="shared" si="29"/>
        <v>0</v>
      </c>
      <c r="Z80" s="1">
        <f t="shared" si="30"/>
        <v>0</v>
      </c>
      <c r="AA80" s="1">
        <f t="shared" si="31"/>
        <v>0</v>
      </c>
      <c r="AB80" s="1">
        <f t="shared" si="32"/>
        <v>0</v>
      </c>
      <c r="AD80" s="1">
        <f t="shared" si="33"/>
        <v>0</v>
      </c>
      <c r="AE80" s="1">
        <f t="shared" si="34"/>
        <v>1</v>
      </c>
      <c r="AF80" s="1">
        <f t="shared" si="41"/>
        <v>0</v>
      </c>
      <c r="AG80" s="1">
        <f t="shared" si="42"/>
        <v>1</v>
      </c>
      <c r="AH80" s="1">
        <f t="shared" si="43"/>
        <v>0</v>
      </c>
      <c r="AI80" s="1">
        <f t="shared" si="44"/>
        <v>1</v>
      </c>
    </row>
    <row r="81" spans="1:35" ht="14.25" customHeight="1" x14ac:dyDescent="0.25">
      <c r="A81" s="31">
        <v>0</v>
      </c>
      <c r="B81" s="31">
        <v>1</v>
      </c>
      <c r="C81" s="31">
        <v>2</v>
      </c>
      <c r="D81" s="36" t="s">
        <v>1305</v>
      </c>
      <c r="E81" s="32" t="s">
        <v>173</v>
      </c>
      <c r="F81" s="36" t="s">
        <v>1248</v>
      </c>
      <c r="G81" s="36" t="s">
        <v>206</v>
      </c>
      <c r="H81" s="36" t="s">
        <v>352</v>
      </c>
      <c r="I81" s="37" t="s">
        <v>1249</v>
      </c>
      <c r="J81" s="31">
        <v>99</v>
      </c>
      <c r="K81" s="33" t="s">
        <v>949</v>
      </c>
      <c r="L81" s="33" t="s">
        <v>39</v>
      </c>
      <c r="M81" s="34" t="s">
        <v>39</v>
      </c>
      <c r="N81" s="34" t="s">
        <v>1701</v>
      </c>
      <c r="O81" s="35">
        <v>1</v>
      </c>
      <c r="P81" s="35">
        <v>1</v>
      </c>
      <c r="Q81" s="36"/>
      <c r="S81" s="1">
        <f t="shared" si="23"/>
        <v>0</v>
      </c>
      <c r="T81" s="1">
        <f t="shared" si="24"/>
        <v>0</v>
      </c>
      <c r="U81" s="1">
        <f t="shared" si="25"/>
        <v>0</v>
      </c>
      <c r="V81" s="1">
        <f t="shared" si="26"/>
        <v>0</v>
      </c>
      <c r="W81" s="1">
        <f t="shared" si="27"/>
        <v>0</v>
      </c>
      <c r="X81" s="1">
        <f t="shared" si="28"/>
        <v>0</v>
      </c>
      <c r="Y81" s="1">
        <f t="shared" si="29"/>
        <v>0</v>
      </c>
      <c r="Z81" s="1">
        <f t="shared" si="30"/>
        <v>0</v>
      </c>
      <c r="AA81" s="1">
        <f t="shared" si="31"/>
        <v>0</v>
      </c>
      <c r="AB81" s="1">
        <f t="shared" si="32"/>
        <v>0</v>
      </c>
      <c r="AD81" s="1">
        <f t="shared" si="33"/>
        <v>1</v>
      </c>
      <c r="AE81" s="1">
        <f t="shared" si="34"/>
        <v>0</v>
      </c>
      <c r="AF81" s="1">
        <f t="shared" si="41"/>
        <v>1</v>
      </c>
      <c r="AG81" s="1">
        <f t="shared" si="42"/>
        <v>0</v>
      </c>
      <c r="AH81" s="1">
        <f t="shared" si="43"/>
        <v>1</v>
      </c>
      <c r="AI81" s="1">
        <f t="shared" si="44"/>
        <v>0</v>
      </c>
    </row>
    <row r="82" spans="1:35" ht="14.25" customHeight="1" x14ac:dyDescent="0.25">
      <c r="A82" s="31">
        <v>0</v>
      </c>
      <c r="B82" s="31">
        <v>1</v>
      </c>
      <c r="C82" s="31">
        <v>3</v>
      </c>
      <c r="D82" s="36" t="s">
        <v>1773</v>
      </c>
      <c r="E82" s="32" t="s">
        <v>169</v>
      </c>
      <c r="F82" s="36" t="s">
        <v>1771</v>
      </c>
      <c r="G82" s="36" t="s">
        <v>231</v>
      </c>
      <c r="H82" s="36" t="s">
        <v>352</v>
      </c>
      <c r="I82" s="37" t="s">
        <v>1772</v>
      </c>
      <c r="J82" s="31">
        <v>99</v>
      </c>
      <c r="K82" s="33" t="s">
        <v>699</v>
      </c>
      <c r="L82" s="33"/>
      <c r="M82" s="34"/>
      <c r="N82" s="34" t="s">
        <v>1701</v>
      </c>
      <c r="O82" s="35">
        <v>1</v>
      </c>
      <c r="P82" s="35">
        <v>1</v>
      </c>
      <c r="Q82" s="36"/>
      <c r="S82" s="1">
        <f t="shared" ref="S82:S146" si="45">IF(J82=$S$7,1,0)</f>
        <v>0</v>
      </c>
      <c r="T82" s="1">
        <f t="shared" ref="T82:T146" si="46">IF(J82=$T$7,1,0)</f>
        <v>0</v>
      </c>
      <c r="U82" s="1">
        <f t="shared" ref="U82:U146" si="47">IF(J82=$U$7,1,0)</f>
        <v>0</v>
      </c>
      <c r="V82" s="1">
        <f t="shared" ref="V82:V146" si="48">IF(J82=$V$7,1,0)</f>
        <v>0</v>
      </c>
      <c r="W82" s="1">
        <f t="shared" ref="W82:W146" si="49">IF(J82=$W$7,1,0)</f>
        <v>0</v>
      </c>
      <c r="X82" s="1">
        <f t="shared" ref="X82:X146" si="50">IF(J82=$X$7,1,0)</f>
        <v>0</v>
      </c>
      <c r="Y82" s="1">
        <f t="shared" ref="Y82:Y146" si="51">IF(J82=$Y$7,1,0)</f>
        <v>0</v>
      </c>
      <c r="Z82" s="1">
        <f t="shared" ref="Z82:Z146" si="52">IF(J82=$Z$7,1,0)</f>
        <v>0</v>
      </c>
      <c r="AA82" s="1">
        <f t="shared" ref="AA82:AA146" si="53">IF(J82=$AA$7,1,0)</f>
        <v>0</v>
      </c>
      <c r="AB82" s="1">
        <f t="shared" ref="AB82:AB146" si="54">IF(J82=$AB$7,1,0)</f>
        <v>0</v>
      </c>
      <c r="AD82" s="1">
        <f t="shared" ref="AD82:AD146" si="55">+O82*P82</f>
        <v>1</v>
      </c>
      <c r="AE82" s="1">
        <f t="shared" ref="AE82:AE146" si="56">O82*(1-P82)</f>
        <v>0</v>
      </c>
      <c r="AF82" s="1">
        <f t="shared" si="41"/>
        <v>1</v>
      </c>
      <c r="AG82" s="1">
        <f t="shared" si="42"/>
        <v>0</v>
      </c>
      <c r="AH82" s="1">
        <f t="shared" si="43"/>
        <v>1</v>
      </c>
      <c r="AI82" s="1">
        <f t="shared" si="44"/>
        <v>0</v>
      </c>
    </row>
    <row r="83" spans="1:35" ht="14.25" customHeight="1" x14ac:dyDescent="0.25">
      <c r="A83" s="31">
        <v>0</v>
      </c>
      <c r="B83" s="31">
        <v>1</v>
      </c>
      <c r="C83" s="31">
        <v>3</v>
      </c>
      <c r="D83" s="36" t="s">
        <v>1142</v>
      </c>
      <c r="E83" s="32" t="s">
        <v>169</v>
      </c>
      <c r="F83" s="36" t="s">
        <v>1143</v>
      </c>
      <c r="G83" s="36" t="s">
        <v>39</v>
      </c>
      <c r="H83" s="36" t="s">
        <v>1337</v>
      </c>
      <c r="I83" s="37" t="s">
        <v>1144</v>
      </c>
      <c r="J83" s="31">
        <v>11</v>
      </c>
      <c r="K83" s="33" t="s">
        <v>698</v>
      </c>
      <c r="L83" s="33" t="s">
        <v>1673</v>
      </c>
      <c r="M83" s="34" t="s">
        <v>1366</v>
      </c>
      <c r="N83" s="34" t="s">
        <v>1723</v>
      </c>
      <c r="O83" s="35">
        <v>1</v>
      </c>
      <c r="P83" s="35"/>
      <c r="Q83" s="36"/>
      <c r="S83" s="1">
        <f t="shared" si="45"/>
        <v>0</v>
      </c>
      <c r="T83" s="1">
        <f t="shared" si="46"/>
        <v>0</v>
      </c>
      <c r="U83" s="1">
        <f t="shared" si="47"/>
        <v>0</v>
      </c>
      <c r="V83" s="1">
        <f t="shared" si="48"/>
        <v>0</v>
      </c>
      <c r="W83" s="1">
        <f t="shared" si="49"/>
        <v>0</v>
      </c>
      <c r="X83" s="1">
        <f t="shared" si="50"/>
        <v>0</v>
      </c>
      <c r="Y83" s="1">
        <f t="shared" si="51"/>
        <v>0</v>
      </c>
      <c r="Z83" s="1">
        <f t="shared" si="52"/>
        <v>0</v>
      </c>
      <c r="AA83" s="1">
        <f t="shared" si="53"/>
        <v>0</v>
      </c>
      <c r="AB83" s="1">
        <f t="shared" si="54"/>
        <v>0</v>
      </c>
      <c r="AD83" s="1">
        <f t="shared" si="55"/>
        <v>0</v>
      </c>
      <c r="AE83" s="1">
        <f t="shared" si="56"/>
        <v>1</v>
      </c>
      <c r="AF83" s="1">
        <f t="shared" si="41"/>
        <v>0</v>
      </c>
      <c r="AG83" s="1">
        <f t="shared" si="42"/>
        <v>1</v>
      </c>
      <c r="AH83" s="1">
        <f t="shared" si="43"/>
        <v>0</v>
      </c>
      <c r="AI83" s="1">
        <f t="shared" si="44"/>
        <v>1</v>
      </c>
    </row>
    <row r="84" spans="1:35" ht="14.25" customHeight="1" x14ac:dyDescent="0.25">
      <c r="A84" s="31">
        <v>0</v>
      </c>
      <c r="B84" s="31">
        <v>1</v>
      </c>
      <c r="C84" s="31">
        <v>3</v>
      </c>
      <c r="D84" s="36" t="s">
        <v>123</v>
      </c>
      <c r="E84" s="32" t="s">
        <v>169</v>
      </c>
      <c r="F84" s="36" t="s">
        <v>572</v>
      </c>
      <c r="G84" s="36" t="s">
        <v>39</v>
      </c>
      <c r="H84" s="36" t="s">
        <v>371</v>
      </c>
      <c r="I84" s="37" t="s">
        <v>468</v>
      </c>
      <c r="J84" s="31">
        <v>18</v>
      </c>
      <c r="K84" s="33" t="s">
        <v>699</v>
      </c>
      <c r="L84" s="33" t="s">
        <v>691</v>
      </c>
      <c r="M84" s="34" t="s">
        <v>687</v>
      </c>
      <c r="N84" s="34" t="s">
        <v>1799</v>
      </c>
      <c r="O84" s="35">
        <v>1</v>
      </c>
      <c r="P84" s="35"/>
      <c r="Q84" s="36" t="s">
        <v>1856</v>
      </c>
      <c r="S84" s="1">
        <f t="shared" si="45"/>
        <v>0</v>
      </c>
      <c r="T84" s="1">
        <f t="shared" si="46"/>
        <v>0</v>
      </c>
      <c r="U84" s="1">
        <f t="shared" si="47"/>
        <v>0</v>
      </c>
      <c r="V84" s="1">
        <f t="shared" si="48"/>
        <v>0</v>
      </c>
      <c r="W84" s="1">
        <f t="shared" si="49"/>
        <v>0</v>
      </c>
      <c r="X84" s="1">
        <f t="shared" si="50"/>
        <v>0</v>
      </c>
      <c r="Y84" s="1">
        <f t="shared" si="51"/>
        <v>0</v>
      </c>
      <c r="Z84" s="1">
        <f t="shared" si="52"/>
        <v>0</v>
      </c>
      <c r="AA84" s="1">
        <f t="shared" si="53"/>
        <v>0</v>
      </c>
      <c r="AB84" s="1">
        <f t="shared" si="54"/>
        <v>0</v>
      </c>
      <c r="AD84" s="1">
        <f t="shared" si="55"/>
        <v>0</v>
      </c>
      <c r="AE84" s="1">
        <f t="shared" si="56"/>
        <v>1</v>
      </c>
      <c r="AF84" s="1">
        <f t="shared" si="41"/>
        <v>0</v>
      </c>
      <c r="AG84" s="1">
        <f t="shared" si="42"/>
        <v>1</v>
      </c>
      <c r="AH84" s="1">
        <f t="shared" si="43"/>
        <v>0</v>
      </c>
      <c r="AI84" s="1">
        <f t="shared" si="44"/>
        <v>1</v>
      </c>
    </row>
    <row r="85" spans="1:35" ht="14.25" customHeight="1" x14ac:dyDescent="0.25">
      <c r="A85" s="31">
        <v>0</v>
      </c>
      <c r="B85" s="31">
        <v>1</v>
      </c>
      <c r="C85" s="31">
        <v>3</v>
      </c>
      <c r="D85" s="36" t="s">
        <v>997</v>
      </c>
      <c r="E85" s="32" t="s">
        <v>171</v>
      </c>
      <c r="F85" s="36" t="s">
        <v>998</v>
      </c>
      <c r="G85" s="36" t="s">
        <v>999</v>
      </c>
      <c r="H85" s="36" t="s">
        <v>352</v>
      </c>
      <c r="I85" s="37" t="s">
        <v>1000</v>
      </c>
      <c r="J85" s="31">
        <v>99</v>
      </c>
      <c r="K85" s="33" t="s">
        <v>943</v>
      </c>
      <c r="L85" s="33" t="s">
        <v>39</v>
      </c>
      <c r="M85" s="34" t="s">
        <v>39</v>
      </c>
      <c r="N85" s="34" t="s">
        <v>1707</v>
      </c>
      <c r="O85" s="35">
        <v>1</v>
      </c>
      <c r="P85" s="35">
        <v>1</v>
      </c>
      <c r="Q85" s="36"/>
      <c r="S85" s="1">
        <f t="shared" si="45"/>
        <v>0</v>
      </c>
      <c r="T85" s="1">
        <f t="shared" si="46"/>
        <v>0</v>
      </c>
      <c r="U85" s="1">
        <f t="shared" si="47"/>
        <v>0</v>
      </c>
      <c r="V85" s="1">
        <f t="shared" si="48"/>
        <v>0</v>
      </c>
      <c r="W85" s="1">
        <f t="shared" si="49"/>
        <v>0</v>
      </c>
      <c r="X85" s="1">
        <f t="shared" si="50"/>
        <v>0</v>
      </c>
      <c r="Y85" s="1">
        <f t="shared" si="51"/>
        <v>0</v>
      </c>
      <c r="Z85" s="1">
        <f t="shared" si="52"/>
        <v>0</v>
      </c>
      <c r="AA85" s="1">
        <f t="shared" si="53"/>
        <v>0</v>
      </c>
      <c r="AB85" s="1">
        <f t="shared" si="54"/>
        <v>0</v>
      </c>
      <c r="AD85" s="1">
        <f t="shared" si="55"/>
        <v>1</v>
      </c>
      <c r="AE85" s="1">
        <f t="shared" si="56"/>
        <v>0</v>
      </c>
      <c r="AF85" s="1">
        <f t="shared" si="41"/>
        <v>1</v>
      </c>
      <c r="AG85" s="1">
        <f t="shared" si="42"/>
        <v>0</v>
      </c>
      <c r="AH85" s="1">
        <f t="shared" si="43"/>
        <v>1</v>
      </c>
      <c r="AI85" s="1">
        <f t="shared" si="44"/>
        <v>0</v>
      </c>
    </row>
    <row r="86" spans="1:35" ht="14.25" customHeight="1" x14ac:dyDescent="0.25">
      <c r="A86" s="31">
        <v>0</v>
      </c>
      <c r="B86" s="31">
        <v>1</v>
      </c>
      <c r="C86" s="31">
        <v>3</v>
      </c>
      <c r="D86" s="36" t="s">
        <v>142</v>
      </c>
      <c r="E86" s="32" t="s">
        <v>174</v>
      </c>
      <c r="F86" s="36" t="s">
        <v>342</v>
      </c>
      <c r="G86" s="36" t="s">
        <v>343</v>
      </c>
      <c r="H86" s="36" t="s">
        <v>352</v>
      </c>
      <c r="I86" s="37" t="s">
        <v>488</v>
      </c>
      <c r="J86" s="31">
        <v>6</v>
      </c>
      <c r="K86" s="33" t="s">
        <v>944</v>
      </c>
      <c r="L86" s="33" t="s">
        <v>683</v>
      </c>
      <c r="M86" s="34" t="s">
        <v>687</v>
      </c>
      <c r="N86" s="34" t="s">
        <v>1717</v>
      </c>
      <c r="O86" s="35">
        <v>1</v>
      </c>
      <c r="P86" s="35"/>
      <c r="Q86" s="36"/>
      <c r="S86" s="1">
        <f t="shared" si="45"/>
        <v>0</v>
      </c>
      <c r="T86" s="1">
        <f t="shared" si="46"/>
        <v>0</v>
      </c>
      <c r="U86" s="1">
        <f t="shared" si="47"/>
        <v>0</v>
      </c>
      <c r="V86" s="1">
        <f t="shared" si="48"/>
        <v>0</v>
      </c>
      <c r="W86" s="1">
        <f t="shared" si="49"/>
        <v>0</v>
      </c>
      <c r="X86" s="1">
        <f t="shared" si="50"/>
        <v>1</v>
      </c>
      <c r="Y86" s="1">
        <f t="shared" si="51"/>
        <v>0</v>
      </c>
      <c r="Z86" s="1">
        <f t="shared" si="52"/>
        <v>0</v>
      </c>
      <c r="AA86" s="1">
        <f t="shared" si="53"/>
        <v>0</v>
      </c>
      <c r="AB86" s="1">
        <f t="shared" si="54"/>
        <v>0</v>
      </c>
      <c r="AD86" s="1">
        <f t="shared" si="55"/>
        <v>0</v>
      </c>
      <c r="AE86" s="1">
        <f t="shared" si="56"/>
        <v>1</v>
      </c>
      <c r="AF86" s="1">
        <f t="shared" si="41"/>
        <v>0</v>
      </c>
      <c r="AG86" s="1">
        <f t="shared" si="42"/>
        <v>1</v>
      </c>
      <c r="AH86" s="1">
        <f t="shared" si="43"/>
        <v>0</v>
      </c>
      <c r="AI86" s="1">
        <f t="shared" si="44"/>
        <v>1</v>
      </c>
    </row>
    <row r="87" spans="1:35" ht="14.25" customHeight="1" x14ac:dyDescent="0.25">
      <c r="A87" s="31">
        <v>0</v>
      </c>
      <c r="B87" s="31">
        <v>1</v>
      </c>
      <c r="C87" s="31">
        <v>3</v>
      </c>
      <c r="D87" s="36" t="s">
        <v>2080</v>
      </c>
      <c r="E87" s="32" t="s">
        <v>169</v>
      </c>
      <c r="F87" s="36" t="s">
        <v>2081</v>
      </c>
      <c r="G87" s="36" t="s">
        <v>206</v>
      </c>
      <c r="H87" s="36" t="s">
        <v>352</v>
      </c>
      <c r="I87" s="37" t="s">
        <v>2082</v>
      </c>
      <c r="J87" s="31">
        <v>99</v>
      </c>
      <c r="K87" s="33" t="s">
        <v>699</v>
      </c>
      <c r="L87" s="33"/>
      <c r="M87" s="34"/>
      <c r="N87" s="34" t="s">
        <v>1707</v>
      </c>
      <c r="O87" s="35">
        <v>1</v>
      </c>
      <c r="P87" s="35">
        <v>1</v>
      </c>
      <c r="Q87" s="36" t="s">
        <v>2083</v>
      </c>
      <c r="S87" s="1">
        <f t="shared" si="45"/>
        <v>0</v>
      </c>
      <c r="T87" s="1">
        <f t="shared" si="46"/>
        <v>0</v>
      </c>
      <c r="U87" s="1">
        <f t="shared" si="47"/>
        <v>0</v>
      </c>
      <c r="V87" s="1">
        <f t="shared" si="48"/>
        <v>0</v>
      </c>
      <c r="W87" s="1">
        <f t="shared" si="49"/>
        <v>0</v>
      </c>
      <c r="X87" s="1">
        <f t="shared" si="50"/>
        <v>0</v>
      </c>
      <c r="Y87" s="1">
        <f t="shared" si="51"/>
        <v>0</v>
      </c>
      <c r="Z87" s="1">
        <f t="shared" si="52"/>
        <v>0</v>
      </c>
      <c r="AA87" s="1">
        <f t="shared" si="53"/>
        <v>0</v>
      </c>
      <c r="AB87" s="1">
        <f t="shared" si="54"/>
        <v>0</v>
      </c>
      <c r="AD87" s="1">
        <f t="shared" si="55"/>
        <v>1</v>
      </c>
      <c r="AE87" s="1">
        <f t="shared" si="56"/>
        <v>0</v>
      </c>
      <c r="AF87" s="1">
        <f t="shared" si="41"/>
        <v>1</v>
      </c>
      <c r="AG87" s="1">
        <f t="shared" si="42"/>
        <v>0</v>
      </c>
      <c r="AH87" s="1">
        <f t="shared" si="43"/>
        <v>1</v>
      </c>
      <c r="AI87" s="1">
        <f t="shared" si="44"/>
        <v>0</v>
      </c>
    </row>
    <row r="88" spans="1:35" ht="14.25" customHeight="1" x14ac:dyDescent="0.25">
      <c r="A88" s="15">
        <v>0</v>
      </c>
      <c r="B88" s="15">
        <v>1</v>
      </c>
      <c r="C88" s="15">
        <v>3</v>
      </c>
      <c r="D88" s="16" t="s">
        <v>1760</v>
      </c>
      <c r="E88" s="16" t="s">
        <v>171</v>
      </c>
      <c r="F88" s="16" t="s">
        <v>1762</v>
      </c>
      <c r="G88" s="16"/>
      <c r="H88" s="16" t="s">
        <v>362</v>
      </c>
      <c r="I88" s="15" t="s">
        <v>1761</v>
      </c>
      <c r="J88" s="15">
        <v>17</v>
      </c>
      <c r="K88" s="10" t="s">
        <v>699</v>
      </c>
      <c r="L88" s="10" t="s">
        <v>1716</v>
      </c>
      <c r="M88" s="19" t="s">
        <v>687</v>
      </c>
      <c r="N88" s="17"/>
      <c r="Q88" s="20" t="s">
        <v>1888</v>
      </c>
      <c r="S88" s="1">
        <f t="shared" si="45"/>
        <v>0</v>
      </c>
      <c r="T88" s="1">
        <f t="shared" si="46"/>
        <v>0</v>
      </c>
      <c r="U88" s="1">
        <f t="shared" si="47"/>
        <v>0</v>
      </c>
      <c r="V88" s="1">
        <f t="shared" si="48"/>
        <v>0</v>
      </c>
      <c r="W88" s="1">
        <f t="shared" si="49"/>
        <v>0</v>
      </c>
      <c r="X88" s="1">
        <f t="shared" si="50"/>
        <v>0</v>
      </c>
      <c r="Y88" s="1">
        <f t="shared" si="51"/>
        <v>0</v>
      </c>
      <c r="Z88" s="1">
        <f t="shared" si="52"/>
        <v>0</v>
      </c>
      <c r="AA88" s="1">
        <f t="shared" si="53"/>
        <v>0</v>
      </c>
      <c r="AB88" s="1">
        <f t="shared" si="54"/>
        <v>0</v>
      </c>
      <c r="AD88" s="1">
        <f t="shared" si="55"/>
        <v>0</v>
      </c>
      <c r="AE88" s="1">
        <f t="shared" si="56"/>
        <v>0</v>
      </c>
      <c r="AF88" s="1">
        <f t="shared" si="41"/>
        <v>0</v>
      </c>
      <c r="AG88" s="1">
        <f t="shared" si="42"/>
        <v>0</v>
      </c>
      <c r="AH88" s="1">
        <f t="shared" si="43"/>
        <v>0</v>
      </c>
      <c r="AI88" s="1">
        <f t="shared" si="44"/>
        <v>1</v>
      </c>
    </row>
    <row r="89" spans="1:35" ht="14.25" customHeight="1" x14ac:dyDescent="0.25">
      <c r="A89" s="31">
        <v>0</v>
      </c>
      <c r="B89" s="31">
        <v>1</v>
      </c>
      <c r="C89" s="31">
        <v>3</v>
      </c>
      <c r="D89" s="32" t="s">
        <v>1784</v>
      </c>
      <c r="E89" s="32" t="s">
        <v>171</v>
      </c>
      <c r="F89" s="32" t="s">
        <v>1785</v>
      </c>
      <c r="G89" s="32" t="s">
        <v>1786</v>
      </c>
      <c r="H89" s="32" t="s">
        <v>352</v>
      </c>
      <c r="I89" s="31" t="s">
        <v>1787</v>
      </c>
      <c r="J89" s="31">
        <v>1</v>
      </c>
      <c r="K89" s="33" t="s">
        <v>699</v>
      </c>
      <c r="L89" s="33">
        <v>60</v>
      </c>
      <c r="M89" s="34" t="s">
        <v>1788</v>
      </c>
      <c r="N89" s="34" t="s">
        <v>1823</v>
      </c>
      <c r="O89" s="35">
        <v>1</v>
      </c>
      <c r="P89" s="35"/>
      <c r="Q89" s="32"/>
      <c r="S89" s="1">
        <f t="shared" si="45"/>
        <v>1</v>
      </c>
      <c r="T89" s="1">
        <f t="shared" si="46"/>
        <v>0</v>
      </c>
      <c r="U89" s="1">
        <f t="shared" si="47"/>
        <v>0</v>
      </c>
      <c r="V89" s="1">
        <f t="shared" si="48"/>
        <v>0</v>
      </c>
      <c r="W89" s="1">
        <f t="shared" si="49"/>
        <v>0</v>
      </c>
      <c r="X89" s="1">
        <f t="shared" si="50"/>
        <v>0</v>
      </c>
      <c r="Y89" s="1">
        <f t="shared" si="51"/>
        <v>0</v>
      </c>
      <c r="Z89" s="1">
        <f t="shared" si="52"/>
        <v>0</v>
      </c>
      <c r="AA89" s="1">
        <f t="shared" si="53"/>
        <v>0</v>
      </c>
      <c r="AB89" s="1">
        <f t="shared" si="54"/>
        <v>0</v>
      </c>
      <c r="AD89" s="1">
        <f t="shared" si="55"/>
        <v>0</v>
      </c>
      <c r="AE89" s="1">
        <f t="shared" si="56"/>
        <v>1</v>
      </c>
      <c r="AF89" s="1">
        <f t="shared" si="41"/>
        <v>0</v>
      </c>
      <c r="AG89" s="1">
        <f t="shared" si="42"/>
        <v>1</v>
      </c>
      <c r="AH89" s="1">
        <f t="shared" si="43"/>
        <v>0</v>
      </c>
      <c r="AI89" s="1">
        <f t="shared" si="44"/>
        <v>1</v>
      </c>
    </row>
    <row r="90" spans="1:35" ht="14.25" customHeight="1" x14ac:dyDescent="0.25">
      <c r="A90" s="31">
        <v>0</v>
      </c>
      <c r="B90" s="31">
        <v>1</v>
      </c>
      <c r="C90" s="31">
        <v>3</v>
      </c>
      <c r="D90" s="36" t="s">
        <v>2037</v>
      </c>
      <c r="E90" s="36" t="s">
        <v>175</v>
      </c>
      <c r="F90" s="36" t="s">
        <v>2035</v>
      </c>
      <c r="G90" s="36" t="s">
        <v>219</v>
      </c>
      <c r="H90" s="36" t="s">
        <v>352</v>
      </c>
      <c r="I90" s="37" t="s">
        <v>2036</v>
      </c>
      <c r="J90" s="31">
        <v>8</v>
      </c>
      <c r="K90" s="33" t="s">
        <v>699</v>
      </c>
      <c r="L90" s="33"/>
      <c r="M90" s="34"/>
      <c r="N90" s="34" t="s">
        <v>1707</v>
      </c>
      <c r="O90" s="35">
        <v>1</v>
      </c>
      <c r="P90" s="35">
        <v>1</v>
      </c>
      <c r="Q90" s="36"/>
      <c r="S90" s="1">
        <f t="shared" si="45"/>
        <v>0</v>
      </c>
      <c r="T90" s="1">
        <f t="shared" si="46"/>
        <v>0</v>
      </c>
      <c r="U90" s="1">
        <f t="shared" si="47"/>
        <v>0</v>
      </c>
      <c r="V90" s="1">
        <f t="shared" si="48"/>
        <v>0</v>
      </c>
      <c r="W90" s="1">
        <f t="shared" si="49"/>
        <v>0</v>
      </c>
      <c r="X90" s="1">
        <f t="shared" si="50"/>
        <v>0</v>
      </c>
      <c r="Y90" s="1">
        <f t="shared" si="51"/>
        <v>0</v>
      </c>
      <c r="Z90" s="1">
        <f t="shared" si="52"/>
        <v>1</v>
      </c>
      <c r="AA90" s="1">
        <f t="shared" si="53"/>
        <v>0</v>
      </c>
      <c r="AB90" s="1">
        <f t="shared" si="54"/>
        <v>0</v>
      </c>
      <c r="AD90" s="1">
        <f t="shared" si="55"/>
        <v>1</v>
      </c>
      <c r="AE90" s="1">
        <f t="shared" si="56"/>
        <v>0</v>
      </c>
      <c r="AF90" s="1">
        <f t="shared" si="41"/>
        <v>1</v>
      </c>
      <c r="AG90" s="1">
        <f t="shared" si="42"/>
        <v>0</v>
      </c>
      <c r="AH90" s="1">
        <f t="shared" si="43"/>
        <v>1</v>
      </c>
      <c r="AI90" s="1">
        <f t="shared" si="44"/>
        <v>0</v>
      </c>
    </row>
    <row r="91" spans="1:35" ht="14.25" customHeight="1" x14ac:dyDescent="0.25">
      <c r="A91" s="31">
        <v>0</v>
      </c>
      <c r="B91" s="31">
        <v>1</v>
      </c>
      <c r="C91" s="31">
        <v>3</v>
      </c>
      <c r="D91" s="36" t="s">
        <v>1572</v>
      </c>
      <c r="E91" s="32" t="s">
        <v>174</v>
      </c>
      <c r="F91" s="36" t="s">
        <v>317</v>
      </c>
      <c r="G91" s="36" t="s">
        <v>268</v>
      </c>
      <c r="H91" s="36" t="s">
        <v>352</v>
      </c>
      <c r="I91" s="37" t="s">
        <v>463</v>
      </c>
      <c r="J91" s="31">
        <v>8</v>
      </c>
      <c r="K91" s="33" t="s">
        <v>698</v>
      </c>
      <c r="L91" s="33" t="s">
        <v>685</v>
      </c>
      <c r="M91" s="34" t="s">
        <v>687</v>
      </c>
      <c r="N91" s="34" t="s">
        <v>1729</v>
      </c>
      <c r="O91" s="35">
        <v>1</v>
      </c>
      <c r="P91" s="35"/>
      <c r="Q91" s="36"/>
      <c r="S91" s="1">
        <f t="shared" si="45"/>
        <v>0</v>
      </c>
      <c r="T91" s="1">
        <f t="shared" si="46"/>
        <v>0</v>
      </c>
      <c r="U91" s="1">
        <f t="shared" si="47"/>
        <v>0</v>
      </c>
      <c r="V91" s="1">
        <f t="shared" si="48"/>
        <v>0</v>
      </c>
      <c r="W91" s="1">
        <f t="shared" si="49"/>
        <v>0</v>
      </c>
      <c r="X91" s="1">
        <f t="shared" si="50"/>
        <v>0</v>
      </c>
      <c r="Y91" s="1">
        <f t="shared" si="51"/>
        <v>0</v>
      </c>
      <c r="Z91" s="1">
        <f t="shared" si="52"/>
        <v>1</v>
      </c>
      <c r="AA91" s="1">
        <f t="shared" si="53"/>
        <v>0</v>
      </c>
      <c r="AB91" s="1">
        <f t="shared" si="54"/>
        <v>0</v>
      </c>
      <c r="AD91" s="1">
        <f t="shared" si="55"/>
        <v>0</v>
      </c>
      <c r="AE91" s="1">
        <f t="shared" si="56"/>
        <v>1</v>
      </c>
      <c r="AF91" s="1">
        <f t="shared" si="41"/>
        <v>0</v>
      </c>
      <c r="AG91" s="1">
        <f t="shared" si="42"/>
        <v>1</v>
      </c>
      <c r="AH91" s="1">
        <f t="shared" si="43"/>
        <v>0</v>
      </c>
      <c r="AI91" s="1">
        <f t="shared" si="44"/>
        <v>1</v>
      </c>
    </row>
    <row r="92" spans="1:35" ht="14.25" customHeight="1" x14ac:dyDescent="0.25">
      <c r="A92" s="38">
        <v>0</v>
      </c>
      <c r="B92" s="38">
        <v>1</v>
      </c>
      <c r="C92" s="38">
        <v>3</v>
      </c>
      <c r="D92" s="39" t="s">
        <v>135</v>
      </c>
      <c r="E92" s="39" t="s">
        <v>171</v>
      </c>
      <c r="F92" s="54" t="s">
        <v>1854</v>
      </c>
      <c r="G92" s="39" t="s">
        <v>239</v>
      </c>
      <c r="H92" s="39" t="s">
        <v>352</v>
      </c>
      <c r="I92" s="38" t="s">
        <v>481</v>
      </c>
      <c r="J92" s="38">
        <v>1</v>
      </c>
      <c r="K92" s="40" t="s">
        <v>943</v>
      </c>
      <c r="L92" s="40" t="s">
        <v>685</v>
      </c>
      <c r="M92" s="41" t="s">
        <v>687</v>
      </c>
      <c r="N92" s="42"/>
      <c r="O92" s="43"/>
      <c r="P92" s="43">
        <v>1</v>
      </c>
      <c r="Q92" s="39"/>
      <c r="S92" s="1">
        <f t="shared" si="45"/>
        <v>1</v>
      </c>
      <c r="T92" s="1">
        <f t="shared" si="46"/>
        <v>0</v>
      </c>
      <c r="U92" s="1">
        <f t="shared" si="47"/>
        <v>0</v>
      </c>
      <c r="V92" s="1">
        <f t="shared" si="48"/>
        <v>0</v>
      </c>
      <c r="W92" s="1">
        <f t="shared" si="49"/>
        <v>0</v>
      </c>
      <c r="X92" s="1">
        <f t="shared" si="50"/>
        <v>0</v>
      </c>
      <c r="Y92" s="1">
        <f t="shared" si="51"/>
        <v>0</v>
      </c>
      <c r="Z92" s="1">
        <f t="shared" si="52"/>
        <v>0</v>
      </c>
      <c r="AA92" s="1">
        <f t="shared" si="53"/>
        <v>0</v>
      </c>
      <c r="AB92" s="1">
        <f t="shared" si="54"/>
        <v>0</v>
      </c>
      <c r="AD92" s="1">
        <f t="shared" si="55"/>
        <v>0</v>
      </c>
      <c r="AE92" s="1">
        <f t="shared" si="56"/>
        <v>0</v>
      </c>
      <c r="AF92" s="1">
        <f t="shared" si="41"/>
        <v>0</v>
      </c>
      <c r="AG92" s="1">
        <f t="shared" si="42"/>
        <v>0</v>
      </c>
      <c r="AH92" s="1">
        <f t="shared" si="43"/>
        <v>1</v>
      </c>
      <c r="AI92" s="1">
        <f t="shared" si="44"/>
        <v>0</v>
      </c>
    </row>
    <row r="93" spans="1:35" ht="14.25" customHeight="1" x14ac:dyDescent="0.25">
      <c r="A93" s="44">
        <v>0</v>
      </c>
      <c r="B93" s="44">
        <v>1</v>
      </c>
      <c r="C93" s="44">
        <v>3</v>
      </c>
      <c r="D93" s="45" t="s">
        <v>781</v>
      </c>
      <c r="E93" s="45" t="s">
        <v>606</v>
      </c>
      <c r="F93" s="45" t="s">
        <v>783</v>
      </c>
      <c r="G93" s="45" t="s">
        <v>213</v>
      </c>
      <c r="H93" s="45" t="s">
        <v>352</v>
      </c>
      <c r="I93" s="44" t="s">
        <v>782</v>
      </c>
      <c r="J93" s="44">
        <v>99</v>
      </c>
      <c r="K93" s="46" t="s">
        <v>718</v>
      </c>
      <c r="L93" s="46" t="s">
        <v>1673</v>
      </c>
      <c r="M93" s="47" t="s">
        <v>1367</v>
      </c>
      <c r="N93" s="47" t="s">
        <v>1721</v>
      </c>
      <c r="O93" s="48"/>
      <c r="P93" s="48"/>
      <c r="Q93" s="45"/>
      <c r="S93" s="1">
        <f t="shared" si="45"/>
        <v>0</v>
      </c>
      <c r="T93" s="1">
        <f t="shared" si="46"/>
        <v>0</v>
      </c>
      <c r="U93" s="1">
        <f t="shared" si="47"/>
        <v>0</v>
      </c>
      <c r="V93" s="1">
        <f t="shared" si="48"/>
        <v>0</v>
      </c>
      <c r="W93" s="1">
        <f t="shared" si="49"/>
        <v>0</v>
      </c>
      <c r="X93" s="1">
        <f t="shared" si="50"/>
        <v>0</v>
      </c>
      <c r="Y93" s="1">
        <f t="shared" si="51"/>
        <v>0</v>
      </c>
      <c r="Z93" s="1">
        <f t="shared" si="52"/>
        <v>0</v>
      </c>
      <c r="AA93" s="1">
        <f t="shared" si="53"/>
        <v>0</v>
      </c>
      <c r="AB93" s="1">
        <f t="shared" si="54"/>
        <v>0</v>
      </c>
      <c r="AD93" s="1">
        <f t="shared" si="55"/>
        <v>0</v>
      </c>
      <c r="AE93" s="1">
        <f t="shared" si="56"/>
        <v>0</v>
      </c>
      <c r="AF93" s="1">
        <f t="shared" si="41"/>
        <v>0</v>
      </c>
      <c r="AG93" s="1">
        <f t="shared" si="42"/>
        <v>0</v>
      </c>
      <c r="AH93" s="1">
        <f t="shared" si="43"/>
        <v>0</v>
      </c>
      <c r="AI93" s="1">
        <f t="shared" si="44"/>
        <v>1</v>
      </c>
    </row>
    <row r="94" spans="1:35" ht="14.25" customHeight="1" x14ac:dyDescent="0.25">
      <c r="A94" s="31">
        <v>0</v>
      </c>
      <c r="B94" s="31">
        <v>1</v>
      </c>
      <c r="C94" s="31">
        <v>3</v>
      </c>
      <c r="D94" s="32" t="s">
        <v>77</v>
      </c>
      <c r="E94" s="32" t="s">
        <v>171</v>
      </c>
      <c r="F94" s="32" t="s">
        <v>266</v>
      </c>
      <c r="G94" s="32" t="s">
        <v>262</v>
      </c>
      <c r="H94" s="32" t="s">
        <v>352</v>
      </c>
      <c r="I94" s="31" t="s">
        <v>422</v>
      </c>
      <c r="J94" s="31">
        <v>1</v>
      </c>
      <c r="K94" s="33" t="s">
        <v>943</v>
      </c>
      <c r="L94" s="33" t="s">
        <v>1673</v>
      </c>
      <c r="M94" s="34" t="s">
        <v>957</v>
      </c>
      <c r="N94" s="34" t="s">
        <v>1717</v>
      </c>
      <c r="O94" s="35">
        <v>1</v>
      </c>
      <c r="P94" s="35"/>
      <c r="Q94" s="32"/>
      <c r="S94" s="1">
        <f t="shared" si="45"/>
        <v>1</v>
      </c>
      <c r="T94" s="1">
        <f t="shared" si="46"/>
        <v>0</v>
      </c>
      <c r="U94" s="1">
        <f t="shared" si="47"/>
        <v>0</v>
      </c>
      <c r="V94" s="1">
        <f t="shared" si="48"/>
        <v>0</v>
      </c>
      <c r="W94" s="1">
        <f t="shared" si="49"/>
        <v>0</v>
      </c>
      <c r="X94" s="1">
        <f t="shared" si="50"/>
        <v>0</v>
      </c>
      <c r="Y94" s="1">
        <f t="shared" si="51"/>
        <v>0</v>
      </c>
      <c r="Z94" s="1">
        <f t="shared" si="52"/>
        <v>0</v>
      </c>
      <c r="AA94" s="1">
        <f t="shared" si="53"/>
        <v>0</v>
      </c>
      <c r="AB94" s="1">
        <f t="shared" si="54"/>
        <v>0</v>
      </c>
      <c r="AD94" s="1">
        <f t="shared" si="55"/>
        <v>0</v>
      </c>
      <c r="AE94" s="1">
        <f t="shared" si="56"/>
        <v>1</v>
      </c>
      <c r="AF94" s="1">
        <f t="shared" si="41"/>
        <v>0</v>
      </c>
      <c r="AG94" s="1">
        <f t="shared" si="42"/>
        <v>1</v>
      </c>
      <c r="AH94" s="1">
        <f t="shared" si="43"/>
        <v>0</v>
      </c>
      <c r="AI94" s="1">
        <f t="shared" si="44"/>
        <v>1</v>
      </c>
    </row>
    <row r="95" spans="1:35" ht="14.25" customHeight="1" x14ac:dyDescent="0.25">
      <c r="A95" s="15">
        <v>0</v>
      </c>
      <c r="B95" s="15">
        <v>1</v>
      </c>
      <c r="C95" s="15">
        <v>3</v>
      </c>
      <c r="D95" s="20" t="s">
        <v>1925</v>
      </c>
      <c r="E95" s="20" t="s">
        <v>1953</v>
      </c>
      <c r="F95" s="20" t="s">
        <v>1954</v>
      </c>
      <c r="G95" s="20"/>
      <c r="H95" s="20" t="s">
        <v>1952</v>
      </c>
      <c r="I95" s="21" t="s">
        <v>1955</v>
      </c>
      <c r="J95" s="15">
        <v>18</v>
      </c>
      <c r="K95" s="10" t="s">
        <v>699</v>
      </c>
      <c r="L95" s="10" t="s">
        <v>1716</v>
      </c>
      <c r="M95" s="19" t="s">
        <v>958</v>
      </c>
      <c r="N95" s="17"/>
      <c r="Q95" s="20" t="s">
        <v>1956</v>
      </c>
      <c r="S95" s="1">
        <f t="shared" si="45"/>
        <v>0</v>
      </c>
      <c r="T95" s="1">
        <f t="shared" si="46"/>
        <v>0</v>
      </c>
      <c r="U95" s="1">
        <f t="shared" si="47"/>
        <v>0</v>
      </c>
      <c r="V95" s="1">
        <f t="shared" si="48"/>
        <v>0</v>
      </c>
      <c r="W95" s="1">
        <f t="shared" si="49"/>
        <v>0</v>
      </c>
      <c r="X95" s="1">
        <f t="shared" si="50"/>
        <v>0</v>
      </c>
      <c r="Y95" s="1">
        <f t="shared" si="51"/>
        <v>0</v>
      </c>
      <c r="Z95" s="1">
        <f t="shared" si="52"/>
        <v>0</v>
      </c>
      <c r="AA95" s="1">
        <f t="shared" si="53"/>
        <v>0</v>
      </c>
      <c r="AB95" s="1">
        <f t="shared" si="54"/>
        <v>0</v>
      </c>
      <c r="AD95" s="1">
        <f t="shared" si="55"/>
        <v>0</v>
      </c>
      <c r="AE95" s="1">
        <f t="shared" si="56"/>
        <v>0</v>
      </c>
      <c r="AF95" s="1">
        <f t="shared" si="41"/>
        <v>0</v>
      </c>
      <c r="AG95" s="1">
        <f t="shared" si="42"/>
        <v>0</v>
      </c>
      <c r="AH95" s="1">
        <f t="shared" si="43"/>
        <v>0</v>
      </c>
      <c r="AI95" s="1">
        <f t="shared" si="44"/>
        <v>1</v>
      </c>
    </row>
    <row r="96" spans="1:35" ht="14.25" customHeight="1" x14ac:dyDescent="0.25">
      <c r="A96" s="31">
        <v>0</v>
      </c>
      <c r="B96" s="31">
        <v>1</v>
      </c>
      <c r="C96" s="31">
        <v>3</v>
      </c>
      <c r="D96" s="36" t="s">
        <v>1499</v>
      </c>
      <c r="E96" s="32" t="s">
        <v>175</v>
      </c>
      <c r="F96" s="36" t="s">
        <v>1500</v>
      </c>
      <c r="G96" s="36" t="s">
        <v>39</v>
      </c>
      <c r="H96" s="36" t="s">
        <v>895</v>
      </c>
      <c r="I96" s="37" t="s">
        <v>1501</v>
      </c>
      <c r="J96" s="31">
        <v>11</v>
      </c>
      <c r="K96" s="33" t="s">
        <v>951</v>
      </c>
      <c r="L96" s="33" t="s">
        <v>39</v>
      </c>
      <c r="M96" s="34" t="s">
        <v>39</v>
      </c>
      <c r="N96" s="34" t="s">
        <v>1707</v>
      </c>
      <c r="O96" s="35">
        <v>1</v>
      </c>
      <c r="P96" s="35">
        <v>1</v>
      </c>
      <c r="Q96" s="36"/>
      <c r="S96" s="1">
        <f t="shared" si="45"/>
        <v>0</v>
      </c>
      <c r="T96" s="1">
        <f t="shared" si="46"/>
        <v>0</v>
      </c>
      <c r="U96" s="1">
        <f t="shared" si="47"/>
        <v>0</v>
      </c>
      <c r="V96" s="1">
        <f t="shared" si="48"/>
        <v>0</v>
      </c>
      <c r="W96" s="1">
        <f t="shared" si="49"/>
        <v>0</v>
      </c>
      <c r="X96" s="1">
        <f t="shared" si="50"/>
        <v>0</v>
      </c>
      <c r="Y96" s="1">
        <f t="shared" si="51"/>
        <v>0</v>
      </c>
      <c r="Z96" s="1">
        <f t="shared" si="52"/>
        <v>0</v>
      </c>
      <c r="AA96" s="1">
        <f t="shared" si="53"/>
        <v>0</v>
      </c>
      <c r="AB96" s="1">
        <f t="shared" si="54"/>
        <v>0</v>
      </c>
      <c r="AD96" s="1">
        <f t="shared" si="55"/>
        <v>1</v>
      </c>
      <c r="AE96" s="1">
        <f t="shared" si="56"/>
        <v>0</v>
      </c>
      <c r="AF96" s="1">
        <f t="shared" si="41"/>
        <v>1</v>
      </c>
      <c r="AG96" s="1">
        <f t="shared" si="42"/>
        <v>0</v>
      </c>
      <c r="AH96" s="1">
        <f t="shared" si="43"/>
        <v>1</v>
      </c>
      <c r="AI96" s="1">
        <f t="shared" si="44"/>
        <v>0</v>
      </c>
    </row>
    <row r="97" spans="1:35" ht="14.25" customHeight="1" x14ac:dyDescent="0.25">
      <c r="A97" s="31">
        <v>0</v>
      </c>
      <c r="B97" s="31">
        <v>1</v>
      </c>
      <c r="C97" s="31">
        <v>3</v>
      </c>
      <c r="D97" s="36" t="s">
        <v>1828</v>
      </c>
      <c r="E97" s="36" t="s">
        <v>171</v>
      </c>
      <c r="F97" s="36" t="s">
        <v>1829</v>
      </c>
      <c r="G97" s="36"/>
      <c r="H97" s="36" t="s">
        <v>1830</v>
      </c>
      <c r="I97" s="37" t="s">
        <v>1831</v>
      </c>
      <c r="J97" s="31">
        <v>15</v>
      </c>
      <c r="K97" s="33" t="s">
        <v>699</v>
      </c>
      <c r="L97" s="33"/>
      <c r="M97" s="34"/>
      <c r="N97" s="34" t="s">
        <v>1707</v>
      </c>
      <c r="O97" s="35">
        <v>1</v>
      </c>
      <c r="P97" s="35">
        <v>1</v>
      </c>
      <c r="Q97" s="36" t="s">
        <v>1866</v>
      </c>
      <c r="S97" s="1">
        <f t="shared" si="45"/>
        <v>0</v>
      </c>
      <c r="T97" s="1">
        <f t="shared" si="46"/>
        <v>0</v>
      </c>
      <c r="U97" s="1">
        <f t="shared" si="47"/>
        <v>0</v>
      </c>
      <c r="V97" s="1">
        <f t="shared" si="48"/>
        <v>0</v>
      </c>
      <c r="W97" s="1">
        <f t="shared" si="49"/>
        <v>0</v>
      </c>
      <c r="X97" s="1">
        <f t="shared" si="50"/>
        <v>0</v>
      </c>
      <c r="Y97" s="1">
        <f t="shared" si="51"/>
        <v>0</v>
      </c>
      <c r="Z97" s="1">
        <f t="shared" si="52"/>
        <v>0</v>
      </c>
      <c r="AA97" s="1">
        <f t="shared" si="53"/>
        <v>0</v>
      </c>
      <c r="AB97" s="1">
        <f t="shared" si="54"/>
        <v>0</v>
      </c>
      <c r="AD97" s="1">
        <f t="shared" si="55"/>
        <v>1</v>
      </c>
      <c r="AE97" s="1">
        <f t="shared" si="56"/>
        <v>0</v>
      </c>
      <c r="AF97" s="1">
        <f t="shared" si="41"/>
        <v>1</v>
      </c>
      <c r="AG97" s="1">
        <f t="shared" si="42"/>
        <v>0</v>
      </c>
      <c r="AH97" s="1">
        <f t="shared" si="43"/>
        <v>1</v>
      </c>
      <c r="AI97" s="1">
        <f t="shared" si="44"/>
        <v>0</v>
      </c>
    </row>
    <row r="98" spans="1:35" ht="14.25" customHeight="1" x14ac:dyDescent="0.25">
      <c r="A98" s="31">
        <v>0</v>
      </c>
      <c r="B98" s="31">
        <v>1</v>
      </c>
      <c r="C98" s="31">
        <v>3</v>
      </c>
      <c r="D98" s="32" t="s">
        <v>732</v>
      </c>
      <c r="E98" s="32" t="s">
        <v>1311</v>
      </c>
      <c r="F98" s="32" t="s">
        <v>1632</v>
      </c>
      <c r="G98" s="32" t="s">
        <v>39</v>
      </c>
      <c r="H98" s="32" t="s">
        <v>733</v>
      </c>
      <c r="I98" s="31" t="s">
        <v>734</v>
      </c>
      <c r="J98" s="31">
        <v>18</v>
      </c>
      <c r="K98" s="33" t="s">
        <v>698</v>
      </c>
      <c r="L98" s="33" t="s">
        <v>684</v>
      </c>
      <c r="M98" s="34" t="s">
        <v>957</v>
      </c>
      <c r="N98" s="34" t="s">
        <v>1823</v>
      </c>
      <c r="O98" s="35">
        <v>1</v>
      </c>
      <c r="P98" s="35"/>
      <c r="Q98" s="32"/>
      <c r="S98" s="1">
        <f t="shared" si="45"/>
        <v>0</v>
      </c>
      <c r="T98" s="1">
        <f t="shared" si="46"/>
        <v>0</v>
      </c>
      <c r="U98" s="1">
        <f t="shared" si="47"/>
        <v>0</v>
      </c>
      <c r="V98" s="1">
        <f t="shared" si="48"/>
        <v>0</v>
      </c>
      <c r="W98" s="1">
        <f t="shared" si="49"/>
        <v>0</v>
      </c>
      <c r="X98" s="1">
        <f t="shared" si="50"/>
        <v>0</v>
      </c>
      <c r="Y98" s="1">
        <f t="shared" si="51"/>
        <v>0</v>
      </c>
      <c r="Z98" s="1">
        <f t="shared" si="52"/>
        <v>0</v>
      </c>
      <c r="AA98" s="1">
        <f t="shared" si="53"/>
        <v>0</v>
      </c>
      <c r="AB98" s="1">
        <f t="shared" si="54"/>
        <v>0</v>
      </c>
      <c r="AD98" s="1">
        <f t="shared" si="55"/>
        <v>0</v>
      </c>
      <c r="AE98" s="1">
        <f t="shared" si="56"/>
        <v>1</v>
      </c>
      <c r="AF98" s="1">
        <f t="shared" si="41"/>
        <v>0</v>
      </c>
      <c r="AG98" s="1">
        <f t="shared" si="42"/>
        <v>1</v>
      </c>
      <c r="AH98" s="1">
        <f t="shared" si="43"/>
        <v>0</v>
      </c>
      <c r="AI98" s="1">
        <f t="shared" si="44"/>
        <v>1</v>
      </c>
    </row>
    <row r="99" spans="1:35" ht="14.25" customHeight="1" x14ac:dyDescent="0.25">
      <c r="A99" s="31">
        <v>0</v>
      </c>
      <c r="B99" s="31">
        <v>1</v>
      </c>
      <c r="C99" s="31">
        <v>3</v>
      </c>
      <c r="D99" s="32" t="s">
        <v>1520</v>
      </c>
      <c r="E99" s="32" t="s">
        <v>171</v>
      </c>
      <c r="F99" s="32" t="s">
        <v>1521</v>
      </c>
      <c r="G99" s="32" t="s">
        <v>39</v>
      </c>
      <c r="H99" s="32" t="s">
        <v>362</v>
      </c>
      <c r="I99" s="31" t="s">
        <v>1522</v>
      </c>
      <c r="J99" s="31">
        <v>17</v>
      </c>
      <c r="K99" s="33" t="s">
        <v>718</v>
      </c>
      <c r="L99" s="33" t="s">
        <v>684</v>
      </c>
      <c r="M99" s="34" t="s">
        <v>39</v>
      </c>
      <c r="N99" s="34" t="s">
        <v>1701</v>
      </c>
      <c r="O99" s="35">
        <v>1</v>
      </c>
      <c r="P99" s="35">
        <v>1</v>
      </c>
      <c r="Q99" s="36" t="s">
        <v>1890</v>
      </c>
      <c r="S99" s="1">
        <f t="shared" si="45"/>
        <v>0</v>
      </c>
      <c r="T99" s="1">
        <f t="shared" si="46"/>
        <v>0</v>
      </c>
      <c r="U99" s="1">
        <f t="shared" si="47"/>
        <v>0</v>
      </c>
      <c r="V99" s="1">
        <f t="shared" si="48"/>
        <v>0</v>
      </c>
      <c r="W99" s="1">
        <f t="shared" si="49"/>
        <v>0</v>
      </c>
      <c r="X99" s="1">
        <f t="shared" si="50"/>
        <v>0</v>
      </c>
      <c r="Y99" s="1">
        <f t="shared" si="51"/>
        <v>0</v>
      </c>
      <c r="Z99" s="1">
        <f t="shared" si="52"/>
        <v>0</v>
      </c>
      <c r="AA99" s="1">
        <f t="shared" si="53"/>
        <v>0</v>
      </c>
      <c r="AB99" s="1">
        <f t="shared" si="54"/>
        <v>0</v>
      </c>
      <c r="AD99" s="1">
        <f t="shared" si="55"/>
        <v>1</v>
      </c>
      <c r="AE99" s="1">
        <f t="shared" si="56"/>
        <v>0</v>
      </c>
      <c r="AF99" s="1">
        <f t="shared" si="41"/>
        <v>1</v>
      </c>
      <c r="AG99" s="1">
        <f t="shared" si="42"/>
        <v>0</v>
      </c>
      <c r="AH99" s="1">
        <f t="shared" si="43"/>
        <v>1</v>
      </c>
      <c r="AI99" s="1">
        <f t="shared" si="44"/>
        <v>0</v>
      </c>
    </row>
    <row r="100" spans="1:35" ht="14.25" customHeight="1" x14ac:dyDescent="0.25">
      <c r="A100" s="31">
        <v>0</v>
      </c>
      <c r="B100" s="31">
        <v>1</v>
      </c>
      <c r="C100" s="31">
        <v>3</v>
      </c>
      <c r="D100" s="36" t="s">
        <v>118</v>
      </c>
      <c r="E100" s="32" t="s">
        <v>171</v>
      </c>
      <c r="F100" s="36" t="s">
        <v>318</v>
      </c>
      <c r="G100" s="36" t="s">
        <v>39</v>
      </c>
      <c r="H100" s="36" t="s">
        <v>368</v>
      </c>
      <c r="I100" s="37" t="s">
        <v>464</v>
      </c>
      <c r="J100" s="31">
        <v>14</v>
      </c>
      <c r="K100" s="33" t="s">
        <v>943</v>
      </c>
      <c r="L100" s="33" t="s">
        <v>690</v>
      </c>
      <c r="M100" s="34" t="s">
        <v>687</v>
      </c>
      <c r="N100" s="34" t="s">
        <v>1722</v>
      </c>
      <c r="O100" s="35">
        <v>1</v>
      </c>
      <c r="P100" s="35"/>
      <c r="Q100" s="36" t="s">
        <v>1863</v>
      </c>
      <c r="S100" s="1">
        <f t="shared" si="45"/>
        <v>0</v>
      </c>
      <c r="T100" s="1">
        <f t="shared" si="46"/>
        <v>0</v>
      </c>
      <c r="U100" s="1">
        <f t="shared" si="47"/>
        <v>0</v>
      </c>
      <c r="V100" s="1">
        <f t="shared" si="48"/>
        <v>0</v>
      </c>
      <c r="W100" s="1">
        <f t="shared" si="49"/>
        <v>0</v>
      </c>
      <c r="X100" s="1">
        <f t="shared" si="50"/>
        <v>0</v>
      </c>
      <c r="Y100" s="1">
        <f t="shared" si="51"/>
        <v>0</v>
      </c>
      <c r="Z100" s="1">
        <f t="shared" si="52"/>
        <v>0</v>
      </c>
      <c r="AA100" s="1">
        <f t="shared" si="53"/>
        <v>0</v>
      </c>
      <c r="AB100" s="1">
        <f t="shared" si="54"/>
        <v>0</v>
      </c>
      <c r="AD100" s="1">
        <f t="shared" si="55"/>
        <v>0</v>
      </c>
      <c r="AE100" s="1">
        <f t="shared" si="56"/>
        <v>1</v>
      </c>
      <c r="AF100" s="1">
        <f t="shared" si="41"/>
        <v>0</v>
      </c>
      <c r="AG100" s="1">
        <f t="shared" si="42"/>
        <v>1</v>
      </c>
      <c r="AH100" s="1">
        <f t="shared" si="43"/>
        <v>0</v>
      </c>
      <c r="AI100" s="1">
        <f t="shared" si="44"/>
        <v>1</v>
      </c>
    </row>
    <row r="101" spans="1:35" ht="14.25" customHeight="1" x14ac:dyDescent="0.25">
      <c r="A101" s="31">
        <v>0</v>
      </c>
      <c r="B101" s="31">
        <v>1</v>
      </c>
      <c r="C101" s="31">
        <v>3</v>
      </c>
      <c r="D101" s="36" t="s">
        <v>114</v>
      </c>
      <c r="E101" s="32" t="s">
        <v>169</v>
      </c>
      <c r="F101" s="36" t="s">
        <v>324</v>
      </c>
      <c r="G101" s="36" t="s">
        <v>229</v>
      </c>
      <c r="H101" s="36" t="s">
        <v>352</v>
      </c>
      <c r="I101" s="37" t="s">
        <v>471</v>
      </c>
      <c r="J101" s="31">
        <v>7</v>
      </c>
      <c r="K101" s="33" t="s">
        <v>698</v>
      </c>
      <c r="L101" s="33" t="s">
        <v>39</v>
      </c>
      <c r="M101" s="34" t="s">
        <v>39</v>
      </c>
      <c r="N101" s="34" t="s">
        <v>1707</v>
      </c>
      <c r="O101" s="35">
        <v>1</v>
      </c>
      <c r="P101" s="35">
        <v>1</v>
      </c>
      <c r="Q101" s="36"/>
      <c r="S101" s="1">
        <f t="shared" si="45"/>
        <v>0</v>
      </c>
      <c r="T101" s="1">
        <f t="shared" si="46"/>
        <v>0</v>
      </c>
      <c r="U101" s="1">
        <f t="shared" si="47"/>
        <v>0</v>
      </c>
      <c r="V101" s="1">
        <f t="shared" si="48"/>
        <v>0</v>
      </c>
      <c r="W101" s="1">
        <f t="shared" si="49"/>
        <v>0</v>
      </c>
      <c r="X101" s="1">
        <f t="shared" si="50"/>
        <v>0</v>
      </c>
      <c r="Y101" s="1">
        <f t="shared" si="51"/>
        <v>1</v>
      </c>
      <c r="Z101" s="1">
        <f t="shared" si="52"/>
        <v>0</v>
      </c>
      <c r="AA101" s="1">
        <f t="shared" si="53"/>
        <v>0</v>
      </c>
      <c r="AB101" s="1">
        <f t="shared" si="54"/>
        <v>0</v>
      </c>
      <c r="AD101" s="1">
        <f t="shared" si="55"/>
        <v>1</v>
      </c>
      <c r="AE101" s="1">
        <f t="shared" si="56"/>
        <v>0</v>
      </c>
      <c r="AF101" s="1">
        <f t="shared" si="41"/>
        <v>1</v>
      </c>
      <c r="AG101" s="1">
        <f t="shared" si="42"/>
        <v>0</v>
      </c>
      <c r="AH101" s="1">
        <f t="shared" si="43"/>
        <v>1</v>
      </c>
      <c r="AI101" s="1">
        <f t="shared" si="44"/>
        <v>0</v>
      </c>
    </row>
    <row r="102" spans="1:35" ht="14.25" customHeight="1" x14ac:dyDescent="0.25">
      <c r="A102" s="31">
        <v>0</v>
      </c>
      <c r="B102" s="31">
        <v>1</v>
      </c>
      <c r="C102" s="31">
        <v>3</v>
      </c>
      <c r="D102" s="36" t="s">
        <v>1906</v>
      </c>
      <c r="E102" s="32" t="s">
        <v>1907</v>
      </c>
      <c r="F102" s="36" t="s">
        <v>1908</v>
      </c>
      <c r="G102" s="36"/>
      <c r="H102" s="36" t="s">
        <v>364</v>
      </c>
      <c r="I102" s="37" t="s">
        <v>1910</v>
      </c>
      <c r="J102" s="31">
        <v>18</v>
      </c>
      <c r="K102" s="33" t="s">
        <v>699</v>
      </c>
      <c r="L102" s="33"/>
      <c r="M102" s="34"/>
      <c r="N102" s="34" t="s">
        <v>1707</v>
      </c>
      <c r="O102" s="35">
        <v>1</v>
      </c>
      <c r="P102" s="35">
        <v>1</v>
      </c>
      <c r="Q102" s="36" t="s">
        <v>1909</v>
      </c>
      <c r="S102" s="1">
        <f t="shared" si="45"/>
        <v>0</v>
      </c>
      <c r="T102" s="1">
        <f t="shared" si="46"/>
        <v>0</v>
      </c>
      <c r="U102" s="1">
        <f t="shared" si="47"/>
        <v>0</v>
      </c>
      <c r="V102" s="1">
        <f t="shared" si="48"/>
        <v>0</v>
      </c>
      <c r="W102" s="1">
        <f t="shared" si="49"/>
        <v>0</v>
      </c>
      <c r="X102" s="1">
        <f t="shared" si="50"/>
        <v>0</v>
      </c>
      <c r="Y102" s="1">
        <f t="shared" si="51"/>
        <v>0</v>
      </c>
      <c r="Z102" s="1">
        <f t="shared" si="52"/>
        <v>0</v>
      </c>
      <c r="AA102" s="1">
        <f t="shared" si="53"/>
        <v>0</v>
      </c>
      <c r="AB102" s="1">
        <f t="shared" si="54"/>
        <v>0</v>
      </c>
      <c r="AD102" s="1">
        <f t="shared" si="55"/>
        <v>1</v>
      </c>
      <c r="AE102" s="1">
        <f t="shared" si="56"/>
        <v>0</v>
      </c>
      <c r="AF102" s="1">
        <f t="shared" si="41"/>
        <v>1</v>
      </c>
      <c r="AG102" s="1">
        <f t="shared" si="42"/>
        <v>0</v>
      </c>
      <c r="AH102" s="1">
        <f t="shared" si="43"/>
        <v>1</v>
      </c>
      <c r="AI102" s="1">
        <f t="shared" si="44"/>
        <v>0</v>
      </c>
    </row>
    <row r="103" spans="1:35" ht="14.25" customHeight="1" x14ac:dyDescent="0.25">
      <c r="A103" s="44">
        <v>0</v>
      </c>
      <c r="B103" s="44">
        <v>1</v>
      </c>
      <c r="C103" s="44">
        <v>3</v>
      </c>
      <c r="D103" s="45" t="s">
        <v>1188</v>
      </c>
      <c r="E103" s="45" t="s">
        <v>174</v>
      </c>
      <c r="F103" s="45" t="s">
        <v>1319</v>
      </c>
      <c r="G103" s="45" t="s">
        <v>39</v>
      </c>
      <c r="H103" s="45" t="s">
        <v>607</v>
      </c>
      <c r="I103" s="44" t="s">
        <v>1189</v>
      </c>
      <c r="J103" s="44">
        <v>14</v>
      </c>
      <c r="K103" s="46" t="s">
        <v>943</v>
      </c>
      <c r="L103" s="46" t="s">
        <v>1673</v>
      </c>
      <c r="M103" s="47" t="s">
        <v>1368</v>
      </c>
      <c r="N103" s="47" t="s">
        <v>1776</v>
      </c>
      <c r="O103" s="48"/>
      <c r="P103" s="48"/>
      <c r="Q103" s="45"/>
      <c r="S103" s="1">
        <f t="shared" si="45"/>
        <v>0</v>
      </c>
      <c r="T103" s="1">
        <f t="shared" si="46"/>
        <v>0</v>
      </c>
      <c r="U103" s="1">
        <f t="shared" si="47"/>
        <v>0</v>
      </c>
      <c r="V103" s="1">
        <f t="shared" si="48"/>
        <v>0</v>
      </c>
      <c r="W103" s="1">
        <f t="shared" si="49"/>
        <v>0</v>
      </c>
      <c r="X103" s="1">
        <f t="shared" si="50"/>
        <v>0</v>
      </c>
      <c r="Y103" s="1">
        <f t="shared" si="51"/>
        <v>0</v>
      </c>
      <c r="Z103" s="1">
        <f t="shared" si="52"/>
        <v>0</v>
      </c>
      <c r="AA103" s="1">
        <f t="shared" si="53"/>
        <v>0</v>
      </c>
      <c r="AB103" s="1">
        <f t="shared" si="54"/>
        <v>0</v>
      </c>
      <c r="AD103" s="1">
        <f t="shared" si="55"/>
        <v>0</v>
      </c>
      <c r="AE103" s="1">
        <f t="shared" si="56"/>
        <v>0</v>
      </c>
      <c r="AF103" s="1">
        <f t="shared" si="41"/>
        <v>0</v>
      </c>
      <c r="AG103" s="1">
        <f t="shared" si="42"/>
        <v>0</v>
      </c>
      <c r="AH103" s="1">
        <f t="shared" si="43"/>
        <v>0</v>
      </c>
      <c r="AI103" s="1">
        <f t="shared" si="44"/>
        <v>1</v>
      </c>
    </row>
    <row r="104" spans="1:35" ht="14.25" customHeight="1" x14ac:dyDescent="0.25">
      <c r="A104" s="31">
        <v>0</v>
      </c>
      <c r="B104" s="31">
        <v>1</v>
      </c>
      <c r="C104" s="31">
        <v>3</v>
      </c>
      <c r="D104" s="36" t="s">
        <v>812</v>
      </c>
      <c r="E104" s="32" t="s">
        <v>175</v>
      </c>
      <c r="F104" s="36" t="s">
        <v>916</v>
      </c>
      <c r="G104" s="36" t="s">
        <v>39</v>
      </c>
      <c r="H104" s="36" t="s">
        <v>370</v>
      </c>
      <c r="I104" s="37" t="s">
        <v>813</v>
      </c>
      <c r="J104" s="31">
        <v>16</v>
      </c>
      <c r="K104" s="33" t="s">
        <v>944</v>
      </c>
      <c r="L104" s="33" t="s">
        <v>684</v>
      </c>
      <c r="M104" s="34" t="s">
        <v>957</v>
      </c>
      <c r="N104" s="34" t="s">
        <v>1701</v>
      </c>
      <c r="O104" s="35">
        <v>1</v>
      </c>
      <c r="P104" s="35">
        <v>1</v>
      </c>
      <c r="Q104" s="36"/>
      <c r="S104" s="1">
        <f t="shared" si="45"/>
        <v>0</v>
      </c>
      <c r="T104" s="1">
        <f t="shared" si="46"/>
        <v>0</v>
      </c>
      <c r="U104" s="1">
        <f t="shared" si="47"/>
        <v>0</v>
      </c>
      <c r="V104" s="1">
        <f t="shared" si="48"/>
        <v>0</v>
      </c>
      <c r="W104" s="1">
        <f t="shared" si="49"/>
        <v>0</v>
      </c>
      <c r="X104" s="1">
        <f t="shared" si="50"/>
        <v>0</v>
      </c>
      <c r="Y104" s="1">
        <f t="shared" si="51"/>
        <v>0</v>
      </c>
      <c r="Z104" s="1">
        <f t="shared" si="52"/>
        <v>0</v>
      </c>
      <c r="AA104" s="1">
        <f t="shared" si="53"/>
        <v>0</v>
      </c>
      <c r="AB104" s="1">
        <f t="shared" si="54"/>
        <v>0</v>
      </c>
      <c r="AD104" s="1">
        <f t="shared" si="55"/>
        <v>1</v>
      </c>
      <c r="AE104" s="1">
        <f t="shared" si="56"/>
        <v>0</v>
      </c>
      <c r="AF104" s="1">
        <f t="shared" si="41"/>
        <v>1</v>
      </c>
      <c r="AG104" s="1">
        <f t="shared" si="42"/>
        <v>0</v>
      </c>
      <c r="AH104" s="1">
        <f t="shared" si="43"/>
        <v>1</v>
      </c>
      <c r="AI104" s="1">
        <f t="shared" si="44"/>
        <v>0</v>
      </c>
    </row>
    <row r="105" spans="1:35" ht="14.25" customHeight="1" x14ac:dyDescent="0.25">
      <c r="A105" s="31">
        <v>0</v>
      </c>
      <c r="B105" s="31">
        <v>1</v>
      </c>
      <c r="C105" s="31">
        <v>3</v>
      </c>
      <c r="D105" s="32" t="s">
        <v>103</v>
      </c>
      <c r="E105" s="32" t="s">
        <v>169</v>
      </c>
      <c r="F105" s="32" t="s">
        <v>301</v>
      </c>
      <c r="G105" s="32" t="s">
        <v>39</v>
      </c>
      <c r="H105" s="32" t="s">
        <v>355</v>
      </c>
      <c r="I105" s="31" t="s">
        <v>448</v>
      </c>
      <c r="J105" s="31">
        <v>18</v>
      </c>
      <c r="K105" s="33" t="s">
        <v>698</v>
      </c>
      <c r="L105" s="33" t="s">
        <v>684</v>
      </c>
      <c r="M105" s="34" t="s">
        <v>687</v>
      </c>
      <c r="N105" s="34" t="s">
        <v>1717</v>
      </c>
      <c r="O105" s="35">
        <v>1</v>
      </c>
      <c r="P105" s="35"/>
      <c r="Q105" s="32"/>
      <c r="S105" s="1">
        <f t="shared" si="45"/>
        <v>0</v>
      </c>
      <c r="T105" s="1">
        <f t="shared" si="46"/>
        <v>0</v>
      </c>
      <c r="U105" s="1">
        <f t="shared" si="47"/>
        <v>0</v>
      </c>
      <c r="V105" s="1">
        <f t="shared" si="48"/>
        <v>0</v>
      </c>
      <c r="W105" s="1">
        <f t="shared" si="49"/>
        <v>0</v>
      </c>
      <c r="X105" s="1">
        <f t="shared" si="50"/>
        <v>0</v>
      </c>
      <c r="Y105" s="1">
        <f t="shared" si="51"/>
        <v>0</v>
      </c>
      <c r="Z105" s="1">
        <f t="shared" si="52"/>
        <v>0</v>
      </c>
      <c r="AA105" s="1">
        <f t="shared" si="53"/>
        <v>0</v>
      </c>
      <c r="AB105" s="1">
        <f t="shared" si="54"/>
        <v>0</v>
      </c>
      <c r="AD105" s="1">
        <f t="shared" si="55"/>
        <v>0</v>
      </c>
      <c r="AE105" s="1">
        <f t="shared" si="56"/>
        <v>1</v>
      </c>
      <c r="AF105" s="1">
        <f t="shared" si="41"/>
        <v>0</v>
      </c>
      <c r="AG105" s="1">
        <f t="shared" si="42"/>
        <v>1</v>
      </c>
      <c r="AH105" s="1">
        <f t="shared" si="43"/>
        <v>0</v>
      </c>
      <c r="AI105" s="1">
        <f t="shared" si="44"/>
        <v>1</v>
      </c>
    </row>
    <row r="106" spans="1:35" ht="14.25" customHeight="1" x14ac:dyDescent="0.25">
      <c r="A106" s="44">
        <v>0</v>
      </c>
      <c r="B106" s="44">
        <v>1</v>
      </c>
      <c r="C106" s="44">
        <v>3</v>
      </c>
      <c r="D106" s="45" t="s">
        <v>512</v>
      </c>
      <c r="E106" s="45" t="s">
        <v>169</v>
      </c>
      <c r="F106" s="45" t="s">
        <v>513</v>
      </c>
      <c r="G106" s="45" t="s">
        <v>500</v>
      </c>
      <c r="H106" s="45" t="s">
        <v>352</v>
      </c>
      <c r="I106" s="44" t="s">
        <v>514</v>
      </c>
      <c r="J106" s="44">
        <v>99</v>
      </c>
      <c r="K106" s="46" t="s">
        <v>943</v>
      </c>
      <c r="L106" s="46" t="s">
        <v>690</v>
      </c>
      <c r="M106" s="47" t="s">
        <v>687</v>
      </c>
      <c r="N106" s="47" t="s">
        <v>1721</v>
      </c>
      <c r="O106" s="48"/>
      <c r="P106" s="48"/>
      <c r="Q106" s="45"/>
      <c r="S106" s="1">
        <f t="shared" si="45"/>
        <v>0</v>
      </c>
      <c r="T106" s="1">
        <f t="shared" si="46"/>
        <v>0</v>
      </c>
      <c r="U106" s="1">
        <f t="shared" si="47"/>
        <v>0</v>
      </c>
      <c r="V106" s="1">
        <f t="shared" si="48"/>
        <v>0</v>
      </c>
      <c r="W106" s="1">
        <f t="shared" si="49"/>
        <v>0</v>
      </c>
      <c r="X106" s="1">
        <f t="shared" si="50"/>
        <v>0</v>
      </c>
      <c r="Y106" s="1">
        <f t="shared" si="51"/>
        <v>0</v>
      </c>
      <c r="Z106" s="1">
        <f t="shared" si="52"/>
        <v>0</v>
      </c>
      <c r="AA106" s="1">
        <f t="shared" si="53"/>
        <v>0</v>
      </c>
      <c r="AB106" s="1">
        <f t="shared" si="54"/>
        <v>0</v>
      </c>
      <c r="AD106" s="1">
        <f t="shared" si="55"/>
        <v>0</v>
      </c>
      <c r="AE106" s="1">
        <f t="shared" si="56"/>
        <v>0</v>
      </c>
      <c r="AF106" s="1">
        <f t="shared" si="41"/>
        <v>0</v>
      </c>
      <c r="AG106" s="1">
        <f t="shared" si="42"/>
        <v>0</v>
      </c>
      <c r="AH106" s="1">
        <f t="shared" si="43"/>
        <v>0</v>
      </c>
      <c r="AI106" s="1">
        <f t="shared" si="44"/>
        <v>1</v>
      </c>
    </row>
    <row r="107" spans="1:35" ht="14.25" customHeight="1" x14ac:dyDescent="0.25">
      <c r="A107" s="15">
        <v>0</v>
      </c>
      <c r="B107" s="15">
        <v>1</v>
      </c>
      <c r="C107" s="15">
        <v>3</v>
      </c>
      <c r="D107" s="16" t="s">
        <v>1619</v>
      </c>
      <c r="E107" s="16" t="s">
        <v>1074</v>
      </c>
      <c r="F107" s="16" t="s">
        <v>1200</v>
      </c>
      <c r="G107" s="16" t="s">
        <v>39</v>
      </c>
      <c r="H107" s="16" t="s">
        <v>1201</v>
      </c>
      <c r="I107" s="15" t="s">
        <v>1202</v>
      </c>
      <c r="J107" s="15">
        <v>18</v>
      </c>
      <c r="K107" s="10" t="s">
        <v>945</v>
      </c>
      <c r="L107" s="10" t="s">
        <v>684</v>
      </c>
      <c r="M107" s="19" t="s">
        <v>957</v>
      </c>
      <c r="N107" s="17"/>
      <c r="Q107" s="16" t="s">
        <v>1858</v>
      </c>
      <c r="S107" s="1">
        <f t="shared" si="45"/>
        <v>0</v>
      </c>
      <c r="T107" s="1">
        <f t="shared" si="46"/>
        <v>0</v>
      </c>
      <c r="U107" s="1">
        <f t="shared" si="47"/>
        <v>0</v>
      </c>
      <c r="V107" s="1">
        <f t="shared" si="48"/>
        <v>0</v>
      </c>
      <c r="W107" s="1">
        <f t="shared" si="49"/>
        <v>0</v>
      </c>
      <c r="X107" s="1">
        <f t="shared" si="50"/>
        <v>0</v>
      </c>
      <c r="Y107" s="1">
        <f t="shared" si="51"/>
        <v>0</v>
      </c>
      <c r="Z107" s="1">
        <f t="shared" si="52"/>
        <v>0</v>
      </c>
      <c r="AA107" s="1">
        <f t="shared" si="53"/>
        <v>0</v>
      </c>
      <c r="AB107" s="1">
        <f t="shared" si="54"/>
        <v>0</v>
      </c>
      <c r="AD107" s="1">
        <f t="shared" si="55"/>
        <v>0</v>
      </c>
      <c r="AE107" s="1">
        <f t="shared" si="56"/>
        <v>0</v>
      </c>
      <c r="AF107" s="1">
        <f t="shared" si="41"/>
        <v>0</v>
      </c>
      <c r="AG107" s="1">
        <f t="shared" si="42"/>
        <v>0</v>
      </c>
      <c r="AH107" s="1">
        <f t="shared" si="43"/>
        <v>0</v>
      </c>
      <c r="AI107" s="1">
        <f t="shared" si="44"/>
        <v>1</v>
      </c>
    </row>
    <row r="108" spans="1:35" ht="14.25" customHeight="1" x14ac:dyDescent="0.25">
      <c r="A108" s="31">
        <v>0</v>
      </c>
      <c r="B108" s="31">
        <v>1</v>
      </c>
      <c r="C108" s="31">
        <v>3</v>
      </c>
      <c r="D108" s="32" t="s">
        <v>1532</v>
      </c>
      <c r="E108" s="32" t="s">
        <v>169</v>
      </c>
      <c r="F108" s="32" t="s">
        <v>1651</v>
      </c>
      <c r="G108" s="32" t="s">
        <v>39</v>
      </c>
      <c r="H108" s="32" t="s">
        <v>355</v>
      </c>
      <c r="I108" s="31" t="s">
        <v>1533</v>
      </c>
      <c r="J108" s="31">
        <v>18</v>
      </c>
      <c r="K108" s="33" t="s">
        <v>718</v>
      </c>
      <c r="L108" s="33" t="s">
        <v>684</v>
      </c>
      <c r="M108" s="34" t="s">
        <v>687</v>
      </c>
      <c r="N108" s="34" t="s">
        <v>1717</v>
      </c>
      <c r="O108" s="35">
        <v>1</v>
      </c>
      <c r="P108" s="35"/>
      <c r="Q108" s="32"/>
      <c r="S108" s="1">
        <f t="shared" si="45"/>
        <v>0</v>
      </c>
      <c r="T108" s="1">
        <f t="shared" si="46"/>
        <v>0</v>
      </c>
      <c r="U108" s="1">
        <f t="shared" si="47"/>
        <v>0</v>
      </c>
      <c r="V108" s="1">
        <f t="shared" si="48"/>
        <v>0</v>
      </c>
      <c r="W108" s="1">
        <f t="shared" si="49"/>
        <v>0</v>
      </c>
      <c r="X108" s="1">
        <f t="shared" si="50"/>
        <v>0</v>
      </c>
      <c r="Y108" s="1">
        <f t="shared" si="51"/>
        <v>0</v>
      </c>
      <c r="Z108" s="1">
        <f t="shared" si="52"/>
        <v>0</v>
      </c>
      <c r="AA108" s="1">
        <f t="shared" si="53"/>
        <v>0</v>
      </c>
      <c r="AB108" s="1">
        <f t="shared" si="54"/>
        <v>0</v>
      </c>
      <c r="AD108" s="1">
        <f t="shared" si="55"/>
        <v>0</v>
      </c>
      <c r="AE108" s="1">
        <f t="shared" si="56"/>
        <v>1</v>
      </c>
      <c r="AF108" s="1">
        <f t="shared" si="41"/>
        <v>0</v>
      </c>
      <c r="AG108" s="1">
        <f t="shared" si="42"/>
        <v>1</v>
      </c>
      <c r="AH108" s="1">
        <f t="shared" si="43"/>
        <v>0</v>
      </c>
      <c r="AI108" s="1">
        <f t="shared" si="44"/>
        <v>1</v>
      </c>
    </row>
    <row r="109" spans="1:35" ht="14.25" customHeight="1" x14ac:dyDescent="0.25">
      <c r="A109" s="31">
        <v>0</v>
      </c>
      <c r="B109" s="31">
        <v>1</v>
      </c>
      <c r="C109" s="31">
        <v>3</v>
      </c>
      <c r="D109" s="32" t="s">
        <v>1299</v>
      </c>
      <c r="E109" s="32" t="s">
        <v>174</v>
      </c>
      <c r="F109" s="32" t="s">
        <v>1320</v>
      </c>
      <c r="G109" s="32" t="s">
        <v>39</v>
      </c>
      <c r="H109" s="32" t="s">
        <v>352</v>
      </c>
      <c r="I109" s="31" t="s">
        <v>1120</v>
      </c>
      <c r="J109" s="31">
        <v>99</v>
      </c>
      <c r="K109" s="33" t="s">
        <v>698</v>
      </c>
      <c r="L109" s="33" t="s">
        <v>1673</v>
      </c>
      <c r="M109" s="34" t="s">
        <v>1369</v>
      </c>
      <c r="N109" s="34" t="s">
        <v>1723</v>
      </c>
      <c r="O109" s="35">
        <v>1</v>
      </c>
      <c r="P109" s="35"/>
      <c r="Q109" s="32"/>
      <c r="S109" s="1">
        <f t="shared" si="45"/>
        <v>0</v>
      </c>
      <c r="T109" s="1">
        <f t="shared" si="46"/>
        <v>0</v>
      </c>
      <c r="U109" s="1">
        <f t="shared" si="47"/>
        <v>0</v>
      </c>
      <c r="V109" s="1">
        <f t="shared" si="48"/>
        <v>0</v>
      </c>
      <c r="W109" s="1">
        <f t="shared" si="49"/>
        <v>0</v>
      </c>
      <c r="X109" s="1">
        <f t="shared" si="50"/>
        <v>0</v>
      </c>
      <c r="Y109" s="1">
        <f t="shared" si="51"/>
        <v>0</v>
      </c>
      <c r="Z109" s="1">
        <f t="shared" si="52"/>
        <v>0</v>
      </c>
      <c r="AA109" s="1">
        <f t="shared" si="53"/>
        <v>0</v>
      </c>
      <c r="AB109" s="1">
        <f t="shared" si="54"/>
        <v>0</v>
      </c>
      <c r="AD109" s="1">
        <f t="shared" si="55"/>
        <v>0</v>
      </c>
      <c r="AE109" s="1">
        <f t="shared" si="56"/>
        <v>1</v>
      </c>
      <c r="AF109" s="1">
        <f t="shared" si="41"/>
        <v>0</v>
      </c>
      <c r="AG109" s="1">
        <f t="shared" si="42"/>
        <v>1</v>
      </c>
      <c r="AH109" s="1">
        <f t="shared" si="43"/>
        <v>0</v>
      </c>
      <c r="AI109" s="1">
        <f t="shared" si="44"/>
        <v>1</v>
      </c>
    </row>
    <row r="110" spans="1:35" ht="14.25" customHeight="1" x14ac:dyDescent="0.25">
      <c r="A110" s="31">
        <v>0</v>
      </c>
      <c r="B110" s="31">
        <v>1</v>
      </c>
      <c r="C110" s="31">
        <v>3</v>
      </c>
      <c r="D110" s="32" t="s">
        <v>1243</v>
      </c>
      <c r="E110" s="32" t="s">
        <v>169</v>
      </c>
      <c r="F110" s="32" t="s">
        <v>1321</v>
      </c>
      <c r="G110" s="32" t="s">
        <v>1175</v>
      </c>
      <c r="H110" s="32" t="s">
        <v>352</v>
      </c>
      <c r="I110" s="31" t="s">
        <v>1176</v>
      </c>
      <c r="J110" s="31">
        <v>99</v>
      </c>
      <c r="K110" s="33" t="s">
        <v>718</v>
      </c>
      <c r="L110" s="33">
        <v>50</v>
      </c>
      <c r="M110" s="34" t="s">
        <v>39</v>
      </c>
      <c r="N110" s="34" t="s">
        <v>1775</v>
      </c>
      <c r="O110" s="35">
        <v>1</v>
      </c>
      <c r="P110" s="35"/>
      <c r="Q110" s="32"/>
      <c r="S110" s="1">
        <f t="shared" si="45"/>
        <v>0</v>
      </c>
      <c r="T110" s="1">
        <f t="shared" si="46"/>
        <v>0</v>
      </c>
      <c r="U110" s="1">
        <f t="shared" si="47"/>
        <v>0</v>
      </c>
      <c r="V110" s="1">
        <f t="shared" si="48"/>
        <v>0</v>
      </c>
      <c r="W110" s="1">
        <f t="shared" si="49"/>
        <v>0</v>
      </c>
      <c r="X110" s="1">
        <f t="shared" si="50"/>
        <v>0</v>
      </c>
      <c r="Y110" s="1">
        <f t="shared" si="51"/>
        <v>0</v>
      </c>
      <c r="Z110" s="1">
        <f t="shared" si="52"/>
        <v>0</v>
      </c>
      <c r="AA110" s="1">
        <f t="shared" si="53"/>
        <v>0</v>
      </c>
      <c r="AB110" s="1">
        <f t="shared" si="54"/>
        <v>0</v>
      </c>
      <c r="AD110" s="1">
        <f t="shared" si="55"/>
        <v>0</v>
      </c>
      <c r="AE110" s="1">
        <f t="shared" si="56"/>
        <v>1</v>
      </c>
      <c r="AF110" s="1">
        <f t="shared" si="41"/>
        <v>0</v>
      </c>
      <c r="AG110" s="1">
        <f t="shared" si="42"/>
        <v>1</v>
      </c>
      <c r="AH110" s="1">
        <f t="shared" si="43"/>
        <v>0</v>
      </c>
      <c r="AI110" s="1">
        <f t="shared" si="44"/>
        <v>1</v>
      </c>
    </row>
    <row r="111" spans="1:35" ht="14.25" customHeight="1" x14ac:dyDescent="0.25">
      <c r="A111" s="31">
        <v>0</v>
      </c>
      <c r="B111" s="31">
        <v>1</v>
      </c>
      <c r="C111" s="31">
        <v>3</v>
      </c>
      <c r="D111" s="32" t="s">
        <v>1006</v>
      </c>
      <c r="E111" s="32" t="s">
        <v>606</v>
      </c>
      <c r="F111" s="32" t="s">
        <v>1007</v>
      </c>
      <c r="G111" s="32" t="s">
        <v>1008</v>
      </c>
      <c r="H111" s="32" t="s">
        <v>352</v>
      </c>
      <c r="I111" s="31" t="s">
        <v>1009</v>
      </c>
      <c r="J111" s="31">
        <v>99</v>
      </c>
      <c r="K111" s="33" t="s">
        <v>943</v>
      </c>
      <c r="L111" s="33" t="s">
        <v>39</v>
      </c>
      <c r="M111" s="34" t="s">
        <v>39</v>
      </c>
      <c r="N111" s="34" t="s">
        <v>1707</v>
      </c>
      <c r="O111" s="35">
        <v>1</v>
      </c>
      <c r="P111" s="35">
        <v>1</v>
      </c>
      <c r="Q111" s="32"/>
      <c r="S111" s="1">
        <f t="shared" si="45"/>
        <v>0</v>
      </c>
      <c r="T111" s="1">
        <f t="shared" si="46"/>
        <v>0</v>
      </c>
      <c r="U111" s="1">
        <f t="shared" si="47"/>
        <v>0</v>
      </c>
      <c r="V111" s="1">
        <f t="shared" si="48"/>
        <v>0</v>
      </c>
      <c r="W111" s="1">
        <f t="shared" si="49"/>
        <v>0</v>
      </c>
      <c r="X111" s="1">
        <f t="shared" si="50"/>
        <v>0</v>
      </c>
      <c r="Y111" s="1">
        <f t="shared" si="51"/>
        <v>0</v>
      </c>
      <c r="Z111" s="1">
        <f t="shared" si="52"/>
        <v>0</v>
      </c>
      <c r="AA111" s="1">
        <f t="shared" si="53"/>
        <v>0</v>
      </c>
      <c r="AB111" s="1">
        <f t="shared" si="54"/>
        <v>0</v>
      </c>
      <c r="AD111" s="1">
        <f t="shared" si="55"/>
        <v>1</v>
      </c>
      <c r="AE111" s="1">
        <f t="shared" si="56"/>
        <v>0</v>
      </c>
      <c r="AF111" s="1">
        <f t="shared" si="41"/>
        <v>1</v>
      </c>
      <c r="AG111" s="1">
        <f t="shared" si="42"/>
        <v>0</v>
      </c>
      <c r="AH111" s="1">
        <f t="shared" si="43"/>
        <v>1</v>
      </c>
      <c r="AI111" s="1">
        <f t="shared" si="44"/>
        <v>0</v>
      </c>
    </row>
    <row r="112" spans="1:35" ht="14.25" customHeight="1" x14ac:dyDescent="0.25">
      <c r="A112" s="15">
        <v>0</v>
      </c>
      <c r="B112" s="15">
        <v>1</v>
      </c>
      <c r="C112" s="15">
        <v>3</v>
      </c>
      <c r="D112" s="16" t="s">
        <v>2093</v>
      </c>
      <c r="E112" s="16" t="s">
        <v>171</v>
      </c>
      <c r="F112" s="16" t="s">
        <v>2094</v>
      </c>
      <c r="G112" s="16"/>
      <c r="H112" s="16" t="s">
        <v>2095</v>
      </c>
      <c r="I112" s="15" t="s">
        <v>2096</v>
      </c>
      <c r="J112" s="15">
        <v>12</v>
      </c>
      <c r="K112" s="10" t="s">
        <v>699</v>
      </c>
      <c r="L112" s="10">
        <v>40</v>
      </c>
      <c r="M112" s="19" t="s">
        <v>1370</v>
      </c>
      <c r="N112" s="17"/>
      <c r="Q112" s="20" t="s">
        <v>2097</v>
      </c>
      <c r="S112" s="1">
        <f t="shared" si="45"/>
        <v>0</v>
      </c>
      <c r="T112" s="1">
        <f t="shared" si="46"/>
        <v>0</v>
      </c>
      <c r="U112" s="1">
        <f t="shared" si="47"/>
        <v>0</v>
      </c>
      <c r="V112" s="1">
        <f t="shared" si="48"/>
        <v>0</v>
      </c>
      <c r="W112" s="1">
        <f t="shared" si="49"/>
        <v>0</v>
      </c>
      <c r="X112" s="1">
        <f t="shared" si="50"/>
        <v>0</v>
      </c>
      <c r="Y112" s="1">
        <f t="shared" si="51"/>
        <v>0</v>
      </c>
      <c r="Z112" s="1">
        <f t="shared" si="52"/>
        <v>0</v>
      </c>
      <c r="AA112" s="1">
        <f t="shared" si="53"/>
        <v>0</v>
      </c>
      <c r="AB112" s="1">
        <f t="shared" si="54"/>
        <v>0</v>
      </c>
      <c r="AD112" s="1">
        <f t="shared" ref="AD112:AD114" si="57">+O112*P112</f>
        <v>0</v>
      </c>
      <c r="AE112" s="1">
        <f t="shared" ref="AE112:AE114" si="58">O112*(1-P112)</f>
        <v>0</v>
      </c>
      <c r="AF112" s="1">
        <f t="shared" ref="AF112:AF114" si="59">+O112*P112*(1-A112)</f>
        <v>0</v>
      </c>
      <c r="AG112" s="1">
        <f t="shared" ref="AG112:AG114" si="60">O112*(1-P112)*(1-A112)</f>
        <v>0</v>
      </c>
      <c r="AH112" s="1">
        <f t="shared" ref="AH112:AH114" si="61">+P112*(1-A112)</f>
        <v>0</v>
      </c>
      <c r="AI112" s="1">
        <f t="shared" ref="AI112:AI114" si="62">+(1-A112)*(1-P112)</f>
        <v>1</v>
      </c>
    </row>
    <row r="113" spans="1:35" ht="14.25" customHeight="1" x14ac:dyDescent="0.25">
      <c r="A113" s="31">
        <v>0</v>
      </c>
      <c r="B113" s="31">
        <v>1</v>
      </c>
      <c r="C113" s="31">
        <v>3</v>
      </c>
      <c r="D113" s="32" t="s">
        <v>140</v>
      </c>
      <c r="E113" s="32" t="s">
        <v>174</v>
      </c>
      <c r="F113" s="32" t="s">
        <v>340</v>
      </c>
      <c r="G113" s="32" t="s">
        <v>39</v>
      </c>
      <c r="H113" s="32" t="s">
        <v>374</v>
      </c>
      <c r="I113" s="31" t="s">
        <v>486</v>
      </c>
      <c r="J113" s="31">
        <v>16</v>
      </c>
      <c r="K113" s="33" t="s">
        <v>698</v>
      </c>
      <c r="L113" s="33" t="s">
        <v>684</v>
      </c>
      <c r="M113" s="34" t="s">
        <v>1370</v>
      </c>
      <c r="N113" s="34" t="s">
        <v>1722</v>
      </c>
      <c r="O113" s="35">
        <v>1</v>
      </c>
      <c r="P113" s="35"/>
      <c r="Q113" s="32"/>
      <c r="S113" s="1">
        <f t="shared" si="45"/>
        <v>0</v>
      </c>
      <c r="T113" s="1">
        <f t="shared" si="46"/>
        <v>0</v>
      </c>
      <c r="U113" s="1">
        <f t="shared" si="47"/>
        <v>0</v>
      </c>
      <c r="V113" s="1">
        <f t="shared" si="48"/>
        <v>0</v>
      </c>
      <c r="W113" s="1">
        <f t="shared" si="49"/>
        <v>0</v>
      </c>
      <c r="X113" s="1">
        <f t="shared" si="50"/>
        <v>0</v>
      </c>
      <c r="Y113" s="1">
        <f t="shared" si="51"/>
        <v>0</v>
      </c>
      <c r="Z113" s="1">
        <f t="shared" si="52"/>
        <v>0</v>
      </c>
      <c r="AA113" s="1">
        <f t="shared" si="53"/>
        <v>0</v>
      </c>
      <c r="AB113" s="1">
        <f t="shared" si="54"/>
        <v>0</v>
      </c>
      <c r="AD113" s="1">
        <f t="shared" si="57"/>
        <v>0</v>
      </c>
      <c r="AE113" s="1">
        <f t="shared" si="58"/>
        <v>1</v>
      </c>
      <c r="AF113" s="1">
        <f t="shared" si="59"/>
        <v>0</v>
      </c>
      <c r="AG113" s="1">
        <f t="shared" si="60"/>
        <v>1</v>
      </c>
      <c r="AH113" s="1">
        <f t="shared" si="61"/>
        <v>0</v>
      </c>
      <c r="AI113" s="1">
        <f t="shared" si="62"/>
        <v>1</v>
      </c>
    </row>
    <row r="114" spans="1:35" ht="14.25" customHeight="1" x14ac:dyDescent="0.25">
      <c r="A114" s="31">
        <v>0</v>
      </c>
      <c r="B114" s="31">
        <v>1</v>
      </c>
      <c r="C114" s="31">
        <v>3</v>
      </c>
      <c r="D114" s="32" t="s">
        <v>808</v>
      </c>
      <c r="E114" s="32" t="s">
        <v>171</v>
      </c>
      <c r="F114" s="32" t="s">
        <v>809</v>
      </c>
      <c r="G114" s="32" t="s">
        <v>39</v>
      </c>
      <c r="H114" s="32" t="s">
        <v>810</v>
      </c>
      <c r="I114" s="31" t="s">
        <v>811</v>
      </c>
      <c r="J114" s="31">
        <v>16</v>
      </c>
      <c r="K114" s="33" t="s">
        <v>698</v>
      </c>
      <c r="L114" s="33" t="s">
        <v>684</v>
      </c>
      <c r="M114" s="34" t="s">
        <v>1370</v>
      </c>
      <c r="N114" s="34" t="s">
        <v>1701</v>
      </c>
      <c r="O114" s="35">
        <v>1</v>
      </c>
      <c r="P114" s="35">
        <v>1</v>
      </c>
      <c r="Q114" s="32"/>
      <c r="S114" s="1">
        <f t="shared" si="45"/>
        <v>0</v>
      </c>
      <c r="T114" s="1">
        <f t="shared" si="46"/>
        <v>0</v>
      </c>
      <c r="U114" s="1">
        <f t="shared" si="47"/>
        <v>0</v>
      </c>
      <c r="V114" s="1">
        <f t="shared" si="48"/>
        <v>0</v>
      </c>
      <c r="W114" s="1">
        <f t="shared" si="49"/>
        <v>0</v>
      </c>
      <c r="X114" s="1">
        <f t="shared" si="50"/>
        <v>0</v>
      </c>
      <c r="Y114" s="1">
        <f t="shared" si="51"/>
        <v>0</v>
      </c>
      <c r="Z114" s="1">
        <f t="shared" si="52"/>
        <v>0</v>
      </c>
      <c r="AA114" s="1">
        <f t="shared" si="53"/>
        <v>0</v>
      </c>
      <c r="AB114" s="1">
        <f t="shared" si="54"/>
        <v>0</v>
      </c>
      <c r="AD114" s="1">
        <f t="shared" si="57"/>
        <v>1</v>
      </c>
      <c r="AE114" s="1">
        <f t="shared" si="58"/>
        <v>0</v>
      </c>
      <c r="AF114" s="1">
        <f t="shared" si="59"/>
        <v>1</v>
      </c>
      <c r="AG114" s="1">
        <f t="shared" si="60"/>
        <v>0</v>
      </c>
      <c r="AH114" s="1">
        <f t="shared" si="61"/>
        <v>1</v>
      </c>
      <c r="AI114" s="1">
        <f t="shared" si="62"/>
        <v>0</v>
      </c>
    </row>
    <row r="115" spans="1:35" ht="14.25" customHeight="1" x14ac:dyDescent="0.25">
      <c r="A115" s="15">
        <v>0</v>
      </c>
      <c r="B115" s="15">
        <v>1</v>
      </c>
      <c r="C115" s="15">
        <v>3</v>
      </c>
      <c r="D115" s="16" t="s">
        <v>107</v>
      </c>
      <c r="E115" s="16" t="s">
        <v>169</v>
      </c>
      <c r="F115" s="16" t="s">
        <v>304</v>
      </c>
      <c r="G115" s="16" t="s">
        <v>39</v>
      </c>
      <c r="H115" s="16" t="s">
        <v>359</v>
      </c>
      <c r="I115" s="15" t="s">
        <v>452</v>
      </c>
      <c r="J115" s="15">
        <v>18</v>
      </c>
      <c r="K115" s="10" t="s">
        <v>699</v>
      </c>
      <c r="L115" s="10" t="s">
        <v>684</v>
      </c>
      <c r="M115" s="19" t="s">
        <v>687</v>
      </c>
      <c r="N115" s="17"/>
      <c r="Q115" s="20" t="s">
        <v>1857</v>
      </c>
      <c r="S115" s="1">
        <f t="shared" si="45"/>
        <v>0</v>
      </c>
      <c r="T115" s="1">
        <f t="shared" si="46"/>
        <v>0</v>
      </c>
      <c r="U115" s="1">
        <f t="shared" si="47"/>
        <v>0</v>
      </c>
      <c r="V115" s="1">
        <f t="shared" si="48"/>
        <v>0</v>
      </c>
      <c r="W115" s="1">
        <f t="shared" si="49"/>
        <v>0</v>
      </c>
      <c r="X115" s="1">
        <f t="shared" si="50"/>
        <v>0</v>
      </c>
      <c r="Y115" s="1">
        <f t="shared" si="51"/>
        <v>0</v>
      </c>
      <c r="Z115" s="1">
        <f t="shared" si="52"/>
        <v>0</v>
      </c>
      <c r="AA115" s="1">
        <f t="shared" si="53"/>
        <v>0</v>
      </c>
      <c r="AB115" s="1">
        <f t="shared" si="54"/>
        <v>0</v>
      </c>
      <c r="AD115" s="1">
        <f t="shared" si="55"/>
        <v>0</v>
      </c>
      <c r="AE115" s="1">
        <f t="shared" si="56"/>
        <v>0</v>
      </c>
      <c r="AF115" s="1">
        <f t="shared" si="41"/>
        <v>0</v>
      </c>
      <c r="AG115" s="1">
        <f t="shared" si="42"/>
        <v>0</v>
      </c>
      <c r="AH115" s="1">
        <f t="shared" si="43"/>
        <v>0</v>
      </c>
      <c r="AI115" s="1">
        <f t="shared" si="44"/>
        <v>1</v>
      </c>
    </row>
    <row r="116" spans="1:35" ht="14.25" customHeight="1" x14ac:dyDescent="0.25">
      <c r="A116" s="31">
        <v>0</v>
      </c>
      <c r="B116" s="31">
        <v>1</v>
      </c>
      <c r="C116" s="31">
        <v>3</v>
      </c>
      <c r="D116" s="32" t="s">
        <v>1480</v>
      </c>
      <c r="E116" s="32" t="s">
        <v>169</v>
      </c>
      <c r="F116" s="32" t="s">
        <v>1481</v>
      </c>
      <c r="G116" s="32" t="s">
        <v>39</v>
      </c>
      <c r="H116" s="32" t="s">
        <v>372</v>
      </c>
      <c r="I116" s="31" t="s">
        <v>1482</v>
      </c>
      <c r="J116" s="31">
        <v>11</v>
      </c>
      <c r="K116" s="33" t="s">
        <v>718</v>
      </c>
      <c r="L116" s="33">
        <v>50</v>
      </c>
      <c r="M116" s="34" t="s">
        <v>39</v>
      </c>
      <c r="N116" s="34" t="s">
        <v>1723</v>
      </c>
      <c r="O116" s="35">
        <v>1</v>
      </c>
      <c r="P116" s="35"/>
      <c r="Q116" s="32"/>
      <c r="S116" s="1">
        <f t="shared" si="45"/>
        <v>0</v>
      </c>
      <c r="T116" s="1">
        <f t="shared" si="46"/>
        <v>0</v>
      </c>
      <c r="U116" s="1">
        <f t="shared" si="47"/>
        <v>0</v>
      </c>
      <c r="V116" s="1">
        <f t="shared" si="48"/>
        <v>0</v>
      </c>
      <c r="W116" s="1">
        <f t="shared" si="49"/>
        <v>0</v>
      </c>
      <c r="X116" s="1">
        <f t="shared" si="50"/>
        <v>0</v>
      </c>
      <c r="Y116" s="1">
        <f t="shared" si="51"/>
        <v>0</v>
      </c>
      <c r="Z116" s="1">
        <f t="shared" si="52"/>
        <v>0</v>
      </c>
      <c r="AA116" s="1">
        <f t="shared" si="53"/>
        <v>0</v>
      </c>
      <c r="AB116" s="1">
        <f t="shared" si="54"/>
        <v>0</v>
      </c>
      <c r="AD116" s="1">
        <f t="shared" si="55"/>
        <v>0</v>
      </c>
      <c r="AE116" s="1">
        <f t="shared" si="56"/>
        <v>1</v>
      </c>
      <c r="AF116" s="1">
        <f t="shared" si="41"/>
        <v>0</v>
      </c>
      <c r="AG116" s="1">
        <f t="shared" si="42"/>
        <v>1</v>
      </c>
      <c r="AH116" s="1">
        <f t="shared" si="43"/>
        <v>0</v>
      </c>
      <c r="AI116" s="1">
        <f t="shared" si="44"/>
        <v>1</v>
      </c>
    </row>
    <row r="117" spans="1:35" ht="14.25" customHeight="1" x14ac:dyDescent="0.25">
      <c r="A117" s="44">
        <v>0</v>
      </c>
      <c r="B117" s="44">
        <v>1</v>
      </c>
      <c r="C117" s="44">
        <v>3</v>
      </c>
      <c r="D117" s="45" t="s">
        <v>106</v>
      </c>
      <c r="E117" s="45" t="s">
        <v>169</v>
      </c>
      <c r="F117" s="45" t="s">
        <v>303</v>
      </c>
      <c r="G117" s="45" t="s">
        <v>39</v>
      </c>
      <c r="H117" s="45" t="s">
        <v>358</v>
      </c>
      <c r="I117" s="44" t="s">
        <v>451</v>
      </c>
      <c r="J117" s="44">
        <v>18</v>
      </c>
      <c r="K117" s="46" t="s">
        <v>698</v>
      </c>
      <c r="L117" s="46">
        <v>55</v>
      </c>
      <c r="M117" s="47" t="s">
        <v>687</v>
      </c>
      <c r="N117" s="47" t="s">
        <v>1708</v>
      </c>
      <c r="O117" s="48"/>
      <c r="P117" s="48"/>
      <c r="Q117" s="45"/>
      <c r="S117" s="1">
        <f t="shared" si="45"/>
        <v>0</v>
      </c>
      <c r="T117" s="1">
        <f t="shared" si="46"/>
        <v>0</v>
      </c>
      <c r="U117" s="1">
        <f t="shared" si="47"/>
        <v>0</v>
      </c>
      <c r="V117" s="1">
        <f t="shared" si="48"/>
        <v>0</v>
      </c>
      <c r="W117" s="1">
        <f t="shared" si="49"/>
        <v>0</v>
      </c>
      <c r="X117" s="1">
        <f t="shared" si="50"/>
        <v>0</v>
      </c>
      <c r="Y117" s="1">
        <f t="shared" si="51"/>
        <v>0</v>
      </c>
      <c r="Z117" s="1">
        <f t="shared" si="52"/>
        <v>0</v>
      </c>
      <c r="AA117" s="1">
        <f t="shared" si="53"/>
        <v>0</v>
      </c>
      <c r="AB117" s="1">
        <f t="shared" si="54"/>
        <v>0</v>
      </c>
      <c r="AD117" s="1">
        <f t="shared" si="55"/>
        <v>0</v>
      </c>
      <c r="AE117" s="1">
        <f t="shared" si="56"/>
        <v>0</v>
      </c>
      <c r="AF117" s="1">
        <f t="shared" si="41"/>
        <v>0</v>
      </c>
      <c r="AG117" s="1">
        <f t="shared" si="42"/>
        <v>0</v>
      </c>
      <c r="AH117" s="1">
        <f t="shared" si="43"/>
        <v>0</v>
      </c>
      <c r="AI117" s="1">
        <f t="shared" si="44"/>
        <v>1</v>
      </c>
    </row>
    <row r="118" spans="1:35" ht="14.25" customHeight="1" x14ac:dyDescent="0.25">
      <c r="A118" s="31">
        <v>0</v>
      </c>
      <c r="B118" s="31">
        <v>1</v>
      </c>
      <c r="C118" s="31">
        <v>3</v>
      </c>
      <c r="D118" s="32" t="s">
        <v>127</v>
      </c>
      <c r="E118" s="32" t="s">
        <v>174</v>
      </c>
      <c r="F118" s="32" t="s">
        <v>327</v>
      </c>
      <c r="G118" s="32" t="s">
        <v>39</v>
      </c>
      <c r="H118" s="32" t="s">
        <v>373</v>
      </c>
      <c r="I118" s="31" t="s">
        <v>474</v>
      </c>
      <c r="J118" s="31">
        <v>12</v>
      </c>
      <c r="K118" s="33" t="s">
        <v>698</v>
      </c>
      <c r="L118" s="33">
        <v>35</v>
      </c>
      <c r="M118" s="34" t="s">
        <v>687</v>
      </c>
      <c r="N118" s="34" t="s">
        <v>1723</v>
      </c>
      <c r="O118" s="35">
        <v>1</v>
      </c>
      <c r="P118" s="35"/>
      <c r="Q118" s="32"/>
      <c r="S118" s="1">
        <f t="shared" si="45"/>
        <v>0</v>
      </c>
      <c r="T118" s="1">
        <f t="shared" si="46"/>
        <v>0</v>
      </c>
      <c r="U118" s="1">
        <f t="shared" si="47"/>
        <v>0</v>
      </c>
      <c r="V118" s="1">
        <f t="shared" si="48"/>
        <v>0</v>
      </c>
      <c r="W118" s="1">
        <f t="shared" si="49"/>
        <v>0</v>
      </c>
      <c r="X118" s="1">
        <f t="shared" si="50"/>
        <v>0</v>
      </c>
      <c r="Y118" s="1">
        <f t="shared" si="51"/>
        <v>0</v>
      </c>
      <c r="Z118" s="1">
        <f t="shared" si="52"/>
        <v>0</v>
      </c>
      <c r="AA118" s="1">
        <f t="shared" si="53"/>
        <v>0</v>
      </c>
      <c r="AB118" s="1">
        <f t="shared" si="54"/>
        <v>0</v>
      </c>
      <c r="AD118" s="1">
        <f t="shared" si="55"/>
        <v>0</v>
      </c>
      <c r="AE118" s="1">
        <f t="shared" si="56"/>
        <v>1</v>
      </c>
      <c r="AF118" s="1">
        <f t="shared" si="41"/>
        <v>0</v>
      </c>
      <c r="AG118" s="1">
        <f t="shared" si="42"/>
        <v>1</v>
      </c>
      <c r="AH118" s="1">
        <f t="shared" si="43"/>
        <v>0</v>
      </c>
      <c r="AI118" s="1">
        <f t="shared" si="44"/>
        <v>1</v>
      </c>
    </row>
    <row r="119" spans="1:35" ht="14.25" customHeight="1" x14ac:dyDescent="0.25">
      <c r="A119" s="31">
        <v>0</v>
      </c>
      <c r="B119" s="31">
        <v>1</v>
      </c>
      <c r="C119" s="31">
        <v>3</v>
      </c>
      <c r="D119" s="32" t="s">
        <v>981</v>
      </c>
      <c r="E119" s="32" t="s">
        <v>169</v>
      </c>
      <c r="F119" s="32" t="s">
        <v>1080</v>
      </c>
      <c r="G119" s="32" t="s">
        <v>231</v>
      </c>
      <c r="H119" s="32" t="s">
        <v>352</v>
      </c>
      <c r="I119" s="31" t="s">
        <v>982</v>
      </c>
      <c r="J119" s="31">
        <v>99</v>
      </c>
      <c r="K119" s="33" t="s">
        <v>943</v>
      </c>
      <c r="L119" s="33">
        <v>40</v>
      </c>
      <c r="M119" s="34" t="s">
        <v>39</v>
      </c>
      <c r="N119" s="34" t="s">
        <v>1920</v>
      </c>
      <c r="O119" s="35">
        <v>1</v>
      </c>
      <c r="P119" s="35"/>
      <c r="Q119" s="32"/>
      <c r="S119" s="1">
        <f t="shared" si="45"/>
        <v>0</v>
      </c>
      <c r="T119" s="1">
        <f t="shared" si="46"/>
        <v>0</v>
      </c>
      <c r="U119" s="1">
        <f t="shared" si="47"/>
        <v>0</v>
      </c>
      <c r="V119" s="1">
        <f t="shared" si="48"/>
        <v>0</v>
      </c>
      <c r="W119" s="1">
        <f t="shared" si="49"/>
        <v>0</v>
      </c>
      <c r="X119" s="1">
        <f t="shared" si="50"/>
        <v>0</v>
      </c>
      <c r="Y119" s="1">
        <f t="shared" si="51"/>
        <v>0</v>
      </c>
      <c r="Z119" s="1">
        <f t="shared" si="52"/>
        <v>0</v>
      </c>
      <c r="AA119" s="1">
        <f t="shared" si="53"/>
        <v>0</v>
      </c>
      <c r="AB119" s="1">
        <f t="shared" si="54"/>
        <v>0</v>
      </c>
      <c r="AD119" s="1">
        <f t="shared" si="55"/>
        <v>0</v>
      </c>
      <c r="AE119" s="1">
        <f t="shared" si="56"/>
        <v>1</v>
      </c>
      <c r="AF119" s="1">
        <f t="shared" si="41"/>
        <v>0</v>
      </c>
      <c r="AG119" s="1">
        <f t="shared" si="42"/>
        <v>1</v>
      </c>
      <c r="AH119" s="1">
        <f t="shared" si="43"/>
        <v>0</v>
      </c>
      <c r="AI119" s="1">
        <f t="shared" si="44"/>
        <v>1</v>
      </c>
    </row>
    <row r="120" spans="1:35" ht="14.25" customHeight="1" x14ac:dyDescent="0.25">
      <c r="A120" s="31">
        <v>0</v>
      </c>
      <c r="B120" s="31">
        <v>1</v>
      </c>
      <c r="C120" s="31">
        <v>3</v>
      </c>
      <c r="D120" s="32" t="s">
        <v>128</v>
      </c>
      <c r="E120" s="32" t="s">
        <v>169</v>
      </c>
      <c r="F120" s="32" t="s">
        <v>328</v>
      </c>
      <c r="G120" s="32" t="s">
        <v>39</v>
      </c>
      <c r="H120" s="32" t="s">
        <v>369</v>
      </c>
      <c r="I120" s="31" t="s">
        <v>475</v>
      </c>
      <c r="J120" s="31">
        <v>11</v>
      </c>
      <c r="K120" s="33" t="s">
        <v>698</v>
      </c>
      <c r="L120" s="33" t="s">
        <v>39</v>
      </c>
      <c r="M120" s="34" t="s">
        <v>39</v>
      </c>
      <c r="N120" s="34" t="s">
        <v>1701</v>
      </c>
      <c r="O120" s="35">
        <v>1</v>
      </c>
      <c r="P120" s="35">
        <v>1</v>
      </c>
      <c r="Q120" s="32" t="s">
        <v>2010</v>
      </c>
      <c r="S120" s="1">
        <f t="shared" si="45"/>
        <v>0</v>
      </c>
      <c r="T120" s="1">
        <f t="shared" si="46"/>
        <v>0</v>
      </c>
      <c r="U120" s="1">
        <f t="shared" si="47"/>
        <v>0</v>
      </c>
      <c r="V120" s="1">
        <f t="shared" si="48"/>
        <v>0</v>
      </c>
      <c r="W120" s="1">
        <f t="shared" si="49"/>
        <v>0</v>
      </c>
      <c r="X120" s="1">
        <f t="shared" si="50"/>
        <v>0</v>
      </c>
      <c r="Y120" s="1">
        <f t="shared" si="51"/>
        <v>0</v>
      </c>
      <c r="Z120" s="1">
        <f t="shared" si="52"/>
        <v>0</v>
      </c>
      <c r="AA120" s="1">
        <f t="shared" si="53"/>
        <v>0</v>
      </c>
      <c r="AB120" s="1">
        <f t="shared" si="54"/>
        <v>0</v>
      </c>
      <c r="AD120" s="1">
        <f t="shared" si="55"/>
        <v>1</v>
      </c>
      <c r="AE120" s="1">
        <f t="shared" si="56"/>
        <v>0</v>
      </c>
      <c r="AF120" s="1">
        <f t="shared" si="41"/>
        <v>1</v>
      </c>
      <c r="AG120" s="1">
        <f t="shared" si="42"/>
        <v>0</v>
      </c>
      <c r="AH120" s="1">
        <f t="shared" si="43"/>
        <v>1</v>
      </c>
      <c r="AI120" s="1">
        <f t="shared" si="44"/>
        <v>0</v>
      </c>
    </row>
    <row r="121" spans="1:35" ht="14.25" customHeight="1" x14ac:dyDescent="0.25">
      <c r="A121" s="31">
        <v>0</v>
      </c>
      <c r="B121" s="31">
        <v>1</v>
      </c>
      <c r="C121" s="31">
        <v>3</v>
      </c>
      <c r="D121" s="32" t="s">
        <v>1300</v>
      </c>
      <c r="E121" s="32" t="s">
        <v>171</v>
      </c>
      <c r="F121" s="32" t="s">
        <v>1323</v>
      </c>
      <c r="G121" s="32" t="s">
        <v>39</v>
      </c>
      <c r="H121" s="32" t="s">
        <v>975</v>
      </c>
      <c r="I121" s="31" t="s">
        <v>976</v>
      </c>
      <c r="J121" s="31">
        <v>14</v>
      </c>
      <c r="K121" s="33" t="s">
        <v>699</v>
      </c>
      <c r="L121" s="33">
        <v>30</v>
      </c>
      <c r="M121" s="34" t="s">
        <v>958</v>
      </c>
      <c r="N121" s="34" t="s">
        <v>1717</v>
      </c>
      <c r="O121" s="35">
        <v>1</v>
      </c>
      <c r="P121" s="35"/>
      <c r="Q121" s="32"/>
      <c r="S121" s="1">
        <f t="shared" si="45"/>
        <v>0</v>
      </c>
      <c r="T121" s="1">
        <f t="shared" si="46"/>
        <v>0</v>
      </c>
      <c r="U121" s="1">
        <f t="shared" si="47"/>
        <v>0</v>
      </c>
      <c r="V121" s="1">
        <f t="shared" si="48"/>
        <v>0</v>
      </c>
      <c r="W121" s="1">
        <f t="shared" si="49"/>
        <v>0</v>
      </c>
      <c r="X121" s="1">
        <f t="shared" si="50"/>
        <v>0</v>
      </c>
      <c r="Y121" s="1">
        <f t="shared" si="51"/>
        <v>0</v>
      </c>
      <c r="Z121" s="1">
        <f t="shared" si="52"/>
        <v>0</v>
      </c>
      <c r="AA121" s="1">
        <f t="shared" si="53"/>
        <v>0</v>
      </c>
      <c r="AB121" s="1">
        <f t="shared" si="54"/>
        <v>0</v>
      </c>
      <c r="AD121" s="1">
        <f t="shared" si="55"/>
        <v>0</v>
      </c>
      <c r="AE121" s="1">
        <f t="shared" si="56"/>
        <v>1</v>
      </c>
      <c r="AF121" s="1">
        <f t="shared" si="41"/>
        <v>0</v>
      </c>
      <c r="AG121" s="1">
        <f t="shared" si="42"/>
        <v>1</v>
      </c>
      <c r="AH121" s="1">
        <f t="shared" si="43"/>
        <v>0</v>
      </c>
      <c r="AI121" s="1">
        <f t="shared" si="44"/>
        <v>1</v>
      </c>
    </row>
    <row r="122" spans="1:35" ht="14.25" customHeight="1" x14ac:dyDescent="0.25">
      <c r="A122" s="31">
        <v>0</v>
      </c>
      <c r="B122" s="31">
        <v>1</v>
      </c>
      <c r="C122" s="31">
        <v>3</v>
      </c>
      <c r="D122" s="32" t="s">
        <v>695</v>
      </c>
      <c r="E122" s="32" t="s">
        <v>174</v>
      </c>
      <c r="F122" s="32" t="s">
        <v>696</v>
      </c>
      <c r="G122" s="32" t="s">
        <v>39</v>
      </c>
      <c r="H122" s="32" t="s">
        <v>697</v>
      </c>
      <c r="I122" s="31" t="s">
        <v>1102</v>
      </c>
      <c r="J122" s="31">
        <v>13</v>
      </c>
      <c r="K122" s="33" t="s">
        <v>698</v>
      </c>
      <c r="L122" s="33" t="s">
        <v>1673</v>
      </c>
      <c r="M122" s="34" t="s">
        <v>957</v>
      </c>
      <c r="N122" s="34" t="s">
        <v>1799</v>
      </c>
      <c r="O122" s="35">
        <v>1</v>
      </c>
      <c r="P122" s="35"/>
      <c r="Q122" s="32"/>
      <c r="S122" s="1">
        <f t="shared" si="45"/>
        <v>0</v>
      </c>
      <c r="T122" s="1">
        <f t="shared" si="46"/>
        <v>0</v>
      </c>
      <c r="U122" s="1">
        <f t="shared" si="47"/>
        <v>0</v>
      </c>
      <c r="V122" s="1">
        <f t="shared" si="48"/>
        <v>0</v>
      </c>
      <c r="W122" s="1">
        <f t="shared" si="49"/>
        <v>0</v>
      </c>
      <c r="X122" s="1">
        <f t="shared" si="50"/>
        <v>0</v>
      </c>
      <c r="Y122" s="1">
        <f t="shared" si="51"/>
        <v>0</v>
      </c>
      <c r="Z122" s="1">
        <f t="shared" si="52"/>
        <v>0</v>
      </c>
      <c r="AA122" s="1">
        <f t="shared" si="53"/>
        <v>0</v>
      </c>
      <c r="AB122" s="1">
        <f t="shared" si="54"/>
        <v>0</v>
      </c>
      <c r="AD122" s="1">
        <f t="shared" si="55"/>
        <v>0</v>
      </c>
      <c r="AE122" s="1">
        <f t="shared" si="56"/>
        <v>1</v>
      </c>
      <c r="AF122" s="1">
        <f t="shared" si="41"/>
        <v>0</v>
      </c>
      <c r="AG122" s="1">
        <f t="shared" si="42"/>
        <v>1</v>
      </c>
      <c r="AH122" s="1">
        <f t="shared" si="43"/>
        <v>0</v>
      </c>
      <c r="AI122" s="1">
        <f t="shared" si="44"/>
        <v>1</v>
      </c>
    </row>
    <row r="123" spans="1:35" ht="14.25" customHeight="1" x14ac:dyDescent="0.25">
      <c r="A123" s="31">
        <v>0</v>
      </c>
      <c r="B123" s="31">
        <v>1</v>
      </c>
      <c r="C123" s="31">
        <v>3</v>
      </c>
      <c r="D123" s="32" t="s">
        <v>1495</v>
      </c>
      <c r="E123" s="32" t="s">
        <v>169</v>
      </c>
      <c r="F123" s="32" t="s">
        <v>1641</v>
      </c>
      <c r="G123" s="32" t="s">
        <v>39</v>
      </c>
      <c r="H123" s="32" t="s">
        <v>1496</v>
      </c>
      <c r="I123" s="31" t="s">
        <v>1497</v>
      </c>
      <c r="J123" s="31">
        <v>11</v>
      </c>
      <c r="K123" s="33" t="s">
        <v>718</v>
      </c>
      <c r="L123" s="33">
        <v>40</v>
      </c>
      <c r="M123" s="34" t="s">
        <v>39</v>
      </c>
      <c r="N123" s="34" t="s">
        <v>1701</v>
      </c>
      <c r="O123" s="35">
        <v>1</v>
      </c>
      <c r="P123" s="35">
        <v>1</v>
      </c>
      <c r="Q123" s="32"/>
      <c r="S123" s="1">
        <f t="shared" si="45"/>
        <v>0</v>
      </c>
      <c r="T123" s="1">
        <f t="shared" si="46"/>
        <v>0</v>
      </c>
      <c r="U123" s="1">
        <f t="shared" si="47"/>
        <v>0</v>
      </c>
      <c r="V123" s="1">
        <f t="shared" si="48"/>
        <v>0</v>
      </c>
      <c r="W123" s="1">
        <f t="shared" si="49"/>
        <v>0</v>
      </c>
      <c r="X123" s="1">
        <f t="shared" si="50"/>
        <v>0</v>
      </c>
      <c r="Y123" s="1">
        <f t="shared" si="51"/>
        <v>0</v>
      </c>
      <c r="Z123" s="1">
        <f t="shared" si="52"/>
        <v>0</v>
      </c>
      <c r="AA123" s="1">
        <f t="shared" si="53"/>
        <v>0</v>
      </c>
      <c r="AB123" s="1">
        <f t="shared" si="54"/>
        <v>0</v>
      </c>
      <c r="AD123" s="1">
        <f t="shared" si="55"/>
        <v>1</v>
      </c>
      <c r="AE123" s="1">
        <f t="shared" si="56"/>
        <v>0</v>
      </c>
      <c r="AF123" s="1">
        <f t="shared" si="41"/>
        <v>1</v>
      </c>
      <c r="AG123" s="1">
        <f t="shared" si="42"/>
        <v>0</v>
      </c>
      <c r="AH123" s="1">
        <f t="shared" si="43"/>
        <v>1</v>
      </c>
      <c r="AI123" s="1">
        <f t="shared" si="44"/>
        <v>0</v>
      </c>
    </row>
    <row r="124" spans="1:35" ht="14.25" customHeight="1" x14ac:dyDescent="0.25">
      <c r="A124" s="15">
        <v>0</v>
      </c>
      <c r="B124" s="15">
        <v>1</v>
      </c>
      <c r="C124" s="15">
        <v>3</v>
      </c>
      <c r="D124" s="16" t="s">
        <v>145</v>
      </c>
      <c r="E124" s="16" t="s">
        <v>171</v>
      </c>
      <c r="F124" s="16" t="s">
        <v>346</v>
      </c>
      <c r="G124" s="16" t="s">
        <v>39</v>
      </c>
      <c r="H124" s="16" t="s">
        <v>365</v>
      </c>
      <c r="I124" s="15" t="s">
        <v>490</v>
      </c>
      <c r="J124" s="15">
        <v>18</v>
      </c>
      <c r="K124" s="10" t="s">
        <v>943</v>
      </c>
      <c r="L124" s="10" t="s">
        <v>693</v>
      </c>
      <c r="M124" s="19" t="s">
        <v>957</v>
      </c>
      <c r="N124" s="17"/>
      <c r="Q124" s="16"/>
      <c r="S124" s="1">
        <f t="shared" si="45"/>
        <v>0</v>
      </c>
      <c r="T124" s="1">
        <f t="shared" si="46"/>
        <v>0</v>
      </c>
      <c r="U124" s="1">
        <f t="shared" si="47"/>
        <v>0</v>
      </c>
      <c r="V124" s="1">
        <f t="shared" si="48"/>
        <v>0</v>
      </c>
      <c r="W124" s="1">
        <f t="shared" si="49"/>
        <v>0</v>
      </c>
      <c r="X124" s="1">
        <f t="shared" si="50"/>
        <v>0</v>
      </c>
      <c r="Y124" s="1">
        <f t="shared" si="51"/>
        <v>0</v>
      </c>
      <c r="Z124" s="1">
        <f t="shared" si="52"/>
        <v>0</v>
      </c>
      <c r="AA124" s="1">
        <f t="shared" si="53"/>
        <v>0</v>
      </c>
      <c r="AB124" s="1">
        <f t="shared" si="54"/>
        <v>0</v>
      </c>
      <c r="AD124" s="1">
        <f t="shared" si="55"/>
        <v>0</v>
      </c>
      <c r="AE124" s="1">
        <f t="shared" si="56"/>
        <v>0</v>
      </c>
      <c r="AF124" s="1">
        <f t="shared" si="41"/>
        <v>0</v>
      </c>
      <c r="AG124" s="1">
        <f t="shared" si="42"/>
        <v>0</v>
      </c>
      <c r="AH124" s="1">
        <f t="shared" si="43"/>
        <v>0</v>
      </c>
      <c r="AI124" s="1">
        <f t="shared" si="44"/>
        <v>1</v>
      </c>
    </row>
    <row r="125" spans="1:35" ht="14.25" customHeight="1" x14ac:dyDescent="0.25">
      <c r="A125" s="15">
        <v>0</v>
      </c>
      <c r="B125" s="15">
        <v>1</v>
      </c>
      <c r="C125" s="15">
        <v>3</v>
      </c>
      <c r="D125" s="20" t="s">
        <v>1951</v>
      </c>
      <c r="E125" s="20" t="s">
        <v>171</v>
      </c>
      <c r="F125" s="20" t="s">
        <v>1948</v>
      </c>
      <c r="G125" s="20"/>
      <c r="H125" s="20" t="s">
        <v>1949</v>
      </c>
      <c r="I125" s="21" t="s">
        <v>1947</v>
      </c>
      <c r="J125" s="15">
        <v>17</v>
      </c>
      <c r="K125" s="10" t="s">
        <v>699</v>
      </c>
      <c r="L125" s="10" t="s">
        <v>1716</v>
      </c>
      <c r="M125" s="19" t="s">
        <v>958</v>
      </c>
      <c r="N125" s="17"/>
      <c r="Q125" s="20" t="s">
        <v>1950</v>
      </c>
      <c r="S125" s="1">
        <f t="shared" si="45"/>
        <v>0</v>
      </c>
      <c r="T125" s="1">
        <f t="shared" si="46"/>
        <v>0</v>
      </c>
      <c r="U125" s="1">
        <f t="shared" si="47"/>
        <v>0</v>
      </c>
      <c r="V125" s="1">
        <f t="shared" si="48"/>
        <v>0</v>
      </c>
      <c r="W125" s="1">
        <f t="shared" si="49"/>
        <v>0</v>
      </c>
      <c r="X125" s="1">
        <f t="shared" si="50"/>
        <v>0</v>
      </c>
      <c r="Y125" s="1">
        <f t="shared" si="51"/>
        <v>0</v>
      </c>
      <c r="Z125" s="1">
        <f t="shared" si="52"/>
        <v>0</v>
      </c>
      <c r="AA125" s="1">
        <f t="shared" si="53"/>
        <v>0</v>
      </c>
      <c r="AB125" s="1">
        <f t="shared" si="54"/>
        <v>0</v>
      </c>
      <c r="AD125" s="1">
        <f t="shared" si="55"/>
        <v>0</v>
      </c>
      <c r="AE125" s="1">
        <f t="shared" si="56"/>
        <v>0</v>
      </c>
      <c r="AF125" s="1">
        <f t="shared" si="41"/>
        <v>0</v>
      </c>
      <c r="AG125" s="1">
        <f t="shared" si="42"/>
        <v>0</v>
      </c>
      <c r="AH125" s="1">
        <f t="shared" si="43"/>
        <v>0</v>
      </c>
      <c r="AI125" s="1">
        <f t="shared" si="44"/>
        <v>1</v>
      </c>
    </row>
    <row r="126" spans="1:35" ht="14.25" customHeight="1" x14ac:dyDescent="0.25">
      <c r="A126" s="44">
        <v>0</v>
      </c>
      <c r="B126" s="44">
        <v>1</v>
      </c>
      <c r="C126" s="44">
        <v>3</v>
      </c>
      <c r="D126" s="45" t="s">
        <v>987</v>
      </c>
      <c r="E126" s="45" t="s">
        <v>171</v>
      </c>
      <c r="F126" s="64" t="s">
        <v>1841</v>
      </c>
      <c r="G126" s="45" t="s">
        <v>39</v>
      </c>
      <c r="H126" s="45" t="s">
        <v>988</v>
      </c>
      <c r="I126" s="44" t="s">
        <v>1103</v>
      </c>
      <c r="J126" s="44">
        <v>16</v>
      </c>
      <c r="K126" s="46" t="s">
        <v>718</v>
      </c>
      <c r="L126" s="46" t="s">
        <v>1716</v>
      </c>
      <c r="M126" s="47" t="s">
        <v>1371</v>
      </c>
      <c r="N126" s="47" t="s">
        <v>1776</v>
      </c>
      <c r="O126" s="48"/>
      <c r="P126" s="48"/>
      <c r="Q126" s="64" t="s">
        <v>1864</v>
      </c>
      <c r="S126" s="1">
        <f t="shared" si="45"/>
        <v>0</v>
      </c>
      <c r="T126" s="1">
        <f t="shared" si="46"/>
        <v>0</v>
      </c>
      <c r="U126" s="1">
        <f t="shared" si="47"/>
        <v>0</v>
      </c>
      <c r="V126" s="1">
        <f t="shared" si="48"/>
        <v>0</v>
      </c>
      <c r="W126" s="1">
        <f t="shared" si="49"/>
        <v>0</v>
      </c>
      <c r="X126" s="1">
        <f t="shared" si="50"/>
        <v>0</v>
      </c>
      <c r="Y126" s="1">
        <f t="shared" si="51"/>
        <v>0</v>
      </c>
      <c r="Z126" s="1">
        <f t="shared" si="52"/>
        <v>0</v>
      </c>
      <c r="AA126" s="1">
        <f t="shared" si="53"/>
        <v>0</v>
      </c>
      <c r="AB126" s="1">
        <f t="shared" si="54"/>
        <v>0</v>
      </c>
      <c r="AD126" s="1">
        <f t="shared" si="55"/>
        <v>0</v>
      </c>
      <c r="AE126" s="1">
        <f t="shared" si="56"/>
        <v>0</v>
      </c>
      <c r="AF126" s="1">
        <f t="shared" si="41"/>
        <v>0</v>
      </c>
      <c r="AG126" s="1">
        <f t="shared" si="42"/>
        <v>0</v>
      </c>
      <c r="AH126" s="1">
        <f t="shared" si="43"/>
        <v>0</v>
      </c>
      <c r="AI126" s="1">
        <f t="shared" si="44"/>
        <v>1</v>
      </c>
    </row>
    <row r="127" spans="1:35" ht="14.25" customHeight="1" x14ac:dyDescent="0.25">
      <c r="A127" s="31">
        <v>0</v>
      </c>
      <c r="B127" s="31">
        <v>1</v>
      </c>
      <c r="C127" s="31">
        <v>3</v>
      </c>
      <c r="D127" s="32" t="s">
        <v>1114</v>
      </c>
      <c r="E127" s="32" t="s">
        <v>171</v>
      </c>
      <c r="F127" s="32" t="s">
        <v>1324</v>
      </c>
      <c r="G127" s="32" t="s">
        <v>39</v>
      </c>
      <c r="H127" s="32" t="s">
        <v>1116</v>
      </c>
      <c r="I127" s="31" t="s">
        <v>1115</v>
      </c>
      <c r="J127" s="31">
        <v>14</v>
      </c>
      <c r="K127" s="33" t="s">
        <v>945</v>
      </c>
      <c r="L127" s="33" t="s">
        <v>1673</v>
      </c>
      <c r="M127" s="34" t="s">
        <v>1372</v>
      </c>
      <c r="N127" s="34" t="s">
        <v>1701</v>
      </c>
      <c r="O127" s="35">
        <v>1</v>
      </c>
      <c r="P127" s="35">
        <v>1</v>
      </c>
      <c r="Q127" s="32" t="s">
        <v>2098</v>
      </c>
      <c r="S127" s="1">
        <f t="shared" si="45"/>
        <v>0</v>
      </c>
      <c r="T127" s="1">
        <f t="shared" si="46"/>
        <v>0</v>
      </c>
      <c r="U127" s="1">
        <f t="shared" si="47"/>
        <v>0</v>
      </c>
      <c r="V127" s="1">
        <f t="shared" si="48"/>
        <v>0</v>
      </c>
      <c r="W127" s="1">
        <f t="shared" si="49"/>
        <v>0</v>
      </c>
      <c r="X127" s="1">
        <f t="shared" si="50"/>
        <v>0</v>
      </c>
      <c r="Y127" s="1">
        <f t="shared" si="51"/>
        <v>0</v>
      </c>
      <c r="Z127" s="1">
        <f t="shared" si="52"/>
        <v>0</v>
      </c>
      <c r="AA127" s="1">
        <f t="shared" si="53"/>
        <v>0</v>
      </c>
      <c r="AB127" s="1">
        <f t="shared" si="54"/>
        <v>0</v>
      </c>
      <c r="AD127" s="1">
        <f t="shared" si="55"/>
        <v>1</v>
      </c>
      <c r="AE127" s="1">
        <f t="shared" si="56"/>
        <v>0</v>
      </c>
      <c r="AF127" s="1">
        <f t="shared" si="41"/>
        <v>1</v>
      </c>
      <c r="AG127" s="1">
        <f t="shared" si="42"/>
        <v>0</v>
      </c>
      <c r="AH127" s="1">
        <f t="shared" si="43"/>
        <v>1</v>
      </c>
      <c r="AI127" s="1">
        <f t="shared" si="44"/>
        <v>0</v>
      </c>
    </row>
    <row r="128" spans="1:35" ht="14.25" customHeight="1" x14ac:dyDescent="0.25">
      <c r="A128" s="31">
        <v>0</v>
      </c>
      <c r="B128" s="31">
        <v>1</v>
      </c>
      <c r="C128" s="31">
        <v>3</v>
      </c>
      <c r="D128" s="32" t="s">
        <v>1065</v>
      </c>
      <c r="E128" s="32" t="s">
        <v>171</v>
      </c>
      <c r="F128" s="32" t="s">
        <v>1027</v>
      </c>
      <c r="G128" s="32" t="s">
        <v>1091</v>
      </c>
      <c r="H128" s="32" t="s">
        <v>352</v>
      </c>
      <c r="I128" s="31" t="s">
        <v>1028</v>
      </c>
      <c r="J128" s="31">
        <v>1</v>
      </c>
      <c r="K128" s="33" t="s">
        <v>945</v>
      </c>
      <c r="L128" s="33" t="s">
        <v>683</v>
      </c>
      <c r="M128" s="34" t="s">
        <v>958</v>
      </c>
      <c r="N128" s="34" t="s">
        <v>1729</v>
      </c>
      <c r="O128" s="35">
        <v>1</v>
      </c>
      <c r="P128" s="35"/>
      <c r="Q128" s="32"/>
      <c r="S128" s="1">
        <f t="shared" si="45"/>
        <v>1</v>
      </c>
      <c r="T128" s="1">
        <f t="shared" si="46"/>
        <v>0</v>
      </c>
      <c r="U128" s="1">
        <f t="shared" si="47"/>
        <v>0</v>
      </c>
      <c r="V128" s="1">
        <f t="shared" si="48"/>
        <v>0</v>
      </c>
      <c r="W128" s="1">
        <f t="shared" si="49"/>
        <v>0</v>
      </c>
      <c r="X128" s="1">
        <f t="shared" si="50"/>
        <v>0</v>
      </c>
      <c r="Y128" s="1">
        <f t="shared" si="51"/>
        <v>0</v>
      </c>
      <c r="Z128" s="1">
        <f t="shared" si="52"/>
        <v>0</v>
      </c>
      <c r="AA128" s="1">
        <f t="shared" si="53"/>
        <v>0</v>
      </c>
      <c r="AB128" s="1">
        <f t="shared" si="54"/>
        <v>0</v>
      </c>
      <c r="AD128" s="1">
        <f t="shared" si="55"/>
        <v>0</v>
      </c>
      <c r="AE128" s="1">
        <f t="shared" si="56"/>
        <v>1</v>
      </c>
      <c r="AF128" s="1">
        <f t="shared" si="41"/>
        <v>0</v>
      </c>
      <c r="AG128" s="1">
        <f t="shared" si="42"/>
        <v>1</v>
      </c>
      <c r="AH128" s="1">
        <f t="shared" si="43"/>
        <v>0</v>
      </c>
      <c r="AI128" s="1">
        <f t="shared" si="44"/>
        <v>1</v>
      </c>
    </row>
    <row r="129" spans="1:35" ht="14.25" customHeight="1" x14ac:dyDescent="0.25">
      <c r="A129" s="31">
        <v>0</v>
      </c>
      <c r="B129" s="31">
        <v>1</v>
      </c>
      <c r="C129" s="31">
        <v>3</v>
      </c>
      <c r="D129" s="36" t="s">
        <v>2068</v>
      </c>
      <c r="E129" s="36" t="s">
        <v>171</v>
      </c>
      <c r="F129" s="36" t="s">
        <v>2069</v>
      </c>
      <c r="G129" s="32"/>
      <c r="H129" s="36" t="s">
        <v>2070</v>
      </c>
      <c r="I129" s="37" t="s">
        <v>2071</v>
      </c>
      <c r="J129" s="31">
        <v>14</v>
      </c>
      <c r="K129" s="33" t="s">
        <v>699</v>
      </c>
      <c r="L129" s="33"/>
      <c r="M129" s="34"/>
      <c r="N129" s="34" t="s">
        <v>1707</v>
      </c>
      <c r="O129" s="35">
        <v>1</v>
      </c>
      <c r="P129" s="35">
        <v>1</v>
      </c>
      <c r="Q129" s="36" t="s">
        <v>2072</v>
      </c>
      <c r="S129" s="1">
        <f t="shared" si="45"/>
        <v>0</v>
      </c>
      <c r="T129" s="1">
        <f t="shared" si="46"/>
        <v>0</v>
      </c>
      <c r="U129" s="1">
        <f t="shared" si="47"/>
        <v>0</v>
      </c>
      <c r="V129" s="1">
        <f t="shared" si="48"/>
        <v>0</v>
      </c>
      <c r="W129" s="1">
        <f t="shared" si="49"/>
        <v>0</v>
      </c>
      <c r="X129" s="1">
        <f t="shared" si="50"/>
        <v>0</v>
      </c>
      <c r="Y129" s="1">
        <f t="shared" si="51"/>
        <v>0</v>
      </c>
      <c r="Z129" s="1">
        <f t="shared" si="52"/>
        <v>0</v>
      </c>
      <c r="AA129" s="1">
        <f t="shared" si="53"/>
        <v>0</v>
      </c>
      <c r="AB129" s="1">
        <f t="shared" si="54"/>
        <v>0</v>
      </c>
      <c r="AD129" s="1">
        <f t="shared" si="55"/>
        <v>1</v>
      </c>
      <c r="AE129" s="1">
        <f t="shared" si="56"/>
        <v>0</v>
      </c>
      <c r="AF129" s="1">
        <f t="shared" si="41"/>
        <v>1</v>
      </c>
      <c r="AG129" s="1">
        <f t="shared" si="42"/>
        <v>0</v>
      </c>
      <c r="AH129" s="1">
        <f t="shared" si="43"/>
        <v>1</v>
      </c>
      <c r="AI129" s="1">
        <f t="shared" si="44"/>
        <v>0</v>
      </c>
    </row>
    <row r="130" spans="1:35" ht="14.25" customHeight="1" x14ac:dyDescent="0.25">
      <c r="A130" s="31">
        <v>0</v>
      </c>
      <c r="B130" s="31">
        <v>1</v>
      </c>
      <c r="C130" s="31">
        <v>3</v>
      </c>
      <c r="D130" s="32" t="s">
        <v>1603</v>
      </c>
      <c r="E130" s="32" t="s">
        <v>1074</v>
      </c>
      <c r="F130" s="32" t="s">
        <v>1604</v>
      </c>
      <c r="G130" s="32" t="s">
        <v>39</v>
      </c>
      <c r="H130" s="32" t="s">
        <v>1605</v>
      </c>
      <c r="I130" s="31" t="s">
        <v>1606</v>
      </c>
      <c r="J130" s="31">
        <v>15</v>
      </c>
      <c r="K130" s="33" t="s">
        <v>945</v>
      </c>
      <c r="L130" s="33" t="s">
        <v>39</v>
      </c>
      <c r="M130" s="34" t="s">
        <v>39</v>
      </c>
      <c r="N130" s="34" t="s">
        <v>1722</v>
      </c>
      <c r="O130" s="35">
        <v>1</v>
      </c>
      <c r="P130" s="35"/>
      <c r="Q130" s="36" t="s">
        <v>1869</v>
      </c>
      <c r="S130" s="1">
        <f t="shared" si="45"/>
        <v>0</v>
      </c>
      <c r="T130" s="1">
        <f t="shared" si="46"/>
        <v>0</v>
      </c>
      <c r="U130" s="1">
        <f t="shared" si="47"/>
        <v>0</v>
      </c>
      <c r="V130" s="1">
        <f t="shared" si="48"/>
        <v>0</v>
      </c>
      <c r="W130" s="1">
        <f t="shared" si="49"/>
        <v>0</v>
      </c>
      <c r="X130" s="1">
        <f t="shared" si="50"/>
        <v>0</v>
      </c>
      <c r="Y130" s="1">
        <f t="shared" si="51"/>
        <v>0</v>
      </c>
      <c r="Z130" s="1">
        <f t="shared" si="52"/>
        <v>0</v>
      </c>
      <c r="AA130" s="1">
        <f t="shared" si="53"/>
        <v>0</v>
      </c>
      <c r="AB130" s="1">
        <f t="shared" si="54"/>
        <v>0</v>
      </c>
      <c r="AD130" s="1">
        <f t="shared" si="55"/>
        <v>0</v>
      </c>
      <c r="AE130" s="1">
        <f t="shared" si="56"/>
        <v>1</v>
      </c>
      <c r="AF130" s="1">
        <f t="shared" si="41"/>
        <v>0</v>
      </c>
      <c r="AG130" s="1">
        <f t="shared" si="42"/>
        <v>1</v>
      </c>
      <c r="AH130" s="1">
        <f t="shared" si="43"/>
        <v>0</v>
      </c>
      <c r="AI130" s="1">
        <f t="shared" si="44"/>
        <v>1</v>
      </c>
    </row>
    <row r="131" spans="1:35" ht="14.25" customHeight="1" x14ac:dyDescent="0.25">
      <c r="A131" s="15">
        <v>0</v>
      </c>
      <c r="B131" s="15">
        <v>1</v>
      </c>
      <c r="C131" s="15">
        <v>3</v>
      </c>
      <c r="D131" s="16" t="s">
        <v>609</v>
      </c>
      <c r="E131" s="16" t="s">
        <v>169</v>
      </c>
      <c r="F131" s="16" t="s">
        <v>610</v>
      </c>
      <c r="G131" s="16" t="s">
        <v>39</v>
      </c>
      <c r="H131" s="16" t="s">
        <v>364</v>
      </c>
      <c r="I131" s="15" t="s">
        <v>611</v>
      </c>
      <c r="J131" s="15">
        <v>18</v>
      </c>
      <c r="K131" s="10" t="s">
        <v>718</v>
      </c>
      <c r="L131" s="10" t="s">
        <v>1716</v>
      </c>
      <c r="M131" s="19" t="s">
        <v>39</v>
      </c>
      <c r="N131" s="17"/>
      <c r="Q131" s="16"/>
      <c r="S131" s="1">
        <f t="shared" si="45"/>
        <v>0</v>
      </c>
      <c r="T131" s="1">
        <f t="shared" si="46"/>
        <v>0</v>
      </c>
      <c r="U131" s="1">
        <f t="shared" si="47"/>
        <v>0</v>
      </c>
      <c r="V131" s="1">
        <f t="shared" si="48"/>
        <v>0</v>
      </c>
      <c r="W131" s="1">
        <f t="shared" si="49"/>
        <v>0</v>
      </c>
      <c r="X131" s="1">
        <f t="shared" si="50"/>
        <v>0</v>
      </c>
      <c r="Y131" s="1">
        <f t="shared" si="51"/>
        <v>0</v>
      </c>
      <c r="Z131" s="1">
        <f t="shared" si="52"/>
        <v>0</v>
      </c>
      <c r="AA131" s="1">
        <f t="shared" si="53"/>
        <v>0</v>
      </c>
      <c r="AB131" s="1">
        <f t="shared" si="54"/>
        <v>0</v>
      </c>
      <c r="AD131" s="1">
        <f t="shared" si="55"/>
        <v>0</v>
      </c>
      <c r="AE131" s="1">
        <f t="shared" si="56"/>
        <v>0</v>
      </c>
      <c r="AF131" s="1">
        <f t="shared" si="41"/>
        <v>0</v>
      </c>
      <c r="AG131" s="1">
        <f t="shared" si="42"/>
        <v>0</v>
      </c>
      <c r="AH131" s="1">
        <f t="shared" si="43"/>
        <v>0</v>
      </c>
      <c r="AI131" s="1">
        <f t="shared" si="44"/>
        <v>1</v>
      </c>
    </row>
    <row r="132" spans="1:35" ht="14.25" customHeight="1" x14ac:dyDescent="0.25">
      <c r="A132" s="15">
        <v>0</v>
      </c>
      <c r="B132" s="15">
        <v>1</v>
      </c>
      <c r="C132" s="15">
        <v>3</v>
      </c>
      <c r="D132" s="20" t="s">
        <v>2075</v>
      </c>
      <c r="E132" s="20" t="s">
        <v>865</v>
      </c>
      <c r="F132" s="20" t="s">
        <v>2076</v>
      </c>
      <c r="G132" s="16"/>
      <c r="H132" s="20" t="s">
        <v>2077</v>
      </c>
      <c r="I132" s="21" t="s">
        <v>2078</v>
      </c>
      <c r="J132" s="15">
        <v>16</v>
      </c>
      <c r="K132" s="10" t="s">
        <v>699</v>
      </c>
      <c r="L132" s="10" t="s">
        <v>684</v>
      </c>
      <c r="M132" s="19" t="s">
        <v>958</v>
      </c>
      <c r="N132" s="17"/>
      <c r="Q132" s="16" t="s">
        <v>2079</v>
      </c>
      <c r="S132" s="1">
        <f t="shared" si="45"/>
        <v>0</v>
      </c>
      <c r="T132" s="1">
        <f t="shared" si="46"/>
        <v>0</v>
      </c>
      <c r="U132" s="1">
        <f t="shared" si="47"/>
        <v>0</v>
      </c>
      <c r="V132" s="1">
        <f t="shared" si="48"/>
        <v>0</v>
      </c>
      <c r="W132" s="1">
        <f t="shared" si="49"/>
        <v>0</v>
      </c>
      <c r="X132" s="1">
        <f t="shared" si="50"/>
        <v>0</v>
      </c>
      <c r="Y132" s="1">
        <f t="shared" si="51"/>
        <v>0</v>
      </c>
      <c r="Z132" s="1">
        <f t="shared" si="52"/>
        <v>0</v>
      </c>
      <c r="AA132" s="1">
        <f t="shared" si="53"/>
        <v>0</v>
      </c>
      <c r="AB132" s="1">
        <f t="shared" si="54"/>
        <v>0</v>
      </c>
      <c r="AD132" s="1">
        <f t="shared" si="55"/>
        <v>0</v>
      </c>
      <c r="AE132" s="1">
        <f t="shared" si="56"/>
        <v>0</v>
      </c>
      <c r="AF132" s="1">
        <f t="shared" si="41"/>
        <v>0</v>
      </c>
      <c r="AG132" s="1">
        <f t="shared" si="42"/>
        <v>0</v>
      </c>
      <c r="AH132" s="1">
        <f t="shared" si="43"/>
        <v>0</v>
      </c>
      <c r="AI132" s="1">
        <f t="shared" si="44"/>
        <v>1</v>
      </c>
    </row>
    <row r="133" spans="1:35" ht="14.25" customHeight="1" x14ac:dyDescent="0.25">
      <c r="A133" s="15">
        <v>0</v>
      </c>
      <c r="B133" s="15">
        <v>1</v>
      </c>
      <c r="C133" s="15">
        <v>3</v>
      </c>
      <c r="D133" s="20" t="s">
        <v>1924</v>
      </c>
      <c r="E133" s="20" t="s">
        <v>171</v>
      </c>
      <c r="F133" s="20" t="s">
        <v>1944</v>
      </c>
      <c r="G133" s="20"/>
      <c r="H133" s="20" t="s">
        <v>1943</v>
      </c>
      <c r="I133" s="21" t="s">
        <v>1945</v>
      </c>
      <c r="J133" s="15">
        <v>15</v>
      </c>
      <c r="K133" s="10" t="s">
        <v>699</v>
      </c>
      <c r="L133" s="10" t="s">
        <v>1716</v>
      </c>
      <c r="M133" s="19" t="s">
        <v>958</v>
      </c>
      <c r="N133" s="17"/>
      <c r="Q133" s="20" t="s">
        <v>1946</v>
      </c>
      <c r="S133" s="1">
        <f t="shared" si="45"/>
        <v>0</v>
      </c>
      <c r="T133" s="1">
        <f t="shared" si="46"/>
        <v>0</v>
      </c>
      <c r="U133" s="1">
        <f t="shared" si="47"/>
        <v>0</v>
      </c>
      <c r="V133" s="1">
        <f t="shared" si="48"/>
        <v>0</v>
      </c>
      <c r="W133" s="1">
        <f t="shared" si="49"/>
        <v>0</v>
      </c>
      <c r="X133" s="1">
        <f t="shared" si="50"/>
        <v>0</v>
      </c>
      <c r="Y133" s="1">
        <f t="shared" si="51"/>
        <v>0</v>
      </c>
      <c r="Z133" s="1">
        <f t="shared" si="52"/>
        <v>0</v>
      </c>
      <c r="AA133" s="1">
        <f t="shared" si="53"/>
        <v>0</v>
      </c>
      <c r="AB133" s="1">
        <f t="shared" si="54"/>
        <v>0</v>
      </c>
      <c r="AD133" s="1">
        <f t="shared" si="55"/>
        <v>0</v>
      </c>
      <c r="AE133" s="1">
        <f t="shared" si="56"/>
        <v>0</v>
      </c>
      <c r="AF133" s="1">
        <f t="shared" si="41"/>
        <v>0</v>
      </c>
      <c r="AG133" s="1">
        <f t="shared" si="42"/>
        <v>0</v>
      </c>
      <c r="AH133" s="1">
        <f t="shared" si="43"/>
        <v>0</v>
      </c>
      <c r="AI133" s="1">
        <f t="shared" si="44"/>
        <v>1</v>
      </c>
    </row>
    <row r="134" spans="1:35" ht="14.25" customHeight="1" x14ac:dyDescent="0.25">
      <c r="A134" s="31">
        <v>0</v>
      </c>
      <c r="B134" s="31">
        <v>1</v>
      </c>
      <c r="C134" s="31">
        <v>3</v>
      </c>
      <c r="D134" s="32" t="s">
        <v>909</v>
      </c>
      <c r="E134" s="32" t="s">
        <v>171</v>
      </c>
      <c r="F134" s="32" t="s">
        <v>1141</v>
      </c>
      <c r="G134" s="32" t="s">
        <v>39</v>
      </c>
      <c r="H134" s="32" t="s">
        <v>361</v>
      </c>
      <c r="I134" s="31" t="s">
        <v>880</v>
      </c>
      <c r="J134" s="31">
        <v>14</v>
      </c>
      <c r="K134" s="33" t="s">
        <v>944</v>
      </c>
      <c r="L134" s="33" t="s">
        <v>39</v>
      </c>
      <c r="M134" s="34" t="s">
        <v>39</v>
      </c>
      <c r="N134" s="34" t="s">
        <v>1707</v>
      </c>
      <c r="O134" s="35">
        <v>1</v>
      </c>
      <c r="P134" s="35">
        <v>1</v>
      </c>
      <c r="Q134" s="36"/>
      <c r="S134" s="1">
        <f t="shared" si="45"/>
        <v>0</v>
      </c>
      <c r="T134" s="1">
        <f t="shared" si="46"/>
        <v>0</v>
      </c>
      <c r="U134" s="1">
        <f t="shared" si="47"/>
        <v>0</v>
      </c>
      <c r="V134" s="1">
        <f t="shared" si="48"/>
        <v>0</v>
      </c>
      <c r="W134" s="1">
        <f t="shared" si="49"/>
        <v>0</v>
      </c>
      <c r="X134" s="1">
        <f t="shared" si="50"/>
        <v>0</v>
      </c>
      <c r="Y134" s="1">
        <f t="shared" si="51"/>
        <v>0</v>
      </c>
      <c r="Z134" s="1">
        <f t="shared" si="52"/>
        <v>0</v>
      </c>
      <c r="AA134" s="1">
        <f t="shared" si="53"/>
        <v>0</v>
      </c>
      <c r="AB134" s="1">
        <f t="shared" si="54"/>
        <v>0</v>
      </c>
      <c r="AD134" s="1">
        <f t="shared" si="55"/>
        <v>1</v>
      </c>
      <c r="AE134" s="1">
        <f t="shared" si="56"/>
        <v>0</v>
      </c>
      <c r="AF134" s="1">
        <f t="shared" si="41"/>
        <v>1</v>
      </c>
      <c r="AG134" s="1">
        <f t="shared" si="42"/>
        <v>0</v>
      </c>
      <c r="AH134" s="1">
        <f t="shared" si="43"/>
        <v>1</v>
      </c>
      <c r="AI134" s="1">
        <f t="shared" si="44"/>
        <v>0</v>
      </c>
    </row>
    <row r="135" spans="1:35" ht="14.25" customHeight="1" x14ac:dyDescent="0.25">
      <c r="A135" s="44">
        <v>0</v>
      </c>
      <c r="B135" s="44">
        <v>1</v>
      </c>
      <c r="C135" s="44">
        <v>3</v>
      </c>
      <c r="D135" s="45" t="s">
        <v>104</v>
      </c>
      <c r="E135" s="45" t="s">
        <v>171</v>
      </c>
      <c r="F135" s="45" t="s">
        <v>920</v>
      </c>
      <c r="G135" s="45" t="s">
        <v>39</v>
      </c>
      <c r="H135" s="45" t="s">
        <v>356</v>
      </c>
      <c r="I135" s="44" t="s">
        <v>449</v>
      </c>
      <c r="J135" s="44">
        <v>18</v>
      </c>
      <c r="K135" s="46" t="s">
        <v>943</v>
      </c>
      <c r="L135" s="46" t="s">
        <v>693</v>
      </c>
      <c r="M135" s="47" t="s">
        <v>687</v>
      </c>
      <c r="N135" s="47" t="s">
        <v>1709</v>
      </c>
      <c r="O135" s="48"/>
      <c r="P135" s="48"/>
      <c r="Q135" s="45" t="s">
        <v>1862</v>
      </c>
      <c r="S135" s="1">
        <f t="shared" si="45"/>
        <v>0</v>
      </c>
      <c r="T135" s="1">
        <f t="shared" si="46"/>
        <v>0</v>
      </c>
      <c r="U135" s="1">
        <f t="shared" si="47"/>
        <v>0</v>
      </c>
      <c r="V135" s="1">
        <f t="shared" si="48"/>
        <v>0</v>
      </c>
      <c r="W135" s="1">
        <f t="shared" si="49"/>
        <v>0</v>
      </c>
      <c r="X135" s="1">
        <f t="shared" si="50"/>
        <v>0</v>
      </c>
      <c r="Y135" s="1">
        <f t="shared" si="51"/>
        <v>0</v>
      </c>
      <c r="Z135" s="1">
        <f t="shared" si="52"/>
        <v>0</v>
      </c>
      <c r="AA135" s="1">
        <f t="shared" si="53"/>
        <v>0</v>
      </c>
      <c r="AB135" s="1">
        <f t="shared" si="54"/>
        <v>0</v>
      </c>
      <c r="AD135" s="1">
        <f t="shared" si="55"/>
        <v>0</v>
      </c>
      <c r="AE135" s="1">
        <f t="shared" si="56"/>
        <v>0</v>
      </c>
      <c r="AF135" s="1">
        <f t="shared" si="41"/>
        <v>0</v>
      </c>
      <c r="AG135" s="1">
        <f t="shared" si="42"/>
        <v>0</v>
      </c>
      <c r="AH135" s="1">
        <f t="shared" si="43"/>
        <v>0</v>
      </c>
      <c r="AI135" s="1">
        <f t="shared" si="44"/>
        <v>1</v>
      </c>
    </row>
    <row r="136" spans="1:35" ht="14.25" customHeight="1" x14ac:dyDescent="0.25">
      <c r="A136" s="31">
        <v>0</v>
      </c>
      <c r="B136" s="31">
        <v>1</v>
      </c>
      <c r="C136" s="31">
        <v>3</v>
      </c>
      <c r="D136" s="32" t="s">
        <v>1483</v>
      </c>
      <c r="E136" s="32" t="s">
        <v>1626</v>
      </c>
      <c r="F136" s="32" t="s">
        <v>1485</v>
      </c>
      <c r="G136" s="32" t="s">
        <v>39</v>
      </c>
      <c r="H136" s="32" t="s">
        <v>1486</v>
      </c>
      <c r="I136" s="31" t="s">
        <v>1484</v>
      </c>
      <c r="J136" s="31">
        <v>14</v>
      </c>
      <c r="K136" s="33" t="s">
        <v>949</v>
      </c>
      <c r="L136" s="33" t="s">
        <v>683</v>
      </c>
      <c r="M136" s="34" t="s">
        <v>1373</v>
      </c>
      <c r="N136" s="34" t="s">
        <v>1701</v>
      </c>
      <c r="O136" s="35">
        <v>1</v>
      </c>
      <c r="P136" s="35">
        <v>1</v>
      </c>
      <c r="Q136" s="36"/>
      <c r="S136" s="1">
        <f t="shared" si="45"/>
        <v>0</v>
      </c>
      <c r="T136" s="1">
        <f t="shared" si="46"/>
        <v>0</v>
      </c>
      <c r="U136" s="1">
        <f t="shared" si="47"/>
        <v>0</v>
      </c>
      <c r="V136" s="1">
        <f t="shared" si="48"/>
        <v>0</v>
      </c>
      <c r="W136" s="1">
        <f t="shared" si="49"/>
        <v>0</v>
      </c>
      <c r="X136" s="1">
        <f t="shared" si="50"/>
        <v>0</v>
      </c>
      <c r="Y136" s="1">
        <f t="shared" si="51"/>
        <v>0</v>
      </c>
      <c r="Z136" s="1">
        <f t="shared" si="52"/>
        <v>0</v>
      </c>
      <c r="AA136" s="1">
        <f t="shared" si="53"/>
        <v>0</v>
      </c>
      <c r="AB136" s="1">
        <f t="shared" si="54"/>
        <v>0</v>
      </c>
      <c r="AD136" s="1">
        <f t="shared" si="55"/>
        <v>1</v>
      </c>
      <c r="AE136" s="1">
        <f t="shared" si="56"/>
        <v>0</v>
      </c>
      <c r="AF136" s="1">
        <f t="shared" si="41"/>
        <v>1</v>
      </c>
      <c r="AG136" s="1">
        <f t="shared" si="42"/>
        <v>0</v>
      </c>
      <c r="AH136" s="1">
        <f t="shared" si="43"/>
        <v>1</v>
      </c>
      <c r="AI136" s="1">
        <f t="shared" si="44"/>
        <v>0</v>
      </c>
    </row>
    <row r="137" spans="1:35" ht="14.25" customHeight="1" x14ac:dyDescent="0.25">
      <c r="A137" s="31">
        <v>0</v>
      </c>
      <c r="B137" s="31">
        <v>1</v>
      </c>
      <c r="C137" s="31">
        <v>3</v>
      </c>
      <c r="D137" s="32" t="s">
        <v>1237</v>
      </c>
      <c r="E137" s="32" t="s">
        <v>171</v>
      </c>
      <c r="F137" s="32" t="s">
        <v>1238</v>
      </c>
      <c r="G137" s="32" t="s">
        <v>1240</v>
      </c>
      <c r="H137" s="32" t="s">
        <v>352</v>
      </c>
      <c r="I137" s="31" t="s">
        <v>1239</v>
      </c>
      <c r="J137" s="31">
        <v>99</v>
      </c>
      <c r="K137" s="33" t="s">
        <v>945</v>
      </c>
      <c r="L137" s="33" t="s">
        <v>689</v>
      </c>
      <c r="M137" s="34" t="s">
        <v>958</v>
      </c>
      <c r="N137" s="34" t="s">
        <v>1799</v>
      </c>
      <c r="O137" s="35">
        <v>1</v>
      </c>
      <c r="P137" s="35"/>
      <c r="Q137" s="36"/>
      <c r="S137" s="1">
        <f t="shared" si="45"/>
        <v>0</v>
      </c>
      <c r="T137" s="1">
        <f t="shared" si="46"/>
        <v>0</v>
      </c>
      <c r="U137" s="1">
        <f t="shared" si="47"/>
        <v>0</v>
      </c>
      <c r="V137" s="1">
        <f t="shared" si="48"/>
        <v>0</v>
      </c>
      <c r="W137" s="1">
        <f t="shared" si="49"/>
        <v>0</v>
      </c>
      <c r="X137" s="1">
        <f t="shared" si="50"/>
        <v>0</v>
      </c>
      <c r="Y137" s="1">
        <f t="shared" si="51"/>
        <v>0</v>
      </c>
      <c r="Z137" s="1">
        <f t="shared" si="52"/>
        <v>0</v>
      </c>
      <c r="AA137" s="1">
        <f t="shared" si="53"/>
        <v>0</v>
      </c>
      <c r="AB137" s="1">
        <f t="shared" si="54"/>
        <v>0</v>
      </c>
      <c r="AD137" s="1">
        <f t="shared" si="55"/>
        <v>0</v>
      </c>
      <c r="AE137" s="1">
        <f t="shared" si="56"/>
        <v>1</v>
      </c>
      <c r="AF137" s="1">
        <f t="shared" si="41"/>
        <v>0</v>
      </c>
      <c r="AG137" s="1">
        <f t="shared" si="42"/>
        <v>1</v>
      </c>
      <c r="AH137" s="1">
        <f t="shared" si="43"/>
        <v>0</v>
      </c>
      <c r="AI137" s="1">
        <f t="shared" si="44"/>
        <v>1</v>
      </c>
    </row>
    <row r="138" spans="1:35" ht="14.25" customHeight="1" x14ac:dyDescent="0.25">
      <c r="A138" s="31">
        <v>0</v>
      </c>
      <c r="B138" s="31">
        <v>1</v>
      </c>
      <c r="C138" s="31">
        <v>3</v>
      </c>
      <c r="D138" s="32" t="s">
        <v>1477</v>
      </c>
      <c r="E138" s="32" t="s">
        <v>171</v>
      </c>
      <c r="F138" s="32" t="s">
        <v>1478</v>
      </c>
      <c r="G138" s="32" t="s">
        <v>39</v>
      </c>
      <c r="H138" s="32" t="s">
        <v>363</v>
      </c>
      <c r="I138" s="31" t="s">
        <v>1479</v>
      </c>
      <c r="J138" s="31">
        <v>18</v>
      </c>
      <c r="K138" s="33" t="s">
        <v>943</v>
      </c>
      <c r="L138" s="33" t="s">
        <v>1716</v>
      </c>
      <c r="M138" s="34" t="s">
        <v>39</v>
      </c>
      <c r="N138" s="34" t="s">
        <v>1722</v>
      </c>
      <c r="O138" s="35">
        <v>1</v>
      </c>
      <c r="P138" s="35"/>
      <c r="Q138" s="32"/>
      <c r="S138" s="1">
        <f t="shared" si="45"/>
        <v>0</v>
      </c>
      <c r="T138" s="1">
        <f t="shared" si="46"/>
        <v>0</v>
      </c>
      <c r="U138" s="1">
        <f t="shared" si="47"/>
        <v>0</v>
      </c>
      <c r="V138" s="1">
        <f t="shared" si="48"/>
        <v>0</v>
      </c>
      <c r="W138" s="1">
        <f t="shared" si="49"/>
        <v>0</v>
      </c>
      <c r="X138" s="1">
        <f t="shared" si="50"/>
        <v>0</v>
      </c>
      <c r="Y138" s="1">
        <f t="shared" si="51"/>
        <v>0</v>
      </c>
      <c r="Z138" s="1">
        <f t="shared" si="52"/>
        <v>0</v>
      </c>
      <c r="AA138" s="1">
        <f t="shared" si="53"/>
        <v>0</v>
      </c>
      <c r="AB138" s="1">
        <f t="shared" si="54"/>
        <v>0</v>
      </c>
      <c r="AD138" s="1">
        <f t="shared" si="55"/>
        <v>0</v>
      </c>
      <c r="AE138" s="1">
        <f t="shared" si="56"/>
        <v>1</v>
      </c>
      <c r="AF138" s="1">
        <f t="shared" si="41"/>
        <v>0</v>
      </c>
      <c r="AG138" s="1">
        <f t="shared" si="42"/>
        <v>1</v>
      </c>
      <c r="AH138" s="1">
        <f t="shared" si="43"/>
        <v>0</v>
      </c>
      <c r="AI138" s="1">
        <f t="shared" si="44"/>
        <v>1</v>
      </c>
    </row>
    <row r="139" spans="1:35" ht="14.25" customHeight="1" x14ac:dyDescent="0.25">
      <c r="A139" s="15">
        <v>0</v>
      </c>
      <c r="B139" s="15">
        <v>1</v>
      </c>
      <c r="C139" s="15">
        <v>3</v>
      </c>
      <c r="D139" s="16" t="s">
        <v>1597</v>
      </c>
      <c r="E139" s="16" t="s">
        <v>171</v>
      </c>
      <c r="F139" s="16" t="s">
        <v>1600</v>
      </c>
      <c r="G139" s="16" t="s">
        <v>39</v>
      </c>
      <c r="H139" s="16" t="s">
        <v>1598</v>
      </c>
      <c r="I139" s="15" t="s">
        <v>1599</v>
      </c>
      <c r="J139" s="15">
        <v>15</v>
      </c>
      <c r="K139" s="10" t="s">
        <v>718</v>
      </c>
      <c r="L139" s="10" t="s">
        <v>39</v>
      </c>
      <c r="M139" s="19" t="s">
        <v>39</v>
      </c>
      <c r="N139" s="17"/>
      <c r="Q139" s="16"/>
      <c r="S139" s="1">
        <f t="shared" si="45"/>
        <v>0</v>
      </c>
      <c r="T139" s="1">
        <f t="shared" si="46"/>
        <v>0</v>
      </c>
      <c r="U139" s="1">
        <f t="shared" si="47"/>
        <v>0</v>
      </c>
      <c r="V139" s="1">
        <f t="shared" si="48"/>
        <v>0</v>
      </c>
      <c r="W139" s="1">
        <f t="shared" si="49"/>
        <v>0</v>
      </c>
      <c r="X139" s="1">
        <f t="shared" si="50"/>
        <v>0</v>
      </c>
      <c r="Y139" s="1">
        <f t="shared" si="51"/>
        <v>0</v>
      </c>
      <c r="Z139" s="1">
        <f t="shared" si="52"/>
        <v>0</v>
      </c>
      <c r="AA139" s="1">
        <f t="shared" si="53"/>
        <v>0</v>
      </c>
      <c r="AB139" s="1">
        <f t="shared" si="54"/>
        <v>0</v>
      </c>
      <c r="AD139" s="1">
        <f t="shared" si="55"/>
        <v>0</v>
      </c>
      <c r="AE139" s="1">
        <f t="shared" si="56"/>
        <v>0</v>
      </c>
      <c r="AF139" s="1">
        <f t="shared" si="41"/>
        <v>0</v>
      </c>
      <c r="AG139" s="1">
        <f t="shared" si="42"/>
        <v>0</v>
      </c>
      <c r="AH139" s="1">
        <f t="shared" si="43"/>
        <v>0</v>
      </c>
      <c r="AI139" s="1">
        <f t="shared" si="44"/>
        <v>1</v>
      </c>
    </row>
    <row r="140" spans="1:35" ht="14.25" customHeight="1" x14ac:dyDescent="0.25">
      <c r="A140" s="31">
        <v>0</v>
      </c>
      <c r="B140" s="31">
        <v>1</v>
      </c>
      <c r="C140" s="31">
        <v>3</v>
      </c>
      <c r="D140" s="32" t="s">
        <v>1225</v>
      </c>
      <c r="E140" s="32" t="s">
        <v>1227</v>
      </c>
      <c r="F140" s="32" t="s">
        <v>1228</v>
      </c>
      <c r="G140" s="32" t="s">
        <v>39</v>
      </c>
      <c r="H140" s="32" t="s">
        <v>367</v>
      </c>
      <c r="I140" s="31" t="s">
        <v>1226</v>
      </c>
      <c r="J140" s="31">
        <v>14</v>
      </c>
      <c r="K140" s="33" t="s">
        <v>945</v>
      </c>
      <c r="L140" s="33" t="s">
        <v>683</v>
      </c>
      <c r="M140" s="34" t="s">
        <v>1373</v>
      </c>
      <c r="N140" s="34" t="s">
        <v>1707</v>
      </c>
      <c r="O140" s="35">
        <v>1</v>
      </c>
      <c r="P140" s="35">
        <v>1</v>
      </c>
      <c r="Q140" s="32"/>
      <c r="S140" s="1">
        <f t="shared" si="45"/>
        <v>0</v>
      </c>
      <c r="T140" s="1">
        <f t="shared" si="46"/>
        <v>0</v>
      </c>
      <c r="U140" s="1">
        <f t="shared" si="47"/>
        <v>0</v>
      </c>
      <c r="V140" s="1">
        <f t="shared" si="48"/>
        <v>0</v>
      </c>
      <c r="W140" s="1">
        <f t="shared" si="49"/>
        <v>0</v>
      </c>
      <c r="X140" s="1">
        <f t="shared" si="50"/>
        <v>0</v>
      </c>
      <c r="Y140" s="1">
        <f t="shared" si="51"/>
        <v>0</v>
      </c>
      <c r="Z140" s="1">
        <f t="shared" si="52"/>
        <v>0</v>
      </c>
      <c r="AA140" s="1">
        <f t="shared" si="53"/>
        <v>0</v>
      </c>
      <c r="AB140" s="1">
        <f t="shared" si="54"/>
        <v>0</v>
      </c>
      <c r="AD140" s="1">
        <f t="shared" si="55"/>
        <v>1</v>
      </c>
      <c r="AE140" s="1">
        <f t="shared" si="56"/>
        <v>0</v>
      </c>
      <c r="AF140" s="1">
        <f t="shared" si="41"/>
        <v>1</v>
      </c>
      <c r="AG140" s="1">
        <f t="shared" si="42"/>
        <v>0</v>
      </c>
      <c r="AH140" s="1">
        <f t="shared" si="43"/>
        <v>1</v>
      </c>
      <c r="AI140" s="1">
        <f t="shared" si="44"/>
        <v>0</v>
      </c>
    </row>
    <row r="141" spans="1:35" ht="14.25" customHeight="1" x14ac:dyDescent="0.25">
      <c r="A141" s="31">
        <v>0</v>
      </c>
      <c r="B141" s="31">
        <v>1</v>
      </c>
      <c r="C141" s="31">
        <v>3</v>
      </c>
      <c r="D141" s="32" t="s">
        <v>129</v>
      </c>
      <c r="E141" s="32" t="s">
        <v>175</v>
      </c>
      <c r="F141" s="32" t="s">
        <v>329</v>
      </c>
      <c r="G141" s="32" t="s">
        <v>181</v>
      </c>
      <c r="H141" s="32" t="s">
        <v>352</v>
      </c>
      <c r="I141" s="31" t="s">
        <v>476</v>
      </c>
      <c r="J141" s="31">
        <v>99</v>
      </c>
      <c r="K141" s="33" t="s">
        <v>944</v>
      </c>
      <c r="L141" s="33" t="s">
        <v>39</v>
      </c>
      <c r="M141" s="34" t="s">
        <v>39</v>
      </c>
      <c r="N141" s="34" t="s">
        <v>1707</v>
      </c>
      <c r="O141" s="35">
        <v>1</v>
      </c>
      <c r="P141" s="35">
        <v>1</v>
      </c>
      <c r="Q141" s="32"/>
      <c r="S141" s="1">
        <f t="shared" si="45"/>
        <v>0</v>
      </c>
      <c r="T141" s="1">
        <f t="shared" si="46"/>
        <v>0</v>
      </c>
      <c r="U141" s="1">
        <f t="shared" si="47"/>
        <v>0</v>
      </c>
      <c r="V141" s="1">
        <f t="shared" si="48"/>
        <v>0</v>
      </c>
      <c r="W141" s="1">
        <f t="shared" si="49"/>
        <v>0</v>
      </c>
      <c r="X141" s="1">
        <f t="shared" si="50"/>
        <v>0</v>
      </c>
      <c r="Y141" s="1">
        <f t="shared" si="51"/>
        <v>0</v>
      </c>
      <c r="Z141" s="1">
        <f t="shared" si="52"/>
        <v>0</v>
      </c>
      <c r="AA141" s="1">
        <f t="shared" si="53"/>
        <v>0</v>
      </c>
      <c r="AB141" s="1">
        <f t="shared" si="54"/>
        <v>0</v>
      </c>
      <c r="AD141" s="1">
        <f t="shared" si="55"/>
        <v>1</v>
      </c>
      <c r="AE141" s="1">
        <f t="shared" si="56"/>
        <v>0</v>
      </c>
      <c r="AF141" s="1">
        <f t="shared" si="41"/>
        <v>1</v>
      </c>
      <c r="AG141" s="1">
        <f t="shared" si="42"/>
        <v>0</v>
      </c>
      <c r="AH141" s="1">
        <f t="shared" si="43"/>
        <v>1</v>
      </c>
      <c r="AI141" s="1">
        <f t="shared" si="44"/>
        <v>0</v>
      </c>
    </row>
    <row r="142" spans="1:35" ht="14.25" customHeight="1" x14ac:dyDescent="0.25">
      <c r="A142" s="31">
        <v>0</v>
      </c>
      <c r="B142" s="31">
        <v>1</v>
      </c>
      <c r="C142" s="31">
        <v>3</v>
      </c>
      <c r="D142" s="32" t="s">
        <v>910</v>
      </c>
      <c r="E142" s="32" t="s">
        <v>171</v>
      </c>
      <c r="F142" s="32" t="s">
        <v>922</v>
      </c>
      <c r="G142" s="32" t="s">
        <v>234</v>
      </c>
      <c r="H142" s="32" t="s">
        <v>352</v>
      </c>
      <c r="I142" s="31" t="s">
        <v>935</v>
      </c>
      <c r="J142" s="31">
        <v>99</v>
      </c>
      <c r="K142" s="33" t="s">
        <v>718</v>
      </c>
      <c r="L142" s="33">
        <v>45</v>
      </c>
      <c r="M142" s="34" t="s">
        <v>39</v>
      </c>
      <c r="N142" s="34" t="s">
        <v>1775</v>
      </c>
      <c r="O142" s="35">
        <v>1</v>
      </c>
      <c r="P142" s="35"/>
      <c r="Q142" s="32"/>
      <c r="S142" s="1">
        <f t="shared" si="45"/>
        <v>0</v>
      </c>
      <c r="T142" s="1">
        <f t="shared" si="46"/>
        <v>0</v>
      </c>
      <c r="U142" s="1">
        <f t="shared" si="47"/>
        <v>0</v>
      </c>
      <c r="V142" s="1">
        <f t="shared" si="48"/>
        <v>0</v>
      </c>
      <c r="W142" s="1">
        <f t="shared" si="49"/>
        <v>0</v>
      </c>
      <c r="X142" s="1">
        <f t="shared" si="50"/>
        <v>0</v>
      </c>
      <c r="Y142" s="1">
        <f t="shared" si="51"/>
        <v>0</v>
      </c>
      <c r="Z142" s="1">
        <f t="shared" si="52"/>
        <v>0</v>
      </c>
      <c r="AA142" s="1">
        <f t="shared" si="53"/>
        <v>0</v>
      </c>
      <c r="AB142" s="1">
        <f t="shared" si="54"/>
        <v>0</v>
      </c>
      <c r="AD142" s="1">
        <f t="shared" si="55"/>
        <v>0</v>
      </c>
      <c r="AE142" s="1">
        <f t="shared" si="56"/>
        <v>1</v>
      </c>
      <c r="AF142" s="1">
        <f t="shared" si="41"/>
        <v>0</v>
      </c>
      <c r="AG142" s="1">
        <f t="shared" si="42"/>
        <v>1</v>
      </c>
      <c r="AH142" s="1">
        <f t="shared" si="43"/>
        <v>0</v>
      </c>
      <c r="AI142" s="1">
        <f t="shared" si="44"/>
        <v>1</v>
      </c>
    </row>
    <row r="143" spans="1:35" ht="14.25" customHeight="1" x14ac:dyDescent="0.25">
      <c r="A143" s="44">
        <v>0</v>
      </c>
      <c r="B143" s="44">
        <v>1</v>
      </c>
      <c r="C143" s="44">
        <v>3</v>
      </c>
      <c r="D143" s="45" t="s">
        <v>78</v>
      </c>
      <c r="E143" s="45" t="s">
        <v>606</v>
      </c>
      <c r="F143" s="45" t="s">
        <v>306</v>
      </c>
      <c r="G143" s="45" t="s">
        <v>39</v>
      </c>
      <c r="H143" s="45" t="s">
        <v>360</v>
      </c>
      <c r="I143" s="44" t="s">
        <v>454</v>
      </c>
      <c r="J143" s="44">
        <v>12</v>
      </c>
      <c r="K143" s="46" t="s">
        <v>699</v>
      </c>
      <c r="L143" s="46">
        <v>40</v>
      </c>
      <c r="M143" s="47" t="s">
        <v>958</v>
      </c>
      <c r="N143" s="47" t="s">
        <v>1776</v>
      </c>
      <c r="O143" s="48"/>
      <c r="P143" s="48"/>
      <c r="Q143" s="45"/>
      <c r="S143" s="1">
        <f t="shared" si="45"/>
        <v>0</v>
      </c>
      <c r="T143" s="1">
        <f t="shared" si="46"/>
        <v>0</v>
      </c>
      <c r="U143" s="1">
        <f t="shared" si="47"/>
        <v>0</v>
      </c>
      <c r="V143" s="1">
        <f t="shared" si="48"/>
        <v>0</v>
      </c>
      <c r="W143" s="1">
        <f t="shared" si="49"/>
        <v>0</v>
      </c>
      <c r="X143" s="1">
        <f t="shared" si="50"/>
        <v>0</v>
      </c>
      <c r="Y143" s="1">
        <f t="shared" si="51"/>
        <v>0</v>
      </c>
      <c r="Z143" s="1">
        <f t="shared" si="52"/>
        <v>0</v>
      </c>
      <c r="AA143" s="1">
        <f t="shared" si="53"/>
        <v>0</v>
      </c>
      <c r="AB143" s="1">
        <f t="shared" si="54"/>
        <v>0</v>
      </c>
      <c r="AD143" s="1">
        <f t="shared" si="55"/>
        <v>0</v>
      </c>
      <c r="AE143" s="1">
        <f t="shared" si="56"/>
        <v>0</v>
      </c>
      <c r="AF143" s="1">
        <f t="shared" ref="AF143:AF208" si="63">+O143*P143*(1-A143)</f>
        <v>0</v>
      </c>
      <c r="AG143" s="1">
        <f t="shared" ref="AG143:AG208" si="64">O143*(1-P143)*(1-A143)</f>
        <v>0</v>
      </c>
      <c r="AH143" s="1">
        <f t="shared" ref="AH143:AH208" si="65">+P143*(1-A143)</f>
        <v>0</v>
      </c>
      <c r="AI143" s="1">
        <f t="shared" ref="AI143:AI208" si="66">+(1-A143)*(1-P143)</f>
        <v>1</v>
      </c>
    </row>
    <row r="144" spans="1:35" ht="14.25" customHeight="1" x14ac:dyDescent="0.25">
      <c r="A144" s="15">
        <v>0</v>
      </c>
      <c r="B144" s="15">
        <v>1</v>
      </c>
      <c r="C144" s="15">
        <v>3</v>
      </c>
      <c r="D144" s="16" t="s">
        <v>1556</v>
      </c>
      <c r="E144" s="16" t="s">
        <v>169</v>
      </c>
      <c r="F144" s="16" t="s">
        <v>1558</v>
      </c>
      <c r="G144" s="16"/>
      <c r="H144" s="16" t="s">
        <v>363</v>
      </c>
      <c r="I144" s="15" t="s">
        <v>1557</v>
      </c>
      <c r="J144" s="15">
        <v>18</v>
      </c>
      <c r="K144" s="10" t="s">
        <v>699</v>
      </c>
      <c r="L144" s="10" t="s">
        <v>684</v>
      </c>
      <c r="M144" s="19" t="s">
        <v>958</v>
      </c>
      <c r="N144" s="17"/>
      <c r="Q144" s="16"/>
      <c r="S144" s="1">
        <f t="shared" si="45"/>
        <v>0</v>
      </c>
      <c r="T144" s="1">
        <f t="shared" si="46"/>
        <v>0</v>
      </c>
      <c r="U144" s="1">
        <f t="shared" si="47"/>
        <v>0</v>
      </c>
      <c r="V144" s="1">
        <f t="shared" si="48"/>
        <v>0</v>
      </c>
      <c r="W144" s="1">
        <f t="shared" si="49"/>
        <v>0</v>
      </c>
      <c r="X144" s="1">
        <f t="shared" si="50"/>
        <v>0</v>
      </c>
      <c r="Y144" s="1">
        <f t="shared" si="51"/>
        <v>0</v>
      </c>
      <c r="Z144" s="1">
        <f t="shared" si="52"/>
        <v>0</v>
      </c>
      <c r="AA144" s="1">
        <f t="shared" si="53"/>
        <v>0</v>
      </c>
      <c r="AB144" s="1">
        <f t="shared" si="54"/>
        <v>0</v>
      </c>
      <c r="AD144" s="1">
        <f t="shared" si="55"/>
        <v>0</v>
      </c>
      <c r="AE144" s="1">
        <f t="shared" si="56"/>
        <v>0</v>
      </c>
      <c r="AF144" s="1">
        <f t="shared" si="63"/>
        <v>0</v>
      </c>
      <c r="AG144" s="1">
        <f t="shared" si="64"/>
        <v>0</v>
      </c>
      <c r="AH144" s="1">
        <f t="shared" si="65"/>
        <v>0</v>
      </c>
      <c r="AI144" s="1">
        <f t="shared" si="66"/>
        <v>1</v>
      </c>
    </row>
    <row r="145" spans="1:35" ht="14.25" customHeight="1" x14ac:dyDescent="0.25">
      <c r="A145" s="31">
        <v>0</v>
      </c>
      <c r="B145" s="31">
        <v>1</v>
      </c>
      <c r="C145" s="31">
        <v>3</v>
      </c>
      <c r="D145" s="32" t="s">
        <v>1267</v>
      </c>
      <c r="E145" s="32" t="s">
        <v>171</v>
      </c>
      <c r="F145" s="32" t="s">
        <v>1268</v>
      </c>
      <c r="G145" s="32" t="s">
        <v>237</v>
      </c>
      <c r="H145" s="32" t="s">
        <v>352</v>
      </c>
      <c r="I145" s="31" t="s">
        <v>1269</v>
      </c>
      <c r="J145" s="31">
        <v>4</v>
      </c>
      <c r="K145" s="33" t="s">
        <v>944</v>
      </c>
      <c r="L145" s="33" t="s">
        <v>39</v>
      </c>
      <c r="M145" s="34" t="s">
        <v>39</v>
      </c>
      <c r="N145" s="34" t="s">
        <v>1701</v>
      </c>
      <c r="O145" s="35">
        <v>1</v>
      </c>
      <c r="P145" s="35">
        <v>1</v>
      </c>
      <c r="Q145" s="32"/>
      <c r="S145" s="1">
        <f t="shared" si="45"/>
        <v>0</v>
      </c>
      <c r="T145" s="1">
        <f t="shared" si="46"/>
        <v>0</v>
      </c>
      <c r="U145" s="1">
        <f t="shared" si="47"/>
        <v>0</v>
      </c>
      <c r="V145" s="1">
        <f t="shared" si="48"/>
        <v>1</v>
      </c>
      <c r="W145" s="1">
        <f t="shared" si="49"/>
        <v>0</v>
      </c>
      <c r="X145" s="1">
        <f t="shared" si="50"/>
        <v>0</v>
      </c>
      <c r="Y145" s="1">
        <f t="shared" si="51"/>
        <v>0</v>
      </c>
      <c r="Z145" s="1">
        <f t="shared" si="52"/>
        <v>0</v>
      </c>
      <c r="AA145" s="1">
        <f t="shared" si="53"/>
        <v>0</v>
      </c>
      <c r="AB145" s="1">
        <f t="shared" si="54"/>
        <v>0</v>
      </c>
      <c r="AD145" s="1">
        <f t="shared" si="55"/>
        <v>1</v>
      </c>
      <c r="AE145" s="1">
        <f t="shared" si="56"/>
        <v>0</v>
      </c>
      <c r="AF145" s="1">
        <f t="shared" si="63"/>
        <v>1</v>
      </c>
      <c r="AG145" s="1">
        <f t="shared" si="64"/>
        <v>0</v>
      </c>
      <c r="AH145" s="1">
        <f t="shared" si="65"/>
        <v>1</v>
      </c>
      <c r="AI145" s="1">
        <f t="shared" si="66"/>
        <v>0</v>
      </c>
    </row>
    <row r="146" spans="1:35" ht="14.25" customHeight="1" x14ac:dyDescent="0.25">
      <c r="A146" s="31">
        <v>0</v>
      </c>
      <c r="B146" s="31">
        <v>1</v>
      </c>
      <c r="C146" s="31">
        <v>3</v>
      </c>
      <c r="D146" s="32" t="s">
        <v>644</v>
      </c>
      <c r="E146" s="32" t="s">
        <v>171</v>
      </c>
      <c r="F146" s="32" t="s">
        <v>653</v>
      </c>
      <c r="G146" s="32" t="s">
        <v>231</v>
      </c>
      <c r="H146" s="32" t="s">
        <v>352</v>
      </c>
      <c r="I146" s="31" t="s">
        <v>608</v>
      </c>
      <c r="J146" s="31">
        <v>99</v>
      </c>
      <c r="K146" s="33" t="s">
        <v>698</v>
      </c>
      <c r="L146" s="33" t="s">
        <v>39</v>
      </c>
      <c r="M146" s="34" t="s">
        <v>39</v>
      </c>
      <c r="N146" s="34" t="s">
        <v>1707</v>
      </c>
      <c r="O146" s="35">
        <v>1</v>
      </c>
      <c r="P146" s="35">
        <v>1</v>
      </c>
      <c r="Q146" s="32"/>
      <c r="S146" s="1">
        <f t="shared" si="45"/>
        <v>0</v>
      </c>
      <c r="T146" s="1">
        <f t="shared" si="46"/>
        <v>0</v>
      </c>
      <c r="U146" s="1">
        <f t="shared" si="47"/>
        <v>0</v>
      </c>
      <c r="V146" s="1">
        <f t="shared" si="48"/>
        <v>0</v>
      </c>
      <c r="W146" s="1">
        <f t="shared" si="49"/>
        <v>0</v>
      </c>
      <c r="X146" s="1">
        <f t="shared" si="50"/>
        <v>0</v>
      </c>
      <c r="Y146" s="1">
        <f t="shared" si="51"/>
        <v>0</v>
      </c>
      <c r="Z146" s="1">
        <f t="shared" si="52"/>
        <v>0</v>
      </c>
      <c r="AA146" s="1">
        <f t="shared" si="53"/>
        <v>0</v>
      </c>
      <c r="AB146" s="1">
        <f t="shared" si="54"/>
        <v>0</v>
      </c>
      <c r="AD146" s="1">
        <f t="shared" si="55"/>
        <v>1</v>
      </c>
      <c r="AE146" s="1">
        <f t="shared" si="56"/>
        <v>0</v>
      </c>
      <c r="AF146" s="1">
        <f t="shared" si="63"/>
        <v>1</v>
      </c>
      <c r="AG146" s="1">
        <f t="shared" si="64"/>
        <v>0</v>
      </c>
      <c r="AH146" s="1">
        <f t="shared" si="65"/>
        <v>1</v>
      </c>
      <c r="AI146" s="1">
        <f t="shared" si="66"/>
        <v>0</v>
      </c>
    </row>
    <row r="147" spans="1:35" ht="14.25" customHeight="1" x14ac:dyDescent="0.25">
      <c r="A147" s="38">
        <v>0</v>
      </c>
      <c r="B147" s="38">
        <v>1</v>
      </c>
      <c r="C147" s="38">
        <v>3</v>
      </c>
      <c r="D147" s="39" t="s">
        <v>864</v>
      </c>
      <c r="E147" s="39" t="s">
        <v>865</v>
      </c>
      <c r="F147" s="39" t="s">
        <v>866</v>
      </c>
      <c r="G147" s="39" t="s">
        <v>39</v>
      </c>
      <c r="H147" s="39" t="s">
        <v>364</v>
      </c>
      <c r="I147" s="38" t="s">
        <v>867</v>
      </c>
      <c r="J147" s="38">
        <v>18</v>
      </c>
      <c r="K147" s="40" t="s">
        <v>943</v>
      </c>
      <c r="L147" s="40" t="s">
        <v>39</v>
      </c>
      <c r="M147" s="41" t="s">
        <v>39</v>
      </c>
      <c r="N147" s="42"/>
      <c r="O147" s="43"/>
      <c r="P147" s="43">
        <v>1</v>
      </c>
      <c r="Q147" s="39"/>
      <c r="S147" s="1">
        <f t="shared" ref="S147:S212" si="67">IF(J147=$S$7,1,0)</f>
        <v>0</v>
      </c>
      <c r="T147" s="1">
        <f t="shared" ref="T147:T212" si="68">IF(J147=$T$7,1,0)</f>
        <v>0</v>
      </c>
      <c r="U147" s="1">
        <f t="shared" ref="U147:U212" si="69">IF(J147=$U$7,1,0)</f>
        <v>0</v>
      </c>
      <c r="V147" s="1">
        <f t="shared" ref="V147:V212" si="70">IF(J147=$V$7,1,0)</f>
        <v>0</v>
      </c>
      <c r="W147" s="1">
        <f t="shared" ref="W147:W212" si="71">IF(J147=$W$7,1,0)</f>
        <v>0</v>
      </c>
      <c r="X147" s="1">
        <f t="shared" ref="X147:X212" si="72">IF(J147=$X$7,1,0)</f>
        <v>0</v>
      </c>
      <c r="Y147" s="1">
        <f t="shared" ref="Y147:Y212" si="73">IF(J147=$Y$7,1,0)</f>
        <v>0</v>
      </c>
      <c r="Z147" s="1">
        <f t="shared" ref="Z147:Z212" si="74">IF(J147=$Z$7,1,0)</f>
        <v>0</v>
      </c>
      <c r="AA147" s="1">
        <f t="shared" ref="AA147:AA212" si="75">IF(J147=$AA$7,1,0)</f>
        <v>0</v>
      </c>
      <c r="AB147" s="1">
        <f t="shared" ref="AB147:AB212" si="76">IF(J147=$AB$7,1,0)</f>
        <v>0</v>
      </c>
      <c r="AD147" s="1">
        <f t="shared" ref="AD147:AD212" si="77">+O147*P147</f>
        <v>0</v>
      </c>
      <c r="AE147" s="1">
        <f t="shared" ref="AE147:AE212" si="78">O147*(1-P147)</f>
        <v>0</v>
      </c>
      <c r="AF147" s="1">
        <f t="shared" si="63"/>
        <v>0</v>
      </c>
      <c r="AG147" s="1">
        <f t="shared" si="64"/>
        <v>0</v>
      </c>
      <c r="AH147" s="1">
        <f t="shared" si="65"/>
        <v>1</v>
      </c>
      <c r="AI147" s="1">
        <f t="shared" si="66"/>
        <v>0</v>
      </c>
    </row>
    <row r="148" spans="1:35" ht="14.25" customHeight="1" x14ac:dyDescent="0.25">
      <c r="A148" s="31">
        <v>0</v>
      </c>
      <c r="B148" s="31">
        <v>1</v>
      </c>
      <c r="C148" s="31">
        <v>3</v>
      </c>
      <c r="D148" s="32" t="s">
        <v>1287</v>
      </c>
      <c r="E148" s="32" t="s">
        <v>171</v>
      </c>
      <c r="F148" s="32" t="s">
        <v>1288</v>
      </c>
      <c r="G148" s="32" t="s">
        <v>207</v>
      </c>
      <c r="H148" s="32" t="s">
        <v>352</v>
      </c>
      <c r="I148" s="31" t="s">
        <v>1289</v>
      </c>
      <c r="J148" s="31">
        <v>3</v>
      </c>
      <c r="K148" s="33" t="s">
        <v>943</v>
      </c>
      <c r="L148" s="33" t="s">
        <v>39</v>
      </c>
      <c r="M148" s="34" t="s">
        <v>39</v>
      </c>
      <c r="N148" s="34" t="s">
        <v>1707</v>
      </c>
      <c r="O148" s="35">
        <v>1</v>
      </c>
      <c r="P148" s="35">
        <v>1</v>
      </c>
      <c r="Q148" s="32"/>
      <c r="S148" s="1">
        <f t="shared" si="67"/>
        <v>0</v>
      </c>
      <c r="T148" s="1">
        <f t="shared" si="68"/>
        <v>0</v>
      </c>
      <c r="U148" s="1">
        <f t="shared" si="69"/>
        <v>1</v>
      </c>
      <c r="V148" s="1">
        <f t="shared" si="70"/>
        <v>0</v>
      </c>
      <c r="W148" s="1">
        <f t="shared" si="71"/>
        <v>0</v>
      </c>
      <c r="X148" s="1">
        <f t="shared" si="72"/>
        <v>0</v>
      </c>
      <c r="Y148" s="1">
        <f t="shared" si="73"/>
        <v>0</v>
      </c>
      <c r="Z148" s="1">
        <f t="shared" si="74"/>
        <v>0</v>
      </c>
      <c r="AA148" s="1">
        <f t="shared" si="75"/>
        <v>0</v>
      </c>
      <c r="AB148" s="1">
        <f t="shared" si="76"/>
        <v>0</v>
      </c>
      <c r="AD148" s="1">
        <f t="shared" si="77"/>
        <v>1</v>
      </c>
      <c r="AE148" s="1">
        <f t="shared" si="78"/>
        <v>0</v>
      </c>
      <c r="AF148" s="1">
        <f t="shared" si="63"/>
        <v>1</v>
      </c>
      <c r="AG148" s="1">
        <f t="shared" si="64"/>
        <v>0</v>
      </c>
      <c r="AH148" s="1">
        <f t="shared" si="65"/>
        <v>1</v>
      </c>
      <c r="AI148" s="1">
        <f t="shared" si="66"/>
        <v>0</v>
      </c>
    </row>
    <row r="149" spans="1:35" ht="14.25" customHeight="1" x14ac:dyDescent="0.25">
      <c r="A149" s="31">
        <v>0</v>
      </c>
      <c r="B149" s="31">
        <v>1</v>
      </c>
      <c r="C149" s="31">
        <v>3</v>
      </c>
      <c r="D149" s="32" t="s">
        <v>858</v>
      </c>
      <c r="E149" s="32" t="s">
        <v>169</v>
      </c>
      <c r="F149" s="32" t="s">
        <v>859</v>
      </c>
      <c r="G149" s="32" t="s">
        <v>39</v>
      </c>
      <c r="H149" s="32" t="s">
        <v>860</v>
      </c>
      <c r="I149" s="31" t="s">
        <v>936</v>
      </c>
      <c r="J149" s="31">
        <v>11</v>
      </c>
      <c r="K149" s="33" t="s">
        <v>698</v>
      </c>
      <c r="L149" s="33" t="s">
        <v>685</v>
      </c>
      <c r="M149" s="34" t="s">
        <v>958</v>
      </c>
      <c r="N149" s="34" t="s">
        <v>1729</v>
      </c>
      <c r="O149" s="35">
        <v>1</v>
      </c>
      <c r="P149" s="35"/>
      <c r="Q149" s="32"/>
      <c r="S149" s="1">
        <f t="shared" si="67"/>
        <v>0</v>
      </c>
      <c r="T149" s="1">
        <f t="shared" si="68"/>
        <v>0</v>
      </c>
      <c r="U149" s="1">
        <f t="shared" si="69"/>
        <v>0</v>
      </c>
      <c r="V149" s="1">
        <f t="shared" si="70"/>
        <v>0</v>
      </c>
      <c r="W149" s="1">
        <f t="shared" si="71"/>
        <v>0</v>
      </c>
      <c r="X149" s="1">
        <f t="shared" si="72"/>
        <v>0</v>
      </c>
      <c r="Y149" s="1">
        <f t="shared" si="73"/>
        <v>0</v>
      </c>
      <c r="Z149" s="1">
        <f t="shared" si="74"/>
        <v>0</v>
      </c>
      <c r="AA149" s="1">
        <f t="shared" si="75"/>
        <v>0</v>
      </c>
      <c r="AB149" s="1">
        <f t="shared" si="76"/>
        <v>0</v>
      </c>
      <c r="AD149" s="1">
        <f t="shared" si="77"/>
        <v>0</v>
      </c>
      <c r="AE149" s="1">
        <f t="shared" si="78"/>
        <v>1</v>
      </c>
      <c r="AF149" s="1">
        <f t="shared" si="63"/>
        <v>0</v>
      </c>
      <c r="AG149" s="1">
        <f t="shared" si="64"/>
        <v>1</v>
      </c>
      <c r="AH149" s="1">
        <f t="shared" si="65"/>
        <v>0</v>
      </c>
      <c r="AI149" s="1">
        <f t="shared" si="66"/>
        <v>1</v>
      </c>
    </row>
    <row r="150" spans="1:35" ht="14.25" customHeight="1" x14ac:dyDescent="0.25">
      <c r="A150" s="31">
        <v>0</v>
      </c>
      <c r="B150" s="31">
        <v>1</v>
      </c>
      <c r="C150" s="31">
        <v>3</v>
      </c>
      <c r="D150" s="36" t="s">
        <v>502</v>
      </c>
      <c r="E150" s="36" t="s">
        <v>169</v>
      </c>
      <c r="F150" s="36" t="s">
        <v>503</v>
      </c>
      <c r="G150" s="36" t="s">
        <v>500</v>
      </c>
      <c r="H150" s="36" t="s">
        <v>352</v>
      </c>
      <c r="I150" s="37" t="s">
        <v>504</v>
      </c>
      <c r="J150" s="31">
        <v>99</v>
      </c>
      <c r="K150" s="33" t="s">
        <v>699</v>
      </c>
      <c r="L150" s="33">
        <v>40</v>
      </c>
      <c r="M150" s="34" t="s">
        <v>958</v>
      </c>
      <c r="N150" s="34" t="s">
        <v>1920</v>
      </c>
      <c r="O150" s="35">
        <v>1</v>
      </c>
      <c r="P150" s="35"/>
      <c r="Q150" s="36"/>
      <c r="S150" s="1">
        <f t="shared" si="67"/>
        <v>0</v>
      </c>
      <c r="T150" s="1">
        <f t="shared" si="68"/>
        <v>0</v>
      </c>
      <c r="U150" s="1">
        <f t="shared" si="69"/>
        <v>0</v>
      </c>
      <c r="V150" s="1">
        <f t="shared" si="70"/>
        <v>0</v>
      </c>
      <c r="W150" s="1">
        <f t="shared" si="71"/>
        <v>0</v>
      </c>
      <c r="X150" s="1">
        <f t="shared" si="72"/>
        <v>0</v>
      </c>
      <c r="Y150" s="1">
        <f t="shared" si="73"/>
        <v>0</v>
      </c>
      <c r="Z150" s="1">
        <f t="shared" si="74"/>
        <v>0</v>
      </c>
      <c r="AA150" s="1">
        <f t="shared" si="75"/>
        <v>0</v>
      </c>
      <c r="AB150" s="1">
        <f t="shared" si="76"/>
        <v>0</v>
      </c>
      <c r="AD150" s="1">
        <f t="shared" si="77"/>
        <v>0</v>
      </c>
      <c r="AE150" s="1">
        <f t="shared" si="78"/>
        <v>1</v>
      </c>
      <c r="AF150" s="1">
        <f t="shared" si="63"/>
        <v>0</v>
      </c>
      <c r="AG150" s="1">
        <f t="shared" si="64"/>
        <v>1</v>
      </c>
      <c r="AH150" s="1">
        <f t="shared" si="65"/>
        <v>0</v>
      </c>
      <c r="AI150" s="1">
        <f t="shared" si="66"/>
        <v>1</v>
      </c>
    </row>
    <row r="151" spans="1:35" ht="14.25" customHeight="1" x14ac:dyDescent="0.25">
      <c r="A151" s="31">
        <v>0</v>
      </c>
      <c r="B151" s="31">
        <v>1</v>
      </c>
      <c r="C151" s="31">
        <v>3</v>
      </c>
      <c r="D151" s="36" t="s">
        <v>1766</v>
      </c>
      <c r="E151" s="36" t="s">
        <v>1767</v>
      </c>
      <c r="F151" s="36" t="s">
        <v>1768</v>
      </c>
      <c r="G151" s="36" t="s">
        <v>1769</v>
      </c>
      <c r="H151" s="36" t="s">
        <v>352</v>
      </c>
      <c r="I151" s="37" t="s">
        <v>1770</v>
      </c>
      <c r="J151" s="31">
        <v>99</v>
      </c>
      <c r="K151" s="33" t="s">
        <v>699</v>
      </c>
      <c r="L151" s="33"/>
      <c r="M151" s="34"/>
      <c r="N151" s="34" t="s">
        <v>1707</v>
      </c>
      <c r="O151" s="35">
        <v>1</v>
      </c>
      <c r="P151" s="35">
        <v>1</v>
      </c>
      <c r="Q151" s="36"/>
      <c r="S151" s="1">
        <f t="shared" si="67"/>
        <v>0</v>
      </c>
      <c r="T151" s="1">
        <f t="shared" si="68"/>
        <v>0</v>
      </c>
      <c r="U151" s="1">
        <f t="shared" si="69"/>
        <v>0</v>
      </c>
      <c r="V151" s="1">
        <f t="shared" si="70"/>
        <v>0</v>
      </c>
      <c r="W151" s="1">
        <f t="shared" si="71"/>
        <v>0</v>
      </c>
      <c r="X151" s="1">
        <f t="shared" si="72"/>
        <v>0</v>
      </c>
      <c r="Y151" s="1">
        <f t="shared" si="73"/>
        <v>0</v>
      </c>
      <c r="Z151" s="1">
        <f t="shared" si="74"/>
        <v>0</v>
      </c>
      <c r="AA151" s="1">
        <f t="shared" si="75"/>
        <v>0</v>
      </c>
      <c r="AB151" s="1">
        <f t="shared" si="76"/>
        <v>0</v>
      </c>
      <c r="AD151" s="1">
        <f t="shared" si="77"/>
        <v>1</v>
      </c>
      <c r="AE151" s="1">
        <f t="shared" si="78"/>
        <v>0</v>
      </c>
      <c r="AF151" s="1">
        <f t="shared" si="63"/>
        <v>1</v>
      </c>
      <c r="AG151" s="1">
        <f t="shared" si="64"/>
        <v>0</v>
      </c>
      <c r="AH151" s="1">
        <f t="shared" si="65"/>
        <v>1</v>
      </c>
      <c r="AI151" s="1">
        <f t="shared" si="66"/>
        <v>0</v>
      </c>
    </row>
    <row r="152" spans="1:35" ht="14.25" customHeight="1" x14ac:dyDescent="0.25">
      <c r="A152" s="31">
        <v>0</v>
      </c>
      <c r="B152" s="31">
        <v>1</v>
      </c>
      <c r="C152" s="31">
        <v>3</v>
      </c>
      <c r="D152" s="32" t="s">
        <v>525</v>
      </c>
      <c r="E152" s="32" t="s">
        <v>169</v>
      </c>
      <c r="F152" s="32" t="s">
        <v>654</v>
      </c>
      <c r="G152" s="32" t="s">
        <v>39</v>
      </c>
      <c r="H152" s="32" t="s">
        <v>526</v>
      </c>
      <c r="I152" s="31" t="s">
        <v>527</v>
      </c>
      <c r="J152" s="31">
        <v>18</v>
      </c>
      <c r="K152" s="33" t="s">
        <v>943</v>
      </c>
      <c r="L152" s="33" t="s">
        <v>1716</v>
      </c>
      <c r="M152" s="34" t="s">
        <v>957</v>
      </c>
      <c r="N152" s="34" t="s">
        <v>1707</v>
      </c>
      <c r="O152" s="35">
        <v>1</v>
      </c>
      <c r="P152" s="35">
        <v>1</v>
      </c>
      <c r="Q152" s="32"/>
      <c r="S152" s="1">
        <f t="shared" si="67"/>
        <v>0</v>
      </c>
      <c r="T152" s="1">
        <f t="shared" si="68"/>
        <v>0</v>
      </c>
      <c r="U152" s="1">
        <f t="shared" si="69"/>
        <v>0</v>
      </c>
      <c r="V152" s="1">
        <f t="shared" si="70"/>
        <v>0</v>
      </c>
      <c r="W152" s="1">
        <f t="shared" si="71"/>
        <v>0</v>
      </c>
      <c r="X152" s="1">
        <f t="shared" si="72"/>
        <v>0</v>
      </c>
      <c r="Y152" s="1">
        <f t="shared" si="73"/>
        <v>0</v>
      </c>
      <c r="Z152" s="1">
        <f t="shared" si="74"/>
        <v>0</v>
      </c>
      <c r="AA152" s="1">
        <f t="shared" si="75"/>
        <v>0</v>
      </c>
      <c r="AB152" s="1">
        <f t="shared" si="76"/>
        <v>0</v>
      </c>
      <c r="AD152" s="1">
        <f t="shared" si="77"/>
        <v>1</v>
      </c>
      <c r="AE152" s="1">
        <f t="shared" si="78"/>
        <v>0</v>
      </c>
      <c r="AF152" s="1">
        <f t="shared" si="63"/>
        <v>1</v>
      </c>
      <c r="AG152" s="1">
        <f t="shared" si="64"/>
        <v>0</v>
      </c>
      <c r="AH152" s="1">
        <f t="shared" si="65"/>
        <v>1</v>
      </c>
      <c r="AI152" s="1">
        <f t="shared" si="66"/>
        <v>0</v>
      </c>
    </row>
    <row r="153" spans="1:35" ht="14.25" customHeight="1" x14ac:dyDescent="0.25">
      <c r="A153" s="31">
        <v>0</v>
      </c>
      <c r="B153" s="31">
        <v>1</v>
      </c>
      <c r="C153" s="31">
        <v>3</v>
      </c>
      <c r="D153" s="32" t="s">
        <v>962</v>
      </c>
      <c r="E153" s="32" t="s">
        <v>174</v>
      </c>
      <c r="F153" s="32" t="s">
        <v>796</v>
      </c>
      <c r="G153" s="32" t="s">
        <v>39</v>
      </c>
      <c r="H153" s="32" t="s">
        <v>797</v>
      </c>
      <c r="I153" s="31" t="s">
        <v>798</v>
      </c>
      <c r="J153" s="31">
        <v>16</v>
      </c>
      <c r="K153" s="33" t="s">
        <v>944</v>
      </c>
      <c r="L153" s="33" t="s">
        <v>1125</v>
      </c>
      <c r="M153" s="34" t="s">
        <v>957</v>
      </c>
      <c r="N153" s="34" t="s">
        <v>1722</v>
      </c>
      <c r="O153" s="35">
        <v>1</v>
      </c>
      <c r="P153" s="35"/>
      <c r="Q153" s="32"/>
      <c r="S153" s="1">
        <f t="shared" si="67"/>
        <v>0</v>
      </c>
      <c r="T153" s="1">
        <f t="shared" si="68"/>
        <v>0</v>
      </c>
      <c r="U153" s="1">
        <f t="shared" si="69"/>
        <v>0</v>
      </c>
      <c r="V153" s="1">
        <f t="shared" si="70"/>
        <v>0</v>
      </c>
      <c r="W153" s="1">
        <f t="shared" si="71"/>
        <v>0</v>
      </c>
      <c r="X153" s="1">
        <f t="shared" si="72"/>
        <v>0</v>
      </c>
      <c r="Y153" s="1">
        <f t="shared" si="73"/>
        <v>0</v>
      </c>
      <c r="Z153" s="1">
        <f t="shared" si="74"/>
        <v>0</v>
      </c>
      <c r="AA153" s="1">
        <f t="shared" si="75"/>
        <v>0</v>
      </c>
      <c r="AB153" s="1">
        <f t="shared" si="76"/>
        <v>0</v>
      </c>
      <c r="AD153" s="1">
        <f t="shared" si="77"/>
        <v>0</v>
      </c>
      <c r="AE153" s="1">
        <f t="shared" si="78"/>
        <v>1</v>
      </c>
      <c r="AF153" s="1">
        <f t="shared" si="63"/>
        <v>0</v>
      </c>
      <c r="AG153" s="1">
        <f t="shared" si="64"/>
        <v>1</v>
      </c>
      <c r="AH153" s="1">
        <f t="shared" si="65"/>
        <v>0</v>
      </c>
      <c r="AI153" s="1">
        <f t="shared" si="66"/>
        <v>1</v>
      </c>
    </row>
    <row r="154" spans="1:35" ht="14.25" customHeight="1" x14ac:dyDescent="0.25">
      <c r="A154" s="31">
        <v>0</v>
      </c>
      <c r="B154" s="31">
        <v>1</v>
      </c>
      <c r="C154" s="31">
        <v>3</v>
      </c>
      <c r="D154" s="32" t="s">
        <v>1179</v>
      </c>
      <c r="E154" s="32" t="s">
        <v>171</v>
      </c>
      <c r="F154" s="32" t="s">
        <v>1180</v>
      </c>
      <c r="G154" s="32" t="s">
        <v>237</v>
      </c>
      <c r="H154" s="32" t="s">
        <v>352</v>
      </c>
      <c r="I154" s="31" t="s">
        <v>1181</v>
      </c>
      <c r="J154" s="31">
        <v>4</v>
      </c>
      <c r="K154" s="33" t="s">
        <v>950</v>
      </c>
      <c r="L154" s="33" t="s">
        <v>1673</v>
      </c>
      <c r="M154" s="34" t="s">
        <v>1578</v>
      </c>
      <c r="N154" s="34" t="s">
        <v>1701</v>
      </c>
      <c r="O154" s="35">
        <v>1</v>
      </c>
      <c r="P154" s="35">
        <v>1</v>
      </c>
      <c r="Q154" s="32"/>
      <c r="S154" s="1">
        <f t="shared" si="67"/>
        <v>0</v>
      </c>
      <c r="T154" s="1">
        <f t="shared" si="68"/>
        <v>0</v>
      </c>
      <c r="U154" s="1">
        <f t="shared" si="69"/>
        <v>0</v>
      </c>
      <c r="V154" s="1">
        <f t="shared" si="70"/>
        <v>1</v>
      </c>
      <c r="W154" s="1">
        <f t="shared" si="71"/>
        <v>0</v>
      </c>
      <c r="X154" s="1">
        <f t="shared" si="72"/>
        <v>0</v>
      </c>
      <c r="Y154" s="1">
        <f t="shared" si="73"/>
        <v>0</v>
      </c>
      <c r="Z154" s="1">
        <f t="shared" si="74"/>
        <v>0</v>
      </c>
      <c r="AA154" s="1">
        <f t="shared" si="75"/>
        <v>0</v>
      </c>
      <c r="AB154" s="1">
        <f t="shared" si="76"/>
        <v>0</v>
      </c>
      <c r="AD154" s="1">
        <f t="shared" si="77"/>
        <v>1</v>
      </c>
      <c r="AE154" s="1">
        <f t="shared" si="78"/>
        <v>0</v>
      </c>
      <c r="AF154" s="1">
        <f t="shared" si="63"/>
        <v>1</v>
      </c>
      <c r="AG154" s="1">
        <f t="shared" si="64"/>
        <v>0</v>
      </c>
      <c r="AH154" s="1">
        <f t="shared" si="65"/>
        <v>1</v>
      </c>
      <c r="AI154" s="1">
        <f t="shared" si="66"/>
        <v>0</v>
      </c>
    </row>
    <row r="155" spans="1:35" ht="14.25" customHeight="1" x14ac:dyDescent="0.25">
      <c r="A155" s="31">
        <v>0</v>
      </c>
      <c r="B155" s="31">
        <v>1</v>
      </c>
      <c r="C155" s="31">
        <v>3</v>
      </c>
      <c r="D155" s="32" t="s">
        <v>1615</v>
      </c>
      <c r="E155" s="32" t="s">
        <v>169</v>
      </c>
      <c r="F155" s="32" t="s">
        <v>1451</v>
      </c>
      <c r="G155" s="32" t="s">
        <v>1643</v>
      </c>
      <c r="H155" s="32" t="s">
        <v>352</v>
      </c>
      <c r="I155" s="31" t="s">
        <v>1450</v>
      </c>
      <c r="J155" s="31">
        <v>99</v>
      </c>
      <c r="K155" s="33" t="s">
        <v>698</v>
      </c>
      <c r="L155" s="33" t="s">
        <v>1678</v>
      </c>
      <c r="M155" s="34" t="s">
        <v>1452</v>
      </c>
      <c r="N155" s="34" t="s">
        <v>1723</v>
      </c>
      <c r="O155" s="35">
        <v>1</v>
      </c>
      <c r="P155" s="35"/>
      <c r="Q155" s="32"/>
      <c r="S155" s="1">
        <f t="shared" si="67"/>
        <v>0</v>
      </c>
      <c r="T155" s="1">
        <f t="shared" si="68"/>
        <v>0</v>
      </c>
      <c r="U155" s="1">
        <f t="shared" si="69"/>
        <v>0</v>
      </c>
      <c r="V155" s="1">
        <f t="shared" si="70"/>
        <v>0</v>
      </c>
      <c r="W155" s="1">
        <f t="shared" si="71"/>
        <v>0</v>
      </c>
      <c r="X155" s="1">
        <f t="shared" si="72"/>
        <v>0</v>
      </c>
      <c r="Y155" s="1">
        <f t="shared" si="73"/>
        <v>0</v>
      </c>
      <c r="Z155" s="1">
        <f t="shared" si="74"/>
        <v>0</v>
      </c>
      <c r="AA155" s="1">
        <f t="shared" si="75"/>
        <v>0</v>
      </c>
      <c r="AB155" s="1">
        <f t="shared" si="76"/>
        <v>0</v>
      </c>
      <c r="AD155" s="1">
        <f t="shared" si="77"/>
        <v>0</v>
      </c>
      <c r="AE155" s="1">
        <f t="shared" si="78"/>
        <v>1</v>
      </c>
      <c r="AF155" s="1">
        <f t="shared" si="63"/>
        <v>0</v>
      </c>
      <c r="AG155" s="1">
        <f t="shared" si="64"/>
        <v>1</v>
      </c>
      <c r="AH155" s="1">
        <f t="shared" si="65"/>
        <v>0</v>
      </c>
      <c r="AI155" s="1">
        <f t="shared" si="66"/>
        <v>1</v>
      </c>
    </row>
    <row r="156" spans="1:35" ht="14.25" customHeight="1" x14ac:dyDescent="0.25">
      <c r="A156" s="31">
        <v>0</v>
      </c>
      <c r="B156" s="31">
        <v>1</v>
      </c>
      <c r="C156" s="31">
        <v>3</v>
      </c>
      <c r="D156" s="36" t="s">
        <v>2049</v>
      </c>
      <c r="E156" s="36" t="s">
        <v>171</v>
      </c>
      <c r="F156" s="36" t="s">
        <v>2050</v>
      </c>
      <c r="G156" s="32"/>
      <c r="H156" s="36" t="s">
        <v>607</v>
      </c>
      <c r="I156" s="37" t="s">
        <v>2051</v>
      </c>
      <c r="J156" s="31">
        <v>14</v>
      </c>
      <c r="K156" s="33" t="s">
        <v>699</v>
      </c>
      <c r="L156" s="33"/>
      <c r="M156" s="34"/>
      <c r="N156" s="34" t="s">
        <v>1707</v>
      </c>
      <c r="O156" s="35">
        <v>1</v>
      </c>
      <c r="P156" s="35">
        <v>1</v>
      </c>
      <c r="Q156" s="32" t="s">
        <v>2052</v>
      </c>
      <c r="S156" s="1">
        <f t="shared" si="67"/>
        <v>0</v>
      </c>
      <c r="T156" s="1">
        <f t="shared" si="68"/>
        <v>0</v>
      </c>
      <c r="U156" s="1">
        <f t="shared" si="69"/>
        <v>0</v>
      </c>
      <c r="V156" s="1">
        <f t="shared" si="70"/>
        <v>0</v>
      </c>
      <c r="W156" s="1">
        <f t="shared" si="71"/>
        <v>0</v>
      </c>
      <c r="X156" s="1">
        <f t="shared" si="72"/>
        <v>0</v>
      </c>
      <c r="Y156" s="1">
        <f t="shared" si="73"/>
        <v>0</v>
      </c>
      <c r="Z156" s="1">
        <f t="shared" si="74"/>
        <v>0</v>
      </c>
      <c r="AA156" s="1">
        <f t="shared" si="75"/>
        <v>0</v>
      </c>
      <c r="AB156" s="1">
        <f t="shared" si="76"/>
        <v>0</v>
      </c>
      <c r="AD156" s="1">
        <f t="shared" si="77"/>
        <v>1</v>
      </c>
      <c r="AE156" s="1">
        <f t="shared" si="78"/>
        <v>0</v>
      </c>
      <c r="AF156" s="1">
        <f t="shared" si="63"/>
        <v>1</v>
      </c>
      <c r="AG156" s="1">
        <f t="shared" si="64"/>
        <v>0</v>
      </c>
      <c r="AH156" s="1">
        <f t="shared" si="65"/>
        <v>1</v>
      </c>
      <c r="AI156" s="1">
        <f t="shared" si="66"/>
        <v>0</v>
      </c>
    </row>
    <row r="157" spans="1:35" ht="14.25" customHeight="1" x14ac:dyDescent="0.25">
      <c r="A157" s="15">
        <v>0</v>
      </c>
      <c r="B157" s="15">
        <v>1</v>
      </c>
      <c r="C157" s="15">
        <v>3</v>
      </c>
      <c r="D157" s="20" t="s">
        <v>1922</v>
      </c>
      <c r="E157" s="20" t="s">
        <v>171</v>
      </c>
      <c r="F157" s="20" t="s">
        <v>1937</v>
      </c>
      <c r="G157" s="20"/>
      <c r="H157" s="20" t="s">
        <v>1936</v>
      </c>
      <c r="I157" s="21" t="s">
        <v>1935</v>
      </c>
      <c r="J157" s="15">
        <v>14</v>
      </c>
      <c r="K157" s="10" t="s">
        <v>699</v>
      </c>
      <c r="L157" s="10" t="s">
        <v>693</v>
      </c>
      <c r="M157" s="19" t="s">
        <v>958</v>
      </c>
      <c r="N157" s="17"/>
      <c r="Q157" s="20" t="s">
        <v>1938</v>
      </c>
      <c r="S157" s="1">
        <f t="shared" si="67"/>
        <v>0</v>
      </c>
      <c r="T157" s="1">
        <f t="shared" si="68"/>
        <v>0</v>
      </c>
      <c r="U157" s="1">
        <f t="shared" si="69"/>
        <v>0</v>
      </c>
      <c r="V157" s="1">
        <f t="shared" si="70"/>
        <v>0</v>
      </c>
      <c r="W157" s="1">
        <f t="shared" si="71"/>
        <v>0</v>
      </c>
      <c r="X157" s="1">
        <f t="shared" si="72"/>
        <v>0</v>
      </c>
      <c r="Y157" s="1">
        <f t="shared" si="73"/>
        <v>0</v>
      </c>
      <c r="Z157" s="1">
        <f t="shared" si="74"/>
        <v>0</v>
      </c>
      <c r="AA157" s="1">
        <f t="shared" si="75"/>
        <v>0</v>
      </c>
      <c r="AB157" s="1">
        <f t="shared" si="76"/>
        <v>0</v>
      </c>
      <c r="AD157" s="1">
        <f t="shared" si="77"/>
        <v>0</v>
      </c>
      <c r="AE157" s="1">
        <f t="shared" si="78"/>
        <v>0</v>
      </c>
      <c r="AF157" s="1">
        <f t="shared" si="63"/>
        <v>0</v>
      </c>
      <c r="AG157" s="1">
        <f t="shared" si="64"/>
        <v>0</v>
      </c>
      <c r="AH157" s="1">
        <f t="shared" si="65"/>
        <v>0</v>
      </c>
      <c r="AI157" s="1">
        <f t="shared" si="66"/>
        <v>1</v>
      </c>
    </row>
    <row r="158" spans="1:35" ht="14.25" customHeight="1" x14ac:dyDescent="0.25">
      <c r="A158" s="31">
        <v>0</v>
      </c>
      <c r="B158" s="31">
        <v>1</v>
      </c>
      <c r="C158" s="31">
        <v>3</v>
      </c>
      <c r="D158" s="32" t="s">
        <v>144</v>
      </c>
      <c r="E158" s="32" t="s">
        <v>171</v>
      </c>
      <c r="F158" s="32" t="s">
        <v>345</v>
      </c>
      <c r="G158" s="32" t="s">
        <v>39</v>
      </c>
      <c r="H158" s="32" t="s">
        <v>376</v>
      </c>
      <c r="I158" s="31" t="s">
        <v>1340</v>
      </c>
      <c r="J158" s="31">
        <v>14</v>
      </c>
      <c r="K158" s="33" t="s">
        <v>943</v>
      </c>
      <c r="L158" s="33" t="s">
        <v>685</v>
      </c>
      <c r="M158" s="34" t="s">
        <v>687</v>
      </c>
      <c r="N158" s="34" t="s">
        <v>1722</v>
      </c>
      <c r="O158" s="35">
        <v>1</v>
      </c>
      <c r="P158" s="35"/>
      <c r="Q158" s="32"/>
      <c r="S158" s="1">
        <f t="shared" si="67"/>
        <v>0</v>
      </c>
      <c r="T158" s="1">
        <f t="shared" si="68"/>
        <v>0</v>
      </c>
      <c r="U158" s="1">
        <f t="shared" si="69"/>
        <v>0</v>
      </c>
      <c r="V158" s="1">
        <f t="shared" si="70"/>
        <v>0</v>
      </c>
      <c r="W158" s="1">
        <f t="shared" si="71"/>
        <v>0</v>
      </c>
      <c r="X158" s="1">
        <f t="shared" si="72"/>
        <v>0</v>
      </c>
      <c r="Y158" s="1">
        <f t="shared" si="73"/>
        <v>0</v>
      </c>
      <c r="Z158" s="1">
        <f t="shared" si="74"/>
        <v>0</v>
      </c>
      <c r="AA158" s="1">
        <f t="shared" si="75"/>
        <v>0</v>
      </c>
      <c r="AB158" s="1">
        <f t="shared" si="76"/>
        <v>0</v>
      </c>
      <c r="AD158" s="1">
        <f t="shared" si="77"/>
        <v>0</v>
      </c>
      <c r="AE158" s="1">
        <f t="shared" si="78"/>
        <v>1</v>
      </c>
      <c r="AF158" s="1">
        <f t="shared" si="63"/>
        <v>0</v>
      </c>
      <c r="AG158" s="1">
        <f t="shared" si="64"/>
        <v>1</v>
      </c>
      <c r="AH158" s="1">
        <f t="shared" si="65"/>
        <v>0</v>
      </c>
      <c r="AI158" s="1">
        <f t="shared" si="66"/>
        <v>1</v>
      </c>
    </row>
    <row r="159" spans="1:35" ht="14.25" customHeight="1" x14ac:dyDescent="0.25">
      <c r="A159" s="31">
        <v>0</v>
      </c>
      <c r="B159" s="31">
        <v>1</v>
      </c>
      <c r="C159" s="31">
        <v>3</v>
      </c>
      <c r="D159" s="32" t="s">
        <v>1541</v>
      </c>
      <c r="E159" s="32" t="s">
        <v>171</v>
      </c>
      <c r="F159" s="32" t="s">
        <v>1542</v>
      </c>
      <c r="G159" s="32" t="s">
        <v>39</v>
      </c>
      <c r="H159" s="32" t="s">
        <v>1543</v>
      </c>
      <c r="I159" s="31" t="s">
        <v>1544</v>
      </c>
      <c r="J159" s="31">
        <v>17</v>
      </c>
      <c r="K159" s="33" t="s">
        <v>718</v>
      </c>
      <c r="L159" s="33" t="s">
        <v>39</v>
      </c>
      <c r="M159" s="34" t="s">
        <v>39</v>
      </c>
      <c r="N159" s="34" t="s">
        <v>1707</v>
      </c>
      <c r="O159" s="35">
        <v>1</v>
      </c>
      <c r="P159" s="35">
        <v>1</v>
      </c>
      <c r="Q159" s="32" t="s">
        <v>1887</v>
      </c>
      <c r="S159" s="1">
        <f t="shared" si="67"/>
        <v>0</v>
      </c>
      <c r="T159" s="1">
        <f t="shared" si="68"/>
        <v>0</v>
      </c>
      <c r="U159" s="1">
        <f t="shared" si="69"/>
        <v>0</v>
      </c>
      <c r="V159" s="1">
        <f t="shared" si="70"/>
        <v>0</v>
      </c>
      <c r="W159" s="1">
        <f t="shared" si="71"/>
        <v>0</v>
      </c>
      <c r="X159" s="1">
        <f t="shared" si="72"/>
        <v>0</v>
      </c>
      <c r="Y159" s="1">
        <f t="shared" si="73"/>
        <v>0</v>
      </c>
      <c r="Z159" s="1">
        <f t="shared" si="74"/>
        <v>0</v>
      </c>
      <c r="AA159" s="1">
        <f t="shared" si="75"/>
        <v>0</v>
      </c>
      <c r="AB159" s="1">
        <f t="shared" si="76"/>
        <v>0</v>
      </c>
      <c r="AD159" s="1">
        <f t="shared" si="77"/>
        <v>1</v>
      </c>
      <c r="AE159" s="1">
        <f t="shared" si="78"/>
        <v>0</v>
      </c>
      <c r="AF159" s="1">
        <f t="shared" si="63"/>
        <v>1</v>
      </c>
      <c r="AG159" s="1">
        <f t="shared" si="64"/>
        <v>0</v>
      </c>
      <c r="AH159" s="1">
        <f t="shared" si="65"/>
        <v>1</v>
      </c>
      <c r="AI159" s="1">
        <f t="shared" si="66"/>
        <v>0</v>
      </c>
    </row>
    <row r="160" spans="1:35" ht="14.25" customHeight="1" x14ac:dyDescent="0.25">
      <c r="A160" s="31">
        <v>0</v>
      </c>
      <c r="B160" s="31">
        <v>1</v>
      </c>
      <c r="C160" s="31">
        <v>3</v>
      </c>
      <c r="D160" s="32" t="s">
        <v>152</v>
      </c>
      <c r="E160" s="32" t="s">
        <v>171</v>
      </c>
      <c r="F160" s="32" t="s">
        <v>351</v>
      </c>
      <c r="G160" s="32" t="s">
        <v>39</v>
      </c>
      <c r="H160" s="32" t="s">
        <v>1843</v>
      </c>
      <c r="I160" s="31" t="s">
        <v>497</v>
      </c>
      <c r="J160" s="31">
        <v>14</v>
      </c>
      <c r="K160" s="33" t="s">
        <v>698</v>
      </c>
      <c r="L160" s="33" t="s">
        <v>685</v>
      </c>
      <c r="M160" s="34" t="s">
        <v>957</v>
      </c>
      <c r="N160" s="34" t="s">
        <v>1722</v>
      </c>
      <c r="O160" s="35">
        <v>1</v>
      </c>
      <c r="P160" s="35"/>
      <c r="Q160" s="32" t="s">
        <v>1870</v>
      </c>
      <c r="S160" s="1">
        <f t="shared" si="67"/>
        <v>0</v>
      </c>
      <c r="T160" s="1">
        <f t="shared" si="68"/>
        <v>0</v>
      </c>
      <c r="U160" s="1">
        <f t="shared" si="69"/>
        <v>0</v>
      </c>
      <c r="V160" s="1">
        <f t="shared" si="70"/>
        <v>0</v>
      </c>
      <c r="W160" s="1">
        <f t="shared" si="71"/>
        <v>0</v>
      </c>
      <c r="X160" s="1">
        <f t="shared" si="72"/>
        <v>0</v>
      </c>
      <c r="Y160" s="1">
        <f t="shared" si="73"/>
        <v>0</v>
      </c>
      <c r="Z160" s="1">
        <f t="shared" si="74"/>
        <v>0</v>
      </c>
      <c r="AA160" s="1">
        <f t="shared" si="75"/>
        <v>0</v>
      </c>
      <c r="AB160" s="1">
        <f t="shared" si="76"/>
        <v>0</v>
      </c>
      <c r="AD160" s="1">
        <f t="shared" si="77"/>
        <v>0</v>
      </c>
      <c r="AE160" s="1">
        <f t="shared" si="78"/>
        <v>1</v>
      </c>
      <c r="AF160" s="1">
        <f t="shared" si="63"/>
        <v>0</v>
      </c>
      <c r="AG160" s="1">
        <f t="shared" si="64"/>
        <v>1</v>
      </c>
      <c r="AH160" s="1">
        <f t="shared" si="65"/>
        <v>0</v>
      </c>
      <c r="AI160" s="1">
        <f t="shared" si="66"/>
        <v>1</v>
      </c>
    </row>
    <row r="161" spans="1:35" ht="14.25" customHeight="1" x14ac:dyDescent="0.25">
      <c r="A161" s="15">
        <v>0</v>
      </c>
      <c r="B161" s="15">
        <v>1</v>
      </c>
      <c r="C161" s="15">
        <v>3</v>
      </c>
      <c r="D161" s="16" t="s">
        <v>735</v>
      </c>
      <c r="E161" s="16" t="s">
        <v>171</v>
      </c>
      <c r="F161" s="16" t="s">
        <v>736</v>
      </c>
      <c r="G161" s="16" t="s">
        <v>39</v>
      </c>
      <c r="H161" s="16" t="s">
        <v>737</v>
      </c>
      <c r="I161" s="15" t="s">
        <v>738</v>
      </c>
      <c r="J161" s="15">
        <v>17</v>
      </c>
      <c r="K161" s="10" t="s">
        <v>718</v>
      </c>
      <c r="L161" s="10" t="s">
        <v>693</v>
      </c>
      <c r="M161" s="19" t="s">
        <v>687</v>
      </c>
      <c r="N161" s="17"/>
      <c r="Q161" s="16" t="s">
        <v>1861</v>
      </c>
      <c r="S161" s="1">
        <f t="shared" si="67"/>
        <v>0</v>
      </c>
      <c r="T161" s="1">
        <f t="shared" si="68"/>
        <v>0</v>
      </c>
      <c r="U161" s="1">
        <f t="shared" si="69"/>
        <v>0</v>
      </c>
      <c r="V161" s="1">
        <f t="shared" si="70"/>
        <v>0</v>
      </c>
      <c r="W161" s="1">
        <f t="shared" si="71"/>
        <v>0</v>
      </c>
      <c r="X161" s="1">
        <f t="shared" si="72"/>
        <v>0</v>
      </c>
      <c r="Y161" s="1">
        <f t="shared" si="73"/>
        <v>0</v>
      </c>
      <c r="Z161" s="1">
        <f t="shared" si="74"/>
        <v>0</v>
      </c>
      <c r="AA161" s="1">
        <f t="shared" si="75"/>
        <v>0</v>
      </c>
      <c r="AB161" s="1">
        <f t="shared" si="76"/>
        <v>0</v>
      </c>
      <c r="AD161" s="1">
        <f t="shared" si="77"/>
        <v>0</v>
      </c>
      <c r="AE161" s="1">
        <f t="shared" si="78"/>
        <v>0</v>
      </c>
      <c r="AF161" s="1">
        <f t="shared" si="63"/>
        <v>0</v>
      </c>
      <c r="AG161" s="1">
        <f t="shared" si="64"/>
        <v>0</v>
      </c>
      <c r="AH161" s="1">
        <f t="shared" si="65"/>
        <v>0</v>
      </c>
      <c r="AI161" s="1">
        <f t="shared" si="66"/>
        <v>1</v>
      </c>
    </row>
    <row r="162" spans="1:35" ht="14.25" customHeight="1" x14ac:dyDescent="0.25">
      <c r="A162" s="44">
        <v>0</v>
      </c>
      <c r="B162" s="44">
        <v>1</v>
      </c>
      <c r="C162" s="44">
        <v>3</v>
      </c>
      <c r="D162" s="45" t="s">
        <v>893</v>
      </c>
      <c r="E162" s="45" t="s">
        <v>171</v>
      </c>
      <c r="F162" s="45" t="s">
        <v>1083</v>
      </c>
      <c r="G162" s="45" t="s">
        <v>39</v>
      </c>
      <c r="H162" s="45" t="s">
        <v>895</v>
      </c>
      <c r="I162" s="44" t="s">
        <v>894</v>
      </c>
      <c r="J162" s="44">
        <v>11</v>
      </c>
      <c r="K162" s="46" t="s">
        <v>944</v>
      </c>
      <c r="L162" s="46">
        <v>60</v>
      </c>
      <c r="M162" s="47" t="s">
        <v>39</v>
      </c>
      <c r="N162" s="47" t="s">
        <v>1713</v>
      </c>
      <c r="O162" s="48"/>
      <c r="P162" s="48"/>
      <c r="Q162" s="45"/>
      <c r="S162" s="1">
        <f t="shared" si="67"/>
        <v>0</v>
      </c>
      <c r="T162" s="1">
        <f t="shared" si="68"/>
        <v>0</v>
      </c>
      <c r="U162" s="1">
        <f t="shared" si="69"/>
        <v>0</v>
      </c>
      <c r="V162" s="1">
        <f t="shared" si="70"/>
        <v>0</v>
      </c>
      <c r="W162" s="1">
        <f t="shared" si="71"/>
        <v>0</v>
      </c>
      <c r="X162" s="1">
        <f t="shared" si="72"/>
        <v>0</v>
      </c>
      <c r="Y162" s="1">
        <f t="shared" si="73"/>
        <v>0</v>
      </c>
      <c r="Z162" s="1">
        <f t="shared" si="74"/>
        <v>0</v>
      </c>
      <c r="AA162" s="1">
        <f t="shared" si="75"/>
        <v>0</v>
      </c>
      <c r="AB162" s="1">
        <f t="shared" si="76"/>
        <v>0</v>
      </c>
      <c r="AD162" s="1">
        <f t="shared" si="77"/>
        <v>0</v>
      </c>
      <c r="AE162" s="1">
        <f t="shared" si="78"/>
        <v>0</v>
      </c>
      <c r="AF162" s="1">
        <f t="shared" si="63"/>
        <v>0</v>
      </c>
      <c r="AG162" s="1">
        <f t="shared" si="64"/>
        <v>0</v>
      </c>
      <c r="AH162" s="1">
        <f t="shared" si="65"/>
        <v>0</v>
      </c>
      <c r="AI162" s="1">
        <f t="shared" si="66"/>
        <v>1</v>
      </c>
    </row>
    <row r="163" spans="1:35" ht="14.25" customHeight="1" x14ac:dyDescent="0.25">
      <c r="A163" s="31">
        <v>0</v>
      </c>
      <c r="B163" s="31">
        <v>1</v>
      </c>
      <c r="C163" s="31">
        <v>3</v>
      </c>
      <c r="D163" s="32" t="s">
        <v>122</v>
      </c>
      <c r="E163" s="32" t="s">
        <v>174</v>
      </c>
      <c r="F163" s="32" t="s">
        <v>322</v>
      </c>
      <c r="G163" s="32" t="s">
        <v>39</v>
      </c>
      <c r="H163" s="32" t="s">
        <v>361</v>
      </c>
      <c r="I163" s="31" t="s">
        <v>467</v>
      </c>
      <c r="J163" s="31">
        <v>14</v>
      </c>
      <c r="K163" s="33" t="s">
        <v>718</v>
      </c>
      <c r="L163" s="33" t="s">
        <v>689</v>
      </c>
      <c r="M163" s="34" t="s">
        <v>1356</v>
      </c>
      <c r="N163" s="34" t="s">
        <v>1823</v>
      </c>
      <c r="O163" s="35">
        <v>1</v>
      </c>
      <c r="P163" s="35"/>
      <c r="Q163" s="36"/>
      <c r="S163" s="1">
        <f t="shared" si="67"/>
        <v>0</v>
      </c>
      <c r="T163" s="1">
        <f t="shared" si="68"/>
        <v>0</v>
      </c>
      <c r="U163" s="1">
        <f t="shared" si="69"/>
        <v>0</v>
      </c>
      <c r="V163" s="1">
        <f t="shared" si="70"/>
        <v>0</v>
      </c>
      <c r="W163" s="1">
        <f t="shared" si="71"/>
        <v>0</v>
      </c>
      <c r="X163" s="1">
        <f t="shared" si="72"/>
        <v>0</v>
      </c>
      <c r="Y163" s="1">
        <f t="shared" si="73"/>
        <v>0</v>
      </c>
      <c r="Z163" s="1">
        <f t="shared" si="74"/>
        <v>0</v>
      </c>
      <c r="AA163" s="1">
        <f t="shared" si="75"/>
        <v>0</v>
      </c>
      <c r="AB163" s="1">
        <f t="shared" si="76"/>
        <v>0</v>
      </c>
      <c r="AD163" s="1">
        <f t="shared" si="77"/>
        <v>0</v>
      </c>
      <c r="AE163" s="1">
        <f t="shared" si="78"/>
        <v>1</v>
      </c>
      <c r="AF163" s="1">
        <f t="shared" si="63"/>
        <v>0</v>
      </c>
      <c r="AG163" s="1">
        <f t="shared" si="64"/>
        <v>1</v>
      </c>
      <c r="AH163" s="1">
        <f t="shared" si="65"/>
        <v>0</v>
      </c>
      <c r="AI163" s="1">
        <f t="shared" si="66"/>
        <v>1</v>
      </c>
    </row>
    <row r="164" spans="1:35" ht="14.25" customHeight="1" x14ac:dyDescent="0.25">
      <c r="A164" s="31">
        <v>0</v>
      </c>
      <c r="B164" s="31">
        <v>1</v>
      </c>
      <c r="C164" s="31">
        <v>3</v>
      </c>
      <c r="D164" s="32" t="s">
        <v>1153</v>
      </c>
      <c r="E164" s="32" t="s">
        <v>171</v>
      </c>
      <c r="F164" s="32" t="s">
        <v>1155</v>
      </c>
      <c r="G164" s="32" t="s">
        <v>758</v>
      </c>
      <c r="H164" s="32" t="s">
        <v>352</v>
      </c>
      <c r="I164" s="31" t="s">
        <v>1154</v>
      </c>
      <c r="J164" s="31">
        <v>99</v>
      </c>
      <c r="K164" s="33" t="s">
        <v>699</v>
      </c>
      <c r="L164" s="33">
        <v>30</v>
      </c>
      <c r="M164" s="34" t="s">
        <v>957</v>
      </c>
      <c r="N164" s="34" t="s">
        <v>1799</v>
      </c>
      <c r="O164" s="35">
        <v>1</v>
      </c>
      <c r="P164" s="35"/>
      <c r="Q164" s="36"/>
      <c r="S164" s="1">
        <f t="shared" si="67"/>
        <v>0</v>
      </c>
      <c r="T164" s="1">
        <f t="shared" si="68"/>
        <v>0</v>
      </c>
      <c r="U164" s="1">
        <f t="shared" si="69"/>
        <v>0</v>
      </c>
      <c r="V164" s="1">
        <f t="shared" si="70"/>
        <v>0</v>
      </c>
      <c r="W164" s="1">
        <f t="shared" si="71"/>
        <v>0</v>
      </c>
      <c r="X164" s="1">
        <f t="shared" si="72"/>
        <v>0</v>
      </c>
      <c r="Y164" s="1">
        <f t="shared" si="73"/>
        <v>0</v>
      </c>
      <c r="Z164" s="1">
        <f t="shared" si="74"/>
        <v>0</v>
      </c>
      <c r="AA164" s="1">
        <f t="shared" si="75"/>
        <v>0</v>
      </c>
      <c r="AB164" s="1">
        <f t="shared" si="76"/>
        <v>0</v>
      </c>
      <c r="AD164" s="1">
        <f t="shared" si="77"/>
        <v>0</v>
      </c>
      <c r="AE164" s="1">
        <f t="shared" si="78"/>
        <v>1</v>
      </c>
      <c r="AF164" s="1">
        <f t="shared" si="63"/>
        <v>0</v>
      </c>
      <c r="AG164" s="1">
        <f t="shared" si="64"/>
        <v>1</v>
      </c>
      <c r="AH164" s="1">
        <f t="shared" si="65"/>
        <v>0</v>
      </c>
      <c r="AI164" s="1">
        <f t="shared" si="66"/>
        <v>1</v>
      </c>
    </row>
    <row r="165" spans="1:35" ht="14.25" customHeight="1" x14ac:dyDescent="0.25">
      <c r="A165" s="31">
        <v>0</v>
      </c>
      <c r="B165" s="31">
        <v>1</v>
      </c>
      <c r="C165" s="31">
        <v>3</v>
      </c>
      <c r="D165" s="32" t="s">
        <v>2011</v>
      </c>
      <c r="E165" s="32" t="s">
        <v>171</v>
      </c>
      <c r="F165" s="32" t="s">
        <v>2012</v>
      </c>
      <c r="G165" s="32"/>
      <c r="H165" s="32" t="s">
        <v>352</v>
      </c>
      <c r="I165" s="31" t="s">
        <v>2013</v>
      </c>
      <c r="J165" s="31">
        <v>18</v>
      </c>
      <c r="K165" s="33" t="s">
        <v>699</v>
      </c>
      <c r="L165" s="33"/>
      <c r="M165" s="34"/>
      <c r="N165" s="34" t="s">
        <v>1707</v>
      </c>
      <c r="O165" s="35">
        <v>1</v>
      </c>
      <c r="P165" s="35">
        <v>1</v>
      </c>
      <c r="Q165" s="36" t="s">
        <v>2014</v>
      </c>
      <c r="S165" s="1">
        <f t="shared" si="67"/>
        <v>0</v>
      </c>
      <c r="T165" s="1">
        <f t="shared" si="68"/>
        <v>0</v>
      </c>
      <c r="U165" s="1">
        <f t="shared" si="69"/>
        <v>0</v>
      </c>
      <c r="V165" s="1">
        <f t="shared" si="70"/>
        <v>0</v>
      </c>
      <c r="W165" s="1">
        <f t="shared" si="71"/>
        <v>0</v>
      </c>
      <c r="X165" s="1">
        <f t="shared" si="72"/>
        <v>0</v>
      </c>
      <c r="Y165" s="1">
        <f t="shared" si="73"/>
        <v>0</v>
      </c>
      <c r="Z165" s="1">
        <f t="shared" si="74"/>
        <v>0</v>
      </c>
      <c r="AA165" s="1">
        <f t="shared" si="75"/>
        <v>0</v>
      </c>
      <c r="AB165" s="1">
        <f t="shared" si="76"/>
        <v>0</v>
      </c>
      <c r="AD165" s="1">
        <f t="shared" si="77"/>
        <v>1</v>
      </c>
      <c r="AE165" s="1">
        <f t="shared" si="78"/>
        <v>0</v>
      </c>
      <c r="AF165" s="1">
        <f t="shared" si="63"/>
        <v>1</v>
      </c>
      <c r="AG165" s="1">
        <f t="shared" si="64"/>
        <v>0</v>
      </c>
      <c r="AH165" s="1">
        <f t="shared" si="65"/>
        <v>1</v>
      </c>
      <c r="AI165" s="1">
        <f t="shared" si="66"/>
        <v>0</v>
      </c>
    </row>
    <row r="166" spans="1:35" ht="14.25" customHeight="1" x14ac:dyDescent="0.25">
      <c r="A166" s="15">
        <v>0</v>
      </c>
      <c r="B166" s="15">
        <v>1</v>
      </c>
      <c r="C166" s="15">
        <v>3</v>
      </c>
      <c r="D166" s="16" t="s">
        <v>739</v>
      </c>
      <c r="E166" s="16" t="s">
        <v>169</v>
      </c>
      <c r="F166" s="16" t="s">
        <v>740</v>
      </c>
      <c r="G166" s="16" t="s">
        <v>39</v>
      </c>
      <c r="H166" s="16" t="s">
        <v>741</v>
      </c>
      <c r="I166" s="15" t="s">
        <v>742</v>
      </c>
      <c r="J166" s="15">
        <v>17</v>
      </c>
      <c r="K166" s="10" t="s">
        <v>699</v>
      </c>
      <c r="L166" s="10" t="s">
        <v>693</v>
      </c>
      <c r="M166" s="19" t="s">
        <v>958</v>
      </c>
      <c r="N166" s="17"/>
      <c r="Q166" s="16"/>
      <c r="S166" s="1">
        <f t="shared" ref="S166:S172" si="79">IF(J166=$S$7,1,0)</f>
        <v>0</v>
      </c>
      <c r="T166" s="1">
        <f t="shared" ref="T166:T172" si="80">IF(J166=$T$7,1,0)</f>
        <v>0</v>
      </c>
      <c r="U166" s="1">
        <f t="shared" ref="U166:U172" si="81">IF(J166=$U$7,1,0)</f>
        <v>0</v>
      </c>
      <c r="V166" s="1">
        <f t="shared" ref="V166:V172" si="82">IF(J166=$V$7,1,0)</f>
        <v>0</v>
      </c>
      <c r="W166" s="1">
        <f t="shared" ref="W166:W172" si="83">IF(J166=$W$7,1,0)</f>
        <v>0</v>
      </c>
      <c r="X166" s="1">
        <f t="shared" ref="X166:X172" si="84">IF(J166=$X$7,1,0)</f>
        <v>0</v>
      </c>
      <c r="Y166" s="1">
        <f t="shared" ref="Y166:Y172" si="85">IF(J166=$Y$7,1,0)</f>
        <v>0</v>
      </c>
      <c r="Z166" s="1">
        <f t="shared" ref="Z166:Z172" si="86">IF(J166=$Z$7,1,0)</f>
        <v>0</v>
      </c>
      <c r="AA166" s="1">
        <f t="shared" ref="AA166:AA172" si="87">IF(J166=$AA$7,1,0)</f>
        <v>0</v>
      </c>
      <c r="AB166" s="1">
        <f t="shared" ref="AB166:AB172" si="88">IF(J166=$AB$7,1,0)</f>
        <v>0</v>
      </c>
      <c r="AD166" s="1">
        <f t="shared" ref="AD166:AD172" si="89">+O166*P166</f>
        <v>0</v>
      </c>
      <c r="AE166" s="1">
        <f t="shared" ref="AE166:AE172" si="90">O166*(1-P166)</f>
        <v>0</v>
      </c>
      <c r="AF166" s="1">
        <f t="shared" ref="AF166:AF172" si="91">+O166*P166*(1-A166)</f>
        <v>0</v>
      </c>
      <c r="AG166" s="1">
        <f t="shared" ref="AG166:AG172" si="92">O166*(1-P166)*(1-A166)</f>
        <v>0</v>
      </c>
      <c r="AH166" s="1">
        <f t="shared" ref="AH166:AH172" si="93">+P166*(1-A166)</f>
        <v>0</v>
      </c>
      <c r="AI166" s="1">
        <f t="shared" ref="AI166:AI172" si="94">+(1-A166)*(1-P166)</f>
        <v>1</v>
      </c>
    </row>
    <row r="167" spans="1:35" ht="14.25" customHeight="1" x14ac:dyDescent="0.25">
      <c r="A167" s="15">
        <v>0</v>
      </c>
      <c r="B167" s="15">
        <v>1</v>
      </c>
      <c r="C167" s="15">
        <v>3</v>
      </c>
      <c r="D167" s="20" t="s">
        <v>1921</v>
      </c>
      <c r="E167" s="20" t="s">
        <v>171</v>
      </c>
      <c r="F167" s="20" t="s">
        <v>1931</v>
      </c>
      <c r="G167" s="20"/>
      <c r="H167" s="20" t="s">
        <v>1932</v>
      </c>
      <c r="I167" s="21" t="s">
        <v>1933</v>
      </c>
      <c r="J167" s="15">
        <v>16</v>
      </c>
      <c r="K167" s="10" t="s">
        <v>699</v>
      </c>
      <c r="L167" s="10" t="s">
        <v>693</v>
      </c>
      <c r="M167" s="19" t="s">
        <v>958</v>
      </c>
      <c r="N167" s="17"/>
      <c r="Q167" s="20" t="s">
        <v>1930</v>
      </c>
      <c r="S167" s="1">
        <f t="shared" si="79"/>
        <v>0</v>
      </c>
      <c r="T167" s="1">
        <f t="shared" si="80"/>
        <v>0</v>
      </c>
      <c r="U167" s="1">
        <f t="shared" si="81"/>
        <v>0</v>
      </c>
      <c r="V167" s="1">
        <f t="shared" si="82"/>
        <v>0</v>
      </c>
      <c r="W167" s="1">
        <f t="shared" si="83"/>
        <v>0</v>
      </c>
      <c r="X167" s="1">
        <f t="shared" si="84"/>
        <v>0</v>
      </c>
      <c r="Y167" s="1">
        <f t="shared" si="85"/>
        <v>0</v>
      </c>
      <c r="Z167" s="1">
        <f t="shared" si="86"/>
        <v>0</v>
      </c>
      <c r="AA167" s="1">
        <f t="shared" si="87"/>
        <v>0</v>
      </c>
      <c r="AB167" s="1">
        <f t="shared" si="88"/>
        <v>0</v>
      </c>
      <c r="AD167" s="1">
        <f t="shared" si="89"/>
        <v>0</v>
      </c>
      <c r="AE167" s="1">
        <f t="shared" si="90"/>
        <v>0</v>
      </c>
      <c r="AF167" s="1">
        <f t="shared" si="91"/>
        <v>0</v>
      </c>
      <c r="AG167" s="1">
        <f t="shared" si="92"/>
        <v>0</v>
      </c>
      <c r="AH167" s="1">
        <f t="shared" si="93"/>
        <v>0</v>
      </c>
      <c r="AI167" s="1">
        <f t="shared" si="94"/>
        <v>1</v>
      </c>
    </row>
    <row r="168" spans="1:35" ht="14.25" customHeight="1" x14ac:dyDescent="0.25">
      <c r="A168" s="44">
        <v>0</v>
      </c>
      <c r="B168" s="44">
        <v>1</v>
      </c>
      <c r="C168" s="44">
        <v>3</v>
      </c>
      <c r="D168" s="45" t="s">
        <v>825</v>
      </c>
      <c r="E168" s="45" t="s">
        <v>903</v>
      </c>
      <c r="F168" s="45" t="s">
        <v>826</v>
      </c>
      <c r="G168" s="45" t="s">
        <v>207</v>
      </c>
      <c r="H168" s="45" t="s">
        <v>352</v>
      </c>
      <c r="I168" s="44" t="s">
        <v>827</v>
      </c>
      <c r="J168" s="44">
        <v>3</v>
      </c>
      <c r="K168" s="46" t="s">
        <v>718</v>
      </c>
      <c r="L168" s="46" t="s">
        <v>689</v>
      </c>
      <c r="M168" s="47" t="s">
        <v>694</v>
      </c>
      <c r="N168" s="47" t="s">
        <v>1714</v>
      </c>
      <c r="O168" s="48"/>
      <c r="P168" s="48"/>
      <c r="Q168" s="45"/>
      <c r="S168" s="1">
        <f t="shared" si="79"/>
        <v>0</v>
      </c>
      <c r="T168" s="1">
        <f t="shared" si="80"/>
        <v>0</v>
      </c>
      <c r="U168" s="1">
        <f t="shared" si="81"/>
        <v>1</v>
      </c>
      <c r="V168" s="1">
        <f t="shared" si="82"/>
        <v>0</v>
      </c>
      <c r="W168" s="1">
        <f t="shared" si="83"/>
        <v>0</v>
      </c>
      <c r="X168" s="1">
        <f t="shared" si="84"/>
        <v>0</v>
      </c>
      <c r="Y168" s="1">
        <f t="shared" si="85"/>
        <v>0</v>
      </c>
      <c r="Z168" s="1">
        <f t="shared" si="86"/>
        <v>0</v>
      </c>
      <c r="AA168" s="1">
        <f t="shared" si="87"/>
        <v>0</v>
      </c>
      <c r="AB168" s="1">
        <f t="shared" si="88"/>
        <v>0</v>
      </c>
      <c r="AD168" s="1">
        <f t="shared" si="89"/>
        <v>0</v>
      </c>
      <c r="AE168" s="1">
        <f t="shared" si="90"/>
        <v>0</v>
      </c>
      <c r="AF168" s="1">
        <f t="shared" si="91"/>
        <v>0</v>
      </c>
      <c r="AG168" s="1">
        <f t="shared" si="92"/>
        <v>0</v>
      </c>
      <c r="AH168" s="1">
        <f t="shared" si="93"/>
        <v>0</v>
      </c>
      <c r="AI168" s="1">
        <f t="shared" si="94"/>
        <v>1</v>
      </c>
    </row>
    <row r="169" spans="1:35" ht="14.25" customHeight="1" x14ac:dyDescent="0.25">
      <c r="A169" s="31">
        <v>0</v>
      </c>
      <c r="B169" s="31">
        <v>1</v>
      </c>
      <c r="C169" s="31">
        <v>3</v>
      </c>
      <c r="D169" s="32" t="s">
        <v>2088</v>
      </c>
      <c r="E169" s="32" t="s">
        <v>174</v>
      </c>
      <c r="F169" s="32" t="s">
        <v>2089</v>
      </c>
      <c r="G169" s="32"/>
      <c r="H169" s="32" t="s">
        <v>2090</v>
      </c>
      <c r="I169" s="37" t="s">
        <v>2091</v>
      </c>
      <c r="J169" s="31">
        <v>16</v>
      </c>
      <c r="K169" s="33" t="s">
        <v>699</v>
      </c>
      <c r="L169" s="33"/>
      <c r="M169" s="34"/>
      <c r="N169" s="34" t="s">
        <v>1701</v>
      </c>
      <c r="O169" s="35">
        <v>1</v>
      </c>
      <c r="P169" s="35">
        <v>1</v>
      </c>
      <c r="Q169" s="36" t="s">
        <v>2092</v>
      </c>
      <c r="S169" s="1">
        <f t="shared" si="79"/>
        <v>0</v>
      </c>
      <c r="T169" s="1">
        <f t="shared" si="80"/>
        <v>0</v>
      </c>
      <c r="U169" s="1">
        <f t="shared" si="81"/>
        <v>0</v>
      </c>
      <c r="V169" s="1">
        <f t="shared" si="82"/>
        <v>0</v>
      </c>
      <c r="W169" s="1">
        <f t="shared" si="83"/>
        <v>0</v>
      </c>
      <c r="X169" s="1">
        <f t="shared" si="84"/>
        <v>0</v>
      </c>
      <c r="Y169" s="1">
        <f t="shared" si="85"/>
        <v>0</v>
      </c>
      <c r="Z169" s="1">
        <f t="shared" si="86"/>
        <v>0</v>
      </c>
      <c r="AA169" s="1">
        <f t="shared" si="87"/>
        <v>0</v>
      </c>
      <c r="AB169" s="1">
        <f t="shared" si="88"/>
        <v>0</v>
      </c>
      <c r="AD169" s="1">
        <f t="shared" si="89"/>
        <v>1</v>
      </c>
      <c r="AE169" s="1">
        <f t="shared" si="90"/>
        <v>0</v>
      </c>
      <c r="AF169" s="1">
        <f t="shared" si="91"/>
        <v>1</v>
      </c>
      <c r="AG169" s="1">
        <f t="shared" si="92"/>
        <v>0</v>
      </c>
      <c r="AH169" s="1">
        <f t="shared" si="93"/>
        <v>1</v>
      </c>
      <c r="AI169" s="1">
        <f t="shared" si="94"/>
        <v>0</v>
      </c>
    </row>
    <row r="170" spans="1:35" ht="14.25" customHeight="1" x14ac:dyDescent="0.25">
      <c r="A170" s="15">
        <v>0</v>
      </c>
      <c r="B170" s="15">
        <v>1</v>
      </c>
      <c r="C170" s="15">
        <v>3</v>
      </c>
      <c r="D170" s="20" t="s">
        <v>1926</v>
      </c>
      <c r="E170" s="20" t="s">
        <v>171</v>
      </c>
      <c r="F170" s="20" t="s">
        <v>1928</v>
      </c>
      <c r="G170" s="20"/>
      <c r="H170" s="20" t="s">
        <v>1929</v>
      </c>
      <c r="I170" s="21" t="s">
        <v>1927</v>
      </c>
      <c r="J170" s="15">
        <v>16</v>
      </c>
      <c r="K170" s="10" t="s">
        <v>699</v>
      </c>
      <c r="L170" s="10" t="s">
        <v>693</v>
      </c>
      <c r="M170" s="19" t="s">
        <v>958</v>
      </c>
      <c r="N170" s="17"/>
      <c r="Q170" s="20" t="s">
        <v>1934</v>
      </c>
      <c r="S170" s="1">
        <f t="shared" si="79"/>
        <v>0</v>
      </c>
      <c r="T170" s="1">
        <f t="shared" si="80"/>
        <v>0</v>
      </c>
      <c r="U170" s="1">
        <f t="shared" si="81"/>
        <v>0</v>
      </c>
      <c r="V170" s="1">
        <f t="shared" si="82"/>
        <v>0</v>
      </c>
      <c r="W170" s="1">
        <f t="shared" si="83"/>
        <v>0</v>
      </c>
      <c r="X170" s="1">
        <f t="shared" si="84"/>
        <v>0</v>
      </c>
      <c r="Y170" s="1">
        <f t="shared" si="85"/>
        <v>0</v>
      </c>
      <c r="Z170" s="1">
        <f t="shared" si="86"/>
        <v>0</v>
      </c>
      <c r="AA170" s="1">
        <f t="shared" si="87"/>
        <v>0</v>
      </c>
      <c r="AB170" s="1">
        <f t="shared" si="88"/>
        <v>0</v>
      </c>
      <c r="AD170" s="1">
        <f t="shared" si="89"/>
        <v>0</v>
      </c>
      <c r="AE170" s="1">
        <f t="shared" si="90"/>
        <v>0</v>
      </c>
      <c r="AF170" s="1">
        <f t="shared" si="91"/>
        <v>0</v>
      </c>
      <c r="AG170" s="1">
        <f t="shared" si="92"/>
        <v>0</v>
      </c>
      <c r="AH170" s="1">
        <f t="shared" si="93"/>
        <v>0</v>
      </c>
      <c r="AI170" s="1">
        <f t="shared" si="94"/>
        <v>1</v>
      </c>
    </row>
    <row r="171" spans="1:35" ht="14.25" customHeight="1" x14ac:dyDescent="0.25">
      <c r="A171" s="31">
        <v>0</v>
      </c>
      <c r="B171" s="31">
        <v>1</v>
      </c>
      <c r="C171" s="31">
        <v>3</v>
      </c>
      <c r="D171" s="32" t="s">
        <v>1190</v>
      </c>
      <c r="E171" s="32" t="s">
        <v>171</v>
      </c>
      <c r="F171" s="32" t="s">
        <v>1192</v>
      </c>
      <c r="G171" s="32" t="s">
        <v>184</v>
      </c>
      <c r="H171" s="32" t="s">
        <v>352</v>
      </c>
      <c r="I171" s="31" t="s">
        <v>1191</v>
      </c>
      <c r="J171" s="31">
        <v>99</v>
      </c>
      <c r="K171" s="33" t="s">
        <v>945</v>
      </c>
      <c r="L171" s="33" t="s">
        <v>685</v>
      </c>
      <c r="M171" s="34" t="s">
        <v>958</v>
      </c>
      <c r="N171" s="34" t="s">
        <v>1723</v>
      </c>
      <c r="O171" s="35">
        <v>1</v>
      </c>
      <c r="P171" s="35"/>
      <c r="Q171" s="32"/>
      <c r="S171" s="1">
        <f t="shared" si="79"/>
        <v>0</v>
      </c>
      <c r="T171" s="1">
        <f t="shared" si="80"/>
        <v>0</v>
      </c>
      <c r="U171" s="1">
        <f t="shared" si="81"/>
        <v>0</v>
      </c>
      <c r="V171" s="1">
        <f t="shared" si="82"/>
        <v>0</v>
      </c>
      <c r="W171" s="1">
        <f t="shared" si="83"/>
        <v>0</v>
      </c>
      <c r="X171" s="1">
        <f t="shared" si="84"/>
        <v>0</v>
      </c>
      <c r="Y171" s="1">
        <f t="shared" si="85"/>
        <v>0</v>
      </c>
      <c r="Z171" s="1">
        <f t="shared" si="86"/>
        <v>0</v>
      </c>
      <c r="AA171" s="1">
        <f t="shared" si="87"/>
        <v>0</v>
      </c>
      <c r="AB171" s="1">
        <f t="shared" si="88"/>
        <v>0</v>
      </c>
      <c r="AD171" s="1">
        <f t="shared" si="89"/>
        <v>0</v>
      </c>
      <c r="AE171" s="1">
        <f t="shared" si="90"/>
        <v>1</v>
      </c>
      <c r="AF171" s="1">
        <f t="shared" si="91"/>
        <v>0</v>
      </c>
      <c r="AG171" s="1">
        <f t="shared" si="92"/>
        <v>1</v>
      </c>
      <c r="AH171" s="1">
        <f t="shared" si="93"/>
        <v>0</v>
      </c>
      <c r="AI171" s="1">
        <f t="shared" si="94"/>
        <v>1</v>
      </c>
    </row>
    <row r="172" spans="1:35" ht="14.25" customHeight="1" x14ac:dyDescent="0.25">
      <c r="A172" s="31">
        <v>0</v>
      </c>
      <c r="B172" s="31">
        <v>1</v>
      </c>
      <c r="C172" s="31">
        <v>3</v>
      </c>
      <c r="D172" s="32" t="s">
        <v>628</v>
      </c>
      <c r="E172" s="32" t="s">
        <v>169</v>
      </c>
      <c r="F172" s="32" t="s">
        <v>629</v>
      </c>
      <c r="G172" s="32" t="s">
        <v>193</v>
      </c>
      <c r="H172" s="32" t="s">
        <v>352</v>
      </c>
      <c r="I172" s="31" t="s">
        <v>630</v>
      </c>
      <c r="J172" s="31">
        <v>9</v>
      </c>
      <c r="K172" s="33" t="s">
        <v>944</v>
      </c>
      <c r="L172" s="33" t="s">
        <v>1673</v>
      </c>
      <c r="M172" s="34" t="s">
        <v>957</v>
      </c>
      <c r="N172" s="34" t="s">
        <v>1701</v>
      </c>
      <c r="O172" s="35">
        <v>1</v>
      </c>
      <c r="P172" s="35">
        <v>1</v>
      </c>
      <c r="Q172" s="32"/>
      <c r="S172" s="1">
        <f t="shared" si="79"/>
        <v>0</v>
      </c>
      <c r="T172" s="1">
        <f t="shared" si="80"/>
        <v>0</v>
      </c>
      <c r="U172" s="1">
        <f t="shared" si="81"/>
        <v>0</v>
      </c>
      <c r="V172" s="1">
        <f t="shared" si="82"/>
        <v>0</v>
      </c>
      <c r="W172" s="1">
        <f t="shared" si="83"/>
        <v>0</v>
      </c>
      <c r="X172" s="1">
        <f t="shared" si="84"/>
        <v>0</v>
      </c>
      <c r="Y172" s="1">
        <f t="shared" si="85"/>
        <v>0</v>
      </c>
      <c r="Z172" s="1">
        <f t="shared" si="86"/>
        <v>0</v>
      </c>
      <c r="AA172" s="1">
        <f t="shared" si="87"/>
        <v>1</v>
      </c>
      <c r="AB172" s="1">
        <f t="shared" si="88"/>
        <v>0</v>
      </c>
      <c r="AD172" s="1">
        <f t="shared" si="89"/>
        <v>1</v>
      </c>
      <c r="AE172" s="1">
        <f t="shared" si="90"/>
        <v>0</v>
      </c>
      <c r="AF172" s="1">
        <f t="shared" si="91"/>
        <v>1</v>
      </c>
      <c r="AG172" s="1">
        <f t="shared" si="92"/>
        <v>0</v>
      </c>
      <c r="AH172" s="1">
        <f t="shared" si="93"/>
        <v>1</v>
      </c>
      <c r="AI172" s="1">
        <f t="shared" si="94"/>
        <v>0</v>
      </c>
    </row>
    <row r="173" spans="1:35" ht="14.25" customHeight="1" x14ac:dyDescent="0.25">
      <c r="A173" s="44">
        <v>0</v>
      </c>
      <c r="B173" s="44">
        <v>1</v>
      </c>
      <c r="C173" s="44">
        <v>3</v>
      </c>
      <c r="D173" s="45" t="s">
        <v>131</v>
      </c>
      <c r="E173" s="45" t="s">
        <v>679</v>
      </c>
      <c r="F173" s="45" t="s">
        <v>332</v>
      </c>
      <c r="G173" s="45" t="s">
        <v>39</v>
      </c>
      <c r="H173" s="45" t="s">
        <v>360</v>
      </c>
      <c r="I173" s="44" t="s">
        <v>478</v>
      </c>
      <c r="J173" s="44">
        <v>12</v>
      </c>
      <c r="K173" s="46" t="s">
        <v>718</v>
      </c>
      <c r="L173" s="46">
        <v>35</v>
      </c>
      <c r="M173" s="47" t="s">
        <v>39</v>
      </c>
      <c r="N173" s="47" t="s">
        <v>1776</v>
      </c>
      <c r="O173" s="48"/>
      <c r="P173" s="48"/>
      <c r="Q173" s="45"/>
      <c r="S173" s="1">
        <f t="shared" si="67"/>
        <v>0</v>
      </c>
      <c r="T173" s="1">
        <f t="shared" si="68"/>
        <v>0</v>
      </c>
      <c r="U173" s="1">
        <f t="shared" si="69"/>
        <v>0</v>
      </c>
      <c r="V173" s="1">
        <f t="shared" si="70"/>
        <v>0</v>
      </c>
      <c r="W173" s="1">
        <f t="shared" si="71"/>
        <v>0</v>
      </c>
      <c r="X173" s="1">
        <f t="shared" si="72"/>
        <v>0</v>
      </c>
      <c r="Y173" s="1">
        <f t="shared" si="73"/>
        <v>0</v>
      </c>
      <c r="Z173" s="1">
        <f t="shared" si="74"/>
        <v>0</v>
      </c>
      <c r="AA173" s="1">
        <f t="shared" si="75"/>
        <v>0</v>
      </c>
      <c r="AB173" s="1">
        <f t="shared" si="76"/>
        <v>0</v>
      </c>
      <c r="AD173" s="1">
        <f t="shared" si="77"/>
        <v>0</v>
      </c>
      <c r="AE173" s="1">
        <f t="shared" si="78"/>
        <v>0</v>
      </c>
      <c r="AF173" s="1">
        <f t="shared" si="63"/>
        <v>0</v>
      </c>
      <c r="AG173" s="1">
        <f t="shared" si="64"/>
        <v>0</v>
      </c>
      <c r="AH173" s="1">
        <f t="shared" si="65"/>
        <v>0</v>
      </c>
      <c r="AI173" s="1">
        <f t="shared" si="66"/>
        <v>1</v>
      </c>
    </row>
    <row r="174" spans="1:35" ht="14.25" customHeight="1" x14ac:dyDescent="0.25">
      <c r="A174" s="15">
        <v>0</v>
      </c>
      <c r="B174" s="15">
        <v>1</v>
      </c>
      <c r="C174" s="15">
        <v>3</v>
      </c>
      <c r="D174" s="16" t="s">
        <v>817</v>
      </c>
      <c r="E174" s="16" t="s">
        <v>171</v>
      </c>
      <c r="F174" s="16" t="s">
        <v>818</v>
      </c>
      <c r="G174" s="16" t="s">
        <v>39</v>
      </c>
      <c r="H174" s="16" t="s">
        <v>373</v>
      </c>
      <c r="I174" s="15" t="s">
        <v>816</v>
      </c>
      <c r="J174" s="15">
        <v>12</v>
      </c>
      <c r="K174" s="10" t="s">
        <v>699</v>
      </c>
      <c r="L174" s="10">
        <v>40</v>
      </c>
      <c r="M174" s="19" t="s">
        <v>957</v>
      </c>
      <c r="N174" s="19"/>
      <c r="Q174" s="16"/>
      <c r="S174" s="1">
        <f t="shared" si="67"/>
        <v>0</v>
      </c>
      <c r="T174" s="1">
        <f t="shared" si="68"/>
        <v>0</v>
      </c>
      <c r="U174" s="1">
        <f t="shared" si="69"/>
        <v>0</v>
      </c>
      <c r="V174" s="1">
        <f t="shared" si="70"/>
        <v>0</v>
      </c>
      <c r="W174" s="1">
        <f t="shared" si="71"/>
        <v>0</v>
      </c>
      <c r="X174" s="1">
        <f t="shared" si="72"/>
        <v>0</v>
      </c>
      <c r="Y174" s="1">
        <f t="shared" si="73"/>
        <v>0</v>
      </c>
      <c r="Z174" s="1">
        <f t="shared" si="74"/>
        <v>0</v>
      </c>
      <c r="AA174" s="1">
        <f t="shared" si="75"/>
        <v>0</v>
      </c>
      <c r="AB174" s="1">
        <f t="shared" si="76"/>
        <v>0</v>
      </c>
      <c r="AD174" s="1">
        <f t="shared" si="77"/>
        <v>0</v>
      </c>
      <c r="AE174" s="1">
        <f t="shared" si="78"/>
        <v>0</v>
      </c>
      <c r="AF174" s="1">
        <f t="shared" si="63"/>
        <v>0</v>
      </c>
      <c r="AG174" s="1">
        <f t="shared" si="64"/>
        <v>0</v>
      </c>
      <c r="AH174" s="1">
        <f t="shared" si="65"/>
        <v>0</v>
      </c>
      <c r="AI174" s="1">
        <f t="shared" si="66"/>
        <v>1</v>
      </c>
    </row>
    <row r="175" spans="1:35" ht="14.25" customHeight="1" x14ac:dyDescent="0.25">
      <c r="A175" s="31">
        <v>0</v>
      </c>
      <c r="B175" s="31">
        <v>1</v>
      </c>
      <c r="C175" s="31">
        <v>3</v>
      </c>
      <c r="D175" s="32" t="s">
        <v>141</v>
      </c>
      <c r="E175" s="32" t="s">
        <v>171</v>
      </c>
      <c r="F175" s="32" t="s">
        <v>341</v>
      </c>
      <c r="G175" s="32" t="s">
        <v>39</v>
      </c>
      <c r="H175" s="32" t="s">
        <v>375</v>
      </c>
      <c r="I175" s="31" t="s">
        <v>487</v>
      </c>
      <c r="J175" s="31">
        <v>15</v>
      </c>
      <c r="K175" s="33" t="s">
        <v>698</v>
      </c>
      <c r="L175" s="33" t="s">
        <v>688</v>
      </c>
      <c r="M175" s="34" t="s">
        <v>687</v>
      </c>
      <c r="N175" s="34" t="s">
        <v>1707</v>
      </c>
      <c r="O175" s="35">
        <v>1</v>
      </c>
      <c r="P175" s="35">
        <v>1</v>
      </c>
      <c r="Q175" s="36" t="s">
        <v>1865</v>
      </c>
      <c r="S175" s="1">
        <f t="shared" si="67"/>
        <v>0</v>
      </c>
      <c r="T175" s="1">
        <f t="shared" si="68"/>
        <v>0</v>
      </c>
      <c r="U175" s="1">
        <f t="shared" si="69"/>
        <v>0</v>
      </c>
      <c r="V175" s="1">
        <f t="shared" si="70"/>
        <v>0</v>
      </c>
      <c r="W175" s="1">
        <f t="shared" si="71"/>
        <v>0</v>
      </c>
      <c r="X175" s="1">
        <f t="shared" si="72"/>
        <v>0</v>
      </c>
      <c r="Y175" s="1">
        <f t="shared" si="73"/>
        <v>0</v>
      </c>
      <c r="Z175" s="1">
        <f t="shared" si="74"/>
        <v>0</v>
      </c>
      <c r="AA175" s="1">
        <f t="shared" si="75"/>
        <v>0</v>
      </c>
      <c r="AB175" s="1">
        <f t="shared" si="76"/>
        <v>0</v>
      </c>
      <c r="AD175" s="1">
        <f t="shared" si="77"/>
        <v>1</v>
      </c>
      <c r="AE175" s="1">
        <f t="shared" si="78"/>
        <v>0</v>
      </c>
      <c r="AF175" s="1">
        <f t="shared" si="63"/>
        <v>1</v>
      </c>
      <c r="AG175" s="1">
        <f t="shared" si="64"/>
        <v>0</v>
      </c>
      <c r="AH175" s="1">
        <f t="shared" si="65"/>
        <v>1</v>
      </c>
      <c r="AI175" s="1">
        <f t="shared" si="66"/>
        <v>0</v>
      </c>
    </row>
    <row r="176" spans="1:35" ht="14.25" customHeight="1" x14ac:dyDescent="0.25">
      <c r="A176" s="31">
        <v>0</v>
      </c>
      <c r="B176" s="31">
        <v>1</v>
      </c>
      <c r="C176" s="31">
        <v>3</v>
      </c>
      <c r="D176" s="32" t="s">
        <v>743</v>
      </c>
      <c r="E176" s="32" t="s">
        <v>606</v>
      </c>
      <c r="F176" s="32" t="s">
        <v>744</v>
      </c>
      <c r="G176" s="32" t="s">
        <v>39</v>
      </c>
      <c r="H176" s="32" t="s">
        <v>745</v>
      </c>
      <c r="I176" s="31" t="s">
        <v>746</v>
      </c>
      <c r="J176" s="31">
        <v>18</v>
      </c>
      <c r="K176" s="33" t="s">
        <v>699</v>
      </c>
      <c r="L176" s="33" t="s">
        <v>693</v>
      </c>
      <c r="M176" s="34" t="s">
        <v>687</v>
      </c>
      <c r="N176" s="34" t="s">
        <v>1823</v>
      </c>
      <c r="O176" s="35">
        <v>1</v>
      </c>
      <c r="P176" s="35"/>
      <c r="Q176" s="36"/>
      <c r="S176" s="1">
        <f t="shared" si="67"/>
        <v>0</v>
      </c>
      <c r="T176" s="1">
        <f t="shared" si="68"/>
        <v>0</v>
      </c>
      <c r="U176" s="1">
        <f t="shared" si="69"/>
        <v>0</v>
      </c>
      <c r="V176" s="1">
        <f t="shared" si="70"/>
        <v>0</v>
      </c>
      <c r="W176" s="1">
        <f t="shared" si="71"/>
        <v>0</v>
      </c>
      <c r="X176" s="1">
        <f t="shared" si="72"/>
        <v>0</v>
      </c>
      <c r="Y176" s="1">
        <f t="shared" si="73"/>
        <v>0</v>
      </c>
      <c r="Z176" s="1">
        <f t="shared" si="74"/>
        <v>0</v>
      </c>
      <c r="AA176" s="1">
        <f t="shared" si="75"/>
        <v>0</v>
      </c>
      <c r="AB176" s="1">
        <f t="shared" si="76"/>
        <v>0</v>
      </c>
      <c r="AD176" s="1">
        <f t="shared" si="77"/>
        <v>0</v>
      </c>
      <c r="AE176" s="1">
        <f t="shared" si="78"/>
        <v>1</v>
      </c>
      <c r="AF176" s="1">
        <f t="shared" si="63"/>
        <v>0</v>
      </c>
      <c r="AG176" s="1">
        <f t="shared" si="64"/>
        <v>1</v>
      </c>
      <c r="AH176" s="1">
        <f t="shared" si="65"/>
        <v>0</v>
      </c>
      <c r="AI176" s="1">
        <f t="shared" si="66"/>
        <v>1</v>
      </c>
    </row>
    <row r="177" spans="1:35" ht="14.25" customHeight="1" x14ac:dyDescent="0.25">
      <c r="A177" s="31">
        <v>0</v>
      </c>
      <c r="B177" s="31">
        <v>1</v>
      </c>
      <c r="C177" s="31">
        <v>3</v>
      </c>
      <c r="D177" s="36" t="s">
        <v>1815</v>
      </c>
      <c r="E177" s="32" t="s">
        <v>1074</v>
      </c>
      <c r="F177" s="32" t="s">
        <v>1800</v>
      </c>
      <c r="G177" s="32"/>
      <c r="H177" s="32" t="s">
        <v>370</v>
      </c>
      <c r="I177" s="31" t="s">
        <v>1801</v>
      </c>
      <c r="J177" s="31">
        <v>16</v>
      </c>
      <c r="K177" s="33" t="s">
        <v>699</v>
      </c>
      <c r="L177" s="33"/>
      <c r="M177" s="34"/>
      <c r="N177" s="34" t="s">
        <v>1701</v>
      </c>
      <c r="O177" s="35">
        <v>1</v>
      </c>
      <c r="P177" s="35">
        <v>1</v>
      </c>
      <c r="Q177" s="32"/>
      <c r="S177" s="1">
        <f t="shared" si="67"/>
        <v>0</v>
      </c>
      <c r="T177" s="1">
        <f t="shared" si="68"/>
        <v>0</v>
      </c>
      <c r="U177" s="1">
        <f t="shared" si="69"/>
        <v>0</v>
      </c>
      <c r="V177" s="1">
        <f t="shared" si="70"/>
        <v>0</v>
      </c>
      <c r="W177" s="1">
        <f t="shared" si="71"/>
        <v>0</v>
      </c>
      <c r="X177" s="1">
        <f t="shared" si="72"/>
        <v>0</v>
      </c>
      <c r="Y177" s="1">
        <f t="shared" si="73"/>
        <v>0</v>
      </c>
      <c r="Z177" s="1">
        <f t="shared" si="74"/>
        <v>0</v>
      </c>
      <c r="AA177" s="1">
        <f t="shared" si="75"/>
        <v>0</v>
      </c>
      <c r="AB177" s="1">
        <f t="shared" si="76"/>
        <v>0</v>
      </c>
      <c r="AD177" s="1">
        <f t="shared" si="77"/>
        <v>1</v>
      </c>
      <c r="AE177" s="1">
        <f t="shared" si="78"/>
        <v>0</v>
      </c>
      <c r="AF177" s="1">
        <f t="shared" si="63"/>
        <v>1</v>
      </c>
      <c r="AG177" s="1">
        <f t="shared" si="64"/>
        <v>0</v>
      </c>
      <c r="AH177" s="1">
        <f t="shared" si="65"/>
        <v>1</v>
      </c>
      <c r="AI177" s="1">
        <f t="shared" si="66"/>
        <v>0</v>
      </c>
    </row>
    <row r="178" spans="1:35" ht="14.25" customHeight="1" x14ac:dyDescent="0.25">
      <c r="A178" s="31">
        <v>0</v>
      </c>
      <c r="B178" s="31">
        <v>1</v>
      </c>
      <c r="C178" s="31">
        <v>3</v>
      </c>
      <c r="D178" s="32" t="s">
        <v>966</v>
      </c>
      <c r="E178" s="32" t="s">
        <v>606</v>
      </c>
      <c r="F178" s="32" t="s">
        <v>967</v>
      </c>
      <c r="G178" s="32" t="s">
        <v>202</v>
      </c>
      <c r="H178" s="32" t="s">
        <v>352</v>
      </c>
      <c r="I178" s="31" t="s">
        <v>968</v>
      </c>
      <c r="J178" s="31">
        <v>99</v>
      </c>
      <c r="K178" s="33" t="s">
        <v>943</v>
      </c>
      <c r="L178" s="33" t="s">
        <v>39</v>
      </c>
      <c r="M178" s="34" t="s">
        <v>39</v>
      </c>
      <c r="N178" s="34" t="s">
        <v>1701</v>
      </c>
      <c r="O178" s="35">
        <v>1</v>
      </c>
      <c r="P178" s="35">
        <v>1</v>
      </c>
      <c r="Q178" s="32"/>
      <c r="S178" s="1">
        <f t="shared" si="67"/>
        <v>0</v>
      </c>
      <c r="T178" s="1">
        <f t="shared" si="68"/>
        <v>0</v>
      </c>
      <c r="U178" s="1">
        <f t="shared" si="69"/>
        <v>0</v>
      </c>
      <c r="V178" s="1">
        <f t="shared" si="70"/>
        <v>0</v>
      </c>
      <c r="W178" s="1">
        <f t="shared" si="71"/>
        <v>0</v>
      </c>
      <c r="X178" s="1">
        <f t="shared" si="72"/>
        <v>0</v>
      </c>
      <c r="Y178" s="1">
        <f t="shared" si="73"/>
        <v>0</v>
      </c>
      <c r="Z178" s="1">
        <f t="shared" si="74"/>
        <v>0</v>
      </c>
      <c r="AA178" s="1">
        <f t="shared" si="75"/>
        <v>0</v>
      </c>
      <c r="AB178" s="1">
        <f t="shared" si="76"/>
        <v>0</v>
      </c>
      <c r="AD178" s="1">
        <f t="shared" si="77"/>
        <v>1</v>
      </c>
      <c r="AE178" s="1">
        <f t="shared" si="78"/>
        <v>0</v>
      </c>
      <c r="AF178" s="1">
        <f t="shared" si="63"/>
        <v>1</v>
      </c>
      <c r="AG178" s="1">
        <f t="shared" si="64"/>
        <v>0</v>
      </c>
      <c r="AH178" s="1">
        <f t="shared" si="65"/>
        <v>1</v>
      </c>
      <c r="AI178" s="1">
        <f t="shared" si="66"/>
        <v>0</v>
      </c>
    </row>
    <row r="179" spans="1:35" ht="14.25" customHeight="1" x14ac:dyDescent="0.25">
      <c r="A179" s="31">
        <v>0</v>
      </c>
      <c r="B179" s="31">
        <v>1</v>
      </c>
      <c r="C179" s="31">
        <v>3</v>
      </c>
      <c r="D179" s="32" t="s">
        <v>148</v>
      </c>
      <c r="E179" s="32" t="s">
        <v>171</v>
      </c>
      <c r="F179" s="32" t="s">
        <v>348</v>
      </c>
      <c r="G179" s="32" t="s">
        <v>39</v>
      </c>
      <c r="H179" s="32" t="s">
        <v>378</v>
      </c>
      <c r="I179" s="31" t="s">
        <v>493</v>
      </c>
      <c r="J179" s="31">
        <v>14</v>
      </c>
      <c r="K179" s="33" t="s">
        <v>951</v>
      </c>
      <c r="L179" s="33" t="s">
        <v>39</v>
      </c>
      <c r="M179" s="34" t="s">
        <v>39</v>
      </c>
      <c r="N179" s="34" t="s">
        <v>1707</v>
      </c>
      <c r="O179" s="35">
        <v>1</v>
      </c>
      <c r="P179" s="35">
        <v>1</v>
      </c>
      <c r="Q179" s="32"/>
      <c r="S179" s="1">
        <f t="shared" si="67"/>
        <v>0</v>
      </c>
      <c r="T179" s="1">
        <f t="shared" si="68"/>
        <v>0</v>
      </c>
      <c r="U179" s="1">
        <f t="shared" si="69"/>
        <v>0</v>
      </c>
      <c r="V179" s="1">
        <f t="shared" si="70"/>
        <v>0</v>
      </c>
      <c r="W179" s="1">
        <f t="shared" si="71"/>
        <v>0</v>
      </c>
      <c r="X179" s="1">
        <f t="shared" si="72"/>
        <v>0</v>
      </c>
      <c r="Y179" s="1">
        <f t="shared" si="73"/>
        <v>0</v>
      </c>
      <c r="Z179" s="1">
        <f t="shared" si="74"/>
        <v>0</v>
      </c>
      <c r="AA179" s="1">
        <f t="shared" si="75"/>
        <v>0</v>
      </c>
      <c r="AB179" s="1">
        <f t="shared" si="76"/>
        <v>0</v>
      </c>
      <c r="AD179" s="1">
        <f t="shared" si="77"/>
        <v>1</v>
      </c>
      <c r="AE179" s="1">
        <f t="shared" si="78"/>
        <v>0</v>
      </c>
      <c r="AF179" s="1">
        <f t="shared" si="63"/>
        <v>1</v>
      </c>
      <c r="AG179" s="1">
        <f t="shared" si="64"/>
        <v>0</v>
      </c>
      <c r="AH179" s="1">
        <f t="shared" si="65"/>
        <v>1</v>
      </c>
      <c r="AI179" s="1">
        <f t="shared" si="66"/>
        <v>0</v>
      </c>
    </row>
    <row r="180" spans="1:35" ht="14.25" customHeight="1" x14ac:dyDescent="0.25">
      <c r="A180" s="31">
        <v>0</v>
      </c>
      <c r="B180" s="31">
        <v>1</v>
      </c>
      <c r="C180" s="31">
        <v>3</v>
      </c>
      <c r="D180" s="32" t="s">
        <v>1959</v>
      </c>
      <c r="E180" s="32" t="s">
        <v>1960</v>
      </c>
      <c r="F180" s="32" t="s">
        <v>1961</v>
      </c>
      <c r="G180" s="32" t="s">
        <v>531</v>
      </c>
      <c r="H180" s="32" t="s">
        <v>352</v>
      </c>
      <c r="I180" s="31" t="s">
        <v>1962</v>
      </c>
      <c r="J180" s="31"/>
      <c r="K180" s="33" t="s">
        <v>699</v>
      </c>
      <c r="L180" s="33"/>
      <c r="M180" s="34"/>
      <c r="N180" s="34" t="s">
        <v>1707</v>
      </c>
      <c r="O180" s="35">
        <v>1</v>
      </c>
      <c r="P180" s="35">
        <v>1</v>
      </c>
      <c r="Q180" s="32"/>
      <c r="S180" s="1">
        <f t="shared" si="67"/>
        <v>0</v>
      </c>
      <c r="T180" s="1">
        <f t="shared" si="68"/>
        <v>0</v>
      </c>
      <c r="U180" s="1">
        <f t="shared" si="69"/>
        <v>0</v>
      </c>
      <c r="V180" s="1">
        <f t="shared" si="70"/>
        <v>0</v>
      </c>
      <c r="W180" s="1">
        <f t="shared" si="71"/>
        <v>0</v>
      </c>
      <c r="X180" s="1">
        <f t="shared" si="72"/>
        <v>0</v>
      </c>
      <c r="Y180" s="1">
        <f t="shared" si="73"/>
        <v>0</v>
      </c>
      <c r="Z180" s="1">
        <f t="shared" si="74"/>
        <v>0</v>
      </c>
      <c r="AA180" s="1">
        <f t="shared" si="75"/>
        <v>0</v>
      </c>
      <c r="AB180" s="1">
        <f t="shared" si="76"/>
        <v>0</v>
      </c>
      <c r="AD180" s="1">
        <f t="shared" si="77"/>
        <v>1</v>
      </c>
      <c r="AE180" s="1">
        <f t="shared" si="78"/>
        <v>0</v>
      </c>
      <c r="AF180" s="1">
        <f t="shared" si="63"/>
        <v>1</v>
      </c>
      <c r="AG180" s="1">
        <f t="shared" si="64"/>
        <v>0</v>
      </c>
      <c r="AH180" s="1">
        <f t="shared" si="65"/>
        <v>1</v>
      </c>
      <c r="AI180" s="1">
        <f t="shared" si="66"/>
        <v>0</v>
      </c>
    </row>
    <row r="181" spans="1:35" ht="14.25" customHeight="1" x14ac:dyDescent="0.25">
      <c r="A181" s="31">
        <v>0</v>
      </c>
      <c r="B181" s="31">
        <v>1</v>
      </c>
      <c r="C181" s="31">
        <v>3</v>
      </c>
      <c r="D181" s="32" t="s">
        <v>631</v>
      </c>
      <c r="E181" s="32" t="s">
        <v>171</v>
      </c>
      <c r="F181" s="32" t="s">
        <v>633</v>
      </c>
      <c r="G181" s="32" t="s">
        <v>237</v>
      </c>
      <c r="H181" s="32" t="s">
        <v>352</v>
      </c>
      <c r="I181" s="31" t="s">
        <v>632</v>
      </c>
      <c r="J181" s="31">
        <v>4</v>
      </c>
      <c r="K181" s="33" t="s">
        <v>943</v>
      </c>
      <c r="L181" s="33" t="s">
        <v>39</v>
      </c>
      <c r="M181" s="34" t="s">
        <v>39</v>
      </c>
      <c r="N181" s="34" t="s">
        <v>1707</v>
      </c>
      <c r="O181" s="35">
        <v>1</v>
      </c>
      <c r="P181" s="35">
        <v>1</v>
      </c>
      <c r="Q181" s="32"/>
      <c r="S181" s="1">
        <f t="shared" si="67"/>
        <v>0</v>
      </c>
      <c r="T181" s="1">
        <f t="shared" si="68"/>
        <v>0</v>
      </c>
      <c r="U181" s="1">
        <f t="shared" si="69"/>
        <v>0</v>
      </c>
      <c r="V181" s="1">
        <f t="shared" si="70"/>
        <v>1</v>
      </c>
      <c r="W181" s="1">
        <f t="shared" si="71"/>
        <v>0</v>
      </c>
      <c r="X181" s="1">
        <f t="shared" si="72"/>
        <v>0</v>
      </c>
      <c r="Y181" s="1">
        <f t="shared" si="73"/>
        <v>0</v>
      </c>
      <c r="Z181" s="1">
        <f t="shared" si="74"/>
        <v>0</v>
      </c>
      <c r="AA181" s="1">
        <f t="shared" si="75"/>
        <v>0</v>
      </c>
      <c r="AB181" s="1">
        <f t="shared" si="76"/>
        <v>0</v>
      </c>
      <c r="AD181" s="1">
        <f t="shared" si="77"/>
        <v>1</v>
      </c>
      <c r="AE181" s="1">
        <f t="shared" si="78"/>
        <v>0</v>
      </c>
      <c r="AF181" s="1">
        <f t="shared" si="63"/>
        <v>1</v>
      </c>
      <c r="AG181" s="1">
        <f t="shared" si="64"/>
        <v>0</v>
      </c>
      <c r="AH181" s="1">
        <f t="shared" si="65"/>
        <v>1</v>
      </c>
      <c r="AI181" s="1">
        <f t="shared" si="66"/>
        <v>0</v>
      </c>
    </row>
    <row r="182" spans="1:35" ht="14.25" customHeight="1" x14ac:dyDescent="0.25">
      <c r="A182" s="15">
        <v>0</v>
      </c>
      <c r="B182" s="15">
        <v>1</v>
      </c>
      <c r="C182" s="15">
        <v>3</v>
      </c>
      <c r="D182" s="16" t="s">
        <v>1502</v>
      </c>
      <c r="E182" s="16" t="s">
        <v>1074</v>
      </c>
      <c r="F182" s="16" t="s">
        <v>1503</v>
      </c>
      <c r="G182" s="16" t="s">
        <v>217</v>
      </c>
      <c r="H182" s="16" t="s">
        <v>352</v>
      </c>
      <c r="I182" s="15" t="s">
        <v>1504</v>
      </c>
      <c r="J182" s="15">
        <v>99</v>
      </c>
      <c r="K182" s="10" t="s">
        <v>699</v>
      </c>
      <c r="L182" s="10">
        <v>40</v>
      </c>
      <c r="M182" s="19" t="s">
        <v>957</v>
      </c>
      <c r="N182" s="19"/>
      <c r="Q182" s="16"/>
      <c r="S182" s="1">
        <f t="shared" si="67"/>
        <v>0</v>
      </c>
      <c r="T182" s="1">
        <f t="shared" si="68"/>
        <v>0</v>
      </c>
      <c r="U182" s="1">
        <f t="shared" si="69"/>
        <v>0</v>
      </c>
      <c r="V182" s="1">
        <f t="shared" si="70"/>
        <v>0</v>
      </c>
      <c r="W182" s="1">
        <f t="shared" si="71"/>
        <v>0</v>
      </c>
      <c r="X182" s="1">
        <f t="shared" si="72"/>
        <v>0</v>
      </c>
      <c r="Y182" s="1">
        <f t="shared" si="73"/>
        <v>0</v>
      </c>
      <c r="Z182" s="1">
        <f t="shared" si="74"/>
        <v>0</v>
      </c>
      <c r="AA182" s="1">
        <f t="shared" si="75"/>
        <v>0</v>
      </c>
      <c r="AB182" s="1">
        <f t="shared" si="76"/>
        <v>0</v>
      </c>
      <c r="AD182" s="1">
        <f t="shared" si="77"/>
        <v>0</v>
      </c>
      <c r="AE182" s="1">
        <f t="shared" si="78"/>
        <v>0</v>
      </c>
      <c r="AF182" s="1">
        <f t="shared" si="63"/>
        <v>0</v>
      </c>
      <c r="AG182" s="1">
        <f t="shared" si="64"/>
        <v>0</v>
      </c>
      <c r="AH182" s="1">
        <f t="shared" si="65"/>
        <v>0</v>
      </c>
      <c r="AI182" s="1">
        <f t="shared" si="66"/>
        <v>1</v>
      </c>
    </row>
    <row r="183" spans="1:35" ht="14.25" customHeight="1" x14ac:dyDescent="0.25">
      <c r="A183" s="31">
        <v>0</v>
      </c>
      <c r="B183" s="31">
        <v>1</v>
      </c>
      <c r="C183" s="31">
        <v>3</v>
      </c>
      <c r="D183" s="32" t="s">
        <v>101</v>
      </c>
      <c r="E183" s="32" t="s">
        <v>171</v>
      </c>
      <c r="F183" s="32" t="s">
        <v>297</v>
      </c>
      <c r="G183" s="32" t="s">
        <v>298</v>
      </c>
      <c r="H183" s="32" t="s">
        <v>352</v>
      </c>
      <c r="I183" s="31" t="s">
        <v>446</v>
      </c>
      <c r="J183" s="31">
        <v>99</v>
      </c>
      <c r="K183" s="33" t="s">
        <v>945</v>
      </c>
      <c r="L183" s="33" t="s">
        <v>689</v>
      </c>
      <c r="M183" s="34" t="s">
        <v>687</v>
      </c>
      <c r="N183" s="34" t="s">
        <v>1717</v>
      </c>
      <c r="O183" s="35">
        <v>1</v>
      </c>
      <c r="P183" s="35"/>
      <c r="Q183" s="32"/>
      <c r="S183" s="1">
        <f t="shared" si="67"/>
        <v>0</v>
      </c>
      <c r="T183" s="1">
        <f t="shared" si="68"/>
        <v>0</v>
      </c>
      <c r="U183" s="1">
        <f t="shared" si="69"/>
        <v>0</v>
      </c>
      <c r="V183" s="1">
        <f t="shared" si="70"/>
        <v>0</v>
      </c>
      <c r="W183" s="1">
        <f t="shared" si="71"/>
        <v>0</v>
      </c>
      <c r="X183" s="1">
        <f t="shared" si="72"/>
        <v>0</v>
      </c>
      <c r="Y183" s="1">
        <f t="shared" si="73"/>
        <v>0</v>
      </c>
      <c r="Z183" s="1">
        <f t="shared" si="74"/>
        <v>0</v>
      </c>
      <c r="AA183" s="1">
        <f t="shared" si="75"/>
        <v>0</v>
      </c>
      <c r="AB183" s="1">
        <f t="shared" si="76"/>
        <v>0</v>
      </c>
      <c r="AD183" s="1">
        <f t="shared" si="77"/>
        <v>0</v>
      </c>
      <c r="AE183" s="1">
        <f t="shared" si="78"/>
        <v>1</v>
      </c>
      <c r="AF183" s="1">
        <f t="shared" si="63"/>
        <v>0</v>
      </c>
      <c r="AG183" s="1">
        <f t="shared" si="64"/>
        <v>1</v>
      </c>
      <c r="AH183" s="1">
        <f t="shared" si="65"/>
        <v>0</v>
      </c>
      <c r="AI183" s="1">
        <f t="shared" si="66"/>
        <v>1</v>
      </c>
    </row>
    <row r="184" spans="1:35" ht="14.25" customHeight="1" x14ac:dyDescent="0.25">
      <c r="A184" s="44">
        <v>0</v>
      </c>
      <c r="B184" s="44">
        <v>1</v>
      </c>
      <c r="C184" s="44">
        <v>3</v>
      </c>
      <c r="D184" s="45" t="s">
        <v>977</v>
      </c>
      <c r="E184" s="45" t="s">
        <v>171</v>
      </c>
      <c r="F184" s="45" t="s">
        <v>980</v>
      </c>
      <c r="G184" s="45" t="s">
        <v>39</v>
      </c>
      <c r="H184" s="45" t="s">
        <v>979</v>
      </c>
      <c r="I184" s="44" t="s">
        <v>978</v>
      </c>
      <c r="J184" s="44">
        <v>14</v>
      </c>
      <c r="K184" s="46" t="s">
        <v>718</v>
      </c>
      <c r="L184" s="46" t="s">
        <v>690</v>
      </c>
      <c r="M184" s="47" t="s">
        <v>958</v>
      </c>
      <c r="N184" s="47" t="s">
        <v>1709</v>
      </c>
      <c r="O184" s="48"/>
      <c r="P184" s="48"/>
      <c r="Q184" s="45"/>
      <c r="S184" s="1">
        <f t="shared" si="67"/>
        <v>0</v>
      </c>
      <c r="T184" s="1">
        <f t="shared" si="68"/>
        <v>0</v>
      </c>
      <c r="U184" s="1">
        <f t="shared" si="69"/>
        <v>0</v>
      </c>
      <c r="V184" s="1">
        <f t="shared" si="70"/>
        <v>0</v>
      </c>
      <c r="W184" s="1">
        <f t="shared" si="71"/>
        <v>0</v>
      </c>
      <c r="X184" s="1">
        <f t="shared" si="72"/>
        <v>0</v>
      </c>
      <c r="Y184" s="1">
        <f t="shared" si="73"/>
        <v>0</v>
      </c>
      <c r="Z184" s="1">
        <f t="shared" si="74"/>
        <v>0</v>
      </c>
      <c r="AA184" s="1">
        <f t="shared" si="75"/>
        <v>0</v>
      </c>
      <c r="AB184" s="1">
        <f t="shared" si="76"/>
        <v>0</v>
      </c>
      <c r="AD184" s="1">
        <f t="shared" si="77"/>
        <v>0</v>
      </c>
      <c r="AE184" s="1">
        <f t="shared" si="78"/>
        <v>0</v>
      </c>
      <c r="AF184" s="1">
        <f t="shared" si="63"/>
        <v>0</v>
      </c>
      <c r="AG184" s="1">
        <f t="shared" si="64"/>
        <v>0</v>
      </c>
      <c r="AH184" s="1">
        <f t="shared" si="65"/>
        <v>0</v>
      </c>
      <c r="AI184" s="1">
        <f t="shared" si="66"/>
        <v>1</v>
      </c>
    </row>
    <row r="185" spans="1:35" ht="14.25" customHeight="1" x14ac:dyDescent="0.25">
      <c r="A185" s="57">
        <v>0</v>
      </c>
      <c r="B185" s="57">
        <v>1</v>
      </c>
      <c r="C185" s="57">
        <v>3</v>
      </c>
      <c r="D185" s="58" t="s">
        <v>1618</v>
      </c>
      <c r="E185" s="58" t="s">
        <v>171</v>
      </c>
      <c r="F185" s="58" t="s">
        <v>764</v>
      </c>
      <c r="G185" s="58" t="s">
        <v>39</v>
      </c>
      <c r="H185" s="58" t="s">
        <v>365</v>
      </c>
      <c r="I185" s="57" t="s">
        <v>772</v>
      </c>
      <c r="J185" s="57">
        <v>18</v>
      </c>
      <c r="K185" s="59" t="s">
        <v>1671</v>
      </c>
      <c r="L185" s="59" t="s">
        <v>39</v>
      </c>
      <c r="M185" s="60" t="s">
        <v>765</v>
      </c>
      <c r="N185" s="61"/>
      <c r="O185" s="62"/>
      <c r="P185" s="62"/>
      <c r="Q185" s="58"/>
      <c r="S185" s="1">
        <f t="shared" si="67"/>
        <v>0</v>
      </c>
      <c r="T185" s="1">
        <f t="shared" si="68"/>
        <v>0</v>
      </c>
      <c r="U185" s="1">
        <f t="shared" si="69"/>
        <v>0</v>
      </c>
      <c r="V185" s="1">
        <f t="shared" si="70"/>
        <v>0</v>
      </c>
      <c r="W185" s="1">
        <f t="shared" si="71"/>
        <v>0</v>
      </c>
      <c r="X185" s="1">
        <f t="shared" si="72"/>
        <v>0</v>
      </c>
      <c r="Y185" s="1">
        <f t="shared" si="73"/>
        <v>0</v>
      </c>
      <c r="Z185" s="1">
        <f t="shared" si="74"/>
        <v>0</v>
      </c>
      <c r="AA185" s="1">
        <f t="shared" si="75"/>
        <v>0</v>
      </c>
      <c r="AB185" s="1">
        <f t="shared" si="76"/>
        <v>0</v>
      </c>
      <c r="AD185" s="1">
        <f t="shared" si="77"/>
        <v>0</v>
      </c>
      <c r="AE185" s="1">
        <f t="shared" si="78"/>
        <v>0</v>
      </c>
      <c r="AF185" s="1">
        <f t="shared" si="63"/>
        <v>0</v>
      </c>
      <c r="AG185" s="1">
        <f t="shared" si="64"/>
        <v>0</v>
      </c>
      <c r="AH185" s="1">
        <f t="shared" si="65"/>
        <v>0</v>
      </c>
      <c r="AI185" s="1">
        <f t="shared" si="66"/>
        <v>1</v>
      </c>
    </row>
    <row r="186" spans="1:35" ht="14.25" customHeight="1" x14ac:dyDescent="0.25">
      <c r="A186" s="49">
        <v>0</v>
      </c>
      <c r="B186" s="49">
        <v>1</v>
      </c>
      <c r="C186" s="49">
        <v>3</v>
      </c>
      <c r="D186" s="50" t="s">
        <v>134</v>
      </c>
      <c r="E186" s="50" t="s">
        <v>171</v>
      </c>
      <c r="F186" s="50" t="s">
        <v>655</v>
      </c>
      <c r="G186" s="50" t="s">
        <v>256</v>
      </c>
      <c r="H186" s="50" t="s">
        <v>352</v>
      </c>
      <c r="I186" s="49" t="s">
        <v>1667</v>
      </c>
      <c r="J186" s="49">
        <v>99</v>
      </c>
      <c r="K186" s="51" t="s">
        <v>718</v>
      </c>
      <c r="L186" s="51" t="s">
        <v>683</v>
      </c>
      <c r="M186" s="52" t="s">
        <v>1374</v>
      </c>
      <c r="N186" s="52" t="s">
        <v>1717</v>
      </c>
      <c r="O186" s="53">
        <v>1</v>
      </c>
      <c r="P186" s="53"/>
      <c r="Q186" s="50" t="s">
        <v>1904</v>
      </c>
      <c r="S186" s="1">
        <f t="shared" si="67"/>
        <v>0</v>
      </c>
      <c r="T186" s="1">
        <f t="shared" si="68"/>
        <v>0</v>
      </c>
      <c r="U186" s="1">
        <f t="shared" si="69"/>
        <v>0</v>
      </c>
      <c r="V186" s="1">
        <f t="shared" si="70"/>
        <v>0</v>
      </c>
      <c r="W186" s="1">
        <f t="shared" si="71"/>
        <v>0</v>
      </c>
      <c r="X186" s="1">
        <f t="shared" si="72"/>
        <v>0</v>
      </c>
      <c r="Y186" s="1">
        <f t="shared" si="73"/>
        <v>0</v>
      </c>
      <c r="Z186" s="1">
        <f t="shared" si="74"/>
        <v>0</v>
      </c>
      <c r="AA186" s="1">
        <f t="shared" si="75"/>
        <v>0</v>
      </c>
      <c r="AB186" s="1">
        <f t="shared" si="76"/>
        <v>0</v>
      </c>
      <c r="AD186" s="1">
        <f t="shared" si="77"/>
        <v>0</v>
      </c>
      <c r="AE186" s="1">
        <f t="shared" si="78"/>
        <v>1</v>
      </c>
      <c r="AF186" s="1">
        <f t="shared" si="63"/>
        <v>0</v>
      </c>
      <c r="AG186" s="1">
        <f t="shared" si="64"/>
        <v>1</v>
      </c>
      <c r="AH186" s="1">
        <f t="shared" si="65"/>
        <v>0</v>
      </c>
      <c r="AI186" s="1">
        <f t="shared" si="66"/>
        <v>1</v>
      </c>
    </row>
    <row r="187" spans="1:35" ht="14.25" customHeight="1" x14ac:dyDescent="0.25">
      <c r="A187" s="31">
        <v>0</v>
      </c>
      <c r="B187" s="31">
        <v>1</v>
      </c>
      <c r="C187" s="31">
        <v>3</v>
      </c>
      <c r="D187" s="32" t="s">
        <v>912</v>
      </c>
      <c r="E187" s="32" t="s">
        <v>169</v>
      </c>
      <c r="F187" s="32" t="s">
        <v>928</v>
      </c>
      <c r="G187" s="32" t="s">
        <v>39</v>
      </c>
      <c r="H187" s="32" t="s">
        <v>363</v>
      </c>
      <c r="I187" s="31" t="s">
        <v>874</v>
      </c>
      <c r="J187" s="31">
        <v>18</v>
      </c>
      <c r="K187" s="33" t="s">
        <v>698</v>
      </c>
      <c r="L187" s="33" t="s">
        <v>693</v>
      </c>
      <c r="M187" s="34" t="s">
        <v>958</v>
      </c>
      <c r="N187" s="34" t="s">
        <v>1722</v>
      </c>
      <c r="O187" s="35">
        <v>1</v>
      </c>
      <c r="P187" s="35"/>
      <c r="Q187" s="32"/>
      <c r="S187" s="1">
        <f t="shared" si="67"/>
        <v>0</v>
      </c>
      <c r="T187" s="1">
        <f t="shared" si="68"/>
        <v>0</v>
      </c>
      <c r="U187" s="1">
        <f t="shared" si="69"/>
        <v>0</v>
      </c>
      <c r="V187" s="1">
        <f t="shared" si="70"/>
        <v>0</v>
      </c>
      <c r="W187" s="1">
        <f t="shared" si="71"/>
        <v>0</v>
      </c>
      <c r="X187" s="1">
        <f t="shared" si="72"/>
        <v>0</v>
      </c>
      <c r="Y187" s="1">
        <f t="shared" si="73"/>
        <v>0</v>
      </c>
      <c r="Z187" s="1">
        <f t="shared" si="74"/>
        <v>0</v>
      </c>
      <c r="AA187" s="1">
        <f t="shared" si="75"/>
        <v>0</v>
      </c>
      <c r="AB187" s="1">
        <f t="shared" si="76"/>
        <v>0</v>
      </c>
      <c r="AD187" s="1">
        <f t="shared" si="77"/>
        <v>0</v>
      </c>
      <c r="AE187" s="1">
        <f t="shared" si="78"/>
        <v>1</v>
      </c>
      <c r="AF187" s="1">
        <f t="shared" si="63"/>
        <v>0</v>
      </c>
      <c r="AG187" s="1">
        <f t="shared" si="64"/>
        <v>1</v>
      </c>
      <c r="AH187" s="1">
        <f t="shared" si="65"/>
        <v>0</v>
      </c>
      <c r="AI187" s="1">
        <f t="shared" si="66"/>
        <v>1</v>
      </c>
    </row>
    <row r="188" spans="1:35" ht="14.25" customHeight="1" x14ac:dyDescent="0.25">
      <c r="A188" s="31">
        <v>0</v>
      </c>
      <c r="B188" s="31">
        <v>1</v>
      </c>
      <c r="C188" s="31">
        <v>3</v>
      </c>
      <c r="D188" s="32" t="s">
        <v>1241</v>
      </c>
      <c r="E188" s="32" t="s">
        <v>169</v>
      </c>
      <c r="F188" s="32" t="s">
        <v>1650</v>
      </c>
      <c r="G188" s="32" t="s">
        <v>39</v>
      </c>
      <c r="H188" s="32" t="s">
        <v>762</v>
      </c>
      <c r="I188" s="31" t="s">
        <v>1242</v>
      </c>
      <c r="J188" s="31">
        <v>11</v>
      </c>
      <c r="K188" s="33" t="s">
        <v>718</v>
      </c>
      <c r="L188" s="33" t="s">
        <v>685</v>
      </c>
      <c r="M188" s="34" t="s">
        <v>1375</v>
      </c>
      <c r="N188" s="34" t="s">
        <v>1723</v>
      </c>
      <c r="O188" s="35">
        <v>1</v>
      </c>
      <c r="P188" s="35"/>
      <c r="Q188" s="32"/>
      <c r="S188" s="1">
        <f t="shared" si="67"/>
        <v>0</v>
      </c>
      <c r="T188" s="1">
        <f t="shared" si="68"/>
        <v>0</v>
      </c>
      <c r="U188" s="1">
        <f t="shared" si="69"/>
        <v>0</v>
      </c>
      <c r="V188" s="1">
        <f t="shared" si="70"/>
        <v>0</v>
      </c>
      <c r="W188" s="1">
        <f t="shared" si="71"/>
        <v>0</v>
      </c>
      <c r="X188" s="1">
        <f t="shared" si="72"/>
        <v>0</v>
      </c>
      <c r="Y188" s="1">
        <f t="shared" si="73"/>
        <v>0</v>
      </c>
      <c r="Z188" s="1">
        <f t="shared" si="74"/>
        <v>0</v>
      </c>
      <c r="AA188" s="1">
        <f t="shared" si="75"/>
        <v>0</v>
      </c>
      <c r="AB188" s="1">
        <f t="shared" si="76"/>
        <v>0</v>
      </c>
      <c r="AD188" s="1">
        <f t="shared" si="77"/>
        <v>0</v>
      </c>
      <c r="AE188" s="1">
        <f t="shared" si="78"/>
        <v>1</v>
      </c>
      <c r="AF188" s="1">
        <f t="shared" si="63"/>
        <v>0</v>
      </c>
      <c r="AG188" s="1">
        <f t="shared" si="64"/>
        <v>1</v>
      </c>
      <c r="AH188" s="1">
        <f t="shared" si="65"/>
        <v>0</v>
      </c>
      <c r="AI188" s="1">
        <f t="shared" si="66"/>
        <v>1</v>
      </c>
    </row>
    <row r="189" spans="1:35" ht="14.25" customHeight="1" x14ac:dyDescent="0.25">
      <c r="A189" s="31">
        <v>0</v>
      </c>
      <c r="B189" s="31">
        <v>1</v>
      </c>
      <c r="C189" s="31">
        <v>4</v>
      </c>
      <c r="D189" s="32" t="s">
        <v>983</v>
      </c>
      <c r="E189" s="32" t="s">
        <v>763</v>
      </c>
      <c r="F189" s="32" t="s">
        <v>1081</v>
      </c>
      <c r="G189" s="32" t="s">
        <v>199</v>
      </c>
      <c r="H189" s="32" t="s">
        <v>352</v>
      </c>
      <c r="I189" s="31" t="s">
        <v>984</v>
      </c>
      <c r="J189" s="31">
        <v>2</v>
      </c>
      <c r="K189" s="33" t="s">
        <v>943</v>
      </c>
      <c r="L189" s="33" t="s">
        <v>689</v>
      </c>
      <c r="M189" s="34" t="s">
        <v>1376</v>
      </c>
      <c r="N189" s="34" t="s">
        <v>1701</v>
      </c>
      <c r="O189" s="35">
        <v>1</v>
      </c>
      <c r="P189" s="35">
        <v>1</v>
      </c>
      <c r="Q189" s="32"/>
      <c r="S189" s="1">
        <f t="shared" si="67"/>
        <v>0</v>
      </c>
      <c r="T189" s="1">
        <f t="shared" si="68"/>
        <v>1</v>
      </c>
      <c r="U189" s="1">
        <f t="shared" si="69"/>
        <v>0</v>
      </c>
      <c r="V189" s="1">
        <f t="shared" si="70"/>
        <v>0</v>
      </c>
      <c r="W189" s="1">
        <f t="shared" si="71"/>
        <v>0</v>
      </c>
      <c r="X189" s="1">
        <f t="shared" si="72"/>
        <v>0</v>
      </c>
      <c r="Y189" s="1">
        <f t="shared" si="73"/>
        <v>0</v>
      </c>
      <c r="Z189" s="1">
        <f t="shared" si="74"/>
        <v>0</v>
      </c>
      <c r="AA189" s="1">
        <f t="shared" si="75"/>
        <v>0</v>
      </c>
      <c r="AB189" s="1">
        <f t="shared" si="76"/>
        <v>0</v>
      </c>
      <c r="AD189" s="1">
        <f t="shared" si="77"/>
        <v>1</v>
      </c>
      <c r="AE189" s="1">
        <f t="shared" si="78"/>
        <v>0</v>
      </c>
      <c r="AF189" s="1">
        <f t="shared" si="63"/>
        <v>1</v>
      </c>
      <c r="AG189" s="1">
        <f t="shared" si="64"/>
        <v>0</v>
      </c>
      <c r="AH189" s="1">
        <f t="shared" si="65"/>
        <v>1</v>
      </c>
      <c r="AI189" s="1">
        <f t="shared" si="66"/>
        <v>0</v>
      </c>
    </row>
    <row r="190" spans="1:35" ht="14.25" customHeight="1" x14ac:dyDescent="0.25">
      <c r="A190" s="31">
        <v>0</v>
      </c>
      <c r="B190" s="31">
        <v>1</v>
      </c>
      <c r="C190" s="31">
        <v>4</v>
      </c>
      <c r="D190" s="32" t="s">
        <v>50</v>
      </c>
      <c r="E190" s="32" t="s">
        <v>763</v>
      </c>
      <c r="F190" s="32" t="s">
        <v>192</v>
      </c>
      <c r="G190" s="32" t="s">
        <v>193</v>
      </c>
      <c r="H190" s="32" t="s">
        <v>352</v>
      </c>
      <c r="I190" s="31" t="s">
        <v>385</v>
      </c>
      <c r="J190" s="31">
        <v>9</v>
      </c>
      <c r="K190" s="33" t="s">
        <v>943</v>
      </c>
      <c r="L190" s="33" t="s">
        <v>690</v>
      </c>
      <c r="M190" s="34" t="s">
        <v>956</v>
      </c>
      <c r="N190" s="34" t="s">
        <v>1775</v>
      </c>
      <c r="O190" s="35">
        <v>1</v>
      </c>
      <c r="P190" s="35"/>
      <c r="Q190" s="32"/>
      <c r="S190" s="1">
        <f t="shared" si="67"/>
        <v>0</v>
      </c>
      <c r="T190" s="1">
        <f t="shared" si="68"/>
        <v>0</v>
      </c>
      <c r="U190" s="1">
        <f t="shared" si="69"/>
        <v>0</v>
      </c>
      <c r="V190" s="1">
        <f t="shared" si="70"/>
        <v>0</v>
      </c>
      <c r="W190" s="1">
        <f t="shared" si="71"/>
        <v>0</v>
      </c>
      <c r="X190" s="1">
        <f t="shared" si="72"/>
        <v>0</v>
      </c>
      <c r="Y190" s="1">
        <f t="shared" si="73"/>
        <v>0</v>
      </c>
      <c r="Z190" s="1">
        <f t="shared" si="74"/>
        <v>0</v>
      </c>
      <c r="AA190" s="1">
        <f t="shared" si="75"/>
        <v>1</v>
      </c>
      <c r="AB190" s="1">
        <f t="shared" si="76"/>
        <v>0</v>
      </c>
      <c r="AD190" s="1">
        <f t="shared" si="77"/>
        <v>0</v>
      </c>
      <c r="AE190" s="1">
        <f t="shared" si="78"/>
        <v>1</v>
      </c>
      <c r="AF190" s="1">
        <f t="shared" si="63"/>
        <v>0</v>
      </c>
      <c r="AG190" s="1">
        <f t="shared" si="64"/>
        <v>1</v>
      </c>
      <c r="AH190" s="1">
        <f t="shared" si="65"/>
        <v>0</v>
      </c>
      <c r="AI190" s="1">
        <f t="shared" si="66"/>
        <v>1</v>
      </c>
    </row>
    <row r="191" spans="1:35" ht="14.25" customHeight="1" x14ac:dyDescent="0.25">
      <c r="A191" s="31">
        <v>0</v>
      </c>
      <c r="B191" s="31">
        <v>1</v>
      </c>
      <c r="C191" s="31">
        <v>4</v>
      </c>
      <c r="D191" s="36" t="s">
        <v>2053</v>
      </c>
      <c r="E191" s="32" t="s">
        <v>763</v>
      </c>
      <c r="F191" s="36" t="s">
        <v>2054</v>
      </c>
      <c r="G191" s="36" t="s">
        <v>212</v>
      </c>
      <c r="H191" s="36" t="s">
        <v>352</v>
      </c>
      <c r="I191" s="37" t="s">
        <v>2055</v>
      </c>
      <c r="J191" s="31">
        <v>1</v>
      </c>
      <c r="K191" s="33" t="s">
        <v>699</v>
      </c>
      <c r="L191" s="33"/>
      <c r="M191" s="34"/>
      <c r="N191" s="34" t="s">
        <v>1707</v>
      </c>
      <c r="O191" s="35">
        <v>1</v>
      </c>
      <c r="P191" s="35">
        <v>1</v>
      </c>
      <c r="Q191" s="32" t="s">
        <v>2056</v>
      </c>
      <c r="S191" s="1">
        <f t="shared" si="67"/>
        <v>1</v>
      </c>
      <c r="T191" s="1">
        <f t="shared" si="68"/>
        <v>0</v>
      </c>
      <c r="U191" s="1">
        <f t="shared" si="69"/>
        <v>0</v>
      </c>
      <c r="V191" s="1">
        <f t="shared" si="70"/>
        <v>0</v>
      </c>
      <c r="W191" s="1">
        <f t="shared" si="71"/>
        <v>0</v>
      </c>
      <c r="X191" s="1">
        <f t="shared" si="72"/>
        <v>0</v>
      </c>
      <c r="Y191" s="1">
        <f t="shared" si="73"/>
        <v>0</v>
      </c>
      <c r="Z191" s="1">
        <f t="shared" si="74"/>
        <v>0</v>
      </c>
      <c r="AA191" s="1">
        <f t="shared" si="75"/>
        <v>0</v>
      </c>
      <c r="AB191" s="1">
        <f t="shared" si="76"/>
        <v>0</v>
      </c>
      <c r="AD191" s="1">
        <f t="shared" si="77"/>
        <v>1</v>
      </c>
      <c r="AE191" s="1">
        <f t="shared" si="78"/>
        <v>0</v>
      </c>
      <c r="AF191" s="1">
        <f t="shared" si="63"/>
        <v>1</v>
      </c>
      <c r="AG191" s="1">
        <f t="shared" si="64"/>
        <v>0</v>
      </c>
      <c r="AH191" s="1">
        <f t="shared" si="65"/>
        <v>1</v>
      </c>
      <c r="AI191" s="1">
        <f t="shared" si="66"/>
        <v>0</v>
      </c>
    </row>
    <row r="192" spans="1:35" ht="14.25" customHeight="1" x14ac:dyDescent="0.25">
      <c r="A192" s="31">
        <v>0</v>
      </c>
      <c r="B192" s="31">
        <v>1</v>
      </c>
      <c r="C192" s="31">
        <v>4</v>
      </c>
      <c r="D192" s="32" t="s">
        <v>133</v>
      </c>
      <c r="E192" s="32" t="s">
        <v>176</v>
      </c>
      <c r="F192" s="32" t="s">
        <v>334</v>
      </c>
      <c r="G192" s="32" t="s">
        <v>212</v>
      </c>
      <c r="H192" s="32" t="s">
        <v>352</v>
      </c>
      <c r="I192" s="31" t="s">
        <v>480</v>
      </c>
      <c r="J192" s="31">
        <v>1</v>
      </c>
      <c r="K192" s="33" t="s">
        <v>943</v>
      </c>
      <c r="L192" s="33" t="s">
        <v>685</v>
      </c>
      <c r="M192" s="34" t="s">
        <v>687</v>
      </c>
      <c r="N192" s="34" t="s">
        <v>1717</v>
      </c>
      <c r="O192" s="35">
        <v>1</v>
      </c>
      <c r="P192" s="35"/>
      <c r="Q192" s="32"/>
      <c r="S192" s="1">
        <f t="shared" si="67"/>
        <v>1</v>
      </c>
      <c r="T192" s="1">
        <f t="shared" si="68"/>
        <v>0</v>
      </c>
      <c r="U192" s="1">
        <f t="shared" si="69"/>
        <v>0</v>
      </c>
      <c r="V192" s="1">
        <f t="shared" si="70"/>
        <v>0</v>
      </c>
      <c r="W192" s="1">
        <f t="shared" si="71"/>
        <v>0</v>
      </c>
      <c r="X192" s="1">
        <f t="shared" si="72"/>
        <v>0</v>
      </c>
      <c r="Y192" s="1">
        <f t="shared" si="73"/>
        <v>0</v>
      </c>
      <c r="Z192" s="1">
        <f t="shared" si="74"/>
        <v>0</v>
      </c>
      <c r="AA192" s="1">
        <f t="shared" si="75"/>
        <v>0</v>
      </c>
      <c r="AB192" s="1">
        <f t="shared" si="76"/>
        <v>0</v>
      </c>
      <c r="AD192" s="1">
        <f t="shared" si="77"/>
        <v>0</v>
      </c>
      <c r="AE192" s="1">
        <f t="shared" si="78"/>
        <v>1</v>
      </c>
      <c r="AF192" s="1">
        <f t="shared" si="63"/>
        <v>0</v>
      </c>
      <c r="AG192" s="1">
        <f t="shared" si="64"/>
        <v>1</v>
      </c>
      <c r="AH192" s="1">
        <f t="shared" si="65"/>
        <v>0</v>
      </c>
      <c r="AI192" s="1">
        <f t="shared" si="66"/>
        <v>1</v>
      </c>
    </row>
    <row r="193" spans="1:35" ht="14.25" customHeight="1" x14ac:dyDescent="0.25">
      <c r="A193" s="31">
        <v>0</v>
      </c>
      <c r="B193" s="31">
        <v>1</v>
      </c>
      <c r="C193" s="31">
        <v>5</v>
      </c>
      <c r="D193" s="32" t="s">
        <v>125</v>
      </c>
      <c r="E193" s="32" t="s">
        <v>522</v>
      </c>
      <c r="F193" s="32" t="s">
        <v>325</v>
      </c>
      <c r="G193" s="32" t="s">
        <v>298</v>
      </c>
      <c r="H193" s="32" t="s">
        <v>352</v>
      </c>
      <c r="I193" s="31" t="s">
        <v>472</v>
      </c>
      <c r="J193" s="31">
        <v>99</v>
      </c>
      <c r="K193" s="33" t="s">
        <v>698</v>
      </c>
      <c r="L193" s="33" t="s">
        <v>685</v>
      </c>
      <c r="M193" s="34" t="s">
        <v>957</v>
      </c>
      <c r="N193" s="34" t="s">
        <v>1717</v>
      </c>
      <c r="O193" s="35">
        <v>1</v>
      </c>
      <c r="P193" s="35"/>
      <c r="Q193" s="32"/>
      <c r="S193" s="1">
        <f t="shared" si="67"/>
        <v>0</v>
      </c>
      <c r="T193" s="1">
        <f t="shared" si="68"/>
        <v>0</v>
      </c>
      <c r="U193" s="1">
        <f t="shared" si="69"/>
        <v>0</v>
      </c>
      <c r="V193" s="1">
        <f t="shared" si="70"/>
        <v>0</v>
      </c>
      <c r="W193" s="1">
        <f t="shared" si="71"/>
        <v>0</v>
      </c>
      <c r="X193" s="1">
        <f t="shared" si="72"/>
        <v>0</v>
      </c>
      <c r="Y193" s="1">
        <f t="shared" si="73"/>
        <v>0</v>
      </c>
      <c r="Z193" s="1">
        <f t="shared" si="74"/>
        <v>0</v>
      </c>
      <c r="AA193" s="1">
        <f t="shared" si="75"/>
        <v>0</v>
      </c>
      <c r="AB193" s="1">
        <f t="shared" si="76"/>
        <v>0</v>
      </c>
      <c r="AD193" s="1">
        <f t="shared" si="77"/>
        <v>0</v>
      </c>
      <c r="AE193" s="1">
        <f t="shared" si="78"/>
        <v>1</v>
      </c>
      <c r="AF193" s="1">
        <f t="shared" si="63"/>
        <v>0</v>
      </c>
      <c r="AG193" s="1">
        <f t="shared" si="64"/>
        <v>1</v>
      </c>
      <c r="AH193" s="1">
        <f t="shared" si="65"/>
        <v>0</v>
      </c>
      <c r="AI193" s="1">
        <f t="shared" si="66"/>
        <v>1</v>
      </c>
    </row>
    <row r="194" spans="1:35" ht="14.25" customHeight="1" x14ac:dyDescent="0.25">
      <c r="A194" s="31">
        <v>0</v>
      </c>
      <c r="B194" s="31">
        <v>1</v>
      </c>
      <c r="C194" s="31">
        <v>5</v>
      </c>
      <c r="D194" s="32" t="s">
        <v>1703</v>
      </c>
      <c r="E194" s="32" t="s">
        <v>165</v>
      </c>
      <c r="F194" s="32" t="s">
        <v>1704</v>
      </c>
      <c r="G194" s="32" t="s">
        <v>1705</v>
      </c>
      <c r="H194" s="32" t="s">
        <v>352</v>
      </c>
      <c r="I194" s="31" t="s">
        <v>1706</v>
      </c>
      <c r="J194" s="31">
        <v>2</v>
      </c>
      <c r="K194" s="33" t="s">
        <v>699</v>
      </c>
      <c r="L194" s="33"/>
      <c r="M194" s="34"/>
      <c r="N194" s="34" t="s">
        <v>1707</v>
      </c>
      <c r="O194" s="35">
        <v>1</v>
      </c>
      <c r="P194" s="35">
        <v>1</v>
      </c>
      <c r="Q194" s="32"/>
      <c r="S194" s="1">
        <f t="shared" si="67"/>
        <v>0</v>
      </c>
      <c r="T194" s="1">
        <f t="shared" si="68"/>
        <v>1</v>
      </c>
      <c r="U194" s="1">
        <f t="shared" si="69"/>
        <v>0</v>
      </c>
      <c r="V194" s="1">
        <f t="shared" si="70"/>
        <v>0</v>
      </c>
      <c r="W194" s="1">
        <f t="shared" si="71"/>
        <v>0</v>
      </c>
      <c r="X194" s="1">
        <f t="shared" si="72"/>
        <v>0</v>
      </c>
      <c r="Y194" s="1">
        <f t="shared" si="73"/>
        <v>0</v>
      </c>
      <c r="Z194" s="1">
        <f t="shared" si="74"/>
        <v>0</v>
      </c>
      <c r="AA194" s="1">
        <f t="shared" si="75"/>
        <v>0</v>
      </c>
      <c r="AB194" s="1">
        <f t="shared" si="76"/>
        <v>0</v>
      </c>
      <c r="AD194" s="1">
        <f t="shared" si="77"/>
        <v>1</v>
      </c>
      <c r="AE194" s="1">
        <f t="shared" si="78"/>
        <v>0</v>
      </c>
      <c r="AF194" s="1">
        <f t="shared" si="63"/>
        <v>1</v>
      </c>
      <c r="AG194" s="1">
        <f t="shared" si="64"/>
        <v>0</v>
      </c>
      <c r="AH194" s="1">
        <f t="shared" si="65"/>
        <v>1</v>
      </c>
      <c r="AI194" s="1">
        <f t="shared" si="66"/>
        <v>0</v>
      </c>
    </row>
    <row r="195" spans="1:35" ht="14.25" customHeight="1" x14ac:dyDescent="0.25">
      <c r="A195" s="31">
        <v>0</v>
      </c>
      <c r="B195" s="31">
        <v>1</v>
      </c>
      <c r="C195" s="31">
        <v>5</v>
      </c>
      <c r="D195" s="32" t="s">
        <v>87</v>
      </c>
      <c r="E195" s="32" t="s">
        <v>165</v>
      </c>
      <c r="F195" s="32" t="s">
        <v>573</v>
      </c>
      <c r="G195" s="32" t="s">
        <v>193</v>
      </c>
      <c r="H195" s="32" t="s">
        <v>352</v>
      </c>
      <c r="I195" s="31" t="s">
        <v>434</v>
      </c>
      <c r="J195" s="31">
        <v>9</v>
      </c>
      <c r="K195" s="33" t="s">
        <v>943</v>
      </c>
      <c r="L195" s="33" t="s">
        <v>692</v>
      </c>
      <c r="M195" s="34" t="s">
        <v>687</v>
      </c>
      <c r="N195" s="34" t="s">
        <v>1717</v>
      </c>
      <c r="O195" s="35">
        <v>1</v>
      </c>
      <c r="P195" s="35"/>
      <c r="Q195" s="32"/>
      <c r="S195" s="1">
        <f t="shared" si="67"/>
        <v>0</v>
      </c>
      <c r="T195" s="1">
        <f t="shared" si="68"/>
        <v>0</v>
      </c>
      <c r="U195" s="1">
        <f t="shared" si="69"/>
        <v>0</v>
      </c>
      <c r="V195" s="1">
        <f t="shared" si="70"/>
        <v>0</v>
      </c>
      <c r="W195" s="1">
        <f t="shared" si="71"/>
        <v>0</v>
      </c>
      <c r="X195" s="1">
        <f t="shared" si="72"/>
        <v>0</v>
      </c>
      <c r="Y195" s="1">
        <f t="shared" si="73"/>
        <v>0</v>
      </c>
      <c r="Z195" s="1">
        <f t="shared" si="74"/>
        <v>0</v>
      </c>
      <c r="AA195" s="1">
        <f t="shared" si="75"/>
        <v>1</v>
      </c>
      <c r="AB195" s="1">
        <f t="shared" si="76"/>
        <v>0</v>
      </c>
      <c r="AD195" s="1">
        <f t="shared" si="77"/>
        <v>0</v>
      </c>
      <c r="AE195" s="1">
        <f t="shared" si="78"/>
        <v>1</v>
      </c>
      <c r="AF195" s="1">
        <f t="shared" si="63"/>
        <v>0</v>
      </c>
      <c r="AG195" s="1">
        <f t="shared" si="64"/>
        <v>1</v>
      </c>
      <c r="AH195" s="1">
        <f t="shared" si="65"/>
        <v>0</v>
      </c>
      <c r="AI195" s="1">
        <f t="shared" si="66"/>
        <v>1</v>
      </c>
    </row>
    <row r="196" spans="1:35" ht="14.25" customHeight="1" x14ac:dyDescent="0.25">
      <c r="A196" s="31">
        <v>0</v>
      </c>
      <c r="B196" s="31">
        <v>1</v>
      </c>
      <c r="C196" s="31">
        <v>5</v>
      </c>
      <c r="D196" s="32" t="s">
        <v>1966</v>
      </c>
      <c r="E196" s="32" t="s">
        <v>165</v>
      </c>
      <c r="F196" s="32" t="s">
        <v>1967</v>
      </c>
      <c r="G196" s="32" t="s">
        <v>1970</v>
      </c>
      <c r="H196" s="32" t="s">
        <v>352</v>
      </c>
      <c r="I196" s="31" t="s">
        <v>1968</v>
      </c>
      <c r="J196" s="31">
        <v>99</v>
      </c>
      <c r="K196" s="33" t="s">
        <v>699</v>
      </c>
      <c r="L196" s="33">
        <v>25</v>
      </c>
      <c r="M196" s="34" t="s">
        <v>687</v>
      </c>
      <c r="N196" s="34" t="s">
        <v>1717</v>
      </c>
      <c r="O196" s="35">
        <v>1</v>
      </c>
      <c r="P196" s="35"/>
      <c r="Q196" s="32" t="s">
        <v>1969</v>
      </c>
      <c r="S196" s="1">
        <f t="shared" si="67"/>
        <v>0</v>
      </c>
      <c r="T196" s="1">
        <f t="shared" si="68"/>
        <v>0</v>
      </c>
      <c r="U196" s="1">
        <f t="shared" si="69"/>
        <v>0</v>
      </c>
      <c r="V196" s="1">
        <f t="shared" si="70"/>
        <v>0</v>
      </c>
      <c r="W196" s="1">
        <f t="shared" si="71"/>
        <v>0</v>
      </c>
      <c r="X196" s="1">
        <f t="shared" si="72"/>
        <v>0</v>
      </c>
      <c r="Y196" s="1">
        <f t="shared" si="73"/>
        <v>0</v>
      </c>
      <c r="Z196" s="1">
        <f t="shared" si="74"/>
        <v>0</v>
      </c>
      <c r="AA196" s="1">
        <f t="shared" si="75"/>
        <v>0</v>
      </c>
      <c r="AB196" s="1">
        <f t="shared" si="76"/>
        <v>0</v>
      </c>
      <c r="AD196" s="1">
        <f t="shared" si="77"/>
        <v>0</v>
      </c>
      <c r="AE196" s="1">
        <f t="shared" si="78"/>
        <v>1</v>
      </c>
      <c r="AF196" s="1">
        <f t="shared" si="63"/>
        <v>0</v>
      </c>
      <c r="AG196" s="1">
        <f t="shared" si="64"/>
        <v>1</v>
      </c>
      <c r="AH196" s="1">
        <f t="shared" si="65"/>
        <v>0</v>
      </c>
      <c r="AI196" s="1">
        <f t="shared" si="66"/>
        <v>1</v>
      </c>
    </row>
    <row r="197" spans="1:35" ht="14.25" customHeight="1" x14ac:dyDescent="0.25">
      <c r="A197" s="31">
        <v>0</v>
      </c>
      <c r="B197" s="31">
        <v>1</v>
      </c>
      <c r="C197" s="31">
        <v>5</v>
      </c>
      <c r="D197" s="32" t="s">
        <v>126</v>
      </c>
      <c r="E197" s="32" t="s">
        <v>165</v>
      </c>
      <c r="F197" s="32" t="s">
        <v>326</v>
      </c>
      <c r="G197" s="32" t="s">
        <v>179</v>
      </c>
      <c r="H197" s="32" t="s">
        <v>352</v>
      </c>
      <c r="I197" s="31" t="s">
        <v>473</v>
      </c>
      <c r="J197" s="31">
        <v>10</v>
      </c>
      <c r="K197" s="33" t="s">
        <v>945</v>
      </c>
      <c r="L197" s="33" t="s">
        <v>690</v>
      </c>
      <c r="M197" s="34" t="s">
        <v>687</v>
      </c>
      <c r="N197" s="34" t="s">
        <v>1763</v>
      </c>
      <c r="O197" s="35">
        <v>1</v>
      </c>
      <c r="P197" s="35"/>
      <c r="Q197" s="32"/>
      <c r="S197" s="1">
        <f t="shared" si="67"/>
        <v>0</v>
      </c>
      <c r="T197" s="1">
        <f t="shared" si="68"/>
        <v>0</v>
      </c>
      <c r="U197" s="1">
        <f t="shared" si="69"/>
        <v>0</v>
      </c>
      <c r="V197" s="1">
        <f t="shared" si="70"/>
        <v>0</v>
      </c>
      <c r="W197" s="1">
        <f t="shared" si="71"/>
        <v>0</v>
      </c>
      <c r="X197" s="1">
        <f t="shared" si="72"/>
        <v>0</v>
      </c>
      <c r="Y197" s="1">
        <f t="shared" si="73"/>
        <v>0</v>
      </c>
      <c r="Z197" s="1">
        <f t="shared" si="74"/>
        <v>0</v>
      </c>
      <c r="AA197" s="1">
        <f t="shared" si="75"/>
        <v>0</v>
      </c>
      <c r="AB197" s="1">
        <f t="shared" si="76"/>
        <v>1</v>
      </c>
      <c r="AD197" s="1">
        <f t="shared" si="77"/>
        <v>0</v>
      </c>
      <c r="AE197" s="1">
        <f t="shared" si="78"/>
        <v>1</v>
      </c>
      <c r="AF197" s="1">
        <f t="shared" si="63"/>
        <v>0</v>
      </c>
      <c r="AG197" s="1">
        <f t="shared" si="64"/>
        <v>1</v>
      </c>
      <c r="AH197" s="1">
        <f t="shared" si="65"/>
        <v>0</v>
      </c>
      <c r="AI197" s="1">
        <f t="shared" si="66"/>
        <v>1</v>
      </c>
    </row>
    <row r="198" spans="1:35" ht="14.25" customHeight="1" x14ac:dyDescent="0.25">
      <c r="A198" s="31">
        <v>0</v>
      </c>
      <c r="B198" s="31">
        <v>1</v>
      </c>
      <c r="C198" s="31">
        <v>5</v>
      </c>
      <c r="D198" s="32" t="s">
        <v>136</v>
      </c>
      <c r="E198" s="32" t="s">
        <v>165</v>
      </c>
      <c r="F198" s="32" t="s">
        <v>544</v>
      </c>
      <c r="G198" s="32" t="s">
        <v>219</v>
      </c>
      <c r="H198" s="32" t="s">
        <v>352</v>
      </c>
      <c r="I198" s="31" t="s">
        <v>536</v>
      </c>
      <c r="J198" s="31">
        <v>8</v>
      </c>
      <c r="K198" s="33" t="s">
        <v>943</v>
      </c>
      <c r="L198" s="33" t="s">
        <v>690</v>
      </c>
      <c r="M198" s="34" t="s">
        <v>687</v>
      </c>
      <c r="N198" s="34" t="s">
        <v>1717</v>
      </c>
      <c r="O198" s="35">
        <v>1</v>
      </c>
      <c r="P198" s="35"/>
      <c r="Q198" s="32"/>
      <c r="S198" s="1">
        <f t="shared" si="67"/>
        <v>0</v>
      </c>
      <c r="T198" s="1">
        <f t="shared" si="68"/>
        <v>0</v>
      </c>
      <c r="U198" s="1">
        <f t="shared" si="69"/>
        <v>0</v>
      </c>
      <c r="V198" s="1">
        <f t="shared" si="70"/>
        <v>0</v>
      </c>
      <c r="W198" s="1">
        <f t="shared" si="71"/>
        <v>0</v>
      </c>
      <c r="X198" s="1">
        <f t="shared" si="72"/>
        <v>0</v>
      </c>
      <c r="Y198" s="1">
        <f t="shared" si="73"/>
        <v>0</v>
      </c>
      <c r="Z198" s="1">
        <f t="shared" si="74"/>
        <v>1</v>
      </c>
      <c r="AA198" s="1">
        <f t="shared" si="75"/>
        <v>0</v>
      </c>
      <c r="AB198" s="1">
        <f t="shared" si="76"/>
        <v>0</v>
      </c>
      <c r="AD198" s="1">
        <f t="shared" si="77"/>
        <v>0</v>
      </c>
      <c r="AE198" s="1">
        <f t="shared" si="78"/>
        <v>1</v>
      </c>
      <c r="AF198" s="1">
        <f t="shared" si="63"/>
        <v>0</v>
      </c>
      <c r="AG198" s="1">
        <f t="shared" si="64"/>
        <v>1</v>
      </c>
      <c r="AH198" s="1">
        <f t="shared" si="65"/>
        <v>0</v>
      </c>
      <c r="AI198" s="1">
        <f t="shared" si="66"/>
        <v>1</v>
      </c>
    </row>
    <row r="199" spans="1:35" ht="14.25" customHeight="1" x14ac:dyDescent="0.25">
      <c r="A199" s="31">
        <v>1</v>
      </c>
      <c r="B199" s="31">
        <v>1</v>
      </c>
      <c r="C199" s="31">
        <v>5</v>
      </c>
      <c r="D199" s="32" t="s">
        <v>136</v>
      </c>
      <c r="E199" s="32" t="s">
        <v>165</v>
      </c>
      <c r="F199" s="32" t="s">
        <v>335</v>
      </c>
      <c r="G199" s="32" t="s">
        <v>336</v>
      </c>
      <c r="H199" s="32" t="s">
        <v>352</v>
      </c>
      <c r="I199" s="31" t="s">
        <v>482</v>
      </c>
      <c r="J199" s="31">
        <v>10</v>
      </c>
      <c r="K199" s="33" t="s">
        <v>943</v>
      </c>
      <c r="L199" s="33" t="s">
        <v>690</v>
      </c>
      <c r="M199" s="34" t="s">
        <v>687</v>
      </c>
      <c r="N199" s="34" t="s">
        <v>1717</v>
      </c>
      <c r="O199" s="35">
        <v>1</v>
      </c>
      <c r="P199" s="35"/>
      <c r="Q199" s="32"/>
      <c r="S199" s="1">
        <f t="shared" si="67"/>
        <v>0</v>
      </c>
      <c r="T199" s="1">
        <f t="shared" si="68"/>
        <v>0</v>
      </c>
      <c r="U199" s="1">
        <f t="shared" si="69"/>
        <v>0</v>
      </c>
      <c r="V199" s="1">
        <f t="shared" si="70"/>
        <v>0</v>
      </c>
      <c r="W199" s="1">
        <f t="shared" si="71"/>
        <v>0</v>
      </c>
      <c r="X199" s="1">
        <f t="shared" si="72"/>
        <v>0</v>
      </c>
      <c r="Y199" s="1">
        <f t="shared" si="73"/>
        <v>0</v>
      </c>
      <c r="Z199" s="1">
        <f t="shared" si="74"/>
        <v>0</v>
      </c>
      <c r="AA199" s="1">
        <f t="shared" si="75"/>
        <v>0</v>
      </c>
      <c r="AB199" s="1">
        <f t="shared" si="76"/>
        <v>1</v>
      </c>
      <c r="AD199" s="1">
        <f t="shared" si="77"/>
        <v>0</v>
      </c>
      <c r="AE199" s="1">
        <f t="shared" si="78"/>
        <v>1</v>
      </c>
      <c r="AF199" s="1">
        <f t="shared" si="63"/>
        <v>0</v>
      </c>
      <c r="AG199" s="1">
        <f t="shared" si="64"/>
        <v>0</v>
      </c>
      <c r="AH199" s="1">
        <f t="shared" si="65"/>
        <v>0</v>
      </c>
      <c r="AI199" s="1">
        <f t="shared" si="66"/>
        <v>0</v>
      </c>
    </row>
    <row r="200" spans="1:35" ht="14.25" customHeight="1" x14ac:dyDescent="0.25">
      <c r="A200" s="31">
        <v>0</v>
      </c>
      <c r="B200" s="31">
        <v>1</v>
      </c>
      <c r="C200" s="31">
        <v>5</v>
      </c>
      <c r="D200" s="32" t="s">
        <v>1611</v>
      </c>
      <c r="E200" s="32" t="s">
        <v>165</v>
      </c>
      <c r="F200" s="32" t="s">
        <v>856</v>
      </c>
      <c r="G200" s="32" t="s">
        <v>1638</v>
      </c>
      <c r="H200" s="32" t="s">
        <v>352</v>
      </c>
      <c r="I200" s="31" t="s">
        <v>857</v>
      </c>
      <c r="J200" s="31">
        <v>1</v>
      </c>
      <c r="K200" s="33" t="s">
        <v>718</v>
      </c>
      <c r="L200" s="33" t="s">
        <v>1681</v>
      </c>
      <c r="M200" s="34" t="s">
        <v>1377</v>
      </c>
      <c r="N200" s="34" t="s">
        <v>1717</v>
      </c>
      <c r="O200" s="35">
        <v>1</v>
      </c>
      <c r="P200" s="35"/>
      <c r="Q200" s="32"/>
      <c r="S200" s="1">
        <f t="shared" si="67"/>
        <v>1</v>
      </c>
      <c r="T200" s="1">
        <f t="shared" si="68"/>
        <v>0</v>
      </c>
      <c r="U200" s="1">
        <f t="shared" si="69"/>
        <v>0</v>
      </c>
      <c r="V200" s="1">
        <f t="shared" si="70"/>
        <v>0</v>
      </c>
      <c r="W200" s="1">
        <f t="shared" si="71"/>
        <v>0</v>
      </c>
      <c r="X200" s="1">
        <f t="shared" si="72"/>
        <v>0</v>
      </c>
      <c r="Y200" s="1">
        <f t="shared" si="73"/>
        <v>0</v>
      </c>
      <c r="Z200" s="1">
        <f t="shared" si="74"/>
        <v>0</v>
      </c>
      <c r="AA200" s="1">
        <f t="shared" si="75"/>
        <v>0</v>
      </c>
      <c r="AB200" s="1">
        <f t="shared" si="76"/>
        <v>0</v>
      </c>
      <c r="AD200" s="1">
        <f t="shared" si="77"/>
        <v>0</v>
      </c>
      <c r="AE200" s="1">
        <f t="shared" si="78"/>
        <v>1</v>
      </c>
      <c r="AF200" s="1">
        <f t="shared" si="63"/>
        <v>0</v>
      </c>
      <c r="AG200" s="1">
        <f t="shared" si="64"/>
        <v>1</v>
      </c>
      <c r="AH200" s="1">
        <f t="shared" si="65"/>
        <v>0</v>
      </c>
      <c r="AI200" s="1">
        <f t="shared" si="66"/>
        <v>1</v>
      </c>
    </row>
    <row r="201" spans="1:35" ht="14.25" customHeight="1" x14ac:dyDescent="0.25">
      <c r="A201" s="38">
        <v>0</v>
      </c>
      <c r="B201" s="38">
        <v>1</v>
      </c>
      <c r="C201" s="38">
        <v>5</v>
      </c>
      <c r="D201" s="39" t="s">
        <v>2084</v>
      </c>
      <c r="E201" s="39" t="s">
        <v>165</v>
      </c>
      <c r="F201" s="39" t="s">
        <v>2085</v>
      </c>
      <c r="G201" s="39" t="s">
        <v>193</v>
      </c>
      <c r="H201" s="39" t="s">
        <v>352</v>
      </c>
      <c r="I201" s="38" t="s">
        <v>2086</v>
      </c>
      <c r="J201" s="38">
        <v>9</v>
      </c>
      <c r="K201" s="40" t="s">
        <v>699</v>
      </c>
      <c r="L201" s="40"/>
      <c r="M201" s="41"/>
      <c r="N201" s="42"/>
      <c r="O201" s="43"/>
      <c r="P201" s="43"/>
      <c r="Q201" s="54" t="s">
        <v>2087</v>
      </c>
      <c r="S201" s="1">
        <f t="shared" ref="S201:S204" si="95">IF(J201=$S$7,1,0)</f>
        <v>0</v>
      </c>
      <c r="T201" s="1">
        <f t="shared" ref="T201:T204" si="96">IF(J201=$T$7,1,0)</f>
        <v>0</v>
      </c>
      <c r="U201" s="1">
        <f t="shared" ref="U201:U204" si="97">IF(J201=$U$7,1,0)</f>
        <v>0</v>
      </c>
      <c r="V201" s="1">
        <f t="shared" ref="V201:V204" si="98">IF(J201=$V$7,1,0)</f>
        <v>0</v>
      </c>
      <c r="W201" s="1">
        <f t="shared" ref="W201:W204" si="99">IF(J201=$W$7,1,0)</f>
        <v>0</v>
      </c>
      <c r="X201" s="1">
        <f t="shared" ref="X201:X204" si="100">IF(J201=$X$7,1,0)</f>
        <v>0</v>
      </c>
      <c r="Y201" s="1">
        <f t="shared" ref="Y201:Y204" si="101">IF(J201=$Y$7,1,0)</f>
        <v>0</v>
      </c>
      <c r="Z201" s="1">
        <f t="shared" ref="Z201:Z204" si="102">IF(J201=$Z$7,1,0)</f>
        <v>0</v>
      </c>
      <c r="AA201" s="1">
        <f t="shared" ref="AA201:AA204" si="103">IF(J201=$AA$7,1,0)</f>
        <v>1</v>
      </c>
      <c r="AB201" s="1">
        <f t="shared" ref="AB201:AB204" si="104">IF(J201=$AB$7,1,0)</f>
        <v>0</v>
      </c>
      <c r="AD201" s="1">
        <f t="shared" ref="AD201:AD204" si="105">+O201*P201</f>
        <v>0</v>
      </c>
      <c r="AE201" s="1">
        <f t="shared" ref="AE201:AE204" si="106">O201*(1-P201)</f>
        <v>0</v>
      </c>
      <c r="AF201" s="1">
        <f t="shared" ref="AF201:AF204" si="107">+O201*P201*(1-A201)</f>
        <v>0</v>
      </c>
      <c r="AG201" s="1">
        <f t="shared" ref="AG201:AG204" si="108">O201*(1-P201)*(1-A201)</f>
        <v>0</v>
      </c>
      <c r="AH201" s="1">
        <f t="shared" ref="AH201:AH204" si="109">+P201*(1-A201)</f>
        <v>0</v>
      </c>
      <c r="AI201" s="1">
        <f t="shared" ref="AI201:AI204" si="110">+(1-A201)*(1-P201)</f>
        <v>1</v>
      </c>
    </row>
    <row r="202" spans="1:35" ht="14.25" customHeight="1" x14ac:dyDescent="0.25">
      <c r="A202" s="15">
        <v>0</v>
      </c>
      <c r="B202" s="15">
        <v>1</v>
      </c>
      <c r="C202" s="15">
        <v>5</v>
      </c>
      <c r="D202" s="20" t="s">
        <v>1923</v>
      </c>
      <c r="E202" s="20" t="s">
        <v>882</v>
      </c>
      <c r="F202" s="20" t="s">
        <v>1940</v>
      </c>
      <c r="G202" s="20"/>
      <c r="H202" s="20" t="s">
        <v>1941</v>
      </c>
      <c r="I202" s="21" t="s">
        <v>1939</v>
      </c>
      <c r="J202" s="15">
        <v>15</v>
      </c>
      <c r="K202" s="10" t="s">
        <v>699</v>
      </c>
      <c r="L202" s="10" t="s">
        <v>693</v>
      </c>
      <c r="M202" s="19" t="s">
        <v>958</v>
      </c>
      <c r="N202" s="17"/>
      <c r="Q202" s="20" t="s">
        <v>1942</v>
      </c>
      <c r="S202" s="1">
        <f t="shared" si="95"/>
        <v>0</v>
      </c>
      <c r="T202" s="1">
        <f t="shared" si="96"/>
        <v>0</v>
      </c>
      <c r="U202" s="1">
        <f t="shared" si="97"/>
        <v>0</v>
      </c>
      <c r="V202" s="1">
        <f t="shared" si="98"/>
        <v>0</v>
      </c>
      <c r="W202" s="1">
        <f t="shared" si="99"/>
        <v>0</v>
      </c>
      <c r="X202" s="1">
        <f t="shared" si="100"/>
        <v>0</v>
      </c>
      <c r="Y202" s="1">
        <f t="shared" si="101"/>
        <v>0</v>
      </c>
      <c r="Z202" s="1">
        <f t="shared" si="102"/>
        <v>0</v>
      </c>
      <c r="AA202" s="1">
        <f t="shared" si="103"/>
        <v>0</v>
      </c>
      <c r="AB202" s="1">
        <f t="shared" si="104"/>
        <v>0</v>
      </c>
      <c r="AD202" s="1">
        <f t="shared" si="105"/>
        <v>0</v>
      </c>
      <c r="AE202" s="1">
        <f t="shared" si="106"/>
        <v>0</v>
      </c>
      <c r="AF202" s="1">
        <f t="shared" si="107"/>
        <v>0</v>
      </c>
      <c r="AG202" s="1">
        <f t="shared" si="108"/>
        <v>0</v>
      </c>
      <c r="AH202" s="1">
        <f t="shared" si="109"/>
        <v>0</v>
      </c>
      <c r="AI202" s="1">
        <f t="shared" si="110"/>
        <v>1</v>
      </c>
    </row>
    <row r="203" spans="1:35" ht="14.25" customHeight="1" x14ac:dyDescent="0.25">
      <c r="A203" s="31">
        <v>0</v>
      </c>
      <c r="B203" s="31">
        <v>1</v>
      </c>
      <c r="C203" s="31">
        <v>5</v>
      </c>
      <c r="D203" s="32" t="s">
        <v>876</v>
      </c>
      <c r="E203" s="32" t="s">
        <v>877</v>
      </c>
      <c r="F203" s="32" t="s">
        <v>1079</v>
      </c>
      <c r="G203" s="32" t="s">
        <v>39</v>
      </c>
      <c r="H203" s="32" t="s">
        <v>878</v>
      </c>
      <c r="I203" s="31" t="s">
        <v>879</v>
      </c>
      <c r="J203" s="31">
        <v>16</v>
      </c>
      <c r="K203" s="33" t="s">
        <v>699</v>
      </c>
      <c r="L203" s="33" t="s">
        <v>688</v>
      </c>
      <c r="M203" s="34" t="s">
        <v>957</v>
      </c>
      <c r="N203" s="34" t="s">
        <v>1707</v>
      </c>
      <c r="O203" s="35">
        <v>1</v>
      </c>
      <c r="P203" s="35">
        <v>1</v>
      </c>
      <c r="Q203" s="36" t="s">
        <v>1868</v>
      </c>
      <c r="S203" s="1">
        <f t="shared" si="95"/>
        <v>0</v>
      </c>
      <c r="T203" s="1">
        <f t="shared" si="96"/>
        <v>0</v>
      </c>
      <c r="U203" s="1">
        <f t="shared" si="97"/>
        <v>0</v>
      </c>
      <c r="V203" s="1">
        <f t="shared" si="98"/>
        <v>0</v>
      </c>
      <c r="W203" s="1">
        <f t="shared" si="99"/>
        <v>0</v>
      </c>
      <c r="X203" s="1">
        <f t="shared" si="100"/>
        <v>0</v>
      </c>
      <c r="Y203" s="1">
        <f t="shared" si="101"/>
        <v>0</v>
      </c>
      <c r="Z203" s="1">
        <f t="shared" si="102"/>
        <v>0</v>
      </c>
      <c r="AA203" s="1">
        <f t="shared" si="103"/>
        <v>0</v>
      </c>
      <c r="AB203" s="1">
        <f t="shared" si="104"/>
        <v>0</v>
      </c>
      <c r="AD203" s="1">
        <f t="shared" si="105"/>
        <v>1</v>
      </c>
      <c r="AE203" s="1">
        <f t="shared" si="106"/>
        <v>0</v>
      </c>
      <c r="AF203" s="1">
        <f t="shared" si="107"/>
        <v>1</v>
      </c>
      <c r="AG203" s="1">
        <f t="shared" si="108"/>
        <v>0</v>
      </c>
      <c r="AH203" s="1">
        <f t="shared" si="109"/>
        <v>1</v>
      </c>
      <c r="AI203" s="1">
        <f t="shared" si="110"/>
        <v>0</v>
      </c>
    </row>
    <row r="204" spans="1:35" ht="14.25" customHeight="1" x14ac:dyDescent="0.25">
      <c r="A204" s="31">
        <v>0</v>
      </c>
      <c r="B204" s="31">
        <v>1</v>
      </c>
      <c r="C204" s="31">
        <v>5</v>
      </c>
      <c r="D204" s="32" t="s">
        <v>105</v>
      </c>
      <c r="E204" s="32" t="s">
        <v>172</v>
      </c>
      <c r="F204" s="32" t="s">
        <v>302</v>
      </c>
      <c r="G204" s="32" t="s">
        <v>39</v>
      </c>
      <c r="H204" s="32" t="s">
        <v>357</v>
      </c>
      <c r="I204" s="31" t="s">
        <v>450</v>
      </c>
      <c r="J204" s="31">
        <v>14</v>
      </c>
      <c r="K204" s="33" t="s">
        <v>943</v>
      </c>
      <c r="L204" s="33" t="s">
        <v>689</v>
      </c>
      <c r="M204" s="34" t="s">
        <v>957</v>
      </c>
      <c r="N204" s="34" t="s">
        <v>1717</v>
      </c>
      <c r="O204" s="35">
        <v>1</v>
      </c>
      <c r="P204" s="35"/>
      <c r="Q204" s="32"/>
      <c r="S204" s="1">
        <f t="shared" si="95"/>
        <v>0</v>
      </c>
      <c r="T204" s="1">
        <f t="shared" si="96"/>
        <v>0</v>
      </c>
      <c r="U204" s="1">
        <f t="shared" si="97"/>
        <v>0</v>
      </c>
      <c r="V204" s="1">
        <f t="shared" si="98"/>
        <v>0</v>
      </c>
      <c r="W204" s="1">
        <f t="shared" si="99"/>
        <v>0</v>
      </c>
      <c r="X204" s="1">
        <f t="shared" si="100"/>
        <v>0</v>
      </c>
      <c r="Y204" s="1">
        <f t="shared" si="101"/>
        <v>0</v>
      </c>
      <c r="Z204" s="1">
        <f t="shared" si="102"/>
        <v>0</v>
      </c>
      <c r="AA204" s="1">
        <f t="shared" si="103"/>
        <v>0</v>
      </c>
      <c r="AB204" s="1">
        <f t="shared" si="104"/>
        <v>0</v>
      </c>
      <c r="AD204" s="1">
        <f t="shared" si="105"/>
        <v>0</v>
      </c>
      <c r="AE204" s="1">
        <f t="shared" si="106"/>
        <v>1</v>
      </c>
      <c r="AF204" s="1">
        <f t="shared" si="107"/>
        <v>0</v>
      </c>
      <c r="AG204" s="1">
        <f t="shared" si="108"/>
        <v>1</v>
      </c>
      <c r="AH204" s="1">
        <f t="shared" si="109"/>
        <v>0</v>
      </c>
      <c r="AI204" s="1">
        <f t="shared" si="110"/>
        <v>1</v>
      </c>
    </row>
    <row r="205" spans="1:35" ht="14.25" customHeight="1" x14ac:dyDescent="0.25">
      <c r="A205" s="44">
        <v>0</v>
      </c>
      <c r="B205" s="44">
        <v>1</v>
      </c>
      <c r="C205" s="44">
        <v>5</v>
      </c>
      <c r="D205" s="45" t="s">
        <v>509</v>
      </c>
      <c r="E205" s="45" t="s">
        <v>171</v>
      </c>
      <c r="F205" s="45" t="s">
        <v>545</v>
      </c>
      <c r="G205" s="45" t="s">
        <v>39</v>
      </c>
      <c r="H205" s="45" t="s">
        <v>360</v>
      </c>
      <c r="I205" s="44" t="s">
        <v>1101</v>
      </c>
      <c r="J205" s="44">
        <v>12</v>
      </c>
      <c r="K205" s="46" t="s">
        <v>699</v>
      </c>
      <c r="L205" s="46">
        <v>35</v>
      </c>
      <c r="M205" s="47" t="s">
        <v>957</v>
      </c>
      <c r="N205" s="47" t="s">
        <v>1776</v>
      </c>
      <c r="O205" s="48"/>
      <c r="P205" s="48"/>
      <c r="Q205" s="45"/>
      <c r="S205" s="1">
        <f t="shared" si="67"/>
        <v>0</v>
      </c>
      <c r="T205" s="1">
        <f t="shared" si="68"/>
        <v>0</v>
      </c>
      <c r="U205" s="1">
        <f t="shared" si="69"/>
        <v>0</v>
      </c>
      <c r="V205" s="1">
        <f t="shared" si="70"/>
        <v>0</v>
      </c>
      <c r="W205" s="1">
        <f t="shared" si="71"/>
        <v>0</v>
      </c>
      <c r="X205" s="1">
        <f t="shared" si="72"/>
        <v>0</v>
      </c>
      <c r="Y205" s="1">
        <f t="shared" si="73"/>
        <v>0</v>
      </c>
      <c r="Z205" s="1">
        <f t="shared" si="74"/>
        <v>0</v>
      </c>
      <c r="AA205" s="1">
        <f t="shared" si="75"/>
        <v>0</v>
      </c>
      <c r="AB205" s="1">
        <f t="shared" si="76"/>
        <v>0</v>
      </c>
      <c r="AD205" s="1">
        <f t="shared" si="77"/>
        <v>0</v>
      </c>
      <c r="AE205" s="1">
        <f t="shared" si="78"/>
        <v>0</v>
      </c>
      <c r="AF205" s="1">
        <f t="shared" si="63"/>
        <v>0</v>
      </c>
      <c r="AG205" s="1">
        <f t="shared" si="64"/>
        <v>0</v>
      </c>
      <c r="AH205" s="1">
        <f t="shared" si="65"/>
        <v>0</v>
      </c>
      <c r="AI205" s="1">
        <f t="shared" si="66"/>
        <v>1</v>
      </c>
    </row>
    <row r="206" spans="1:35" ht="14.25" customHeight="1" x14ac:dyDescent="0.25">
      <c r="A206" s="31">
        <v>0</v>
      </c>
      <c r="B206" s="31">
        <v>1</v>
      </c>
      <c r="C206" s="31">
        <v>5</v>
      </c>
      <c r="D206" s="32" t="s">
        <v>150</v>
      </c>
      <c r="E206" s="32" t="s">
        <v>165</v>
      </c>
      <c r="F206" s="36" t="s">
        <v>1844</v>
      </c>
      <c r="G206" s="32" t="s">
        <v>196</v>
      </c>
      <c r="H206" s="32" t="s">
        <v>352</v>
      </c>
      <c r="I206" s="31" t="s">
        <v>495</v>
      </c>
      <c r="J206" s="31">
        <v>99</v>
      </c>
      <c r="K206" s="33" t="s">
        <v>943</v>
      </c>
      <c r="L206" s="33" t="s">
        <v>689</v>
      </c>
      <c r="M206" s="34" t="s">
        <v>957</v>
      </c>
      <c r="N206" s="34" t="s">
        <v>1722</v>
      </c>
      <c r="O206" s="35">
        <v>1</v>
      </c>
      <c r="P206" s="35"/>
      <c r="Q206" s="32"/>
      <c r="S206" s="1">
        <f t="shared" si="67"/>
        <v>0</v>
      </c>
      <c r="T206" s="1">
        <f t="shared" si="68"/>
        <v>0</v>
      </c>
      <c r="U206" s="1">
        <f t="shared" si="69"/>
        <v>0</v>
      </c>
      <c r="V206" s="1">
        <f t="shared" si="70"/>
        <v>0</v>
      </c>
      <c r="W206" s="1">
        <f t="shared" si="71"/>
        <v>0</v>
      </c>
      <c r="X206" s="1">
        <f t="shared" si="72"/>
        <v>0</v>
      </c>
      <c r="Y206" s="1">
        <f t="shared" si="73"/>
        <v>0</v>
      </c>
      <c r="Z206" s="1">
        <f t="shared" si="74"/>
        <v>0</v>
      </c>
      <c r="AA206" s="1">
        <f t="shared" si="75"/>
        <v>0</v>
      </c>
      <c r="AB206" s="1">
        <f t="shared" si="76"/>
        <v>0</v>
      </c>
      <c r="AD206" s="1">
        <f t="shared" si="77"/>
        <v>0</v>
      </c>
      <c r="AE206" s="1">
        <f t="shared" si="78"/>
        <v>1</v>
      </c>
      <c r="AF206" s="1">
        <f t="shared" si="63"/>
        <v>0</v>
      </c>
      <c r="AG206" s="1">
        <f t="shared" si="64"/>
        <v>1</v>
      </c>
      <c r="AH206" s="1">
        <f t="shared" si="65"/>
        <v>0</v>
      </c>
      <c r="AI206" s="1">
        <f t="shared" si="66"/>
        <v>1</v>
      </c>
    </row>
    <row r="207" spans="1:35" ht="14.25" customHeight="1" x14ac:dyDescent="0.25">
      <c r="A207" s="31">
        <v>0</v>
      </c>
      <c r="B207" s="31">
        <v>1</v>
      </c>
      <c r="C207" s="31">
        <v>5</v>
      </c>
      <c r="D207" s="32" t="s">
        <v>645</v>
      </c>
      <c r="E207" s="32" t="s">
        <v>680</v>
      </c>
      <c r="F207" s="32" t="s">
        <v>641</v>
      </c>
      <c r="G207" s="32" t="s">
        <v>184</v>
      </c>
      <c r="H207" s="32" t="s">
        <v>352</v>
      </c>
      <c r="I207" s="31" t="s">
        <v>642</v>
      </c>
      <c r="J207" s="31">
        <v>99</v>
      </c>
      <c r="K207" s="33" t="s">
        <v>718</v>
      </c>
      <c r="L207" s="33" t="s">
        <v>689</v>
      </c>
      <c r="M207" s="34" t="s">
        <v>957</v>
      </c>
      <c r="N207" s="34" t="s">
        <v>1723</v>
      </c>
      <c r="O207" s="35">
        <v>1</v>
      </c>
      <c r="P207" s="35"/>
      <c r="Q207" s="32"/>
      <c r="S207" s="1">
        <f t="shared" si="67"/>
        <v>0</v>
      </c>
      <c r="T207" s="1">
        <f t="shared" si="68"/>
        <v>0</v>
      </c>
      <c r="U207" s="1">
        <f t="shared" si="69"/>
        <v>0</v>
      </c>
      <c r="V207" s="1">
        <f t="shared" si="70"/>
        <v>0</v>
      </c>
      <c r="W207" s="1">
        <f t="shared" si="71"/>
        <v>0</v>
      </c>
      <c r="X207" s="1">
        <f t="shared" si="72"/>
        <v>0</v>
      </c>
      <c r="Y207" s="1">
        <f t="shared" si="73"/>
        <v>0</v>
      </c>
      <c r="Z207" s="1">
        <f t="shared" si="74"/>
        <v>0</v>
      </c>
      <c r="AA207" s="1">
        <f t="shared" si="75"/>
        <v>0</v>
      </c>
      <c r="AB207" s="1">
        <f t="shared" si="76"/>
        <v>0</v>
      </c>
      <c r="AD207" s="1">
        <f t="shared" si="77"/>
        <v>0</v>
      </c>
      <c r="AE207" s="1">
        <f t="shared" si="78"/>
        <v>1</v>
      </c>
      <c r="AF207" s="1">
        <f t="shared" si="63"/>
        <v>0</v>
      </c>
      <c r="AG207" s="1">
        <f t="shared" si="64"/>
        <v>1</v>
      </c>
      <c r="AH207" s="1">
        <f t="shared" si="65"/>
        <v>0</v>
      </c>
      <c r="AI207" s="1">
        <f t="shared" si="66"/>
        <v>1</v>
      </c>
    </row>
    <row r="208" spans="1:35" ht="14.25" customHeight="1" x14ac:dyDescent="0.25">
      <c r="A208" s="31">
        <v>0</v>
      </c>
      <c r="B208" s="31">
        <v>1</v>
      </c>
      <c r="C208" s="31">
        <v>5</v>
      </c>
      <c r="D208" s="32" t="s">
        <v>1290</v>
      </c>
      <c r="E208" s="32" t="s">
        <v>165</v>
      </c>
      <c r="F208" s="32" t="s">
        <v>1291</v>
      </c>
      <c r="G208" s="32" t="s">
        <v>281</v>
      </c>
      <c r="H208" s="32" t="s">
        <v>352</v>
      </c>
      <c r="I208" s="31" t="s">
        <v>1292</v>
      </c>
      <c r="J208" s="31">
        <v>99</v>
      </c>
      <c r="K208" s="33" t="s">
        <v>698</v>
      </c>
      <c r="L208" s="33" t="s">
        <v>39</v>
      </c>
      <c r="M208" s="34" t="s">
        <v>39</v>
      </c>
      <c r="N208" s="34" t="s">
        <v>1707</v>
      </c>
      <c r="O208" s="35">
        <v>1</v>
      </c>
      <c r="P208" s="35">
        <v>1</v>
      </c>
      <c r="Q208" s="32"/>
      <c r="S208" s="1">
        <f t="shared" si="67"/>
        <v>0</v>
      </c>
      <c r="T208" s="1">
        <f t="shared" si="68"/>
        <v>0</v>
      </c>
      <c r="U208" s="1">
        <f t="shared" si="69"/>
        <v>0</v>
      </c>
      <c r="V208" s="1">
        <f t="shared" si="70"/>
        <v>0</v>
      </c>
      <c r="W208" s="1">
        <f t="shared" si="71"/>
        <v>0</v>
      </c>
      <c r="X208" s="1">
        <f t="shared" si="72"/>
        <v>0</v>
      </c>
      <c r="Y208" s="1">
        <f t="shared" si="73"/>
        <v>0</v>
      </c>
      <c r="Z208" s="1">
        <f t="shared" si="74"/>
        <v>0</v>
      </c>
      <c r="AA208" s="1">
        <f t="shared" si="75"/>
        <v>0</v>
      </c>
      <c r="AB208" s="1">
        <f t="shared" si="76"/>
        <v>0</v>
      </c>
      <c r="AD208" s="1">
        <f t="shared" si="77"/>
        <v>1</v>
      </c>
      <c r="AE208" s="1">
        <f t="shared" si="78"/>
        <v>0</v>
      </c>
      <c r="AF208" s="1">
        <f t="shared" si="63"/>
        <v>1</v>
      </c>
      <c r="AG208" s="1">
        <f t="shared" si="64"/>
        <v>0</v>
      </c>
      <c r="AH208" s="1">
        <f t="shared" si="65"/>
        <v>1</v>
      </c>
      <c r="AI208" s="1">
        <f t="shared" si="66"/>
        <v>0</v>
      </c>
    </row>
    <row r="209" spans="1:35" ht="14.25" customHeight="1" x14ac:dyDescent="0.25">
      <c r="A209" s="44">
        <v>0</v>
      </c>
      <c r="B209" s="44">
        <v>1</v>
      </c>
      <c r="C209" s="44">
        <v>5</v>
      </c>
      <c r="D209" s="45" t="s">
        <v>881</v>
      </c>
      <c r="E209" s="45" t="s">
        <v>882</v>
      </c>
      <c r="F209" s="45" t="s">
        <v>923</v>
      </c>
      <c r="G209" s="45" t="s">
        <v>39</v>
      </c>
      <c r="H209" s="45" t="s">
        <v>883</v>
      </c>
      <c r="I209" s="44" t="s">
        <v>884</v>
      </c>
      <c r="J209" s="44">
        <v>17</v>
      </c>
      <c r="K209" s="46" t="s">
        <v>699</v>
      </c>
      <c r="L209" s="46" t="s">
        <v>693</v>
      </c>
      <c r="M209" s="47" t="s">
        <v>957</v>
      </c>
      <c r="N209" s="47" t="s">
        <v>1715</v>
      </c>
      <c r="O209" s="48"/>
      <c r="P209" s="48"/>
      <c r="Q209" s="45"/>
      <c r="S209" s="1">
        <f t="shared" si="67"/>
        <v>0</v>
      </c>
      <c r="T209" s="1">
        <f t="shared" si="68"/>
        <v>0</v>
      </c>
      <c r="U209" s="1">
        <f t="shared" si="69"/>
        <v>0</v>
      </c>
      <c r="V209" s="1">
        <f t="shared" si="70"/>
        <v>0</v>
      </c>
      <c r="W209" s="1">
        <f t="shared" si="71"/>
        <v>0</v>
      </c>
      <c r="X209" s="1">
        <f t="shared" si="72"/>
        <v>0</v>
      </c>
      <c r="Y209" s="1">
        <f t="shared" si="73"/>
        <v>0</v>
      </c>
      <c r="Z209" s="1">
        <f t="shared" si="74"/>
        <v>0</v>
      </c>
      <c r="AA209" s="1">
        <f t="shared" si="75"/>
        <v>0</v>
      </c>
      <c r="AB209" s="1">
        <f t="shared" si="76"/>
        <v>0</v>
      </c>
      <c r="AD209" s="1">
        <f t="shared" si="77"/>
        <v>0</v>
      </c>
      <c r="AE209" s="1">
        <f t="shared" si="78"/>
        <v>0</v>
      </c>
      <c r="AF209" s="1">
        <f t="shared" ref="AF209:AF272" si="111">+O209*P209*(1-A209)</f>
        <v>0</v>
      </c>
      <c r="AG209" s="1">
        <f t="shared" ref="AG209:AG272" si="112">O209*(1-P209)*(1-A209)</f>
        <v>0</v>
      </c>
      <c r="AH209" s="1">
        <f t="shared" ref="AH209:AH272" si="113">+P209*(1-A209)</f>
        <v>0</v>
      </c>
      <c r="AI209" s="1">
        <f t="shared" ref="AI209:AI272" si="114">+(1-A209)*(1-P209)</f>
        <v>1</v>
      </c>
    </row>
    <row r="210" spans="1:35" ht="14.25" customHeight="1" x14ac:dyDescent="0.25">
      <c r="A210" s="15">
        <v>0</v>
      </c>
      <c r="B210" s="15">
        <v>1</v>
      </c>
      <c r="C210" s="15">
        <v>5</v>
      </c>
      <c r="D210" s="16" t="s">
        <v>1915</v>
      </c>
      <c r="E210" s="16" t="s">
        <v>882</v>
      </c>
      <c r="F210" s="16" t="s">
        <v>1917</v>
      </c>
      <c r="G210" s="16"/>
      <c r="H210" s="16" t="s">
        <v>1916</v>
      </c>
      <c r="I210" s="15" t="s">
        <v>1918</v>
      </c>
      <c r="J210" s="15">
        <v>16</v>
      </c>
      <c r="K210" s="10" t="s">
        <v>699</v>
      </c>
      <c r="L210" s="10" t="s">
        <v>693</v>
      </c>
      <c r="M210" s="19" t="s">
        <v>957</v>
      </c>
      <c r="N210" s="17"/>
      <c r="Q210" s="20" t="s">
        <v>1919</v>
      </c>
      <c r="S210" s="1">
        <f t="shared" si="67"/>
        <v>0</v>
      </c>
      <c r="T210" s="1">
        <f t="shared" si="68"/>
        <v>0</v>
      </c>
      <c r="U210" s="1">
        <f t="shared" si="69"/>
        <v>0</v>
      </c>
      <c r="V210" s="1">
        <f t="shared" si="70"/>
        <v>0</v>
      </c>
      <c r="W210" s="1">
        <f t="shared" si="71"/>
        <v>0</v>
      </c>
      <c r="X210" s="1">
        <f t="shared" si="72"/>
        <v>0</v>
      </c>
      <c r="Y210" s="1">
        <f t="shared" si="73"/>
        <v>0</v>
      </c>
      <c r="Z210" s="1">
        <f t="shared" si="74"/>
        <v>0</v>
      </c>
      <c r="AA210" s="1">
        <f t="shared" si="75"/>
        <v>0</v>
      </c>
      <c r="AB210" s="1">
        <f t="shared" si="76"/>
        <v>0</v>
      </c>
      <c r="AD210" s="1">
        <f t="shared" si="77"/>
        <v>0</v>
      </c>
      <c r="AE210" s="1">
        <f t="shared" si="78"/>
        <v>0</v>
      </c>
      <c r="AF210" s="1">
        <f t="shared" si="111"/>
        <v>0</v>
      </c>
      <c r="AG210" s="1">
        <f t="shared" si="112"/>
        <v>0</v>
      </c>
      <c r="AH210" s="1">
        <f t="shared" si="113"/>
        <v>0</v>
      </c>
      <c r="AI210" s="1">
        <f t="shared" si="114"/>
        <v>1</v>
      </c>
    </row>
    <row r="211" spans="1:35" ht="14.25" customHeight="1" x14ac:dyDescent="0.25">
      <c r="A211" s="44">
        <v>0</v>
      </c>
      <c r="B211" s="44">
        <v>1</v>
      </c>
      <c r="C211" s="44">
        <v>5</v>
      </c>
      <c r="D211" s="45" t="s">
        <v>130</v>
      </c>
      <c r="E211" s="45" t="s">
        <v>165</v>
      </c>
      <c r="F211" s="45" t="s">
        <v>330</v>
      </c>
      <c r="G211" s="45" t="s">
        <v>331</v>
      </c>
      <c r="H211" s="45" t="s">
        <v>352</v>
      </c>
      <c r="I211" s="44" t="s">
        <v>477</v>
      </c>
      <c r="J211" s="44">
        <v>99</v>
      </c>
      <c r="K211" s="46" t="s">
        <v>718</v>
      </c>
      <c r="L211" s="46" t="s">
        <v>690</v>
      </c>
      <c r="M211" s="47" t="s">
        <v>957</v>
      </c>
      <c r="N211" s="47" t="s">
        <v>1721</v>
      </c>
      <c r="O211" s="48"/>
      <c r="P211" s="48"/>
      <c r="Q211" s="45"/>
      <c r="S211" s="1">
        <f t="shared" si="67"/>
        <v>0</v>
      </c>
      <c r="T211" s="1">
        <f t="shared" si="68"/>
        <v>0</v>
      </c>
      <c r="U211" s="1">
        <f t="shared" si="69"/>
        <v>0</v>
      </c>
      <c r="V211" s="1">
        <f t="shared" si="70"/>
        <v>0</v>
      </c>
      <c r="W211" s="1">
        <f t="shared" si="71"/>
        <v>0</v>
      </c>
      <c r="X211" s="1">
        <f t="shared" si="72"/>
        <v>0</v>
      </c>
      <c r="Y211" s="1">
        <f t="shared" si="73"/>
        <v>0</v>
      </c>
      <c r="Z211" s="1">
        <f t="shared" si="74"/>
        <v>0</v>
      </c>
      <c r="AA211" s="1">
        <f t="shared" si="75"/>
        <v>0</v>
      </c>
      <c r="AB211" s="1">
        <f t="shared" si="76"/>
        <v>0</v>
      </c>
      <c r="AD211" s="1">
        <f t="shared" si="77"/>
        <v>0</v>
      </c>
      <c r="AE211" s="1">
        <f t="shared" si="78"/>
        <v>0</v>
      </c>
      <c r="AF211" s="1">
        <f t="shared" si="111"/>
        <v>0</v>
      </c>
      <c r="AG211" s="1">
        <f t="shared" si="112"/>
        <v>0</v>
      </c>
      <c r="AH211" s="1">
        <f t="shared" si="113"/>
        <v>0</v>
      </c>
      <c r="AI211" s="1">
        <f t="shared" si="114"/>
        <v>1</v>
      </c>
    </row>
    <row r="212" spans="1:35" ht="14.25" customHeight="1" x14ac:dyDescent="0.25">
      <c r="A212" s="31">
        <v>0</v>
      </c>
      <c r="B212" s="31">
        <v>1</v>
      </c>
      <c r="C212" s="31">
        <v>5</v>
      </c>
      <c r="D212" s="32" t="s">
        <v>108</v>
      </c>
      <c r="E212" s="32" t="s">
        <v>165</v>
      </c>
      <c r="F212" s="32" t="s">
        <v>305</v>
      </c>
      <c r="G212" s="32" t="s">
        <v>230</v>
      </c>
      <c r="H212" s="32" t="s">
        <v>352</v>
      </c>
      <c r="I212" s="31" t="s">
        <v>453</v>
      </c>
      <c r="J212" s="31">
        <v>99</v>
      </c>
      <c r="K212" s="33" t="s">
        <v>718</v>
      </c>
      <c r="L212" s="33" t="s">
        <v>692</v>
      </c>
      <c r="M212" s="34" t="s">
        <v>687</v>
      </c>
      <c r="N212" s="34" t="s">
        <v>1717</v>
      </c>
      <c r="O212" s="35">
        <v>1</v>
      </c>
      <c r="P212" s="35"/>
      <c r="Q212" s="32"/>
      <c r="S212" s="1">
        <f t="shared" si="67"/>
        <v>0</v>
      </c>
      <c r="T212" s="1">
        <f t="shared" si="68"/>
        <v>0</v>
      </c>
      <c r="U212" s="1">
        <f t="shared" si="69"/>
        <v>0</v>
      </c>
      <c r="V212" s="1">
        <f t="shared" si="70"/>
        <v>0</v>
      </c>
      <c r="W212" s="1">
        <f t="shared" si="71"/>
        <v>0</v>
      </c>
      <c r="X212" s="1">
        <f t="shared" si="72"/>
        <v>0</v>
      </c>
      <c r="Y212" s="1">
        <f t="shared" si="73"/>
        <v>0</v>
      </c>
      <c r="Z212" s="1">
        <f t="shared" si="74"/>
        <v>0</v>
      </c>
      <c r="AA212" s="1">
        <f t="shared" si="75"/>
        <v>0</v>
      </c>
      <c r="AB212" s="1">
        <f t="shared" si="76"/>
        <v>0</v>
      </c>
      <c r="AD212" s="1">
        <f t="shared" si="77"/>
        <v>0</v>
      </c>
      <c r="AE212" s="1">
        <f t="shared" si="78"/>
        <v>1</v>
      </c>
      <c r="AF212" s="1">
        <f t="shared" si="111"/>
        <v>0</v>
      </c>
      <c r="AG212" s="1">
        <f t="shared" si="112"/>
        <v>1</v>
      </c>
      <c r="AH212" s="1">
        <f t="shared" si="113"/>
        <v>0</v>
      </c>
      <c r="AI212" s="1">
        <f t="shared" si="114"/>
        <v>1</v>
      </c>
    </row>
    <row r="213" spans="1:35" ht="14.25" customHeight="1" x14ac:dyDescent="0.25">
      <c r="A213" s="31">
        <v>0</v>
      </c>
      <c r="B213" s="31">
        <v>1</v>
      </c>
      <c r="C213" s="31">
        <v>5</v>
      </c>
      <c r="D213" s="32" t="s">
        <v>110</v>
      </c>
      <c r="E213" s="32" t="s">
        <v>171</v>
      </c>
      <c r="F213" s="32" t="s">
        <v>308</v>
      </c>
      <c r="G213" s="32" t="s">
        <v>39</v>
      </c>
      <c r="H213" s="32" t="s">
        <v>362</v>
      </c>
      <c r="I213" s="31" t="s">
        <v>456</v>
      </c>
      <c r="J213" s="31">
        <v>17</v>
      </c>
      <c r="K213" s="33" t="s">
        <v>699</v>
      </c>
      <c r="L213" s="33" t="s">
        <v>693</v>
      </c>
      <c r="M213" s="34" t="s">
        <v>687</v>
      </c>
      <c r="N213" s="34" t="s">
        <v>1707</v>
      </c>
      <c r="O213" s="35">
        <v>1</v>
      </c>
      <c r="P213" s="35">
        <v>1</v>
      </c>
      <c r="Q213" s="32" t="s">
        <v>1889</v>
      </c>
      <c r="S213" s="1">
        <f t="shared" ref="S213:S276" si="115">IF(J213=$S$7,1,0)</f>
        <v>0</v>
      </c>
      <c r="T213" s="1">
        <f t="shared" ref="T213:T276" si="116">IF(J213=$T$7,1,0)</f>
        <v>0</v>
      </c>
      <c r="U213" s="1">
        <f t="shared" ref="U213:U276" si="117">IF(J213=$U$7,1,0)</f>
        <v>0</v>
      </c>
      <c r="V213" s="1">
        <f t="shared" ref="V213:V276" si="118">IF(J213=$V$7,1,0)</f>
        <v>0</v>
      </c>
      <c r="W213" s="1">
        <f t="shared" ref="W213:W276" si="119">IF(J213=$W$7,1,0)</f>
        <v>0</v>
      </c>
      <c r="X213" s="1">
        <f t="shared" ref="X213:X276" si="120">IF(J213=$X$7,1,0)</f>
        <v>0</v>
      </c>
      <c r="Y213" s="1">
        <f t="shared" ref="Y213:Y276" si="121">IF(J213=$Y$7,1,0)</f>
        <v>0</v>
      </c>
      <c r="Z213" s="1">
        <f t="shared" ref="Z213:Z276" si="122">IF(J213=$Z$7,1,0)</f>
        <v>0</v>
      </c>
      <c r="AA213" s="1">
        <f t="shared" ref="AA213:AA276" si="123">IF(J213=$AA$7,1,0)</f>
        <v>0</v>
      </c>
      <c r="AB213" s="1">
        <f t="shared" ref="AB213:AB276" si="124">IF(J213=$AB$7,1,0)</f>
        <v>0</v>
      </c>
      <c r="AD213" s="1">
        <f t="shared" ref="AD213:AD276" si="125">+O213*P213</f>
        <v>1</v>
      </c>
      <c r="AE213" s="1">
        <f t="shared" ref="AE213:AE276" si="126">O213*(1-P213)</f>
        <v>0</v>
      </c>
      <c r="AF213" s="1">
        <f t="shared" si="111"/>
        <v>1</v>
      </c>
      <c r="AG213" s="1">
        <f t="shared" si="112"/>
        <v>0</v>
      </c>
      <c r="AH213" s="1">
        <f t="shared" si="113"/>
        <v>1</v>
      </c>
      <c r="AI213" s="1">
        <f t="shared" si="114"/>
        <v>0</v>
      </c>
    </row>
    <row r="214" spans="1:35" ht="14.25" customHeight="1" x14ac:dyDescent="0.25">
      <c r="A214" s="31">
        <v>0</v>
      </c>
      <c r="B214" s="31">
        <v>1</v>
      </c>
      <c r="C214" s="31">
        <v>5</v>
      </c>
      <c r="D214" s="32" t="s">
        <v>521</v>
      </c>
      <c r="E214" s="32" t="s">
        <v>522</v>
      </c>
      <c r="F214" s="32" t="s">
        <v>523</v>
      </c>
      <c r="G214" s="32" t="s">
        <v>201</v>
      </c>
      <c r="H214" s="32" t="s">
        <v>352</v>
      </c>
      <c r="I214" s="31" t="s">
        <v>524</v>
      </c>
      <c r="J214" s="31">
        <v>10</v>
      </c>
      <c r="K214" s="33" t="s">
        <v>698</v>
      </c>
      <c r="L214" s="33" t="s">
        <v>689</v>
      </c>
      <c r="M214" s="34" t="s">
        <v>957</v>
      </c>
      <c r="N214" s="34" t="s">
        <v>1707</v>
      </c>
      <c r="O214" s="35">
        <v>1</v>
      </c>
      <c r="P214" s="35">
        <v>1</v>
      </c>
      <c r="Q214" s="32"/>
      <c r="S214" s="1">
        <f t="shared" si="115"/>
        <v>0</v>
      </c>
      <c r="T214" s="1">
        <f t="shared" si="116"/>
        <v>0</v>
      </c>
      <c r="U214" s="1">
        <f t="shared" si="117"/>
        <v>0</v>
      </c>
      <c r="V214" s="1">
        <f t="shared" si="118"/>
        <v>0</v>
      </c>
      <c r="W214" s="1">
        <f t="shared" si="119"/>
        <v>0</v>
      </c>
      <c r="X214" s="1">
        <f t="shared" si="120"/>
        <v>0</v>
      </c>
      <c r="Y214" s="1">
        <f t="shared" si="121"/>
        <v>0</v>
      </c>
      <c r="Z214" s="1">
        <f t="shared" si="122"/>
        <v>0</v>
      </c>
      <c r="AA214" s="1">
        <f t="shared" si="123"/>
        <v>0</v>
      </c>
      <c r="AB214" s="1">
        <f t="shared" si="124"/>
        <v>1</v>
      </c>
      <c r="AD214" s="1">
        <f t="shared" si="125"/>
        <v>1</v>
      </c>
      <c r="AE214" s="1">
        <f t="shared" si="126"/>
        <v>0</v>
      </c>
      <c r="AF214" s="1">
        <f t="shared" si="111"/>
        <v>1</v>
      </c>
      <c r="AG214" s="1">
        <f t="shared" si="112"/>
        <v>0</v>
      </c>
      <c r="AH214" s="1">
        <f t="shared" si="113"/>
        <v>1</v>
      </c>
      <c r="AI214" s="1">
        <f t="shared" si="114"/>
        <v>0</v>
      </c>
    </row>
    <row r="215" spans="1:35" ht="14.25" customHeight="1" x14ac:dyDescent="0.25">
      <c r="A215" s="31">
        <v>0</v>
      </c>
      <c r="B215" s="31">
        <v>1</v>
      </c>
      <c r="C215" s="31">
        <v>5</v>
      </c>
      <c r="D215" s="32" t="s">
        <v>1474</v>
      </c>
      <c r="E215" s="32" t="s">
        <v>165</v>
      </c>
      <c r="F215" s="32" t="s">
        <v>1475</v>
      </c>
      <c r="G215" s="32" t="s">
        <v>179</v>
      </c>
      <c r="H215" s="32" t="s">
        <v>352</v>
      </c>
      <c r="I215" s="31" t="s">
        <v>1476</v>
      </c>
      <c r="J215" s="31">
        <v>10</v>
      </c>
      <c r="K215" s="33" t="s">
        <v>943</v>
      </c>
      <c r="L215" s="33" t="s">
        <v>689</v>
      </c>
      <c r="M215" s="34" t="s">
        <v>957</v>
      </c>
      <c r="N215" s="34" t="s">
        <v>1701</v>
      </c>
      <c r="O215" s="35">
        <v>1</v>
      </c>
      <c r="P215" s="35">
        <v>1</v>
      </c>
      <c r="Q215" s="32"/>
      <c r="S215" s="1">
        <f t="shared" si="115"/>
        <v>0</v>
      </c>
      <c r="T215" s="1">
        <f t="shared" si="116"/>
        <v>0</v>
      </c>
      <c r="U215" s="1">
        <f t="shared" si="117"/>
        <v>0</v>
      </c>
      <c r="V215" s="1">
        <f t="shared" si="118"/>
        <v>0</v>
      </c>
      <c r="W215" s="1">
        <f t="shared" si="119"/>
        <v>0</v>
      </c>
      <c r="X215" s="1">
        <f t="shared" si="120"/>
        <v>0</v>
      </c>
      <c r="Y215" s="1">
        <f t="shared" si="121"/>
        <v>0</v>
      </c>
      <c r="Z215" s="1">
        <f t="shared" si="122"/>
        <v>0</v>
      </c>
      <c r="AA215" s="1">
        <f t="shared" si="123"/>
        <v>0</v>
      </c>
      <c r="AB215" s="1">
        <f t="shared" si="124"/>
        <v>1</v>
      </c>
      <c r="AD215" s="1">
        <f t="shared" si="125"/>
        <v>1</v>
      </c>
      <c r="AE215" s="1">
        <f t="shared" si="126"/>
        <v>0</v>
      </c>
      <c r="AF215" s="1">
        <f t="shared" si="111"/>
        <v>1</v>
      </c>
      <c r="AG215" s="1">
        <f t="shared" si="112"/>
        <v>0</v>
      </c>
      <c r="AH215" s="1">
        <f t="shared" si="113"/>
        <v>1</v>
      </c>
      <c r="AI215" s="1">
        <f t="shared" si="114"/>
        <v>0</v>
      </c>
    </row>
    <row r="216" spans="1:35" ht="14.25" customHeight="1" x14ac:dyDescent="0.25">
      <c r="A216" s="31">
        <v>0</v>
      </c>
      <c r="B216" s="31">
        <v>1</v>
      </c>
      <c r="C216" s="31">
        <v>5</v>
      </c>
      <c r="D216" s="32" t="s">
        <v>1731</v>
      </c>
      <c r="E216" s="32" t="s">
        <v>165</v>
      </c>
      <c r="F216" s="32" t="s">
        <v>1732</v>
      </c>
      <c r="G216" s="32" t="s">
        <v>1733</v>
      </c>
      <c r="H216" s="32" t="s">
        <v>352</v>
      </c>
      <c r="I216" s="31" t="s">
        <v>1734</v>
      </c>
      <c r="J216" s="31">
        <v>1</v>
      </c>
      <c r="K216" s="33" t="s">
        <v>699</v>
      </c>
      <c r="L216" s="33"/>
      <c r="M216" s="34"/>
      <c r="N216" s="34" t="s">
        <v>1722</v>
      </c>
      <c r="O216" s="35">
        <v>1</v>
      </c>
      <c r="P216" s="35"/>
      <c r="Q216" s="32"/>
      <c r="S216" s="1">
        <f t="shared" si="115"/>
        <v>1</v>
      </c>
      <c r="T216" s="1">
        <f t="shared" si="116"/>
        <v>0</v>
      </c>
      <c r="U216" s="1">
        <f t="shared" si="117"/>
        <v>0</v>
      </c>
      <c r="V216" s="1">
        <f t="shared" si="118"/>
        <v>0</v>
      </c>
      <c r="W216" s="1">
        <f t="shared" si="119"/>
        <v>0</v>
      </c>
      <c r="X216" s="1">
        <f t="shared" si="120"/>
        <v>0</v>
      </c>
      <c r="Y216" s="1">
        <f t="shared" si="121"/>
        <v>0</v>
      </c>
      <c r="Z216" s="1">
        <f t="shared" si="122"/>
        <v>0</v>
      </c>
      <c r="AA216" s="1">
        <f t="shared" si="123"/>
        <v>0</v>
      </c>
      <c r="AB216" s="1">
        <f t="shared" si="124"/>
        <v>0</v>
      </c>
      <c r="AD216" s="1">
        <f t="shared" si="125"/>
        <v>0</v>
      </c>
      <c r="AE216" s="1">
        <f t="shared" si="126"/>
        <v>1</v>
      </c>
      <c r="AF216" s="1">
        <f t="shared" si="111"/>
        <v>0</v>
      </c>
      <c r="AG216" s="1">
        <f t="shared" si="112"/>
        <v>1</v>
      </c>
      <c r="AH216" s="1">
        <f t="shared" si="113"/>
        <v>0</v>
      </c>
      <c r="AI216" s="1">
        <f t="shared" si="114"/>
        <v>1</v>
      </c>
    </row>
    <row r="217" spans="1:35" ht="14.25" customHeight="1" x14ac:dyDescent="0.25">
      <c r="A217" s="44">
        <v>0</v>
      </c>
      <c r="B217" s="44">
        <v>1</v>
      </c>
      <c r="C217" s="44">
        <v>5</v>
      </c>
      <c r="D217" s="45" t="s">
        <v>1013</v>
      </c>
      <c r="E217" s="45" t="s">
        <v>1074</v>
      </c>
      <c r="F217" s="45" t="s">
        <v>1014</v>
      </c>
      <c r="G217" s="45" t="s">
        <v>193</v>
      </c>
      <c r="H217" s="45" t="s">
        <v>352</v>
      </c>
      <c r="I217" s="44" t="s">
        <v>1015</v>
      </c>
      <c r="J217" s="44">
        <v>9</v>
      </c>
      <c r="K217" s="46" t="s">
        <v>718</v>
      </c>
      <c r="L217" s="46" t="s">
        <v>1678</v>
      </c>
      <c r="M217" s="47" t="s">
        <v>1578</v>
      </c>
      <c r="N217" s="47" t="s">
        <v>1709</v>
      </c>
      <c r="O217" s="48"/>
      <c r="P217" s="48"/>
      <c r="Q217" s="45"/>
      <c r="S217" s="1">
        <f t="shared" si="115"/>
        <v>0</v>
      </c>
      <c r="T217" s="1">
        <f t="shared" si="116"/>
        <v>0</v>
      </c>
      <c r="U217" s="1">
        <f t="shared" si="117"/>
        <v>0</v>
      </c>
      <c r="V217" s="1">
        <f t="shared" si="118"/>
        <v>0</v>
      </c>
      <c r="W217" s="1">
        <f t="shared" si="119"/>
        <v>0</v>
      </c>
      <c r="X217" s="1">
        <f t="shared" si="120"/>
        <v>0</v>
      </c>
      <c r="Y217" s="1">
        <f t="shared" si="121"/>
        <v>0</v>
      </c>
      <c r="Z217" s="1">
        <f t="shared" si="122"/>
        <v>0</v>
      </c>
      <c r="AA217" s="1">
        <f t="shared" si="123"/>
        <v>1</v>
      </c>
      <c r="AB217" s="1">
        <f t="shared" si="124"/>
        <v>0</v>
      </c>
      <c r="AD217" s="1">
        <f t="shared" si="125"/>
        <v>0</v>
      </c>
      <c r="AE217" s="1">
        <f t="shared" si="126"/>
        <v>0</v>
      </c>
      <c r="AF217" s="1">
        <f t="shared" si="111"/>
        <v>0</v>
      </c>
      <c r="AG217" s="1">
        <f t="shared" si="112"/>
        <v>0</v>
      </c>
      <c r="AH217" s="1">
        <f t="shared" si="113"/>
        <v>0</v>
      </c>
      <c r="AI217" s="1">
        <f t="shared" si="114"/>
        <v>1</v>
      </c>
    </row>
    <row r="218" spans="1:35" ht="14.25" customHeight="1" x14ac:dyDescent="0.25">
      <c r="A218" s="44">
        <v>0</v>
      </c>
      <c r="B218" s="44">
        <v>1</v>
      </c>
      <c r="C218" s="44">
        <v>5</v>
      </c>
      <c r="D218" s="45" t="s">
        <v>1588</v>
      </c>
      <c r="E218" s="45" t="s">
        <v>165</v>
      </c>
      <c r="F218" s="45" t="s">
        <v>1589</v>
      </c>
      <c r="G218" s="45" t="s">
        <v>212</v>
      </c>
      <c r="H218" s="45" t="s">
        <v>352</v>
      </c>
      <c r="I218" s="44" t="s">
        <v>1590</v>
      </c>
      <c r="J218" s="44">
        <v>1</v>
      </c>
      <c r="K218" s="46" t="s">
        <v>718</v>
      </c>
      <c r="L218" s="46" t="s">
        <v>690</v>
      </c>
      <c r="M218" s="47" t="s">
        <v>957</v>
      </c>
      <c r="N218" s="47" t="s">
        <v>1710</v>
      </c>
      <c r="O218" s="48"/>
      <c r="P218" s="48"/>
      <c r="Q218" s="45"/>
      <c r="S218" s="1">
        <f t="shared" si="115"/>
        <v>1</v>
      </c>
      <c r="T218" s="1">
        <f t="shared" si="116"/>
        <v>0</v>
      </c>
      <c r="U218" s="1">
        <f t="shared" si="117"/>
        <v>0</v>
      </c>
      <c r="V218" s="1">
        <f t="shared" si="118"/>
        <v>0</v>
      </c>
      <c r="W218" s="1">
        <f t="shared" si="119"/>
        <v>0</v>
      </c>
      <c r="X218" s="1">
        <f t="shared" si="120"/>
        <v>0</v>
      </c>
      <c r="Y218" s="1">
        <f t="shared" si="121"/>
        <v>0</v>
      </c>
      <c r="Z218" s="1">
        <f t="shared" si="122"/>
        <v>0</v>
      </c>
      <c r="AA218" s="1">
        <f t="shared" si="123"/>
        <v>0</v>
      </c>
      <c r="AB218" s="1">
        <f t="shared" si="124"/>
        <v>0</v>
      </c>
      <c r="AD218" s="1">
        <f t="shared" si="125"/>
        <v>0</v>
      </c>
      <c r="AE218" s="1">
        <f t="shared" si="126"/>
        <v>0</v>
      </c>
      <c r="AF218" s="1">
        <f t="shared" si="111"/>
        <v>0</v>
      </c>
      <c r="AG218" s="1">
        <f t="shared" si="112"/>
        <v>0</v>
      </c>
      <c r="AH218" s="1">
        <f t="shared" si="113"/>
        <v>0</v>
      </c>
      <c r="AI218" s="1">
        <f t="shared" si="114"/>
        <v>1</v>
      </c>
    </row>
    <row r="219" spans="1:35" ht="14.25" customHeight="1" x14ac:dyDescent="0.25">
      <c r="A219" s="31">
        <v>0</v>
      </c>
      <c r="B219" s="31">
        <v>1</v>
      </c>
      <c r="C219" s="31">
        <v>5</v>
      </c>
      <c r="D219" s="32" t="s">
        <v>146</v>
      </c>
      <c r="E219" s="32" t="s">
        <v>541</v>
      </c>
      <c r="F219" s="32" t="s">
        <v>1573</v>
      </c>
      <c r="G219" s="32" t="s">
        <v>1647</v>
      </c>
      <c r="H219" s="32" t="s">
        <v>352</v>
      </c>
      <c r="I219" s="31" t="s">
        <v>491</v>
      </c>
      <c r="J219" s="31">
        <v>99</v>
      </c>
      <c r="K219" s="33" t="s">
        <v>698</v>
      </c>
      <c r="L219" s="33" t="s">
        <v>685</v>
      </c>
      <c r="M219" s="34" t="s">
        <v>957</v>
      </c>
      <c r="N219" s="34" t="s">
        <v>1799</v>
      </c>
      <c r="O219" s="35">
        <v>1</v>
      </c>
      <c r="P219" s="35"/>
      <c r="Q219" s="32"/>
      <c r="S219" s="1">
        <f t="shared" si="115"/>
        <v>0</v>
      </c>
      <c r="T219" s="1">
        <f t="shared" si="116"/>
        <v>0</v>
      </c>
      <c r="U219" s="1">
        <f t="shared" si="117"/>
        <v>0</v>
      </c>
      <c r="V219" s="1">
        <f t="shared" si="118"/>
        <v>0</v>
      </c>
      <c r="W219" s="1">
        <f t="shared" si="119"/>
        <v>0</v>
      </c>
      <c r="X219" s="1">
        <f t="shared" si="120"/>
        <v>0</v>
      </c>
      <c r="Y219" s="1">
        <f t="shared" si="121"/>
        <v>0</v>
      </c>
      <c r="Z219" s="1">
        <f t="shared" si="122"/>
        <v>0</v>
      </c>
      <c r="AA219" s="1">
        <f t="shared" si="123"/>
        <v>0</v>
      </c>
      <c r="AB219" s="1">
        <f t="shared" si="124"/>
        <v>0</v>
      </c>
      <c r="AD219" s="1">
        <f t="shared" si="125"/>
        <v>0</v>
      </c>
      <c r="AE219" s="1">
        <f t="shared" si="126"/>
        <v>1</v>
      </c>
      <c r="AF219" s="1">
        <f t="shared" si="111"/>
        <v>0</v>
      </c>
      <c r="AG219" s="1">
        <f t="shared" si="112"/>
        <v>1</v>
      </c>
      <c r="AH219" s="1">
        <f t="shared" si="113"/>
        <v>0</v>
      </c>
      <c r="AI219" s="1">
        <f t="shared" si="114"/>
        <v>1</v>
      </c>
    </row>
    <row r="220" spans="1:35" ht="14.25" customHeight="1" x14ac:dyDescent="0.25">
      <c r="A220" s="15">
        <v>0</v>
      </c>
      <c r="B220" s="15">
        <v>1</v>
      </c>
      <c r="C220" s="15">
        <v>5</v>
      </c>
      <c r="D220" s="16" t="s">
        <v>1193</v>
      </c>
      <c r="E220" s="16" t="s">
        <v>165</v>
      </c>
      <c r="F220" s="16" t="s">
        <v>1194</v>
      </c>
      <c r="G220" s="16" t="s">
        <v>1195</v>
      </c>
      <c r="H220" s="16" t="s">
        <v>352</v>
      </c>
      <c r="I220" s="15" t="s">
        <v>1196</v>
      </c>
      <c r="J220" s="15">
        <v>99</v>
      </c>
      <c r="K220" s="10" t="s">
        <v>699</v>
      </c>
      <c r="L220" s="10">
        <v>30</v>
      </c>
      <c r="M220" s="19" t="s">
        <v>957</v>
      </c>
      <c r="N220" s="19"/>
      <c r="Q220" s="16"/>
      <c r="S220" s="1">
        <f t="shared" si="115"/>
        <v>0</v>
      </c>
      <c r="T220" s="1">
        <f t="shared" si="116"/>
        <v>0</v>
      </c>
      <c r="U220" s="1">
        <f t="shared" si="117"/>
        <v>0</v>
      </c>
      <c r="V220" s="1">
        <f t="shared" si="118"/>
        <v>0</v>
      </c>
      <c r="W220" s="1">
        <f t="shared" si="119"/>
        <v>0</v>
      </c>
      <c r="X220" s="1">
        <f t="shared" si="120"/>
        <v>0</v>
      </c>
      <c r="Y220" s="1">
        <f t="shared" si="121"/>
        <v>0</v>
      </c>
      <c r="Z220" s="1">
        <f t="shared" si="122"/>
        <v>0</v>
      </c>
      <c r="AA220" s="1">
        <f t="shared" si="123"/>
        <v>0</v>
      </c>
      <c r="AB220" s="1">
        <f t="shared" si="124"/>
        <v>0</v>
      </c>
      <c r="AD220" s="1">
        <f t="shared" si="125"/>
        <v>0</v>
      </c>
      <c r="AE220" s="1">
        <f t="shared" si="126"/>
        <v>0</v>
      </c>
      <c r="AF220" s="1">
        <f t="shared" si="111"/>
        <v>0</v>
      </c>
      <c r="AG220" s="1">
        <f t="shared" si="112"/>
        <v>0</v>
      </c>
      <c r="AH220" s="1">
        <f t="shared" si="113"/>
        <v>0</v>
      </c>
      <c r="AI220" s="1">
        <f t="shared" si="114"/>
        <v>1</v>
      </c>
    </row>
    <row r="221" spans="1:35" ht="14.25" customHeight="1" x14ac:dyDescent="0.25">
      <c r="A221" s="31">
        <v>0</v>
      </c>
      <c r="B221" s="31">
        <v>1</v>
      </c>
      <c r="C221" s="31">
        <v>5</v>
      </c>
      <c r="D221" s="32" t="s">
        <v>1574</v>
      </c>
      <c r="E221" s="32" t="s">
        <v>171</v>
      </c>
      <c r="F221" s="32" t="s">
        <v>799</v>
      </c>
      <c r="G221" s="32" t="s">
        <v>39</v>
      </c>
      <c r="H221" s="32" t="s">
        <v>800</v>
      </c>
      <c r="I221" s="31" t="s">
        <v>801</v>
      </c>
      <c r="J221" s="31">
        <v>16</v>
      </c>
      <c r="K221" s="33" t="s">
        <v>944</v>
      </c>
      <c r="L221" s="33" t="s">
        <v>1716</v>
      </c>
      <c r="M221" s="34" t="s">
        <v>957</v>
      </c>
      <c r="N221" s="34" t="s">
        <v>1722</v>
      </c>
      <c r="O221" s="35">
        <v>1</v>
      </c>
      <c r="P221" s="35"/>
      <c r="Q221" s="32"/>
      <c r="S221" s="1">
        <f t="shared" si="115"/>
        <v>0</v>
      </c>
      <c r="T221" s="1">
        <f t="shared" si="116"/>
        <v>0</v>
      </c>
      <c r="U221" s="1">
        <f t="shared" si="117"/>
        <v>0</v>
      </c>
      <c r="V221" s="1">
        <f t="shared" si="118"/>
        <v>0</v>
      </c>
      <c r="W221" s="1">
        <f t="shared" si="119"/>
        <v>0</v>
      </c>
      <c r="X221" s="1">
        <f t="shared" si="120"/>
        <v>0</v>
      </c>
      <c r="Y221" s="1">
        <f t="shared" si="121"/>
        <v>0</v>
      </c>
      <c r="Z221" s="1">
        <f t="shared" si="122"/>
        <v>0</v>
      </c>
      <c r="AA221" s="1">
        <f t="shared" si="123"/>
        <v>0</v>
      </c>
      <c r="AB221" s="1">
        <f t="shared" si="124"/>
        <v>0</v>
      </c>
      <c r="AD221" s="1">
        <f t="shared" si="125"/>
        <v>0</v>
      </c>
      <c r="AE221" s="1">
        <f t="shared" si="126"/>
        <v>1</v>
      </c>
      <c r="AF221" s="1">
        <f t="shared" si="111"/>
        <v>0</v>
      </c>
      <c r="AG221" s="1">
        <f t="shared" si="112"/>
        <v>1</v>
      </c>
      <c r="AH221" s="1">
        <f t="shared" si="113"/>
        <v>0</v>
      </c>
      <c r="AI221" s="1">
        <f t="shared" si="114"/>
        <v>1</v>
      </c>
    </row>
    <row r="222" spans="1:35" ht="14.25" customHeight="1" x14ac:dyDescent="0.25">
      <c r="A222" s="31">
        <v>0</v>
      </c>
      <c r="B222" s="31">
        <v>1</v>
      </c>
      <c r="C222" s="31">
        <v>5</v>
      </c>
      <c r="D222" s="32" t="s">
        <v>498</v>
      </c>
      <c r="E222" s="32" t="s">
        <v>165</v>
      </c>
      <c r="F222" s="32" t="s">
        <v>499</v>
      </c>
      <c r="G222" s="32" t="s">
        <v>500</v>
      </c>
      <c r="H222" s="32" t="s">
        <v>352</v>
      </c>
      <c r="I222" s="31" t="s">
        <v>501</v>
      </c>
      <c r="J222" s="31">
        <v>99</v>
      </c>
      <c r="K222" s="33" t="s">
        <v>944</v>
      </c>
      <c r="L222" s="33" t="s">
        <v>690</v>
      </c>
      <c r="M222" s="34" t="s">
        <v>687</v>
      </c>
      <c r="N222" s="34" t="s">
        <v>1701</v>
      </c>
      <c r="O222" s="35">
        <v>1</v>
      </c>
      <c r="P222" s="35">
        <v>1</v>
      </c>
      <c r="Q222" s="32"/>
      <c r="S222" s="1">
        <f t="shared" si="115"/>
        <v>0</v>
      </c>
      <c r="T222" s="1">
        <f t="shared" si="116"/>
        <v>0</v>
      </c>
      <c r="U222" s="1">
        <f t="shared" si="117"/>
        <v>0</v>
      </c>
      <c r="V222" s="1">
        <f t="shared" si="118"/>
        <v>0</v>
      </c>
      <c r="W222" s="1">
        <f t="shared" si="119"/>
        <v>0</v>
      </c>
      <c r="X222" s="1">
        <f t="shared" si="120"/>
        <v>0</v>
      </c>
      <c r="Y222" s="1">
        <f t="shared" si="121"/>
        <v>0</v>
      </c>
      <c r="Z222" s="1">
        <f t="shared" si="122"/>
        <v>0</v>
      </c>
      <c r="AA222" s="1">
        <f t="shared" si="123"/>
        <v>0</v>
      </c>
      <c r="AB222" s="1">
        <f t="shared" si="124"/>
        <v>0</v>
      </c>
      <c r="AD222" s="1">
        <f t="shared" si="125"/>
        <v>1</v>
      </c>
      <c r="AE222" s="1">
        <f t="shared" si="126"/>
        <v>0</v>
      </c>
      <c r="AF222" s="1">
        <f t="shared" si="111"/>
        <v>1</v>
      </c>
      <c r="AG222" s="1">
        <f t="shared" si="112"/>
        <v>0</v>
      </c>
      <c r="AH222" s="1">
        <f t="shared" si="113"/>
        <v>1</v>
      </c>
      <c r="AI222" s="1">
        <f t="shared" si="114"/>
        <v>0</v>
      </c>
    </row>
    <row r="223" spans="1:35" ht="14.25" customHeight="1" x14ac:dyDescent="0.25">
      <c r="A223" s="31">
        <v>0</v>
      </c>
      <c r="B223" s="31">
        <v>1</v>
      </c>
      <c r="C223" s="31">
        <v>6</v>
      </c>
      <c r="D223" s="32" t="s">
        <v>1425</v>
      </c>
      <c r="E223" s="32" t="s">
        <v>166</v>
      </c>
      <c r="F223" s="32" t="s">
        <v>1426</v>
      </c>
      <c r="G223" s="32" t="s">
        <v>178</v>
      </c>
      <c r="H223" s="32" t="s">
        <v>352</v>
      </c>
      <c r="I223" s="31" t="s">
        <v>1427</v>
      </c>
      <c r="J223" s="31">
        <v>99</v>
      </c>
      <c r="K223" s="33" t="s">
        <v>943</v>
      </c>
      <c r="L223" s="33" t="s">
        <v>692</v>
      </c>
      <c r="M223" s="34" t="s">
        <v>1428</v>
      </c>
      <c r="N223" s="34" t="s">
        <v>1723</v>
      </c>
      <c r="O223" s="35">
        <v>1</v>
      </c>
      <c r="P223" s="35"/>
      <c r="Q223" s="36"/>
      <c r="S223" s="1">
        <f t="shared" si="115"/>
        <v>0</v>
      </c>
      <c r="T223" s="1">
        <f t="shared" si="116"/>
        <v>0</v>
      </c>
      <c r="U223" s="1">
        <f t="shared" si="117"/>
        <v>0</v>
      </c>
      <c r="V223" s="1">
        <f t="shared" si="118"/>
        <v>0</v>
      </c>
      <c r="W223" s="1">
        <f t="shared" si="119"/>
        <v>0</v>
      </c>
      <c r="X223" s="1">
        <f t="shared" si="120"/>
        <v>0</v>
      </c>
      <c r="Y223" s="1">
        <f t="shared" si="121"/>
        <v>0</v>
      </c>
      <c r="Z223" s="1">
        <f t="shared" si="122"/>
        <v>0</v>
      </c>
      <c r="AA223" s="1">
        <f t="shared" si="123"/>
        <v>0</v>
      </c>
      <c r="AB223" s="1">
        <f t="shared" si="124"/>
        <v>0</v>
      </c>
      <c r="AD223" s="1">
        <f t="shared" si="125"/>
        <v>0</v>
      </c>
      <c r="AE223" s="1">
        <f t="shared" si="126"/>
        <v>1</v>
      </c>
      <c r="AF223" s="1">
        <f t="shared" si="111"/>
        <v>0</v>
      </c>
      <c r="AG223" s="1">
        <f t="shared" si="112"/>
        <v>1</v>
      </c>
      <c r="AH223" s="1">
        <f t="shared" si="113"/>
        <v>0</v>
      </c>
      <c r="AI223" s="1">
        <f t="shared" si="114"/>
        <v>1</v>
      </c>
    </row>
    <row r="224" spans="1:35" ht="14.25" customHeight="1" x14ac:dyDescent="0.25">
      <c r="A224" s="31">
        <v>0</v>
      </c>
      <c r="B224" s="31">
        <v>1</v>
      </c>
      <c r="C224" s="31">
        <v>6</v>
      </c>
      <c r="D224" s="32" t="s">
        <v>1167</v>
      </c>
      <c r="E224" s="32" t="s">
        <v>1170</v>
      </c>
      <c r="F224" s="32" t="s">
        <v>1168</v>
      </c>
      <c r="G224" s="32" t="s">
        <v>39</v>
      </c>
      <c r="H224" s="32" t="s">
        <v>352</v>
      </c>
      <c r="I224" s="31" t="s">
        <v>1169</v>
      </c>
      <c r="J224" s="31">
        <v>99</v>
      </c>
      <c r="K224" s="33" t="s">
        <v>949</v>
      </c>
      <c r="L224" s="33" t="s">
        <v>39</v>
      </c>
      <c r="M224" s="34" t="s">
        <v>39</v>
      </c>
      <c r="N224" s="34" t="s">
        <v>1707</v>
      </c>
      <c r="O224" s="35">
        <v>1</v>
      </c>
      <c r="P224" s="35">
        <v>1</v>
      </c>
      <c r="Q224" s="36" t="s">
        <v>1882</v>
      </c>
      <c r="S224" s="1">
        <f t="shared" si="115"/>
        <v>0</v>
      </c>
      <c r="T224" s="1">
        <f t="shared" si="116"/>
        <v>0</v>
      </c>
      <c r="U224" s="1">
        <f t="shared" si="117"/>
        <v>0</v>
      </c>
      <c r="V224" s="1">
        <f t="shared" si="118"/>
        <v>0</v>
      </c>
      <c r="W224" s="1">
        <f t="shared" si="119"/>
        <v>0</v>
      </c>
      <c r="X224" s="1">
        <f t="shared" si="120"/>
        <v>0</v>
      </c>
      <c r="Y224" s="1">
        <f t="shared" si="121"/>
        <v>0</v>
      </c>
      <c r="Z224" s="1">
        <f t="shared" si="122"/>
        <v>0</v>
      </c>
      <c r="AA224" s="1">
        <f t="shared" si="123"/>
        <v>0</v>
      </c>
      <c r="AB224" s="1">
        <f t="shared" si="124"/>
        <v>0</v>
      </c>
      <c r="AD224" s="1">
        <f t="shared" si="125"/>
        <v>1</v>
      </c>
      <c r="AE224" s="1">
        <f t="shared" si="126"/>
        <v>0</v>
      </c>
      <c r="AF224" s="1">
        <f t="shared" si="111"/>
        <v>1</v>
      </c>
      <c r="AG224" s="1">
        <f t="shared" si="112"/>
        <v>0</v>
      </c>
      <c r="AH224" s="1">
        <f t="shared" si="113"/>
        <v>1</v>
      </c>
      <c r="AI224" s="1">
        <f t="shared" si="114"/>
        <v>0</v>
      </c>
    </row>
    <row r="225" spans="1:4094 4097:8191 8194:12288 12291:16384" ht="14.25" customHeight="1" x14ac:dyDescent="0.25">
      <c r="A225" s="31">
        <v>0</v>
      </c>
      <c r="B225" s="31">
        <v>1</v>
      </c>
      <c r="C225" s="31">
        <v>6</v>
      </c>
      <c r="D225" s="32" t="s">
        <v>1622</v>
      </c>
      <c r="E225" s="32" t="s">
        <v>1630</v>
      </c>
      <c r="F225" s="32" t="s">
        <v>1657</v>
      </c>
      <c r="G225" s="32" t="s">
        <v>1658</v>
      </c>
      <c r="H225" s="32" t="s">
        <v>352</v>
      </c>
      <c r="I225" s="31" t="s">
        <v>1670</v>
      </c>
      <c r="J225" s="31">
        <v>1</v>
      </c>
      <c r="K225" s="33" t="s">
        <v>945</v>
      </c>
      <c r="L225" s="33" t="s">
        <v>39</v>
      </c>
      <c r="M225" s="34" t="s">
        <v>39</v>
      </c>
      <c r="N225" s="34" t="s">
        <v>1701</v>
      </c>
      <c r="O225" s="35">
        <v>1</v>
      </c>
      <c r="P225" s="35">
        <v>1</v>
      </c>
      <c r="Q225" s="32"/>
      <c r="S225" s="1">
        <f t="shared" si="115"/>
        <v>1</v>
      </c>
      <c r="T225" s="1">
        <f t="shared" si="116"/>
        <v>0</v>
      </c>
      <c r="U225" s="1">
        <f t="shared" si="117"/>
        <v>0</v>
      </c>
      <c r="V225" s="1">
        <f t="shared" si="118"/>
        <v>0</v>
      </c>
      <c r="W225" s="1">
        <f t="shared" si="119"/>
        <v>0</v>
      </c>
      <c r="X225" s="1">
        <f t="shared" si="120"/>
        <v>0</v>
      </c>
      <c r="Y225" s="1">
        <f t="shared" si="121"/>
        <v>0</v>
      </c>
      <c r="Z225" s="1">
        <f t="shared" si="122"/>
        <v>0</v>
      </c>
      <c r="AA225" s="1">
        <f t="shared" si="123"/>
        <v>0</v>
      </c>
      <c r="AB225" s="1">
        <f t="shared" si="124"/>
        <v>0</v>
      </c>
      <c r="AD225" s="1">
        <f t="shared" si="125"/>
        <v>1</v>
      </c>
      <c r="AE225" s="1">
        <f t="shared" si="126"/>
        <v>0</v>
      </c>
      <c r="AF225" s="1">
        <f t="shared" si="111"/>
        <v>1</v>
      </c>
      <c r="AG225" s="1">
        <f t="shared" si="112"/>
        <v>0</v>
      </c>
      <c r="AH225" s="1">
        <f t="shared" si="113"/>
        <v>1</v>
      </c>
      <c r="AI225" s="1">
        <f t="shared" si="114"/>
        <v>0</v>
      </c>
    </row>
    <row r="226" spans="1:4094 4097:8191 8194:12288 12291:16384" ht="14.25" customHeight="1" x14ac:dyDescent="0.25">
      <c r="A226" s="31">
        <v>0</v>
      </c>
      <c r="B226" s="31">
        <v>1</v>
      </c>
      <c r="C226" s="31">
        <v>6</v>
      </c>
      <c r="D226" s="32" t="s">
        <v>89</v>
      </c>
      <c r="E226" s="32" t="s">
        <v>167</v>
      </c>
      <c r="F226" s="32" t="s">
        <v>282</v>
      </c>
      <c r="G226" s="32" t="s">
        <v>229</v>
      </c>
      <c r="H226" s="32" t="s">
        <v>352</v>
      </c>
      <c r="I226" s="31" t="s">
        <v>435</v>
      </c>
      <c r="J226" s="31">
        <v>7</v>
      </c>
      <c r="K226" s="33" t="s">
        <v>718</v>
      </c>
      <c r="L226" s="33">
        <v>40</v>
      </c>
      <c r="M226" s="34" t="s">
        <v>39</v>
      </c>
      <c r="N226" s="34" t="s">
        <v>1722</v>
      </c>
      <c r="O226" s="35">
        <v>1</v>
      </c>
      <c r="P226" s="35"/>
      <c r="Q226" s="32"/>
      <c r="S226" s="1">
        <f t="shared" si="115"/>
        <v>0</v>
      </c>
      <c r="T226" s="1">
        <f t="shared" si="116"/>
        <v>0</v>
      </c>
      <c r="U226" s="1">
        <f t="shared" si="117"/>
        <v>0</v>
      </c>
      <c r="V226" s="1">
        <f t="shared" si="118"/>
        <v>0</v>
      </c>
      <c r="W226" s="1">
        <f t="shared" si="119"/>
        <v>0</v>
      </c>
      <c r="X226" s="1">
        <f t="shared" si="120"/>
        <v>0</v>
      </c>
      <c r="Y226" s="1">
        <f t="shared" si="121"/>
        <v>1</v>
      </c>
      <c r="Z226" s="1">
        <f t="shared" si="122"/>
        <v>0</v>
      </c>
      <c r="AA226" s="1">
        <f t="shared" si="123"/>
        <v>0</v>
      </c>
      <c r="AB226" s="1">
        <f t="shared" si="124"/>
        <v>0</v>
      </c>
      <c r="AD226" s="1">
        <f t="shared" si="125"/>
        <v>0</v>
      </c>
      <c r="AE226" s="1">
        <f t="shared" si="126"/>
        <v>1</v>
      </c>
      <c r="AF226" s="1">
        <f t="shared" si="111"/>
        <v>0</v>
      </c>
      <c r="AG226" s="1">
        <f t="shared" si="112"/>
        <v>1</v>
      </c>
      <c r="AH226" s="1">
        <f t="shared" si="113"/>
        <v>0</v>
      </c>
      <c r="AI226" s="1">
        <f t="shared" si="114"/>
        <v>1</v>
      </c>
    </row>
    <row r="227" spans="1:4094 4097:8191 8194:12288 12291:16384" ht="14.25" customHeight="1" x14ac:dyDescent="0.25">
      <c r="A227" s="31">
        <v>0</v>
      </c>
      <c r="B227" s="31">
        <v>1</v>
      </c>
      <c r="C227" s="31">
        <v>6</v>
      </c>
      <c r="D227" s="32" t="s">
        <v>90</v>
      </c>
      <c r="E227" s="32" t="s">
        <v>164</v>
      </c>
      <c r="F227" s="36" t="s">
        <v>1845</v>
      </c>
      <c r="G227" s="32" t="s">
        <v>239</v>
      </c>
      <c r="H227" s="32" t="s">
        <v>352</v>
      </c>
      <c r="I227" s="31" t="s">
        <v>436</v>
      </c>
      <c r="J227" s="31">
        <v>1</v>
      </c>
      <c r="K227" s="33" t="s">
        <v>951</v>
      </c>
      <c r="L227" s="33" t="s">
        <v>39</v>
      </c>
      <c r="M227" s="34" t="s">
        <v>39</v>
      </c>
      <c r="N227" s="34" t="s">
        <v>1701</v>
      </c>
      <c r="O227" s="35">
        <v>1</v>
      </c>
      <c r="P227" s="35">
        <v>1</v>
      </c>
      <c r="Q227" s="32"/>
      <c r="S227" s="1">
        <f t="shared" si="115"/>
        <v>1</v>
      </c>
      <c r="T227" s="1">
        <f t="shared" si="116"/>
        <v>0</v>
      </c>
      <c r="U227" s="1">
        <f t="shared" si="117"/>
        <v>0</v>
      </c>
      <c r="V227" s="1">
        <f t="shared" si="118"/>
        <v>0</v>
      </c>
      <c r="W227" s="1">
        <f t="shared" si="119"/>
        <v>0</v>
      </c>
      <c r="X227" s="1">
        <f t="shared" si="120"/>
        <v>0</v>
      </c>
      <c r="Y227" s="1">
        <f t="shared" si="121"/>
        <v>0</v>
      </c>
      <c r="Z227" s="1">
        <f t="shared" si="122"/>
        <v>0</v>
      </c>
      <c r="AA227" s="1">
        <f t="shared" si="123"/>
        <v>0</v>
      </c>
      <c r="AB227" s="1">
        <f t="shared" si="124"/>
        <v>0</v>
      </c>
      <c r="AD227" s="1">
        <f t="shared" si="125"/>
        <v>1</v>
      </c>
      <c r="AE227" s="1">
        <f t="shared" si="126"/>
        <v>0</v>
      </c>
      <c r="AF227" s="1">
        <f t="shared" si="111"/>
        <v>1</v>
      </c>
      <c r="AG227" s="1">
        <f t="shared" si="112"/>
        <v>0</v>
      </c>
      <c r="AH227" s="1">
        <f t="shared" si="113"/>
        <v>1</v>
      </c>
      <c r="AI227" s="1">
        <f t="shared" si="114"/>
        <v>0</v>
      </c>
    </row>
    <row r="228" spans="1:4094 4097:8191 8194:12288 12291:16384" ht="14.25" customHeight="1" x14ac:dyDescent="0.25">
      <c r="A228" s="31">
        <v>0</v>
      </c>
      <c r="B228" s="31">
        <v>1</v>
      </c>
      <c r="C228" s="31">
        <v>6</v>
      </c>
      <c r="D228" s="32" t="s">
        <v>91</v>
      </c>
      <c r="E228" s="32" t="s">
        <v>166</v>
      </c>
      <c r="F228" s="32" t="s">
        <v>284</v>
      </c>
      <c r="G228" s="32" t="s">
        <v>199</v>
      </c>
      <c r="H228" s="32" t="s">
        <v>352</v>
      </c>
      <c r="I228" s="31" t="s">
        <v>437</v>
      </c>
      <c r="J228" s="31">
        <v>2</v>
      </c>
      <c r="K228" s="33" t="s">
        <v>949</v>
      </c>
      <c r="L228" s="33" t="s">
        <v>39</v>
      </c>
      <c r="M228" s="34" t="s">
        <v>39</v>
      </c>
      <c r="N228" s="34" t="s">
        <v>1701</v>
      </c>
      <c r="O228" s="35">
        <v>1</v>
      </c>
      <c r="P228" s="35">
        <v>1</v>
      </c>
      <c r="Q228" s="32"/>
      <c r="S228" s="1">
        <f t="shared" si="115"/>
        <v>0</v>
      </c>
      <c r="T228" s="1">
        <f t="shared" si="116"/>
        <v>1</v>
      </c>
      <c r="U228" s="1">
        <f t="shared" si="117"/>
        <v>0</v>
      </c>
      <c r="V228" s="1">
        <f t="shared" si="118"/>
        <v>0</v>
      </c>
      <c r="W228" s="1">
        <f t="shared" si="119"/>
        <v>0</v>
      </c>
      <c r="X228" s="1">
        <f t="shared" si="120"/>
        <v>0</v>
      </c>
      <c r="Y228" s="1">
        <f t="shared" si="121"/>
        <v>0</v>
      </c>
      <c r="Z228" s="1">
        <f t="shared" si="122"/>
        <v>0</v>
      </c>
      <c r="AA228" s="1">
        <f t="shared" si="123"/>
        <v>0</v>
      </c>
      <c r="AB228" s="1">
        <f t="shared" si="124"/>
        <v>0</v>
      </c>
      <c r="AD228" s="1">
        <f t="shared" si="125"/>
        <v>1</v>
      </c>
      <c r="AE228" s="1">
        <f t="shared" si="126"/>
        <v>0</v>
      </c>
      <c r="AF228" s="1">
        <f t="shared" si="111"/>
        <v>1</v>
      </c>
      <c r="AG228" s="1">
        <f t="shared" si="112"/>
        <v>0</v>
      </c>
      <c r="AH228" s="1">
        <f t="shared" si="113"/>
        <v>1</v>
      </c>
      <c r="AI228" s="1">
        <f t="shared" si="114"/>
        <v>0</v>
      </c>
    </row>
    <row r="229" spans="1:4094 4097:8191 8194:12288 12291:16384" ht="14.25" customHeight="1" x14ac:dyDescent="0.25">
      <c r="A229" s="31">
        <v>0</v>
      </c>
      <c r="B229" s="31">
        <v>1</v>
      </c>
      <c r="C229" s="31">
        <v>6</v>
      </c>
      <c r="D229" s="32" t="s">
        <v>1256</v>
      </c>
      <c r="E229" s="32" t="s">
        <v>166</v>
      </c>
      <c r="F229" s="32" t="s">
        <v>1132</v>
      </c>
      <c r="G229" s="32" t="s">
        <v>1322</v>
      </c>
      <c r="H229" s="32" t="s">
        <v>352</v>
      </c>
      <c r="I229" s="31" t="s">
        <v>1133</v>
      </c>
      <c r="J229" s="31">
        <v>99</v>
      </c>
      <c r="K229" s="33" t="s">
        <v>698</v>
      </c>
      <c r="L229" s="33">
        <v>45</v>
      </c>
      <c r="M229" s="34" t="s">
        <v>39</v>
      </c>
      <c r="N229" s="34" t="s">
        <v>1717</v>
      </c>
      <c r="O229" s="35">
        <v>1</v>
      </c>
      <c r="P229" s="35"/>
      <c r="Q229" s="32"/>
      <c r="S229" s="1">
        <f t="shared" si="115"/>
        <v>0</v>
      </c>
      <c r="T229" s="1">
        <f t="shared" si="116"/>
        <v>0</v>
      </c>
      <c r="U229" s="1">
        <f t="shared" si="117"/>
        <v>0</v>
      </c>
      <c r="V229" s="1">
        <f t="shared" si="118"/>
        <v>0</v>
      </c>
      <c r="W229" s="1">
        <f t="shared" si="119"/>
        <v>0</v>
      </c>
      <c r="X229" s="1">
        <f t="shared" si="120"/>
        <v>0</v>
      </c>
      <c r="Y229" s="1">
        <f t="shared" si="121"/>
        <v>0</v>
      </c>
      <c r="Z229" s="1">
        <f t="shared" si="122"/>
        <v>0</v>
      </c>
      <c r="AA229" s="1">
        <f t="shared" si="123"/>
        <v>0</v>
      </c>
      <c r="AB229" s="1">
        <f t="shared" si="124"/>
        <v>0</v>
      </c>
      <c r="AD229" s="1">
        <f t="shared" si="125"/>
        <v>0</v>
      </c>
      <c r="AE229" s="1">
        <f t="shared" si="126"/>
        <v>1</v>
      </c>
      <c r="AF229" s="1">
        <f t="shared" si="111"/>
        <v>0</v>
      </c>
      <c r="AG229" s="1">
        <f t="shared" si="112"/>
        <v>1</v>
      </c>
      <c r="AH229" s="1">
        <f t="shared" si="113"/>
        <v>0</v>
      </c>
      <c r="AI229" s="1">
        <f t="shared" si="114"/>
        <v>1</v>
      </c>
    </row>
    <row r="230" spans="1:4094 4097:8191 8194:12288 12291:16384" ht="14.25" customHeight="1" x14ac:dyDescent="0.25">
      <c r="A230" s="31">
        <v>0</v>
      </c>
      <c r="B230" s="31">
        <v>1</v>
      </c>
      <c r="C230" s="31">
        <v>6</v>
      </c>
      <c r="D230" s="32" t="s">
        <v>1765</v>
      </c>
      <c r="E230" s="32" t="s">
        <v>166</v>
      </c>
      <c r="F230" s="32" t="s">
        <v>1740</v>
      </c>
      <c r="G230" s="32"/>
      <c r="H230" s="32" t="s">
        <v>352</v>
      </c>
      <c r="I230" s="31" t="s">
        <v>1741</v>
      </c>
      <c r="J230" s="31"/>
      <c r="K230" s="33" t="s">
        <v>699</v>
      </c>
      <c r="L230" s="33"/>
      <c r="M230" s="34"/>
      <c r="N230" s="34" t="s">
        <v>1701</v>
      </c>
      <c r="O230" s="35">
        <v>1</v>
      </c>
      <c r="P230" s="35">
        <v>1</v>
      </c>
      <c r="Q230" s="32"/>
      <c r="S230" s="1">
        <f t="shared" si="115"/>
        <v>0</v>
      </c>
      <c r="T230" s="1">
        <f t="shared" si="116"/>
        <v>0</v>
      </c>
      <c r="U230" s="1">
        <f t="shared" si="117"/>
        <v>0</v>
      </c>
      <c r="V230" s="1">
        <f t="shared" si="118"/>
        <v>0</v>
      </c>
      <c r="W230" s="1">
        <f t="shared" si="119"/>
        <v>0</v>
      </c>
      <c r="X230" s="1">
        <f t="shared" si="120"/>
        <v>0</v>
      </c>
      <c r="Y230" s="1">
        <f t="shared" si="121"/>
        <v>0</v>
      </c>
      <c r="Z230" s="1">
        <f t="shared" si="122"/>
        <v>0</v>
      </c>
      <c r="AA230" s="1">
        <f t="shared" si="123"/>
        <v>0</v>
      </c>
      <c r="AB230" s="1">
        <f t="shared" si="124"/>
        <v>0</v>
      </c>
      <c r="AD230" s="1">
        <f t="shared" si="125"/>
        <v>1</v>
      </c>
      <c r="AE230" s="1">
        <f t="shared" si="126"/>
        <v>0</v>
      </c>
      <c r="AF230" s="1">
        <f t="shared" si="111"/>
        <v>1</v>
      </c>
      <c r="AG230" s="1">
        <f t="shared" si="112"/>
        <v>0</v>
      </c>
      <c r="AH230" s="1">
        <f t="shared" si="113"/>
        <v>1</v>
      </c>
      <c r="AI230" s="1">
        <f t="shared" si="114"/>
        <v>0</v>
      </c>
    </row>
    <row r="231" spans="1:4094 4097:8191 8194:12288 12291:16384" ht="14.25" customHeight="1" x14ac:dyDescent="0.25">
      <c r="A231" s="31">
        <v>0</v>
      </c>
      <c r="B231" s="31">
        <v>1</v>
      </c>
      <c r="C231" s="31">
        <v>6</v>
      </c>
      <c r="D231" s="32" t="s">
        <v>1764</v>
      </c>
      <c r="E231" s="32" t="s">
        <v>166</v>
      </c>
      <c r="F231" s="32" t="s">
        <v>1742</v>
      </c>
      <c r="G231" s="32"/>
      <c r="H231" s="32" t="s">
        <v>352</v>
      </c>
      <c r="I231" s="31" t="s">
        <v>1743</v>
      </c>
      <c r="J231" s="31"/>
      <c r="K231" s="33" t="s">
        <v>699</v>
      </c>
      <c r="L231" s="33">
        <v>30</v>
      </c>
      <c r="M231" s="34" t="s">
        <v>1744</v>
      </c>
      <c r="N231" s="34" t="s">
        <v>1722</v>
      </c>
      <c r="O231" s="35">
        <v>1</v>
      </c>
      <c r="P231" s="35"/>
      <c r="Q231" s="32"/>
      <c r="S231" s="1">
        <f t="shared" si="115"/>
        <v>0</v>
      </c>
      <c r="T231" s="1">
        <f t="shared" si="116"/>
        <v>0</v>
      </c>
      <c r="U231" s="1">
        <f t="shared" si="117"/>
        <v>0</v>
      </c>
      <c r="V231" s="1">
        <f t="shared" si="118"/>
        <v>0</v>
      </c>
      <c r="W231" s="1">
        <f t="shared" si="119"/>
        <v>0</v>
      </c>
      <c r="X231" s="1">
        <f t="shared" si="120"/>
        <v>0</v>
      </c>
      <c r="Y231" s="1">
        <f t="shared" si="121"/>
        <v>0</v>
      </c>
      <c r="Z231" s="1">
        <f t="shared" si="122"/>
        <v>0</v>
      </c>
      <c r="AA231" s="1">
        <f t="shared" si="123"/>
        <v>0</v>
      </c>
      <c r="AB231" s="1">
        <f t="shared" si="124"/>
        <v>0</v>
      </c>
      <c r="AD231" s="1">
        <f t="shared" si="125"/>
        <v>0</v>
      </c>
      <c r="AE231" s="1">
        <f t="shared" si="126"/>
        <v>1</v>
      </c>
      <c r="AF231" s="1">
        <f t="shared" si="111"/>
        <v>0</v>
      </c>
      <c r="AG231" s="1">
        <f t="shared" si="112"/>
        <v>1</v>
      </c>
      <c r="AH231" s="1">
        <f t="shared" si="113"/>
        <v>0</v>
      </c>
      <c r="AI231" s="1">
        <f t="shared" si="114"/>
        <v>1</v>
      </c>
    </row>
    <row r="232" spans="1:4094 4097:8191 8194:12288 12291:16384" ht="14.25" customHeight="1" x14ac:dyDescent="0.25">
      <c r="A232" s="31">
        <v>0</v>
      </c>
      <c r="B232" s="31">
        <v>1</v>
      </c>
      <c r="C232" s="31">
        <v>6</v>
      </c>
      <c r="D232" s="32" t="s">
        <v>1001</v>
      </c>
      <c r="E232" s="32" t="s">
        <v>166</v>
      </c>
      <c r="F232" s="32" t="s">
        <v>1002</v>
      </c>
      <c r="G232" s="32" t="s">
        <v>1090</v>
      </c>
      <c r="H232" s="32" t="s">
        <v>352</v>
      </c>
      <c r="I232" s="31" t="s">
        <v>1003</v>
      </c>
      <c r="J232" s="31">
        <v>99</v>
      </c>
      <c r="K232" s="33" t="s">
        <v>951</v>
      </c>
      <c r="L232" s="33" t="s">
        <v>39</v>
      </c>
      <c r="M232" s="34" t="s">
        <v>39</v>
      </c>
      <c r="N232" s="34" t="s">
        <v>1701</v>
      </c>
      <c r="O232" s="35">
        <v>1</v>
      </c>
      <c r="P232" s="35">
        <v>1</v>
      </c>
      <c r="Q232" s="32"/>
      <c r="S232" s="1">
        <f t="shared" si="115"/>
        <v>0</v>
      </c>
      <c r="T232" s="1">
        <f t="shared" si="116"/>
        <v>0</v>
      </c>
      <c r="U232" s="1">
        <f t="shared" si="117"/>
        <v>0</v>
      </c>
      <c r="V232" s="1">
        <f t="shared" si="118"/>
        <v>0</v>
      </c>
      <c r="W232" s="1">
        <f t="shared" si="119"/>
        <v>0</v>
      </c>
      <c r="X232" s="1">
        <f t="shared" si="120"/>
        <v>0</v>
      </c>
      <c r="Y232" s="1">
        <f t="shared" si="121"/>
        <v>0</v>
      </c>
      <c r="Z232" s="1">
        <f t="shared" si="122"/>
        <v>0</v>
      </c>
      <c r="AA232" s="1">
        <f t="shared" si="123"/>
        <v>0</v>
      </c>
      <c r="AB232" s="1">
        <f t="shared" si="124"/>
        <v>0</v>
      </c>
      <c r="AD232" s="1">
        <f t="shared" si="125"/>
        <v>1</v>
      </c>
      <c r="AE232" s="1">
        <f t="shared" si="126"/>
        <v>0</v>
      </c>
      <c r="AF232" s="1">
        <f t="shared" si="111"/>
        <v>1</v>
      </c>
      <c r="AG232" s="1">
        <f t="shared" si="112"/>
        <v>0</v>
      </c>
      <c r="AH232" s="1">
        <f t="shared" si="113"/>
        <v>1</v>
      </c>
      <c r="AI232" s="1">
        <f t="shared" si="114"/>
        <v>0</v>
      </c>
    </row>
    <row r="233" spans="1:4094 4097:8191 8194:12288 12291:16384" ht="14.25" customHeight="1" x14ac:dyDescent="0.25">
      <c r="A233" s="31">
        <v>0</v>
      </c>
      <c r="B233" s="31">
        <v>1</v>
      </c>
      <c r="C233" s="31">
        <v>6</v>
      </c>
      <c r="D233" s="32" t="s">
        <v>93</v>
      </c>
      <c r="E233" s="32" t="s">
        <v>168</v>
      </c>
      <c r="F233" s="32" t="s">
        <v>287</v>
      </c>
      <c r="G233" s="32" t="s">
        <v>193</v>
      </c>
      <c r="H233" s="32" t="s">
        <v>352</v>
      </c>
      <c r="I233" s="31" t="s">
        <v>439</v>
      </c>
      <c r="J233" s="31">
        <v>9</v>
      </c>
      <c r="K233" s="33" t="s">
        <v>698</v>
      </c>
      <c r="L233" s="33" t="s">
        <v>690</v>
      </c>
      <c r="M233" s="34" t="s">
        <v>702</v>
      </c>
      <c r="N233" s="34" t="s">
        <v>1722</v>
      </c>
      <c r="O233" s="35">
        <v>1</v>
      </c>
      <c r="P233" s="35"/>
      <c r="Q233" s="32"/>
      <c r="S233" s="1">
        <f t="shared" si="115"/>
        <v>0</v>
      </c>
      <c r="T233" s="1">
        <f t="shared" si="116"/>
        <v>0</v>
      </c>
      <c r="U233" s="1">
        <f t="shared" si="117"/>
        <v>0</v>
      </c>
      <c r="V233" s="1">
        <f t="shared" si="118"/>
        <v>0</v>
      </c>
      <c r="W233" s="1">
        <f t="shared" si="119"/>
        <v>0</v>
      </c>
      <c r="X233" s="1">
        <f t="shared" si="120"/>
        <v>0</v>
      </c>
      <c r="Y233" s="1">
        <f t="shared" si="121"/>
        <v>0</v>
      </c>
      <c r="Z233" s="1">
        <f t="shared" si="122"/>
        <v>0</v>
      </c>
      <c r="AA233" s="1">
        <f t="shared" si="123"/>
        <v>1</v>
      </c>
      <c r="AB233" s="1">
        <f t="shared" si="124"/>
        <v>0</v>
      </c>
      <c r="AD233" s="1">
        <f t="shared" si="125"/>
        <v>0</v>
      </c>
      <c r="AE233" s="1">
        <f t="shared" si="126"/>
        <v>1</v>
      </c>
      <c r="AF233" s="1">
        <f t="shared" si="111"/>
        <v>0</v>
      </c>
      <c r="AG233" s="1">
        <f t="shared" si="112"/>
        <v>1</v>
      </c>
      <c r="AH233" s="1">
        <f t="shared" si="113"/>
        <v>0</v>
      </c>
      <c r="AI233" s="1">
        <f t="shared" si="114"/>
        <v>1</v>
      </c>
    </row>
    <row r="234" spans="1:4094 4097:8191 8194:12288 12291:16384" ht="14.25" customHeight="1" x14ac:dyDescent="0.25">
      <c r="A234" s="38">
        <v>0</v>
      </c>
      <c r="B234" s="38">
        <v>1</v>
      </c>
      <c r="C234" s="38">
        <v>6</v>
      </c>
      <c r="D234" s="54" t="s">
        <v>1583</v>
      </c>
      <c r="E234" s="39" t="s">
        <v>1584</v>
      </c>
      <c r="F234" s="39" t="s">
        <v>1585</v>
      </c>
      <c r="G234" s="39" t="s">
        <v>191</v>
      </c>
      <c r="H234" s="39" t="s">
        <v>352</v>
      </c>
      <c r="I234" s="38" t="s">
        <v>1586</v>
      </c>
      <c r="J234" s="38">
        <v>10</v>
      </c>
      <c r="K234" s="40" t="s">
        <v>943</v>
      </c>
      <c r="L234" s="40" t="s">
        <v>683</v>
      </c>
      <c r="M234" s="41" t="s">
        <v>1587</v>
      </c>
      <c r="N234" s="42"/>
      <c r="O234" s="43"/>
      <c r="P234" s="43">
        <v>1</v>
      </c>
      <c r="Q234" s="39"/>
      <c r="S234" s="1">
        <f t="shared" si="115"/>
        <v>0</v>
      </c>
      <c r="T234" s="1">
        <f t="shared" si="116"/>
        <v>0</v>
      </c>
      <c r="U234" s="1">
        <f t="shared" si="117"/>
        <v>0</v>
      </c>
      <c r="V234" s="1">
        <f t="shared" si="118"/>
        <v>0</v>
      </c>
      <c r="W234" s="1">
        <f t="shared" si="119"/>
        <v>0</v>
      </c>
      <c r="X234" s="1">
        <f t="shared" si="120"/>
        <v>0</v>
      </c>
      <c r="Y234" s="1">
        <f t="shared" si="121"/>
        <v>0</v>
      </c>
      <c r="Z234" s="1">
        <f t="shared" si="122"/>
        <v>0</v>
      </c>
      <c r="AA234" s="1">
        <f t="shared" si="123"/>
        <v>0</v>
      </c>
      <c r="AB234" s="1">
        <f t="shared" si="124"/>
        <v>1</v>
      </c>
      <c r="AD234" s="1">
        <f t="shared" si="125"/>
        <v>0</v>
      </c>
      <c r="AE234" s="1">
        <f t="shared" si="126"/>
        <v>0</v>
      </c>
      <c r="AF234" s="1">
        <f t="shared" si="111"/>
        <v>0</v>
      </c>
      <c r="AG234" s="1">
        <f t="shared" si="112"/>
        <v>0</v>
      </c>
      <c r="AH234" s="1">
        <f t="shared" si="113"/>
        <v>1</v>
      </c>
      <c r="AI234" s="1">
        <f t="shared" si="114"/>
        <v>0</v>
      </c>
    </row>
    <row r="235" spans="1:4094 4097:8191 8194:12288 12291:16384" ht="14.25" customHeight="1" x14ac:dyDescent="0.25">
      <c r="A235" s="31">
        <v>0</v>
      </c>
      <c r="B235" s="31">
        <v>1</v>
      </c>
      <c r="C235" s="31">
        <v>6</v>
      </c>
      <c r="D235" s="32" t="s">
        <v>94</v>
      </c>
      <c r="E235" s="32" t="s">
        <v>164</v>
      </c>
      <c r="F235" s="32" t="s">
        <v>288</v>
      </c>
      <c r="G235" s="32" t="s">
        <v>289</v>
      </c>
      <c r="H235" s="32" t="s">
        <v>352</v>
      </c>
      <c r="I235" s="31" t="s">
        <v>440</v>
      </c>
      <c r="J235" s="31">
        <v>7</v>
      </c>
      <c r="K235" s="33" t="s">
        <v>698</v>
      </c>
      <c r="L235" s="33" t="s">
        <v>690</v>
      </c>
      <c r="M235" s="34" t="s">
        <v>694</v>
      </c>
      <c r="N235" s="34" t="s">
        <v>1723</v>
      </c>
      <c r="O235" s="35">
        <v>1</v>
      </c>
      <c r="P235" s="35"/>
      <c r="Q235" s="32"/>
      <c r="S235" s="1">
        <f t="shared" si="115"/>
        <v>0</v>
      </c>
      <c r="T235" s="1">
        <f t="shared" si="116"/>
        <v>0</v>
      </c>
      <c r="U235" s="1">
        <f t="shared" si="117"/>
        <v>0</v>
      </c>
      <c r="V235" s="1">
        <f t="shared" si="118"/>
        <v>0</v>
      </c>
      <c r="W235" s="1">
        <f t="shared" si="119"/>
        <v>0</v>
      </c>
      <c r="X235" s="1">
        <f t="shared" si="120"/>
        <v>0</v>
      </c>
      <c r="Y235" s="1">
        <f t="shared" si="121"/>
        <v>1</v>
      </c>
      <c r="Z235" s="1">
        <f t="shared" si="122"/>
        <v>0</v>
      </c>
      <c r="AA235" s="1">
        <f t="shared" si="123"/>
        <v>0</v>
      </c>
      <c r="AB235" s="1">
        <f t="shared" si="124"/>
        <v>0</v>
      </c>
      <c r="AD235" s="1">
        <f t="shared" si="125"/>
        <v>0</v>
      </c>
      <c r="AE235" s="1">
        <f t="shared" si="126"/>
        <v>1</v>
      </c>
      <c r="AF235" s="1">
        <f t="shared" si="111"/>
        <v>0</v>
      </c>
      <c r="AG235" s="1">
        <f t="shared" si="112"/>
        <v>1</v>
      </c>
      <c r="AH235" s="1">
        <f t="shared" si="113"/>
        <v>0</v>
      </c>
      <c r="AI235" s="1">
        <f t="shared" si="114"/>
        <v>1</v>
      </c>
    </row>
    <row r="236" spans="1:4094 4097:8191 8194:12288 12291:16384" ht="14.25" customHeight="1" x14ac:dyDescent="0.25">
      <c r="A236" s="31">
        <v>0</v>
      </c>
      <c r="B236" s="31">
        <v>1</v>
      </c>
      <c r="C236" s="31">
        <v>6</v>
      </c>
      <c r="D236" s="32" t="s">
        <v>1072</v>
      </c>
      <c r="E236" s="32" t="s">
        <v>166</v>
      </c>
      <c r="F236" s="32" t="s">
        <v>656</v>
      </c>
      <c r="G236" s="32" t="s">
        <v>178</v>
      </c>
      <c r="H236" s="32" t="s">
        <v>352</v>
      </c>
      <c r="I236" s="31" t="s">
        <v>379</v>
      </c>
      <c r="J236" s="31">
        <v>10</v>
      </c>
      <c r="K236" s="33" t="s">
        <v>718</v>
      </c>
      <c r="L236" s="33" t="s">
        <v>700</v>
      </c>
      <c r="M236" s="34" t="s">
        <v>703</v>
      </c>
      <c r="N236" s="34" t="s">
        <v>1724</v>
      </c>
      <c r="O236" s="35">
        <v>1</v>
      </c>
      <c r="P236" s="35"/>
      <c r="Q236" s="32"/>
      <c r="R236" s="15"/>
      <c r="S236" s="1">
        <f t="shared" si="115"/>
        <v>0</v>
      </c>
      <c r="T236" s="1">
        <f t="shared" si="116"/>
        <v>0</v>
      </c>
      <c r="U236" s="1">
        <f t="shared" si="117"/>
        <v>0</v>
      </c>
      <c r="V236" s="1">
        <f t="shared" si="118"/>
        <v>0</v>
      </c>
      <c r="W236" s="1">
        <f t="shared" si="119"/>
        <v>0</v>
      </c>
      <c r="X236" s="1">
        <f t="shared" si="120"/>
        <v>0</v>
      </c>
      <c r="Y236" s="1">
        <f t="shared" si="121"/>
        <v>0</v>
      </c>
      <c r="Z236" s="1">
        <f t="shared" si="122"/>
        <v>0</v>
      </c>
      <c r="AA236" s="1">
        <f t="shared" si="123"/>
        <v>0</v>
      </c>
      <c r="AB236" s="1">
        <f t="shared" si="124"/>
        <v>1</v>
      </c>
      <c r="AD236" s="1">
        <f t="shared" si="125"/>
        <v>0</v>
      </c>
      <c r="AE236" s="1">
        <f t="shared" si="126"/>
        <v>1</v>
      </c>
      <c r="AF236" s="1">
        <f t="shared" si="111"/>
        <v>0</v>
      </c>
      <c r="AG236" s="1">
        <f t="shared" si="112"/>
        <v>1</v>
      </c>
      <c r="AH236" s="1">
        <f t="shared" si="113"/>
        <v>0</v>
      </c>
      <c r="AI236" s="1">
        <f t="shared" si="114"/>
        <v>1</v>
      </c>
      <c r="AJ236" s="15"/>
      <c r="AK236" s="15"/>
      <c r="AL236" s="16"/>
      <c r="AM236" s="16"/>
      <c r="AN236" s="16"/>
      <c r="AO236" s="16"/>
      <c r="AP236" s="16"/>
      <c r="AQ236" s="15"/>
      <c r="AR236" s="15"/>
      <c r="AS236" s="10"/>
      <c r="AT236" s="10"/>
      <c r="AU236" s="19"/>
      <c r="AV236" s="19"/>
      <c r="AY236" s="16"/>
      <c r="AZ236" s="15"/>
      <c r="BA236" s="15"/>
      <c r="BB236" s="15"/>
      <c r="BC236" s="16"/>
      <c r="BD236" s="16"/>
      <c r="BE236" s="16"/>
      <c r="BF236" s="16"/>
      <c r="BG236" s="16"/>
      <c r="BH236" s="15"/>
      <c r="BI236" s="15"/>
      <c r="BJ236" s="10"/>
      <c r="BK236" s="10"/>
      <c r="BL236" s="19"/>
      <c r="BM236" s="19"/>
      <c r="BP236" s="16"/>
      <c r="BQ236" s="15"/>
      <c r="BR236" s="15"/>
      <c r="BS236" s="15"/>
      <c r="BT236" s="16"/>
      <c r="BU236" s="16"/>
      <c r="BV236" s="16"/>
      <c r="BW236" s="16"/>
      <c r="BX236" s="16"/>
      <c r="BY236" s="15"/>
      <c r="BZ236" s="15"/>
      <c r="CA236" s="10"/>
      <c r="CB236" s="10"/>
      <c r="CC236" s="19"/>
      <c r="CD236" s="19"/>
      <c r="CG236" s="16"/>
      <c r="CH236" s="15"/>
      <c r="CI236" s="15"/>
      <c r="CJ236" s="15"/>
      <c r="CK236" s="16"/>
      <c r="CL236" s="16"/>
      <c r="CM236" s="16"/>
      <c r="CN236" s="16"/>
      <c r="CO236" s="16"/>
      <c r="CP236" s="15"/>
      <c r="CQ236" s="15"/>
      <c r="CR236" s="10"/>
      <c r="CS236" s="10"/>
      <c r="CT236" s="19"/>
      <c r="CU236" s="19"/>
      <c r="CX236" s="16"/>
      <c r="CY236" s="15"/>
      <c r="CZ236" s="15"/>
      <c r="DA236" s="15"/>
      <c r="DB236" s="16"/>
      <c r="DC236" s="16"/>
      <c r="DD236" s="16"/>
      <c r="DE236" s="16"/>
      <c r="DF236" s="16"/>
      <c r="DG236" s="15"/>
      <c r="DH236" s="15"/>
      <c r="DI236" s="10"/>
      <c r="DJ236" s="10"/>
      <c r="DK236" s="19"/>
      <c r="DL236" s="19"/>
      <c r="DO236" s="16"/>
      <c r="DP236" s="15"/>
      <c r="DQ236" s="15"/>
      <c r="DR236" s="15"/>
      <c r="DS236" s="16"/>
      <c r="DT236" s="16"/>
      <c r="DU236" s="16"/>
      <c r="DV236" s="16"/>
      <c r="DW236" s="16"/>
      <c r="DX236" s="15"/>
      <c r="DY236" s="15"/>
      <c r="DZ236" s="10"/>
      <c r="EA236" s="10"/>
      <c r="EB236" s="19"/>
      <c r="EC236" s="19"/>
      <c r="EF236" s="16"/>
      <c r="EG236" s="15"/>
      <c r="EH236" s="15"/>
      <c r="EI236" s="15"/>
      <c r="EJ236" s="16"/>
      <c r="EK236" s="16"/>
      <c r="EL236" s="16"/>
      <c r="EM236" s="16"/>
      <c r="EN236" s="16"/>
      <c r="EO236" s="15"/>
      <c r="EP236" s="15"/>
      <c r="EQ236" s="10"/>
      <c r="ER236" s="10"/>
      <c r="ES236" s="19"/>
      <c r="ET236" s="19"/>
      <c r="EW236" s="16"/>
      <c r="EX236" s="15"/>
      <c r="EY236" s="15"/>
      <c r="EZ236" s="15"/>
      <c r="FA236" s="16"/>
      <c r="FB236" s="16"/>
      <c r="FC236" s="16"/>
      <c r="FD236" s="16"/>
      <c r="FE236" s="16"/>
      <c r="FF236" s="15"/>
      <c r="FG236" s="15"/>
      <c r="FH236" s="10"/>
      <c r="FI236" s="10"/>
      <c r="FJ236" s="19"/>
      <c r="FK236" s="19"/>
      <c r="FN236" s="16"/>
      <c r="FO236" s="15"/>
      <c r="FP236" s="15"/>
      <c r="FQ236" s="15"/>
      <c r="FR236" s="16"/>
      <c r="FS236" s="16"/>
      <c r="FT236" s="16"/>
      <c r="FU236" s="16"/>
      <c r="FV236" s="16"/>
      <c r="FW236" s="15"/>
      <c r="FX236" s="15"/>
      <c r="FY236" s="10"/>
      <c r="FZ236" s="10"/>
      <c r="GA236" s="19"/>
      <c r="GB236" s="19"/>
      <c r="GE236" s="16"/>
      <c r="GF236" s="15"/>
      <c r="GG236" s="15"/>
      <c r="GH236" s="15"/>
      <c r="GI236" s="16"/>
      <c r="GJ236" s="16"/>
      <c r="GK236" s="16"/>
      <c r="GL236" s="16"/>
      <c r="GM236" s="16"/>
      <c r="GN236" s="15"/>
      <c r="GO236" s="15"/>
      <c r="GP236" s="10"/>
      <c r="GQ236" s="10"/>
      <c r="GR236" s="19"/>
      <c r="GS236" s="19"/>
      <c r="GV236" s="16"/>
      <c r="GW236" s="15"/>
      <c r="GX236" s="15"/>
      <c r="GY236" s="15"/>
      <c r="GZ236" s="16"/>
      <c r="HA236" s="16"/>
      <c r="HB236" s="16"/>
      <c r="HC236" s="16"/>
      <c r="HD236" s="16"/>
      <c r="HE236" s="15"/>
      <c r="HF236" s="15"/>
      <c r="HG236" s="10"/>
      <c r="HH236" s="10"/>
      <c r="HI236" s="19"/>
      <c r="HJ236" s="19"/>
      <c r="HM236" s="16"/>
      <c r="HN236" s="15"/>
      <c r="HO236" s="15"/>
      <c r="HP236" s="15"/>
      <c r="HQ236" s="16"/>
      <c r="HR236" s="16"/>
      <c r="HS236" s="16"/>
      <c r="HT236" s="16"/>
      <c r="HU236" s="16"/>
      <c r="HV236" s="15"/>
      <c r="HW236" s="15"/>
      <c r="HX236" s="10"/>
      <c r="HY236" s="10"/>
      <c r="HZ236" s="19"/>
      <c r="IA236" s="19"/>
      <c r="ID236" s="16"/>
      <c r="IE236" s="15"/>
      <c r="IF236" s="15"/>
      <c r="IG236" s="15"/>
      <c r="IH236" s="16"/>
      <c r="II236" s="16"/>
      <c r="IJ236" s="16"/>
      <c r="IK236" s="16"/>
      <c r="IL236" s="16"/>
      <c r="IM236" s="15"/>
      <c r="IN236" s="15"/>
      <c r="IO236" s="10"/>
      <c r="IP236" s="10"/>
      <c r="IQ236" s="19"/>
      <c r="IR236" s="19"/>
      <c r="IU236" s="16"/>
      <c r="IV236" s="15"/>
      <c r="IW236" s="15"/>
      <c r="IX236" s="15"/>
      <c r="IY236" s="16"/>
      <c r="IZ236" s="16"/>
      <c r="JA236" s="16"/>
      <c r="JB236" s="16"/>
      <c r="JC236" s="16"/>
      <c r="JD236" s="15"/>
      <c r="JE236" s="15"/>
      <c r="JF236" s="10"/>
      <c r="JG236" s="10"/>
      <c r="JH236" s="19"/>
      <c r="JI236" s="19"/>
      <c r="JL236" s="16"/>
      <c r="JM236" s="15"/>
      <c r="JN236" s="15"/>
      <c r="JO236" s="15"/>
      <c r="JP236" s="16"/>
      <c r="JQ236" s="16"/>
      <c r="JR236" s="16"/>
      <c r="JS236" s="16"/>
      <c r="JT236" s="16"/>
      <c r="JU236" s="15"/>
      <c r="JV236" s="15"/>
      <c r="JW236" s="10"/>
      <c r="JX236" s="10"/>
      <c r="JY236" s="19"/>
      <c r="JZ236" s="19"/>
      <c r="KC236" s="16"/>
      <c r="KD236" s="15"/>
      <c r="KE236" s="15"/>
      <c r="KF236" s="15"/>
      <c r="KG236" s="16"/>
      <c r="KH236" s="16"/>
      <c r="KI236" s="16"/>
      <c r="KJ236" s="16"/>
      <c r="KK236" s="16"/>
      <c r="KL236" s="15"/>
      <c r="KM236" s="15"/>
      <c r="KN236" s="10"/>
      <c r="KO236" s="10"/>
      <c r="KP236" s="19"/>
      <c r="KQ236" s="19"/>
      <c r="KT236" s="16"/>
      <c r="KU236" s="15"/>
      <c r="KV236" s="15"/>
      <c r="KW236" s="15"/>
      <c r="KX236" s="16"/>
      <c r="KY236" s="16"/>
      <c r="KZ236" s="16"/>
      <c r="LA236" s="16"/>
      <c r="LB236" s="16"/>
      <c r="LC236" s="15"/>
      <c r="LD236" s="15"/>
      <c r="LE236" s="10"/>
      <c r="LF236" s="10"/>
      <c r="LG236" s="19"/>
      <c r="LH236" s="19"/>
      <c r="LK236" s="16"/>
      <c r="LL236" s="15"/>
      <c r="LM236" s="15"/>
      <c r="LN236" s="15"/>
      <c r="LO236" s="16"/>
      <c r="LP236" s="16"/>
      <c r="LQ236" s="16"/>
      <c r="LR236" s="16"/>
      <c r="LS236" s="16"/>
      <c r="LT236" s="15"/>
      <c r="LU236" s="15"/>
      <c r="LV236" s="10"/>
      <c r="LW236" s="10"/>
      <c r="LX236" s="19"/>
      <c r="LY236" s="19"/>
      <c r="MB236" s="16"/>
      <c r="MC236" s="15"/>
      <c r="MD236" s="15"/>
      <c r="ME236" s="15"/>
      <c r="MF236" s="16"/>
      <c r="MG236" s="16"/>
      <c r="MH236" s="16"/>
      <c r="MI236" s="16"/>
      <c r="MJ236" s="16"/>
      <c r="MK236" s="15"/>
      <c r="ML236" s="15"/>
      <c r="MM236" s="10"/>
      <c r="MN236" s="10"/>
      <c r="MO236" s="19"/>
      <c r="MP236" s="19"/>
      <c r="MS236" s="16"/>
      <c r="MT236" s="15"/>
      <c r="MU236" s="15"/>
      <c r="MV236" s="15"/>
      <c r="MW236" s="16"/>
      <c r="MX236" s="16"/>
      <c r="MY236" s="16"/>
      <c r="MZ236" s="16"/>
      <c r="NA236" s="16"/>
      <c r="NB236" s="15"/>
      <c r="NC236" s="15"/>
      <c r="ND236" s="10"/>
      <c r="NE236" s="10"/>
      <c r="NF236" s="19"/>
      <c r="NG236" s="19"/>
      <c r="NJ236" s="16"/>
      <c r="NK236" s="15"/>
      <c r="NL236" s="15"/>
      <c r="NM236" s="15"/>
      <c r="NN236" s="16"/>
      <c r="NO236" s="16"/>
      <c r="NP236" s="16"/>
      <c r="NQ236" s="16"/>
      <c r="NR236" s="16"/>
      <c r="NS236" s="15"/>
      <c r="NT236" s="15"/>
      <c r="NU236" s="10"/>
      <c r="NV236" s="10"/>
      <c r="NW236" s="19"/>
      <c r="NX236" s="19"/>
      <c r="OA236" s="16"/>
      <c r="OB236" s="15"/>
      <c r="OC236" s="15"/>
      <c r="OD236" s="15"/>
      <c r="OE236" s="16"/>
      <c r="OF236" s="16"/>
      <c r="OG236" s="16"/>
      <c r="OH236" s="16"/>
      <c r="OI236" s="16"/>
      <c r="OJ236" s="15"/>
      <c r="OK236" s="15"/>
      <c r="OL236" s="10"/>
      <c r="OM236" s="10"/>
      <c r="ON236" s="19"/>
      <c r="OO236" s="19"/>
      <c r="OR236" s="16"/>
      <c r="OS236" s="15"/>
      <c r="OT236" s="15"/>
      <c r="OU236" s="15"/>
      <c r="OV236" s="16"/>
      <c r="OW236" s="16"/>
      <c r="OX236" s="16"/>
      <c r="OY236" s="16"/>
      <c r="OZ236" s="16"/>
      <c r="PA236" s="15"/>
      <c r="PB236" s="15"/>
      <c r="PC236" s="10"/>
      <c r="PD236" s="10"/>
      <c r="PE236" s="19"/>
      <c r="PF236" s="19"/>
      <c r="PI236" s="16"/>
      <c r="PJ236" s="15"/>
      <c r="PK236" s="15"/>
      <c r="PL236" s="15"/>
      <c r="PM236" s="16"/>
      <c r="PN236" s="16"/>
      <c r="PO236" s="16"/>
      <c r="PP236" s="16"/>
      <c r="PQ236" s="16"/>
      <c r="PR236" s="15"/>
      <c r="PS236" s="15"/>
      <c r="PT236" s="10"/>
      <c r="PU236" s="10"/>
      <c r="PV236" s="19"/>
      <c r="PW236" s="19"/>
      <c r="PZ236" s="16"/>
      <c r="QA236" s="15"/>
      <c r="QB236" s="15"/>
      <c r="QC236" s="15"/>
      <c r="QD236" s="16"/>
      <c r="QE236" s="16"/>
      <c r="QF236" s="16"/>
      <c r="QG236" s="16"/>
      <c r="QH236" s="16"/>
      <c r="QI236" s="15"/>
      <c r="QJ236" s="15"/>
      <c r="QK236" s="10"/>
      <c r="QL236" s="10"/>
      <c r="QM236" s="19"/>
      <c r="QN236" s="19"/>
      <c r="QQ236" s="16"/>
      <c r="QR236" s="15"/>
      <c r="QS236" s="15"/>
      <c r="QT236" s="15"/>
      <c r="QU236" s="16"/>
      <c r="QV236" s="16"/>
      <c r="QW236" s="16"/>
      <c r="QX236" s="16"/>
      <c r="QY236" s="16"/>
      <c r="QZ236" s="15"/>
      <c r="RA236" s="15"/>
      <c r="RB236" s="10"/>
      <c r="RC236" s="10"/>
      <c r="RD236" s="19"/>
      <c r="RE236" s="19"/>
      <c r="RH236" s="16"/>
      <c r="RI236" s="15"/>
      <c r="RJ236" s="15"/>
      <c r="RK236" s="15"/>
      <c r="RL236" s="16"/>
      <c r="RM236" s="16"/>
      <c r="RN236" s="16"/>
      <c r="RO236" s="16"/>
      <c r="RP236" s="16"/>
      <c r="RQ236" s="15"/>
      <c r="RR236" s="15"/>
      <c r="RS236" s="10"/>
      <c r="RT236" s="10"/>
      <c r="RU236" s="19"/>
      <c r="RV236" s="19"/>
      <c r="RY236" s="16"/>
      <c r="RZ236" s="15"/>
      <c r="SA236" s="15"/>
      <c r="SB236" s="15"/>
      <c r="SC236" s="16"/>
      <c r="SD236" s="16"/>
      <c r="SE236" s="16"/>
      <c r="SF236" s="16"/>
      <c r="SG236" s="16"/>
      <c r="SH236" s="15"/>
      <c r="SI236" s="15"/>
      <c r="SJ236" s="10"/>
      <c r="SK236" s="10"/>
      <c r="SL236" s="19"/>
      <c r="SM236" s="19"/>
      <c r="SP236" s="16"/>
      <c r="SQ236" s="15"/>
      <c r="SR236" s="15"/>
      <c r="SS236" s="15"/>
      <c r="ST236" s="16"/>
      <c r="SU236" s="16"/>
      <c r="SV236" s="16"/>
      <c r="SW236" s="16"/>
      <c r="SX236" s="16"/>
      <c r="SY236" s="15"/>
      <c r="SZ236" s="15"/>
      <c r="TA236" s="10"/>
      <c r="TB236" s="10"/>
      <c r="TC236" s="19"/>
      <c r="TD236" s="19"/>
      <c r="TG236" s="16"/>
      <c r="TH236" s="15"/>
      <c r="TI236" s="15"/>
      <c r="TJ236" s="15"/>
      <c r="TK236" s="16"/>
      <c r="TL236" s="16"/>
      <c r="TM236" s="16"/>
      <c r="TN236" s="16"/>
      <c r="TO236" s="16"/>
      <c r="TP236" s="15"/>
      <c r="TQ236" s="15"/>
      <c r="TR236" s="10"/>
      <c r="TS236" s="10"/>
      <c r="TT236" s="19"/>
      <c r="TU236" s="19"/>
      <c r="TX236" s="16"/>
      <c r="TY236" s="15"/>
      <c r="TZ236" s="15"/>
      <c r="UA236" s="15"/>
      <c r="UB236" s="16"/>
      <c r="UC236" s="16"/>
      <c r="UD236" s="16"/>
      <c r="UE236" s="16"/>
      <c r="UF236" s="16"/>
      <c r="UG236" s="15"/>
      <c r="UH236" s="15"/>
      <c r="UI236" s="10"/>
      <c r="UJ236" s="10"/>
      <c r="UK236" s="19"/>
      <c r="UL236" s="19"/>
      <c r="UO236" s="16"/>
      <c r="UP236" s="15"/>
      <c r="UQ236" s="15"/>
      <c r="UR236" s="15"/>
      <c r="US236" s="16"/>
      <c r="UT236" s="16"/>
      <c r="UU236" s="16"/>
      <c r="UV236" s="16"/>
      <c r="UW236" s="16"/>
      <c r="UX236" s="15"/>
      <c r="UY236" s="15"/>
      <c r="UZ236" s="10"/>
      <c r="VA236" s="10"/>
      <c r="VB236" s="19"/>
      <c r="VC236" s="19"/>
      <c r="VF236" s="16"/>
      <c r="VG236" s="15"/>
      <c r="VH236" s="15"/>
      <c r="VI236" s="15"/>
      <c r="VJ236" s="16"/>
      <c r="VK236" s="16"/>
      <c r="VL236" s="16"/>
      <c r="VM236" s="16"/>
      <c r="VN236" s="16"/>
      <c r="VO236" s="15"/>
      <c r="VP236" s="15"/>
      <c r="VQ236" s="10"/>
      <c r="VR236" s="10"/>
      <c r="VS236" s="19"/>
      <c r="VT236" s="19"/>
      <c r="VW236" s="16"/>
      <c r="VX236" s="15"/>
      <c r="VY236" s="15"/>
      <c r="VZ236" s="15"/>
      <c r="WA236" s="16"/>
      <c r="WB236" s="16"/>
      <c r="WC236" s="16"/>
      <c r="WD236" s="16"/>
      <c r="WE236" s="16"/>
      <c r="WF236" s="15"/>
      <c r="WG236" s="15"/>
      <c r="WH236" s="10"/>
      <c r="WI236" s="10"/>
      <c r="WJ236" s="19"/>
      <c r="WK236" s="19"/>
      <c r="WN236" s="16"/>
      <c r="WO236" s="15"/>
      <c r="WP236" s="15"/>
      <c r="WQ236" s="15"/>
      <c r="WR236" s="16"/>
      <c r="WS236" s="16"/>
      <c r="WT236" s="16"/>
      <c r="WU236" s="16"/>
      <c r="WV236" s="16"/>
      <c r="WW236" s="15"/>
      <c r="WX236" s="15"/>
      <c r="WY236" s="10"/>
      <c r="WZ236" s="10"/>
      <c r="XA236" s="19"/>
      <c r="XB236" s="19"/>
      <c r="XE236" s="16"/>
      <c r="XF236" s="15"/>
      <c r="XG236" s="15"/>
      <c r="XH236" s="15"/>
      <c r="XI236" s="16"/>
      <c r="XJ236" s="16"/>
      <c r="XK236" s="16"/>
      <c r="XL236" s="16"/>
      <c r="XM236" s="16"/>
      <c r="XN236" s="15"/>
      <c r="XO236" s="15"/>
      <c r="XP236" s="10"/>
      <c r="XQ236" s="10"/>
      <c r="XR236" s="19"/>
      <c r="XS236" s="19"/>
      <c r="XV236" s="16"/>
      <c r="XW236" s="15"/>
      <c r="XX236" s="15"/>
      <c r="XY236" s="15"/>
      <c r="XZ236" s="16"/>
      <c r="YA236" s="16"/>
      <c r="YB236" s="16"/>
      <c r="YC236" s="16"/>
      <c r="YD236" s="16"/>
      <c r="YE236" s="15"/>
      <c r="YF236" s="15"/>
      <c r="YG236" s="10"/>
      <c r="YH236" s="10"/>
      <c r="YI236" s="19"/>
      <c r="YJ236" s="19"/>
      <c r="YM236" s="16"/>
      <c r="YN236" s="15"/>
      <c r="YO236" s="15"/>
      <c r="YP236" s="15"/>
      <c r="YQ236" s="16"/>
      <c r="YR236" s="16"/>
      <c r="YS236" s="16"/>
      <c r="YT236" s="16"/>
      <c r="YU236" s="16"/>
      <c r="YV236" s="15"/>
      <c r="YW236" s="15"/>
      <c r="YX236" s="10"/>
      <c r="YY236" s="10"/>
      <c r="YZ236" s="19"/>
      <c r="ZA236" s="19"/>
      <c r="ZD236" s="16"/>
      <c r="ZE236" s="15"/>
      <c r="ZF236" s="15"/>
      <c r="ZG236" s="15"/>
      <c r="ZH236" s="16"/>
      <c r="ZI236" s="16"/>
      <c r="ZJ236" s="16"/>
      <c r="ZK236" s="16"/>
      <c r="ZL236" s="16"/>
      <c r="ZM236" s="15"/>
      <c r="ZN236" s="15"/>
      <c r="ZO236" s="10"/>
      <c r="ZP236" s="10"/>
      <c r="ZQ236" s="19"/>
      <c r="ZR236" s="19"/>
      <c r="ZU236" s="16"/>
      <c r="ZV236" s="15"/>
      <c r="ZW236" s="15"/>
      <c r="ZX236" s="15"/>
      <c r="ZY236" s="16"/>
      <c r="ZZ236" s="16"/>
      <c r="AAA236" s="16"/>
      <c r="AAB236" s="16"/>
      <c r="AAC236" s="16"/>
      <c r="AAD236" s="15"/>
      <c r="AAE236" s="15"/>
      <c r="AAF236" s="10"/>
      <c r="AAG236" s="10"/>
      <c r="AAH236" s="19"/>
      <c r="AAI236" s="19"/>
      <c r="AAL236" s="16"/>
      <c r="AAM236" s="15"/>
      <c r="AAN236" s="15"/>
      <c r="AAO236" s="15"/>
      <c r="AAP236" s="16"/>
      <c r="AAQ236" s="16"/>
      <c r="AAR236" s="16"/>
      <c r="AAS236" s="16"/>
      <c r="AAT236" s="16"/>
      <c r="AAU236" s="15"/>
      <c r="AAV236" s="15"/>
      <c r="AAW236" s="10"/>
      <c r="AAX236" s="10"/>
      <c r="AAY236" s="19"/>
      <c r="AAZ236" s="19"/>
      <c r="ABC236" s="16"/>
      <c r="ABD236" s="15"/>
      <c r="ABE236" s="15"/>
      <c r="ABF236" s="15"/>
      <c r="ABG236" s="16"/>
      <c r="ABH236" s="16"/>
      <c r="ABI236" s="16"/>
      <c r="ABJ236" s="16"/>
      <c r="ABK236" s="16"/>
      <c r="ABL236" s="15"/>
      <c r="ABM236" s="15"/>
      <c r="ABN236" s="10"/>
      <c r="ABO236" s="10"/>
      <c r="ABP236" s="19"/>
      <c r="ABQ236" s="19"/>
      <c r="ABT236" s="16"/>
      <c r="ABU236" s="15"/>
      <c r="ABV236" s="15"/>
      <c r="ABW236" s="15"/>
      <c r="ABX236" s="16"/>
      <c r="ABY236" s="16"/>
      <c r="ABZ236" s="16"/>
      <c r="ACA236" s="16"/>
      <c r="ACB236" s="16"/>
      <c r="ACC236" s="15"/>
      <c r="ACD236" s="15"/>
      <c r="ACE236" s="10"/>
      <c r="ACF236" s="10"/>
      <c r="ACG236" s="19"/>
      <c r="ACH236" s="19"/>
      <c r="ACK236" s="16"/>
      <c r="ACL236" s="15"/>
      <c r="ACM236" s="15"/>
      <c r="ACN236" s="15"/>
      <c r="ACO236" s="16"/>
      <c r="ACP236" s="16"/>
      <c r="ACQ236" s="16"/>
      <c r="ACR236" s="16"/>
      <c r="ACS236" s="16"/>
      <c r="ACT236" s="15"/>
      <c r="ACU236" s="15"/>
      <c r="ACV236" s="10"/>
      <c r="ACW236" s="10"/>
      <c r="ACX236" s="19"/>
      <c r="ACY236" s="19"/>
      <c r="ADB236" s="16"/>
      <c r="ADC236" s="15"/>
      <c r="ADD236" s="15"/>
      <c r="ADE236" s="15"/>
      <c r="ADF236" s="16"/>
      <c r="ADG236" s="16"/>
      <c r="ADH236" s="16"/>
      <c r="ADI236" s="16"/>
      <c r="ADJ236" s="16"/>
      <c r="ADK236" s="15"/>
      <c r="ADL236" s="15"/>
      <c r="ADM236" s="10"/>
      <c r="ADN236" s="10"/>
      <c r="ADO236" s="19"/>
      <c r="ADP236" s="19"/>
      <c r="ADS236" s="16"/>
      <c r="ADT236" s="15"/>
      <c r="ADU236" s="15"/>
      <c r="ADV236" s="15"/>
      <c r="ADW236" s="16"/>
      <c r="ADX236" s="16"/>
      <c r="ADY236" s="16"/>
      <c r="ADZ236" s="16"/>
      <c r="AEA236" s="16"/>
      <c r="AEB236" s="15"/>
      <c r="AEC236" s="15"/>
      <c r="AED236" s="10"/>
      <c r="AEE236" s="10"/>
      <c r="AEF236" s="19"/>
      <c r="AEG236" s="19"/>
      <c r="AEJ236" s="16"/>
      <c r="AEK236" s="15"/>
      <c r="AEL236" s="15"/>
      <c r="AEM236" s="15"/>
      <c r="AEN236" s="16"/>
      <c r="AEO236" s="16"/>
      <c r="AEP236" s="16"/>
      <c r="AEQ236" s="16"/>
      <c r="AER236" s="16"/>
      <c r="AES236" s="15"/>
      <c r="AET236" s="15"/>
      <c r="AEU236" s="10"/>
      <c r="AEV236" s="10"/>
      <c r="AEW236" s="19"/>
      <c r="AEX236" s="19"/>
      <c r="AFA236" s="16"/>
      <c r="AFB236" s="15"/>
      <c r="AFC236" s="15"/>
      <c r="AFD236" s="15"/>
      <c r="AFE236" s="16"/>
      <c r="AFF236" s="16"/>
      <c r="AFG236" s="16"/>
      <c r="AFH236" s="16"/>
      <c r="AFI236" s="16"/>
      <c r="AFJ236" s="15"/>
      <c r="AFK236" s="15"/>
      <c r="AFL236" s="10"/>
      <c r="AFM236" s="10"/>
      <c r="AFN236" s="19"/>
      <c r="AFO236" s="19"/>
      <c r="AFR236" s="16"/>
      <c r="AFS236" s="15"/>
      <c r="AFT236" s="15"/>
      <c r="AFU236" s="15"/>
      <c r="AFV236" s="16"/>
      <c r="AFW236" s="16"/>
      <c r="AFX236" s="16"/>
      <c r="AFY236" s="16"/>
      <c r="AFZ236" s="16"/>
      <c r="AGA236" s="15"/>
      <c r="AGB236" s="15"/>
      <c r="AGC236" s="10"/>
      <c r="AGD236" s="10"/>
      <c r="AGE236" s="19"/>
      <c r="AGF236" s="19"/>
      <c r="AGI236" s="16"/>
      <c r="AGJ236" s="15"/>
      <c r="AGK236" s="15"/>
      <c r="AGL236" s="15"/>
      <c r="AGM236" s="16"/>
      <c r="AGN236" s="16"/>
      <c r="AGO236" s="16"/>
      <c r="AGP236" s="16"/>
      <c r="AGQ236" s="16"/>
      <c r="AGR236" s="15"/>
      <c r="AGS236" s="15"/>
      <c r="AGT236" s="10"/>
      <c r="AGU236" s="10"/>
      <c r="AGV236" s="19"/>
      <c r="AGW236" s="19"/>
      <c r="AGZ236" s="16"/>
      <c r="AHA236" s="15"/>
      <c r="AHB236" s="15"/>
      <c r="AHC236" s="15"/>
      <c r="AHD236" s="16"/>
      <c r="AHE236" s="16"/>
      <c r="AHF236" s="16"/>
      <c r="AHG236" s="16"/>
      <c r="AHH236" s="16"/>
      <c r="AHI236" s="15"/>
      <c r="AHJ236" s="15"/>
      <c r="AHK236" s="10"/>
      <c r="AHL236" s="10"/>
      <c r="AHM236" s="19"/>
      <c r="AHN236" s="19"/>
      <c r="AHQ236" s="16"/>
      <c r="AHR236" s="15"/>
      <c r="AHS236" s="15"/>
      <c r="AHT236" s="15"/>
      <c r="AHU236" s="16"/>
      <c r="AHV236" s="16"/>
      <c r="AHW236" s="16"/>
      <c r="AHX236" s="16"/>
      <c r="AHY236" s="16"/>
      <c r="AHZ236" s="15"/>
      <c r="AIA236" s="15"/>
      <c r="AIB236" s="10"/>
      <c r="AIC236" s="10"/>
      <c r="AID236" s="19"/>
      <c r="AIE236" s="19"/>
      <c r="AIH236" s="16"/>
      <c r="AII236" s="15"/>
      <c r="AIJ236" s="15"/>
      <c r="AIK236" s="15"/>
      <c r="AIL236" s="16"/>
      <c r="AIM236" s="16"/>
      <c r="AIN236" s="16"/>
      <c r="AIO236" s="16"/>
      <c r="AIP236" s="16"/>
      <c r="AIQ236" s="15"/>
      <c r="AIR236" s="15"/>
      <c r="AIS236" s="10"/>
      <c r="AIT236" s="10"/>
      <c r="AIU236" s="19"/>
      <c r="AIV236" s="19"/>
      <c r="AIY236" s="16"/>
      <c r="AIZ236" s="15"/>
      <c r="AJA236" s="15"/>
      <c r="AJB236" s="15"/>
      <c r="AJC236" s="16"/>
      <c r="AJD236" s="16"/>
      <c r="AJE236" s="16"/>
      <c r="AJF236" s="16"/>
      <c r="AJG236" s="16"/>
      <c r="AJH236" s="15"/>
      <c r="AJI236" s="15"/>
      <c r="AJJ236" s="10"/>
      <c r="AJK236" s="10"/>
      <c r="AJL236" s="19"/>
      <c r="AJM236" s="19"/>
      <c r="AJP236" s="16"/>
      <c r="AJQ236" s="15"/>
      <c r="AJR236" s="15"/>
      <c r="AJS236" s="15"/>
      <c r="AJT236" s="16"/>
      <c r="AJU236" s="16"/>
      <c r="AJV236" s="16"/>
      <c r="AJW236" s="16"/>
      <c r="AJX236" s="16"/>
      <c r="AJY236" s="15"/>
      <c r="AJZ236" s="15"/>
      <c r="AKA236" s="10"/>
      <c r="AKB236" s="10"/>
      <c r="AKC236" s="19"/>
      <c r="AKD236" s="19"/>
      <c r="AKG236" s="16"/>
      <c r="AKH236" s="15"/>
      <c r="AKI236" s="15"/>
      <c r="AKJ236" s="15"/>
      <c r="AKK236" s="16"/>
      <c r="AKL236" s="16"/>
      <c r="AKM236" s="16"/>
      <c r="AKN236" s="16"/>
      <c r="AKO236" s="16"/>
      <c r="AKP236" s="15"/>
      <c r="AKQ236" s="15"/>
      <c r="AKR236" s="10"/>
      <c r="AKS236" s="10"/>
      <c r="AKT236" s="19"/>
      <c r="AKU236" s="19"/>
      <c r="AKX236" s="16"/>
      <c r="AKY236" s="15"/>
      <c r="AKZ236" s="15"/>
      <c r="ALA236" s="15"/>
      <c r="ALB236" s="16"/>
      <c r="ALC236" s="16"/>
      <c r="ALD236" s="16"/>
      <c r="ALE236" s="16"/>
      <c r="ALF236" s="16"/>
      <c r="ALG236" s="15"/>
      <c r="ALH236" s="15"/>
      <c r="ALI236" s="10"/>
      <c r="ALJ236" s="10"/>
      <c r="ALK236" s="19"/>
      <c r="ALL236" s="19"/>
      <c r="ALO236" s="16"/>
      <c r="ALP236" s="15"/>
      <c r="ALQ236" s="15"/>
      <c r="ALR236" s="15"/>
      <c r="ALS236" s="16"/>
      <c r="ALT236" s="16"/>
      <c r="ALU236" s="16"/>
      <c r="ALV236" s="16"/>
      <c r="ALW236" s="16"/>
      <c r="ALX236" s="15"/>
      <c r="ALY236" s="15"/>
      <c r="ALZ236" s="10"/>
      <c r="AMA236" s="10"/>
      <c r="AMB236" s="19"/>
      <c r="AMC236" s="19"/>
      <c r="AMF236" s="16"/>
      <c r="AMG236" s="15"/>
      <c r="AMH236" s="15"/>
      <c r="AMI236" s="15"/>
      <c r="AMJ236" s="16"/>
      <c r="AMK236" s="16"/>
      <c r="AML236" s="16"/>
      <c r="AMM236" s="16"/>
      <c r="AMN236" s="16"/>
      <c r="AMO236" s="15"/>
      <c r="AMP236" s="15"/>
      <c r="AMQ236" s="10"/>
      <c r="AMR236" s="10"/>
      <c r="AMS236" s="19"/>
      <c r="AMT236" s="19"/>
      <c r="AMW236" s="16"/>
      <c r="AMX236" s="15"/>
      <c r="AMY236" s="15"/>
      <c r="AMZ236" s="15"/>
      <c r="ANA236" s="16"/>
      <c r="ANB236" s="16"/>
      <c r="ANC236" s="16"/>
      <c r="AND236" s="16"/>
      <c r="ANE236" s="16"/>
      <c r="ANF236" s="15"/>
      <c r="ANG236" s="15"/>
      <c r="ANH236" s="10"/>
      <c r="ANI236" s="10"/>
      <c r="ANJ236" s="19"/>
      <c r="ANK236" s="19"/>
      <c r="ANN236" s="16"/>
      <c r="ANO236" s="15"/>
      <c r="ANP236" s="15"/>
      <c r="ANQ236" s="15"/>
      <c r="ANR236" s="16"/>
      <c r="ANS236" s="16"/>
      <c r="ANT236" s="16"/>
      <c r="ANU236" s="16"/>
      <c r="ANV236" s="16"/>
      <c r="ANW236" s="15"/>
      <c r="ANX236" s="15"/>
      <c r="ANY236" s="10"/>
      <c r="ANZ236" s="10"/>
      <c r="AOA236" s="19"/>
      <c r="AOB236" s="19"/>
      <c r="AOE236" s="16"/>
      <c r="AOF236" s="15"/>
      <c r="AOG236" s="15"/>
      <c r="AOH236" s="15"/>
      <c r="AOI236" s="16"/>
      <c r="AOJ236" s="16"/>
      <c r="AOK236" s="16"/>
      <c r="AOL236" s="16"/>
      <c r="AOM236" s="16"/>
      <c r="AON236" s="15"/>
      <c r="AOO236" s="15"/>
      <c r="AOP236" s="10"/>
      <c r="AOQ236" s="10"/>
      <c r="AOR236" s="19"/>
      <c r="AOS236" s="19"/>
      <c r="AOV236" s="16"/>
      <c r="AOW236" s="15"/>
      <c r="AOX236" s="15"/>
      <c r="AOY236" s="15"/>
      <c r="AOZ236" s="16"/>
      <c r="APA236" s="16"/>
      <c r="APB236" s="16"/>
      <c r="APC236" s="16"/>
      <c r="APD236" s="16"/>
      <c r="APE236" s="15"/>
      <c r="APF236" s="15"/>
      <c r="APG236" s="10"/>
      <c r="APH236" s="10"/>
      <c r="API236" s="19"/>
      <c r="APJ236" s="19"/>
      <c r="APM236" s="16"/>
      <c r="APN236" s="15"/>
      <c r="APO236" s="15"/>
      <c r="APP236" s="15"/>
      <c r="APQ236" s="16"/>
      <c r="APR236" s="16"/>
      <c r="APS236" s="16"/>
      <c r="APT236" s="16"/>
      <c r="APU236" s="16"/>
      <c r="APV236" s="15"/>
      <c r="APW236" s="15"/>
      <c r="APX236" s="10"/>
      <c r="APY236" s="10"/>
      <c r="APZ236" s="19"/>
      <c r="AQA236" s="19"/>
      <c r="AQD236" s="16"/>
      <c r="AQE236" s="15"/>
      <c r="AQF236" s="15"/>
      <c r="AQG236" s="15"/>
      <c r="AQH236" s="16"/>
      <c r="AQI236" s="16"/>
      <c r="AQJ236" s="16"/>
      <c r="AQK236" s="16"/>
      <c r="AQL236" s="16"/>
      <c r="AQM236" s="15"/>
      <c r="AQN236" s="15"/>
      <c r="AQO236" s="10"/>
      <c r="AQP236" s="10"/>
      <c r="AQQ236" s="19"/>
      <c r="AQR236" s="19"/>
      <c r="AQU236" s="16"/>
      <c r="AQV236" s="15"/>
      <c r="AQW236" s="15"/>
      <c r="AQX236" s="15"/>
      <c r="AQY236" s="16"/>
      <c r="AQZ236" s="16"/>
      <c r="ARA236" s="16"/>
      <c r="ARB236" s="16"/>
      <c r="ARC236" s="16"/>
      <c r="ARD236" s="15"/>
      <c r="ARE236" s="15"/>
      <c r="ARF236" s="10"/>
      <c r="ARG236" s="10"/>
      <c r="ARH236" s="19"/>
      <c r="ARI236" s="19"/>
      <c r="ARL236" s="16"/>
      <c r="ARM236" s="15"/>
      <c r="ARN236" s="15"/>
      <c r="ARO236" s="15"/>
      <c r="ARP236" s="16"/>
      <c r="ARQ236" s="16"/>
      <c r="ARR236" s="16"/>
      <c r="ARS236" s="16"/>
      <c r="ART236" s="16"/>
      <c r="ARU236" s="15"/>
      <c r="ARV236" s="15"/>
      <c r="ARW236" s="10"/>
      <c r="ARX236" s="10"/>
      <c r="ARY236" s="19"/>
      <c r="ARZ236" s="19"/>
      <c r="ASC236" s="16"/>
      <c r="ASD236" s="15"/>
      <c r="ASE236" s="15"/>
      <c r="ASF236" s="15"/>
      <c r="ASG236" s="16"/>
      <c r="ASH236" s="16"/>
      <c r="ASI236" s="16"/>
      <c r="ASJ236" s="16"/>
      <c r="ASK236" s="16"/>
      <c r="ASL236" s="15"/>
      <c r="ASM236" s="15"/>
      <c r="ASN236" s="10"/>
      <c r="ASO236" s="10"/>
      <c r="ASP236" s="19"/>
      <c r="ASQ236" s="19"/>
      <c r="AST236" s="16"/>
      <c r="ASU236" s="15"/>
      <c r="ASV236" s="15"/>
      <c r="ASW236" s="15"/>
      <c r="ASX236" s="16"/>
      <c r="ASY236" s="16"/>
      <c r="ASZ236" s="16"/>
      <c r="ATA236" s="16"/>
      <c r="ATB236" s="16"/>
      <c r="ATC236" s="15"/>
      <c r="ATD236" s="15"/>
      <c r="ATE236" s="10"/>
      <c r="ATF236" s="10"/>
      <c r="ATG236" s="19"/>
      <c r="ATH236" s="19"/>
      <c r="ATK236" s="16"/>
      <c r="ATL236" s="15"/>
      <c r="ATM236" s="15"/>
      <c r="ATN236" s="15"/>
      <c r="ATO236" s="16"/>
      <c r="ATP236" s="16"/>
      <c r="ATQ236" s="16"/>
      <c r="ATR236" s="16"/>
      <c r="ATS236" s="16"/>
      <c r="ATT236" s="15"/>
      <c r="ATU236" s="15"/>
      <c r="ATV236" s="10"/>
      <c r="ATW236" s="10"/>
      <c r="ATX236" s="19"/>
      <c r="ATY236" s="19"/>
      <c r="AUB236" s="16"/>
      <c r="AUC236" s="15"/>
      <c r="AUD236" s="15"/>
      <c r="AUE236" s="15"/>
      <c r="AUF236" s="16"/>
      <c r="AUG236" s="16"/>
      <c r="AUH236" s="16"/>
      <c r="AUI236" s="16"/>
      <c r="AUJ236" s="16"/>
      <c r="AUK236" s="15"/>
      <c r="AUL236" s="15"/>
      <c r="AUM236" s="10"/>
      <c r="AUN236" s="10"/>
      <c r="AUO236" s="19"/>
      <c r="AUP236" s="19"/>
      <c r="AUS236" s="16"/>
      <c r="AUT236" s="15"/>
      <c r="AUU236" s="15"/>
      <c r="AUV236" s="15"/>
      <c r="AUW236" s="16"/>
      <c r="AUX236" s="16"/>
      <c r="AUY236" s="16"/>
      <c r="AUZ236" s="16"/>
      <c r="AVA236" s="16"/>
      <c r="AVB236" s="15"/>
      <c r="AVC236" s="15"/>
      <c r="AVD236" s="10"/>
      <c r="AVE236" s="10"/>
      <c r="AVF236" s="19"/>
      <c r="AVG236" s="19"/>
      <c r="AVJ236" s="16"/>
      <c r="AVK236" s="15"/>
      <c r="AVL236" s="15"/>
      <c r="AVM236" s="15"/>
      <c r="AVN236" s="16"/>
      <c r="AVO236" s="16"/>
      <c r="AVP236" s="16"/>
      <c r="AVQ236" s="16"/>
      <c r="AVR236" s="16"/>
      <c r="AVS236" s="15"/>
      <c r="AVT236" s="15"/>
      <c r="AVU236" s="10"/>
      <c r="AVV236" s="10"/>
      <c r="AVW236" s="19"/>
      <c r="AVX236" s="19"/>
      <c r="AWA236" s="16"/>
      <c r="AWB236" s="15"/>
      <c r="AWC236" s="15"/>
      <c r="AWD236" s="15"/>
      <c r="AWE236" s="16"/>
      <c r="AWF236" s="16"/>
      <c r="AWG236" s="16"/>
      <c r="AWH236" s="16"/>
      <c r="AWI236" s="16"/>
      <c r="AWJ236" s="15"/>
      <c r="AWK236" s="15"/>
      <c r="AWL236" s="10"/>
      <c r="AWM236" s="10"/>
      <c r="AWN236" s="19"/>
      <c r="AWO236" s="19"/>
      <c r="AWR236" s="16"/>
      <c r="AWS236" s="15"/>
      <c r="AWT236" s="15"/>
      <c r="AWU236" s="15"/>
      <c r="AWV236" s="16"/>
      <c r="AWW236" s="16"/>
      <c r="AWX236" s="16"/>
      <c r="AWY236" s="16"/>
      <c r="AWZ236" s="16"/>
      <c r="AXA236" s="15"/>
      <c r="AXB236" s="15"/>
      <c r="AXC236" s="10"/>
      <c r="AXD236" s="10"/>
      <c r="AXE236" s="19"/>
      <c r="AXF236" s="19"/>
      <c r="AXI236" s="16"/>
      <c r="AXJ236" s="15"/>
      <c r="AXK236" s="15"/>
      <c r="AXL236" s="15"/>
      <c r="AXM236" s="16"/>
      <c r="AXN236" s="16"/>
      <c r="AXO236" s="16"/>
      <c r="AXP236" s="16"/>
      <c r="AXQ236" s="16"/>
      <c r="AXR236" s="15"/>
      <c r="AXS236" s="15"/>
      <c r="AXT236" s="10"/>
      <c r="AXU236" s="10"/>
      <c r="AXV236" s="19"/>
      <c r="AXW236" s="19"/>
      <c r="AXZ236" s="16"/>
      <c r="AYA236" s="15"/>
      <c r="AYB236" s="15"/>
      <c r="AYC236" s="15"/>
      <c r="AYD236" s="16"/>
      <c r="AYE236" s="16"/>
      <c r="AYF236" s="16"/>
      <c r="AYG236" s="16"/>
      <c r="AYH236" s="16"/>
      <c r="AYI236" s="15"/>
      <c r="AYJ236" s="15"/>
      <c r="AYK236" s="10"/>
      <c r="AYL236" s="10"/>
      <c r="AYM236" s="19"/>
      <c r="AYN236" s="19"/>
      <c r="AYQ236" s="16"/>
      <c r="AYR236" s="15"/>
      <c r="AYS236" s="15"/>
      <c r="AYT236" s="15"/>
      <c r="AYU236" s="16"/>
      <c r="AYV236" s="16"/>
      <c r="AYW236" s="16"/>
      <c r="AYX236" s="16"/>
      <c r="AYY236" s="16"/>
      <c r="AYZ236" s="15"/>
      <c r="AZA236" s="15"/>
      <c r="AZB236" s="10"/>
      <c r="AZC236" s="10"/>
      <c r="AZD236" s="19"/>
      <c r="AZE236" s="19"/>
      <c r="AZH236" s="16"/>
      <c r="AZI236" s="15"/>
      <c r="AZJ236" s="15"/>
      <c r="AZK236" s="15"/>
      <c r="AZL236" s="16"/>
      <c r="AZM236" s="16"/>
      <c r="AZN236" s="16"/>
      <c r="AZO236" s="16"/>
      <c r="AZP236" s="16"/>
      <c r="AZQ236" s="15"/>
      <c r="AZR236" s="15"/>
      <c r="AZS236" s="10"/>
      <c r="AZT236" s="10"/>
      <c r="AZU236" s="19"/>
      <c r="AZV236" s="19"/>
      <c r="AZY236" s="16"/>
      <c r="AZZ236" s="15"/>
      <c r="BAA236" s="15"/>
      <c r="BAB236" s="15"/>
      <c r="BAC236" s="16"/>
      <c r="BAD236" s="16"/>
      <c r="BAE236" s="16"/>
      <c r="BAF236" s="16"/>
      <c r="BAG236" s="16"/>
      <c r="BAH236" s="15"/>
      <c r="BAI236" s="15"/>
      <c r="BAJ236" s="10"/>
      <c r="BAK236" s="10"/>
      <c r="BAL236" s="19"/>
      <c r="BAM236" s="19"/>
      <c r="BAP236" s="16"/>
      <c r="BAQ236" s="15"/>
      <c r="BAR236" s="15"/>
      <c r="BAS236" s="15"/>
      <c r="BAT236" s="16"/>
      <c r="BAU236" s="16"/>
      <c r="BAV236" s="16"/>
      <c r="BAW236" s="16"/>
      <c r="BAX236" s="16"/>
      <c r="BAY236" s="15"/>
      <c r="BAZ236" s="15"/>
      <c r="BBA236" s="10"/>
      <c r="BBB236" s="10"/>
      <c r="BBC236" s="19"/>
      <c r="BBD236" s="19"/>
      <c r="BBG236" s="16"/>
      <c r="BBH236" s="15"/>
      <c r="BBI236" s="15"/>
      <c r="BBJ236" s="15"/>
      <c r="BBK236" s="16"/>
      <c r="BBL236" s="16"/>
      <c r="BBM236" s="16"/>
      <c r="BBN236" s="16"/>
      <c r="BBO236" s="16"/>
      <c r="BBP236" s="15"/>
      <c r="BBQ236" s="15"/>
      <c r="BBR236" s="10"/>
      <c r="BBS236" s="10"/>
      <c r="BBT236" s="19"/>
      <c r="BBU236" s="19"/>
      <c r="BBX236" s="16"/>
      <c r="BBY236" s="15"/>
      <c r="BBZ236" s="15"/>
      <c r="BCA236" s="15"/>
      <c r="BCB236" s="16"/>
      <c r="BCC236" s="16"/>
      <c r="BCD236" s="16"/>
      <c r="BCE236" s="16"/>
      <c r="BCF236" s="16"/>
      <c r="BCG236" s="15"/>
      <c r="BCH236" s="15"/>
      <c r="BCI236" s="10"/>
      <c r="BCJ236" s="10"/>
      <c r="BCK236" s="19"/>
      <c r="BCL236" s="19"/>
      <c r="BCO236" s="16"/>
      <c r="BCP236" s="15"/>
      <c r="BCQ236" s="15"/>
      <c r="BCR236" s="15"/>
      <c r="BCS236" s="16"/>
      <c r="BCT236" s="16"/>
      <c r="BCU236" s="16"/>
      <c r="BCV236" s="16"/>
      <c r="BCW236" s="16"/>
      <c r="BCX236" s="15"/>
      <c r="BCY236" s="15"/>
      <c r="BCZ236" s="10"/>
      <c r="BDA236" s="10"/>
      <c r="BDB236" s="19"/>
      <c r="BDC236" s="19"/>
      <c r="BDF236" s="16"/>
      <c r="BDG236" s="15"/>
      <c r="BDH236" s="15"/>
      <c r="BDI236" s="15"/>
      <c r="BDJ236" s="16"/>
      <c r="BDK236" s="16"/>
      <c r="BDL236" s="16"/>
      <c r="BDM236" s="16"/>
      <c r="BDN236" s="16"/>
      <c r="BDO236" s="15"/>
      <c r="BDP236" s="15"/>
      <c r="BDQ236" s="10"/>
      <c r="BDR236" s="10"/>
      <c r="BDS236" s="19"/>
      <c r="BDT236" s="19"/>
      <c r="BDW236" s="16"/>
      <c r="BDX236" s="15"/>
      <c r="BDY236" s="15"/>
      <c r="BDZ236" s="15"/>
      <c r="BEA236" s="16"/>
      <c r="BEB236" s="16"/>
      <c r="BEC236" s="16"/>
      <c r="BED236" s="16"/>
      <c r="BEE236" s="16"/>
      <c r="BEF236" s="15"/>
      <c r="BEG236" s="15"/>
      <c r="BEH236" s="10"/>
      <c r="BEI236" s="10"/>
      <c r="BEJ236" s="19"/>
      <c r="BEK236" s="19"/>
      <c r="BEN236" s="16"/>
      <c r="BEO236" s="15"/>
      <c r="BEP236" s="15"/>
      <c r="BEQ236" s="15"/>
      <c r="BER236" s="16"/>
      <c r="BES236" s="16"/>
      <c r="BET236" s="16"/>
      <c r="BEU236" s="16"/>
      <c r="BEV236" s="16"/>
      <c r="BEW236" s="15"/>
      <c r="BEX236" s="15"/>
      <c r="BEY236" s="10"/>
      <c r="BEZ236" s="10"/>
      <c r="BFA236" s="19"/>
      <c r="BFB236" s="19"/>
      <c r="BFE236" s="16"/>
      <c r="BFF236" s="15"/>
      <c r="BFG236" s="15"/>
      <c r="BFH236" s="15"/>
      <c r="BFI236" s="16"/>
      <c r="BFJ236" s="16"/>
      <c r="BFK236" s="16"/>
      <c r="BFL236" s="16"/>
      <c r="BFM236" s="16"/>
      <c r="BFN236" s="15"/>
      <c r="BFO236" s="15"/>
      <c r="BFP236" s="10"/>
      <c r="BFQ236" s="10"/>
      <c r="BFR236" s="19"/>
      <c r="BFS236" s="19"/>
      <c r="BFV236" s="16"/>
      <c r="BFW236" s="15"/>
      <c r="BFX236" s="15"/>
      <c r="BFY236" s="15"/>
      <c r="BFZ236" s="16"/>
      <c r="BGA236" s="16"/>
      <c r="BGB236" s="16"/>
      <c r="BGC236" s="16"/>
      <c r="BGD236" s="16"/>
      <c r="BGE236" s="15"/>
      <c r="BGF236" s="15"/>
      <c r="BGG236" s="10"/>
      <c r="BGH236" s="10"/>
      <c r="BGI236" s="19"/>
      <c r="BGJ236" s="19"/>
      <c r="BGM236" s="16"/>
      <c r="BGN236" s="15"/>
      <c r="BGO236" s="15"/>
      <c r="BGP236" s="15"/>
      <c r="BGQ236" s="16"/>
      <c r="BGR236" s="16"/>
      <c r="BGS236" s="16"/>
      <c r="BGT236" s="16"/>
      <c r="BGU236" s="16"/>
      <c r="BGV236" s="15"/>
      <c r="BGW236" s="15"/>
      <c r="BGX236" s="10"/>
      <c r="BGY236" s="10"/>
      <c r="BGZ236" s="19"/>
      <c r="BHA236" s="19"/>
      <c r="BHD236" s="16"/>
      <c r="BHE236" s="15"/>
      <c r="BHF236" s="15"/>
      <c r="BHG236" s="15"/>
      <c r="BHH236" s="16"/>
      <c r="BHI236" s="16"/>
      <c r="BHJ236" s="16"/>
      <c r="BHK236" s="16"/>
      <c r="BHL236" s="16"/>
      <c r="BHM236" s="15"/>
      <c r="BHN236" s="15"/>
      <c r="BHO236" s="10"/>
      <c r="BHP236" s="10"/>
      <c r="BHQ236" s="19"/>
      <c r="BHR236" s="19"/>
      <c r="BHU236" s="16"/>
      <c r="BHV236" s="15"/>
      <c r="BHW236" s="15"/>
      <c r="BHX236" s="15"/>
      <c r="BHY236" s="16"/>
      <c r="BHZ236" s="16"/>
      <c r="BIA236" s="16"/>
      <c r="BIB236" s="16"/>
      <c r="BIC236" s="16"/>
      <c r="BID236" s="15"/>
      <c r="BIE236" s="15"/>
      <c r="BIF236" s="10"/>
      <c r="BIG236" s="10"/>
      <c r="BIH236" s="19"/>
      <c r="BII236" s="19"/>
      <c r="BIL236" s="16"/>
      <c r="BIM236" s="15"/>
      <c r="BIN236" s="15"/>
      <c r="BIO236" s="15"/>
      <c r="BIP236" s="16"/>
      <c r="BIQ236" s="16"/>
      <c r="BIR236" s="16"/>
      <c r="BIS236" s="16"/>
      <c r="BIT236" s="16"/>
      <c r="BIU236" s="15"/>
      <c r="BIV236" s="15"/>
      <c r="BIW236" s="10"/>
      <c r="BIX236" s="10"/>
      <c r="BIY236" s="19"/>
      <c r="BIZ236" s="19"/>
      <c r="BJC236" s="16"/>
      <c r="BJD236" s="15"/>
      <c r="BJE236" s="15"/>
      <c r="BJF236" s="15"/>
      <c r="BJG236" s="16"/>
      <c r="BJH236" s="16"/>
      <c r="BJI236" s="16"/>
      <c r="BJJ236" s="16"/>
      <c r="BJK236" s="16"/>
      <c r="BJL236" s="15"/>
      <c r="BJM236" s="15"/>
      <c r="BJN236" s="10"/>
      <c r="BJO236" s="10"/>
      <c r="BJP236" s="19"/>
      <c r="BJQ236" s="19"/>
      <c r="BJT236" s="16"/>
      <c r="BJU236" s="15"/>
      <c r="BJV236" s="15"/>
      <c r="BJW236" s="15"/>
      <c r="BJX236" s="16"/>
      <c r="BJY236" s="16"/>
      <c r="BJZ236" s="16"/>
      <c r="BKA236" s="16"/>
      <c r="BKB236" s="16"/>
      <c r="BKC236" s="15"/>
      <c r="BKD236" s="15"/>
      <c r="BKE236" s="10"/>
      <c r="BKF236" s="10"/>
      <c r="BKG236" s="19"/>
      <c r="BKH236" s="19"/>
      <c r="BKK236" s="16"/>
      <c r="BKL236" s="15"/>
      <c r="BKM236" s="15"/>
      <c r="BKN236" s="15"/>
      <c r="BKO236" s="16"/>
      <c r="BKP236" s="16"/>
      <c r="BKQ236" s="16"/>
      <c r="BKR236" s="16"/>
      <c r="BKS236" s="16"/>
      <c r="BKT236" s="15"/>
      <c r="BKU236" s="15"/>
      <c r="BKV236" s="10"/>
      <c r="BKW236" s="10"/>
      <c r="BKX236" s="19"/>
      <c r="BKY236" s="19"/>
      <c r="BLB236" s="16"/>
      <c r="BLC236" s="15"/>
      <c r="BLD236" s="15"/>
      <c r="BLE236" s="15"/>
      <c r="BLF236" s="16"/>
      <c r="BLG236" s="16"/>
      <c r="BLH236" s="16"/>
      <c r="BLI236" s="16"/>
      <c r="BLJ236" s="16"/>
      <c r="BLK236" s="15"/>
      <c r="BLL236" s="15"/>
      <c r="BLM236" s="10"/>
      <c r="BLN236" s="10"/>
      <c r="BLO236" s="19"/>
      <c r="BLP236" s="19"/>
      <c r="BLS236" s="16"/>
      <c r="BLT236" s="15"/>
      <c r="BLU236" s="15"/>
      <c r="BLV236" s="15"/>
      <c r="BLW236" s="16"/>
      <c r="BLX236" s="16"/>
      <c r="BLY236" s="16"/>
      <c r="BLZ236" s="16"/>
      <c r="BMA236" s="16"/>
      <c r="BMB236" s="15"/>
      <c r="BMC236" s="15"/>
      <c r="BMD236" s="10"/>
      <c r="BME236" s="10"/>
      <c r="BMF236" s="19"/>
      <c r="BMG236" s="19"/>
      <c r="BMJ236" s="16"/>
      <c r="BMK236" s="15"/>
      <c r="BML236" s="15"/>
      <c r="BMM236" s="15"/>
      <c r="BMN236" s="16"/>
      <c r="BMO236" s="16"/>
      <c r="BMP236" s="16"/>
      <c r="BMQ236" s="16"/>
      <c r="BMR236" s="16"/>
      <c r="BMS236" s="15"/>
      <c r="BMT236" s="15"/>
      <c r="BMU236" s="10"/>
      <c r="BMV236" s="10"/>
      <c r="BMW236" s="19"/>
      <c r="BMX236" s="19"/>
      <c r="BNA236" s="16"/>
      <c r="BNB236" s="15"/>
      <c r="BNC236" s="15"/>
      <c r="BND236" s="15"/>
      <c r="BNE236" s="16"/>
      <c r="BNF236" s="16"/>
      <c r="BNG236" s="16"/>
      <c r="BNH236" s="16"/>
      <c r="BNI236" s="16"/>
      <c r="BNJ236" s="15"/>
      <c r="BNK236" s="15"/>
      <c r="BNL236" s="10"/>
      <c r="BNM236" s="10"/>
      <c r="BNN236" s="19"/>
      <c r="BNO236" s="19"/>
      <c r="BNR236" s="16"/>
      <c r="BNS236" s="15"/>
      <c r="BNT236" s="15"/>
      <c r="BNU236" s="15"/>
      <c r="BNV236" s="16"/>
      <c r="BNW236" s="16"/>
      <c r="BNX236" s="16"/>
      <c r="BNY236" s="16"/>
      <c r="BNZ236" s="16"/>
      <c r="BOA236" s="15"/>
      <c r="BOB236" s="15"/>
      <c r="BOC236" s="10"/>
      <c r="BOD236" s="10"/>
      <c r="BOE236" s="19"/>
      <c r="BOF236" s="19"/>
      <c r="BOI236" s="16"/>
      <c r="BOJ236" s="15"/>
      <c r="BOK236" s="15"/>
      <c r="BOL236" s="15"/>
      <c r="BOM236" s="16"/>
      <c r="BON236" s="16"/>
      <c r="BOO236" s="16"/>
      <c r="BOP236" s="16"/>
      <c r="BOQ236" s="16"/>
      <c r="BOR236" s="15"/>
      <c r="BOS236" s="15"/>
      <c r="BOT236" s="10"/>
      <c r="BOU236" s="10"/>
      <c r="BOV236" s="19"/>
      <c r="BOW236" s="19"/>
      <c r="BOZ236" s="16"/>
      <c r="BPA236" s="15"/>
      <c r="BPB236" s="15"/>
      <c r="BPC236" s="15"/>
      <c r="BPD236" s="16"/>
      <c r="BPE236" s="16"/>
      <c r="BPF236" s="16"/>
      <c r="BPG236" s="16"/>
      <c r="BPH236" s="16"/>
      <c r="BPI236" s="15"/>
      <c r="BPJ236" s="15"/>
      <c r="BPK236" s="10"/>
      <c r="BPL236" s="10"/>
      <c r="BPM236" s="19"/>
      <c r="BPN236" s="19"/>
      <c r="BPQ236" s="16"/>
      <c r="BPR236" s="15"/>
      <c r="BPS236" s="15"/>
      <c r="BPT236" s="15"/>
      <c r="BPU236" s="16"/>
      <c r="BPV236" s="16"/>
      <c r="BPW236" s="16"/>
      <c r="BPX236" s="16"/>
      <c r="BPY236" s="16"/>
      <c r="BPZ236" s="15"/>
      <c r="BQA236" s="15"/>
      <c r="BQB236" s="10"/>
      <c r="BQC236" s="10"/>
      <c r="BQD236" s="19"/>
      <c r="BQE236" s="19"/>
      <c r="BQH236" s="16"/>
      <c r="BQI236" s="15"/>
      <c r="BQJ236" s="15"/>
      <c r="BQK236" s="15"/>
      <c r="BQL236" s="16"/>
      <c r="BQM236" s="16"/>
      <c r="BQN236" s="16"/>
      <c r="BQO236" s="16"/>
      <c r="BQP236" s="16"/>
      <c r="BQQ236" s="15"/>
      <c r="BQR236" s="15"/>
      <c r="BQS236" s="10"/>
      <c r="BQT236" s="10"/>
      <c r="BQU236" s="19"/>
      <c r="BQV236" s="19"/>
      <c r="BQY236" s="16"/>
      <c r="BQZ236" s="15"/>
      <c r="BRA236" s="15"/>
      <c r="BRB236" s="15"/>
      <c r="BRC236" s="16"/>
      <c r="BRD236" s="16"/>
      <c r="BRE236" s="16"/>
      <c r="BRF236" s="16"/>
      <c r="BRG236" s="16"/>
      <c r="BRH236" s="15"/>
      <c r="BRI236" s="15"/>
      <c r="BRJ236" s="10"/>
      <c r="BRK236" s="10"/>
      <c r="BRL236" s="19"/>
      <c r="BRM236" s="19"/>
      <c r="BRP236" s="16"/>
      <c r="BRQ236" s="15"/>
      <c r="BRR236" s="15"/>
      <c r="BRS236" s="15"/>
      <c r="BRT236" s="16"/>
      <c r="BRU236" s="16"/>
      <c r="BRV236" s="16"/>
      <c r="BRW236" s="16"/>
      <c r="BRX236" s="16"/>
      <c r="BRY236" s="15"/>
      <c r="BRZ236" s="15"/>
      <c r="BSA236" s="10"/>
      <c r="BSB236" s="10"/>
      <c r="BSC236" s="19"/>
      <c r="BSD236" s="19"/>
      <c r="BSG236" s="16"/>
      <c r="BSH236" s="15"/>
      <c r="BSI236" s="15"/>
      <c r="BSJ236" s="15"/>
      <c r="BSK236" s="16"/>
      <c r="BSL236" s="16"/>
      <c r="BSM236" s="16"/>
      <c r="BSN236" s="16"/>
      <c r="BSO236" s="16"/>
      <c r="BSP236" s="15"/>
      <c r="BSQ236" s="15"/>
      <c r="BSR236" s="10"/>
      <c r="BSS236" s="10"/>
      <c r="BST236" s="19"/>
      <c r="BSU236" s="19"/>
      <c r="BSX236" s="16"/>
      <c r="BSY236" s="15"/>
      <c r="BSZ236" s="15"/>
      <c r="BTA236" s="15"/>
      <c r="BTB236" s="16"/>
      <c r="BTC236" s="16"/>
      <c r="BTD236" s="16"/>
      <c r="BTE236" s="16"/>
      <c r="BTF236" s="16"/>
      <c r="BTG236" s="15"/>
      <c r="BTH236" s="15"/>
      <c r="BTI236" s="10"/>
      <c r="BTJ236" s="10"/>
      <c r="BTK236" s="19"/>
      <c r="BTL236" s="19"/>
      <c r="BTO236" s="16"/>
      <c r="BTP236" s="15"/>
      <c r="BTQ236" s="15"/>
      <c r="BTR236" s="15"/>
      <c r="BTS236" s="16"/>
      <c r="BTT236" s="16"/>
      <c r="BTU236" s="16"/>
      <c r="BTV236" s="16"/>
      <c r="BTW236" s="16"/>
      <c r="BTX236" s="15"/>
      <c r="BTY236" s="15"/>
      <c r="BTZ236" s="10"/>
      <c r="BUA236" s="10"/>
      <c r="BUB236" s="19"/>
      <c r="BUC236" s="19"/>
      <c r="BUF236" s="16"/>
      <c r="BUG236" s="15"/>
      <c r="BUH236" s="15"/>
      <c r="BUI236" s="15"/>
      <c r="BUJ236" s="16"/>
      <c r="BUK236" s="16"/>
      <c r="BUL236" s="16"/>
      <c r="BUM236" s="16"/>
      <c r="BUN236" s="16"/>
      <c r="BUO236" s="15"/>
      <c r="BUP236" s="15"/>
      <c r="BUQ236" s="10"/>
      <c r="BUR236" s="10"/>
      <c r="BUS236" s="19"/>
      <c r="BUT236" s="19"/>
      <c r="BUW236" s="16"/>
      <c r="BUX236" s="15"/>
      <c r="BUY236" s="15"/>
      <c r="BUZ236" s="15"/>
      <c r="BVA236" s="16"/>
      <c r="BVB236" s="16"/>
      <c r="BVC236" s="16"/>
      <c r="BVD236" s="16"/>
      <c r="BVE236" s="16"/>
      <c r="BVF236" s="15"/>
      <c r="BVG236" s="15"/>
      <c r="BVH236" s="10"/>
      <c r="BVI236" s="10"/>
      <c r="BVJ236" s="19"/>
      <c r="BVK236" s="19"/>
      <c r="BVN236" s="16"/>
      <c r="BVO236" s="15"/>
      <c r="BVP236" s="15"/>
      <c r="BVQ236" s="15"/>
      <c r="BVR236" s="16"/>
      <c r="BVS236" s="16"/>
      <c r="BVT236" s="16"/>
      <c r="BVU236" s="16"/>
      <c r="BVV236" s="16"/>
      <c r="BVW236" s="15"/>
      <c r="BVX236" s="15"/>
      <c r="BVY236" s="10"/>
      <c r="BVZ236" s="10"/>
      <c r="BWA236" s="19"/>
      <c r="BWB236" s="19"/>
      <c r="BWE236" s="16"/>
      <c r="BWF236" s="15"/>
      <c r="BWG236" s="15"/>
      <c r="BWH236" s="15"/>
      <c r="BWI236" s="16"/>
      <c r="BWJ236" s="16"/>
      <c r="BWK236" s="16"/>
      <c r="BWL236" s="16"/>
      <c r="BWM236" s="16"/>
      <c r="BWN236" s="15"/>
      <c r="BWO236" s="15"/>
      <c r="BWP236" s="10"/>
      <c r="BWQ236" s="10"/>
      <c r="BWR236" s="19"/>
      <c r="BWS236" s="19"/>
      <c r="BWV236" s="16"/>
      <c r="BWW236" s="15"/>
      <c r="BWX236" s="15"/>
      <c r="BWY236" s="15"/>
      <c r="BWZ236" s="16"/>
      <c r="BXA236" s="16"/>
      <c r="BXB236" s="16"/>
      <c r="BXC236" s="16"/>
      <c r="BXD236" s="16"/>
      <c r="BXE236" s="15"/>
      <c r="BXF236" s="15"/>
      <c r="BXG236" s="10"/>
      <c r="BXH236" s="10"/>
      <c r="BXI236" s="19"/>
      <c r="BXJ236" s="19"/>
      <c r="BXM236" s="16"/>
      <c r="BXN236" s="15"/>
      <c r="BXO236" s="15"/>
      <c r="BXP236" s="15"/>
      <c r="BXQ236" s="16"/>
      <c r="BXR236" s="16"/>
      <c r="BXS236" s="16"/>
      <c r="BXT236" s="16"/>
      <c r="BXU236" s="16"/>
      <c r="BXV236" s="15"/>
      <c r="BXW236" s="15"/>
      <c r="BXX236" s="10"/>
      <c r="BXY236" s="10"/>
      <c r="BXZ236" s="19"/>
      <c r="BYA236" s="19"/>
      <c r="BYD236" s="16"/>
      <c r="BYE236" s="15"/>
      <c r="BYF236" s="15"/>
      <c r="BYG236" s="15"/>
      <c r="BYH236" s="16"/>
      <c r="BYI236" s="16"/>
      <c r="BYJ236" s="16"/>
      <c r="BYK236" s="16"/>
      <c r="BYL236" s="16"/>
      <c r="BYM236" s="15"/>
      <c r="BYN236" s="15"/>
      <c r="BYO236" s="10"/>
      <c r="BYP236" s="10"/>
      <c r="BYQ236" s="19"/>
      <c r="BYR236" s="19"/>
      <c r="BYU236" s="16"/>
      <c r="BYV236" s="15"/>
      <c r="BYW236" s="15"/>
      <c r="BYX236" s="15"/>
      <c r="BYY236" s="16"/>
      <c r="BYZ236" s="16"/>
      <c r="BZA236" s="16"/>
      <c r="BZB236" s="16"/>
      <c r="BZC236" s="16"/>
      <c r="BZD236" s="15"/>
      <c r="BZE236" s="15"/>
      <c r="BZF236" s="10"/>
      <c r="BZG236" s="10"/>
      <c r="BZH236" s="19"/>
      <c r="BZI236" s="19"/>
      <c r="BZL236" s="16"/>
      <c r="BZM236" s="15"/>
      <c r="BZN236" s="15"/>
      <c r="BZO236" s="15"/>
      <c r="BZP236" s="16"/>
      <c r="BZQ236" s="16"/>
      <c r="BZR236" s="16"/>
      <c r="BZS236" s="16"/>
      <c r="BZT236" s="16"/>
      <c r="BZU236" s="15"/>
      <c r="BZV236" s="15"/>
      <c r="BZW236" s="10"/>
      <c r="BZX236" s="10"/>
      <c r="BZY236" s="19"/>
      <c r="BZZ236" s="19"/>
      <c r="CAC236" s="16"/>
      <c r="CAD236" s="15"/>
      <c r="CAE236" s="15"/>
      <c r="CAF236" s="15"/>
      <c r="CAG236" s="16"/>
      <c r="CAH236" s="16"/>
      <c r="CAI236" s="16"/>
      <c r="CAJ236" s="16"/>
      <c r="CAK236" s="16"/>
      <c r="CAL236" s="15"/>
      <c r="CAM236" s="15"/>
      <c r="CAN236" s="10"/>
      <c r="CAO236" s="10"/>
      <c r="CAP236" s="19"/>
      <c r="CAQ236" s="19"/>
      <c r="CAT236" s="16"/>
      <c r="CAU236" s="15"/>
      <c r="CAV236" s="15"/>
      <c r="CAW236" s="15"/>
      <c r="CAX236" s="16"/>
      <c r="CAY236" s="16"/>
      <c r="CAZ236" s="16"/>
      <c r="CBA236" s="16"/>
      <c r="CBB236" s="16"/>
      <c r="CBC236" s="15"/>
      <c r="CBD236" s="15"/>
      <c r="CBE236" s="10"/>
      <c r="CBF236" s="10"/>
      <c r="CBG236" s="19"/>
      <c r="CBH236" s="19"/>
      <c r="CBK236" s="16"/>
      <c r="CBL236" s="15"/>
      <c r="CBM236" s="15"/>
      <c r="CBN236" s="15"/>
      <c r="CBO236" s="16"/>
      <c r="CBP236" s="16"/>
      <c r="CBQ236" s="16"/>
      <c r="CBR236" s="16"/>
      <c r="CBS236" s="16"/>
      <c r="CBT236" s="15"/>
      <c r="CBU236" s="15"/>
      <c r="CBV236" s="10"/>
      <c r="CBW236" s="10"/>
      <c r="CBX236" s="19"/>
      <c r="CBY236" s="19"/>
      <c r="CCB236" s="16"/>
      <c r="CCC236" s="15"/>
      <c r="CCD236" s="15"/>
      <c r="CCE236" s="15"/>
      <c r="CCF236" s="16"/>
      <c r="CCG236" s="16"/>
      <c r="CCH236" s="16"/>
      <c r="CCI236" s="16"/>
      <c r="CCJ236" s="16"/>
      <c r="CCK236" s="15"/>
      <c r="CCL236" s="15"/>
      <c r="CCM236" s="10"/>
      <c r="CCN236" s="10"/>
      <c r="CCO236" s="19"/>
      <c r="CCP236" s="19"/>
      <c r="CCS236" s="16"/>
      <c r="CCT236" s="15"/>
      <c r="CCU236" s="15"/>
      <c r="CCV236" s="15"/>
      <c r="CCW236" s="16"/>
      <c r="CCX236" s="16"/>
      <c r="CCY236" s="16"/>
      <c r="CCZ236" s="16"/>
      <c r="CDA236" s="16"/>
      <c r="CDB236" s="15"/>
      <c r="CDC236" s="15"/>
      <c r="CDD236" s="10"/>
      <c r="CDE236" s="10"/>
      <c r="CDF236" s="19"/>
      <c r="CDG236" s="19"/>
      <c r="CDJ236" s="16"/>
      <c r="CDK236" s="15"/>
      <c r="CDL236" s="15"/>
      <c r="CDM236" s="15"/>
      <c r="CDN236" s="16"/>
      <c r="CDO236" s="16"/>
      <c r="CDP236" s="16"/>
      <c r="CDQ236" s="16"/>
      <c r="CDR236" s="16"/>
      <c r="CDS236" s="15"/>
      <c r="CDT236" s="15"/>
      <c r="CDU236" s="10"/>
      <c r="CDV236" s="10"/>
      <c r="CDW236" s="19"/>
      <c r="CDX236" s="19"/>
      <c r="CEA236" s="16"/>
      <c r="CEB236" s="15"/>
      <c r="CEC236" s="15"/>
      <c r="CED236" s="15"/>
      <c r="CEE236" s="16"/>
      <c r="CEF236" s="16"/>
      <c r="CEG236" s="16"/>
      <c r="CEH236" s="16"/>
      <c r="CEI236" s="16"/>
      <c r="CEJ236" s="15"/>
      <c r="CEK236" s="15"/>
      <c r="CEL236" s="10"/>
      <c r="CEM236" s="10"/>
      <c r="CEN236" s="19"/>
      <c r="CEO236" s="19"/>
      <c r="CER236" s="16"/>
      <c r="CES236" s="15"/>
      <c r="CET236" s="15"/>
      <c r="CEU236" s="15"/>
      <c r="CEV236" s="16"/>
      <c r="CEW236" s="16"/>
      <c r="CEX236" s="16"/>
      <c r="CEY236" s="16"/>
      <c r="CEZ236" s="16"/>
      <c r="CFA236" s="15"/>
      <c r="CFB236" s="15"/>
      <c r="CFC236" s="10"/>
      <c r="CFD236" s="10"/>
      <c r="CFE236" s="19"/>
      <c r="CFF236" s="19"/>
      <c r="CFI236" s="16"/>
      <c r="CFJ236" s="15"/>
      <c r="CFK236" s="15"/>
      <c r="CFL236" s="15"/>
      <c r="CFM236" s="16"/>
      <c r="CFN236" s="16"/>
      <c r="CFO236" s="16"/>
      <c r="CFP236" s="16"/>
      <c r="CFQ236" s="16"/>
      <c r="CFR236" s="15"/>
      <c r="CFS236" s="15"/>
      <c r="CFT236" s="10"/>
      <c r="CFU236" s="10"/>
      <c r="CFV236" s="19"/>
      <c r="CFW236" s="19"/>
      <c r="CFZ236" s="16"/>
      <c r="CGA236" s="15"/>
      <c r="CGB236" s="15"/>
      <c r="CGC236" s="15"/>
      <c r="CGD236" s="16"/>
      <c r="CGE236" s="16"/>
      <c r="CGF236" s="16"/>
      <c r="CGG236" s="16"/>
      <c r="CGH236" s="16"/>
      <c r="CGI236" s="15"/>
      <c r="CGJ236" s="15"/>
      <c r="CGK236" s="10"/>
      <c r="CGL236" s="10"/>
      <c r="CGM236" s="19"/>
      <c r="CGN236" s="19"/>
      <c r="CGQ236" s="16"/>
      <c r="CGR236" s="15"/>
      <c r="CGS236" s="15"/>
      <c r="CGT236" s="15"/>
      <c r="CGU236" s="16"/>
      <c r="CGV236" s="16"/>
      <c r="CGW236" s="16"/>
      <c r="CGX236" s="16"/>
      <c r="CGY236" s="16"/>
      <c r="CGZ236" s="15"/>
      <c r="CHA236" s="15"/>
      <c r="CHB236" s="10"/>
      <c r="CHC236" s="10"/>
      <c r="CHD236" s="19"/>
      <c r="CHE236" s="19"/>
      <c r="CHH236" s="16"/>
      <c r="CHI236" s="15"/>
      <c r="CHJ236" s="15"/>
      <c r="CHK236" s="15"/>
      <c r="CHL236" s="16"/>
      <c r="CHM236" s="16"/>
      <c r="CHN236" s="16"/>
      <c r="CHO236" s="16"/>
      <c r="CHP236" s="16"/>
      <c r="CHQ236" s="15"/>
      <c r="CHR236" s="15"/>
      <c r="CHS236" s="10"/>
      <c r="CHT236" s="10"/>
      <c r="CHU236" s="19"/>
      <c r="CHV236" s="19"/>
      <c r="CHY236" s="16"/>
      <c r="CHZ236" s="15"/>
      <c r="CIA236" s="15"/>
      <c r="CIB236" s="15"/>
      <c r="CIC236" s="16"/>
      <c r="CID236" s="16"/>
      <c r="CIE236" s="16"/>
      <c r="CIF236" s="16"/>
      <c r="CIG236" s="16"/>
      <c r="CIH236" s="15"/>
      <c r="CII236" s="15"/>
      <c r="CIJ236" s="10"/>
      <c r="CIK236" s="10"/>
      <c r="CIL236" s="19"/>
      <c r="CIM236" s="19"/>
      <c r="CIP236" s="16"/>
      <c r="CIQ236" s="15"/>
      <c r="CIR236" s="15"/>
      <c r="CIS236" s="15"/>
      <c r="CIT236" s="16"/>
      <c r="CIU236" s="16"/>
      <c r="CIV236" s="16"/>
      <c r="CIW236" s="16"/>
      <c r="CIX236" s="16"/>
      <c r="CIY236" s="15"/>
      <c r="CIZ236" s="15"/>
      <c r="CJA236" s="10"/>
      <c r="CJB236" s="10"/>
      <c r="CJC236" s="19"/>
      <c r="CJD236" s="19"/>
      <c r="CJG236" s="16"/>
      <c r="CJH236" s="15"/>
      <c r="CJI236" s="15"/>
      <c r="CJJ236" s="15"/>
      <c r="CJK236" s="16"/>
      <c r="CJL236" s="16"/>
      <c r="CJM236" s="16"/>
      <c r="CJN236" s="16"/>
      <c r="CJO236" s="16"/>
      <c r="CJP236" s="15"/>
      <c r="CJQ236" s="15"/>
      <c r="CJR236" s="10"/>
      <c r="CJS236" s="10"/>
      <c r="CJT236" s="19"/>
      <c r="CJU236" s="19"/>
      <c r="CJX236" s="16"/>
      <c r="CJY236" s="15"/>
      <c r="CJZ236" s="15"/>
      <c r="CKA236" s="15"/>
      <c r="CKB236" s="16"/>
      <c r="CKC236" s="16"/>
      <c r="CKD236" s="16"/>
      <c r="CKE236" s="16"/>
      <c r="CKF236" s="16"/>
      <c r="CKG236" s="15"/>
      <c r="CKH236" s="15"/>
      <c r="CKI236" s="10"/>
      <c r="CKJ236" s="10"/>
      <c r="CKK236" s="19"/>
      <c r="CKL236" s="19"/>
      <c r="CKO236" s="16"/>
      <c r="CKP236" s="15"/>
      <c r="CKQ236" s="15"/>
      <c r="CKR236" s="15"/>
      <c r="CKS236" s="16"/>
      <c r="CKT236" s="16"/>
      <c r="CKU236" s="16"/>
      <c r="CKV236" s="16"/>
      <c r="CKW236" s="16"/>
      <c r="CKX236" s="15"/>
      <c r="CKY236" s="15"/>
      <c r="CKZ236" s="10"/>
      <c r="CLA236" s="10"/>
      <c r="CLB236" s="19"/>
      <c r="CLC236" s="19"/>
      <c r="CLF236" s="16"/>
      <c r="CLG236" s="15"/>
      <c r="CLH236" s="15"/>
      <c r="CLI236" s="15"/>
      <c r="CLJ236" s="16"/>
      <c r="CLK236" s="16"/>
      <c r="CLL236" s="16"/>
      <c r="CLM236" s="16"/>
      <c r="CLN236" s="16"/>
      <c r="CLO236" s="15"/>
      <c r="CLP236" s="15"/>
      <c r="CLQ236" s="10"/>
      <c r="CLR236" s="10"/>
      <c r="CLS236" s="19"/>
      <c r="CLT236" s="19"/>
      <c r="CLW236" s="16"/>
      <c r="CLX236" s="15"/>
      <c r="CLY236" s="15"/>
      <c r="CLZ236" s="15"/>
      <c r="CMA236" s="16"/>
      <c r="CMB236" s="16"/>
      <c r="CMC236" s="16"/>
      <c r="CMD236" s="16"/>
      <c r="CME236" s="16"/>
      <c r="CMF236" s="15"/>
      <c r="CMG236" s="15"/>
      <c r="CMH236" s="10"/>
      <c r="CMI236" s="10"/>
      <c r="CMJ236" s="19"/>
      <c r="CMK236" s="19"/>
      <c r="CMN236" s="16"/>
      <c r="CMO236" s="15"/>
      <c r="CMP236" s="15"/>
      <c r="CMQ236" s="15"/>
      <c r="CMR236" s="16"/>
      <c r="CMS236" s="16"/>
      <c r="CMT236" s="16"/>
      <c r="CMU236" s="16"/>
      <c r="CMV236" s="16"/>
      <c r="CMW236" s="15"/>
      <c r="CMX236" s="15"/>
      <c r="CMY236" s="10"/>
      <c r="CMZ236" s="10"/>
      <c r="CNA236" s="19"/>
      <c r="CNB236" s="19"/>
      <c r="CNE236" s="16"/>
      <c r="CNF236" s="15"/>
      <c r="CNG236" s="15"/>
      <c r="CNH236" s="15"/>
      <c r="CNI236" s="16"/>
      <c r="CNJ236" s="16"/>
      <c r="CNK236" s="16"/>
      <c r="CNL236" s="16"/>
      <c r="CNM236" s="16"/>
      <c r="CNN236" s="15"/>
      <c r="CNO236" s="15"/>
      <c r="CNP236" s="10"/>
      <c r="CNQ236" s="10"/>
      <c r="CNR236" s="19"/>
      <c r="CNS236" s="19"/>
      <c r="CNV236" s="16"/>
      <c r="CNW236" s="15"/>
      <c r="CNX236" s="15"/>
      <c r="CNY236" s="15"/>
      <c r="CNZ236" s="16"/>
      <c r="COA236" s="16"/>
      <c r="COB236" s="16"/>
      <c r="COC236" s="16"/>
      <c r="COD236" s="16"/>
      <c r="COE236" s="15"/>
      <c r="COF236" s="15"/>
      <c r="COG236" s="10"/>
      <c r="COH236" s="10"/>
      <c r="COI236" s="19"/>
      <c r="COJ236" s="19"/>
      <c r="COM236" s="16"/>
      <c r="CON236" s="15"/>
      <c r="COO236" s="15"/>
      <c r="COP236" s="15"/>
      <c r="COQ236" s="16"/>
      <c r="COR236" s="16"/>
      <c r="COS236" s="16"/>
      <c r="COT236" s="16"/>
      <c r="COU236" s="16"/>
      <c r="COV236" s="15"/>
      <c r="COW236" s="15"/>
      <c r="COX236" s="10"/>
      <c r="COY236" s="10"/>
      <c r="COZ236" s="19"/>
      <c r="CPA236" s="19"/>
      <c r="CPD236" s="16"/>
      <c r="CPE236" s="15"/>
      <c r="CPF236" s="15"/>
      <c r="CPG236" s="15"/>
      <c r="CPH236" s="16"/>
      <c r="CPI236" s="16"/>
      <c r="CPJ236" s="16"/>
      <c r="CPK236" s="16"/>
      <c r="CPL236" s="16"/>
      <c r="CPM236" s="15"/>
      <c r="CPN236" s="15"/>
      <c r="CPO236" s="10"/>
      <c r="CPP236" s="10"/>
      <c r="CPQ236" s="19"/>
      <c r="CPR236" s="19"/>
      <c r="CPU236" s="16"/>
      <c r="CPV236" s="15"/>
      <c r="CPW236" s="15"/>
      <c r="CPX236" s="15"/>
      <c r="CPY236" s="16"/>
      <c r="CPZ236" s="16"/>
      <c r="CQA236" s="16"/>
      <c r="CQB236" s="16"/>
      <c r="CQC236" s="16"/>
      <c r="CQD236" s="15"/>
      <c r="CQE236" s="15"/>
      <c r="CQF236" s="10"/>
      <c r="CQG236" s="10"/>
      <c r="CQH236" s="19"/>
      <c r="CQI236" s="19"/>
      <c r="CQL236" s="16"/>
      <c r="CQM236" s="15"/>
      <c r="CQN236" s="15"/>
      <c r="CQO236" s="15"/>
      <c r="CQP236" s="16"/>
      <c r="CQQ236" s="16"/>
      <c r="CQR236" s="16"/>
      <c r="CQS236" s="16"/>
      <c r="CQT236" s="16"/>
      <c r="CQU236" s="15"/>
      <c r="CQV236" s="15"/>
      <c r="CQW236" s="10"/>
      <c r="CQX236" s="10"/>
      <c r="CQY236" s="19"/>
      <c r="CQZ236" s="19"/>
      <c r="CRC236" s="16"/>
      <c r="CRD236" s="15"/>
      <c r="CRE236" s="15"/>
      <c r="CRF236" s="15"/>
      <c r="CRG236" s="16"/>
      <c r="CRH236" s="16"/>
      <c r="CRI236" s="16"/>
      <c r="CRJ236" s="16"/>
      <c r="CRK236" s="16"/>
      <c r="CRL236" s="15"/>
      <c r="CRM236" s="15"/>
      <c r="CRN236" s="10"/>
      <c r="CRO236" s="10"/>
      <c r="CRP236" s="19"/>
      <c r="CRQ236" s="19"/>
      <c r="CRT236" s="16"/>
      <c r="CRU236" s="15"/>
      <c r="CRV236" s="15"/>
      <c r="CRW236" s="15"/>
      <c r="CRX236" s="16"/>
      <c r="CRY236" s="16"/>
      <c r="CRZ236" s="16"/>
      <c r="CSA236" s="16"/>
      <c r="CSB236" s="16"/>
      <c r="CSC236" s="15"/>
      <c r="CSD236" s="15"/>
      <c r="CSE236" s="10"/>
      <c r="CSF236" s="10"/>
      <c r="CSG236" s="19"/>
      <c r="CSH236" s="19"/>
      <c r="CSK236" s="16"/>
      <c r="CSL236" s="15"/>
      <c r="CSM236" s="15"/>
      <c r="CSN236" s="15"/>
      <c r="CSO236" s="16"/>
      <c r="CSP236" s="16"/>
      <c r="CSQ236" s="16"/>
      <c r="CSR236" s="16"/>
      <c r="CSS236" s="16"/>
      <c r="CST236" s="15"/>
      <c r="CSU236" s="15"/>
      <c r="CSV236" s="10"/>
      <c r="CSW236" s="10"/>
      <c r="CSX236" s="19"/>
      <c r="CSY236" s="19"/>
      <c r="CTB236" s="16"/>
      <c r="CTC236" s="15"/>
      <c r="CTD236" s="15"/>
      <c r="CTE236" s="15"/>
      <c r="CTF236" s="16"/>
      <c r="CTG236" s="16"/>
      <c r="CTH236" s="16"/>
      <c r="CTI236" s="16"/>
      <c r="CTJ236" s="16"/>
      <c r="CTK236" s="15"/>
      <c r="CTL236" s="15"/>
      <c r="CTM236" s="10"/>
      <c r="CTN236" s="10"/>
      <c r="CTO236" s="19"/>
      <c r="CTP236" s="19"/>
      <c r="CTS236" s="16"/>
      <c r="CTT236" s="15"/>
      <c r="CTU236" s="15"/>
      <c r="CTV236" s="15"/>
      <c r="CTW236" s="16"/>
      <c r="CTX236" s="16"/>
      <c r="CTY236" s="16"/>
      <c r="CTZ236" s="16"/>
      <c r="CUA236" s="16"/>
      <c r="CUB236" s="15"/>
      <c r="CUC236" s="15"/>
      <c r="CUD236" s="10"/>
      <c r="CUE236" s="10"/>
      <c r="CUF236" s="19"/>
      <c r="CUG236" s="19"/>
      <c r="CUJ236" s="16"/>
      <c r="CUK236" s="15"/>
      <c r="CUL236" s="15"/>
      <c r="CUM236" s="15"/>
      <c r="CUN236" s="16"/>
      <c r="CUO236" s="16"/>
      <c r="CUP236" s="16"/>
      <c r="CUQ236" s="16"/>
      <c r="CUR236" s="16"/>
      <c r="CUS236" s="15"/>
      <c r="CUT236" s="15"/>
      <c r="CUU236" s="10"/>
      <c r="CUV236" s="10"/>
      <c r="CUW236" s="19"/>
      <c r="CUX236" s="19"/>
      <c r="CVA236" s="16"/>
      <c r="CVB236" s="15"/>
      <c r="CVC236" s="15"/>
      <c r="CVD236" s="15"/>
      <c r="CVE236" s="16"/>
      <c r="CVF236" s="16"/>
      <c r="CVG236" s="16"/>
      <c r="CVH236" s="16"/>
      <c r="CVI236" s="16"/>
      <c r="CVJ236" s="15"/>
      <c r="CVK236" s="15"/>
      <c r="CVL236" s="10"/>
      <c r="CVM236" s="10"/>
      <c r="CVN236" s="19"/>
      <c r="CVO236" s="19"/>
      <c r="CVR236" s="16"/>
      <c r="CVS236" s="15"/>
      <c r="CVT236" s="15"/>
      <c r="CVU236" s="15"/>
      <c r="CVV236" s="16"/>
      <c r="CVW236" s="16"/>
      <c r="CVX236" s="16"/>
      <c r="CVY236" s="16"/>
      <c r="CVZ236" s="16"/>
      <c r="CWA236" s="15"/>
      <c r="CWB236" s="15"/>
      <c r="CWC236" s="10"/>
      <c r="CWD236" s="10"/>
      <c r="CWE236" s="19"/>
      <c r="CWF236" s="19"/>
      <c r="CWI236" s="16"/>
      <c r="CWJ236" s="15"/>
      <c r="CWK236" s="15"/>
      <c r="CWL236" s="15"/>
      <c r="CWM236" s="16"/>
      <c r="CWN236" s="16"/>
      <c r="CWO236" s="16"/>
      <c r="CWP236" s="16"/>
      <c r="CWQ236" s="16"/>
      <c r="CWR236" s="15"/>
      <c r="CWS236" s="15"/>
      <c r="CWT236" s="10"/>
      <c r="CWU236" s="10"/>
      <c r="CWV236" s="19"/>
      <c r="CWW236" s="19"/>
      <c r="CWZ236" s="16"/>
      <c r="CXA236" s="15"/>
      <c r="CXB236" s="15"/>
      <c r="CXC236" s="15"/>
      <c r="CXD236" s="16"/>
      <c r="CXE236" s="16"/>
      <c r="CXF236" s="16"/>
      <c r="CXG236" s="16"/>
      <c r="CXH236" s="16"/>
      <c r="CXI236" s="15"/>
      <c r="CXJ236" s="15"/>
      <c r="CXK236" s="10"/>
      <c r="CXL236" s="10"/>
      <c r="CXM236" s="19"/>
      <c r="CXN236" s="19"/>
      <c r="CXQ236" s="16"/>
      <c r="CXR236" s="15"/>
      <c r="CXS236" s="15"/>
      <c r="CXT236" s="15"/>
      <c r="CXU236" s="16"/>
      <c r="CXV236" s="16"/>
      <c r="CXW236" s="16"/>
      <c r="CXX236" s="16"/>
      <c r="CXY236" s="16"/>
      <c r="CXZ236" s="15"/>
      <c r="CYA236" s="15"/>
      <c r="CYB236" s="10"/>
      <c r="CYC236" s="10"/>
      <c r="CYD236" s="19"/>
      <c r="CYE236" s="19"/>
      <c r="CYH236" s="16"/>
      <c r="CYI236" s="15"/>
      <c r="CYJ236" s="15"/>
      <c r="CYK236" s="15"/>
      <c r="CYL236" s="16"/>
      <c r="CYM236" s="16"/>
      <c r="CYN236" s="16"/>
      <c r="CYO236" s="16"/>
      <c r="CYP236" s="16"/>
      <c r="CYQ236" s="15"/>
      <c r="CYR236" s="15"/>
      <c r="CYS236" s="10"/>
      <c r="CYT236" s="10"/>
      <c r="CYU236" s="19"/>
      <c r="CYV236" s="19"/>
      <c r="CYY236" s="16"/>
      <c r="CYZ236" s="15"/>
      <c r="CZA236" s="15"/>
      <c r="CZB236" s="15"/>
      <c r="CZC236" s="16"/>
      <c r="CZD236" s="16"/>
      <c r="CZE236" s="16"/>
      <c r="CZF236" s="16"/>
      <c r="CZG236" s="16"/>
      <c r="CZH236" s="15"/>
      <c r="CZI236" s="15"/>
      <c r="CZJ236" s="10"/>
      <c r="CZK236" s="10"/>
      <c r="CZL236" s="19"/>
      <c r="CZM236" s="19"/>
      <c r="CZP236" s="16"/>
      <c r="CZQ236" s="15"/>
      <c r="CZR236" s="15"/>
      <c r="CZS236" s="15"/>
      <c r="CZT236" s="16"/>
      <c r="CZU236" s="16"/>
      <c r="CZV236" s="16"/>
      <c r="CZW236" s="16"/>
      <c r="CZX236" s="16"/>
      <c r="CZY236" s="15"/>
      <c r="CZZ236" s="15"/>
      <c r="DAA236" s="10"/>
      <c r="DAB236" s="10"/>
      <c r="DAC236" s="19"/>
      <c r="DAD236" s="19"/>
      <c r="DAG236" s="16"/>
      <c r="DAH236" s="15"/>
      <c r="DAI236" s="15"/>
      <c r="DAJ236" s="15"/>
      <c r="DAK236" s="16"/>
      <c r="DAL236" s="16"/>
      <c r="DAM236" s="16"/>
      <c r="DAN236" s="16"/>
      <c r="DAO236" s="16"/>
      <c r="DAP236" s="15"/>
      <c r="DAQ236" s="15"/>
      <c r="DAR236" s="10"/>
      <c r="DAS236" s="10"/>
      <c r="DAT236" s="19"/>
      <c r="DAU236" s="19"/>
      <c r="DAX236" s="16"/>
      <c r="DAY236" s="15"/>
      <c r="DAZ236" s="15"/>
      <c r="DBA236" s="15"/>
      <c r="DBB236" s="16"/>
      <c r="DBC236" s="16"/>
      <c r="DBD236" s="16"/>
      <c r="DBE236" s="16"/>
      <c r="DBF236" s="16"/>
      <c r="DBG236" s="15"/>
      <c r="DBH236" s="15"/>
      <c r="DBI236" s="10"/>
      <c r="DBJ236" s="10"/>
      <c r="DBK236" s="19"/>
      <c r="DBL236" s="19"/>
      <c r="DBO236" s="16"/>
      <c r="DBP236" s="15"/>
      <c r="DBQ236" s="15"/>
      <c r="DBR236" s="15"/>
      <c r="DBS236" s="16"/>
      <c r="DBT236" s="16"/>
      <c r="DBU236" s="16"/>
      <c r="DBV236" s="16"/>
      <c r="DBW236" s="16"/>
      <c r="DBX236" s="15"/>
      <c r="DBY236" s="15"/>
      <c r="DBZ236" s="10"/>
      <c r="DCA236" s="10"/>
      <c r="DCB236" s="19"/>
      <c r="DCC236" s="19"/>
      <c r="DCF236" s="16"/>
      <c r="DCG236" s="15"/>
      <c r="DCH236" s="15"/>
      <c r="DCI236" s="15"/>
      <c r="DCJ236" s="16"/>
      <c r="DCK236" s="16"/>
      <c r="DCL236" s="16"/>
      <c r="DCM236" s="16"/>
      <c r="DCN236" s="16"/>
      <c r="DCO236" s="15"/>
      <c r="DCP236" s="15"/>
      <c r="DCQ236" s="10"/>
      <c r="DCR236" s="10"/>
      <c r="DCS236" s="19"/>
      <c r="DCT236" s="19"/>
      <c r="DCW236" s="16"/>
      <c r="DCX236" s="15"/>
      <c r="DCY236" s="15"/>
      <c r="DCZ236" s="15"/>
      <c r="DDA236" s="16"/>
      <c r="DDB236" s="16"/>
      <c r="DDC236" s="16"/>
      <c r="DDD236" s="16"/>
      <c r="DDE236" s="16"/>
      <c r="DDF236" s="15"/>
      <c r="DDG236" s="15"/>
      <c r="DDH236" s="10"/>
      <c r="DDI236" s="10"/>
      <c r="DDJ236" s="19"/>
      <c r="DDK236" s="19"/>
      <c r="DDN236" s="16"/>
      <c r="DDO236" s="15"/>
      <c r="DDP236" s="15"/>
      <c r="DDQ236" s="15"/>
      <c r="DDR236" s="16"/>
      <c r="DDS236" s="16"/>
      <c r="DDT236" s="16"/>
      <c r="DDU236" s="16"/>
      <c r="DDV236" s="16"/>
      <c r="DDW236" s="15"/>
      <c r="DDX236" s="15"/>
      <c r="DDY236" s="10"/>
      <c r="DDZ236" s="10"/>
      <c r="DEA236" s="19"/>
      <c r="DEB236" s="19"/>
      <c r="DEE236" s="16"/>
      <c r="DEF236" s="15"/>
      <c r="DEG236" s="15"/>
      <c r="DEH236" s="15"/>
      <c r="DEI236" s="16"/>
      <c r="DEJ236" s="16"/>
      <c r="DEK236" s="16"/>
      <c r="DEL236" s="16"/>
      <c r="DEM236" s="16"/>
      <c r="DEN236" s="15"/>
      <c r="DEO236" s="15"/>
      <c r="DEP236" s="10"/>
      <c r="DEQ236" s="10"/>
      <c r="DER236" s="19"/>
      <c r="DES236" s="19"/>
      <c r="DEV236" s="16"/>
      <c r="DEW236" s="15"/>
      <c r="DEX236" s="15"/>
      <c r="DEY236" s="15"/>
      <c r="DEZ236" s="16"/>
      <c r="DFA236" s="16"/>
      <c r="DFB236" s="16"/>
      <c r="DFC236" s="16"/>
      <c r="DFD236" s="16"/>
      <c r="DFE236" s="15"/>
      <c r="DFF236" s="15"/>
      <c r="DFG236" s="10"/>
      <c r="DFH236" s="10"/>
      <c r="DFI236" s="19"/>
      <c r="DFJ236" s="19"/>
      <c r="DFM236" s="16"/>
      <c r="DFN236" s="15"/>
      <c r="DFO236" s="15"/>
      <c r="DFP236" s="15"/>
      <c r="DFQ236" s="16"/>
      <c r="DFR236" s="16"/>
      <c r="DFS236" s="16"/>
      <c r="DFT236" s="16"/>
      <c r="DFU236" s="16"/>
      <c r="DFV236" s="15"/>
      <c r="DFW236" s="15"/>
      <c r="DFX236" s="10"/>
      <c r="DFY236" s="10"/>
      <c r="DFZ236" s="19"/>
      <c r="DGA236" s="19"/>
      <c r="DGD236" s="16"/>
      <c r="DGE236" s="15"/>
      <c r="DGF236" s="15"/>
      <c r="DGG236" s="15"/>
      <c r="DGH236" s="16"/>
      <c r="DGI236" s="16"/>
      <c r="DGJ236" s="16"/>
      <c r="DGK236" s="16"/>
      <c r="DGL236" s="16"/>
      <c r="DGM236" s="15"/>
      <c r="DGN236" s="15"/>
      <c r="DGO236" s="10"/>
      <c r="DGP236" s="10"/>
      <c r="DGQ236" s="19"/>
      <c r="DGR236" s="19"/>
      <c r="DGU236" s="16"/>
      <c r="DGV236" s="15"/>
      <c r="DGW236" s="15"/>
      <c r="DGX236" s="15"/>
      <c r="DGY236" s="16"/>
      <c r="DGZ236" s="16"/>
      <c r="DHA236" s="16"/>
      <c r="DHB236" s="16"/>
      <c r="DHC236" s="16"/>
      <c r="DHD236" s="15"/>
      <c r="DHE236" s="15"/>
      <c r="DHF236" s="10"/>
      <c r="DHG236" s="10"/>
      <c r="DHH236" s="19"/>
      <c r="DHI236" s="19"/>
      <c r="DHL236" s="16"/>
      <c r="DHM236" s="15"/>
      <c r="DHN236" s="15"/>
      <c r="DHO236" s="15"/>
      <c r="DHP236" s="16"/>
      <c r="DHQ236" s="16"/>
      <c r="DHR236" s="16"/>
      <c r="DHS236" s="16"/>
      <c r="DHT236" s="16"/>
      <c r="DHU236" s="15"/>
      <c r="DHV236" s="15"/>
      <c r="DHW236" s="10"/>
      <c r="DHX236" s="10"/>
      <c r="DHY236" s="19"/>
      <c r="DHZ236" s="19"/>
      <c r="DIC236" s="16"/>
      <c r="DID236" s="15"/>
      <c r="DIE236" s="15"/>
      <c r="DIF236" s="15"/>
      <c r="DIG236" s="16"/>
      <c r="DIH236" s="16"/>
      <c r="DII236" s="16"/>
      <c r="DIJ236" s="16"/>
      <c r="DIK236" s="16"/>
      <c r="DIL236" s="15"/>
      <c r="DIM236" s="15"/>
      <c r="DIN236" s="10"/>
      <c r="DIO236" s="10"/>
      <c r="DIP236" s="19"/>
      <c r="DIQ236" s="19"/>
      <c r="DIT236" s="16"/>
      <c r="DIU236" s="15"/>
      <c r="DIV236" s="15"/>
      <c r="DIW236" s="15"/>
      <c r="DIX236" s="16"/>
      <c r="DIY236" s="16"/>
      <c r="DIZ236" s="16"/>
      <c r="DJA236" s="16"/>
      <c r="DJB236" s="16"/>
      <c r="DJC236" s="15"/>
      <c r="DJD236" s="15"/>
      <c r="DJE236" s="10"/>
      <c r="DJF236" s="10"/>
      <c r="DJG236" s="19"/>
      <c r="DJH236" s="19"/>
      <c r="DJK236" s="16"/>
      <c r="DJL236" s="15"/>
      <c r="DJM236" s="15"/>
      <c r="DJN236" s="15"/>
      <c r="DJO236" s="16"/>
      <c r="DJP236" s="16"/>
      <c r="DJQ236" s="16"/>
      <c r="DJR236" s="16"/>
      <c r="DJS236" s="16"/>
      <c r="DJT236" s="15"/>
      <c r="DJU236" s="15"/>
      <c r="DJV236" s="10"/>
      <c r="DJW236" s="10"/>
      <c r="DJX236" s="19"/>
      <c r="DJY236" s="19"/>
      <c r="DKB236" s="16"/>
      <c r="DKC236" s="15"/>
      <c r="DKD236" s="15"/>
      <c r="DKE236" s="15"/>
      <c r="DKF236" s="16"/>
      <c r="DKG236" s="16"/>
      <c r="DKH236" s="16"/>
      <c r="DKI236" s="16"/>
      <c r="DKJ236" s="16"/>
      <c r="DKK236" s="15"/>
      <c r="DKL236" s="15"/>
      <c r="DKM236" s="10"/>
      <c r="DKN236" s="10"/>
      <c r="DKO236" s="19"/>
      <c r="DKP236" s="19"/>
      <c r="DKS236" s="16"/>
      <c r="DKT236" s="15"/>
      <c r="DKU236" s="15"/>
      <c r="DKV236" s="15"/>
      <c r="DKW236" s="16"/>
      <c r="DKX236" s="16"/>
      <c r="DKY236" s="16"/>
      <c r="DKZ236" s="16"/>
      <c r="DLA236" s="16"/>
      <c r="DLB236" s="15"/>
      <c r="DLC236" s="15"/>
      <c r="DLD236" s="10"/>
      <c r="DLE236" s="10"/>
      <c r="DLF236" s="19"/>
      <c r="DLG236" s="19"/>
      <c r="DLJ236" s="16"/>
      <c r="DLK236" s="15"/>
      <c r="DLL236" s="15"/>
      <c r="DLM236" s="15"/>
      <c r="DLN236" s="16"/>
      <c r="DLO236" s="16"/>
      <c r="DLP236" s="16"/>
      <c r="DLQ236" s="16"/>
      <c r="DLR236" s="16"/>
      <c r="DLS236" s="15"/>
      <c r="DLT236" s="15"/>
      <c r="DLU236" s="10"/>
      <c r="DLV236" s="10"/>
      <c r="DLW236" s="19"/>
      <c r="DLX236" s="19"/>
      <c r="DMA236" s="16"/>
      <c r="DMB236" s="15"/>
      <c r="DMC236" s="15"/>
      <c r="DMD236" s="15"/>
      <c r="DME236" s="16"/>
      <c r="DMF236" s="16"/>
      <c r="DMG236" s="16"/>
      <c r="DMH236" s="16"/>
      <c r="DMI236" s="16"/>
      <c r="DMJ236" s="15"/>
      <c r="DMK236" s="15"/>
      <c r="DML236" s="10"/>
      <c r="DMM236" s="10"/>
      <c r="DMN236" s="19"/>
      <c r="DMO236" s="19"/>
      <c r="DMR236" s="16"/>
      <c r="DMS236" s="15"/>
      <c r="DMT236" s="15"/>
      <c r="DMU236" s="15"/>
      <c r="DMV236" s="16"/>
      <c r="DMW236" s="16"/>
      <c r="DMX236" s="16"/>
      <c r="DMY236" s="16"/>
      <c r="DMZ236" s="16"/>
      <c r="DNA236" s="15"/>
      <c r="DNB236" s="15"/>
      <c r="DNC236" s="10"/>
      <c r="DND236" s="10"/>
      <c r="DNE236" s="19"/>
      <c r="DNF236" s="19"/>
      <c r="DNI236" s="16"/>
      <c r="DNJ236" s="15"/>
      <c r="DNK236" s="15"/>
      <c r="DNL236" s="15"/>
      <c r="DNM236" s="16"/>
      <c r="DNN236" s="16"/>
      <c r="DNO236" s="16"/>
      <c r="DNP236" s="16"/>
      <c r="DNQ236" s="16"/>
      <c r="DNR236" s="15"/>
      <c r="DNS236" s="15"/>
      <c r="DNT236" s="10"/>
      <c r="DNU236" s="10"/>
      <c r="DNV236" s="19"/>
      <c r="DNW236" s="19"/>
      <c r="DNZ236" s="16"/>
      <c r="DOA236" s="15"/>
      <c r="DOB236" s="15"/>
      <c r="DOC236" s="15"/>
      <c r="DOD236" s="16"/>
      <c r="DOE236" s="16"/>
      <c r="DOF236" s="16"/>
      <c r="DOG236" s="16"/>
      <c r="DOH236" s="16"/>
      <c r="DOI236" s="15"/>
      <c r="DOJ236" s="15"/>
      <c r="DOK236" s="10"/>
      <c r="DOL236" s="10"/>
      <c r="DOM236" s="19"/>
      <c r="DON236" s="19"/>
      <c r="DOQ236" s="16"/>
      <c r="DOR236" s="15"/>
      <c r="DOS236" s="15"/>
      <c r="DOT236" s="15"/>
      <c r="DOU236" s="16"/>
      <c r="DOV236" s="16"/>
      <c r="DOW236" s="16"/>
      <c r="DOX236" s="16"/>
      <c r="DOY236" s="16"/>
      <c r="DOZ236" s="15"/>
      <c r="DPA236" s="15"/>
      <c r="DPB236" s="10"/>
      <c r="DPC236" s="10"/>
      <c r="DPD236" s="19"/>
      <c r="DPE236" s="19"/>
      <c r="DPH236" s="16"/>
      <c r="DPI236" s="15"/>
      <c r="DPJ236" s="15"/>
      <c r="DPK236" s="15"/>
      <c r="DPL236" s="16"/>
      <c r="DPM236" s="16"/>
      <c r="DPN236" s="16"/>
      <c r="DPO236" s="16"/>
      <c r="DPP236" s="16"/>
      <c r="DPQ236" s="15"/>
      <c r="DPR236" s="15"/>
      <c r="DPS236" s="10"/>
      <c r="DPT236" s="10"/>
      <c r="DPU236" s="19"/>
      <c r="DPV236" s="19"/>
      <c r="DPY236" s="16"/>
      <c r="DPZ236" s="15"/>
      <c r="DQA236" s="15"/>
      <c r="DQB236" s="15"/>
      <c r="DQC236" s="16"/>
      <c r="DQD236" s="16"/>
      <c r="DQE236" s="16"/>
      <c r="DQF236" s="16"/>
      <c r="DQG236" s="16"/>
      <c r="DQH236" s="15"/>
      <c r="DQI236" s="15"/>
      <c r="DQJ236" s="10"/>
      <c r="DQK236" s="10"/>
      <c r="DQL236" s="19"/>
      <c r="DQM236" s="19"/>
      <c r="DQP236" s="16"/>
      <c r="DQQ236" s="15"/>
      <c r="DQR236" s="15"/>
      <c r="DQS236" s="15"/>
      <c r="DQT236" s="16"/>
      <c r="DQU236" s="16"/>
      <c r="DQV236" s="16"/>
      <c r="DQW236" s="16"/>
      <c r="DQX236" s="16"/>
      <c r="DQY236" s="15"/>
      <c r="DQZ236" s="15"/>
      <c r="DRA236" s="10"/>
      <c r="DRB236" s="10"/>
      <c r="DRC236" s="19"/>
      <c r="DRD236" s="19"/>
      <c r="DRG236" s="16"/>
      <c r="DRH236" s="15"/>
      <c r="DRI236" s="15"/>
      <c r="DRJ236" s="15"/>
      <c r="DRK236" s="16"/>
      <c r="DRL236" s="16"/>
      <c r="DRM236" s="16"/>
      <c r="DRN236" s="16"/>
      <c r="DRO236" s="16"/>
      <c r="DRP236" s="15"/>
      <c r="DRQ236" s="15"/>
      <c r="DRR236" s="10"/>
      <c r="DRS236" s="10"/>
      <c r="DRT236" s="19"/>
      <c r="DRU236" s="19"/>
      <c r="DRX236" s="16"/>
      <c r="DRY236" s="15"/>
      <c r="DRZ236" s="15"/>
      <c r="DSA236" s="15"/>
      <c r="DSB236" s="16"/>
      <c r="DSC236" s="16"/>
      <c r="DSD236" s="16"/>
      <c r="DSE236" s="16"/>
      <c r="DSF236" s="16"/>
      <c r="DSG236" s="15"/>
      <c r="DSH236" s="15"/>
      <c r="DSI236" s="10"/>
      <c r="DSJ236" s="10"/>
      <c r="DSK236" s="19"/>
      <c r="DSL236" s="19"/>
      <c r="DSO236" s="16"/>
      <c r="DSP236" s="15"/>
      <c r="DSQ236" s="15"/>
      <c r="DSR236" s="15"/>
      <c r="DSS236" s="16"/>
      <c r="DST236" s="16"/>
      <c r="DSU236" s="16"/>
      <c r="DSV236" s="16"/>
      <c r="DSW236" s="16"/>
      <c r="DSX236" s="15"/>
      <c r="DSY236" s="15"/>
      <c r="DSZ236" s="10"/>
      <c r="DTA236" s="10"/>
      <c r="DTB236" s="19"/>
      <c r="DTC236" s="19"/>
      <c r="DTF236" s="16"/>
      <c r="DTG236" s="15"/>
      <c r="DTH236" s="15"/>
      <c r="DTI236" s="15"/>
      <c r="DTJ236" s="16"/>
      <c r="DTK236" s="16"/>
      <c r="DTL236" s="16"/>
      <c r="DTM236" s="16"/>
      <c r="DTN236" s="16"/>
      <c r="DTO236" s="15"/>
      <c r="DTP236" s="15"/>
      <c r="DTQ236" s="10"/>
      <c r="DTR236" s="10"/>
      <c r="DTS236" s="19"/>
      <c r="DTT236" s="19"/>
      <c r="DTW236" s="16"/>
      <c r="DTX236" s="15"/>
      <c r="DTY236" s="15"/>
      <c r="DTZ236" s="15"/>
      <c r="DUA236" s="16"/>
      <c r="DUB236" s="16"/>
      <c r="DUC236" s="16"/>
      <c r="DUD236" s="16"/>
      <c r="DUE236" s="16"/>
      <c r="DUF236" s="15"/>
      <c r="DUG236" s="15"/>
      <c r="DUH236" s="10"/>
      <c r="DUI236" s="10"/>
      <c r="DUJ236" s="19"/>
      <c r="DUK236" s="19"/>
      <c r="DUN236" s="16"/>
      <c r="DUO236" s="15"/>
      <c r="DUP236" s="15"/>
      <c r="DUQ236" s="15"/>
      <c r="DUR236" s="16"/>
      <c r="DUS236" s="16"/>
      <c r="DUT236" s="16"/>
      <c r="DUU236" s="16"/>
      <c r="DUV236" s="16"/>
      <c r="DUW236" s="15"/>
      <c r="DUX236" s="15"/>
      <c r="DUY236" s="10"/>
      <c r="DUZ236" s="10"/>
      <c r="DVA236" s="19"/>
      <c r="DVB236" s="19"/>
      <c r="DVE236" s="16"/>
      <c r="DVF236" s="15"/>
      <c r="DVG236" s="15"/>
      <c r="DVH236" s="15"/>
      <c r="DVI236" s="16"/>
      <c r="DVJ236" s="16"/>
      <c r="DVK236" s="16"/>
      <c r="DVL236" s="16"/>
      <c r="DVM236" s="16"/>
      <c r="DVN236" s="15"/>
      <c r="DVO236" s="15"/>
      <c r="DVP236" s="10"/>
      <c r="DVQ236" s="10"/>
      <c r="DVR236" s="19"/>
      <c r="DVS236" s="19"/>
      <c r="DVV236" s="16"/>
      <c r="DVW236" s="15"/>
      <c r="DVX236" s="15"/>
      <c r="DVY236" s="15"/>
      <c r="DVZ236" s="16"/>
      <c r="DWA236" s="16"/>
      <c r="DWB236" s="16"/>
      <c r="DWC236" s="16"/>
      <c r="DWD236" s="16"/>
      <c r="DWE236" s="15"/>
      <c r="DWF236" s="15"/>
      <c r="DWG236" s="10"/>
      <c r="DWH236" s="10"/>
      <c r="DWI236" s="19"/>
      <c r="DWJ236" s="19"/>
      <c r="DWM236" s="16"/>
      <c r="DWN236" s="15"/>
      <c r="DWO236" s="15"/>
      <c r="DWP236" s="15"/>
      <c r="DWQ236" s="16"/>
      <c r="DWR236" s="16"/>
      <c r="DWS236" s="16"/>
      <c r="DWT236" s="16"/>
      <c r="DWU236" s="16"/>
      <c r="DWV236" s="15"/>
      <c r="DWW236" s="15"/>
      <c r="DWX236" s="10"/>
      <c r="DWY236" s="10"/>
      <c r="DWZ236" s="19"/>
      <c r="DXA236" s="19"/>
      <c r="DXD236" s="16"/>
      <c r="DXE236" s="15"/>
      <c r="DXF236" s="15"/>
      <c r="DXG236" s="15"/>
      <c r="DXH236" s="16"/>
      <c r="DXI236" s="16"/>
      <c r="DXJ236" s="16"/>
      <c r="DXK236" s="16"/>
      <c r="DXL236" s="16"/>
      <c r="DXM236" s="15"/>
      <c r="DXN236" s="15"/>
      <c r="DXO236" s="10"/>
      <c r="DXP236" s="10"/>
      <c r="DXQ236" s="19"/>
      <c r="DXR236" s="19"/>
      <c r="DXU236" s="16"/>
      <c r="DXV236" s="15"/>
      <c r="DXW236" s="15"/>
      <c r="DXX236" s="15"/>
      <c r="DXY236" s="16"/>
      <c r="DXZ236" s="16"/>
      <c r="DYA236" s="16"/>
      <c r="DYB236" s="16"/>
      <c r="DYC236" s="16"/>
      <c r="DYD236" s="15"/>
      <c r="DYE236" s="15"/>
      <c r="DYF236" s="10"/>
      <c r="DYG236" s="10"/>
      <c r="DYH236" s="19"/>
      <c r="DYI236" s="19"/>
      <c r="DYL236" s="16"/>
      <c r="DYM236" s="15"/>
      <c r="DYN236" s="15"/>
      <c r="DYO236" s="15"/>
      <c r="DYP236" s="16"/>
      <c r="DYQ236" s="16"/>
      <c r="DYR236" s="16"/>
      <c r="DYS236" s="16"/>
      <c r="DYT236" s="16"/>
      <c r="DYU236" s="15"/>
      <c r="DYV236" s="15"/>
      <c r="DYW236" s="10"/>
      <c r="DYX236" s="10"/>
      <c r="DYY236" s="19"/>
      <c r="DYZ236" s="19"/>
      <c r="DZC236" s="16"/>
      <c r="DZD236" s="15"/>
      <c r="DZE236" s="15"/>
      <c r="DZF236" s="15"/>
      <c r="DZG236" s="16"/>
      <c r="DZH236" s="16"/>
      <c r="DZI236" s="16"/>
      <c r="DZJ236" s="16"/>
      <c r="DZK236" s="16"/>
      <c r="DZL236" s="15"/>
      <c r="DZM236" s="15"/>
      <c r="DZN236" s="10"/>
      <c r="DZO236" s="10"/>
      <c r="DZP236" s="19"/>
      <c r="DZQ236" s="19"/>
      <c r="DZT236" s="16"/>
      <c r="DZU236" s="15"/>
      <c r="DZV236" s="15"/>
      <c r="DZW236" s="15"/>
      <c r="DZX236" s="16"/>
      <c r="DZY236" s="16"/>
      <c r="DZZ236" s="16"/>
      <c r="EAA236" s="16"/>
      <c r="EAB236" s="16"/>
      <c r="EAC236" s="15"/>
      <c r="EAD236" s="15"/>
      <c r="EAE236" s="10"/>
      <c r="EAF236" s="10"/>
      <c r="EAG236" s="19"/>
      <c r="EAH236" s="19"/>
      <c r="EAK236" s="16"/>
      <c r="EAL236" s="15"/>
      <c r="EAM236" s="15"/>
      <c r="EAN236" s="15"/>
      <c r="EAO236" s="16"/>
      <c r="EAP236" s="16"/>
      <c r="EAQ236" s="16"/>
      <c r="EAR236" s="16"/>
      <c r="EAS236" s="16"/>
      <c r="EAT236" s="15"/>
      <c r="EAU236" s="15"/>
      <c r="EAV236" s="10"/>
      <c r="EAW236" s="10"/>
      <c r="EAX236" s="19"/>
      <c r="EAY236" s="19"/>
      <c r="EBB236" s="16"/>
      <c r="EBC236" s="15"/>
      <c r="EBD236" s="15"/>
      <c r="EBE236" s="15"/>
      <c r="EBF236" s="16"/>
      <c r="EBG236" s="16"/>
      <c r="EBH236" s="16"/>
      <c r="EBI236" s="16"/>
      <c r="EBJ236" s="16"/>
      <c r="EBK236" s="15"/>
      <c r="EBL236" s="15"/>
      <c r="EBM236" s="10"/>
      <c r="EBN236" s="10"/>
      <c r="EBO236" s="19"/>
      <c r="EBP236" s="19"/>
      <c r="EBS236" s="16"/>
      <c r="EBT236" s="15"/>
      <c r="EBU236" s="15"/>
      <c r="EBV236" s="15"/>
      <c r="EBW236" s="16"/>
      <c r="EBX236" s="16"/>
      <c r="EBY236" s="16"/>
      <c r="EBZ236" s="16"/>
      <c r="ECA236" s="16"/>
      <c r="ECB236" s="15"/>
      <c r="ECC236" s="15"/>
      <c r="ECD236" s="10"/>
      <c r="ECE236" s="10"/>
      <c r="ECF236" s="19"/>
      <c r="ECG236" s="19"/>
      <c r="ECJ236" s="16"/>
      <c r="ECK236" s="15"/>
      <c r="ECL236" s="15"/>
      <c r="ECM236" s="15"/>
      <c r="ECN236" s="16"/>
      <c r="ECO236" s="16"/>
      <c r="ECP236" s="16"/>
      <c r="ECQ236" s="16"/>
      <c r="ECR236" s="16"/>
      <c r="ECS236" s="15"/>
      <c r="ECT236" s="15"/>
      <c r="ECU236" s="10"/>
      <c r="ECV236" s="10"/>
      <c r="ECW236" s="19"/>
      <c r="ECX236" s="19"/>
      <c r="EDA236" s="16"/>
      <c r="EDB236" s="15"/>
      <c r="EDC236" s="15"/>
      <c r="EDD236" s="15"/>
      <c r="EDE236" s="16"/>
      <c r="EDF236" s="16"/>
      <c r="EDG236" s="16"/>
      <c r="EDH236" s="16"/>
      <c r="EDI236" s="16"/>
      <c r="EDJ236" s="15"/>
      <c r="EDK236" s="15"/>
      <c r="EDL236" s="10"/>
      <c r="EDM236" s="10"/>
      <c r="EDN236" s="19"/>
      <c r="EDO236" s="19"/>
      <c r="EDR236" s="16"/>
      <c r="EDS236" s="15"/>
      <c r="EDT236" s="15"/>
      <c r="EDU236" s="15"/>
      <c r="EDV236" s="16"/>
      <c r="EDW236" s="16"/>
      <c r="EDX236" s="16"/>
      <c r="EDY236" s="16"/>
      <c r="EDZ236" s="16"/>
      <c r="EEA236" s="15"/>
      <c r="EEB236" s="15"/>
      <c r="EEC236" s="10"/>
      <c r="EED236" s="10"/>
      <c r="EEE236" s="19"/>
      <c r="EEF236" s="19"/>
      <c r="EEI236" s="16"/>
      <c r="EEJ236" s="15"/>
      <c r="EEK236" s="15"/>
      <c r="EEL236" s="15"/>
      <c r="EEM236" s="16"/>
      <c r="EEN236" s="16"/>
      <c r="EEO236" s="16"/>
      <c r="EEP236" s="16"/>
      <c r="EEQ236" s="16"/>
      <c r="EER236" s="15"/>
      <c r="EES236" s="15"/>
      <c r="EET236" s="10"/>
      <c r="EEU236" s="10"/>
      <c r="EEV236" s="19"/>
      <c r="EEW236" s="19"/>
      <c r="EEZ236" s="16"/>
      <c r="EFA236" s="15"/>
      <c r="EFB236" s="15"/>
      <c r="EFC236" s="15"/>
      <c r="EFD236" s="16"/>
      <c r="EFE236" s="16"/>
      <c r="EFF236" s="16"/>
      <c r="EFG236" s="16"/>
      <c r="EFH236" s="16"/>
      <c r="EFI236" s="15"/>
      <c r="EFJ236" s="15"/>
      <c r="EFK236" s="10"/>
      <c r="EFL236" s="10"/>
      <c r="EFM236" s="19"/>
      <c r="EFN236" s="19"/>
      <c r="EFQ236" s="16"/>
      <c r="EFR236" s="15"/>
      <c r="EFS236" s="15"/>
      <c r="EFT236" s="15"/>
      <c r="EFU236" s="16"/>
      <c r="EFV236" s="16"/>
      <c r="EFW236" s="16"/>
      <c r="EFX236" s="16"/>
      <c r="EFY236" s="16"/>
      <c r="EFZ236" s="15"/>
      <c r="EGA236" s="15"/>
      <c r="EGB236" s="10"/>
      <c r="EGC236" s="10"/>
      <c r="EGD236" s="19"/>
      <c r="EGE236" s="19"/>
      <c r="EGH236" s="16"/>
      <c r="EGI236" s="15"/>
      <c r="EGJ236" s="15"/>
      <c r="EGK236" s="15"/>
      <c r="EGL236" s="16"/>
      <c r="EGM236" s="16"/>
      <c r="EGN236" s="16"/>
      <c r="EGO236" s="16"/>
      <c r="EGP236" s="16"/>
      <c r="EGQ236" s="15"/>
      <c r="EGR236" s="15"/>
      <c r="EGS236" s="10"/>
      <c r="EGT236" s="10"/>
      <c r="EGU236" s="19"/>
      <c r="EGV236" s="19"/>
      <c r="EGY236" s="16"/>
      <c r="EGZ236" s="15"/>
      <c r="EHA236" s="15"/>
      <c r="EHB236" s="15"/>
      <c r="EHC236" s="16"/>
      <c r="EHD236" s="16"/>
      <c r="EHE236" s="16"/>
      <c r="EHF236" s="16"/>
      <c r="EHG236" s="16"/>
      <c r="EHH236" s="15"/>
      <c r="EHI236" s="15"/>
      <c r="EHJ236" s="10"/>
      <c r="EHK236" s="10"/>
      <c r="EHL236" s="19"/>
      <c r="EHM236" s="19"/>
      <c r="EHP236" s="16"/>
      <c r="EHQ236" s="15"/>
      <c r="EHR236" s="15"/>
      <c r="EHS236" s="15"/>
      <c r="EHT236" s="16"/>
      <c r="EHU236" s="16"/>
      <c r="EHV236" s="16"/>
      <c r="EHW236" s="16"/>
      <c r="EHX236" s="16"/>
      <c r="EHY236" s="15"/>
      <c r="EHZ236" s="15"/>
      <c r="EIA236" s="10"/>
      <c r="EIB236" s="10"/>
      <c r="EIC236" s="19"/>
      <c r="EID236" s="19"/>
      <c r="EIG236" s="16"/>
      <c r="EIH236" s="15"/>
      <c r="EII236" s="15"/>
      <c r="EIJ236" s="15"/>
      <c r="EIK236" s="16"/>
      <c r="EIL236" s="16"/>
      <c r="EIM236" s="16"/>
      <c r="EIN236" s="16"/>
      <c r="EIO236" s="16"/>
      <c r="EIP236" s="15"/>
      <c r="EIQ236" s="15"/>
      <c r="EIR236" s="10"/>
      <c r="EIS236" s="10"/>
      <c r="EIT236" s="19"/>
      <c r="EIU236" s="19"/>
      <c r="EIX236" s="16"/>
      <c r="EIY236" s="15"/>
      <c r="EIZ236" s="15"/>
      <c r="EJA236" s="15"/>
      <c r="EJB236" s="16"/>
      <c r="EJC236" s="16"/>
      <c r="EJD236" s="16"/>
      <c r="EJE236" s="16"/>
      <c r="EJF236" s="16"/>
      <c r="EJG236" s="15"/>
      <c r="EJH236" s="15"/>
      <c r="EJI236" s="10"/>
      <c r="EJJ236" s="10"/>
      <c r="EJK236" s="19"/>
      <c r="EJL236" s="19"/>
      <c r="EJO236" s="16"/>
      <c r="EJP236" s="15"/>
      <c r="EJQ236" s="15"/>
      <c r="EJR236" s="15"/>
      <c r="EJS236" s="16"/>
      <c r="EJT236" s="16"/>
      <c r="EJU236" s="16"/>
      <c r="EJV236" s="16"/>
      <c r="EJW236" s="16"/>
      <c r="EJX236" s="15"/>
      <c r="EJY236" s="15"/>
      <c r="EJZ236" s="10"/>
      <c r="EKA236" s="10"/>
      <c r="EKB236" s="19"/>
      <c r="EKC236" s="19"/>
      <c r="EKF236" s="16"/>
      <c r="EKG236" s="15"/>
      <c r="EKH236" s="15"/>
      <c r="EKI236" s="15"/>
      <c r="EKJ236" s="16"/>
      <c r="EKK236" s="16"/>
      <c r="EKL236" s="16"/>
      <c r="EKM236" s="16"/>
      <c r="EKN236" s="16"/>
      <c r="EKO236" s="15"/>
      <c r="EKP236" s="15"/>
      <c r="EKQ236" s="10"/>
      <c r="EKR236" s="10"/>
      <c r="EKS236" s="19"/>
      <c r="EKT236" s="19"/>
      <c r="EKW236" s="16"/>
      <c r="EKX236" s="15"/>
      <c r="EKY236" s="15"/>
      <c r="EKZ236" s="15"/>
      <c r="ELA236" s="16"/>
      <c r="ELB236" s="16"/>
      <c r="ELC236" s="16"/>
      <c r="ELD236" s="16"/>
      <c r="ELE236" s="16"/>
      <c r="ELF236" s="15"/>
      <c r="ELG236" s="15"/>
      <c r="ELH236" s="10"/>
      <c r="ELI236" s="10"/>
      <c r="ELJ236" s="19"/>
      <c r="ELK236" s="19"/>
      <c r="ELN236" s="16"/>
      <c r="ELO236" s="15"/>
      <c r="ELP236" s="15"/>
      <c r="ELQ236" s="15"/>
      <c r="ELR236" s="16"/>
      <c r="ELS236" s="16"/>
      <c r="ELT236" s="16"/>
      <c r="ELU236" s="16"/>
      <c r="ELV236" s="16"/>
      <c r="ELW236" s="15"/>
      <c r="ELX236" s="15"/>
      <c r="ELY236" s="10"/>
      <c r="ELZ236" s="10"/>
      <c r="EMA236" s="19"/>
      <c r="EMB236" s="19"/>
      <c r="EME236" s="16"/>
      <c r="EMF236" s="15"/>
      <c r="EMG236" s="15"/>
      <c r="EMH236" s="15"/>
      <c r="EMI236" s="16"/>
      <c r="EMJ236" s="16"/>
      <c r="EMK236" s="16"/>
      <c r="EML236" s="16"/>
      <c r="EMM236" s="16"/>
      <c r="EMN236" s="15"/>
      <c r="EMO236" s="15"/>
      <c r="EMP236" s="10"/>
      <c r="EMQ236" s="10"/>
      <c r="EMR236" s="19"/>
      <c r="EMS236" s="19"/>
      <c r="EMV236" s="16"/>
      <c r="EMW236" s="15"/>
      <c r="EMX236" s="15"/>
      <c r="EMY236" s="15"/>
      <c r="EMZ236" s="16"/>
      <c r="ENA236" s="16"/>
      <c r="ENB236" s="16"/>
      <c r="ENC236" s="16"/>
      <c r="END236" s="16"/>
      <c r="ENE236" s="15"/>
      <c r="ENF236" s="15"/>
      <c r="ENG236" s="10"/>
      <c r="ENH236" s="10"/>
      <c r="ENI236" s="19"/>
      <c r="ENJ236" s="19"/>
      <c r="ENM236" s="16"/>
      <c r="ENN236" s="15"/>
      <c r="ENO236" s="15"/>
      <c r="ENP236" s="15"/>
      <c r="ENQ236" s="16"/>
      <c r="ENR236" s="16"/>
      <c r="ENS236" s="16"/>
      <c r="ENT236" s="16"/>
      <c r="ENU236" s="16"/>
      <c r="ENV236" s="15"/>
      <c r="ENW236" s="15"/>
      <c r="ENX236" s="10"/>
      <c r="ENY236" s="10"/>
      <c r="ENZ236" s="19"/>
      <c r="EOA236" s="19"/>
      <c r="EOD236" s="16"/>
      <c r="EOE236" s="15"/>
      <c r="EOF236" s="15"/>
      <c r="EOG236" s="15"/>
      <c r="EOH236" s="16"/>
      <c r="EOI236" s="16"/>
      <c r="EOJ236" s="16"/>
      <c r="EOK236" s="16"/>
      <c r="EOL236" s="16"/>
      <c r="EOM236" s="15"/>
      <c r="EON236" s="15"/>
      <c r="EOO236" s="10"/>
      <c r="EOP236" s="10"/>
      <c r="EOQ236" s="19"/>
      <c r="EOR236" s="19"/>
      <c r="EOU236" s="16"/>
      <c r="EOV236" s="15"/>
      <c r="EOW236" s="15"/>
      <c r="EOX236" s="15"/>
      <c r="EOY236" s="16"/>
      <c r="EOZ236" s="16"/>
      <c r="EPA236" s="16"/>
      <c r="EPB236" s="16"/>
      <c r="EPC236" s="16"/>
      <c r="EPD236" s="15"/>
      <c r="EPE236" s="15"/>
      <c r="EPF236" s="10"/>
      <c r="EPG236" s="10"/>
      <c r="EPH236" s="19"/>
      <c r="EPI236" s="19"/>
      <c r="EPL236" s="16"/>
      <c r="EPM236" s="15"/>
      <c r="EPN236" s="15"/>
      <c r="EPO236" s="15"/>
      <c r="EPP236" s="16"/>
      <c r="EPQ236" s="16"/>
      <c r="EPR236" s="16"/>
      <c r="EPS236" s="16"/>
      <c r="EPT236" s="16"/>
      <c r="EPU236" s="15"/>
      <c r="EPV236" s="15"/>
      <c r="EPW236" s="10"/>
      <c r="EPX236" s="10"/>
      <c r="EPY236" s="19"/>
      <c r="EPZ236" s="19"/>
      <c r="EQC236" s="16"/>
      <c r="EQD236" s="15"/>
      <c r="EQE236" s="15"/>
      <c r="EQF236" s="15"/>
      <c r="EQG236" s="16"/>
      <c r="EQH236" s="16"/>
      <c r="EQI236" s="16"/>
      <c r="EQJ236" s="16"/>
      <c r="EQK236" s="16"/>
      <c r="EQL236" s="15"/>
      <c r="EQM236" s="15"/>
      <c r="EQN236" s="10"/>
      <c r="EQO236" s="10"/>
      <c r="EQP236" s="19"/>
      <c r="EQQ236" s="19"/>
      <c r="EQT236" s="16"/>
      <c r="EQU236" s="15"/>
      <c r="EQV236" s="15"/>
      <c r="EQW236" s="15"/>
      <c r="EQX236" s="16"/>
      <c r="EQY236" s="16"/>
      <c r="EQZ236" s="16"/>
      <c r="ERA236" s="16"/>
      <c r="ERB236" s="16"/>
      <c r="ERC236" s="15"/>
      <c r="ERD236" s="15"/>
      <c r="ERE236" s="10"/>
      <c r="ERF236" s="10"/>
      <c r="ERG236" s="19"/>
      <c r="ERH236" s="19"/>
      <c r="ERK236" s="16"/>
      <c r="ERL236" s="15"/>
      <c r="ERM236" s="15"/>
      <c r="ERN236" s="15"/>
      <c r="ERO236" s="16"/>
      <c r="ERP236" s="16"/>
      <c r="ERQ236" s="16"/>
      <c r="ERR236" s="16"/>
      <c r="ERS236" s="16"/>
      <c r="ERT236" s="15"/>
      <c r="ERU236" s="15"/>
      <c r="ERV236" s="10"/>
      <c r="ERW236" s="10"/>
      <c r="ERX236" s="19"/>
      <c r="ERY236" s="19"/>
      <c r="ESB236" s="16"/>
      <c r="ESC236" s="15"/>
      <c r="ESD236" s="15"/>
      <c r="ESE236" s="15"/>
      <c r="ESF236" s="16"/>
      <c r="ESG236" s="16"/>
      <c r="ESH236" s="16"/>
      <c r="ESI236" s="16"/>
      <c r="ESJ236" s="16"/>
      <c r="ESK236" s="15"/>
      <c r="ESL236" s="15"/>
      <c r="ESM236" s="10"/>
      <c r="ESN236" s="10"/>
      <c r="ESO236" s="19"/>
      <c r="ESP236" s="19"/>
      <c r="ESS236" s="16"/>
      <c r="EST236" s="15"/>
      <c r="ESU236" s="15"/>
      <c r="ESV236" s="15"/>
      <c r="ESW236" s="16"/>
      <c r="ESX236" s="16"/>
      <c r="ESY236" s="16"/>
      <c r="ESZ236" s="16"/>
      <c r="ETA236" s="16"/>
      <c r="ETB236" s="15"/>
      <c r="ETC236" s="15"/>
      <c r="ETD236" s="10"/>
      <c r="ETE236" s="10"/>
      <c r="ETF236" s="19"/>
      <c r="ETG236" s="19"/>
      <c r="ETJ236" s="16"/>
      <c r="ETK236" s="15"/>
      <c r="ETL236" s="15"/>
      <c r="ETM236" s="15"/>
      <c r="ETN236" s="16"/>
      <c r="ETO236" s="16"/>
      <c r="ETP236" s="16"/>
      <c r="ETQ236" s="16"/>
      <c r="ETR236" s="16"/>
      <c r="ETS236" s="15"/>
      <c r="ETT236" s="15"/>
      <c r="ETU236" s="10"/>
      <c r="ETV236" s="10"/>
      <c r="ETW236" s="19"/>
      <c r="ETX236" s="19"/>
      <c r="EUA236" s="16"/>
      <c r="EUB236" s="15"/>
      <c r="EUC236" s="15"/>
      <c r="EUD236" s="15"/>
      <c r="EUE236" s="16"/>
      <c r="EUF236" s="16"/>
      <c r="EUG236" s="16"/>
      <c r="EUH236" s="16"/>
      <c r="EUI236" s="16"/>
      <c r="EUJ236" s="15"/>
      <c r="EUK236" s="15"/>
      <c r="EUL236" s="10"/>
      <c r="EUM236" s="10"/>
      <c r="EUN236" s="19"/>
      <c r="EUO236" s="19"/>
      <c r="EUR236" s="16"/>
      <c r="EUS236" s="15"/>
      <c r="EUT236" s="15"/>
      <c r="EUU236" s="15"/>
      <c r="EUV236" s="16"/>
      <c r="EUW236" s="16"/>
      <c r="EUX236" s="16"/>
      <c r="EUY236" s="16"/>
      <c r="EUZ236" s="16"/>
      <c r="EVA236" s="15"/>
      <c r="EVB236" s="15"/>
      <c r="EVC236" s="10"/>
      <c r="EVD236" s="10"/>
      <c r="EVE236" s="19"/>
      <c r="EVF236" s="19"/>
      <c r="EVI236" s="16"/>
      <c r="EVJ236" s="15"/>
      <c r="EVK236" s="15"/>
      <c r="EVL236" s="15"/>
      <c r="EVM236" s="16"/>
      <c r="EVN236" s="16"/>
      <c r="EVO236" s="16"/>
      <c r="EVP236" s="16"/>
      <c r="EVQ236" s="16"/>
      <c r="EVR236" s="15"/>
      <c r="EVS236" s="15"/>
      <c r="EVT236" s="10"/>
      <c r="EVU236" s="10"/>
      <c r="EVV236" s="19"/>
      <c r="EVW236" s="19"/>
      <c r="EVZ236" s="16"/>
      <c r="EWA236" s="15"/>
      <c r="EWB236" s="15"/>
      <c r="EWC236" s="15"/>
      <c r="EWD236" s="16"/>
      <c r="EWE236" s="16"/>
      <c r="EWF236" s="16"/>
      <c r="EWG236" s="16"/>
      <c r="EWH236" s="16"/>
      <c r="EWI236" s="15"/>
      <c r="EWJ236" s="15"/>
      <c r="EWK236" s="10"/>
      <c r="EWL236" s="10"/>
      <c r="EWM236" s="19"/>
      <c r="EWN236" s="19"/>
      <c r="EWQ236" s="16"/>
      <c r="EWR236" s="15"/>
      <c r="EWS236" s="15"/>
      <c r="EWT236" s="15"/>
      <c r="EWU236" s="16"/>
      <c r="EWV236" s="16"/>
      <c r="EWW236" s="16"/>
      <c r="EWX236" s="16"/>
      <c r="EWY236" s="16"/>
      <c r="EWZ236" s="15"/>
      <c r="EXA236" s="15"/>
      <c r="EXB236" s="10"/>
      <c r="EXC236" s="10"/>
      <c r="EXD236" s="19"/>
      <c r="EXE236" s="19"/>
      <c r="EXH236" s="16"/>
      <c r="EXI236" s="15"/>
      <c r="EXJ236" s="15"/>
      <c r="EXK236" s="15"/>
      <c r="EXL236" s="16"/>
      <c r="EXM236" s="16"/>
      <c r="EXN236" s="16"/>
      <c r="EXO236" s="16"/>
      <c r="EXP236" s="16"/>
      <c r="EXQ236" s="15"/>
      <c r="EXR236" s="15"/>
      <c r="EXS236" s="10"/>
      <c r="EXT236" s="10"/>
      <c r="EXU236" s="19"/>
      <c r="EXV236" s="19"/>
      <c r="EXY236" s="16"/>
      <c r="EXZ236" s="15"/>
      <c r="EYA236" s="15"/>
      <c r="EYB236" s="15"/>
      <c r="EYC236" s="16"/>
      <c r="EYD236" s="16"/>
      <c r="EYE236" s="16"/>
      <c r="EYF236" s="16"/>
      <c r="EYG236" s="16"/>
      <c r="EYH236" s="15"/>
      <c r="EYI236" s="15"/>
      <c r="EYJ236" s="10"/>
      <c r="EYK236" s="10"/>
      <c r="EYL236" s="19"/>
      <c r="EYM236" s="19"/>
      <c r="EYP236" s="16"/>
      <c r="EYQ236" s="15"/>
      <c r="EYR236" s="15"/>
      <c r="EYS236" s="15"/>
      <c r="EYT236" s="16"/>
      <c r="EYU236" s="16"/>
      <c r="EYV236" s="16"/>
      <c r="EYW236" s="16"/>
      <c r="EYX236" s="16"/>
      <c r="EYY236" s="15"/>
      <c r="EYZ236" s="15"/>
      <c r="EZA236" s="10"/>
      <c r="EZB236" s="10"/>
      <c r="EZC236" s="19"/>
      <c r="EZD236" s="19"/>
      <c r="EZG236" s="16"/>
      <c r="EZH236" s="15"/>
      <c r="EZI236" s="15"/>
      <c r="EZJ236" s="15"/>
      <c r="EZK236" s="16"/>
      <c r="EZL236" s="16"/>
      <c r="EZM236" s="16"/>
      <c r="EZN236" s="16"/>
      <c r="EZO236" s="16"/>
      <c r="EZP236" s="15"/>
      <c r="EZQ236" s="15"/>
      <c r="EZR236" s="10"/>
      <c r="EZS236" s="10"/>
      <c r="EZT236" s="19"/>
      <c r="EZU236" s="19"/>
      <c r="EZX236" s="16"/>
      <c r="EZY236" s="15"/>
      <c r="EZZ236" s="15"/>
      <c r="FAA236" s="15"/>
      <c r="FAB236" s="16"/>
      <c r="FAC236" s="16"/>
      <c r="FAD236" s="16"/>
      <c r="FAE236" s="16"/>
      <c r="FAF236" s="16"/>
      <c r="FAG236" s="15"/>
      <c r="FAH236" s="15"/>
      <c r="FAI236" s="10"/>
      <c r="FAJ236" s="10"/>
      <c r="FAK236" s="19"/>
      <c r="FAL236" s="19"/>
      <c r="FAO236" s="16"/>
      <c r="FAP236" s="15"/>
      <c r="FAQ236" s="15"/>
      <c r="FAR236" s="15"/>
      <c r="FAS236" s="16"/>
      <c r="FAT236" s="16"/>
      <c r="FAU236" s="16"/>
      <c r="FAV236" s="16"/>
      <c r="FAW236" s="16"/>
      <c r="FAX236" s="15"/>
      <c r="FAY236" s="15"/>
      <c r="FAZ236" s="10"/>
      <c r="FBA236" s="10"/>
      <c r="FBB236" s="19"/>
      <c r="FBC236" s="19"/>
      <c r="FBF236" s="16"/>
      <c r="FBG236" s="15"/>
      <c r="FBH236" s="15"/>
      <c r="FBI236" s="15"/>
      <c r="FBJ236" s="16"/>
      <c r="FBK236" s="16"/>
      <c r="FBL236" s="16"/>
      <c r="FBM236" s="16"/>
      <c r="FBN236" s="16"/>
      <c r="FBO236" s="15"/>
      <c r="FBP236" s="15"/>
      <c r="FBQ236" s="10"/>
      <c r="FBR236" s="10"/>
      <c r="FBS236" s="19"/>
      <c r="FBT236" s="19"/>
      <c r="FBW236" s="16"/>
      <c r="FBX236" s="15"/>
      <c r="FBY236" s="15"/>
      <c r="FBZ236" s="15"/>
      <c r="FCA236" s="16"/>
      <c r="FCB236" s="16"/>
      <c r="FCC236" s="16"/>
      <c r="FCD236" s="16"/>
      <c r="FCE236" s="16"/>
      <c r="FCF236" s="15"/>
      <c r="FCG236" s="15"/>
      <c r="FCH236" s="10"/>
      <c r="FCI236" s="10"/>
      <c r="FCJ236" s="19"/>
      <c r="FCK236" s="19"/>
      <c r="FCN236" s="16"/>
      <c r="FCO236" s="15"/>
      <c r="FCP236" s="15"/>
      <c r="FCQ236" s="15"/>
      <c r="FCR236" s="16"/>
      <c r="FCS236" s="16"/>
      <c r="FCT236" s="16"/>
      <c r="FCU236" s="16"/>
      <c r="FCV236" s="16"/>
      <c r="FCW236" s="15"/>
      <c r="FCX236" s="15"/>
      <c r="FCY236" s="10"/>
      <c r="FCZ236" s="10"/>
      <c r="FDA236" s="19"/>
      <c r="FDB236" s="19"/>
      <c r="FDE236" s="16"/>
      <c r="FDF236" s="15"/>
      <c r="FDG236" s="15"/>
      <c r="FDH236" s="15"/>
      <c r="FDI236" s="16"/>
      <c r="FDJ236" s="16"/>
      <c r="FDK236" s="16"/>
      <c r="FDL236" s="16"/>
      <c r="FDM236" s="16"/>
      <c r="FDN236" s="15"/>
      <c r="FDO236" s="15"/>
      <c r="FDP236" s="10"/>
      <c r="FDQ236" s="10"/>
      <c r="FDR236" s="19"/>
      <c r="FDS236" s="19"/>
      <c r="FDV236" s="16"/>
      <c r="FDW236" s="15"/>
      <c r="FDX236" s="15"/>
      <c r="FDY236" s="15"/>
      <c r="FDZ236" s="16"/>
      <c r="FEA236" s="16"/>
      <c r="FEB236" s="16"/>
      <c r="FEC236" s="16"/>
      <c r="FED236" s="16"/>
      <c r="FEE236" s="15"/>
      <c r="FEF236" s="15"/>
      <c r="FEG236" s="10"/>
      <c r="FEH236" s="10"/>
      <c r="FEI236" s="19"/>
      <c r="FEJ236" s="19"/>
      <c r="FEM236" s="16"/>
      <c r="FEN236" s="15"/>
      <c r="FEO236" s="15"/>
      <c r="FEP236" s="15"/>
      <c r="FEQ236" s="16"/>
      <c r="FER236" s="16"/>
      <c r="FES236" s="16"/>
      <c r="FET236" s="16"/>
      <c r="FEU236" s="16"/>
      <c r="FEV236" s="15"/>
      <c r="FEW236" s="15"/>
      <c r="FEX236" s="10"/>
      <c r="FEY236" s="10"/>
      <c r="FEZ236" s="19"/>
      <c r="FFA236" s="19"/>
      <c r="FFD236" s="16"/>
      <c r="FFE236" s="15"/>
      <c r="FFF236" s="15"/>
      <c r="FFG236" s="15"/>
      <c r="FFH236" s="16"/>
      <c r="FFI236" s="16"/>
      <c r="FFJ236" s="16"/>
      <c r="FFK236" s="16"/>
      <c r="FFL236" s="16"/>
      <c r="FFM236" s="15"/>
      <c r="FFN236" s="15"/>
      <c r="FFO236" s="10"/>
      <c r="FFP236" s="10"/>
      <c r="FFQ236" s="19"/>
      <c r="FFR236" s="19"/>
      <c r="FFU236" s="16"/>
      <c r="FFV236" s="15"/>
      <c r="FFW236" s="15"/>
      <c r="FFX236" s="15"/>
      <c r="FFY236" s="16"/>
      <c r="FFZ236" s="16"/>
      <c r="FGA236" s="16"/>
      <c r="FGB236" s="16"/>
      <c r="FGC236" s="16"/>
      <c r="FGD236" s="15"/>
      <c r="FGE236" s="15"/>
      <c r="FGF236" s="10"/>
      <c r="FGG236" s="10"/>
      <c r="FGH236" s="19"/>
      <c r="FGI236" s="19"/>
      <c r="FGL236" s="16"/>
      <c r="FGM236" s="15"/>
      <c r="FGN236" s="15"/>
      <c r="FGO236" s="15"/>
      <c r="FGP236" s="16"/>
      <c r="FGQ236" s="16"/>
      <c r="FGR236" s="16"/>
      <c r="FGS236" s="16"/>
      <c r="FGT236" s="16"/>
      <c r="FGU236" s="15"/>
      <c r="FGV236" s="15"/>
      <c r="FGW236" s="10"/>
      <c r="FGX236" s="10"/>
      <c r="FGY236" s="19"/>
      <c r="FGZ236" s="19"/>
      <c r="FHC236" s="16"/>
      <c r="FHD236" s="15"/>
      <c r="FHE236" s="15"/>
      <c r="FHF236" s="15"/>
      <c r="FHG236" s="16"/>
      <c r="FHH236" s="16"/>
      <c r="FHI236" s="16"/>
      <c r="FHJ236" s="16"/>
      <c r="FHK236" s="16"/>
      <c r="FHL236" s="15"/>
      <c r="FHM236" s="15"/>
      <c r="FHN236" s="10"/>
      <c r="FHO236" s="10"/>
      <c r="FHP236" s="19"/>
      <c r="FHQ236" s="19"/>
      <c r="FHT236" s="16"/>
      <c r="FHU236" s="15"/>
      <c r="FHV236" s="15"/>
      <c r="FHW236" s="15"/>
      <c r="FHX236" s="16"/>
      <c r="FHY236" s="16"/>
      <c r="FHZ236" s="16"/>
      <c r="FIA236" s="16"/>
      <c r="FIB236" s="16"/>
      <c r="FIC236" s="15"/>
      <c r="FID236" s="15"/>
      <c r="FIE236" s="10"/>
      <c r="FIF236" s="10"/>
      <c r="FIG236" s="19"/>
      <c r="FIH236" s="19"/>
      <c r="FIK236" s="16"/>
      <c r="FIL236" s="15"/>
      <c r="FIM236" s="15"/>
      <c r="FIN236" s="15"/>
      <c r="FIO236" s="16"/>
      <c r="FIP236" s="16"/>
      <c r="FIQ236" s="16"/>
      <c r="FIR236" s="16"/>
      <c r="FIS236" s="16"/>
      <c r="FIT236" s="15"/>
      <c r="FIU236" s="15"/>
      <c r="FIV236" s="10"/>
      <c r="FIW236" s="10"/>
      <c r="FIX236" s="19"/>
      <c r="FIY236" s="19"/>
      <c r="FJB236" s="16"/>
      <c r="FJC236" s="15"/>
      <c r="FJD236" s="15"/>
      <c r="FJE236" s="15"/>
      <c r="FJF236" s="16"/>
      <c r="FJG236" s="16"/>
      <c r="FJH236" s="16"/>
      <c r="FJI236" s="16"/>
      <c r="FJJ236" s="16"/>
      <c r="FJK236" s="15"/>
      <c r="FJL236" s="15"/>
      <c r="FJM236" s="10"/>
      <c r="FJN236" s="10"/>
      <c r="FJO236" s="19"/>
      <c r="FJP236" s="19"/>
      <c r="FJS236" s="16"/>
      <c r="FJT236" s="15"/>
      <c r="FJU236" s="15"/>
      <c r="FJV236" s="15"/>
      <c r="FJW236" s="16"/>
      <c r="FJX236" s="16"/>
      <c r="FJY236" s="16"/>
      <c r="FJZ236" s="16"/>
      <c r="FKA236" s="16"/>
      <c r="FKB236" s="15"/>
      <c r="FKC236" s="15"/>
      <c r="FKD236" s="10"/>
      <c r="FKE236" s="10"/>
      <c r="FKF236" s="19"/>
      <c r="FKG236" s="19"/>
      <c r="FKJ236" s="16"/>
      <c r="FKK236" s="15"/>
      <c r="FKL236" s="15"/>
      <c r="FKM236" s="15"/>
      <c r="FKN236" s="16"/>
      <c r="FKO236" s="16"/>
      <c r="FKP236" s="16"/>
      <c r="FKQ236" s="16"/>
      <c r="FKR236" s="16"/>
      <c r="FKS236" s="15"/>
      <c r="FKT236" s="15"/>
      <c r="FKU236" s="10"/>
      <c r="FKV236" s="10"/>
      <c r="FKW236" s="19"/>
      <c r="FKX236" s="19"/>
      <c r="FLA236" s="16"/>
      <c r="FLB236" s="15"/>
      <c r="FLC236" s="15"/>
      <c r="FLD236" s="15"/>
      <c r="FLE236" s="16"/>
      <c r="FLF236" s="16"/>
      <c r="FLG236" s="16"/>
      <c r="FLH236" s="16"/>
      <c r="FLI236" s="16"/>
      <c r="FLJ236" s="15"/>
      <c r="FLK236" s="15"/>
      <c r="FLL236" s="10"/>
      <c r="FLM236" s="10"/>
      <c r="FLN236" s="19"/>
      <c r="FLO236" s="19"/>
      <c r="FLR236" s="16"/>
      <c r="FLS236" s="15"/>
      <c r="FLT236" s="15"/>
      <c r="FLU236" s="15"/>
      <c r="FLV236" s="16"/>
      <c r="FLW236" s="16"/>
      <c r="FLX236" s="16"/>
      <c r="FLY236" s="16"/>
      <c r="FLZ236" s="16"/>
      <c r="FMA236" s="15"/>
      <c r="FMB236" s="15"/>
      <c r="FMC236" s="10"/>
      <c r="FMD236" s="10"/>
      <c r="FME236" s="19"/>
      <c r="FMF236" s="19"/>
      <c r="FMI236" s="16"/>
      <c r="FMJ236" s="15"/>
      <c r="FMK236" s="15"/>
      <c r="FML236" s="15"/>
      <c r="FMM236" s="16"/>
      <c r="FMN236" s="16"/>
      <c r="FMO236" s="16"/>
      <c r="FMP236" s="16"/>
      <c r="FMQ236" s="16"/>
      <c r="FMR236" s="15"/>
      <c r="FMS236" s="15"/>
      <c r="FMT236" s="10"/>
      <c r="FMU236" s="10"/>
      <c r="FMV236" s="19"/>
      <c r="FMW236" s="19"/>
      <c r="FMZ236" s="16"/>
      <c r="FNA236" s="15"/>
      <c r="FNB236" s="15"/>
      <c r="FNC236" s="15"/>
      <c r="FND236" s="16"/>
      <c r="FNE236" s="16"/>
      <c r="FNF236" s="16"/>
      <c r="FNG236" s="16"/>
      <c r="FNH236" s="16"/>
      <c r="FNI236" s="15"/>
      <c r="FNJ236" s="15"/>
      <c r="FNK236" s="10"/>
      <c r="FNL236" s="10"/>
      <c r="FNM236" s="19"/>
      <c r="FNN236" s="19"/>
      <c r="FNQ236" s="16"/>
      <c r="FNR236" s="15"/>
      <c r="FNS236" s="15"/>
      <c r="FNT236" s="15"/>
      <c r="FNU236" s="16"/>
      <c r="FNV236" s="16"/>
      <c r="FNW236" s="16"/>
      <c r="FNX236" s="16"/>
      <c r="FNY236" s="16"/>
      <c r="FNZ236" s="15"/>
      <c r="FOA236" s="15"/>
      <c r="FOB236" s="10"/>
      <c r="FOC236" s="10"/>
      <c r="FOD236" s="19"/>
      <c r="FOE236" s="19"/>
      <c r="FOH236" s="16"/>
      <c r="FOI236" s="15"/>
      <c r="FOJ236" s="15"/>
      <c r="FOK236" s="15"/>
      <c r="FOL236" s="16"/>
      <c r="FOM236" s="16"/>
      <c r="FON236" s="16"/>
      <c r="FOO236" s="16"/>
      <c r="FOP236" s="16"/>
      <c r="FOQ236" s="15"/>
      <c r="FOR236" s="15"/>
      <c r="FOS236" s="10"/>
      <c r="FOT236" s="10"/>
      <c r="FOU236" s="19"/>
      <c r="FOV236" s="19"/>
      <c r="FOY236" s="16"/>
      <c r="FOZ236" s="15"/>
      <c r="FPA236" s="15"/>
      <c r="FPB236" s="15"/>
      <c r="FPC236" s="16"/>
      <c r="FPD236" s="16"/>
      <c r="FPE236" s="16"/>
      <c r="FPF236" s="16"/>
      <c r="FPG236" s="16"/>
      <c r="FPH236" s="15"/>
      <c r="FPI236" s="15"/>
      <c r="FPJ236" s="10"/>
      <c r="FPK236" s="10"/>
      <c r="FPL236" s="19"/>
      <c r="FPM236" s="19"/>
      <c r="FPP236" s="16"/>
      <c r="FPQ236" s="15"/>
      <c r="FPR236" s="15"/>
      <c r="FPS236" s="15"/>
      <c r="FPT236" s="16"/>
      <c r="FPU236" s="16"/>
      <c r="FPV236" s="16"/>
      <c r="FPW236" s="16"/>
      <c r="FPX236" s="16"/>
      <c r="FPY236" s="15"/>
      <c r="FPZ236" s="15"/>
      <c r="FQA236" s="10"/>
      <c r="FQB236" s="10"/>
      <c r="FQC236" s="19"/>
      <c r="FQD236" s="19"/>
      <c r="FQG236" s="16"/>
      <c r="FQH236" s="15"/>
      <c r="FQI236" s="15"/>
      <c r="FQJ236" s="15"/>
      <c r="FQK236" s="16"/>
      <c r="FQL236" s="16"/>
      <c r="FQM236" s="16"/>
      <c r="FQN236" s="16"/>
      <c r="FQO236" s="16"/>
      <c r="FQP236" s="15"/>
      <c r="FQQ236" s="15"/>
      <c r="FQR236" s="10"/>
      <c r="FQS236" s="10"/>
      <c r="FQT236" s="19"/>
      <c r="FQU236" s="19"/>
      <c r="FQX236" s="16"/>
      <c r="FQY236" s="15"/>
      <c r="FQZ236" s="15"/>
      <c r="FRA236" s="15"/>
      <c r="FRB236" s="16"/>
      <c r="FRC236" s="16"/>
      <c r="FRD236" s="16"/>
      <c r="FRE236" s="16"/>
      <c r="FRF236" s="16"/>
      <c r="FRG236" s="15"/>
      <c r="FRH236" s="15"/>
      <c r="FRI236" s="10"/>
      <c r="FRJ236" s="10"/>
      <c r="FRK236" s="19"/>
      <c r="FRL236" s="19"/>
      <c r="FRO236" s="16"/>
      <c r="FRP236" s="15"/>
      <c r="FRQ236" s="15"/>
      <c r="FRR236" s="15"/>
      <c r="FRS236" s="16"/>
      <c r="FRT236" s="16"/>
      <c r="FRU236" s="16"/>
      <c r="FRV236" s="16"/>
      <c r="FRW236" s="16"/>
      <c r="FRX236" s="15"/>
      <c r="FRY236" s="15"/>
      <c r="FRZ236" s="10"/>
      <c r="FSA236" s="10"/>
      <c r="FSB236" s="19"/>
      <c r="FSC236" s="19"/>
      <c r="FSF236" s="16"/>
      <c r="FSG236" s="15"/>
      <c r="FSH236" s="15"/>
      <c r="FSI236" s="15"/>
      <c r="FSJ236" s="16"/>
      <c r="FSK236" s="16"/>
      <c r="FSL236" s="16"/>
      <c r="FSM236" s="16"/>
      <c r="FSN236" s="16"/>
      <c r="FSO236" s="15"/>
      <c r="FSP236" s="15"/>
      <c r="FSQ236" s="10"/>
      <c r="FSR236" s="10"/>
      <c r="FSS236" s="19"/>
      <c r="FST236" s="19"/>
      <c r="FSW236" s="16"/>
      <c r="FSX236" s="15"/>
      <c r="FSY236" s="15"/>
      <c r="FSZ236" s="15"/>
      <c r="FTA236" s="16"/>
      <c r="FTB236" s="16"/>
      <c r="FTC236" s="16"/>
      <c r="FTD236" s="16"/>
      <c r="FTE236" s="16"/>
      <c r="FTF236" s="15"/>
      <c r="FTG236" s="15"/>
      <c r="FTH236" s="10"/>
      <c r="FTI236" s="10"/>
      <c r="FTJ236" s="19"/>
      <c r="FTK236" s="19"/>
      <c r="FTN236" s="16"/>
      <c r="FTO236" s="15"/>
      <c r="FTP236" s="15"/>
      <c r="FTQ236" s="15"/>
      <c r="FTR236" s="16"/>
      <c r="FTS236" s="16"/>
      <c r="FTT236" s="16"/>
      <c r="FTU236" s="16"/>
      <c r="FTV236" s="16"/>
      <c r="FTW236" s="15"/>
      <c r="FTX236" s="15"/>
      <c r="FTY236" s="10"/>
      <c r="FTZ236" s="10"/>
      <c r="FUA236" s="19"/>
      <c r="FUB236" s="19"/>
      <c r="FUE236" s="16"/>
      <c r="FUF236" s="15"/>
      <c r="FUG236" s="15"/>
      <c r="FUH236" s="15"/>
      <c r="FUI236" s="16"/>
      <c r="FUJ236" s="16"/>
      <c r="FUK236" s="16"/>
      <c r="FUL236" s="16"/>
      <c r="FUM236" s="16"/>
      <c r="FUN236" s="15"/>
      <c r="FUO236" s="15"/>
      <c r="FUP236" s="10"/>
      <c r="FUQ236" s="10"/>
      <c r="FUR236" s="19"/>
      <c r="FUS236" s="19"/>
      <c r="FUV236" s="16"/>
      <c r="FUW236" s="15"/>
      <c r="FUX236" s="15"/>
      <c r="FUY236" s="15"/>
      <c r="FUZ236" s="16"/>
      <c r="FVA236" s="16"/>
      <c r="FVB236" s="16"/>
      <c r="FVC236" s="16"/>
      <c r="FVD236" s="16"/>
      <c r="FVE236" s="15"/>
      <c r="FVF236" s="15"/>
      <c r="FVG236" s="10"/>
      <c r="FVH236" s="10"/>
      <c r="FVI236" s="19"/>
      <c r="FVJ236" s="19"/>
      <c r="FVM236" s="16"/>
      <c r="FVN236" s="15"/>
      <c r="FVO236" s="15"/>
      <c r="FVP236" s="15"/>
      <c r="FVQ236" s="16"/>
      <c r="FVR236" s="16"/>
      <c r="FVS236" s="16"/>
      <c r="FVT236" s="16"/>
      <c r="FVU236" s="16"/>
      <c r="FVV236" s="15"/>
      <c r="FVW236" s="15"/>
      <c r="FVX236" s="10"/>
      <c r="FVY236" s="10"/>
      <c r="FVZ236" s="19"/>
      <c r="FWA236" s="19"/>
      <c r="FWD236" s="16"/>
      <c r="FWE236" s="15"/>
      <c r="FWF236" s="15"/>
      <c r="FWG236" s="15"/>
      <c r="FWH236" s="16"/>
      <c r="FWI236" s="16"/>
      <c r="FWJ236" s="16"/>
      <c r="FWK236" s="16"/>
      <c r="FWL236" s="16"/>
      <c r="FWM236" s="15"/>
      <c r="FWN236" s="15"/>
      <c r="FWO236" s="10"/>
      <c r="FWP236" s="10"/>
      <c r="FWQ236" s="19"/>
      <c r="FWR236" s="19"/>
      <c r="FWU236" s="16"/>
      <c r="FWV236" s="15"/>
      <c r="FWW236" s="15"/>
      <c r="FWX236" s="15"/>
      <c r="FWY236" s="16"/>
      <c r="FWZ236" s="16"/>
      <c r="FXA236" s="16"/>
      <c r="FXB236" s="16"/>
      <c r="FXC236" s="16"/>
      <c r="FXD236" s="15"/>
      <c r="FXE236" s="15"/>
      <c r="FXF236" s="10"/>
      <c r="FXG236" s="10"/>
      <c r="FXH236" s="19"/>
      <c r="FXI236" s="19"/>
      <c r="FXL236" s="16"/>
      <c r="FXM236" s="15"/>
      <c r="FXN236" s="15"/>
      <c r="FXO236" s="15"/>
      <c r="FXP236" s="16"/>
      <c r="FXQ236" s="16"/>
      <c r="FXR236" s="16"/>
      <c r="FXS236" s="16"/>
      <c r="FXT236" s="16"/>
      <c r="FXU236" s="15"/>
      <c r="FXV236" s="15"/>
      <c r="FXW236" s="10"/>
      <c r="FXX236" s="10"/>
      <c r="FXY236" s="19"/>
      <c r="FXZ236" s="19"/>
      <c r="FYC236" s="16"/>
      <c r="FYD236" s="15"/>
      <c r="FYE236" s="15"/>
      <c r="FYF236" s="15"/>
      <c r="FYG236" s="16"/>
      <c r="FYH236" s="16"/>
      <c r="FYI236" s="16"/>
      <c r="FYJ236" s="16"/>
      <c r="FYK236" s="16"/>
      <c r="FYL236" s="15"/>
      <c r="FYM236" s="15"/>
      <c r="FYN236" s="10"/>
      <c r="FYO236" s="10"/>
      <c r="FYP236" s="19"/>
      <c r="FYQ236" s="19"/>
      <c r="FYT236" s="16"/>
      <c r="FYU236" s="15"/>
      <c r="FYV236" s="15"/>
      <c r="FYW236" s="15"/>
      <c r="FYX236" s="16"/>
      <c r="FYY236" s="16"/>
      <c r="FYZ236" s="16"/>
      <c r="FZA236" s="16"/>
      <c r="FZB236" s="16"/>
      <c r="FZC236" s="15"/>
      <c r="FZD236" s="15"/>
      <c r="FZE236" s="10"/>
      <c r="FZF236" s="10"/>
      <c r="FZG236" s="19"/>
      <c r="FZH236" s="19"/>
      <c r="FZK236" s="16"/>
      <c r="FZL236" s="15"/>
      <c r="FZM236" s="15"/>
      <c r="FZN236" s="15"/>
      <c r="FZO236" s="16"/>
      <c r="FZP236" s="16"/>
      <c r="FZQ236" s="16"/>
      <c r="FZR236" s="16"/>
      <c r="FZS236" s="16"/>
      <c r="FZT236" s="15"/>
      <c r="FZU236" s="15"/>
      <c r="FZV236" s="10"/>
      <c r="FZW236" s="10"/>
      <c r="FZX236" s="19"/>
      <c r="FZY236" s="19"/>
      <c r="GAB236" s="16"/>
      <c r="GAC236" s="15"/>
      <c r="GAD236" s="15"/>
      <c r="GAE236" s="15"/>
      <c r="GAF236" s="16"/>
      <c r="GAG236" s="16"/>
      <c r="GAH236" s="16"/>
      <c r="GAI236" s="16"/>
      <c r="GAJ236" s="16"/>
      <c r="GAK236" s="15"/>
      <c r="GAL236" s="15"/>
      <c r="GAM236" s="10"/>
      <c r="GAN236" s="10"/>
      <c r="GAO236" s="19"/>
      <c r="GAP236" s="19"/>
      <c r="GAS236" s="16"/>
      <c r="GAT236" s="15"/>
      <c r="GAU236" s="15"/>
      <c r="GAV236" s="15"/>
      <c r="GAW236" s="16"/>
      <c r="GAX236" s="16"/>
      <c r="GAY236" s="16"/>
      <c r="GAZ236" s="16"/>
      <c r="GBA236" s="16"/>
      <c r="GBB236" s="15"/>
      <c r="GBC236" s="15"/>
      <c r="GBD236" s="10"/>
      <c r="GBE236" s="10"/>
      <c r="GBF236" s="19"/>
      <c r="GBG236" s="19"/>
      <c r="GBJ236" s="16"/>
      <c r="GBK236" s="15"/>
      <c r="GBL236" s="15"/>
      <c r="GBM236" s="15"/>
      <c r="GBN236" s="16"/>
      <c r="GBO236" s="16"/>
      <c r="GBP236" s="16"/>
      <c r="GBQ236" s="16"/>
      <c r="GBR236" s="16"/>
      <c r="GBS236" s="15"/>
      <c r="GBT236" s="15"/>
      <c r="GBU236" s="10"/>
      <c r="GBV236" s="10"/>
      <c r="GBW236" s="19"/>
      <c r="GBX236" s="19"/>
      <c r="GCA236" s="16"/>
      <c r="GCB236" s="15"/>
      <c r="GCC236" s="15"/>
      <c r="GCD236" s="15"/>
      <c r="GCE236" s="16"/>
      <c r="GCF236" s="16"/>
      <c r="GCG236" s="16"/>
      <c r="GCH236" s="16"/>
      <c r="GCI236" s="16"/>
      <c r="GCJ236" s="15"/>
      <c r="GCK236" s="15"/>
      <c r="GCL236" s="10"/>
      <c r="GCM236" s="10"/>
      <c r="GCN236" s="19"/>
      <c r="GCO236" s="19"/>
      <c r="GCR236" s="16"/>
      <c r="GCS236" s="15"/>
      <c r="GCT236" s="15"/>
      <c r="GCU236" s="15"/>
      <c r="GCV236" s="16"/>
      <c r="GCW236" s="16"/>
      <c r="GCX236" s="16"/>
      <c r="GCY236" s="16"/>
      <c r="GCZ236" s="16"/>
      <c r="GDA236" s="15"/>
      <c r="GDB236" s="15"/>
      <c r="GDC236" s="10"/>
      <c r="GDD236" s="10"/>
      <c r="GDE236" s="19"/>
      <c r="GDF236" s="19"/>
      <c r="GDI236" s="16"/>
      <c r="GDJ236" s="15"/>
      <c r="GDK236" s="15"/>
      <c r="GDL236" s="15"/>
      <c r="GDM236" s="16"/>
      <c r="GDN236" s="16"/>
      <c r="GDO236" s="16"/>
      <c r="GDP236" s="16"/>
      <c r="GDQ236" s="16"/>
      <c r="GDR236" s="15"/>
      <c r="GDS236" s="15"/>
      <c r="GDT236" s="10"/>
      <c r="GDU236" s="10"/>
      <c r="GDV236" s="19"/>
      <c r="GDW236" s="19"/>
      <c r="GDZ236" s="16"/>
      <c r="GEA236" s="15"/>
      <c r="GEB236" s="15"/>
      <c r="GEC236" s="15"/>
      <c r="GED236" s="16"/>
      <c r="GEE236" s="16"/>
      <c r="GEF236" s="16"/>
      <c r="GEG236" s="16"/>
      <c r="GEH236" s="16"/>
      <c r="GEI236" s="15"/>
      <c r="GEJ236" s="15"/>
      <c r="GEK236" s="10"/>
      <c r="GEL236" s="10"/>
      <c r="GEM236" s="19"/>
      <c r="GEN236" s="19"/>
      <c r="GEQ236" s="16"/>
      <c r="GER236" s="15"/>
      <c r="GES236" s="15"/>
      <c r="GET236" s="15"/>
      <c r="GEU236" s="16"/>
      <c r="GEV236" s="16"/>
      <c r="GEW236" s="16"/>
      <c r="GEX236" s="16"/>
      <c r="GEY236" s="16"/>
      <c r="GEZ236" s="15"/>
      <c r="GFA236" s="15"/>
      <c r="GFB236" s="10"/>
      <c r="GFC236" s="10"/>
      <c r="GFD236" s="19"/>
      <c r="GFE236" s="19"/>
      <c r="GFH236" s="16"/>
      <c r="GFI236" s="15"/>
      <c r="GFJ236" s="15"/>
      <c r="GFK236" s="15"/>
      <c r="GFL236" s="16"/>
      <c r="GFM236" s="16"/>
      <c r="GFN236" s="16"/>
      <c r="GFO236" s="16"/>
      <c r="GFP236" s="16"/>
      <c r="GFQ236" s="15"/>
      <c r="GFR236" s="15"/>
      <c r="GFS236" s="10"/>
      <c r="GFT236" s="10"/>
      <c r="GFU236" s="19"/>
      <c r="GFV236" s="19"/>
      <c r="GFY236" s="16"/>
      <c r="GFZ236" s="15"/>
      <c r="GGA236" s="15"/>
      <c r="GGB236" s="15"/>
      <c r="GGC236" s="16"/>
      <c r="GGD236" s="16"/>
      <c r="GGE236" s="16"/>
      <c r="GGF236" s="16"/>
      <c r="GGG236" s="16"/>
      <c r="GGH236" s="15"/>
      <c r="GGI236" s="15"/>
      <c r="GGJ236" s="10"/>
      <c r="GGK236" s="10"/>
      <c r="GGL236" s="19"/>
      <c r="GGM236" s="19"/>
      <c r="GGP236" s="16"/>
      <c r="GGQ236" s="15"/>
      <c r="GGR236" s="15"/>
      <c r="GGS236" s="15"/>
      <c r="GGT236" s="16"/>
      <c r="GGU236" s="16"/>
      <c r="GGV236" s="16"/>
      <c r="GGW236" s="16"/>
      <c r="GGX236" s="16"/>
      <c r="GGY236" s="15"/>
      <c r="GGZ236" s="15"/>
      <c r="GHA236" s="10"/>
      <c r="GHB236" s="10"/>
      <c r="GHC236" s="19"/>
      <c r="GHD236" s="19"/>
      <c r="GHG236" s="16"/>
      <c r="GHH236" s="15"/>
      <c r="GHI236" s="15"/>
      <c r="GHJ236" s="15"/>
      <c r="GHK236" s="16"/>
      <c r="GHL236" s="16"/>
      <c r="GHM236" s="16"/>
      <c r="GHN236" s="16"/>
      <c r="GHO236" s="16"/>
      <c r="GHP236" s="15"/>
      <c r="GHQ236" s="15"/>
      <c r="GHR236" s="10"/>
      <c r="GHS236" s="10"/>
      <c r="GHT236" s="19"/>
      <c r="GHU236" s="19"/>
      <c r="GHX236" s="16"/>
      <c r="GHY236" s="15"/>
      <c r="GHZ236" s="15"/>
      <c r="GIA236" s="15"/>
      <c r="GIB236" s="16"/>
      <c r="GIC236" s="16"/>
      <c r="GID236" s="16"/>
      <c r="GIE236" s="16"/>
      <c r="GIF236" s="16"/>
      <c r="GIG236" s="15"/>
      <c r="GIH236" s="15"/>
      <c r="GII236" s="10"/>
      <c r="GIJ236" s="10"/>
      <c r="GIK236" s="19"/>
      <c r="GIL236" s="19"/>
      <c r="GIO236" s="16"/>
      <c r="GIP236" s="15"/>
      <c r="GIQ236" s="15"/>
      <c r="GIR236" s="15"/>
      <c r="GIS236" s="16"/>
      <c r="GIT236" s="16"/>
      <c r="GIU236" s="16"/>
      <c r="GIV236" s="16"/>
      <c r="GIW236" s="16"/>
      <c r="GIX236" s="15"/>
      <c r="GIY236" s="15"/>
      <c r="GIZ236" s="10"/>
      <c r="GJA236" s="10"/>
      <c r="GJB236" s="19"/>
      <c r="GJC236" s="19"/>
      <c r="GJF236" s="16"/>
      <c r="GJG236" s="15"/>
      <c r="GJH236" s="15"/>
      <c r="GJI236" s="15"/>
      <c r="GJJ236" s="16"/>
      <c r="GJK236" s="16"/>
      <c r="GJL236" s="16"/>
      <c r="GJM236" s="16"/>
      <c r="GJN236" s="16"/>
      <c r="GJO236" s="15"/>
      <c r="GJP236" s="15"/>
      <c r="GJQ236" s="10"/>
      <c r="GJR236" s="10"/>
      <c r="GJS236" s="19"/>
      <c r="GJT236" s="19"/>
      <c r="GJW236" s="16"/>
      <c r="GJX236" s="15"/>
      <c r="GJY236" s="15"/>
      <c r="GJZ236" s="15"/>
      <c r="GKA236" s="16"/>
      <c r="GKB236" s="16"/>
      <c r="GKC236" s="16"/>
      <c r="GKD236" s="16"/>
      <c r="GKE236" s="16"/>
      <c r="GKF236" s="15"/>
      <c r="GKG236" s="15"/>
      <c r="GKH236" s="10"/>
      <c r="GKI236" s="10"/>
      <c r="GKJ236" s="19"/>
      <c r="GKK236" s="19"/>
      <c r="GKN236" s="16"/>
      <c r="GKO236" s="15"/>
      <c r="GKP236" s="15"/>
      <c r="GKQ236" s="15"/>
      <c r="GKR236" s="16"/>
      <c r="GKS236" s="16"/>
      <c r="GKT236" s="16"/>
      <c r="GKU236" s="16"/>
      <c r="GKV236" s="16"/>
      <c r="GKW236" s="15"/>
      <c r="GKX236" s="15"/>
      <c r="GKY236" s="10"/>
      <c r="GKZ236" s="10"/>
      <c r="GLA236" s="19"/>
      <c r="GLB236" s="19"/>
      <c r="GLE236" s="16"/>
      <c r="GLF236" s="15"/>
      <c r="GLG236" s="15"/>
      <c r="GLH236" s="15"/>
      <c r="GLI236" s="16"/>
      <c r="GLJ236" s="16"/>
      <c r="GLK236" s="16"/>
      <c r="GLL236" s="16"/>
      <c r="GLM236" s="16"/>
      <c r="GLN236" s="15"/>
      <c r="GLO236" s="15"/>
      <c r="GLP236" s="10"/>
      <c r="GLQ236" s="10"/>
      <c r="GLR236" s="19"/>
      <c r="GLS236" s="19"/>
      <c r="GLV236" s="16"/>
      <c r="GLW236" s="15"/>
      <c r="GLX236" s="15"/>
      <c r="GLY236" s="15"/>
      <c r="GLZ236" s="16"/>
      <c r="GMA236" s="16"/>
      <c r="GMB236" s="16"/>
      <c r="GMC236" s="16"/>
      <c r="GMD236" s="16"/>
      <c r="GME236" s="15"/>
      <c r="GMF236" s="15"/>
      <c r="GMG236" s="10"/>
      <c r="GMH236" s="10"/>
      <c r="GMI236" s="19"/>
      <c r="GMJ236" s="19"/>
      <c r="GMM236" s="16"/>
      <c r="GMN236" s="15"/>
      <c r="GMO236" s="15"/>
      <c r="GMP236" s="15"/>
      <c r="GMQ236" s="16"/>
      <c r="GMR236" s="16"/>
      <c r="GMS236" s="16"/>
      <c r="GMT236" s="16"/>
      <c r="GMU236" s="16"/>
      <c r="GMV236" s="15"/>
      <c r="GMW236" s="15"/>
      <c r="GMX236" s="10"/>
      <c r="GMY236" s="10"/>
      <c r="GMZ236" s="19"/>
      <c r="GNA236" s="19"/>
      <c r="GND236" s="16"/>
      <c r="GNE236" s="15"/>
      <c r="GNF236" s="15"/>
      <c r="GNG236" s="15"/>
      <c r="GNH236" s="16"/>
      <c r="GNI236" s="16"/>
      <c r="GNJ236" s="16"/>
      <c r="GNK236" s="16"/>
      <c r="GNL236" s="16"/>
      <c r="GNM236" s="15"/>
      <c r="GNN236" s="15"/>
      <c r="GNO236" s="10"/>
      <c r="GNP236" s="10"/>
      <c r="GNQ236" s="19"/>
      <c r="GNR236" s="19"/>
      <c r="GNU236" s="16"/>
      <c r="GNV236" s="15"/>
      <c r="GNW236" s="15"/>
      <c r="GNX236" s="15"/>
      <c r="GNY236" s="16"/>
      <c r="GNZ236" s="16"/>
      <c r="GOA236" s="16"/>
      <c r="GOB236" s="16"/>
      <c r="GOC236" s="16"/>
      <c r="GOD236" s="15"/>
      <c r="GOE236" s="15"/>
      <c r="GOF236" s="10"/>
      <c r="GOG236" s="10"/>
      <c r="GOH236" s="19"/>
      <c r="GOI236" s="19"/>
      <c r="GOL236" s="16"/>
      <c r="GOM236" s="15"/>
      <c r="GON236" s="15"/>
      <c r="GOO236" s="15"/>
      <c r="GOP236" s="16"/>
      <c r="GOQ236" s="16"/>
      <c r="GOR236" s="16"/>
      <c r="GOS236" s="16"/>
      <c r="GOT236" s="16"/>
      <c r="GOU236" s="15"/>
      <c r="GOV236" s="15"/>
      <c r="GOW236" s="10"/>
      <c r="GOX236" s="10"/>
      <c r="GOY236" s="19"/>
      <c r="GOZ236" s="19"/>
      <c r="GPC236" s="16"/>
      <c r="GPD236" s="15"/>
      <c r="GPE236" s="15"/>
      <c r="GPF236" s="15"/>
      <c r="GPG236" s="16"/>
      <c r="GPH236" s="16"/>
      <c r="GPI236" s="16"/>
      <c r="GPJ236" s="16"/>
      <c r="GPK236" s="16"/>
      <c r="GPL236" s="15"/>
      <c r="GPM236" s="15"/>
      <c r="GPN236" s="10"/>
      <c r="GPO236" s="10"/>
      <c r="GPP236" s="19"/>
      <c r="GPQ236" s="19"/>
      <c r="GPT236" s="16"/>
      <c r="GPU236" s="15"/>
      <c r="GPV236" s="15"/>
      <c r="GPW236" s="15"/>
      <c r="GPX236" s="16"/>
      <c r="GPY236" s="16"/>
      <c r="GPZ236" s="16"/>
      <c r="GQA236" s="16"/>
      <c r="GQB236" s="16"/>
      <c r="GQC236" s="15"/>
      <c r="GQD236" s="15"/>
      <c r="GQE236" s="10"/>
      <c r="GQF236" s="10"/>
      <c r="GQG236" s="19"/>
      <c r="GQH236" s="19"/>
      <c r="GQK236" s="16"/>
      <c r="GQL236" s="15"/>
      <c r="GQM236" s="15"/>
      <c r="GQN236" s="15"/>
      <c r="GQO236" s="16"/>
      <c r="GQP236" s="16"/>
      <c r="GQQ236" s="16"/>
      <c r="GQR236" s="16"/>
      <c r="GQS236" s="16"/>
      <c r="GQT236" s="15"/>
      <c r="GQU236" s="15"/>
      <c r="GQV236" s="10"/>
      <c r="GQW236" s="10"/>
      <c r="GQX236" s="19"/>
      <c r="GQY236" s="19"/>
      <c r="GRB236" s="16"/>
      <c r="GRC236" s="15"/>
      <c r="GRD236" s="15"/>
      <c r="GRE236" s="15"/>
      <c r="GRF236" s="16"/>
      <c r="GRG236" s="16"/>
      <c r="GRH236" s="16"/>
      <c r="GRI236" s="16"/>
      <c r="GRJ236" s="16"/>
      <c r="GRK236" s="15"/>
      <c r="GRL236" s="15"/>
      <c r="GRM236" s="10"/>
      <c r="GRN236" s="10"/>
      <c r="GRO236" s="19"/>
      <c r="GRP236" s="19"/>
      <c r="GRS236" s="16"/>
      <c r="GRT236" s="15"/>
      <c r="GRU236" s="15"/>
      <c r="GRV236" s="15"/>
      <c r="GRW236" s="16"/>
      <c r="GRX236" s="16"/>
      <c r="GRY236" s="16"/>
      <c r="GRZ236" s="16"/>
      <c r="GSA236" s="16"/>
      <c r="GSB236" s="15"/>
      <c r="GSC236" s="15"/>
      <c r="GSD236" s="10"/>
      <c r="GSE236" s="10"/>
      <c r="GSF236" s="19"/>
      <c r="GSG236" s="19"/>
      <c r="GSJ236" s="16"/>
      <c r="GSK236" s="15"/>
      <c r="GSL236" s="15"/>
      <c r="GSM236" s="15"/>
      <c r="GSN236" s="16"/>
      <c r="GSO236" s="16"/>
      <c r="GSP236" s="16"/>
      <c r="GSQ236" s="16"/>
      <c r="GSR236" s="16"/>
      <c r="GSS236" s="15"/>
      <c r="GST236" s="15"/>
      <c r="GSU236" s="10"/>
      <c r="GSV236" s="10"/>
      <c r="GSW236" s="19"/>
      <c r="GSX236" s="19"/>
      <c r="GTA236" s="16"/>
      <c r="GTB236" s="15"/>
      <c r="GTC236" s="15"/>
      <c r="GTD236" s="15"/>
      <c r="GTE236" s="16"/>
      <c r="GTF236" s="16"/>
      <c r="GTG236" s="16"/>
      <c r="GTH236" s="16"/>
      <c r="GTI236" s="16"/>
      <c r="GTJ236" s="15"/>
      <c r="GTK236" s="15"/>
      <c r="GTL236" s="10"/>
      <c r="GTM236" s="10"/>
      <c r="GTN236" s="19"/>
      <c r="GTO236" s="19"/>
      <c r="GTR236" s="16"/>
      <c r="GTS236" s="15"/>
      <c r="GTT236" s="15"/>
      <c r="GTU236" s="15"/>
      <c r="GTV236" s="16"/>
      <c r="GTW236" s="16"/>
      <c r="GTX236" s="16"/>
      <c r="GTY236" s="16"/>
      <c r="GTZ236" s="16"/>
      <c r="GUA236" s="15"/>
      <c r="GUB236" s="15"/>
      <c r="GUC236" s="10"/>
      <c r="GUD236" s="10"/>
      <c r="GUE236" s="19"/>
      <c r="GUF236" s="19"/>
      <c r="GUI236" s="16"/>
      <c r="GUJ236" s="15"/>
      <c r="GUK236" s="15"/>
      <c r="GUL236" s="15"/>
      <c r="GUM236" s="16"/>
      <c r="GUN236" s="16"/>
      <c r="GUO236" s="16"/>
      <c r="GUP236" s="16"/>
      <c r="GUQ236" s="16"/>
      <c r="GUR236" s="15"/>
      <c r="GUS236" s="15"/>
      <c r="GUT236" s="10"/>
      <c r="GUU236" s="10"/>
      <c r="GUV236" s="19"/>
      <c r="GUW236" s="19"/>
      <c r="GUZ236" s="16"/>
      <c r="GVA236" s="15"/>
      <c r="GVB236" s="15"/>
      <c r="GVC236" s="15"/>
      <c r="GVD236" s="16"/>
      <c r="GVE236" s="16"/>
      <c r="GVF236" s="16"/>
      <c r="GVG236" s="16"/>
      <c r="GVH236" s="16"/>
      <c r="GVI236" s="15"/>
      <c r="GVJ236" s="15"/>
      <c r="GVK236" s="10"/>
      <c r="GVL236" s="10"/>
      <c r="GVM236" s="19"/>
      <c r="GVN236" s="19"/>
      <c r="GVQ236" s="16"/>
      <c r="GVR236" s="15"/>
      <c r="GVS236" s="15"/>
      <c r="GVT236" s="15"/>
      <c r="GVU236" s="16"/>
      <c r="GVV236" s="16"/>
      <c r="GVW236" s="16"/>
      <c r="GVX236" s="16"/>
      <c r="GVY236" s="16"/>
      <c r="GVZ236" s="15"/>
      <c r="GWA236" s="15"/>
      <c r="GWB236" s="10"/>
      <c r="GWC236" s="10"/>
      <c r="GWD236" s="19"/>
      <c r="GWE236" s="19"/>
      <c r="GWH236" s="16"/>
      <c r="GWI236" s="15"/>
      <c r="GWJ236" s="15"/>
      <c r="GWK236" s="15"/>
      <c r="GWL236" s="16"/>
      <c r="GWM236" s="16"/>
      <c r="GWN236" s="16"/>
      <c r="GWO236" s="16"/>
      <c r="GWP236" s="16"/>
      <c r="GWQ236" s="15"/>
      <c r="GWR236" s="15"/>
      <c r="GWS236" s="10"/>
      <c r="GWT236" s="10"/>
      <c r="GWU236" s="19"/>
      <c r="GWV236" s="19"/>
      <c r="GWY236" s="16"/>
      <c r="GWZ236" s="15"/>
      <c r="GXA236" s="15"/>
      <c r="GXB236" s="15"/>
      <c r="GXC236" s="16"/>
      <c r="GXD236" s="16"/>
      <c r="GXE236" s="16"/>
      <c r="GXF236" s="16"/>
      <c r="GXG236" s="16"/>
      <c r="GXH236" s="15"/>
      <c r="GXI236" s="15"/>
      <c r="GXJ236" s="10"/>
      <c r="GXK236" s="10"/>
      <c r="GXL236" s="19"/>
      <c r="GXM236" s="19"/>
      <c r="GXP236" s="16"/>
      <c r="GXQ236" s="15"/>
      <c r="GXR236" s="15"/>
      <c r="GXS236" s="15"/>
      <c r="GXT236" s="16"/>
      <c r="GXU236" s="16"/>
      <c r="GXV236" s="16"/>
      <c r="GXW236" s="16"/>
      <c r="GXX236" s="16"/>
      <c r="GXY236" s="15"/>
      <c r="GXZ236" s="15"/>
      <c r="GYA236" s="10"/>
      <c r="GYB236" s="10"/>
      <c r="GYC236" s="19"/>
      <c r="GYD236" s="19"/>
      <c r="GYG236" s="16"/>
      <c r="GYH236" s="15"/>
      <c r="GYI236" s="15"/>
      <c r="GYJ236" s="15"/>
      <c r="GYK236" s="16"/>
      <c r="GYL236" s="16"/>
      <c r="GYM236" s="16"/>
      <c r="GYN236" s="16"/>
      <c r="GYO236" s="16"/>
      <c r="GYP236" s="15"/>
      <c r="GYQ236" s="15"/>
      <c r="GYR236" s="10"/>
      <c r="GYS236" s="10"/>
      <c r="GYT236" s="19"/>
      <c r="GYU236" s="19"/>
      <c r="GYX236" s="16"/>
      <c r="GYY236" s="15"/>
      <c r="GYZ236" s="15"/>
      <c r="GZA236" s="15"/>
      <c r="GZB236" s="16"/>
      <c r="GZC236" s="16"/>
      <c r="GZD236" s="16"/>
      <c r="GZE236" s="16"/>
      <c r="GZF236" s="16"/>
      <c r="GZG236" s="15"/>
      <c r="GZH236" s="15"/>
      <c r="GZI236" s="10"/>
      <c r="GZJ236" s="10"/>
      <c r="GZK236" s="19"/>
      <c r="GZL236" s="19"/>
      <c r="GZO236" s="16"/>
      <c r="GZP236" s="15"/>
      <c r="GZQ236" s="15"/>
      <c r="GZR236" s="15"/>
      <c r="GZS236" s="16"/>
      <c r="GZT236" s="16"/>
      <c r="GZU236" s="16"/>
      <c r="GZV236" s="16"/>
      <c r="GZW236" s="16"/>
      <c r="GZX236" s="15"/>
      <c r="GZY236" s="15"/>
      <c r="GZZ236" s="10"/>
      <c r="HAA236" s="10"/>
      <c r="HAB236" s="19"/>
      <c r="HAC236" s="19"/>
      <c r="HAF236" s="16"/>
      <c r="HAG236" s="15"/>
      <c r="HAH236" s="15"/>
      <c r="HAI236" s="15"/>
      <c r="HAJ236" s="16"/>
      <c r="HAK236" s="16"/>
      <c r="HAL236" s="16"/>
      <c r="HAM236" s="16"/>
      <c r="HAN236" s="16"/>
      <c r="HAO236" s="15"/>
      <c r="HAP236" s="15"/>
      <c r="HAQ236" s="10"/>
      <c r="HAR236" s="10"/>
      <c r="HAS236" s="19"/>
      <c r="HAT236" s="19"/>
      <c r="HAW236" s="16"/>
      <c r="HAX236" s="15"/>
      <c r="HAY236" s="15"/>
      <c r="HAZ236" s="15"/>
      <c r="HBA236" s="16"/>
      <c r="HBB236" s="16"/>
      <c r="HBC236" s="16"/>
      <c r="HBD236" s="16"/>
      <c r="HBE236" s="16"/>
      <c r="HBF236" s="15"/>
      <c r="HBG236" s="15"/>
      <c r="HBH236" s="10"/>
      <c r="HBI236" s="10"/>
      <c r="HBJ236" s="19"/>
      <c r="HBK236" s="19"/>
      <c r="HBN236" s="16"/>
      <c r="HBO236" s="15"/>
      <c r="HBP236" s="15"/>
      <c r="HBQ236" s="15"/>
      <c r="HBR236" s="16"/>
      <c r="HBS236" s="16"/>
      <c r="HBT236" s="16"/>
      <c r="HBU236" s="16"/>
      <c r="HBV236" s="16"/>
      <c r="HBW236" s="15"/>
      <c r="HBX236" s="15"/>
      <c r="HBY236" s="10"/>
      <c r="HBZ236" s="10"/>
      <c r="HCA236" s="19"/>
      <c r="HCB236" s="19"/>
      <c r="HCE236" s="16"/>
      <c r="HCF236" s="15"/>
      <c r="HCG236" s="15"/>
      <c r="HCH236" s="15"/>
      <c r="HCI236" s="16"/>
      <c r="HCJ236" s="16"/>
      <c r="HCK236" s="16"/>
      <c r="HCL236" s="16"/>
      <c r="HCM236" s="16"/>
      <c r="HCN236" s="15"/>
      <c r="HCO236" s="15"/>
      <c r="HCP236" s="10"/>
      <c r="HCQ236" s="10"/>
      <c r="HCR236" s="19"/>
      <c r="HCS236" s="19"/>
      <c r="HCV236" s="16"/>
      <c r="HCW236" s="15"/>
      <c r="HCX236" s="15"/>
      <c r="HCY236" s="15"/>
      <c r="HCZ236" s="16"/>
      <c r="HDA236" s="16"/>
      <c r="HDB236" s="16"/>
      <c r="HDC236" s="16"/>
      <c r="HDD236" s="16"/>
      <c r="HDE236" s="15"/>
      <c r="HDF236" s="15"/>
      <c r="HDG236" s="10"/>
      <c r="HDH236" s="10"/>
      <c r="HDI236" s="19"/>
      <c r="HDJ236" s="19"/>
      <c r="HDM236" s="16"/>
      <c r="HDN236" s="15"/>
      <c r="HDO236" s="15"/>
      <c r="HDP236" s="15"/>
      <c r="HDQ236" s="16"/>
      <c r="HDR236" s="16"/>
      <c r="HDS236" s="16"/>
      <c r="HDT236" s="16"/>
      <c r="HDU236" s="16"/>
      <c r="HDV236" s="15"/>
      <c r="HDW236" s="15"/>
      <c r="HDX236" s="10"/>
      <c r="HDY236" s="10"/>
      <c r="HDZ236" s="19"/>
      <c r="HEA236" s="19"/>
      <c r="HED236" s="16"/>
      <c r="HEE236" s="15"/>
      <c r="HEF236" s="15"/>
      <c r="HEG236" s="15"/>
      <c r="HEH236" s="16"/>
      <c r="HEI236" s="16"/>
      <c r="HEJ236" s="16"/>
      <c r="HEK236" s="16"/>
      <c r="HEL236" s="16"/>
      <c r="HEM236" s="15"/>
      <c r="HEN236" s="15"/>
      <c r="HEO236" s="10"/>
      <c r="HEP236" s="10"/>
      <c r="HEQ236" s="19"/>
      <c r="HER236" s="19"/>
      <c r="HEU236" s="16"/>
      <c r="HEV236" s="15"/>
      <c r="HEW236" s="15"/>
      <c r="HEX236" s="15"/>
      <c r="HEY236" s="16"/>
      <c r="HEZ236" s="16"/>
      <c r="HFA236" s="16"/>
      <c r="HFB236" s="16"/>
      <c r="HFC236" s="16"/>
      <c r="HFD236" s="15"/>
      <c r="HFE236" s="15"/>
      <c r="HFF236" s="10"/>
      <c r="HFG236" s="10"/>
      <c r="HFH236" s="19"/>
      <c r="HFI236" s="19"/>
      <c r="HFL236" s="16"/>
      <c r="HFM236" s="15"/>
      <c r="HFN236" s="15"/>
      <c r="HFO236" s="15"/>
      <c r="HFP236" s="16"/>
      <c r="HFQ236" s="16"/>
      <c r="HFR236" s="16"/>
      <c r="HFS236" s="16"/>
      <c r="HFT236" s="16"/>
      <c r="HFU236" s="15"/>
      <c r="HFV236" s="15"/>
      <c r="HFW236" s="10"/>
      <c r="HFX236" s="10"/>
      <c r="HFY236" s="19"/>
      <c r="HFZ236" s="19"/>
      <c r="HGC236" s="16"/>
      <c r="HGD236" s="15"/>
      <c r="HGE236" s="15"/>
      <c r="HGF236" s="15"/>
      <c r="HGG236" s="16"/>
      <c r="HGH236" s="16"/>
      <c r="HGI236" s="16"/>
      <c r="HGJ236" s="16"/>
      <c r="HGK236" s="16"/>
      <c r="HGL236" s="15"/>
      <c r="HGM236" s="15"/>
      <c r="HGN236" s="10"/>
      <c r="HGO236" s="10"/>
      <c r="HGP236" s="19"/>
      <c r="HGQ236" s="19"/>
      <c r="HGT236" s="16"/>
      <c r="HGU236" s="15"/>
      <c r="HGV236" s="15"/>
      <c r="HGW236" s="15"/>
      <c r="HGX236" s="16"/>
      <c r="HGY236" s="16"/>
      <c r="HGZ236" s="16"/>
      <c r="HHA236" s="16"/>
      <c r="HHB236" s="16"/>
      <c r="HHC236" s="15"/>
      <c r="HHD236" s="15"/>
      <c r="HHE236" s="10"/>
      <c r="HHF236" s="10"/>
      <c r="HHG236" s="19"/>
      <c r="HHH236" s="19"/>
      <c r="HHK236" s="16"/>
      <c r="HHL236" s="15"/>
      <c r="HHM236" s="15"/>
      <c r="HHN236" s="15"/>
      <c r="HHO236" s="16"/>
      <c r="HHP236" s="16"/>
      <c r="HHQ236" s="16"/>
      <c r="HHR236" s="16"/>
      <c r="HHS236" s="16"/>
      <c r="HHT236" s="15"/>
      <c r="HHU236" s="15"/>
      <c r="HHV236" s="10"/>
      <c r="HHW236" s="10"/>
      <c r="HHX236" s="19"/>
      <c r="HHY236" s="19"/>
      <c r="HIB236" s="16"/>
      <c r="HIC236" s="15"/>
      <c r="HID236" s="15"/>
      <c r="HIE236" s="15"/>
      <c r="HIF236" s="16"/>
      <c r="HIG236" s="16"/>
      <c r="HIH236" s="16"/>
      <c r="HII236" s="16"/>
      <c r="HIJ236" s="16"/>
      <c r="HIK236" s="15"/>
      <c r="HIL236" s="15"/>
      <c r="HIM236" s="10"/>
      <c r="HIN236" s="10"/>
      <c r="HIO236" s="19"/>
      <c r="HIP236" s="19"/>
      <c r="HIS236" s="16"/>
      <c r="HIT236" s="15"/>
      <c r="HIU236" s="15"/>
      <c r="HIV236" s="15"/>
      <c r="HIW236" s="16"/>
      <c r="HIX236" s="16"/>
      <c r="HIY236" s="16"/>
      <c r="HIZ236" s="16"/>
      <c r="HJA236" s="16"/>
      <c r="HJB236" s="15"/>
      <c r="HJC236" s="15"/>
      <c r="HJD236" s="10"/>
      <c r="HJE236" s="10"/>
      <c r="HJF236" s="19"/>
      <c r="HJG236" s="19"/>
      <c r="HJJ236" s="16"/>
      <c r="HJK236" s="15"/>
      <c r="HJL236" s="15"/>
      <c r="HJM236" s="15"/>
      <c r="HJN236" s="16"/>
      <c r="HJO236" s="16"/>
      <c r="HJP236" s="16"/>
      <c r="HJQ236" s="16"/>
      <c r="HJR236" s="16"/>
      <c r="HJS236" s="15"/>
      <c r="HJT236" s="15"/>
      <c r="HJU236" s="10"/>
      <c r="HJV236" s="10"/>
      <c r="HJW236" s="19"/>
      <c r="HJX236" s="19"/>
      <c r="HKA236" s="16"/>
      <c r="HKB236" s="15"/>
      <c r="HKC236" s="15"/>
      <c r="HKD236" s="15"/>
      <c r="HKE236" s="16"/>
      <c r="HKF236" s="16"/>
      <c r="HKG236" s="16"/>
      <c r="HKH236" s="16"/>
      <c r="HKI236" s="16"/>
      <c r="HKJ236" s="15"/>
      <c r="HKK236" s="15"/>
      <c r="HKL236" s="10"/>
      <c r="HKM236" s="10"/>
      <c r="HKN236" s="19"/>
      <c r="HKO236" s="19"/>
      <c r="HKR236" s="16"/>
      <c r="HKS236" s="15"/>
      <c r="HKT236" s="15"/>
      <c r="HKU236" s="15"/>
      <c r="HKV236" s="16"/>
      <c r="HKW236" s="16"/>
      <c r="HKX236" s="16"/>
      <c r="HKY236" s="16"/>
      <c r="HKZ236" s="16"/>
      <c r="HLA236" s="15"/>
      <c r="HLB236" s="15"/>
      <c r="HLC236" s="10"/>
      <c r="HLD236" s="10"/>
      <c r="HLE236" s="19"/>
      <c r="HLF236" s="19"/>
      <c r="HLI236" s="16"/>
      <c r="HLJ236" s="15"/>
      <c r="HLK236" s="15"/>
      <c r="HLL236" s="15"/>
      <c r="HLM236" s="16"/>
      <c r="HLN236" s="16"/>
      <c r="HLO236" s="16"/>
      <c r="HLP236" s="16"/>
      <c r="HLQ236" s="16"/>
      <c r="HLR236" s="15"/>
      <c r="HLS236" s="15"/>
      <c r="HLT236" s="10"/>
      <c r="HLU236" s="10"/>
      <c r="HLV236" s="19"/>
      <c r="HLW236" s="19"/>
      <c r="HLZ236" s="16"/>
      <c r="HMA236" s="15"/>
      <c r="HMB236" s="15"/>
      <c r="HMC236" s="15"/>
      <c r="HMD236" s="16"/>
      <c r="HME236" s="16"/>
      <c r="HMF236" s="16"/>
      <c r="HMG236" s="16"/>
      <c r="HMH236" s="16"/>
      <c r="HMI236" s="15"/>
      <c r="HMJ236" s="15"/>
      <c r="HMK236" s="10"/>
      <c r="HML236" s="10"/>
      <c r="HMM236" s="19"/>
      <c r="HMN236" s="19"/>
      <c r="HMQ236" s="16"/>
      <c r="HMR236" s="15"/>
      <c r="HMS236" s="15"/>
      <c r="HMT236" s="15"/>
      <c r="HMU236" s="16"/>
      <c r="HMV236" s="16"/>
      <c r="HMW236" s="16"/>
      <c r="HMX236" s="16"/>
      <c r="HMY236" s="16"/>
      <c r="HMZ236" s="15"/>
      <c r="HNA236" s="15"/>
      <c r="HNB236" s="10"/>
      <c r="HNC236" s="10"/>
      <c r="HND236" s="19"/>
      <c r="HNE236" s="19"/>
      <c r="HNH236" s="16"/>
      <c r="HNI236" s="15"/>
      <c r="HNJ236" s="15"/>
      <c r="HNK236" s="15"/>
      <c r="HNL236" s="16"/>
      <c r="HNM236" s="16"/>
      <c r="HNN236" s="16"/>
      <c r="HNO236" s="16"/>
      <c r="HNP236" s="16"/>
      <c r="HNQ236" s="15"/>
      <c r="HNR236" s="15"/>
      <c r="HNS236" s="10"/>
      <c r="HNT236" s="10"/>
      <c r="HNU236" s="19"/>
      <c r="HNV236" s="19"/>
      <c r="HNY236" s="16"/>
      <c r="HNZ236" s="15"/>
      <c r="HOA236" s="15"/>
      <c r="HOB236" s="15"/>
      <c r="HOC236" s="16"/>
      <c r="HOD236" s="16"/>
      <c r="HOE236" s="16"/>
      <c r="HOF236" s="16"/>
      <c r="HOG236" s="16"/>
      <c r="HOH236" s="15"/>
      <c r="HOI236" s="15"/>
      <c r="HOJ236" s="10"/>
      <c r="HOK236" s="10"/>
      <c r="HOL236" s="19"/>
      <c r="HOM236" s="19"/>
      <c r="HOP236" s="16"/>
      <c r="HOQ236" s="15"/>
      <c r="HOR236" s="15"/>
      <c r="HOS236" s="15"/>
      <c r="HOT236" s="16"/>
      <c r="HOU236" s="16"/>
      <c r="HOV236" s="16"/>
      <c r="HOW236" s="16"/>
      <c r="HOX236" s="16"/>
      <c r="HOY236" s="15"/>
      <c r="HOZ236" s="15"/>
      <c r="HPA236" s="10"/>
      <c r="HPB236" s="10"/>
      <c r="HPC236" s="19"/>
      <c r="HPD236" s="19"/>
      <c r="HPG236" s="16"/>
      <c r="HPH236" s="15"/>
      <c r="HPI236" s="15"/>
      <c r="HPJ236" s="15"/>
      <c r="HPK236" s="16"/>
      <c r="HPL236" s="16"/>
      <c r="HPM236" s="16"/>
      <c r="HPN236" s="16"/>
      <c r="HPO236" s="16"/>
      <c r="HPP236" s="15"/>
      <c r="HPQ236" s="15"/>
      <c r="HPR236" s="10"/>
      <c r="HPS236" s="10"/>
      <c r="HPT236" s="19"/>
      <c r="HPU236" s="19"/>
      <c r="HPX236" s="16"/>
      <c r="HPY236" s="15"/>
      <c r="HPZ236" s="15"/>
      <c r="HQA236" s="15"/>
      <c r="HQB236" s="16"/>
      <c r="HQC236" s="16"/>
      <c r="HQD236" s="16"/>
      <c r="HQE236" s="16"/>
      <c r="HQF236" s="16"/>
      <c r="HQG236" s="15"/>
      <c r="HQH236" s="15"/>
      <c r="HQI236" s="10"/>
      <c r="HQJ236" s="10"/>
      <c r="HQK236" s="19"/>
      <c r="HQL236" s="19"/>
      <c r="HQO236" s="16"/>
      <c r="HQP236" s="15"/>
      <c r="HQQ236" s="15"/>
      <c r="HQR236" s="15"/>
      <c r="HQS236" s="16"/>
      <c r="HQT236" s="16"/>
      <c r="HQU236" s="16"/>
      <c r="HQV236" s="16"/>
      <c r="HQW236" s="16"/>
      <c r="HQX236" s="15"/>
      <c r="HQY236" s="15"/>
      <c r="HQZ236" s="10"/>
      <c r="HRA236" s="10"/>
      <c r="HRB236" s="19"/>
      <c r="HRC236" s="19"/>
      <c r="HRF236" s="16"/>
      <c r="HRG236" s="15"/>
      <c r="HRH236" s="15"/>
      <c r="HRI236" s="15"/>
      <c r="HRJ236" s="16"/>
      <c r="HRK236" s="16"/>
      <c r="HRL236" s="16"/>
      <c r="HRM236" s="16"/>
      <c r="HRN236" s="16"/>
      <c r="HRO236" s="15"/>
      <c r="HRP236" s="15"/>
      <c r="HRQ236" s="10"/>
      <c r="HRR236" s="10"/>
      <c r="HRS236" s="19"/>
      <c r="HRT236" s="19"/>
      <c r="HRW236" s="16"/>
      <c r="HRX236" s="15"/>
      <c r="HRY236" s="15"/>
      <c r="HRZ236" s="15"/>
      <c r="HSA236" s="16"/>
      <c r="HSB236" s="16"/>
      <c r="HSC236" s="16"/>
      <c r="HSD236" s="16"/>
      <c r="HSE236" s="16"/>
      <c r="HSF236" s="15"/>
      <c r="HSG236" s="15"/>
      <c r="HSH236" s="10"/>
      <c r="HSI236" s="10"/>
      <c r="HSJ236" s="19"/>
      <c r="HSK236" s="19"/>
      <c r="HSN236" s="16"/>
      <c r="HSO236" s="15"/>
      <c r="HSP236" s="15"/>
      <c r="HSQ236" s="15"/>
      <c r="HSR236" s="16"/>
      <c r="HSS236" s="16"/>
      <c r="HST236" s="16"/>
      <c r="HSU236" s="16"/>
      <c r="HSV236" s="16"/>
      <c r="HSW236" s="15"/>
      <c r="HSX236" s="15"/>
      <c r="HSY236" s="10"/>
      <c r="HSZ236" s="10"/>
      <c r="HTA236" s="19"/>
      <c r="HTB236" s="19"/>
      <c r="HTE236" s="16"/>
      <c r="HTF236" s="15"/>
      <c r="HTG236" s="15"/>
      <c r="HTH236" s="15"/>
      <c r="HTI236" s="16"/>
      <c r="HTJ236" s="16"/>
      <c r="HTK236" s="16"/>
      <c r="HTL236" s="16"/>
      <c r="HTM236" s="16"/>
      <c r="HTN236" s="15"/>
      <c r="HTO236" s="15"/>
      <c r="HTP236" s="10"/>
      <c r="HTQ236" s="10"/>
      <c r="HTR236" s="19"/>
      <c r="HTS236" s="19"/>
      <c r="HTV236" s="16"/>
      <c r="HTW236" s="15"/>
      <c r="HTX236" s="15"/>
      <c r="HTY236" s="15"/>
      <c r="HTZ236" s="16"/>
      <c r="HUA236" s="16"/>
      <c r="HUB236" s="16"/>
      <c r="HUC236" s="16"/>
      <c r="HUD236" s="16"/>
      <c r="HUE236" s="15"/>
      <c r="HUF236" s="15"/>
      <c r="HUG236" s="10"/>
      <c r="HUH236" s="10"/>
      <c r="HUI236" s="19"/>
      <c r="HUJ236" s="19"/>
      <c r="HUM236" s="16"/>
      <c r="HUN236" s="15"/>
      <c r="HUO236" s="15"/>
      <c r="HUP236" s="15"/>
      <c r="HUQ236" s="16"/>
      <c r="HUR236" s="16"/>
      <c r="HUS236" s="16"/>
      <c r="HUT236" s="16"/>
      <c r="HUU236" s="16"/>
      <c r="HUV236" s="15"/>
      <c r="HUW236" s="15"/>
      <c r="HUX236" s="10"/>
      <c r="HUY236" s="10"/>
      <c r="HUZ236" s="19"/>
      <c r="HVA236" s="19"/>
      <c r="HVD236" s="16"/>
      <c r="HVE236" s="15"/>
      <c r="HVF236" s="15"/>
      <c r="HVG236" s="15"/>
      <c r="HVH236" s="16"/>
      <c r="HVI236" s="16"/>
      <c r="HVJ236" s="16"/>
      <c r="HVK236" s="16"/>
      <c r="HVL236" s="16"/>
      <c r="HVM236" s="15"/>
      <c r="HVN236" s="15"/>
      <c r="HVO236" s="10"/>
      <c r="HVP236" s="10"/>
      <c r="HVQ236" s="19"/>
      <c r="HVR236" s="19"/>
      <c r="HVU236" s="16"/>
      <c r="HVV236" s="15"/>
      <c r="HVW236" s="15"/>
      <c r="HVX236" s="15"/>
      <c r="HVY236" s="16"/>
      <c r="HVZ236" s="16"/>
      <c r="HWA236" s="16"/>
      <c r="HWB236" s="16"/>
      <c r="HWC236" s="16"/>
      <c r="HWD236" s="15"/>
      <c r="HWE236" s="15"/>
      <c r="HWF236" s="10"/>
      <c r="HWG236" s="10"/>
      <c r="HWH236" s="19"/>
      <c r="HWI236" s="19"/>
      <c r="HWL236" s="16"/>
      <c r="HWM236" s="15"/>
      <c r="HWN236" s="15"/>
      <c r="HWO236" s="15"/>
      <c r="HWP236" s="16"/>
      <c r="HWQ236" s="16"/>
      <c r="HWR236" s="16"/>
      <c r="HWS236" s="16"/>
      <c r="HWT236" s="16"/>
      <c r="HWU236" s="15"/>
      <c r="HWV236" s="15"/>
      <c r="HWW236" s="10"/>
      <c r="HWX236" s="10"/>
      <c r="HWY236" s="19"/>
      <c r="HWZ236" s="19"/>
      <c r="HXC236" s="16"/>
      <c r="HXD236" s="15"/>
      <c r="HXE236" s="15"/>
      <c r="HXF236" s="15"/>
      <c r="HXG236" s="16"/>
      <c r="HXH236" s="16"/>
      <c r="HXI236" s="16"/>
      <c r="HXJ236" s="16"/>
      <c r="HXK236" s="16"/>
      <c r="HXL236" s="15"/>
      <c r="HXM236" s="15"/>
      <c r="HXN236" s="10"/>
      <c r="HXO236" s="10"/>
      <c r="HXP236" s="19"/>
      <c r="HXQ236" s="19"/>
      <c r="HXT236" s="16"/>
      <c r="HXU236" s="15"/>
      <c r="HXV236" s="15"/>
      <c r="HXW236" s="15"/>
      <c r="HXX236" s="16"/>
      <c r="HXY236" s="16"/>
      <c r="HXZ236" s="16"/>
      <c r="HYA236" s="16"/>
      <c r="HYB236" s="16"/>
      <c r="HYC236" s="15"/>
      <c r="HYD236" s="15"/>
      <c r="HYE236" s="10"/>
      <c r="HYF236" s="10"/>
      <c r="HYG236" s="19"/>
      <c r="HYH236" s="19"/>
      <c r="HYK236" s="16"/>
      <c r="HYL236" s="15"/>
      <c r="HYM236" s="15"/>
      <c r="HYN236" s="15"/>
      <c r="HYO236" s="16"/>
      <c r="HYP236" s="16"/>
      <c r="HYQ236" s="16"/>
      <c r="HYR236" s="16"/>
      <c r="HYS236" s="16"/>
      <c r="HYT236" s="15"/>
      <c r="HYU236" s="15"/>
      <c r="HYV236" s="10"/>
      <c r="HYW236" s="10"/>
      <c r="HYX236" s="19"/>
      <c r="HYY236" s="19"/>
      <c r="HZB236" s="16"/>
      <c r="HZC236" s="15"/>
      <c r="HZD236" s="15"/>
      <c r="HZE236" s="15"/>
      <c r="HZF236" s="16"/>
      <c r="HZG236" s="16"/>
      <c r="HZH236" s="16"/>
      <c r="HZI236" s="16"/>
      <c r="HZJ236" s="16"/>
      <c r="HZK236" s="15"/>
      <c r="HZL236" s="15"/>
      <c r="HZM236" s="10"/>
      <c r="HZN236" s="10"/>
      <c r="HZO236" s="19"/>
      <c r="HZP236" s="19"/>
      <c r="HZS236" s="16"/>
      <c r="HZT236" s="15"/>
      <c r="HZU236" s="15"/>
      <c r="HZV236" s="15"/>
      <c r="HZW236" s="16"/>
      <c r="HZX236" s="16"/>
      <c r="HZY236" s="16"/>
      <c r="HZZ236" s="16"/>
      <c r="IAA236" s="16"/>
      <c r="IAB236" s="15"/>
      <c r="IAC236" s="15"/>
      <c r="IAD236" s="10"/>
      <c r="IAE236" s="10"/>
      <c r="IAF236" s="19"/>
      <c r="IAG236" s="19"/>
      <c r="IAJ236" s="16"/>
      <c r="IAK236" s="15"/>
      <c r="IAL236" s="15"/>
      <c r="IAM236" s="15"/>
      <c r="IAN236" s="16"/>
      <c r="IAO236" s="16"/>
      <c r="IAP236" s="16"/>
      <c r="IAQ236" s="16"/>
      <c r="IAR236" s="16"/>
      <c r="IAS236" s="15"/>
      <c r="IAT236" s="15"/>
      <c r="IAU236" s="10"/>
      <c r="IAV236" s="10"/>
      <c r="IAW236" s="19"/>
      <c r="IAX236" s="19"/>
      <c r="IBA236" s="16"/>
      <c r="IBB236" s="15"/>
      <c r="IBC236" s="15"/>
      <c r="IBD236" s="15"/>
      <c r="IBE236" s="16"/>
      <c r="IBF236" s="16"/>
      <c r="IBG236" s="16"/>
      <c r="IBH236" s="16"/>
      <c r="IBI236" s="16"/>
      <c r="IBJ236" s="15"/>
      <c r="IBK236" s="15"/>
      <c r="IBL236" s="10"/>
      <c r="IBM236" s="10"/>
      <c r="IBN236" s="19"/>
      <c r="IBO236" s="19"/>
      <c r="IBR236" s="16"/>
      <c r="IBS236" s="15"/>
      <c r="IBT236" s="15"/>
      <c r="IBU236" s="15"/>
      <c r="IBV236" s="16"/>
      <c r="IBW236" s="16"/>
      <c r="IBX236" s="16"/>
      <c r="IBY236" s="16"/>
      <c r="IBZ236" s="16"/>
      <c r="ICA236" s="15"/>
      <c r="ICB236" s="15"/>
      <c r="ICC236" s="10"/>
      <c r="ICD236" s="10"/>
      <c r="ICE236" s="19"/>
      <c r="ICF236" s="19"/>
      <c r="ICI236" s="16"/>
      <c r="ICJ236" s="15"/>
      <c r="ICK236" s="15"/>
      <c r="ICL236" s="15"/>
      <c r="ICM236" s="16"/>
      <c r="ICN236" s="16"/>
      <c r="ICO236" s="16"/>
      <c r="ICP236" s="16"/>
      <c r="ICQ236" s="16"/>
      <c r="ICR236" s="15"/>
      <c r="ICS236" s="15"/>
      <c r="ICT236" s="10"/>
      <c r="ICU236" s="10"/>
      <c r="ICV236" s="19"/>
      <c r="ICW236" s="19"/>
      <c r="ICZ236" s="16"/>
      <c r="IDA236" s="15"/>
      <c r="IDB236" s="15"/>
      <c r="IDC236" s="15"/>
      <c r="IDD236" s="16"/>
      <c r="IDE236" s="16"/>
      <c r="IDF236" s="16"/>
      <c r="IDG236" s="16"/>
      <c r="IDH236" s="16"/>
      <c r="IDI236" s="15"/>
      <c r="IDJ236" s="15"/>
      <c r="IDK236" s="10"/>
      <c r="IDL236" s="10"/>
      <c r="IDM236" s="19"/>
      <c r="IDN236" s="19"/>
      <c r="IDQ236" s="16"/>
      <c r="IDR236" s="15"/>
      <c r="IDS236" s="15"/>
      <c r="IDT236" s="15"/>
      <c r="IDU236" s="16"/>
      <c r="IDV236" s="16"/>
      <c r="IDW236" s="16"/>
      <c r="IDX236" s="16"/>
      <c r="IDY236" s="16"/>
      <c r="IDZ236" s="15"/>
      <c r="IEA236" s="15"/>
      <c r="IEB236" s="10"/>
      <c r="IEC236" s="10"/>
      <c r="IED236" s="19"/>
      <c r="IEE236" s="19"/>
      <c r="IEH236" s="16"/>
      <c r="IEI236" s="15"/>
      <c r="IEJ236" s="15"/>
      <c r="IEK236" s="15"/>
      <c r="IEL236" s="16"/>
      <c r="IEM236" s="16"/>
      <c r="IEN236" s="16"/>
      <c r="IEO236" s="16"/>
      <c r="IEP236" s="16"/>
      <c r="IEQ236" s="15"/>
      <c r="IER236" s="15"/>
      <c r="IES236" s="10"/>
      <c r="IET236" s="10"/>
      <c r="IEU236" s="19"/>
      <c r="IEV236" s="19"/>
      <c r="IEY236" s="16"/>
      <c r="IEZ236" s="15"/>
      <c r="IFA236" s="15"/>
      <c r="IFB236" s="15"/>
      <c r="IFC236" s="16"/>
      <c r="IFD236" s="16"/>
      <c r="IFE236" s="16"/>
      <c r="IFF236" s="16"/>
      <c r="IFG236" s="16"/>
      <c r="IFH236" s="15"/>
      <c r="IFI236" s="15"/>
      <c r="IFJ236" s="10"/>
      <c r="IFK236" s="10"/>
      <c r="IFL236" s="19"/>
      <c r="IFM236" s="19"/>
      <c r="IFP236" s="16"/>
      <c r="IFQ236" s="15"/>
      <c r="IFR236" s="15"/>
      <c r="IFS236" s="15"/>
      <c r="IFT236" s="16"/>
      <c r="IFU236" s="16"/>
      <c r="IFV236" s="16"/>
      <c r="IFW236" s="16"/>
      <c r="IFX236" s="16"/>
      <c r="IFY236" s="15"/>
      <c r="IFZ236" s="15"/>
      <c r="IGA236" s="10"/>
      <c r="IGB236" s="10"/>
      <c r="IGC236" s="19"/>
      <c r="IGD236" s="19"/>
      <c r="IGG236" s="16"/>
      <c r="IGH236" s="15"/>
      <c r="IGI236" s="15"/>
      <c r="IGJ236" s="15"/>
      <c r="IGK236" s="16"/>
      <c r="IGL236" s="16"/>
      <c r="IGM236" s="16"/>
      <c r="IGN236" s="16"/>
      <c r="IGO236" s="16"/>
      <c r="IGP236" s="15"/>
      <c r="IGQ236" s="15"/>
      <c r="IGR236" s="10"/>
      <c r="IGS236" s="10"/>
      <c r="IGT236" s="19"/>
      <c r="IGU236" s="19"/>
      <c r="IGX236" s="16"/>
      <c r="IGY236" s="15"/>
      <c r="IGZ236" s="15"/>
      <c r="IHA236" s="15"/>
      <c r="IHB236" s="16"/>
      <c r="IHC236" s="16"/>
      <c r="IHD236" s="16"/>
      <c r="IHE236" s="16"/>
      <c r="IHF236" s="16"/>
      <c r="IHG236" s="15"/>
      <c r="IHH236" s="15"/>
      <c r="IHI236" s="10"/>
      <c r="IHJ236" s="10"/>
      <c r="IHK236" s="19"/>
      <c r="IHL236" s="19"/>
      <c r="IHO236" s="16"/>
      <c r="IHP236" s="15"/>
      <c r="IHQ236" s="15"/>
      <c r="IHR236" s="15"/>
      <c r="IHS236" s="16"/>
      <c r="IHT236" s="16"/>
      <c r="IHU236" s="16"/>
      <c r="IHV236" s="16"/>
      <c r="IHW236" s="16"/>
      <c r="IHX236" s="15"/>
      <c r="IHY236" s="15"/>
      <c r="IHZ236" s="10"/>
      <c r="IIA236" s="10"/>
      <c r="IIB236" s="19"/>
      <c r="IIC236" s="19"/>
      <c r="IIF236" s="16"/>
      <c r="IIG236" s="15"/>
      <c r="IIH236" s="15"/>
      <c r="III236" s="15"/>
      <c r="IIJ236" s="16"/>
      <c r="IIK236" s="16"/>
      <c r="IIL236" s="16"/>
      <c r="IIM236" s="16"/>
      <c r="IIN236" s="16"/>
      <c r="IIO236" s="15"/>
      <c r="IIP236" s="15"/>
      <c r="IIQ236" s="10"/>
      <c r="IIR236" s="10"/>
      <c r="IIS236" s="19"/>
      <c r="IIT236" s="19"/>
      <c r="IIW236" s="16"/>
      <c r="IIX236" s="15"/>
      <c r="IIY236" s="15"/>
      <c r="IIZ236" s="15"/>
      <c r="IJA236" s="16"/>
      <c r="IJB236" s="16"/>
      <c r="IJC236" s="16"/>
      <c r="IJD236" s="16"/>
      <c r="IJE236" s="16"/>
      <c r="IJF236" s="15"/>
      <c r="IJG236" s="15"/>
      <c r="IJH236" s="10"/>
      <c r="IJI236" s="10"/>
      <c r="IJJ236" s="19"/>
      <c r="IJK236" s="19"/>
      <c r="IJN236" s="16"/>
      <c r="IJO236" s="15"/>
      <c r="IJP236" s="15"/>
      <c r="IJQ236" s="15"/>
      <c r="IJR236" s="16"/>
      <c r="IJS236" s="16"/>
      <c r="IJT236" s="16"/>
      <c r="IJU236" s="16"/>
      <c r="IJV236" s="16"/>
      <c r="IJW236" s="15"/>
      <c r="IJX236" s="15"/>
      <c r="IJY236" s="10"/>
      <c r="IJZ236" s="10"/>
      <c r="IKA236" s="19"/>
      <c r="IKB236" s="19"/>
      <c r="IKE236" s="16"/>
      <c r="IKF236" s="15"/>
      <c r="IKG236" s="15"/>
      <c r="IKH236" s="15"/>
      <c r="IKI236" s="16"/>
      <c r="IKJ236" s="16"/>
      <c r="IKK236" s="16"/>
      <c r="IKL236" s="16"/>
      <c r="IKM236" s="16"/>
      <c r="IKN236" s="15"/>
      <c r="IKO236" s="15"/>
      <c r="IKP236" s="10"/>
      <c r="IKQ236" s="10"/>
      <c r="IKR236" s="19"/>
      <c r="IKS236" s="19"/>
      <c r="IKV236" s="16"/>
      <c r="IKW236" s="15"/>
      <c r="IKX236" s="15"/>
      <c r="IKY236" s="15"/>
      <c r="IKZ236" s="16"/>
      <c r="ILA236" s="16"/>
      <c r="ILB236" s="16"/>
      <c r="ILC236" s="16"/>
      <c r="ILD236" s="16"/>
      <c r="ILE236" s="15"/>
      <c r="ILF236" s="15"/>
      <c r="ILG236" s="10"/>
      <c r="ILH236" s="10"/>
      <c r="ILI236" s="19"/>
      <c r="ILJ236" s="19"/>
      <c r="ILM236" s="16"/>
      <c r="ILN236" s="15"/>
      <c r="ILO236" s="15"/>
      <c r="ILP236" s="15"/>
      <c r="ILQ236" s="16"/>
      <c r="ILR236" s="16"/>
      <c r="ILS236" s="16"/>
      <c r="ILT236" s="16"/>
      <c r="ILU236" s="16"/>
      <c r="ILV236" s="15"/>
      <c r="ILW236" s="15"/>
      <c r="ILX236" s="10"/>
      <c r="ILY236" s="10"/>
      <c r="ILZ236" s="19"/>
      <c r="IMA236" s="19"/>
      <c r="IMD236" s="16"/>
      <c r="IME236" s="15"/>
      <c r="IMF236" s="15"/>
      <c r="IMG236" s="15"/>
      <c r="IMH236" s="16"/>
      <c r="IMI236" s="16"/>
      <c r="IMJ236" s="16"/>
      <c r="IMK236" s="16"/>
      <c r="IML236" s="16"/>
      <c r="IMM236" s="15"/>
      <c r="IMN236" s="15"/>
      <c r="IMO236" s="10"/>
      <c r="IMP236" s="10"/>
      <c r="IMQ236" s="19"/>
      <c r="IMR236" s="19"/>
      <c r="IMU236" s="16"/>
      <c r="IMV236" s="15"/>
      <c r="IMW236" s="15"/>
      <c r="IMX236" s="15"/>
      <c r="IMY236" s="16"/>
      <c r="IMZ236" s="16"/>
      <c r="INA236" s="16"/>
      <c r="INB236" s="16"/>
      <c r="INC236" s="16"/>
      <c r="IND236" s="15"/>
      <c r="INE236" s="15"/>
      <c r="INF236" s="10"/>
      <c r="ING236" s="10"/>
      <c r="INH236" s="19"/>
      <c r="INI236" s="19"/>
      <c r="INL236" s="16"/>
      <c r="INM236" s="15"/>
      <c r="INN236" s="15"/>
      <c r="INO236" s="15"/>
      <c r="INP236" s="16"/>
      <c r="INQ236" s="16"/>
      <c r="INR236" s="16"/>
      <c r="INS236" s="16"/>
      <c r="INT236" s="16"/>
      <c r="INU236" s="15"/>
      <c r="INV236" s="15"/>
      <c r="INW236" s="10"/>
      <c r="INX236" s="10"/>
      <c r="INY236" s="19"/>
      <c r="INZ236" s="19"/>
      <c r="IOC236" s="16"/>
      <c r="IOD236" s="15"/>
      <c r="IOE236" s="15"/>
      <c r="IOF236" s="15"/>
      <c r="IOG236" s="16"/>
      <c r="IOH236" s="16"/>
      <c r="IOI236" s="16"/>
      <c r="IOJ236" s="16"/>
      <c r="IOK236" s="16"/>
      <c r="IOL236" s="15"/>
      <c r="IOM236" s="15"/>
      <c r="ION236" s="10"/>
      <c r="IOO236" s="10"/>
      <c r="IOP236" s="19"/>
      <c r="IOQ236" s="19"/>
      <c r="IOT236" s="16"/>
      <c r="IOU236" s="15"/>
      <c r="IOV236" s="15"/>
      <c r="IOW236" s="15"/>
      <c r="IOX236" s="16"/>
      <c r="IOY236" s="16"/>
      <c r="IOZ236" s="16"/>
      <c r="IPA236" s="16"/>
      <c r="IPB236" s="16"/>
      <c r="IPC236" s="15"/>
      <c r="IPD236" s="15"/>
      <c r="IPE236" s="10"/>
      <c r="IPF236" s="10"/>
      <c r="IPG236" s="19"/>
      <c r="IPH236" s="19"/>
      <c r="IPK236" s="16"/>
      <c r="IPL236" s="15"/>
      <c r="IPM236" s="15"/>
      <c r="IPN236" s="15"/>
      <c r="IPO236" s="16"/>
      <c r="IPP236" s="16"/>
      <c r="IPQ236" s="16"/>
      <c r="IPR236" s="16"/>
      <c r="IPS236" s="16"/>
      <c r="IPT236" s="15"/>
      <c r="IPU236" s="15"/>
      <c r="IPV236" s="10"/>
      <c r="IPW236" s="10"/>
      <c r="IPX236" s="19"/>
      <c r="IPY236" s="19"/>
      <c r="IQB236" s="16"/>
      <c r="IQC236" s="15"/>
      <c r="IQD236" s="15"/>
      <c r="IQE236" s="15"/>
      <c r="IQF236" s="16"/>
      <c r="IQG236" s="16"/>
      <c r="IQH236" s="16"/>
      <c r="IQI236" s="16"/>
      <c r="IQJ236" s="16"/>
      <c r="IQK236" s="15"/>
      <c r="IQL236" s="15"/>
      <c r="IQM236" s="10"/>
      <c r="IQN236" s="10"/>
      <c r="IQO236" s="19"/>
      <c r="IQP236" s="19"/>
      <c r="IQS236" s="16"/>
      <c r="IQT236" s="15"/>
      <c r="IQU236" s="15"/>
      <c r="IQV236" s="15"/>
      <c r="IQW236" s="16"/>
      <c r="IQX236" s="16"/>
      <c r="IQY236" s="16"/>
      <c r="IQZ236" s="16"/>
      <c r="IRA236" s="16"/>
      <c r="IRB236" s="15"/>
      <c r="IRC236" s="15"/>
      <c r="IRD236" s="10"/>
      <c r="IRE236" s="10"/>
      <c r="IRF236" s="19"/>
      <c r="IRG236" s="19"/>
      <c r="IRJ236" s="16"/>
      <c r="IRK236" s="15"/>
      <c r="IRL236" s="15"/>
      <c r="IRM236" s="15"/>
      <c r="IRN236" s="16"/>
      <c r="IRO236" s="16"/>
      <c r="IRP236" s="16"/>
      <c r="IRQ236" s="16"/>
      <c r="IRR236" s="16"/>
      <c r="IRS236" s="15"/>
      <c r="IRT236" s="15"/>
      <c r="IRU236" s="10"/>
      <c r="IRV236" s="10"/>
      <c r="IRW236" s="19"/>
      <c r="IRX236" s="19"/>
      <c r="ISA236" s="16"/>
      <c r="ISB236" s="15"/>
      <c r="ISC236" s="15"/>
      <c r="ISD236" s="15"/>
      <c r="ISE236" s="16"/>
      <c r="ISF236" s="16"/>
      <c r="ISG236" s="16"/>
      <c r="ISH236" s="16"/>
      <c r="ISI236" s="16"/>
      <c r="ISJ236" s="15"/>
      <c r="ISK236" s="15"/>
      <c r="ISL236" s="10"/>
      <c r="ISM236" s="10"/>
      <c r="ISN236" s="19"/>
      <c r="ISO236" s="19"/>
      <c r="ISR236" s="16"/>
      <c r="ISS236" s="15"/>
      <c r="IST236" s="15"/>
      <c r="ISU236" s="15"/>
      <c r="ISV236" s="16"/>
      <c r="ISW236" s="16"/>
      <c r="ISX236" s="16"/>
      <c r="ISY236" s="16"/>
      <c r="ISZ236" s="16"/>
      <c r="ITA236" s="15"/>
      <c r="ITB236" s="15"/>
      <c r="ITC236" s="10"/>
      <c r="ITD236" s="10"/>
      <c r="ITE236" s="19"/>
      <c r="ITF236" s="19"/>
      <c r="ITI236" s="16"/>
      <c r="ITJ236" s="15"/>
      <c r="ITK236" s="15"/>
      <c r="ITL236" s="15"/>
      <c r="ITM236" s="16"/>
      <c r="ITN236" s="16"/>
      <c r="ITO236" s="16"/>
      <c r="ITP236" s="16"/>
      <c r="ITQ236" s="16"/>
      <c r="ITR236" s="15"/>
      <c r="ITS236" s="15"/>
      <c r="ITT236" s="10"/>
      <c r="ITU236" s="10"/>
      <c r="ITV236" s="19"/>
      <c r="ITW236" s="19"/>
      <c r="ITZ236" s="16"/>
      <c r="IUA236" s="15"/>
      <c r="IUB236" s="15"/>
      <c r="IUC236" s="15"/>
      <c r="IUD236" s="16"/>
      <c r="IUE236" s="16"/>
      <c r="IUF236" s="16"/>
      <c r="IUG236" s="16"/>
      <c r="IUH236" s="16"/>
      <c r="IUI236" s="15"/>
      <c r="IUJ236" s="15"/>
      <c r="IUK236" s="10"/>
      <c r="IUL236" s="10"/>
      <c r="IUM236" s="19"/>
      <c r="IUN236" s="19"/>
      <c r="IUQ236" s="16"/>
      <c r="IUR236" s="15"/>
      <c r="IUS236" s="15"/>
      <c r="IUT236" s="15"/>
      <c r="IUU236" s="16"/>
      <c r="IUV236" s="16"/>
      <c r="IUW236" s="16"/>
      <c r="IUX236" s="16"/>
      <c r="IUY236" s="16"/>
      <c r="IUZ236" s="15"/>
      <c r="IVA236" s="15"/>
      <c r="IVB236" s="10"/>
      <c r="IVC236" s="10"/>
      <c r="IVD236" s="19"/>
      <c r="IVE236" s="19"/>
      <c r="IVH236" s="16"/>
      <c r="IVI236" s="15"/>
      <c r="IVJ236" s="15"/>
      <c r="IVK236" s="15"/>
      <c r="IVL236" s="16"/>
      <c r="IVM236" s="16"/>
      <c r="IVN236" s="16"/>
      <c r="IVO236" s="16"/>
      <c r="IVP236" s="16"/>
      <c r="IVQ236" s="15"/>
      <c r="IVR236" s="15"/>
      <c r="IVS236" s="10"/>
      <c r="IVT236" s="10"/>
      <c r="IVU236" s="19"/>
      <c r="IVV236" s="19"/>
      <c r="IVY236" s="16"/>
      <c r="IVZ236" s="15"/>
      <c r="IWA236" s="15"/>
      <c r="IWB236" s="15"/>
      <c r="IWC236" s="16"/>
      <c r="IWD236" s="16"/>
      <c r="IWE236" s="16"/>
      <c r="IWF236" s="16"/>
      <c r="IWG236" s="16"/>
      <c r="IWH236" s="15"/>
      <c r="IWI236" s="15"/>
      <c r="IWJ236" s="10"/>
      <c r="IWK236" s="10"/>
      <c r="IWL236" s="19"/>
      <c r="IWM236" s="19"/>
      <c r="IWP236" s="16"/>
      <c r="IWQ236" s="15"/>
      <c r="IWR236" s="15"/>
      <c r="IWS236" s="15"/>
      <c r="IWT236" s="16"/>
      <c r="IWU236" s="16"/>
      <c r="IWV236" s="16"/>
      <c r="IWW236" s="16"/>
      <c r="IWX236" s="16"/>
      <c r="IWY236" s="15"/>
      <c r="IWZ236" s="15"/>
      <c r="IXA236" s="10"/>
      <c r="IXB236" s="10"/>
      <c r="IXC236" s="19"/>
      <c r="IXD236" s="19"/>
      <c r="IXG236" s="16"/>
      <c r="IXH236" s="15"/>
      <c r="IXI236" s="15"/>
      <c r="IXJ236" s="15"/>
      <c r="IXK236" s="16"/>
      <c r="IXL236" s="16"/>
      <c r="IXM236" s="16"/>
      <c r="IXN236" s="16"/>
      <c r="IXO236" s="16"/>
      <c r="IXP236" s="15"/>
      <c r="IXQ236" s="15"/>
      <c r="IXR236" s="10"/>
      <c r="IXS236" s="10"/>
      <c r="IXT236" s="19"/>
      <c r="IXU236" s="19"/>
      <c r="IXX236" s="16"/>
      <c r="IXY236" s="15"/>
      <c r="IXZ236" s="15"/>
      <c r="IYA236" s="15"/>
      <c r="IYB236" s="16"/>
      <c r="IYC236" s="16"/>
      <c r="IYD236" s="16"/>
      <c r="IYE236" s="16"/>
      <c r="IYF236" s="16"/>
      <c r="IYG236" s="15"/>
      <c r="IYH236" s="15"/>
      <c r="IYI236" s="10"/>
      <c r="IYJ236" s="10"/>
      <c r="IYK236" s="19"/>
      <c r="IYL236" s="19"/>
      <c r="IYO236" s="16"/>
      <c r="IYP236" s="15"/>
      <c r="IYQ236" s="15"/>
      <c r="IYR236" s="15"/>
      <c r="IYS236" s="16"/>
      <c r="IYT236" s="16"/>
      <c r="IYU236" s="16"/>
      <c r="IYV236" s="16"/>
      <c r="IYW236" s="16"/>
      <c r="IYX236" s="15"/>
      <c r="IYY236" s="15"/>
      <c r="IYZ236" s="10"/>
      <c r="IZA236" s="10"/>
      <c r="IZB236" s="19"/>
      <c r="IZC236" s="19"/>
      <c r="IZF236" s="16"/>
      <c r="IZG236" s="15"/>
      <c r="IZH236" s="15"/>
      <c r="IZI236" s="15"/>
      <c r="IZJ236" s="16"/>
      <c r="IZK236" s="16"/>
      <c r="IZL236" s="16"/>
      <c r="IZM236" s="16"/>
      <c r="IZN236" s="16"/>
      <c r="IZO236" s="15"/>
      <c r="IZP236" s="15"/>
      <c r="IZQ236" s="10"/>
      <c r="IZR236" s="10"/>
      <c r="IZS236" s="19"/>
      <c r="IZT236" s="19"/>
      <c r="IZW236" s="16"/>
      <c r="IZX236" s="15"/>
      <c r="IZY236" s="15"/>
      <c r="IZZ236" s="15"/>
      <c r="JAA236" s="16"/>
      <c r="JAB236" s="16"/>
      <c r="JAC236" s="16"/>
      <c r="JAD236" s="16"/>
      <c r="JAE236" s="16"/>
      <c r="JAF236" s="15"/>
      <c r="JAG236" s="15"/>
      <c r="JAH236" s="10"/>
      <c r="JAI236" s="10"/>
      <c r="JAJ236" s="19"/>
      <c r="JAK236" s="19"/>
      <c r="JAN236" s="16"/>
      <c r="JAO236" s="15"/>
      <c r="JAP236" s="15"/>
      <c r="JAQ236" s="15"/>
      <c r="JAR236" s="16"/>
      <c r="JAS236" s="16"/>
      <c r="JAT236" s="16"/>
      <c r="JAU236" s="16"/>
      <c r="JAV236" s="16"/>
      <c r="JAW236" s="15"/>
      <c r="JAX236" s="15"/>
      <c r="JAY236" s="10"/>
      <c r="JAZ236" s="10"/>
      <c r="JBA236" s="19"/>
      <c r="JBB236" s="19"/>
      <c r="JBE236" s="16"/>
      <c r="JBF236" s="15"/>
      <c r="JBG236" s="15"/>
      <c r="JBH236" s="15"/>
      <c r="JBI236" s="16"/>
      <c r="JBJ236" s="16"/>
      <c r="JBK236" s="16"/>
      <c r="JBL236" s="16"/>
      <c r="JBM236" s="16"/>
      <c r="JBN236" s="15"/>
      <c r="JBO236" s="15"/>
      <c r="JBP236" s="10"/>
      <c r="JBQ236" s="10"/>
      <c r="JBR236" s="19"/>
      <c r="JBS236" s="19"/>
      <c r="JBV236" s="16"/>
      <c r="JBW236" s="15"/>
      <c r="JBX236" s="15"/>
      <c r="JBY236" s="15"/>
      <c r="JBZ236" s="16"/>
      <c r="JCA236" s="16"/>
      <c r="JCB236" s="16"/>
      <c r="JCC236" s="16"/>
      <c r="JCD236" s="16"/>
      <c r="JCE236" s="15"/>
      <c r="JCF236" s="15"/>
      <c r="JCG236" s="10"/>
      <c r="JCH236" s="10"/>
      <c r="JCI236" s="19"/>
      <c r="JCJ236" s="19"/>
      <c r="JCM236" s="16"/>
      <c r="JCN236" s="15"/>
      <c r="JCO236" s="15"/>
      <c r="JCP236" s="15"/>
      <c r="JCQ236" s="16"/>
      <c r="JCR236" s="16"/>
      <c r="JCS236" s="16"/>
      <c r="JCT236" s="16"/>
      <c r="JCU236" s="16"/>
      <c r="JCV236" s="15"/>
      <c r="JCW236" s="15"/>
      <c r="JCX236" s="10"/>
      <c r="JCY236" s="10"/>
      <c r="JCZ236" s="19"/>
      <c r="JDA236" s="19"/>
      <c r="JDD236" s="16"/>
      <c r="JDE236" s="15"/>
      <c r="JDF236" s="15"/>
      <c r="JDG236" s="15"/>
      <c r="JDH236" s="16"/>
      <c r="JDI236" s="16"/>
      <c r="JDJ236" s="16"/>
      <c r="JDK236" s="16"/>
      <c r="JDL236" s="16"/>
      <c r="JDM236" s="15"/>
      <c r="JDN236" s="15"/>
      <c r="JDO236" s="10"/>
      <c r="JDP236" s="10"/>
      <c r="JDQ236" s="19"/>
      <c r="JDR236" s="19"/>
      <c r="JDU236" s="16"/>
      <c r="JDV236" s="15"/>
      <c r="JDW236" s="15"/>
      <c r="JDX236" s="15"/>
      <c r="JDY236" s="16"/>
      <c r="JDZ236" s="16"/>
      <c r="JEA236" s="16"/>
      <c r="JEB236" s="16"/>
      <c r="JEC236" s="16"/>
      <c r="JED236" s="15"/>
      <c r="JEE236" s="15"/>
      <c r="JEF236" s="10"/>
      <c r="JEG236" s="10"/>
      <c r="JEH236" s="19"/>
      <c r="JEI236" s="19"/>
      <c r="JEL236" s="16"/>
      <c r="JEM236" s="15"/>
      <c r="JEN236" s="15"/>
      <c r="JEO236" s="15"/>
      <c r="JEP236" s="16"/>
      <c r="JEQ236" s="16"/>
      <c r="JER236" s="16"/>
      <c r="JES236" s="16"/>
      <c r="JET236" s="16"/>
      <c r="JEU236" s="15"/>
      <c r="JEV236" s="15"/>
      <c r="JEW236" s="10"/>
      <c r="JEX236" s="10"/>
      <c r="JEY236" s="19"/>
      <c r="JEZ236" s="19"/>
      <c r="JFC236" s="16"/>
      <c r="JFD236" s="15"/>
      <c r="JFE236" s="15"/>
      <c r="JFF236" s="15"/>
      <c r="JFG236" s="16"/>
      <c r="JFH236" s="16"/>
      <c r="JFI236" s="16"/>
      <c r="JFJ236" s="16"/>
      <c r="JFK236" s="16"/>
      <c r="JFL236" s="15"/>
      <c r="JFM236" s="15"/>
      <c r="JFN236" s="10"/>
      <c r="JFO236" s="10"/>
      <c r="JFP236" s="19"/>
      <c r="JFQ236" s="19"/>
      <c r="JFT236" s="16"/>
      <c r="JFU236" s="15"/>
      <c r="JFV236" s="15"/>
      <c r="JFW236" s="15"/>
      <c r="JFX236" s="16"/>
      <c r="JFY236" s="16"/>
      <c r="JFZ236" s="16"/>
      <c r="JGA236" s="16"/>
      <c r="JGB236" s="16"/>
      <c r="JGC236" s="15"/>
      <c r="JGD236" s="15"/>
      <c r="JGE236" s="10"/>
      <c r="JGF236" s="10"/>
      <c r="JGG236" s="19"/>
      <c r="JGH236" s="19"/>
      <c r="JGK236" s="16"/>
      <c r="JGL236" s="15"/>
      <c r="JGM236" s="15"/>
      <c r="JGN236" s="15"/>
      <c r="JGO236" s="16"/>
      <c r="JGP236" s="16"/>
      <c r="JGQ236" s="16"/>
      <c r="JGR236" s="16"/>
      <c r="JGS236" s="16"/>
      <c r="JGT236" s="15"/>
      <c r="JGU236" s="15"/>
      <c r="JGV236" s="10"/>
      <c r="JGW236" s="10"/>
      <c r="JGX236" s="19"/>
      <c r="JGY236" s="19"/>
      <c r="JHB236" s="16"/>
      <c r="JHC236" s="15"/>
      <c r="JHD236" s="15"/>
      <c r="JHE236" s="15"/>
      <c r="JHF236" s="16"/>
      <c r="JHG236" s="16"/>
      <c r="JHH236" s="16"/>
      <c r="JHI236" s="16"/>
      <c r="JHJ236" s="16"/>
      <c r="JHK236" s="15"/>
      <c r="JHL236" s="15"/>
      <c r="JHM236" s="10"/>
      <c r="JHN236" s="10"/>
      <c r="JHO236" s="19"/>
      <c r="JHP236" s="19"/>
      <c r="JHS236" s="16"/>
      <c r="JHT236" s="15"/>
      <c r="JHU236" s="15"/>
      <c r="JHV236" s="15"/>
      <c r="JHW236" s="16"/>
      <c r="JHX236" s="16"/>
      <c r="JHY236" s="16"/>
      <c r="JHZ236" s="16"/>
      <c r="JIA236" s="16"/>
      <c r="JIB236" s="15"/>
      <c r="JIC236" s="15"/>
      <c r="JID236" s="10"/>
      <c r="JIE236" s="10"/>
      <c r="JIF236" s="19"/>
      <c r="JIG236" s="19"/>
      <c r="JIJ236" s="16"/>
      <c r="JIK236" s="15"/>
      <c r="JIL236" s="15"/>
      <c r="JIM236" s="15"/>
      <c r="JIN236" s="16"/>
      <c r="JIO236" s="16"/>
      <c r="JIP236" s="16"/>
      <c r="JIQ236" s="16"/>
      <c r="JIR236" s="16"/>
      <c r="JIS236" s="15"/>
      <c r="JIT236" s="15"/>
      <c r="JIU236" s="10"/>
      <c r="JIV236" s="10"/>
      <c r="JIW236" s="19"/>
      <c r="JIX236" s="19"/>
      <c r="JJA236" s="16"/>
      <c r="JJB236" s="15"/>
      <c r="JJC236" s="15"/>
      <c r="JJD236" s="15"/>
      <c r="JJE236" s="16"/>
      <c r="JJF236" s="16"/>
      <c r="JJG236" s="16"/>
      <c r="JJH236" s="16"/>
      <c r="JJI236" s="16"/>
      <c r="JJJ236" s="15"/>
      <c r="JJK236" s="15"/>
      <c r="JJL236" s="10"/>
      <c r="JJM236" s="10"/>
      <c r="JJN236" s="19"/>
      <c r="JJO236" s="19"/>
      <c r="JJR236" s="16"/>
      <c r="JJS236" s="15"/>
      <c r="JJT236" s="15"/>
      <c r="JJU236" s="15"/>
      <c r="JJV236" s="16"/>
      <c r="JJW236" s="16"/>
      <c r="JJX236" s="16"/>
      <c r="JJY236" s="16"/>
      <c r="JJZ236" s="16"/>
      <c r="JKA236" s="15"/>
      <c r="JKB236" s="15"/>
      <c r="JKC236" s="10"/>
      <c r="JKD236" s="10"/>
      <c r="JKE236" s="19"/>
      <c r="JKF236" s="19"/>
      <c r="JKI236" s="16"/>
      <c r="JKJ236" s="15"/>
      <c r="JKK236" s="15"/>
      <c r="JKL236" s="15"/>
      <c r="JKM236" s="16"/>
      <c r="JKN236" s="16"/>
      <c r="JKO236" s="16"/>
      <c r="JKP236" s="16"/>
      <c r="JKQ236" s="16"/>
      <c r="JKR236" s="15"/>
      <c r="JKS236" s="15"/>
      <c r="JKT236" s="10"/>
      <c r="JKU236" s="10"/>
      <c r="JKV236" s="19"/>
      <c r="JKW236" s="19"/>
      <c r="JKZ236" s="16"/>
      <c r="JLA236" s="15"/>
      <c r="JLB236" s="15"/>
      <c r="JLC236" s="15"/>
      <c r="JLD236" s="16"/>
      <c r="JLE236" s="16"/>
      <c r="JLF236" s="16"/>
      <c r="JLG236" s="16"/>
      <c r="JLH236" s="16"/>
      <c r="JLI236" s="15"/>
      <c r="JLJ236" s="15"/>
      <c r="JLK236" s="10"/>
      <c r="JLL236" s="10"/>
      <c r="JLM236" s="19"/>
      <c r="JLN236" s="19"/>
      <c r="JLQ236" s="16"/>
      <c r="JLR236" s="15"/>
      <c r="JLS236" s="15"/>
      <c r="JLT236" s="15"/>
      <c r="JLU236" s="16"/>
      <c r="JLV236" s="16"/>
      <c r="JLW236" s="16"/>
      <c r="JLX236" s="16"/>
      <c r="JLY236" s="16"/>
      <c r="JLZ236" s="15"/>
      <c r="JMA236" s="15"/>
      <c r="JMB236" s="10"/>
      <c r="JMC236" s="10"/>
      <c r="JMD236" s="19"/>
      <c r="JME236" s="19"/>
      <c r="JMH236" s="16"/>
      <c r="JMI236" s="15"/>
      <c r="JMJ236" s="15"/>
      <c r="JMK236" s="15"/>
      <c r="JML236" s="16"/>
      <c r="JMM236" s="16"/>
      <c r="JMN236" s="16"/>
      <c r="JMO236" s="16"/>
      <c r="JMP236" s="16"/>
      <c r="JMQ236" s="15"/>
      <c r="JMR236" s="15"/>
      <c r="JMS236" s="10"/>
      <c r="JMT236" s="10"/>
      <c r="JMU236" s="19"/>
      <c r="JMV236" s="19"/>
      <c r="JMY236" s="16"/>
      <c r="JMZ236" s="15"/>
      <c r="JNA236" s="15"/>
      <c r="JNB236" s="15"/>
      <c r="JNC236" s="16"/>
      <c r="JND236" s="16"/>
      <c r="JNE236" s="16"/>
      <c r="JNF236" s="16"/>
      <c r="JNG236" s="16"/>
      <c r="JNH236" s="15"/>
      <c r="JNI236" s="15"/>
      <c r="JNJ236" s="10"/>
      <c r="JNK236" s="10"/>
      <c r="JNL236" s="19"/>
      <c r="JNM236" s="19"/>
      <c r="JNP236" s="16"/>
      <c r="JNQ236" s="15"/>
      <c r="JNR236" s="15"/>
      <c r="JNS236" s="15"/>
      <c r="JNT236" s="16"/>
      <c r="JNU236" s="16"/>
      <c r="JNV236" s="16"/>
      <c r="JNW236" s="16"/>
      <c r="JNX236" s="16"/>
      <c r="JNY236" s="15"/>
      <c r="JNZ236" s="15"/>
      <c r="JOA236" s="10"/>
      <c r="JOB236" s="10"/>
      <c r="JOC236" s="19"/>
      <c r="JOD236" s="19"/>
      <c r="JOG236" s="16"/>
      <c r="JOH236" s="15"/>
      <c r="JOI236" s="15"/>
      <c r="JOJ236" s="15"/>
      <c r="JOK236" s="16"/>
      <c r="JOL236" s="16"/>
      <c r="JOM236" s="16"/>
      <c r="JON236" s="16"/>
      <c r="JOO236" s="16"/>
      <c r="JOP236" s="15"/>
      <c r="JOQ236" s="15"/>
      <c r="JOR236" s="10"/>
      <c r="JOS236" s="10"/>
      <c r="JOT236" s="19"/>
      <c r="JOU236" s="19"/>
      <c r="JOX236" s="16"/>
      <c r="JOY236" s="15"/>
      <c r="JOZ236" s="15"/>
      <c r="JPA236" s="15"/>
      <c r="JPB236" s="16"/>
      <c r="JPC236" s="16"/>
      <c r="JPD236" s="16"/>
      <c r="JPE236" s="16"/>
      <c r="JPF236" s="16"/>
      <c r="JPG236" s="15"/>
      <c r="JPH236" s="15"/>
      <c r="JPI236" s="10"/>
      <c r="JPJ236" s="10"/>
      <c r="JPK236" s="19"/>
      <c r="JPL236" s="19"/>
      <c r="JPO236" s="16"/>
      <c r="JPP236" s="15"/>
      <c r="JPQ236" s="15"/>
      <c r="JPR236" s="15"/>
      <c r="JPS236" s="16"/>
      <c r="JPT236" s="16"/>
      <c r="JPU236" s="16"/>
      <c r="JPV236" s="16"/>
      <c r="JPW236" s="16"/>
      <c r="JPX236" s="15"/>
      <c r="JPY236" s="15"/>
      <c r="JPZ236" s="10"/>
      <c r="JQA236" s="10"/>
      <c r="JQB236" s="19"/>
      <c r="JQC236" s="19"/>
      <c r="JQF236" s="16"/>
      <c r="JQG236" s="15"/>
      <c r="JQH236" s="15"/>
      <c r="JQI236" s="15"/>
      <c r="JQJ236" s="16"/>
      <c r="JQK236" s="16"/>
      <c r="JQL236" s="16"/>
      <c r="JQM236" s="16"/>
      <c r="JQN236" s="16"/>
      <c r="JQO236" s="15"/>
      <c r="JQP236" s="15"/>
      <c r="JQQ236" s="10"/>
      <c r="JQR236" s="10"/>
      <c r="JQS236" s="19"/>
      <c r="JQT236" s="19"/>
      <c r="JQW236" s="16"/>
      <c r="JQX236" s="15"/>
      <c r="JQY236" s="15"/>
      <c r="JQZ236" s="15"/>
      <c r="JRA236" s="16"/>
      <c r="JRB236" s="16"/>
      <c r="JRC236" s="16"/>
      <c r="JRD236" s="16"/>
      <c r="JRE236" s="16"/>
      <c r="JRF236" s="15"/>
      <c r="JRG236" s="15"/>
      <c r="JRH236" s="10"/>
      <c r="JRI236" s="10"/>
      <c r="JRJ236" s="19"/>
      <c r="JRK236" s="19"/>
      <c r="JRN236" s="16"/>
      <c r="JRO236" s="15"/>
      <c r="JRP236" s="15"/>
      <c r="JRQ236" s="15"/>
      <c r="JRR236" s="16"/>
      <c r="JRS236" s="16"/>
      <c r="JRT236" s="16"/>
      <c r="JRU236" s="16"/>
      <c r="JRV236" s="16"/>
      <c r="JRW236" s="15"/>
      <c r="JRX236" s="15"/>
      <c r="JRY236" s="10"/>
      <c r="JRZ236" s="10"/>
      <c r="JSA236" s="19"/>
      <c r="JSB236" s="19"/>
      <c r="JSE236" s="16"/>
      <c r="JSF236" s="15"/>
      <c r="JSG236" s="15"/>
      <c r="JSH236" s="15"/>
      <c r="JSI236" s="16"/>
      <c r="JSJ236" s="16"/>
      <c r="JSK236" s="16"/>
      <c r="JSL236" s="16"/>
      <c r="JSM236" s="16"/>
      <c r="JSN236" s="15"/>
      <c r="JSO236" s="15"/>
      <c r="JSP236" s="10"/>
      <c r="JSQ236" s="10"/>
      <c r="JSR236" s="19"/>
      <c r="JSS236" s="19"/>
      <c r="JSV236" s="16"/>
      <c r="JSW236" s="15"/>
      <c r="JSX236" s="15"/>
      <c r="JSY236" s="15"/>
      <c r="JSZ236" s="16"/>
      <c r="JTA236" s="16"/>
      <c r="JTB236" s="16"/>
      <c r="JTC236" s="16"/>
      <c r="JTD236" s="16"/>
      <c r="JTE236" s="15"/>
      <c r="JTF236" s="15"/>
      <c r="JTG236" s="10"/>
      <c r="JTH236" s="10"/>
      <c r="JTI236" s="19"/>
      <c r="JTJ236" s="19"/>
      <c r="JTM236" s="16"/>
      <c r="JTN236" s="15"/>
      <c r="JTO236" s="15"/>
      <c r="JTP236" s="15"/>
      <c r="JTQ236" s="16"/>
      <c r="JTR236" s="16"/>
      <c r="JTS236" s="16"/>
      <c r="JTT236" s="16"/>
      <c r="JTU236" s="16"/>
      <c r="JTV236" s="15"/>
      <c r="JTW236" s="15"/>
      <c r="JTX236" s="10"/>
      <c r="JTY236" s="10"/>
      <c r="JTZ236" s="19"/>
      <c r="JUA236" s="19"/>
      <c r="JUD236" s="16"/>
      <c r="JUE236" s="15"/>
      <c r="JUF236" s="15"/>
      <c r="JUG236" s="15"/>
      <c r="JUH236" s="16"/>
      <c r="JUI236" s="16"/>
      <c r="JUJ236" s="16"/>
      <c r="JUK236" s="16"/>
      <c r="JUL236" s="16"/>
      <c r="JUM236" s="15"/>
      <c r="JUN236" s="15"/>
      <c r="JUO236" s="10"/>
      <c r="JUP236" s="10"/>
      <c r="JUQ236" s="19"/>
      <c r="JUR236" s="19"/>
      <c r="JUU236" s="16"/>
      <c r="JUV236" s="15"/>
      <c r="JUW236" s="15"/>
      <c r="JUX236" s="15"/>
      <c r="JUY236" s="16"/>
      <c r="JUZ236" s="16"/>
      <c r="JVA236" s="16"/>
      <c r="JVB236" s="16"/>
      <c r="JVC236" s="16"/>
      <c r="JVD236" s="15"/>
      <c r="JVE236" s="15"/>
      <c r="JVF236" s="10"/>
      <c r="JVG236" s="10"/>
      <c r="JVH236" s="19"/>
      <c r="JVI236" s="19"/>
      <c r="JVL236" s="16"/>
      <c r="JVM236" s="15"/>
      <c r="JVN236" s="15"/>
      <c r="JVO236" s="15"/>
      <c r="JVP236" s="16"/>
      <c r="JVQ236" s="16"/>
      <c r="JVR236" s="16"/>
      <c r="JVS236" s="16"/>
      <c r="JVT236" s="16"/>
      <c r="JVU236" s="15"/>
      <c r="JVV236" s="15"/>
      <c r="JVW236" s="10"/>
      <c r="JVX236" s="10"/>
      <c r="JVY236" s="19"/>
      <c r="JVZ236" s="19"/>
      <c r="JWC236" s="16"/>
      <c r="JWD236" s="15"/>
      <c r="JWE236" s="15"/>
      <c r="JWF236" s="15"/>
      <c r="JWG236" s="16"/>
      <c r="JWH236" s="16"/>
      <c r="JWI236" s="16"/>
      <c r="JWJ236" s="16"/>
      <c r="JWK236" s="16"/>
      <c r="JWL236" s="15"/>
      <c r="JWM236" s="15"/>
      <c r="JWN236" s="10"/>
      <c r="JWO236" s="10"/>
      <c r="JWP236" s="19"/>
      <c r="JWQ236" s="19"/>
      <c r="JWT236" s="16"/>
      <c r="JWU236" s="15"/>
      <c r="JWV236" s="15"/>
      <c r="JWW236" s="15"/>
      <c r="JWX236" s="16"/>
      <c r="JWY236" s="16"/>
      <c r="JWZ236" s="16"/>
      <c r="JXA236" s="16"/>
      <c r="JXB236" s="16"/>
      <c r="JXC236" s="15"/>
      <c r="JXD236" s="15"/>
      <c r="JXE236" s="10"/>
      <c r="JXF236" s="10"/>
      <c r="JXG236" s="19"/>
      <c r="JXH236" s="19"/>
      <c r="JXK236" s="16"/>
      <c r="JXL236" s="15"/>
      <c r="JXM236" s="15"/>
      <c r="JXN236" s="15"/>
      <c r="JXO236" s="16"/>
      <c r="JXP236" s="16"/>
      <c r="JXQ236" s="16"/>
      <c r="JXR236" s="16"/>
      <c r="JXS236" s="16"/>
      <c r="JXT236" s="15"/>
      <c r="JXU236" s="15"/>
      <c r="JXV236" s="10"/>
      <c r="JXW236" s="10"/>
      <c r="JXX236" s="19"/>
      <c r="JXY236" s="19"/>
      <c r="JYB236" s="16"/>
      <c r="JYC236" s="15"/>
      <c r="JYD236" s="15"/>
      <c r="JYE236" s="15"/>
      <c r="JYF236" s="16"/>
      <c r="JYG236" s="16"/>
      <c r="JYH236" s="16"/>
      <c r="JYI236" s="16"/>
      <c r="JYJ236" s="16"/>
      <c r="JYK236" s="15"/>
      <c r="JYL236" s="15"/>
      <c r="JYM236" s="10"/>
      <c r="JYN236" s="10"/>
      <c r="JYO236" s="19"/>
      <c r="JYP236" s="19"/>
      <c r="JYS236" s="16"/>
      <c r="JYT236" s="15"/>
      <c r="JYU236" s="15"/>
      <c r="JYV236" s="15"/>
      <c r="JYW236" s="16"/>
      <c r="JYX236" s="16"/>
      <c r="JYY236" s="16"/>
      <c r="JYZ236" s="16"/>
      <c r="JZA236" s="16"/>
      <c r="JZB236" s="15"/>
      <c r="JZC236" s="15"/>
      <c r="JZD236" s="10"/>
      <c r="JZE236" s="10"/>
      <c r="JZF236" s="19"/>
      <c r="JZG236" s="19"/>
      <c r="JZJ236" s="16"/>
      <c r="JZK236" s="15"/>
      <c r="JZL236" s="15"/>
      <c r="JZM236" s="15"/>
      <c r="JZN236" s="16"/>
      <c r="JZO236" s="16"/>
      <c r="JZP236" s="16"/>
      <c r="JZQ236" s="16"/>
      <c r="JZR236" s="16"/>
      <c r="JZS236" s="15"/>
      <c r="JZT236" s="15"/>
      <c r="JZU236" s="10"/>
      <c r="JZV236" s="10"/>
      <c r="JZW236" s="19"/>
      <c r="JZX236" s="19"/>
      <c r="KAA236" s="16"/>
      <c r="KAB236" s="15"/>
      <c r="KAC236" s="15"/>
      <c r="KAD236" s="15"/>
      <c r="KAE236" s="16"/>
      <c r="KAF236" s="16"/>
      <c r="KAG236" s="16"/>
      <c r="KAH236" s="16"/>
      <c r="KAI236" s="16"/>
      <c r="KAJ236" s="15"/>
      <c r="KAK236" s="15"/>
      <c r="KAL236" s="10"/>
      <c r="KAM236" s="10"/>
      <c r="KAN236" s="19"/>
      <c r="KAO236" s="19"/>
      <c r="KAR236" s="16"/>
      <c r="KAS236" s="15"/>
      <c r="KAT236" s="15"/>
      <c r="KAU236" s="15"/>
      <c r="KAV236" s="16"/>
      <c r="KAW236" s="16"/>
      <c r="KAX236" s="16"/>
      <c r="KAY236" s="16"/>
      <c r="KAZ236" s="16"/>
      <c r="KBA236" s="15"/>
      <c r="KBB236" s="15"/>
      <c r="KBC236" s="10"/>
      <c r="KBD236" s="10"/>
      <c r="KBE236" s="19"/>
      <c r="KBF236" s="19"/>
      <c r="KBI236" s="16"/>
      <c r="KBJ236" s="15"/>
      <c r="KBK236" s="15"/>
      <c r="KBL236" s="15"/>
      <c r="KBM236" s="16"/>
      <c r="KBN236" s="16"/>
      <c r="KBO236" s="16"/>
      <c r="KBP236" s="16"/>
      <c r="KBQ236" s="16"/>
      <c r="KBR236" s="15"/>
      <c r="KBS236" s="15"/>
      <c r="KBT236" s="10"/>
      <c r="KBU236" s="10"/>
      <c r="KBV236" s="19"/>
      <c r="KBW236" s="19"/>
      <c r="KBZ236" s="16"/>
      <c r="KCA236" s="15"/>
      <c r="KCB236" s="15"/>
      <c r="KCC236" s="15"/>
      <c r="KCD236" s="16"/>
      <c r="KCE236" s="16"/>
      <c r="KCF236" s="16"/>
      <c r="KCG236" s="16"/>
      <c r="KCH236" s="16"/>
      <c r="KCI236" s="15"/>
      <c r="KCJ236" s="15"/>
      <c r="KCK236" s="10"/>
      <c r="KCL236" s="10"/>
      <c r="KCM236" s="19"/>
      <c r="KCN236" s="19"/>
      <c r="KCQ236" s="16"/>
      <c r="KCR236" s="15"/>
      <c r="KCS236" s="15"/>
      <c r="KCT236" s="15"/>
      <c r="KCU236" s="16"/>
      <c r="KCV236" s="16"/>
      <c r="KCW236" s="16"/>
      <c r="KCX236" s="16"/>
      <c r="KCY236" s="16"/>
      <c r="KCZ236" s="15"/>
      <c r="KDA236" s="15"/>
      <c r="KDB236" s="10"/>
      <c r="KDC236" s="10"/>
      <c r="KDD236" s="19"/>
      <c r="KDE236" s="19"/>
      <c r="KDH236" s="16"/>
      <c r="KDI236" s="15"/>
      <c r="KDJ236" s="15"/>
      <c r="KDK236" s="15"/>
      <c r="KDL236" s="16"/>
      <c r="KDM236" s="16"/>
      <c r="KDN236" s="16"/>
      <c r="KDO236" s="16"/>
      <c r="KDP236" s="16"/>
      <c r="KDQ236" s="15"/>
      <c r="KDR236" s="15"/>
      <c r="KDS236" s="10"/>
      <c r="KDT236" s="10"/>
      <c r="KDU236" s="19"/>
      <c r="KDV236" s="19"/>
      <c r="KDY236" s="16"/>
      <c r="KDZ236" s="15"/>
      <c r="KEA236" s="15"/>
      <c r="KEB236" s="15"/>
      <c r="KEC236" s="16"/>
      <c r="KED236" s="16"/>
      <c r="KEE236" s="16"/>
      <c r="KEF236" s="16"/>
      <c r="KEG236" s="16"/>
      <c r="KEH236" s="15"/>
      <c r="KEI236" s="15"/>
      <c r="KEJ236" s="10"/>
      <c r="KEK236" s="10"/>
      <c r="KEL236" s="19"/>
      <c r="KEM236" s="19"/>
      <c r="KEP236" s="16"/>
      <c r="KEQ236" s="15"/>
      <c r="KER236" s="15"/>
      <c r="KES236" s="15"/>
      <c r="KET236" s="16"/>
      <c r="KEU236" s="16"/>
      <c r="KEV236" s="16"/>
      <c r="KEW236" s="16"/>
      <c r="KEX236" s="16"/>
      <c r="KEY236" s="15"/>
      <c r="KEZ236" s="15"/>
      <c r="KFA236" s="10"/>
      <c r="KFB236" s="10"/>
      <c r="KFC236" s="19"/>
      <c r="KFD236" s="19"/>
      <c r="KFG236" s="16"/>
      <c r="KFH236" s="15"/>
      <c r="KFI236" s="15"/>
      <c r="KFJ236" s="15"/>
      <c r="KFK236" s="16"/>
      <c r="KFL236" s="16"/>
      <c r="KFM236" s="16"/>
      <c r="KFN236" s="16"/>
      <c r="KFO236" s="16"/>
      <c r="KFP236" s="15"/>
      <c r="KFQ236" s="15"/>
      <c r="KFR236" s="10"/>
      <c r="KFS236" s="10"/>
      <c r="KFT236" s="19"/>
      <c r="KFU236" s="19"/>
      <c r="KFX236" s="16"/>
      <c r="KFY236" s="15"/>
      <c r="KFZ236" s="15"/>
      <c r="KGA236" s="15"/>
      <c r="KGB236" s="16"/>
      <c r="KGC236" s="16"/>
      <c r="KGD236" s="16"/>
      <c r="KGE236" s="16"/>
      <c r="KGF236" s="16"/>
      <c r="KGG236" s="15"/>
      <c r="KGH236" s="15"/>
      <c r="KGI236" s="10"/>
      <c r="KGJ236" s="10"/>
      <c r="KGK236" s="19"/>
      <c r="KGL236" s="19"/>
      <c r="KGO236" s="16"/>
      <c r="KGP236" s="15"/>
      <c r="KGQ236" s="15"/>
      <c r="KGR236" s="15"/>
      <c r="KGS236" s="16"/>
      <c r="KGT236" s="16"/>
      <c r="KGU236" s="16"/>
      <c r="KGV236" s="16"/>
      <c r="KGW236" s="16"/>
      <c r="KGX236" s="15"/>
      <c r="KGY236" s="15"/>
      <c r="KGZ236" s="10"/>
      <c r="KHA236" s="10"/>
      <c r="KHB236" s="19"/>
      <c r="KHC236" s="19"/>
      <c r="KHF236" s="16"/>
      <c r="KHG236" s="15"/>
      <c r="KHH236" s="15"/>
      <c r="KHI236" s="15"/>
      <c r="KHJ236" s="16"/>
      <c r="KHK236" s="16"/>
      <c r="KHL236" s="16"/>
      <c r="KHM236" s="16"/>
      <c r="KHN236" s="16"/>
      <c r="KHO236" s="15"/>
      <c r="KHP236" s="15"/>
      <c r="KHQ236" s="10"/>
      <c r="KHR236" s="10"/>
      <c r="KHS236" s="19"/>
      <c r="KHT236" s="19"/>
      <c r="KHW236" s="16"/>
      <c r="KHX236" s="15"/>
      <c r="KHY236" s="15"/>
      <c r="KHZ236" s="15"/>
      <c r="KIA236" s="16"/>
      <c r="KIB236" s="16"/>
      <c r="KIC236" s="16"/>
      <c r="KID236" s="16"/>
      <c r="KIE236" s="16"/>
      <c r="KIF236" s="15"/>
      <c r="KIG236" s="15"/>
      <c r="KIH236" s="10"/>
      <c r="KII236" s="10"/>
      <c r="KIJ236" s="19"/>
      <c r="KIK236" s="19"/>
      <c r="KIN236" s="16"/>
      <c r="KIO236" s="15"/>
      <c r="KIP236" s="15"/>
      <c r="KIQ236" s="15"/>
      <c r="KIR236" s="16"/>
      <c r="KIS236" s="16"/>
      <c r="KIT236" s="16"/>
      <c r="KIU236" s="16"/>
      <c r="KIV236" s="16"/>
      <c r="KIW236" s="15"/>
      <c r="KIX236" s="15"/>
      <c r="KIY236" s="10"/>
      <c r="KIZ236" s="10"/>
      <c r="KJA236" s="19"/>
      <c r="KJB236" s="19"/>
      <c r="KJE236" s="16"/>
      <c r="KJF236" s="15"/>
      <c r="KJG236" s="15"/>
      <c r="KJH236" s="15"/>
      <c r="KJI236" s="16"/>
      <c r="KJJ236" s="16"/>
      <c r="KJK236" s="16"/>
      <c r="KJL236" s="16"/>
      <c r="KJM236" s="16"/>
      <c r="KJN236" s="15"/>
      <c r="KJO236" s="15"/>
      <c r="KJP236" s="10"/>
      <c r="KJQ236" s="10"/>
      <c r="KJR236" s="19"/>
      <c r="KJS236" s="19"/>
      <c r="KJV236" s="16"/>
      <c r="KJW236" s="15"/>
      <c r="KJX236" s="15"/>
      <c r="KJY236" s="15"/>
      <c r="KJZ236" s="16"/>
      <c r="KKA236" s="16"/>
      <c r="KKB236" s="16"/>
      <c r="KKC236" s="16"/>
      <c r="KKD236" s="16"/>
      <c r="KKE236" s="15"/>
      <c r="KKF236" s="15"/>
      <c r="KKG236" s="10"/>
      <c r="KKH236" s="10"/>
      <c r="KKI236" s="19"/>
      <c r="KKJ236" s="19"/>
      <c r="KKM236" s="16"/>
      <c r="KKN236" s="15"/>
      <c r="KKO236" s="15"/>
      <c r="KKP236" s="15"/>
      <c r="KKQ236" s="16"/>
      <c r="KKR236" s="16"/>
      <c r="KKS236" s="16"/>
      <c r="KKT236" s="16"/>
      <c r="KKU236" s="16"/>
      <c r="KKV236" s="15"/>
      <c r="KKW236" s="15"/>
      <c r="KKX236" s="10"/>
      <c r="KKY236" s="10"/>
      <c r="KKZ236" s="19"/>
      <c r="KLA236" s="19"/>
      <c r="KLD236" s="16"/>
      <c r="KLE236" s="15"/>
      <c r="KLF236" s="15"/>
      <c r="KLG236" s="15"/>
      <c r="KLH236" s="16"/>
      <c r="KLI236" s="16"/>
      <c r="KLJ236" s="16"/>
      <c r="KLK236" s="16"/>
      <c r="KLL236" s="16"/>
      <c r="KLM236" s="15"/>
      <c r="KLN236" s="15"/>
      <c r="KLO236" s="10"/>
      <c r="KLP236" s="10"/>
      <c r="KLQ236" s="19"/>
      <c r="KLR236" s="19"/>
      <c r="KLU236" s="16"/>
      <c r="KLV236" s="15"/>
      <c r="KLW236" s="15"/>
      <c r="KLX236" s="15"/>
      <c r="KLY236" s="16"/>
      <c r="KLZ236" s="16"/>
      <c r="KMA236" s="16"/>
      <c r="KMB236" s="16"/>
      <c r="KMC236" s="16"/>
      <c r="KMD236" s="15"/>
      <c r="KME236" s="15"/>
      <c r="KMF236" s="10"/>
      <c r="KMG236" s="10"/>
      <c r="KMH236" s="19"/>
      <c r="KMI236" s="19"/>
      <c r="KML236" s="16"/>
      <c r="KMM236" s="15"/>
      <c r="KMN236" s="15"/>
      <c r="KMO236" s="15"/>
      <c r="KMP236" s="16"/>
      <c r="KMQ236" s="16"/>
      <c r="KMR236" s="16"/>
      <c r="KMS236" s="16"/>
      <c r="KMT236" s="16"/>
      <c r="KMU236" s="15"/>
      <c r="KMV236" s="15"/>
      <c r="KMW236" s="10"/>
      <c r="KMX236" s="10"/>
      <c r="KMY236" s="19"/>
      <c r="KMZ236" s="19"/>
      <c r="KNC236" s="16"/>
      <c r="KND236" s="15"/>
      <c r="KNE236" s="15"/>
      <c r="KNF236" s="15"/>
      <c r="KNG236" s="16"/>
      <c r="KNH236" s="16"/>
      <c r="KNI236" s="16"/>
      <c r="KNJ236" s="16"/>
      <c r="KNK236" s="16"/>
      <c r="KNL236" s="15"/>
      <c r="KNM236" s="15"/>
      <c r="KNN236" s="10"/>
      <c r="KNO236" s="10"/>
      <c r="KNP236" s="19"/>
      <c r="KNQ236" s="19"/>
      <c r="KNT236" s="16"/>
      <c r="KNU236" s="15"/>
      <c r="KNV236" s="15"/>
      <c r="KNW236" s="15"/>
      <c r="KNX236" s="16"/>
      <c r="KNY236" s="16"/>
      <c r="KNZ236" s="16"/>
      <c r="KOA236" s="16"/>
      <c r="KOB236" s="16"/>
      <c r="KOC236" s="15"/>
      <c r="KOD236" s="15"/>
      <c r="KOE236" s="10"/>
      <c r="KOF236" s="10"/>
      <c r="KOG236" s="19"/>
      <c r="KOH236" s="19"/>
      <c r="KOK236" s="16"/>
      <c r="KOL236" s="15"/>
      <c r="KOM236" s="15"/>
      <c r="KON236" s="15"/>
      <c r="KOO236" s="16"/>
      <c r="KOP236" s="16"/>
      <c r="KOQ236" s="16"/>
      <c r="KOR236" s="16"/>
      <c r="KOS236" s="16"/>
      <c r="KOT236" s="15"/>
      <c r="KOU236" s="15"/>
      <c r="KOV236" s="10"/>
      <c r="KOW236" s="10"/>
      <c r="KOX236" s="19"/>
      <c r="KOY236" s="19"/>
      <c r="KPB236" s="16"/>
      <c r="KPC236" s="15"/>
      <c r="KPD236" s="15"/>
      <c r="KPE236" s="15"/>
      <c r="KPF236" s="16"/>
      <c r="KPG236" s="16"/>
      <c r="KPH236" s="16"/>
      <c r="KPI236" s="16"/>
      <c r="KPJ236" s="16"/>
      <c r="KPK236" s="15"/>
      <c r="KPL236" s="15"/>
      <c r="KPM236" s="10"/>
      <c r="KPN236" s="10"/>
      <c r="KPO236" s="19"/>
      <c r="KPP236" s="19"/>
      <c r="KPS236" s="16"/>
      <c r="KPT236" s="15"/>
      <c r="KPU236" s="15"/>
      <c r="KPV236" s="15"/>
      <c r="KPW236" s="16"/>
      <c r="KPX236" s="16"/>
      <c r="KPY236" s="16"/>
      <c r="KPZ236" s="16"/>
      <c r="KQA236" s="16"/>
      <c r="KQB236" s="15"/>
      <c r="KQC236" s="15"/>
      <c r="KQD236" s="10"/>
      <c r="KQE236" s="10"/>
      <c r="KQF236" s="19"/>
      <c r="KQG236" s="19"/>
      <c r="KQJ236" s="16"/>
      <c r="KQK236" s="15"/>
      <c r="KQL236" s="15"/>
      <c r="KQM236" s="15"/>
      <c r="KQN236" s="16"/>
      <c r="KQO236" s="16"/>
      <c r="KQP236" s="16"/>
      <c r="KQQ236" s="16"/>
      <c r="KQR236" s="16"/>
      <c r="KQS236" s="15"/>
      <c r="KQT236" s="15"/>
      <c r="KQU236" s="10"/>
      <c r="KQV236" s="10"/>
      <c r="KQW236" s="19"/>
      <c r="KQX236" s="19"/>
      <c r="KRA236" s="16"/>
      <c r="KRB236" s="15"/>
      <c r="KRC236" s="15"/>
      <c r="KRD236" s="15"/>
      <c r="KRE236" s="16"/>
      <c r="KRF236" s="16"/>
      <c r="KRG236" s="16"/>
      <c r="KRH236" s="16"/>
      <c r="KRI236" s="16"/>
      <c r="KRJ236" s="15"/>
      <c r="KRK236" s="15"/>
      <c r="KRL236" s="10"/>
      <c r="KRM236" s="10"/>
      <c r="KRN236" s="19"/>
      <c r="KRO236" s="19"/>
      <c r="KRR236" s="16"/>
      <c r="KRS236" s="15"/>
      <c r="KRT236" s="15"/>
      <c r="KRU236" s="15"/>
      <c r="KRV236" s="16"/>
      <c r="KRW236" s="16"/>
      <c r="KRX236" s="16"/>
      <c r="KRY236" s="16"/>
      <c r="KRZ236" s="16"/>
      <c r="KSA236" s="15"/>
      <c r="KSB236" s="15"/>
      <c r="KSC236" s="10"/>
      <c r="KSD236" s="10"/>
      <c r="KSE236" s="19"/>
      <c r="KSF236" s="19"/>
      <c r="KSI236" s="16"/>
      <c r="KSJ236" s="15"/>
      <c r="KSK236" s="15"/>
      <c r="KSL236" s="15"/>
      <c r="KSM236" s="16"/>
      <c r="KSN236" s="16"/>
      <c r="KSO236" s="16"/>
      <c r="KSP236" s="16"/>
      <c r="KSQ236" s="16"/>
      <c r="KSR236" s="15"/>
      <c r="KSS236" s="15"/>
      <c r="KST236" s="10"/>
      <c r="KSU236" s="10"/>
      <c r="KSV236" s="19"/>
      <c r="KSW236" s="19"/>
      <c r="KSZ236" s="16"/>
      <c r="KTA236" s="15"/>
      <c r="KTB236" s="15"/>
      <c r="KTC236" s="15"/>
      <c r="KTD236" s="16"/>
      <c r="KTE236" s="16"/>
      <c r="KTF236" s="16"/>
      <c r="KTG236" s="16"/>
      <c r="KTH236" s="16"/>
      <c r="KTI236" s="15"/>
      <c r="KTJ236" s="15"/>
      <c r="KTK236" s="10"/>
      <c r="KTL236" s="10"/>
      <c r="KTM236" s="19"/>
      <c r="KTN236" s="19"/>
      <c r="KTQ236" s="16"/>
      <c r="KTR236" s="15"/>
      <c r="KTS236" s="15"/>
      <c r="KTT236" s="15"/>
      <c r="KTU236" s="16"/>
      <c r="KTV236" s="16"/>
      <c r="KTW236" s="16"/>
      <c r="KTX236" s="16"/>
      <c r="KTY236" s="16"/>
      <c r="KTZ236" s="15"/>
      <c r="KUA236" s="15"/>
      <c r="KUB236" s="10"/>
      <c r="KUC236" s="10"/>
      <c r="KUD236" s="19"/>
      <c r="KUE236" s="19"/>
      <c r="KUH236" s="16"/>
      <c r="KUI236" s="15"/>
      <c r="KUJ236" s="15"/>
      <c r="KUK236" s="15"/>
      <c r="KUL236" s="16"/>
      <c r="KUM236" s="16"/>
      <c r="KUN236" s="16"/>
      <c r="KUO236" s="16"/>
      <c r="KUP236" s="16"/>
      <c r="KUQ236" s="15"/>
      <c r="KUR236" s="15"/>
      <c r="KUS236" s="10"/>
      <c r="KUT236" s="10"/>
      <c r="KUU236" s="19"/>
      <c r="KUV236" s="19"/>
      <c r="KUY236" s="16"/>
      <c r="KUZ236" s="15"/>
      <c r="KVA236" s="15"/>
      <c r="KVB236" s="15"/>
      <c r="KVC236" s="16"/>
      <c r="KVD236" s="16"/>
      <c r="KVE236" s="16"/>
      <c r="KVF236" s="16"/>
      <c r="KVG236" s="16"/>
      <c r="KVH236" s="15"/>
      <c r="KVI236" s="15"/>
      <c r="KVJ236" s="10"/>
      <c r="KVK236" s="10"/>
      <c r="KVL236" s="19"/>
      <c r="KVM236" s="19"/>
      <c r="KVP236" s="16"/>
      <c r="KVQ236" s="15"/>
      <c r="KVR236" s="15"/>
      <c r="KVS236" s="15"/>
      <c r="KVT236" s="16"/>
      <c r="KVU236" s="16"/>
      <c r="KVV236" s="16"/>
      <c r="KVW236" s="16"/>
      <c r="KVX236" s="16"/>
      <c r="KVY236" s="15"/>
      <c r="KVZ236" s="15"/>
      <c r="KWA236" s="10"/>
      <c r="KWB236" s="10"/>
      <c r="KWC236" s="19"/>
      <c r="KWD236" s="19"/>
      <c r="KWG236" s="16"/>
      <c r="KWH236" s="15"/>
      <c r="KWI236" s="15"/>
      <c r="KWJ236" s="15"/>
      <c r="KWK236" s="16"/>
      <c r="KWL236" s="16"/>
      <c r="KWM236" s="16"/>
      <c r="KWN236" s="16"/>
      <c r="KWO236" s="16"/>
      <c r="KWP236" s="15"/>
      <c r="KWQ236" s="15"/>
      <c r="KWR236" s="10"/>
      <c r="KWS236" s="10"/>
      <c r="KWT236" s="19"/>
      <c r="KWU236" s="19"/>
      <c r="KWX236" s="16"/>
      <c r="KWY236" s="15"/>
      <c r="KWZ236" s="15"/>
      <c r="KXA236" s="15"/>
      <c r="KXB236" s="16"/>
      <c r="KXC236" s="16"/>
      <c r="KXD236" s="16"/>
      <c r="KXE236" s="16"/>
      <c r="KXF236" s="16"/>
      <c r="KXG236" s="15"/>
      <c r="KXH236" s="15"/>
      <c r="KXI236" s="10"/>
      <c r="KXJ236" s="10"/>
      <c r="KXK236" s="19"/>
      <c r="KXL236" s="19"/>
      <c r="KXO236" s="16"/>
      <c r="KXP236" s="15"/>
      <c r="KXQ236" s="15"/>
      <c r="KXR236" s="15"/>
      <c r="KXS236" s="16"/>
      <c r="KXT236" s="16"/>
      <c r="KXU236" s="16"/>
      <c r="KXV236" s="16"/>
      <c r="KXW236" s="16"/>
      <c r="KXX236" s="15"/>
      <c r="KXY236" s="15"/>
      <c r="KXZ236" s="10"/>
      <c r="KYA236" s="10"/>
      <c r="KYB236" s="19"/>
      <c r="KYC236" s="19"/>
      <c r="KYF236" s="16"/>
      <c r="KYG236" s="15"/>
      <c r="KYH236" s="15"/>
      <c r="KYI236" s="15"/>
      <c r="KYJ236" s="16"/>
      <c r="KYK236" s="16"/>
      <c r="KYL236" s="16"/>
      <c r="KYM236" s="16"/>
      <c r="KYN236" s="16"/>
      <c r="KYO236" s="15"/>
      <c r="KYP236" s="15"/>
      <c r="KYQ236" s="10"/>
      <c r="KYR236" s="10"/>
      <c r="KYS236" s="19"/>
      <c r="KYT236" s="19"/>
      <c r="KYW236" s="16"/>
      <c r="KYX236" s="15"/>
      <c r="KYY236" s="15"/>
      <c r="KYZ236" s="15"/>
      <c r="KZA236" s="16"/>
      <c r="KZB236" s="16"/>
      <c r="KZC236" s="16"/>
      <c r="KZD236" s="16"/>
      <c r="KZE236" s="16"/>
      <c r="KZF236" s="15"/>
      <c r="KZG236" s="15"/>
      <c r="KZH236" s="10"/>
      <c r="KZI236" s="10"/>
      <c r="KZJ236" s="19"/>
      <c r="KZK236" s="19"/>
      <c r="KZN236" s="16"/>
      <c r="KZO236" s="15"/>
      <c r="KZP236" s="15"/>
      <c r="KZQ236" s="15"/>
      <c r="KZR236" s="16"/>
      <c r="KZS236" s="16"/>
      <c r="KZT236" s="16"/>
      <c r="KZU236" s="16"/>
      <c r="KZV236" s="16"/>
      <c r="KZW236" s="15"/>
      <c r="KZX236" s="15"/>
      <c r="KZY236" s="10"/>
      <c r="KZZ236" s="10"/>
      <c r="LAA236" s="19"/>
      <c r="LAB236" s="19"/>
      <c r="LAE236" s="16"/>
      <c r="LAF236" s="15"/>
      <c r="LAG236" s="15"/>
      <c r="LAH236" s="15"/>
      <c r="LAI236" s="16"/>
      <c r="LAJ236" s="16"/>
      <c r="LAK236" s="16"/>
      <c r="LAL236" s="16"/>
      <c r="LAM236" s="16"/>
      <c r="LAN236" s="15"/>
      <c r="LAO236" s="15"/>
      <c r="LAP236" s="10"/>
      <c r="LAQ236" s="10"/>
      <c r="LAR236" s="19"/>
      <c r="LAS236" s="19"/>
      <c r="LAV236" s="16"/>
      <c r="LAW236" s="15"/>
      <c r="LAX236" s="15"/>
      <c r="LAY236" s="15"/>
      <c r="LAZ236" s="16"/>
      <c r="LBA236" s="16"/>
      <c r="LBB236" s="16"/>
      <c r="LBC236" s="16"/>
      <c r="LBD236" s="16"/>
      <c r="LBE236" s="15"/>
      <c r="LBF236" s="15"/>
      <c r="LBG236" s="10"/>
      <c r="LBH236" s="10"/>
      <c r="LBI236" s="19"/>
      <c r="LBJ236" s="19"/>
      <c r="LBM236" s="16"/>
      <c r="LBN236" s="15"/>
      <c r="LBO236" s="15"/>
      <c r="LBP236" s="15"/>
      <c r="LBQ236" s="16"/>
      <c r="LBR236" s="16"/>
      <c r="LBS236" s="16"/>
      <c r="LBT236" s="16"/>
      <c r="LBU236" s="16"/>
      <c r="LBV236" s="15"/>
      <c r="LBW236" s="15"/>
      <c r="LBX236" s="10"/>
      <c r="LBY236" s="10"/>
      <c r="LBZ236" s="19"/>
      <c r="LCA236" s="19"/>
      <c r="LCD236" s="16"/>
      <c r="LCE236" s="15"/>
      <c r="LCF236" s="15"/>
      <c r="LCG236" s="15"/>
      <c r="LCH236" s="16"/>
      <c r="LCI236" s="16"/>
      <c r="LCJ236" s="16"/>
      <c r="LCK236" s="16"/>
      <c r="LCL236" s="16"/>
      <c r="LCM236" s="15"/>
      <c r="LCN236" s="15"/>
      <c r="LCO236" s="10"/>
      <c r="LCP236" s="10"/>
      <c r="LCQ236" s="19"/>
      <c r="LCR236" s="19"/>
      <c r="LCU236" s="16"/>
      <c r="LCV236" s="15"/>
      <c r="LCW236" s="15"/>
      <c r="LCX236" s="15"/>
      <c r="LCY236" s="16"/>
      <c r="LCZ236" s="16"/>
      <c r="LDA236" s="16"/>
      <c r="LDB236" s="16"/>
      <c r="LDC236" s="16"/>
      <c r="LDD236" s="15"/>
      <c r="LDE236" s="15"/>
      <c r="LDF236" s="10"/>
      <c r="LDG236" s="10"/>
      <c r="LDH236" s="19"/>
      <c r="LDI236" s="19"/>
      <c r="LDL236" s="16"/>
      <c r="LDM236" s="15"/>
      <c r="LDN236" s="15"/>
      <c r="LDO236" s="15"/>
      <c r="LDP236" s="16"/>
      <c r="LDQ236" s="16"/>
      <c r="LDR236" s="16"/>
      <c r="LDS236" s="16"/>
      <c r="LDT236" s="16"/>
      <c r="LDU236" s="15"/>
      <c r="LDV236" s="15"/>
      <c r="LDW236" s="10"/>
      <c r="LDX236" s="10"/>
      <c r="LDY236" s="19"/>
      <c r="LDZ236" s="19"/>
      <c r="LEC236" s="16"/>
      <c r="LED236" s="15"/>
      <c r="LEE236" s="15"/>
      <c r="LEF236" s="15"/>
      <c r="LEG236" s="16"/>
      <c r="LEH236" s="16"/>
      <c r="LEI236" s="16"/>
      <c r="LEJ236" s="16"/>
      <c r="LEK236" s="16"/>
      <c r="LEL236" s="15"/>
      <c r="LEM236" s="15"/>
      <c r="LEN236" s="10"/>
      <c r="LEO236" s="10"/>
      <c r="LEP236" s="19"/>
      <c r="LEQ236" s="19"/>
      <c r="LET236" s="16"/>
      <c r="LEU236" s="15"/>
      <c r="LEV236" s="15"/>
      <c r="LEW236" s="15"/>
      <c r="LEX236" s="16"/>
      <c r="LEY236" s="16"/>
      <c r="LEZ236" s="16"/>
      <c r="LFA236" s="16"/>
      <c r="LFB236" s="16"/>
      <c r="LFC236" s="15"/>
      <c r="LFD236" s="15"/>
      <c r="LFE236" s="10"/>
      <c r="LFF236" s="10"/>
      <c r="LFG236" s="19"/>
      <c r="LFH236" s="19"/>
      <c r="LFK236" s="16"/>
      <c r="LFL236" s="15"/>
      <c r="LFM236" s="15"/>
      <c r="LFN236" s="15"/>
      <c r="LFO236" s="16"/>
      <c r="LFP236" s="16"/>
      <c r="LFQ236" s="16"/>
      <c r="LFR236" s="16"/>
      <c r="LFS236" s="16"/>
      <c r="LFT236" s="15"/>
      <c r="LFU236" s="15"/>
      <c r="LFV236" s="10"/>
      <c r="LFW236" s="10"/>
      <c r="LFX236" s="19"/>
      <c r="LFY236" s="19"/>
      <c r="LGB236" s="16"/>
      <c r="LGC236" s="15"/>
      <c r="LGD236" s="15"/>
      <c r="LGE236" s="15"/>
      <c r="LGF236" s="16"/>
      <c r="LGG236" s="16"/>
      <c r="LGH236" s="16"/>
      <c r="LGI236" s="16"/>
      <c r="LGJ236" s="16"/>
      <c r="LGK236" s="15"/>
      <c r="LGL236" s="15"/>
      <c r="LGM236" s="10"/>
      <c r="LGN236" s="10"/>
      <c r="LGO236" s="19"/>
      <c r="LGP236" s="19"/>
      <c r="LGS236" s="16"/>
      <c r="LGT236" s="15"/>
      <c r="LGU236" s="15"/>
      <c r="LGV236" s="15"/>
      <c r="LGW236" s="16"/>
      <c r="LGX236" s="16"/>
      <c r="LGY236" s="16"/>
      <c r="LGZ236" s="16"/>
      <c r="LHA236" s="16"/>
      <c r="LHB236" s="15"/>
      <c r="LHC236" s="15"/>
      <c r="LHD236" s="10"/>
      <c r="LHE236" s="10"/>
      <c r="LHF236" s="19"/>
      <c r="LHG236" s="19"/>
      <c r="LHJ236" s="16"/>
      <c r="LHK236" s="15"/>
      <c r="LHL236" s="15"/>
      <c r="LHM236" s="15"/>
      <c r="LHN236" s="16"/>
      <c r="LHO236" s="16"/>
      <c r="LHP236" s="16"/>
      <c r="LHQ236" s="16"/>
      <c r="LHR236" s="16"/>
      <c r="LHS236" s="15"/>
      <c r="LHT236" s="15"/>
      <c r="LHU236" s="10"/>
      <c r="LHV236" s="10"/>
      <c r="LHW236" s="19"/>
      <c r="LHX236" s="19"/>
      <c r="LIA236" s="16"/>
      <c r="LIB236" s="15"/>
      <c r="LIC236" s="15"/>
      <c r="LID236" s="15"/>
      <c r="LIE236" s="16"/>
      <c r="LIF236" s="16"/>
      <c r="LIG236" s="16"/>
      <c r="LIH236" s="16"/>
      <c r="LII236" s="16"/>
      <c r="LIJ236" s="15"/>
      <c r="LIK236" s="15"/>
      <c r="LIL236" s="10"/>
      <c r="LIM236" s="10"/>
      <c r="LIN236" s="19"/>
      <c r="LIO236" s="19"/>
      <c r="LIR236" s="16"/>
      <c r="LIS236" s="15"/>
      <c r="LIT236" s="15"/>
      <c r="LIU236" s="15"/>
      <c r="LIV236" s="16"/>
      <c r="LIW236" s="16"/>
      <c r="LIX236" s="16"/>
      <c r="LIY236" s="16"/>
      <c r="LIZ236" s="16"/>
      <c r="LJA236" s="15"/>
      <c r="LJB236" s="15"/>
      <c r="LJC236" s="10"/>
      <c r="LJD236" s="10"/>
      <c r="LJE236" s="19"/>
      <c r="LJF236" s="19"/>
      <c r="LJI236" s="16"/>
      <c r="LJJ236" s="15"/>
      <c r="LJK236" s="15"/>
      <c r="LJL236" s="15"/>
      <c r="LJM236" s="16"/>
      <c r="LJN236" s="16"/>
      <c r="LJO236" s="16"/>
      <c r="LJP236" s="16"/>
      <c r="LJQ236" s="16"/>
      <c r="LJR236" s="15"/>
      <c r="LJS236" s="15"/>
      <c r="LJT236" s="10"/>
      <c r="LJU236" s="10"/>
      <c r="LJV236" s="19"/>
      <c r="LJW236" s="19"/>
      <c r="LJZ236" s="16"/>
      <c r="LKA236" s="15"/>
      <c r="LKB236" s="15"/>
      <c r="LKC236" s="15"/>
      <c r="LKD236" s="16"/>
      <c r="LKE236" s="16"/>
      <c r="LKF236" s="16"/>
      <c r="LKG236" s="16"/>
      <c r="LKH236" s="16"/>
      <c r="LKI236" s="15"/>
      <c r="LKJ236" s="15"/>
      <c r="LKK236" s="10"/>
      <c r="LKL236" s="10"/>
      <c r="LKM236" s="19"/>
      <c r="LKN236" s="19"/>
      <c r="LKQ236" s="16"/>
      <c r="LKR236" s="15"/>
      <c r="LKS236" s="15"/>
      <c r="LKT236" s="15"/>
      <c r="LKU236" s="16"/>
      <c r="LKV236" s="16"/>
      <c r="LKW236" s="16"/>
      <c r="LKX236" s="16"/>
      <c r="LKY236" s="16"/>
      <c r="LKZ236" s="15"/>
      <c r="LLA236" s="15"/>
      <c r="LLB236" s="10"/>
      <c r="LLC236" s="10"/>
      <c r="LLD236" s="19"/>
      <c r="LLE236" s="19"/>
      <c r="LLH236" s="16"/>
      <c r="LLI236" s="15"/>
      <c r="LLJ236" s="15"/>
      <c r="LLK236" s="15"/>
      <c r="LLL236" s="16"/>
      <c r="LLM236" s="16"/>
      <c r="LLN236" s="16"/>
      <c r="LLO236" s="16"/>
      <c r="LLP236" s="16"/>
      <c r="LLQ236" s="15"/>
      <c r="LLR236" s="15"/>
      <c r="LLS236" s="10"/>
      <c r="LLT236" s="10"/>
      <c r="LLU236" s="19"/>
      <c r="LLV236" s="19"/>
      <c r="LLY236" s="16"/>
      <c r="LLZ236" s="15"/>
      <c r="LMA236" s="15"/>
      <c r="LMB236" s="15"/>
      <c r="LMC236" s="16"/>
      <c r="LMD236" s="16"/>
      <c r="LME236" s="16"/>
      <c r="LMF236" s="16"/>
      <c r="LMG236" s="16"/>
      <c r="LMH236" s="15"/>
      <c r="LMI236" s="15"/>
      <c r="LMJ236" s="10"/>
      <c r="LMK236" s="10"/>
      <c r="LML236" s="19"/>
      <c r="LMM236" s="19"/>
      <c r="LMP236" s="16"/>
      <c r="LMQ236" s="15"/>
      <c r="LMR236" s="15"/>
      <c r="LMS236" s="15"/>
      <c r="LMT236" s="16"/>
      <c r="LMU236" s="16"/>
      <c r="LMV236" s="16"/>
      <c r="LMW236" s="16"/>
      <c r="LMX236" s="16"/>
      <c r="LMY236" s="15"/>
      <c r="LMZ236" s="15"/>
      <c r="LNA236" s="10"/>
      <c r="LNB236" s="10"/>
      <c r="LNC236" s="19"/>
      <c r="LND236" s="19"/>
      <c r="LNG236" s="16"/>
      <c r="LNH236" s="15"/>
      <c r="LNI236" s="15"/>
      <c r="LNJ236" s="15"/>
      <c r="LNK236" s="16"/>
      <c r="LNL236" s="16"/>
      <c r="LNM236" s="16"/>
      <c r="LNN236" s="16"/>
      <c r="LNO236" s="16"/>
      <c r="LNP236" s="15"/>
      <c r="LNQ236" s="15"/>
      <c r="LNR236" s="10"/>
      <c r="LNS236" s="10"/>
      <c r="LNT236" s="19"/>
      <c r="LNU236" s="19"/>
      <c r="LNX236" s="16"/>
      <c r="LNY236" s="15"/>
      <c r="LNZ236" s="15"/>
      <c r="LOA236" s="15"/>
      <c r="LOB236" s="16"/>
      <c r="LOC236" s="16"/>
      <c r="LOD236" s="16"/>
      <c r="LOE236" s="16"/>
      <c r="LOF236" s="16"/>
      <c r="LOG236" s="15"/>
      <c r="LOH236" s="15"/>
      <c r="LOI236" s="10"/>
      <c r="LOJ236" s="10"/>
      <c r="LOK236" s="19"/>
      <c r="LOL236" s="19"/>
      <c r="LOO236" s="16"/>
      <c r="LOP236" s="15"/>
      <c r="LOQ236" s="15"/>
      <c r="LOR236" s="15"/>
      <c r="LOS236" s="16"/>
      <c r="LOT236" s="16"/>
      <c r="LOU236" s="16"/>
      <c r="LOV236" s="16"/>
      <c r="LOW236" s="16"/>
      <c r="LOX236" s="15"/>
      <c r="LOY236" s="15"/>
      <c r="LOZ236" s="10"/>
      <c r="LPA236" s="10"/>
      <c r="LPB236" s="19"/>
      <c r="LPC236" s="19"/>
      <c r="LPF236" s="16"/>
      <c r="LPG236" s="15"/>
      <c r="LPH236" s="15"/>
      <c r="LPI236" s="15"/>
      <c r="LPJ236" s="16"/>
      <c r="LPK236" s="16"/>
      <c r="LPL236" s="16"/>
      <c r="LPM236" s="16"/>
      <c r="LPN236" s="16"/>
      <c r="LPO236" s="15"/>
      <c r="LPP236" s="15"/>
      <c r="LPQ236" s="10"/>
      <c r="LPR236" s="10"/>
      <c r="LPS236" s="19"/>
      <c r="LPT236" s="19"/>
      <c r="LPW236" s="16"/>
      <c r="LPX236" s="15"/>
      <c r="LPY236" s="15"/>
      <c r="LPZ236" s="15"/>
      <c r="LQA236" s="16"/>
      <c r="LQB236" s="16"/>
      <c r="LQC236" s="16"/>
      <c r="LQD236" s="16"/>
      <c r="LQE236" s="16"/>
      <c r="LQF236" s="15"/>
      <c r="LQG236" s="15"/>
      <c r="LQH236" s="10"/>
      <c r="LQI236" s="10"/>
      <c r="LQJ236" s="19"/>
      <c r="LQK236" s="19"/>
      <c r="LQN236" s="16"/>
      <c r="LQO236" s="15"/>
      <c r="LQP236" s="15"/>
      <c r="LQQ236" s="15"/>
      <c r="LQR236" s="16"/>
      <c r="LQS236" s="16"/>
      <c r="LQT236" s="16"/>
      <c r="LQU236" s="16"/>
      <c r="LQV236" s="16"/>
      <c r="LQW236" s="15"/>
      <c r="LQX236" s="15"/>
      <c r="LQY236" s="10"/>
      <c r="LQZ236" s="10"/>
      <c r="LRA236" s="19"/>
      <c r="LRB236" s="19"/>
      <c r="LRE236" s="16"/>
      <c r="LRF236" s="15"/>
      <c r="LRG236" s="15"/>
      <c r="LRH236" s="15"/>
      <c r="LRI236" s="16"/>
      <c r="LRJ236" s="16"/>
      <c r="LRK236" s="16"/>
      <c r="LRL236" s="16"/>
      <c r="LRM236" s="16"/>
      <c r="LRN236" s="15"/>
      <c r="LRO236" s="15"/>
      <c r="LRP236" s="10"/>
      <c r="LRQ236" s="10"/>
      <c r="LRR236" s="19"/>
      <c r="LRS236" s="19"/>
      <c r="LRV236" s="16"/>
      <c r="LRW236" s="15"/>
      <c r="LRX236" s="15"/>
      <c r="LRY236" s="15"/>
      <c r="LRZ236" s="16"/>
      <c r="LSA236" s="16"/>
      <c r="LSB236" s="16"/>
      <c r="LSC236" s="16"/>
      <c r="LSD236" s="16"/>
      <c r="LSE236" s="15"/>
      <c r="LSF236" s="15"/>
      <c r="LSG236" s="10"/>
      <c r="LSH236" s="10"/>
      <c r="LSI236" s="19"/>
      <c r="LSJ236" s="19"/>
      <c r="LSM236" s="16"/>
      <c r="LSN236" s="15"/>
      <c r="LSO236" s="15"/>
      <c r="LSP236" s="15"/>
      <c r="LSQ236" s="16"/>
      <c r="LSR236" s="16"/>
      <c r="LSS236" s="16"/>
      <c r="LST236" s="16"/>
      <c r="LSU236" s="16"/>
      <c r="LSV236" s="15"/>
      <c r="LSW236" s="15"/>
      <c r="LSX236" s="10"/>
      <c r="LSY236" s="10"/>
      <c r="LSZ236" s="19"/>
      <c r="LTA236" s="19"/>
      <c r="LTD236" s="16"/>
      <c r="LTE236" s="15"/>
      <c r="LTF236" s="15"/>
      <c r="LTG236" s="15"/>
      <c r="LTH236" s="16"/>
      <c r="LTI236" s="16"/>
      <c r="LTJ236" s="16"/>
      <c r="LTK236" s="16"/>
      <c r="LTL236" s="16"/>
      <c r="LTM236" s="15"/>
      <c r="LTN236" s="15"/>
      <c r="LTO236" s="10"/>
      <c r="LTP236" s="10"/>
      <c r="LTQ236" s="19"/>
      <c r="LTR236" s="19"/>
      <c r="LTU236" s="16"/>
      <c r="LTV236" s="15"/>
      <c r="LTW236" s="15"/>
      <c r="LTX236" s="15"/>
      <c r="LTY236" s="16"/>
      <c r="LTZ236" s="16"/>
      <c r="LUA236" s="16"/>
      <c r="LUB236" s="16"/>
      <c r="LUC236" s="16"/>
      <c r="LUD236" s="15"/>
      <c r="LUE236" s="15"/>
      <c r="LUF236" s="10"/>
      <c r="LUG236" s="10"/>
      <c r="LUH236" s="19"/>
      <c r="LUI236" s="19"/>
      <c r="LUL236" s="16"/>
      <c r="LUM236" s="15"/>
      <c r="LUN236" s="15"/>
      <c r="LUO236" s="15"/>
      <c r="LUP236" s="16"/>
      <c r="LUQ236" s="16"/>
      <c r="LUR236" s="16"/>
      <c r="LUS236" s="16"/>
      <c r="LUT236" s="16"/>
      <c r="LUU236" s="15"/>
      <c r="LUV236" s="15"/>
      <c r="LUW236" s="10"/>
      <c r="LUX236" s="10"/>
      <c r="LUY236" s="19"/>
      <c r="LUZ236" s="19"/>
      <c r="LVC236" s="16"/>
      <c r="LVD236" s="15"/>
      <c r="LVE236" s="15"/>
      <c r="LVF236" s="15"/>
      <c r="LVG236" s="16"/>
      <c r="LVH236" s="16"/>
      <c r="LVI236" s="16"/>
      <c r="LVJ236" s="16"/>
      <c r="LVK236" s="16"/>
      <c r="LVL236" s="15"/>
      <c r="LVM236" s="15"/>
      <c r="LVN236" s="10"/>
      <c r="LVO236" s="10"/>
      <c r="LVP236" s="19"/>
      <c r="LVQ236" s="19"/>
      <c r="LVT236" s="16"/>
      <c r="LVU236" s="15"/>
      <c r="LVV236" s="15"/>
      <c r="LVW236" s="15"/>
      <c r="LVX236" s="16"/>
      <c r="LVY236" s="16"/>
      <c r="LVZ236" s="16"/>
      <c r="LWA236" s="16"/>
      <c r="LWB236" s="16"/>
      <c r="LWC236" s="15"/>
      <c r="LWD236" s="15"/>
      <c r="LWE236" s="10"/>
      <c r="LWF236" s="10"/>
      <c r="LWG236" s="19"/>
      <c r="LWH236" s="19"/>
      <c r="LWK236" s="16"/>
      <c r="LWL236" s="15"/>
      <c r="LWM236" s="15"/>
      <c r="LWN236" s="15"/>
      <c r="LWO236" s="16"/>
      <c r="LWP236" s="16"/>
      <c r="LWQ236" s="16"/>
      <c r="LWR236" s="16"/>
      <c r="LWS236" s="16"/>
      <c r="LWT236" s="15"/>
      <c r="LWU236" s="15"/>
      <c r="LWV236" s="10"/>
      <c r="LWW236" s="10"/>
      <c r="LWX236" s="19"/>
      <c r="LWY236" s="19"/>
      <c r="LXB236" s="16"/>
      <c r="LXC236" s="15"/>
      <c r="LXD236" s="15"/>
      <c r="LXE236" s="15"/>
      <c r="LXF236" s="16"/>
      <c r="LXG236" s="16"/>
      <c r="LXH236" s="16"/>
      <c r="LXI236" s="16"/>
      <c r="LXJ236" s="16"/>
      <c r="LXK236" s="15"/>
      <c r="LXL236" s="15"/>
      <c r="LXM236" s="10"/>
      <c r="LXN236" s="10"/>
      <c r="LXO236" s="19"/>
      <c r="LXP236" s="19"/>
      <c r="LXS236" s="16"/>
      <c r="LXT236" s="15"/>
      <c r="LXU236" s="15"/>
      <c r="LXV236" s="15"/>
      <c r="LXW236" s="16"/>
      <c r="LXX236" s="16"/>
      <c r="LXY236" s="16"/>
      <c r="LXZ236" s="16"/>
      <c r="LYA236" s="16"/>
      <c r="LYB236" s="15"/>
      <c r="LYC236" s="15"/>
      <c r="LYD236" s="10"/>
      <c r="LYE236" s="10"/>
      <c r="LYF236" s="19"/>
      <c r="LYG236" s="19"/>
      <c r="LYJ236" s="16"/>
      <c r="LYK236" s="15"/>
      <c r="LYL236" s="15"/>
      <c r="LYM236" s="15"/>
      <c r="LYN236" s="16"/>
      <c r="LYO236" s="16"/>
      <c r="LYP236" s="16"/>
      <c r="LYQ236" s="16"/>
      <c r="LYR236" s="16"/>
      <c r="LYS236" s="15"/>
      <c r="LYT236" s="15"/>
      <c r="LYU236" s="10"/>
      <c r="LYV236" s="10"/>
      <c r="LYW236" s="19"/>
      <c r="LYX236" s="19"/>
      <c r="LZA236" s="16"/>
      <c r="LZB236" s="15"/>
      <c r="LZC236" s="15"/>
      <c r="LZD236" s="15"/>
      <c r="LZE236" s="16"/>
      <c r="LZF236" s="16"/>
      <c r="LZG236" s="16"/>
      <c r="LZH236" s="16"/>
      <c r="LZI236" s="16"/>
      <c r="LZJ236" s="15"/>
      <c r="LZK236" s="15"/>
      <c r="LZL236" s="10"/>
      <c r="LZM236" s="10"/>
      <c r="LZN236" s="19"/>
      <c r="LZO236" s="19"/>
      <c r="LZR236" s="16"/>
      <c r="LZS236" s="15"/>
      <c r="LZT236" s="15"/>
      <c r="LZU236" s="15"/>
      <c r="LZV236" s="16"/>
      <c r="LZW236" s="16"/>
      <c r="LZX236" s="16"/>
      <c r="LZY236" s="16"/>
      <c r="LZZ236" s="16"/>
      <c r="MAA236" s="15"/>
      <c r="MAB236" s="15"/>
      <c r="MAC236" s="10"/>
      <c r="MAD236" s="10"/>
      <c r="MAE236" s="19"/>
      <c r="MAF236" s="19"/>
      <c r="MAI236" s="16"/>
      <c r="MAJ236" s="15"/>
      <c r="MAK236" s="15"/>
      <c r="MAL236" s="15"/>
      <c r="MAM236" s="16"/>
      <c r="MAN236" s="16"/>
      <c r="MAO236" s="16"/>
      <c r="MAP236" s="16"/>
      <c r="MAQ236" s="16"/>
      <c r="MAR236" s="15"/>
      <c r="MAS236" s="15"/>
      <c r="MAT236" s="10"/>
      <c r="MAU236" s="10"/>
      <c r="MAV236" s="19"/>
      <c r="MAW236" s="19"/>
      <c r="MAZ236" s="16"/>
      <c r="MBA236" s="15"/>
      <c r="MBB236" s="15"/>
      <c r="MBC236" s="15"/>
      <c r="MBD236" s="16"/>
      <c r="MBE236" s="16"/>
      <c r="MBF236" s="16"/>
      <c r="MBG236" s="16"/>
      <c r="MBH236" s="16"/>
      <c r="MBI236" s="15"/>
      <c r="MBJ236" s="15"/>
      <c r="MBK236" s="10"/>
      <c r="MBL236" s="10"/>
      <c r="MBM236" s="19"/>
      <c r="MBN236" s="19"/>
      <c r="MBQ236" s="16"/>
      <c r="MBR236" s="15"/>
      <c r="MBS236" s="15"/>
      <c r="MBT236" s="15"/>
      <c r="MBU236" s="16"/>
      <c r="MBV236" s="16"/>
      <c r="MBW236" s="16"/>
      <c r="MBX236" s="16"/>
      <c r="MBY236" s="16"/>
      <c r="MBZ236" s="15"/>
      <c r="MCA236" s="15"/>
      <c r="MCB236" s="10"/>
      <c r="MCC236" s="10"/>
      <c r="MCD236" s="19"/>
      <c r="MCE236" s="19"/>
      <c r="MCH236" s="16"/>
      <c r="MCI236" s="15"/>
      <c r="MCJ236" s="15"/>
      <c r="MCK236" s="15"/>
      <c r="MCL236" s="16"/>
      <c r="MCM236" s="16"/>
      <c r="MCN236" s="16"/>
      <c r="MCO236" s="16"/>
      <c r="MCP236" s="16"/>
      <c r="MCQ236" s="15"/>
      <c r="MCR236" s="15"/>
      <c r="MCS236" s="10"/>
      <c r="MCT236" s="10"/>
      <c r="MCU236" s="19"/>
      <c r="MCV236" s="19"/>
      <c r="MCY236" s="16"/>
      <c r="MCZ236" s="15"/>
      <c r="MDA236" s="15"/>
      <c r="MDB236" s="15"/>
      <c r="MDC236" s="16"/>
      <c r="MDD236" s="16"/>
      <c r="MDE236" s="16"/>
      <c r="MDF236" s="16"/>
      <c r="MDG236" s="16"/>
      <c r="MDH236" s="15"/>
      <c r="MDI236" s="15"/>
      <c r="MDJ236" s="10"/>
      <c r="MDK236" s="10"/>
      <c r="MDL236" s="19"/>
      <c r="MDM236" s="19"/>
      <c r="MDP236" s="16"/>
      <c r="MDQ236" s="15"/>
      <c r="MDR236" s="15"/>
      <c r="MDS236" s="15"/>
      <c r="MDT236" s="16"/>
      <c r="MDU236" s="16"/>
      <c r="MDV236" s="16"/>
      <c r="MDW236" s="16"/>
      <c r="MDX236" s="16"/>
      <c r="MDY236" s="15"/>
      <c r="MDZ236" s="15"/>
      <c r="MEA236" s="10"/>
      <c r="MEB236" s="10"/>
      <c r="MEC236" s="19"/>
      <c r="MED236" s="19"/>
      <c r="MEG236" s="16"/>
      <c r="MEH236" s="15"/>
      <c r="MEI236" s="15"/>
      <c r="MEJ236" s="15"/>
      <c r="MEK236" s="16"/>
      <c r="MEL236" s="16"/>
      <c r="MEM236" s="16"/>
      <c r="MEN236" s="16"/>
      <c r="MEO236" s="16"/>
      <c r="MEP236" s="15"/>
      <c r="MEQ236" s="15"/>
      <c r="MER236" s="10"/>
      <c r="MES236" s="10"/>
      <c r="MET236" s="19"/>
      <c r="MEU236" s="19"/>
      <c r="MEX236" s="16"/>
      <c r="MEY236" s="15"/>
      <c r="MEZ236" s="15"/>
      <c r="MFA236" s="15"/>
      <c r="MFB236" s="16"/>
      <c r="MFC236" s="16"/>
      <c r="MFD236" s="16"/>
      <c r="MFE236" s="16"/>
      <c r="MFF236" s="16"/>
      <c r="MFG236" s="15"/>
      <c r="MFH236" s="15"/>
      <c r="MFI236" s="10"/>
      <c r="MFJ236" s="10"/>
      <c r="MFK236" s="19"/>
      <c r="MFL236" s="19"/>
      <c r="MFO236" s="16"/>
      <c r="MFP236" s="15"/>
      <c r="MFQ236" s="15"/>
      <c r="MFR236" s="15"/>
      <c r="MFS236" s="16"/>
      <c r="MFT236" s="16"/>
      <c r="MFU236" s="16"/>
      <c r="MFV236" s="16"/>
      <c r="MFW236" s="16"/>
      <c r="MFX236" s="15"/>
      <c r="MFY236" s="15"/>
      <c r="MFZ236" s="10"/>
      <c r="MGA236" s="10"/>
      <c r="MGB236" s="19"/>
      <c r="MGC236" s="19"/>
      <c r="MGF236" s="16"/>
      <c r="MGG236" s="15"/>
      <c r="MGH236" s="15"/>
      <c r="MGI236" s="15"/>
      <c r="MGJ236" s="16"/>
      <c r="MGK236" s="16"/>
      <c r="MGL236" s="16"/>
      <c r="MGM236" s="16"/>
      <c r="MGN236" s="16"/>
      <c r="MGO236" s="15"/>
      <c r="MGP236" s="15"/>
      <c r="MGQ236" s="10"/>
      <c r="MGR236" s="10"/>
      <c r="MGS236" s="19"/>
      <c r="MGT236" s="19"/>
      <c r="MGW236" s="16"/>
      <c r="MGX236" s="15"/>
      <c r="MGY236" s="15"/>
      <c r="MGZ236" s="15"/>
      <c r="MHA236" s="16"/>
      <c r="MHB236" s="16"/>
      <c r="MHC236" s="16"/>
      <c r="MHD236" s="16"/>
      <c r="MHE236" s="16"/>
      <c r="MHF236" s="15"/>
      <c r="MHG236" s="15"/>
      <c r="MHH236" s="10"/>
      <c r="MHI236" s="10"/>
      <c r="MHJ236" s="19"/>
      <c r="MHK236" s="19"/>
      <c r="MHN236" s="16"/>
      <c r="MHO236" s="15"/>
      <c r="MHP236" s="15"/>
      <c r="MHQ236" s="15"/>
      <c r="MHR236" s="16"/>
      <c r="MHS236" s="16"/>
      <c r="MHT236" s="16"/>
      <c r="MHU236" s="16"/>
      <c r="MHV236" s="16"/>
      <c r="MHW236" s="15"/>
      <c r="MHX236" s="15"/>
      <c r="MHY236" s="10"/>
      <c r="MHZ236" s="10"/>
      <c r="MIA236" s="19"/>
      <c r="MIB236" s="19"/>
      <c r="MIE236" s="16"/>
      <c r="MIF236" s="15"/>
      <c r="MIG236" s="15"/>
      <c r="MIH236" s="15"/>
      <c r="MII236" s="16"/>
      <c r="MIJ236" s="16"/>
      <c r="MIK236" s="16"/>
      <c r="MIL236" s="16"/>
      <c r="MIM236" s="16"/>
      <c r="MIN236" s="15"/>
      <c r="MIO236" s="15"/>
      <c r="MIP236" s="10"/>
      <c r="MIQ236" s="10"/>
      <c r="MIR236" s="19"/>
      <c r="MIS236" s="19"/>
      <c r="MIV236" s="16"/>
      <c r="MIW236" s="15"/>
      <c r="MIX236" s="15"/>
      <c r="MIY236" s="15"/>
      <c r="MIZ236" s="16"/>
      <c r="MJA236" s="16"/>
      <c r="MJB236" s="16"/>
      <c r="MJC236" s="16"/>
      <c r="MJD236" s="16"/>
      <c r="MJE236" s="15"/>
      <c r="MJF236" s="15"/>
      <c r="MJG236" s="10"/>
      <c r="MJH236" s="10"/>
      <c r="MJI236" s="19"/>
      <c r="MJJ236" s="19"/>
      <c r="MJM236" s="16"/>
      <c r="MJN236" s="15"/>
      <c r="MJO236" s="15"/>
      <c r="MJP236" s="15"/>
      <c r="MJQ236" s="16"/>
      <c r="MJR236" s="16"/>
      <c r="MJS236" s="16"/>
      <c r="MJT236" s="16"/>
      <c r="MJU236" s="16"/>
      <c r="MJV236" s="15"/>
      <c r="MJW236" s="15"/>
      <c r="MJX236" s="10"/>
      <c r="MJY236" s="10"/>
      <c r="MJZ236" s="19"/>
      <c r="MKA236" s="19"/>
      <c r="MKD236" s="16"/>
      <c r="MKE236" s="15"/>
      <c r="MKF236" s="15"/>
      <c r="MKG236" s="15"/>
      <c r="MKH236" s="16"/>
      <c r="MKI236" s="16"/>
      <c r="MKJ236" s="16"/>
      <c r="MKK236" s="16"/>
      <c r="MKL236" s="16"/>
      <c r="MKM236" s="15"/>
      <c r="MKN236" s="15"/>
      <c r="MKO236" s="10"/>
      <c r="MKP236" s="10"/>
      <c r="MKQ236" s="19"/>
      <c r="MKR236" s="19"/>
      <c r="MKU236" s="16"/>
      <c r="MKV236" s="15"/>
      <c r="MKW236" s="15"/>
      <c r="MKX236" s="15"/>
      <c r="MKY236" s="16"/>
      <c r="MKZ236" s="16"/>
      <c r="MLA236" s="16"/>
      <c r="MLB236" s="16"/>
      <c r="MLC236" s="16"/>
      <c r="MLD236" s="15"/>
      <c r="MLE236" s="15"/>
      <c r="MLF236" s="10"/>
      <c r="MLG236" s="10"/>
      <c r="MLH236" s="19"/>
      <c r="MLI236" s="19"/>
      <c r="MLL236" s="16"/>
      <c r="MLM236" s="15"/>
      <c r="MLN236" s="15"/>
      <c r="MLO236" s="15"/>
      <c r="MLP236" s="16"/>
      <c r="MLQ236" s="16"/>
      <c r="MLR236" s="16"/>
      <c r="MLS236" s="16"/>
      <c r="MLT236" s="16"/>
      <c r="MLU236" s="15"/>
      <c r="MLV236" s="15"/>
      <c r="MLW236" s="10"/>
      <c r="MLX236" s="10"/>
      <c r="MLY236" s="19"/>
      <c r="MLZ236" s="19"/>
      <c r="MMC236" s="16"/>
      <c r="MMD236" s="15"/>
      <c r="MME236" s="15"/>
      <c r="MMF236" s="15"/>
      <c r="MMG236" s="16"/>
      <c r="MMH236" s="16"/>
      <c r="MMI236" s="16"/>
      <c r="MMJ236" s="16"/>
      <c r="MMK236" s="16"/>
      <c r="MML236" s="15"/>
      <c r="MMM236" s="15"/>
      <c r="MMN236" s="10"/>
      <c r="MMO236" s="10"/>
      <c r="MMP236" s="19"/>
      <c r="MMQ236" s="19"/>
      <c r="MMT236" s="16"/>
      <c r="MMU236" s="15"/>
      <c r="MMV236" s="15"/>
      <c r="MMW236" s="15"/>
      <c r="MMX236" s="16"/>
      <c r="MMY236" s="16"/>
      <c r="MMZ236" s="16"/>
      <c r="MNA236" s="16"/>
      <c r="MNB236" s="16"/>
      <c r="MNC236" s="15"/>
      <c r="MND236" s="15"/>
      <c r="MNE236" s="10"/>
      <c r="MNF236" s="10"/>
      <c r="MNG236" s="19"/>
      <c r="MNH236" s="19"/>
      <c r="MNK236" s="16"/>
      <c r="MNL236" s="15"/>
      <c r="MNM236" s="15"/>
      <c r="MNN236" s="15"/>
      <c r="MNO236" s="16"/>
      <c r="MNP236" s="16"/>
      <c r="MNQ236" s="16"/>
      <c r="MNR236" s="16"/>
      <c r="MNS236" s="16"/>
      <c r="MNT236" s="15"/>
      <c r="MNU236" s="15"/>
      <c r="MNV236" s="10"/>
      <c r="MNW236" s="10"/>
      <c r="MNX236" s="19"/>
      <c r="MNY236" s="19"/>
      <c r="MOB236" s="16"/>
      <c r="MOC236" s="15"/>
      <c r="MOD236" s="15"/>
      <c r="MOE236" s="15"/>
      <c r="MOF236" s="16"/>
      <c r="MOG236" s="16"/>
      <c r="MOH236" s="16"/>
      <c r="MOI236" s="16"/>
      <c r="MOJ236" s="16"/>
      <c r="MOK236" s="15"/>
      <c r="MOL236" s="15"/>
      <c r="MOM236" s="10"/>
      <c r="MON236" s="10"/>
      <c r="MOO236" s="19"/>
      <c r="MOP236" s="19"/>
      <c r="MOS236" s="16"/>
      <c r="MOT236" s="15"/>
      <c r="MOU236" s="15"/>
      <c r="MOV236" s="15"/>
      <c r="MOW236" s="16"/>
      <c r="MOX236" s="16"/>
      <c r="MOY236" s="16"/>
      <c r="MOZ236" s="16"/>
      <c r="MPA236" s="16"/>
      <c r="MPB236" s="15"/>
      <c r="MPC236" s="15"/>
      <c r="MPD236" s="10"/>
      <c r="MPE236" s="10"/>
      <c r="MPF236" s="19"/>
      <c r="MPG236" s="19"/>
      <c r="MPJ236" s="16"/>
      <c r="MPK236" s="15"/>
      <c r="MPL236" s="15"/>
      <c r="MPM236" s="15"/>
      <c r="MPN236" s="16"/>
      <c r="MPO236" s="16"/>
      <c r="MPP236" s="16"/>
      <c r="MPQ236" s="16"/>
      <c r="MPR236" s="16"/>
      <c r="MPS236" s="15"/>
      <c r="MPT236" s="15"/>
      <c r="MPU236" s="10"/>
      <c r="MPV236" s="10"/>
      <c r="MPW236" s="19"/>
      <c r="MPX236" s="19"/>
      <c r="MQA236" s="16"/>
      <c r="MQB236" s="15"/>
      <c r="MQC236" s="15"/>
      <c r="MQD236" s="15"/>
      <c r="MQE236" s="16"/>
      <c r="MQF236" s="16"/>
      <c r="MQG236" s="16"/>
      <c r="MQH236" s="16"/>
      <c r="MQI236" s="16"/>
      <c r="MQJ236" s="15"/>
      <c r="MQK236" s="15"/>
      <c r="MQL236" s="10"/>
      <c r="MQM236" s="10"/>
      <c r="MQN236" s="19"/>
      <c r="MQO236" s="19"/>
      <c r="MQR236" s="16"/>
      <c r="MQS236" s="15"/>
      <c r="MQT236" s="15"/>
      <c r="MQU236" s="15"/>
      <c r="MQV236" s="16"/>
      <c r="MQW236" s="16"/>
      <c r="MQX236" s="16"/>
      <c r="MQY236" s="16"/>
      <c r="MQZ236" s="16"/>
      <c r="MRA236" s="15"/>
      <c r="MRB236" s="15"/>
      <c r="MRC236" s="10"/>
      <c r="MRD236" s="10"/>
      <c r="MRE236" s="19"/>
      <c r="MRF236" s="19"/>
      <c r="MRI236" s="16"/>
      <c r="MRJ236" s="15"/>
      <c r="MRK236" s="15"/>
      <c r="MRL236" s="15"/>
      <c r="MRM236" s="16"/>
      <c r="MRN236" s="16"/>
      <c r="MRO236" s="16"/>
      <c r="MRP236" s="16"/>
      <c r="MRQ236" s="16"/>
      <c r="MRR236" s="15"/>
      <c r="MRS236" s="15"/>
      <c r="MRT236" s="10"/>
      <c r="MRU236" s="10"/>
      <c r="MRV236" s="19"/>
      <c r="MRW236" s="19"/>
      <c r="MRZ236" s="16"/>
      <c r="MSA236" s="15"/>
      <c r="MSB236" s="15"/>
      <c r="MSC236" s="15"/>
      <c r="MSD236" s="16"/>
      <c r="MSE236" s="16"/>
      <c r="MSF236" s="16"/>
      <c r="MSG236" s="16"/>
      <c r="MSH236" s="16"/>
      <c r="MSI236" s="15"/>
      <c r="MSJ236" s="15"/>
      <c r="MSK236" s="10"/>
      <c r="MSL236" s="10"/>
      <c r="MSM236" s="19"/>
      <c r="MSN236" s="19"/>
      <c r="MSQ236" s="16"/>
      <c r="MSR236" s="15"/>
      <c r="MSS236" s="15"/>
      <c r="MST236" s="15"/>
      <c r="MSU236" s="16"/>
      <c r="MSV236" s="16"/>
      <c r="MSW236" s="16"/>
      <c r="MSX236" s="16"/>
      <c r="MSY236" s="16"/>
      <c r="MSZ236" s="15"/>
      <c r="MTA236" s="15"/>
      <c r="MTB236" s="10"/>
      <c r="MTC236" s="10"/>
      <c r="MTD236" s="19"/>
      <c r="MTE236" s="19"/>
      <c r="MTH236" s="16"/>
      <c r="MTI236" s="15"/>
      <c r="MTJ236" s="15"/>
      <c r="MTK236" s="15"/>
      <c r="MTL236" s="16"/>
      <c r="MTM236" s="16"/>
      <c r="MTN236" s="16"/>
      <c r="MTO236" s="16"/>
      <c r="MTP236" s="16"/>
      <c r="MTQ236" s="15"/>
      <c r="MTR236" s="15"/>
      <c r="MTS236" s="10"/>
      <c r="MTT236" s="10"/>
      <c r="MTU236" s="19"/>
      <c r="MTV236" s="19"/>
      <c r="MTY236" s="16"/>
      <c r="MTZ236" s="15"/>
      <c r="MUA236" s="15"/>
      <c r="MUB236" s="15"/>
      <c r="MUC236" s="16"/>
      <c r="MUD236" s="16"/>
      <c r="MUE236" s="16"/>
      <c r="MUF236" s="16"/>
      <c r="MUG236" s="16"/>
      <c r="MUH236" s="15"/>
      <c r="MUI236" s="15"/>
      <c r="MUJ236" s="10"/>
      <c r="MUK236" s="10"/>
      <c r="MUL236" s="19"/>
      <c r="MUM236" s="19"/>
      <c r="MUP236" s="16"/>
      <c r="MUQ236" s="15"/>
      <c r="MUR236" s="15"/>
      <c r="MUS236" s="15"/>
      <c r="MUT236" s="16"/>
      <c r="MUU236" s="16"/>
      <c r="MUV236" s="16"/>
      <c r="MUW236" s="16"/>
      <c r="MUX236" s="16"/>
      <c r="MUY236" s="15"/>
      <c r="MUZ236" s="15"/>
      <c r="MVA236" s="10"/>
      <c r="MVB236" s="10"/>
      <c r="MVC236" s="19"/>
      <c r="MVD236" s="19"/>
      <c r="MVG236" s="16"/>
      <c r="MVH236" s="15"/>
      <c r="MVI236" s="15"/>
      <c r="MVJ236" s="15"/>
      <c r="MVK236" s="16"/>
      <c r="MVL236" s="16"/>
      <c r="MVM236" s="16"/>
      <c r="MVN236" s="16"/>
      <c r="MVO236" s="16"/>
      <c r="MVP236" s="15"/>
      <c r="MVQ236" s="15"/>
      <c r="MVR236" s="10"/>
      <c r="MVS236" s="10"/>
      <c r="MVT236" s="19"/>
      <c r="MVU236" s="19"/>
      <c r="MVX236" s="16"/>
      <c r="MVY236" s="15"/>
      <c r="MVZ236" s="15"/>
      <c r="MWA236" s="15"/>
      <c r="MWB236" s="16"/>
      <c r="MWC236" s="16"/>
      <c r="MWD236" s="16"/>
      <c r="MWE236" s="16"/>
      <c r="MWF236" s="16"/>
      <c r="MWG236" s="15"/>
      <c r="MWH236" s="15"/>
      <c r="MWI236" s="10"/>
      <c r="MWJ236" s="10"/>
      <c r="MWK236" s="19"/>
      <c r="MWL236" s="19"/>
      <c r="MWO236" s="16"/>
      <c r="MWP236" s="15"/>
      <c r="MWQ236" s="15"/>
      <c r="MWR236" s="15"/>
      <c r="MWS236" s="16"/>
      <c r="MWT236" s="16"/>
      <c r="MWU236" s="16"/>
      <c r="MWV236" s="16"/>
      <c r="MWW236" s="16"/>
      <c r="MWX236" s="15"/>
      <c r="MWY236" s="15"/>
      <c r="MWZ236" s="10"/>
      <c r="MXA236" s="10"/>
      <c r="MXB236" s="19"/>
      <c r="MXC236" s="19"/>
      <c r="MXF236" s="16"/>
      <c r="MXG236" s="15"/>
      <c r="MXH236" s="15"/>
      <c r="MXI236" s="15"/>
      <c r="MXJ236" s="16"/>
      <c r="MXK236" s="16"/>
      <c r="MXL236" s="16"/>
      <c r="MXM236" s="16"/>
      <c r="MXN236" s="16"/>
      <c r="MXO236" s="15"/>
      <c r="MXP236" s="15"/>
      <c r="MXQ236" s="10"/>
      <c r="MXR236" s="10"/>
      <c r="MXS236" s="19"/>
      <c r="MXT236" s="19"/>
      <c r="MXW236" s="16"/>
      <c r="MXX236" s="15"/>
      <c r="MXY236" s="15"/>
      <c r="MXZ236" s="15"/>
      <c r="MYA236" s="16"/>
      <c r="MYB236" s="16"/>
      <c r="MYC236" s="16"/>
      <c r="MYD236" s="16"/>
      <c r="MYE236" s="16"/>
      <c r="MYF236" s="15"/>
      <c r="MYG236" s="15"/>
      <c r="MYH236" s="10"/>
      <c r="MYI236" s="10"/>
      <c r="MYJ236" s="19"/>
      <c r="MYK236" s="19"/>
      <c r="MYN236" s="16"/>
      <c r="MYO236" s="15"/>
      <c r="MYP236" s="15"/>
      <c r="MYQ236" s="15"/>
      <c r="MYR236" s="16"/>
      <c r="MYS236" s="16"/>
      <c r="MYT236" s="16"/>
      <c r="MYU236" s="16"/>
      <c r="MYV236" s="16"/>
      <c r="MYW236" s="15"/>
      <c r="MYX236" s="15"/>
      <c r="MYY236" s="10"/>
      <c r="MYZ236" s="10"/>
      <c r="MZA236" s="19"/>
      <c r="MZB236" s="19"/>
      <c r="MZE236" s="16"/>
      <c r="MZF236" s="15"/>
      <c r="MZG236" s="15"/>
      <c r="MZH236" s="15"/>
      <c r="MZI236" s="16"/>
      <c r="MZJ236" s="16"/>
      <c r="MZK236" s="16"/>
      <c r="MZL236" s="16"/>
      <c r="MZM236" s="16"/>
      <c r="MZN236" s="15"/>
      <c r="MZO236" s="15"/>
      <c r="MZP236" s="10"/>
      <c r="MZQ236" s="10"/>
      <c r="MZR236" s="19"/>
      <c r="MZS236" s="19"/>
      <c r="MZV236" s="16"/>
      <c r="MZW236" s="15"/>
      <c r="MZX236" s="15"/>
      <c r="MZY236" s="15"/>
      <c r="MZZ236" s="16"/>
      <c r="NAA236" s="16"/>
      <c r="NAB236" s="16"/>
      <c r="NAC236" s="16"/>
      <c r="NAD236" s="16"/>
      <c r="NAE236" s="15"/>
      <c r="NAF236" s="15"/>
      <c r="NAG236" s="10"/>
      <c r="NAH236" s="10"/>
      <c r="NAI236" s="19"/>
      <c r="NAJ236" s="19"/>
      <c r="NAM236" s="16"/>
      <c r="NAN236" s="15"/>
      <c r="NAO236" s="15"/>
      <c r="NAP236" s="15"/>
      <c r="NAQ236" s="16"/>
      <c r="NAR236" s="16"/>
      <c r="NAS236" s="16"/>
      <c r="NAT236" s="16"/>
      <c r="NAU236" s="16"/>
      <c r="NAV236" s="15"/>
      <c r="NAW236" s="15"/>
      <c r="NAX236" s="10"/>
      <c r="NAY236" s="10"/>
      <c r="NAZ236" s="19"/>
      <c r="NBA236" s="19"/>
      <c r="NBD236" s="16"/>
      <c r="NBE236" s="15"/>
      <c r="NBF236" s="15"/>
      <c r="NBG236" s="15"/>
      <c r="NBH236" s="16"/>
      <c r="NBI236" s="16"/>
      <c r="NBJ236" s="16"/>
      <c r="NBK236" s="16"/>
      <c r="NBL236" s="16"/>
      <c r="NBM236" s="15"/>
      <c r="NBN236" s="15"/>
      <c r="NBO236" s="10"/>
      <c r="NBP236" s="10"/>
      <c r="NBQ236" s="19"/>
      <c r="NBR236" s="19"/>
      <c r="NBU236" s="16"/>
      <c r="NBV236" s="15"/>
      <c r="NBW236" s="15"/>
      <c r="NBX236" s="15"/>
      <c r="NBY236" s="16"/>
      <c r="NBZ236" s="16"/>
      <c r="NCA236" s="16"/>
      <c r="NCB236" s="16"/>
      <c r="NCC236" s="16"/>
      <c r="NCD236" s="15"/>
      <c r="NCE236" s="15"/>
      <c r="NCF236" s="10"/>
      <c r="NCG236" s="10"/>
      <c r="NCH236" s="19"/>
      <c r="NCI236" s="19"/>
      <c r="NCL236" s="16"/>
      <c r="NCM236" s="15"/>
      <c r="NCN236" s="15"/>
      <c r="NCO236" s="15"/>
      <c r="NCP236" s="16"/>
      <c r="NCQ236" s="16"/>
      <c r="NCR236" s="16"/>
      <c r="NCS236" s="16"/>
      <c r="NCT236" s="16"/>
      <c r="NCU236" s="15"/>
      <c r="NCV236" s="15"/>
      <c r="NCW236" s="10"/>
      <c r="NCX236" s="10"/>
      <c r="NCY236" s="19"/>
      <c r="NCZ236" s="19"/>
      <c r="NDC236" s="16"/>
      <c r="NDD236" s="15"/>
      <c r="NDE236" s="15"/>
      <c r="NDF236" s="15"/>
      <c r="NDG236" s="16"/>
      <c r="NDH236" s="16"/>
      <c r="NDI236" s="16"/>
      <c r="NDJ236" s="16"/>
      <c r="NDK236" s="16"/>
      <c r="NDL236" s="15"/>
      <c r="NDM236" s="15"/>
      <c r="NDN236" s="10"/>
      <c r="NDO236" s="10"/>
      <c r="NDP236" s="19"/>
      <c r="NDQ236" s="19"/>
      <c r="NDT236" s="16"/>
      <c r="NDU236" s="15"/>
      <c r="NDV236" s="15"/>
      <c r="NDW236" s="15"/>
      <c r="NDX236" s="16"/>
      <c r="NDY236" s="16"/>
      <c r="NDZ236" s="16"/>
      <c r="NEA236" s="16"/>
      <c r="NEB236" s="16"/>
      <c r="NEC236" s="15"/>
      <c r="NED236" s="15"/>
      <c r="NEE236" s="10"/>
      <c r="NEF236" s="10"/>
      <c r="NEG236" s="19"/>
      <c r="NEH236" s="19"/>
      <c r="NEK236" s="16"/>
      <c r="NEL236" s="15"/>
      <c r="NEM236" s="15"/>
      <c r="NEN236" s="15"/>
      <c r="NEO236" s="16"/>
      <c r="NEP236" s="16"/>
      <c r="NEQ236" s="16"/>
      <c r="NER236" s="16"/>
      <c r="NES236" s="16"/>
      <c r="NET236" s="15"/>
      <c r="NEU236" s="15"/>
      <c r="NEV236" s="10"/>
      <c r="NEW236" s="10"/>
      <c r="NEX236" s="19"/>
      <c r="NEY236" s="19"/>
      <c r="NFB236" s="16"/>
      <c r="NFC236" s="15"/>
      <c r="NFD236" s="15"/>
      <c r="NFE236" s="15"/>
      <c r="NFF236" s="16"/>
      <c r="NFG236" s="16"/>
      <c r="NFH236" s="16"/>
      <c r="NFI236" s="16"/>
      <c r="NFJ236" s="16"/>
      <c r="NFK236" s="15"/>
      <c r="NFL236" s="15"/>
      <c r="NFM236" s="10"/>
      <c r="NFN236" s="10"/>
      <c r="NFO236" s="19"/>
      <c r="NFP236" s="19"/>
      <c r="NFS236" s="16"/>
      <c r="NFT236" s="15"/>
      <c r="NFU236" s="15"/>
      <c r="NFV236" s="15"/>
      <c r="NFW236" s="16"/>
      <c r="NFX236" s="16"/>
      <c r="NFY236" s="16"/>
      <c r="NFZ236" s="16"/>
      <c r="NGA236" s="16"/>
      <c r="NGB236" s="15"/>
      <c r="NGC236" s="15"/>
      <c r="NGD236" s="10"/>
      <c r="NGE236" s="10"/>
      <c r="NGF236" s="19"/>
      <c r="NGG236" s="19"/>
      <c r="NGJ236" s="16"/>
      <c r="NGK236" s="15"/>
      <c r="NGL236" s="15"/>
      <c r="NGM236" s="15"/>
      <c r="NGN236" s="16"/>
      <c r="NGO236" s="16"/>
      <c r="NGP236" s="16"/>
      <c r="NGQ236" s="16"/>
      <c r="NGR236" s="16"/>
      <c r="NGS236" s="15"/>
      <c r="NGT236" s="15"/>
      <c r="NGU236" s="10"/>
      <c r="NGV236" s="10"/>
      <c r="NGW236" s="19"/>
      <c r="NGX236" s="19"/>
      <c r="NHA236" s="16"/>
      <c r="NHB236" s="15"/>
      <c r="NHC236" s="15"/>
      <c r="NHD236" s="15"/>
      <c r="NHE236" s="16"/>
      <c r="NHF236" s="16"/>
      <c r="NHG236" s="16"/>
      <c r="NHH236" s="16"/>
      <c r="NHI236" s="16"/>
      <c r="NHJ236" s="15"/>
      <c r="NHK236" s="15"/>
      <c r="NHL236" s="10"/>
      <c r="NHM236" s="10"/>
      <c r="NHN236" s="19"/>
      <c r="NHO236" s="19"/>
      <c r="NHR236" s="16"/>
      <c r="NHS236" s="15"/>
      <c r="NHT236" s="15"/>
      <c r="NHU236" s="15"/>
      <c r="NHV236" s="16"/>
      <c r="NHW236" s="16"/>
      <c r="NHX236" s="16"/>
      <c r="NHY236" s="16"/>
      <c r="NHZ236" s="16"/>
      <c r="NIA236" s="15"/>
      <c r="NIB236" s="15"/>
      <c r="NIC236" s="10"/>
      <c r="NID236" s="10"/>
      <c r="NIE236" s="19"/>
      <c r="NIF236" s="19"/>
      <c r="NII236" s="16"/>
      <c r="NIJ236" s="15"/>
      <c r="NIK236" s="15"/>
      <c r="NIL236" s="15"/>
      <c r="NIM236" s="16"/>
      <c r="NIN236" s="16"/>
      <c r="NIO236" s="16"/>
      <c r="NIP236" s="16"/>
      <c r="NIQ236" s="16"/>
      <c r="NIR236" s="15"/>
      <c r="NIS236" s="15"/>
      <c r="NIT236" s="10"/>
      <c r="NIU236" s="10"/>
      <c r="NIV236" s="19"/>
      <c r="NIW236" s="19"/>
      <c r="NIZ236" s="16"/>
      <c r="NJA236" s="15"/>
      <c r="NJB236" s="15"/>
      <c r="NJC236" s="15"/>
      <c r="NJD236" s="16"/>
      <c r="NJE236" s="16"/>
      <c r="NJF236" s="16"/>
      <c r="NJG236" s="16"/>
      <c r="NJH236" s="16"/>
      <c r="NJI236" s="15"/>
      <c r="NJJ236" s="15"/>
      <c r="NJK236" s="10"/>
      <c r="NJL236" s="10"/>
      <c r="NJM236" s="19"/>
      <c r="NJN236" s="19"/>
      <c r="NJQ236" s="16"/>
      <c r="NJR236" s="15"/>
      <c r="NJS236" s="15"/>
      <c r="NJT236" s="15"/>
      <c r="NJU236" s="16"/>
      <c r="NJV236" s="16"/>
      <c r="NJW236" s="16"/>
      <c r="NJX236" s="16"/>
      <c r="NJY236" s="16"/>
      <c r="NJZ236" s="15"/>
      <c r="NKA236" s="15"/>
      <c r="NKB236" s="10"/>
      <c r="NKC236" s="10"/>
      <c r="NKD236" s="19"/>
      <c r="NKE236" s="19"/>
      <c r="NKH236" s="16"/>
      <c r="NKI236" s="15"/>
      <c r="NKJ236" s="15"/>
      <c r="NKK236" s="15"/>
      <c r="NKL236" s="16"/>
      <c r="NKM236" s="16"/>
      <c r="NKN236" s="16"/>
      <c r="NKO236" s="16"/>
      <c r="NKP236" s="16"/>
      <c r="NKQ236" s="15"/>
      <c r="NKR236" s="15"/>
      <c r="NKS236" s="10"/>
      <c r="NKT236" s="10"/>
      <c r="NKU236" s="19"/>
      <c r="NKV236" s="19"/>
      <c r="NKY236" s="16"/>
      <c r="NKZ236" s="15"/>
      <c r="NLA236" s="15"/>
      <c r="NLB236" s="15"/>
      <c r="NLC236" s="16"/>
      <c r="NLD236" s="16"/>
      <c r="NLE236" s="16"/>
      <c r="NLF236" s="16"/>
      <c r="NLG236" s="16"/>
      <c r="NLH236" s="15"/>
      <c r="NLI236" s="15"/>
      <c r="NLJ236" s="10"/>
      <c r="NLK236" s="10"/>
      <c r="NLL236" s="19"/>
      <c r="NLM236" s="19"/>
      <c r="NLP236" s="16"/>
      <c r="NLQ236" s="15"/>
      <c r="NLR236" s="15"/>
      <c r="NLS236" s="15"/>
      <c r="NLT236" s="16"/>
      <c r="NLU236" s="16"/>
      <c r="NLV236" s="16"/>
      <c r="NLW236" s="16"/>
      <c r="NLX236" s="16"/>
      <c r="NLY236" s="15"/>
      <c r="NLZ236" s="15"/>
      <c r="NMA236" s="10"/>
      <c r="NMB236" s="10"/>
      <c r="NMC236" s="19"/>
      <c r="NMD236" s="19"/>
      <c r="NMG236" s="16"/>
      <c r="NMH236" s="15"/>
      <c r="NMI236" s="15"/>
      <c r="NMJ236" s="15"/>
      <c r="NMK236" s="16"/>
      <c r="NML236" s="16"/>
      <c r="NMM236" s="16"/>
      <c r="NMN236" s="16"/>
      <c r="NMO236" s="16"/>
      <c r="NMP236" s="15"/>
      <c r="NMQ236" s="15"/>
      <c r="NMR236" s="10"/>
      <c r="NMS236" s="10"/>
      <c r="NMT236" s="19"/>
      <c r="NMU236" s="19"/>
      <c r="NMX236" s="16"/>
      <c r="NMY236" s="15"/>
      <c r="NMZ236" s="15"/>
      <c r="NNA236" s="15"/>
      <c r="NNB236" s="16"/>
      <c r="NNC236" s="16"/>
      <c r="NND236" s="16"/>
      <c r="NNE236" s="16"/>
      <c r="NNF236" s="16"/>
      <c r="NNG236" s="15"/>
      <c r="NNH236" s="15"/>
      <c r="NNI236" s="10"/>
      <c r="NNJ236" s="10"/>
      <c r="NNK236" s="19"/>
      <c r="NNL236" s="19"/>
      <c r="NNO236" s="16"/>
      <c r="NNP236" s="15"/>
      <c r="NNQ236" s="15"/>
      <c r="NNR236" s="15"/>
      <c r="NNS236" s="16"/>
      <c r="NNT236" s="16"/>
      <c r="NNU236" s="16"/>
      <c r="NNV236" s="16"/>
      <c r="NNW236" s="16"/>
      <c r="NNX236" s="15"/>
      <c r="NNY236" s="15"/>
      <c r="NNZ236" s="10"/>
      <c r="NOA236" s="10"/>
      <c r="NOB236" s="19"/>
      <c r="NOC236" s="19"/>
      <c r="NOF236" s="16"/>
      <c r="NOG236" s="15"/>
      <c r="NOH236" s="15"/>
      <c r="NOI236" s="15"/>
      <c r="NOJ236" s="16"/>
      <c r="NOK236" s="16"/>
      <c r="NOL236" s="16"/>
      <c r="NOM236" s="16"/>
      <c r="NON236" s="16"/>
      <c r="NOO236" s="15"/>
      <c r="NOP236" s="15"/>
      <c r="NOQ236" s="10"/>
      <c r="NOR236" s="10"/>
      <c r="NOS236" s="19"/>
      <c r="NOT236" s="19"/>
      <c r="NOW236" s="16"/>
      <c r="NOX236" s="15"/>
      <c r="NOY236" s="15"/>
      <c r="NOZ236" s="15"/>
      <c r="NPA236" s="16"/>
      <c r="NPB236" s="16"/>
      <c r="NPC236" s="16"/>
      <c r="NPD236" s="16"/>
      <c r="NPE236" s="16"/>
      <c r="NPF236" s="15"/>
      <c r="NPG236" s="15"/>
      <c r="NPH236" s="10"/>
      <c r="NPI236" s="10"/>
      <c r="NPJ236" s="19"/>
      <c r="NPK236" s="19"/>
      <c r="NPN236" s="16"/>
      <c r="NPO236" s="15"/>
      <c r="NPP236" s="15"/>
      <c r="NPQ236" s="15"/>
      <c r="NPR236" s="16"/>
      <c r="NPS236" s="16"/>
      <c r="NPT236" s="16"/>
      <c r="NPU236" s="16"/>
      <c r="NPV236" s="16"/>
      <c r="NPW236" s="15"/>
      <c r="NPX236" s="15"/>
      <c r="NPY236" s="10"/>
      <c r="NPZ236" s="10"/>
      <c r="NQA236" s="19"/>
      <c r="NQB236" s="19"/>
      <c r="NQE236" s="16"/>
      <c r="NQF236" s="15"/>
      <c r="NQG236" s="15"/>
      <c r="NQH236" s="15"/>
      <c r="NQI236" s="16"/>
      <c r="NQJ236" s="16"/>
      <c r="NQK236" s="16"/>
      <c r="NQL236" s="16"/>
      <c r="NQM236" s="16"/>
      <c r="NQN236" s="15"/>
      <c r="NQO236" s="15"/>
      <c r="NQP236" s="10"/>
      <c r="NQQ236" s="10"/>
      <c r="NQR236" s="19"/>
      <c r="NQS236" s="19"/>
      <c r="NQV236" s="16"/>
      <c r="NQW236" s="15"/>
      <c r="NQX236" s="15"/>
      <c r="NQY236" s="15"/>
      <c r="NQZ236" s="16"/>
      <c r="NRA236" s="16"/>
      <c r="NRB236" s="16"/>
      <c r="NRC236" s="16"/>
      <c r="NRD236" s="16"/>
      <c r="NRE236" s="15"/>
      <c r="NRF236" s="15"/>
      <c r="NRG236" s="10"/>
      <c r="NRH236" s="10"/>
      <c r="NRI236" s="19"/>
      <c r="NRJ236" s="19"/>
      <c r="NRM236" s="16"/>
      <c r="NRN236" s="15"/>
      <c r="NRO236" s="15"/>
      <c r="NRP236" s="15"/>
      <c r="NRQ236" s="16"/>
      <c r="NRR236" s="16"/>
      <c r="NRS236" s="16"/>
      <c r="NRT236" s="16"/>
      <c r="NRU236" s="16"/>
      <c r="NRV236" s="15"/>
      <c r="NRW236" s="15"/>
      <c r="NRX236" s="10"/>
      <c r="NRY236" s="10"/>
      <c r="NRZ236" s="19"/>
      <c r="NSA236" s="19"/>
      <c r="NSD236" s="16"/>
      <c r="NSE236" s="15"/>
      <c r="NSF236" s="15"/>
      <c r="NSG236" s="15"/>
      <c r="NSH236" s="16"/>
      <c r="NSI236" s="16"/>
      <c r="NSJ236" s="16"/>
      <c r="NSK236" s="16"/>
      <c r="NSL236" s="16"/>
      <c r="NSM236" s="15"/>
      <c r="NSN236" s="15"/>
      <c r="NSO236" s="10"/>
      <c r="NSP236" s="10"/>
      <c r="NSQ236" s="19"/>
      <c r="NSR236" s="19"/>
      <c r="NSU236" s="16"/>
      <c r="NSV236" s="15"/>
      <c r="NSW236" s="15"/>
      <c r="NSX236" s="15"/>
      <c r="NSY236" s="16"/>
      <c r="NSZ236" s="16"/>
      <c r="NTA236" s="16"/>
      <c r="NTB236" s="16"/>
      <c r="NTC236" s="16"/>
      <c r="NTD236" s="15"/>
      <c r="NTE236" s="15"/>
      <c r="NTF236" s="10"/>
      <c r="NTG236" s="10"/>
      <c r="NTH236" s="19"/>
      <c r="NTI236" s="19"/>
      <c r="NTL236" s="16"/>
      <c r="NTM236" s="15"/>
      <c r="NTN236" s="15"/>
      <c r="NTO236" s="15"/>
      <c r="NTP236" s="16"/>
      <c r="NTQ236" s="16"/>
      <c r="NTR236" s="16"/>
      <c r="NTS236" s="16"/>
      <c r="NTT236" s="16"/>
      <c r="NTU236" s="15"/>
      <c r="NTV236" s="15"/>
      <c r="NTW236" s="10"/>
      <c r="NTX236" s="10"/>
      <c r="NTY236" s="19"/>
      <c r="NTZ236" s="19"/>
      <c r="NUC236" s="16"/>
      <c r="NUD236" s="15"/>
      <c r="NUE236" s="15"/>
      <c r="NUF236" s="15"/>
      <c r="NUG236" s="16"/>
      <c r="NUH236" s="16"/>
      <c r="NUI236" s="16"/>
      <c r="NUJ236" s="16"/>
      <c r="NUK236" s="16"/>
      <c r="NUL236" s="15"/>
      <c r="NUM236" s="15"/>
      <c r="NUN236" s="10"/>
      <c r="NUO236" s="10"/>
      <c r="NUP236" s="19"/>
      <c r="NUQ236" s="19"/>
      <c r="NUT236" s="16"/>
      <c r="NUU236" s="15"/>
      <c r="NUV236" s="15"/>
      <c r="NUW236" s="15"/>
      <c r="NUX236" s="16"/>
      <c r="NUY236" s="16"/>
      <c r="NUZ236" s="16"/>
      <c r="NVA236" s="16"/>
      <c r="NVB236" s="16"/>
      <c r="NVC236" s="15"/>
      <c r="NVD236" s="15"/>
      <c r="NVE236" s="10"/>
      <c r="NVF236" s="10"/>
      <c r="NVG236" s="19"/>
      <c r="NVH236" s="19"/>
      <c r="NVK236" s="16"/>
      <c r="NVL236" s="15"/>
      <c r="NVM236" s="15"/>
      <c r="NVN236" s="15"/>
      <c r="NVO236" s="16"/>
      <c r="NVP236" s="16"/>
      <c r="NVQ236" s="16"/>
      <c r="NVR236" s="16"/>
      <c r="NVS236" s="16"/>
      <c r="NVT236" s="15"/>
      <c r="NVU236" s="15"/>
      <c r="NVV236" s="10"/>
      <c r="NVW236" s="10"/>
      <c r="NVX236" s="19"/>
      <c r="NVY236" s="19"/>
      <c r="NWB236" s="16"/>
      <c r="NWC236" s="15"/>
      <c r="NWD236" s="15"/>
      <c r="NWE236" s="15"/>
      <c r="NWF236" s="16"/>
      <c r="NWG236" s="16"/>
      <c r="NWH236" s="16"/>
      <c r="NWI236" s="16"/>
      <c r="NWJ236" s="16"/>
      <c r="NWK236" s="15"/>
      <c r="NWL236" s="15"/>
      <c r="NWM236" s="10"/>
      <c r="NWN236" s="10"/>
      <c r="NWO236" s="19"/>
      <c r="NWP236" s="19"/>
      <c r="NWS236" s="16"/>
      <c r="NWT236" s="15"/>
      <c r="NWU236" s="15"/>
      <c r="NWV236" s="15"/>
      <c r="NWW236" s="16"/>
      <c r="NWX236" s="16"/>
      <c r="NWY236" s="16"/>
      <c r="NWZ236" s="16"/>
      <c r="NXA236" s="16"/>
      <c r="NXB236" s="15"/>
      <c r="NXC236" s="15"/>
      <c r="NXD236" s="10"/>
      <c r="NXE236" s="10"/>
      <c r="NXF236" s="19"/>
      <c r="NXG236" s="19"/>
      <c r="NXJ236" s="16"/>
      <c r="NXK236" s="15"/>
      <c r="NXL236" s="15"/>
      <c r="NXM236" s="15"/>
      <c r="NXN236" s="16"/>
      <c r="NXO236" s="16"/>
      <c r="NXP236" s="16"/>
      <c r="NXQ236" s="16"/>
      <c r="NXR236" s="16"/>
      <c r="NXS236" s="15"/>
      <c r="NXT236" s="15"/>
      <c r="NXU236" s="10"/>
      <c r="NXV236" s="10"/>
      <c r="NXW236" s="19"/>
      <c r="NXX236" s="19"/>
      <c r="NYA236" s="16"/>
      <c r="NYB236" s="15"/>
      <c r="NYC236" s="15"/>
      <c r="NYD236" s="15"/>
      <c r="NYE236" s="16"/>
      <c r="NYF236" s="16"/>
      <c r="NYG236" s="16"/>
      <c r="NYH236" s="16"/>
      <c r="NYI236" s="16"/>
      <c r="NYJ236" s="15"/>
      <c r="NYK236" s="15"/>
      <c r="NYL236" s="10"/>
      <c r="NYM236" s="10"/>
      <c r="NYN236" s="19"/>
      <c r="NYO236" s="19"/>
      <c r="NYR236" s="16"/>
      <c r="NYS236" s="15"/>
      <c r="NYT236" s="15"/>
      <c r="NYU236" s="15"/>
      <c r="NYV236" s="16"/>
      <c r="NYW236" s="16"/>
      <c r="NYX236" s="16"/>
      <c r="NYY236" s="16"/>
      <c r="NYZ236" s="16"/>
      <c r="NZA236" s="15"/>
      <c r="NZB236" s="15"/>
      <c r="NZC236" s="10"/>
      <c r="NZD236" s="10"/>
      <c r="NZE236" s="19"/>
      <c r="NZF236" s="19"/>
      <c r="NZI236" s="16"/>
      <c r="NZJ236" s="15"/>
      <c r="NZK236" s="15"/>
      <c r="NZL236" s="15"/>
      <c r="NZM236" s="16"/>
      <c r="NZN236" s="16"/>
      <c r="NZO236" s="16"/>
      <c r="NZP236" s="16"/>
      <c r="NZQ236" s="16"/>
      <c r="NZR236" s="15"/>
      <c r="NZS236" s="15"/>
      <c r="NZT236" s="10"/>
      <c r="NZU236" s="10"/>
      <c r="NZV236" s="19"/>
      <c r="NZW236" s="19"/>
      <c r="NZZ236" s="16"/>
      <c r="OAA236" s="15"/>
      <c r="OAB236" s="15"/>
      <c r="OAC236" s="15"/>
      <c r="OAD236" s="16"/>
      <c r="OAE236" s="16"/>
      <c r="OAF236" s="16"/>
      <c r="OAG236" s="16"/>
      <c r="OAH236" s="16"/>
      <c r="OAI236" s="15"/>
      <c r="OAJ236" s="15"/>
      <c r="OAK236" s="10"/>
      <c r="OAL236" s="10"/>
      <c r="OAM236" s="19"/>
      <c r="OAN236" s="19"/>
      <c r="OAQ236" s="16"/>
      <c r="OAR236" s="15"/>
      <c r="OAS236" s="15"/>
      <c r="OAT236" s="15"/>
      <c r="OAU236" s="16"/>
      <c r="OAV236" s="16"/>
      <c r="OAW236" s="16"/>
      <c r="OAX236" s="16"/>
      <c r="OAY236" s="16"/>
      <c r="OAZ236" s="15"/>
      <c r="OBA236" s="15"/>
      <c r="OBB236" s="10"/>
      <c r="OBC236" s="10"/>
      <c r="OBD236" s="19"/>
      <c r="OBE236" s="19"/>
      <c r="OBH236" s="16"/>
      <c r="OBI236" s="15"/>
      <c r="OBJ236" s="15"/>
      <c r="OBK236" s="15"/>
      <c r="OBL236" s="16"/>
      <c r="OBM236" s="16"/>
      <c r="OBN236" s="16"/>
      <c r="OBO236" s="16"/>
      <c r="OBP236" s="16"/>
      <c r="OBQ236" s="15"/>
      <c r="OBR236" s="15"/>
      <c r="OBS236" s="10"/>
      <c r="OBT236" s="10"/>
      <c r="OBU236" s="19"/>
      <c r="OBV236" s="19"/>
      <c r="OBY236" s="16"/>
      <c r="OBZ236" s="15"/>
      <c r="OCA236" s="15"/>
      <c r="OCB236" s="15"/>
      <c r="OCC236" s="16"/>
      <c r="OCD236" s="16"/>
      <c r="OCE236" s="16"/>
      <c r="OCF236" s="16"/>
      <c r="OCG236" s="16"/>
      <c r="OCH236" s="15"/>
      <c r="OCI236" s="15"/>
      <c r="OCJ236" s="10"/>
      <c r="OCK236" s="10"/>
      <c r="OCL236" s="19"/>
      <c r="OCM236" s="19"/>
      <c r="OCP236" s="16"/>
      <c r="OCQ236" s="15"/>
      <c r="OCR236" s="15"/>
      <c r="OCS236" s="15"/>
      <c r="OCT236" s="16"/>
      <c r="OCU236" s="16"/>
      <c r="OCV236" s="16"/>
      <c r="OCW236" s="16"/>
      <c r="OCX236" s="16"/>
      <c r="OCY236" s="15"/>
      <c r="OCZ236" s="15"/>
      <c r="ODA236" s="10"/>
      <c r="ODB236" s="10"/>
      <c r="ODC236" s="19"/>
      <c r="ODD236" s="19"/>
      <c r="ODG236" s="16"/>
      <c r="ODH236" s="15"/>
      <c r="ODI236" s="15"/>
      <c r="ODJ236" s="15"/>
      <c r="ODK236" s="16"/>
      <c r="ODL236" s="16"/>
      <c r="ODM236" s="16"/>
      <c r="ODN236" s="16"/>
      <c r="ODO236" s="16"/>
      <c r="ODP236" s="15"/>
      <c r="ODQ236" s="15"/>
      <c r="ODR236" s="10"/>
      <c r="ODS236" s="10"/>
      <c r="ODT236" s="19"/>
      <c r="ODU236" s="19"/>
      <c r="ODX236" s="16"/>
      <c r="ODY236" s="15"/>
      <c r="ODZ236" s="15"/>
      <c r="OEA236" s="15"/>
      <c r="OEB236" s="16"/>
      <c r="OEC236" s="16"/>
      <c r="OED236" s="16"/>
      <c r="OEE236" s="16"/>
      <c r="OEF236" s="16"/>
      <c r="OEG236" s="15"/>
      <c r="OEH236" s="15"/>
      <c r="OEI236" s="10"/>
      <c r="OEJ236" s="10"/>
      <c r="OEK236" s="19"/>
      <c r="OEL236" s="19"/>
      <c r="OEO236" s="16"/>
      <c r="OEP236" s="15"/>
      <c r="OEQ236" s="15"/>
      <c r="OER236" s="15"/>
      <c r="OES236" s="16"/>
      <c r="OET236" s="16"/>
      <c r="OEU236" s="16"/>
      <c r="OEV236" s="16"/>
      <c r="OEW236" s="16"/>
      <c r="OEX236" s="15"/>
      <c r="OEY236" s="15"/>
      <c r="OEZ236" s="10"/>
      <c r="OFA236" s="10"/>
      <c r="OFB236" s="19"/>
      <c r="OFC236" s="19"/>
      <c r="OFF236" s="16"/>
      <c r="OFG236" s="15"/>
      <c r="OFH236" s="15"/>
      <c r="OFI236" s="15"/>
      <c r="OFJ236" s="16"/>
      <c r="OFK236" s="16"/>
      <c r="OFL236" s="16"/>
      <c r="OFM236" s="16"/>
      <c r="OFN236" s="16"/>
      <c r="OFO236" s="15"/>
      <c r="OFP236" s="15"/>
      <c r="OFQ236" s="10"/>
      <c r="OFR236" s="10"/>
      <c r="OFS236" s="19"/>
      <c r="OFT236" s="19"/>
      <c r="OFW236" s="16"/>
      <c r="OFX236" s="15"/>
      <c r="OFY236" s="15"/>
      <c r="OFZ236" s="15"/>
      <c r="OGA236" s="16"/>
      <c r="OGB236" s="16"/>
      <c r="OGC236" s="16"/>
      <c r="OGD236" s="16"/>
      <c r="OGE236" s="16"/>
      <c r="OGF236" s="15"/>
      <c r="OGG236" s="15"/>
      <c r="OGH236" s="10"/>
      <c r="OGI236" s="10"/>
      <c r="OGJ236" s="19"/>
      <c r="OGK236" s="19"/>
      <c r="OGN236" s="16"/>
      <c r="OGO236" s="15"/>
      <c r="OGP236" s="15"/>
      <c r="OGQ236" s="15"/>
      <c r="OGR236" s="16"/>
      <c r="OGS236" s="16"/>
      <c r="OGT236" s="16"/>
      <c r="OGU236" s="16"/>
      <c r="OGV236" s="16"/>
      <c r="OGW236" s="15"/>
      <c r="OGX236" s="15"/>
      <c r="OGY236" s="10"/>
      <c r="OGZ236" s="10"/>
      <c r="OHA236" s="19"/>
      <c r="OHB236" s="19"/>
      <c r="OHE236" s="16"/>
      <c r="OHF236" s="15"/>
      <c r="OHG236" s="15"/>
      <c r="OHH236" s="15"/>
      <c r="OHI236" s="16"/>
      <c r="OHJ236" s="16"/>
      <c r="OHK236" s="16"/>
      <c r="OHL236" s="16"/>
      <c r="OHM236" s="16"/>
      <c r="OHN236" s="15"/>
      <c r="OHO236" s="15"/>
      <c r="OHP236" s="10"/>
      <c r="OHQ236" s="10"/>
      <c r="OHR236" s="19"/>
      <c r="OHS236" s="19"/>
      <c r="OHV236" s="16"/>
      <c r="OHW236" s="15"/>
      <c r="OHX236" s="15"/>
      <c r="OHY236" s="15"/>
      <c r="OHZ236" s="16"/>
      <c r="OIA236" s="16"/>
      <c r="OIB236" s="16"/>
      <c r="OIC236" s="16"/>
      <c r="OID236" s="16"/>
      <c r="OIE236" s="15"/>
      <c r="OIF236" s="15"/>
      <c r="OIG236" s="10"/>
      <c r="OIH236" s="10"/>
      <c r="OII236" s="19"/>
      <c r="OIJ236" s="19"/>
      <c r="OIM236" s="16"/>
      <c r="OIN236" s="15"/>
      <c r="OIO236" s="15"/>
      <c r="OIP236" s="15"/>
      <c r="OIQ236" s="16"/>
      <c r="OIR236" s="16"/>
      <c r="OIS236" s="16"/>
      <c r="OIT236" s="16"/>
      <c r="OIU236" s="16"/>
      <c r="OIV236" s="15"/>
      <c r="OIW236" s="15"/>
      <c r="OIX236" s="10"/>
      <c r="OIY236" s="10"/>
      <c r="OIZ236" s="19"/>
      <c r="OJA236" s="19"/>
      <c r="OJD236" s="16"/>
      <c r="OJE236" s="15"/>
      <c r="OJF236" s="15"/>
      <c r="OJG236" s="15"/>
      <c r="OJH236" s="16"/>
      <c r="OJI236" s="16"/>
      <c r="OJJ236" s="16"/>
      <c r="OJK236" s="16"/>
      <c r="OJL236" s="16"/>
      <c r="OJM236" s="15"/>
      <c r="OJN236" s="15"/>
      <c r="OJO236" s="10"/>
      <c r="OJP236" s="10"/>
      <c r="OJQ236" s="19"/>
      <c r="OJR236" s="19"/>
      <c r="OJU236" s="16"/>
      <c r="OJV236" s="15"/>
      <c r="OJW236" s="15"/>
      <c r="OJX236" s="15"/>
      <c r="OJY236" s="16"/>
      <c r="OJZ236" s="16"/>
      <c r="OKA236" s="16"/>
      <c r="OKB236" s="16"/>
      <c r="OKC236" s="16"/>
      <c r="OKD236" s="15"/>
      <c r="OKE236" s="15"/>
      <c r="OKF236" s="10"/>
      <c r="OKG236" s="10"/>
      <c r="OKH236" s="19"/>
      <c r="OKI236" s="19"/>
      <c r="OKL236" s="16"/>
      <c r="OKM236" s="15"/>
      <c r="OKN236" s="15"/>
      <c r="OKO236" s="15"/>
      <c r="OKP236" s="16"/>
      <c r="OKQ236" s="16"/>
      <c r="OKR236" s="16"/>
      <c r="OKS236" s="16"/>
      <c r="OKT236" s="16"/>
      <c r="OKU236" s="15"/>
      <c r="OKV236" s="15"/>
      <c r="OKW236" s="10"/>
      <c r="OKX236" s="10"/>
      <c r="OKY236" s="19"/>
      <c r="OKZ236" s="19"/>
      <c r="OLC236" s="16"/>
      <c r="OLD236" s="15"/>
      <c r="OLE236" s="15"/>
      <c r="OLF236" s="15"/>
      <c r="OLG236" s="16"/>
      <c r="OLH236" s="16"/>
      <c r="OLI236" s="16"/>
      <c r="OLJ236" s="16"/>
      <c r="OLK236" s="16"/>
      <c r="OLL236" s="15"/>
      <c r="OLM236" s="15"/>
      <c r="OLN236" s="10"/>
      <c r="OLO236" s="10"/>
      <c r="OLP236" s="19"/>
      <c r="OLQ236" s="19"/>
      <c r="OLT236" s="16"/>
      <c r="OLU236" s="15"/>
      <c r="OLV236" s="15"/>
      <c r="OLW236" s="15"/>
      <c r="OLX236" s="16"/>
      <c r="OLY236" s="16"/>
      <c r="OLZ236" s="16"/>
      <c r="OMA236" s="16"/>
      <c r="OMB236" s="16"/>
      <c r="OMC236" s="15"/>
      <c r="OMD236" s="15"/>
      <c r="OME236" s="10"/>
      <c r="OMF236" s="10"/>
      <c r="OMG236" s="19"/>
      <c r="OMH236" s="19"/>
      <c r="OMK236" s="16"/>
      <c r="OML236" s="15"/>
      <c r="OMM236" s="15"/>
      <c r="OMN236" s="15"/>
      <c r="OMO236" s="16"/>
      <c r="OMP236" s="16"/>
      <c r="OMQ236" s="16"/>
      <c r="OMR236" s="16"/>
      <c r="OMS236" s="16"/>
      <c r="OMT236" s="15"/>
      <c r="OMU236" s="15"/>
      <c r="OMV236" s="10"/>
      <c r="OMW236" s="10"/>
      <c r="OMX236" s="19"/>
      <c r="OMY236" s="19"/>
      <c r="ONB236" s="16"/>
      <c r="ONC236" s="15"/>
      <c r="OND236" s="15"/>
      <c r="ONE236" s="15"/>
      <c r="ONF236" s="16"/>
      <c r="ONG236" s="16"/>
      <c r="ONH236" s="16"/>
      <c r="ONI236" s="16"/>
      <c r="ONJ236" s="16"/>
      <c r="ONK236" s="15"/>
      <c r="ONL236" s="15"/>
      <c r="ONM236" s="10"/>
      <c r="ONN236" s="10"/>
      <c r="ONO236" s="19"/>
      <c r="ONP236" s="19"/>
      <c r="ONS236" s="16"/>
      <c r="ONT236" s="15"/>
      <c r="ONU236" s="15"/>
      <c r="ONV236" s="15"/>
      <c r="ONW236" s="16"/>
      <c r="ONX236" s="16"/>
      <c r="ONY236" s="16"/>
      <c r="ONZ236" s="16"/>
      <c r="OOA236" s="16"/>
      <c r="OOB236" s="15"/>
      <c r="OOC236" s="15"/>
      <c r="OOD236" s="10"/>
      <c r="OOE236" s="10"/>
      <c r="OOF236" s="19"/>
      <c r="OOG236" s="19"/>
      <c r="OOJ236" s="16"/>
      <c r="OOK236" s="15"/>
      <c r="OOL236" s="15"/>
      <c r="OOM236" s="15"/>
      <c r="OON236" s="16"/>
      <c r="OOO236" s="16"/>
      <c r="OOP236" s="16"/>
      <c r="OOQ236" s="16"/>
      <c r="OOR236" s="16"/>
      <c r="OOS236" s="15"/>
      <c r="OOT236" s="15"/>
      <c r="OOU236" s="10"/>
      <c r="OOV236" s="10"/>
      <c r="OOW236" s="19"/>
      <c r="OOX236" s="19"/>
      <c r="OPA236" s="16"/>
      <c r="OPB236" s="15"/>
      <c r="OPC236" s="15"/>
      <c r="OPD236" s="15"/>
      <c r="OPE236" s="16"/>
      <c r="OPF236" s="16"/>
      <c r="OPG236" s="16"/>
      <c r="OPH236" s="16"/>
      <c r="OPI236" s="16"/>
      <c r="OPJ236" s="15"/>
      <c r="OPK236" s="15"/>
      <c r="OPL236" s="10"/>
      <c r="OPM236" s="10"/>
      <c r="OPN236" s="19"/>
      <c r="OPO236" s="19"/>
      <c r="OPR236" s="16"/>
      <c r="OPS236" s="15"/>
      <c r="OPT236" s="15"/>
      <c r="OPU236" s="15"/>
      <c r="OPV236" s="16"/>
      <c r="OPW236" s="16"/>
      <c r="OPX236" s="16"/>
      <c r="OPY236" s="16"/>
      <c r="OPZ236" s="16"/>
      <c r="OQA236" s="15"/>
      <c r="OQB236" s="15"/>
      <c r="OQC236" s="10"/>
      <c r="OQD236" s="10"/>
      <c r="OQE236" s="19"/>
      <c r="OQF236" s="19"/>
      <c r="OQI236" s="16"/>
      <c r="OQJ236" s="15"/>
      <c r="OQK236" s="15"/>
      <c r="OQL236" s="15"/>
      <c r="OQM236" s="16"/>
      <c r="OQN236" s="16"/>
      <c r="OQO236" s="16"/>
      <c r="OQP236" s="16"/>
      <c r="OQQ236" s="16"/>
      <c r="OQR236" s="15"/>
      <c r="OQS236" s="15"/>
      <c r="OQT236" s="10"/>
      <c r="OQU236" s="10"/>
      <c r="OQV236" s="19"/>
      <c r="OQW236" s="19"/>
      <c r="OQZ236" s="16"/>
      <c r="ORA236" s="15"/>
      <c r="ORB236" s="15"/>
      <c r="ORC236" s="15"/>
      <c r="ORD236" s="16"/>
      <c r="ORE236" s="16"/>
      <c r="ORF236" s="16"/>
      <c r="ORG236" s="16"/>
      <c r="ORH236" s="16"/>
      <c r="ORI236" s="15"/>
      <c r="ORJ236" s="15"/>
      <c r="ORK236" s="10"/>
      <c r="ORL236" s="10"/>
      <c r="ORM236" s="19"/>
      <c r="ORN236" s="19"/>
      <c r="ORQ236" s="16"/>
      <c r="ORR236" s="15"/>
      <c r="ORS236" s="15"/>
      <c r="ORT236" s="15"/>
      <c r="ORU236" s="16"/>
      <c r="ORV236" s="16"/>
      <c r="ORW236" s="16"/>
      <c r="ORX236" s="16"/>
      <c r="ORY236" s="16"/>
      <c r="ORZ236" s="15"/>
      <c r="OSA236" s="15"/>
      <c r="OSB236" s="10"/>
      <c r="OSC236" s="10"/>
      <c r="OSD236" s="19"/>
      <c r="OSE236" s="19"/>
      <c r="OSH236" s="16"/>
      <c r="OSI236" s="15"/>
      <c r="OSJ236" s="15"/>
      <c r="OSK236" s="15"/>
      <c r="OSL236" s="16"/>
      <c r="OSM236" s="16"/>
      <c r="OSN236" s="16"/>
      <c r="OSO236" s="16"/>
      <c r="OSP236" s="16"/>
      <c r="OSQ236" s="15"/>
      <c r="OSR236" s="15"/>
      <c r="OSS236" s="10"/>
      <c r="OST236" s="10"/>
      <c r="OSU236" s="19"/>
      <c r="OSV236" s="19"/>
      <c r="OSY236" s="16"/>
      <c r="OSZ236" s="15"/>
      <c r="OTA236" s="15"/>
      <c r="OTB236" s="15"/>
      <c r="OTC236" s="16"/>
      <c r="OTD236" s="16"/>
      <c r="OTE236" s="16"/>
      <c r="OTF236" s="16"/>
      <c r="OTG236" s="16"/>
      <c r="OTH236" s="15"/>
      <c r="OTI236" s="15"/>
      <c r="OTJ236" s="10"/>
      <c r="OTK236" s="10"/>
      <c r="OTL236" s="19"/>
      <c r="OTM236" s="19"/>
      <c r="OTP236" s="16"/>
      <c r="OTQ236" s="15"/>
      <c r="OTR236" s="15"/>
      <c r="OTS236" s="15"/>
      <c r="OTT236" s="16"/>
      <c r="OTU236" s="16"/>
      <c r="OTV236" s="16"/>
      <c r="OTW236" s="16"/>
      <c r="OTX236" s="16"/>
      <c r="OTY236" s="15"/>
      <c r="OTZ236" s="15"/>
      <c r="OUA236" s="10"/>
      <c r="OUB236" s="10"/>
      <c r="OUC236" s="19"/>
      <c r="OUD236" s="19"/>
      <c r="OUG236" s="16"/>
      <c r="OUH236" s="15"/>
      <c r="OUI236" s="15"/>
      <c r="OUJ236" s="15"/>
      <c r="OUK236" s="16"/>
      <c r="OUL236" s="16"/>
      <c r="OUM236" s="16"/>
      <c r="OUN236" s="16"/>
      <c r="OUO236" s="16"/>
      <c r="OUP236" s="15"/>
      <c r="OUQ236" s="15"/>
      <c r="OUR236" s="10"/>
      <c r="OUS236" s="10"/>
      <c r="OUT236" s="19"/>
      <c r="OUU236" s="19"/>
      <c r="OUX236" s="16"/>
      <c r="OUY236" s="15"/>
      <c r="OUZ236" s="15"/>
      <c r="OVA236" s="15"/>
      <c r="OVB236" s="16"/>
      <c r="OVC236" s="16"/>
      <c r="OVD236" s="16"/>
      <c r="OVE236" s="16"/>
      <c r="OVF236" s="16"/>
      <c r="OVG236" s="15"/>
      <c r="OVH236" s="15"/>
      <c r="OVI236" s="10"/>
      <c r="OVJ236" s="10"/>
      <c r="OVK236" s="19"/>
      <c r="OVL236" s="19"/>
      <c r="OVO236" s="16"/>
      <c r="OVP236" s="15"/>
      <c r="OVQ236" s="15"/>
      <c r="OVR236" s="15"/>
      <c r="OVS236" s="16"/>
      <c r="OVT236" s="16"/>
      <c r="OVU236" s="16"/>
      <c r="OVV236" s="16"/>
      <c r="OVW236" s="16"/>
      <c r="OVX236" s="15"/>
      <c r="OVY236" s="15"/>
      <c r="OVZ236" s="10"/>
      <c r="OWA236" s="10"/>
      <c r="OWB236" s="19"/>
      <c r="OWC236" s="19"/>
      <c r="OWF236" s="16"/>
      <c r="OWG236" s="15"/>
      <c r="OWH236" s="15"/>
      <c r="OWI236" s="15"/>
      <c r="OWJ236" s="16"/>
      <c r="OWK236" s="16"/>
      <c r="OWL236" s="16"/>
      <c r="OWM236" s="16"/>
      <c r="OWN236" s="16"/>
      <c r="OWO236" s="15"/>
      <c r="OWP236" s="15"/>
      <c r="OWQ236" s="10"/>
      <c r="OWR236" s="10"/>
      <c r="OWS236" s="19"/>
      <c r="OWT236" s="19"/>
      <c r="OWW236" s="16"/>
      <c r="OWX236" s="15"/>
      <c r="OWY236" s="15"/>
      <c r="OWZ236" s="15"/>
      <c r="OXA236" s="16"/>
      <c r="OXB236" s="16"/>
      <c r="OXC236" s="16"/>
      <c r="OXD236" s="16"/>
      <c r="OXE236" s="16"/>
      <c r="OXF236" s="15"/>
      <c r="OXG236" s="15"/>
      <c r="OXH236" s="10"/>
      <c r="OXI236" s="10"/>
      <c r="OXJ236" s="19"/>
      <c r="OXK236" s="19"/>
      <c r="OXN236" s="16"/>
      <c r="OXO236" s="15"/>
      <c r="OXP236" s="15"/>
      <c r="OXQ236" s="15"/>
      <c r="OXR236" s="16"/>
      <c r="OXS236" s="16"/>
      <c r="OXT236" s="16"/>
      <c r="OXU236" s="16"/>
      <c r="OXV236" s="16"/>
      <c r="OXW236" s="15"/>
      <c r="OXX236" s="15"/>
      <c r="OXY236" s="10"/>
      <c r="OXZ236" s="10"/>
      <c r="OYA236" s="19"/>
      <c r="OYB236" s="19"/>
      <c r="OYE236" s="16"/>
      <c r="OYF236" s="15"/>
      <c r="OYG236" s="15"/>
      <c r="OYH236" s="15"/>
      <c r="OYI236" s="16"/>
      <c r="OYJ236" s="16"/>
      <c r="OYK236" s="16"/>
      <c r="OYL236" s="16"/>
      <c r="OYM236" s="16"/>
      <c r="OYN236" s="15"/>
      <c r="OYO236" s="15"/>
      <c r="OYP236" s="10"/>
      <c r="OYQ236" s="10"/>
      <c r="OYR236" s="19"/>
      <c r="OYS236" s="19"/>
      <c r="OYV236" s="16"/>
      <c r="OYW236" s="15"/>
      <c r="OYX236" s="15"/>
      <c r="OYY236" s="15"/>
      <c r="OYZ236" s="16"/>
      <c r="OZA236" s="16"/>
      <c r="OZB236" s="16"/>
      <c r="OZC236" s="16"/>
      <c r="OZD236" s="16"/>
      <c r="OZE236" s="15"/>
      <c r="OZF236" s="15"/>
      <c r="OZG236" s="10"/>
      <c r="OZH236" s="10"/>
      <c r="OZI236" s="19"/>
      <c r="OZJ236" s="19"/>
      <c r="OZM236" s="16"/>
      <c r="OZN236" s="15"/>
      <c r="OZO236" s="15"/>
      <c r="OZP236" s="15"/>
      <c r="OZQ236" s="16"/>
      <c r="OZR236" s="16"/>
      <c r="OZS236" s="16"/>
      <c r="OZT236" s="16"/>
      <c r="OZU236" s="16"/>
      <c r="OZV236" s="15"/>
      <c r="OZW236" s="15"/>
      <c r="OZX236" s="10"/>
      <c r="OZY236" s="10"/>
      <c r="OZZ236" s="19"/>
      <c r="PAA236" s="19"/>
      <c r="PAD236" s="16"/>
      <c r="PAE236" s="15"/>
      <c r="PAF236" s="15"/>
      <c r="PAG236" s="15"/>
      <c r="PAH236" s="16"/>
      <c r="PAI236" s="16"/>
      <c r="PAJ236" s="16"/>
      <c r="PAK236" s="16"/>
      <c r="PAL236" s="16"/>
      <c r="PAM236" s="15"/>
      <c r="PAN236" s="15"/>
      <c r="PAO236" s="10"/>
      <c r="PAP236" s="10"/>
      <c r="PAQ236" s="19"/>
      <c r="PAR236" s="19"/>
      <c r="PAU236" s="16"/>
      <c r="PAV236" s="15"/>
      <c r="PAW236" s="15"/>
      <c r="PAX236" s="15"/>
      <c r="PAY236" s="16"/>
      <c r="PAZ236" s="16"/>
      <c r="PBA236" s="16"/>
      <c r="PBB236" s="16"/>
      <c r="PBC236" s="16"/>
      <c r="PBD236" s="15"/>
      <c r="PBE236" s="15"/>
      <c r="PBF236" s="10"/>
      <c r="PBG236" s="10"/>
      <c r="PBH236" s="19"/>
      <c r="PBI236" s="19"/>
      <c r="PBL236" s="16"/>
      <c r="PBM236" s="15"/>
      <c r="PBN236" s="15"/>
      <c r="PBO236" s="15"/>
      <c r="PBP236" s="16"/>
      <c r="PBQ236" s="16"/>
      <c r="PBR236" s="16"/>
      <c r="PBS236" s="16"/>
      <c r="PBT236" s="16"/>
      <c r="PBU236" s="15"/>
      <c r="PBV236" s="15"/>
      <c r="PBW236" s="10"/>
      <c r="PBX236" s="10"/>
      <c r="PBY236" s="19"/>
      <c r="PBZ236" s="19"/>
      <c r="PCC236" s="16"/>
      <c r="PCD236" s="15"/>
      <c r="PCE236" s="15"/>
      <c r="PCF236" s="15"/>
      <c r="PCG236" s="16"/>
      <c r="PCH236" s="16"/>
      <c r="PCI236" s="16"/>
      <c r="PCJ236" s="16"/>
      <c r="PCK236" s="16"/>
      <c r="PCL236" s="15"/>
      <c r="PCM236" s="15"/>
      <c r="PCN236" s="10"/>
      <c r="PCO236" s="10"/>
      <c r="PCP236" s="19"/>
      <c r="PCQ236" s="19"/>
      <c r="PCT236" s="16"/>
      <c r="PCU236" s="15"/>
      <c r="PCV236" s="15"/>
      <c r="PCW236" s="15"/>
      <c r="PCX236" s="16"/>
      <c r="PCY236" s="16"/>
      <c r="PCZ236" s="16"/>
      <c r="PDA236" s="16"/>
      <c r="PDB236" s="16"/>
      <c r="PDC236" s="15"/>
      <c r="PDD236" s="15"/>
      <c r="PDE236" s="10"/>
      <c r="PDF236" s="10"/>
      <c r="PDG236" s="19"/>
      <c r="PDH236" s="19"/>
      <c r="PDK236" s="16"/>
      <c r="PDL236" s="15"/>
      <c r="PDM236" s="15"/>
      <c r="PDN236" s="15"/>
      <c r="PDO236" s="16"/>
      <c r="PDP236" s="16"/>
      <c r="PDQ236" s="16"/>
      <c r="PDR236" s="16"/>
      <c r="PDS236" s="16"/>
      <c r="PDT236" s="15"/>
      <c r="PDU236" s="15"/>
      <c r="PDV236" s="10"/>
      <c r="PDW236" s="10"/>
      <c r="PDX236" s="19"/>
      <c r="PDY236" s="19"/>
      <c r="PEB236" s="16"/>
      <c r="PEC236" s="15"/>
      <c r="PED236" s="15"/>
      <c r="PEE236" s="15"/>
      <c r="PEF236" s="16"/>
      <c r="PEG236" s="16"/>
      <c r="PEH236" s="16"/>
      <c r="PEI236" s="16"/>
      <c r="PEJ236" s="16"/>
      <c r="PEK236" s="15"/>
      <c r="PEL236" s="15"/>
      <c r="PEM236" s="10"/>
      <c r="PEN236" s="10"/>
      <c r="PEO236" s="19"/>
      <c r="PEP236" s="19"/>
      <c r="PES236" s="16"/>
      <c r="PET236" s="15"/>
      <c r="PEU236" s="15"/>
      <c r="PEV236" s="15"/>
      <c r="PEW236" s="16"/>
      <c r="PEX236" s="16"/>
      <c r="PEY236" s="16"/>
      <c r="PEZ236" s="16"/>
      <c r="PFA236" s="16"/>
      <c r="PFB236" s="15"/>
      <c r="PFC236" s="15"/>
      <c r="PFD236" s="10"/>
      <c r="PFE236" s="10"/>
      <c r="PFF236" s="19"/>
      <c r="PFG236" s="19"/>
      <c r="PFJ236" s="16"/>
      <c r="PFK236" s="15"/>
      <c r="PFL236" s="15"/>
      <c r="PFM236" s="15"/>
      <c r="PFN236" s="16"/>
      <c r="PFO236" s="16"/>
      <c r="PFP236" s="16"/>
      <c r="PFQ236" s="16"/>
      <c r="PFR236" s="16"/>
      <c r="PFS236" s="15"/>
      <c r="PFT236" s="15"/>
      <c r="PFU236" s="10"/>
      <c r="PFV236" s="10"/>
      <c r="PFW236" s="19"/>
      <c r="PFX236" s="19"/>
      <c r="PGA236" s="16"/>
      <c r="PGB236" s="15"/>
      <c r="PGC236" s="15"/>
      <c r="PGD236" s="15"/>
      <c r="PGE236" s="16"/>
      <c r="PGF236" s="16"/>
      <c r="PGG236" s="16"/>
      <c r="PGH236" s="16"/>
      <c r="PGI236" s="16"/>
      <c r="PGJ236" s="15"/>
      <c r="PGK236" s="15"/>
      <c r="PGL236" s="10"/>
      <c r="PGM236" s="10"/>
      <c r="PGN236" s="19"/>
      <c r="PGO236" s="19"/>
      <c r="PGR236" s="16"/>
      <c r="PGS236" s="15"/>
      <c r="PGT236" s="15"/>
      <c r="PGU236" s="15"/>
      <c r="PGV236" s="16"/>
      <c r="PGW236" s="16"/>
      <c r="PGX236" s="16"/>
      <c r="PGY236" s="16"/>
      <c r="PGZ236" s="16"/>
      <c r="PHA236" s="15"/>
      <c r="PHB236" s="15"/>
      <c r="PHC236" s="10"/>
      <c r="PHD236" s="10"/>
      <c r="PHE236" s="19"/>
      <c r="PHF236" s="19"/>
      <c r="PHI236" s="16"/>
      <c r="PHJ236" s="15"/>
      <c r="PHK236" s="15"/>
      <c r="PHL236" s="15"/>
      <c r="PHM236" s="16"/>
      <c r="PHN236" s="16"/>
      <c r="PHO236" s="16"/>
      <c r="PHP236" s="16"/>
      <c r="PHQ236" s="16"/>
      <c r="PHR236" s="15"/>
      <c r="PHS236" s="15"/>
      <c r="PHT236" s="10"/>
      <c r="PHU236" s="10"/>
      <c r="PHV236" s="19"/>
      <c r="PHW236" s="19"/>
      <c r="PHZ236" s="16"/>
      <c r="PIA236" s="15"/>
      <c r="PIB236" s="15"/>
      <c r="PIC236" s="15"/>
      <c r="PID236" s="16"/>
      <c r="PIE236" s="16"/>
      <c r="PIF236" s="16"/>
      <c r="PIG236" s="16"/>
      <c r="PIH236" s="16"/>
      <c r="PII236" s="15"/>
      <c r="PIJ236" s="15"/>
      <c r="PIK236" s="10"/>
      <c r="PIL236" s="10"/>
      <c r="PIM236" s="19"/>
      <c r="PIN236" s="19"/>
      <c r="PIQ236" s="16"/>
      <c r="PIR236" s="15"/>
      <c r="PIS236" s="15"/>
      <c r="PIT236" s="15"/>
      <c r="PIU236" s="16"/>
      <c r="PIV236" s="16"/>
      <c r="PIW236" s="16"/>
      <c r="PIX236" s="16"/>
      <c r="PIY236" s="16"/>
      <c r="PIZ236" s="15"/>
      <c r="PJA236" s="15"/>
      <c r="PJB236" s="10"/>
      <c r="PJC236" s="10"/>
      <c r="PJD236" s="19"/>
      <c r="PJE236" s="19"/>
      <c r="PJH236" s="16"/>
      <c r="PJI236" s="15"/>
      <c r="PJJ236" s="15"/>
      <c r="PJK236" s="15"/>
      <c r="PJL236" s="16"/>
      <c r="PJM236" s="16"/>
      <c r="PJN236" s="16"/>
      <c r="PJO236" s="16"/>
      <c r="PJP236" s="16"/>
      <c r="PJQ236" s="15"/>
      <c r="PJR236" s="15"/>
      <c r="PJS236" s="10"/>
      <c r="PJT236" s="10"/>
      <c r="PJU236" s="19"/>
      <c r="PJV236" s="19"/>
      <c r="PJY236" s="16"/>
      <c r="PJZ236" s="15"/>
      <c r="PKA236" s="15"/>
      <c r="PKB236" s="15"/>
      <c r="PKC236" s="16"/>
      <c r="PKD236" s="16"/>
      <c r="PKE236" s="16"/>
      <c r="PKF236" s="16"/>
      <c r="PKG236" s="16"/>
      <c r="PKH236" s="15"/>
      <c r="PKI236" s="15"/>
      <c r="PKJ236" s="10"/>
      <c r="PKK236" s="10"/>
      <c r="PKL236" s="19"/>
      <c r="PKM236" s="19"/>
      <c r="PKP236" s="16"/>
      <c r="PKQ236" s="15"/>
      <c r="PKR236" s="15"/>
      <c r="PKS236" s="15"/>
      <c r="PKT236" s="16"/>
      <c r="PKU236" s="16"/>
      <c r="PKV236" s="16"/>
      <c r="PKW236" s="16"/>
      <c r="PKX236" s="16"/>
      <c r="PKY236" s="15"/>
      <c r="PKZ236" s="15"/>
      <c r="PLA236" s="10"/>
      <c r="PLB236" s="10"/>
      <c r="PLC236" s="19"/>
      <c r="PLD236" s="19"/>
      <c r="PLG236" s="16"/>
      <c r="PLH236" s="15"/>
      <c r="PLI236" s="15"/>
      <c r="PLJ236" s="15"/>
      <c r="PLK236" s="16"/>
      <c r="PLL236" s="16"/>
      <c r="PLM236" s="16"/>
      <c r="PLN236" s="16"/>
      <c r="PLO236" s="16"/>
      <c r="PLP236" s="15"/>
      <c r="PLQ236" s="15"/>
      <c r="PLR236" s="10"/>
      <c r="PLS236" s="10"/>
      <c r="PLT236" s="19"/>
      <c r="PLU236" s="19"/>
      <c r="PLX236" s="16"/>
      <c r="PLY236" s="15"/>
      <c r="PLZ236" s="15"/>
      <c r="PMA236" s="15"/>
      <c r="PMB236" s="16"/>
      <c r="PMC236" s="16"/>
      <c r="PMD236" s="16"/>
      <c r="PME236" s="16"/>
      <c r="PMF236" s="16"/>
      <c r="PMG236" s="15"/>
      <c r="PMH236" s="15"/>
      <c r="PMI236" s="10"/>
      <c r="PMJ236" s="10"/>
      <c r="PMK236" s="19"/>
      <c r="PML236" s="19"/>
      <c r="PMO236" s="16"/>
      <c r="PMP236" s="15"/>
      <c r="PMQ236" s="15"/>
      <c r="PMR236" s="15"/>
      <c r="PMS236" s="16"/>
      <c r="PMT236" s="16"/>
      <c r="PMU236" s="16"/>
      <c r="PMV236" s="16"/>
      <c r="PMW236" s="16"/>
      <c r="PMX236" s="15"/>
      <c r="PMY236" s="15"/>
      <c r="PMZ236" s="10"/>
      <c r="PNA236" s="10"/>
      <c r="PNB236" s="19"/>
      <c r="PNC236" s="19"/>
      <c r="PNF236" s="16"/>
      <c r="PNG236" s="15"/>
      <c r="PNH236" s="15"/>
      <c r="PNI236" s="15"/>
      <c r="PNJ236" s="16"/>
      <c r="PNK236" s="16"/>
      <c r="PNL236" s="16"/>
      <c r="PNM236" s="16"/>
      <c r="PNN236" s="16"/>
      <c r="PNO236" s="15"/>
      <c r="PNP236" s="15"/>
      <c r="PNQ236" s="10"/>
      <c r="PNR236" s="10"/>
      <c r="PNS236" s="19"/>
      <c r="PNT236" s="19"/>
      <c r="PNW236" s="16"/>
      <c r="PNX236" s="15"/>
      <c r="PNY236" s="15"/>
      <c r="PNZ236" s="15"/>
      <c r="POA236" s="16"/>
      <c r="POB236" s="16"/>
      <c r="POC236" s="16"/>
      <c r="POD236" s="16"/>
      <c r="POE236" s="16"/>
      <c r="POF236" s="15"/>
      <c r="POG236" s="15"/>
      <c r="POH236" s="10"/>
      <c r="POI236" s="10"/>
      <c r="POJ236" s="19"/>
      <c r="POK236" s="19"/>
      <c r="PON236" s="16"/>
      <c r="POO236" s="15"/>
      <c r="POP236" s="15"/>
      <c r="POQ236" s="15"/>
      <c r="POR236" s="16"/>
      <c r="POS236" s="16"/>
      <c r="POT236" s="16"/>
      <c r="POU236" s="16"/>
      <c r="POV236" s="16"/>
      <c r="POW236" s="15"/>
      <c r="POX236" s="15"/>
      <c r="POY236" s="10"/>
      <c r="POZ236" s="10"/>
      <c r="PPA236" s="19"/>
      <c r="PPB236" s="19"/>
      <c r="PPE236" s="16"/>
      <c r="PPF236" s="15"/>
      <c r="PPG236" s="15"/>
      <c r="PPH236" s="15"/>
      <c r="PPI236" s="16"/>
      <c r="PPJ236" s="16"/>
      <c r="PPK236" s="16"/>
      <c r="PPL236" s="16"/>
      <c r="PPM236" s="16"/>
      <c r="PPN236" s="15"/>
      <c r="PPO236" s="15"/>
      <c r="PPP236" s="10"/>
      <c r="PPQ236" s="10"/>
      <c r="PPR236" s="19"/>
      <c r="PPS236" s="19"/>
      <c r="PPV236" s="16"/>
      <c r="PPW236" s="15"/>
      <c r="PPX236" s="15"/>
      <c r="PPY236" s="15"/>
      <c r="PPZ236" s="16"/>
      <c r="PQA236" s="16"/>
      <c r="PQB236" s="16"/>
      <c r="PQC236" s="16"/>
      <c r="PQD236" s="16"/>
      <c r="PQE236" s="15"/>
      <c r="PQF236" s="15"/>
      <c r="PQG236" s="10"/>
      <c r="PQH236" s="10"/>
      <c r="PQI236" s="19"/>
      <c r="PQJ236" s="19"/>
      <c r="PQM236" s="16"/>
      <c r="PQN236" s="15"/>
      <c r="PQO236" s="15"/>
      <c r="PQP236" s="15"/>
      <c r="PQQ236" s="16"/>
      <c r="PQR236" s="16"/>
      <c r="PQS236" s="16"/>
      <c r="PQT236" s="16"/>
      <c r="PQU236" s="16"/>
      <c r="PQV236" s="15"/>
      <c r="PQW236" s="15"/>
      <c r="PQX236" s="10"/>
      <c r="PQY236" s="10"/>
      <c r="PQZ236" s="19"/>
      <c r="PRA236" s="19"/>
      <c r="PRD236" s="16"/>
      <c r="PRE236" s="15"/>
      <c r="PRF236" s="15"/>
      <c r="PRG236" s="15"/>
      <c r="PRH236" s="16"/>
      <c r="PRI236" s="16"/>
      <c r="PRJ236" s="16"/>
      <c r="PRK236" s="16"/>
      <c r="PRL236" s="16"/>
      <c r="PRM236" s="15"/>
      <c r="PRN236" s="15"/>
      <c r="PRO236" s="10"/>
      <c r="PRP236" s="10"/>
      <c r="PRQ236" s="19"/>
      <c r="PRR236" s="19"/>
      <c r="PRU236" s="16"/>
      <c r="PRV236" s="15"/>
      <c r="PRW236" s="15"/>
      <c r="PRX236" s="15"/>
      <c r="PRY236" s="16"/>
      <c r="PRZ236" s="16"/>
      <c r="PSA236" s="16"/>
      <c r="PSB236" s="16"/>
      <c r="PSC236" s="16"/>
      <c r="PSD236" s="15"/>
      <c r="PSE236" s="15"/>
      <c r="PSF236" s="10"/>
      <c r="PSG236" s="10"/>
      <c r="PSH236" s="19"/>
      <c r="PSI236" s="19"/>
      <c r="PSL236" s="16"/>
      <c r="PSM236" s="15"/>
      <c r="PSN236" s="15"/>
      <c r="PSO236" s="15"/>
      <c r="PSP236" s="16"/>
      <c r="PSQ236" s="16"/>
      <c r="PSR236" s="16"/>
      <c r="PSS236" s="16"/>
      <c r="PST236" s="16"/>
      <c r="PSU236" s="15"/>
      <c r="PSV236" s="15"/>
      <c r="PSW236" s="10"/>
      <c r="PSX236" s="10"/>
      <c r="PSY236" s="19"/>
      <c r="PSZ236" s="19"/>
      <c r="PTC236" s="16"/>
      <c r="PTD236" s="15"/>
      <c r="PTE236" s="15"/>
      <c r="PTF236" s="15"/>
      <c r="PTG236" s="16"/>
      <c r="PTH236" s="16"/>
      <c r="PTI236" s="16"/>
      <c r="PTJ236" s="16"/>
      <c r="PTK236" s="16"/>
      <c r="PTL236" s="15"/>
      <c r="PTM236" s="15"/>
      <c r="PTN236" s="10"/>
      <c r="PTO236" s="10"/>
      <c r="PTP236" s="19"/>
      <c r="PTQ236" s="19"/>
      <c r="PTT236" s="16"/>
      <c r="PTU236" s="15"/>
      <c r="PTV236" s="15"/>
      <c r="PTW236" s="15"/>
      <c r="PTX236" s="16"/>
      <c r="PTY236" s="16"/>
      <c r="PTZ236" s="16"/>
      <c r="PUA236" s="16"/>
      <c r="PUB236" s="16"/>
      <c r="PUC236" s="15"/>
      <c r="PUD236" s="15"/>
      <c r="PUE236" s="10"/>
      <c r="PUF236" s="10"/>
      <c r="PUG236" s="19"/>
      <c r="PUH236" s="19"/>
      <c r="PUK236" s="16"/>
      <c r="PUL236" s="15"/>
      <c r="PUM236" s="15"/>
      <c r="PUN236" s="15"/>
      <c r="PUO236" s="16"/>
      <c r="PUP236" s="16"/>
      <c r="PUQ236" s="16"/>
      <c r="PUR236" s="16"/>
      <c r="PUS236" s="16"/>
      <c r="PUT236" s="15"/>
      <c r="PUU236" s="15"/>
      <c r="PUV236" s="10"/>
      <c r="PUW236" s="10"/>
      <c r="PUX236" s="19"/>
      <c r="PUY236" s="19"/>
      <c r="PVB236" s="16"/>
      <c r="PVC236" s="15"/>
      <c r="PVD236" s="15"/>
      <c r="PVE236" s="15"/>
      <c r="PVF236" s="16"/>
      <c r="PVG236" s="16"/>
      <c r="PVH236" s="16"/>
      <c r="PVI236" s="16"/>
      <c r="PVJ236" s="16"/>
      <c r="PVK236" s="15"/>
      <c r="PVL236" s="15"/>
      <c r="PVM236" s="10"/>
      <c r="PVN236" s="10"/>
      <c r="PVO236" s="19"/>
      <c r="PVP236" s="19"/>
      <c r="PVS236" s="16"/>
      <c r="PVT236" s="15"/>
      <c r="PVU236" s="15"/>
      <c r="PVV236" s="15"/>
      <c r="PVW236" s="16"/>
      <c r="PVX236" s="16"/>
      <c r="PVY236" s="16"/>
      <c r="PVZ236" s="16"/>
      <c r="PWA236" s="16"/>
      <c r="PWB236" s="15"/>
      <c r="PWC236" s="15"/>
      <c r="PWD236" s="10"/>
      <c r="PWE236" s="10"/>
      <c r="PWF236" s="19"/>
      <c r="PWG236" s="19"/>
      <c r="PWJ236" s="16"/>
      <c r="PWK236" s="15"/>
      <c r="PWL236" s="15"/>
      <c r="PWM236" s="15"/>
      <c r="PWN236" s="16"/>
      <c r="PWO236" s="16"/>
      <c r="PWP236" s="16"/>
      <c r="PWQ236" s="16"/>
      <c r="PWR236" s="16"/>
      <c r="PWS236" s="15"/>
      <c r="PWT236" s="15"/>
      <c r="PWU236" s="10"/>
      <c r="PWV236" s="10"/>
      <c r="PWW236" s="19"/>
      <c r="PWX236" s="19"/>
      <c r="PXA236" s="16"/>
      <c r="PXB236" s="15"/>
      <c r="PXC236" s="15"/>
      <c r="PXD236" s="15"/>
      <c r="PXE236" s="16"/>
      <c r="PXF236" s="16"/>
      <c r="PXG236" s="16"/>
      <c r="PXH236" s="16"/>
      <c r="PXI236" s="16"/>
      <c r="PXJ236" s="15"/>
      <c r="PXK236" s="15"/>
      <c r="PXL236" s="10"/>
      <c r="PXM236" s="10"/>
      <c r="PXN236" s="19"/>
      <c r="PXO236" s="19"/>
      <c r="PXR236" s="16"/>
      <c r="PXS236" s="15"/>
      <c r="PXT236" s="15"/>
      <c r="PXU236" s="15"/>
      <c r="PXV236" s="16"/>
      <c r="PXW236" s="16"/>
      <c r="PXX236" s="16"/>
      <c r="PXY236" s="16"/>
      <c r="PXZ236" s="16"/>
      <c r="PYA236" s="15"/>
      <c r="PYB236" s="15"/>
      <c r="PYC236" s="10"/>
      <c r="PYD236" s="10"/>
      <c r="PYE236" s="19"/>
      <c r="PYF236" s="19"/>
      <c r="PYI236" s="16"/>
      <c r="PYJ236" s="15"/>
      <c r="PYK236" s="15"/>
      <c r="PYL236" s="15"/>
      <c r="PYM236" s="16"/>
      <c r="PYN236" s="16"/>
      <c r="PYO236" s="16"/>
      <c r="PYP236" s="16"/>
      <c r="PYQ236" s="16"/>
      <c r="PYR236" s="15"/>
      <c r="PYS236" s="15"/>
      <c r="PYT236" s="10"/>
      <c r="PYU236" s="10"/>
      <c r="PYV236" s="19"/>
      <c r="PYW236" s="19"/>
      <c r="PYZ236" s="16"/>
      <c r="PZA236" s="15"/>
      <c r="PZB236" s="15"/>
      <c r="PZC236" s="15"/>
      <c r="PZD236" s="16"/>
      <c r="PZE236" s="16"/>
      <c r="PZF236" s="16"/>
      <c r="PZG236" s="16"/>
      <c r="PZH236" s="16"/>
      <c r="PZI236" s="15"/>
      <c r="PZJ236" s="15"/>
      <c r="PZK236" s="10"/>
      <c r="PZL236" s="10"/>
      <c r="PZM236" s="19"/>
      <c r="PZN236" s="19"/>
      <c r="PZQ236" s="16"/>
      <c r="PZR236" s="15"/>
      <c r="PZS236" s="15"/>
      <c r="PZT236" s="15"/>
      <c r="PZU236" s="16"/>
      <c r="PZV236" s="16"/>
      <c r="PZW236" s="16"/>
      <c r="PZX236" s="16"/>
      <c r="PZY236" s="16"/>
      <c r="PZZ236" s="15"/>
      <c r="QAA236" s="15"/>
      <c r="QAB236" s="10"/>
      <c r="QAC236" s="10"/>
      <c r="QAD236" s="19"/>
      <c r="QAE236" s="19"/>
      <c r="QAH236" s="16"/>
      <c r="QAI236" s="15"/>
      <c r="QAJ236" s="15"/>
      <c r="QAK236" s="15"/>
      <c r="QAL236" s="16"/>
      <c r="QAM236" s="16"/>
      <c r="QAN236" s="16"/>
      <c r="QAO236" s="16"/>
      <c r="QAP236" s="16"/>
      <c r="QAQ236" s="15"/>
      <c r="QAR236" s="15"/>
      <c r="QAS236" s="10"/>
      <c r="QAT236" s="10"/>
      <c r="QAU236" s="19"/>
      <c r="QAV236" s="19"/>
      <c r="QAY236" s="16"/>
      <c r="QAZ236" s="15"/>
      <c r="QBA236" s="15"/>
      <c r="QBB236" s="15"/>
      <c r="QBC236" s="16"/>
      <c r="QBD236" s="16"/>
      <c r="QBE236" s="16"/>
      <c r="QBF236" s="16"/>
      <c r="QBG236" s="16"/>
      <c r="QBH236" s="15"/>
      <c r="QBI236" s="15"/>
      <c r="QBJ236" s="10"/>
      <c r="QBK236" s="10"/>
      <c r="QBL236" s="19"/>
      <c r="QBM236" s="19"/>
      <c r="QBP236" s="16"/>
      <c r="QBQ236" s="15"/>
      <c r="QBR236" s="15"/>
      <c r="QBS236" s="15"/>
      <c r="QBT236" s="16"/>
      <c r="QBU236" s="16"/>
      <c r="QBV236" s="16"/>
      <c r="QBW236" s="16"/>
      <c r="QBX236" s="16"/>
      <c r="QBY236" s="15"/>
      <c r="QBZ236" s="15"/>
      <c r="QCA236" s="10"/>
      <c r="QCB236" s="10"/>
      <c r="QCC236" s="19"/>
      <c r="QCD236" s="19"/>
      <c r="QCG236" s="16"/>
      <c r="QCH236" s="15"/>
      <c r="QCI236" s="15"/>
      <c r="QCJ236" s="15"/>
      <c r="QCK236" s="16"/>
      <c r="QCL236" s="16"/>
      <c r="QCM236" s="16"/>
      <c r="QCN236" s="16"/>
      <c r="QCO236" s="16"/>
      <c r="QCP236" s="15"/>
      <c r="QCQ236" s="15"/>
      <c r="QCR236" s="10"/>
      <c r="QCS236" s="10"/>
      <c r="QCT236" s="19"/>
      <c r="QCU236" s="19"/>
      <c r="QCX236" s="16"/>
      <c r="QCY236" s="15"/>
      <c r="QCZ236" s="15"/>
      <c r="QDA236" s="15"/>
      <c r="QDB236" s="16"/>
      <c r="QDC236" s="16"/>
      <c r="QDD236" s="16"/>
      <c r="QDE236" s="16"/>
      <c r="QDF236" s="16"/>
      <c r="QDG236" s="15"/>
      <c r="QDH236" s="15"/>
      <c r="QDI236" s="10"/>
      <c r="QDJ236" s="10"/>
      <c r="QDK236" s="19"/>
      <c r="QDL236" s="19"/>
      <c r="QDO236" s="16"/>
      <c r="QDP236" s="15"/>
      <c r="QDQ236" s="15"/>
      <c r="QDR236" s="15"/>
      <c r="QDS236" s="16"/>
      <c r="QDT236" s="16"/>
      <c r="QDU236" s="16"/>
      <c r="QDV236" s="16"/>
      <c r="QDW236" s="16"/>
      <c r="QDX236" s="15"/>
      <c r="QDY236" s="15"/>
      <c r="QDZ236" s="10"/>
      <c r="QEA236" s="10"/>
      <c r="QEB236" s="19"/>
      <c r="QEC236" s="19"/>
      <c r="QEF236" s="16"/>
      <c r="QEG236" s="15"/>
      <c r="QEH236" s="15"/>
      <c r="QEI236" s="15"/>
      <c r="QEJ236" s="16"/>
      <c r="QEK236" s="16"/>
      <c r="QEL236" s="16"/>
      <c r="QEM236" s="16"/>
      <c r="QEN236" s="16"/>
      <c r="QEO236" s="15"/>
      <c r="QEP236" s="15"/>
      <c r="QEQ236" s="10"/>
      <c r="QER236" s="10"/>
      <c r="QES236" s="19"/>
      <c r="QET236" s="19"/>
      <c r="QEW236" s="16"/>
      <c r="QEX236" s="15"/>
      <c r="QEY236" s="15"/>
      <c r="QEZ236" s="15"/>
      <c r="QFA236" s="16"/>
      <c r="QFB236" s="16"/>
      <c r="QFC236" s="16"/>
      <c r="QFD236" s="16"/>
      <c r="QFE236" s="16"/>
      <c r="QFF236" s="15"/>
      <c r="QFG236" s="15"/>
      <c r="QFH236" s="10"/>
      <c r="QFI236" s="10"/>
      <c r="QFJ236" s="19"/>
      <c r="QFK236" s="19"/>
      <c r="QFN236" s="16"/>
      <c r="QFO236" s="15"/>
      <c r="QFP236" s="15"/>
      <c r="QFQ236" s="15"/>
      <c r="QFR236" s="16"/>
      <c r="QFS236" s="16"/>
      <c r="QFT236" s="16"/>
      <c r="QFU236" s="16"/>
      <c r="QFV236" s="16"/>
      <c r="QFW236" s="15"/>
      <c r="QFX236" s="15"/>
      <c r="QFY236" s="10"/>
      <c r="QFZ236" s="10"/>
      <c r="QGA236" s="19"/>
      <c r="QGB236" s="19"/>
      <c r="QGE236" s="16"/>
      <c r="QGF236" s="15"/>
      <c r="QGG236" s="15"/>
      <c r="QGH236" s="15"/>
      <c r="QGI236" s="16"/>
      <c r="QGJ236" s="16"/>
      <c r="QGK236" s="16"/>
      <c r="QGL236" s="16"/>
      <c r="QGM236" s="16"/>
      <c r="QGN236" s="15"/>
      <c r="QGO236" s="15"/>
      <c r="QGP236" s="10"/>
      <c r="QGQ236" s="10"/>
      <c r="QGR236" s="19"/>
      <c r="QGS236" s="19"/>
      <c r="QGV236" s="16"/>
      <c r="QGW236" s="15"/>
      <c r="QGX236" s="15"/>
      <c r="QGY236" s="15"/>
      <c r="QGZ236" s="16"/>
      <c r="QHA236" s="16"/>
      <c r="QHB236" s="16"/>
      <c r="QHC236" s="16"/>
      <c r="QHD236" s="16"/>
      <c r="QHE236" s="15"/>
      <c r="QHF236" s="15"/>
      <c r="QHG236" s="10"/>
      <c r="QHH236" s="10"/>
      <c r="QHI236" s="19"/>
      <c r="QHJ236" s="19"/>
      <c r="QHM236" s="16"/>
      <c r="QHN236" s="15"/>
      <c r="QHO236" s="15"/>
      <c r="QHP236" s="15"/>
      <c r="QHQ236" s="16"/>
      <c r="QHR236" s="16"/>
      <c r="QHS236" s="16"/>
      <c r="QHT236" s="16"/>
      <c r="QHU236" s="16"/>
      <c r="QHV236" s="15"/>
      <c r="QHW236" s="15"/>
      <c r="QHX236" s="10"/>
      <c r="QHY236" s="10"/>
      <c r="QHZ236" s="19"/>
      <c r="QIA236" s="19"/>
      <c r="QID236" s="16"/>
      <c r="QIE236" s="15"/>
      <c r="QIF236" s="15"/>
      <c r="QIG236" s="15"/>
      <c r="QIH236" s="16"/>
      <c r="QII236" s="16"/>
      <c r="QIJ236" s="16"/>
      <c r="QIK236" s="16"/>
      <c r="QIL236" s="16"/>
      <c r="QIM236" s="15"/>
      <c r="QIN236" s="15"/>
      <c r="QIO236" s="10"/>
      <c r="QIP236" s="10"/>
      <c r="QIQ236" s="19"/>
      <c r="QIR236" s="19"/>
      <c r="QIU236" s="16"/>
      <c r="QIV236" s="15"/>
      <c r="QIW236" s="15"/>
      <c r="QIX236" s="15"/>
      <c r="QIY236" s="16"/>
      <c r="QIZ236" s="16"/>
      <c r="QJA236" s="16"/>
      <c r="QJB236" s="16"/>
      <c r="QJC236" s="16"/>
      <c r="QJD236" s="15"/>
      <c r="QJE236" s="15"/>
      <c r="QJF236" s="10"/>
      <c r="QJG236" s="10"/>
      <c r="QJH236" s="19"/>
      <c r="QJI236" s="19"/>
      <c r="QJL236" s="16"/>
      <c r="QJM236" s="15"/>
      <c r="QJN236" s="15"/>
      <c r="QJO236" s="15"/>
      <c r="QJP236" s="16"/>
      <c r="QJQ236" s="16"/>
      <c r="QJR236" s="16"/>
      <c r="QJS236" s="16"/>
      <c r="QJT236" s="16"/>
      <c r="QJU236" s="15"/>
      <c r="QJV236" s="15"/>
      <c r="QJW236" s="10"/>
      <c r="QJX236" s="10"/>
      <c r="QJY236" s="19"/>
      <c r="QJZ236" s="19"/>
      <c r="QKC236" s="16"/>
      <c r="QKD236" s="15"/>
      <c r="QKE236" s="15"/>
      <c r="QKF236" s="15"/>
      <c r="QKG236" s="16"/>
      <c r="QKH236" s="16"/>
      <c r="QKI236" s="16"/>
      <c r="QKJ236" s="16"/>
      <c r="QKK236" s="16"/>
      <c r="QKL236" s="15"/>
      <c r="QKM236" s="15"/>
      <c r="QKN236" s="10"/>
      <c r="QKO236" s="10"/>
      <c r="QKP236" s="19"/>
      <c r="QKQ236" s="19"/>
      <c r="QKT236" s="16"/>
      <c r="QKU236" s="15"/>
      <c r="QKV236" s="15"/>
      <c r="QKW236" s="15"/>
      <c r="QKX236" s="16"/>
      <c r="QKY236" s="16"/>
      <c r="QKZ236" s="16"/>
      <c r="QLA236" s="16"/>
      <c r="QLB236" s="16"/>
      <c r="QLC236" s="15"/>
      <c r="QLD236" s="15"/>
      <c r="QLE236" s="10"/>
      <c r="QLF236" s="10"/>
      <c r="QLG236" s="19"/>
      <c r="QLH236" s="19"/>
      <c r="QLK236" s="16"/>
      <c r="QLL236" s="15"/>
      <c r="QLM236" s="15"/>
      <c r="QLN236" s="15"/>
      <c r="QLO236" s="16"/>
      <c r="QLP236" s="16"/>
      <c r="QLQ236" s="16"/>
      <c r="QLR236" s="16"/>
      <c r="QLS236" s="16"/>
      <c r="QLT236" s="15"/>
      <c r="QLU236" s="15"/>
      <c r="QLV236" s="10"/>
      <c r="QLW236" s="10"/>
      <c r="QLX236" s="19"/>
      <c r="QLY236" s="19"/>
      <c r="QMB236" s="16"/>
      <c r="QMC236" s="15"/>
      <c r="QMD236" s="15"/>
      <c r="QME236" s="15"/>
      <c r="QMF236" s="16"/>
      <c r="QMG236" s="16"/>
      <c r="QMH236" s="16"/>
      <c r="QMI236" s="16"/>
      <c r="QMJ236" s="16"/>
      <c r="QMK236" s="15"/>
      <c r="QML236" s="15"/>
      <c r="QMM236" s="10"/>
      <c r="QMN236" s="10"/>
      <c r="QMO236" s="19"/>
      <c r="QMP236" s="19"/>
      <c r="QMS236" s="16"/>
      <c r="QMT236" s="15"/>
      <c r="QMU236" s="15"/>
      <c r="QMV236" s="15"/>
      <c r="QMW236" s="16"/>
      <c r="QMX236" s="16"/>
      <c r="QMY236" s="16"/>
      <c r="QMZ236" s="16"/>
      <c r="QNA236" s="16"/>
      <c r="QNB236" s="15"/>
      <c r="QNC236" s="15"/>
      <c r="QND236" s="10"/>
      <c r="QNE236" s="10"/>
      <c r="QNF236" s="19"/>
      <c r="QNG236" s="19"/>
      <c r="QNJ236" s="16"/>
      <c r="QNK236" s="15"/>
      <c r="QNL236" s="15"/>
      <c r="QNM236" s="15"/>
      <c r="QNN236" s="16"/>
      <c r="QNO236" s="16"/>
      <c r="QNP236" s="16"/>
      <c r="QNQ236" s="16"/>
      <c r="QNR236" s="16"/>
      <c r="QNS236" s="15"/>
      <c r="QNT236" s="15"/>
      <c r="QNU236" s="10"/>
      <c r="QNV236" s="10"/>
      <c r="QNW236" s="19"/>
      <c r="QNX236" s="19"/>
      <c r="QOA236" s="16"/>
      <c r="QOB236" s="15"/>
      <c r="QOC236" s="15"/>
      <c r="QOD236" s="15"/>
      <c r="QOE236" s="16"/>
      <c r="QOF236" s="16"/>
      <c r="QOG236" s="16"/>
      <c r="QOH236" s="16"/>
      <c r="QOI236" s="16"/>
      <c r="QOJ236" s="15"/>
      <c r="QOK236" s="15"/>
      <c r="QOL236" s="10"/>
      <c r="QOM236" s="10"/>
      <c r="QON236" s="19"/>
      <c r="QOO236" s="19"/>
      <c r="QOR236" s="16"/>
      <c r="QOS236" s="15"/>
      <c r="QOT236" s="15"/>
      <c r="QOU236" s="15"/>
      <c r="QOV236" s="16"/>
      <c r="QOW236" s="16"/>
      <c r="QOX236" s="16"/>
      <c r="QOY236" s="16"/>
      <c r="QOZ236" s="16"/>
      <c r="QPA236" s="15"/>
      <c r="QPB236" s="15"/>
      <c r="QPC236" s="10"/>
      <c r="QPD236" s="10"/>
      <c r="QPE236" s="19"/>
      <c r="QPF236" s="19"/>
      <c r="QPI236" s="16"/>
      <c r="QPJ236" s="15"/>
      <c r="QPK236" s="15"/>
      <c r="QPL236" s="15"/>
      <c r="QPM236" s="16"/>
      <c r="QPN236" s="16"/>
      <c r="QPO236" s="16"/>
      <c r="QPP236" s="16"/>
      <c r="QPQ236" s="16"/>
      <c r="QPR236" s="15"/>
      <c r="QPS236" s="15"/>
      <c r="QPT236" s="10"/>
      <c r="QPU236" s="10"/>
      <c r="QPV236" s="19"/>
      <c r="QPW236" s="19"/>
      <c r="QPZ236" s="16"/>
      <c r="QQA236" s="15"/>
      <c r="QQB236" s="15"/>
      <c r="QQC236" s="15"/>
      <c r="QQD236" s="16"/>
      <c r="QQE236" s="16"/>
      <c r="QQF236" s="16"/>
      <c r="QQG236" s="16"/>
      <c r="QQH236" s="16"/>
      <c r="QQI236" s="15"/>
      <c r="QQJ236" s="15"/>
      <c r="QQK236" s="10"/>
      <c r="QQL236" s="10"/>
      <c r="QQM236" s="19"/>
      <c r="QQN236" s="19"/>
      <c r="QQQ236" s="16"/>
      <c r="QQR236" s="15"/>
      <c r="QQS236" s="15"/>
      <c r="QQT236" s="15"/>
      <c r="QQU236" s="16"/>
      <c r="QQV236" s="16"/>
      <c r="QQW236" s="16"/>
      <c r="QQX236" s="16"/>
      <c r="QQY236" s="16"/>
      <c r="QQZ236" s="15"/>
      <c r="QRA236" s="15"/>
      <c r="QRB236" s="10"/>
      <c r="QRC236" s="10"/>
      <c r="QRD236" s="19"/>
      <c r="QRE236" s="19"/>
      <c r="QRH236" s="16"/>
      <c r="QRI236" s="15"/>
      <c r="QRJ236" s="15"/>
      <c r="QRK236" s="15"/>
      <c r="QRL236" s="16"/>
      <c r="QRM236" s="16"/>
      <c r="QRN236" s="16"/>
      <c r="QRO236" s="16"/>
      <c r="QRP236" s="16"/>
      <c r="QRQ236" s="15"/>
      <c r="QRR236" s="15"/>
      <c r="QRS236" s="10"/>
      <c r="QRT236" s="10"/>
      <c r="QRU236" s="19"/>
      <c r="QRV236" s="19"/>
      <c r="QRY236" s="16"/>
      <c r="QRZ236" s="15"/>
      <c r="QSA236" s="15"/>
      <c r="QSB236" s="15"/>
      <c r="QSC236" s="16"/>
      <c r="QSD236" s="16"/>
      <c r="QSE236" s="16"/>
      <c r="QSF236" s="16"/>
      <c r="QSG236" s="16"/>
      <c r="QSH236" s="15"/>
      <c r="QSI236" s="15"/>
      <c r="QSJ236" s="10"/>
      <c r="QSK236" s="10"/>
      <c r="QSL236" s="19"/>
      <c r="QSM236" s="19"/>
      <c r="QSP236" s="16"/>
      <c r="QSQ236" s="15"/>
      <c r="QSR236" s="15"/>
      <c r="QSS236" s="15"/>
      <c r="QST236" s="16"/>
      <c r="QSU236" s="16"/>
      <c r="QSV236" s="16"/>
      <c r="QSW236" s="16"/>
      <c r="QSX236" s="16"/>
      <c r="QSY236" s="15"/>
      <c r="QSZ236" s="15"/>
      <c r="QTA236" s="10"/>
      <c r="QTB236" s="10"/>
      <c r="QTC236" s="19"/>
      <c r="QTD236" s="19"/>
      <c r="QTG236" s="16"/>
      <c r="QTH236" s="15"/>
      <c r="QTI236" s="15"/>
      <c r="QTJ236" s="15"/>
      <c r="QTK236" s="16"/>
      <c r="QTL236" s="16"/>
      <c r="QTM236" s="16"/>
      <c r="QTN236" s="16"/>
      <c r="QTO236" s="16"/>
      <c r="QTP236" s="15"/>
      <c r="QTQ236" s="15"/>
      <c r="QTR236" s="10"/>
      <c r="QTS236" s="10"/>
      <c r="QTT236" s="19"/>
      <c r="QTU236" s="19"/>
      <c r="QTX236" s="16"/>
      <c r="QTY236" s="15"/>
      <c r="QTZ236" s="15"/>
      <c r="QUA236" s="15"/>
      <c r="QUB236" s="16"/>
      <c r="QUC236" s="16"/>
      <c r="QUD236" s="16"/>
      <c r="QUE236" s="16"/>
      <c r="QUF236" s="16"/>
      <c r="QUG236" s="15"/>
      <c r="QUH236" s="15"/>
      <c r="QUI236" s="10"/>
      <c r="QUJ236" s="10"/>
      <c r="QUK236" s="19"/>
      <c r="QUL236" s="19"/>
      <c r="QUO236" s="16"/>
      <c r="QUP236" s="15"/>
      <c r="QUQ236" s="15"/>
      <c r="QUR236" s="15"/>
      <c r="QUS236" s="16"/>
      <c r="QUT236" s="16"/>
      <c r="QUU236" s="16"/>
      <c r="QUV236" s="16"/>
      <c r="QUW236" s="16"/>
      <c r="QUX236" s="15"/>
      <c r="QUY236" s="15"/>
      <c r="QUZ236" s="10"/>
      <c r="QVA236" s="10"/>
      <c r="QVB236" s="19"/>
      <c r="QVC236" s="19"/>
      <c r="QVF236" s="16"/>
      <c r="QVG236" s="15"/>
      <c r="QVH236" s="15"/>
      <c r="QVI236" s="15"/>
      <c r="QVJ236" s="16"/>
      <c r="QVK236" s="16"/>
      <c r="QVL236" s="16"/>
      <c r="QVM236" s="16"/>
      <c r="QVN236" s="16"/>
      <c r="QVO236" s="15"/>
      <c r="QVP236" s="15"/>
      <c r="QVQ236" s="10"/>
      <c r="QVR236" s="10"/>
      <c r="QVS236" s="19"/>
      <c r="QVT236" s="19"/>
      <c r="QVW236" s="16"/>
      <c r="QVX236" s="15"/>
      <c r="QVY236" s="15"/>
      <c r="QVZ236" s="15"/>
      <c r="QWA236" s="16"/>
      <c r="QWB236" s="16"/>
      <c r="QWC236" s="16"/>
      <c r="QWD236" s="16"/>
      <c r="QWE236" s="16"/>
      <c r="QWF236" s="15"/>
      <c r="QWG236" s="15"/>
      <c r="QWH236" s="10"/>
      <c r="QWI236" s="10"/>
      <c r="QWJ236" s="19"/>
      <c r="QWK236" s="19"/>
      <c r="QWN236" s="16"/>
      <c r="QWO236" s="15"/>
      <c r="QWP236" s="15"/>
      <c r="QWQ236" s="15"/>
      <c r="QWR236" s="16"/>
      <c r="QWS236" s="16"/>
      <c r="QWT236" s="16"/>
      <c r="QWU236" s="16"/>
      <c r="QWV236" s="16"/>
      <c r="QWW236" s="15"/>
      <c r="QWX236" s="15"/>
      <c r="QWY236" s="10"/>
      <c r="QWZ236" s="10"/>
      <c r="QXA236" s="19"/>
      <c r="QXB236" s="19"/>
      <c r="QXE236" s="16"/>
      <c r="QXF236" s="15"/>
      <c r="QXG236" s="15"/>
      <c r="QXH236" s="15"/>
      <c r="QXI236" s="16"/>
      <c r="QXJ236" s="16"/>
      <c r="QXK236" s="16"/>
      <c r="QXL236" s="16"/>
      <c r="QXM236" s="16"/>
      <c r="QXN236" s="15"/>
      <c r="QXO236" s="15"/>
      <c r="QXP236" s="10"/>
      <c r="QXQ236" s="10"/>
      <c r="QXR236" s="19"/>
      <c r="QXS236" s="19"/>
      <c r="QXV236" s="16"/>
      <c r="QXW236" s="15"/>
      <c r="QXX236" s="15"/>
      <c r="QXY236" s="15"/>
      <c r="QXZ236" s="16"/>
      <c r="QYA236" s="16"/>
      <c r="QYB236" s="16"/>
      <c r="QYC236" s="16"/>
      <c r="QYD236" s="16"/>
      <c r="QYE236" s="15"/>
      <c r="QYF236" s="15"/>
      <c r="QYG236" s="10"/>
      <c r="QYH236" s="10"/>
      <c r="QYI236" s="19"/>
      <c r="QYJ236" s="19"/>
      <c r="QYM236" s="16"/>
      <c r="QYN236" s="15"/>
      <c r="QYO236" s="15"/>
      <c r="QYP236" s="15"/>
      <c r="QYQ236" s="16"/>
      <c r="QYR236" s="16"/>
      <c r="QYS236" s="16"/>
      <c r="QYT236" s="16"/>
      <c r="QYU236" s="16"/>
      <c r="QYV236" s="15"/>
      <c r="QYW236" s="15"/>
      <c r="QYX236" s="10"/>
      <c r="QYY236" s="10"/>
      <c r="QYZ236" s="19"/>
      <c r="QZA236" s="19"/>
      <c r="QZD236" s="16"/>
      <c r="QZE236" s="15"/>
      <c r="QZF236" s="15"/>
      <c r="QZG236" s="15"/>
      <c r="QZH236" s="16"/>
      <c r="QZI236" s="16"/>
      <c r="QZJ236" s="16"/>
      <c r="QZK236" s="16"/>
      <c r="QZL236" s="16"/>
      <c r="QZM236" s="15"/>
      <c r="QZN236" s="15"/>
      <c r="QZO236" s="10"/>
      <c r="QZP236" s="10"/>
      <c r="QZQ236" s="19"/>
      <c r="QZR236" s="19"/>
      <c r="QZU236" s="16"/>
      <c r="QZV236" s="15"/>
      <c r="QZW236" s="15"/>
      <c r="QZX236" s="15"/>
      <c r="QZY236" s="16"/>
      <c r="QZZ236" s="16"/>
      <c r="RAA236" s="16"/>
      <c r="RAB236" s="16"/>
      <c r="RAC236" s="16"/>
      <c r="RAD236" s="15"/>
      <c r="RAE236" s="15"/>
      <c r="RAF236" s="10"/>
      <c r="RAG236" s="10"/>
      <c r="RAH236" s="19"/>
      <c r="RAI236" s="19"/>
      <c r="RAL236" s="16"/>
      <c r="RAM236" s="15"/>
      <c r="RAN236" s="15"/>
      <c r="RAO236" s="15"/>
      <c r="RAP236" s="16"/>
      <c r="RAQ236" s="16"/>
      <c r="RAR236" s="16"/>
      <c r="RAS236" s="16"/>
      <c r="RAT236" s="16"/>
      <c r="RAU236" s="15"/>
      <c r="RAV236" s="15"/>
      <c r="RAW236" s="10"/>
      <c r="RAX236" s="10"/>
      <c r="RAY236" s="19"/>
      <c r="RAZ236" s="19"/>
      <c r="RBC236" s="16"/>
      <c r="RBD236" s="15"/>
      <c r="RBE236" s="15"/>
      <c r="RBF236" s="15"/>
      <c r="RBG236" s="16"/>
      <c r="RBH236" s="16"/>
      <c r="RBI236" s="16"/>
      <c r="RBJ236" s="16"/>
      <c r="RBK236" s="16"/>
      <c r="RBL236" s="15"/>
      <c r="RBM236" s="15"/>
      <c r="RBN236" s="10"/>
      <c r="RBO236" s="10"/>
      <c r="RBP236" s="19"/>
      <c r="RBQ236" s="19"/>
      <c r="RBT236" s="16"/>
      <c r="RBU236" s="15"/>
      <c r="RBV236" s="15"/>
      <c r="RBW236" s="15"/>
      <c r="RBX236" s="16"/>
      <c r="RBY236" s="16"/>
      <c r="RBZ236" s="16"/>
      <c r="RCA236" s="16"/>
      <c r="RCB236" s="16"/>
      <c r="RCC236" s="15"/>
      <c r="RCD236" s="15"/>
      <c r="RCE236" s="10"/>
      <c r="RCF236" s="10"/>
      <c r="RCG236" s="19"/>
      <c r="RCH236" s="19"/>
      <c r="RCK236" s="16"/>
      <c r="RCL236" s="15"/>
      <c r="RCM236" s="15"/>
      <c r="RCN236" s="15"/>
      <c r="RCO236" s="16"/>
      <c r="RCP236" s="16"/>
      <c r="RCQ236" s="16"/>
      <c r="RCR236" s="16"/>
      <c r="RCS236" s="16"/>
      <c r="RCT236" s="15"/>
      <c r="RCU236" s="15"/>
      <c r="RCV236" s="10"/>
      <c r="RCW236" s="10"/>
      <c r="RCX236" s="19"/>
      <c r="RCY236" s="19"/>
      <c r="RDB236" s="16"/>
      <c r="RDC236" s="15"/>
      <c r="RDD236" s="15"/>
      <c r="RDE236" s="15"/>
      <c r="RDF236" s="16"/>
      <c r="RDG236" s="16"/>
      <c r="RDH236" s="16"/>
      <c r="RDI236" s="16"/>
      <c r="RDJ236" s="16"/>
      <c r="RDK236" s="15"/>
      <c r="RDL236" s="15"/>
      <c r="RDM236" s="10"/>
      <c r="RDN236" s="10"/>
      <c r="RDO236" s="19"/>
      <c r="RDP236" s="19"/>
      <c r="RDS236" s="16"/>
      <c r="RDT236" s="15"/>
      <c r="RDU236" s="15"/>
      <c r="RDV236" s="15"/>
      <c r="RDW236" s="16"/>
      <c r="RDX236" s="16"/>
      <c r="RDY236" s="16"/>
      <c r="RDZ236" s="16"/>
      <c r="REA236" s="16"/>
      <c r="REB236" s="15"/>
      <c r="REC236" s="15"/>
      <c r="RED236" s="10"/>
      <c r="REE236" s="10"/>
      <c r="REF236" s="19"/>
      <c r="REG236" s="19"/>
      <c r="REJ236" s="16"/>
      <c r="REK236" s="15"/>
      <c r="REL236" s="15"/>
      <c r="REM236" s="15"/>
      <c r="REN236" s="16"/>
      <c r="REO236" s="16"/>
      <c r="REP236" s="16"/>
      <c r="REQ236" s="16"/>
      <c r="RER236" s="16"/>
      <c r="RES236" s="15"/>
      <c r="RET236" s="15"/>
      <c r="REU236" s="10"/>
      <c r="REV236" s="10"/>
      <c r="REW236" s="19"/>
      <c r="REX236" s="19"/>
      <c r="RFA236" s="16"/>
      <c r="RFB236" s="15"/>
      <c r="RFC236" s="15"/>
      <c r="RFD236" s="15"/>
      <c r="RFE236" s="16"/>
      <c r="RFF236" s="16"/>
      <c r="RFG236" s="16"/>
      <c r="RFH236" s="16"/>
      <c r="RFI236" s="16"/>
      <c r="RFJ236" s="15"/>
      <c r="RFK236" s="15"/>
      <c r="RFL236" s="10"/>
      <c r="RFM236" s="10"/>
      <c r="RFN236" s="19"/>
      <c r="RFO236" s="19"/>
      <c r="RFR236" s="16"/>
      <c r="RFS236" s="15"/>
      <c r="RFT236" s="15"/>
      <c r="RFU236" s="15"/>
      <c r="RFV236" s="16"/>
      <c r="RFW236" s="16"/>
      <c r="RFX236" s="16"/>
      <c r="RFY236" s="16"/>
      <c r="RFZ236" s="16"/>
      <c r="RGA236" s="15"/>
      <c r="RGB236" s="15"/>
      <c r="RGC236" s="10"/>
      <c r="RGD236" s="10"/>
      <c r="RGE236" s="19"/>
      <c r="RGF236" s="19"/>
      <c r="RGI236" s="16"/>
      <c r="RGJ236" s="15"/>
      <c r="RGK236" s="15"/>
      <c r="RGL236" s="15"/>
      <c r="RGM236" s="16"/>
      <c r="RGN236" s="16"/>
      <c r="RGO236" s="16"/>
      <c r="RGP236" s="16"/>
      <c r="RGQ236" s="16"/>
      <c r="RGR236" s="15"/>
      <c r="RGS236" s="15"/>
      <c r="RGT236" s="10"/>
      <c r="RGU236" s="10"/>
      <c r="RGV236" s="19"/>
      <c r="RGW236" s="19"/>
      <c r="RGZ236" s="16"/>
      <c r="RHA236" s="15"/>
      <c r="RHB236" s="15"/>
      <c r="RHC236" s="15"/>
      <c r="RHD236" s="16"/>
      <c r="RHE236" s="16"/>
      <c r="RHF236" s="16"/>
      <c r="RHG236" s="16"/>
      <c r="RHH236" s="16"/>
      <c r="RHI236" s="15"/>
      <c r="RHJ236" s="15"/>
      <c r="RHK236" s="10"/>
      <c r="RHL236" s="10"/>
      <c r="RHM236" s="19"/>
      <c r="RHN236" s="19"/>
      <c r="RHQ236" s="16"/>
      <c r="RHR236" s="15"/>
      <c r="RHS236" s="15"/>
      <c r="RHT236" s="15"/>
      <c r="RHU236" s="16"/>
      <c r="RHV236" s="16"/>
      <c r="RHW236" s="16"/>
      <c r="RHX236" s="16"/>
      <c r="RHY236" s="16"/>
      <c r="RHZ236" s="15"/>
      <c r="RIA236" s="15"/>
      <c r="RIB236" s="10"/>
      <c r="RIC236" s="10"/>
      <c r="RID236" s="19"/>
      <c r="RIE236" s="19"/>
      <c r="RIH236" s="16"/>
      <c r="RII236" s="15"/>
      <c r="RIJ236" s="15"/>
      <c r="RIK236" s="15"/>
      <c r="RIL236" s="16"/>
      <c r="RIM236" s="16"/>
      <c r="RIN236" s="16"/>
      <c r="RIO236" s="16"/>
      <c r="RIP236" s="16"/>
      <c r="RIQ236" s="15"/>
      <c r="RIR236" s="15"/>
      <c r="RIS236" s="10"/>
      <c r="RIT236" s="10"/>
      <c r="RIU236" s="19"/>
      <c r="RIV236" s="19"/>
      <c r="RIY236" s="16"/>
      <c r="RIZ236" s="15"/>
      <c r="RJA236" s="15"/>
      <c r="RJB236" s="15"/>
      <c r="RJC236" s="16"/>
      <c r="RJD236" s="16"/>
      <c r="RJE236" s="16"/>
      <c r="RJF236" s="16"/>
      <c r="RJG236" s="16"/>
      <c r="RJH236" s="15"/>
      <c r="RJI236" s="15"/>
      <c r="RJJ236" s="10"/>
      <c r="RJK236" s="10"/>
      <c r="RJL236" s="19"/>
      <c r="RJM236" s="19"/>
      <c r="RJP236" s="16"/>
      <c r="RJQ236" s="15"/>
      <c r="RJR236" s="15"/>
      <c r="RJS236" s="15"/>
      <c r="RJT236" s="16"/>
      <c r="RJU236" s="16"/>
      <c r="RJV236" s="16"/>
      <c r="RJW236" s="16"/>
      <c r="RJX236" s="16"/>
      <c r="RJY236" s="15"/>
      <c r="RJZ236" s="15"/>
      <c r="RKA236" s="10"/>
      <c r="RKB236" s="10"/>
      <c r="RKC236" s="19"/>
      <c r="RKD236" s="19"/>
      <c r="RKG236" s="16"/>
      <c r="RKH236" s="15"/>
      <c r="RKI236" s="15"/>
      <c r="RKJ236" s="15"/>
      <c r="RKK236" s="16"/>
      <c r="RKL236" s="16"/>
      <c r="RKM236" s="16"/>
      <c r="RKN236" s="16"/>
      <c r="RKO236" s="16"/>
      <c r="RKP236" s="15"/>
      <c r="RKQ236" s="15"/>
      <c r="RKR236" s="10"/>
      <c r="RKS236" s="10"/>
      <c r="RKT236" s="19"/>
      <c r="RKU236" s="19"/>
      <c r="RKX236" s="16"/>
      <c r="RKY236" s="15"/>
      <c r="RKZ236" s="15"/>
      <c r="RLA236" s="15"/>
      <c r="RLB236" s="16"/>
      <c r="RLC236" s="16"/>
      <c r="RLD236" s="16"/>
      <c r="RLE236" s="16"/>
      <c r="RLF236" s="16"/>
      <c r="RLG236" s="15"/>
      <c r="RLH236" s="15"/>
      <c r="RLI236" s="10"/>
      <c r="RLJ236" s="10"/>
      <c r="RLK236" s="19"/>
      <c r="RLL236" s="19"/>
      <c r="RLO236" s="16"/>
      <c r="RLP236" s="15"/>
      <c r="RLQ236" s="15"/>
      <c r="RLR236" s="15"/>
      <c r="RLS236" s="16"/>
      <c r="RLT236" s="16"/>
      <c r="RLU236" s="16"/>
      <c r="RLV236" s="16"/>
      <c r="RLW236" s="16"/>
      <c r="RLX236" s="15"/>
      <c r="RLY236" s="15"/>
      <c r="RLZ236" s="10"/>
      <c r="RMA236" s="10"/>
      <c r="RMB236" s="19"/>
      <c r="RMC236" s="19"/>
      <c r="RMF236" s="16"/>
      <c r="RMG236" s="15"/>
      <c r="RMH236" s="15"/>
      <c r="RMI236" s="15"/>
      <c r="RMJ236" s="16"/>
      <c r="RMK236" s="16"/>
      <c r="RML236" s="16"/>
      <c r="RMM236" s="16"/>
      <c r="RMN236" s="16"/>
      <c r="RMO236" s="15"/>
      <c r="RMP236" s="15"/>
      <c r="RMQ236" s="10"/>
      <c r="RMR236" s="10"/>
      <c r="RMS236" s="19"/>
      <c r="RMT236" s="19"/>
      <c r="RMW236" s="16"/>
      <c r="RMX236" s="15"/>
      <c r="RMY236" s="15"/>
      <c r="RMZ236" s="15"/>
      <c r="RNA236" s="16"/>
      <c r="RNB236" s="16"/>
      <c r="RNC236" s="16"/>
      <c r="RND236" s="16"/>
      <c r="RNE236" s="16"/>
      <c r="RNF236" s="15"/>
      <c r="RNG236" s="15"/>
      <c r="RNH236" s="10"/>
      <c r="RNI236" s="10"/>
      <c r="RNJ236" s="19"/>
      <c r="RNK236" s="19"/>
      <c r="RNN236" s="16"/>
      <c r="RNO236" s="15"/>
      <c r="RNP236" s="15"/>
      <c r="RNQ236" s="15"/>
      <c r="RNR236" s="16"/>
      <c r="RNS236" s="16"/>
      <c r="RNT236" s="16"/>
      <c r="RNU236" s="16"/>
      <c r="RNV236" s="16"/>
      <c r="RNW236" s="15"/>
      <c r="RNX236" s="15"/>
      <c r="RNY236" s="10"/>
      <c r="RNZ236" s="10"/>
      <c r="ROA236" s="19"/>
      <c r="ROB236" s="19"/>
      <c r="ROE236" s="16"/>
      <c r="ROF236" s="15"/>
      <c r="ROG236" s="15"/>
      <c r="ROH236" s="15"/>
      <c r="ROI236" s="16"/>
      <c r="ROJ236" s="16"/>
      <c r="ROK236" s="16"/>
      <c r="ROL236" s="16"/>
      <c r="ROM236" s="16"/>
      <c r="RON236" s="15"/>
      <c r="ROO236" s="15"/>
      <c r="ROP236" s="10"/>
      <c r="ROQ236" s="10"/>
      <c r="ROR236" s="19"/>
      <c r="ROS236" s="19"/>
      <c r="ROV236" s="16"/>
      <c r="ROW236" s="15"/>
      <c r="ROX236" s="15"/>
      <c r="ROY236" s="15"/>
      <c r="ROZ236" s="16"/>
      <c r="RPA236" s="16"/>
      <c r="RPB236" s="16"/>
      <c r="RPC236" s="16"/>
      <c r="RPD236" s="16"/>
      <c r="RPE236" s="15"/>
      <c r="RPF236" s="15"/>
      <c r="RPG236" s="10"/>
      <c r="RPH236" s="10"/>
      <c r="RPI236" s="19"/>
      <c r="RPJ236" s="19"/>
      <c r="RPM236" s="16"/>
      <c r="RPN236" s="15"/>
      <c r="RPO236" s="15"/>
      <c r="RPP236" s="15"/>
      <c r="RPQ236" s="16"/>
      <c r="RPR236" s="16"/>
      <c r="RPS236" s="16"/>
      <c r="RPT236" s="16"/>
      <c r="RPU236" s="16"/>
      <c r="RPV236" s="15"/>
      <c r="RPW236" s="15"/>
      <c r="RPX236" s="10"/>
      <c r="RPY236" s="10"/>
      <c r="RPZ236" s="19"/>
      <c r="RQA236" s="19"/>
      <c r="RQD236" s="16"/>
      <c r="RQE236" s="15"/>
      <c r="RQF236" s="15"/>
      <c r="RQG236" s="15"/>
      <c r="RQH236" s="16"/>
      <c r="RQI236" s="16"/>
      <c r="RQJ236" s="16"/>
      <c r="RQK236" s="16"/>
      <c r="RQL236" s="16"/>
      <c r="RQM236" s="15"/>
      <c r="RQN236" s="15"/>
      <c r="RQO236" s="10"/>
      <c r="RQP236" s="10"/>
      <c r="RQQ236" s="19"/>
      <c r="RQR236" s="19"/>
      <c r="RQU236" s="16"/>
      <c r="RQV236" s="15"/>
      <c r="RQW236" s="15"/>
      <c r="RQX236" s="15"/>
      <c r="RQY236" s="16"/>
      <c r="RQZ236" s="16"/>
      <c r="RRA236" s="16"/>
      <c r="RRB236" s="16"/>
      <c r="RRC236" s="16"/>
      <c r="RRD236" s="15"/>
      <c r="RRE236" s="15"/>
      <c r="RRF236" s="10"/>
      <c r="RRG236" s="10"/>
      <c r="RRH236" s="19"/>
      <c r="RRI236" s="19"/>
      <c r="RRL236" s="16"/>
      <c r="RRM236" s="15"/>
      <c r="RRN236" s="15"/>
      <c r="RRO236" s="15"/>
      <c r="RRP236" s="16"/>
      <c r="RRQ236" s="16"/>
      <c r="RRR236" s="16"/>
      <c r="RRS236" s="16"/>
      <c r="RRT236" s="16"/>
      <c r="RRU236" s="15"/>
      <c r="RRV236" s="15"/>
      <c r="RRW236" s="10"/>
      <c r="RRX236" s="10"/>
      <c r="RRY236" s="19"/>
      <c r="RRZ236" s="19"/>
      <c r="RSC236" s="16"/>
      <c r="RSD236" s="15"/>
      <c r="RSE236" s="15"/>
      <c r="RSF236" s="15"/>
      <c r="RSG236" s="16"/>
      <c r="RSH236" s="16"/>
      <c r="RSI236" s="16"/>
      <c r="RSJ236" s="16"/>
      <c r="RSK236" s="16"/>
      <c r="RSL236" s="15"/>
      <c r="RSM236" s="15"/>
      <c r="RSN236" s="10"/>
      <c r="RSO236" s="10"/>
      <c r="RSP236" s="19"/>
      <c r="RSQ236" s="19"/>
      <c r="RST236" s="16"/>
      <c r="RSU236" s="15"/>
      <c r="RSV236" s="15"/>
      <c r="RSW236" s="15"/>
      <c r="RSX236" s="16"/>
      <c r="RSY236" s="16"/>
      <c r="RSZ236" s="16"/>
      <c r="RTA236" s="16"/>
      <c r="RTB236" s="16"/>
      <c r="RTC236" s="15"/>
      <c r="RTD236" s="15"/>
      <c r="RTE236" s="10"/>
      <c r="RTF236" s="10"/>
      <c r="RTG236" s="19"/>
      <c r="RTH236" s="19"/>
      <c r="RTK236" s="16"/>
      <c r="RTL236" s="15"/>
      <c r="RTM236" s="15"/>
      <c r="RTN236" s="15"/>
      <c r="RTO236" s="16"/>
      <c r="RTP236" s="16"/>
      <c r="RTQ236" s="16"/>
      <c r="RTR236" s="16"/>
      <c r="RTS236" s="16"/>
      <c r="RTT236" s="15"/>
      <c r="RTU236" s="15"/>
      <c r="RTV236" s="10"/>
      <c r="RTW236" s="10"/>
      <c r="RTX236" s="19"/>
      <c r="RTY236" s="19"/>
      <c r="RUB236" s="16"/>
      <c r="RUC236" s="15"/>
      <c r="RUD236" s="15"/>
      <c r="RUE236" s="15"/>
      <c r="RUF236" s="16"/>
      <c r="RUG236" s="16"/>
      <c r="RUH236" s="16"/>
      <c r="RUI236" s="16"/>
      <c r="RUJ236" s="16"/>
      <c r="RUK236" s="15"/>
      <c r="RUL236" s="15"/>
      <c r="RUM236" s="10"/>
      <c r="RUN236" s="10"/>
      <c r="RUO236" s="19"/>
      <c r="RUP236" s="19"/>
      <c r="RUS236" s="16"/>
      <c r="RUT236" s="15"/>
      <c r="RUU236" s="15"/>
      <c r="RUV236" s="15"/>
      <c r="RUW236" s="16"/>
      <c r="RUX236" s="16"/>
      <c r="RUY236" s="16"/>
      <c r="RUZ236" s="16"/>
      <c r="RVA236" s="16"/>
      <c r="RVB236" s="15"/>
      <c r="RVC236" s="15"/>
      <c r="RVD236" s="10"/>
      <c r="RVE236" s="10"/>
      <c r="RVF236" s="19"/>
      <c r="RVG236" s="19"/>
      <c r="RVJ236" s="16"/>
      <c r="RVK236" s="15"/>
      <c r="RVL236" s="15"/>
      <c r="RVM236" s="15"/>
      <c r="RVN236" s="16"/>
      <c r="RVO236" s="16"/>
      <c r="RVP236" s="16"/>
      <c r="RVQ236" s="16"/>
      <c r="RVR236" s="16"/>
      <c r="RVS236" s="15"/>
      <c r="RVT236" s="15"/>
      <c r="RVU236" s="10"/>
      <c r="RVV236" s="10"/>
      <c r="RVW236" s="19"/>
      <c r="RVX236" s="19"/>
      <c r="RWA236" s="16"/>
      <c r="RWB236" s="15"/>
      <c r="RWC236" s="15"/>
      <c r="RWD236" s="15"/>
      <c r="RWE236" s="16"/>
      <c r="RWF236" s="16"/>
      <c r="RWG236" s="16"/>
      <c r="RWH236" s="16"/>
      <c r="RWI236" s="16"/>
      <c r="RWJ236" s="15"/>
      <c r="RWK236" s="15"/>
      <c r="RWL236" s="10"/>
      <c r="RWM236" s="10"/>
      <c r="RWN236" s="19"/>
      <c r="RWO236" s="19"/>
      <c r="RWR236" s="16"/>
      <c r="RWS236" s="15"/>
      <c r="RWT236" s="15"/>
      <c r="RWU236" s="15"/>
      <c r="RWV236" s="16"/>
      <c r="RWW236" s="16"/>
      <c r="RWX236" s="16"/>
      <c r="RWY236" s="16"/>
      <c r="RWZ236" s="16"/>
      <c r="RXA236" s="15"/>
      <c r="RXB236" s="15"/>
      <c r="RXC236" s="10"/>
      <c r="RXD236" s="10"/>
      <c r="RXE236" s="19"/>
      <c r="RXF236" s="19"/>
      <c r="RXI236" s="16"/>
      <c r="RXJ236" s="15"/>
      <c r="RXK236" s="15"/>
      <c r="RXL236" s="15"/>
      <c r="RXM236" s="16"/>
      <c r="RXN236" s="16"/>
      <c r="RXO236" s="16"/>
      <c r="RXP236" s="16"/>
      <c r="RXQ236" s="16"/>
      <c r="RXR236" s="15"/>
      <c r="RXS236" s="15"/>
      <c r="RXT236" s="10"/>
      <c r="RXU236" s="10"/>
      <c r="RXV236" s="19"/>
      <c r="RXW236" s="19"/>
      <c r="RXZ236" s="16"/>
      <c r="RYA236" s="15"/>
      <c r="RYB236" s="15"/>
      <c r="RYC236" s="15"/>
      <c r="RYD236" s="16"/>
      <c r="RYE236" s="16"/>
      <c r="RYF236" s="16"/>
      <c r="RYG236" s="16"/>
      <c r="RYH236" s="16"/>
      <c r="RYI236" s="15"/>
      <c r="RYJ236" s="15"/>
      <c r="RYK236" s="10"/>
      <c r="RYL236" s="10"/>
      <c r="RYM236" s="19"/>
      <c r="RYN236" s="19"/>
      <c r="RYQ236" s="16"/>
      <c r="RYR236" s="15"/>
      <c r="RYS236" s="15"/>
      <c r="RYT236" s="15"/>
      <c r="RYU236" s="16"/>
      <c r="RYV236" s="16"/>
      <c r="RYW236" s="16"/>
      <c r="RYX236" s="16"/>
      <c r="RYY236" s="16"/>
      <c r="RYZ236" s="15"/>
      <c r="RZA236" s="15"/>
      <c r="RZB236" s="10"/>
      <c r="RZC236" s="10"/>
      <c r="RZD236" s="19"/>
      <c r="RZE236" s="19"/>
      <c r="RZH236" s="16"/>
      <c r="RZI236" s="15"/>
      <c r="RZJ236" s="15"/>
      <c r="RZK236" s="15"/>
      <c r="RZL236" s="16"/>
      <c r="RZM236" s="16"/>
      <c r="RZN236" s="16"/>
      <c r="RZO236" s="16"/>
      <c r="RZP236" s="16"/>
      <c r="RZQ236" s="15"/>
      <c r="RZR236" s="15"/>
      <c r="RZS236" s="10"/>
      <c r="RZT236" s="10"/>
      <c r="RZU236" s="19"/>
      <c r="RZV236" s="19"/>
      <c r="RZY236" s="16"/>
      <c r="RZZ236" s="15"/>
      <c r="SAA236" s="15"/>
      <c r="SAB236" s="15"/>
      <c r="SAC236" s="16"/>
      <c r="SAD236" s="16"/>
      <c r="SAE236" s="16"/>
      <c r="SAF236" s="16"/>
      <c r="SAG236" s="16"/>
      <c r="SAH236" s="15"/>
      <c r="SAI236" s="15"/>
      <c r="SAJ236" s="10"/>
      <c r="SAK236" s="10"/>
      <c r="SAL236" s="19"/>
      <c r="SAM236" s="19"/>
      <c r="SAP236" s="16"/>
      <c r="SAQ236" s="15"/>
      <c r="SAR236" s="15"/>
      <c r="SAS236" s="15"/>
      <c r="SAT236" s="16"/>
      <c r="SAU236" s="16"/>
      <c r="SAV236" s="16"/>
      <c r="SAW236" s="16"/>
      <c r="SAX236" s="16"/>
      <c r="SAY236" s="15"/>
      <c r="SAZ236" s="15"/>
      <c r="SBA236" s="10"/>
      <c r="SBB236" s="10"/>
      <c r="SBC236" s="19"/>
      <c r="SBD236" s="19"/>
      <c r="SBG236" s="16"/>
      <c r="SBH236" s="15"/>
      <c r="SBI236" s="15"/>
      <c r="SBJ236" s="15"/>
      <c r="SBK236" s="16"/>
      <c r="SBL236" s="16"/>
      <c r="SBM236" s="16"/>
      <c r="SBN236" s="16"/>
      <c r="SBO236" s="16"/>
      <c r="SBP236" s="15"/>
      <c r="SBQ236" s="15"/>
      <c r="SBR236" s="10"/>
      <c r="SBS236" s="10"/>
      <c r="SBT236" s="19"/>
      <c r="SBU236" s="19"/>
      <c r="SBX236" s="16"/>
      <c r="SBY236" s="15"/>
      <c r="SBZ236" s="15"/>
      <c r="SCA236" s="15"/>
      <c r="SCB236" s="16"/>
      <c r="SCC236" s="16"/>
      <c r="SCD236" s="16"/>
      <c r="SCE236" s="16"/>
      <c r="SCF236" s="16"/>
      <c r="SCG236" s="15"/>
      <c r="SCH236" s="15"/>
      <c r="SCI236" s="10"/>
      <c r="SCJ236" s="10"/>
      <c r="SCK236" s="19"/>
      <c r="SCL236" s="19"/>
      <c r="SCO236" s="16"/>
      <c r="SCP236" s="15"/>
      <c r="SCQ236" s="15"/>
      <c r="SCR236" s="15"/>
      <c r="SCS236" s="16"/>
      <c r="SCT236" s="16"/>
      <c r="SCU236" s="16"/>
      <c r="SCV236" s="16"/>
      <c r="SCW236" s="16"/>
      <c r="SCX236" s="15"/>
      <c r="SCY236" s="15"/>
      <c r="SCZ236" s="10"/>
      <c r="SDA236" s="10"/>
      <c r="SDB236" s="19"/>
      <c r="SDC236" s="19"/>
      <c r="SDF236" s="16"/>
      <c r="SDG236" s="15"/>
      <c r="SDH236" s="15"/>
      <c r="SDI236" s="15"/>
      <c r="SDJ236" s="16"/>
      <c r="SDK236" s="16"/>
      <c r="SDL236" s="16"/>
      <c r="SDM236" s="16"/>
      <c r="SDN236" s="16"/>
      <c r="SDO236" s="15"/>
      <c r="SDP236" s="15"/>
      <c r="SDQ236" s="10"/>
      <c r="SDR236" s="10"/>
      <c r="SDS236" s="19"/>
      <c r="SDT236" s="19"/>
      <c r="SDW236" s="16"/>
      <c r="SDX236" s="15"/>
      <c r="SDY236" s="15"/>
      <c r="SDZ236" s="15"/>
      <c r="SEA236" s="16"/>
      <c r="SEB236" s="16"/>
      <c r="SEC236" s="16"/>
      <c r="SED236" s="16"/>
      <c r="SEE236" s="16"/>
      <c r="SEF236" s="15"/>
      <c r="SEG236" s="15"/>
      <c r="SEH236" s="10"/>
      <c r="SEI236" s="10"/>
      <c r="SEJ236" s="19"/>
      <c r="SEK236" s="19"/>
      <c r="SEN236" s="16"/>
      <c r="SEO236" s="15"/>
      <c r="SEP236" s="15"/>
      <c r="SEQ236" s="15"/>
      <c r="SER236" s="16"/>
      <c r="SES236" s="16"/>
      <c r="SET236" s="16"/>
      <c r="SEU236" s="16"/>
      <c r="SEV236" s="16"/>
      <c r="SEW236" s="15"/>
      <c r="SEX236" s="15"/>
      <c r="SEY236" s="10"/>
      <c r="SEZ236" s="10"/>
      <c r="SFA236" s="19"/>
      <c r="SFB236" s="19"/>
      <c r="SFE236" s="16"/>
      <c r="SFF236" s="15"/>
      <c r="SFG236" s="15"/>
      <c r="SFH236" s="15"/>
      <c r="SFI236" s="16"/>
      <c r="SFJ236" s="16"/>
      <c r="SFK236" s="16"/>
      <c r="SFL236" s="16"/>
      <c r="SFM236" s="16"/>
      <c r="SFN236" s="15"/>
      <c r="SFO236" s="15"/>
      <c r="SFP236" s="10"/>
      <c r="SFQ236" s="10"/>
      <c r="SFR236" s="19"/>
      <c r="SFS236" s="19"/>
      <c r="SFV236" s="16"/>
      <c r="SFW236" s="15"/>
      <c r="SFX236" s="15"/>
      <c r="SFY236" s="15"/>
      <c r="SFZ236" s="16"/>
      <c r="SGA236" s="16"/>
      <c r="SGB236" s="16"/>
      <c r="SGC236" s="16"/>
      <c r="SGD236" s="16"/>
      <c r="SGE236" s="15"/>
      <c r="SGF236" s="15"/>
      <c r="SGG236" s="10"/>
      <c r="SGH236" s="10"/>
      <c r="SGI236" s="19"/>
      <c r="SGJ236" s="19"/>
      <c r="SGM236" s="16"/>
      <c r="SGN236" s="15"/>
      <c r="SGO236" s="15"/>
      <c r="SGP236" s="15"/>
      <c r="SGQ236" s="16"/>
      <c r="SGR236" s="16"/>
      <c r="SGS236" s="16"/>
      <c r="SGT236" s="16"/>
      <c r="SGU236" s="16"/>
      <c r="SGV236" s="15"/>
      <c r="SGW236" s="15"/>
      <c r="SGX236" s="10"/>
      <c r="SGY236" s="10"/>
      <c r="SGZ236" s="19"/>
      <c r="SHA236" s="19"/>
      <c r="SHD236" s="16"/>
      <c r="SHE236" s="15"/>
      <c r="SHF236" s="15"/>
      <c r="SHG236" s="15"/>
      <c r="SHH236" s="16"/>
      <c r="SHI236" s="16"/>
      <c r="SHJ236" s="16"/>
      <c r="SHK236" s="16"/>
      <c r="SHL236" s="16"/>
      <c r="SHM236" s="15"/>
      <c r="SHN236" s="15"/>
      <c r="SHO236" s="10"/>
      <c r="SHP236" s="10"/>
      <c r="SHQ236" s="19"/>
      <c r="SHR236" s="19"/>
      <c r="SHU236" s="16"/>
      <c r="SHV236" s="15"/>
      <c r="SHW236" s="15"/>
      <c r="SHX236" s="15"/>
      <c r="SHY236" s="16"/>
      <c r="SHZ236" s="16"/>
      <c r="SIA236" s="16"/>
      <c r="SIB236" s="16"/>
      <c r="SIC236" s="16"/>
      <c r="SID236" s="15"/>
      <c r="SIE236" s="15"/>
      <c r="SIF236" s="10"/>
      <c r="SIG236" s="10"/>
      <c r="SIH236" s="19"/>
      <c r="SII236" s="19"/>
      <c r="SIL236" s="16"/>
      <c r="SIM236" s="15"/>
      <c r="SIN236" s="15"/>
      <c r="SIO236" s="15"/>
      <c r="SIP236" s="16"/>
      <c r="SIQ236" s="16"/>
      <c r="SIR236" s="16"/>
      <c r="SIS236" s="16"/>
      <c r="SIT236" s="16"/>
      <c r="SIU236" s="15"/>
      <c r="SIV236" s="15"/>
      <c r="SIW236" s="10"/>
      <c r="SIX236" s="10"/>
      <c r="SIY236" s="19"/>
      <c r="SIZ236" s="19"/>
      <c r="SJC236" s="16"/>
      <c r="SJD236" s="15"/>
      <c r="SJE236" s="15"/>
      <c r="SJF236" s="15"/>
      <c r="SJG236" s="16"/>
      <c r="SJH236" s="16"/>
      <c r="SJI236" s="16"/>
      <c r="SJJ236" s="16"/>
      <c r="SJK236" s="16"/>
      <c r="SJL236" s="15"/>
      <c r="SJM236" s="15"/>
      <c r="SJN236" s="10"/>
      <c r="SJO236" s="10"/>
      <c r="SJP236" s="19"/>
      <c r="SJQ236" s="19"/>
      <c r="SJT236" s="16"/>
      <c r="SJU236" s="15"/>
      <c r="SJV236" s="15"/>
      <c r="SJW236" s="15"/>
      <c r="SJX236" s="16"/>
      <c r="SJY236" s="16"/>
      <c r="SJZ236" s="16"/>
      <c r="SKA236" s="16"/>
      <c r="SKB236" s="16"/>
      <c r="SKC236" s="15"/>
      <c r="SKD236" s="15"/>
      <c r="SKE236" s="10"/>
      <c r="SKF236" s="10"/>
      <c r="SKG236" s="19"/>
      <c r="SKH236" s="19"/>
      <c r="SKK236" s="16"/>
      <c r="SKL236" s="15"/>
      <c r="SKM236" s="15"/>
      <c r="SKN236" s="15"/>
      <c r="SKO236" s="16"/>
      <c r="SKP236" s="16"/>
      <c r="SKQ236" s="16"/>
      <c r="SKR236" s="16"/>
      <c r="SKS236" s="16"/>
      <c r="SKT236" s="15"/>
      <c r="SKU236" s="15"/>
      <c r="SKV236" s="10"/>
      <c r="SKW236" s="10"/>
      <c r="SKX236" s="19"/>
      <c r="SKY236" s="19"/>
      <c r="SLB236" s="16"/>
      <c r="SLC236" s="15"/>
      <c r="SLD236" s="15"/>
      <c r="SLE236" s="15"/>
      <c r="SLF236" s="16"/>
      <c r="SLG236" s="16"/>
      <c r="SLH236" s="16"/>
      <c r="SLI236" s="16"/>
      <c r="SLJ236" s="16"/>
      <c r="SLK236" s="15"/>
      <c r="SLL236" s="15"/>
      <c r="SLM236" s="10"/>
      <c r="SLN236" s="10"/>
      <c r="SLO236" s="19"/>
      <c r="SLP236" s="19"/>
      <c r="SLS236" s="16"/>
      <c r="SLT236" s="15"/>
      <c r="SLU236" s="15"/>
      <c r="SLV236" s="15"/>
      <c r="SLW236" s="16"/>
      <c r="SLX236" s="16"/>
      <c r="SLY236" s="16"/>
      <c r="SLZ236" s="16"/>
      <c r="SMA236" s="16"/>
      <c r="SMB236" s="15"/>
      <c r="SMC236" s="15"/>
      <c r="SMD236" s="10"/>
      <c r="SME236" s="10"/>
      <c r="SMF236" s="19"/>
      <c r="SMG236" s="19"/>
      <c r="SMJ236" s="16"/>
      <c r="SMK236" s="15"/>
      <c r="SML236" s="15"/>
      <c r="SMM236" s="15"/>
      <c r="SMN236" s="16"/>
      <c r="SMO236" s="16"/>
      <c r="SMP236" s="16"/>
      <c r="SMQ236" s="16"/>
      <c r="SMR236" s="16"/>
      <c r="SMS236" s="15"/>
      <c r="SMT236" s="15"/>
      <c r="SMU236" s="10"/>
      <c r="SMV236" s="10"/>
      <c r="SMW236" s="19"/>
      <c r="SMX236" s="19"/>
      <c r="SNA236" s="16"/>
      <c r="SNB236" s="15"/>
      <c r="SNC236" s="15"/>
      <c r="SND236" s="15"/>
      <c r="SNE236" s="16"/>
      <c r="SNF236" s="16"/>
      <c r="SNG236" s="16"/>
      <c r="SNH236" s="16"/>
      <c r="SNI236" s="16"/>
      <c r="SNJ236" s="15"/>
      <c r="SNK236" s="15"/>
      <c r="SNL236" s="10"/>
      <c r="SNM236" s="10"/>
      <c r="SNN236" s="19"/>
      <c r="SNO236" s="19"/>
      <c r="SNR236" s="16"/>
      <c r="SNS236" s="15"/>
      <c r="SNT236" s="15"/>
      <c r="SNU236" s="15"/>
      <c r="SNV236" s="16"/>
      <c r="SNW236" s="16"/>
      <c r="SNX236" s="16"/>
      <c r="SNY236" s="16"/>
      <c r="SNZ236" s="16"/>
      <c r="SOA236" s="15"/>
      <c r="SOB236" s="15"/>
      <c r="SOC236" s="10"/>
      <c r="SOD236" s="10"/>
      <c r="SOE236" s="19"/>
      <c r="SOF236" s="19"/>
      <c r="SOI236" s="16"/>
      <c r="SOJ236" s="15"/>
      <c r="SOK236" s="15"/>
      <c r="SOL236" s="15"/>
      <c r="SOM236" s="16"/>
      <c r="SON236" s="16"/>
      <c r="SOO236" s="16"/>
      <c r="SOP236" s="16"/>
      <c r="SOQ236" s="16"/>
      <c r="SOR236" s="15"/>
      <c r="SOS236" s="15"/>
      <c r="SOT236" s="10"/>
      <c r="SOU236" s="10"/>
      <c r="SOV236" s="19"/>
      <c r="SOW236" s="19"/>
      <c r="SOZ236" s="16"/>
      <c r="SPA236" s="15"/>
      <c r="SPB236" s="15"/>
      <c r="SPC236" s="15"/>
      <c r="SPD236" s="16"/>
      <c r="SPE236" s="16"/>
      <c r="SPF236" s="16"/>
      <c r="SPG236" s="16"/>
      <c r="SPH236" s="16"/>
      <c r="SPI236" s="15"/>
      <c r="SPJ236" s="15"/>
      <c r="SPK236" s="10"/>
      <c r="SPL236" s="10"/>
      <c r="SPM236" s="19"/>
      <c r="SPN236" s="19"/>
      <c r="SPQ236" s="16"/>
      <c r="SPR236" s="15"/>
      <c r="SPS236" s="15"/>
      <c r="SPT236" s="15"/>
      <c r="SPU236" s="16"/>
      <c r="SPV236" s="16"/>
      <c r="SPW236" s="16"/>
      <c r="SPX236" s="16"/>
      <c r="SPY236" s="16"/>
      <c r="SPZ236" s="15"/>
      <c r="SQA236" s="15"/>
      <c r="SQB236" s="10"/>
      <c r="SQC236" s="10"/>
      <c r="SQD236" s="19"/>
      <c r="SQE236" s="19"/>
      <c r="SQH236" s="16"/>
      <c r="SQI236" s="15"/>
      <c r="SQJ236" s="15"/>
      <c r="SQK236" s="15"/>
      <c r="SQL236" s="16"/>
      <c r="SQM236" s="16"/>
      <c r="SQN236" s="16"/>
      <c r="SQO236" s="16"/>
      <c r="SQP236" s="16"/>
      <c r="SQQ236" s="15"/>
      <c r="SQR236" s="15"/>
      <c r="SQS236" s="10"/>
      <c r="SQT236" s="10"/>
      <c r="SQU236" s="19"/>
      <c r="SQV236" s="19"/>
      <c r="SQY236" s="16"/>
      <c r="SQZ236" s="15"/>
      <c r="SRA236" s="15"/>
      <c r="SRB236" s="15"/>
      <c r="SRC236" s="16"/>
      <c r="SRD236" s="16"/>
      <c r="SRE236" s="16"/>
      <c r="SRF236" s="16"/>
      <c r="SRG236" s="16"/>
      <c r="SRH236" s="15"/>
      <c r="SRI236" s="15"/>
      <c r="SRJ236" s="10"/>
      <c r="SRK236" s="10"/>
      <c r="SRL236" s="19"/>
      <c r="SRM236" s="19"/>
      <c r="SRP236" s="16"/>
      <c r="SRQ236" s="15"/>
      <c r="SRR236" s="15"/>
      <c r="SRS236" s="15"/>
      <c r="SRT236" s="16"/>
      <c r="SRU236" s="16"/>
      <c r="SRV236" s="16"/>
      <c r="SRW236" s="16"/>
      <c r="SRX236" s="16"/>
      <c r="SRY236" s="15"/>
      <c r="SRZ236" s="15"/>
      <c r="SSA236" s="10"/>
      <c r="SSB236" s="10"/>
      <c r="SSC236" s="19"/>
      <c r="SSD236" s="19"/>
      <c r="SSG236" s="16"/>
      <c r="SSH236" s="15"/>
      <c r="SSI236" s="15"/>
      <c r="SSJ236" s="15"/>
      <c r="SSK236" s="16"/>
      <c r="SSL236" s="16"/>
      <c r="SSM236" s="16"/>
      <c r="SSN236" s="16"/>
      <c r="SSO236" s="16"/>
      <c r="SSP236" s="15"/>
      <c r="SSQ236" s="15"/>
      <c r="SSR236" s="10"/>
      <c r="SSS236" s="10"/>
      <c r="SST236" s="19"/>
      <c r="SSU236" s="19"/>
      <c r="SSX236" s="16"/>
      <c r="SSY236" s="15"/>
      <c r="SSZ236" s="15"/>
      <c r="STA236" s="15"/>
      <c r="STB236" s="16"/>
      <c r="STC236" s="16"/>
      <c r="STD236" s="16"/>
      <c r="STE236" s="16"/>
      <c r="STF236" s="16"/>
      <c r="STG236" s="15"/>
      <c r="STH236" s="15"/>
      <c r="STI236" s="10"/>
      <c r="STJ236" s="10"/>
      <c r="STK236" s="19"/>
      <c r="STL236" s="19"/>
      <c r="STO236" s="16"/>
      <c r="STP236" s="15"/>
      <c r="STQ236" s="15"/>
      <c r="STR236" s="15"/>
      <c r="STS236" s="16"/>
      <c r="STT236" s="16"/>
      <c r="STU236" s="16"/>
      <c r="STV236" s="16"/>
      <c r="STW236" s="16"/>
      <c r="STX236" s="15"/>
      <c r="STY236" s="15"/>
      <c r="STZ236" s="10"/>
      <c r="SUA236" s="10"/>
      <c r="SUB236" s="19"/>
      <c r="SUC236" s="19"/>
      <c r="SUF236" s="16"/>
      <c r="SUG236" s="15"/>
      <c r="SUH236" s="15"/>
      <c r="SUI236" s="15"/>
      <c r="SUJ236" s="16"/>
      <c r="SUK236" s="16"/>
      <c r="SUL236" s="16"/>
      <c r="SUM236" s="16"/>
      <c r="SUN236" s="16"/>
      <c r="SUO236" s="15"/>
      <c r="SUP236" s="15"/>
      <c r="SUQ236" s="10"/>
      <c r="SUR236" s="10"/>
      <c r="SUS236" s="19"/>
      <c r="SUT236" s="19"/>
      <c r="SUW236" s="16"/>
      <c r="SUX236" s="15"/>
      <c r="SUY236" s="15"/>
      <c r="SUZ236" s="15"/>
      <c r="SVA236" s="16"/>
      <c r="SVB236" s="16"/>
      <c r="SVC236" s="16"/>
      <c r="SVD236" s="16"/>
      <c r="SVE236" s="16"/>
      <c r="SVF236" s="15"/>
      <c r="SVG236" s="15"/>
      <c r="SVH236" s="10"/>
      <c r="SVI236" s="10"/>
      <c r="SVJ236" s="19"/>
      <c r="SVK236" s="19"/>
      <c r="SVN236" s="16"/>
      <c r="SVO236" s="15"/>
      <c r="SVP236" s="15"/>
      <c r="SVQ236" s="15"/>
      <c r="SVR236" s="16"/>
      <c r="SVS236" s="16"/>
      <c r="SVT236" s="16"/>
      <c r="SVU236" s="16"/>
      <c r="SVV236" s="16"/>
      <c r="SVW236" s="15"/>
      <c r="SVX236" s="15"/>
      <c r="SVY236" s="10"/>
      <c r="SVZ236" s="10"/>
      <c r="SWA236" s="19"/>
      <c r="SWB236" s="19"/>
      <c r="SWE236" s="16"/>
      <c r="SWF236" s="15"/>
      <c r="SWG236" s="15"/>
      <c r="SWH236" s="15"/>
      <c r="SWI236" s="16"/>
      <c r="SWJ236" s="16"/>
      <c r="SWK236" s="16"/>
      <c r="SWL236" s="16"/>
      <c r="SWM236" s="16"/>
      <c r="SWN236" s="15"/>
      <c r="SWO236" s="15"/>
      <c r="SWP236" s="10"/>
      <c r="SWQ236" s="10"/>
      <c r="SWR236" s="19"/>
      <c r="SWS236" s="19"/>
      <c r="SWV236" s="16"/>
      <c r="SWW236" s="15"/>
      <c r="SWX236" s="15"/>
      <c r="SWY236" s="15"/>
      <c r="SWZ236" s="16"/>
      <c r="SXA236" s="16"/>
      <c r="SXB236" s="16"/>
      <c r="SXC236" s="16"/>
      <c r="SXD236" s="16"/>
      <c r="SXE236" s="15"/>
      <c r="SXF236" s="15"/>
      <c r="SXG236" s="10"/>
      <c r="SXH236" s="10"/>
      <c r="SXI236" s="19"/>
      <c r="SXJ236" s="19"/>
      <c r="SXM236" s="16"/>
      <c r="SXN236" s="15"/>
      <c r="SXO236" s="15"/>
      <c r="SXP236" s="15"/>
      <c r="SXQ236" s="16"/>
      <c r="SXR236" s="16"/>
      <c r="SXS236" s="16"/>
      <c r="SXT236" s="16"/>
      <c r="SXU236" s="16"/>
      <c r="SXV236" s="15"/>
      <c r="SXW236" s="15"/>
      <c r="SXX236" s="10"/>
      <c r="SXY236" s="10"/>
      <c r="SXZ236" s="19"/>
      <c r="SYA236" s="19"/>
      <c r="SYD236" s="16"/>
      <c r="SYE236" s="15"/>
      <c r="SYF236" s="15"/>
      <c r="SYG236" s="15"/>
      <c r="SYH236" s="16"/>
      <c r="SYI236" s="16"/>
      <c r="SYJ236" s="16"/>
      <c r="SYK236" s="16"/>
      <c r="SYL236" s="16"/>
      <c r="SYM236" s="15"/>
      <c r="SYN236" s="15"/>
      <c r="SYO236" s="10"/>
      <c r="SYP236" s="10"/>
      <c r="SYQ236" s="19"/>
      <c r="SYR236" s="19"/>
      <c r="SYU236" s="16"/>
      <c r="SYV236" s="15"/>
      <c r="SYW236" s="15"/>
      <c r="SYX236" s="15"/>
      <c r="SYY236" s="16"/>
      <c r="SYZ236" s="16"/>
      <c r="SZA236" s="16"/>
      <c r="SZB236" s="16"/>
      <c r="SZC236" s="16"/>
      <c r="SZD236" s="15"/>
      <c r="SZE236" s="15"/>
      <c r="SZF236" s="10"/>
      <c r="SZG236" s="10"/>
      <c r="SZH236" s="19"/>
      <c r="SZI236" s="19"/>
      <c r="SZL236" s="16"/>
      <c r="SZM236" s="15"/>
      <c r="SZN236" s="15"/>
      <c r="SZO236" s="15"/>
      <c r="SZP236" s="16"/>
      <c r="SZQ236" s="16"/>
      <c r="SZR236" s="16"/>
      <c r="SZS236" s="16"/>
      <c r="SZT236" s="16"/>
      <c r="SZU236" s="15"/>
      <c r="SZV236" s="15"/>
      <c r="SZW236" s="10"/>
      <c r="SZX236" s="10"/>
      <c r="SZY236" s="19"/>
      <c r="SZZ236" s="19"/>
      <c r="TAC236" s="16"/>
      <c r="TAD236" s="15"/>
      <c r="TAE236" s="15"/>
      <c r="TAF236" s="15"/>
      <c r="TAG236" s="16"/>
      <c r="TAH236" s="16"/>
      <c r="TAI236" s="16"/>
      <c r="TAJ236" s="16"/>
      <c r="TAK236" s="16"/>
      <c r="TAL236" s="15"/>
      <c r="TAM236" s="15"/>
      <c r="TAN236" s="10"/>
      <c r="TAO236" s="10"/>
      <c r="TAP236" s="19"/>
      <c r="TAQ236" s="19"/>
      <c r="TAT236" s="16"/>
      <c r="TAU236" s="15"/>
      <c r="TAV236" s="15"/>
      <c r="TAW236" s="15"/>
      <c r="TAX236" s="16"/>
      <c r="TAY236" s="16"/>
      <c r="TAZ236" s="16"/>
      <c r="TBA236" s="16"/>
      <c r="TBB236" s="16"/>
      <c r="TBC236" s="15"/>
      <c r="TBD236" s="15"/>
      <c r="TBE236" s="10"/>
      <c r="TBF236" s="10"/>
      <c r="TBG236" s="19"/>
      <c r="TBH236" s="19"/>
      <c r="TBK236" s="16"/>
      <c r="TBL236" s="15"/>
      <c r="TBM236" s="15"/>
      <c r="TBN236" s="15"/>
      <c r="TBO236" s="16"/>
      <c r="TBP236" s="16"/>
      <c r="TBQ236" s="16"/>
      <c r="TBR236" s="16"/>
      <c r="TBS236" s="16"/>
      <c r="TBT236" s="15"/>
      <c r="TBU236" s="15"/>
      <c r="TBV236" s="10"/>
      <c r="TBW236" s="10"/>
      <c r="TBX236" s="19"/>
      <c r="TBY236" s="19"/>
      <c r="TCB236" s="16"/>
      <c r="TCC236" s="15"/>
      <c r="TCD236" s="15"/>
      <c r="TCE236" s="15"/>
      <c r="TCF236" s="16"/>
      <c r="TCG236" s="16"/>
      <c r="TCH236" s="16"/>
      <c r="TCI236" s="16"/>
      <c r="TCJ236" s="16"/>
      <c r="TCK236" s="15"/>
      <c r="TCL236" s="15"/>
      <c r="TCM236" s="10"/>
      <c r="TCN236" s="10"/>
      <c r="TCO236" s="19"/>
      <c r="TCP236" s="19"/>
      <c r="TCS236" s="16"/>
      <c r="TCT236" s="15"/>
      <c r="TCU236" s="15"/>
      <c r="TCV236" s="15"/>
      <c r="TCW236" s="16"/>
      <c r="TCX236" s="16"/>
      <c r="TCY236" s="16"/>
      <c r="TCZ236" s="16"/>
      <c r="TDA236" s="16"/>
      <c r="TDB236" s="15"/>
      <c r="TDC236" s="15"/>
      <c r="TDD236" s="10"/>
      <c r="TDE236" s="10"/>
      <c r="TDF236" s="19"/>
      <c r="TDG236" s="19"/>
      <c r="TDJ236" s="16"/>
      <c r="TDK236" s="15"/>
      <c r="TDL236" s="15"/>
      <c r="TDM236" s="15"/>
      <c r="TDN236" s="16"/>
      <c r="TDO236" s="16"/>
      <c r="TDP236" s="16"/>
      <c r="TDQ236" s="16"/>
      <c r="TDR236" s="16"/>
      <c r="TDS236" s="15"/>
      <c r="TDT236" s="15"/>
      <c r="TDU236" s="10"/>
      <c r="TDV236" s="10"/>
      <c r="TDW236" s="19"/>
      <c r="TDX236" s="19"/>
      <c r="TEA236" s="16"/>
      <c r="TEB236" s="15"/>
      <c r="TEC236" s="15"/>
      <c r="TED236" s="15"/>
      <c r="TEE236" s="16"/>
      <c r="TEF236" s="16"/>
      <c r="TEG236" s="16"/>
      <c r="TEH236" s="16"/>
      <c r="TEI236" s="16"/>
      <c r="TEJ236" s="15"/>
      <c r="TEK236" s="15"/>
      <c r="TEL236" s="10"/>
      <c r="TEM236" s="10"/>
      <c r="TEN236" s="19"/>
      <c r="TEO236" s="19"/>
      <c r="TER236" s="16"/>
      <c r="TES236" s="15"/>
      <c r="TET236" s="15"/>
      <c r="TEU236" s="15"/>
      <c r="TEV236" s="16"/>
      <c r="TEW236" s="16"/>
      <c r="TEX236" s="16"/>
      <c r="TEY236" s="16"/>
      <c r="TEZ236" s="16"/>
      <c r="TFA236" s="15"/>
      <c r="TFB236" s="15"/>
      <c r="TFC236" s="10"/>
      <c r="TFD236" s="10"/>
      <c r="TFE236" s="19"/>
      <c r="TFF236" s="19"/>
      <c r="TFI236" s="16"/>
      <c r="TFJ236" s="15"/>
      <c r="TFK236" s="15"/>
      <c r="TFL236" s="15"/>
      <c r="TFM236" s="16"/>
      <c r="TFN236" s="16"/>
      <c r="TFO236" s="16"/>
      <c r="TFP236" s="16"/>
      <c r="TFQ236" s="16"/>
      <c r="TFR236" s="15"/>
      <c r="TFS236" s="15"/>
      <c r="TFT236" s="10"/>
      <c r="TFU236" s="10"/>
      <c r="TFV236" s="19"/>
      <c r="TFW236" s="19"/>
      <c r="TFZ236" s="16"/>
      <c r="TGA236" s="15"/>
      <c r="TGB236" s="15"/>
      <c r="TGC236" s="15"/>
      <c r="TGD236" s="16"/>
      <c r="TGE236" s="16"/>
      <c r="TGF236" s="16"/>
      <c r="TGG236" s="16"/>
      <c r="TGH236" s="16"/>
      <c r="TGI236" s="15"/>
      <c r="TGJ236" s="15"/>
      <c r="TGK236" s="10"/>
      <c r="TGL236" s="10"/>
      <c r="TGM236" s="19"/>
      <c r="TGN236" s="19"/>
      <c r="TGQ236" s="16"/>
      <c r="TGR236" s="15"/>
      <c r="TGS236" s="15"/>
      <c r="TGT236" s="15"/>
      <c r="TGU236" s="16"/>
      <c r="TGV236" s="16"/>
      <c r="TGW236" s="16"/>
      <c r="TGX236" s="16"/>
      <c r="TGY236" s="16"/>
      <c r="TGZ236" s="15"/>
      <c r="THA236" s="15"/>
      <c r="THB236" s="10"/>
      <c r="THC236" s="10"/>
      <c r="THD236" s="19"/>
      <c r="THE236" s="19"/>
      <c r="THH236" s="16"/>
      <c r="THI236" s="15"/>
      <c r="THJ236" s="15"/>
      <c r="THK236" s="15"/>
      <c r="THL236" s="16"/>
      <c r="THM236" s="16"/>
      <c r="THN236" s="16"/>
      <c r="THO236" s="16"/>
      <c r="THP236" s="16"/>
      <c r="THQ236" s="15"/>
      <c r="THR236" s="15"/>
      <c r="THS236" s="10"/>
      <c r="THT236" s="10"/>
      <c r="THU236" s="19"/>
      <c r="THV236" s="19"/>
      <c r="THY236" s="16"/>
      <c r="THZ236" s="15"/>
      <c r="TIA236" s="15"/>
      <c r="TIB236" s="15"/>
      <c r="TIC236" s="16"/>
      <c r="TID236" s="16"/>
      <c r="TIE236" s="16"/>
      <c r="TIF236" s="16"/>
      <c r="TIG236" s="16"/>
      <c r="TIH236" s="15"/>
      <c r="TII236" s="15"/>
      <c r="TIJ236" s="10"/>
      <c r="TIK236" s="10"/>
      <c r="TIL236" s="19"/>
      <c r="TIM236" s="19"/>
      <c r="TIP236" s="16"/>
      <c r="TIQ236" s="15"/>
      <c r="TIR236" s="15"/>
      <c r="TIS236" s="15"/>
      <c r="TIT236" s="16"/>
      <c r="TIU236" s="16"/>
      <c r="TIV236" s="16"/>
      <c r="TIW236" s="16"/>
      <c r="TIX236" s="16"/>
      <c r="TIY236" s="15"/>
      <c r="TIZ236" s="15"/>
      <c r="TJA236" s="10"/>
      <c r="TJB236" s="10"/>
      <c r="TJC236" s="19"/>
      <c r="TJD236" s="19"/>
      <c r="TJG236" s="16"/>
      <c r="TJH236" s="15"/>
      <c r="TJI236" s="15"/>
      <c r="TJJ236" s="15"/>
      <c r="TJK236" s="16"/>
      <c r="TJL236" s="16"/>
      <c r="TJM236" s="16"/>
      <c r="TJN236" s="16"/>
      <c r="TJO236" s="16"/>
      <c r="TJP236" s="15"/>
      <c r="TJQ236" s="15"/>
      <c r="TJR236" s="10"/>
      <c r="TJS236" s="10"/>
      <c r="TJT236" s="19"/>
      <c r="TJU236" s="19"/>
      <c r="TJX236" s="16"/>
      <c r="TJY236" s="15"/>
      <c r="TJZ236" s="15"/>
      <c r="TKA236" s="15"/>
      <c r="TKB236" s="16"/>
      <c r="TKC236" s="16"/>
      <c r="TKD236" s="16"/>
      <c r="TKE236" s="16"/>
      <c r="TKF236" s="16"/>
      <c r="TKG236" s="15"/>
      <c r="TKH236" s="15"/>
      <c r="TKI236" s="10"/>
      <c r="TKJ236" s="10"/>
      <c r="TKK236" s="19"/>
      <c r="TKL236" s="19"/>
      <c r="TKO236" s="16"/>
      <c r="TKP236" s="15"/>
      <c r="TKQ236" s="15"/>
      <c r="TKR236" s="15"/>
      <c r="TKS236" s="16"/>
      <c r="TKT236" s="16"/>
      <c r="TKU236" s="16"/>
      <c r="TKV236" s="16"/>
      <c r="TKW236" s="16"/>
      <c r="TKX236" s="15"/>
      <c r="TKY236" s="15"/>
      <c r="TKZ236" s="10"/>
      <c r="TLA236" s="10"/>
      <c r="TLB236" s="19"/>
      <c r="TLC236" s="19"/>
      <c r="TLF236" s="16"/>
      <c r="TLG236" s="15"/>
      <c r="TLH236" s="15"/>
      <c r="TLI236" s="15"/>
      <c r="TLJ236" s="16"/>
      <c r="TLK236" s="16"/>
      <c r="TLL236" s="16"/>
      <c r="TLM236" s="16"/>
      <c r="TLN236" s="16"/>
      <c r="TLO236" s="15"/>
      <c r="TLP236" s="15"/>
      <c r="TLQ236" s="10"/>
      <c r="TLR236" s="10"/>
      <c r="TLS236" s="19"/>
      <c r="TLT236" s="19"/>
      <c r="TLW236" s="16"/>
      <c r="TLX236" s="15"/>
      <c r="TLY236" s="15"/>
      <c r="TLZ236" s="15"/>
      <c r="TMA236" s="16"/>
      <c r="TMB236" s="16"/>
      <c r="TMC236" s="16"/>
      <c r="TMD236" s="16"/>
      <c r="TME236" s="16"/>
      <c r="TMF236" s="15"/>
      <c r="TMG236" s="15"/>
      <c r="TMH236" s="10"/>
      <c r="TMI236" s="10"/>
      <c r="TMJ236" s="19"/>
      <c r="TMK236" s="19"/>
      <c r="TMN236" s="16"/>
      <c r="TMO236" s="15"/>
      <c r="TMP236" s="15"/>
      <c r="TMQ236" s="15"/>
      <c r="TMR236" s="16"/>
      <c r="TMS236" s="16"/>
      <c r="TMT236" s="16"/>
      <c r="TMU236" s="16"/>
      <c r="TMV236" s="16"/>
      <c r="TMW236" s="15"/>
      <c r="TMX236" s="15"/>
      <c r="TMY236" s="10"/>
      <c r="TMZ236" s="10"/>
      <c r="TNA236" s="19"/>
      <c r="TNB236" s="19"/>
      <c r="TNE236" s="16"/>
      <c r="TNF236" s="15"/>
      <c r="TNG236" s="15"/>
      <c r="TNH236" s="15"/>
      <c r="TNI236" s="16"/>
      <c r="TNJ236" s="16"/>
      <c r="TNK236" s="16"/>
      <c r="TNL236" s="16"/>
      <c r="TNM236" s="16"/>
      <c r="TNN236" s="15"/>
      <c r="TNO236" s="15"/>
      <c r="TNP236" s="10"/>
      <c r="TNQ236" s="10"/>
      <c r="TNR236" s="19"/>
      <c r="TNS236" s="19"/>
      <c r="TNV236" s="16"/>
      <c r="TNW236" s="15"/>
      <c r="TNX236" s="15"/>
      <c r="TNY236" s="15"/>
      <c r="TNZ236" s="16"/>
      <c r="TOA236" s="16"/>
      <c r="TOB236" s="16"/>
      <c r="TOC236" s="16"/>
      <c r="TOD236" s="16"/>
      <c r="TOE236" s="15"/>
      <c r="TOF236" s="15"/>
      <c r="TOG236" s="10"/>
      <c r="TOH236" s="10"/>
      <c r="TOI236" s="19"/>
      <c r="TOJ236" s="19"/>
      <c r="TOM236" s="16"/>
      <c r="TON236" s="15"/>
      <c r="TOO236" s="15"/>
      <c r="TOP236" s="15"/>
      <c r="TOQ236" s="16"/>
      <c r="TOR236" s="16"/>
      <c r="TOS236" s="16"/>
      <c r="TOT236" s="16"/>
      <c r="TOU236" s="16"/>
      <c r="TOV236" s="15"/>
      <c r="TOW236" s="15"/>
      <c r="TOX236" s="10"/>
      <c r="TOY236" s="10"/>
      <c r="TOZ236" s="19"/>
      <c r="TPA236" s="19"/>
      <c r="TPD236" s="16"/>
      <c r="TPE236" s="15"/>
      <c r="TPF236" s="15"/>
      <c r="TPG236" s="15"/>
      <c r="TPH236" s="16"/>
      <c r="TPI236" s="16"/>
      <c r="TPJ236" s="16"/>
      <c r="TPK236" s="16"/>
      <c r="TPL236" s="16"/>
      <c r="TPM236" s="15"/>
      <c r="TPN236" s="15"/>
      <c r="TPO236" s="10"/>
      <c r="TPP236" s="10"/>
      <c r="TPQ236" s="19"/>
      <c r="TPR236" s="19"/>
      <c r="TPU236" s="16"/>
      <c r="TPV236" s="15"/>
      <c r="TPW236" s="15"/>
      <c r="TPX236" s="15"/>
      <c r="TPY236" s="16"/>
      <c r="TPZ236" s="16"/>
      <c r="TQA236" s="16"/>
      <c r="TQB236" s="16"/>
      <c r="TQC236" s="16"/>
      <c r="TQD236" s="15"/>
      <c r="TQE236" s="15"/>
      <c r="TQF236" s="10"/>
      <c r="TQG236" s="10"/>
      <c r="TQH236" s="19"/>
      <c r="TQI236" s="19"/>
      <c r="TQL236" s="16"/>
      <c r="TQM236" s="15"/>
      <c r="TQN236" s="15"/>
      <c r="TQO236" s="15"/>
      <c r="TQP236" s="16"/>
      <c r="TQQ236" s="16"/>
      <c r="TQR236" s="16"/>
      <c r="TQS236" s="16"/>
      <c r="TQT236" s="16"/>
      <c r="TQU236" s="15"/>
      <c r="TQV236" s="15"/>
      <c r="TQW236" s="10"/>
      <c r="TQX236" s="10"/>
      <c r="TQY236" s="19"/>
      <c r="TQZ236" s="19"/>
      <c r="TRC236" s="16"/>
      <c r="TRD236" s="15"/>
      <c r="TRE236" s="15"/>
      <c r="TRF236" s="15"/>
      <c r="TRG236" s="16"/>
      <c r="TRH236" s="16"/>
      <c r="TRI236" s="16"/>
      <c r="TRJ236" s="16"/>
      <c r="TRK236" s="16"/>
      <c r="TRL236" s="15"/>
      <c r="TRM236" s="15"/>
      <c r="TRN236" s="10"/>
      <c r="TRO236" s="10"/>
      <c r="TRP236" s="19"/>
      <c r="TRQ236" s="19"/>
      <c r="TRT236" s="16"/>
      <c r="TRU236" s="15"/>
      <c r="TRV236" s="15"/>
      <c r="TRW236" s="15"/>
      <c r="TRX236" s="16"/>
      <c r="TRY236" s="16"/>
      <c r="TRZ236" s="16"/>
      <c r="TSA236" s="16"/>
      <c r="TSB236" s="16"/>
      <c r="TSC236" s="15"/>
      <c r="TSD236" s="15"/>
      <c r="TSE236" s="10"/>
      <c r="TSF236" s="10"/>
      <c r="TSG236" s="19"/>
      <c r="TSH236" s="19"/>
      <c r="TSK236" s="16"/>
      <c r="TSL236" s="15"/>
      <c r="TSM236" s="15"/>
      <c r="TSN236" s="15"/>
      <c r="TSO236" s="16"/>
      <c r="TSP236" s="16"/>
      <c r="TSQ236" s="16"/>
      <c r="TSR236" s="16"/>
      <c r="TSS236" s="16"/>
      <c r="TST236" s="15"/>
      <c r="TSU236" s="15"/>
      <c r="TSV236" s="10"/>
      <c r="TSW236" s="10"/>
      <c r="TSX236" s="19"/>
      <c r="TSY236" s="19"/>
      <c r="TTB236" s="16"/>
      <c r="TTC236" s="15"/>
      <c r="TTD236" s="15"/>
      <c r="TTE236" s="15"/>
      <c r="TTF236" s="16"/>
      <c r="TTG236" s="16"/>
      <c r="TTH236" s="16"/>
      <c r="TTI236" s="16"/>
      <c r="TTJ236" s="16"/>
      <c r="TTK236" s="15"/>
      <c r="TTL236" s="15"/>
      <c r="TTM236" s="10"/>
      <c r="TTN236" s="10"/>
      <c r="TTO236" s="19"/>
      <c r="TTP236" s="19"/>
      <c r="TTS236" s="16"/>
      <c r="TTT236" s="15"/>
      <c r="TTU236" s="15"/>
      <c r="TTV236" s="15"/>
      <c r="TTW236" s="16"/>
      <c r="TTX236" s="16"/>
      <c r="TTY236" s="16"/>
      <c r="TTZ236" s="16"/>
      <c r="TUA236" s="16"/>
      <c r="TUB236" s="15"/>
      <c r="TUC236" s="15"/>
      <c r="TUD236" s="10"/>
      <c r="TUE236" s="10"/>
      <c r="TUF236" s="19"/>
      <c r="TUG236" s="19"/>
      <c r="TUJ236" s="16"/>
      <c r="TUK236" s="15"/>
      <c r="TUL236" s="15"/>
      <c r="TUM236" s="15"/>
      <c r="TUN236" s="16"/>
      <c r="TUO236" s="16"/>
      <c r="TUP236" s="16"/>
      <c r="TUQ236" s="16"/>
      <c r="TUR236" s="16"/>
      <c r="TUS236" s="15"/>
      <c r="TUT236" s="15"/>
      <c r="TUU236" s="10"/>
      <c r="TUV236" s="10"/>
      <c r="TUW236" s="19"/>
      <c r="TUX236" s="19"/>
      <c r="TVA236" s="16"/>
      <c r="TVB236" s="15"/>
      <c r="TVC236" s="15"/>
      <c r="TVD236" s="15"/>
      <c r="TVE236" s="16"/>
      <c r="TVF236" s="16"/>
      <c r="TVG236" s="16"/>
      <c r="TVH236" s="16"/>
      <c r="TVI236" s="16"/>
      <c r="TVJ236" s="15"/>
      <c r="TVK236" s="15"/>
      <c r="TVL236" s="10"/>
      <c r="TVM236" s="10"/>
      <c r="TVN236" s="19"/>
      <c r="TVO236" s="19"/>
      <c r="TVR236" s="16"/>
      <c r="TVS236" s="15"/>
      <c r="TVT236" s="15"/>
      <c r="TVU236" s="15"/>
      <c r="TVV236" s="16"/>
      <c r="TVW236" s="16"/>
      <c r="TVX236" s="16"/>
      <c r="TVY236" s="16"/>
      <c r="TVZ236" s="16"/>
      <c r="TWA236" s="15"/>
      <c r="TWB236" s="15"/>
      <c r="TWC236" s="10"/>
      <c r="TWD236" s="10"/>
      <c r="TWE236" s="19"/>
      <c r="TWF236" s="19"/>
      <c r="TWI236" s="16"/>
      <c r="TWJ236" s="15"/>
      <c r="TWK236" s="15"/>
      <c r="TWL236" s="15"/>
      <c r="TWM236" s="16"/>
      <c r="TWN236" s="16"/>
      <c r="TWO236" s="16"/>
      <c r="TWP236" s="16"/>
      <c r="TWQ236" s="16"/>
      <c r="TWR236" s="15"/>
      <c r="TWS236" s="15"/>
      <c r="TWT236" s="10"/>
      <c r="TWU236" s="10"/>
      <c r="TWV236" s="19"/>
      <c r="TWW236" s="19"/>
      <c r="TWZ236" s="16"/>
      <c r="TXA236" s="15"/>
      <c r="TXB236" s="15"/>
      <c r="TXC236" s="15"/>
      <c r="TXD236" s="16"/>
      <c r="TXE236" s="16"/>
      <c r="TXF236" s="16"/>
      <c r="TXG236" s="16"/>
      <c r="TXH236" s="16"/>
      <c r="TXI236" s="15"/>
      <c r="TXJ236" s="15"/>
      <c r="TXK236" s="10"/>
      <c r="TXL236" s="10"/>
      <c r="TXM236" s="19"/>
      <c r="TXN236" s="19"/>
      <c r="TXQ236" s="16"/>
      <c r="TXR236" s="15"/>
      <c r="TXS236" s="15"/>
      <c r="TXT236" s="15"/>
      <c r="TXU236" s="16"/>
      <c r="TXV236" s="16"/>
      <c r="TXW236" s="16"/>
      <c r="TXX236" s="16"/>
      <c r="TXY236" s="16"/>
      <c r="TXZ236" s="15"/>
      <c r="TYA236" s="15"/>
      <c r="TYB236" s="10"/>
      <c r="TYC236" s="10"/>
      <c r="TYD236" s="19"/>
      <c r="TYE236" s="19"/>
      <c r="TYH236" s="16"/>
      <c r="TYI236" s="15"/>
      <c r="TYJ236" s="15"/>
      <c r="TYK236" s="15"/>
      <c r="TYL236" s="16"/>
      <c r="TYM236" s="16"/>
      <c r="TYN236" s="16"/>
      <c r="TYO236" s="16"/>
      <c r="TYP236" s="16"/>
      <c r="TYQ236" s="15"/>
      <c r="TYR236" s="15"/>
      <c r="TYS236" s="10"/>
      <c r="TYT236" s="10"/>
      <c r="TYU236" s="19"/>
      <c r="TYV236" s="19"/>
      <c r="TYY236" s="16"/>
      <c r="TYZ236" s="15"/>
      <c r="TZA236" s="15"/>
      <c r="TZB236" s="15"/>
      <c r="TZC236" s="16"/>
      <c r="TZD236" s="16"/>
      <c r="TZE236" s="16"/>
      <c r="TZF236" s="16"/>
      <c r="TZG236" s="16"/>
      <c r="TZH236" s="15"/>
      <c r="TZI236" s="15"/>
      <c r="TZJ236" s="10"/>
      <c r="TZK236" s="10"/>
      <c r="TZL236" s="19"/>
      <c r="TZM236" s="19"/>
      <c r="TZP236" s="16"/>
      <c r="TZQ236" s="15"/>
      <c r="TZR236" s="15"/>
      <c r="TZS236" s="15"/>
      <c r="TZT236" s="16"/>
      <c r="TZU236" s="16"/>
      <c r="TZV236" s="16"/>
      <c r="TZW236" s="16"/>
      <c r="TZX236" s="16"/>
      <c r="TZY236" s="15"/>
      <c r="TZZ236" s="15"/>
      <c r="UAA236" s="10"/>
      <c r="UAB236" s="10"/>
      <c r="UAC236" s="19"/>
      <c r="UAD236" s="19"/>
      <c r="UAG236" s="16"/>
      <c r="UAH236" s="15"/>
      <c r="UAI236" s="15"/>
      <c r="UAJ236" s="15"/>
      <c r="UAK236" s="16"/>
      <c r="UAL236" s="16"/>
      <c r="UAM236" s="16"/>
      <c r="UAN236" s="16"/>
      <c r="UAO236" s="16"/>
      <c r="UAP236" s="15"/>
      <c r="UAQ236" s="15"/>
      <c r="UAR236" s="10"/>
      <c r="UAS236" s="10"/>
      <c r="UAT236" s="19"/>
      <c r="UAU236" s="19"/>
      <c r="UAX236" s="16"/>
      <c r="UAY236" s="15"/>
      <c r="UAZ236" s="15"/>
      <c r="UBA236" s="15"/>
      <c r="UBB236" s="16"/>
      <c r="UBC236" s="16"/>
      <c r="UBD236" s="16"/>
      <c r="UBE236" s="16"/>
      <c r="UBF236" s="16"/>
      <c r="UBG236" s="15"/>
      <c r="UBH236" s="15"/>
      <c r="UBI236" s="10"/>
      <c r="UBJ236" s="10"/>
      <c r="UBK236" s="19"/>
      <c r="UBL236" s="19"/>
      <c r="UBO236" s="16"/>
      <c r="UBP236" s="15"/>
      <c r="UBQ236" s="15"/>
      <c r="UBR236" s="15"/>
      <c r="UBS236" s="16"/>
      <c r="UBT236" s="16"/>
      <c r="UBU236" s="16"/>
      <c r="UBV236" s="16"/>
      <c r="UBW236" s="16"/>
      <c r="UBX236" s="15"/>
      <c r="UBY236" s="15"/>
      <c r="UBZ236" s="10"/>
      <c r="UCA236" s="10"/>
      <c r="UCB236" s="19"/>
      <c r="UCC236" s="19"/>
      <c r="UCF236" s="16"/>
      <c r="UCG236" s="15"/>
      <c r="UCH236" s="15"/>
      <c r="UCI236" s="15"/>
      <c r="UCJ236" s="16"/>
      <c r="UCK236" s="16"/>
      <c r="UCL236" s="16"/>
      <c r="UCM236" s="16"/>
      <c r="UCN236" s="16"/>
      <c r="UCO236" s="15"/>
      <c r="UCP236" s="15"/>
      <c r="UCQ236" s="10"/>
      <c r="UCR236" s="10"/>
      <c r="UCS236" s="19"/>
      <c r="UCT236" s="19"/>
      <c r="UCW236" s="16"/>
      <c r="UCX236" s="15"/>
      <c r="UCY236" s="15"/>
      <c r="UCZ236" s="15"/>
      <c r="UDA236" s="16"/>
      <c r="UDB236" s="16"/>
      <c r="UDC236" s="16"/>
      <c r="UDD236" s="16"/>
      <c r="UDE236" s="16"/>
      <c r="UDF236" s="15"/>
      <c r="UDG236" s="15"/>
      <c r="UDH236" s="10"/>
      <c r="UDI236" s="10"/>
      <c r="UDJ236" s="19"/>
      <c r="UDK236" s="19"/>
      <c r="UDN236" s="16"/>
      <c r="UDO236" s="15"/>
      <c r="UDP236" s="15"/>
      <c r="UDQ236" s="15"/>
      <c r="UDR236" s="16"/>
      <c r="UDS236" s="16"/>
      <c r="UDT236" s="16"/>
      <c r="UDU236" s="16"/>
      <c r="UDV236" s="16"/>
      <c r="UDW236" s="15"/>
      <c r="UDX236" s="15"/>
      <c r="UDY236" s="10"/>
      <c r="UDZ236" s="10"/>
      <c r="UEA236" s="19"/>
      <c r="UEB236" s="19"/>
      <c r="UEE236" s="16"/>
      <c r="UEF236" s="15"/>
      <c r="UEG236" s="15"/>
      <c r="UEH236" s="15"/>
      <c r="UEI236" s="16"/>
      <c r="UEJ236" s="16"/>
      <c r="UEK236" s="16"/>
      <c r="UEL236" s="16"/>
      <c r="UEM236" s="16"/>
      <c r="UEN236" s="15"/>
      <c r="UEO236" s="15"/>
      <c r="UEP236" s="10"/>
      <c r="UEQ236" s="10"/>
      <c r="UER236" s="19"/>
      <c r="UES236" s="19"/>
      <c r="UEV236" s="16"/>
      <c r="UEW236" s="15"/>
      <c r="UEX236" s="15"/>
      <c r="UEY236" s="15"/>
      <c r="UEZ236" s="16"/>
      <c r="UFA236" s="16"/>
      <c r="UFB236" s="16"/>
      <c r="UFC236" s="16"/>
      <c r="UFD236" s="16"/>
      <c r="UFE236" s="15"/>
      <c r="UFF236" s="15"/>
      <c r="UFG236" s="10"/>
      <c r="UFH236" s="10"/>
      <c r="UFI236" s="19"/>
      <c r="UFJ236" s="19"/>
      <c r="UFM236" s="16"/>
      <c r="UFN236" s="15"/>
      <c r="UFO236" s="15"/>
      <c r="UFP236" s="15"/>
      <c r="UFQ236" s="16"/>
      <c r="UFR236" s="16"/>
      <c r="UFS236" s="16"/>
      <c r="UFT236" s="16"/>
      <c r="UFU236" s="16"/>
      <c r="UFV236" s="15"/>
      <c r="UFW236" s="15"/>
      <c r="UFX236" s="10"/>
      <c r="UFY236" s="10"/>
      <c r="UFZ236" s="19"/>
      <c r="UGA236" s="19"/>
      <c r="UGD236" s="16"/>
      <c r="UGE236" s="15"/>
      <c r="UGF236" s="15"/>
      <c r="UGG236" s="15"/>
      <c r="UGH236" s="16"/>
      <c r="UGI236" s="16"/>
      <c r="UGJ236" s="16"/>
      <c r="UGK236" s="16"/>
      <c r="UGL236" s="16"/>
      <c r="UGM236" s="15"/>
      <c r="UGN236" s="15"/>
      <c r="UGO236" s="10"/>
      <c r="UGP236" s="10"/>
      <c r="UGQ236" s="19"/>
      <c r="UGR236" s="19"/>
      <c r="UGU236" s="16"/>
      <c r="UGV236" s="15"/>
      <c r="UGW236" s="15"/>
      <c r="UGX236" s="15"/>
      <c r="UGY236" s="16"/>
      <c r="UGZ236" s="16"/>
      <c r="UHA236" s="16"/>
      <c r="UHB236" s="16"/>
      <c r="UHC236" s="16"/>
      <c r="UHD236" s="15"/>
      <c r="UHE236" s="15"/>
      <c r="UHF236" s="10"/>
      <c r="UHG236" s="10"/>
      <c r="UHH236" s="19"/>
      <c r="UHI236" s="19"/>
      <c r="UHL236" s="16"/>
      <c r="UHM236" s="15"/>
      <c r="UHN236" s="15"/>
      <c r="UHO236" s="15"/>
      <c r="UHP236" s="16"/>
      <c r="UHQ236" s="16"/>
      <c r="UHR236" s="16"/>
      <c r="UHS236" s="16"/>
      <c r="UHT236" s="16"/>
      <c r="UHU236" s="15"/>
      <c r="UHV236" s="15"/>
      <c r="UHW236" s="10"/>
      <c r="UHX236" s="10"/>
      <c r="UHY236" s="19"/>
      <c r="UHZ236" s="19"/>
      <c r="UIC236" s="16"/>
      <c r="UID236" s="15"/>
      <c r="UIE236" s="15"/>
      <c r="UIF236" s="15"/>
      <c r="UIG236" s="16"/>
      <c r="UIH236" s="16"/>
      <c r="UII236" s="16"/>
      <c r="UIJ236" s="16"/>
      <c r="UIK236" s="16"/>
      <c r="UIL236" s="15"/>
      <c r="UIM236" s="15"/>
      <c r="UIN236" s="10"/>
      <c r="UIO236" s="10"/>
      <c r="UIP236" s="19"/>
      <c r="UIQ236" s="19"/>
      <c r="UIT236" s="16"/>
      <c r="UIU236" s="15"/>
      <c r="UIV236" s="15"/>
      <c r="UIW236" s="15"/>
      <c r="UIX236" s="16"/>
      <c r="UIY236" s="16"/>
      <c r="UIZ236" s="16"/>
      <c r="UJA236" s="16"/>
      <c r="UJB236" s="16"/>
      <c r="UJC236" s="15"/>
      <c r="UJD236" s="15"/>
      <c r="UJE236" s="10"/>
      <c r="UJF236" s="10"/>
      <c r="UJG236" s="19"/>
      <c r="UJH236" s="19"/>
      <c r="UJK236" s="16"/>
      <c r="UJL236" s="15"/>
      <c r="UJM236" s="15"/>
      <c r="UJN236" s="15"/>
      <c r="UJO236" s="16"/>
      <c r="UJP236" s="16"/>
      <c r="UJQ236" s="16"/>
      <c r="UJR236" s="16"/>
      <c r="UJS236" s="16"/>
      <c r="UJT236" s="15"/>
      <c r="UJU236" s="15"/>
      <c r="UJV236" s="10"/>
      <c r="UJW236" s="10"/>
      <c r="UJX236" s="19"/>
      <c r="UJY236" s="19"/>
      <c r="UKB236" s="16"/>
      <c r="UKC236" s="15"/>
      <c r="UKD236" s="15"/>
      <c r="UKE236" s="15"/>
      <c r="UKF236" s="16"/>
      <c r="UKG236" s="16"/>
      <c r="UKH236" s="16"/>
      <c r="UKI236" s="16"/>
      <c r="UKJ236" s="16"/>
      <c r="UKK236" s="15"/>
      <c r="UKL236" s="15"/>
      <c r="UKM236" s="10"/>
      <c r="UKN236" s="10"/>
      <c r="UKO236" s="19"/>
      <c r="UKP236" s="19"/>
      <c r="UKS236" s="16"/>
      <c r="UKT236" s="15"/>
      <c r="UKU236" s="15"/>
      <c r="UKV236" s="15"/>
      <c r="UKW236" s="16"/>
      <c r="UKX236" s="16"/>
      <c r="UKY236" s="16"/>
      <c r="UKZ236" s="16"/>
      <c r="ULA236" s="16"/>
      <c r="ULB236" s="15"/>
      <c r="ULC236" s="15"/>
      <c r="ULD236" s="10"/>
      <c r="ULE236" s="10"/>
      <c r="ULF236" s="19"/>
      <c r="ULG236" s="19"/>
      <c r="ULJ236" s="16"/>
      <c r="ULK236" s="15"/>
      <c r="ULL236" s="15"/>
      <c r="ULM236" s="15"/>
      <c r="ULN236" s="16"/>
      <c r="ULO236" s="16"/>
      <c r="ULP236" s="16"/>
      <c r="ULQ236" s="16"/>
      <c r="ULR236" s="16"/>
      <c r="ULS236" s="15"/>
      <c r="ULT236" s="15"/>
      <c r="ULU236" s="10"/>
      <c r="ULV236" s="10"/>
      <c r="ULW236" s="19"/>
      <c r="ULX236" s="19"/>
      <c r="UMA236" s="16"/>
      <c r="UMB236" s="15"/>
      <c r="UMC236" s="15"/>
      <c r="UMD236" s="15"/>
      <c r="UME236" s="16"/>
      <c r="UMF236" s="16"/>
      <c r="UMG236" s="16"/>
      <c r="UMH236" s="16"/>
      <c r="UMI236" s="16"/>
      <c r="UMJ236" s="15"/>
      <c r="UMK236" s="15"/>
      <c r="UML236" s="10"/>
      <c r="UMM236" s="10"/>
      <c r="UMN236" s="19"/>
      <c r="UMO236" s="19"/>
      <c r="UMR236" s="16"/>
      <c r="UMS236" s="15"/>
      <c r="UMT236" s="15"/>
      <c r="UMU236" s="15"/>
      <c r="UMV236" s="16"/>
      <c r="UMW236" s="16"/>
      <c r="UMX236" s="16"/>
      <c r="UMY236" s="16"/>
      <c r="UMZ236" s="16"/>
      <c r="UNA236" s="15"/>
      <c r="UNB236" s="15"/>
      <c r="UNC236" s="10"/>
      <c r="UND236" s="10"/>
      <c r="UNE236" s="19"/>
      <c r="UNF236" s="19"/>
      <c r="UNI236" s="16"/>
      <c r="UNJ236" s="15"/>
      <c r="UNK236" s="15"/>
      <c r="UNL236" s="15"/>
      <c r="UNM236" s="16"/>
      <c r="UNN236" s="16"/>
      <c r="UNO236" s="16"/>
      <c r="UNP236" s="16"/>
      <c r="UNQ236" s="16"/>
      <c r="UNR236" s="15"/>
      <c r="UNS236" s="15"/>
      <c r="UNT236" s="10"/>
      <c r="UNU236" s="10"/>
      <c r="UNV236" s="19"/>
      <c r="UNW236" s="19"/>
      <c r="UNZ236" s="16"/>
      <c r="UOA236" s="15"/>
      <c r="UOB236" s="15"/>
      <c r="UOC236" s="15"/>
      <c r="UOD236" s="16"/>
      <c r="UOE236" s="16"/>
      <c r="UOF236" s="16"/>
      <c r="UOG236" s="16"/>
      <c r="UOH236" s="16"/>
      <c r="UOI236" s="15"/>
      <c r="UOJ236" s="15"/>
      <c r="UOK236" s="10"/>
      <c r="UOL236" s="10"/>
      <c r="UOM236" s="19"/>
      <c r="UON236" s="19"/>
      <c r="UOQ236" s="16"/>
      <c r="UOR236" s="15"/>
      <c r="UOS236" s="15"/>
      <c r="UOT236" s="15"/>
      <c r="UOU236" s="16"/>
      <c r="UOV236" s="16"/>
      <c r="UOW236" s="16"/>
      <c r="UOX236" s="16"/>
      <c r="UOY236" s="16"/>
      <c r="UOZ236" s="15"/>
      <c r="UPA236" s="15"/>
      <c r="UPB236" s="10"/>
      <c r="UPC236" s="10"/>
      <c r="UPD236" s="19"/>
      <c r="UPE236" s="19"/>
      <c r="UPH236" s="16"/>
      <c r="UPI236" s="15"/>
      <c r="UPJ236" s="15"/>
      <c r="UPK236" s="15"/>
      <c r="UPL236" s="16"/>
      <c r="UPM236" s="16"/>
      <c r="UPN236" s="16"/>
      <c r="UPO236" s="16"/>
      <c r="UPP236" s="16"/>
      <c r="UPQ236" s="15"/>
      <c r="UPR236" s="15"/>
      <c r="UPS236" s="10"/>
      <c r="UPT236" s="10"/>
      <c r="UPU236" s="19"/>
      <c r="UPV236" s="19"/>
      <c r="UPY236" s="16"/>
      <c r="UPZ236" s="15"/>
      <c r="UQA236" s="15"/>
      <c r="UQB236" s="15"/>
      <c r="UQC236" s="16"/>
      <c r="UQD236" s="16"/>
      <c r="UQE236" s="16"/>
      <c r="UQF236" s="16"/>
      <c r="UQG236" s="16"/>
      <c r="UQH236" s="15"/>
      <c r="UQI236" s="15"/>
      <c r="UQJ236" s="10"/>
      <c r="UQK236" s="10"/>
      <c r="UQL236" s="19"/>
      <c r="UQM236" s="19"/>
      <c r="UQP236" s="16"/>
      <c r="UQQ236" s="15"/>
      <c r="UQR236" s="15"/>
      <c r="UQS236" s="15"/>
      <c r="UQT236" s="16"/>
      <c r="UQU236" s="16"/>
      <c r="UQV236" s="16"/>
      <c r="UQW236" s="16"/>
      <c r="UQX236" s="16"/>
      <c r="UQY236" s="15"/>
      <c r="UQZ236" s="15"/>
      <c r="URA236" s="10"/>
      <c r="URB236" s="10"/>
      <c r="URC236" s="19"/>
      <c r="URD236" s="19"/>
      <c r="URG236" s="16"/>
      <c r="URH236" s="15"/>
      <c r="URI236" s="15"/>
      <c r="URJ236" s="15"/>
      <c r="URK236" s="16"/>
      <c r="URL236" s="16"/>
      <c r="URM236" s="16"/>
      <c r="URN236" s="16"/>
      <c r="URO236" s="16"/>
      <c r="URP236" s="15"/>
      <c r="URQ236" s="15"/>
      <c r="URR236" s="10"/>
      <c r="URS236" s="10"/>
      <c r="URT236" s="19"/>
      <c r="URU236" s="19"/>
      <c r="URX236" s="16"/>
      <c r="URY236" s="15"/>
      <c r="URZ236" s="15"/>
      <c r="USA236" s="15"/>
      <c r="USB236" s="16"/>
      <c r="USC236" s="16"/>
      <c r="USD236" s="16"/>
      <c r="USE236" s="16"/>
      <c r="USF236" s="16"/>
      <c r="USG236" s="15"/>
      <c r="USH236" s="15"/>
      <c r="USI236" s="10"/>
      <c r="USJ236" s="10"/>
      <c r="USK236" s="19"/>
      <c r="USL236" s="19"/>
      <c r="USO236" s="16"/>
      <c r="USP236" s="15"/>
      <c r="USQ236" s="15"/>
      <c r="USR236" s="15"/>
      <c r="USS236" s="16"/>
      <c r="UST236" s="16"/>
      <c r="USU236" s="16"/>
      <c r="USV236" s="16"/>
      <c r="USW236" s="16"/>
      <c r="USX236" s="15"/>
      <c r="USY236" s="15"/>
      <c r="USZ236" s="10"/>
      <c r="UTA236" s="10"/>
      <c r="UTB236" s="19"/>
      <c r="UTC236" s="19"/>
      <c r="UTF236" s="16"/>
      <c r="UTG236" s="15"/>
      <c r="UTH236" s="15"/>
      <c r="UTI236" s="15"/>
      <c r="UTJ236" s="16"/>
      <c r="UTK236" s="16"/>
      <c r="UTL236" s="16"/>
      <c r="UTM236" s="16"/>
      <c r="UTN236" s="16"/>
      <c r="UTO236" s="15"/>
      <c r="UTP236" s="15"/>
      <c r="UTQ236" s="10"/>
      <c r="UTR236" s="10"/>
      <c r="UTS236" s="19"/>
      <c r="UTT236" s="19"/>
      <c r="UTW236" s="16"/>
      <c r="UTX236" s="15"/>
      <c r="UTY236" s="15"/>
      <c r="UTZ236" s="15"/>
      <c r="UUA236" s="16"/>
      <c r="UUB236" s="16"/>
      <c r="UUC236" s="16"/>
      <c r="UUD236" s="16"/>
      <c r="UUE236" s="16"/>
      <c r="UUF236" s="15"/>
      <c r="UUG236" s="15"/>
      <c r="UUH236" s="10"/>
      <c r="UUI236" s="10"/>
      <c r="UUJ236" s="19"/>
      <c r="UUK236" s="19"/>
      <c r="UUN236" s="16"/>
      <c r="UUO236" s="15"/>
      <c r="UUP236" s="15"/>
      <c r="UUQ236" s="15"/>
      <c r="UUR236" s="16"/>
      <c r="UUS236" s="16"/>
      <c r="UUT236" s="16"/>
      <c r="UUU236" s="16"/>
      <c r="UUV236" s="16"/>
      <c r="UUW236" s="15"/>
      <c r="UUX236" s="15"/>
      <c r="UUY236" s="10"/>
      <c r="UUZ236" s="10"/>
      <c r="UVA236" s="19"/>
      <c r="UVB236" s="19"/>
      <c r="UVE236" s="16"/>
      <c r="UVF236" s="15"/>
      <c r="UVG236" s="15"/>
      <c r="UVH236" s="15"/>
      <c r="UVI236" s="16"/>
      <c r="UVJ236" s="16"/>
      <c r="UVK236" s="16"/>
      <c r="UVL236" s="16"/>
      <c r="UVM236" s="16"/>
      <c r="UVN236" s="15"/>
      <c r="UVO236" s="15"/>
      <c r="UVP236" s="10"/>
      <c r="UVQ236" s="10"/>
      <c r="UVR236" s="19"/>
      <c r="UVS236" s="19"/>
      <c r="UVV236" s="16"/>
      <c r="UVW236" s="15"/>
      <c r="UVX236" s="15"/>
      <c r="UVY236" s="15"/>
      <c r="UVZ236" s="16"/>
      <c r="UWA236" s="16"/>
      <c r="UWB236" s="16"/>
      <c r="UWC236" s="16"/>
      <c r="UWD236" s="16"/>
      <c r="UWE236" s="15"/>
      <c r="UWF236" s="15"/>
      <c r="UWG236" s="10"/>
      <c r="UWH236" s="10"/>
      <c r="UWI236" s="19"/>
      <c r="UWJ236" s="19"/>
      <c r="UWM236" s="16"/>
      <c r="UWN236" s="15"/>
      <c r="UWO236" s="15"/>
      <c r="UWP236" s="15"/>
      <c r="UWQ236" s="16"/>
      <c r="UWR236" s="16"/>
      <c r="UWS236" s="16"/>
      <c r="UWT236" s="16"/>
      <c r="UWU236" s="16"/>
      <c r="UWV236" s="15"/>
      <c r="UWW236" s="15"/>
      <c r="UWX236" s="10"/>
      <c r="UWY236" s="10"/>
      <c r="UWZ236" s="19"/>
      <c r="UXA236" s="19"/>
      <c r="UXD236" s="16"/>
      <c r="UXE236" s="15"/>
      <c r="UXF236" s="15"/>
      <c r="UXG236" s="15"/>
      <c r="UXH236" s="16"/>
      <c r="UXI236" s="16"/>
      <c r="UXJ236" s="16"/>
      <c r="UXK236" s="16"/>
      <c r="UXL236" s="16"/>
      <c r="UXM236" s="15"/>
      <c r="UXN236" s="15"/>
      <c r="UXO236" s="10"/>
      <c r="UXP236" s="10"/>
      <c r="UXQ236" s="19"/>
      <c r="UXR236" s="19"/>
      <c r="UXU236" s="16"/>
      <c r="UXV236" s="15"/>
      <c r="UXW236" s="15"/>
      <c r="UXX236" s="15"/>
      <c r="UXY236" s="16"/>
      <c r="UXZ236" s="16"/>
      <c r="UYA236" s="16"/>
      <c r="UYB236" s="16"/>
      <c r="UYC236" s="16"/>
      <c r="UYD236" s="15"/>
      <c r="UYE236" s="15"/>
      <c r="UYF236" s="10"/>
      <c r="UYG236" s="10"/>
      <c r="UYH236" s="19"/>
      <c r="UYI236" s="19"/>
      <c r="UYL236" s="16"/>
      <c r="UYM236" s="15"/>
      <c r="UYN236" s="15"/>
      <c r="UYO236" s="15"/>
      <c r="UYP236" s="16"/>
      <c r="UYQ236" s="16"/>
      <c r="UYR236" s="16"/>
      <c r="UYS236" s="16"/>
      <c r="UYT236" s="16"/>
      <c r="UYU236" s="15"/>
      <c r="UYV236" s="15"/>
      <c r="UYW236" s="10"/>
      <c r="UYX236" s="10"/>
      <c r="UYY236" s="19"/>
      <c r="UYZ236" s="19"/>
      <c r="UZC236" s="16"/>
      <c r="UZD236" s="15"/>
      <c r="UZE236" s="15"/>
      <c r="UZF236" s="15"/>
      <c r="UZG236" s="16"/>
      <c r="UZH236" s="16"/>
      <c r="UZI236" s="16"/>
      <c r="UZJ236" s="16"/>
      <c r="UZK236" s="16"/>
      <c r="UZL236" s="15"/>
      <c r="UZM236" s="15"/>
      <c r="UZN236" s="10"/>
      <c r="UZO236" s="10"/>
      <c r="UZP236" s="19"/>
      <c r="UZQ236" s="19"/>
      <c r="UZT236" s="16"/>
      <c r="UZU236" s="15"/>
      <c r="UZV236" s="15"/>
      <c r="UZW236" s="15"/>
      <c r="UZX236" s="16"/>
      <c r="UZY236" s="16"/>
      <c r="UZZ236" s="16"/>
      <c r="VAA236" s="16"/>
      <c r="VAB236" s="16"/>
      <c r="VAC236" s="15"/>
      <c r="VAD236" s="15"/>
      <c r="VAE236" s="10"/>
      <c r="VAF236" s="10"/>
      <c r="VAG236" s="19"/>
      <c r="VAH236" s="19"/>
      <c r="VAK236" s="16"/>
      <c r="VAL236" s="15"/>
      <c r="VAM236" s="15"/>
      <c r="VAN236" s="15"/>
      <c r="VAO236" s="16"/>
      <c r="VAP236" s="16"/>
      <c r="VAQ236" s="16"/>
      <c r="VAR236" s="16"/>
      <c r="VAS236" s="16"/>
      <c r="VAT236" s="15"/>
      <c r="VAU236" s="15"/>
      <c r="VAV236" s="10"/>
      <c r="VAW236" s="10"/>
      <c r="VAX236" s="19"/>
      <c r="VAY236" s="19"/>
      <c r="VBB236" s="16"/>
      <c r="VBC236" s="15"/>
      <c r="VBD236" s="15"/>
      <c r="VBE236" s="15"/>
      <c r="VBF236" s="16"/>
      <c r="VBG236" s="16"/>
      <c r="VBH236" s="16"/>
      <c r="VBI236" s="16"/>
      <c r="VBJ236" s="16"/>
      <c r="VBK236" s="15"/>
      <c r="VBL236" s="15"/>
      <c r="VBM236" s="10"/>
      <c r="VBN236" s="10"/>
      <c r="VBO236" s="19"/>
      <c r="VBP236" s="19"/>
      <c r="VBS236" s="16"/>
      <c r="VBT236" s="15"/>
      <c r="VBU236" s="15"/>
      <c r="VBV236" s="15"/>
      <c r="VBW236" s="16"/>
      <c r="VBX236" s="16"/>
      <c r="VBY236" s="16"/>
      <c r="VBZ236" s="16"/>
      <c r="VCA236" s="16"/>
      <c r="VCB236" s="15"/>
      <c r="VCC236" s="15"/>
      <c r="VCD236" s="10"/>
      <c r="VCE236" s="10"/>
      <c r="VCF236" s="19"/>
      <c r="VCG236" s="19"/>
      <c r="VCJ236" s="16"/>
      <c r="VCK236" s="15"/>
      <c r="VCL236" s="15"/>
      <c r="VCM236" s="15"/>
      <c r="VCN236" s="16"/>
      <c r="VCO236" s="16"/>
      <c r="VCP236" s="16"/>
      <c r="VCQ236" s="16"/>
      <c r="VCR236" s="16"/>
      <c r="VCS236" s="15"/>
      <c r="VCT236" s="15"/>
      <c r="VCU236" s="10"/>
      <c r="VCV236" s="10"/>
      <c r="VCW236" s="19"/>
      <c r="VCX236" s="19"/>
      <c r="VDA236" s="16"/>
      <c r="VDB236" s="15"/>
      <c r="VDC236" s="15"/>
      <c r="VDD236" s="15"/>
      <c r="VDE236" s="16"/>
      <c r="VDF236" s="16"/>
      <c r="VDG236" s="16"/>
      <c r="VDH236" s="16"/>
      <c r="VDI236" s="16"/>
      <c r="VDJ236" s="15"/>
      <c r="VDK236" s="15"/>
      <c r="VDL236" s="10"/>
      <c r="VDM236" s="10"/>
      <c r="VDN236" s="19"/>
      <c r="VDO236" s="19"/>
      <c r="VDR236" s="16"/>
      <c r="VDS236" s="15"/>
      <c r="VDT236" s="15"/>
      <c r="VDU236" s="15"/>
      <c r="VDV236" s="16"/>
      <c r="VDW236" s="16"/>
      <c r="VDX236" s="16"/>
      <c r="VDY236" s="16"/>
      <c r="VDZ236" s="16"/>
      <c r="VEA236" s="15"/>
      <c r="VEB236" s="15"/>
      <c r="VEC236" s="10"/>
      <c r="VED236" s="10"/>
      <c r="VEE236" s="19"/>
      <c r="VEF236" s="19"/>
      <c r="VEI236" s="16"/>
      <c r="VEJ236" s="15"/>
      <c r="VEK236" s="15"/>
      <c r="VEL236" s="15"/>
      <c r="VEM236" s="16"/>
      <c r="VEN236" s="16"/>
      <c r="VEO236" s="16"/>
      <c r="VEP236" s="16"/>
      <c r="VEQ236" s="16"/>
      <c r="VER236" s="15"/>
      <c r="VES236" s="15"/>
      <c r="VET236" s="10"/>
      <c r="VEU236" s="10"/>
      <c r="VEV236" s="19"/>
      <c r="VEW236" s="19"/>
      <c r="VEZ236" s="16"/>
      <c r="VFA236" s="15"/>
      <c r="VFB236" s="15"/>
      <c r="VFC236" s="15"/>
      <c r="VFD236" s="16"/>
      <c r="VFE236" s="16"/>
      <c r="VFF236" s="16"/>
      <c r="VFG236" s="16"/>
      <c r="VFH236" s="16"/>
      <c r="VFI236" s="15"/>
      <c r="VFJ236" s="15"/>
      <c r="VFK236" s="10"/>
      <c r="VFL236" s="10"/>
      <c r="VFM236" s="19"/>
      <c r="VFN236" s="19"/>
      <c r="VFQ236" s="16"/>
      <c r="VFR236" s="15"/>
      <c r="VFS236" s="15"/>
      <c r="VFT236" s="15"/>
      <c r="VFU236" s="16"/>
      <c r="VFV236" s="16"/>
      <c r="VFW236" s="16"/>
      <c r="VFX236" s="16"/>
      <c r="VFY236" s="16"/>
      <c r="VFZ236" s="15"/>
      <c r="VGA236" s="15"/>
      <c r="VGB236" s="10"/>
      <c r="VGC236" s="10"/>
      <c r="VGD236" s="19"/>
      <c r="VGE236" s="19"/>
      <c r="VGH236" s="16"/>
      <c r="VGI236" s="15"/>
      <c r="VGJ236" s="15"/>
      <c r="VGK236" s="15"/>
      <c r="VGL236" s="16"/>
      <c r="VGM236" s="16"/>
      <c r="VGN236" s="16"/>
      <c r="VGO236" s="16"/>
      <c r="VGP236" s="16"/>
      <c r="VGQ236" s="15"/>
      <c r="VGR236" s="15"/>
      <c r="VGS236" s="10"/>
      <c r="VGT236" s="10"/>
      <c r="VGU236" s="19"/>
      <c r="VGV236" s="19"/>
      <c r="VGY236" s="16"/>
      <c r="VGZ236" s="15"/>
      <c r="VHA236" s="15"/>
      <c r="VHB236" s="15"/>
      <c r="VHC236" s="16"/>
      <c r="VHD236" s="16"/>
      <c r="VHE236" s="16"/>
      <c r="VHF236" s="16"/>
      <c r="VHG236" s="16"/>
      <c r="VHH236" s="15"/>
      <c r="VHI236" s="15"/>
      <c r="VHJ236" s="10"/>
      <c r="VHK236" s="10"/>
      <c r="VHL236" s="19"/>
      <c r="VHM236" s="19"/>
      <c r="VHP236" s="16"/>
      <c r="VHQ236" s="15"/>
      <c r="VHR236" s="15"/>
      <c r="VHS236" s="15"/>
      <c r="VHT236" s="16"/>
      <c r="VHU236" s="16"/>
      <c r="VHV236" s="16"/>
      <c r="VHW236" s="16"/>
      <c r="VHX236" s="16"/>
      <c r="VHY236" s="15"/>
      <c r="VHZ236" s="15"/>
      <c r="VIA236" s="10"/>
      <c r="VIB236" s="10"/>
      <c r="VIC236" s="19"/>
      <c r="VID236" s="19"/>
      <c r="VIG236" s="16"/>
      <c r="VIH236" s="15"/>
      <c r="VII236" s="15"/>
      <c r="VIJ236" s="15"/>
      <c r="VIK236" s="16"/>
      <c r="VIL236" s="16"/>
      <c r="VIM236" s="16"/>
      <c r="VIN236" s="16"/>
      <c r="VIO236" s="16"/>
      <c r="VIP236" s="15"/>
      <c r="VIQ236" s="15"/>
      <c r="VIR236" s="10"/>
      <c r="VIS236" s="10"/>
      <c r="VIT236" s="19"/>
      <c r="VIU236" s="19"/>
      <c r="VIX236" s="16"/>
      <c r="VIY236" s="15"/>
      <c r="VIZ236" s="15"/>
      <c r="VJA236" s="15"/>
      <c r="VJB236" s="16"/>
      <c r="VJC236" s="16"/>
      <c r="VJD236" s="16"/>
      <c r="VJE236" s="16"/>
      <c r="VJF236" s="16"/>
      <c r="VJG236" s="15"/>
      <c r="VJH236" s="15"/>
      <c r="VJI236" s="10"/>
      <c r="VJJ236" s="10"/>
      <c r="VJK236" s="19"/>
      <c r="VJL236" s="19"/>
      <c r="VJO236" s="16"/>
      <c r="VJP236" s="15"/>
      <c r="VJQ236" s="15"/>
      <c r="VJR236" s="15"/>
      <c r="VJS236" s="16"/>
      <c r="VJT236" s="16"/>
      <c r="VJU236" s="16"/>
      <c r="VJV236" s="16"/>
      <c r="VJW236" s="16"/>
      <c r="VJX236" s="15"/>
      <c r="VJY236" s="15"/>
      <c r="VJZ236" s="10"/>
      <c r="VKA236" s="10"/>
      <c r="VKB236" s="19"/>
      <c r="VKC236" s="19"/>
      <c r="VKF236" s="16"/>
      <c r="VKG236" s="15"/>
      <c r="VKH236" s="15"/>
      <c r="VKI236" s="15"/>
      <c r="VKJ236" s="16"/>
      <c r="VKK236" s="16"/>
      <c r="VKL236" s="16"/>
      <c r="VKM236" s="16"/>
      <c r="VKN236" s="16"/>
      <c r="VKO236" s="15"/>
      <c r="VKP236" s="15"/>
      <c r="VKQ236" s="10"/>
      <c r="VKR236" s="10"/>
      <c r="VKS236" s="19"/>
      <c r="VKT236" s="19"/>
      <c r="VKW236" s="16"/>
      <c r="VKX236" s="15"/>
      <c r="VKY236" s="15"/>
      <c r="VKZ236" s="15"/>
      <c r="VLA236" s="16"/>
      <c r="VLB236" s="16"/>
      <c r="VLC236" s="16"/>
      <c r="VLD236" s="16"/>
      <c r="VLE236" s="16"/>
      <c r="VLF236" s="15"/>
      <c r="VLG236" s="15"/>
      <c r="VLH236" s="10"/>
      <c r="VLI236" s="10"/>
      <c r="VLJ236" s="19"/>
      <c r="VLK236" s="19"/>
      <c r="VLN236" s="16"/>
      <c r="VLO236" s="15"/>
      <c r="VLP236" s="15"/>
      <c r="VLQ236" s="15"/>
      <c r="VLR236" s="16"/>
      <c r="VLS236" s="16"/>
      <c r="VLT236" s="16"/>
      <c r="VLU236" s="16"/>
      <c r="VLV236" s="16"/>
      <c r="VLW236" s="15"/>
      <c r="VLX236" s="15"/>
      <c r="VLY236" s="10"/>
      <c r="VLZ236" s="10"/>
      <c r="VMA236" s="19"/>
      <c r="VMB236" s="19"/>
      <c r="VME236" s="16"/>
      <c r="VMF236" s="15"/>
      <c r="VMG236" s="15"/>
      <c r="VMH236" s="15"/>
      <c r="VMI236" s="16"/>
      <c r="VMJ236" s="16"/>
      <c r="VMK236" s="16"/>
      <c r="VML236" s="16"/>
      <c r="VMM236" s="16"/>
      <c r="VMN236" s="15"/>
      <c r="VMO236" s="15"/>
      <c r="VMP236" s="10"/>
      <c r="VMQ236" s="10"/>
      <c r="VMR236" s="19"/>
      <c r="VMS236" s="19"/>
      <c r="VMV236" s="16"/>
      <c r="VMW236" s="15"/>
      <c r="VMX236" s="15"/>
      <c r="VMY236" s="15"/>
      <c r="VMZ236" s="16"/>
      <c r="VNA236" s="16"/>
      <c r="VNB236" s="16"/>
      <c r="VNC236" s="16"/>
      <c r="VND236" s="16"/>
      <c r="VNE236" s="15"/>
      <c r="VNF236" s="15"/>
      <c r="VNG236" s="10"/>
      <c r="VNH236" s="10"/>
      <c r="VNI236" s="19"/>
      <c r="VNJ236" s="19"/>
      <c r="VNM236" s="16"/>
      <c r="VNN236" s="15"/>
      <c r="VNO236" s="15"/>
      <c r="VNP236" s="15"/>
      <c r="VNQ236" s="16"/>
      <c r="VNR236" s="16"/>
      <c r="VNS236" s="16"/>
      <c r="VNT236" s="16"/>
      <c r="VNU236" s="16"/>
      <c r="VNV236" s="15"/>
      <c r="VNW236" s="15"/>
      <c r="VNX236" s="10"/>
      <c r="VNY236" s="10"/>
      <c r="VNZ236" s="19"/>
      <c r="VOA236" s="19"/>
      <c r="VOD236" s="16"/>
      <c r="VOE236" s="15"/>
      <c r="VOF236" s="15"/>
      <c r="VOG236" s="15"/>
      <c r="VOH236" s="16"/>
      <c r="VOI236" s="16"/>
      <c r="VOJ236" s="16"/>
      <c r="VOK236" s="16"/>
      <c r="VOL236" s="16"/>
      <c r="VOM236" s="15"/>
      <c r="VON236" s="15"/>
      <c r="VOO236" s="10"/>
      <c r="VOP236" s="10"/>
      <c r="VOQ236" s="19"/>
      <c r="VOR236" s="19"/>
      <c r="VOU236" s="16"/>
      <c r="VOV236" s="15"/>
      <c r="VOW236" s="15"/>
      <c r="VOX236" s="15"/>
      <c r="VOY236" s="16"/>
      <c r="VOZ236" s="16"/>
      <c r="VPA236" s="16"/>
      <c r="VPB236" s="16"/>
      <c r="VPC236" s="16"/>
      <c r="VPD236" s="15"/>
      <c r="VPE236" s="15"/>
      <c r="VPF236" s="10"/>
      <c r="VPG236" s="10"/>
      <c r="VPH236" s="19"/>
      <c r="VPI236" s="19"/>
      <c r="VPL236" s="16"/>
      <c r="VPM236" s="15"/>
      <c r="VPN236" s="15"/>
      <c r="VPO236" s="15"/>
      <c r="VPP236" s="16"/>
      <c r="VPQ236" s="16"/>
      <c r="VPR236" s="16"/>
      <c r="VPS236" s="16"/>
      <c r="VPT236" s="16"/>
      <c r="VPU236" s="15"/>
      <c r="VPV236" s="15"/>
      <c r="VPW236" s="10"/>
      <c r="VPX236" s="10"/>
      <c r="VPY236" s="19"/>
      <c r="VPZ236" s="19"/>
      <c r="VQC236" s="16"/>
      <c r="VQD236" s="15"/>
      <c r="VQE236" s="15"/>
      <c r="VQF236" s="15"/>
      <c r="VQG236" s="16"/>
      <c r="VQH236" s="16"/>
      <c r="VQI236" s="16"/>
      <c r="VQJ236" s="16"/>
      <c r="VQK236" s="16"/>
      <c r="VQL236" s="15"/>
      <c r="VQM236" s="15"/>
      <c r="VQN236" s="10"/>
      <c r="VQO236" s="10"/>
      <c r="VQP236" s="19"/>
      <c r="VQQ236" s="19"/>
      <c r="VQT236" s="16"/>
      <c r="VQU236" s="15"/>
      <c r="VQV236" s="15"/>
      <c r="VQW236" s="15"/>
      <c r="VQX236" s="16"/>
      <c r="VQY236" s="16"/>
      <c r="VQZ236" s="16"/>
      <c r="VRA236" s="16"/>
      <c r="VRB236" s="16"/>
      <c r="VRC236" s="15"/>
      <c r="VRD236" s="15"/>
      <c r="VRE236" s="10"/>
      <c r="VRF236" s="10"/>
      <c r="VRG236" s="19"/>
      <c r="VRH236" s="19"/>
      <c r="VRK236" s="16"/>
      <c r="VRL236" s="15"/>
      <c r="VRM236" s="15"/>
      <c r="VRN236" s="15"/>
      <c r="VRO236" s="16"/>
      <c r="VRP236" s="16"/>
      <c r="VRQ236" s="16"/>
      <c r="VRR236" s="16"/>
      <c r="VRS236" s="16"/>
      <c r="VRT236" s="15"/>
      <c r="VRU236" s="15"/>
      <c r="VRV236" s="10"/>
      <c r="VRW236" s="10"/>
      <c r="VRX236" s="19"/>
      <c r="VRY236" s="19"/>
      <c r="VSB236" s="16"/>
      <c r="VSC236" s="15"/>
      <c r="VSD236" s="15"/>
      <c r="VSE236" s="15"/>
      <c r="VSF236" s="16"/>
      <c r="VSG236" s="16"/>
      <c r="VSH236" s="16"/>
      <c r="VSI236" s="16"/>
      <c r="VSJ236" s="16"/>
      <c r="VSK236" s="15"/>
      <c r="VSL236" s="15"/>
      <c r="VSM236" s="10"/>
      <c r="VSN236" s="10"/>
      <c r="VSO236" s="19"/>
      <c r="VSP236" s="19"/>
      <c r="VSS236" s="16"/>
      <c r="VST236" s="15"/>
      <c r="VSU236" s="15"/>
      <c r="VSV236" s="15"/>
      <c r="VSW236" s="16"/>
      <c r="VSX236" s="16"/>
      <c r="VSY236" s="16"/>
      <c r="VSZ236" s="16"/>
      <c r="VTA236" s="16"/>
      <c r="VTB236" s="15"/>
      <c r="VTC236" s="15"/>
      <c r="VTD236" s="10"/>
      <c r="VTE236" s="10"/>
      <c r="VTF236" s="19"/>
      <c r="VTG236" s="19"/>
      <c r="VTJ236" s="16"/>
      <c r="VTK236" s="15"/>
      <c r="VTL236" s="15"/>
      <c r="VTM236" s="15"/>
      <c r="VTN236" s="16"/>
      <c r="VTO236" s="16"/>
      <c r="VTP236" s="16"/>
      <c r="VTQ236" s="16"/>
      <c r="VTR236" s="16"/>
      <c r="VTS236" s="15"/>
      <c r="VTT236" s="15"/>
      <c r="VTU236" s="10"/>
      <c r="VTV236" s="10"/>
      <c r="VTW236" s="19"/>
      <c r="VTX236" s="19"/>
      <c r="VUA236" s="16"/>
      <c r="VUB236" s="15"/>
      <c r="VUC236" s="15"/>
      <c r="VUD236" s="15"/>
      <c r="VUE236" s="16"/>
      <c r="VUF236" s="16"/>
      <c r="VUG236" s="16"/>
      <c r="VUH236" s="16"/>
      <c r="VUI236" s="16"/>
      <c r="VUJ236" s="15"/>
      <c r="VUK236" s="15"/>
      <c r="VUL236" s="10"/>
      <c r="VUM236" s="10"/>
      <c r="VUN236" s="19"/>
      <c r="VUO236" s="19"/>
      <c r="VUR236" s="16"/>
      <c r="VUS236" s="15"/>
      <c r="VUT236" s="15"/>
      <c r="VUU236" s="15"/>
      <c r="VUV236" s="16"/>
      <c r="VUW236" s="16"/>
      <c r="VUX236" s="16"/>
      <c r="VUY236" s="16"/>
      <c r="VUZ236" s="16"/>
      <c r="VVA236" s="15"/>
      <c r="VVB236" s="15"/>
      <c r="VVC236" s="10"/>
      <c r="VVD236" s="10"/>
      <c r="VVE236" s="19"/>
      <c r="VVF236" s="19"/>
      <c r="VVI236" s="16"/>
      <c r="VVJ236" s="15"/>
      <c r="VVK236" s="15"/>
      <c r="VVL236" s="15"/>
      <c r="VVM236" s="16"/>
      <c r="VVN236" s="16"/>
      <c r="VVO236" s="16"/>
      <c r="VVP236" s="16"/>
      <c r="VVQ236" s="16"/>
      <c r="VVR236" s="15"/>
      <c r="VVS236" s="15"/>
      <c r="VVT236" s="10"/>
      <c r="VVU236" s="10"/>
      <c r="VVV236" s="19"/>
      <c r="VVW236" s="19"/>
      <c r="VVZ236" s="16"/>
      <c r="VWA236" s="15"/>
      <c r="VWB236" s="15"/>
      <c r="VWC236" s="15"/>
      <c r="VWD236" s="16"/>
      <c r="VWE236" s="16"/>
      <c r="VWF236" s="16"/>
      <c r="VWG236" s="16"/>
      <c r="VWH236" s="16"/>
      <c r="VWI236" s="15"/>
      <c r="VWJ236" s="15"/>
      <c r="VWK236" s="10"/>
      <c r="VWL236" s="10"/>
      <c r="VWM236" s="19"/>
      <c r="VWN236" s="19"/>
      <c r="VWQ236" s="16"/>
      <c r="VWR236" s="15"/>
      <c r="VWS236" s="15"/>
      <c r="VWT236" s="15"/>
      <c r="VWU236" s="16"/>
      <c r="VWV236" s="16"/>
      <c r="VWW236" s="16"/>
      <c r="VWX236" s="16"/>
      <c r="VWY236" s="16"/>
      <c r="VWZ236" s="15"/>
      <c r="VXA236" s="15"/>
      <c r="VXB236" s="10"/>
      <c r="VXC236" s="10"/>
      <c r="VXD236" s="19"/>
      <c r="VXE236" s="19"/>
      <c r="VXH236" s="16"/>
      <c r="VXI236" s="15"/>
      <c r="VXJ236" s="15"/>
      <c r="VXK236" s="15"/>
      <c r="VXL236" s="16"/>
      <c r="VXM236" s="16"/>
      <c r="VXN236" s="16"/>
      <c r="VXO236" s="16"/>
      <c r="VXP236" s="16"/>
      <c r="VXQ236" s="15"/>
      <c r="VXR236" s="15"/>
      <c r="VXS236" s="10"/>
      <c r="VXT236" s="10"/>
      <c r="VXU236" s="19"/>
      <c r="VXV236" s="19"/>
      <c r="VXY236" s="16"/>
      <c r="VXZ236" s="15"/>
      <c r="VYA236" s="15"/>
      <c r="VYB236" s="15"/>
      <c r="VYC236" s="16"/>
      <c r="VYD236" s="16"/>
      <c r="VYE236" s="16"/>
      <c r="VYF236" s="16"/>
      <c r="VYG236" s="16"/>
      <c r="VYH236" s="15"/>
      <c r="VYI236" s="15"/>
      <c r="VYJ236" s="10"/>
      <c r="VYK236" s="10"/>
      <c r="VYL236" s="19"/>
      <c r="VYM236" s="19"/>
      <c r="VYP236" s="16"/>
      <c r="VYQ236" s="15"/>
      <c r="VYR236" s="15"/>
      <c r="VYS236" s="15"/>
      <c r="VYT236" s="16"/>
      <c r="VYU236" s="16"/>
      <c r="VYV236" s="16"/>
      <c r="VYW236" s="16"/>
      <c r="VYX236" s="16"/>
      <c r="VYY236" s="15"/>
      <c r="VYZ236" s="15"/>
      <c r="VZA236" s="10"/>
      <c r="VZB236" s="10"/>
      <c r="VZC236" s="19"/>
      <c r="VZD236" s="19"/>
      <c r="VZG236" s="16"/>
      <c r="VZH236" s="15"/>
      <c r="VZI236" s="15"/>
      <c r="VZJ236" s="15"/>
      <c r="VZK236" s="16"/>
      <c r="VZL236" s="16"/>
      <c r="VZM236" s="16"/>
      <c r="VZN236" s="16"/>
      <c r="VZO236" s="16"/>
      <c r="VZP236" s="15"/>
      <c r="VZQ236" s="15"/>
      <c r="VZR236" s="10"/>
      <c r="VZS236" s="10"/>
      <c r="VZT236" s="19"/>
      <c r="VZU236" s="19"/>
      <c r="VZX236" s="16"/>
      <c r="VZY236" s="15"/>
      <c r="VZZ236" s="15"/>
      <c r="WAA236" s="15"/>
      <c r="WAB236" s="16"/>
      <c r="WAC236" s="16"/>
      <c r="WAD236" s="16"/>
      <c r="WAE236" s="16"/>
      <c r="WAF236" s="16"/>
      <c r="WAG236" s="15"/>
      <c r="WAH236" s="15"/>
      <c r="WAI236" s="10"/>
      <c r="WAJ236" s="10"/>
      <c r="WAK236" s="19"/>
      <c r="WAL236" s="19"/>
      <c r="WAO236" s="16"/>
      <c r="WAP236" s="15"/>
      <c r="WAQ236" s="15"/>
      <c r="WAR236" s="15"/>
      <c r="WAS236" s="16"/>
      <c r="WAT236" s="16"/>
      <c r="WAU236" s="16"/>
      <c r="WAV236" s="16"/>
      <c r="WAW236" s="16"/>
      <c r="WAX236" s="15"/>
      <c r="WAY236" s="15"/>
      <c r="WAZ236" s="10"/>
      <c r="WBA236" s="10"/>
      <c r="WBB236" s="19"/>
      <c r="WBC236" s="19"/>
      <c r="WBF236" s="16"/>
      <c r="WBG236" s="15"/>
      <c r="WBH236" s="15"/>
      <c r="WBI236" s="15"/>
      <c r="WBJ236" s="16"/>
      <c r="WBK236" s="16"/>
      <c r="WBL236" s="16"/>
      <c r="WBM236" s="16"/>
      <c r="WBN236" s="16"/>
      <c r="WBO236" s="15"/>
      <c r="WBP236" s="15"/>
      <c r="WBQ236" s="10"/>
      <c r="WBR236" s="10"/>
      <c r="WBS236" s="19"/>
      <c r="WBT236" s="19"/>
      <c r="WBW236" s="16"/>
      <c r="WBX236" s="15"/>
      <c r="WBY236" s="15"/>
      <c r="WBZ236" s="15"/>
      <c r="WCA236" s="16"/>
      <c r="WCB236" s="16"/>
      <c r="WCC236" s="16"/>
      <c r="WCD236" s="16"/>
      <c r="WCE236" s="16"/>
      <c r="WCF236" s="15"/>
      <c r="WCG236" s="15"/>
      <c r="WCH236" s="10"/>
      <c r="WCI236" s="10"/>
      <c r="WCJ236" s="19"/>
      <c r="WCK236" s="19"/>
      <c r="WCN236" s="16"/>
      <c r="WCO236" s="15"/>
      <c r="WCP236" s="15"/>
      <c r="WCQ236" s="15"/>
      <c r="WCR236" s="16"/>
      <c r="WCS236" s="16"/>
      <c r="WCT236" s="16"/>
      <c r="WCU236" s="16"/>
      <c r="WCV236" s="16"/>
      <c r="WCW236" s="15"/>
      <c r="WCX236" s="15"/>
      <c r="WCY236" s="10"/>
      <c r="WCZ236" s="10"/>
      <c r="WDA236" s="19"/>
      <c r="WDB236" s="19"/>
      <c r="WDE236" s="16"/>
      <c r="WDF236" s="15"/>
      <c r="WDG236" s="15"/>
      <c r="WDH236" s="15"/>
      <c r="WDI236" s="16"/>
      <c r="WDJ236" s="16"/>
      <c r="WDK236" s="16"/>
      <c r="WDL236" s="16"/>
      <c r="WDM236" s="16"/>
      <c r="WDN236" s="15"/>
      <c r="WDO236" s="15"/>
      <c r="WDP236" s="10"/>
      <c r="WDQ236" s="10"/>
      <c r="WDR236" s="19"/>
      <c r="WDS236" s="19"/>
      <c r="WDV236" s="16"/>
      <c r="WDW236" s="15"/>
      <c r="WDX236" s="15"/>
      <c r="WDY236" s="15"/>
      <c r="WDZ236" s="16"/>
      <c r="WEA236" s="16"/>
      <c r="WEB236" s="16"/>
      <c r="WEC236" s="16"/>
      <c r="WED236" s="16"/>
      <c r="WEE236" s="15"/>
      <c r="WEF236" s="15"/>
      <c r="WEG236" s="10"/>
      <c r="WEH236" s="10"/>
      <c r="WEI236" s="19"/>
      <c r="WEJ236" s="19"/>
      <c r="WEM236" s="16"/>
      <c r="WEN236" s="15"/>
      <c r="WEO236" s="15"/>
      <c r="WEP236" s="15"/>
      <c r="WEQ236" s="16"/>
      <c r="WER236" s="16"/>
      <c r="WES236" s="16"/>
      <c r="WET236" s="16"/>
      <c r="WEU236" s="16"/>
      <c r="WEV236" s="15"/>
      <c r="WEW236" s="15"/>
      <c r="WEX236" s="10"/>
      <c r="WEY236" s="10"/>
      <c r="WEZ236" s="19"/>
      <c r="WFA236" s="19"/>
      <c r="WFD236" s="16"/>
      <c r="WFE236" s="15"/>
      <c r="WFF236" s="15"/>
      <c r="WFG236" s="15"/>
      <c r="WFH236" s="16"/>
      <c r="WFI236" s="16"/>
      <c r="WFJ236" s="16"/>
      <c r="WFK236" s="16"/>
      <c r="WFL236" s="16"/>
      <c r="WFM236" s="15"/>
      <c r="WFN236" s="15"/>
      <c r="WFO236" s="10"/>
      <c r="WFP236" s="10"/>
      <c r="WFQ236" s="19"/>
      <c r="WFR236" s="19"/>
      <c r="WFU236" s="16"/>
      <c r="WFV236" s="15"/>
      <c r="WFW236" s="15"/>
      <c r="WFX236" s="15"/>
      <c r="WFY236" s="16"/>
      <c r="WFZ236" s="16"/>
      <c r="WGA236" s="16"/>
      <c r="WGB236" s="16"/>
      <c r="WGC236" s="16"/>
      <c r="WGD236" s="15"/>
      <c r="WGE236" s="15"/>
      <c r="WGF236" s="10"/>
      <c r="WGG236" s="10"/>
      <c r="WGH236" s="19"/>
      <c r="WGI236" s="19"/>
      <c r="WGL236" s="16"/>
      <c r="WGM236" s="15"/>
      <c r="WGN236" s="15"/>
      <c r="WGO236" s="15"/>
      <c r="WGP236" s="16"/>
      <c r="WGQ236" s="16"/>
      <c r="WGR236" s="16"/>
      <c r="WGS236" s="16"/>
      <c r="WGT236" s="16"/>
      <c r="WGU236" s="15"/>
      <c r="WGV236" s="15"/>
      <c r="WGW236" s="10"/>
      <c r="WGX236" s="10"/>
      <c r="WGY236" s="19"/>
      <c r="WGZ236" s="19"/>
      <c r="WHC236" s="16"/>
      <c r="WHD236" s="15"/>
      <c r="WHE236" s="15"/>
      <c r="WHF236" s="15"/>
      <c r="WHG236" s="16"/>
      <c r="WHH236" s="16"/>
      <c r="WHI236" s="16"/>
      <c r="WHJ236" s="16"/>
      <c r="WHK236" s="16"/>
      <c r="WHL236" s="15"/>
      <c r="WHM236" s="15"/>
      <c r="WHN236" s="10"/>
      <c r="WHO236" s="10"/>
      <c r="WHP236" s="19"/>
      <c r="WHQ236" s="19"/>
      <c r="WHT236" s="16"/>
      <c r="WHU236" s="15"/>
      <c r="WHV236" s="15"/>
      <c r="WHW236" s="15"/>
      <c r="WHX236" s="16"/>
      <c r="WHY236" s="16"/>
      <c r="WHZ236" s="16"/>
      <c r="WIA236" s="16"/>
      <c r="WIB236" s="16"/>
      <c r="WIC236" s="15"/>
      <c r="WID236" s="15"/>
      <c r="WIE236" s="10"/>
      <c r="WIF236" s="10"/>
      <c r="WIG236" s="19"/>
      <c r="WIH236" s="19"/>
      <c r="WIK236" s="16"/>
      <c r="WIL236" s="15"/>
      <c r="WIM236" s="15"/>
      <c r="WIN236" s="15"/>
      <c r="WIO236" s="16"/>
      <c r="WIP236" s="16"/>
      <c r="WIQ236" s="16"/>
      <c r="WIR236" s="16"/>
      <c r="WIS236" s="16"/>
      <c r="WIT236" s="15"/>
      <c r="WIU236" s="15"/>
      <c r="WIV236" s="10"/>
      <c r="WIW236" s="10"/>
      <c r="WIX236" s="19"/>
      <c r="WIY236" s="19"/>
      <c r="WJB236" s="16"/>
      <c r="WJC236" s="15"/>
      <c r="WJD236" s="15"/>
      <c r="WJE236" s="15"/>
      <c r="WJF236" s="16"/>
      <c r="WJG236" s="16"/>
      <c r="WJH236" s="16"/>
      <c r="WJI236" s="16"/>
      <c r="WJJ236" s="16"/>
      <c r="WJK236" s="15"/>
      <c r="WJL236" s="15"/>
      <c r="WJM236" s="10"/>
      <c r="WJN236" s="10"/>
      <c r="WJO236" s="19"/>
      <c r="WJP236" s="19"/>
      <c r="WJS236" s="16"/>
      <c r="WJT236" s="15"/>
      <c r="WJU236" s="15"/>
      <c r="WJV236" s="15"/>
      <c r="WJW236" s="16"/>
      <c r="WJX236" s="16"/>
      <c r="WJY236" s="16"/>
      <c r="WJZ236" s="16"/>
      <c r="WKA236" s="16"/>
      <c r="WKB236" s="15"/>
      <c r="WKC236" s="15"/>
      <c r="WKD236" s="10"/>
      <c r="WKE236" s="10"/>
      <c r="WKF236" s="19"/>
      <c r="WKG236" s="19"/>
      <c r="WKJ236" s="16"/>
      <c r="WKK236" s="15"/>
      <c r="WKL236" s="15"/>
      <c r="WKM236" s="15"/>
      <c r="WKN236" s="16"/>
      <c r="WKO236" s="16"/>
      <c r="WKP236" s="16"/>
      <c r="WKQ236" s="16"/>
      <c r="WKR236" s="16"/>
      <c r="WKS236" s="15"/>
      <c r="WKT236" s="15"/>
      <c r="WKU236" s="10"/>
      <c r="WKV236" s="10"/>
      <c r="WKW236" s="19"/>
      <c r="WKX236" s="19"/>
      <c r="WLA236" s="16"/>
      <c r="WLB236" s="15"/>
      <c r="WLC236" s="15"/>
      <c r="WLD236" s="15"/>
      <c r="WLE236" s="16"/>
      <c r="WLF236" s="16"/>
      <c r="WLG236" s="16"/>
      <c r="WLH236" s="16"/>
      <c r="WLI236" s="16"/>
      <c r="WLJ236" s="15"/>
      <c r="WLK236" s="15"/>
      <c r="WLL236" s="10"/>
      <c r="WLM236" s="10"/>
      <c r="WLN236" s="19"/>
      <c r="WLO236" s="19"/>
      <c r="WLR236" s="16"/>
      <c r="WLS236" s="15"/>
      <c r="WLT236" s="15"/>
      <c r="WLU236" s="15"/>
      <c r="WLV236" s="16"/>
      <c r="WLW236" s="16"/>
      <c r="WLX236" s="16"/>
      <c r="WLY236" s="16"/>
      <c r="WLZ236" s="16"/>
      <c r="WMA236" s="15"/>
      <c r="WMB236" s="15"/>
      <c r="WMC236" s="10"/>
      <c r="WMD236" s="10"/>
      <c r="WME236" s="19"/>
      <c r="WMF236" s="19"/>
      <c r="WMI236" s="16"/>
      <c r="WMJ236" s="15"/>
      <c r="WMK236" s="15"/>
      <c r="WML236" s="15"/>
      <c r="WMM236" s="16"/>
      <c r="WMN236" s="16"/>
      <c r="WMO236" s="16"/>
      <c r="WMP236" s="16"/>
      <c r="WMQ236" s="16"/>
      <c r="WMR236" s="15"/>
      <c r="WMS236" s="15"/>
      <c r="WMT236" s="10"/>
      <c r="WMU236" s="10"/>
      <c r="WMV236" s="19"/>
      <c r="WMW236" s="19"/>
      <c r="WMZ236" s="16"/>
      <c r="WNA236" s="15"/>
      <c r="WNB236" s="15"/>
      <c r="WNC236" s="15"/>
      <c r="WND236" s="16"/>
      <c r="WNE236" s="16"/>
      <c r="WNF236" s="16"/>
      <c r="WNG236" s="16"/>
      <c r="WNH236" s="16"/>
      <c r="WNI236" s="15"/>
      <c r="WNJ236" s="15"/>
      <c r="WNK236" s="10"/>
      <c r="WNL236" s="10"/>
      <c r="WNM236" s="19"/>
      <c r="WNN236" s="19"/>
      <c r="WNQ236" s="16"/>
      <c r="WNR236" s="15"/>
      <c r="WNS236" s="15"/>
      <c r="WNT236" s="15"/>
      <c r="WNU236" s="16"/>
      <c r="WNV236" s="16"/>
      <c r="WNW236" s="16"/>
      <c r="WNX236" s="16"/>
      <c r="WNY236" s="16"/>
      <c r="WNZ236" s="15"/>
      <c r="WOA236" s="15"/>
      <c r="WOB236" s="10"/>
      <c r="WOC236" s="10"/>
      <c r="WOD236" s="19"/>
      <c r="WOE236" s="19"/>
      <c r="WOH236" s="16"/>
      <c r="WOI236" s="15"/>
      <c r="WOJ236" s="15"/>
      <c r="WOK236" s="15"/>
      <c r="WOL236" s="16"/>
      <c r="WOM236" s="16"/>
      <c r="WON236" s="16"/>
      <c r="WOO236" s="16"/>
      <c r="WOP236" s="16"/>
      <c r="WOQ236" s="15"/>
      <c r="WOR236" s="15"/>
      <c r="WOS236" s="10"/>
      <c r="WOT236" s="10"/>
      <c r="WOU236" s="19"/>
      <c r="WOV236" s="19"/>
      <c r="WOY236" s="16"/>
      <c r="WOZ236" s="15"/>
      <c r="WPA236" s="15"/>
      <c r="WPB236" s="15"/>
      <c r="WPC236" s="16"/>
      <c r="WPD236" s="16"/>
      <c r="WPE236" s="16"/>
      <c r="WPF236" s="16"/>
      <c r="WPG236" s="16"/>
      <c r="WPH236" s="15"/>
      <c r="WPI236" s="15"/>
      <c r="WPJ236" s="10"/>
      <c r="WPK236" s="10"/>
      <c r="WPL236" s="19"/>
      <c r="WPM236" s="19"/>
      <c r="WPP236" s="16"/>
      <c r="WPQ236" s="15"/>
      <c r="WPR236" s="15"/>
      <c r="WPS236" s="15"/>
      <c r="WPT236" s="16"/>
      <c r="WPU236" s="16"/>
      <c r="WPV236" s="16"/>
      <c r="WPW236" s="16"/>
      <c r="WPX236" s="16"/>
      <c r="WPY236" s="15"/>
      <c r="WPZ236" s="15"/>
      <c r="WQA236" s="10"/>
      <c r="WQB236" s="10"/>
      <c r="WQC236" s="19"/>
      <c r="WQD236" s="19"/>
      <c r="WQG236" s="16"/>
      <c r="WQH236" s="15"/>
      <c r="WQI236" s="15"/>
      <c r="WQJ236" s="15"/>
      <c r="WQK236" s="16"/>
      <c r="WQL236" s="16"/>
      <c r="WQM236" s="16"/>
      <c r="WQN236" s="16"/>
      <c r="WQO236" s="16"/>
      <c r="WQP236" s="15"/>
      <c r="WQQ236" s="15"/>
      <c r="WQR236" s="10"/>
      <c r="WQS236" s="10"/>
      <c r="WQT236" s="19"/>
      <c r="WQU236" s="19"/>
      <c r="WQX236" s="16"/>
      <c r="WQY236" s="15"/>
      <c r="WQZ236" s="15"/>
      <c r="WRA236" s="15"/>
      <c r="WRB236" s="16"/>
      <c r="WRC236" s="16"/>
      <c r="WRD236" s="16"/>
      <c r="WRE236" s="16"/>
      <c r="WRF236" s="16"/>
      <c r="WRG236" s="15"/>
      <c r="WRH236" s="15"/>
      <c r="WRI236" s="10"/>
      <c r="WRJ236" s="10"/>
      <c r="WRK236" s="19"/>
      <c r="WRL236" s="19"/>
      <c r="WRO236" s="16"/>
      <c r="WRP236" s="15"/>
      <c r="WRQ236" s="15"/>
      <c r="WRR236" s="15"/>
      <c r="WRS236" s="16"/>
      <c r="WRT236" s="16"/>
      <c r="WRU236" s="16"/>
      <c r="WRV236" s="16"/>
      <c r="WRW236" s="16"/>
      <c r="WRX236" s="15"/>
      <c r="WRY236" s="15"/>
      <c r="WRZ236" s="10"/>
      <c r="WSA236" s="10"/>
      <c r="WSB236" s="19"/>
      <c r="WSC236" s="19"/>
      <c r="WSF236" s="16"/>
      <c r="WSG236" s="15"/>
      <c r="WSH236" s="15"/>
      <c r="WSI236" s="15"/>
      <c r="WSJ236" s="16"/>
      <c r="WSK236" s="16"/>
      <c r="WSL236" s="16"/>
      <c r="WSM236" s="16"/>
      <c r="WSN236" s="16"/>
      <c r="WSO236" s="15"/>
      <c r="WSP236" s="15"/>
      <c r="WSQ236" s="10"/>
      <c r="WSR236" s="10"/>
      <c r="WSS236" s="19"/>
      <c r="WST236" s="19"/>
      <c r="WSW236" s="16"/>
      <c r="WSX236" s="15"/>
      <c r="WSY236" s="15"/>
      <c r="WSZ236" s="15"/>
      <c r="WTA236" s="16"/>
      <c r="WTB236" s="16"/>
      <c r="WTC236" s="16"/>
      <c r="WTD236" s="16"/>
      <c r="WTE236" s="16"/>
      <c r="WTF236" s="15"/>
      <c r="WTG236" s="15"/>
      <c r="WTH236" s="10"/>
      <c r="WTI236" s="10"/>
      <c r="WTJ236" s="19"/>
      <c r="WTK236" s="19"/>
      <c r="WTN236" s="16"/>
      <c r="WTO236" s="15"/>
      <c r="WTP236" s="15"/>
      <c r="WTQ236" s="15"/>
      <c r="WTR236" s="16"/>
      <c r="WTS236" s="16"/>
      <c r="WTT236" s="16"/>
      <c r="WTU236" s="16"/>
      <c r="WTV236" s="16"/>
      <c r="WTW236" s="15"/>
      <c r="WTX236" s="15"/>
      <c r="WTY236" s="10"/>
      <c r="WTZ236" s="10"/>
      <c r="WUA236" s="19"/>
      <c r="WUB236" s="19"/>
      <c r="WUE236" s="16"/>
      <c r="WUF236" s="15"/>
      <c r="WUG236" s="15"/>
      <c r="WUH236" s="15"/>
      <c r="WUI236" s="16"/>
      <c r="WUJ236" s="16"/>
      <c r="WUK236" s="16"/>
      <c r="WUL236" s="16"/>
      <c r="WUM236" s="16"/>
      <c r="WUN236" s="15"/>
      <c r="WUO236" s="15"/>
      <c r="WUP236" s="10"/>
      <c r="WUQ236" s="10"/>
      <c r="WUR236" s="19"/>
      <c r="WUS236" s="19"/>
      <c r="WUV236" s="16"/>
      <c r="WUW236" s="15"/>
      <c r="WUX236" s="15"/>
      <c r="WUY236" s="15"/>
      <c r="WUZ236" s="16"/>
      <c r="WVA236" s="16"/>
      <c r="WVB236" s="16"/>
      <c r="WVC236" s="16"/>
      <c r="WVD236" s="16"/>
      <c r="WVE236" s="15"/>
      <c r="WVF236" s="15"/>
      <c r="WVG236" s="10"/>
      <c r="WVH236" s="10"/>
      <c r="WVI236" s="19"/>
      <c r="WVJ236" s="19"/>
      <c r="WVM236" s="16"/>
      <c r="WVN236" s="15"/>
      <c r="WVO236" s="15"/>
      <c r="WVP236" s="15"/>
      <c r="WVQ236" s="16"/>
      <c r="WVR236" s="16"/>
      <c r="WVS236" s="16"/>
      <c r="WVT236" s="16"/>
      <c r="WVU236" s="16"/>
      <c r="WVV236" s="15"/>
      <c r="WVW236" s="15"/>
      <c r="WVX236" s="10"/>
      <c r="WVY236" s="10"/>
      <c r="WVZ236" s="19"/>
      <c r="WWA236" s="19"/>
      <c r="WWD236" s="16"/>
      <c r="WWE236" s="15"/>
      <c r="WWF236" s="15"/>
      <c r="WWG236" s="15"/>
      <c r="WWH236" s="16"/>
      <c r="WWI236" s="16"/>
      <c r="WWJ236" s="16"/>
      <c r="WWK236" s="16"/>
      <c r="WWL236" s="16"/>
      <c r="WWM236" s="15"/>
      <c r="WWN236" s="15"/>
      <c r="WWO236" s="10"/>
      <c r="WWP236" s="10"/>
      <c r="WWQ236" s="19"/>
      <c r="WWR236" s="19"/>
      <c r="WWU236" s="16"/>
      <c r="WWV236" s="15"/>
      <c r="WWW236" s="15"/>
      <c r="WWX236" s="15"/>
      <c r="WWY236" s="16"/>
      <c r="WWZ236" s="16"/>
      <c r="WXA236" s="16"/>
      <c r="WXB236" s="16"/>
      <c r="WXC236" s="16"/>
      <c r="WXD236" s="15"/>
      <c r="WXE236" s="15"/>
      <c r="WXF236" s="10"/>
      <c r="WXG236" s="10"/>
      <c r="WXH236" s="19"/>
      <c r="WXI236" s="19"/>
      <c r="WXL236" s="16"/>
      <c r="WXM236" s="15"/>
      <c r="WXN236" s="15"/>
      <c r="WXO236" s="15"/>
      <c r="WXP236" s="16"/>
      <c r="WXQ236" s="16"/>
      <c r="WXR236" s="16"/>
      <c r="WXS236" s="16"/>
      <c r="WXT236" s="16"/>
      <c r="WXU236" s="15"/>
      <c r="WXV236" s="15"/>
      <c r="WXW236" s="10"/>
      <c r="WXX236" s="10"/>
      <c r="WXY236" s="19"/>
      <c r="WXZ236" s="19"/>
      <c r="WYC236" s="16"/>
      <c r="WYD236" s="15"/>
      <c r="WYE236" s="15"/>
      <c r="WYF236" s="15"/>
      <c r="WYG236" s="16"/>
      <c r="WYH236" s="16"/>
      <c r="WYI236" s="16"/>
      <c r="WYJ236" s="16"/>
      <c r="WYK236" s="16"/>
      <c r="WYL236" s="15"/>
      <c r="WYM236" s="15"/>
      <c r="WYN236" s="10"/>
      <c r="WYO236" s="10"/>
      <c r="WYP236" s="19"/>
      <c r="WYQ236" s="19"/>
      <c r="WYT236" s="16"/>
      <c r="WYU236" s="15"/>
      <c r="WYV236" s="15"/>
      <c r="WYW236" s="15"/>
      <c r="WYX236" s="16"/>
      <c r="WYY236" s="16"/>
      <c r="WYZ236" s="16"/>
      <c r="WZA236" s="16"/>
      <c r="WZB236" s="16"/>
      <c r="WZC236" s="15"/>
      <c r="WZD236" s="15"/>
      <c r="WZE236" s="10"/>
      <c r="WZF236" s="10"/>
      <c r="WZG236" s="19"/>
      <c r="WZH236" s="19"/>
      <c r="WZK236" s="16"/>
      <c r="WZL236" s="15"/>
      <c r="WZM236" s="15"/>
      <c r="WZN236" s="15"/>
      <c r="WZO236" s="16"/>
      <c r="WZP236" s="16"/>
      <c r="WZQ236" s="16"/>
      <c r="WZR236" s="16"/>
      <c r="WZS236" s="16"/>
      <c r="WZT236" s="15"/>
      <c r="WZU236" s="15"/>
      <c r="WZV236" s="10"/>
      <c r="WZW236" s="10"/>
      <c r="WZX236" s="19"/>
      <c r="WZY236" s="19"/>
      <c r="XAB236" s="16"/>
      <c r="XAC236" s="15"/>
      <c r="XAD236" s="15"/>
      <c r="XAE236" s="15"/>
      <c r="XAF236" s="16"/>
      <c r="XAG236" s="16"/>
      <c r="XAH236" s="16"/>
      <c r="XAI236" s="16"/>
      <c r="XAJ236" s="16"/>
      <c r="XAK236" s="15"/>
      <c r="XAL236" s="15"/>
      <c r="XAM236" s="10"/>
      <c r="XAN236" s="10"/>
      <c r="XAO236" s="19"/>
      <c r="XAP236" s="19"/>
      <c r="XAS236" s="16"/>
      <c r="XAT236" s="15"/>
      <c r="XAU236" s="15"/>
      <c r="XAV236" s="15"/>
      <c r="XAW236" s="16"/>
      <c r="XAX236" s="16"/>
      <c r="XAY236" s="16"/>
      <c r="XAZ236" s="16"/>
      <c r="XBA236" s="16"/>
      <c r="XBB236" s="15"/>
      <c r="XBC236" s="15"/>
      <c r="XBD236" s="10"/>
      <c r="XBE236" s="10"/>
      <c r="XBF236" s="19"/>
      <c r="XBG236" s="19"/>
      <c r="XBJ236" s="16"/>
      <c r="XBK236" s="15"/>
      <c r="XBL236" s="15"/>
      <c r="XBM236" s="15"/>
      <c r="XBN236" s="16"/>
      <c r="XBO236" s="16"/>
      <c r="XBP236" s="16"/>
      <c r="XBQ236" s="16"/>
      <c r="XBR236" s="16"/>
      <c r="XBS236" s="15"/>
      <c r="XBT236" s="15"/>
      <c r="XBU236" s="10"/>
      <c r="XBV236" s="10"/>
      <c r="XBW236" s="19"/>
      <c r="XBX236" s="19"/>
      <c r="XCA236" s="16"/>
      <c r="XCB236" s="15"/>
      <c r="XCC236" s="15"/>
      <c r="XCD236" s="15"/>
      <c r="XCE236" s="16"/>
      <c r="XCF236" s="16"/>
      <c r="XCG236" s="16"/>
      <c r="XCH236" s="16"/>
      <c r="XCI236" s="16"/>
      <c r="XCJ236" s="15"/>
      <c r="XCK236" s="15"/>
      <c r="XCL236" s="10"/>
      <c r="XCM236" s="10"/>
      <c r="XCN236" s="19"/>
      <c r="XCO236" s="19"/>
      <c r="XCR236" s="16"/>
      <c r="XCS236" s="15"/>
      <c r="XCT236" s="15"/>
      <c r="XCU236" s="15"/>
      <c r="XCV236" s="16"/>
      <c r="XCW236" s="16"/>
      <c r="XCX236" s="16"/>
      <c r="XCY236" s="16"/>
      <c r="XCZ236" s="16"/>
      <c r="XDA236" s="15"/>
      <c r="XDB236" s="15"/>
      <c r="XDC236" s="10"/>
      <c r="XDD236" s="10"/>
      <c r="XDE236" s="19"/>
      <c r="XDF236" s="19"/>
      <c r="XDI236" s="16"/>
      <c r="XDJ236" s="15"/>
      <c r="XDK236" s="15"/>
      <c r="XDL236" s="15"/>
      <c r="XDM236" s="16"/>
      <c r="XDN236" s="16"/>
      <c r="XDO236" s="16"/>
      <c r="XDP236" s="16"/>
      <c r="XDQ236" s="16"/>
      <c r="XDR236" s="15"/>
      <c r="XDS236" s="15"/>
      <c r="XDT236" s="10"/>
      <c r="XDU236" s="10"/>
      <c r="XDV236" s="19"/>
      <c r="XDW236" s="19"/>
      <c r="XDZ236" s="16"/>
      <c r="XEA236" s="15"/>
      <c r="XEB236" s="15"/>
      <c r="XEC236" s="15"/>
      <c r="XED236" s="16"/>
      <c r="XEE236" s="16"/>
      <c r="XEF236" s="16"/>
      <c r="XEG236" s="16"/>
      <c r="XEH236" s="16"/>
      <c r="XEI236" s="15"/>
      <c r="XEJ236" s="15"/>
      <c r="XEK236" s="10"/>
      <c r="XEL236" s="10"/>
      <c r="XEM236" s="19"/>
      <c r="XEN236" s="19"/>
      <c r="XEQ236" s="16"/>
      <c r="XER236" s="15"/>
      <c r="XES236" s="15"/>
      <c r="XET236" s="15"/>
      <c r="XEU236" s="16"/>
      <c r="XEV236" s="16"/>
      <c r="XEW236" s="16"/>
      <c r="XEX236" s="16"/>
      <c r="XEY236" s="16"/>
      <c r="XEZ236" s="15"/>
      <c r="XFA236" s="15"/>
      <c r="XFB236" s="10"/>
      <c r="XFC236" s="10"/>
      <c r="XFD236" s="19"/>
    </row>
    <row r="237" spans="1:4094 4097:8191 8194:12288 12291:16384" ht="14.25" customHeight="1" x14ac:dyDescent="0.25">
      <c r="A237" s="31">
        <v>0</v>
      </c>
      <c r="B237" s="31">
        <v>1</v>
      </c>
      <c r="C237" s="31">
        <v>6</v>
      </c>
      <c r="D237" s="32" t="s">
        <v>1210</v>
      </c>
      <c r="E237" s="32" t="s">
        <v>164</v>
      </c>
      <c r="F237" s="32" t="s">
        <v>1211</v>
      </c>
      <c r="G237" s="32" t="s">
        <v>1213</v>
      </c>
      <c r="H237" s="32" t="s">
        <v>352</v>
      </c>
      <c r="I237" s="31" t="s">
        <v>1212</v>
      </c>
      <c r="J237" s="31">
        <v>99</v>
      </c>
      <c r="K237" s="33" t="s">
        <v>718</v>
      </c>
      <c r="L237" s="33" t="s">
        <v>689</v>
      </c>
      <c r="M237" s="34" t="s">
        <v>1378</v>
      </c>
      <c r="N237" s="34" t="s">
        <v>1717</v>
      </c>
      <c r="O237" s="35">
        <v>1</v>
      </c>
      <c r="P237" s="35"/>
      <c r="Q237" s="32"/>
      <c r="S237" s="1">
        <f t="shared" si="115"/>
        <v>0</v>
      </c>
      <c r="T237" s="1">
        <f t="shared" si="116"/>
        <v>0</v>
      </c>
      <c r="U237" s="1">
        <f t="shared" si="117"/>
        <v>0</v>
      </c>
      <c r="V237" s="1">
        <f t="shared" si="118"/>
        <v>0</v>
      </c>
      <c r="W237" s="1">
        <f t="shared" si="119"/>
        <v>0</v>
      </c>
      <c r="X237" s="1">
        <f t="shared" si="120"/>
        <v>0</v>
      </c>
      <c r="Y237" s="1">
        <f t="shared" si="121"/>
        <v>0</v>
      </c>
      <c r="Z237" s="1">
        <f t="shared" si="122"/>
        <v>0</v>
      </c>
      <c r="AA237" s="1">
        <f t="shared" si="123"/>
        <v>0</v>
      </c>
      <c r="AB237" s="1">
        <f t="shared" si="124"/>
        <v>0</v>
      </c>
      <c r="AD237" s="1">
        <f t="shared" si="125"/>
        <v>0</v>
      </c>
      <c r="AE237" s="1">
        <f t="shared" si="126"/>
        <v>1</v>
      </c>
      <c r="AF237" s="1">
        <f t="shared" si="111"/>
        <v>0</v>
      </c>
      <c r="AG237" s="1">
        <f t="shared" si="112"/>
        <v>1</v>
      </c>
      <c r="AH237" s="1">
        <f t="shared" si="113"/>
        <v>0</v>
      </c>
      <c r="AI237" s="1">
        <f t="shared" si="114"/>
        <v>1</v>
      </c>
    </row>
    <row r="238" spans="1:4094 4097:8191 8194:12288 12291:16384" ht="14.25" customHeight="1" x14ac:dyDescent="0.25">
      <c r="A238" s="31">
        <v>0</v>
      </c>
      <c r="B238" s="31">
        <v>1</v>
      </c>
      <c r="C238" s="31">
        <v>6</v>
      </c>
      <c r="D238" s="32" t="s">
        <v>965</v>
      </c>
      <c r="E238" s="32" t="s">
        <v>164</v>
      </c>
      <c r="F238" s="32" t="s">
        <v>963</v>
      </c>
      <c r="G238" s="32" t="s">
        <v>1092</v>
      </c>
      <c r="H238" s="32" t="s">
        <v>352</v>
      </c>
      <c r="I238" s="31" t="s">
        <v>964</v>
      </c>
      <c r="J238" s="31">
        <v>1</v>
      </c>
      <c r="K238" s="33" t="s">
        <v>943</v>
      </c>
      <c r="L238" s="33" t="s">
        <v>685</v>
      </c>
      <c r="M238" s="34" t="s">
        <v>1379</v>
      </c>
      <c r="N238" s="34" t="s">
        <v>1722</v>
      </c>
      <c r="O238" s="35">
        <v>1</v>
      </c>
      <c r="P238" s="35"/>
      <c r="Q238" s="32"/>
      <c r="R238" s="15"/>
      <c r="S238" s="1">
        <f t="shared" si="115"/>
        <v>1</v>
      </c>
      <c r="T238" s="1">
        <f t="shared" si="116"/>
        <v>0</v>
      </c>
      <c r="U238" s="1">
        <f t="shared" si="117"/>
        <v>0</v>
      </c>
      <c r="V238" s="1">
        <f t="shared" si="118"/>
        <v>0</v>
      </c>
      <c r="W238" s="1">
        <f t="shared" si="119"/>
        <v>0</v>
      </c>
      <c r="X238" s="1">
        <f t="shared" si="120"/>
        <v>0</v>
      </c>
      <c r="Y238" s="1">
        <f t="shared" si="121"/>
        <v>0</v>
      </c>
      <c r="Z238" s="1">
        <f t="shared" si="122"/>
        <v>0</v>
      </c>
      <c r="AA238" s="1">
        <f t="shared" si="123"/>
        <v>0</v>
      </c>
      <c r="AB238" s="1">
        <f t="shared" si="124"/>
        <v>0</v>
      </c>
      <c r="AD238" s="1">
        <f t="shared" si="125"/>
        <v>0</v>
      </c>
      <c r="AE238" s="1">
        <f t="shared" si="126"/>
        <v>1</v>
      </c>
      <c r="AF238" s="1">
        <f t="shared" si="111"/>
        <v>0</v>
      </c>
      <c r="AG238" s="1">
        <f t="shared" si="112"/>
        <v>1</v>
      </c>
      <c r="AH238" s="1">
        <f t="shared" si="113"/>
        <v>0</v>
      </c>
      <c r="AI238" s="1">
        <f t="shared" si="114"/>
        <v>1</v>
      </c>
      <c r="AJ238" s="15"/>
      <c r="AK238" s="15"/>
      <c r="AL238" s="15"/>
      <c r="AM238" s="15"/>
      <c r="AN238" s="15"/>
      <c r="AO238" s="15"/>
      <c r="AP238" s="15"/>
      <c r="AQ238" s="15"/>
      <c r="AR238" s="15"/>
      <c r="AS238" s="10"/>
      <c r="AT238" s="10"/>
      <c r="AU238" s="21"/>
      <c r="AV238" s="21"/>
      <c r="AY238" s="21"/>
      <c r="AZ238" s="15"/>
      <c r="BA238" s="15"/>
      <c r="BB238" s="15"/>
      <c r="BC238" s="15"/>
      <c r="BD238" s="15"/>
      <c r="BE238" s="15"/>
      <c r="BF238" s="15"/>
      <c r="BG238" s="15"/>
      <c r="BH238" s="15"/>
      <c r="BI238" s="15"/>
      <c r="BJ238" s="10"/>
      <c r="BK238" s="10"/>
      <c r="BL238" s="21"/>
      <c r="BM238" s="21"/>
      <c r="BP238" s="21"/>
      <c r="BQ238" s="15"/>
      <c r="BR238" s="15"/>
      <c r="BS238" s="15"/>
      <c r="BT238" s="15"/>
      <c r="BU238" s="15"/>
      <c r="BV238" s="15"/>
      <c r="BW238" s="15"/>
      <c r="BX238" s="15"/>
      <c r="BY238" s="15"/>
      <c r="BZ238" s="15"/>
      <c r="CA238" s="10"/>
      <c r="CB238" s="10"/>
      <c r="CC238" s="21"/>
      <c r="CD238" s="21"/>
      <c r="CG238" s="21"/>
      <c r="CH238" s="15"/>
      <c r="CI238" s="15"/>
      <c r="CJ238" s="15"/>
      <c r="CK238" s="15"/>
      <c r="CL238" s="15"/>
      <c r="CM238" s="15"/>
      <c r="CN238" s="15"/>
      <c r="CO238" s="15"/>
      <c r="CP238" s="15"/>
      <c r="CQ238" s="15"/>
      <c r="CR238" s="10"/>
      <c r="CS238" s="10"/>
      <c r="CT238" s="21"/>
      <c r="CU238" s="21"/>
      <c r="CX238" s="21"/>
      <c r="CY238" s="15"/>
      <c r="CZ238" s="15"/>
      <c r="DA238" s="15"/>
      <c r="DB238" s="15"/>
      <c r="DC238" s="15"/>
      <c r="DD238" s="15"/>
      <c r="DE238" s="15"/>
      <c r="DF238" s="15"/>
      <c r="DG238" s="15"/>
      <c r="DH238" s="15"/>
      <c r="DI238" s="10"/>
      <c r="DJ238" s="10"/>
      <c r="DK238" s="21"/>
      <c r="DL238" s="21"/>
      <c r="DO238" s="21"/>
      <c r="DP238" s="15"/>
      <c r="DQ238" s="15"/>
      <c r="DR238" s="15"/>
      <c r="DS238" s="15"/>
      <c r="DT238" s="15"/>
      <c r="DU238" s="15"/>
      <c r="DV238" s="15"/>
      <c r="DW238" s="15"/>
      <c r="DX238" s="15"/>
      <c r="DY238" s="15"/>
      <c r="DZ238" s="10"/>
      <c r="EA238" s="10"/>
      <c r="EB238" s="21"/>
      <c r="EC238" s="21"/>
      <c r="EF238" s="21"/>
      <c r="EG238" s="15"/>
      <c r="EH238" s="15"/>
      <c r="EI238" s="15"/>
      <c r="EJ238" s="15"/>
      <c r="EK238" s="15"/>
      <c r="EL238" s="15"/>
      <c r="EM238" s="15"/>
      <c r="EN238" s="15"/>
      <c r="EO238" s="15"/>
      <c r="EP238" s="15"/>
      <c r="EQ238" s="10"/>
      <c r="ER238" s="10"/>
      <c r="ES238" s="21"/>
      <c r="ET238" s="21"/>
      <c r="EW238" s="21"/>
      <c r="EX238" s="15"/>
      <c r="EY238" s="15"/>
      <c r="EZ238" s="15"/>
      <c r="FA238" s="15"/>
      <c r="FB238" s="15"/>
      <c r="FC238" s="15"/>
      <c r="FD238" s="15"/>
      <c r="FE238" s="15"/>
      <c r="FF238" s="15"/>
      <c r="FG238" s="15"/>
      <c r="FH238" s="10"/>
      <c r="FI238" s="10"/>
      <c r="FJ238" s="21"/>
      <c r="FK238" s="21"/>
      <c r="FN238" s="21"/>
      <c r="FO238" s="15"/>
      <c r="FP238" s="15"/>
      <c r="FQ238" s="15"/>
      <c r="FR238" s="15"/>
      <c r="FS238" s="15"/>
      <c r="FT238" s="15"/>
      <c r="FU238" s="15"/>
      <c r="FV238" s="15"/>
      <c r="FW238" s="15"/>
      <c r="FX238" s="15"/>
      <c r="FY238" s="10"/>
      <c r="FZ238" s="10"/>
      <c r="GA238" s="21"/>
      <c r="GB238" s="21"/>
      <c r="GE238" s="21"/>
      <c r="GF238" s="15"/>
      <c r="GG238" s="15"/>
      <c r="GH238" s="15"/>
      <c r="GI238" s="15"/>
      <c r="GJ238" s="15"/>
      <c r="GK238" s="15"/>
      <c r="GL238" s="15"/>
      <c r="GM238" s="15"/>
      <c r="GN238" s="15"/>
      <c r="GO238" s="15"/>
      <c r="GP238" s="10"/>
      <c r="GQ238" s="10"/>
      <c r="GR238" s="21"/>
      <c r="GS238" s="21"/>
      <c r="GV238" s="21"/>
      <c r="GW238" s="15"/>
      <c r="GX238" s="15"/>
      <c r="GY238" s="15"/>
      <c r="GZ238" s="15"/>
      <c r="HA238" s="15"/>
      <c r="HB238" s="15"/>
      <c r="HC238" s="15"/>
      <c r="HD238" s="15"/>
      <c r="HE238" s="15"/>
      <c r="HF238" s="15"/>
      <c r="HG238" s="10"/>
      <c r="HH238" s="10"/>
      <c r="HI238" s="21"/>
      <c r="HJ238" s="21"/>
      <c r="HM238" s="21"/>
      <c r="HN238" s="15"/>
      <c r="HO238" s="15"/>
      <c r="HP238" s="15"/>
      <c r="HQ238" s="15"/>
      <c r="HR238" s="15"/>
      <c r="HS238" s="15"/>
      <c r="HT238" s="15"/>
      <c r="HU238" s="15"/>
      <c r="HV238" s="15"/>
      <c r="HW238" s="15"/>
      <c r="HX238" s="10"/>
      <c r="HY238" s="10"/>
      <c r="HZ238" s="21"/>
      <c r="IA238" s="21"/>
      <c r="ID238" s="21"/>
      <c r="IE238" s="15"/>
      <c r="IF238" s="15"/>
      <c r="IG238" s="15"/>
      <c r="IH238" s="15"/>
      <c r="II238" s="15"/>
      <c r="IJ238" s="15"/>
      <c r="IK238" s="15"/>
      <c r="IL238" s="15"/>
      <c r="IM238" s="15"/>
      <c r="IN238" s="15"/>
      <c r="IO238" s="10"/>
      <c r="IP238" s="10"/>
      <c r="IQ238" s="21"/>
      <c r="IR238" s="21"/>
      <c r="IU238" s="21"/>
      <c r="IV238" s="15"/>
      <c r="IW238" s="15"/>
      <c r="IX238" s="15"/>
      <c r="IY238" s="15"/>
      <c r="IZ238" s="15"/>
      <c r="JA238" s="15"/>
      <c r="JB238" s="15"/>
      <c r="JC238" s="15"/>
      <c r="JD238" s="15"/>
      <c r="JE238" s="15"/>
      <c r="JF238" s="10"/>
      <c r="JG238" s="10"/>
      <c r="JH238" s="21"/>
      <c r="JI238" s="21"/>
      <c r="JL238" s="21"/>
      <c r="JM238" s="15"/>
      <c r="JN238" s="15"/>
      <c r="JO238" s="15"/>
      <c r="JP238" s="15"/>
      <c r="JQ238" s="15"/>
      <c r="JR238" s="15"/>
      <c r="JS238" s="15"/>
      <c r="JT238" s="15"/>
      <c r="JU238" s="15"/>
      <c r="JV238" s="15"/>
      <c r="JW238" s="10"/>
      <c r="JX238" s="10"/>
      <c r="JY238" s="21"/>
      <c r="JZ238" s="21"/>
      <c r="KC238" s="21"/>
      <c r="KD238" s="15"/>
      <c r="KE238" s="15"/>
      <c r="KF238" s="15"/>
      <c r="KG238" s="15"/>
      <c r="KH238" s="15"/>
      <c r="KI238" s="15"/>
      <c r="KJ238" s="15"/>
      <c r="KK238" s="15"/>
      <c r="KL238" s="15"/>
      <c r="KM238" s="15"/>
      <c r="KN238" s="10"/>
      <c r="KO238" s="10"/>
      <c r="KP238" s="21"/>
      <c r="KQ238" s="21"/>
      <c r="KT238" s="21"/>
      <c r="KU238" s="15"/>
      <c r="KV238" s="15"/>
      <c r="KW238" s="15"/>
      <c r="KX238" s="15"/>
      <c r="KY238" s="15"/>
      <c r="KZ238" s="15"/>
      <c r="LA238" s="15"/>
      <c r="LB238" s="15"/>
      <c r="LC238" s="15"/>
      <c r="LD238" s="15"/>
      <c r="LE238" s="10"/>
      <c r="LF238" s="10"/>
      <c r="LG238" s="21"/>
      <c r="LH238" s="21"/>
      <c r="LK238" s="21"/>
      <c r="LL238" s="15"/>
      <c r="LM238" s="15"/>
      <c r="LN238" s="15"/>
      <c r="LO238" s="15"/>
      <c r="LP238" s="15"/>
      <c r="LQ238" s="15"/>
      <c r="LR238" s="15"/>
      <c r="LS238" s="15"/>
      <c r="LT238" s="15"/>
      <c r="LU238" s="15"/>
      <c r="LV238" s="10"/>
      <c r="LW238" s="10"/>
      <c r="LX238" s="21"/>
      <c r="LY238" s="21"/>
      <c r="MB238" s="21"/>
      <c r="MC238" s="15"/>
      <c r="MD238" s="15"/>
      <c r="ME238" s="15"/>
      <c r="MF238" s="15"/>
      <c r="MG238" s="15"/>
      <c r="MH238" s="15"/>
      <c r="MI238" s="15"/>
      <c r="MJ238" s="15"/>
      <c r="MK238" s="15"/>
      <c r="ML238" s="15"/>
      <c r="MM238" s="10"/>
      <c r="MN238" s="10"/>
      <c r="MO238" s="21"/>
      <c r="MP238" s="21"/>
      <c r="MS238" s="21"/>
      <c r="MT238" s="15"/>
      <c r="MU238" s="15"/>
      <c r="MV238" s="15"/>
      <c r="MW238" s="15"/>
      <c r="MX238" s="15"/>
      <c r="MY238" s="15"/>
      <c r="MZ238" s="15"/>
      <c r="NA238" s="15"/>
      <c r="NB238" s="15"/>
      <c r="NC238" s="15"/>
      <c r="ND238" s="10"/>
      <c r="NE238" s="10"/>
      <c r="NF238" s="21"/>
      <c r="NG238" s="21"/>
      <c r="NJ238" s="21"/>
      <c r="NK238" s="15"/>
      <c r="NL238" s="15"/>
      <c r="NM238" s="15"/>
      <c r="NN238" s="15"/>
      <c r="NO238" s="15"/>
      <c r="NP238" s="15"/>
      <c r="NQ238" s="15"/>
      <c r="NR238" s="15"/>
      <c r="NS238" s="15"/>
      <c r="NT238" s="15"/>
      <c r="NU238" s="10"/>
      <c r="NV238" s="10"/>
      <c r="NW238" s="21"/>
      <c r="NX238" s="21"/>
      <c r="OA238" s="21"/>
      <c r="OB238" s="15"/>
      <c r="OC238" s="15"/>
      <c r="OD238" s="15"/>
      <c r="OE238" s="15"/>
      <c r="OF238" s="15"/>
      <c r="OG238" s="15"/>
      <c r="OH238" s="15"/>
      <c r="OI238" s="15"/>
      <c r="OJ238" s="15"/>
      <c r="OK238" s="15"/>
      <c r="OL238" s="10"/>
      <c r="OM238" s="10"/>
      <c r="ON238" s="21"/>
      <c r="OO238" s="21"/>
      <c r="OR238" s="21"/>
      <c r="OS238" s="15"/>
      <c r="OT238" s="15"/>
      <c r="OU238" s="15"/>
      <c r="OV238" s="15"/>
      <c r="OW238" s="15"/>
      <c r="OX238" s="15"/>
      <c r="OY238" s="15"/>
      <c r="OZ238" s="15"/>
      <c r="PA238" s="15"/>
      <c r="PB238" s="15"/>
      <c r="PC238" s="10"/>
      <c r="PD238" s="10"/>
      <c r="PE238" s="21"/>
      <c r="PF238" s="21"/>
      <c r="PI238" s="21"/>
      <c r="PJ238" s="15"/>
      <c r="PK238" s="15"/>
      <c r="PL238" s="15"/>
      <c r="PM238" s="15"/>
      <c r="PN238" s="15"/>
      <c r="PO238" s="15"/>
      <c r="PP238" s="15"/>
      <c r="PQ238" s="15"/>
      <c r="PR238" s="15"/>
      <c r="PS238" s="15"/>
      <c r="PT238" s="10"/>
      <c r="PU238" s="10"/>
      <c r="PV238" s="21"/>
      <c r="PW238" s="21"/>
      <c r="PZ238" s="21"/>
      <c r="QA238" s="15"/>
      <c r="QB238" s="15"/>
      <c r="QC238" s="15"/>
      <c r="QD238" s="15"/>
      <c r="QE238" s="15"/>
      <c r="QF238" s="15"/>
      <c r="QG238" s="15"/>
      <c r="QH238" s="15"/>
      <c r="QI238" s="15"/>
      <c r="QJ238" s="15"/>
      <c r="QK238" s="10"/>
      <c r="QL238" s="10"/>
      <c r="QM238" s="21"/>
      <c r="QN238" s="21"/>
      <c r="QQ238" s="21"/>
      <c r="QR238" s="15"/>
      <c r="QS238" s="15"/>
      <c r="QT238" s="15"/>
      <c r="QU238" s="15"/>
      <c r="QV238" s="15"/>
      <c r="QW238" s="15"/>
      <c r="QX238" s="15"/>
      <c r="QY238" s="15"/>
      <c r="QZ238" s="15"/>
      <c r="RA238" s="15"/>
      <c r="RB238" s="10"/>
      <c r="RC238" s="10"/>
      <c r="RD238" s="21"/>
      <c r="RE238" s="21"/>
      <c r="RH238" s="21"/>
      <c r="RI238" s="15"/>
      <c r="RJ238" s="15"/>
      <c r="RK238" s="15"/>
      <c r="RL238" s="15"/>
      <c r="RM238" s="15"/>
      <c r="RN238" s="15"/>
      <c r="RO238" s="15"/>
      <c r="RP238" s="15"/>
      <c r="RQ238" s="15"/>
      <c r="RR238" s="15"/>
      <c r="RS238" s="10"/>
      <c r="RT238" s="10"/>
      <c r="RU238" s="21"/>
      <c r="RV238" s="21"/>
      <c r="RY238" s="21"/>
      <c r="RZ238" s="15"/>
      <c r="SA238" s="15"/>
      <c r="SB238" s="15"/>
      <c r="SC238" s="15"/>
      <c r="SD238" s="15"/>
      <c r="SE238" s="15"/>
      <c r="SF238" s="15"/>
      <c r="SG238" s="15"/>
      <c r="SH238" s="15"/>
      <c r="SI238" s="15"/>
      <c r="SJ238" s="10"/>
      <c r="SK238" s="10"/>
      <c r="SL238" s="21"/>
      <c r="SM238" s="21"/>
      <c r="SP238" s="21"/>
      <c r="SQ238" s="15"/>
      <c r="SR238" s="15"/>
      <c r="SS238" s="15"/>
      <c r="ST238" s="15"/>
      <c r="SU238" s="15"/>
      <c r="SV238" s="15"/>
      <c r="SW238" s="15"/>
      <c r="SX238" s="15"/>
      <c r="SY238" s="15"/>
      <c r="SZ238" s="15"/>
      <c r="TA238" s="10"/>
      <c r="TB238" s="10"/>
      <c r="TC238" s="21"/>
      <c r="TD238" s="21"/>
      <c r="TG238" s="21"/>
      <c r="TH238" s="15"/>
      <c r="TI238" s="15"/>
      <c r="TJ238" s="15"/>
      <c r="TK238" s="15"/>
      <c r="TL238" s="15"/>
      <c r="TM238" s="15"/>
      <c r="TN238" s="15"/>
      <c r="TO238" s="15"/>
      <c r="TP238" s="15"/>
      <c r="TQ238" s="15"/>
      <c r="TR238" s="10"/>
      <c r="TS238" s="10"/>
      <c r="TT238" s="21"/>
      <c r="TU238" s="21"/>
      <c r="TX238" s="21"/>
      <c r="TY238" s="15"/>
      <c r="TZ238" s="15"/>
      <c r="UA238" s="15"/>
      <c r="UB238" s="15"/>
      <c r="UC238" s="15"/>
      <c r="UD238" s="15"/>
      <c r="UE238" s="15"/>
      <c r="UF238" s="15"/>
      <c r="UG238" s="15"/>
      <c r="UH238" s="15"/>
      <c r="UI238" s="10"/>
      <c r="UJ238" s="10"/>
      <c r="UK238" s="21"/>
      <c r="UL238" s="21"/>
      <c r="UO238" s="21"/>
      <c r="UP238" s="15"/>
      <c r="UQ238" s="15"/>
      <c r="UR238" s="15"/>
      <c r="US238" s="15"/>
      <c r="UT238" s="15"/>
      <c r="UU238" s="15"/>
      <c r="UV238" s="15"/>
      <c r="UW238" s="15"/>
      <c r="UX238" s="15"/>
      <c r="UY238" s="15"/>
      <c r="UZ238" s="10"/>
      <c r="VA238" s="10"/>
      <c r="VB238" s="21"/>
      <c r="VC238" s="21"/>
      <c r="VF238" s="21"/>
      <c r="VG238" s="15"/>
      <c r="VH238" s="15"/>
      <c r="VI238" s="15"/>
      <c r="VJ238" s="15"/>
      <c r="VK238" s="15"/>
      <c r="VL238" s="15"/>
      <c r="VM238" s="15"/>
      <c r="VN238" s="15"/>
      <c r="VO238" s="15"/>
      <c r="VP238" s="15"/>
      <c r="VQ238" s="10"/>
      <c r="VR238" s="10"/>
      <c r="VS238" s="21"/>
      <c r="VT238" s="21"/>
      <c r="VW238" s="21"/>
      <c r="VX238" s="15"/>
      <c r="VY238" s="15"/>
      <c r="VZ238" s="15"/>
      <c r="WA238" s="15"/>
      <c r="WB238" s="15"/>
      <c r="WC238" s="15"/>
      <c r="WD238" s="15"/>
      <c r="WE238" s="15"/>
      <c r="WF238" s="15"/>
      <c r="WG238" s="15"/>
      <c r="WH238" s="10"/>
      <c r="WI238" s="10"/>
      <c r="WJ238" s="21"/>
      <c r="WK238" s="21"/>
      <c r="WN238" s="21"/>
      <c r="WO238" s="15"/>
      <c r="WP238" s="15"/>
      <c r="WQ238" s="15"/>
      <c r="WR238" s="15"/>
      <c r="WS238" s="15"/>
      <c r="WT238" s="15"/>
      <c r="WU238" s="15"/>
      <c r="WV238" s="15"/>
      <c r="WW238" s="15"/>
      <c r="WX238" s="15"/>
      <c r="WY238" s="10"/>
      <c r="WZ238" s="10"/>
      <c r="XA238" s="21"/>
      <c r="XB238" s="21"/>
      <c r="XE238" s="21"/>
      <c r="XF238" s="15"/>
      <c r="XG238" s="15"/>
      <c r="XH238" s="15"/>
      <c r="XI238" s="15"/>
      <c r="XJ238" s="15"/>
      <c r="XK238" s="15"/>
      <c r="XL238" s="15"/>
      <c r="XM238" s="15"/>
      <c r="XN238" s="15"/>
      <c r="XO238" s="15"/>
      <c r="XP238" s="10"/>
      <c r="XQ238" s="10"/>
      <c r="XR238" s="21"/>
      <c r="XS238" s="21"/>
      <c r="XV238" s="21"/>
      <c r="XW238" s="15"/>
      <c r="XX238" s="15"/>
      <c r="XY238" s="15"/>
      <c r="XZ238" s="15"/>
      <c r="YA238" s="15"/>
      <c r="YB238" s="15"/>
      <c r="YC238" s="15"/>
      <c r="YD238" s="15"/>
      <c r="YE238" s="15"/>
      <c r="YF238" s="15"/>
      <c r="YG238" s="10"/>
      <c r="YH238" s="10"/>
      <c r="YI238" s="21"/>
      <c r="YJ238" s="21"/>
      <c r="YM238" s="21"/>
      <c r="YN238" s="15"/>
      <c r="YO238" s="15"/>
      <c r="YP238" s="15"/>
      <c r="YQ238" s="15"/>
      <c r="YR238" s="15"/>
      <c r="YS238" s="15"/>
      <c r="YT238" s="15"/>
      <c r="YU238" s="15"/>
      <c r="YV238" s="15"/>
      <c r="YW238" s="15"/>
      <c r="YX238" s="10"/>
      <c r="YY238" s="10"/>
      <c r="YZ238" s="21"/>
      <c r="ZA238" s="21"/>
      <c r="ZD238" s="21"/>
      <c r="ZE238" s="15"/>
      <c r="ZF238" s="15"/>
      <c r="ZG238" s="15"/>
      <c r="ZH238" s="15"/>
      <c r="ZI238" s="15"/>
      <c r="ZJ238" s="15"/>
      <c r="ZK238" s="15"/>
      <c r="ZL238" s="15"/>
      <c r="ZM238" s="15"/>
      <c r="ZN238" s="15"/>
      <c r="ZO238" s="10"/>
      <c r="ZP238" s="10"/>
      <c r="ZQ238" s="21"/>
      <c r="ZR238" s="21"/>
      <c r="ZU238" s="21"/>
      <c r="ZV238" s="15"/>
      <c r="ZW238" s="15"/>
      <c r="ZX238" s="15"/>
      <c r="ZY238" s="15"/>
      <c r="ZZ238" s="15"/>
      <c r="AAA238" s="15"/>
      <c r="AAB238" s="15"/>
      <c r="AAC238" s="15"/>
      <c r="AAD238" s="15"/>
      <c r="AAE238" s="15"/>
      <c r="AAF238" s="10"/>
      <c r="AAG238" s="10"/>
      <c r="AAH238" s="21"/>
      <c r="AAI238" s="21"/>
      <c r="AAL238" s="21"/>
      <c r="AAM238" s="15"/>
      <c r="AAN238" s="15"/>
      <c r="AAO238" s="15"/>
      <c r="AAP238" s="15"/>
      <c r="AAQ238" s="15"/>
      <c r="AAR238" s="15"/>
      <c r="AAS238" s="15"/>
      <c r="AAT238" s="15"/>
      <c r="AAU238" s="15"/>
      <c r="AAV238" s="15"/>
      <c r="AAW238" s="10"/>
      <c r="AAX238" s="10"/>
      <c r="AAY238" s="21"/>
      <c r="AAZ238" s="21"/>
      <c r="ABC238" s="21"/>
      <c r="ABD238" s="15"/>
      <c r="ABE238" s="15"/>
      <c r="ABF238" s="15"/>
      <c r="ABG238" s="15"/>
      <c r="ABH238" s="15"/>
      <c r="ABI238" s="15"/>
      <c r="ABJ238" s="15"/>
      <c r="ABK238" s="15"/>
      <c r="ABL238" s="15"/>
      <c r="ABM238" s="15"/>
      <c r="ABN238" s="10"/>
      <c r="ABO238" s="10"/>
      <c r="ABP238" s="21"/>
      <c r="ABQ238" s="21"/>
      <c r="ABT238" s="21"/>
      <c r="ABU238" s="15"/>
      <c r="ABV238" s="15"/>
      <c r="ABW238" s="15"/>
      <c r="ABX238" s="15"/>
      <c r="ABY238" s="15"/>
      <c r="ABZ238" s="15"/>
      <c r="ACA238" s="15"/>
      <c r="ACB238" s="15"/>
      <c r="ACC238" s="15"/>
      <c r="ACD238" s="15"/>
      <c r="ACE238" s="10"/>
      <c r="ACF238" s="10"/>
      <c r="ACG238" s="21"/>
      <c r="ACH238" s="21"/>
      <c r="ACK238" s="21"/>
      <c r="ACL238" s="15"/>
      <c r="ACM238" s="15"/>
      <c r="ACN238" s="15"/>
      <c r="ACO238" s="15"/>
      <c r="ACP238" s="15"/>
      <c r="ACQ238" s="15"/>
      <c r="ACR238" s="15"/>
      <c r="ACS238" s="15"/>
      <c r="ACT238" s="15"/>
      <c r="ACU238" s="15"/>
      <c r="ACV238" s="10"/>
      <c r="ACW238" s="10"/>
      <c r="ACX238" s="21"/>
      <c r="ACY238" s="21"/>
      <c r="ADB238" s="21"/>
      <c r="ADC238" s="15"/>
      <c r="ADD238" s="15"/>
      <c r="ADE238" s="15"/>
      <c r="ADF238" s="15"/>
      <c r="ADG238" s="15"/>
      <c r="ADH238" s="15"/>
      <c r="ADI238" s="15"/>
      <c r="ADJ238" s="15"/>
      <c r="ADK238" s="15"/>
      <c r="ADL238" s="15"/>
      <c r="ADM238" s="10"/>
      <c r="ADN238" s="10"/>
      <c r="ADO238" s="21"/>
      <c r="ADP238" s="21"/>
      <c r="ADS238" s="21"/>
      <c r="ADT238" s="15"/>
      <c r="ADU238" s="15"/>
      <c r="ADV238" s="15"/>
      <c r="ADW238" s="15"/>
      <c r="ADX238" s="15"/>
      <c r="ADY238" s="15"/>
      <c r="ADZ238" s="15"/>
      <c r="AEA238" s="15"/>
      <c r="AEB238" s="15"/>
      <c r="AEC238" s="15"/>
      <c r="AED238" s="10"/>
      <c r="AEE238" s="10"/>
      <c r="AEF238" s="21"/>
      <c r="AEG238" s="21"/>
      <c r="AEJ238" s="21"/>
      <c r="AEK238" s="15"/>
      <c r="AEL238" s="15"/>
      <c r="AEM238" s="15"/>
      <c r="AEN238" s="15"/>
      <c r="AEO238" s="15"/>
      <c r="AEP238" s="15"/>
      <c r="AEQ238" s="15"/>
      <c r="AER238" s="15"/>
      <c r="AES238" s="15"/>
      <c r="AET238" s="15"/>
      <c r="AEU238" s="10"/>
      <c r="AEV238" s="10"/>
      <c r="AEW238" s="21"/>
      <c r="AEX238" s="21"/>
      <c r="AFA238" s="21"/>
      <c r="AFB238" s="15"/>
      <c r="AFC238" s="15"/>
      <c r="AFD238" s="15"/>
      <c r="AFE238" s="15"/>
      <c r="AFF238" s="15"/>
      <c r="AFG238" s="15"/>
      <c r="AFH238" s="15"/>
      <c r="AFI238" s="15"/>
      <c r="AFJ238" s="15"/>
      <c r="AFK238" s="15"/>
      <c r="AFL238" s="10"/>
      <c r="AFM238" s="10"/>
      <c r="AFN238" s="21"/>
      <c r="AFO238" s="21"/>
      <c r="AFR238" s="21"/>
      <c r="AFS238" s="15"/>
      <c r="AFT238" s="15"/>
      <c r="AFU238" s="15"/>
      <c r="AFV238" s="15"/>
      <c r="AFW238" s="15"/>
      <c r="AFX238" s="15"/>
      <c r="AFY238" s="15"/>
      <c r="AFZ238" s="15"/>
      <c r="AGA238" s="15"/>
      <c r="AGB238" s="15"/>
      <c r="AGC238" s="10"/>
      <c r="AGD238" s="10"/>
      <c r="AGE238" s="21"/>
      <c r="AGF238" s="21"/>
      <c r="AGI238" s="21"/>
      <c r="AGJ238" s="15"/>
      <c r="AGK238" s="15"/>
      <c r="AGL238" s="15"/>
      <c r="AGM238" s="15"/>
      <c r="AGN238" s="15"/>
      <c r="AGO238" s="15"/>
      <c r="AGP238" s="15"/>
      <c r="AGQ238" s="15"/>
      <c r="AGR238" s="15"/>
      <c r="AGS238" s="15"/>
      <c r="AGT238" s="10"/>
      <c r="AGU238" s="10"/>
      <c r="AGV238" s="21"/>
      <c r="AGW238" s="21"/>
      <c r="AGZ238" s="21"/>
      <c r="AHA238" s="15"/>
      <c r="AHB238" s="15"/>
      <c r="AHC238" s="15"/>
      <c r="AHD238" s="15"/>
      <c r="AHE238" s="15"/>
      <c r="AHF238" s="15"/>
      <c r="AHG238" s="15"/>
      <c r="AHH238" s="15"/>
      <c r="AHI238" s="15"/>
      <c r="AHJ238" s="15"/>
      <c r="AHK238" s="10"/>
      <c r="AHL238" s="10"/>
      <c r="AHM238" s="21"/>
      <c r="AHN238" s="21"/>
      <c r="AHQ238" s="21"/>
      <c r="AHR238" s="15"/>
      <c r="AHS238" s="15"/>
      <c r="AHT238" s="15"/>
      <c r="AHU238" s="15"/>
      <c r="AHV238" s="15"/>
      <c r="AHW238" s="15"/>
      <c r="AHX238" s="15"/>
      <c r="AHY238" s="15"/>
      <c r="AHZ238" s="15"/>
      <c r="AIA238" s="15"/>
      <c r="AIB238" s="10"/>
      <c r="AIC238" s="10"/>
      <c r="AID238" s="21"/>
      <c r="AIE238" s="21"/>
      <c r="AIH238" s="21"/>
      <c r="AII238" s="15"/>
      <c r="AIJ238" s="15"/>
      <c r="AIK238" s="15"/>
      <c r="AIL238" s="15"/>
      <c r="AIM238" s="15"/>
      <c r="AIN238" s="15"/>
      <c r="AIO238" s="15"/>
      <c r="AIP238" s="15"/>
      <c r="AIQ238" s="15"/>
      <c r="AIR238" s="15"/>
      <c r="AIS238" s="10"/>
      <c r="AIT238" s="10"/>
      <c r="AIU238" s="21"/>
      <c r="AIV238" s="21"/>
      <c r="AIY238" s="21"/>
      <c r="AIZ238" s="15"/>
      <c r="AJA238" s="15"/>
      <c r="AJB238" s="15"/>
      <c r="AJC238" s="15"/>
      <c r="AJD238" s="15"/>
      <c r="AJE238" s="15"/>
      <c r="AJF238" s="15"/>
      <c r="AJG238" s="15"/>
      <c r="AJH238" s="15"/>
      <c r="AJI238" s="15"/>
      <c r="AJJ238" s="10"/>
      <c r="AJK238" s="10"/>
      <c r="AJL238" s="21"/>
      <c r="AJM238" s="21"/>
      <c r="AJP238" s="21"/>
      <c r="AJQ238" s="15"/>
      <c r="AJR238" s="15"/>
      <c r="AJS238" s="15"/>
      <c r="AJT238" s="15"/>
      <c r="AJU238" s="15"/>
      <c r="AJV238" s="15"/>
      <c r="AJW238" s="15"/>
      <c r="AJX238" s="15"/>
      <c r="AJY238" s="15"/>
      <c r="AJZ238" s="15"/>
      <c r="AKA238" s="10"/>
      <c r="AKB238" s="10"/>
      <c r="AKC238" s="21"/>
      <c r="AKD238" s="21"/>
      <c r="AKG238" s="21"/>
      <c r="AKH238" s="15"/>
      <c r="AKI238" s="15"/>
      <c r="AKJ238" s="15"/>
      <c r="AKK238" s="15"/>
      <c r="AKL238" s="15"/>
      <c r="AKM238" s="15"/>
      <c r="AKN238" s="15"/>
      <c r="AKO238" s="15"/>
      <c r="AKP238" s="15"/>
      <c r="AKQ238" s="15"/>
      <c r="AKR238" s="10"/>
      <c r="AKS238" s="10"/>
      <c r="AKT238" s="21"/>
      <c r="AKU238" s="21"/>
      <c r="AKX238" s="21"/>
      <c r="AKY238" s="15"/>
      <c r="AKZ238" s="15"/>
      <c r="ALA238" s="15"/>
      <c r="ALB238" s="15"/>
      <c r="ALC238" s="15"/>
      <c r="ALD238" s="15"/>
      <c r="ALE238" s="15"/>
      <c r="ALF238" s="15"/>
      <c r="ALG238" s="15"/>
      <c r="ALH238" s="15"/>
      <c r="ALI238" s="10"/>
      <c r="ALJ238" s="10"/>
      <c r="ALK238" s="21"/>
      <c r="ALL238" s="21"/>
      <c r="ALO238" s="21"/>
      <c r="ALP238" s="15"/>
      <c r="ALQ238" s="15"/>
      <c r="ALR238" s="15"/>
      <c r="ALS238" s="15"/>
      <c r="ALT238" s="15"/>
      <c r="ALU238" s="15"/>
      <c r="ALV238" s="15"/>
      <c r="ALW238" s="15"/>
      <c r="ALX238" s="15"/>
      <c r="ALY238" s="15"/>
      <c r="ALZ238" s="10"/>
      <c r="AMA238" s="10"/>
      <c r="AMB238" s="21"/>
      <c r="AMC238" s="21"/>
      <c r="AMF238" s="21"/>
      <c r="AMG238" s="15"/>
      <c r="AMH238" s="15"/>
      <c r="AMI238" s="15"/>
      <c r="AMJ238" s="15"/>
      <c r="AMK238" s="15"/>
      <c r="AML238" s="15"/>
      <c r="AMM238" s="15"/>
      <c r="AMN238" s="15"/>
      <c r="AMO238" s="15"/>
      <c r="AMP238" s="15"/>
      <c r="AMQ238" s="10"/>
      <c r="AMR238" s="10"/>
      <c r="AMS238" s="21"/>
      <c r="AMT238" s="21"/>
      <c r="AMW238" s="21"/>
      <c r="AMX238" s="15"/>
      <c r="AMY238" s="15"/>
      <c r="AMZ238" s="15"/>
      <c r="ANA238" s="15"/>
      <c r="ANB238" s="15"/>
      <c r="ANC238" s="15"/>
      <c r="AND238" s="15"/>
      <c r="ANE238" s="15"/>
      <c r="ANF238" s="15"/>
      <c r="ANG238" s="15"/>
      <c r="ANH238" s="10"/>
      <c r="ANI238" s="10"/>
      <c r="ANJ238" s="21"/>
      <c r="ANK238" s="21"/>
      <c r="ANN238" s="21"/>
      <c r="ANO238" s="15"/>
      <c r="ANP238" s="15"/>
      <c r="ANQ238" s="15"/>
      <c r="ANR238" s="15"/>
      <c r="ANS238" s="15"/>
      <c r="ANT238" s="15"/>
      <c r="ANU238" s="15"/>
      <c r="ANV238" s="15"/>
      <c r="ANW238" s="15"/>
      <c r="ANX238" s="15"/>
      <c r="ANY238" s="10"/>
      <c r="ANZ238" s="10"/>
      <c r="AOA238" s="21"/>
      <c r="AOB238" s="21"/>
      <c r="AOE238" s="21"/>
      <c r="AOF238" s="15"/>
      <c r="AOG238" s="15"/>
      <c r="AOH238" s="15"/>
      <c r="AOI238" s="15"/>
      <c r="AOJ238" s="15"/>
      <c r="AOK238" s="15"/>
      <c r="AOL238" s="15"/>
      <c r="AOM238" s="15"/>
      <c r="AON238" s="15"/>
      <c r="AOO238" s="15"/>
      <c r="AOP238" s="10"/>
      <c r="AOQ238" s="10"/>
      <c r="AOR238" s="21"/>
      <c r="AOS238" s="21"/>
      <c r="AOV238" s="21"/>
      <c r="AOW238" s="15"/>
      <c r="AOX238" s="15"/>
      <c r="AOY238" s="15"/>
      <c r="AOZ238" s="15"/>
      <c r="APA238" s="15"/>
      <c r="APB238" s="15"/>
      <c r="APC238" s="15"/>
      <c r="APD238" s="15"/>
      <c r="APE238" s="15"/>
      <c r="APF238" s="15"/>
      <c r="APG238" s="10"/>
      <c r="APH238" s="10"/>
      <c r="API238" s="21"/>
      <c r="APJ238" s="21"/>
      <c r="APM238" s="21"/>
      <c r="APN238" s="15"/>
      <c r="APO238" s="15"/>
      <c r="APP238" s="15"/>
      <c r="APQ238" s="15"/>
      <c r="APR238" s="15"/>
      <c r="APS238" s="15"/>
      <c r="APT238" s="15"/>
      <c r="APU238" s="15"/>
      <c r="APV238" s="15"/>
      <c r="APW238" s="15"/>
      <c r="APX238" s="10"/>
      <c r="APY238" s="10"/>
      <c r="APZ238" s="21"/>
      <c r="AQA238" s="21"/>
      <c r="AQD238" s="21"/>
      <c r="AQE238" s="15"/>
      <c r="AQF238" s="15"/>
      <c r="AQG238" s="15"/>
      <c r="AQH238" s="15"/>
      <c r="AQI238" s="15"/>
      <c r="AQJ238" s="15"/>
      <c r="AQK238" s="15"/>
      <c r="AQL238" s="15"/>
      <c r="AQM238" s="15"/>
      <c r="AQN238" s="15"/>
      <c r="AQO238" s="10"/>
      <c r="AQP238" s="10"/>
      <c r="AQQ238" s="21"/>
      <c r="AQR238" s="21"/>
      <c r="AQU238" s="21"/>
      <c r="AQV238" s="15"/>
      <c r="AQW238" s="15"/>
      <c r="AQX238" s="15"/>
      <c r="AQY238" s="15"/>
      <c r="AQZ238" s="15"/>
      <c r="ARA238" s="15"/>
      <c r="ARB238" s="15"/>
      <c r="ARC238" s="15"/>
      <c r="ARD238" s="15"/>
      <c r="ARE238" s="15"/>
      <c r="ARF238" s="10"/>
      <c r="ARG238" s="10"/>
      <c r="ARH238" s="21"/>
      <c r="ARI238" s="21"/>
      <c r="ARL238" s="21"/>
      <c r="ARM238" s="15"/>
      <c r="ARN238" s="15"/>
      <c r="ARO238" s="15"/>
      <c r="ARP238" s="15"/>
      <c r="ARQ238" s="15"/>
      <c r="ARR238" s="15"/>
      <c r="ARS238" s="15"/>
      <c r="ART238" s="15"/>
      <c r="ARU238" s="15"/>
      <c r="ARV238" s="15"/>
      <c r="ARW238" s="10"/>
      <c r="ARX238" s="10"/>
      <c r="ARY238" s="21"/>
      <c r="ARZ238" s="21"/>
      <c r="ASC238" s="21"/>
      <c r="ASD238" s="15"/>
      <c r="ASE238" s="15"/>
      <c r="ASF238" s="15"/>
      <c r="ASG238" s="15"/>
      <c r="ASH238" s="15"/>
      <c r="ASI238" s="15"/>
      <c r="ASJ238" s="15"/>
      <c r="ASK238" s="15"/>
      <c r="ASL238" s="15"/>
      <c r="ASM238" s="15"/>
      <c r="ASN238" s="10"/>
      <c r="ASO238" s="10"/>
      <c r="ASP238" s="21"/>
      <c r="ASQ238" s="21"/>
      <c r="AST238" s="21"/>
      <c r="ASU238" s="15"/>
      <c r="ASV238" s="15"/>
      <c r="ASW238" s="15"/>
      <c r="ASX238" s="15"/>
      <c r="ASY238" s="15"/>
      <c r="ASZ238" s="15"/>
      <c r="ATA238" s="15"/>
      <c r="ATB238" s="15"/>
      <c r="ATC238" s="15"/>
      <c r="ATD238" s="15"/>
      <c r="ATE238" s="10"/>
      <c r="ATF238" s="10"/>
      <c r="ATG238" s="21"/>
      <c r="ATH238" s="21"/>
      <c r="ATK238" s="21"/>
      <c r="ATL238" s="15"/>
      <c r="ATM238" s="15"/>
      <c r="ATN238" s="15"/>
      <c r="ATO238" s="15"/>
      <c r="ATP238" s="15"/>
      <c r="ATQ238" s="15"/>
      <c r="ATR238" s="15"/>
      <c r="ATS238" s="15"/>
      <c r="ATT238" s="15"/>
      <c r="ATU238" s="15"/>
      <c r="ATV238" s="10"/>
      <c r="ATW238" s="10"/>
      <c r="ATX238" s="21"/>
      <c r="ATY238" s="21"/>
      <c r="AUB238" s="21"/>
      <c r="AUC238" s="15"/>
      <c r="AUD238" s="15"/>
      <c r="AUE238" s="15"/>
      <c r="AUF238" s="15"/>
      <c r="AUG238" s="15"/>
      <c r="AUH238" s="15"/>
      <c r="AUI238" s="15"/>
      <c r="AUJ238" s="15"/>
      <c r="AUK238" s="15"/>
      <c r="AUL238" s="15"/>
      <c r="AUM238" s="10"/>
      <c r="AUN238" s="10"/>
      <c r="AUO238" s="21"/>
      <c r="AUP238" s="21"/>
      <c r="AUS238" s="21"/>
      <c r="AUT238" s="15"/>
      <c r="AUU238" s="15"/>
      <c r="AUV238" s="15"/>
      <c r="AUW238" s="15"/>
      <c r="AUX238" s="15"/>
      <c r="AUY238" s="15"/>
      <c r="AUZ238" s="15"/>
      <c r="AVA238" s="15"/>
      <c r="AVB238" s="15"/>
      <c r="AVC238" s="15"/>
      <c r="AVD238" s="10"/>
      <c r="AVE238" s="10"/>
      <c r="AVF238" s="21"/>
      <c r="AVG238" s="21"/>
      <c r="AVJ238" s="21"/>
      <c r="AVK238" s="15"/>
      <c r="AVL238" s="15"/>
      <c r="AVM238" s="15"/>
      <c r="AVN238" s="15"/>
      <c r="AVO238" s="15"/>
      <c r="AVP238" s="15"/>
      <c r="AVQ238" s="15"/>
      <c r="AVR238" s="15"/>
      <c r="AVS238" s="15"/>
      <c r="AVT238" s="15"/>
      <c r="AVU238" s="10"/>
      <c r="AVV238" s="10"/>
      <c r="AVW238" s="21"/>
      <c r="AVX238" s="21"/>
      <c r="AWA238" s="21"/>
      <c r="AWB238" s="15"/>
      <c r="AWC238" s="15"/>
      <c r="AWD238" s="15"/>
      <c r="AWE238" s="15"/>
      <c r="AWF238" s="15"/>
      <c r="AWG238" s="15"/>
      <c r="AWH238" s="15"/>
      <c r="AWI238" s="15"/>
      <c r="AWJ238" s="15"/>
      <c r="AWK238" s="15"/>
      <c r="AWL238" s="10"/>
      <c r="AWM238" s="10"/>
      <c r="AWN238" s="21"/>
      <c r="AWO238" s="21"/>
      <c r="AWR238" s="21"/>
      <c r="AWS238" s="15"/>
      <c r="AWT238" s="15"/>
      <c r="AWU238" s="15"/>
      <c r="AWV238" s="15"/>
      <c r="AWW238" s="15"/>
      <c r="AWX238" s="15"/>
      <c r="AWY238" s="15"/>
      <c r="AWZ238" s="15"/>
      <c r="AXA238" s="15"/>
      <c r="AXB238" s="15"/>
      <c r="AXC238" s="10"/>
      <c r="AXD238" s="10"/>
      <c r="AXE238" s="21"/>
      <c r="AXF238" s="21"/>
      <c r="AXI238" s="21"/>
      <c r="AXJ238" s="15"/>
      <c r="AXK238" s="15"/>
      <c r="AXL238" s="15"/>
      <c r="AXM238" s="15"/>
      <c r="AXN238" s="15"/>
      <c r="AXO238" s="15"/>
      <c r="AXP238" s="15"/>
      <c r="AXQ238" s="15"/>
      <c r="AXR238" s="15"/>
      <c r="AXS238" s="15"/>
      <c r="AXT238" s="10"/>
      <c r="AXU238" s="10"/>
      <c r="AXV238" s="21"/>
      <c r="AXW238" s="21"/>
      <c r="AXZ238" s="21"/>
      <c r="AYA238" s="15"/>
      <c r="AYB238" s="15"/>
      <c r="AYC238" s="15"/>
      <c r="AYD238" s="15"/>
      <c r="AYE238" s="15"/>
      <c r="AYF238" s="15"/>
      <c r="AYG238" s="15"/>
      <c r="AYH238" s="15"/>
      <c r="AYI238" s="15"/>
      <c r="AYJ238" s="15"/>
      <c r="AYK238" s="10"/>
      <c r="AYL238" s="10"/>
      <c r="AYM238" s="21"/>
      <c r="AYN238" s="21"/>
      <c r="AYQ238" s="21"/>
      <c r="AYR238" s="15"/>
      <c r="AYS238" s="15"/>
      <c r="AYT238" s="15"/>
      <c r="AYU238" s="15"/>
      <c r="AYV238" s="15"/>
      <c r="AYW238" s="15"/>
      <c r="AYX238" s="15"/>
      <c r="AYY238" s="15"/>
      <c r="AYZ238" s="15"/>
      <c r="AZA238" s="15"/>
      <c r="AZB238" s="10"/>
      <c r="AZC238" s="10"/>
      <c r="AZD238" s="21"/>
      <c r="AZE238" s="21"/>
      <c r="AZH238" s="21"/>
      <c r="AZI238" s="15"/>
      <c r="AZJ238" s="15"/>
      <c r="AZK238" s="15"/>
      <c r="AZL238" s="15"/>
      <c r="AZM238" s="15"/>
      <c r="AZN238" s="15"/>
      <c r="AZO238" s="15"/>
      <c r="AZP238" s="15"/>
      <c r="AZQ238" s="15"/>
      <c r="AZR238" s="15"/>
      <c r="AZS238" s="10"/>
      <c r="AZT238" s="10"/>
      <c r="AZU238" s="21"/>
      <c r="AZV238" s="21"/>
      <c r="AZY238" s="21"/>
      <c r="AZZ238" s="15"/>
      <c r="BAA238" s="15"/>
      <c r="BAB238" s="15"/>
      <c r="BAC238" s="15"/>
      <c r="BAD238" s="15"/>
      <c r="BAE238" s="15"/>
      <c r="BAF238" s="15"/>
      <c r="BAG238" s="15"/>
      <c r="BAH238" s="15"/>
      <c r="BAI238" s="15"/>
      <c r="BAJ238" s="10"/>
      <c r="BAK238" s="10"/>
      <c r="BAL238" s="21"/>
      <c r="BAM238" s="21"/>
      <c r="BAP238" s="21"/>
      <c r="BAQ238" s="15"/>
      <c r="BAR238" s="15"/>
      <c r="BAS238" s="15"/>
      <c r="BAT238" s="15"/>
      <c r="BAU238" s="15"/>
      <c r="BAV238" s="15"/>
      <c r="BAW238" s="15"/>
      <c r="BAX238" s="15"/>
      <c r="BAY238" s="15"/>
      <c r="BAZ238" s="15"/>
      <c r="BBA238" s="10"/>
      <c r="BBB238" s="10"/>
      <c r="BBC238" s="21"/>
      <c r="BBD238" s="21"/>
      <c r="BBG238" s="21"/>
      <c r="BBH238" s="15"/>
      <c r="BBI238" s="15"/>
      <c r="BBJ238" s="15"/>
      <c r="BBK238" s="15"/>
      <c r="BBL238" s="15"/>
      <c r="BBM238" s="15"/>
      <c r="BBN238" s="15"/>
      <c r="BBO238" s="15"/>
      <c r="BBP238" s="15"/>
      <c r="BBQ238" s="15"/>
      <c r="BBR238" s="10"/>
      <c r="BBS238" s="10"/>
      <c r="BBT238" s="21"/>
      <c r="BBU238" s="21"/>
      <c r="BBX238" s="21"/>
      <c r="BBY238" s="15"/>
      <c r="BBZ238" s="15"/>
      <c r="BCA238" s="15"/>
      <c r="BCB238" s="15"/>
      <c r="BCC238" s="15"/>
      <c r="BCD238" s="15"/>
      <c r="BCE238" s="15"/>
      <c r="BCF238" s="15"/>
      <c r="BCG238" s="15"/>
      <c r="BCH238" s="15"/>
      <c r="BCI238" s="10"/>
      <c r="BCJ238" s="10"/>
      <c r="BCK238" s="21"/>
      <c r="BCL238" s="21"/>
      <c r="BCO238" s="21"/>
      <c r="BCP238" s="15"/>
      <c r="BCQ238" s="15"/>
      <c r="BCR238" s="15"/>
      <c r="BCS238" s="15"/>
      <c r="BCT238" s="15"/>
      <c r="BCU238" s="15"/>
      <c r="BCV238" s="15"/>
      <c r="BCW238" s="15"/>
      <c r="BCX238" s="15"/>
      <c r="BCY238" s="15"/>
      <c r="BCZ238" s="10"/>
      <c r="BDA238" s="10"/>
      <c r="BDB238" s="21"/>
      <c r="BDC238" s="21"/>
      <c r="BDF238" s="21"/>
      <c r="BDG238" s="15"/>
      <c r="BDH238" s="15"/>
      <c r="BDI238" s="15"/>
      <c r="BDJ238" s="15"/>
      <c r="BDK238" s="15"/>
      <c r="BDL238" s="15"/>
      <c r="BDM238" s="15"/>
      <c r="BDN238" s="15"/>
      <c r="BDO238" s="15"/>
      <c r="BDP238" s="15"/>
      <c r="BDQ238" s="10"/>
      <c r="BDR238" s="10"/>
      <c r="BDS238" s="21"/>
      <c r="BDT238" s="21"/>
      <c r="BDW238" s="21"/>
      <c r="BDX238" s="15"/>
      <c r="BDY238" s="15"/>
      <c r="BDZ238" s="15"/>
      <c r="BEA238" s="15"/>
      <c r="BEB238" s="15"/>
      <c r="BEC238" s="15"/>
      <c r="BED238" s="15"/>
      <c r="BEE238" s="15"/>
      <c r="BEF238" s="15"/>
      <c r="BEG238" s="15"/>
      <c r="BEH238" s="10"/>
      <c r="BEI238" s="10"/>
      <c r="BEJ238" s="21"/>
      <c r="BEK238" s="21"/>
      <c r="BEN238" s="21"/>
      <c r="BEO238" s="15"/>
      <c r="BEP238" s="15"/>
      <c r="BEQ238" s="15"/>
      <c r="BER238" s="15"/>
      <c r="BES238" s="15"/>
      <c r="BET238" s="15"/>
      <c r="BEU238" s="15"/>
      <c r="BEV238" s="15"/>
      <c r="BEW238" s="15"/>
      <c r="BEX238" s="15"/>
      <c r="BEY238" s="10"/>
      <c r="BEZ238" s="10"/>
      <c r="BFA238" s="21"/>
      <c r="BFB238" s="21"/>
      <c r="BFE238" s="21"/>
      <c r="BFF238" s="15"/>
      <c r="BFG238" s="15"/>
      <c r="BFH238" s="15"/>
      <c r="BFI238" s="15"/>
      <c r="BFJ238" s="15"/>
      <c r="BFK238" s="15"/>
      <c r="BFL238" s="15"/>
      <c r="BFM238" s="15"/>
      <c r="BFN238" s="15"/>
      <c r="BFO238" s="15"/>
      <c r="BFP238" s="10"/>
      <c r="BFQ238" s="10"/>
      <c r="BFR238" s="21"/>
      <c r="BFS238" s="21"/>
      <c r="BFV238" s="21"/>
      <c r="BFW238" s="15"/>
      <c r="BFX238" s="15"/>
      <c r="BFY238" s="15"/>
      <c r="BFZ238" s="15"/>
      <c r="BGA238" s="15"/>
      <c r="BGB238" s="15"/>
      <c r="BGC238" s="15"/>
      <c r="BGD238" s="15"/>
      <c r="BGE238" s="15"/>
      <c r="BGF238" s="15"/>
      <c r="BGG238" s="10"/>
      <c r="BGH238" s="10"/>
      <c r="BGI238" s="21"/>
      <c r="BGJ238" s="21"/>
      <c r="BGM238" s="21"/>
      <c r="BGN238" s="15"/>
      <c r="BGO238" s="15"/>
      <c r="BGP238" s="15"/>
      <c r="BGQ238" s="15"/>
      <c r="BGR238" s="15"/>
      <c r="BGS238" s="15"/>
      <c r="BGT238" s="15"/>
      <c r="BGU238" s="15"/>
      <c r="BGV238" s="15"/>
      <c r="BGW238" s="15"/>
      <c r="BGX238" s="10"/>
      <c r="BGY238" s="10"/>
      <c r="BGZ238" s="21"/>
      <c r="BHA238" s="21"/>
      <c r="BHD238" s="21"/>
      <c r="BHE238" s="15"/>
      <c r="BHF238" s="15"/>
      <c r="BHG238" s="15"/>
      <c r="BHH238" s="15"/>
      <c r="BHI238" s="15"/>
      <c r="BHJ238" s="15"/>
      <c r="BHK238" s="15"/>
      <c r="BHL238" s="15"/>
      <c r="BHM238" s="15"/>
      <c r="BHN238" s="15"/>
      <c r="BHO238" s="10"/>
      <c r="BHP238" s="10"/>
      <c r="BHQ238" s="21"/>
      <c r="BHR238" s="21"/>
      <c r="BHU238" s="21"/>
      <c r="BHV238" s="15"/>
      <c r="BHW238" s="15"/>
      <c r="BHX238" s="15"/>
      <c r="BHY238" s="15"/>
      <c r="BHZ238" s="15"/>
      <c r="BIA238" s="15"/>
      <c r="BIB238" s="15"/>
      <c r="BIC238" s="15"/>
      <c r="BID238" s="15"/>
      <c r="BIE238" s="15"/>
      <c r="BIF238" s="10"/>
      <c r="BIG238" s="10"/>
      <c r="BIH238" s="21"/>
      <c r="BII238" s="21"/>
      <c r="BIL238" s="21"/>
      <c r="BIM238" s="15"/>
      <c r="BIN238" s="15"/>
      <c r="BIO238" s="15"/>
      <c r="BIP238" s="15"/>
      <c r="BIQ238" s="15"/>
      <c r="BIR238" s="15"/>
      <c r="BIS238" s="15"/>
      <c r="BIT238" s="15"/>
      <c r="BIU238" s="15"/>
      <c r="BIV238" s="15"/>
      <c r="BIW238" s="10"/>
      <c r="BIX238" s="10"/>
      <c r="BIY238" s="21"/>
      <c r="BIZ238" s="21"/>
      <c r="BJC238" s="21"/>
      <c r="BJD238" s="15"/>
      <c r="BJE238" s="15"/>
      <c r="BJF238" s="15"/>
      <c r="BJG238" s="15"/>
      <c r="BJH238" s="15"/>
      <c r="BJI238" s="15"/>
      <c r="BJJ238" s="15"/>
      <c r="BJK238" s="15"/>
      <c r="BJL238" s="15"/>
      <c r="BJM238" s="15"/>
      <c r="BJN238" s="10"/>
      <c r="BJO238" s="10"/>
      <c r="BJP238" s="21"/>
      <c r="BJQ238" s="21"/>
      <c r="BJT238" s="21"/>
      <c r="BJU238" s="15"/>
      <c r="BJV238" s="15"/>
      <c r="BJW238" s="15"/>
      <c r="BJX238" s="15"/>
      <c r="BJY238" s="15"/>
      <c r="BJZ238" s="15"/>
      <c r="BKA238" s="15"/>
      <c r="BKB238" s="15"/>
      <c r="BKC238" s="15"/>
      <c r="BKD238" s="15"/>
      <c r="BKE238" s="10"/>
      <c r="BKF238" s="10"/>
      <c r="BKG238" s="21"/>
      <c r="BKH238" s="21"/>
      <c r="BKK238" s="21"/>
      <c r="BKL238" s="15"/>
      <c r="BKM238" s="15"/>
      <c r="BKN238" s="15"/>
      <c r="BKO238" s="15"/>
      <c r="BKP238" s="15"/>
      <c r="BKQ238" s="15"/>
      <c r="BKR238" s="15"/>
      <c r="BKS238" s="15"/>
      <c r="BKT238" s="15"/>
      <c r="BKU238" s="15"/>
      <c r="BKV238" s="10"/>
      <c r="BKW238" s="10"/>
      <c r="BKX238" s="21"/>
      <c r="BKY238" s="21"/>
      <c r="BLB238" s="21"/>
      <c r="BLC238" s="15"/>
      <c r="BLD238" s="15"/>
      <c r="BLE238" s="15"/>
      <c r="BLF238" s="15"/>
      <c r="BLG238" s="15"/>
      <c r="BLH238" s="15"/>
      <c r="BLI238" s="15"/>
      <c r="BLJ238" s="15"/>
      <c r="BLK238" s="15"/>
      <c r="BLL238" s="15"/>
      <c r="BLM238" s="10"/>
      <c r="BLN238" s="10"/>
      <c r="BLO238" s="21"/>
      <c r="BLP238" s="21"/>
      <c r="BLS238" s="21"/>
      <c r="BLT238" s="15"/>
      <c r="BLU238" s="15"/>
      <c r="BLV238" s="15"/>
      <c r="BLW238" s="15"/>
      <c r="BLX238" s="15"/>
      <c r="BLY238" s="15"/>
      <c r="BLZ238" s="15"/>
      <c r="BMA238" s="15"/>
      <c r="BMB238" s="15"/>
      <c r="BMC238" s="15"/>
      <c r="BMD238" s="10"/>
      <c r="BME238" s="10"/>
      <c r="BMF238" s="21"/>
      <c r="BMG238" s="21"/>
      <c r="BMJ238" s="21"/>
      <c r="BMK238" s="15"/>
      <c r="BML238" s="15"/>
      <c r="BMM238" s="15"/>
      <c r="BMN238" s="15"/>
      <c r="BMO238" s="15"/>
      <c r="BMP238" s="15"/>
      <c r="BMQ238" s="15"/>
      <c r="BMR238" s="15"/>
      <c r="BMS238" s="15"/>
      <c r="BMT238" s="15"/>
      <c r="BMU238" s="10"/>
      <c r="BMV238" s="10"/>
      <c r="BMW238" s="21"/>
      <c r="BMX238" s="21"/>
      <c r="BNA238" s="21"/>
      <c r="BNB238" s="15"/>
      <c r="BNC238" s="15"/>
      <c r="BND238" s="15"/>
      <c r="BNE238" s="15"/>
      <c r="BNF238" s="15"/>
      <c r="BNG238" s="15"/>
      <c r="BNH238" s="15"/>
      <c r="BNI238" s="15"/>
      <c r="BNJ238" s="15"/>
      <c r="BNK238" s="15"/>
      <c r="BNL238" s="10"/>
      <c r="BNM238" s="10"/>
      <c r="BNN238" s="21"/>
      <c r="BNO238" s="21"/>
      <c r="BNR238" s="21"/>
      <c r="BNS238" s="15"/>
      <c r="BNT238" s="15"/>
      <c r="BNU238" s="15"/>
      <c r="BNV238" s="15"/>
      <c r="BNW238" s="15"/>
      <c r="BNX238" s="15"/>
      <c r="BNY238" s="15"/>
      <c r="BNZ238" s="15"/>
      <c r="BOA238" s="15"/>
      <c r="BOB238" s="15"/>
      <c r="BOC238" s="10"/>
      <c r="BOD238" s="10"/>
      <c r="BOE238" s="21"/>
      <c r="BOF238" s="21"/>
      <c r="BOI238" s="21"/>
      <c r="BOJ238" s="15"/>
      <c r="BOK238" s="15"/>
      <c r="BOL238" s="15"/>
      <c r="BOM238" s="15"/>
      <c r="BON238" s="15"/>
      <c r="BOO238" s="15"/>
      <c r="BOP238" s="15"/>
      <c r="BOQ238" s="15"/>
      <c r="BOR238" s="15"/>
      <c r="BOS238" s="15"/>
      <c r="BOT238" s="10"/>
      <c r="BOU238" s="10"/>
      <c r="BOV238" s="21"/>
      <c r="BOW238" s="21"/>
      <c r="BOZ238" s="21"/>
      <c r="BPA238" s="15"/>
      <c r="BPB238" s="15"/>
      <c r="BPC238" s="15"/>
      <c r="BPD238" s="15"/>
      <c r="BPE238" s="15"/>
      <c r="BPF238" s="15"/>
      <c r="BPG238" s="15"/>
      <c r="BPH238" s="15"/>
      <c r="BPI238" s="15"/>
      <c r="BPJ238" s="15"/>
      <c r="BPK238" s="10"/>
      <c r="BPL238" s="10"/>
      <c r="BPM238" s="21"/>
      <c r="BPN238" s="21"/>
      <c r="BPQ238" s="21"/>
      <c r="BPR238" s="15"/>
      <c r="BPS238" s="15"/>
      <c r="BPT238" s="15"/>
      <c r="BPU238" s="15"/>
      <c r="BPV238" s="15"/>
      <c r="BPW238" s="15"/>
      <c r="BPX238" s="15"/>
      <c r="BPY238" s="15"/>
      <c r="BPZ238" s="15"/>
      <c r="BQA238" s="15"/>
      <c r="BQB238" s="10"/>
      <c r="BQC238" s="10"/>
      <c r="BQD238" s="21"/>
      <c r="BQE238" s="21"/>
      <c r="BQH238" s="21"/>
      <c r="BQI238" s="15"/>
      <c r="BQJ238" s="15"/>
      <c r="BQK238" s="15"/>
      <c r="BQL238" s="15"/>
      <c r="BQM238" s="15"/>
      <c r="BQN238" s="15"/>
      <c r="BQO238" s="15"/>
      <c r="BQP238" s="15"/>
      <c r="BQQ238" s="15"/>
      <c r="BQR238" s="15"/>
      <c r="BQS238" s="10"/>
      <c r="BQT238" s="10"/>
      <c r="BQU238" s="21"/>
      <c r="BQV238" s="21"/>
      <c r="BQY238" s="21"/>
      <c r="BQZ238" s="15"/>
      <c r="BRA238" s="15"/>
      <c r="BRB238" s="15"/>
      <c r="BRC238" s="15"/>
      <c r="BRD238" s="15"/>
      <c r="BRE238" s="15"/>
      <c r="BRF238" s="15"/>
      <c r="BRG238" s="15"/>
      <c r="BRH238" s="15"/>
      <c r="BRI238" s="15"/>
      <c r="BRJ238" s="10"/>
      <c r="BRK238" s="10"/>
      <c r="BRL238" s="21"/>
      <c r="BRM238" s="21"/>
      <c r="BRP238" s="21"/>
      <c r="BRQ238" s="15"/>
      <c r="BRR238" s="15"/>
      <c r="BRS238" s="15"/>
      <c r="BRT238" s="15"/>
      <c r="BRU238" s="15"/>
      <c r="BRV238" s="15"/>
      <c r="BRW238" s="15"/>
      <c r="BRX238" s="15"/>
      <c r="BRY238" s="15"/>
      <c r="BRZ238" s="15"/>
      <c r="BSA238" s="10"/>
      <c r="BSB238" s="10"/>
      <c r="BSC238" s="21"/>
      <c r="BSD238" s="21"/>
      <c r="BSG238" s="21"/>
      <c r="BSH238" s="15"/>
      <c r="BSI238" s="15"/>
      <c r="BSJ238" s="15"/>
      <c r="BSK238" s="15"/>
      <c r="BSL238" s="15"/>
      <c r="BSM238" s="15"/>
      <c r="BSN238" s="15"/>
      <c r="BSO238" s="15"/>
      <c r="BSP238" s="15"/>
      <c r="BSQ238" s="15"/>
      <c r="BSR238" s="10"/>
      <c r="BSS238" s="10"/>
      <c r="BST238" s="21"/>
      <c r="BSU238" s="21"/>
      <c r="BSX238" s="21"/>
      <c r="BSY238" s="15"/>
      <c r="BSZ238" s="15"/>
      <c r="BTA238" s="15"/>
      <c r="BTB238" s="15"/>
      <c r="BTC238" s="15"/>
      <c r="BTD238" s="15"/>
      <c r="BTE238" s="15"/>
      <c r="BTF238" s="15"/>
      <c r="BTG238" s="15"/>
      <c r="BTH238" s="15"/>
      <c r="BTI238" s="10"/>
      <c r="BTJ238" s="10"/>
      <c r="BTK238" s="21"/>
      <c r="BTL238" s="21"/>
      <c r="BTO238" s="21"/>
      <c r="BTP238" s="15"/>
      <c r="BTQ238" s="15"/>
      <c r="BTR238" s="15"/>
      <c r="BTS238" s="15"/>
      <c r="BTT238" s="15"/>
      <c r="BTU238" s="15"/>
      <c r="BTV238" s="15"/>
      <c r="BTW238" s="15"/>
      <c r="BTX238" s="15"/>
      <c r="BTY238" s="15"/>
      <c r="BTZ238" s="10"/>
      <c r="BUA238" s="10"/>
      <c r="BUB238" s="21"/>
      <c r="BUC238" s="21"/>
      <c r="BUF238" s="21"/>
      <c r="BUG238" s="15"/>
      <c r="BUH238" s="15"/>
      <c r="BUI238" s="15"/>
      <c r="BUJ238" s="15"/>
      <c r="BUK238" s="15"/>
      <c r="BUL238" s="15"/>
      <c r="BUM238" s="15"/>
      <c r="BUN238" s="15"/>
      <c r="BUO238" s="15"/>
      <c r="BUP238" s="15"/>
      <c r="BUQ238" s="10"/>
      <c r="BUR238" s="10"/>
      <c r="BUS238" s="21"/>
      <c r="BUT238" s="21"/>
      <c r="BUW238" s="21"/>
      <c r="BUX238" s="15"/>
      <c r="BUY238" s="15"/>
      <c r="BUZ238" s="15"/>
      <c r="BVA238" s="15"/>
      <c r="BVB238" s="15"/>
      <c r="BVC238" s="15"/>
      <c r="BVD238" s="15"/>
      <c r="BVE238" s="15"/>
      <c r="BVF238" s="15"/>
      <c r="BVG238" s="15"/>
      <c r="BVH238" s="10"/>
      <c r="BVI238" s="10"/>
      <c r="BVJ238" s="21"/>
      <c r="BVK238" s="21"/>
      <c r="BVN238" s="21"/>
      <c r="BVO238" s="15"/>
      <c r="BVP238" s="15"/>
      <c r="BVQ238" s="15"/>
      <c r="BVR238" s="15"/>
      <c r="BVS238" s="15"/>
      <c r="BVT238" s="15"/>
      <c r="BVU238" s="15"/>
      <c r="BVV238" s="15"/>
      <c r="BVW238" s="15"/>
      <c r="BVX238" s="15"/>
      <c r="BVY238" s="10"/>
      <c r="BVZ238" s="10"/>
      <c r="BWA238" s="21"/>
      <c r="BWB238" s="21"/>
      <c r="BWE238" s="21"/>
      <c r="BWF238" s="15"/>
      <c r="BWG238" s="15"/>
      <c r="BWH238" s="15"/>
      <c r="BWI238" s="15"/>
      <c r="BWJ238" s="15"/>
      <c r="BWK238" s="15"/>
      <c r="BWL238" s="15"/>
      <c r="BWM238" s="15"/>
      <c r="BWN238" s="15"/>
      <c r="BWO238" s="15"/>
      <c r="BWP238" s="10"/>
      <c r="BWQ238" s="10"/>
      <c r="BWR238" s="21"/>
      <c r="BWS238" s="21"/>
      <c r="BWV238" s="21"/>
      <c r="BWW238" s="15"/>
      <c r="BWX238" s="15"/>
      <c r="BWY238" s="15"/>
      <c r="BWZ238" s="15"/>
      <c r="BXA238" s="15"/>
      <c r="BXB238" s="15"/>
      <c r="BXC238" s="15"/>
      <c r="BXD238" s="15"/>
      <c r="BXE238" s="15"/>
      <c r="BXF238" s="15"/>
      <c r="BXG238" s="10"/>
      <c r="BXH238" s="10"/>
      <c r="BXI238" s="21"/>
      <c r="BXJ238" s="21"/>
      <c r="BXM238" s="21"/>
      <c r="BXN238" s="15"/>
      <c r="BXO238" s="15"/>
      <c r="BXP238" s="15"/>
      <c r="BXQ238" s="15"/>
      <c r="BXR238" s="15"/>
      <c r="BXS238" s="15"/>
      <c r="BXT238" s="15"/>
      <c r="BXU238" s="15"/>
      <c r="BXV238" s="15"/>
      <c r="BXW238" s="15"/>
      <c r="BXX238" s="10"/>
      <c r="BXY238" s="10"/>
      <c r="BXZ238" s="21"/>
      <c r="BYA238" s="21"/>
      <c r="BYD238" s="21"/>
      <c r="BYE238" s="15"/>
      <c r="BYF238" s="15"/>
      <c r="BYG238" s="15"/>
      <c r="BYH238" s="15"/>
      <c r="BYI238" s="15"/>
      <c r="BYJ238" s="15"/>
      <c r="BYK238" s="15"/>
      <c r="BYL238" s="15"/>
      <c r="BYM238" s="15"/>
      <c r="BYN238" s="15"/>
      <c r="BYO238" s="10"/>
      <c r="BYP238" s="10"/>
      <c r="BYQ238" s="21"/>
      <c r="BYR238" s="21"/>
      <c r="BYU238" s="21"/>
      <c r="BYV238" s="15"/>
      <c r="BYW238" s="15"/>
      <c r="BYX238" s="15"/>
      <c r="BYY238" s="15"/>
      <c r="BYZ238" s="15"/>
      <c r="BZA238" s="15"/>
      <c r="BZB238" s="15"/>
      <c r="BZC238" s="15"/>
      <c r="BZD238" s="15"/>
      <c r="BZE238" s="15"/>
      <c r="BZF238" s="10"/>
      <c r="BZG238" s="10"/>
      <c r="BZH238" s="21"/>
      <c r="BZI238" s="21"/>
      <c r="BZL238" s="21"/>
      <c r="BZM238" s="15"/>
      <c r="BZN238" s="15"/>
      <c r="BZO238" s="15"/>
      <c r="BZP238" s="15"/>
      <c r="BZQ238" s="15"/>
      <c r="BZR238" s="15"/>
      <c r="BZS238" s="15"/>
      <c r="BZT238" s="15"/>
      <c r="BZU238" s="15"/>
      <c r="BZV238" s="15"/>
      <c r="BZW238" s="10"/>
      <c r="BZX238" s="10"/>
      <c r="BZY238" s="21"/>
      <c r="BZZ238" s="21"/>
      <c r="CAC238" s="21"/>
      <c r="CAD238" s="15"/>
      <c r="CAE238" s="15"/>
      <c r="CAF238" s="15"/>
      <c r="CAG238" s="15"/>
      <c r="CAH238" s="15"/>
      <c r="CAI238" s="15"/>
      <c r="CAJ238" s="15"/>
      <c r="CAK238" s="15"/>
      <c r="CAL238" s="15"/>
      <c r="CAM238" s="15"/>
      <c r="CAN238" s="10"/>
      <c r="CAO238" s="10"/>
      <c r="CAP238" s="21"/>
      <c r="CAQ238" s="21"/>
      <c r="CAT238" s="21"/>
      <c r="CAU238" s="15"/>
      <c r="CAV238" s="15"/>
      <c r="CAW238" s="15"/>
      <c r="CAX238" s="15"/>
      <c r="CAY238" s="15"/>
      <c r="CAZ238" s="15"/>
      <c r="CBA238" s="15"/>
      <c r="CBB238" s="15"/>
      <c r="CBC238" s="15"/>
      <c r="CBD238" s="15"/>
      <c r="CBE238" s="10"/>
      <c r="CBF238" s="10"/>
      <c r="CBG238" s="21"/>
      <c r="CBH238" s="21"/>
      <c r="CBK238" s="21"/>
      <c r="CBL238" s="15"/>
      <c r="CBM238" s="15"/>
      <c r="CBN238" s="15"/>
      <c r="CBO238" s="15"/>
      <c r="CBP238" s="15"/>
      <c r="CBQ238" s="15"/>
      <c r="CBR238" s="15"/>
      <c r="CBS238" s="15"/>
      <c r="CBT238" s="15"/>
      <c r="CBU238" s="15"/>
      <c r="CBV238" s="10"/>
      <c r="CBW238" s="10"/>
      <c r="CBX238" s="21"/>
      <c r="CBY238" s="21"/>
      <c r="CCB238" s="21"/>
      <c r="CCC238" s="15"/>
      <c r="CCD238" s="15"/>
      <c r="CCE238" s="15"/>
      <c r="CCF238" s="15"/>
      <c r="CCG238" s="15"/>
      <c r="CCH238" s="15"/>
      <c r="CCI238" s="15"/>
      <c r="CCJ238" s="15"/>
      <c r="CCK238" s="15"/>
      <c r="CCL238" s="15"/>
      <c r="CCM238" s="10"/>
      <c r="CCN238" s="10"/>
      <c r="CCO238" s="21"/>
      <c r="CCP238" s="21"/>
      <c r="CCS238" s="21"/>
      <c r="CCT238" s="15"/>
      <c r="CCU238" s="15"/>
      <c r="CCV238" s="15"/>
      <c r="CCW238" s="15"/>
      <c r="CCX238" s="15"/>
      <c r="CCY238" s="15"/>
      <c r="CCZ238" s="15"/>
      <c r="CDA238" s="15"/>
      <c r="CDB238" s="15"/>
      <c r="CDC238" s="15"/>
      <c r="CDD238" s="10"/>
      <c r="CDE238" s="10"/>
      <c r="CDF238" s="21"/>
      <c r="CDG238" s="21"/>
      <c r="CDJ238" s="21"/>
      <c r="CDK238" s="15"/>
      <c r="CDL238" s="15"/>
      <c r="CDM238" s="15"/>
      <c r="CDN238" s="15"/>
      <c r="CDO238" s="15"/>
      <c r="CDP238" s="15"/>
      <c r="CDQ238" s="15"/>
      <c r="CDR238" s="15"/>
      <c r="CDS238" s="15"/>
      <c r="CDT238" s="15"/>
      <c r="CDU238" s="10"/>
      <c r="CDV238" s="10"/>
      <c r="CDW238" s="21"/>
      <c r="CDX238" s="21"/>
      <c r="CEA238" s="21"/>
      <c r="CEB238" s="15"/>
      <c r="CEC238" s="15"/>
      <c r="CED238" s="15"/>
      <c r="CEE238" s="15"/>
      <c r="CEF238" s="15"/>
      <c r="CEG238" s="15"/>
      <c r="CEH238" s="15"/>
      <c r="CEI238" s="15"/>
      <c r="CEJ238" s="15"/>
      <c r="CEK238" s="15"/>
      <c r="CEL238" s="10"/>
      <c r="CEM238" s="10"/>
      <c r="CEN238" s="21"/>
      <c r="CEO238" s="21"/>
      <c r="CER238" s="21"/>
      <c r="CES238" s="15"/>
      <c r="CET238" s="15"/>
      <c r="CEU238" s="15"/>
      <c r="CEV238" s="15"/>
      <c r="CEW238" s="15"/>
      <c r="CEX238" s="15"/>
      <c r="CEY238" s="15"/>
      <c r="CEZ238" s="15"/>
      <c r="CFA238" s="15"/>
      <c r="CFB238" s="15"/>
      <c r="CFC238" s="10"/>
      <c r="CFD238" s="10"/>
      <c r="CFE238" s="21"/>
      <c r="CFF238" s="21"/>
      <c r="CFI238" s="21"/>
      <c r="CFJ238" s="15"/>
      <c r="CFK238" s="15"/>
      <c r="CFL238" s="15"/>
      <c r="CFM238" s="15"/>
      <c r="CFN238" s="15"/>
      <c r="CFO238" s="15"/>
      <c r="CFP238" s="15"/>
      <c r="CFQ238" s="15"/>
      <c r="CFR238" s="15"/>
      <c r="CFS238" s="15"/>
      <c r="CFT238" s="10"/>
      <c r="CFU238" s="10"/>
      <c r="CFV238" s="21"/>
      <c r="CFW238" s="21"/>
      <c r="CFZ238" s="21"/>
      <c r="CGA238" s="15"/>
      <c r="CGB238" s="15"/>
      <c r="CGC238" s="15"/>
      <c r="CGD238" s="15"/>
      <c r="CGE238" s="15"/>
      <c r="CGF238" s="15"/>
      <c r="CGG238" s="15"/>
      <c r="CGH238" s="15"/>
      <c r="CGI238" s="15"/>
      <c r="CGJ238" s="15"/>
      <c r="CGK238" s="10"/>
      <c r="CGL238" s="10"/>
      <c r="CGM238" s="21"/>
      <c r="CGN238" s="21"/>
      <c r="CGQ238" s="21"/>
      <c r="CGR238" s="15"/>
      <c r="CGS238" s="15"/>
      <c r="CGT238" s="15"/>
      <c r="CGU238" s="15"/>
      <c r="CGV238" s="15"/>
      <c r="CGW238" s="15"/>
      <c r="CGX238" s="15"/>
      <c r="CGY238" s="15"/>
      <c r="CGZ238" s="15"/>
      <c r="CHA238" s="15"/>
      <c r="CHB238" s="10"/>
      <c r="CHC238" s="10"/>
      <c r="CHD238" s="21"/>
      <c r="CHE238" s="21"/>
      <c r="CHH238" s="21"/>
      <c r="CHI238" s="15"/>
      <c r="CHJ238" s="15"/>
      <c r="CHK238" s="15"/>
      <c r="CHL238" s="15"/>
      <c r="CHM238" s="15"/>
      <c r="CHN238" s="15"/>
      <c r="CHO238" s="15"/>
      <c r="CHP238" s="15"/>
      <c r="CHQ238" s="15"/>
      <c r="CHR238" s="15"/>
      <c r="CHS238" s="10"/>
      <c r="CHT238" s="10"/>
      <c r="CHU238" s="21"/>
      <c r="CHV238" s="21"/>
      <c r="CHY238" s="21"/>
      <c r="CHZ238" s="15"/>
      <c r="CIA238" s="15"/>
      <c r="CIB238" s="15"/>
      <c r="CIC238" s="15"/>
      <c r="CID238" s="15"/>
      <c r="CIE238" s="15"/>
      <c r="CIF238" s="15"/>
      <c r="CIG238" s="15"/>
      <c r="CIH238" s="15"/>
      <c r="CII238" s="15"/>
      <c r="CIJ238" s="10"/>
      <c r="CIK238" s="10"/>
      <c r="CIL238" s="21"/>
      <c r="CIM238" s="21"/>
      <c r="CIP238" s="21"/>
      <c r="CIQ238" s="15"/>
      <c r="CIR238" s="15"/>
      <c r="CIS238" s="15"/>
      <c r="CIT238" s="15"/>
      <c r="CIU238" s="15"/>
      <c r="CIV238" s="15"/>
      <c r="CIW238" s="15"/>
      <c r="CIX238" s="15"/>
      <c r="CIY238" s="15"/>
      <c r="CIZ238" s="15"/>
      <c r="CJA238" s="10"/>
      <c r="CJB238" s="10"/>
      <c r="CJC238" s="21"/>
      <c r="CJD238" s="21"/>
      <c r="CJG238" s="21"/>
      <c r="CJH238" s="15"/>
      <c r="CJI238" s="15"/>
      <c r="CJJ238" s="15"/>
      <c r="CJK238" s="15"/>
      <c r="CJL238" s="15"/>
      <c r="CJM238" s="15"/>
      <c r="CJN238" s="15"/>
      <c r="CJO238" s="15"/>
      <c r="CJP238" s="15"/>
      <c r="CJQ238" s="15"/>
      <c r="CJR238" s="10"/>
      <c r="CJS238" s="10"/>
      <c r="CJT238" s="21"/>
      <c r="CJU238" s="21"/>
      <c r="CJX238" s="21"/>
      <c r="CJY238" s="15"/>
      <c r="CJZ238" s="15"/>
      <c r="CKA238" s="15"/>
      <c r="CKB238" s="15"/>
      <c r="CKC238" s="15"/>
      <c r="CKD238" s="15"/>
      <c r="CKE238" s="15"/>
      <c r="CKF238" s="15"/>
      <c r="CKG238" s="15"/>
      <c r="CKH238" s="15"/>
      <c r="CKI238" s="10"/>
      <c r="CKJ238" s="10"/>
      <c r="CKK238" s="21"/>
      <c r="CKL238" s="21"/>
      <c r="CKO238" s="21"/>
      <c r="CKP238" s="15"/>
      <c r="CKQ238" s="15"/>
      <c r="CKR238" s="15"/>
      <c r="CKS238" s="15"/>
      <c r="CKT238" s="15"/>
      <c r="CKU238" s="15"/>
      <c r="CKV238" s="15"/>
      <c r="CKW238" s="15"/>
      <c r="CKX238" s="15"/>
      <c r="CKY238" s="15"/>
      <c r="CKZ238" s="10"/>
      <c r="CLA238" s="10"/>
      <c r="CLB238" s="21"/>
      <c r="CLC238" s="21"/>
      <c r="CLF238" s="21"/>
      <c r="CLG238" s="15"/>
      <c r="CLH238" s="15"/>
      <c r="CLI238" s="15"/>
      <c r="CLJ238" s="15"/>
      <c r="CLK238" s="15"/>
      <c r="CLL238" s="15"/>
      <c r="CLM238" s="15"/>
      <c r="CLN238" s="15"/>
      <c r="CLO238" s="15"/>
      <c r="CLP238" s="15"/>
      <c r="CLQ238" s="10"/>
      <c r="CLR238" s="10"/>
      <c r="CLS238" s="21"/>
      <c r="CLT238" s="21"/>
      <c r="CLW238" s="21"/>
      <c r="CLX238" s="15"/>
      <c r="CLY238" s="15"/>
      <c r="CLZ238" s="15"/>
      <c r="CMA238" s="15"/>
      <c r="CMB238" s="15"/>
      <c r="CMC238" s="15"/>
      <c r="CMD238" s="15"/>
      <c r="CME238" s="15"/>
      <c r="CMF238" s="15"/>
      <c r="CMG238" s="15"/>
      <c r="CMH238" s="10"/>
      <c r="CMI238" s="10"/>
      <c r="CMJ238" s="21"/>
      <c r="CMK238" s="21"/>
      <c r="CMN238" s="21"/>
      <c r="CMO238" s="15"/>
      <c r="CMP238" s="15"/>
      <c r="CMQ238" s="15"/>
      <c r="CMR238" s="15"/>
      <c r="CMS238" s="15"/>
      <c r="CMT238" s="15"/>
      <c r="CMU238" s="15"/>
      <c r="CMV238" s="15"/>
      <c r="CMW238" s="15"/>
      <c r="CMX238" s="15"/>
      <c r="CMY238" s="10"/>
      <c r="CMZ238" s="10"/>
      <c r="CNA238" s="21"/>
      <c r="CNB238" s="21"/>
      <c r="CNE238" s="21"/>
      <c r="CNF238" s="15"/>
      <c r="CNG238" s="15"/>
      <c r="CNH238" s="15"/>
      <c r="CNI238" s="15"/>
      <c r="CNJ238" s="15"/>
      <c r="CNK238" s="15"/>
      <c r="CNL238" s="15"/>
      <c r="CNM238" s="15"/>
      <c r="CNN238" s="15"/>
      <c r="CNO238" s="15"/>
      <c r="CNP238" s="10"/>
      <c r="CNQ238" s="10"/>
      <c r="CNR238" s="21"/>
      <c r="CNS238" s="21"/>
      <c r="CNV238" s="21"/>
      <c r="CNW238" s="15"/>
      <c r="CNX238" s="15"/>
      <c r="CNY238" s="15"/>
      <c r="CNZ238" s="15"/>
      <c r="COA238" s="15"/>
      <c r="COB238" s="15"/>
      <c r="COC238" s="15"/>
      <c r="COD238" s="15"/>
      <c r="COE238" s="15"/>
      <c r="COF238" s="15"/>
      <c r="COG238" s="10"/>
      <c r="COH238" s="10"/>
      <c r="COI238" s="21"/>
      <c r="COJ238" s="21"/>
      <c r="COM238" s="21"/>
      <c r="CON238" s="15"/>
      <c r="COO238" s="15"/>
      <c r="COP238" s="15"/>
      <c r="COQ238" s="15"/>
      <c r="COR238" s="15"/>
      <c r="COS238" s="15"/>
      <c r="COT238" s="15"/>
      <c r="COU238" s="15"/>
      <c r="COV238" s="15"/>
      <c r="COW238" s="15"/>
      <c r="COX238" s="10"/>
      <c r="COY238" s="10"/>
      <c r="COZ238" s="21"/>
      <c r="CPA238" s="21"/>
      <c r="CPD238" s="21"/>
      <c r="CPE238" s="15"/>
      <c r="CPF238" s="15"/>
      <c r="CPG238" s="15"/>
      <c r="CPH238" s="15"/>
      <c r="CPI238" s="15"/>
      <c r="CPJ238" s="15"/>
      <c r="CPK238" s="15"/>
      <c r="CPL238" s="15"/>
      <c r="CPM238" s="15"/>
      <c r="CPN238" s="15"/>
      <c r="CPO238" s="10"/>
      <c r="CPP238" s="10"/>
      <c r="CPQ238" s="21"/>
      <c r="CPR238" s="21"/>
      <c r="CPU238" s="21"/>
      <c r="CPV238" s="15"/>
      <c r="CPW238" s="15"/>
      <c r="CPX238" s="15"/>
      <c r="CPY238" s="15"/>
      <c r="CPZ238" s="15"/>
      <c r="CQA238" s="15"/>
      <c r="CQB238" s="15"/>
      <c r="CQC238" s="15"/>
      <c r="CQD238" s="15"/>
      <c r="CQE238" s="15"/>
      <c r="CQF238" s="10"/>
      <c r="CQG238" s="10"/>
      <c r="CQH238" s="21"/>
      <c r="CQI238" s="21"/>
      <c r="CQL238" s="21"/>
      <c r="CQM238" s="15"/>
      <c r="CQN238" s="15"/>
      <c r="CQO238" s="15"/>
      <c r="CQP238" s="15"/>
      <c r="CQQ238" s="15"/>
      <c r="CQR238" s="15"/>
      <c r="CQS238" s="15"/>
      <c r="CQT238" s="15"/>
      <c r="CQU238" s="15"/>
      <c r="CQV238" s="15"/>
      <c r="CQW238" s="10"/>
      <c r="CQX238" s="10"/>
      <c r="CQY238" s="21"/>
      <c r="CQZ238" s="21"/>
      <c r="CRC238" s="21"/>
      <c r="CRD238" s="15"/>
      <c r="CRE238" s="15"/>
      <c r="CRF238" s="15"/>
      <c r="CRG238" s="15"/>
      <c r="CRH238" s="15"/>
      <c r="CRI238" s="15"/>
      <c r="CRJ238" s="15"/>
      <c r="CRK238" s="15"/>
      <c r="CRL238" s="15"/>
      <c r="CRM238" s="15"/>
      <c r="CRN238" s="10"/>
      <c r="CRO238" s="10"/>
      <c r="CRP238" s="21"/>
      <c r="CRQ238" s="21"/>
      <c r="CRT238" s="21"/>
      <c r="CRU238" s="15"/>
      <c r="CRV238" s="15"/>
      <c r="CRW238" s="15"/>
      <c r="CRX238" s="15"/>
      <c r="CRY238" s="15"/>
      <c r="CRZ238" s="15"/>
      <c r="CSA238" s="15"/>
      <c r="CSB238" s="15"/>
      <c r="CSC238" s="15"/>
      <c r="CSD238" s="15"/>
      <c r="CSE238" s="10"/>
      <c r="CSF238" s="10"/>
      <c r="CSG238" s="21"/>
      <c r="CSH238" s="21"/>
      <c r="CSK238" s="21"/>
      <c r="CSL238" s="15"/>
      <c r="CSM238" s="15"/>
      <c r="CSN238" s="15"/>
      <c r="CSO238" s="15"/>
      <c r="CSP238" s="15"/>
      <c r="CSQ238" s="15"/>
      <c r="CSR238" s="15"/>
      <c r="CSS238" s="15"/>
      <c r="CST238" s="15"/>
      <c r="CSU238" s="15"/>
      <c r="CSV238" s="10"/>
      <c r="CSW238" s="10"/>
      <c r="CSX238" s="21"/>
      <c r="CSY238" s="21"/>
      <c r="CTB238" s="21"/>
      <c r="CTC238" s="15"/>
      <c r="CTD238" s="15"/>
      <c r="CTE238" s="15"/>
      <c r="CTF238" s="15"/>
      <c r="CTG238" s="15"/>
      <c r="CTH238" s="15"/>
      <c r="CTI238" s="15"/>
      <c r="CTJ238" s="15"/>
      <c r="CTK238" s="15"/>
      <c r="CTL238" s="15"/>
      <c r="CTM238" s="10"/>
      <c r="CTN238" s="10"/>
      <c r="CTO238" s="21"/>
      <c r="CTP238" s="21"/>
      <c r="CTS238" s="21"/>
      <c r="CTT238" s="15"/>
      <c r="CTU238" s="15"/>
      <c r="CTV238" s="15"/>
      <c r="CTW238" s="15"/>
      <c r="CTX238" s="15"/>
      <c r="CTY238" s="15"/>
      <c r="CTZ238" s="15"/>
      <c r="CUA238" s="15"/>
      <c r="CUB238" s="15"/>
      <c r="CUC238" s="15"/>
      <c r="CUD238" s="10"/>
      <c r="CUE238" s="10"/>
      <c r="CUF238" s="21"/>
      <c r="CUG238" s="21"/>
      <c r="CUJ238" s="21"/>
      <c r="CUK238" s="15"/>
      <c r="CUL238" s="15"/>
      <c r="CUM238" s="15"/>
      <c r="CUN238" s="15"/>
      <c r="CUO238" s="15"/>
      <c r="CUP238" s="15"/>
      <c r="CUQ238" s="15"/>
      <c r="CUR238" s="15"/>
      <c r="CUS238" s="15"/>
      <c r="CUT238" s="15"/>
      <c r="CUU238" s="10"/>
      <c r="CUV238" s="10"/>
      <c r="CUW238" s="21"/>
      <c r="CUX238" s="21"/>
      <c r="CVA238" s="21"/>
      <c r="CVB238" s="15"/>
      <c r="CVC238" s="15"/>
      <c r="CVD238" s="15"/>
      <c r="CVE238" s="15"/>
      <c r="CVF238" s="15"/>
      <c r="CVG238" s="15"/>
      <c r="CVH238" s="15"/>
      <c r="CVI238" s="15"/>
      <c r="CVJ238" s="15"/>
      <c r="CVK238" s="15"/>
      <c r="CVL238" s="10"/>
      <c r="CVM238" s="10"/>
      <c r="CVN238" s="21"/>
      <c r="CVO238" s="21"/>
      <c r="CVR238" s="21"/>
      <c r="CVS238" s="15"/>
      <c r="CVT238" s="15"/>
      <c r="CVU238" s="15"/>
      <c r="CVV238" s="15"/>
      <c r="CVW238" s="15"/>
      <c r="CVX238" s="15"/>
      <c r="CVY238" s="15"/>
      <c r="CVZ238" s="15"/>
      <c r="CWA238" s="15"/>
      <c r="CWB238" s="15"/>
      <c r="CWC238" s="10"/>
      <c r="CWD238" s="10"/>
      <c r="CWE238" s="21"/>
      <c r="CWF238" s="21"/>
      <c r="CWI238" s="21"/>
      <c r="CWJ238" s="15"/>
      <c r="CWK238" s="15"/>
      <c r="CWL238" s="15"/>
      <c r="CWM238" s="15"/>
      <c r="CWN238" s="15"/>
      <c r="CWO238" s="15"/>
      <c r="CWP238" s="15"/>
      <c r="CWQ238" s="15"/>
      <c r="CWR238" s="15"/>
      <c r="CWS238" s="15"/>
      <c r="CWT238" s="10"/>
      <c r="CWU238" s="10"/>
      <c r="CWV238" s="21"/>
      <c r="CWW238" s="21"/>
      <c r="CWZ238" s="21"/>
      <c r="CXA238" s="15"/>
      <c r="CXB238" s="15"/>
      <c r="CXC238" s="15"/>
      <c r="CXD238" s="15"/>
      <c r="CXE238" s="15"/>
      <c r="CXF238" s="15"/>
      <c r="CXG238" s="15"/>
      <c r="CXH238" s="15"/>
      <c r="CXI238" s="15"/>
      <c r="CXJ238" s="15"/>
      <c r="CXK238" s="10"/>
      <c r="CXL238" s="10"/>
      <c r="CXM238" s="21"/>
      <c r="CXN238" s="21"/>
      <c r="CXQ238" s="21"/>
      <c r="CXR238" s="15"/>
      <c r="CXS238" s="15"/>
      <c r="CXT238" s="15"/>
      <c r="CXU238" s="15"/>
      <c r="CXV238" s="15"/>
      <c r="CXW238" s="15"/>
      <c r="CXX238" s="15"/>
      <c r="CXY238" s="15"/>
      <c r="CXZ238" s="15"/>
      <c r="CYA238" s="15"/>
      <c r="CYB238" s="10"/>
      <c r="CYC238" s="10"/>
      <c r="CYD238" s="21"/>
      <c r="CYE238" s="21"/>
      <c r="CYH238" s="21"/>
      <c r="CYI238" s="15"/>
      <c r="CYJ238" s="15"/>
      <c r="CYK238" s="15"/>
      <c r="CYL238" s="15"/>
      <c r="CYM238" s="15"/>
      <c r="CYN238" s="15"/>
      <c r="CYO238" s="15"/>
      <c r="CYP238" s="15"/>
      <c r="CYQ238" s="15"/>
      <c r="CYR238" s="15"/>
      <c r="CYS238" s="10"/>
      <c r="CYT238" s="10"/>
      <c r="CYU238" s="21"/>
      <c r="CYV238" s="21"/>
      <c r="CYY238" s="21"/>
      <c r="CYZ238" s="15"/>
      <c r="CZA238" s="15"/>
      <c r="CZB238" s="15"/>
      <c r="CZC238" s="15"/>
      <c r="CZD238" s="15"/>
      <c r="CZE238" s="15"/>
      <c r="CZF238" s="15"/>
      <c r="CZG238" s="15"/>
      <c r="CZH238" s="15"/>
      <c r="CZI238" s="15"/>
      <c r="CZJ238" s="10"/>
      <c r="CZK238" s="10"/>
      <c r="CZL238" s="21"/>
      <c r="CZM238" s="21"/>
      <c r="CZP238" s="21"/>
      <c r="CZQ238" s="15"/>
      <c r="CZR238" s="15"/>
      <c r="CZS238" s="15"/>
      <c r="CZT238" s="15"/>
      <c r="CZU238" s="15"/>
      <c r="CZV238" s="15"/>
      <c r="CZW238" s="15"/>
      <c r="CZX238" s="15"/>
      <c r="CZY238" s="15"/>
      <c r="CZZ238" s="15"/>
      <c r="DAA238" s="10"/>
      <c r="DAB238" s="10"/>
      <c r="DAC238" s="21"/>
      <c r="DAD238" s="21"/>
      <c r="DAG238" s="21"/>
      <c r="DAH238" s="15"/>
      <c r="DAI238" s="15"/>
      <c r="DAJ238" s="15"/>
      <c r="DAK238" s="15"/>
      <c r="DAL238" s="15"/>
      <c r="DAM238" s="15"/>
      <c r="DAN238" s="15"/>
      <c r="DAO238" s="15"/>
      <c r="DAP238" s="15"/>
      <c r="DAQ238" s="15"/>
      <c r="DAR238" s="10"/>
      <c r="DAS238" s="10"/>
      <c r="DAT238" s="21"/>
      <c r="DAU238" s="21"/>
      <c r="DAX238" s="21"/>
      <c r="DAY238" s="15"/>
      <c r="DAZ238" s="15"/>
      <c r="DBA238" s="15"/>
      <c r="DBB238" s="15"/>
      <c r="DBC238" s="15"/>
      <c r="DBD238" s="15"/>
      <c r="DBE238" s="15"/>
      <c r="DBF238" s="15"/>
      <c r="DBG238" s="15"/>
      <c r="DBH238" s="15"/>
      <c r="DBI238" s="10"/>
      <c r="DBJ238" s="10"/>
      <c r="DBK238" s="21"/>
      <c r="DBL238" s="21"/>
      <c r="DBO238" s="21"/>
      <c r="DBP238" s="15"/>
      <c r="DBQ238" s="15"/>
      <c r="DBR238" s="15"/>
      <c r="DBS238" s="15"/>
      <c r="DBT238" s="15"/>
      <c r="DBU238" s="15"/>
      <c r="DBV238" s="15"/>
      <c r="DBW238" s="15"/>
      <c r="DBX238" s="15"/>
      <c r="DBY238" s="15"/>
      <c r="DBZ238" s="10"/>
      <c r="DCA238" s="10"/>
      <c r="DCB238" s="21"/>
      <c r="DCC238" s="21"/>
      <c r="DCF238" s="21"/>
      <c r="DCG238" s="15"/>
      <c r="DCH238" s="15"/>
      <c r="DCI238" s="15"/>
      <c r="DCJ238" s="15"/>
      <c r="DCK238" s="15"/>
      <c r="DCL238" s="15"/>
      <c r="DCM238" s="15"/>
      <c r="DCN238" s="15"/>
      <c r="DCO238" s="15"/>
      <c r="DCP238" s="15"/>
      <c r="DCQ238" s="10"/>
      <c r="DCR238" s="10"/>
      <c r="DCS238" s="21"/>
      <c r="DCT238" s="21"/>
      <c r="DCW238" s="21"/>
      <c r="DCX238" s="15"/>
      <c r="DCY238" s="15"/>
      <c r="DCZ238" s="15"/>
      <c r="DDA238" s="15"/>
      <c r="DDB238" s="15"/>
      <c r="DDC238" s="15"/>
      <c r="DDD238" s="15"/>
      <c r="DDE238" s="15"/>
      <c r="DDF238" s="15"/>
      <c r="DDG238" s="15"/>
      <c r="DDH238" s="10"/>
      <c r="DDI238" s="10"/>
      <c r="DDJ238" s="21"/>
      <c r="DDK238" s="21"/>
      <c r="DDN238" s="21"/>
      <c r="DDO238" s="15"/>
      <c r="DDP238" s="15"/>
      <c r="DDQ238" s="15"/>
      <c r="DDR238" s="15"/>
      <c r="DDS238" s="15"/>
      <c r="DDT238" s="15"/>
      <c r="DDU238" s="15"/>
      <c r="DDV238" s="15"/>
      <c r="DDW238" s="15"/>
      <c r="DDX238" s="15"/>
      <c r="DDY238" s="10"/>
      <c r="DDZ238" s="10"/>
      <c r="DEA238" s="21"/>
      <c r="DEB238" s="21"/>
      <c r="DEE238" s="21"/>
      <c r="DEF238" s="15"/>
      <c r="DEG238" s="15"/>
      <c r="DEH238" s="15"/>
      <c r="DEI238" s="15"/>
      <c r="DEJ238" s="15"/>
      <c r="DEK238" s="15"/>
      <c r="DEL238" s="15"/>
      <c r="DEM238" s="15"/>
      <c r="DEN238" s="15"/>
      <c r="DEO238" s="15"/>
      <c r="DEP238" s="10"/>
      <c r="DEQ238" s="10"/>
      <c r="DER238" s="21"/>
      <c r="DES238" s="21"/>
      <c r="DEV238" s="21"/>
      <c r="DEW238" s="15"/>
      <c r="DEX238" s="15"/>
      <c r="DEY238" s="15"/>
      <c r="DEZ238" s="15"/>
      <c r="DFA238" s="15"/>
      <c r="DFB238" s="15"/>
      <c r="DFC238" s="15"/>
      <c r="DFD238" s="15"/>
      <c r="DFE238" s="15"/>
      <c r="DFF238" s="15"/>
      <c r="DFG238" s="10"/>
      <c r="DFH238" s="10"/>
      <c r="DFI238" s="21"/>
      <c r="DFJ238" s="21"/>
      <c r="DFM238" s="21"/>
      <c r="DFN238" s="15"/>
      <c r="DFO238" s="15"/>
      <c r="DFP238" s="15"/>
      <c r="DFQ238" s="15"/>
      <c r="DFR238" s="15"/>
      <c r="DFS238" s="15"/>
      <c r="DFT238" s="15"/>
      <c r="DFU238" s="15"/>
      <c r="DFV238" s="15"/>
      <c r="DFW238" s="15"/>
      <c r="DFX238" s="10"/>
      <c r="DFY238" s="10"/>
      <c r="DFZ238" s="21"/>
      <c r="DGA238" s="21"/>
      <c r="DGD238" s="21"/>
      <c r="DGE238" s="15"/>
      <c r="DGF238" s="15"/>
      <c r="DGG238" s="15"/>
      <c r="DGH238" s="15"/>
      <c r="DGI238" s="15"/>
      <c r="DGJ238" s="15"/>
      <c r="DGK238" s="15"/>
      <c r="DGL238" s="15"/>
      <c r="DGM238" s="15"/>
      <c r="DGN238" s="15"/>
      <c r="DGO238" s="10"/>
      <c r="DGP238" s="10"/>
      <c r="DGQ238" s="21"/>
      <c r="DGR238" s="21"/>
      <c r="DGU238" s="21"/>
      <c r="DGV238" s="15"/>
      <c r="DGW238" s="15"/>
      <c r="DGX238" s="15"/>
      <c r="DGY238" s="15"/>
      <c r="DGZ238" s="15"/>
      <c r="DHA238" s="15"/>
      <c r="DHB238" s="15"/>
      <c r="DHC238" s="15"/>
      <c r="DHD238" s="15"/>
      <c r="DHE238" s="15"/>
      <c r="DHF238" s="10"/>
      <c r="DHG238" s="10"/>
      <c r="DHH238" s="21"/>
      <c r="DHI238" s="21"/>
      <c r="DHL238" s="21"/>
      <c r="DHM238" s="15"/>
      <c r="DHN238" s="15"/>
      <c r="DHO238" s="15"/>
      <c r="DHP238" s="15"/>
      <c r="DHQ238" s="15"/>
      <c r="DHR238" s="15"/>
      <c r="DHS238" s="15"/>
      <c r="DHT238" s="15"/>
      <c r="DHU238" s="15"/>
      <c r="DHV238" s="15"/>
      <c r="DHW238" s="10"/>
      <c r="DHX238" s="10"/>
      <c r="DHY238" s="21"/>
      <c r="DHZ238" s="21"/>
      <c r="DIC238" s="21"/>
      <c r="DID238" s="15"/>
      <c r="DIE238" s="15"/>
      <c r="DIF238" s="15"/>
      <c r="DIG238" s="15"/>
      <c r="DIH238" s="15"/>
      <c r="DII238" s="15"/>
      <c r="DIJ238" s="15"/>
      <c r="DIK238" s="15"/>
      <c r="DIL238" s="15"/>
      <c r="DIM238" s="15"/>
      <c r="DIN238" s="10"/>
      <c r="DIO238" s="10"/>
      <c r="DIP238" s="21"/>
      <c r="DIQ238" s="21"/>
      <c r="DIT238" s="21"/>
      <c r="DIU238" s="15"/>
      <c r="DIV238" s="15"/>
      <c r="DIW238" s="15"/>
      <c r="DIX238" s="15"/>
      <c r="DIY238" s="15"/>
      <c r="DIZ238" s="15"/>
      <c r="DJA238" s="15"/>
      <c r="DJB238" s="15"/>
      <c r="DJC238" s="15"/>
      <c r="DJD238" s="15"/>
      <c r="DJE238" s="10"/>
      <c r="DJF238" s="10"/>
      <c r="DJG238" s="21"/>
      <c r="DJH238" s="21"/>
      <c r="DJK238" s="21"/>
      <c r="DJL238" s="15"/>
      <c r="DJM238" s="15"/>
      <c r="DJN238" s="15"/>
      <c r="DJO238" s="15"/>
      <c r="DJP238" s="15"/>
      <c r="DJQ238" s="15"/>
      <c r="DJR238" s="15"/>
      <c r="DJS238" s="15"/>
      <c r="DJT238" s="15"/>
      <c r="DJU238" s="15"/>
      <c r="DJV238" s="10"/>
      <c r="DJW238" s="10"/>
      <c r="DJX238" s="21"/>
      <c r="DJY238" s="21"/>
      <c r="DKB238" s="21"/>
      <c r="DKC238" s="15"/>
      <c r="DKD238" s="15"/>
      <c r="DKE238" s="15"/>
      <c r="DKF238" s="15"/>
      <c r="DKG238" s="15"/>
      <c r="DKH238" s="15"/>
      <c r="DKI238" s="15"/>
      <c r="DKJ238" s="15"/>
      <c r="DKK238" s="15"/>
      <c r="DKL238" s="15"/>
      <c r="DKM238" s="10"/>
      <c r="DKN238" s="10"/>
      <c r="DKO238" s="21"/>
      <c r="DKP238" s="21"/>
      <c r="DKS238" s="21"/>
      <c r="DKT238" s="15"/>
      <c r="DKU238" s="15"/>
      <c r="DKV238" s="15"/>
      <c r="DKW238" s="15"/>
      <c r="DKX238" s="15"/>
      <c r="DKY238" s="15"/>
      <c r="DKZ238" s="15"/>
      <c r="DLA238" s="15"/>
      <c r="DLB238" s="15"/>
      <c r="DLC238" s="15"/>
      <c r="DLD238" s="10"/>
      <c r="DLE238" s="10"/>
      <c r="DLF238" s="21"/>
      <c r="DLG238" s="21"/>
      <c r="DLJ238" s="21"/>
      <c r="DLK238" s="15"/>
      <c r="DLL238" s="15"/>
      <c r="DLM238" s="15"/>
      <c r="DLN238" s="15"/>
      <c r="DLO238" s="15"/>
      <c r="DLP238" s="15"/>
      <c r="DLQ238" s="15"/>
      <c r="DLR238" s="15"/>
      <c r="DLS238" s="15"/>
      <c r="DLT238" s="15"/>
      <c r="DLU238" s="10"/>
      <c r="DLV238" s="10"/>
      <c r="DLW238" s="21"/>
      <c r="DLX238" s="21"/>
      <c r="DMA238" s="21"/>
      <c r="DMB238" s="15"/>
      <c r="DMC238" s="15"/>
      <c r="DMD238" s="15"/>
      <c r="DME238" s="15"/>
      <c r="DMF238" s="15"/>
      <c r="DMG238" s="15"/>
      <c r="DMH238" s="15"/>
      <c r="DMI238" s="15"/>
      <c r="DMJ238" s="15"/>
      <c r="DMK238" s="15"/>
      <c r="DML238" s="10"/>
      <c r="DMM238" s="10"/>
      <c r="DMN238" s="21"/>
      <c r="DMO238" s="21"/>
      <c r="DMR238" s="21"/>
      <c r="DMS238" s="15"/>
      <c r="DMT238" s="15"/>
      <c r="DMU238" s="15"/>
      <c r="DMV238" s="15"/>
      <c r="DMW238" s="15"/>
      <c r="DMX238" s="15"/>
      <c r="DMY238" s="15"/>
      <c r="DMZ238" s="15"/>
      <c r="DNA238" s="15"/>
      <c r="DNB238" s="15"/>
      <c r="DNC238" s="10"/>
      <c r="DND238" s="10"/>
      <c r="DNE238" s="21"/>
      <c r="DNF238" s="21"/>
      <c r="DNI238" s="21"/>
      <c r="DNJ238" s="15"/>
      <c r="DNK238" s="15"/>
      <c r="DNL238" s="15"/>
      <c r="DNM238" s="15"/>
      <c r="DNN238" s="15"/>
      <c r="DNO238" s="15"/>
      <c r="DNP238" s="15"/>
      <c r="DNQ238" s="15"/>
      <c r="DNR238" s="15"/>
      <c r="DNS238" s="15"/>
      <c r="DNT238" s="10"/>
      <c r="DNU238" s="10"/>
      <c r="DNV238" s="21"/>
      <c r="DNW238" s="21"/>
      <c r="DNZ238" s="21"/>
      <c r="DOA238" s="15"/>
      <c r="DOB238" s="15"/>
      <c r="DOC238" s="15"/>
      <c r="DOD238" s="15"/>
      <c r="DOE238" s="15"/>
      <c r="DOF238" s="15"/>
      <c r="DOG238" s="15"/>
      <c r="DOH238" s="15"/>
      <c r="DOI238" s="15"/>
      <c r="DOJ238" s="15"/>
      <c r="DOK238" s="10"/>
      <c r="DOL238" s="10"/>
      <c r="DOM238" s="21"/>
      <c r="DON238" s="21"/>
      <c r="DOQ238" s="21"/>
      <c r="DOR238" s="15"/>
      <c r="DOS238" s="15"/>
      <c r="DOT238" s="15"/>
      <c r="DOU238" s="15"/>
      <c r="DOV238" s="15"/>
      <c r="DOW238" s="15"/>
      <c r="DOX238" s="15"/>
      <c r="DOY238" s="15"/>
      <c r="DOZ238" s="15"/>
      <c r="DPA238" s="15"/>
      <c r="DPB238" s="10"/>
      <c r="DPC238" s="10"/>
      <c r="DPD238" s="21"/>
      <c r="DPE238" s="21"/>
      <c r="DPH238" s="21"/>
      <c r="DPI238" s="15"/>
      <c r="DPJ238" s="15"/>
      <c r="DPK238" s="15"/>
      <c r="DPL238" s="15"/>
      <c r="DPM238" s="15"/>
      <c r="DPN238" s="15"/>
      <c r="DPO238" s="15"/>
      <c r="DPP238" s="15"/>
      <c r="DPQ238" s="15"/>
      <c r="DPR238" s="15"/>
      <c r="DPS238" s="10"/>
      <c r="DPT238" s="10"/>
      <c r="DPU238" s="21"/>
      <c r="DPV238" s="21"/>
      <c r="DPY238" s="21"/>
      <c r="DPZ238" s="15"/>
      <c r="DQA238" s="15"/>
      <c r="DQB238" s="15"/>
      <c r="DQC238" s="15"/>
      <c r="DQD238" s="15"/>
      <c r="DQE238" s="15"/>
      <c r="DQF238" s="15"/>
      <c r="DQG238" s="15"/>
      <c r="DQH238" s="15"/>
      <c r="DQI238" s="15"/>
      <c r="DQJ238" s="10"/>
      <c r="DQK238" s="10"/>
      <c r="DQL238" s="21"/>
      <c r="DQM238" s="21"/>
      <c r="DQP238" s="21"/>
      <c r="DQQ238" s="15"/>
      <c r="DQR238" s="15"/>
      <c r="DQS238" s="15"/>
      <c r="DQT238" s="15"/>
      <c r="DQU238" s="15"/>
      <c r="DQV238" s="15"/>
      <c r="DQW238" s="15"/>
      <c r="DQX238" s="15"/>
      <c r="DQY238" s="15"/>
      <c r="DQZ238" s="15"/>
      <c r="DRA238" s="10"/>
      <c r="DRB238" s="10"/>
      <c r="DRC238" s="21"/>
      <c r="DRD238" s="21"/>
      <c r="DRG238" s="21"/>
      <c r="DRH238" s="15"/>
      <c r="DRI238" s="15"/>
      <c r="DRJ238" s="15"/>
      <c r="DRK238" s="15"/>
      <c r="DRL238" s="15"/>
      <c r="DRM238" s="15"/>
      <c r="DRN238" s="15"/>
      <c r="DRO238" s="15"/>
      <c r="DRP238" s="15"/>
      <c r="DRQ238" s="15"/>
      <c r="DRR238" s="10"/>
      <c r="DRS238" s="10"/>
      <c r="DRT238" s="21"/>
      <c r="DRU238" s="21"/>
      <c r="DRX238" s="21"/>
      <c r="DRY238" s="15"/>
      <c r="DRZ238" s="15"/>
      <c r="DSA238" s="15"/>
      <c r="DSB238" s="15"/>
      <c r="DSC238" s="15"/>
      <c r="DSD238" s="15"/>
      <c r="DSE238" s="15"/>
      <c r="DSF238" s="15"/>
      <c r="DSG238" s="15"/>
      <c r="DSH238" s="15"/>
      <c r="DSI238" s="10"/>
      <c r="DSJ238" s="10"/>
      <c r="DSK238" s="21"/>
      <c r="DSL238" s="21"/>
      <c r="DSO238" s="21"/>
      <c r="DSP238" s="15"/>
      <c r="DSQ238" s="15"/>
      <c r="DSR238" s="15"/>
      <c r="DSS238" s="15"/>
      <c r="DST238" s="15"/>
      <c r="DSU238" s="15"/>
      <c r="DSV238" s="15"/>
      <c r="DSW238" s="15"/>
      <c r="DSX238" s="15"/>
      <c r="DSY238" s="15"/>
      <c r="DSZ238" s="10"/>
      <c r="DTA238" s="10"/>
      <c r="DTB238" s="21"/>
      <c r="DTC238" s="21"/>
      <c r="DTF238" s="21"/>
      <c r="DTG238" s="15"/>
      <c r="DTH238" s="15"/>
      <c r="DTI238" s="15"/>
      <c r="DTJ238" s="15"/>
      <c r="DTK238" s="15"/>
      <c r="DTL238" s="15"/>
      <c r="DTM238" s="15"/>
      <c r="DTN238" s="15"/>
      <c r="DTO238" s="15"/>
      <c r="DTP238" s="15"/>
      <c r="DTQ238" s="10"/>
      <c r="DTR238" s="10"/>
      <c r="DTS238" s="21"/>
      <c r="DTT238" s="21"/>
      <c r="DTW238" s="21"/>
      <c r="DTX238" s="15"/>
      <c r="DTY238" s="15"/>
      <c r="DTZ238" s="15"/>
      <c r="DUA238" s="15"/>
      <c r="DUB238" s="15"/>
      <c r="DUC238" s="15"/>
      <c r="DUD238" s="15"/>
      <c r="DUE238" s="15"/>
      <c r="DUF238" s="15"/>
      <c r="DUG238" s="15"/>
      <c r="DUH238" s="10"/>
      <c r="DUI238" s="10"/>
      <c r="DUJ238" s="21"/>
      <c r="DUK238" s="21"/>
      <c r="DUN238" s="21"/>
      <c r="DUO238" s="15"/>
      <c r="DUP238" s="15"/>
      <c r="DUQ238" s="15"/>
      <c r="DUR238" s="15"/>
      <c r="DUS238" s="15"/>
      <c r="DUT238" s="15"/>
      <c r="DUU238" s="15"/>
      <c r="DUV238" s="15"/>
      <c r="DUW238" s="15"/>
      <c r="DUX238" s="15"/>
      <c r="DUY238" s="10"/>
      <c r="DUZ238" s="10"/>
      <c r="DVA238" s="21"/>
      <c r="DVB238" s="21"/>
      <c r="DVE238" s="21"/>
      <c r="DVF238" s="15"/>
      <c r="DVG238" s="15"/>
      <c r="DVH238" s="15"/>
      <c r="DVI238" s="15"/>
      <c r="DVJ238" s="15"/>
      <c r="DVK238" s="15"/>
      <c r="DVL238" s="15"/>
      <c r="DVM238" s="15"/>
      <c r="DVN238" s="15"/>
      <c r="DVO238" s="15"/>
      <c r="DVP238" s="10"/>
      <c r="DVQ238" s="10"/>
      <c r="DVR238" s="21"/>
      <c r="DVS238" s="21"/>
      <c r="DVV238" s="21"/>
      <c r="DVW238" s="15"/>
      <c r="DVX238" s="15"/>
      <c r="DVY238" s="15"/>
      <c r="DVZ238" s="15"/>
      <c r="DWA238" s="15"/>
      <c r="DWB238" s="15"/>
      <c r="DWC238" s="15"/>
      <c r="DWD238" s="15"/>
      <c r="DWE238" s="15"/>
      <c r="DWF238" s="15"/>
      <c r="DWG238" s="10"/>
      <c r="DWH238" s="10"/>
      <c r="DWI238" s="21"/>
      <c r="DWJ238" s="21"/>
      <c r="DWM238" s="21"/>
      <c r="DWN238" s="15"/>
      <c r="DWO238" s="15"/>
      <c r="DWP238" s="15"/>
      <c r="DWQ238" s="15"/>
      <c r="DWR238" s="15"/>
      <c r="DWS238" s="15"/>
      <c r="DWT238" s="15"/>
      <c r="DWU238" s="15"/>
      <c r="DWV238" s="15"/>
      <c r="DWW238" s="15"/>
      <c r="DWX238" s="10"/>
      <c r="DWY238" s="10"/>
      <c r="DWZ238" s="21"/>
      <c r="DXA238" s="21"/>
      <c r="DXD238" s="21"/>
      <c r="DXE238" s="15"/>
      <c r="DXF238" s="15"/>
      <c r="DXG238" s="15"/>
      <c r="DXH238" s="15"/>
      <c r="DXI238" s="15"/>
      <c r="DXJ238" s="15"/>
      <c r="DXK238" s="15"/>
      <c r="DXL238" s="15"/>
      <c r="DXM238" s="15"/>
      <c r="DXN238" s="15"/>
      <c r="DXO238" s="10"/>
      <c r="DXP238" s="10"/>
      <c r="DXQ238" s="21"/>
      <c r="DXR238" s="21"/>
      <c r="DXU238" s="21"/>
      <c r="DXV238" s="15"/>
      <c r="DXW238" s="15"/>
      <c r="DXX238" s="15"/>
      <c r="DXY238" s="15"/>
      <c r="DXZ238" s="15"/>
      <c r="DYA238" s="15"/>
      <c r="DYB238" s="15"/>
      <c r="DYC238" s="15"/>
      <c r="DYD238" s="15"/>
      <c r="DYE238" s="15"/>
      <c r="DYF238" s="10"/>
      <c r="DYG238" s="10"/>
      <c r="DYH238" s="21"/>
      <c r="DYI238" s="21"/>
      <c r="DYL238" s="21"/>
      <c r="DYM238" s="15"/>
      <c r="DYN238" s="15"/>
      <c r="DYO238" s="15"/>
      <c r="DYP238" s="15"/>
      <c r="DYQ238" s="15"/>
      <c r="DYR238" s="15"/>
      <c r="DYS238" s="15"/>
      <c r="DYT238" s="15"/>
      <c r="DYU238" s="15"/>
      <c r="DYV238" s="15"/>
      <c r="DYW238" s="10"/>
      <c r="DYX238" s="10"/>
      <c r="DYY238" s="21"/>
      <c r="DYZ238" s="21"/>
      <c r="DZC238" s="21"/>
      <c r="DZD238" s="15"/>
      <c r="DZE238" s="15"/>
      <c r="DZF238" s="15"/>
      <c r="DZG238" s="15"/>
      <c r="DZH238" s="15"/>
      <c r="DZI238" s="15"/>
      <c r="DZJ238" s="15"/>
      <c r="DZK238" s="15"/>
      <c r="DZL238" s="15"/>
      <c r="DZM238" s="15"/>
      <c r="DZN238" s="10"/>
      <c r="DZO238" s="10"/>
      <c r="DZP238" s="21"/>
      <c r="DZQ238" s="21"/>
      <c r="DZT238" s="21"/>
      <c r="DZU238" s="15"/>
      <c r="DZV238" s="15"/>
      <c r="DZW238" s="15"/>
      <c r="DZX238" s="15"/>
      <c r="DZY238" s="15"/>
      <c r="DZZ238" s="15"/>
      <c r="EAA238" s="15"/>
      <c r="EAB238" s="15"/>
      <c r="EAC238" s="15"/>
      <c r="EAD238" s="15"/>
      <c r="EAE238" s="10"/>
      <c r="EAF238" s="10"/>
      <c r="EAG238" s="21"/>
      <c r="EAH238" s="21"/>
      <c r="EAK238" s="21"/>
      <c r="EAL238" s="15"/>
      <c r="EAM238" s="15"/>
      <c r="EAN238" s="15"/>
      <c r="EAO238" s="15"/>
      <c r="EAP238" s="15"/>
      <c r="EAQ238" s="15"/>
      <c r="EAR238" s="15"/>
      <c r="EAS238" s="15"/>
      <c r="EAT238" s="15"/>
      <c r="EAU238" s="15"/>
      <c r="EAV238" s="10"/>
      <c r="EAW238" s="10"/>
      <c r="EAX238" s="21"/>
      <c r="EAY238" s="21"/>
      <c r="EBB238" s="21"/>
      <c r="EBC238" s="15"/>
      <c r="EBD238" s="15"/>
      <c r="EBE238" s="15"/>
      <c r="EBF238" s="15"/>
      <c r="EBG238" s="15"/>
      <c r="EBH238" s="15"/>
      <c r="EBI238" s="15"/>
      <c r="EBJ238" s="15"/>
      <c r="EBK238" s="15"/>
      <c r="EBL238" s="15"/>
      <c r="EBM238" s="10"/>
      <c r="EBN238" s="10"/>
      <c r="EBO238" s="21"/>
      <c r="EBP238" s="21"/>
      <c r="EBS238" s="21"/>
      <c r="EBT238" s="15"/>
      <c r="EBU238" s="15"/>
      <c r="EBV238" s="15"/>
      <c r="EBW238" s="15"/>
      <c r="EBX238" s="15"/>
      <c r="EBY238" s="15"/>
      <c r="EBZ238" s="15"/>
      <c r="ECA238" s="15"/>
      <c r="ECB238" s="15"/>
      <c r="ECC238" s="15"/>
      <c r="ECD238" s="10"/>
      <c r="ECE238" s="10"/>
      <c r="ECF238" s="21"/>
      <c r="ECG238" s="21"/>
      <c r="ECJ238" s="21"/>
      <c r="ECK238" s="15"/>
      <c r="ECL238" s="15"/>
      <c r="ECM238" s="15"/>
      <c r="ECN238" s="15"/>
      <c r="ECO238" s="15"/>
      <c r="ECP238" s="15"/>
      <c r="ECQ238" s="15"/>
      <c r="ECR238" s="15"/>
      <c r="ECS238" s="15"/>
      <c r="ECT238" s="15"/>
      <c r="ECU238" s="10"/>
      <c r="ECV238" s="10"/>
      <c r="ECW238" s="21"/>
      <c r="ECX238" s="21"/>
      <c r="EDA238" s="21"/>
      <c r="EDB238" s="15"/>
      <c r="EDC238" s="15"/>
      <c r="EDD238" s="15"/>
      <c r="EDE238" s="15"/>
      <c r="EDF238" s="15"/>
      <c r="EDG238" s="15"/>
      <c r="EDH238" s="15"/>
      <c r="EDI238" s="15"/>
      <c r="EDJ238" s="15"/>
      <c r="EDK238" s="15"/>
      <c r="EDL238" s="10"/>
      <c r="EDM238" s="10"/>
      <c r="EDN238" s="21"/>
      <c r="EDO238" s="21"/>
      <c r="EDR238" s="21"/>
      <c r="EDS238" s="15"/>
      <c r="EDT238" s="15"/>
      <c r="EDU238" s="15"/>
      <c r="EDV238" s="15"/>
      <c r="EDW238" s="15"/>
      <c r="EDX238" s="15"/>
      <c r="EDY238" s="15"/>
      <c r="EDZ238" s="15"/>
      <c r="EEA238" s="15"/>
      <c r="EEB238" s="15"/>
      <c r="EEC238" s="10"/>
      <c r="EED238" s="10"/>
      <c r="EEE238" s="21"/>
      <c r="EEF238" s="21"/>
      <c r="EEI238" s="21"/>
      <c r="EEJ238" s="15"/>
      <c r="EEK238" s="15"/>
      <c r="EEL238" s="15"/>
      <c r="EEM238" s="15"/>
      <c r="EEN238" s="15"/>
      <c r="EEO238" s="15"/>
      <c r="EEP238" s="15"/>
      <c r="EEQ238" s="15"/>
      <c r="EER238" s="15"/>
      <c r="EES238" s="15"/>
      <c r="EET238" s="10"/>
      <c r="EEU238" s="10"/>
      <c r="EEV238" s="21"/>
      <c r="EEW238" s="21"/>
      <c r="EEZ238" s="21"/>
      <c r="EFA238" s="15"/>
      <c r="EFB238" s="15"/>
      <c r="EFC238" s="15"/>
      <c r="EFD238" s="15"/>
      <c r="EFE238" s="15"/>
      <c r="EFF238" s="15"/>
      <c r="EFG238" s="15"/>
      <c r="EFH238" s="15"/>
      <c r="EFI238" s="15"/>
      <c r="EFJ238" s="15"/>
      <c r="EFK238" s="10"/>
      <c r="EFL238" s="10"/>
      <c r="EFM238" s="21"/>
      <c r="EFN238" s="21"/>
      <c r="EFQ238" s="21"/>
      <c r="EFR238" s="15"/>
      <c r="EFS238" s="15"/>
      <c r="EFT238" s="15"/>
      <c r="EFU238" s="15"/>
      <c r="EFV238" s="15"/>
      <c r="EFW238" s="15"/>
      <c r="EFX238" s="15"/>
      <c r="EFY238" s="15"/>
      <c r="EFZ238" s="15"/>
      <c r="EGA238" s="15"/>
      <c r="EGB238" s="10"/>
      <c r="EGC238" s="10"/>
      <c r="EGD238" s="21"/>
      <c r="EGE238" s="21"/>
      <c r="EGH238" s="21"/>
      <c r="EGI238" s="15"/>
      <c r="EGJ238" s="15"/>
      <c r="EGK238" s="15"/>
      <c r="EGL238" s="15"/>
      <c r="EGM238" s="15"/>
      <c r="EGN238" s="15"/>
      <c r="EGO238" s="15"/>
      <c r="EGP238" s="15"/>
      <c r="EGQ238" s="15"/>
      <c r="EGR238" s="15"/>
      <c r="EGS238" s="10"/>
      <c r="EGT238" s="10"/>
      <c r="EGU238" s="21"/>
      <c r="EGV238" s="21"/>
      <c r="EGY238" s="21"/>
      <c r="EGZ238" s="15"/>
      <c r="EHA238" s="15"/>
      <c r="EHB238" s="15"/>
      <c r="EHC238" s="15"/>
      <c r="EHD238" s="15"/>
      <c r="EHE238" s="15"/>
      <c r="EHF238" s="15"/>
      <c r="EHG238" s="15"/>
      <c r="EHH238" s="15"/>
      <c r="EHI238" s="15"/>
      <c r="EHJ238" s="10"/>
      <c r="EHK238" s="10"/>
      <c r="EHL238" s="21"/>
      <c r="EHM238" s="21"/>
      <c r="EHP238" s="21"/>
      <c r="EHQ238" s="15"/>
      <c r="EHR238" s="15"/>
      <c r="EHS238" s="15"/>
      <c r="EHT238" s="15"/>
      <c r="EHU238" s="15"/>
      <c r="EHV238" s="15"/>
      <c r="EHW238" s="15"/>
      <c r="EHX238" s="15"/>
      <c r="EHY238" s="15"/>
      <c r="EHZ238" s="15"/>
      <c r="EIA238" s="10"/>
      <c r="EIB238" s="10"/>
      <c r="EIC238" s="21"/>
      <c r="EID238" s="21"/>
      <c r="EIG238" s="21"/>
      <c r="EIH238" s="15"/>
      <c r="EII238" s="15"/>
      <c r="EIJ238" s="15"/>
      <c r="EIK238" s="15"/>
      <c r="EIL238" s="15"/>
      <c r="EIM238" s="15"/>
      <c r="EIN238" s="15"/>
      <c r="EIO238" s="15"/>
      <c r="EIP238" s="15"/>
      <c r="EIQ238" s="15"/>
      <c r="EIR238" s="10"/>
      <c r="EIS238" s="10"/>
      <c r="EIT238" s="21"/>
      <c r="EIU238" s="21"/>
      <c r="EIX238" s="21"/>
      <c r="EIY238" s="15"/>
      <c r="EIZ238" s="15"/>
      <c r="EJA238" s="15"/>
      <c r="EJB238" s="15"/>
      <c r="EJC238" s="15"/>
      <c r="EJD238" s="15"/>
      <c r="EJE238" s="15"/>
      <c r="EJF238" s="15"/>
      <c r="EJG238" s="15"/>
      <c r="EJH238" s="15"/>
      <c r="EJI238" s="10"/>
      <c r="EJJ238" s="10"/>
      <c r="EJK238" s="21"/>
      <c r="EJL238" s="21"/>
      <c r="EJO238" s="21"/>
      <c r="EJP238" s="15"/>
      <c r="EJQ238" s="15"/>
      <c r="EJR238" s="15"/>
      <c r="EJS238" s="15"/>
      <c r="EJT238" s="15"/>
      <c r="EJU238" s="15"/>
      <c r="EJV238" s="15"/>
      <c r="EJW238" s="15"/>
      <c r="EJX238" s="15"/>
      <c r="EJY238" s="15"/>
      <c r="EJZ238" s="10"/>
      <c r="EKA238" s="10"/>
      <c r="EKB238" s="21"/>
      <c r="EKC238" s="21"/>
      <c r="EKF238" s="21"/>
      <c r="EKG238" s="15"/>
      <c r="EKH238" s="15"/>
      <c r="EKI238" s="15"/>
      <c r="EKJ238" s="15"/>
      <c r="EKK238" s="15"/>
      <c r="EKL238" s="15"/>
      <c r="EKM238" s="15"/>
      <c r="EKN238" s="15"/>
      <c r="EKO238" s="15"/>
      <c r="EKP238" s="15"/>
      <c r="EKQ238" s="10"/>
      <c r="EKR238" s="10"/>
      <c r="EKS238" s="21"/>
      <c r="EKT238" s="21"/>
      <c r="EKW238" s="21"/>
      <c r="EKX238" s="15"/>
      <c r="EKY238" s="15"/>
      <c r="EKZ238" s="15"/>
      <c r="ELA238" s="15"/>
      <c r="ELB238" s="15"/>
      <c r="ELC238" s="15"/>
      <c r="ELD238" s="15"/>
      <c r="ELE238" s="15"/>
      <c r="ELF238" s="15"/>
      <c r="ELG238" s="15"/>
      <c r="ELH238" s="10"/>
      <c r="ELI238" s="10"/>
      <c r="ELJ238" s="21"/>
      <c r="ELK238" s="21"/>
      <c r="ELN238" s="21"/>
      <c r="ELO238" s="15"/>
      <c r="ELP238" s="15"/>
      <c r="ELQ238" s="15"/>
      <c r="ELR238" s="15"/>
      <c r="ELS238" s="15"/>
      <c r="ELT238" s="15"/>
      <c r="ELU238" s="15"/>
      <c r="ELV238" s="15"/>
      <c r="ELW238" s="15"/>
      <c r="ELX238" s="15"/>
      <c r="ELY238" s="10"/>
      <c r="ELZ238" s="10"/>
      <c r="EMA238" s="21"/>
      <c r="EMB238" s="21"/>
      <c r="EME238" s="21"/>
      <c r="EMF238" s="15"/>
      <c r="EMG238" s="15"/>
      <c r="EMH238" s="15"/>
      <c r="EMI238" s="15"/>
      <c r="EMJ238" s="15"/>
      <c r="EMK238" s="15"/>
      <c r="EML238" s="15"/>
      <c r="EMM238" s="15"/>
      <c r="EMN238" s="15"/>
      <c r="EMO238" s="15"/>
      <c r="EMP238" s="10"/>
      <c r="EMQ238" s="10"/>
      <c r="EMR238" s="21"/>
      <c r="EMS238" s="21"/>
      <c r="EMV238" s="21"/>
      <c r="EMW238" s="15"/>
      <c r="EMX238" s="15"/>
      <c r="EMY238" s="15"/>
      <c r="EMZ238" s="15"/>
      <c r="ENA238" s="15"/>
      <c r="ENB238" s="15"/>
      <c r="ENC238" s="15"/>
      <c r="END238" s="15"/>
      <c r="ENE238" s="15"/>
      <c r="ENF238" s="15"/>
      <c r="ENG238" s="10"/>
      <c r="ENH238" s="10"/>
      <c r="ENI238" s="21"/>
      <c r="ENJ238" s="21"/>
      <c r="ENM238" s="21"/>
      <c r="ENN238" s="15"/>
      <c r="ENO238" s="15"/>
      <c r="ENP238" s="15"/>
      <c r="ENQ238" s="15"/>
      <c r="ENR238" s="15"/>
      <c r="ENS238" s="15"/>
      <c r="ENT238" s="15"/>
      <c r="ENU238" s="15"/>
      <c r="ENV238" s="15"/>
      <c r="ENW238" s="15"/>
      <c r="ENX238" s="10"/>
      <c r="ENY238" s="10"/>
      <c r="ENZ238" s="21"/>
      <c r="EOA238" s="21"/>
      <c r="EOD238" s="21"/>
      <c r="EOE238" s="15"/>
      <c r="EOF238" s="15"/>
      <c r="EOG238" s="15"/>
      <c r="EOH238" s="15"/>
      <c r="EOI238" s="15"/>
      <c r="EOJ238" s="15"/>
      <c r="EOK238" s="15"/>
      <c r="EOL238" s="15"/>
      <c r="EOM238" s="15"/>
      <c r="EON238" s="15"/>
      <c r="EOO238" s="10"/>
      <c r="EOP238" s="10"/>
      <c r="EOQ238" s="21"/>
      <c r="EOR238" s="21"/>
      <c r="EOU238" s="21"/>
      <c r="EOV238" s="15"/>
      <c r="EOW238" s="15"/>
      <c r="EOX238" s="15"/>
      <c r="EOY238" s="15"/>
      <c r="EOZ238" s="15"/>
      <c r="EPA238" s="15"/>
      <c r="EPB238" s="15"/>
      <c r="EPC238" s="15"/>
      <c r="EPD238" s="15"/>
      <c r="EPE238" s="15"/>
      <c r="EPF238" s="10"/>
      <c r="EPG238" s="10"/>
      <c r="EPH238" s="21"/>
      <c r="EPI238" s="21"/>
      <c r="EPL238" s="21"/>
      <c r="EPM238" s="15"/>
      <c r="EPN238" s="15"/>
      <c r="EPO238" s="15"/>
      <c r="EPP238" s="15"/>
      <c r="EPQ238" s="15"/>
      <c r="EPR238" s="15"/>
      <c r="EPS238" s="15"/>
      <c r="EPT238" s="15"/>
      <c r="EPU238" s="15"/>
      <c r="EPV238" s="15"/>
      <c r="EPW238" s="10"/>
      <c r="EPX238" s="10"/>
      <c r="EPY238" s="21"/>
      <c r="EPZ238" s="21"/>
      <c r="EQC238" s="21"/>
      <c r="EQD238" s="15"/>
      <c r="EQE238" s="15"/>
      <c r="EQF238" s="15"/>
      <c r="EQG238" s="15"/>
      <c r="EQH238" s="15"/>
      <c r="EQI238" s="15"/>
      <c r="EQJ238" s="15"/>
      <c r="EQK238" s="15"/>
      <c r="EQL238" s="15"/>
      <c r="EQM238" s="15"/>
      <c r="EQN238" s="10"/>
      <c r="EQO238" s="10"/>
      <c r="EQP238" s="21"/>
      <c r="EQQ238" s="21"/>
      <c r="EQT238" s="21"/>
      <c r="EQU238" s="15"/>
      <c r="EQV238" s="15"/>
      <c r="EQW238" s="15"/>
      <c r="EQX238" s="15"/>
      <c r="EQY238" s="15"/>
      <c r="EQZ238" s="15"/>
      <c r="ERA238" s="15"/>
      <c r="ERB238" s="15"/>
      <c r="ERC238" s="15"/>
      <c r="ERD238" s="15"/>
      <c r="ERE238" s="10"/>
      <c r="ERF238" s="10"/>
      <c r="ERG238" s="21"/>
      <c r="ERH238" s="21"/>
      <c r="ERK238" s="21"/>
      <c r="ERL238" s="15"/>
      <c r="ERM238" s="15"/>
      <c r="ERN238" s="15"/>
      <c r="ERO238" s="15"/>
      <c r="ERP238" s="15"/>
      <c r="ERQ238" s="15"/>
      <c r="ERR238" s="15"/>
      <c r="ERS238" s="15"/>
      <c r="ERT238" s="15"/>
      <c r="ERU238" s="15"/>
      <c r="ERV238" s="10"/>
      <c r="ERW238" s="10"/>
      <c r="ERX238" s="21"/>
      <c r="ERY238" s="21"/>
      <c r="ESB238" s="21"/>
      <c r="ESC238" s="15"/>
      <c r="ESD238" s="15"/>
      <c r="ESE238" s="15"/>
      <c r="ESF238" s="15"/>
      <c r="ESG238" s="15"/>
      <c r="ESH238" s="15"/>
      <c r="ESI238" s="15"/>
      <c r="ESJ238" s="15"/>
      <c r="ESK238" s="15"/>
      <c r="ESL238" s="15"/>
      <c r="ESM238" s="10"/>
      <c r="ESN238" s="10"/>
      <c r="ESO238" s="21"/>
      <c r="ESP238" s="21"/>
      <c r="ESS238" s="21"/>
      <c r="EST238" s="15"/>
      <c r="ESU238" s="15"/>
      <c r="ESV238" s="15"/>
      <c r="ESW238" s="15"/>
      <c r="ESX238" s="15"/>
      <c r="ESY238" s="15"/>
      <c r="ESZ238" s="15"/>
      <c r="ETA238" s="15"/>
      <c r="ETB238" s="15"/>
      <c r="ETC238" s="15"/>
      <c r="ETD238" s="10"/>
      <c r="ETE238" s="10"/>
      <c r="ETF238" s="21"/>
      <c r="ETG238" s="21"/>
      <c r="ETJ238" s="21"/>
      <c r="ETK238" s="15"/>
      <c r="ETL238" s="15"/>
      <c r="ETM238" s="15"/>
      <c r="ETN238" s="15"/>
      <c r="ETO238" s="15"/>
      <c r="ETP238" s="15"/>
      <c r="ETQ238" s="15"/>
      <c r="ETR238" s="15"/>
      <c r="ETS238" s="15"/>
      <c r="ETT238" s="15"/>
      <c r="ETU238" s="10"/>
      <c r="ETV238" s="10"/>
      <c r="ETW238" s="21"/>
      <c r="ETX238" s="21"/>
      <c r="EUA238" s="21"/>
      <c r="EUB238" s="15"/>
      <c r="EUC238" s="15"/>
      <c r="EUD238" s="15"/>
      <c r="EUE238" s="15"/>
      <c r="EUF238" s="15"/>
      <c r="EUG238" s="15"/>
      <c r="EUH238" s="15"/>
      <c r="EUI238" s="15"/>
      <c r="EUJ238" s="15"/>
      <c r="EUK238" s="15"/>
      <c r="EUL238" s="10"/>
      <c r="EUM238" s="10"/>
      <c r="EUN238" s="21"/>
      <c r="EUO238" s="21"/>
      <c r="EUR238" s="21"/>
      <c r="EUS238" s="15"/>
      <c r="EUT238" s="15"/>
      <c r="EUU238" s="15"/>
      <c r="EUV238" s="15"/>
      <c r="EUW238" s="15"/>
      <c r="EUX238" s="15"/>
      <c r="EUY238" s="15"/>
      <c r="EUZ238" s="15"/>
      <c r="EVA238" s="15"/>
      <c r="EVB238" s="15"/>
      <c r="EVC238" s="10"/>
      <c r="EVD238" s="10"/>
      <c r="EVE238" s="21"/>
      <c r="EVF238" s="21"/>
      <c r="EVI238" s="21"/>
      <c r="EVJ238" s="15"/>
      <c r="EVK238" s="15"/>
      <c r="EVL238" s="15"/>
      <c r="EVM238" s="15"/>
      <c r="EVN238" s="15"/>
      <c r="EVO238" s="15"/>
      <c r="EVP238" s="15"/>
      <c r="EVQ238" s="15"/>
      <c r="EVR238" s="15"/>
      <c r="EVS238" s="15"/>
      <c r="EVT238" s="10"/>
      <c r="EVU238" s="10"/>
      <c r="EVV238" s="21"/>
      <c r="EVW238" s="21"/>
      <c r="EVZ238" s="21"/>
      <c r="EWA238" s="15"/>
      <c r="EWB238" s="15"/>
      <c r="EWC238" s="15"/>
      <c r="EWD238" s="15"/>
      <c r="EWE238" s="15"/>
      <c r="EWF238" s="15"/>
      <c r="EWG238" s="15"/>
      <c r="EWH238" s="15"/>
      <c r="EWI238" s="15"/>
      <c r="EWJ238" s="15"/>
      <c r="EWK238" s="10"/>
      <c r="EWL238" s="10"/>
      <c r="EWM238" s="21"/>
      <c r="EWN238" s="21"/>
      <c r="EWQ238" s="21"/>
      <c r="EWR238" s="15"/>
      <c r="EWS238" s="15"/>
      <c r="EWT238" s="15"/>
      <c r="EWU238" s="15"/>
      <c r="EWV238" s="15"/>
      <c r="EWW238" s="15"/>
      <c r="EWX238" s="15"/>
      <c r="EWY238" s="15"/>
      <c r="EWZ238" s="15"/>
      <c r="EXA238" s="15"/>
      <c r="EXB238" s="10"/>
      <c r="EXC238" s="10"/>
      <c r="EXD238" s="21"/>
      <c r="EXE238" s="21"/>
      <c r="EXH238" s="21"/>
      <c r="EXI238" s="15"/>
      <c r="EXJ238" s="15"/>
      <c r="EXK238" s="15"/>
      <c r="EXL238" s="15"/>
      <c r="EXM238" s="15"/>
      <c r="EXN238" s="15"/>
      <c r="EXO238" s="15"/>
      <c r="EXP238" s="15"/>
      <c r="EXQ238" s="15"/>
      <c r="EXR238" s="15"/>
      <c r="EXS238" s="10"/>
      <c r="EXT238" s="10"/>
      <c r="EXU238" s="21"/>
      <c r="EXV238" s="21"/>
      <c r="EXY238" s="21"/>
      <c r="EXZ238" s="15"/>
      <c r="EYA238" s="15"/>
      <c r="EYB238" s="15"/>
      <c r="EYC238" s="15"/>
      <c r="EYD238" s="15"/>
      <c r="EYE238" s="15"/>
      <c r="EYF238" s="15"/>
      <c r="EYG238" s="15"/>
      <c r="EYH238" s="15"/>
      <c r="EYI238" s="15"/>
      <c r="EYJ238" s="10"/>
      <c r="EYK238" s="10"/>
      <c r="EYL238" s="21"/>
      <c r="EYM238" s="21"/>
      <c r="EYP238" s="21"/>
      <c r="EYQ238" s="15"/>
      <c r="EYR238" s="15"/>
      <c r="EYS238" s="15"/>
      <c r="EYT238" s="15"/>
      <c r="EYU238" s="15"/>
      <c r="EYV238" s="15"/>
      <c r="EYW238" s="15"/>
      <c r="EYX238" s="15"/>
      <c r="EYY238" s="15"/>
      <c r="EYZ238" s="15"/>
      <c r="EZA238" s="10"/>
      <c r="EZB238" s="10"/>
      <c r="EZC238" s="21"/>
      <c r="EZD238" s="21"/>
      <c r="EZG238" s="21"/>
      <c r="EZH238" s="15"/>
      <c r="EZI238" s="15"/>
      <c r="EZJ238" s="15"/>
      <c r="EZK238" s="15"/>
      <c r="EZL238" s="15"/>
      <c r="EZM238" s="15"/>
      <c r="EZN238" s="15"/>
      <c r="EZO238" s="15"/>
      <c r="EZP238" s="15"/>
      <c r="EZQ238" s="15"/>
      <c r="EZR238" s="10"/>
      <c r="EZS238" s="10"/>
      <c r="EZT238" s="21"/>
      <c r="EZU238" s="21"/>
      <c r="EZX238" s="21"/>
      <c r="EZY238" s="15"/>
      <c r="EZZ238" s="15"/>
      <c r="FAA238" s="15"/>
      <c r="FAB238" s="15"/>
      <c r="FAC238" s="15"/>
      <c r="FAD238" s="15"/>
      <c r="FAE238" s="15"/>
      <c r="FAF238" s="15"/>
      <c r="FAG238" s="15"/>
      <c r="FAH238" s="15"/>
      <c r="FAI238" s="10"/>
      <c r="FAJ238" s="10"/>
      <c r="FAK238" s="21"/>
      <c r="FAL238" s="21"/>
      <c r="FAO238" s="21"/>
      <c r="FAP238" s="15"/>
      <c r="FAQ238" s="15"/>
      <c r="FAR238" s="15"/>
      <c r="FAS238" s="15"/>
      <c r="FAT238" s="15"/>
      <c r="FAU238" s="15"/>
      <c r="FAV238" s="15"/>
      <c r="FAW238" s="15"/>
      <c r="FAX238" s="15"/>
      <c r="FAY238" s="15"/>
      <c r="FAZ238" s="10"/>
      <c r="FBA238" s="10"/>
      <c r="FBB238" s="21"/>
      <c r="FBC238" s="21"/>
      <c r="FBF238" s="21"/>
      <c r="FBG238" s="15"/>
      <c r="FBH238" s="15"/>
      <c r="FBI238" s="15"/>
      <c r="FBJ238" s="15"/>
      <c r="FBK238" s="15"/>
      <c r="FBL238" s="15"/>
      <c r="FBM238" s="15"/>
      <c r="FBN238" s="15"/>
      <c r="FBO238" s="15"/>
      <c r="FBP238" s="15"/>
      <c r="FBQ238" s="10"/>
      <c r="FBR238" s="10"/>
      <c r="FBS238" s="21"/>
      <c r="FBT238" s="21"/>
      <c r="FBW238" s="21"/>
      <c r="FBX238" s="15"/>
      <c r="FBY238" s="15"/>
      <c r="FBZ238" s="15"/>
      <c r="FCA238" s="15"/>
      <c r="FCB238" s="15"/>
      <c r="FCC238" s="15"/>
      <c r="FCD238" s="15"/>
      <c r="FCE238" s="15"/>
      <c r="FCF238" s="15"/>
      <c r="FCG238" s="15"/>
      <c r="FCH238" s="10"/>
      <c r="FCI238" s="10"/>
      <c r="FCJ238" s="21"/>
      <c r="FCK238" s="21"/>
      <c r="FCN238" s="21"/>
      <c r="FCO238" s="15"/>
      <c r="FCP238" s="15"/>
      <c r="FCQ238" s="15"/>
      <c r="FCR238" s="15"/>
      <c r="FCS238" s="15"/>
      <c r="FCT238" s="15"/>
      <c r="FCU238" s="15"/>
      <c r="FCV238" s="15"/>
      <c r="FCW238" s="15"/>
      <c r="FCX238" s="15"/>
      <c r="FCY238" s="10"/>
      <c r="FCZ238" s="10"/>
      <c r="FDA238" s="21"/>
      <c r="FDB238" s="21"/>
      <c r="FDE238" s="21"/>
      <c r="FDF238" s="15"/>
      <c r="FDG238" s="15"/>
      <c r="FDH238" s="15"/>
      <c r="FDI238" s="15"/>
      <c r="FDJ238" s="15"/>
      <c r="FDK238" s="15"/>
      <c r="FDL238" s="15"/>
      <c r="FDM238" s="15"/>
      <c r="FDN238" s="15"/>
      <c r="FDO238" s="15"/>
      <c r="FDP238" s="10"/>
      <c r="FDQ238" s="10"/>
      <c r="FDR238" s="21"/>
      <c r="FDS238" s="21"/>
      <c r="FDV238" s="21"/>
      <c r="FDW238" s="15"/>
      <c r="FDX238" s="15"/>
      <c r="FDY238" s="15"/>
      <c r="FDZ238" s="15"/>
      <c r="FEA238" s="15"/>
      <c r="FEB238" s="15"/>
      <c r="FEC238" s="15"/>
      <c r="FED238" s="15"/>
      <c r="FEE238" s="15"/>
      <c r="FEF238" s="15"/>
      <c r="FEG238" s="10"/>
      <c r="FEH238" s="10"/>
      <c r="FEI238" s="21"/>
      <c r="FEJ238" s="21"/>
      <c r="FEM238" s="21"/>
      <c r="FEN238" s="15"/>
      <c r="FEO238" s="15"/>
      <c r="FEP238" s="15"/>
      <c r="FEQ238" s="15"/>
      <c r="FER238" s="15"/>
      <c r="FES238" s="15"/>
      <c r="FET238" s="15"/>
      <c r="FEU238" s="15"/>
      <c r="FEV238" s="15"/>
      <c r="FEW238" s="15"/>
      <c r="FEX238" s="10"/>
      <c r="FEY238" s="10"/>
      <c r="FEZ238" s="21"/>
      <c r="FFA238" s="21"/>
      <c r="FFD238" s="21"/>
      <c r="FFE238" s="15"/>
      <c r="FFF238" s="15"/>
      <c r="FFG238" s="15"/>
      <c r="FFH238" s="15"/>
      <c r="FFI238" s="15"/>
      <c r="FFJ238" s="15"/>
      <c r="FFK238" s="15"/>
      <c r="FFL238" s="15"/>
      <c r="FFM238" s="15"/>
      <c r="FFN238" s="15"/>
      <c r="FFO238" s="10"/>
      <c r="FFP238" s="10"/>
      <c r="FFQ238" s="21"/>
      <c r="FFR238" s="21"/>
      <c r="FFU238" s="21"/>
      <c r="FFV238" s="15"/>
      <c r="FFW238" s="15"/>
      <c r="FFX238" s="15"/>
      <c r="FFY238" s="15"/>
      <c r="FFZ238" s="15"/>
      <c r="FGA238" s="15"/>
      <c r="FGB238" s="15"/>
      <c r="FGC238" s="15"/>
      <c r="FGD238" s="15"/>
      <c r="FGE238" s="15"/>
      <c r="FGF238" s="10"/>
      <c r="FGG238" s="10"/>
      <c r="FGH238" s="21"/>
      <c r="FGI238" s="21"/>
      <c r="FGL238" s="21"/>
      <c r="FGM238" s="15"/>
      <c r="FGN238" s="15"/>
      <c r="FGO238" s="15"/>
      <c r="FGP238" s="15"/>
      <c r="FGQ238" s="15"/>
      <c r="FGR238" s="15"/>
      <c r="FGS238" s="15"/>
      <c r="FGT238" s="15"/>
      <c r="FGU238" s="15"/>
      <c r="FGV238" s="15"/>
      <c r="FGW238" s="10"/>
      <c r="FGX238" s="10"/>
      <c r="FGY238" s="21"/>
      <c r="FGZ238" s="21"/>
      <c r="FHC238" s="21"/>
      <c r="FHD238" s="15"/>
      <c r="FHE238" s="15"/>
      <c r="FHF238" s="15"/>
      <c r="FHG238" s="15"/>
      <c r="FHH238" s="15"/>
      <c r="FHI238" s="15"/>
      <c r="FHJ238" s="15"/>
      <c r="FHK238" s="15"/>
      <c r="FHL238" s="15"/>
      <c r="FHM238" s="15"/>
      <c r="FHN238" s="10"/>
      <c r="FHO238" s="10"/>
      <c r="FHP238" s="21"/>
      <c r="FHQ238" s="21"/>
      <c r="FHT238" s="21"/>
      <c r="FHU238" s="15"/>
      <c r="FHV238" s="15"/>
      <c r="FHW238" s="15"/>
      <c r="FHX238" s="15"/>
      <c r="FHY238" s="15"/>
      <c r="FHZ238" s="15"/>
      <c r="FIA238" s="15"/>
      <c r="FIB238" s="15"/>
      <c r="FIC238" s="15"/>
      <c r="FID238" s="15"/>
      <c r="FIE238" s="10"/>
      <c r="FIF238" s="10"/>
      <c r="FIG238" s="21"/>
      <c r="FIH238" s="21"/>
      <c r="FIK238" s="21"/>
      <c r="FIL238" s="15"/>
      <c r="FIM238" s="15"/>
      <c r="FIN238" s="15"/>
      <c r="FIO238" s="15"/>
      <c r="FIP238" s="15"/>
      <c r="FIQ238" s="15"/>
      <c r="FIR238" s="15"/>
      <c r="FIS238" s="15"/>
      <c r="FIT238" s="15"/>
      <c r="FIU238" s="15"/>
      <c r="FIV238" s="10"/>
      <c r="FIW238" s="10"/>
      <c r="FIX238" s="21"/>
      <c r="FIY238" s="21"/>
      <c r="FJB238" s="21"/>
      <c r="FJC238" s="15"/>
      <c r="FJD238" s="15"/>
      <c r="FJE238" s="15"/>
      <c r="FJF238" s="15"/>
      <c r="FJG238" s="15"/>
      <c r="FJH238" s="15"/>
      <c r="FJI238" s="15"/>
      <c r="FJJ238" s="15"/>
      <c r="FJK238" s="15"/>
      <c r="FJL238" s="15"/>
      <c r="FJM238" s="10"/>
      <c r="FJN238" s="10"/>
      <c r="FJO238" s="21"/>
      <c r="FJP238" s="21"/>
      <c r="FJS238" s="21"/>
      <c r="FJT238" s="15"/>
      <c r="FJU238" s="15"/>
      <c r="FJV238" s="15"/>
      <c r="FJW238" s="15"/>
      <c r="FJX238" s="15"/>
      <c r="FJY238" s="15"/>
      <c r="FJZ238" s="15"/>
      <c r="FKA238" s="15"/>
      <c r="FKB238" s="15"/>
      <c r="FKC238" s="15"/>
      <c r="FKD238" s="10"/>
      <c r="FKE238" s="10"/>
      <c r="FKF238" s="21"/>
      <c r="FKG238" s="21"/>
      <c r="FKJ238" s="21"/>
      <c r="FKK238" s="15"/>
      <c r="FKL238" s="15"/>
      <c r="FKM238" s="15"/>
      <c r="FKN238" s="15"/>
      <c r="FKO238" s="15"/>
      <c r="FKP238" s="15"/>
      <c r="FKQ238" s="15"/>
      <c r="FKR238" s="15"/>
      <c r="FKS238" s="15"/>
      <c r="FKT238" s="15"/>
      <c r="FKU238" s="10"/>
      <c r="FKV238" s="10"/>
      <c r="FKW238" s="21"/>
      <c r="FKX238" s="21"/>
      <c r="FLA238" s="21"/>
      <c r="FLB238" s="15"/>
      <c r="FLC238" s="15"/>
      <c r="FLD238" s="15"/>
      <c r="FLE238" s="15"/>
      <c r="FLF238" s="15"/>
      <c r="FLG238" s="15"/>
      <c r="FLH238" s="15"/>
      <c r="FLI238" s="15"/>
      <c r="FLJ238" s="15"/>
      <c r="FLK238" s="15"/>
      <c r="FLL238" s="10"/>
      <c r="FLM238" s="10"/>
      <c r="FLN238" s="21"/>
      <c r="FLO238" s="21"/>
      <c r="FLR238" s="21"/>
      <c r="FLS238" s="15"/>
      <c r="FLT238" s="15"/>
      <c r="FLU238" s="15"/>
      <c r="FLV238" s="15"/>
      <c r="FLW238" s="15"/>
      <c r="FLX238" s="15"/>
      <c r="FLY238" s="15"/>
      <c r="FLZ238" s="15"/>
      <c r="FMA238" s="15"/>
      <c r="FMB238" s="15"/>
      <c r="FMC238" s="10"/>
      <c r="FMD238" s="10"/>
      <c r="FME238" s="21"/>
      <c r="FMF238" s="21"/>
      <c r="FMI238" s="21"/>
      <c r="FMJ238" s="15"/>
      <c r="FMK238" s="15"/>
      <c r="FML238" s="15"/>
      <c r="FMM238" s="15"/>
      <c r="FMN238" s="15"/>
      <c r="FMO238" s="15"/>
      <c r="FMP238" s="15"/>
      <c r="FMQ238" s="15"/>
      <c r="FMR238" s="15"/>
      <c r="FMS238" s="15"/>
      <c r="FMT238" s="10"/>
      <c r="FMU238" s="10"/>
      <c r="FMV238" s="21"/>
      <c r="FMW238" s="21"/>
      <c r="FMZ238" s="21"/>
      <c r="FNA238" s="15"/>
      <c r="FNB238" s="15"/>
      <c r="FNC238" s="15"/>
      <c r="FND238" s="15"/>
      <c r="FNE238" s="15"/>
      <c r="FNF238" s="15"/>
      <c r="FNG238" s="15"/>
      <c r="FNH238" s="15"/>
      <c r="FNI238" s="15"/>
      <c r="FNJ238" s="15"/>
      <c r="FNK238" s="10"/>
      <c r="FNL238" s="10"/>
      <c r="FNM238" s="21"/>
      <c r="FNN238" s="21"/>
      <c r="FNQ238" s="21"/>
      <c r="FNR238" s="15"/>
      <c r="FNS238" s="15"/>
      <c r="FNT238" s="15"/>
      <c r="FNU238" s="15"/>
      <c r="FNV238" s="15"/>
      <c r="FNW238" s="15"/>
      <c r="FNX238" s="15"/>
      <c r="FNY238" s="15"/>
      <c r="FNZ238" s="15"/>
      <c r="FOA238" s="15"/>
      <c r="FOB238" s="10"/>
      <c r="FOC238" s="10"/>
      <c r="FOD238" s="21"/>
      <c r="FOE238" s="21"/>
      <c r="FOH238" s="21"/>
      <c r="FOI238" s="15"/>
      <c r="FOJ238" s="15"/>
      <c r="FOK238" s="15"/>
      <c r="FOL238" s="15"/>
      <c r="FOM238" s="15"/>
      <c r="FON238" s="15"/>
      <c r="FOO238" s="15"/>
      <c r="FOP238" s="15"/>
      <c r="FOQ238" s="15"/>
      <c r="FOR238" s="15"/>
      <c r="FOS238" s="10"/>
      <c r="FOT238" s="10"/>
      <c r="FOU238" s="21"/>
      <c r="FOV238" s="21"/>
      <c r="FOY238" s="21"/>
      <c r="FOZ238" s="15"/>
      <c r="FPA238" s="15"/>
      <c r="FPB238" s="15"/>
      <c r="FPC238" s="15"/>
      <c r="FPD238" s="15"/>
      <c r="FPE238" s="15"/>
      <c r="FPF238" s="15"/>
      <c r="FPG238" s="15"/>
      <c r="FPH238" s="15"/>
      <c r="FPI238" s="15"/>
      <c r="FPJ238" s="10"/>
      <c r="FPK238" s="10"/>
      <c r="FPL238" s="21"/>
      <c r="FPM238" s="21"/>
      <c r="FPP238" s="21"/>
      <c r="FPQ238" s="15"/>
      <c r="FPR238" s="15"/>
      <c r="FPS238" s="15"/>
      <c r="FPT238" s="15"/>
      <c r="FPU238" s="15"/>
      <c r="FPV238" s="15"/>
      <c r="FPW238" s="15"/>
      <c r="FPX238" s="15"/>
      <c r="FPY238" s="15"/>
      <c r="FPZ238" s="15"/>
      <c r="FQA238" s="10"/>
      <c r="FQB238" s="10"/>
      <c r="FQC238" s="21"/>
      <c r="FQD238" s="21"/>
      <c r="FQG238" s="21"/>
      <c r="FQH238" s="15"/>
      <c r="FQI238" s="15"/>
      <c r="FQJ238" s="15"/>
      <c r="FQK238" s="15"/>
      <c r="FQL238" s="15"/>
      <c r="FQM238" s="15"/>
      <c r="FQN238" s="15"/>
      <c r="FQO238" s="15"/>
      <c r="FQP238" s="15"/>
      <c r="FQQ238" s="15"/>
      <c r="FQR238" s="10"/>
      <c r="FQS238" s="10"/>
      <c r="FQT238" s="21"/>
      <c r="FQU238" s="21"/>
      <c r="FQX238" s="21"/>
      <c r="FQY238" s="15"/>
      <c r="FQZ238" s="15"/>
      <c r="FRA238" s="15"/>
      <c r="FRB238" s="15"/>
      <c r="FRC238" s="15"/>
      <c r="FRD238" s="15"/>
      <c r="FRE238" s="15"/>
      <c r="FRF238" s="15"/>
      <c r="FRG238" s="15"/>
      <c r="FRH238" s="15"/>
      <c r="FRI238" s="10"/>
      <c r="FRJ238" s="10"/>
      <c r="FRK238" s="21"/>
      <c r="FRL238" s="21"/>
      <c r="FRO238" s="21"/>
      <c r="FRP238" s="15"/>
      <c r="FRQ238" s="15"/>
      <c r="FRR238" s="15"/>
      <c r="FRS238" s="15"/>
      <c r="FRT238" s="15"/>
      <c r="FRU238" s="15"/>
      <c r="FRV238" s="15"/>
      <c r="FRW238" s="15"/>
      <c r="FRX238" s="15"/>
      <c r="FRY238" s="15"/>
      <c r="FRZ238" s="10"/>
      <c r="FSA238" s="10"/>
      <c r="FSB238" s="21"/>
      <c r="FSC238" s="21"/>
      <c r="FSF238" s="21"/>
      <c r="FSG238" s="15"/>
      <c r="FSH238" s="15"/>
      <c r="FSI238" s="15"/>
      <c r="FSJ238" s="15"/>
      <c r="FSK238" s="15"/>
      <c r="FSL238" s="15"/>
      <c r="FSM238" s="15"/>
      <c r="FSN238" s="15"/>
      <c r="FSO238" s="15"/>
      <c r="FSP238" s="15"/>
      <c r="FSQ238" s="10"/>
      <c r="FSR238" s="10"/>
      <c r="FSS238" s="21"/>
      <c r="FST238" s="21"/>
      <c r="FSW238" s="21"/>
      <c r="FSX238" s="15"/>
      <c r="FSY238" s="15"/>
      <c r="FSZ238" s="15"/>
      <c r="FTA238" s="15"/>
      <c r="FTB238" s="15"/>
      <c r="FTC238" s="15"/>
      <c r="FTD238" s="15"/>
      <c r="FTE238" s="15"/>
      <c r="FTF238" s="15"/>
      <c r="FTG238" s="15"/>
      <c r="FTH238" s="10"/>
      <c r="FTI238" s="10"/>
      <c r="FTJ238" s="21"/>
      <c r="FTK238" s="21"/>
      <c r="FTN238" s="21"/>
      <c r="FTO238" s="15"/>
      <c r="FTP238" s="15"/>
      <c r="FTQ238" s="15"/>
      <c r="FTR238" s="15"/>
      <c r="FTS238" s="15"/>
      <c r="FTT238" s="15"/>
      <c r="FTU238" s="15"/>
      <c r="FTV238" s="15"/>
      <c r="FTW238" s="15"/>
      <c r="FTX238" s="15"/>
      <c r="FTY238" s="10"/>
      <c r="FTZ238" s="10"/>
      <c r="FUA238" s="21"/>
      <c r="FUB238" s="21"/>
      <c r="FUE238" s="21"/>
      <c r="FUF238" s="15"/>
      <c r="FUG238" s="15"/>
      <c r="FUH238" s="15"/>
      <c r="FUI238" s="15"/>
      <c r="FUJ238" s="15"/>
      <c r="FUK238" s="15"/>
      <c r="FUL238" s="15"/>
      <c r="FUM238" s="15"/>
      <c r="FUN238" s="15"/>
      <c r="FUO238" s="15"/>
      <c r="FUP238" s="10"/>
      <c r="FUQ238" s="10"/>
      <c r="FUR238" s="21"/>
      <c r="FUS238" s="21"/>
      <c r="FUV238" s="21"/>
      <c r="FUW238" s="15"/>
      <c r="FUX238" s="15"/>
      <c r="FUY238" s="15"/>
      <c r="FUZ238" s="15"/>
      <c r="FVA238" s="15"/>
      <c r="FVB238" s="15"/>
      <c r="FVC238" s="15"/>
      <c r="FVD238" s="15"/>
      <c r="FVE238" s="15"/>
      <c r="FVF238" s="15"/>
      <c r="FVG238" s="10"/>
      <c r="FVH238" s="10"/>
      <c r="FVI238" s="21"/>
      <c r="FVJ238" s="21"/>
      <c r="FVM238" s="21"/>
      <c r="FVN238" s="15"/>
      <c r="FVO238" s="15"/>
      <c r="FVP238" s="15"/>
      <c r="FVQ238" s="15"/>
      <c r="FVR238" s="15"/>
      <c r="FVS238" s="15"/>
      <c r="FVT238" s="15"/>
      <c r="FVU238" s="15"/>
      <c r="FVV238" s="15"/>
      <c r="FVW238" s="15"/>
      <c r="FVX238" s="10"/>
      <c r="FVY238" s="10"/>
      <c r="FVZ238" s="21"/>
      <c r="FWA238" s="21"/>
      <c r="FWD238" s="21"/>
      <c r="FWE238" s="15"/>
      <c r="FWF238" s="15"/>
      <c r="FWG238" s="15"/>
      <c r="FWH238" s="15"/>
      <c r="FWI238" s="15"/>
      <c r="FWJ238" s="15"/>
      <c r="FWK238" s="15"/>
      <c r="FWL238" s="15"/>
      <c r="FWM238" s="15"/>
      <c r="FWN238" s="15"/>
      <c r="FWO238" s="10"/>
      <c r="FWP238" s="10"/>
      <c r="FWQ238" s="21"/>
      <c r="FWR238" s="21"/>
      <c r="FWU238" s="21"/>
      <c r="FWV238" s="15"/>
      <c r="FWW238" s="15"/>
      <c r="FWX238" s="15"/>
      <c r="FWY238" s="15"/>
      <c r="FWZ238" s="15"/>
      <c r="FXA238" s="15"/>
      <c r="FXB238" s="15"/>
      <c r="FXC238" s="15"/>
      <c r="FXD238" s="15"/>
      <c r="FXE238" s="15"/>
      <c r="FXF238" s="10"/>
      <c r="FXG238" s="10"/>
      <c r="FXH238" s="21"/>
      <c r="FXI238" s="21"/>
      <c r="FXL238" s="21"/>
      <c r="FXM238" s="15"/>
      <c r="FXN238" s="15"/>
      <c r="FXO238" s="15"/>
      <c r="FXP238" s="15"/>
      <c r="FXQ238" s="15"/>
      <c r="FXR238" s="15"/>
      <c r="FXS238" s="15"/>
      <c r="FXT238" s="15"/>
      <c r="FXU238" s="15"/>
      <c r="FXV238" s="15"/>
      <c r="FXW238" s="10"/>
      <c r="FXX238" s="10"/>
      <c r="FXY238" s="21"/>
      <c r="FXZ238" s="21"/>
      <c r="FYC238" s="21"/>
      <c r="FYD238" s="15"/>
      <c r="FYE238" s="15"/>
      <c r="FYF238" s="15"/>
      <c r="FYG238" s="15"/>
      <c r="FYH238" s="15"/>
      <c r="FYI238" s="15"/>
      <c r="FYJ238" s="15"/>
      <c r="FYK238" s="15"/>
      <c r="FYL238" s="15"/>
      <c r="FYM238" s="15"/>
      <c r="FYN238" s="10"/>
      <c r="FYO238" s="10"/>
      <c r="FYP238" s="21"/>
      <c r="FYQ238" s="21"/>
      <c r="FYT238" s="21"/>
      <c r="FYU238" s="15"/>
      <c r="FYV238" s="15"/>
      <c r="FYW238" s="15"/>
      <c r="FYX238" s="15"/>
      <c r="FYY238" s="15"/>
      <c r="FYZ238" s="15"/>
      <c r="FZA238" s="15"/>
      <c r="FZB238" s="15"/>
      <c r="FZC238" s="15"/>
      <c r="FZD238" s="15"/>
      <c r="FZE238" s="10"/>
      <c r="FZF238" s="10"/>
      <c r="FZG238" s="21"/>
      <c r="FZH238" s="21"/>
      <c r="FZK238" s="21"/>
      <c r="FZL238" s="15"/>
      <c r="FZM238" s="15"/>
      <c r="FZN238" s="15"/>
      <c r="FZO238" s="15"/>
      <c r="FZP238" s="15"/>
      <c r="FZQ238" s="15"/>
      <c r="FZR238" s="15"/>
      <c r="FZS238" s="15"/>
      <c r="FZT238" s="15"/>
      <c r="FZU238" s="15"/>
      <c r="FZV238" s="10"/>
      <c r="FZW238" s="10"/>
      <c r="FZX238" s="21"/>
      <c r="FZY238" s="21"/>
      <c r="GAB238" s="21"/>
      <c r="GAC238" s="15"/>
      <c r="GAD238" s="15"/>
      <c r="GAE238" s="15"/>
      <c r="GAF238" s="15"/>
      <c r="GAG238" s="15"/>
      <c r="GAH238" s="15"/>
      <c r="GAI238" s="15"/>
      <c r="GAJ238" s="15"/>
      <c r="GAK238" s="15"/>
      <c r="GAL238" s="15"/>
      <c r="GAM238" s="10"/>
      <c r="GAN238" s="10"/>
      <c r="GAO238" s="21"/>
      <c r="GAP238" s="21"/>
      <c r="GAS238" s="21"/>
      <c r="GAT238" s="15"/>
      <c r="GAU238" s="15"/>
      <c r="GAV238" s="15"/>
      <c r="GAW238" s="15"/>
      <c r="GAX238" s="15"/>
      <c r="GAY238" s="15"/>
      <c r="GAZ238" s="15"/>
      <c r="GBA238" s="15"/>
      <c r="GBB238" s="15"/>
      <c r="GBC238" s="15"/>
      <c r="GBD238" s="10"/>
      <c r="GBE238" s="10"/>
      <c r="GBF238" s="21"/>
      <c r="GBG238" s="21"/>
      <c r="GBJ238" s="21"/>
      <c r="GBK238" s="15"/>
      <c r="GBL238" s="15"/>
      <c r="GBM238" s="15"/>
      <c r="GBN238" s="15"/>
      <c r="GBO238" s="15"/>
      <c r="GBP238" s="15"/>
      <c r="GBQ238" s="15"/>
      <c r="GBR238" s="15"/>
      <c r="GBS238" s="15"/>
      <c r="GBT238" s="15"/>
      <c r="GBU238" s="10"/>
      <c r="GBV238" s="10"/>
      <c r="GBW238" s="21"/>
      <c r="GBX238" s="21"/>
      <c r="GCA238" s="21"/>
      <c r="GCB238" s="15"/>
      <c r="GCC238" s="15"/>
      <c r="GCD238" s="15"/>
      <c r="GCE238" s="15"/>
      <c r="GCF238" s="15"/>
      <c r="GCG238" s="15"/>
      <c r="GCH238" s="15"/>
      <c r="GCI238" s="15"/>
      <c r="GCJ238" s="15"/>
      <c r="GCK238" s="15"/>
      <c r="GCL238" s="10"/>
      <c r="GCM238" s="10"/>
      <c r="GCN238" s="21"/>
      <c r="GCO238" s="21"/>
      <c r="GCR238" s="21"/>
      <c r="GCS238" s="15"/>
      <c r="GCT238" s="15"/>
      <c r="GCU238" s="15"/>
      <c r="GCV238" s="15"/>
      <c r="GCW238" s="15"/>
      <c r="GCX238" s="15"/>
      <c r="GCY238" s="15"/>
      <c r="GCZ238" s="15"/>
      <c r="GDA238" s="15"/>
      <c r="GDB238" s="15"/>
      <c r="GDC238" s="10"/>
      <c r="GDD238" s="10"/>
      <c r="GDE238" s="21"/>
      <c r="GDF238" s="21"/>
      <c r="GDI238" s="21"/>
      <c r="GDJ238" s="15"/>
      <c r="GDK238" s="15"/>
      <c r="GDL238" s="15"/>
      <c r="GDM238" s="15"/>
      <c r="GDN238" s="15"/>
      <c r="GDO238" s="15"/>
      <c r="GDP238" s="15"/>
      <c r="GDQ238" s="15"/>
      <c r="GDR238" s="15"/>
      <c r="GDS238" s="15"/>
      <c r="GDT238" s="10"/>
      <c r="GDU238" s="10"/>
      <c r="GDV238" s="21"/>
      <c r="GDW238" s="21"/>
      <c r="GDZ238" s="21"/>
      <c r="GEA238" s="15"/>
      <c r="GEB238" s="15"/>
      <c r="GEC238" s="15"/>
      <c r="GED238" s="15"/>
      <c r="GEE238" s="15"/>
      <c r="GEF238" s="15"/>
      <c r="GEG238" s="15"/>
      <c r="GEH238" s="15"/>
      <c r="GEI238" s="15"/>
      <c r="GEJ238" s="15"/>
      <c r="GEK238" s="10"/>
      <c r="GEL238" s="10"/>
      <c r="GEM238" s="21"/>
      <c r="GEN238" s="21"/>
      <c r="GEQ238" s="21"/>
      <c r="GER238" s="15"/>
      <c r="GES238" s="15"/>
      <c r="GET238" s="15"/>
      <c r="GEU238" s="15"/>
      <c r="GEV238" s="15"/>
      <c r="GEW238" s="15"/>
      <c r="GEX238" s="15"/>
      <c r="GEY238" s="15"/>
      <c r="GEZ238" s="15"/>
      <c r="GFA238" s="15"/>
      <c r="GFB238" s="10"/>
      <c r="GFC238" s="10"/>
      <c r="GFD238" s="21"/>
      <c r="GFE238" s="21"/>
      <c r="GFH238" s="21"/>
      <c r="GFI238" s="15"/>
      <c r="GFJ238" s="15"/>
      <c r="GFK238" s="15"/>
      <c r="GFL238" s="15"/>
      <c r="GFM238" s="15"/>
      <c r="GFN238" s="15"/>
      <c r="GFO238" s="15"/>
      <c r="GFP238" s="15"/>
      <c r="GFQ238" s="15"/>
      <c r="GFR238" s="15"/>
      <c r="GFS238" s="10"/>
      <c r="GFT238" s="10"/>
      <c r="GFU238" s="21"/>
      <c r="GFV238" s="21"/>
      <c r="GFY238" s="21"/>
      <c r="GFZ238" s="15"/>
      <c r="GGA238" s="15"/>
      <c r="GGB238" s="15"/>
      <c r="GGC238" s="15"/>
      <c r="GGD238" s="15"/>
      <c r="GGE238" s="15"/>
      <c r="GGF238" s="15"/>
      <c r="GGG238" s="15"/>
      <c r="GGH238" s="15"/>
      <c r="GGI238" s="15"/>
      <c r="GGJ238" s="10"/>
      <c r="GGK238" s="10"/>
      <c r="GGL238" s="21"/>
      <c r="GGM238" s="21"/>
      <c r="GGP238" s="21"/>
      <c r="GGQ238" s="15"/>
      <c r="GGR238" s="15"/>
      <c r="GGS238" s="15"/>
      <c r="GGT238" s="15"/>
      <c r="GGU238" s="15"/>
      <c r="GGV238" s="15"/>
      <c r="GGW238" s="15"/>
      <c r="GGX238" s="15"/>
      <c r="GGY238" s="15"/>
      <c r="GGZ238" s="15"/>
      <c r="GHA238" s="10"/>
      <c r="GHB238" s="10"/>
      <c r="GHC238" s="21"/>
      <c r="GHD238" s="21"/>
      <c r="GHG238" s="21"/>
      <c r="GHH238" s="15"/>
      <c r="GHI238" s="15"/>
      <c r="GHJ238" s="15"/>
      <c r="GHK238" s="15"/>
      <c r="GHL238" s="15"/>
      <c r="GHM238" s="15"/>
      <c r="GHN238" s="15"/>
      <c r="GHO238" s="15"/>
      <c r="GHP238" s="15"/>
      <c r="GHQ238" s="15"/>
      <c r="GHR238" s="10"/>
      <c r="GHS238" s="10"/>
      <c r="GHT238" s="21"/>
      <c r="GHU238" s="21"/>
      <c r="GHX238" s="21"/>
      <c r="GHY238" s="15"/>
      <c r="GHZ238" s="15"/>
      <c r="GIA238" s="15"/>
      <c r="GIB238" s="15"/>
      <c r="GIC238" s="15"/>
      <c r="GID238" s="15"/>
      <c r="GIE238" s="15"/>
      <c r="GIF238" s="15"/>
      <c r="GIG238" s="15"/>
      <c r="GIH238" s="15"/>
      <c r="GII238" s="10"/>
      <c r="GIJ238" s="10"/>
      <c r="GIK238" s="21"/>
      <c r="GIL238" s="21"/>
      <c r="GIO238" s="21"/>
      <c r="GIP238" s="15"/>
      <c r="GIQ238" s="15"/>
      <c r="GIR238" s="15"/>
      <c r="GIS238" s="15"/>
      <c r="GIT238" s="15"/>
      <c r="GIU238" s="15"/>
      <c r="GIV238" s="15"/>
      <c r="GIW238" s="15"/>
      <c r="GIX238" s="15"/>
      <c r="GIY238" s="15"/>
      <c r="GIZ238" s="10"/>
      <c r="GJA238" s="10"/>
      <c r="GJB238" s="21"/>
      <c r="GJC238" s="21"/>
      <c r="GJF238" s="21"/>
      <c r="GJG238" s="15"/>
      <c r="GJH238" s="15"/>
      <c r="GJI238" s="15"/>
      <c r="GJJ238" s="15"/>
      <c r="GJK238" s="15"/>
      <c r="GJL238" s="15"/>
      <c r="GJM238" s="15"/>
      <c r="GJN238" s="15"/>
      <c r="GJO238" s="15"/>
      <c r="GJP238" s="15"/>
      <c r="GJQ238" s="10"/>
      <c r="GJR238" s="10"/>
      <c r="GJS238" s="21"/>
      <c r="GJT238" s="21"/>
      <c r="GJW238" s="21"/>
      <c r="GJX238" s="15"/>
      <c r="GJY238" s="15"/>
      <c r="GJZ238" s="15"/>
      <c r="GKA238" s="15"/>
      <c r="GKB238" s="15"/>
      <c r="GKC238" s="15"/>
      <c r="GKD238" s="15"/>
      <c r="GKE238" s="15"/>
      <c r="GKF238" s="15"/>
      <c r="GKG238" s="15"/>
      <c r="GKH238" s="10"/>
      <c r="GKI238" s="10"/>
      <c r="GKJ238" s="21"/>
      <c r="GKK238" s="21"/>
      <c r="GKN238" s="21"/>
      <c r="GKO238" s="15"/>
      <c r="GKP238" s="15"/>
      <c r="GKQ238" s="15"/>
      <c r="GKR238" s="15"/>
      <c r="GKS238" s="15"/>
      <c r="GKT238" s="15"/>
      <c r="GKU238" s="15"/>
      <c r="GKV238" s="15"/>
      <c r="GKW238" s="15"/>
      <c r="GKX238" s="15"/>
      <c r="GKY238" s="10"/>
      <c r="GKZ238" s="10"/>
      <c r="GLA238" s="21"/>
      <c r="GLB238" s="21"/>
      <c r="GLE238" s="21"/>
      <c r="GLF238" s="15"/>
      <c r="GLG238" s="15"/>
      <c r="GLH238" s="15"/>
      <c r="GLI238" s="15"/>
      <c r="GLJ238" s="15"/>
      <c r="GLK238" s="15"/>
      <c r="GLL238" s="15"/>
      <c r="GLM238" s="15"/>
      <c r="GLN238" s="15"/>
      <c r="GLO238" s="15"/>
      <c r="GLP238" s="10"/>
      <c r="GLQ238" s="10"/>
      <c r="GLR238" s="21"/>
      <c r="GLS238" s="21"/>
      <c r="GLV238" s="21"/>
      <c r="GLW238" s="15"/>
      <c r="GLX238" s="15"/>
      <c r="GLY238" s="15"/>
      <c r="GLZ238" s="15"/>
      <c r="GMA238" s="15"/>
      <c r="GMB238" s="15"/>
      <c r="GMC238" s="15"/>
      <c r="GMD238" s="15"/>
      <c r="GME238" s="15"/>
      <c r="GMF238" s="15"/>
      <c r="GMG238" s="10"/>
      <c r="GMH238" s="10"/>
      <c r="GMI238" s="21"/>
      <c r="GMJ238" s="21"/>
      <c r="GMM238" s="21"/>
      <c r="GMN238" s="15"/>
      <c r="GMO238" s="15"/>
      <c r="GMP238" s="15"/>
      <c r="GMQ238" s="15"/>
      <c r="GMR238" s="15"/>
      <c r="GMS238" s="15"/>
      <c r="GMT238" s="15"/>
      <c r="GMU238" s="15"/>
      <c r="GMV238" s="15"/>
      <c r="GMW238" s="15"/>
      <c r="GMX238" s="10"/>
      <c r="GMY238" s="10"/>
      <c r="GMZ238" s="21"/>
      <c r="GNA238" s="21"/>
      <c r="GND238" s="21"/>
      <c r="GNE238" s="15"/>
      <c r="GNF238" s="15"/>
      <c r="GNG238" s="15"/>
      <c r="GNH238" s="15"/>
      <c r="GNI238" s="15"/>
      <c r="GNJ238" s="15"/>
      <c r="GNK238" s="15"/>
      <c r="GNL238" s="15"/>
      <c r="GNM238" s="15"/>
      <c r="GNN238" s="15"/>
      <c r="GNO238" s="10"/>
      <c r="GNP238" s="10"/>
      <c r="GNQ238" s="21"/>
      <c r="GNR238" s="21"/>
      <c r="GNU238" s="21"/>
      <c r="GNV238" s="15"/>
      <c r="GNW238" s="15"/>
      <c r="GNX238" s="15"/>
      <c r="GNY238" s="15"/>
      <c r="GNZ238" s="15"/>
      <c r="GOA238" s="15"/>
      <c r="GOB238" s="15"/>
      <c r="GOC238" s="15"/>
      <c r="GOD238" s="15"/>
      <c r="GOE238" s="15"/>
      <c r="GOF238" s="10"/>
      <c r="GOG238" s="10"/>
      <c r="GOH238" s="21"/>
      <c r="GOI238" s="21"/>
      <c r="GOL238" s="21"/>
      <c r="GOM238" s="15"/>
      <c r="GON238" s="15"/>
      <c r="GOO238" s="15"/>
      <c r="GOP238" s="15"/>
      <c r="GOQ238" s="15"/>
      <c r="GOR238" s="15"/>
      <c r="GOS238" s="15"/>
      <c r="GOT238" s="15"/>
      <c r="GOU238" s="15"/>
      <c r="GOV238" s="15"/>
      <c r="GOW238" s="10"/>
      <c r="GOX238" s="10"/>
      <c r="GOY238" s="21"/>
      <c r="GOZ238" s="21"/>
      <c r="GPC238" s="21"/>
      <c r="GPD238" s="15"/>
      <c r="GPE238" s="15"/>
      <c r="GPF238" s="15"/>
      <c r="GPG238" s="15"/>
      <c r="GPH238" s="15"/>
      <c r="GPI238" s="15"/>
      <c r="GPJ238" s="15"/>
      <c r="GPK238" s="15"/>
      <c r="GPL238" s="15"/>
      <c r="GPM238" s="15"/>
      <c r="GPN238" s="10"/>
      <c r="GPO238" s="10"/>
      <c r="GPP238" s="21"/>
      <c r="GPQ238" s="21"/>
      <c r="GPT238" s="21"/>
      <c r="GPU238" s="15"/>
      <c r="GPV238" s="15"/>
      <c r="GPW238" s="15"/>
      <c r="GPX238" s="15"/>
      <c r="GPY238" s="15"/>
      <c r="GPZ238" s="15"/>
      <c r="GQA238" s="15"/>
      <c r="GQB238" s="15"/>
      <c r="GQC238" s="15"/>
      <c r="GQD238" s="15"/>
      <c r="GQE238" s="10"/>
      <c r="GQF238" s="10"/>
      <c r="GQG238" s="21"/>
      <c r="GQH238" s="21"/>
      <c r="GQK238" s="21"/>
      <c r="GQL238" s="15"/>
      <c r="GQM238" s="15"/>
      <c r="GQN238" s="15"/>
      <c r="GQO238" s="15"/>
      <c r="GQP238" s="15"/>
      <c r="GQQ238" s="15"/>
      <c r="GQR238" s="15"/>
      <c r="GQS238" s="15"/>
      <c r="GQT238" s="15"/>
      <c r="GQU238" s="15"/>
      <c r="GQV238" s="10"/>
      <c r="GQW238" s="10"/>
      <c r="GQX238" s="21"/>
      <c r="GQY238" s="21"/>
      <c r="GRB238" s="21"/>
      <c r="GRC238" s="15"/>
      <c r="GRD238" s="15"/>
      <c r="GRE238" s="15"/>
      <c r="GRF238" s="15"/>
      <c r="GRG238" s="15"/>
      <c r="GRH238" s="15"/>
      <c r="GRI238" s="15"/>
      <c r="GRJ238" s="15"/>
      <c r="GRK238" s="15"/>
      <c r="GRL238" s="15"/>
      <c r="GRM238" s="10"/>
      <c r="GRN238" s="10"/>
      <c r="GRO238" s="21"/>
      <c r="GRP238" s="21"/>
      <c r="GRS238" s="21"/>
      <c r="GRT238" s="15"/>
      <c r="GRU238" s="15"/>
      <c r="GRV238" s="15"/>
      <c r="GRW238" s="15"/>
      <c r="GRX238" s="15"/>
      <c r="GRY238" s="15"/>
      <c r="GRZ238" s="15"/>
      <c r="GSA238" s="15"/>
      <c r="GSB238" s="15"/>
      <c r="GSC238" s="15"/>
      <c r="GSD238" s="10"/>
      <c r="GSE238" s="10"/>
      <c r="GSF238" s="21"/>
      <c r="GSG238" s="21"/>
      <c r="GSJ238" s="21"/>
      <c r="GSK238" s="15"/>
      <c r="GSL238" s="15"/>
      <c r="GSM238" s="15"/>
      <c r="GSN238" s="15"/>
      <c r="GSO238" s="15"/>
      <c r="GSP238" s="15"/>
      <c r="GSQ238" s="15"/>
      <c r="GSR238" s="15"/>
      <c r="GSS238" s="15"/>
      <c r="GST238" s="15"/>
      <c r="GSU238" s="10"/>
      <c r="GSV238" s="10"/>
      <c r="GSW238" s="21"/>
      <c r="GSX238" s="21"/>
      <c r="GTA238" s="21"/>
      <c r="GTB238" s="15"/>
      <c r="GTC238" s="15"/>
      <c r="GTD238" s="15"/>
      <c r="GTE238" s="15"/>
      <c r="GTF238" s="15"/>
      <c r="GTG238" s="15"/>
      <c r="GTH238" s="15"/>
      <c r="GTI238" s="15"/>
      <c r="GTJ238" s="15"/>
      <c r="GTK238" s="15"/>
      <c r="GTL238" s="10"/>
      <c r="GTM238" s="10"/>
      <c r="GTN238" s="21"/>
      <c r="GTO238" s="21"/>
      <c r="GTR238" s="21"/>
      <c r="GTS238" s="15"/>
      <c r="GTT238" s="15"/>
      <c r="GTU238" s="15"/>
      <c r="GTV238" s="15"/>
      <c r="GTW238" s="15"/>
      <c r="GTX238" s="15"/>
      <c r="GTY238" s="15"/>
      <c r="GTZ238" s="15"/>
      <c r="GUA238" s="15"/>
      <c r="GUB238" s="15"/>
      <c r="GUC238" s="10"/>
      <c r="GUD238" s="10"/>
      <c r="GUE238" s="21"/>
      <c r="GUF238" s="21"/>
      <c r="GUI238" s="21"/>
      <c r="GUJ238" s="15"/>
      <c r="GUK238" s="15"/>
      <c r="GUL238" s="15"/>
      <c r="GUM238" s="15"/>
      <c r="GUN238" s="15"/>
      <c r="GUO238" s="15"/>
      <c r="GUP238" s="15"/>
      <c r="GUQ238" s="15"/>
      <c r="GUR238" s="15"/>
      <c r="GUS238" s="15"/>
      <c r="GUT238" s="10"/>
      <c r="GUU238" s="10"/>
      <c r="GUV238" s="21"/>
      <c r="GUW238" s="21"/>
      <c r="GUZ238" s="21"/>
      <c r="GVA238" s="15"/>
      <c r="GVB238" s="15"/>
      <c r="GVC238" s="15"/>
      <c r="GVD238" s="15"/>
      <c r="GVE238" s="15"/>
      <c r="GVF238" s="15"/>
      <c r="GVG238" s="15"/>
      <c r="GVH238" s="15"/>
      <c r="GVI238" s="15"/>
      <c r="GVJ238" s="15"/>
      <c r="GVK238" s="10"/>
      <c r="GVL238" s="10"/>
      <c r="GVM238" s="21"/>
      <c r="GVN238" s="21"/>
      <c r="GVQ238" s="21"/>
      <c r="GVR238" s="15"/>
      <c r="GVS238" s="15"/>
      <c r="GVT238" s="15"/>
      <c r="GVU238" s="15"/>
      <c r="GVV238" s="15"/>
      <c r="GVW238" s="15"/>
      <c r="GVX238" s="15"/>
      <c r="GVY238" s="15"/>
      <c r="GVZ238" s="15"/>
      <c r="GWA238" s="15"/>
      <c r="GWB238" s="10"/>
      <c r="GWC238" s="10"/>
      <c r="GWD238" s="21"/>
      <c r="GWE238" s="21"/>
      <c r="GWH238" s="21"/>
      <c r="GWI238" s="15"/>
      <c r="GWJ238" s="15"/>
      <c r="GWK238" s="15"/>
      <c r="GWL238" s="15"/>
      <c r="GWM238" s="15"/>
      <c r="GWN238" s="15"/>
      <c r="GWO238" s="15"/>
      <c r="GWP238" s="15"/>
      <c r="GWQ238" s="15"/>
      <c r="GWR238" s="15"/>
      <c r="GWS238" s="10"/>
      <c r="GWT238" s="10"/>
      <c r="GWU238" s="21"/>
      <c r="GWV238" s="21"/>
      <c r="GWY238" s="21"/>
      <c r="GWZ238" s="15"/>
      <c r="GXA238" s="15"/>
      <c r="GXB238" s="15"/>
      <c r="GXC238" s="15"/>
      <c r="GXD238" s="15"/>
      <c r="GXE238" s="15"/>
      <c r="GXF238" s="15"/>
      <c r="GXG238" s="15"/>
      <c r="GXH238" s="15"/>
      <c r="GXI238" s="15"/>
      <c r="GXJ238" s="10"/>
      <c r="GXK238" s="10"/>
      <c r="GXL238" s="21"/>
      <c r="GXM238" s="21"/>
      <c r="GXP238" s="21"/>
      <c r="GXQ238" s="15"/>
      <c r="GXR238" s="15"/>
      <c r="GXS238" s="15"/>
      <c r="GXT238" s="15"/>
      <c r="GXU238" s="15"/>
      <c r="GXV238" s="15"/>
      <c r="GXW238" s="15"/>
      <c r="GXX238" s="15"/>
      <c r="GXY238" s="15"/>
      <c r="GXZ238" s="15"/>
      <c r="GYA238" s="10"/>
      <c r="GYB238" s="10"/>
      <c r="GYC238" s="21"/>
      <c r="GYD238" s="21"/>
      <c r="GYG238" s="21"/>
      <c r="GYH238" s="15"/>
      <c r="GYI238" s="15"/>
      <c r="GYJ238" s="15"/>
      <c r="GYK238" s="15"/>
      <c r="GYL238" s="15"/>
      <c r="GYM238" s="15"/>
      <c r="GYN238" s="15"/>
      <c r="GYO238" s="15"/>
      <c r="GYP238" s="15"/>
      <c r="GYQ238" s="15"/>
      <c r="GYR238" s="10"/>
      <c r="GYS238" s="10"/>
      <c r="GYT238" s="21"/>
      <c r="GYU238" s="21"/>
      <c r="GYX238" s="21"/>
      <c r="GYY238" s="15"/>
      <c r="GYZ238" s="15"/>
      <c r="GZA238" s="15"/>
      <c r="GZB238" s="15"/>
      <c r="GZC238" s="15"/>
      <c r="GZD238" s="15"/>
      <c r="GZE238" s="15"/>
      <c r="GZF238" s="15"/>
      <c r="GZG238" s="15"/>
      <c r="GZH238" s="15"/>
      <c r="GZI238" s="10"/>
      <c r="GZJ238" s="10"/>
      <c r="GZK238" s="21"/>
      <c r="GZL238" s="21"/>
      <c r="GZO238" s="21"/>
      <c r="GZP238" s="15"/>
      <c r="GZQ238" s="15"/>
      <c r="GZR238" s="15"/>
      <c r="GZS238" s="15"/>
      <c r="GZT238" s="15"/>
      <c r="GZU238" s="15"/>
      <c r="GZV238" s="15"/>
      <c r="GZW238" s="15"/>
      <c r="GZX238" s="15"/>
      <c r="GZY238" s="15"/>
      <c r="GZZ238" s="10"/>
      <c r="HAA238" s="10"/>
      <c r="HAB238" s="21"/>
      <c r="HAC238" s="21"/>
      <c r="HAF238" s="21"/>
      <c r="HAG238" s="15"/>
      <c r="HAH238" s="15"/>
      <c r="HAI238" s="15"/>
      <c r="HAJ238" s="15"/>
      <c r="HAK238" s="15"/>
      <c r="HAL238" s="15"/>
      <c r="HAM238" s="15"/>
      <c r="HAN238" s="15"/>
      <c r="HAO238" s="15"/>
      <c r="HAP238" s="15"/>
      <c r="HAQ238" s="10"/>
      <c r="HAR238" s="10"/>
      <c r="HAS238" s="21"/>
      <c r="HAT238" s="21"/>
      <c r="HAW238" s="21"/>
      <c r="HAX238" s="15"/>
      <c r="HAY238" s="15"/>
      <c r="HAZ238" s="15"/>
      <c r="HBA238" s="15"/>
      <c r="HBB238" s="15"/>
      <c r="HBC238" s="15"/>
      <c r="HBD238" s="15"/>
      <c r="HBE238" s="15"/>
      <c r="HBF238" s="15"/>
      <c r="HBG238" s="15"/>
      <c r="HBH238" s="10"/>
      <c r="HBI238" s="10"/>
      <c r="HBJ238" s="21"/>
      <c r="HBK238" s="21"/>
      <c r="HBN238" s="21"/>
      <c r="HBO238" s="15"/>
      <c r="HBP238" s="15"/>
      <c r="HBQ238" s="15"/>
      <c r="HBR238" s="15"/>
      <c r="HBS238" s="15"/>
      <c r="HBT238" s="15"/>
      <c r="HBU238" s="15"/>
      <c r="HBV238" s="15"/>
      <c r="HBW238" s="15"/>
      <c r="HBX238" s="15"/>
      <c r="HBY238" s="10"/>
      <c r="HBZ238" s="10"/>
      <c r="HCA238" s="21"/>
      <c r="HCB238" s="21"/>
      <c r="HCE238" s="21"/>
      <c r="HCF238" s="15"/>
      <c r="HCG238" s="15"/>
      <c r="HCH238" s="15"/>
      <c r="HCI238" s="15"/>
      <c r="HCJ238" s="15"/>
      <c r="HCK238" s="15"/>
      <c r="HCL238" s="15"/>
      <c r="HCM238" s="15"/>
      <c r="HCN238" s="15"/>
      <c r="HCO238" s="15"/>
      <c r="HCP238" s="10"/>
      <c r="HCQ238" s="10"/>
      <c r="HCR238" s="21"/>
      <c r="HCS238" s="21"/>
      <c r="HCV238" s="21"/>
      <c r="HCW238" s="15"/>
      <c r="HCX238" s="15"/>
      <c r="HCY238" s="15"/>
      <c r="HCZ238" s="15"/>
      <c r="HDA238" s="15"/>
      <c r="HDB238" s="15"/>
      <c r="HDC238" s="15"/>
      <c r="HDD238" s="15"/>
      <c r="HDE238" s="15"/>
      <c r="HDF238" s="15"/>
      <c r="HDG238" s="10"/>
      <c r="HDH238" s="10"/>
      <c r="HDI238" s="21"/>
      <c r="HDJ238" s="21"/>
      <c r="HDM238" s="21"/>
      <c r="HDN238" s="15"/>
      <c r="HDO238" s="15"/>
      <c r="HDP238" s="15"/>
      <c r="HDQ238" s="15"/>
      <c r="HDR238" s="15"/>
      <c r="HDS238" s="15"/>
      <c r="HDT238" s="15"/>
      <c r="HDU238" s="15"/>
      <c r="HDV238" s="15"/>
      <c r="HDW238" s="15"/>
      <c r="HDX238" s="10"/>
      <c r="HDY238" s="10"/>
      <c r="HDZ238" s="21"/>
      <c r="HEA238" s="21"/>
      <c r="HED238" s="21"/>
      <c r="HEE238" s="15"/>
      <c r="HEF238" s="15"/>
      <c r="HEG238" s="15"/>
      <c r="HEH238" s="15"/>
      <c r="HEI238" s="15"/>
      <c r="HEJ238" s="15"/>
      <c r="HEK238" s="15"/>
      <c r="HEL238" s="15"/>
      <c r="HEM238" s="15"/>
      <c r="HEN238" s="15"/>
      <c r="HEO238" s="10"/>
      <c r="HEP238" s="10"/>
      <c r="HEQ238" s="21"/>
      <c r="HER238" s="21"/>
      <c r="HEU238" s="21"/>
      <c r="HEV238" s="15"/>
      <c r="HEW238" s="15"/>
      <c r="HEX238" s="15"/>
      <c r="HEY238" s="15"/>
      <c r="HEZ238" s="15"/>
      <c r="HFA238" s="15"/>
      <c r="HFB238" s="15"/>
      <c r="HFC238" s="15"/>
      <c r="HFD238" s="15"/>
      <c r="HFE238" s="15"/>
      <c r="HFF238" s="10"/>
      <c r="HFG238" s="10"/>
      <c r="HFH238" s="21"/>
      <c r="HFI238" s="21"/>
      <c r="HFL238" s="21"/>
      <c r="HFM238" s="15"/>
      <c r="HFN238" s="15"/>
      <c r="HFO238" s="15"/>
      <c r="HFP238" s="15"/>
      <c r="HFQ238" s="15"/>
      <c r="HFR238" s="15"/>
      <c r="HFS238" s="15"/>
      <c r="HFT238" s="15"/>
      <c r="HFU238" s="15"/>
      <c r="HFV238" s="15"/>
      <c r="HFW238" s="10"/>
      <c r="HFX238" s="10"/>
      <c r="HFY238" s="21"/>
      <c r="HFZ238" s="21"/>
      <c r="HGC238" s="21"/>
      <c r="HGD238" s="15"/>
      <c r="HGE238" s="15"/>
      <c r="HGF238" s="15"/>
      <c r="HGG238" s="15"/>
      <c r="HGH238" s="15"/>
      <c r="HGI238" s="15"/>
      <c r="HGJ238" s="15"/>
      <c r="HGK238" s="15"/>
      <c r="HGL238" s="15"/>
      <c r="HGM238" s="15"/>
      <c r="HGN238" s="10"/>
      <c r="HGO238" s="10"/>
      <c r="HGP238" s="21"/>
      <c r="HGQ238" s="21"/>
      <c r="HGT238" s="21"/>
      <c r="HGU238" s="15"/>
      <c r="HGV238" s="15"/>
      <c r="HGW238" s="15"/>
      <c r="HGX238" s="15"/>
      <c r="HGY238" s="15"/>
      <c r="HGZ238" s="15"/>
      <c r="HHA238" s="15"/>
      <c r="HHB238" s="15"/>
      <c r="HHC238" s="15"/>
      <c r="HHD238" s="15"/>
      <c r="HHE238" s="10"/>
      <c r="HHF238" s="10"/>
      <c r="HHG238" s="21"/>
      <c r="HHH238" s="21"/>
      <c r="HHK238" s="21"/>
      <c r="HHL238" s="15"/>
      <c r="HHM238" s="15"/>
      <c r="HHN238" s="15"/>
      <c r="HHO238" s="15"/>
      <c r="HHP238" s="15"/>
      <c r="HHQ238" s="15"/>
      <c r="HHR238" s="15"/>
      <c r="HHS238" s="15"/>
      <c r="HHT238" s="15"/>
      <c r="HHU238" s="15"/>
      <c r="HHV238" s="10"/>
      <c r="HHW238" s="10"/>
      <c r="HHX238" s="21"/>
      <c r="HHY238" s="21"/>
      <c r="HIB238" s="21"/>
      <c r="HIC238" s="15"/>
      <c r="HID238" s="15"/>
      <c r="HIE238" s="15"/>
      <c r="HIF238" s="15"/>
      <c r="HIG238" s="15"/>
      <c r="HIH238" s="15"/>
      <c r="HII238" s="15"/>
      <c r="HIJ238" s="15"/>
      <c r="HIK238" s="15"/>
      <c r="HIL238" s="15"/>
      <c r="HIM238" s="10"/>
      <c r="HIN238" s="10"/>
      <c r="HIO238" s="21"/>
      <c r="HIP238" s="21"/>
      <c r="HIS238" s="21"/>
      <c r="HIT238" s="15"/>
      <c r="HIU238" s="15"/>
      <c r="HIV238" s="15"/>
      <c r="HIW238" s="15"/>
      <c r="HIX238" s="15"/>
      <c r="HIY238" s="15"/>
      <c r="HIZ238" s="15"/>
      <c r="HJA238" s="15"/>
      <c r="HJB238" s="15"/>
      <c r="HJC238" s="15"/>
      <c r="HJD238" s="10"/>
      <c r="HJE238" s="10"/>
      <c r="HJF238" s="21"/>
      <c r="HJG238" s="21"/>
      <c r="HJJ238" s="21"/>
      <c r="HJK238" s="15"/>
      <c r="HJL238" s="15"/>
      <c r="HJM238" s="15"/>
      <c r="HJN238" s="15"/>
      <c r="HJO238" s="15"/>
      <c r="HJP238" s="15"/>
      <c r="HJQ238" s="15"/>
      <c r="HJR238" s="15"/>
      <c r="HJS238" s="15"/>
      <c r="HJT238" s="15"/>
      <c r="HJU238" s="10"/>
      <c r="HJV238" s="10"/>
      <c r="HJW238" s="21"/>
      <c r="HJX238" s="21"/>
      <c r="HKA238" s="21"/>
      <c r="HKB238" s="15"/>
      <c r="HKC238" s="15"/>
      <c r="HKD238" s="15"/>
      <c r="HKE238" s="15"/>
      <c r="HKF238" s="15"/>
      <c r="HKG238" s="15"/>
      <c r="HKH238" s="15"/>
      <c r="HKI238" s="15"/>
      <c r="HKJ238" s="15"/>
      <c r="HKK238" s="15"/>
      <c r="HKL238" s="10"/>
      <c r="HKM238" s="10"/>
      <c r="HKN238" s="21"/>
      <c r="HKO238" s="21"/>
      <c r="HKR238" s="21"/>
      <c r="HKS238" s="15"/>
      <c r="HKT238" s="15"/>
      <c r="HKU238" s="15"/>
      <c r="HKV238" s="15"/>
      <c r="HKW238" s="15"/>
      <c r="HKX238" s="15"/>
      <c r="HKY238" s="15"/>
      <c r="HKZ238" s="15"/>
      <c r="HLA238" s="15"/>
      <c r="HLB238" s="15"/>
      <c r="HLC238" s="10"/>
      <c r="HLD238" s="10"/>
      <c r="HLE238" s="21"/>
      <c r="HLF238" s="21"/>
      <c r="HLI238" s="21"/>
      <c r="HLJ238" s="15"/>
      <c r="HLK238" s="15"/>
      <c r="HLL238" s="15"/>
      <c r="HLM238" s="15"/>
      <c r="HLN238" s="15"/>
      <c r="HLO238" s="15"/>
      <c r="HLP238" s="15"/>
      <c r="HLQ238" s="15"/>
      <c r="HLR238" s="15"/>
      <c r="HLS238" s="15"/>
      <c r="HLT238" s="10"/>
      <c r="HLU238" s="10"/>
      <c r="HLV238" s="21"/>
      <c r="HLW238" s="21"/>
      <c r="HLZ238" s="21"/>
      <c r="HMA238" s="15"/>
      <c r="HMB238" s="15"/>
      <c r="HMC238" s="15"/>
      <c r="HMD238" s="15"/>
      <c r="HME238" s="15"/>
      <c r="HMF238" s="15"/>
      <c r="HMG238" s="15"/>
      <c r="HMH238" s="15"/>
      <c r="HMI238" s="15"/>
      <c r="HMJ238" s="15"/>
      <c r="HMK238" s="10"/>
      <c r="HML238" s="10"/>
      <c r="HMM238" s="21"/>
      <c r="HMN238" s="21"/>
      <c r="HMQ238" s="21"/>
      <c r="HMR238" s="15"/>
      <c r="HMS238" s="15"/>
      <c r="HMT238" s="15"/>
      <c r="HMU238" s="15"/>
      <c r="HMV238" s="15"/>
      <c r="HMW238" s="15"/>
      <c r="HMX238" s="15"/>
      <c r="HMY238" s="15"/>
      <c r="HMZ238" s="15"/>
      <c r="HNA238" s="15"/>
      <c r="HNB238" s="10"/>
      <c r="HNC238" s="10"/>
      <c r="HND238" s="21"/>
      <c r="HNE238" s="21"/>
      <c r="HNH238" s="21"/>
      <c r="HNI238" s="15"/>
      <c r="HNJ238" s="15"/>
      <c r="HNK238" s="15"/>
      <c r="HNL238" s="15"/>
      <c r="HNM238" s="15"/>
      <c r="HNN238" s="15"/>
      <c r="HNO238" s="15"/>
      <c r="HNP238" s="15"/>
      <c r="HNQ238" s="15"/>
      <c r="HNR238" s="15"/>
      <c r="HNS238" s="10"/>
      <c r="HNT238" s="10"/>
      <c r="HNU238" s="21"/>
      <c r="HNV238" s="21"/>
      <c r="HNY238" s="21"/>
      <c r="HNZ238" s="15"/>
      <c r="HOA238" s="15"/>
      <c r="HOB238" s="15"/>
      <c r="HOC238" s="15"/>
      <c r="HOD238" s="15"/>
      <c r="HOE238" s="15"/>
      <c r="HOF238" s="15"/>
      <c r="HOG238" s="15"/>
      <c r="HOH238" s="15"/>
      <c r="HOI238" s="15"/>
      <c r="HOJ238" s="10"/>
      <c r="HOK238" s="10"/>
      <c r="HOL238" s="21"/>
      <c r="HOM238" s="21"/>
      <c r="HOP238" s="21"/>
      <c r="HOQ238" s="15"/>
      <c r="HOR238" s="15"/>
      <c r="HOS238" s="15"/>
      <c r="HOT238" s="15"/>
      <c r="HOU238" s="15"/>
      <c r="HOV238" s="15"/>
      <c r="HOW238" s="15"/>
      <c r="HOX238" s="15"/>
      <c r="HOY238" s="15"/>
      <c r="HOZ238" s="15"/>
      <c r="HPA238" s="10"/>
      <c r="HPB238" s="10"/>
      <c r="HPC238" s="21"/>
      <c r="HPD238" s="21"/>
      <c r="HPG238" s="21"/>
      <c r="HPH238" s="15"/>
      <c r="HPI238" s="15"/>
      <c r="HPJ238" s="15"/>
      <c r="HPK238" s="15"/>
      <c r="HPL238" s="15"/>
      <c r="HPM238" s="15"/>
      <c r="HPN238" s="15"/>
      <c r="HPO238" s="15"/>
      <c r="HPP238" s="15"/>
      <c r="HPQ238" s="15"/>
      <c r="HPR238" s="10"/>
      <c r="HPS238" s="10"/>
      <c r="HPT238" s="21"/>
      <c r="HPU238" s="21"/>
      <c r="HPX238" s="21"/>
      <c r="HPY238" s="15"/>
      <c r="HPZ238" s="15"/>
      <c r="HQA238" s="15"/>
      <c r="HQB238" s="15"/>
      <c r="HQC238" s="15"/>
      <c r="HQD238" s="15"/>
      <c r="HQE238" s="15"/>
      <c r="HQF238" s="15"/>
      <c r="HQG238" s="15"/>
      <c r="HQH238" s="15"/>
      <c r="HQI238" s="10"/>
      <c r="HQJ238" s="10"/>
      <c r="HQK238" s="21"/>
      <c r="HQL238" s="21"/>
      <c r="HQO238" s="21"/>
      <c r="HQP238" s="15"/>
      <c r="HQQ238" s="15"/>
      <c r="HQR238" s="15"/>
      <c r="HQS238" s="15"/>
      <c r="HQT238" s="15"/>
      <c r="HQU238" s="15"/>
      <c r="HQV238" s="15"/>
      <c r="HQW238" s="15"/>
      <c r="HQX238" s="15"/>
      <c r="HQY238" s="15"/>
      <c r="HQZ238" s="10"/>
      <c r="HRA238" s="10"/>
      <c r="HRB238" s="21"/>
      <c r="HRC238" s="21"/>
      <c r="HRF238" s="21"/>
      <c r="HRG238" s="15"/>
      <c r="HRH238" s="15"/>
      <c r="HRI238" s="15"/>
      <c r="HRJ238" s="15"/>
      <c r="HRK238" s="15"/>
      <c r="HRL238" s="15"/>
      <c r="HRM238" s="15"/>
      <c r="HRN238" s="15"/>
      <c r="HRO238" s="15"/>
      <c r="HRP238" s="15"/>
      <c r="HRQ238" s="10"/>
      <c r="HRR238" s="10"/>
      <c r="HRS238" s="21"/>
      <c r="HRT238" s="21"/>
      <c r="HRW238" s="21"/>
      <c r="HRX238" s="15"/>
      <c r="HRY238" s="15"/>
      <c r="HRZ238" s="15"/>
      <c r="HSA238" s="15"/>
      <c r="HSB238" s="15"/>
      <c r="HSC238" s="15"/>
      <c r="HSD238" s="15"/>
      <c r="HSE238" s="15"/>
      <c r="HSF238" s="15"/>
      <c r="HSG238" s="15"/>
      <c r="HSH238" s="10"/>
      <c r="HSI238" s="10"/>
      <c r="HSJ238" s="21"/>
      <c r="HSK238" s="21"/>
      <c r="HSN238" s="21"/>
      <c r="HSO238" s="15"/>
      <c r="HSP238" s="15"/>
      <c r="HSQ238" s="15"/>
      <c r="HSR238" s="15"/>
      <c r="HSS238" s="15"/>
      <c r="HST238" s="15"/>
      <c r="HSU238" s="15"/>
      <c r="HSV238" s="15"/>
      <c r="HSW238" s="15"/>
      <c r="HSX238" s="15"/>
      <c r="HSY238" s="10"/>
      <c r="HSZ238" s="10"/>
      <c r="HTA238" s="21"/>
      <c r="HTB238" s="21"/>
      <c r="HTE238" s="21"/>
      <c r="HTF238" s="15"/>
      <c r="HTG238" s="15"/>
      <c r="HTH238" s="15"/>
      <c r="HTI238" s="15"/>
      <c r="HTJ238" s="15"/>
      <c r="HTK238" s="15"/>
      <c r="HTL238" s="15"/>
      <c r="HTM238" s="15"/>
      <c r="HTN238" s="15"/>
      <c r="HTO238" s="15"/>
      <c r="HTP238" s="10"/>
      <c r="HTQ238" s="10"/>
      <c r="HTR238" s="21"/>
      <c r="HTS238" s="21"/>
      <c r="HTV238" s="21"/>
      <c r="HTW238" s="15"/>
      <c r="HTX238" s="15"/>
      <c r="HTY238" s="15"/>
      <c r="HTZ238" s="15"/>
      <c r="HUA238" s="15"/>
      <c r="HUB238" s="15"/>
      <c r="HUC238" s="15"/>
      <c r="HUD238" s="15"/>
      <c r="HUE238" s="15"/>
      <c r="HUF238" s="15"/>
      <c r="HUG238" s="10"/>
      <c r="HUH238" s="10"/>
      <c r="HUI238" s="21"/>
      <c r="HUJ238" s="21"/>
      <c r="HUM238" s="21"/>
      <c r="HUN238" s="15"/>
      <c r="HUO238" s="15"/>
      <c r="HUP238" s="15"/>
      <c r="HUQ238" s="15"/>
      <c r="HUR238" s="15"/>
      <c r="HUS238" s="15"/>
      <c r="HUT238" s="15"/>
      <c r="HUU238" s="15"/>
      <c r="HUV238" s="15"/>
      <c r="HUW238" s="15"/>
      <c r="HUX238" s="10"/>
      <c r="HUY238" s="10"/>
      <c r="HUZ238" s="21"/>
      <c r="HVA238" s="21"/>
      <c r="HVD238" s="21"/>
      <c r="HVE238" s="15"/>
      <c r="HVF238" s="15"/>
      <c r="HVG238" s="15"/>
      <c r="HVH238" s="15"/>
      <c r="HVI238" s="15"/>
      <c r="HVJ238" s="15"/>
      <c r="HVK238" s="15"/>
      <c r="HVL238" s="15"/>
      <c r="HVM238" s="15"/>
      <c r="HVN238" s="15"/>
      <c r="HVO238" s="10"/>
      <c r="HVP238" s="10"/>
      <c r="HVQ238" s="21"/>
      <c r="HVR238" s="21"/>
      <c r="HVU238" s="21"/>
      <c r="HVV238" s="15"/>
      <c r="HVW238" s="15"/>
      <c r="HVX238" s="15"/>
      <c r="HVY238" s="15"/>
      <c r="HVZ238" s="15"/>
      <c r="HWA238" s="15"/>
      <c r="HWB238" s="15"/>
      <c r="HWC238" s="15"/>
      <c r="HWD238" s="15"/>
      <c r="HWE238" s="15"/>
      <c r="HWF238" s="10"/>
      <c r="HWG238" s="10"/>
      <c r="HWH238" s="21"/>
      <c r="HWI238" s="21"/>
      <c r="HWL238" s="21"/>
      <c r="HWM238" s="15"/>
      <c r="HWN238" s="15"/>
      <c r="HWO238" s="15"/>
      <c r="HWP238" s="15"/>
      <c r="HWQ238" s="15"/>
      <c r="HWR238" s="15"/>
      <c r="HWS238" s="15"/>
      <c r="HWT238" s="15"/>
      <c r="HWU238" s="15"/>
      <c r="HWV238" s="15"/>
      <c r="HWW238" s="10"/>
      <c r="HWX238" s="10"/>
      <c r="HWY238" s="21"/>
      <c r="HWZ238" s="21"/>
      <c r="HXC238" s="21"/>
      <c r="HXD238" s="15"/>
      <c r="HXE238" s="15"/>
      <c r="HXF238" s="15"/>
      <c r="HXG238" s="15"/>
      <c r="HXH238" s="15"/>
      <c r="HXI238" s="15"/>
      <c r="HXJ238" s="15"/>
      <c r="HXK238" s="15"/>
      <c r="HXL238" s="15"/>
      <c r="HXM238" s="15"/>
      <c r="HXN238" s="10"/>
      <c r="HXO238" s="10"/>
      <c r="HXP238" s="21"/>
      <c r="HXQ238" s="21"/>
      <c r="HXT238" s="21"/>
      <c r="HXU238" s="15"/>
      <c r="HXV238" s="15"/>
      <c r="HXW238" s="15"/>
      <c r="HXX238" s="15"/>
      <c r="HXY238" s="15"/>
      <c r="HXZ238" s="15"/>
      <c r="HYA238" s="15"/>
      <c r="HYB238" s="15"/>
      <c r="HYC238" s="15"/>
      <c r="HYD238" s="15"/>
      <c r="HYE238" s="10"/>
      <c r="HYF238" s="10"/>
      <c r="HYG238" s="21"/>
      <c r="HYH238" s="21"/>
      <c r="HYK238" s="21"/>
      <c r="HYL238" s="15"/>
      <c r="HYM238" s="15"/>
      <c r="HYN238" s="15"/>
      <c r="HYO238" s="15"/>
      <c r="HYP238" s="15"/>
      <c r="HYQ238" s="15"/>
      <c r="HYR238" s="15"/>
      <c r="HYS238" s="15"/>
      <c r="HYT238" s="15"/>
      <c r="HYU238" s="15"/>
      <c r="HYV238" s="10"/>
      <c r="HYW238" s="10"/>
      <c r="HYX238" s="21"/>
      <c r="HYY238" s="21"/>
      <c r="HZB238" s="21"/>
      <c r="HZC238" s="15"/>
      <c r="HZD238" s="15"/>
      <c r="HZE238" s="15"/>
      <c r="HZF238" s="15"/>
      <c r="HZG238" s="15"/>
      <c r="HZH238" s="15"/>
      <c r="HZI238" s="15"/>
      <c r="HZJ238" s="15"/>
      <c r="HZK238" s="15"/>
      <c r="HZL238" s="15"/>
      <c r="HZM238" s="10"/>
      <c r="HZN238" s="10"/>
      <c r="HZO238" s="21"/>
      <c r="HZP238" s="21"/>
      <c r="HZS238" s="21"/>
      <c r="HZT238" s="15"/>
      <c r="HZU238" s="15"/>
      <c r="HZV238" s="15"/>
      <c r="HZW238" s="15"/>
      <c r="HZX238" s="15"/>
      <c r="HZY238" s="15"/>
      <c r="HZZ238" s="15"/>
      <c r="IAA238" s="15"/>
      <c r="IAB238" s="15"/>
      <c r="IAC238" s="15"/>
      <c r="IAD238" s="10"/>
      <c r="IAE238" s="10"/>
      <c r="IAF238" s="21"/>
      <c r="IAG238" s="21"/>
      <c r="IAJ238" s="21"/>
      <c r="IAK238" s="15"/>
      <c r="IAL238" s="15"/>
      <c r="IAM238" s="15"/>
      <c r="IAN238" s="15"/>
      <c r="IAO238" s="15"/>
      <c r="IAP238" s="15"/>
      <c r="IAQ238" s="15"/>
      <c r="IAR238" s="15"/>
      <c r="IAS238" s="15"/>
      <c r="IAT238" s="15"/>
      <c r="IAU238" s="10"/>
      <c r="IAV238" s="10"/>
      <c r="IAW238" s="21"/>
      <c r="IAX238" s="21"/>
      <c r="IBA238" s="21"/>
      <c r="IBB238" s="15"/>
      <c r="IBC238" s="15"/>
      <c r="IBD238" s="15"/>
      <c r="IBE238" s="15"/>
      <c r="IBF238" s="15"/>
      <c r="IBG238" s="15"/>
      <c r="IBH238" s="15"/>
      <c r="IBI238" s="15"/>
      <c r="IBJ238" s="15"/>
      <c r="IBK238" s="15"/>
      <c r="IBL238" s="10"/>
      <c r="IBM238" s="10"/>
      <c r="IBN238" s="21"/>
      <c r="IBO238" s="21"/>
      <c r="IBR238" s="21"/>
      <c r="IBS238" s="15"/>
      <c r="IBT238" s="15"/>
      <c r="IBU238" s="15"/>
      <c r="IBV238" s="15"/>
      <c r="IBW238" s="15"/>
      <c r="IBX238" s="15"/>
      <c r="IBY238" s="15"/>
      <c r="IBZ238" s="15"/>
      <c r="ICA238" s="15"/>
      <c r="ICB238" s="15"/>
      <c r="ICC238" s="10"/>
      <c r="ICD238" s="10"/>
      <c r="ICE238" s="21"/>
      <c r="ICF238" s="21"/>
      <c r="ICI238" s="21"/>
      <c r="ICJ238" s="15"/>
      <c r="ICK238" s="15"/>
      <c r="ICL238" s="15"/>
      <c r="ICM238" s="15"/>
      <c r="ICN238" s="15"/>
      <c r="ICO238" s="15"/>
      <c r="ICP238" s="15"/>
      <c r="ICQ238" s="15"/>
      <c r="ICR238" s="15"/>
      <c r="ICS238" s="15"/>
      <c r="ICT238" s="10"/>
      <c r="ICU238" s="10"/>
      <c r="ICV238" s="21"/>
      <c r="ICW238" s="21"/>
      <c r="ICZ238" s="21"/>
      <c r="IDA238" s="15"/>
      <c r="IDB238" s="15"/>
      <c r="IDC238" s="15"/>
      <c r="IDD238" s="15"/>
      <c r="IDE238" s="15"/>
      <c r="IDF238" s="15"/>
      <c r="IDG238" s="15"/>
      <c r="IDH238" s="15"/>
      <c r="IDI238" s="15"/>
      <c r="IDJ238" s="15"/>
      <c r="IDK238" s="10"/>
      <c r="IDL238" s="10"/>
      <c r="IDM238" s="21"/>
      <c r="IDN238" s="21"/>
      <c r="IDQ238" s="21"/>
      <c r="IDR238" s="15"/>
      <c r="IDS238" s="15"/>
      <c r="IDT238" s="15"/>
      <c r="IDU238" s="15"/>
      <c r="IDV238" s="15"/>
      <c r="IDW238" s="15"/>
      <c r="IDX238" s="15"/>
      <c r="IDY238" s="15"/>
      <c r="IDZ238" s="15"/>
      <c r="IEA238" s="15"/>
      <c r="IEB238" s="10"/>
      <c r="IEC238" s="10"/>
      <c r="IED238" s="21"/>
      <c r="IEE238" s="21"/>
      <c r="IEH238" s="21"/>
      <c r="IEI238" s="15"/>
      <c r="IEJ238" s="15"/>
      <c r="IEK238" s="15"/>
      <c r="IEL238" s="15"/>
      <c r="IEM238" s="15"/>
      <c r="IEN238" s="15"/>
      <c r="IEO238" s="15"/>
      <c r="IEP238" s="15"/>
      <c r="IEQ238" s="15"/>
      <c r="IER238" s="15"/>
      <c r="IES238" s="10"/>
      <c r="IET238" s="10"/>
      <c r="IEU238" s="21"/>
      <c r="IEV238" s="21"/>
      <c r="IEY238" s="21"/>
      <c r="IEZ238" s="15"/>
      <c r="IFA238" s="15"/>
      <c r="IFB238" s="15"/>
      <c r="IFC238" s="15"/>
      <c r="IFD238" s="15"/>
      <c r="IFE238" s="15"/>
      <c r="IFF238" s="15"/>
      <c r="IFG238" s="15"/>
      <c r="IFH238" s="15"/>
      <c r="IFI238" s="15"/>
      <c r="IFJ238" s="10"/>
      <c r="IFK238" s="10"/>
      <c r="IFL238" s="21"/>
      <c r="IFM238" s="21"/>
      <c r="IFP238" s="21"/>
      <c r="IFQ238" s="15"/>
      <c r="IFR238" s="15"/>
      <c r="IFS238" s="15"/>
      <c r="IFT238" s="15"/>
      <c r="IFU238" s="15"/>
      <c r="IFV238" s="15"/>
      <c r="IFW238" s="15"/>
      <c r="IFX238" s="15"/>
      <c r="IFY238" s="15"/>
      <c r="IFZ238" s="15"/>
      <c r="IGA238" s="10"/>
      <c r="IGB238" s="10"/>
      <c r="IGC238" s="21"/>
      <c r="IGD238" s="21"/>
      <c r="IGG238" s="21"/>
      <c r="IGH238" s="15"/>
      <c r="IGI238" s="15"/>
      <c r="IGJ238" s="15"/>
      <c r="IGK238" s="15"/>
      <c r="IGL238" s="15"/>
      <c r="IGM238" s="15"/>
      <c r="IGN238" s="15"/>
      <c r="IGO238" s="15"/>
      <c r="IGP238" s="15"/>
      <c r="IGQ238" s="15"/>
      <c r="IGR238" s="10"/>
      <c r="IGS238" s="10"/>
      <c r="IGT238" s="21"/>
      <c r="IGU238" s="21"/>
      <c r="IGX238" s="21"/>
      <c r="IGY238" s="15"/>
      <c r="IGZ238" s="15"/>
      <c r="IHA238" s="15"/>
      <c r="IHB238" s="15"/>
      <c r="IHC238" s="15"/>
      <c r="IHD238" s="15"/>
      <c r="IHE238" s="15"/>
      <c r="IHF238" s="15"/>
      <c r="IHG238" s="15"/>
      <c r="IHH238" s="15"/>
      <c r="IHI238" s="10"/>
      <c r="IHJ238" s="10"/>
      <c r="IHK238" s="21"/>
      <c r="IHL238" s="21"/>
      <c r="IHO238" s="21"/>
      <c r="IHP238" s="15"/>
      <c r="IHQ238" s="15"/>
      <c r="IHR238" s="15"/>
      <c r="IHS238" s="15"/>
      <c r="IHT238" s="15"/>
      <c r="IHU238" s="15"/>
      <c r="IHV238" s="15"/>
      <c r="IHW238" s="15"/>
      <c r="IHX238" s="15"/>
      <c r="IHY238" s="15"/>
      <c r="IHZ238" s="10"/>
      <c r="IIA238" s="10"/>
      <c r="IIB238" s="21"/>
      <c r="IIC238" s="21"/>
      <c r="IIF238" s="21"/>
      <c r="IIG238" s="15"/>
      <c r="IIH238" s="15"/>
      <c r="III238" s="15"/>
      <c r="IIJ238" s="15"/>
      <c r="IIK238" s="15"/>
      <c r="IIL238" s="15"/>
      <c r="IIM238" s="15"/>
      <c r="IIN238" s="15"/>
      <c r="IIO238" s="15"/>
      <c r="IIP238" s="15"/>
      <c r="IIQ238" s="10"/>
      <c r="IIR238" s="10"/>
      <c r="IIS238" s="21"/>
      <c r="IIT238" s="21"/>
      <c r="IIW238" s="21"/>
      <c r="IIX238" s="15"/>
      <c r="IIY238" s="15"/>
      <c r="IIZ238" s="15"/>
      <c r="IJA238" s="15"/>
      <c r="IJB238" s="15"/>
      <c r="IJC238" s="15"/>
      <c r="IJD238" s="15"/>
      <c r="IJE238" s="15"/>
      <c r="IJF238" s="15"/>
      <c r="IJG238" s="15"/>
      <c r="IJH238" s="10"/>
      <c r="IJI238" s="10"/>
      <c r="IJJ238" s="21"/>
      <c r="IJK238" s="21"/>
      <c r="IJN238" s="21"/>
      <c r="IJO238" s="15"/>
      <c r="IJP238" s="15"/>
      <c r="IJQ238" s="15"/>
      <c r="IJR238" s="15"/>
      <c r="IJS238" s="15"/>
      <c r="IJT238" s="15"/>
      <c r="IJU238" s="15"/>
      <c r="IJV238" s="15"/>
      <c r="IJW238" s="15"/>
      <c r="IJX238" s="15"/>
      <c r="IJY238" s="10"/>
      <c r="IJZ238" s="10"/>
      <c r="IKA238" s="21"/>
      <c r="IKB238" s="21"/>
      <c r="IKE238" s="21"/>
      <c r="IKF238" s="15"/>
      <c r="IKG238" s="15"/>
      <c r="IKH238" s="15"/>
      <c r="IKI238" s="15"/>
      <c r="IKJ238" s="15"/>
      <c r="IKK238" s="15"/>
      <c r="IKL238" s="15"/>
      <c r="IKM238" s="15"/>
      <c r="IKN238" s="15"/>
      <c r="IKO238" s="15"/>
      <c r="IKP238" s="10"/>
      <c r="IKQ238" s="10"/>
      <c r="IKR238" s="21"/>
      <c r="IKS238" s="21"/>
      <c r="IKV238" s="21"/>
      <c r="IKW238" s="15"/>
      <c r="IKX238" s="15"/>
      <c r="IKY238" s="15"/>
      <c r="IKZ238" s="15"/>
      <c r="ILA238" s="15"/>
      <c r="ILB238" s="15"/>
      <c r="ILC238" s="15"/>
      <c r="ILD238" s="15"/>
      <c r="ILE238" s="15"/>
      <c r="ILF238" s="15"/>
      <c r="ILG238" s="10"/>
      <c r="ILH238" s="10"/>
      <c r="ILI238" s="21"/>
      <c r="ILJ238" s="21"/>
      <c r="ILM238" s="21"/>
      <c r="ILN238" s="15"/>
      <c r="ILO238" s="15"/>
      <c r="ILP238" s="15"/>
      <c r="ILQ238" s="15"/>
      <c r="ILR238" s="15"/>
      <c r="ILS238" s="15"/>
      <c r="ILT238" s="15"/>
      <c r="ILU238" s="15"/>
      <c r="ILV238" s="15"/>
      <c r="ILW238" s="15"/>
      <c r="ILX238" s="10"/>
      <c r="ILY238" s="10"/>
      <c r="ILZ238" s="21"/>
      <c r="IMA238" s="21"/>
      <c r="IMD238" s="21"/>
      <c r="IME238" s="15"/>
      <c r="IMF238" s="15"/>
      <c r="IMG238" s="15"/>
      <c r="IMH238" s="15"/>
      <c r="IMI238" s="15"/>
      <c r="IMJ238" s="15"/>
      <c r="IMK238" s="15"/>
      <c r="IML238" s="15"/>
      <c r="IMM238" s="15"/>
      <c r="IMN238" s="15"/>
      <c r="IMO238" s="10"/>
      <c r="IMP238" s="10"/>
      <c r="IMQ238" s="21"/>
      <c r="IMR238" s="21"/>
      <c r="IMU238" s="21"/>
      <c r="IMV238" s="15"/>
      <c r="IMW238" s="15"/>
      <c r="IMX238" s="15"/>
      <c r="IMY238" s="15"/>
      <c r="IMZ238" s="15"/>
      <c r="INA238" s="15"/>
      <c r="INB238" s="15"/>
      <c r="INC238" s="15"/>
      <c r="IND238" s="15"/>
      <c r="INE238" s="15"/>
      <c r="INF238" s="10"/>
      <c r="ING238" s="10"/>
      <c r="INH238" s="21"/>
      <c r="INI238" s="21"/>
      <c r="INL238" s="21"/>
      <c r="INM238" s="15"/>
      <c r="INN238" s="15"/>
      <c r="INO238" s="15"/>
      <c r="INP238" s="15"/>
      <c r="INQ238" s="15"/>
      <c r="INR238" s="15"/>
      <c r="INS238" s="15"/>
      <c r="INT238" s="15"/>
      <c r="INU238" s="15"/>
      <c r="INV238" s="15"/>
      <c r="INW238" s="10"/>
      <c r="INX238" s="10"/>
      <c r="INY238" s="21"/>
      <c r="INZ238" s="21"/>
      <c r="IOC238" s="21"/>
      <c r="IOD238" s="15"/>
      <c r="IOE238" s="15"/>
      <c r="IOF238" s="15"/>
      <c r="IOG238" s="15"/>
      <c r="IOH238" s="15"/>
      <c r="IOI238" s="15"/>
      <c r="IOJ238" s="15"/>
      <c r="IOK238" s="15"/>
      <c r="IOL238" s="15"/>
      <c r="IOM238" s="15"/>
      <c r="ION238" s="10"/>
      <c r="IOO238" s="10"/>
      <c r="IOP238" s="21"/>
      <c r="IOQ238" s="21"/>
      <c r="IOT238" s="21"/>
      <c r="IOU238" s="15"/>
      <c r="IOV238" s="15"/>
      <c r="IOW238" s="15"/>
      <c r="IOX238" s="15"/>
      <c r="IOY238" s="15"/>
      <c r="IOZ238" s="15"/>
      <c r="IPA238" s="15"/>
      <c r="IPB238" s="15"/>
      <c r="IPC238" s="15"/>
      <c r="IPD238" s="15"/>
      <c r="IPE238" s="10"/>
      <c r="IPF238" s="10"/>
      <c r="IPG238" s="21"/>
      <c r="IPH238" s="21"/>
      <c r="IPK238" s="21"/>
      <c r="IPL238" s="15"/>
      <c r="IPM238" s="15"/>
      <c r="IPN238" s="15"/>
      <c r="IPO238" s="15"/>
      <c r="IPP238" s="15"/>
      <c r="IPQ238" s="15"/>
      <c r="IPR238" s="15"/>
      <c r="IPS238" s="15"/>
      <c r="IPT238" s="15"/>
      <c r="IPU238" s="15"/>
      <c r="IPV238" s="10"/>
      <c r="IPW238" s="10"/>
      <c r="IPX238" s="21"/>
      <c r="IPY238" s="21"/>
      <c r="IQB238" s="21"/>
      <c r="IQC238" s="15"/>
      <c r="IQD238" s="15"/>
      <c r="IQE238" s="15"/>
      <c r="IQF238" s="15"/>
      <c r="IQG238" s="15"/>
      <c r="IQH238" s="15"/>
      <c r="IQI238" s="15"/>
      <c r="IQJ238" s="15"/>
      <c r="IQK238" s="15"/>
      <c r="IQL238" s="15"/>
      <c r="IQM238" s="10"/>
      <c r="IQN238" s="10"/>
      <c r="IQO238" s="21"/>
      <c r="IQP238" s="21"/>
      <c r="IQS238" s="21"/>
      <c r="IQT238" s="15"/>
      <c r="IQU238" s="15"/>
      <c r="IQV238" s="15"/>
      <c r="IQW238" s="15"/>
      <c r="IQX238" s="15"/>
      <c r="IQY238" s="15"/>
      <c r="IQZ238" s="15"/>
      <c r="IRA238" s="15"/>
      <c r="IRB238" s="15"/>
      <c r="IRC238" s="15"/>
      <c r="IRD238" s="10"/>
      <c r="IRE238" s="10"/>
      <c r="IRF238" s="21"/>
      <c r="IRG238" s="21"/>
      <c r="IRJ238" s="21"/>
      <c r="IRK238" s="15"/>
      <c r="IRL238" s="15"/>
      <c r="IRM238" s="15"/>
      <c r="IRN238" s="15"/>
      <c r="IRO238" s="15"/>
      <c r="IRP238" s="15"/>
      <c r="IRQ238" s="15"/>
      <c r="IRR238" s="15"/>
      <c r="IRS238" s="15"/>
      <c r="IRT238" s="15"/>
      <c r="IRU238" s="10"/>
      <c r="IRV238" s="10"/>
      <c r="IRW238" s="21"/>
      <c r="IRX238" s="21"/>
      <c r="ISA238" s="21"/>
      <c r="ISB238" s="15"/>
      <c r="ISC238" s="15"/>
      <c r="ISD238" s="15"/>
      <c r="ISE238" s="15"/>
      <c r="ISF238" s="15"/>
      <c r="ISG238" s="15"/>
      <c r="ISH238" s="15"/>
      <c r="ISI238" s="15"/>
      <c r="ISJ238" s="15"/>
      <c r="ISK238" s="15"/>
      <c r="ISL238" s="10"/>
      <c r="ISM238" s="10"/>
      <c r="ISN238" s="21"/>
      <c r="ISO238" s="21"/>
      <c r="ISR238" s="21"/>
      <c r="ISS238" s="15"/>
      <c r="IST238" s="15"/>
      <c r="ISU238" s="15"/>
      <c r="ISV238" s="15"/>
      <c r="ISW238" s="15"/>
      <c r="ISX238" s="15"/>
      <c r="ISY238" s="15"/>
      <c r="ISZ238" s="15"/>
      <c r="ITA238" s="15"/>
      <c r="ITB238" s="15"/>
      <c r="ITC238" s="10"/>
      <c r="ITD238" s="10"/>
      <c r="ITE238" s="21"/>
      <c r="ITF238" s="21"/>
      <c r="ITI238" s="21"/>
      <c r="ITJ238" s="15"/>
      <c r="ITK238" s="15"/>
      <c r="ITL238" s="15"/>
      <c r="ITM238" s="15"/>
      <c r="ITN238" s="15"/>
      <c r="ITO238" s="15"/>
      <c r="ITP238" s="15"/>
      <c r="ITQ238" s="15"/>
      <c r="ITR238" s="15"/>
      <c r="ITS238" s="15"/>
      <c r="ITT238" s="10"/>
      <c r="ITU238" s="10"/>
      <c r="ITV238" s="21"/>
      <c r="ITW238" s="21"/>
      <c r="ITZ238" s="21"/>
      <c r="IUA238" s="15"/>
      <c r="IUB238" s="15"/>
      <c r="IUC238" s="15"/>
      <c r="IUD238" s="15"/>
      <c r="IUE238" s="15"/>
      <c r="IUF238" s="15"/>
      <c r="IUG238" s="15"/>
      <c r="IUH238" s="15"/>
      <c r="IUI238" s="15"/>
      <c r="IUJ238" s="15"/>
      <c r="IUK238" s="10"/>
      <c r="IUL238" s="10"/>
      <c r="IUM238" s="21"/>
      <c r="IUN238" s="21"/>
      <c r="IUQ238" s="21"/>
      <c r="IUR238" s="15"/>
      <c r="IUS238" s="15"/>
      <c r="IUT238" s="15"/>
      <c r="IUU238" s="15"/>
      <c r="IUV238" s="15"/>
      <c r="IUW238" s="15"/>
      <c r="IUX238" s="15"/>
      <c r="IUY238" s="15"/>
      <c r="IUZ238" s="15"/>
      <c r="IVA238" s="15"/>
      <c r="IVB238" s="10"/>
      <c r="IVC238" s="10"/>
      <c r="IVD238" s="21"/>
      <c r="IVE238" s="21"/>
      <c r="IVH238" s="21"/>
      <c r="IVI238" s="15"/>
      <c r="IVJ238" s="15"/>
      <c r="IVK238" s="15"/>
      <c r="IVL238" s="15"/>
      <c r="IVM238" s="15"/>
      <c r="IVN238" s="15"/>
      <c r="IVO238" s="15"/>
      <c r="IVP238" s="15"/>
      <c r="IVQ238" s="15"/>
      <c r="IVR238" s="15"/>
      <c r="IVS238" s="10"/>
      <c r="IVT238" s="10"/>
      <c r="IVU238" s="21"/>
      <c r="IVV238" s="21"/>
      <c r="IVY238" s="21"/>
      <c r="IVZ238" s="15"/>
      <c r="IWA238" s="15"/>
      <c r="IWB238" s="15"/>
      <c r="IWC238" s="15"/>
      <c r="IWD238" s="15"/>
      <c r="IWE238" s="15"/>
      <c r="IWF238" s="15"/>
      <c r="IWG238" s="15"/>
      <c r="IWH238" s="15"/>
      <c r="IWI238" s="15"/>
      <c r="IWJ238" s="10"/>
      <c r="IWK238" s="10"/>
      <c r="IWL238" s="21"/>
      <c r="IWM238" s="21"/>
      <c r="IWP238" s="21"/>
      <c r="IWQ238" s="15"/>
      <c r="IWR238" s="15"/>
      <c r="IWS238" s="15"/>
      <c r="IWT238" s="15"/>
      <c r="IWU238" s="15"/>
      <c r="IWV238" s="15"/>
      <c r="IWW238" s="15"/>
      <c r="IWX238" s="15"/>
      <c r="IWY238" s="15"/>
      <c r="IWZ238" s="15"/>
      <c r="IXA238" s="10"/>
      <c r="IXB238" s="10"/>
      <c r="IXC238" s="21"/>
      <c r="IXD238" s="21"/>
      <c r="IXG238" s="21"/>
      <c r="IXH238" s="15"/>
      <c r="IXI238" s="15"/>
      <c r="IXJ238" s="15"/>
      <c r="IXK238" s="15"/>
      <c r="IXL238" s="15"/>
      <c r="IXM238" s="15"/>
      <c r="IXN238" s="15"/>
      <c r="IXO238" s="15"/>
      <c r="IXP238" s="15"/>
      <c r="IXQ238" s="15"/>
      <c r="IXR238" s="10"/>
      <c r="IXS238" s="10"/>
      <c r="IXT238" s="21"/>
      <c r="IXU238" s="21"/>
      <c r="IXX238" s="21"/>
      <c r="IXY238" s="15"/>
      <c r="IXZ238" s="15"/>
      <c r="IYA238" s="15"/>
      <c r="IYB238" s="15"/>
      <c r="IYC238" s="15"/>
      <c r="IYD238" s="15"/>
      <c r="IYE238" s="15"/>
      <c r="IYF238" s="15"/>
      <c r="IYG238" s="15"/>
      <c r="IYH238" s="15"/>
      <c r="IYI238" s="10"/>
      <c r="IYJ238" s="10"/>
      <c r="IYK238" s="21"/>
      <c r="IYL238" s="21"/>
      <c r="IYO238" s="21"/>
      <c r="IYP238" s="15"/>
      <c r="IYQ238" s="15"/>
      <c r="IYR238" s="15"/>
      <c r="IYS238" s="15"/>
      <c r="IYT238" s="15"/>
      <c r="IYU238" s="15"/>
      <c r="IYV238" s="15"/>
      <c r="IYW238" s="15"/>
      <c r="IYX238" s="15"/>
      <c r="IYY238" s="15"/>
      <c r="IYZ238" s="10"/>
      <c r="IZA238" s="10"/>
      <c r="IZB238" s="21"/>
      <c r="IZC238" s="21"/>
      <c r="IZF238" s="21"/>
      <c r="IZG238" s="15"/>
      <c r="IZH238" s="15"/>
      <c r="IZI238" s="15"/>
      <c r="IZJ238" s="15"/>
      <c r="IZK238" s="15"/>
      <c r="IZL238" s="15"/>
      <c r="IZM238" s="15"/>
      <c r="IZN238" s="15"/>
      <c r="IZO238" s="15"/>
      <c r="IZP238" s="15"/>
      <c r="IZQ238" s="10"/>
      <c r="IZR238" s="10"/>
      <c r="IZS238" s="21"/>
      <c r="IZT238" s="21"/>
      <c r="IZW238" s="21"/>
      <c r="IZX238" s="15"/>
      <c r="IZY238" s="15"/>
      <c r="IZZ238" s="15"/>
      <c r="JAA238" s="15"/>
      <c r="JAB238" s="15"/>
      <c r="JAC238" s="15"/>
      <c r="JAD238" s="15"/>
      <c r="JAE238" s="15"/>
      <c r="JAF238" s="15"/>
      <c r="JAG238" s="15"/>
      <c r="JAH238" s="10"/>
      <c r="JAI238" s="10"/>
      <c r="JAJ238" s="21"/>
      <c r="JAK238" s="21"/>
      <c r="JAN238" s="21"/>
      <c r="JAO238" s="15"/>
      <c r="JAP238" s="15"/>
      <c r="JAQ238" s="15"/>
      <c r="JAR238" s="15"/>
      <c r="JAS238" s="15"/>
      <c r="JAT238" s="15"/>
      <c r="JAU238" s="15"/>
      <c r="JAV238" s="15"/>
      <c r="JAW238" s="15"/>
      <c r="JAX238" s="15"/>
      <c r="JAY238" s="10"/>
      <c r="JAZ238" s="10"/>
      <c r="JBA238" s="21"/>
      <c r="JBB238" s="21"/>
      <c r="JBE238" s="21"/>
      <c r="JBF238" s="15"/>
      <c r="JBG238" s="15"/>
      <c r="JBH238" s="15"/>
      <c r="JBI238" s="15"/>
      <c r="JBJ238" s="15"/>
      <c r="JBK238" s="15"/>
      <c r="JBL238" s="15"/>
      <c r="JBM238" s="15"/>
      <c r="JBN238" s="15"/>
      <c r="JBO238" s="15"/>
      <c r="JBP238" s="10"/>
      <c r="JBQ238" s="10"/>
      <c r="JBR238" s="21"/>
      <c r="JBS238" s="21"/>
      <c r="JBV238" s="21"/>
      <c r="JBW238" s="15"/>
      <c r="JBX238" s="15"/>
      <c r="JBY238" s="15"/>
      <c r="JBZ238" s="15"/>
      <c r="JCA238" s="15"/>
      <c r="JCB238" s="15"/>
      <c r="JCC238" s="15"/>
      <c r="JCD238" s="15"/>
      <c r="JCE238" s="15"/>
      <c r="JCF238" s="15"/>
      <c r="JCG238" s="10"/>
      <c r="JCH238" s="10"/>
      <c r="JCI238" s="21"/>
      <c r="JCJ238" s="21"/>
      <c r="JCM238" s="21"/>
      <c r="JCN238" s="15"/>
      <c r="JCO238" s="15"/>
      <c r="JCP238" s="15"/>
      <c r="JCQ238" s="15"/>
      <c r="JCR238" s="15"/>
      <c r="JCS238" s="15"/>
      <c r="JCT238" s="15"/>
      <c r="JCU238" s="15"/>
      <c r="JCV238" s="15"/>
      <c r="JCW238" s="15"/>
      <c r="JCX238" s="10"/>
      <c r="JCY238" s="10"/>
      <c r="JCZ238" s="21"/>
      <c r="JDA238" s="21"/>
      <c r="JDD238" s="21"/>
      <c r="JDE238" s="15"/>
      <c r="JDF238" s="15"/>
      <c r="JDG238" s="15"/>
      <c r="JDH238" s="15"/>
      <c r="JDI238" s="15"/>
      <c r="JDJ238" s="15"/>
      <c r="JDK238" s="15"/>
      <c r="JDL238" s="15"/>
      <c r="JDM238" s="15"/>
      <c r="JDN238" s="15"/>
      <c r="JDO238" s="10"/>
      <c r="JDP238" s="10"/>
      <c r="JDQ238" s="21"/>
      <c r="JDR238" s="21"/>
      <c r="JDU238" s="21"/>
      <c r="JDV238" s="15"/>
      <c r="JDW238" s="15"/>
      <c r="JDX238" s="15"/>
      <c r="JDY238" s="15"/>
      <c r="JDZ238" s="15"/>
      <c r="JEA238" s="15"/>
      <c r="JEB238" s="15"/>
      <c r="JEC238" s="15"/>
      <c r="JED238" s="15"/>
      <c r="JEE238" s="15"/>
      <c r="JEF238" s="10"/>
      <c r="JEG238" s="10"/>
      <c r="JEH238" s="21"/>
      <c r="JEI238" s="21"/>
      <c r="JEL238" s="21"/>
      <c r="JEM238" s="15"/>
      <c r="JEN238" s="15"/>
      <c r="JEO238" s="15"/>
      <c r="JEP238" s="15"/>
      <c r="JEQ238" s="15"/>
      <c r="JER238" s="15"/>
      <c r="JES238" s="15"/>
      <c r="JET238" s="15"/>
      <c r="JEU238" s="15"/>
      <c r="JEV238" s="15"/>
      <c r="JEW238" s="10"/>
      <c r="JEX238" s="10"/>
      <c r="JEY238" s="21"/>
      <c r="JEZ238" s="21"/>
      <c r="JFC238" s="21"/>
      <c r="JFD238" s="15"/>
      <c r="JFE238" s="15"/>
      <c r="JFF238" s="15"/>
      <c r="JFG238" s="15"/>
      <c r="JFH238" s="15"/>
      <c r="JFI238" s="15"/>
      <c r="JFJ238" s="15"/>
      <c r="JFK238" s="15"/>
      <c r="JFL238" s="15"/>
      <c r="JFM238" s="15"/>
      <c r="JFN238" s="10"/>
      <c r="JFO238" s="10"/>
      <c r="JFP238" s="21"/>
      <c r="JFQ238" s="21"/>
      <c r="JFT238" s="21"/>
      <c r="JFU238" s="15"/>
      <c r="JFV238" s="15"/>
      <c r="JFW238" s="15"/>
      <c r="JFX238" s="15"/>
      <c r="JFY238" s="15"/>
      <c r="JFZ238" s="15"/>
      <c r="JGA238" s="15"/>
      <c r="JGB238" s="15"/>
      <c r="JGC238" s="15"/>
      <c r="JGD238" s="15"/>
      <c r="JGE238" s="10"/>
      <c r="JGF238" s="10"/>
      <c r="JGG238" s="21"/>
      <c r="JGH238" s="21"/>
      <c r="JGK238" s="21"/>
      <c r="JGL238" s="15"/>
      <c r="JGM238" s="15"/>
      <c r="JGN238" s="15"/>
      <c r="JGO238" s="15"/>
      <c r="JGP238" s="15"/>
      <c r="JGQ238" s="15"/>
      <c r="JGR238" s="15"/>
      <c r="JGS238" s="15"/>
      <c r="JGT238" s="15"/>
      <c r="JGU238" s="15"/>
      <c r="JGV238" s="10"/>
      <c r="JGW238" s="10"/>
      <c r="JGX238" s="21"/>
      <c r="JGY238" s="21"/>
      <c r="JHB238" s="21"/>
      <c r="JHC238" s="15"/>
      <c r="JHD238" s="15"/>
      <c r="JHE238" s="15"/>
      <c r="JHF238" s="15"/>
      <c r="JHG238" s="15"/>
      <c r="JHH238" s="15"/>
      <c r="JHI238" s="15"/>
      <c r="JHJ238" s="15"/>
      <c r="JHK238" s="15"/>
      <c r="JHL238" s="15"/>
      <c r="JHM238" s="10"/>
      <c r="JHN238" s="10"/>
      <c r="JHO238" s="21"/>
      <c r="JHP238" s="21"/>
      <c r="JHS238" s="21"/>
      <c r="JHT238" s="15"/>
      <c r="JHU238" s="15"/>
      <c r="JHV238" s="15"/>
      <c r="JHW238" s="15"/>
      <c r="JHX238" s="15"/>
      <c r="JHY238" s="15"/>
      <c r="JHZ238" s="15"/>
      <c r="JIA238" s="15"/>
      <c r="JIB238" s="15"/>
      <c r="JIC238" s="15"/>
      <c r="JID238" s="10"/>
      <c r="JIE238" s="10"/>
      <c r="JIF238" s="21"/>
      <c r="JIG238" s="21"/>
      <c r="JIJ238" s="21"/>
      <c r="JIK238" s="15"/>
      <c r="JIL238" s="15"/>
      <c r="JIM238" s="15"/>
      <c r="JIN238" s="15"/>
      <c r="JIO238" s="15"/>
      <c r="JIP238" s="15"/>
      <c r="JIQ238" s="15"/>
      <c r="JIR238" s="15"/>
      <c r="JIS238" s="15"/>
      <c r="JIT238" s="15"/>
      <c r="JIU238" s="10"/>
      <c r="JIV238" s="10"/>
      <c r="JIW238" s="21"/>
      <c r="JIX238" s="21"/>
      <c r="JJA238" s="21"/>
      <c r="JJB238" s="15"/>
      <c r="JJC238" s="15"/>
      <c r="JJD238" s="15"/>
      <c r="JJE238" s="15"/>
      <c r="JJF238" s="15"/>
      <c r="JJG238" s="15"/>
      <c r="JJH238" s="15"/>
      <c r="JJI238" s="15"/>
      <c r="JJJ238" s="15"/>
      <c r="JJK238" s="15"/>
      <c r="JJL238" s="10"/>
      <c r="JJM238" s="10"/>
      <c r="JJN238" s="21"/>
      <c r="JJO238" s="21"/>
      <c r="JJR238" s="21"/>
      <c r="JJS238" s="15"/>
      <c r="JJT238" s="15"/>
      <c r="JJU238" s="15"/>
      <c r="JJV238" s="15"/>
      <c r="JJW238" s="15"/>
      <c r="JJX238" s="15"/>
      <c r="JJY238" s="15"/>
      <c r="JJZ238" s="15"/>
      <c r="JKA238" s="15"/>
      <c r="JKB238" s="15"/>
      <c r="JKC238" s="10"/>
      <c r="JKD238" s="10"/>
      <c r="JKE238" s="21"/>
      <c r="JKF238" s="21"/>
      <c r="JKI238" s="21"/>
      <c r="JKJ238" s="15"/>
      <c r="JKK238" s="15"/>
      <c r="JKL238" s="15"/>
      <c r="JKM238" s="15"/>
      <c r="JKN238" s="15"/>
      <c r="JKO238" s="15"/>
      <c r="JKP238" s="15"/>
      <c r="JKQ238" s="15"/>
      <c r="JKR238" s="15"/>
      <c r="JKS238" s="15"/>
      <c r="JKT238" s="10"/>
      <c r="JKU238" s="10"/>
      <c r="JKV238" s="21"/>
      <c r="JKW238" s="21"/>
      <c r="JKZ238" s="21"/>
      <c r="JLA238" s="15"/>
      <c r="JLB238" s="15"/>
      <c r="JLC238" s="15"/>
      <c r="JLD238" s="15"/>
      <c r="JLE238" s="15"/>
      <c r="JLF238" s="15"/>
      <c r="JLG238" s="15"/>
      <c r="JLH238" s="15"/>
      <c r="JLI238" s="15"/>
      <c r="JLJ238" s="15"/>
      <c r="JLK238" s="10"/>
      <c r="JLL238" s="10"/>
      <c r="JLM238" s="21"/>
      <c r="JLN238" s="21"/>
      <c r="JLQ238" s="21"/>
      <c r="JLR238" s="15"/>
      <c r="JLS238" s="15"/>
      <c r="JLT238" s="15"/>
      <c r="JLU238" s="15"/>
      <c r="JLV238" s="15"/>
      <c r="JLW238" s="15"/>
      <c r="JLX238" s="15"/>
      <c r="JLY238" s="15"/>
      <c r="JLZ238" s="15"/>
      <c r="JMA238" s="15"/>
      <c r="JMB238" s="10"/>
      <c r="JMC238" s="10"/>
      <c r="JMD238" s="21"/>
      <c r="JME238" s="21"/>
      <c r="JMH238" s="21"/>
      <c r="JMI238" s="15"/>
      <c r="JMJ238" s="15"/>
      <c r="JMK238" s="15"/>
      <c r="JML238" s="15"/>
      <c r="JMM238" s="15"/>
      <c r="JMN238" s="15"/>
      <c r="JMO238" s="15"/>
      <c r="JMP238" s="15"/>
      <c r="JMQ238" s="15"/>
      <c r="JMR238" s="15"/>
      <c r="JMS238" s="10"/>
      <c r="JMT238" s="10"/>
      <c r="JMU238" s="21"/>
      <c r="JMV238" s="21"/>
      <c r="JMY238" s="21"/>
      <c r="JMZ238" s="15"/>
      <c r="JNA238" s="15"/>
      <c r="JNB238" s="15"/>
      <c r="JNC238" s="15"/>
      <c r="JND238" s="15"/>
      <c r="JNE238" s="15"/>
      <c r="JNF238" s="15"/>
      <c r="JNG238" s="15"/>
      <c r="JNH238" s="15"/>
      <c r="JNI238" s="15"/>
      <c r="JNJ238" s="10"/>
      <c r="JNK238" s="10"/>
      <c r="JNL238" s="21"/>
      <c r="JNM238" s="21"/>
      <c r="JNP238" s="21"/>
      <c r="JNQ238" s="15"/>
      <c r="JNR238" s="15"/>
      <c r="JNS238" s="15"/>
      <c r="JNT238" s="15"/>
      <c r="JNU238" s="15"/>
      <c r="JNV238" s="15"/>
      <c r="JNW238" s="15"/>
      <c r="JNX238" s="15"/>
      <c r="JNY238" s="15"/>
      <c r="JNZ238" s="15"/>
      <c r="JOA238" s="10"/>
      <c r="JOB238" s="10"/>
      <c r="JOC238" s="21"/>
      <c r="JOD238" s="21"/>
      <c r="JOG238" s="21"/>
      <c r="JOH238" s="15"/>
      <c r="JOI238" s="15"/>
      <c r="JOJ238" s="15"/>
      <c r="JOK238" s="15"/>
      <c r="JOL238" s="15"/>
      <c r="JOM238" s="15"/>
      <c r="JON238" s="15"/>
      <c r="JOO238" s="15"/>
      <c r="JOP238" s="15"/>
      <c r="JOQ238" s="15"/>
      <c r="JOR238" s="10"/>
      <c r="JOS238" s="10"/>
      <c r="JOT238" s="21"/>
      <c r="JOU238" s="21"/>
      <c r="JOX238" s="21"/>
      <c r="JOY238" s="15"/>
      <c r="JOZ238" s="15"/>
      <c r="JPA238" s="15"/>
      <c r="JPB238" s="15"/>
      <c r="JPC238" s="15"/>
      <c r="JPD238" s="15"/>
      <c r="JPE238" s="15"/>
      <c r="JPF238" s="15"/>
      <c r="JPG238" s="15"/>
      <c r="JPH238" s="15"/>
      <c r="JPI238" s="10"/>
      <c r="JPJ238" s="10"/>
      <c r="JPK238" s="21"/>
      <c r="JPL238" s="21"/>
      <c r="JPO238" s="21"/>
      <c r="JPP238" s="15"/>
      <c r="JPQ238" s="15"/>
      <c r="JPR238" s="15"/>
      <c r="JPS238" s="15"/>
      <c r="JPT238" s="15"/>
      <c r="JPU238" s="15"/>
      <c r="JPV238" s="15"/>
      <c r="JPW238" s="15"/>
      <c r="JPX238" s="15"/>
      <c r="JPY238" s="15"/>
      <c r="JPZ238" s="10"/>
      <c r="JQA238" s="10"/>
      <c r="JQB238" s="21"/>
      <c r="JQC238" s="21"/>
      <c r="JQF238" s="21"/>
      <c r="JQG238" s="15"/>
      <c r="JQH238" s="15"/>
      <c r="JQI238" s="15"/>
      <c r="JQJ238" s="15"/>
      <c r="JQK238" s="15"/>
      <c r="JQL238" s="15"/>
      <c r="JQM238" s="15"/>
      <c r="JQN238" s="15"/>
      <c r="JQO238" s="15"/>
      <c r="JQP238" s="15"/>
      <c r="JQQ238" s="10"/>
      <c r="JQR238" s="10"/>
      <c r="JQS238" s="21"/>
      <c r="JQT238" s="21"/>
      <c r="JQW238" s="21"/>
      <c r="JQX238" s="15"/>
      <c r="JQY238" s="15"/>
      <c r="JQZ238" s="15"/>
      <c r="JRA238" s="15"/>
      <c r="JRB238" s="15"/>
      <c r="JRC238" s="15"/>
      <c r="JRD238" s="15"/>
      <c r="JRE238" s="15"/>
      <c r="JRF238" s="15"/>
      <c r="JRG238" s="15"/>
      <c r="JRH238" s="10"/>
      <c r="JRI238" s="10"/>
      <c r="JRJ238" s="21"/>
      <c r="JRK238" s="21"/>
      <c r="JRN238" s="21"/>
      <c r="JRO238" s="15"/>
      <c r="JRP238" s="15"/>
      <c r="JRQ238" s="15"/>
      <c r="JRR238" s="15"/>
      <c r="JRS238" s="15"/>
      <c r="JRT238" s="15"/>
      <c r="JRU238" s="15"/>
      <c r="JRV238" s="15"/>
      <c r="JRW238" s="15"/>
      <c r="JRX238" s="15"/>
      <c r="JRY238" s="10"/>
      <c r="JRZ238" s="10"/>
      <c r="JSA238" s="21"/>
      <c r="JSB238" s="21"/>
      <c r="JSE238" s="21"/>
      <c r="JSF238" s="15"/>
      <c r="JSG238" s="15"/>
      <c r="JSH238" s="15"/>
      <c r="JSI238" s="15"/>
      <c r="JSJ238" s="15"/>
      <c r="JSK238" s="15"/>
      <c r="JSL238" s="15"/>
      <c r="JSM238" s="15"/>
      <c r="JSN238" s="15"/>
      <c r="JSO238" s="15"/>
      <c r="JSP238" s="10"/>
      <c r="JSQ238" s="10"/>
      <c r="JSR238" s="21"/>
      <c r="JSS238" s="21"/>
      <c r="JSV238" s="21"/>
      <c r="JSW238" s="15"/>
      <c r="JSX238" s="15"/>
      <c r="JSY238" s="15"/>
      <c r="JSZ238" s="15"/>
      <c r="JTA238" s="15"/>
      <c r="JTB238" s="15"/>
      <c r="JTC238" s="15"/>
      <c r="JTD238" s="15"/>
      <c r="JTE238" s="15"/>
      <c r="JTF238" s="15"/>
      <c r="JTG238" s="10"/>
      <c r="JTH238" s="10"/>
      <c r="JTI238" s="21"/>
      <c r="JTJ238" s="21"/>
      <c r="JTM238" s="21"/>
      <c r="JTN238" s="15"/>
      <c r="JTO238" s="15"/>
      <c r="JTP238" s="15"/>
      <c r="JTQ238" s="15"/>
      <c r="JTR238" s="15"/>
      <c r="JTS238" s="15"/>
      <c r="JTT238" s="15"/>
      <c r="JTU238" s="15"/>
      <c r="JTV238" s="15"/>
      <c r="JTW238" s="15"/>
      <c r="JTX238" s="10"/>
      <c r="JTY238" s="10"/>
      <c r="JTZ238" s="21"/>
      <c r="JUA238" s="21"/>
      <c r="JUD238" s="21"/>
      <c r="JUE238" s="15"/>
      <c r="JUF238" s="15"/>
      <c r="JUG238" s="15"/>
      <c r="JUH238" s="15"/>
      <c r="JUI238" s="15"/>
      <c r="JUJ238" s="15"/>
      <c r="JUK238" s="15"/>
      <c r="JUL238" s="15"/>
      <c r="JUM238" s="15"/>
      <c r="JUN238" s="15"/>
      <c r="JUO238" s="10"/>
      <c r="JUP238" s="10"/>
      <c r="JUQ238" s="21"/>
      <c r="JUR238" s="21"/>
      <c r="JUU238" s="21"/>
      <c r="JUV238" s="15"/>
      <c r="JUW238" s="15"/>
      <c r="JUX238" s="15"/>
      <c r="JUY238" s="15"/>
      <c r="JUZ238" s="15"/>
      <c r="JVA238" s="15"/>
      <c r="JVB238" s="15"/>
      <c r="JVC238" s="15"/>
      <c r="JVD238" s="15"/>
      <c r="JVE238" s="15"/>
      <c r="JVF238" s="10"/>
      <c r="JVG238" s="10"/>
      <c r="JVH238" s="21"/>
      <c r="JVI238" s="21"/>
      <c r="JVL238" s="21"/>
      <c r="JVM238" s="15"/>
      <c r="JVN238" s="15"/>
      <c r="JVO238" s="15"/>
      <c r="JVP238" s="15"/>
      <c r="JVQ238" s="15"/>
      <c r="JVR238" s="15"/>
      <c r="JVS238" s="15"/>
      <c r="JVT238" s="15"/>
      <c r="JVU238" s="15"/>
      <c r="JVV238" s="15"/>
      <c r="JVW238" s="10"/>
      <c r="JVX238" s="10"/>
      <c r="JVY238" s="21"/>
      <c r="JVZ238" s="21"/>
      <c r="JWC238" s="21"/>
      <c r="JWD238" s="15"/>
      <c r="JWE238" s="15"/>
      <c r="JWF238" s="15"/>
      <c r="JWG238" s="15"/>
      <c r="JWH238" s="15"/>
      <c r="JWI238" s="15"/>
      <c r="JWJ238" s="15"/>
      <c r="JWK238" s="15"/>
      <c r="JWL238" s="15"/>
      <c r="JWM238" s="15"/>
      <c r="JWN238" s="10"/>
      <c r="JWO238" s="10"/>
      <c r="JWP238" s="21"/>
      <c r="JWQ238" s="21"/>
      <c r="JWT238" s="21"/>
      <c r="JWU238" s="15"/>
      <c r="JWV238" s="15"/>
      <c r="JWW238" s="15"/>
      <c r="JWX238" s="15"/>
      <c r="JWY238" s="15"/>
      <c r="JWZ238" s="15"/>
      <c r="JXA238" s="15"/>
      <c r="JXB238" s="15"/>
      <c r="JXC238" s="15"/>
      <c r="JXD238" s="15"/>
      <c r="JXE238" s="10"/>
      <c r="JXF238" s="10"/>
      <c r="JXG238" s="21"/>
      <c r="JXH238" s="21"/>
      <c r="JXK238" s="21"/>
      <c r="JXL238" s="15"/>
      <c r="JXM238" s="15"/>
      <c r="JXN238" s="15"/>
      <c r="JXO238" s="15"/>
      <c r="JXP238" s="15"/>
      <c r="JXQ238" s="15"/>
      <c r="JXR238" s="15"/>
      <c r="JXS238" s="15"/>
      <c r="JXT238" s="15"/>
      <c r="JXU238" s="15"/>
      <c r="JXV238" s="10"/>
      <c r="JXW238" s="10"/>
      <c r="JXX238" s="21"/>
      <c r="JXY238" s="21"/>
      <c r="JYB238" s="21"/>
      <c r="JYC238" s="15"/>
      <c r="JYD238" s="15"/>
      <c r="JYE238" s="15"/>
      <c r="JYF238" s="15"/>
      <c r="JYG238" s="15"/>
      <c r="JYH238" s="15"/>
      <c r="JYI238" s="15"/>
      <c r="JYJ238" s="15"/>
      <c r="JYK238" s="15"/>
      <c r="JYL238" s="15"/>
      <c r="JYM238" s="10"/>
      <c r="JYN238" s="10"/>
      <c r="JYO238" s="21"/>
      <c r="JYP238" s="21"/>
      <c r="JYS238" s="21"/>
      <c r="JYT238" s="15"/>
      <c r="JYU238" s="15"/>
      <c r="JYV238" s="15"/>
      <c r="JYW238" s="15"/>
      <c r="JYX238" s="15"/>
      <c r="JYY238" s="15"/>
      <c r="JYZ238" s="15"/>
      <c r="JZA238" s="15"/>
      <c r="JZB238" s="15"/>
      <c r="JZC238" s="15"/>
      <c r="JZD238" s="10"/>
      <c r="JZE238" s="10"/>
      <c r="JZF238" s="21"/>
      <c r="JZG238" s="21"/>
      <c r="JZJ238" s="21"/>
      <c r="JZK238" s="15"/>
      <c r="JZL238" s="15"/>
      <c r="JZM238" s="15"/>
      <c r="JZN238" s="15"/>
      <c r="JZO238" s="15"/>
      <c r="JZP238" s="15"/>
      <c r="JZQ238" s="15"/>
      <c r="JZR238" s="15"/>
      <c r="JZS238" s="15"/>
      <c r="JZT238" s="15"/>
      <c r="JZU238" s="10"/>
      <c r="JZV238" s="10"/>
      <c r="JZW238" s="21"/>
      <c r="JZX238" s="21"/>
      <c r="KAA238" s="21"/>
      <c r="KAB238" s="15"/>
      <c r="KAC238" s="15"/>
      <c r="KAD238" s="15"/>
      <c r="KAE238" s="15"/>
      <c r="KAF238" s="15"/>
      <c r="KAG238" s="15"/>
      <c r="KAH238" s="15"/>
      <c r="KAI238" s="15"/>
      <c r="KAJ238" s="15"/>
      <c r="KAK238" s="15"/>
      <c r="KAL238" s="10"/>
      <c r="KAM238" s="10"/>
      <c r="KAN238" s="21"/>
      <c r="KAO238" s="21"/>
      <c r="KAR238" s="21"/>
      <c r="KAS238" s="15"/>
      <c r="KAT238" s="15"/>
      <c r="KAU238" s="15"/>
      <c r="KAV238" s="15"/>
      <c r="KAW238" s="15"/>
      <c r="KAX238" s="15"/>
      <c r="KAY238" s="15"/>
      <c r="KAZ238" s="15"/>
      <c r="KBA238" s="15"/>
      <c r="KBB238" s="15"/>
      <c r="KBC238" s="10"/>
      <c r="KBD238" s="10"/>
      <c r="KBE238" s="21"/>
      <c r="KBF238" s="21"/>
      <c r="KBI238" s="21"/>
      <c r="KBJ238" s="15"/>
      <c r="KBK238" s="15"/>
      <c r="KBL238" s="15"/>
      <c r="KBM238" s="15"/>
      <c r="KBN238" s="15"/>
      <c r="KBO238" s="15"/>
      <c r="KBP238" s="15"/>
      <c r="KBQ238" s="15"/>
      <c r="KBR238" s="15"/>
      <c r="KBS238" s="15"/>
      <c r="KBT238" s="10"/>
      <c r="KBU238" s="10"/>
      <c r="KBV238" s="21"/>
      <c r="KBW238" s="21"/>
      <c r="KBZ238" s="21"/>
      <c r="KCA238" s="15"/>
      <c r="KCB238" s="15"/>
      <c r="KCC238" s="15"/>
      <c r="KCD238" s="15"/>
      <c r="KCE238" s="15"/>
      <c r="KCF238" s="15"/>
      <c r="KCG238" s="15"/>
      <c r="KCH238" s="15"/>
      <c r="KCI238" s="15"/>
      <c r="KCJ238" s="15"/>
      <c r="KCK238" s="10"/>
      <c r="KCL238" s="10"/>
      <c r="KCM238" s="21"/>
      <c r="KCN238" s="21"/>
      <c r="KCQ238" s="21"/>
      <c r="KCR238" s="15"/>
      <c r="KCS238" s="15"/>
      <c r="KCT238" s="15"/>
      <c r="KCU238" s="15"/>
      <c r="KCV238" s="15"/>
      <c r="KCW238" s="15"/>
      <c r="KCX238" s="15"/>
      <c r="KCY238" s="15"/>
      <c r="KCZ238" s="15"/>
      <c r="KDA238" s="15"/>
      <c r="KDB238" s="10"/>
      <c r="KDC238" s="10"/>
      <c r="KDD238" s="21"/>
      <c r="KDE238" s="21"/>
      <c r="KDH238" s="21"/>
      <c r="KDI238" s="15"/>
      <c r="KDJ238" s="15"/>
      <c r="KDK238" s="15"/>
      <c r="KDL238" s="15"/>
      <c r="KDM238" s="15"/>
      <c r="KDN238" s="15"/>
      <c r="KDO238" s="15"/>
      <c r="KDP238" s="15"/>
      <c r="KDQ238" s="15"/>
      <c r="KDR238" s="15"/>
      <c r="KDS238" s="10"/>
      <c r="KDT238" s="10"/>
      <c r="KDU238" s="21"/>
      <c r="KDV238" s="21"/>
      <c r="KDY238" s="21"/>
      <c r="KDZ238" s="15"/>
      <c r="KEA238" s="15"/>
      <c r="KEB238" s="15"/>
      <c r="KEC238" s="15"/>
      <c r="KED238" s="15"/>
      <c r="KEE238" s="15"/>
      <c r="KEF238" s="15"/>
      <c r="KEG238" s="15"/>
      <c r="KEH238" s="15"/>
      <c r="KEI238" s="15"/>
      <c r="KEJ238" s="10"/>
      <c r="KEK238" s="10"/>
      <c r="KEL238" s="21"/>
      <c r="KEM238" s="21"/>
      <c r="KEP238" s="21"/>
      <c r="KEQ238" s="15"/>
      <c r="KER238" s="15"/>
      <c r="KES238" s="15"/>
      <c r="KET238" s="15"/>
      <c r="KEU238" s="15"/>
      <c r="KEV238" s="15"/>
      <c r="KEW238" s="15"/>
      <c r="KEX238" s="15"/>
      <c r="KEY238" s="15"/>
      <c r="KEZ238" s="15"/>
      <c r="KFA238" s="10"/>
      <c r="KFB238" s="10"/>
      <c r="KFC238" s="21"/>
      <c r="KFD238" s="21"/>
      <c r="KFG238" s="21"/>
      <c r="KFH238" s="15"/>
      <c r="KFI238" s="15"/>
      <c r="KFJ238" s="15"/>
      <c r="KFK238" s="15"/>
      <c r="KFL238" s="15"/>
      <c r="KFM238" s="15"/>
      <c r="KFN238" s="15"/>
      <c r="KFO238" s="15"/>
      <c r="KFP238" s="15"/>
      <c r="KFQ238" s="15"/>
      <c r="KFR238" s="10"/>
      <c r="KFS238" s="10"/>
      <c r="KFT238" s="21"/>
      <c r="KFU238" s="21"/>
      <c r="KFX238" s="21"/>
      <c r="KFY238" s="15"/>
      <c r="KFZ238" s="15"/>
      <c r="KGA238" s="15"/>
      <c r="KGB238" s="15"/>
      <c r="KGC238" s="15"/>
      <c r="KGD238" s="15"/>
      <c r="KGE238" s="15"/>
      <c r="KGF238" s="15"/>
      <c r="KGG238" s="15"/>
      <c r="KGH238" s="15"/>
      <c r="KGI238" s="10"/>
      <c r="KGJ238" s="10"/>
      <c r="KGK238" s="21"/>
      <c r="KGL238" s="21"/>
      <c r="KGO238" s="21"/>
      <c r="KGP238" s="15"/>
      <c r="KGQ238" s="15"/>
      <c r="KGR238" s="15"/>
      <c r="KGS238" s="15"/>
      <c r="KGT238" s="15"/>
      <c r="KGU238" s="15"/>
      <c r="KGV238" s="15"/>
      <c r="KGW238" s="15"/>
      <c r="KGX238" s="15"/>
      <c r="KGY238" s="15"/>
      <c r="KGZ238" s="10"/>
      <c r="KHA238" s="10"/>
      <c r="KHB238" s="21"/>
      <c r="KHC238" s="21"/>
      <c r="KHF238" s="21"/>
      <c r="KHG238" s="15"/>
      <c r="KHH238" s="15"/>
      <c r="KHI238" s="15"/>
      <c r="KHJ238" s="15"/>
      <c r="KHK238" s="15"/>
      <c r="KHL238" s="15"/>
      <c r="KHM238" s="15"/>
      <c r="KHN238" s="15"/>
      <c r="KHO238" s="15"/>
      <c r="KHP238" s="15"/>
      <c r="KHQ238" s="10"/>
      <c r="KHR238" s="10"/>
      <c r="KHS238" s="21"/>
      <c r="KHT238" s="21"/>
      <c r="KHW238" s="21"/>
      <c r="KHX238" s="15"/>
      <c r="KHY238" s="15"/>
      <c r="KHZ238" s="15"/>
      <c r="KIA238" s="15"/>
      <c r="KIB238" s="15"/>
      <c r="KIC238" s="15"/>
      <c r="KID238" s="15"/>
      <c r="KIE238" s="15"/>
      <c r="KIF238" s="15"/>
      <c r="KIG238" s="15"/>
      <c r="KIH238" s="10"/>
      <c r="KII238" s="10"/>
      <c r="KIJ238" s="21"/>
      <c r="KIK238" s="21"/>
      <c r="KIN238" s="21"/>
      <c r="KIO238" s="15"/>
      <c r="KIP238" s="15"/>
      <c r="KIQ238" s="15"/>
      <c r="KIR238" s="15"/>
      <c r="KIS238" s="15"/>
      <c r="KIT238" s="15"/>
      <c r="KIU238" s="15"/>
      <c r="KIV238" s="15"/>
      <c r="KIW238" s="15"/>
      <c r="KIX238" s="15"/>
      <c r="KIY238" s="10"/>
      <c r="KIZ238" s="10"/>
      <c r="KJA238" s="21"/>
      <c r="KJB238" s="21"/>
      <c r="KJE238" s="21"/>
      <c r="KJF238" s="15"/>
      <c r="KJG238" s="15"/>
      <c r="KJH238" s="15"/>
      <c r="KJI238" s="15"/>
      <c r="KJJ238" s="15"/>
      <c r="KJK238" s="15"/>
      <c r="KJL238" s="15"/>
      <c r="KJM238" s="15"/>
      <c r="KJN238" s="15"/>
      <c r="KJO238" s="15"/>
      <c r="KJP238" s="10"/>
      <c r="KJQ238" s="10"/>
      <c r="KJR238" s="21"/>
      <c r="KJS238" s="21"/>
      <c r="KJV238" s="21"/>
      <c r="KJW238" s="15"/>
      <c r="KJX238" s="15"/>
      <c r="KJY238" s="15"/>
      <c r="KJZ238" s="15"/>
      <c r="KKA238" s="15"/>
      <c r="KKB238" s="15"/>
      <c r="KKC238" s="15"/>
      <c r="KKD238" s="15"/>
      <c r="KKE238" s="15"/>
      <c r="KKF238" s="15"/>
      <c r="KKG238" s="10"/>
      <c r="KKH238" s="10"/>
      <c r="KKI238" s="21"/>
      <c r="KKJ238" s="21"/>
      <c r="KKM238" s="21"/>
      <c r="KKN238" s="15"/>
      <c r="KKO238" s="15"/>
      <c r="KKP238" s="15"/>
      <c r="KKQ238" s="15"/>
      <c r="KKR238" s="15"/>
      <c r="KKS238" s="15"/>
      <c r="KKT238" s="15"/>
      <c r="KKU238" s="15"/>
      <c r="KKV238" s="15"/>
      <c r="KKW238" s="15"/>
      <c r="KKX238" s="10"/>
      <c r="KKY238" s="10"/>
      <c r="KKZ238" s="21"/>
      <c r="KLA238" s="21"/>
      <c r="KLD238" s="21"/>
      <c r="KLE238" s="15"/>
      <c r="KLF238" s="15"/>
      <c r="KLG238" s="15"/>
      <c r="KLH238" s="15"/>
      <c r="KLI238" s="15"/>
      <c r="KLJ238" s="15"/>
      <c r="KLK238" s="15"/>
      <c r="KLL238" s="15"/>
      <c r="KLM238" s="15"/>
      <c r="KLN238" s="15"/>
      <c r="KLO238" s="10"/>
      <c r="KLP238" s="10"/>
      <c r="KLQ238" s="21"/>
      <c r="KLR238" s="21"/>
      <c r="KLU238" s="21"/>
      <c r="KLV238" s="15"/>
      <c r="KLW238" s="15"/>
      <c r="KLX238" s="15"/>
      <c r="KLY238" s="15"/>
      <c r="KLZ238" s="15"/>
      <c r="KMA238" s="15"/>
      <c r="KMB238" s="15"/>
      <c r="KMC238" s="15"/>
      <c r="KMD238" s="15"/>
      <c r="KME238" s="15"/>
      <c r="KMF238" s="10"/>
      <c r="KMG238" s="10"/>
      <c r="KMH238" s="21"/>
      <c r="KMI238" s="21"/>
      <c r="KML238" s="21"/>
      <c r="KMM238" s="15"/>
      <c r="KMN238" s="15"/>
      <c r="KMO238" s="15"/>
      <c r="KMP238" s="15"/>
      <c r="KMQ238" s="15"/>
      <c r="KMR238" s="15"/>
      <c r="KMS238" s="15"/>
      <c r="KMT238" s="15"/>
      <c r="KMU238" s="15"/>
      <c r="KMV238" s="15"/>
      <c r="KMW238" s="10"/>
      <c r="KMX238" s="10"/>
      <c r="KMY238" s="21"/>
      <c r="KMZ238" s="21"/>
      <c r="KNC238" s="21"/>
      <c r="KND238" s="15"/>
      <c r="KNE238" s="15"/>
      <c r="KNF238" s="15"/>
      <c r="KNG238" s="15"/>
      <c r="KNH238" s="15"/>
      <c r="KNI238" s="15"/>
      <c r="KNJ238" s="15"/>
      <c r="KNK238" s="15"/>
      <c r="KNL238" s="15"/>
      <c r="KNM238" s="15"/>
      <c r="KNN238" s="10"/>
      <c r="KNO238" s="10"/>
      <c r="KNP238" s="21"/>
      <c r="KNQ238" s="21"/>
      <c r="KNT238" s="21"/>
      <c r="KNU238" s="15"/>
      <c r="KNV238" s="15"/>
      <c r="KNW238" s="15"/>
      <c r="KNX238" s="15"/>
      <c r="KNY238" s="15"/>
      <c r="KNZ238" s="15"/>
      <c r="KOA238" s="15"/>
      <c r="KOB238" s="15"/>
      <c r="KOC238" s="15"/>
      <c r="KOD238" s="15"/>
      <c r="KOE238" s="10"/>
      <c r="KOF238" s="10"/>
      <c r="KOG238" s="21"/>
      <c r="KOH238" s="21"/>
      <c r="KOK238" s="21"/>
      <c r="KOL238" s="15"/>
      <c r="KOM238" s="15"/>
      <c r="KON238" s="15"/>
      <c r="KOO238" s="15"/>
      <c r="KOP238" s="15"/>
      <c r="KOQ238" s="15"/>
      <c r="KOR238" s="15"/>
      <c r="KOS238" s="15"/>
      <c r="KOT238" s="15"/>
      <c r="KOU238" s="15"/>
      <c r="KOV238" s="10"/>
      <c r="KOW238" s="10"/>
      <c r="KOX238" s="21"/>
      <c r="KOY238" s="21"/>
      <c r="KPB238" s="21"/>
      <c r="KPC238" s="15"/>
      <c r="KPD238" s="15"/>
      <c r="KPE238" s="15"/>
      <c r="KPF238" s="15"/>
      <c r="KPG238" s="15"/>
      <c r="KPH238" s="15"/>
      <c r="KPI238" s="15"/>
      <c r="KPJ238" s="15"/>
      <c r="KPK238" s="15"/>
      <c r="KPL238" s="15"/>
      <c r="KPM238" s="10"/>
      <c r="KPN238" s="10"/>
      <c r="KPO238" s="21"/>
      <c r="KPP238" s="21"/>
      <c r="KPS238" s="21"/>
      <c r="KPT238" s="15"/>
      <c r="KPU238" s="15"/>
      <c r="KPV238" s="15"/>
      <c r="KPW238" s="15"/>
      <c r="KPX238" s="15"/>
      <c r="KPY238" s="15"/>
      <c r="KPZ238" s="15"/>
      <c r="KQA238" s="15"/>
      <c r="KQB238" s="15"/>
      <c r="KQC238" s="15"/>
      <c r="KQD238" s="10"/>
      <c r="KQE238" s="10"/>
      <c r="KQF238" s="21"/>
      <c r="KQG238" s="21"/>
      <c r="KQJ238" s="21"/>
      <c r="KQK238" s="15"/>
      <c r="KQL238" s="15"/>
      <c r="KQM238" s="15"/>
      <c r="KQN238" s="15"/>
      <c r="KQO238" s="15"/>
      <c r="KQP238" s="15"/>
      <c r="KQQ238" s="15"/>
      <c r="KQR238" s="15"/>
      <c r="KQS238" s="15"/>
      <c r="KQT238" s="15"/>
      <c r="KQU238" s="10"/>
      <c r="KQV238" s="10"/>
      <c r="KQW238" s="21"/>
      <c r="KQX238" s="21"/>
      <c r="KRA238" s="21"/>
      <c r="KRB238" s="15"/>
      <c r="KRC238" s="15"/>
      <c r="KRD238" s="15"/>
      <c r="KRE238" s="15"/>
      <c r="KRF238" s="15"/>
      <c r="KRG238" s="15"/>
      <c r="KRH238" s="15"/>
      <c r="KRI238" s="15"/>
      <c r="KRJ238" s="15"/>
      <c r="KRK238" s="15"/>
      <c r="KRL238" s="10"/>
      <c r="KRM238" s="10"/>
      <c r="KRN238" s="21"/>
      <c r="KRO238" s="21"/>
      <c r="KRR238" s="21"/>
      <c r="KRS238" s="15"/>
      <c r="KRT238" s="15"/>
      <c r="KRU238" s="15"/>
      <c r="KRV238" s="15"/>
      <c r="KRW238" s="15"/>
      <c r="KRX238" s="15"/>
      <c r="KRY238" s="15"/>
      <c r="KRZ238" s="15"/>
      <c r="KSA238" s="15"/>
      <c r="KSB238" s="15"/>
      <c r="KSC238" s="10"/>
      <c r="KSD238" s="10"/>
      <c r="KSE238" s="21"/>
      <c r="KSF238" s="21"/>
      <c r="KSI238" s="21"/>
      <c r="KSJ238" s="15"/>
      <c r="KSK238" s="15"/>
      <c r="KSL238" s="15"/>
      <c r="KSM238" s="15"/>
      <c r="KSN238" s="15"/>
      <c r="KSO238" s="15"/>
      <c r="KSP238" s="15"/>
      <c r="KSQ238" s="15"/>
      <c r="KSR238" s="15"/>
      <c r="KSS238" s="15"/>
      <c r="KST238" s="10"/>
      <c r="KSU238" s="10"/>
      <c r="KSV238" s="21"/>
      <c r="KSW238" s="21"/>
      <c r="KSZ238" s="21"/>
      <c r="KTA238" s="15"/>
      <c r="KTB238" s="15"/>
      <c r="KTC238" s="15"/>
      <c r="KTD238" s="15"/>
      <c r="KTE238" s="15"/>
      <c r="KTF238" s="15"/>
      <c r="KTG238" s="15"/>
      <c r="KTH238" s="15"/>
      <c r="KTI238" s="15"/>
      <c r="KTJ238" s="15"/>
      <c r="KTK238" s="10"/>
      <c r="KTL238" s="10"/>
      <c r="KTM238" s="21"/>
      <c r="KTN238" s="21"/>
      <c r="KTQ238" s="21"/>
      <c r="KTR238" s="15"/>
      <c r="KTS238" s="15"/>
      <c r="KTT238" s="15"/>
      <c r="KTU238" s="15"/>
      <c r="KTV238" s="15"/>
      <c r="KTW238" s="15"/>
      <c r="KTX238" s="15"/>
      <c r="KTY238" s="15"/>
      <c r="KTZ238" s="15"/>
      <c r="KUA238" s="15"/>
      <c r="KUB238" s="10"/>
      <c r="KUC238" s="10"/>
      <c r="KUD238" s="21"/>
      <c r="KUE238" s="21"/>
      <c r="KUH238" s="21"/>
      <c r="KUI238" s="15"/>
      <c r="KUJ238" s="15"/>
      <c r="KUK238" s="15"/>
      <c r="KUL238" s="15"/>
      <c r="KUM238" s="15"/>
      <c r="KUN238" s="15"/>
      <c r="KUO238" s="15"/>
      <c r="KUP238" s="15"/>
      <c r="KUQ238" s="15"/>
      <c r="KUR238" s="15"/>
      <c r="KUS238" s="10"/>
      <c r="KUT238" s="10"/>
      <c r="KUU238" s="21"/>
      <c r="KUV238" s="21"/>
      <c r="KUY238" s="21"/>
      <c r="KUZ238" s="15"/>
      <c r="KVA238" s="15"/>
      <c r="KVB238" s="15"/>
      <c r="KVC238" s="15"/>
      <c r="KVD238" s="15"/>
      <c r="KVE238" s="15"/>
      <c r="KVF238" s="15"/>
      <c r="KVG238" s="15"/>
      <c r="KVH238" s="15"/>
      <c r="KVI238" s="15"/>
      <c r="KVJ238" s="10"/>
      <c r="KVK238" s="10"/>
      <c r="KVL238" s="21"/>
      <c r="KVM238" s="21"/>
      <c r="KVP238" s="21"/>
      <c r="KVQ238" s="15"/>
      <c r="KVR238" s="15"/>
      <c r="KVS238" s="15"/>
      <c r="KVT238" s="15"/>
      <c r="KVU238" s="15"/>
      <c r="KVV238" s="15"/>
      <c r="KVW238" s="15"/>
      <c r="KVX238" s="15"/>
      <c r="KVY238" s="15"/>
      <c r="KVZ238" s="15"/>
      <c r="KWA238" s="10"/>
      <c r="KWB238" s="10"/>
      <c r="KWC238" s="21"/>
      <c r="KWD238" s="21"/>
      <c r="KWG238" s="21"/>
      <c r="KWH238" s="15"/>
      <c r="KWI238" s="15"/>
      <c r="KWJ238" s="15"/>
      <c r="KWK238" s="15"/>
      <c r="KWL238" s="15"/>
      <c r="KWM238" s="15"/>
      <c r="KWN238" s="15"/>
      <c r="KWO238" s="15"/>
      <c r="KWP238" s="15"/>
      <c r="KWQ238" s="15"/>
      <c r="KWR238" s="10"/>
      <c r="KWS238" s="10"/>
      <c r="KWT238" s="21"/>
      <c r="KWU238" s="21"/>
      <c r="KWX238" s="21"/>
      <c r="KWY238" s="15"/>
      <c r="KWZ238" s="15"/>
      <c r="KXA238" s="15"/>
      <c r="KXB238" s="15"/>
      <c r="KXC238" s="15"/>
      <c r="KXD238" s="15"/>
      <c r="KXE238" s="15"/>
      <c r="KXF238" s="15"/>
      <c r="KXG238" s="15"/>
      <c r="KXH238" s="15"/>
      <c r="KXI238" s="10"/>
      <c r="KXJ238" s="10"/>
      <c r="KXK238" s="21"/>
      <c r="KXL238" s="21"/>
      <c r="KXO238" s="21"/>
      <c r="KXP238" s="15"/>
      <c r="KXQ238" s="15"/>
      <c r="KXR238" s="15"/>
      <c r="KXS238" s="15"/>
      <c r="KXT238" s="15"/>
      <c r="KXU238" s="15"/>
      <c r="KXV238" s="15"/>
      <c r="KXW238" s="15"/>
      <c r="KXX238" s="15"/>
      <c r="KXY238" s="15"/>
      <c r="KXZ238" s="10"/>
      <c r="KYA238" s="10"/>
      <c r="KYB238" s="21"/>
      <c r="KYC238" s="21"/>
      <c r="KYF238" s="21"/>
      <c r="KYG238" s="15"/>
      <c r="KYH238" s="15"/>
      <c r="KYI238" s="15"/>
      <c r="KYJ238" s="15"/>
      <c r="KYK238" s="15"/>
      <c r="KYL238" s="15"/>
      <c r="KYM238" s="15"/>
      <c r="KYN238" s="15"/>
      <c r="KYO238" s="15"/>
      <c r="KYP238" s="15"/>
      <c r="KYQ238" s="10"/>
      <c r="KYR238" s="10"/>
      <c r="KYS238" s="21"/>
      <c r="KYT238" s="21"/>
      <c r="KYW238" s="21"/>
      <c r="KYX238" s="15"/>
      <c r="KYY238" s="15"/>
      <c r="KYZ238" s="15"/>
      <c r="KZA238" s="15"/>
      <c r="KZB238" s="15"/>
      <c r="KZC238" s="15"/>
      <c r="KZD238" s="15"/>
      <c r="KZE238" s="15"/>
      <c r="KZF238" s="15"/>
      <c r="KZG238" s="15"/>
      <c r="KZH238" s="10"/>
      <c r="KZI238" s="10"/>
      <c r="KZJ238" s="21"/>
      <c r="KZK238" s="21"/>
      <c r="KZN238" s="21"/>
      <c r="KZO238" s="15"/>
      <c r="KZP238" s="15"/>
      <c r="KZQ238" s="15"/>
      <c r="KZR238" s="15"/>
      <c r="KZS238" s="15"/>
      <c r="KZT238" s="15"/>
      <c r="KZU238" s="15"/>
      <c r="KZV238" s="15"/>
      <c r="KZW238" s="15"/>
      <c r="KZX238" s="15"/>
      <c r="KZY238" s="10"/>
      <c r="KZZ238" s="10"/>
      <c r="LAA238" s="21"/>
      <c r="LAB238" s="21"/>
      <c r="LAE238" s="21"/>
      <c r="LAF238" s="15"/>
      <c r="LAG238" s="15"/>
      <c r="LAH238" s="15"/>
      <c r="LAI238" s="15"/>
      <c r="LAJ238" s="15"/>
      <c r="LAK238" s="15"/>
      <c r="LAL238" s="15"/>
      <c r="LAM238" s="15"/>
      <c r="LAN238" s="15"/>
      <c r="LAO238" s="15"/>
      <c r="LAP238" s="10"/>
      <c r="LAQ238" s="10"/>
      <c r="LAR238" s="21"/>
      <c r="LAS238" s="21"/>
      <c r="LAV238" s="21"/>
      <c r="LAW238" s="15"/>
      <c r="LAX238" s="15"/>
      <c r="LAY238" s="15"/>
      <c r="LAZ238" s="15"/>
      <c r="LBA238" s="15"/>
      <c r="LBB238" s="15"/>
      <c r="LBC238" s="15"/>
      <c r="LBD238" s="15"/>
      <c r="LBE238" s="15"/>
      <c r="LBF238" s="15"/>
      <c r="LBG238" s="10"/>
      <c r="LBH238" s="10"/>
      <c r="LBI238" s="21"/>
      <c r="LBJ238" s="21"/>
      <c r="LBM238" s="21"/>
      <c r="LBN238" s="15"/>
      <c r="LBO238" s="15"/>
      <c r="LBP238" s="15"/>
      <c r="LBQ238" s="15"/>
      <c r="LBR238" s="15"/>
      <c r="LBS238" s="15"/>
      <c r="LBT238" s="15"/>
      <c r="LBU238" s="15"/>
      <c r="LBV238" s="15"/>
      <c r="LBW238" s="15"/>
      <c r="LBX238" s="10"/>
      <c r="LBY238" s="10"/>
      <c r="LBZ238" s="21"/>
      <c r="LCA238" s="21"/>
      <c r="LCD238" s="21"/>
      <c r="LCE238" s="15"/>
      <c r="LCF238" s="15"/>
      <c r="LCG238" s="15"/>
      <c r="LCH238" s="15"/>
      <c r="LCI238" s="15"/>
      <c r="LCJ238" s="15"/>
      <c r="LCK238" s="15"/>
      <c r="LCL238" s="15"/>
      <c r="LCM238" s="15"/>
      <c r="LCN238" s="15"/>
      <c r="LCO238" s="10"/>
      <c r="LCP238" s="10"/>
      <c r="LCQ238" s="21"/>
      <c r="LCR238" s="21"/>
      <c r="LCU238" s="21"/>
      <c r="LCV238" s="15"/>
      <c r="LCW238" s="15"/>
      <c r="LCX238" s="15"/>
      <c r="LCY238" s="15"/>
      <c r="LCZ238" s="15"/>
      <c r="LDA238" s="15"/>
      <c r="LDB238" s="15"/>
      <c r="LDC238" s="15"/>
      <c r="LDD238" s="15"/>
      <c r="LDE238" s="15"/>
      <c r="LDF238" s="10"/>
      <c r="LDG238" s="10"/>
      <c r="LDH238" s="21"/>
      <c r="LDI238" s="21"/>
      <c r="LDL238" s="21"/>
      <c r="LDM238" s="15"/>
      <c r="LDN238" s="15"/>
      <c r="LDO238" s="15"/>
      <c r="LDP238" s="15"/>
      <c r="LDQ238" s="15"/>
      <c r="LDR238" s="15"/>
      <c r="LDS238" s="15"/>
      <c r="LDT238" s="15"/>
      <c r="LDU238" s="15"/>
      <c r="LDV238" s="15"/>
      <c r="LDW238" s="10"/>
      <c r="LDX238" s="10"/>
      <c r="LDY238" s="21"/>
      <c r="LDZ238" s="21"/>
      <c r="LEC238" s="21"/>
      <c r="LED238" s="15"/>
      <c r="LEE238" s="15"/>
      <c r="LEF238" s="15"/>
      <c r="LEG238" s="15"/>
      <c r="LEH238" s="15"/>
      <c r="LEI238" s="15"/>
      <c r="LEJ238" s="15"/>
      <c r="LEK238" s="15"/>
      <c r="LEL238" s="15"/>
      <c r="LEM238" s="15"/>
      <c r="LEN238" s="10"/>
      <c r="LEO238" s="10"/>
      <c r="LEP238" s="21"/>
      <c r="LEQ238" s="21"/>
      <c r="LET238" s="21"/>
      <c r="LEU238" s="15"/>
      <c r="LEV238" s="15"/>
      <c r="LEW238" s="15"/>
      <c r="LEX238" s="15"/>
      <c r="LEY238" s="15"/>
      <c r="LEZ238" s="15"/>
      <c r="LFA238" s="15"/>
      <c r="LFB238" s="15"/>
      <c r="LFC238" s="15"/>
      <c r="LFD238" s="15"/>
      <c r="LFE238" s="10"/>
      <c r="LFF238" s="10"/>
      <c r="LFG238" s="21"/>
      <c r="LFH238" s="21"/>
      <c r="LFK238" s="21"/>
      <c r="LFL238" s="15"/>
      <c r="LFM238" s="15"/>
      <c r="LFN238" s="15"/>
      <c r="LFO238" s="15"/>
      <c r="LFP238" s="15"/>
      <c r="LFQ238" s="15"/>
      <c r="LFR238" s="15"/>
      <c r="LFS238" s="15"/>
      <c r="LFT238" s="15"/>
      <c r="LFU238" s="15"/>
      <c r="LFV238" s="10"/>
      <c r="LFW238" s="10"/>
      <c r="LFX238" s="21"/>
      <c r="LFY238" s="21"/>
      <c r="LGB238" s="21"/>
      <c r="LGC238" s="15"/>
      <c r="LGD238" s="15"/>
      <c r="LGE238" s="15"/>
      <c r="LGF238" s="15"/>
      <c r="LGG238" s="15"/>
      <c r="LGH238" s="15"/>
      <c r="LGI238" s="15"/>
      <c r="LGJ238" s="15"/>
      <c r="LGK238" s="15"/>
      <c r="LGL238" s="15"/>
      <c r="LGM238" s="10"/>
      <c r="LGN238" s="10"/>
      <c r="LGO238" s="21"/>
      <c r="LGP238" s="21"/>
      <c r="LGS238" s="21"/>
      <c r="LGT238" s="15"/>
      <c r="LGU238" s="15"/>
      <c r="LGV238" s="15"/>
      <c r="LGW238" s="15"/>
      <c r="LGX238" s="15"/>
      <c r="LGY238" s="15"/>
      <c r="LGZ238" s="15"/>
      <c r="LHA238" s="15"/>
      <c r="LHB238" s="15"/>
      <c r="LHC238" s="15"/>
      <c r="LHD238" s="10"/>
      <c r="LHE238" s="10"/>
      <c r="LHF238" s="21"/>
      <c r="LHG238" s="21"/>
      <c r="LHJ238" s="21"/>
      <c r="LHK238" s="15"/>
      <c r="LHL238" s="15"/>
      <c r="LHM238" s="15"/>
      <c r="LHN238" s="15"/>
      <c r="LHO238" s="15"/>
      <c r="LHP238" s="15"/>
      <c r="LHQ238" s="15"/>
      <c r="LHR238" s="15"/>
      <c r="LHS238" s="15"/>
      <c r="LHT238" s="15"/>
      <c r="LHU238" s="10"/>
      <c r="LHV238" s="10"/>
      <c r="LHW238" s="21"/>
      <c r="LHX238" s="21"/>
      <c r="LIA238" s="21"/>
      <c r="LIB238" s="15"/>
      <c r="LIC238" s="15"/>
      <c r="LID238" s="15"/>
      <c r="LIE238" s="15"/>
      <c r="LIF238" s="15"/>
      <c r="LIG238" s="15"/>
      <c r="LIH238" s="15"/>
      <c r="LII238" s="15"/>
      <c r="LIJ238" s="15"/>
      <c r="LIK238" s="15"/>
      <c r="LIL238" s="10"/>
      <c r="LIM238" s="10"/>
      <c r="LIN238" s="21"/>
      <c r="LIO238" s="21"/>
      <c r="LIR238" s="21"/>
      <c r="LIS238" s="15"/>
      <c r="LIT238" s="15"/>
      <c r="LIU238" s="15"/>
      <c r="LIV238" s="15"/>
      <c r="LIW238" s="15"/>
      <c r="LIX238" s="15"/>
      <c r="LIY238" s="15"/>
      <c r="LIZ238" s="15"/>
      <c r="LJA238" s="15"/>
      <c r="LJB238" s="15"/>
      <c r="LJC238" s="10"/>
      <c r="LJD238" s="10"/>
      <c r="LJE238" s="21"/>
      <c r="LJF238" s="21"/>
      <c r="LJI238" s="21"/>
      <c r="LJJ238" s="15"/>
      <c r="LJK238" s="15"/>
      <c r="LJL238" s="15"/>
      <c r="LJM238" s="15"/>
      <c r="LJN238" s="15"/>
      <c r="LJO238" s="15"/>
      <c r="LJP238" s="15"/>
      <c r="LJQ238" s="15"/>
      <c r="LJR238" s="15"/>
      <c r="LJS238" s="15"/>
      <c r="LJT238" s="10"/>
      <c r="LJU238" s="10"/>
      <c r="LJV238" s="21"/>
      <c r="LJW238" s="21"/>
      <c r="LJZ238" s="21"/>
      <c r="LKA238" s="15"/>
      <c r="LKB238" s="15"/>
      <c r="LKC238" s="15"/>
      <c r="LKD238" s="15"/>
      <c r="LKE238" s="15"/>
      <c r="LKF238" s="15"/>
      <c r="LKG238" s="15"/>
      <c r="LKH238" s="15"/>
      <c r="LKI238" s="15"/>
      <c r="LKJ238" s="15"/>
      <c r="LKK238" s="10"/>
      <c r="LKL238" s="10"/>
      <c r="LKM238" s="21"/>
      <c r="LKN238" s="21"/>
      <c r="LKQ238" s="21"/>
      <c r="LKR238" s="15"/>
      <c r="LKS238" s="15"/>
      <c r="LKT238" s="15"/>
      <c r="LKU238" s="15"/>
      <c r="LKV238" s="15"/>
      <c r="LKW238" s="15"/>
      <c r="LKX238" s="15"/>
      <c r="LKY238" s="15"/>
      <c r="LKZ238" s="15"/>
      <c r="LLA238" s="15"/>
      <c r="LLB238" s="10"/>
      <c r="LLC238" s="10"/>
      <c r="LLD238" s="21"/>
      <c r="LLE238" s="21"/>
      <c r="LLH238" s="21"/>
      <c r="LLI238" s="15"/>
      <c r="LLJ238" s="15"/>
      <c r="LLK238" s="15"/>
      <c r="LLL238" s="15"/>
      <c r="LLM238" s="15"/>
      <c r="LLN238" s="15"/>
      <c r="LLO238" s="15"/>
      <c r="LLP238" s="15"/>
      <c r="LLQ238" s="15"/>
      <c r="LLR238" s="15"/>
      <c r="LLS238" s="10"/>
      <c r="LLT238" s="10"/>
      <c r="LLU238" s="21"/>
      <c r="LLV238" s="21"/>
      <c r="LLY238" s="21"/>
      <c r="LLZ238" s="15"/>
      <c r="LMA238" s="15"/>
      <c r="LMB238" s="15"/>
      <c r="LMC238" s="15"/>
      <c r="LMD238" s="15"/>
      <c r="LME238" s="15"/>
      <c r="LMF238" s="15"/>
      <c r="LMG238" s="15"/>
      <c r="LMH238" s="15"/>
      <c r="LMI238" s="15"/>
      <c r="LMJ238" s="10"/>
      <c r="LMK238" s="10"/>
      <c r="LML238" s="21"/>
      <c r="LMM238" s="21"/>
      <c r="LMP238" s="21"/>
      <c r="LMQ238" s="15"/>
      <c r="LMR238" s="15"/>
      <c r="LMS238" s="15"/>
      <c r="LMT238" s="15"/>
      <c r="LMU238" s="15"/>
      <c r="LMV238" s="15"/>
      <c r="LMW238" s="15"/>
      <c r="LMX238" s="15"/>
      <c r="LMY238" s="15"/>
      <c r="LMZ238" s="15"/>
      <c r="LNA238" s="10"/>
      <c r="LNB238" s="10"/>
      <c r="LNC238" s="21"/>
      <c r="LND238" s="21"/>
      <c r="LNG238" s="21"/>
      <c r="LNH238" s="15"/>
      <c r="LNI238" s="15"/>
      <c r="LNJ238" s="15"/>
      <c r="LNK238" s="15"/>
      <c r="LNL238" s="15"/>
      <c r="LNM238" s="15"/>
      <c r="LNN238" s="15"/>
      <c r="LNO238" s="15"/>
      <c r="LNP238" s="15"/>
      <c r="LNQ238" s="15"/>
      <c r="LNR238" s="10"/>
      <c r="LNS238" s="10"/>
      <c r="LNT238" s="21"/>
      <c r="LNU238" s="21"/>
      <c r="LNX238" s="21"/>
      <c r="LNY238" s="15"/>
      <c r="LNZ238" s="15"/>
      <c r="LOA238" s="15"/>
      <c r="LOB238" s="15"/>
      <c r="LOC238" s="15"/>
      <c r="LOD238" s="15"/>
      <c r="LOE238" s="15"/>
      <c r="LOF238" s="15"/>
      <c r="LOG238" s="15"/>
      <c r="LOH238" s="15"/>
      <c r="LOI238" s="10"/>
      <c r="LOJ238" s="10"/>
      <c r="LOK238" s="21"/>
      <c r="LOL238" s="21"/>
      <c r="LOO238" s="21"/>
      <c r="LOP238" s="15"/>
      <c r="LOQ238" s="15"/>
      <c r="LOR238" s="15"/>
      <c r="LOS238" s="15"/>
      <c r="LOT238" s="15"/>
      <c r="LOU238" s="15"/>
      <c r="LOV238" s="15"/>
      <c r="LOW238" s="15"/>
      <c r="LOX238" s="15"/>
      <c r="LOY238" s="15"/>
      <c r="LOZ238" s="10"/>
      <c r="LPA238" s="10"/>
      <c r="LPB238" s="21"/>
      <c r="LPC238" s="21"/>
      <c r="LPF238" s="21"/>
      <c r="LPG238" s="15"/>
      <c r="LPH238" s="15"/>
      <c r="LPI238" s="15"/>
      <c r="LPJ238" s="15"/>
      <c r="LPK238" s="15"/>
      <c r="LPL238" s="15"/>
      <c r="LPM238" s="15"/>
      <c r="LPN238" s="15"/>
      <c r="LPO238" s="15"/>
      <c r="LPP238" s="15"/>
      <c r="LPQ238" s="10"/>
      <c r="LPR238" s="10"/>
      <c r="LPS238" s="21"/>
      <c r="LPT238" s="21"/>
      <c r="LPW238" s="21"/>
      <c r="LPX238" s="15"/>
      <c r="LPY238" s="15"/>
      <c r="LPZ238" s="15"/>
      <c r="LQA238" s="15"/>
      <c r="LQB238" s="15"/>
      <c r="LQC238" s="15"/>
      <c r="LQD238" s="15"/>
      <c r="LQE238" s="15"/>
      <c r="LQF238" s="15"/>
      <c r="LQG238" s="15"/>
      <c r="LQH238" s="10"/>
      <c r="LQI238" s="10"/>
      <c r="LQJ238" s="21"/>
      <c r="LQK238" s="21"/>
      <c r="LQN238" s="21"/>
      <c r="LQO238" s="15"/>
      <c r="LQP238" s="15"/>
      <c r="LQQ238" s="15"/>
      <c r="LQR238" s="15"/>
      <c r="LQS238" s="15"/>
      <c r="LQT238" s="15"/>
      <c r="LQU238" s="15"/>
      <c r="LQV238" s="15"/>
      <c r="LQW238" s="15"/>
      <c r="LQX238" s="15"/>
      <c r="LQY238" s="10"/>
      <c r="LQZ238" s="10"/>
      <c r="LRA238" s="21"/>
      <c r="LRB238" s="21"/>
      <c r="LRE238" s="21"/>
      <c r="LRF238" s="15"/>
      <c r="LRG238" s="15"/>
      <c r="LRH238" s="15"/>
      <c r="LRI238" s="15"/>
      <c r="LRJ238" s="15"/>
      <c r="LRK238" s="15"/>
      <c r="LRL238" s="15"/>
      <c r="LRM238" s="15"/>
      <c r="LRN238" s="15"/>
      <c r="LRO238" s="15"/>
      <c r="LRP238" s="10"/>
      <c r="LRQ238" s="10"/>
      <c r="LRR238" s="21"/>
      <c r="LRS238" s="21"/>
      <c r="LRV238" s="21"/>
      <c r="LRW238" s="15"/>
      <c r="LRX238" s="15"/>
      <c r="LRY238" s="15"/>
      <c r="LRZ238" s="15"/>
      <c r="LSA238" s="15"/>
      <c r="LSB238" s="15"/>
      <c r="LSC238" s="15"/>
      <c r="LSD238" s="15"/>
      <c r="LSE238" s="15"/>
      <c r="LSF238" s="15"/>
      <c r="LSG238" s="10"/>
      <c r="LSH238" s="10"/>
      <c r="LSI238" s="21"/>
      <c r="LSJ238" s="21"/>
      <c r="LSM238" s="21"/>
      <c r="LSN238" s="15"/>
      <c r="LSO238" s="15"/>
      <c r="LSP238" s="15"/>
      <c r="LSQ238" s="15"/>
      <c r="LSR238" s="15"/>
      <c r="LSS238" s="15"/>
      <c r="LST238" s="15"/>
      <c r="LSU238" s="15"/>
      <c r="LSV238" s="15"/>
      <c r="LSW238" s="15"/>
      <c r="LSX238" s="10"/>
      <c r="LSY238" s="10"/>
      <c r="LSZ238" s="21"/>
      <c r="LTA238" s="21"/>
      <c r="LTD238" s="21"/>
      <c r="LTE238" s="15"/>
      <c r="LTF238" s="15"/>
      <c r="LTG238" s="15"/>
      <c r="LTH238" s="15"/>
      <c r="LTI238" s="15"/>
      <c r="LTJ238" s="15"/>
      <c r="LTK238" s="15"/>
      <c r="LTL238" s="15"/>
      <c r="LTM238" s="15"/>
      <c r="LTN238" s="15"/>
      <c r="LTO238" s="10"/>
      <c r="LTP238" s="10"/>
      <c r="LTQ238" s="21"/>
      <c r="LTR238" s="21"/>
      <c r="LTU238" s="21"/>
      <c r="LTV238" s="15"/>
      <c r="LTW238" s="15"/>
      <c r="LTX238" s="15"/>
      <c r="LTY238" s="15"/>
      <c r="LTZ238" s="15"/>
      <c r="LUA238" s="15"/>
      <c r="LUB238" s="15"/>
      <c r="LUC238" s="15"/>
      <c r="LUD238" s="15"/>
      <c r="LUE238" s="15"/>
      <c r="LUF238" s="10"/>
      <c r="LUG238" s="10"/>
      <c r="LUH238" s="21"/>
      <c r="LUI238" s="21"/>
      <c r="LUL238" s="21"/>
      <c r="LUM238" s="15"/>
      <c r="LUN238" s="15"/>
      <c r="LUO238" s="15"/>
      <c r="LUP238" s="15"/>
      <c r="LUQ238" s="15"/>
      <c r="LUR238" s="15"/>
      <c r="LUS238" s="15"/>
      <c r="LUT238" s="15"/>
      <c r="LUU238" s="15"/>
      <c r="LUV238" s="15"/>
      <c r="LUW238" s="10"/>
      <c r="LUX238" s="10"/>
      <c r="LUY238" s="21"/>
      <c r="LUZ238" s="21"/>
      <c r="LVC238" s="21"/>
      <c r="LVD238" s="15"/>
      <c r="LVE238" s="15"/>
      <c r="LVF238" s="15"/>
      <c r="LVG238" s="15"/>
      <c r="LVH238" s="15"/>
      <c r="LVI238" s="15"/>
      <c r="LVJ238" s="15"/>
      <c r="LVK238" s="15"/>
      <c r="LVL238" s="15"/>
      <c r="LVM238" s="15"/>
      <c r="LVN238" s="10"/>
      <c r="LVO238" s="10"/>
      <c r="LVP238" s="21"/>
      <c r="LVQ238" s="21"/>
      <c r="LVT238" s="21"/>
      <c r="LVU238" s="15"/>
      <c r="LVV238" s="15"/>
      <c r="LVW238" s="15"/>
      <c r="LVX238" s="15"/>
      <c r="LVY238" s="15"/>
      <c r="LVZ238" s="15"/>
      <c r="LWA238" s="15"/>
      <c r="LWB238" s="15"/>
      <c r="LWC238" s="15"/>
      <c r="LWD238" s="15"/>
      <c r="LWE238" s="10"/>
      <c r="LWF238" s="10"/>
      <c r="LWG238" s="21"/>
      <c r="LWH238" s="21"/>
      <c r="LWK238" s="21"/>
      <c r="LWL238" s="15"/>
      <c r="LWM238" s="15"/>
      <c r="LWN238" s="15"/>
      <c r="LWO238" s="15"/>
      <c r="LWP238" s="15"/>
      <c r="LWQ238" s="15"/>
      <c r="LWR238" s="15"/>
      <c r="LWS238" s="15"/>
      <c r="LWT238" s="15"/>
      <c r="LWU238" s="15"/>
      <c r="LWV238" s="10"/>
      <c r="LWW238" s="10"/>
      <c r="LWX238" s="21"/>
      <c r="LWY238" s="21"/>
      <c r="LXB238" s="21"/>
      <c r="LXC238" s="15"/>
      <c r="LXD238" s="15"/>
      <c r="LXE238" s="15"/>
      <c r="LXF238" s="15"/>
      <c r="LXG238" s="15"/>
      <c r="LXH238" s="15"/>
      <c r="LXI238" s="15"/>
      <c r="LXJ238" s="15"/>
      <c r="LXK238" s="15"/>
      <c r="LXL238" s="15"/>
      <c r="LXM238" s="10"/>
      <c r="LXN238" s="10"/>
      <c r="LXO238" s="21"/>
      <c r="LXP238" s="21"/>
      <c r="LXS238" s="21"/>
      <c r="LXT238" s="15"/>
      <c r="LXU238" s="15"/>
      <c r="LXV238" s="15"/>
      <c r="LXW238" s="15"/>
      <c r="LXX238" s="15"/>
      <c r="LXY238" s="15"/>
      <c r="LXZ238" s="15"/>
      <c r="LYA238" s="15"/>
      <c r="LYB238" s="15"/>
      <c r="LYC238" s="15"/>
      <c r="LYD238" s="10"/>
      <c r="LYE238" s="10"/>
      <c r="LYF238" s="21"/>
      <c r="LYG238" s="21"/>
      <c r="LYJ238" s="21"/>
      <c r="LYK238" s="15"/>
      <c r="LYL238" s="15"/>
      <c r="LYM238" s="15"/>
      <c r="LYN238" s="15"/>
      <c r="LYO238" s="15"/>
      <c r="LYP238" s="15"/>
      <c r="LYQ238" s="15"/>
      <c r="LYR238" s="15"/>
      <c r="LYS238" s="15"/>
      <c r="LYT238" s="15"/>
      <c r="LYU238" s="10"/>
      <c r="LYV238" s="10"/>
      <c r="LYW238" s="21"/>
      <c r="LYX238" s="21"/>
      <c r="LZA238" s="21"/>
      <c r="LZB238" s="15"/>
      <c r="LZC238" s="15"/>
      <c r="LZD238" s="15"/>
      <c r="LZE238" s="15"/>
      <c r="LZF238" s="15"/>
      <c r="LZG238" s="15"/>
      <c r="LZH238" s="15"/>
      <c r="LZI238" s="15"/>
      <c r="LZJ238" s="15"/>
      <c r="LZK238" s="15"/>
      <c r="LZL238" s="10"/>
      <c r="LZM238" s="10"/>
      <c r="LZN238" s="21"/>
      <c r="LZO238" s="21"/>
      <c r="LZR238" s="21"/>
      <c r="LZS238" s="15"/>
      <c r="LZT238" s="15"/>
      <c r="LZU238" s="15"/>
      <c r="LZV238" s="15"/>
      <c r="LZW238" s="15"/>
      <c r="LZX238" s="15"/>
      <c r="LZY238" s="15"/>
      <c r="LZZ238" s="15"/>
      <c r="MAA238" s="15"/>
      <c r="MAB238" s="15"/>
      <c r="MAC238" s="10"/>
      <c r="MAD238" s="10"/>
      <c r="MAE238" s="21"/>
      <c r="MAF238" s="21"/>
      <c r="MAI238" s="21"/>
      <c r="MAJ238" s="15"/>
      <c r="MAK238" s="15"/>
      <c r="MAL238" s="15"/>
      <c r="MAM238" s="15"/>
      <c r="MAN238" s="15"/>
      <c r="MAO238" s="15"/>
      <c r="MAP238" s="15"/>
      <c r="MAQ238" s="15"/>
      <c r="MAR238" s="15"/>
      <c r="MAS238" s="15"/>
      <c r="MAT238" s="10"/>
      <c r="MAU238" s="10"/>
      <c r="MAV238" s="21"/>
      <c r="MAW238" s="21"/>
      <c r="MAZ238" s="21"/>
      <c r="MBA238" s="15"/>
      <c r="MBB238" s="15"/>
      <c r="MBC238" s="15"/>
      <c r="MBD238" s="15"/>
      <c r="MBE238" s="15"/>
      <c r="MBF238" s="15"/>
      <c r="MBG238" s="15"/>
      <c r="MBH238" s="15"/>
      <c r="MBI238" s="15"/>
      <c r="MBJ238" s="15"/>
      <c r="MBK238" s="10"/>
      <c r="MBL238" s="10"/>
      <c r="MBM238" s="21"/>
      <c r="MBN238" s="21"/>
      <c r="MBQ238" s="21"/>
      <c r="MBR238" s="15"/>
      <c r="MBS238" s="15"/>
      <c r="MBT238" s="15"/>
      <c r="MBU238" s="15"/>
      <c r="MBV238" s="15"/>
      <c r="MBW238" s="15"/>
      <c r="MBX238" s="15"/>
      <c r="MBY238" s="15"/>
      <c r="MBZ238" s="15"/>
      <c r="MCA238" s="15"/>
      <c r="MCB238" s="10"/>
      <c r="MCC238" s="10"/>
      <c r="MCD238" s="21"/>
      <c r="MCE238" s="21"/>
      <c r="MCH238" s="21"/>
      <c r="MCI238" s="15"/>
      <c r="MCJ238" s="15"/>
      <c r="MCK238" s="15"/>
      <c r="MCL238" s="15"/>
      <c r="MCM238" s="15"/>
      <c r="MCN238" s="15"/>
      <c r="MCO238" s="15"/>
      <c r="MCP238" s="15"/>
      <c r="MCQ238" s="15"/>
      <c r="MCR238" s="15"/>
      <c r="MCS238" s="10"/>
      <c r="MCT238" s="10"/>
      <c r="MCU238" s="21"/>
      <c r="MCV238" s="21"/>
      <c r="MCY238" s="21"/>
      <c r="MCZ238" s="15"/>
      <c r="MDA238" s="15"/>
      <c r="MDB238" s="15"/>
      <c r="MDC238" s="15"/>
      <c r="MDD238" s="15"/>
      <c r="MDE238" s="15"/>
      <c r="MDF238" s="15"/>
      <c r="MDG238" s="15"/>
      <c r="MDH238" s="15"/>
      <c r="MDI238" s="15"/>
      <c r="MDJ238" s="10"/>
      <c r="MDK238" s="10"/>
      <c r="MDL238" s="21"/>
      <c r="MDM238" s="21"/>
      <c r="MDP238" s="21"/>
      <c r="MDQ238" s="15"/>
      <c r="MDR238" s="15"/>
      <c r="MDS238" s="15"/>
      <c r="MDT238" s="15"/>
      <c r="MDU238" s="15"/>
      <c r="MDV238" s="15"/>
      <c r="MDW238" s="15"/>
      <c r="MDX238" s="15"/>
      <c r="MDY238" s="15"/>
      <c r="MDZ238" s="15"/>
      <c r="MEA238" s="10"/>
      <c r="MEB238" s="10"/>
      <c r="MEC238" s="21"/>
      <c r="MED238" s="21"/>
      <c r="MEG238" s="21"/>
      <c r="MEH238" s="15"/>
      <c r="MEI238" s="15"/>
      <c r="MEJ238" s="15"/>
      <c r="MEK238" s="15"/>
      <c r="MEL238" s="15"/>
      <c r="MEM238" s="15"/>
      <c r="MEN238" s="15"/>
      <c r="MEO238" s="15"/>
      <c r="MEP238" s="15"/>
      <c r="MEQ238" s="15"/>
      <c r="MER238" s="10"/>
      <c r="MES238" s="10"/>
      <c r="MET238" s="21"/>
      <c r="MEU238" s="21"/>
      <c r="MEX238" s="21"/>
      <c r="MEY238" s="15"/>
      <c r="MEZ238" s="15"/>
      <c r="MFA238" s="15"/>
      <c r="MFB238" s="15"/>
      <c r="MFC238" s="15"/>
      <c r="MFD238" s="15"/>
      <c r="MFE238" s="15"/>
      <c r="MFF238" s="15"/>
      <c r="MFG238" s="15"/>
      <c r="MFH238" s="15"/>
      <c r="MFI238" s="10"/>
      <c r="MFJ238" s="10"/>
      <c r="MFK238" s="21"/>
      <c r="MFL238" s="21"/>
      <c r="MFO238" s="21"/>
      <c r="MFP238" s="15"/>
      <c r="MFQ238" s="15"/>
      <c r="MFR238" s="15"/>
      <c r="MFS238" s="15"/>
      <c r="MFT238" s="15"/>
      <c r="MFU238" s="15"/>
      <c r="MFV238" s="15"/>
      <c r="MFW238" s="15"/>
      <c r="MFX238" s="15"/>
      <c r="MFY238" s="15"/>
      <c r="MFZ238" s="10"/>
      <c r="MGA238" s="10"/>
      <c r="MGB238" s="21"/>
      <c r="MGC238" s="21"/>
      <c r="MGF238" s="21"/>
      <c r="MGG238" s="15"/>
      <c r="MGH238" s="15"/>
      <c r="MGI238" s="15"/>
      <c r="MGJ238" s="15"/>
      <c r="MGK238" s="15"/>
      <c r="MGL238" s="15"/>
      <c r="MGM238" s="15"/>
      <c r="MGN238" s="15"/>
      <c r="MGO238" s="15"/>
      <c r="MGP238" s="15"/>
      <c r="MGQ238" s="10"/>
      <c r="MGR238" s="10"/>
      <c r="MGS238" s="21"/>
      <c r="MGT238" s="21"/>
      <c r="MGW238" s="21"/>
      <c r="MGX238" s="15"/>
      <c r="MGY238" s="15"/>
      <c r="MGZ238" s="15"/>
      <c r="MHA238" s="15"/>
      <c r="MHB238" s="15"/>
      <c r="MHC238" s="15"/>
      <c r="MHD238" s="15"/>
      <c r="MHE238" s="15"/>
      <c r="MHF238" s="15"/>
      <c r="MHG238" s="15"/>
      <c r="MHH238" s="10"/>
      <c r="MHI238" s="10"/>
      <c r="MHJ238" s="21"/>
      <c r="MHK238" s="21"/>
      <c r="MHN238" s="21"/>
      <c r="MHO238" s="15"/>
      <c r="MHP238" s="15"/>
      <c r="MHQ238" s="15"/>
      <c r="MHR238" s="15"/>
      <c r="MHS238" s="15"/>
      <c r="MHT238" s="15"/>
      <c r="MHU238" s="15"/>
      <c r="MHV238" s="15"/>
      <c r="MHW238" s="15"/>
      <c r="MHX238" s="15"/>
      <c r="MHY238" s="10"/>
      <c r="MHZ238" s="10"/>
      <c r="MIA238" s="21"/>
      <c r="MIB238" s="21"/>
      <c r="MIE238" s="21"/>
      <c r="MIF238" s="15"/>
      <c r="MIG238" s="15"/>
      <c r="MIH238" s="15"/>
      <c r="MII238" s="15"/>
      <c r="MIJ238" s="15"/>
      <c r="MIK238" s="15"/>
      <c r="MIL238" s="15"/>
      <c r="MIM238" s="15"/>
      <c r="MIN238" s="15"/>
      <c r="MIO238" s="15"/>
      <c r="MIP238" s="10"/>
      <c r="MIQ238" s="10"/>
      <c r="MIR238" s="21"/>
      <c r="MIS238" s="21"/>
      <c r="MIV238" s="21"/>
      <c r="MIW238" s="15"/>
      <c r="MIX238" s="15"/>
      <c r="MIY238" s="15"/>
      <c r="MIZ238" s="15"/>
      <c r="MJA238" s="15"/>
      <c r="MJB238" s="15"/>
      <c r="MJC238" s="15"/>
      <c r="MJD238" s="15"/>
      <c r="MJE238" s="15"/>
      <c r="MJF238" s="15"/>
      <c r="MJG238" s="10"/>
      <c r="MJH238" s="10"/>
      <c r="MJI238" s="21"/>
      <c r="MJJ238" s="21"/>
      <c r="MJM238" s="21"/>
      <c r="MJN238" s="15"/>
      <c r="MJO238" s="15"/>
      <c r="MJP238" s="15"/>
      <c r="MJQ238" s="15"/>
      <c r="MJR238" s="15"/>
      <c r="MJS238" s="15"/>
      <c r="MJT238" s="15"/>
      <c r="MJU238" s="15"/>
      <c r="MJV238" s="15"/>
      <c r="MJW238" s="15"/>
      <c r="MJX238" s="10"/>
      <c r="MJY238" s="10"/>
      <c r="MJZ238" s="21"/>
      <c r="MKA238" s="21"/>
      <c r="MKD238" s="21"/>
      <c r="MKE238" s="15"/>
      <c r="MKF238" s="15"/>
      <c r="MKG238" s="15"/>
      <c r="MKH238" s="15"/>
      <c r="MKI238" s="15"/>
      <c r="MKJ238" s="15"/>
      <c r="MKK238" s="15"/>
      <c r="MKL238" s="15"/>
      <c r="MKM238" s="15"/>
      <c r="MKN238" s="15"/>
      <c r="MKO238" s="10"/>
      <c r="MKP238" s="10"/>
      <c r="MKQ238" s="21"/>
      <c r="MKR238" s="21"/>
      <c r="MKU238" s="21"/>
      <c r="MKV238" s="15"/>
      <c r="MKW238" s="15"/>
      <c r="MKX238" s="15"/>
      <c r="MKY238" s="15"/>
      <c r="MKZ238" s="15"/>
      <c r="MLA238" s="15"/>
      <c r="MLB238" s="15"/>
      <c r="MLC238" s="15"/>
      <c r="MLD238" s="15"/>
      <c r="MLE238" s="15"/>
      <c r="MLF238" s="10"/>
      <c r="MLG238" s="10"/>
      <c r="MLH238" s="21"/>
      <c r="MLI238" s="21"/>
      <c r="MLL238" s="21"/>
      <c r="MLM238" s="15"/>
      <c r="MLN238" s="15"/>
      <c r="MLO238" s="15"/>
      <c r="MLP238" s="15"/>
      <c r="MLQ238" s="15"/>
      <c r="MLR238" s="15"/>
      <c r="MLS238" s="15"/>
      <c r="MLT238" s="15"/>
      <c r="MLU238" s="15"/>
      <c r="MLV238" s="15"/>
      <c r="MLW238" s="10"/>
      <c r="MLX238" s="10"/>
      <c r="MLY238" s="21"/>
      <c r="MLZ238" s="21"/>
      <c r="MMC238" s="21"/>
      <c r="MMD238" s="15"/>
      <c r="MME238" s="15"/>
      <c r="MMF238" s="15"/>
      <c r="MMG238" s="15"/>
      <c r="MMH238" s="15"/>
      <c r="MMI238" s="15"/>
      <c r="MMJ238" s="15"/>
      <c r="MMK238" s="15"/>
      <c r="MML238" s="15"/>
      <c r="MMM238" s="15"/>
      <c r="MMN238" s="10"/>
      <c r="MMO238" s="10"/>
      <c r="MMP238" s="21"/>
      <c r="MMQ238" s="21"/>
      <c r="MMT238" s="21"/>
      <c r="MMU238" s="15"/>
      <c r="MMV238" s="15"/>
      <c r="MMW238" s="15"/>
      <c r="MMX238" s="15"/>
      <c r="MMY238" s="15"/>
      <c r="MMZ238" s="15"/>
      <c r="MNA238" s="15"/>
      <c r="MNB238" s="15"/>
      <c r="MNC238" s="15"/>
      <c r="MND238" s="15"/>
      <c r="MNE238" s="10"/>
      <c r="MNF238" s="10"/>
      <c r="MNG238" s="21"/>
      <c r="MNH238" s="21"/>
      <c r="MNK238" s="21"/>
      <c r="MNL238" s="15"/>
      <c r="MNM238" s="15"/>
      <c r="MNN238" s="15"/>
      <c r="MNO238" s="15"/>
      <c r="MNP238" s="15"/>
      <c r="MNQ238" s="15"/>
      <c r="MNR238" s="15"/>
      <c r="MNS238" s="15"/>
      <c r="MNT238" s="15"/>
      <c r="MNU238" s="15"/>
      <c r="MNV238" s="10"/>
      <c r="MNW238" s="10"/>
      <c r="MNX238" s="21"/>
      <c r="MNY238" s="21"/>
      <c r="MOB238" s="21"/>
      <c r="MOC238" s="15"/>
      <c r="MOD238" s="15"/>
      <c r="MOE238" s="15"/>
      <c r="MOF238" s="15"/>
      <c r="MOG238" s="15"/>
      <c r="MOH238" s="15"/>
      <c r="MOI238" s="15"/>
      <c r="MOJ238" s="15"/>
      <c r="MOK238" s="15"/>
      <c r="MOL238" s="15"/>
      <c r="MOM238" s="10"/>
      <c r="MON238" s="10"/>
      <c r="MOO238" s="21"/>
      <c r="MOP238" s="21"/>
      <c r="MOS238" s="21"/>
      <c r="MOT238" s="15"/>
      <c r="MOU238" s="15"/>
      <c r="MOV238" s="15"/>
      <c r="MOW238" s="15"/>
      <c r="MOX238" s="15"/>
      <c r="MOY238" s="15"/>
      <c r="MOZ238" s="15"/>
      <c r="MPA238" s="15"/>
      <c r="MPB238" s="15"/>
      <c r="MPC238" s="15"/>
      <c r="MPD238" s="10"/>
      <c r="MPE238" s="10"/>
      <c r="MPF238" s="21"/>
      <c r="MPG238" s="21"/>
      <c r="MPJ238" s="21"/>
      <c r="MPK238" s="15"/>
      <c r="MPL238" s="15"/>
      <c r="MPM238" s="15"/>
      <c r="MPN238" s="15"/>
      <c r="MPO238" s="15"/>
      <c r="MPP238" s="15"/>
      <c r="MPQ238" s="15"/>
      <c r="MPR238" s="15"/>
      <c r="MPS238" s="15"/>
      <c r="MPT238" s="15"/>
      <c r="MPU238" s="10"/>
      <c r="MPV238" s="10"/>
      <c r="MPW238" s="21"/>
      <c r="MPX238" s="21"/>
      <c r="MQA238" s="21"/>
      <c r="MQB238" s="15"/>
      <c r="MQC238" s="15"/>
      <c r="MQD238" s="15"/>
      <c r="MQE238" s="15"/>
      <c r="MQF238" s="15"/>
      <c r="MQG238" s="15"/>
      <c r="MQH238" s="15"/>
      <c r="MQI238" s="15"/>
      <c r="MQJ238" s="15"/>
      <c r="MQK238" s="15"/>
      <c r="MQL238" s="10"/>
      <c r="MQM238" s="10"/>
      <c r="MQN238" s="21"/>
      <c r="MQO238" s="21"/>
      <c r="MQR238" s="21"/>
      <c r="MQS238" s="15"/>
      <c r="MQT238" s="15"/>
      <c r="MQU238" s="15"/>
      <c r="MQV238" s="15"/>
      <c r="MQW238" s="15"/>
      <c r="MQX238" s="15"/>
      <c r="MQY238" s="15"/>
      <c r="MQZ238" s="15"/>
      <c r="MRA238" s="15"/>
      <c r="MRB238" s="15"/>
      <c r="MRC238" s="10"/>
      <c r="MRD238" s="10"/>
      <c r="MRE238" s="21"/>
      <c r="MRF238" s="21"/>
      <c r="MRI238" s="21"/>
      <c r="MRJ238" s="15"/>
      <c r="MRK238" s="15"/>
      <c r="MRL238" s="15"/>
      <c r="MRM238" s="15"/>
      <c r="MRN238" s="15"/>
      <c r="MRO238" s="15"/>
      <c r="MRP238" s="15"/>
      <c r="MRQ238" s="15"/>
      <c r="MRR238" s="15"/>
      <c r="MRS238" s="15"/>
      <c r="MRT238" s="10"/>
      <c r="MRU238" s="10"/>
      <c r="MRV238" s="21"/>
      <c r="MRW238" s="21"/>
      <c r="MRZ238" s="21"/>
      <c r="MSA238" s="15"/>
      <c r="MSB238" s="15"/>
      <c r="MSC238" s="15"/>
      <c r="MSD238" s="15"/>
      <c r="MSE238" s="15"/>
      <c r="MSF238" s="15"/>
      <c r="MSG238" s="15"/>
      <c r="MSH238" s="15"/>
      <c r="MSI238" s="15"/>
      <c r="MSJ238" s="15"/>
      <c r="MSK238" s="10"/>
      <c r="MSL238" s="10"/>
      <c r="MSM238" s="21"/>
      <c r="MSN238" s="21"/>
      <c r="MSQ238" s="21"/>
      <c r="MSR238" s="15"/>
      <c r="MSS238" s="15"/>
      <c r="MST238" s="15"/>
      <c r="MSU238" s="15"/>
      <c r="MSV238" s="15"/>
      <c r="MSW238" s="15"/>
      <c r="MSX238" s="15"/>
      <c r="MSY238" s="15"/>
      <c r="MSZ238" s="15"/>
      <c r="MTA238" s="15"/>
      <c r="MTB238" s="10"/>
      <c r="MTC238" s="10"/>
      <c r="MTD238" s="21"/>
      <c r="MTE238" s="21"/>
      <c r="MTH238" s="21"/>
      <c r="MTI238" s="15"/>
      <c r="MTJ238" s="15"/>
      <c r="MTK238" s="15"/>
      <c r="MTL238" s="15"/>
      <c r="MTM238" s="15"/>
      <c r="MTN238" s="15"/>
      <c r="MTO238" s="15"/>
      <c r="MTP238" s="15"/>
      <c r="MTQ238" s="15"/>
      <c r="MTR238" s="15"/>
      <c r="MTS238" s="10"/>
      <c r="MTT238" s="10"/>
      <c r="MTU238" s="21"/>
      <c r="MTV238" s="21"/>
      <c r="MTY238" s="21"/>
      <c r="MTZ238" s="15"/>
      <c r="MUA238" s="15"/>
      <c r="MUB238" s="15"/>
      <c r="MUC238" s="15"/>
      <c r="MUD238" s="15"/>
      <c r="MUE238" s="15"/>
      <c r="MUF238" s="15"/>
      <c r="MUG238" s="15"/>
      <c r="MUH238" s="15"/>
      <c r="MUI238" s="15"/>
      <c r="MUJ238" s="10"/>
      <c r="MUK238" s="10"/>
      <c r="MUL238" s="21"/>
      <c r="MUM238" s="21"/>
      <c r="MUP238" s="21"/>
      <c r="MUQ238" s="15"/>
      <c r="MUR238" s="15"/>
      <c r="MUS238" s="15"/>
      <c r="MUT238" s="15"/>
      <c r="MUU238" s="15"/>
      <c r="MUV238" s="15"/>
      <c r="MUW238" s="15"/>
      <c r="MUX238" s="15"/>
      <c r="MUY238" s="15"/>
      <c r="MUZ238" s="15"/>
      <c r="MVA238" s="10"/>
      <c r="MVB238" s="10"/>
      <c r="MVC238" s="21"/>
      <c r="MVD238" s="21"/>
      <c r="MVG238" s="21"/>
      <c r="MVH238" s="15"/>
      <c r="MVI238" s="15"/>
      <c r="MVJ238" s="15"/>
      <c r="MVK238" s="15"/>
      <c r="MVL238" s="15"/>
      <c r="MVM238" s="15"/>
      <c r="MVN238" s="15"/>
      <c r="MVO238" s="15"/>
      <c r="MVP238" s="15"/>
      <c r="MVQ238" s="15"/>
      <c r="MVR238" s="10"/>
      <c r="MVS238" s="10"/>
      <c r="MVT238" s="21"/>
      <c r="MVU238" s="21"/>
      <c r="MVX238" s="21"/>
      <c r="MVY238" s="15"/>
      <c r="MVZ238" s="15"/>
      <c r="MWA238" s="15"/>
      <c r="MWB238" s="15"/>
      <c r="MWC238" s="15"/>
      <c r="MWD238" s="15"/>
      <c r="MWE238" s="15"/>
      <c r="MWF238" s="15"/>
      <c r="MWG238" s="15"/>
      <c r="MWH238" s="15"/>
      <c r="MWI238" s="10"/>
      <c r="MWJ238" s="10"/>
      <c r="MWK238" s="21"/>
      <c r="MWL238" s="21"/>
      <c r="MWO238" s="21"/>
      <c r="MWP238" s="15"/>
      <c r="MWQ238" s="15"/>
      <c r="MWR238" s="15"/>
      <c r="MWS238" s="15"/>
      <c r="MWT238" s="15"/>
      <c r="MWU238" s="15"/>
      <c r="MWV238" s="15"/>
      <c r="MWW238" s="15"/>
      <c r="MWX238" s="15"/>
      <c r="MWY238" s="15"/>
      <c r="MWZ238" s="10"/>
      <c r="MXA238" s="10"/>
      <c r="MXB238" s="21"/>
      <c r="MXC238" s="21"/>
      <c r="MXF238" s="21"/>
      <c r="MXG238" s="15"/>
      <c r="MXH238" s="15"/>
      <c r="MXI238" s="15"/>
      <c r="MXJ238" s="15"/>
      <c r="MXK238" s="15"/>
      <c r="MXL238" s="15"/>
      <c r="MXM238" s="15"/>
      <c r="MXN238" s="15"/>
      <c r="MXO238" s="15"/>
      <c r="MXP238" s="15"/>
      <c r="MXQ238" s="10"/>
      <c r="MXR238" s="10"/>
      <c r="MXS238" s="21"/>
      <c r="MXT238" s="21"/>
      <c r="MXW238" s="21"/>
      <c r="MXX238" s="15"/>
      <c r="MXY238" s="15"/>
      <c r="MXZ238" s="15"/>
      <c r="MYA238" s="15"/>
      <c r="MYB238" s="15"/>
      <c r="MYC238" s="15"/>
      <c r="MYD238" s="15"/>
      <c r="MYE238" s="15"/>
      <c r="MYF238" s="15"/>
      <c r="MYG238" s="15"/>
      <c r="MYH238" s="10"/>
      <c r="MYI238" s="10"/>
      <c r="MYJ238" s="21"/>
      <c r="MYK238" s="21"/>
      <c r="MYN238" s="21"/>
      <c r="MYO238" s="15"/>
      <c r="MYP238" s="15"/>
      <c r="MYQ238" s="15"/>
      <c r="MYR238" s="15"/>
      <c r="MYS238" s="15"/>
      <c r="MYT238" s="15"/>
      <c r="MYU238" s="15"/>
      <c r="MYV238" s="15"/>
      <c r="MYW238" s="15"/>
      <c r="MYX238" s="15"/>
      <c r="MYY238" s="10"/>
      <c r="MYZ238" s="10"/>
      <c r="MZA238" s="21"/>
      <c r="MZB238" s="21"/>
      <c r="MZE238" s="21"/>
      <c r="MZF238" s="15"/>
      <c r="MZG238" s="15"/>
      <c r="MZH238" s="15"/>
      <c r="MZI238" s="15"/>
      <c r="MZJ238" s="15"/>
      <c r="MZK238" s="15"/>
      <c r="MZL238" s="15"/>
      <c r="MZM238" s="15"/>
      <c r="MZN238" s="15"/>
      <c r="MZO238" s="15"/>
      <c r="MZP238" s="10"/>
      <c r="MZQ238" s="10"/>
      <c r="MZR238" s="21"/>
      <c r="MZS238" s="21"/>
      <c r="MZV238" s="21"/>
      <c r="MZW238" s="15"/>
      <c r="MZX238" s="15"/>
      <c r="MZY238" s="15"/>
      <c r="MZZ238" s="15"/>
      <c r="NAA238" s="15"/>
      <c r="NAB238" s="15"/>
      <c r="NAC238" s="15"/>
      <c r="NAD238" s="15"/>
      <c r="NAE238" s="15"/>
      <c r="NAF238" s="15"/>
      <c r="NAG238" s="10"/>
      <c r="NAH238" s="10"/>
      <c r="NAI238" s="21"/>
      <c r="NAJ238" s="21"/>
      <c r="NAM238" s="21"/>
      <c r="NAN238" s="15"/>
      <c r="NAO238" s="15"/>
      <c r="NAP238" s="15"/>
      <c r="NAQ238" s="15"/>
      <c r="NAR238" s="15"/>
      <c r="NAS238" s="15"/>
      <c r="NAT238" s="15"/>
      <c r="NAU238" s="15"/>
      <c r="NAV238" s="15"/>
      <c r="NAW238" s="15"/>
      <c r="NAX238" s="10"/>
      <c r="NAY238" s="10"/>
      <c r="NAZ238" s="21"/>
      <c r="NBA238" s="21"/>
      <c r="NBD238" s="21"/>
      <c r="NBE238" s="15"/>
      <c r="NBF238" s="15"/>
      <c r="NBG238" s="15"/>
      <c r="NBH238" s="15"/>
      <c r="NBI238" s="15"/>
      <c r="NBJ238" s="15"/>
      <c r="NBK238" s="15"/>
      <c r="NBL238" s="15"/>
      <c r="NBM238" s="15"/>
      <c r="NBN238" s="15"/>
      <c r="NBO238" s="10"/>
      <c r="NBP238" s="10"/>
      <c r="NBQ238" s="21"/>
      <c r="NBR238" s="21"/>
      <c r="NBU238" s="21"/>
      <c r="NBV238" s="15"/>
      <c r="NBW238" s="15"/>
      <c r="NBX238" s="15"/>
      <c r="NBY238" s="15"/>
      <c r="NBZ238" s="15"/>
      <c r="NCA238" s="15"/>
      <c r="NCB238" s="15"/>
      <c r="NCC238" s="15"/>
      <c r="NCD238" s="15"/>
      <c r="NCE238" s="15"/>
      <c r="NCF238" s="10"/>
      <c r="NCG238" s="10"/>
      <c r="NCH238" s="21"/>
      <c r="NCI238" s="21"/>
      <c r="NCL238" s="21"/>
      <c r="NCM238" s="15"/>
      <c r="NCN238" s="15"/>
      <c r="NCO238" s="15"/>
      <c r="NCP238" s="15"/>
      <c r="NCQ238" s="15"/>
      <c r="NCR238" s="15"/>
      <c r="NCS238" s="15"/>
      <c r="NCT238" s="15"/>
      <c r="NCU238" s="15"/>
      <c r="NCV238" s="15"/>
      <c r="NCW238" s="10"/>
      <c r="NCX238" s="10"/>
      <c r="NCY238" s="21"/>
      <c r="NCZ238" s="21"/>
      <c r="NDC238" s="21"/>
      <c r="NDD238" s="15"/>
      <c r="NDE238" s="15"/>
      <c r="NDF238" s="15"/>
      <c r="NDG238" s="15"/>
      <c r="NDH238" s="15"/>
      <c r="NDI238" s="15"/>
      <c r="NDJ238" s="15"/>
      <c r="NDK238" s="15"/>
      <c r="NDL238" s="15"/>
      <c r="NDM238" s="15"/>
      <c r="NDN238" s="10"/>
      <c r="NDO238" s="10"/>
      <c r="NDP238" s="21"/>
      <c r="NDQ238" s="21"/>
      <c r="NDT238" s="21"/>
      <c r="NDU238" s="15"/>
      <c r="NDV238" s="15"/>
      <c r="NDW238" s="15"/>
      <c r="NDX238" s="15"/>
      <c r="NDY238" s="15"/>
      <c r="NDZ238" s="15"/>
      <c r="NEA238" s="15"/>
      <c r="NEB238" s="15"/>
      <c r="NEC238" s="15"/>
      <c r="NED238" s="15"/>
      <c r="NEE238" s="10"/>
      <c r="NEF238" s="10"/>
      <c r="NEG238" s="21"/>
      <c r="NEH238" s="21"/>
      <c r="NEK238" s="21"/>
      <c r="NEL238" s="15"/>
      <c r="NEM238" s="15"/>
      <c r="NEN238" s="15"/>
      <c r="NEO238" s="15"/>
      <c r="NEP238" s="15"/>
      <c r="NEQ238" s="15"/>
      <c r="NER238" s="15"/>
      <c r="NES238" s="15"/>
      <c r="NET238" s="15"/>
      <c r="NEU238" s="15"/>
      <c r="NEV238" s="10"/>
      <c r="NEW238" s="10"/>
      <c r="NEX238" s="21"/>
      <c r="NEY238" s="21"/>
      <c r="NFB238" s="21"/>
      <c r="NFC238" s="15"/>
      <c r="NFD238" s="15"/>
      <c r="NFE238" s="15"/>
      <c r="NFF238" s="15"/>
      <c r="NFG238" s="15"/>
      <c r="NFH238" s="15"/>
      <c r="NFI238" s="15"/>
      <c r="NFJ238" s="15"/>
      <c r="NFK238" s="15"/>
      <c r="NFL238" s="15"/>
      <c r="NFM238" s="10"/>
      <c r="NFN238" s="10"/>
      <c r="NFO238" s="21"/>
      <c r="NFP238" s="21"/>
      <c r="NFS238" s="21"/>
      <c r="NFT238" s="15"/>
      <c r="NFU238" s="15"/>
      <c r="NFV238" s="15"/>
      <c r="NFW238" s="15"/>
      <c r="NFX238" s="15"/>
      <c r="NFY238" s="15"/>
      <c r="NFZ238" s="15"/>
      <c r="NGA238" s="15"/>
      <c r="NGB238" s="15"/>
      <c r="NGC238" s="15"/>
      <c r="NGD238" s="10"/>
      <c r="NGE238" s="10"/>
      <c r="NGF238" s="21"/>
      <c r="NGG238" s="21"/>
      <c r="NGJ238" s="21"/>
      <c r="NGK238" s="15"/>
      <c r="NGL238" s="15"/>
      <c r="NGM238" s="15"/>
      <c r="NGN238" s="15"/>
      <c r="NGO238" s="15"/>
      <c r="NGP238" s="15"/>
      <c r="NGQ238" s="15"/>
      <c r="NGR238" s="15"/>
      <c r="NGS238" s="15"/>
      <c r="NGT238" s="15"/>
      <c r="NGU238" s="10"/>
      <c r="NGV238" s="10"/>
      <c r="NGW238" s="21"/>
      <c r="NGX238" s="21"/>
      <c r="NHA238" s="21"/>
      <c r="NHB238" s="15"/>
      <c r="NHC238" s="15"/>
      <c r="NHD238" s="15"/>
      <c r="NHE238" s="15"/>
      <c r="NHF238" s="15"/>
      <c r="NHG238" s="15"/>
      <c r="NHH238" s="15"/>
      <c r="NHI238" s="15"/>
      <c r="NHJ238" s="15"/>
      <c r="NHK238" s="15"/>
      <c r="NHL238" s="10"/>
      <c r="NHM238" s="10"/>
      <c r="NHN238" s="21"/>
      <c r="NHO238" s="21"/>
      <c r="NHR238" s="21"/>
      <c r="NHS238" s="15"/>
      <c r="NHT238" s="15"/>
      <c r="NHU238" s="15"/>
      <c r="NHV238" s="15"/>
      <c r="NHW238" s="15"/>
      <c r="NHX238" s="15"/>
      <c r="NHY238" s="15"/>
      <c r="NHZ238" s="15"/>
      <c r="NIA238" s="15"/>
      <c r="NIB238" s="15"/>
      <c r="NIC238" s="10"/>
      <c r="NID238" s="10"/>
      <c r="NIE238" s="21"/>
      <c r="NIF238" s="21"/>
      <c r="NII238" s="21"/>
      <c r="NIJ238" s="15"/>
      <c r="NIK238" s="15"/>
      <c r="NIL238" s="15"/>
      <c r="NIM238" s="15"/>
      <c r="NIN238" s="15"/>
      <c r="NIO238" s="15"/>
      <c r="NIP238" s="15"/>
      <c r="NIQ238" s="15"/>
      <c r="NIR238" s="15"/>
      <c r="NIS238" s="15"/>
      <c r="NIT238" s="10"/>
      <c r="NIU238" s="10"/>
      <c r="NIV238" s="21"/>
      <c r="NIW238" s="21"/>
      <c r="NIZ238" s="21"/>
      <c r="NJA238" s="15"/>
      <c r="NJB238" s="15"/>
      <c r="NJC238" s="15"/>
      <c r="NJD238" s="15"/>
      <c r="NJE238" s="15"/>
      <c r="NJF238" s="15"/>
      <c r="NJG238" s="15"/>
      <c r="NJH238" s="15"/>
      <c r="NJI238" s="15"/>
      <c r="NJJ238" s="15"/>
      <c r="NJK238" s="10"/>
      <c r="NJL238" s="10"/>
      <c r="NJM238" s="21"/>
      <c r="NJN238" s="21"/>
      <c r="NJQ238" s="21"/>
      <c r="NJR238" s="15"/>
      <c r="NJS238" s="15"/>
      <c r="NJT238" s="15"/>
      <c r="NJU238" s="15"/>
      <c r="NJV238" s="15"/>
      <c r="NJW238" s="15"/>
      <c r="NJX238" s="15"/>
      <c r="NJY238" s="15"/>
      <c r="NJZ238" s="15"/>
      <c r="NKA238" s="15"/>
      <c r="NKB238" s="10"/>
      <c r="NKC238" s="10"/>
      <c r="NKD238" s="21"/>
      <c r="NKE238" s="21"/>
      <c r="NKH238" s="21"/>
      <c r="NKI238" s="15"/>
      <c r="NKJ238" s="15"/>
      <c r="NKK238" s="15"/>
      <c r="NKL238" s="15"/>
      <c r="NKM238" s="15"/>
      <c r="NKN238" s="15"/>
      <c r="NKO238" s="15"/>
      <c r="NKP238" s="15"/>
      <c r="NKQ238" s="15"/>
      <c r="NKR238" s="15"/>
      <c r="NKS238" s="10"/>
      <c r="NKT238" s="10"/>
      <c r="NKU238" s="21"/>
      <c r="NKV238" s="21"/>
      <c r="NKY238" s="21"/>
      <c r="NKZ238" s="15"/>
      <c r="NLA238" s="15"/>
      <c r="NLB238" s="15"/>
      <c r="NLC238" s="15"/>
      <c r="NLD238" s="15"/>
      <c r="NLE238" s="15"/>
      <c r="NLF238" s="15"/>
      <c r="NLG238" s="15"/>
      <c r="NLH238" s="15"/>
      <c r="NLI238" s="15"/>
      <c r="NLJ238" s="10"/>
      <c r="NLK238" s="10"/>
      <c r="NLL238" s="21"/>
      <c r="NLM238" s="21"/>
      <c r="NLP238" s="21"/>
      <c r="NLQ238" s="15"/>
      <c r="NLR238" s="15"/>
      <c r="NLS238" s="15"/>
      <c r="NLT238" s="15"/>
      <c r="NLU238" s="15"/>
      <c r="NLV238" s="15"/>
      <c r="NLW238" s="15"/>
      <c r="NLX238" s="15"/>
      <c r="NLY238" s="15"/>
      <c r="NLZ238" s="15"/>
      <c r="NMA238" s="10"/>
      <c r="NMB238" s="10"/>
      <c r="NMC238" s="21"/>
      <c r="NMD238" s="21"/>
      <c r="NMG238" s="21"/>
      <c r="NMH238" s="15"/>
      <c r="NMI238" s="15"/>
      <c r="NMJ238" s="15"/>
      <c r="NMK238" s="15"/>
      <c r="NML238" s="15"/>
      <c r="NMM238" s="15"/>
      <c r="NMN238" s="15"/>
      <c r="NMO238" s="15"/>
      <c r="NMP238" s="15"/>
      <c r="NMQ238" s="15"/>
      <c r="NMR238" s="10"/>
      <c r="NMS238" s="10"/>
      <c r="NMT238" s="21"/>
      <c r="NMU238" s="21"/>
      <c r="NMX238" s="21"/>
      <c r="NMY238" s="15"/>
      <c r="NMZ238" s="15"/>
      <c r="NNA238" s="15"/>
      <c r="NNB238" s="15"/>
      <c r="NNC238" s="15"/>
      <c r="NND238" s="15"/>
      <c r="NNE238" s="15"/>
      <c r="NNF238" s="15"/>
      <c r="NNG238" s="15"/>
      <c r="NNH238" s="15"/>
      <c r="NNI238" s="10"/>
      <c r="NNJ238" s="10"/>
      <c r="NNK238" s="21"/>
      <c r="NNL238" s="21"/>
      <c r="NNO238" s="21"/>
      <c r="NNP238" s="15"/>
      <c r="NNQ238" s="15"/>
      <c r="NNR238" s="15"/>
      <c r="NNS238" s="15"/>
      <c r="NNT238" s="15"/>
      <c r="NNU238" s="15"/>
      <c r="NNV238" s="15"/>
      <c r="NNW238" s="15"/>
      <c r="NNX238" s="15"/>
      <c r="NNY238" s="15"/>
      <c r="NNZ238" s="10"/>
      <c r="NOA238" s="10"/>
      <c r="NOB238" s="21"/>
      <c r="NOC238" s="21"/>
      <c r="NOF238" s="21"/>
      <c r="NOG238" s="15"/>
      <c r="NOH238" s="15"/>
      <c r="NOI238" s="15"/>
      <c r="NOJ238" s="15"/>
      <c r="NOK238" s="15"/>
      <c r="NOL238" s="15"/>
      <c r="NOM238" s="15"/>
      <c r="NON238" s="15"/>
      <c r="NOO238" s="15"/>
      <c r="NOP238" s="15"/>
      <c r="NOQ238" s="10"/>
      <c r="NOR238" s="10"/>
      <c r="NOS238" s="21"/>
      <c r="NOT238" s="21"/>
      <c r="NOW238" s="21"/>
      <c r="NOX238" s="15"/>
      <c r="NOY238" s="15"/>
      <c r="NOZ238" s="15"/>
      <c r="NPA238" s="15"/>
      <c r="NPB238" s="15"/>
      <c r="NPC238" s="15"/>
      <c r="NPD238" s="15"/>
      <c r="NPE238" s="15"/>
      <c r="NPF238" s="15"/>
      <c r="NPG238" s="15"/>
      <c r="NPH238" s="10"/>
      <c r="NPI238" s="10"/>
      <c r="NPJ238" s="21"/>
      <c r="NPK238" s="21"/>
      <c r="NPN238" s="21"/>
      <c r="NPO238" s="15"/>
      <c r="NPP238" s="15"/>
      <c r="NPQ238" s="15"/>
      <c r="NPR238" s="15"/>
      <c r="NPS238" s="15"/>
      <c r="NPT238" s="15"/>
      <c r="NPU238" s="15"/>
      <c r="NPV238" s="15"/>
      <c r="NPW238" s="15"/>
      <c r="NPX238" s="15"/>
      <c r="NPY238" s="10"/>
      <c r="NPZ238" s="10"/>
      <c r="NQA238" s="21"/>
      <c r="NQB238" s="21"/>
      <c r="NQE238" s="21"/>
      <c r="NQF238" s="15"/>
      <c r="NQG238" s="15"/>
      <c r="NQH238" s="15"/>
      <c r="NQI238" s="15"/>
      <c r="NQJ238" s="15"/>
      <c r="NQK238" s="15"/>
      <c r="NQL238" s="15"/>
      <c r="NQM238" s="15"/>
      <c r="NQN238" s="15"/>
      <c r="NQO238" s="15"/>
      <c r="NQP238" s="10"/>
      <c r="NQQ238" s="10"/>
      <c r="NQR238" s="21"/>
      <c r="NQS238" s="21"/>
      <c r="NQV238" s="21"/>
      <c r="NQW238" s="15"/>
      <c r="NQX238" s="15"/>
      <c r="NQY238" s="15"/>
      <c r="NQZ238" s="15"/>
      <c r="NRA238" s="15"/>
      <c r="NRB238" s="15"/>
      <c r="NRC238" s="15"/>
      <c r="NRD238" s="15"/>
      <c r="NRE238" s="15"/>
      <c r="NRF238" s="15"/>
      <c r="NRG238" s="10"/>
      <c r="NRH238" s="10"/>
      <c r="NRI238" s="21"/>
      <c r="NRJ238" s="21"/>
      <c r="NRM238" s="21"/>
      <c r="NRN238" s="15"/>
      <c r="NRO238" s="15"/>
      <c r="NRP238" s="15"/>
      <c r="NRQ238" s="15"/>
      <c r="NRR238" s="15"/>
      <c r="NRS238" s="15"/>
      <c r="NRT238" s="15"/>
      <c r="NRU238" s="15"/>
      <c r="NRV238" s="15"/>
      <c r="NRW238" s="15"/>
      <c r="NRX238" s="10"/>
      <c r="NRY238" s="10"/>
      <c r="NRZ238" s="21"/>
      <c r="NSA238" s="21"/>
      <c r="NSD238" s="21"/>
      <c r="NSE238" s="15"/>
      <c r="NSF238" s="15"/>
      <c r="NSG238" s="15"/>
      <c r="NSH238" s="15"/>
      <c r="NSI238" s="15"/>
      <c r="NSJ238" s="15"/>
      <c r="NSK238" s="15"/>
      <c r="NSL238" s="15"/>
      <c r="NSM238" s="15"/>
      <c r="NSN238" s="15"/>
      <c r="NSO238" s="10"/>
      <c r="NSP238" s="10"/>
      <c r="NSQ238" s="21"/>
      <c r="NSR238" s="21"/>
      <c r="NSU238" s="21"/>
      <c r="NSV238" s="15"/>
      <c r="NSW238" s="15"/>
      <c r="NSX238" s="15"/>
      <c r="NSY238" s="15"/>
      <c r="NSZ238" s="15"/>
      <c r="NTA238" s="15"/>
      <c r="NTB238" s="15"/>
      <c r="NTC238" s="15"/>
      <c r="NTD238" s="15"/>
      <c r="NTE238" s="15"/>
      <c r="NTF238" s="10"/>
      <c r="NTG238" s="10"/>
      <c r="NTH238" s="21"/>
      <c r="NTI238" s="21"/>
      <c r="NTL238" s="21"/>
      <c r="NTM238" s="15"/>
      <c r="NTN238" s="15"/>
      <c r="NTO238" s="15"/>
      <c r="NTP238" s="15"/>
      <c r="NTQ238" s="15"/>
      <c r="NTR238" s="15"/>
      <c r="NTS238" s="15"/>
      <c r="NTT238" s="15"/>
      <c r="NTU238" s="15"/>
      <c r="NTV238" s="15"/>
      <c r="NTW238" s="10"/>
      <c r="NTX238" s="10"/>
      <c r="NTY238" s="21"/>
      <c r="NTZ238" s="21"/>
      <c r="NUC238" s="21"/>
      <c r="NUD238" s="15"/>
      <c r="NUE238" s="15"/>
      <c r="NUF238" s="15"/>
      <c r="NUG238" s="15"/>
      <c r="NUH238" s="15"/>
      <c r="NUI238" s="15"/>
      <c r="NUJ238" s="15"/>
      <c r="NUK238" s="15"/>
      <c r="NUL238" s="15"/>
      <c r="NUM238" s="15"/>
      <c r="NUN238" s="10"/>
      <c r="NUO238" s="10"/>
      <c r="NUP238" s="21"/>
      <c r="NUQ238" s="21"/>
      <c r="NUT238" s="21"/>
      <c r="NUU238" s="15"/>
      <c r="NUV238" s="15"/>
      <c r="NUW238" s="15"/>
      <c r="NUX238" s="15"/>
      <c r="NUY238" s="15"/>
      <c r="NUZ238" s="15"/>
      <c r="NVA238" s="15"/>
      <c r="NVB238" s="15"/>
      <c r="NVC238" s="15"/>
      <c r="NVD238" s="15"/>
      <c r="NVE238" s="10"/>
      <c r="NVF238" s="10"/>
      <c r="NVG238" s="21"/>
      <c r="NVH238" s="21"/>
      <c r="NVK238" s="21"/>
      <c r="NVL238" s="15"/>
      <c r="NVM238" s="15"/>
      <c r="NVN238" s="15"/>
      <c r="NVO238" s="15"/>
      <c r="NVP238" s="15"/>
      <c r="NVQ238" s="15"/>
      <c r="NVR238" s="15"/>
      <c r="NVS238" s="15"/>
      <c r="NVT238" s="15"/>
      <c r="NVU238" s="15"/>
      <c r="NVV238" s="10"/>
      <c r="NVW238" s="10"/>
      <c r="NVX238" s="21"/>
      <c r="NVY238" s="21"/>
      <c r="NWB238" s="21"/>
      <c r="NWC238" s="15"/>
      <c r="NWD238" s="15"/>
      <c r="NWE238" s="15"/>
      <c r="NWF238" s="15"/>
      <c r="NWG238" s="15"/>
      <c r="NWH238" s="15"/>
      <c r="NWI238" s="15"/>
      <c r="NWJ238" s="15"/>
      <c r="NWK238" s="15"/>
      <c r="NWL238" s="15"/>
      <c r="NWM238" s="10"/>
      <c r="NWN238" s="10"/>
      <c r="NWO238" s="21"/>
      <c r="NWP238" s="21"/>
      <c r="NWS238" s="21"/>
      <c r="NWT238" s="15"/>
      <c r="NWU238" s="15"/>
      <c r="NWV238" s="15"/>
      <c r="NWW238" s="15"/>
      <c r="NWX238" s="15"/>
      <c r="NWY238" s="15"/>
      <c r="NWZ238" s="15"/>
      <c r="NXA238" s="15"/>
      <c r="NXB238" s="15"/>
      <c r="NXC238" s="15"/>
      <c r="NXD238" s="10"/>
      <c r="NXE238" s="10"/>
      <c r="NXF238" s="21"/>
      <c r="NXG238" s="21"/>
      <c r="NXJ238" s="21"/>
      <c r="NXK238" s="15"/>
      <c r="NXL238" s="15"/>
      <c r="NXM238" s="15"/>
      <c r="NXN238" s="15"/>
      <c r="NXO238" s="15"/>
      <c r="NXP238" s="15"/>
      <c r="NXQ238" s="15"/>
      <c r="NXR238" s="15"/>
      <c r="NXS238" s="15"/>
      <c r="NXT238" s="15"/>
      <c r="NXU238" s="10"/>
      <c r="NXV238" s="10"/>
      <c r="NXW238" s="21"/>
      <c r="NXX238" s="21"/>
      <c r="NYA238" s="21"/>
      <c r="NYB238" s="15"/>
      <c r="NYC238" s="15"/>
      <c r="NYD238" s="15"/>
      <c r="NYE238" s="15"/>
      <c r="NYF238" s="15"/>
      <c r="NYG238" s="15"/>
      <c r="NYH238" s="15"/>
      <c r="NYI238" s="15"/>
      <c r="NYJ238" s="15"/>
      <c r="NYK238" s="15"/>
      <c r="NYL238" s="10"/>
      <c r="NYM238" s="10"/>
      <c r="NYN238" s="21"/>
      <c r="NYO238" s="21"/>
      <c r="NYR238" s="21"/>
      <c r="NYS238" s="15"/>
      <c r="NYT238" s="15"/>
      <c r="NYU238" s="15"/>
      <c r="NYV238" s="15"/>
      <c r="NYW238" s="15"/>
      <c r="NYX238" s="15"/>
      <c r="NYY238" s="15"/>
      <c r="NYZ238" s="15"/>
      <c r="NZA238" s="15"/>
      <c r="NZB238" s="15"/>
      <c r="NZC238" s="10"/>
      <c r="NZD238" s="10"/>
      <c r="NZE238" s="21"/>
      <c r="NZF238" s="21"/>
      <c r="NZI238" s="21"/>
      <c r="NZJ238" s="15"/>
      <c r="NZK238" s="15"/>
      <c r="NZL238" s="15"/>
      <c r="NZM238" s="15"/>
      <c r="NZN238" s="15"/>
      <c r="NZO238" s="15"/>
      <c r="NZP238" s="15"/>
      <c r="NZQ238" s="15"/>
      <c r="NZR238" s="15"/>
      <c r="NZS238" s="15"/>
      <c r="NZT238" s="10"/>
      <c r="NZU238" s="10"/>
      <c r="NZV238" s="21"/>
      <c r="NZW238" s="21"/>
      <c r="NZZ238" s="21"/>
      <c r="OAA238" s="15"/>
      <c r="OAB238" s="15"/>
      <c r="OAC238" s="15"/>
      <c r="OAD238" s="15"/>
      <c r="OAE238" s="15"/>
      <c r="OAF238" s="15"/>
      <c r="OAG238" s="15"/>
      <c r="OAH238" s="15"/>
      <c r="OAI238" s="15"/>
      <c r="OAJ238" s="15"/>
      <c r="OAK238" s="10"/>
      <c r="OAL238" s="10"/>
      <c r="OAM238" s="21"/>
      <c r="OAN238" s="21"/>
      <c r="OAQ238" s="21"/>
      <c r="OAR238" s="15"/>
      <c r="OAS238" s="15"/>
      <c r="OAT238" s="15"/>
      <c r="OAU238" s="15"/>
      <c r="OAV238" s="15"/>
      <c r="OAW238" s="15"/>
      <c r="OAX238" s="15"/>
      <c r="OAY238" s="15"/>
      <c r="OAZ238" s="15"/>
      <c r="OBA238" s="15"/>
      <c r="OBB238" s="10"/>
      <c r="OBC238" s="10"/>
      <c r="OBD238" s="21"/>
      <c r="OBE238" s="21"/>
      <c r="OBH238" s="21"/>
      <c r="OBI238" s="15"/>
      <c r="OBJ238" s="15"/>
      <c r="OBK238" s="15"/>
      <c r="OBL238" s="15"/>
      <c r="OBM238" s="15"/>
      <c r="OBN238" s="15"/>
      <c r="OBO238" s="15"/>
      <c r="OBP238" s="15"/>
      <c r="OBQ238" s="15"/>
      <c r="OBR238" s="15"/>
      <c r="OBS238" s="10"/>
      <c r="OBT238" s="10"/>
      <c r="OBU238" s="21"/>
      <c r="OBV238" s="21"/>
      <c r="OBY238" s="21"/>
      <c r="OBZ238" s="15"/>
      <c r="OCA238" s="15"/>
      <c r="OCB238" s="15"/>
      <c r="OCC238" s="15"/>
      <c r="OCD238" s="15"/>
      <c r="OCE238" s="15"/>
      <c r="OCF238" s="15"/>
      <c r="OCG238" s="15"/>
      <c r="OCH238" s="15"/>
      <c r="OCI238" s="15"/>
      <c r="OCJ238" s="10"/>
      <c r="OCK238" s="10"/>
      <c r="OCL238" s="21"/>
      <c r="OCM238" s="21"/>
      <c r="OCP238" s="21"/>
      <c r="OCQ238" s="15"/>
      <c r="OCR238" s="15"/>
      <c r="OCS238" s="15"/>
      <c r="OCT238" s="15"/>
      <c r="OCU238" s="15"/>
      <c r="OCV238" s="15"/>
      <c r="OCW238" s="15"/>
      <c r="OCX238" s="15"/>
      <c r="OCY238" s="15"/>
      <c r="OCZ238" s="15"/>
      <c r="ODA238" s="10"/>
      <c r="ODB238" s="10"/>
      <c r="ODC238" s="21"/>
      <c r="ODD238" s="21"/>
      <c r="ODG238" s="21"/>
      <c r="ODH238" s="15"/>
      <c r="ODI238" s="15"/>
      <c r="ODJ238" s="15"/>
      <c r="ODK238" s="15"/>
      <c r="ODL238" s="15"/>
      <c r="ODM238" s="15"/>
      <c r="ODN238" s="15"/>
      <c r="ODO238" s="15"/>
      <c r="ODP238" s="15"/>
      <c r="ODQ238" s="15"/>
      <c r="ODR238" s="10"/>
      <c r="ODS238" s="10"/>
      <c r="ODT238" s="21"/>
      <c r="ODU238" s="21"/>
      <c r="ODX238" s="21"/>
      <c r="ODY238" s="15"/>
      <c r="ODZ238" s="15"/>
      <c r="OEA238" s="15"/>
      <c r="OEB238" s="15"/>
      <c r="OEC238" s="15"/>
      <c r="OED238" s="15"/>
      <c r="OEE238" s="15"/>
      <c r="OEF238" s="15"/>
      <c r="OEG238" s="15"/>
      <c r="OEH238" s="15"/>
      <c r="OEI238" s="10"/>
      <c r="OEJ238" s="10"/>
      <c r="OEK238" s="21"/>
      <c r="OEL238" s="21"/>
      <c r="OEO238" s="21"/>
      <c r="OEP238" s="15"/>
      <c r="OEQ238" s="15"/>
      <c r="OER238" s="15"/>
      <c r="OES238" s="15"/>
      <c r="OET238" s="15"/>
      <c r="OEU238" s="15"/>
      <c r="OEV238" s="15"/>
      <c r="OEW238" s="15"/>
      <c r="OEX238" s="15"/>
      <c r="OEY238" s="15"/>
      <c r="OEZ238" s="10"/>
      <c r="OFA238" s="10"/>
      <c r="OFB238" s="21"/>
      <c r="OFC238" s="21"/>
      <c r="OFF238" s="21"/>
      <c r="OFG238" s="15"/>
      <c r="OFH238" s="15"/>
      <c r="OFI238" s="15"/>
      <c r="OFJ238" s="15"/>
      <c r="OFK238" s="15"/>
      <c r="OFL238" s="15"/>
      <c r="OFM238" s="15"/>
      <c r="OFN238" s="15"/>
      <c r="OFO238" s="15"/>
      <c r="OFP238" s="15"/>
      <c r="OFQ238" s="10"/>
      <c r="OFR238" s="10"/>
      <c r="OFS238" s="21"/>
      <c r="OFT238" s="21"/>
      <c r="OFW238" s="21"/>
      <c r="OFX238" s="15"/>
      <c r="OFY238" s="15"/>
      <c r="OFZ238" s="15"/>
      <c r="OGA238" s="15"/>
      <c r="OGB238" s="15"/>
      <c r="OGC238" s="15"/>
      <c r="OGD238" s="15"/>
      <c r="OGE238" s="15"/>
      <c r="OGF238" s="15"/>
      <c r="OGG238" s="15"/>
      <c r="OGH238" s="10"/>
      <c r="OGI238" s="10"/>
      <c r="OGJ238" s="21"/>
      <c r="OGK238" s="21"/>
      <c r="OGN238" s="21"/>
      <c r="OGO238" s="15"/>
      <c r="OGP238" s="15"/>
      <c r="OGQ238" s="15"/>
      <c r="OGR238" s="15"/>
      <c r="OGS238" s="15"/>
      <c r="OGT238" s="15"/>
      <c r="OGU238" s="15"/>
      <c r="OGV238" s="15"/>
      <c r="OGW238" s="15"/>
      <c r="OGX238" s="15"/>
      <c r="OGY238" s="10"/>
      <c r="OGZ238" s="10"/>
      <c r="OHA238" s="21"/>
      <c r="OHB238" s="21"/>
      <c r="OHE238" s="21"/>
      <c r="OHF238" s="15"/>
      <c r="OHG238" s="15"/>
      <c r="OHH238" s="15"/>
      <c r="OHI238" s="15"/>
      <c r="OHJ238" s="15"/>
      <c r="OHK238" s="15"/>
      <c r="OHL238" s="15"/>
      <c r="OHM238" s="15"/>
      <c r="OHN238" s="15"/>
      <c r="OHO238" s="15"/>
      <c r="OHP238" s="10"/>
      <c r="OHQ238" s="10"/>
      <c r="OHR238" s="21"/>
      <c r="OHS238" s="21"/>
      <c r="OHV238" s="21"/>
      <c r="OHW238" s="15"/>
      <c r="OHX238" s="15"/>
      <c r="OHY238" s="15"/>
      <c r="OHZ238" s="15"/>
      <c r="OIA238" s="15"/>
      <c r="OIB238" s="15"/>
      <c r="OIC238" s="15"/>
      <c r="OID238" s="15"/>
      <c r="OIE238" s="15"/>
      <c r="OIF238" s="15"/>
      <c r="OIG238" s="10"/>
      <c r="OIH238" s="10"/>
      <c r="OII238" s="21"/>
      <c r="OIJ238" s="21"/>
      <c r="OIM238" s="21"/>
      <c r="OIN238" s="15"/>
      <c r="OIO238" s="15"/>
      <c r="OIP238" s="15"/>
      <c r="OIQ238" s="15"/>
      <c r="OIR238" s="15"/>
      <c r="OIS238" s="15"/>
      <c r="OIT238" s="15"/>
      <c r="OIU238" s="15"/>
      <c r="OIV238" s="15"/>
      <c r="OIW238" s="15"/>
      <c r="OIX238" s="10"/>
      <c r="OIY238" s="10"/>
      <c r="OIZ238" s="21"/>
      <c r="OJA238" s="21"/>
      <c r="OJD238" s="21"/>
      <c r="OJE238" s="15"/>
      <c r="OJF238" s="15"/>
      <c r="OJG238" s="15"/>
      <c r="OJH238" s="15"/>
      <c r="OJI238" s="15"/>
      <c r="OJJ238" s="15"/>
      <c r="OJK238" s="15"/>
      <c r="OJL238" s="15"/>
      <c r="OJM238" s="15"/>
      <c r="OJN238" s="15"/>
      <c r="OJO238" s="10"/>
      <c r="OJP238" s="10"/>
      <c r="OJQ238" s="21"/>
      <c r="OJR238" s="21"/>
      <c r="OJU238" s="21"/>
      <c r="OJV238" s="15"/>
      <c r="OJW238" s="15"/>
      <c r="OJX238" s="15"/>
      <c r="OJY238" s="15"/>
      <c r="OJZ238" s="15"/>
      <c r="OKA238" s="15"/>
      <c r="OKB238" s="15"/>
      <c r="OKC238" s="15"/>
      <c r="OKD238" s="15"/>
      <c r="OKE238" s="15"/>
      <c r="OKF238" s="10"/>
      <c r="OKG238" s="10"/>
      <c r="OKH238" s="21"/>
      <c r="OKI238" s="21"/>
      <c r="OKL238" s="21"/>
      <c r="OKM238" s="15"/>
      <c r="OKN238" s="15"/>
      <c r="OKO238" s="15"/>
      <c r="OKP238" s="15"/>
      <c r="OKQ238" s="15"/>
      <c r="OKR238" s="15"/>
      <c r="OKS238" s="15"/>
      <c r="OKT238" s="15"/>
      <c r="OKU238" s="15"/>
      <c r="OKV238" s="15"/>
      <c r="OKW238" s="10"/>
      <c r="OKX238" s="10"/>
      <c r="OKY238" s="21"/>
      <c r="OKZ238" s="21"/>
      <c r="OLC238" s="21"/>
      <c r="OLD238" s="15"/>
      <c r="OLE238" s="15"/>
      <c r="OLF238" s="15"/>
      <c r="OLG238" s="15"/>
      <c r="OLH238" s="15"/>
      <c r="OLI238" s="15"/>
      <c r="OLJ238" s="15"/>
      <c r="OLK238" s="15"/>
      <c r="OLL238" s="15"/>
      <c r="OLM238" s="15"/>
      <c r="OLN238" s="10"/>
      <c r="OLO238" s="10"/>
      <c r="OLP238" s="21"/>
      <c r="OLQ238" s="21"/>
      <c r="OLT238" s="21"/>
      <c r="OLU238" s="15"/>
      <c r="OLV238" s="15"/>
      <c r="OLW238" s="15"/>
      <c r="OLX238" s="15"/>
      <c r="OLY238" s="15"/>
      <c r="OLZ238" s="15"/>
      <c r="OMA238" s="15"/>
      <c r="OMB238" s="15"/>
      <c r="OMC238" s="15"/>
      <c r="OMD238" s="15"/>
      <c r="OME238" s="10"/>
      <c r="OMF238" s="10"/>
      <c r="OMG238" s="21"/>
      <c r="OMH238" s="21"/>
      <c r="OMK238" s="21"/>
      <c r="OML238" s="15"/>
      <c r="OMM238" s="15"/>
      <c r="OMN238" s="15"/>
      <c r="OMO238" s="15"/>
      <c r="OMP238" s="15"/>
      <c r="OMQ238" s="15"/>
      <c r="OMR238" s="15"/>
      <c r="OMS238" s="15"/>
      <c r="OMT238" s="15"/>
      <c r="OMU238" s="15"/>
      <c r="OMV238" s="10"/>
      <c r="OMW238" s="10"/>
      <c r="OMX238" s="21"/>
      <c r="OMY238" s="21"/>
      <c r="ONB238" s="21"/>
      <c r="ONC238" s="15"/>
      <c r="OND238" s="15"/>
      <c r="ONE238" s="15"/>
      <c r="ONF238" s="15"/>
      <c r="ONG238" s="15"/>
      <c r="ONH238" s="15"/>
      <c r="ONI238" s="15"/>
      <c r="ONJ238" s="15"/>
      <c r="ONK238" s="15"/>
      <c r="ONL238" s="15"/>
      <c r="ONM238" s="10"/>
      <c r="ONN238" s="10"/>
      <c r="ONO238" s="21"/>
      <c r="ONP238" s="21"/>
      <c r="ONS238" s="21"/>
      <c r="ONT238" s="15"/>
      <c r="ONU238" s="15"/>
      <c r="ONV238" s="15"/>
      <c r="ONW238" s="15"/>
      <c r="ONX238" s="15"/>
      <c r="ONY238" s="15"/>
      <c r="ONZ238" s="15"/>
      <c r="OOA238" s="15"/>
      <c r="OOB238" s="15"/>
      <c r="OOC238" s="15"/>
      <c r="OOD238" s="10"/>
      <c r="OOE238" s="10"/>
      <c r="OOF238" s="21"/>
      <c r="OOG238" s="21"/>
      <c r="OOJ238" s="21"/>
      <c r="OOK238" s="15"/>
      <c r="OOL238" s="15"/>
      <c r="OOM238" s="15"/>
      <c r="OON238" s="15"/>
      <c r="OOO238" s="15"/>
      <c r="OOP238" s="15"/>
      <c r="OOQ238" s="15"/>
      <c r="OOR238" s="15"/>
      <c r="OOS238" s="15"/>
      <c r="OOT238" s="15"/>
      <c r="OOU238" s="10"/>
      <c r="OOV238" s="10"/>
      <c r="OOW238" s="21"/>
      <c r="OOX238" s="21"/>
      <c r="OPA238" s="21"/>
      <c r="OPB238" s="15"/>
      <c r="OPC238" s="15"/>
      <c r="OPD238" s="15"/>
      <c r="OPE238" s="15"/>
      <c r="OPF238" s="15"/>
      <c r="OPG238" s="15"/>
      <c r="OPH238" s="15"/>
      <c r="OPI238" s="15"/>
      <c r="OPJ238" s="15"/>
      <c r="OPK238" s="15"/>
      <c r="OPL238" s="10"/>
      <c r="OPM238" s="10"/>
      <c r="OPN238" s="21"/>
      <c r="OPO238" s="21"/>
      <c r="OPR238" s="21"/>
      <c r="OPS238" s="15"/>
      <c r="OPT238" s="15"/>
      <c r="OPU238" s="15"/>
      <c r="OPV238" s="15"/>
      <c r="OPW238" s="15"/>
      <c r="OPX238" s="15"/>
      <c r="OPY238" s="15"/>
      <c r="OPZ238" s="15"/>
      <c r="OQA238" s="15"/>
      <c r="OQB238" s="15"/>
      <c r="OQC238" s="10"/>
      <c r="OQD238" s="10"/>
      <c r="OQE238" s="21"/>
      <c r="OQF238" s="21"/>
      <c r="OQI238" s="21"/>
      <c r="OQJ238" s="15"/>
      <c r="OQK238" s="15"/>
      <c r="OQL238" s="15"/>
      <c r="OQM238" s="15"/>
      <c r="OQN238" s="15"/>
      <c r="OQO238" s="15"/>
      <c r="OQP238" s="15"/>
      <c r="OQQ238" s="15"/>
      <c r="OQR238" s="15"/>
      <c r="OQS238" s="15"/>
      <c r="OQT238" s="10"/>
      <c r="OQU238" s="10"/>
      <c r="OQV238" s="21"/>
      <c r="OQW238" s="21"/>
      <c r="OQZ238" s="21"/>
      <c r="ORA238" s="15"/>
      <c r="ORB238" s="15"/>
      <c r="ORC238" s="15"/>
      <c r="ORD238" s="15"/>
      <c r="ORE238" s="15"/>
      <c r="ORF238" s="15"/>
      <c r="ORG238" s="15"/>
      <c r="ORH238" s="15"/>
      <c r="ORI238" s="15"/>
      <c r="ORJ238" s="15"/>
      <c r="ORK238" s="10"/>
      <c r="ORL238" s="10"/>
      <c r="ORM238" s="21"/>
      <c r="ORN238" s="21"/>
      <c r="ORQ238" s="21"/>
      <c r="ORR238" s="15"/>
      <c r="ORS238" s="15"/>
      <c r="ORT238" s="15"/>
      <c r="ORU238" s="15"/>
      <c r="ORV238" s="15"/>
      <c r="ORW238" s="15"/>
      <c r="ORX238" s="15"/>
      <c r="ORY238" s="15"/>
      <c r="ORZ238" s="15"/>
      <c r="OSA238" s="15"/>
      <c r="OSB238" s="10"/>
      <c r="OSC238" s="10"/>
      <c r="OSD238" s="21"/>
      <c r="OSE238" s="21"/>
      <c r="OSH238" s="21"/>
      <c r="OSI238" s="15"/>
      <c r="OSJ238" s="15"/>
      <c r="OSK238" s="15"/>
      <c r="OSL238" s="15"/>
      <c r="OSM238" s="15"/>
      <c r="OSN238" s="15"/>
      <c r="OSO238" s="15"/>
      <c r="OSP238" s="15"/>
      <c r="OSQ238" s="15"/>
      <c r="OSR238" s="15"/>
      <c r="OSS238" s="10"/>
      <c r="OST238" s="10"/>
      <c r="OSU238" s="21"/>
      <c r="OSV238" s="21"/>
      <c r="OSY238" s="21"/>
      <c r="OSZ238" s="15"/>
      <c r="OTA238" s="15"/>
      <c r="OTB238" s="15"/>
      <c r="OTC238" s="15"/>
      <c r="OTD238" s="15"/>
      <c r="OTE238" s="15"/>
      <c r="OTF238" s="15"/>
      <c r="OTG238" s="15"/>
      <c r="OTH238" s="15"/>
      <c r="OTI238" s="15"/>
      <c r="OTJ238" s="10"/>
      <c r="OTK238" s="10"/>
      <c r="OTL238" s="21"/>
      <c r="OTM238" s="21"/>
      <c r="OTP238" s="21"/>
      <c r="OTQ238" s="15"/>
      <c r="OTR238" s="15"/>
      <c r="OTS238" s="15"/>
      <c r="OTT238" s="15"/>
      <c r="OTU238" s="15"/>
      <c r="OTV238" s="15"/>
      <c r="OTW238" s="15"/>
      <c r="OTX238" s="15"/>
      <c r="OTY238" s="15"/>
      <c r="OTZ238" s="15"/>
      <c r="OUA238" s="10"/>
      <c r="OUB238" s="10"/>
      <c r="OUC238" s="21"/>
      <c r="OUD238" s="21"/>
      <c r="OUG238" s="21"/>
      <c r="OUH238" s="15"/>
      <c r="OUI238" s="15"/>
      <c r="OUJ238" s="15"/>
      <c r="OUK238" s="15"/>
      <c r="OUL238" s="15"/>
      <c r="OUM238" s="15"/>
      <c r="OUN238" s="15"/>
      <c r="OUO238" s="15"/>
      <c r="OUP238" s="15"/>
      <c r="OUQ238" s="15"/>
      <c r="OUR238" s="10"/>
      <c r="OUS238" s="10"/>
      <c r="OUT238" s="21"/>
      <c r="OUU238" s="21"/>
      <c r="OUX238" s="21"/>
      <c r="OUY238" s="15"/>
      <c r="OUZ238" s="15"/>
      <c r="OVA238" s="15"/>
      <c r="OVB238" s="15"/>
      <c r="OVC238" s="15"/>
      <c r="OVD238" s="15"/>
      <c r="OVE238" s="15"/>
      <c r="OVF238" s="15"/>
      <c r="OVG238" s="15"/>
      <c r="OVH238" s="15"/>
      <c r="OVI238" s="10"/>
      <c r="OVJ238" s="10"/>
      <c r="OVK238" s="21"/>
      <c r="OVL238" s="21"/>
      <c r="OVO238" s="21"/>
      <c r="OVP238" s="15"/>
      <c r="OVQ238" s="15"/>
      <c r="OVR238" s="15"/>
      <c r="OVS238" s="15"/>
      <c r="OVT238" s="15"/>
      <c r="OVU238" s="15"/>
      <c r="OVV238" s="15"/>
      <c r="OVW238" s="15"/>
      <c r="OVX238" s="15"/>
      <c r="OVY238" s="15"/>
      <c r="OVZ238" s="10"/>
      <c r="OWA238" s="10"/>
      <c r="OWB238" s="21"/>
      <c r="OWC238" s="21"/>
      <c r="OWF238" s="21"/>
      <c r="OWG238" s="15"/>
      <c r="OWH238" s="15"/>
      <c r="OWI238" s="15"/>
      <c r="OWJ238" s="15"/>
      <c r="OWK238" s="15"/>
      <c r="OWL238" s="15"/>
      <c r="OWM238" s="15"/>
      <c r="OWN238" s="15"/>
      <c r="OWO238" s="15"/>
      <c r="OWP238" s="15"/>
      <c r="OWQ238" s="10"/>
      <c r="OWR238" s="10"/>
      <c r="OWS238" s="21"/>
      <c r="OWT238" s="21"/>
      <c r="OWW238" s="21"/>
      <c r="OWX238" s="15"/>
      <c r="OWY238" s="15"/>
      <c r="OWZ238" s="15"/>
      <c r="OXA238" s="15"/>
      <c r="OXB238" s="15"/>
      <c r="OXC238" s="15"/>
      <c r="OXD238" s="15"/>
      <c r="OXE238" s="15"/>
      <c r="OXF238" s="15"/>
      <c r="OXG238" s="15"/>
      <c r="OXH238" s="10"/>
      <c r="OXI238" s="10"/>
      <c r="OXJ238" s="21"/>
      <c r="OXK238" s="21"/>
      <c r="OXN238" s="21"/>
      <c r="OXO238" s="15"/>
      <c r="OXP238" s="15"/>
      <c r="OXQ238" s="15"/>
      <c r="OXR238" s="15"/>
      <c r="OXS238" s="15"/>
      <c r="OXT238" s="15"/>
      <c r="OXU238" s="15"/>
      <c r="OXV238" s="15"/>
      <c r="OXW238" s="15"/>
      <c r="OXX238" s="15"/>
      <c r="OXY238" s="10"/>
      <c r="OXZ238" s="10"/>
      <c r="OYA238" s="21"/>
      <c r="OYB238" s="21"/>
      <c r="OYE238" s="21"/>
      <c r="OYF238" s="15"/>
      <c r="OYG238" s="15"/>
      <c r="OYH238" s="15"/>
      <c r="OYI238" s="15"/>
      <c r="OYJ238" s="15"/>
      <c r="OYK238" s="15"/>
      <c r="OYL238" s="15"/>
      <c r="OYM238" s="15"/>
      <c r="OYN238" s="15"/>
      <c r="OYO238" s="15"/>
      <c r="OYP238" s="10"/>
      <c r="OYQ238" s="10"/>
      <c r="OYR238" s="21"/>
      <c r="OYS238" s="21"/>
      <c r="OYV238" s="21"/>
      <c r="OYW238" s="15"/>
      <c r="OYX238" s="15"/>
      <c r="OYY238" s="15"/>
      <c r="OYZ238" s="15"/>
      <c r="OZA238" s="15"/>
      <c r="OZB238" s="15"/>
      <c r="OZC238" s="15"/>
      <c r="OZD238" s="15"/>
      <c r="OZE238" s="15"/>
      <c r="OZF238" s="15"/>
      <c r="OZG238" s="10"/>
      <c r="OZH238" s="10"/>
      <c r="OZI238" s="21"/>
      <c r="OZJ238" s="21"/>
      <c r="OZM238" s="21"/>
      <c r="OZN238" s="15"/>
      <c r="OZO238" s="15"/>
      <c r="OZP238" s="15"/>
      <c r="OZQ238" s="15"/>
      <c r="OZR238" s="15"/>
      <c r="OZS238" s="15"/>
      <c r="OZT238" s="15"/>
      <c r="OZU238" s="15"/>
      <c r="OZV238" s="15"/>
      <c r="OZW238" s="15"/>
      <c r="OZX238" s="10"/>
      <c r="OZY238" s="10"/>
      <c r="OZZ238" s="21"/>
      <c r="PAA238" s="21"/>
      <c r="PAD238" s="21"/>
      <c r="PAE238" s="15"/>
      <c r="PAF238" s="15"/>
      <c r="PAG238" s="15"/>
      <c r="PAH238" s="15"/>
      <c r="PAI238" s="15"/>
      <c r="PAJ238" s="15"/>
      <c r="PAK238" s="15"/>
      <c r="PAL238" s="15"/>
      <c r="PAM238" s="15"/>
      <c r="PAN238" s="15"/>
      <c r="PAO238" s="10"/>
      <c r="PAP238" s="10"/>
      <c r="PAQ238" s="21"/>
      <c r="PAR238" s="21"/>
      <c r="PAU238" s="21"/>
      <c r="PAV238" s="15"/>
      <c r="PAW238" s="15"/>
      <c r="PAX238" s="15"/>
      <c r="PAY238" s="15"/>
      <c r="PAZ238" s="15"/>
      <c r="PBA238" s="15"/>
      <c r="PBB238" s="15"/>
      <c r="PBC238" s="15"/>
      <c r="PBD238" s="15"/>
      <c r="PBE238" s="15"/>
      <c r="PBF238" s="10"/>
      <c r="PBG238" s="10"/>
      <c r="PBH238" s="21"/>
      <c r="PBI238" s="21"/>
      <c r="PBL238" s="21"/>
      <c r="PBM238" s="15"/>
      <c r="PBN238" s="15"/>
      <c r="PBO238" s="15"/>
      <c r="PBP238" s="15"/>
      <c r="PBQ238" s="15"/>
      <c r="PBR238" s="15"/>
      <c r="PBS238" s="15"/>
      <c r="PBT238" s="15"/>
      <c r="PBU238" s="15"/>
      <c r="PBV238" s="15"/>
      <c r="PBW238" s="10"/>
      <c r="PBX238" s="10"/>
      <c r="PBY238" s="21"/>
      <c r="PBZ238" s="21"/>
      <c r="PCC238" s="21"/>
      <c r="PCD238" s="15"/>
      <c r="PCE238" s="15"/>
      <c r="PCF238" s="15"/>
      <c r="PCG238" s="15"/>
      <c r="PCH238" s="15"/>
      <c r="PCI238" s="15"/>
      <c r="PCJ238" s="15"/>
      <c r="PCK238" s="15"/>
      <c r="PCL238" s="15"/>
      <c r="PCM238" s="15"/>
      <c r="PCN238" s="10"/>
      <c r="PCO238" s="10"/>
      <c r="PCP238" s="21"/>
      <c r="PCQ238" s="21"/>
      <c r="PCT238" s="21"/>
      <c r="PCU238" s="15"/>
      <c r="PCV238" s="15"/>
      <c r="PCW238" s="15"/>
      <c r="PCX238" s="15"/>
      <c r="PCY238" s="15"/>
      <c r="PCZ238" s="15"/>
      <c r="PDA238" s="15"/>
      <c r="PDB238" s="15"/>
      <c r="PDC238" s="15"/>
      <c r="PDD238" s="15"/>
      <c r="PDE238" s="10"/>
      <c r="PDF238" s="10"/>
      <c r="PDG238" s="21"/>
      <c r="PDH238" s="21"/>
      <c r="PDK238" s="21"/>
      <c r="PDL238" s="15"/>
      <c r="PDM238" s="15"/>
      <c r="PDN238" s="15"/>
      <c r="PDO238" s="15"/>
      <c r="PDP238" s="15"/>
      <c r="PDQ238" s="15"/>
      <c r="PDR238" s="15"/>
      <c r="PDS238" s="15"/>
      <c r="PDT238" s="15"/>
      <c r="PDU238" s="15"/>
      <c r="PDV238" s="10"/>
      <c r="PDW238" s="10"/>
      <c r="PDX238" s="21"/>
      <c r="PDY238" s="21"/>
      <c r="PEB238" s="21"/>
      <c r="PEC238" s="15"/>
      <c r="PED238" s="15"/>
      <c r="PEE238" s="15"/>
      <c r="PEF238" s="15"/>
      <c r="PEG238" s="15"/>
      <c r="PEH238" s="15"/>
      <c r="PEI238" s="15"/>
      <c r="PEJ238" s="15"/>
      <c r="PEK238" s="15"/>
      <c r="PEL238" s="15"/>
      <c r="PEM238" s="10"/>
      <c r="PEN238" s="10"/>
      <c r="PEO238" s="21"/>
      <c r="PEP238" s="21"/>
      <c r="PES238" s="21"/>
      <c r="PET238" s="15"/>
      <c r="PEU238" s="15"/>
      <c r="PEV238" s="15"/>
      <c r="PEW238" s="15"/>
      <c r="PEX238" s="15"/>
      <c r="PEY238" s="15"/>
      <c r="PEZ238" s="15"/>
      <c r="PFA238" s="15"/>
      <c r="PFB238" s="15"/>
      <c r="PFC238" s="15"/>
      <c r="PFD238" s="10"/>
      <c r="PFE238" s="10"/>
      <c r="PFF238" s="21"/>
      <c r="PFG238" s="21"/>
      <c r="PFJ238" s="21"/>
      <c r="PFK238" s="15"/>
      <c r="PFL238" s="15"/>
      <c r="PFM238" s="15"/>
      <c r="PFN238" s="15"/>
      <c r="PFO238" s="15"/>
      <c r="PFP238" s="15"/>
      <c r="PFQ238" s="15"/>
      <c r="PFR238" s="15"/>
      <c r="PFS238" s="15"/>
      <c r="PFT238" s="15"/>
      <c r="PFU238" s="10"/>
      <c r="PFV238" s="10"/>
      <c r="PFW238" s="21"/>
      <c r="PFX238" s="21"/>
      <c r="PGA238" s="21"/>
      <c r="PGB238" s="15"/>
      <c r="PGC238" s="15"/>
      <c r="PGD238" s="15"/>
      <c r="PGE238" s="15"/>
      <c r="PGF238" s="15"/>
      <c r="PGG238" s="15"/>
      <c r="PGH238" s="15"/>
      <c r="PGI238" s="15"/>
      <c r="PGJ238" s="15"/>
      <c r="PGK238" s="15"/>
      <c r="PGL238" s="10"/>
      <c r="PGM238" s="10"/>
      <c r="PGN238" s="21"/>
      <c r="PGO238" s="21"/>
      <c r="PGR238" s="21"/>
      <c r="PGS238" s="15"/>
      <c r="PGT238" s="15"/>
      <c r="PGU238" s="15"/>
      <c r="PGV238" s="15"/>
      <c r="PGW238" s="15"/>
      <c r="PGX238" s="15"/>
      <c r="PGY238" s="15"/>
      <c r="PGZ238" s="15"/>
      <c r="PHA238" s="15"/>
      <c r="PHB238" s="15"/>
      <c r="PHC238" s="10"/>
      <c r="PHD238" s="10"/>
      <c r="PHE238" s="21"/>
      <c r="PHF238" s="21"/>
      <c r="PHI238" s="21"/>
      <c r="PHJ238" s="15"/>
      <c r="PHK238" s="15"/>
      <c r="PHL238" s="15"/>
      <c r="PHM238" s="15"/>
      <c r="PHN238" s="15"/>
      <c r="PHO238" s="15"/>
      <c r="PHP238" s="15"/>
      <c r="PHQ238" s="15"/>
      <c r="PHR238" s="15"/>
      <c r="PHS238" s="15"/>
      <c r="PHT238" s="10"/>
      <c r="PHU238" s="10"/>
      <c r="PHV238" s="21"/>
      <c r="PHW238" s="21"/>
      <c r="PHZ238" s="21"/>
      <c r="PIA238" s="15"/>
      <c r="PIB238" s="15"/>
      <c r="PIC238" s="15"/>
      <c r="PID238" s="15"/>
      <c r="PIE238" s="15"/>
      <c r="PIF238" s="15"/>
      <c r="PIG238" s="15"/>
      <c r="PIH238" s="15"/>
      <c r="PII238" s="15"/>
      <c r="PIJ238" s="15"/>
      <c r="PIK238" s="10"/>
      <c r="PIL238" s="10"/>
      <c r="PIM238" s="21"/>
      <c r="PIN238" s="21"/>
      <c r="PIQ238" s="21"/>
      <c r="PIR238" s="15"/>
      <c r="PIS238" s="15"/>
      <c r="PIT238" s="15"/>
      <c r="PIU238" s="15"/>
      <c r="PIV238" s="15"/>
      <c r="PIW238" s="15"/>
      <c r="PIX238" s="15"/>
      <c r="PIY238" s="15"/>
      <c r="PIZ238" s="15"/>
      <c r="PJA238" s="15"/>
      <c r="PJB238" s="10"/>
      <c r="PJC238" s="10"/>
      <c r="PJD238" s="21"/>
      <c r="PJE238" s="21"/>
      <c r="PJH238" s="21"/>
      <c r="PJI238" s="15"/>
      <c r="PJJ238" s="15"/>
      <c r="PJK238" s="15"/>
      <c r="PJL238" s="15"/>
      <c r="PJM238" s="15"/>
      <c r="PJN238" s="15"/>
      <c r="PJO238" s="15"/>
      <c r="PJP238" s="15"/>
      <c r="PJQ238" s="15"/>
      <c r="PJR238" s="15"/>
      <c r="PJS238" s="10"/>
      <c r="PJT238" s="10"/>
      <c r="PJU238" s="21"/>
      <c r="PJV238" s="21"/>
      <c r="PJY238" s="21"/>
      <c r="PJZ238" s="15"/>
      <c r="PKA238" s="15"/>
      <c r="PKB238" s="15"/>
      <c r="PKC238" s="15"/>
      <c r="PKD238" s="15"/>
      <c r="PKE238" s="15"/>
      <c r="PKF238" s="15"/>
      <c r="PKG238" s="15"/>
      <c r="PKH238" s="15"/>
      <c r="PKI238" s="15"/>
      <c r="PKJ238" s="10"/>
      <c r="PKK238" s="10"/>
      <c r="PKL238" s="21"/>
      <c r="PKM238" s="21"/>
      <c r="PKP238" s="21"/>
      <c r="PKQ238" s="15"/>
      <c r="PKR238" s="15"/>
      <c r="PKS238" s="15"/>
      <c r="PKT238" s="15"/>
      <c r="PKU238" s="15"/>
      <c r="PKV238" s="15"/>
      <c r="PKW238" s="15"/>
      <c r="PKX238" s="15"/>
      <c r="PKY238" s="15"/>
      <c r="PKZ238" s="15"/>
      <c r="PLA238" s="10"/>
      <c r="PLB238" s="10"/>
      <c r="PLC238" s="21"/>
      <c r="PLD238" s="21"/>
      <c r="PLG238" s="21"/>
      <c r="PLH238" s="15"/>
      <c r="PLI238" s="15"/>
      <c r="PLJ238" s="15"/>
      <c r="PLK238" s="15"/>
      <c r="PLL238" s="15"/>
      <c r="PLM238" s="15"/>
      <c r="PLN238" s="15"/>
      <c r="PLO238" s="15"/>
      <c r="PLP238" s="15"/>
      <c r="PLQ238" s="15"/>
      <c r="PLR238" s="10"/>
      <c r="PLS238" s="10"/>
      <c r="PLT238" s="21"/>
      <c r="PLU238" s="21"/>
      <c r="PLX238" s="21"/>
      <c r="PLY238" s="15"/>
      <c r="PLZ238" s="15"/>
      <c r="PMA238" s="15"/>
      <c r="PMB238" s="15"/>
      <c r="PMC238" s="15"/>
      <c r="PMD238" s="15"/>
      <c r="PME238" s="15"/>
      <c r="PMF238" s="15"/>
      <c r="PMG238" s="15"/>
      <c r="PMH238" s="15"/>
      <c r="PMI238" s="10"/>
      <c r="PMJ238" s="10"/>
      <c r="PMK238" s="21"/>
      <c r="PML238" s="21"/>
      <c r="PMO238" s="21"/>
      <c r="PMP238" s="15"/>
      <c r="PMQ238" s="15"/>
      <c r="PMR238" s="15"/>
      <c r="PMS238" s="15"/>
      <c r="PMT238" s="15"/>
      <c r="PMU238" s="15"/>
      <c r="PMV238" s="15"/>
      <c r="PMW238" s="15"/>
      <c r="PMX238" s="15"/>
      <c r="PMY238" s="15"/>
      <c r="PMZ238" s="10"/>
      <c r="PNA238" s="10"/>
      <c r="PNB238" s="21"/>
      <c r="PNC238" s="21"/>
      <c r="PNF238" s="21"/>
      <c r="PNG238" s="15"/>
      <c r="PNH238" s="15"/>
      <c r="PNI238" s="15"/>
      <c r="PNJ238" s="15"/>
      <c r="PNK238" s="15"/>
      <c r="PNL238" s="15"/>
      <c r="PNM238" s="15"/>
      <c r="PNN238" s="15"/>
      <c r="PNO238" s="15"/>
      <c r="PNP238" s="15"/>
      <c r="PNQ238" s="10"/>
      <c r="PNR238" s="10"/>
      <c r="PNS238" s="21"/>
      <c r="PNT238" s="21"/>
      <c r="PNW238" s="21"/>
      <c r="PNX238" s="15"/>
      <c r="PNY238" s="15"/>
      <c r="PNZ238" s="15"/>
      <c r="POA238" s="15"/>
      <c r="POB238" s="15"/>
      <c r="POC238" s="15"/>
      <c r="POD238" s="15"/>
      <c r="POE238" s="15"/>
      <c r="POF238" s="15"/>
      <c r="POG238" s="15"/>
      <c r="POH238" s="10"/>
      <c r="POI238" s="10"/>
      <c r="POJ238" s="21"/>
      <c r="POK238" s="21"/>
      <c r="PON238" s="21"/>
      <c r="POO238" s="15"/>
      <c r="POP238" s="15"/>
      <c r="POQ238" s="15"/>
      <c r="POR238" s="15"/>
      <c r="POS238" s="15"/>
      <c r="POT238" s="15"/>
      <c r="POU238" s="15"/>
      <c r="POV238" s="15"/>
      <c r="POW238" s="15"/>
      <c r="POX238" s="15"/>
      <c r="POY238" s="10"/>
      <c r="POZ238" s="10"/>
      <c r="PPA238" s="21"/>
      <c r="PPB238" s="21"/>
      <c r="PPE238" s="21"/>
      <c r="PPF238" s="15"/>
      <c r="PPG238" s="15"/>
      <c r="PPH238" s="15"/>
      <c r="PPI238" s="15"/>
      <c r="PPJ238" s="15"/>
      <c r="PPK238" s="15"/>
      <c r="PPL238" s="15"/>
      <c r="PPM238" s="15"/>
      <c r="PPN238" s="15"/>
      <c r="PPO238" s="15"/>
      <c r="PPP238" s="10"/>
      <c r="PPQ238" s="10"/>
      <c r="PPR238" s="21"/>
      <c r="PPS238" s="21"/>
      <c r="PPV238" s="21"/>
      <c r="PPW238" s="15"/>
      <c r="PPX238" s="15"/>
      <c r="PPY238" s="15"/>
      <c r="PPZ238" s="15"/>
      <c r="PQA238" s="15"/>
      <c r="PQB238" s="15"/>
      <c r="PQC238" s="15"/>
      <c r="PQD238" s="15"/>
      <c r="PQE238" s="15"/>
      <c r="PQF238" s="15"/>
      <c r="PQG238" s="10"/>
      <c r="PQH238" s="10"/>
      <c r="PQI238" s="21"/>
      <c r="PQJ238" s="21"/>
      <c r="PQM238" s="21"/>
      <c r="PQN238" s="15"/>
      <c r="PQO238" s="15"/>
      <c r="PQP238" s="15"/>
      <c r="PQQ238" s="15"/>
      <c r="PQR238" s="15"/>
      <c r="PQS238" s="15"/>
      <c r="PQT238" s="15"/>
      <c r="PQU238" s="15"/>
      <c r="PQV238" s="15"/>
      <c r="PQW238" s="15"/>
      <c r="PQX238" s="10"/>
      <c r="PQY238" s="10"/>
      <c r="PQZ238" s="21"/>
      <c r="PRA238" s="21"/>
      <c r="PRD238" s="21"/>
      <c r="PRE238" s="15"/>
      <c r="PRF238" s="15"/>
      <c r="PRG238" s="15"/>
      <c r="PRH238" s="15"/>
      <c r="PRI238" s="15"/>
      <c r="PRJ238" s="15"/>
      <c r="PRK238" s="15"/>
      <c r="PRL238" s="15"/>
      <c r="PRM238" s="15"/>
      <c r="PRN238" s="15"/>
      <c r="PRO238" s="10"/>
      <c r="PRP238" s="10"/>
      <c r="PRQ238" s="21"/>
      <c r="PRR238" s="21"/>
      <c r="PRU238" s="21"/>
      <c r="PRV238" s="15"/>
      <c r="PRW238" s="15"/>
      <c r="PRX238" s="15"/>
      <c r="PRY238" s="15"/>
      <c r="PRZ238" s="15"/>
      <c r="PSA238" s="15"/>
      <c r="PSB238" s="15"/>
      <c r="PSC238" s="15"/>
      <c r="PSD238" s="15"/>
      <c r="PSE238" s="15"/>
      <c r="PSF238" s="10"/>
      <c r="PSG238" s="10"/>
      <c r="PSH238" s="21"/>
      <c r="PSI238" s="21"/>
      <c r="PSL238" s="21"/>
      <c r="PSM238" s="15"/>
      <c r="PSN238" s="15"/>
      <c r="PSO238" s="15"/>
      <c r="PSP238" s="15"/>
      <c r="PSQ238" s="15"/>
      <c r="PSR238" s="15"/>
      <c r="PSS238" s="15"/>
      <c r="PST238" s="15"/>
      <c r="PSU238" s="15"/>
      <c r="PSV238" s="15"/>
      <c r="PSW238" s="10"/>
      <c r="PSX238" s="10"/>
      <c r="PSY238" s="21"/>
      <c r="PSZ238" s="21"/>
      <c r="PTC238" s="21"/>
      <c r="PTD238" s="15"/>
      <c r="PTE238" s="15"/>
      <c r="PTF238" s="15"/>
      <c r="PTG238" s="15"/>
      <c r="PTH238" s="15"/>
      <c r="PTI238" s="15"/>
      <c r="PTJ238" s="15"/>
      <c r="PTK238" s="15"/>
      <c r="PTL238" s="15"/>
      <c r="PTM238" s="15"/>
      <c r="PTN238" s="10"/>
      <c r="PTO238" s="10"/>
      <c r="PTP238" s="21"/>
      <c r="PTQ238" s="21"/>
      <c r="PTT238" s="21"/>
      <c r="PTU238" s="15"/>
      <c r="PTV238" s="15"/>
      <c r="PTW238" s="15"/>
      <c r="PTX238" s="15"/>
      <c r="PTY238" s="15"/>
      <c r="PTZ238" s="15"/>
      <c r="PUA238" s="15"/>
      <c r="PUB238" s="15"/>
      <c r="PUC238" s="15"/>
      <c r="PUD238" s="15"/>
      <c r="PUE238" s="10"/>
      <c r="PUF238" s="10"/>
      <c r="PUG238" s="21"/>
      <c r="PUH238" s="21"/>
      <c r="PUK238" s="21"/>
      <c r="PUL238" s="15"/>
      <c r="PUM238" s="15"/>
      <c r="PUN238" s="15"/>
      <c r="PUO238" s="15"/>
      <c r="PUP238" s="15"/>
      <c r="PUQ238" s="15"/>
      <c r="PUR238" s="15"/>
      <c r="PUS238" s="15"/>
      <c r="PUT238" s="15"/>
      <c r="PUU238" s="15"/>
      <c r="PUV238" s="10"/>
      <c r="PUW238" s="10"/>
      <c r="PUX238" s="21"/>
      <c r="PUY238" s="21"/>
      <c r="PVB238" s="21"/>
      <c r="PVC238" s="15"/>
      <c r="PVD238" s="15"/>
      <c r="PVE238" s="15"/>
      <c r="PVF238" s="15"/>
      <c r="PVG238" s="15"/>
      <c r="PVH238" s="15"/>
      <c r="PVI238" s="15"/>
      <c r="PVJ238" s="15"/>
      <c r="PVK238" s="15"/>
      <c r="PVL238" s="15"/>
      <c r="PVM238" s="10"/>
      <c r="PVN238" s="10"/>
      <c r="PVO238" s="21"/>
      <c r="PVP238" s="21"/>
      <c r="PVS238" s="21"/>
      <c r="PVT238" s="15"/>
      <c r="PVU238" s="15"/>
      <c r="PVV238" s="15"/>
      <c r="PVW238" s="15"/>
      <c r="PVX238" s="15"/>
      <c r="PVY238" s="15"/>
      <c r="PVZ238" s="15"/>
      <c r="PWA238" s="15"/>
      <c r="PWB238" s="15"/>
      <c r="PWC238" s="15"/>
      <c r="PWD238" s="10"/>
      <c r="PWE238" s="10"/>
      <c r="PWF238" s="21"/>
      <c r="PWG238" s="21"/>
      <c r="PWJ238" s="21"/>
      <c r="PWK238" s="15"/>
      <c r="PWL238" s="15"/>
      <c r="PWM238" s="15"/>
      <c r="PWN238" s="15"/>
      <c r="PWO238" s="15"/>
      <c r="PWP238" s="15"/>
      <c r="PWQ238" s="15"/>
      <c r="PWR238" s="15"/>
      <c r="PWS238" s="15"/>
      <c r="PWT238" s="15"/>
      <c r="PWU238" s="10"/>
      <c r="PWV238" s="10"/>
      <c r="PWW238" s="21"/>
      <c r="PWX238" s="21"/>
      <c r="PXA238" s="21"/>
      <c r="PXB238" s="15"/>
      <c r="PXC238" s="15"/>
      <c r="PXD238" s="15"/>
      <c r="PXE238" s="15"/>
      <c r="PXF238" s="15"/>
      <c r="PXG238" s="15"/>
      <c r="PXH238" s="15"/>
      <c r="PXI238" s="15"/>
      <c r="PXJ238" s="15"/>
      <c r="PXK238" s="15"/>
      <c r="PXL238" s="10"/>
      <c r="PXM238" s="10"/>
      <c r="PXN238" s="21"/>
      <c r="PXO238" s="21"/>
      <c r="PXR238" s="21"/>
      <c r="PXS238" s="15"/>
      <c r="PXT238" s="15"/>
      <c r="PXU238" s="15"/>
      <c r="PXV238" s="15"/>
      <c r="PXW238" s="15"/>
      <c r="PXX238" s="15"/>
      <c r="PXY238" s="15"/>
      <c r="PXZ238" s="15"/>
      <c r="PYA238" s="15"/>
      <c r="PYB238" s="15"/>
      <c r="PYC238" s="10"/>
      <c r="PYD238" s="10"/>
      <c r="PYE238" s="21"/>
      <c r="PYF238" s="21"/>
      <c r="PYI238" s="21"/>
      <c r="PYJ238" s="15"/>
      <c r="PYK238" s="15"/>
      <c r="PYL238" s="15"/>
      <c r="PYM238" s="15"/>
      <c r="PYN238" s="15"/>
      <c r="PYO238" s="15"/>
      <c r="PYP238" s="15"/>
      <c r="PYQ238" s="15"/>
      <c r="PYR238" s="15"/>
      <c r="PYS238" s="15"/>
      <c r="PYT238" s="10"/>
      <c r="PYU238" s="10"/>
      <c r="PYV238" s="21"/>
      <c r="PYW238" s="21"/>
      <c r="PYZ238" s="21"/>
      <c r="PZA238" s="15"/>
      <c r="PZB238" s="15"/>
      <c r="PZC238" s="15"/>
      <c r="PZD238" s="15"/>
      <c r="PZE238" s="15"/>
      <c r="PZF238" s="15"/>
      <c r="PZG238" s="15"/>
      <c r="PZH238" s="15"/>
      <c r="PZI238" s="15"/>
      <c r="PZJ238" s="15"/>
      <c r="PZK238" s="10"/>
      <c r="PZL238" s="10"/>
      <c r="PZM238" s="21"/>
      <c r="PZN238" s="21"/>
      <c r="PZQ238" s="21"/>
      <c r="PZR238" s="15"/>
      <c r="PZS238" s="15"/>
      <c r="PZT238" s="15"/>
      <c r="PZU238" s="15"/>
      <c r="PZV238" s="15"/>
      <c r="PZW238" s="15"/>
      <c r="PZX238" s="15"/>
      <c r="PZY238" s="15"/>
      <c r="PZZ238" s="15"/>
      <c r="QAA238" s="15"/>
      <c r="QAB238" s="10"/>
      <c r="QAC238" s="10"/>
      <c r="QAD238" s="21"/>
      <c r="QAE238" s="21"/>
      <c r="QAH238" s="21"/>
      <c r="QAI238" s="15"/>
      <c r="QAJ238" s="15"/>
      <c r="QAK238" s="15"/>
      <c r="QAL238" s="15"/>
      <c r="QAM238" s="15"/>
      <c r="QAN238" s="15"/>
      <c r="QAO238" s="15"/>
      <c r="QAP238" s="15"/>
      <c r="QAQ238" s="15"/>
      <c r="QAR238" s="15"/>
      <c r="QAS238" s="10"/>
      <c r="QAT238" s="10"/>
      <c r="QAU238" s="21"/>
      <c r="QAV238" s="21"/>
      <c r="QAY238" s="21"/>
      <c r="QAZ238" s="15"/>
      <c r="QBA238" s="15"/>
      <c r="QBB238" s="15"/>
      <c r="QBC238" s="15"/>
      <c r="QBD238" s="15"/>
      <c r="QBE238" s="15"/>
      <c r="QBF238" s="15"/>
      <c r="QBG238" s="15"/>
      <c r="QBH238" s="15"/>
      <c r="QBI238" s="15"/>
      <c r="QBJ238" s="10"/>
      <c r="QBK238" s="10"/>
      <c r="QBL238" s="21"/>
      <c r="QBM238" s="21"/>
      <c r="QBP238" s="21"/>
      <c r="QBQ238" s="15"/>
      <c r="QBR238" s="15"/>
      <c r="QBS238" s="15"/>
      <c r="QBT238" s="15"/>
      <c r="QBU238" s="15"/>
      <c r="QBV238" s="15"/>
      <c r="QBW238" s="15"/>
      <c r="QBX238" s="15"/>
      <c r="QBY238" s="15"/>
      <c r="QBZ238" s="15"/>
      <c r="QCA238" s="10"/>
      <c r="QCB238" s="10"/>
      <c r="QCC238" s="21"/>
      <c r="QCD238" s="21"/>
      <c r="QCG238" s="21"/>
      <c r="QCH238" s="15"/>
      <c r="QCI238" s="15"/>
      <c r="QCJ238" s="15"/>
      <c r="QCK238" s="15"/>
      <c r="QCL238" s="15"/>
      <c r="QCM238" s="15"/>
      <c r="QCN238" s="15"/>
      <c r="QCO238" s="15"/>
      <c r="QCP238" s="15"/>
      <c r="QCQ238" s="15"/>
      <c r="QCR238" s="10"/>
      <c r="QCS238" s="10"/>
      <c r="QCT238" s="21"/>
      <c r="QCU238" s="21"/>
      <c r="QCX238" s="21"/>
      <c r="QCY238" s="15"/>
      <c r="QCZ238" s="15"/>
      <c r="QDA238" s="15"/>
      <c r="QDB238" s="15"/>
      <c r="QDC238" s="15"/>
      <c r="QDD238" s="15"/>
      <c r="QDE238" s="15"/>
      <c r="QDF238" s="15"/>
      <c r="QDG238" s="15"/>
      <c r="QDH238" s="15"/>
      <c r="QDI238" s="10"/>
      <c r="QDJ238" s="10"/>
      <c r="QDK238" s="21"/>
      <c r="QDL238" s="21"/>
      <c r="QDO238" s="21"/>
      <c r="QDP238" s="15"/>
      <c r="QDQ238" s="15"/>
      <c r="QDR238" s="15"/>
      <c r="QDS238" s="15"/>
      <c r="QDT238" s="15"/>
      <c r="QDU238" s="15"/>
      <c r="QDV238" s="15"/>
      <c r="QDW238" s="15"/>
      <c r="QDX238" s="15"/>
      <c r="QDY238" s="15"/>
      <c r="QDZ238" s="10"/>
      <c r="QEA238" s="10"/>
      <c r="QEB238" s="21"/>
      <c r="QEC238" s="21"/>
      <c r="QEF238" s="21"/>
      <c r="QEG238" s="15"/>
      <c r="QEH238" s="15"/>
      <c r="QEI238" s="15"/>
      <c r="QEJ238" s="15"/>
      <c r="QEK238" s="15"/>
      <c r="QEL238" s="15"/>
      <c r="QEM238" s="15"/>
      <c r="QEN238" s="15"/>
      <c r="QEO238" s="15"/>
      <c r="QEP238" s="15"/>
      <c r="QEQ238" s="10"/>
      <c r="QER238" s="10"/>
      <c r="QES238" s="21"/>
      <c r="QET238" s="21"/>
      <c r="QEW238" s="21"/>
      <c r="QEX238" s="15"/>
      <c r="QEY238" s="15"/>
      <c r="QEZ238" s="15"/>
      <c r="QFA238" s="15"/>
      <c r="QFB238" s="15"/>
      <c r="QFC238" s="15"/>
      <c r="QFD238" s="15"/>
      <c r="QFE238" s="15"/>
      <c r="QFF238" s="15"/>
      <c r="QFG238" s="15"/>
      <c r="QFH238" s="10"/>
      <c r="QFI238" s="10"/>
      <c r="QFJ238" s="21"/>
      <c r="QFK238" s="21"/>
      <c r="QFN238" s="21"/>
      <c r="QFO238" s="15"/>
      <c r="QFP238" s="15"/>
      <c r="QFQ238" s="15"/>
      <c r="QFR238" s="15"/>
      <c r="QFS238" s="15"/>
      <c r="QFT238" s="15"/>
      <c r="QFU238" s="15"/>
      <c r="QFV238" s="15"/>
      <c r="QFW238" s="15"/>
      <c r="QFX238" s="15"/>
      <c r="QFY238" s="10"/>
      <c r="QFZ238" s="10"/>
      <c r="QGA238" s="21"/>
      <c r="QGB238" s="21"/>
      <c r="QGE238" s="21"/>
      <c r="QGF238" s="15"/>
      <c r="QGG238" s="15"/>
      <c r="QGH238" s="15"/>
      <c r="QGI238" s="15"/>
      <c r="QGJ238" s="15"/>
      <c r="QGK238" s="15"/>
      <c r="QGL238" s="15"/>
      <c r="QGM238" s="15"/>
      <c r="QGN238" s="15"/>
      <c r="QGO238" s="15"/>
      <c r="QGP238" s="10"/>
      <c r="QGQ238" s="10"/>
      <c r="QGR238" s="21"/>
      <c r="QGS238" s="21"/>
      <c r="QGV238" s="21"/>
      <c r="QGW238" s="15"/>
      <c r="QGX238" s="15"/>
      <c r="QGY238" s="15"/>
      <c r="QGZ238" s="15"/>
      <c r="QHA238" s="15"/>
      <c r="QHB238" s="15"/>
      <c r="QHC238" s="15"/>
      <c r="QHD238" s="15"/>
      <c r="QHE238" s="15"/>
      <c r="QHF238" s="15"/>
      <c r="QHG238" s="10"/>
      <c r="QHH238" s="10"/>
      <c r="QHI238" s="21"/>
      <c r="QHJ238" s="21"/>
      <c r="QHM238" s="21"/>
      <c r="QHN238" s="15"/>
      <c r="QHO238" s="15"/>
      <c r="QHP238" s="15"/>
      <c r="QHQ238" s="15"/>
      <c r="QHR238" s="15"/>
      <c r="QHS238" s="15"/>
      <c r="QHT238" s="15"/>
      <c r="QHU238" s="15"/>
      <c r="QHV238" s="15"/>
      <c r="QHW238" s="15"/>
      <c r="QHX238" s="10"/>
      <c r="QHY238" s="10"/>
      <c r="QHZ238" s="21"/>
      <c r="QIA238" s="21"/>
      <c r="QID238" s="21"/>
      <c r="QIE238" s="15"/>
      <c r="QIF238" s="15"/>
      <c r="QIG238" s="15"/>
      <c r="QIH238" s="15"/>
      <c r="QII238" s="15"/>
      <c r="QIJ238" s="15"/>
      <c r="QIK238" s="15"/>
      <c r="QIL238" s="15"/>
      <c r="QIM238" s="15"/>
      <c r="QIN238" s="15"/>
      <c r="QIO238" s="10"/>
      <c r="QIP238" s="10"/>
      <c r="QIQ238" s="21"/>
      <c r="QIR238" s="21"/>
      <c r="QIU238" s="21"/>
      <c r="QIV238" s="15"/>
      <c r="QIW238" s="15"/>
      <c r="QIX238" s="15"/>
      <c r="QIY238" s="15"/>
      <c r="QIZ238" s="15"/>
      <c r="QJA238" s="15"/>
      <c r="QJB238" s="15"/>
      <c r="QJC238" s="15"/>
      <c r="QJD238" s="15"/>
      <c r="QJE238" s="15"/>
      <c r="QJF238" s="10"/>
      <c r="QJG238" s="10"/>
      <c r="QJH238" s="21"/>
      <c r="QJI238" s="21"/>
      <c r="QJL238" s="21"/>
      <c r="QJM238" s="15"/>
      <c r="QJN238" s="15"/>
      <c r="QJO238" s="15"/>
      <c r="QJP238" s="15"/>
      <c r="QJQ238" s="15"/>
      <c r="QJR238" s="15"/>
      <c r="QJS238" s="15"/>
      <c r="QJT238" s="15"/>
      <c r="QJU238" s="15"/>
      <c r="QJV238" s="15"/>
      <c r="QJW238" s="10"/>
      <c r="QJX238" s="10"/>
      <c r="QJY238" s="21"/>
      <c r="QJZ238" s="21"/>
      <c r="QKC238" s="21"/>
      <c r="QKD238" s="15"/>
      <c r="QKE238" s="15"/>
      <c r="QKF238" s="15"/>
      <c r="QKG238" s="15"/>
      <c r="QKH238" s="15"/>
      <c r="QKI238" s="15"/>
      <c r="QKJ238" s="15"/>
      <c r="QKK238" s="15"/>
      <c r="QKL238" s="15"/>
      <c r="QKM238" s="15"/>
      <c r="QKN238" s="10"/>
      <c r="QKO238" s="10"/>
      <c r="QKP238" s="21"/>
      <c r="QKQ238" s="21"/>
      <c r="QKT238" s="21"/>
      <c r="QKU238" s="15"/>
      <c r="QKV238" s="15"/>
      <c r="QKW238" s="15"/>
      <c r="QKX238" s="15"/>
      <c r="QKY238" s="15"/>
      <c r="QKZ238" s="15"/>
      <c r="QLA238" s="15"/>
      <c r="QLB238" s="15"/>
      <c r="QLC238" s="15"/>
      <c r="QLD238" s="15"/>
      <c r="QLE238" s="10"/>
      <c r="QLF238" s="10"/>
      <c r="QLG238" s="21"/>
      <c r="QLH238" s="21"/>
      <c r="QLK238" s="21"/>
      <c r="QLL238" s="15"/>
      <c r="QLM238" s="15"/>
      <c r="QLN238" s="15"/>
      <c r="QLO238" s="15"/>
      <c r="QLP238" s="15"/>
      <c r="QLQ238" s="15"/>
      <c r="QLR238" s="15"/>
      <c r="QLS238" s="15"/>
      <c r="QLT238" s="15"/>
      <c r="QLU238" s="15"/>
      <c r="QLV238" s="10"/>
      <c r="QLW238" s="10"/>
      <c r="QLX238" s="21"/>
      <c r="QLY238" s="21"/>
      <c r="QMB238" s="21"/>
      <c r="QMC238" s="15"/>
      <c r="QMD238" s="15"/>
      <c r="QME238" s="15"/>
      <c r="QMF238" s="15"/>
      <c r="QMG238" s="15"/>
      <c r="QMH238" s="15"/>
      <c r="QMI238" s="15"/>
      <c r="QMJ238" s="15"/>
      <c r="QMK238" s="15"/>
      <c r="QML238" s="15"/>
      <c r="QMM238" s="10"/>
      <c r="QMN238" s="10"/>
      <c r="QMO238" s="21"/>
      <c r="QMP238" s="21"/>
      <c r="QMS238" s="21"/>
      <c r="QMT238" s="15"/>
      <c r="QMU238" s="15"/>
      <c r="QMV238" s="15"/>
      <c r="QMW238" s="15"/>
      <c r="QMX238" s="15"/>
      <c r="QMY238" s="15"/>
      <c r="QMZ238" s="15"/>
      <c r="QNA238" s="15"/>
      <c r="QNB238" s="15"/>
      <c r="QNC238" s="15"/>
      <c r="QND238" s="10"/>
      <c r="QNE238" s="10"/>
      <c r="QNF238" s="21"/>
      <c r="QNG238" s="21"/>
      <c r="QNJ238" s="21"/>
      <c r="QNK238" s="15"/>
      <c r="QNL238" s="15"/>
      <c r="QNM238" s="15"/>
      <c r="QNN238" s="15"/>
      <c r="QNO238" s="15"/>
      <c r="QNP238" s="15"/>
      <c r="QNQ238" s="15"/>
      <c r="QNR238" s="15"/>
      <c r="QNS238" s="15"/>
      <c r="QNT238" s="15"/>
      <c r="QNU238" s="10"/>
      <c r="QNV238" s="10"/>
      <c r="QNW238" s="21"/>
      <c r="QNX238" s="21"/>
      <c r="QOA238" s="21"/>
      <c r="QOB238" s="15"/>
      <c r="QOC238" s="15"/>
      <c r="QOD238" s="15"/>
      <c r="QOE238" s="15"/>
      <c r="QOF238" s="15"/>
      <c r="QOG238" s="15"/>
      <c r="QOH238" s="15"/>
      <c r="QOI238" s="15"/>
      <c r="QOJ238" s="15"/>
      <c r="QOK238" s="15"/>
      <c r="QOL238" s="10"/>
      <c r="QOM238" s="10"/>
      <c r="QON238" s="21"/>
      <c r="QOO238" s="21"/>
      <c r="QOR238" s="21"/>
      <c r="QOS238" s="15"/>
      <c r="QOT238" s="15"/>
      <c r="QOU238" s="15"/>
      <c r="QOV238" s="15"/>
      <c r="QOW238" s="15"/>
      <c r="QOX238" s="15"/>
      <c r="QOY238" s="15"/>
      <c r="QOZ238" s="15"/>
      <c r="QPA238" s="15"/>
      <c r="QPB238" s="15"/>
      <c r="QPC238" s="10"/>
      <c r="QPD238" s="10"/>
      <c r="QPE238" s="21"/>
      <c r="QPF238" s="21"/>
      <c r="QPI238" s="21"/>
      <c r="QPJ238" s="15"/>
      <c r="QPK238" s="15"/>
      <c r="QPL238" s="15"/>
      <c r="QPM238" s="15"/>
      <c r="QPN238" s="15"/>
      <c r="QPO238" s="15"/>
      <c r="QPP238" s="15"/>
      <c r="QPQ238" s="15"/>
      <c r="QPR238" s="15"/>
      <c r="QPS238" s="15"/>
      <c r="QPT238" s="10"/>
      <c r="QPU238" s="10"/>
      <c r="QPV238" s="21"/>
      <c r="QPW238" s="21"/>
      <c r="QPZ238" s="21"/>
      <c r="QQA238" s="15"/>
      <c r="QQB238" s="15"/>
      <c r="QQC238" s="15"/>
      <c r="QQD238" s="15"/>
      <c r="QQE238" s="15"/>
      <c r="QQF238" s="15"/>
      <c r="QQG238" s="15"/>
      <c r="QQH238" s="15"/>
      <c r="QQI238" s="15"/>
      <c r="QQJ238" s="15"/>
      <c r="QQK238" s="10"/>
      <c r="QQL238" s="10"/>
      <c r="QQM238" s="21"/>
      <c r="QQN238" s="21"/>
      <c r="QQQ238" s="21"/>
      <c r="QQR238" s="15"/>
      <c r="QQS238" s="15"/>
      <c r="QQT238" s="15"/>
      <c r="QQU238" s="15"/>
      <c r="QQV238" s="15"/>
      <c r="QQW238" s="15"/>
      <c r="QQX238" s="15"/>
      <c r="QQY238" s="15"/>
      <c r="QQZ238" s="15"/>
      <c r="QRA238" s="15"/>
      <c r="QRB238" s="10"/>
      <c r="QRC238" s="10"/>
      <c r="QRD238" s="21"/>
      <c r="QRE238" s="21"/>
      <c r="QRH238" s="21"/>
      <c r="QRI238" s="15"/>
      <c r="QRJ238" s="15"/>
      <c r="QRK238" s="15"/>
      <c r="QRL238" s="15"/>
      <c r="QRM238" s="15"/>
      <c r="QRN238" s="15"/>
      <c r="QRO238" s="15"/>
      <c r="QRP238" s="15"/>
      <c r="QRQ238" s="15"/>
      <c r="QRR238" s="15"/>
      <c r="QRS238" s="10"/>
      <c r="QRT238" s="10"/>
      <c r="QRU238" s="21"/>
      <c r="QRV238" s="21"/>
      <c r="QRY238" s="21"/>
      <c r="QRZ238" s="15"/>
      <c r="QSA238" s="15"/>
      <c r="QSB238" s="15"/>
      <c r="QSC238" s="15"/>
      <c r="QSD238" s="15"/>
      <c r="QSE238" s="15"/>
      <c r="QSF238" s="15"/>
      <c r="QSG238" s="15"/>
      <c r="QSH238" s="15"/>
      <c r="QSI238" s="15"/>
      <c r="QSJ238" s="10"/>
      <c r="QSK238" s="10"/>
      <c r="QSL238" s="21"/>
      <c r="QSM238" s="21"/>
      <c r="QSP238" s="21"/>
      <c r="QSQ238" s="15"/>
      <c r="QSR238" s="15"/>
      <c r="QSS238" s="15"/>
      <c r="QST238" s="15"/>
      <c r="QSU238" s="15"/>
      <c r="QSV238" s="15"/>
      <c r="QSW238" s="15"/>
      <c r="QSX238" s="15"/>
      <c r="QSY238" s="15"/>
      <c r="QSZ238" s="15"/>
      <c r="QTA238" s="10"/>
      <c r="QTB238" s="10"/>
      <c r="QTC238" s="21"/>
      <c r="QTD238" s="21"/>
      <c r="QTG238" s="21"/>
      <c r="QTH238" s="15"/>
      <c r="QTI238" s="15"/>
      <c r="QTJ238" s="15"/>
      <c r="QTK238" s="15"/>
      <c r="QTL238" s="15"/>
      <c r="QTM238" s="15"/>
      <c r="QTN238" s="15"/>
      <c r="QTO238" s="15"/>
      <c r="QTP238" s="15"/>
      <c r="QTQ238" s="15"/>
      <c r="QTR238" s="10"/>
      <c r="QTS238" s="10"/>
      <c r="QTT238" s="21"/>
      <c r="QTU238" s="21"/>
      <c r="QTX238" s="21"/>
      <c r="QTY238" s="15"/>
      <c r="QTZ238" s="15"/>
      <c r="QUA238" s="15"/>
      <c r="QUB238" s="15"/>
      <c r="QUC238" s="15"/>
      <c r="QUD238" s="15"/>
      <c r="QUE238" s="15"/>
      <c r="QUF238" s="15"/>
      <c r="QUG238" s="15"/>
      <c r="QUH238" s="15"/>
      <c r="QUI238" s="10"/>
      <c r="QUJ238" s="10"/>
      <c r="QUK238" s="21"/>
      <c r="QUL238" s="21"/>
      <c r="QUO238" s="21"/>
      <c r="QUP238" s="15"/>
      <c r="QUQ238" s="15"/>
      <c r="QUR238" s="15"/>
      <c r="QUS238" s="15"/>
      <c r="QUT238" s="15"/>
      <c r="QUU238" s="15"/>
      <c r="QUV238" s="15"/>
      <c r="QUW238" s="15"/>
      <c r="QUX238" s="15"/>
      <c r="QUY238" s="15"/>
      <c r="QUZ238" s="10"/>
      <c r="QVA238" s="10"/>
      <c r="QVB238" s="21"/>
      <c r="QVC238" s="21"/>
      <c r="QVF238" s="21"/>
      <c r="QVG238" s="15"/>
      <c r="QVH238" s="15"/>
      <c r="QVI238" s="15"/>
      <c r="QVJ238" s="15"/>
      <c r="QVK238" s="15"/>
      <c r="QVL238" s="15"/>
      <c r="QVM238" s="15"/>
      <c r="QVN238" s="15"/>
      <c r="QVO238" s="15"/>
      <c r="QVP238" s="15"/>
      <c r="QVQ238" s="10"/>
      <c r="QVR238" s="10"/>
      <c r="QVS238" s="21"/>
      <c r="QVT238" s="21"/>
      <c r="QVW238" s="21"/>
      <c r="QVX238" s="15"/>
      <c r="QVY238" s="15"/>
      <c r="QVZ238" s="15"/>
      <c r="QWA238" s="15"/>
      <c r="QWB238" s="15"/>
      <c r="QWC238" s="15"/>
      <c r="QWD238" s="15"/>
      <c r="QWE238" s="15"/>
      <c r="QWF238" s="15"/>
      <c r="QWG238" s="15"/>
      <c r="QWH238" s="10"/>
      <c r="QWI238" s="10"/>
      <c r="QWJ238" s="21"/>
      <c r="QWK238" s="21"/>
      <c r="QWN238" s="21"/>
      <c r="QWO238" s="15"/>
      <c r="QWP238" s="15"/>
      <c r="QWQ238" s="15"/>
      <c r="QWR238" s="15"/>
      <c r="QWS238" s="15"/>
      <c r="QWT238" s="15"/>
      <c r="QWU238" s="15"/>
      <c r="QWV238" s="15"/>
      <c r="QWW238" s="15"/>
      <c r="QWX238" s="15"/>
      <c r="QWY238" s="10"/>
      <c r="QWZ238" s="10"/>
      <c r="QXA238" s="21"/>
      <c r="QXB238" s="21"/>
      <c r="QXE238" s="21"/>
      <c r="QXF238" s="15"/>
      <c r="QXG238" s="15"/>
      <c r="QXH238" s="15"/>
      <c r="QXI238" s="15"/>
      <c r="QXJ238" s="15"/>
      <c r="QXK238" s="15"/>
      <c r="QXL238" s="15"/>
      <c r="QXM238" s="15"/>
      <c r="QXN238" s="15"/>
      <c r="QXO238" s="15"/>
      <c r="QXP238" s="10"/>
      <c r="QXQ238" s="10"/>
      <c r="QXR238" s="21"/>
      <c r="QXS238" s="21"/>
      <c r="QXV238" s="21"/>
      <c r="QXW238" s="15"/>
      <c r="QXX238" s="15"/>
      <c r="QXY238" s="15"/>
      <c r="QXZ238" s="15"/>
      <c r="QYA238" s="15"/>
      <c r="QYB238" s="15"/>
      <c r="QYC238" s="15"/>
      <c r="QYD238" s="15"/>
      <c r="QYE238" s="15"/>
      <c r="QYF238" s="15"/>
      <c r="QYG238" s="10"/>
      <c r="QYH238" s="10"/>
      <c r="QYI238" s="21"/>
      <c r="QYJ238" s="21"/>
      <c r="QYM238" s="21"/>
      <c r="QYN238" s="15"/>
      <c r="QYO238" s="15"/>
      <c r="QYP238" s="15"/>
      <c r="QYQ238" s="15"/>
      <c r="QYR238" s="15"/>
      <c r="QYS238" s="15"/>
      <c r="QYT238" s="15"/>
      <c r="QYU238" s="15"/>
      <c r="QYV238" s="15"/>
      <c r="QYW238" s="15"/>
      <c r="QYX238" s="10"/>
      <c r="QYY238" s="10"/>
      <c r="QYZ238" s="21"/>
      <c r="QZA238" s="21"/>
      <c r="QZD238" s="21"/>
      <c r="QZE238" s="15"/>
      <c r="QZF238" s="15"/>
      <c r="QZG238" s="15"/>
      <c r="QZH238" s="15"/>
      <c r="QZI238" s="15"/>
      <c r="QZJ238" s="15"/>
      <c r="QZK238" s="15"/>
      <c r="QZL238" s="15"/>
      <c r="QZM238" s="15"/>
      <c r="QZN238" s="15"/>
      <c r="QZO238" s="10"/>
      <c r="QZP238" s="10"/>
      <c r="QZQ238" s="21"/>
      <c r="QZR238" s="21"/>
      <c r="QZU238" s="21"/>
      <c r="QZV238" s="15"/>
      <c r="QZW238" s="15"/>
      <c r="QZX238" s="15"/>
      <c r="QZY238" s="15"/>
      <c r="QZZ238" s="15"/>
      <c r="RAA238" s="15"/>
      <c r="RAB238" s="15"/>
      <c r="RAC238" s="15"/>
      <c r="RAD238" s="15"/>
      <c r="RAE238" s="15"/>
      <c r="RAF238" s="10"/>
      <c r="RAG238" s="10"/>
      <c r="RAH238" s="21"/>
      <c r="RAI238" s="21"/>
      <c r="RAL238" s="21"/>
      <c r="RAM238" s="15"/>
      <c r="RAN238" s="15"/>
      <c r="RAO238" s="15"/>
      <c r="RAP238" s="15"/>
      <c r="RAQ238" s="15"/>
      <c r="RAR238" s="15"/>
      <c r="RAS238" s="15"/>
      <c r="RAT238" s="15"/>
      <c r="RAU238" s="15"/>
      <c r="RAV238" s="15"/>
      <c r="RAW238" s="10"/>
      <c r="RAX238" s="10"/>
      <c r="RAY238" s="21"/>
      <c r="RAZ238" s="21"/>
      <c r="RBC238" s="21"/>
      <c r="RBD238" s="15"/>
      <c r="RBE238" s="15"/>
      <c r="RBF238" s="15"/>
      <c r="RBG238" s="15"/>
      <c r="RBH238" s="15"/>
      <c r="RBI238" s="15"/>
      <c r="RBJ238" s="15"/>
      <c r="RBK238" s="15"/>
      <c r="RBL238" s="15"/>
      <c r="RBM238" s="15"/>
      <c r="RBN238" s="10"/>
      <c r="RBO238" s="10"/>
      <c r="RBP238" s="21"/>
      <c r="RBQ238" s="21"/>
      <c r="RBT238" s="21"/>
      <c r="RBU238" s="15"/>
      <c r="RBV238" s="15"/>
      <c r="RBW238" s="15"/>
      <c r="RBX238" s="15"/>
      <c r="RBY238" s="15"/>
      <c r="RBZ238" s="15"/>
      <c r="RCA238" s="15"/>
      <c r="RCB238" s="15"/>
      <c r="RCC238" s="15"/>
      <c r="RCD238" s="15"/>
      <c r="RCE238" s="10"/>
      <c r="RCF238" s="10"/>
      <c r="RCG238" s="21"/>
      <c r="RCH238" s="21"/>
      <c r="RCK238" s="21"/>
      <c r="RCL238" s="15"/>
      <c r="RCM238" s="15"/>
      <c r="RCN238" s="15"/>
      <c r="RCO238" s="15"/>
      <c r="RCP238" s="15"/>
      <c r="RCQ238" s="15"/>
      <c r="RCR238" s="15"/>
      <c r="RCS238" s="15"/>
      <c r="RCT238" s="15"/>
      <c r="RCU238" s="15"/>
      <c r="RCV238" s="10"/>
      <c r="RCW238" s="10"/>
      <c r="RCX238" s="21"/>
      <c r="RCY238" s="21"/>
      <c r="RDB238" s="21"/>
      <c r="RDC238" s="15"/>
      <c r="RDD238" s="15"/>
      <c r="RDE238" s="15"/>
      <c r="RDF238" s="15"/>
      <c r="RDG238" s="15"/>
      <c r="RDH238" s="15"/>
      <c r="RDI238" s="15"/>
      <c r="RDJ238" s="15"/>
      <c r="RDK238" s="15"/>
      <c r="RDL238" s="15"/>
      <c r="RDM238" s="10"/>
      <c r="RDN238" s="10"/>
      <c r="RDO238" s="21"/>
      <c r="RDP238" s="21"/>
      <c r="RDS238" s="21"/>
      <c r="RDT238" s="15"/>
      <c r="RDU238" s="15"/>
      <c r="RDV238" s="15"/>
      <c r="RDW238" s="15"/>
      <c r="RDX238" s="15"/>
      <c r="RDY238" s="15"/>
      <c r="RDZ238" s="15"/>
      <c r="REA238" s="15"/>
      <c r="REB238" s="15"/>
      <c r="REC238" s="15"/>
      <c r="RED238" s="10"/>
      <c r="REE238" s="10"/>
      <c r="REF238" s="21"/>
      <c r="REG238" s="21"/>
      <c r="REJ238" s="21"/>
      <c r="REK238" s="15"/>
      <c r="REL238" s="15"/>
      <c r="REM238" s="15"/>
      <c r="REN238" s="15"/>
      <c r="REO238" s="15"/>
      <c r="REP238" s="15"/>
      <c r="REQ238" s="15"/>
      <c r="RER238" s="15"/>
      <c r="RES238" s="15"/>
      <c r="RET238" s="15"/>
      <c r="REU238" s="10"/>
      <c r="REV238" s="10"/>
      <c r="REW238" s="21"/>
      <c r="REX238" s="21"/>
      <c r="RFA238" s="21"/>
      <c r="RFB238" s="15"/>
      <c r="RFC238" s="15"/>
      <c r="RFD238" s="15"/>
      <c r="RFE238" s="15"/>
      <c r="RFF238" s="15"/>
      <c r="RFG238" s="15"/>
      <c r="RFH238" s="15"/>
      <c r="RFI238" s="15"/>
      <c r="RFJ238" s="15"/>
      <c r="RFK238" s="15"/>
      <c r="RFL238" s="10"/>
      <c r="RFM238" s="10"/>
      <c r="RFN238" s="21"/>
      <c r="RFO238" s="21"/>
      <c r="RFR238" s="21"/>
      <c r="RFS238" s="15"/>
      <c r="RFT238" s="15"/>
      <c r="RFU238" s="15"/>
      <c r="RFV238" s="15"/>
      <c r="RFW238" s="15"/>
      <c r="RFX238" s="15"/>
      <c r="RFY238" s="15"/>
      <c r="RFZ238" s="15"/>
      <c r="RGA238" s="15"/>
      <c r="RGB238" s="15"/>
      <c r="RGC238" s="10"/>
      <c r="RGD238" s="10"/>
      <c r="RGE238" s="21"/>
      <c r="RGF238" s="21"/>
      <c r="RGI238" s="21"/>
      <c r="RGJ238" s="15"/>
      <c r="RGK238" s="15"/>
      <c r="RGL238" s="15"/>
      <c r="RGM238" s="15"/>
      <c r="RGN238" s="15"/>
      <c r="RGO238" s="15"/>
      <c r="RGP238" s="15"/>
      <c r="RGQ238" s="15"/>
      <c r="RGR238" s="15"/>
      <c r="RGS238" s="15"/>
      <c r="RGT238" s="10"/>
      <c r="RGU238" s="10"/>
      <c r="RGV238" s="21"/>
      <c r="RGW238" s="21"/>
      <c r="RGZ238" s="21"/>
      <c r="RHA238" s="15"/>
      <c r="RHB238" s="15"/>
      <c r="RHC238" s="15"/>
      <c r="RHD238" s="15"/>
      <c r="RHE238" s="15"/>
      <c r="RHF238" s="15"/>
      <c r="RHG238" s="15"/>
      <c r="RHH238" s="15"/>
      <c r="RHI238" s="15"/>
      <c r="RHJ238" s="15"/>
      <c r="RHK238" s="10"/>
      <c r="RHL238" s="10"/>
      <c r="RHM238" s="21"/>
      <c r="RHN238" s="21"/>
      <c r="RHQ238" s="21"/>
      <c r="RHR238" s="15"/>
      <c r="RHS238" s="15"/>
      <c r="RHT238" s="15"/>
      <c r="RHU238" s="15"/>
      <c r="RHV238" s="15"/>
      <c r="RHW238" s="15"/>
      <c r="RHX238" s="15"/>
      <c r="RHY238" s="15"/>
      <c r="RHZ238" s="15"/>
      <c r="RIA238" s="15"/>
      <c r="RIB238" s="10"/>
      <c r="RIC238" s="10"/>
      <c r="RID238" s="21"/>
      <c r="RIE238" s="21"/>
      <c r="RIH238" s="21"/>
      <c r="RII238" s="15"/>
      <c r="RIJ238" s="15"/>
      <c r="RIK238" s="15"/>
      <c r="RIL238" s="15"/>
      <c r="RIM238" s="15"/>
      <c r="RIN238" s="15"/>
      <c r="RIO238" s="15"/>
      <c r="RIP238" s="15"/>
      <c r="RIQ238" s="15"/>
      <c r="RIR238" s="15"/>
      <c r="RIS238" s="10"/>
      <c r="RIT238" s="10"/>
      <c r="RIU238" s="21"/>
      <c r="RIV238" s="21"/>
      <c r="RIY238" s="21"/>
      <c r="RIZ238" s="15"/>
      <c r="RJA238" s="15"/>
      <c r="RJB238" s="15"/>
      <c r="RJC238" s="15"/>
      <c r="RJD238" s="15"/>
      <c r="RJE238" s="15"/>
      <c r="RJF238" s="15"/>
      <c r="RJG238" s="15"/>
      <c r="RJH238" s="15"/>
      <c r="RJI238" s="15"/>
      <c r="RJJ238" s="10"/>
      <c r="RJK238" s="10"/>
      <c r="RJL238" s="21"/>
      <c r="RJM238" s="21"/>
      <c r="RJP238" s="21"/>
      <c r="RJQ238" s="15"/>
      <c r="RJR238" s="15"/>
      <c r="RJS238" s="15"/>
      <c r="RJT238" s="15"/>
      <c r="RJU238" s="15"/>
      <c r="RJV238" s="15"/>
      <c r="RJW238" s="15"/>
      <c r="RJX238" s="15"/>
      <c r="RJY238" s="15"/>
      <c r="RJZ238" s="15"/>
      <c r="RKA238" s="10"/>
      <c r="RKB238" s="10"/>
      <c r="RKC238" s="21"/>
      <c r="RKD238" s="21"/>
      <c r="RKG238" s="21"/>
      <c r="RKH238" s="15"/>
      <c r="RKI238" s="15"/>
      <c r="RKJ238" s="15"/>
      <c r="RKK238" s="15"/>
      <c r="RKL238" s="15"/>
      <c r="RKM238" s="15"/>
      <c r="RKN238" s="15"/>
      <c r="RKO238" s="15"/>
      <c r="RKP238" s="15"/>
      <c r="RKQ238" s="15"/>
      <c r="RKR238" s="10"/>
      <c r="RKS238" s="10"/>
      <c r="RKT238" s="21"/>
      <c r="RKU238" s="21"/>
      <c r="RKX238" s="21"/>
      <c r="RKY238" s="15"/>
      <c r="RKZ238" s="15"/>
      <c r="RLA238" s="15"/>
      <c r="RLB238" s="15"/>
      <c r="RLC238" s="15"/>
      <c r="RLD238" s="15"/>
      <c r="RLE238" s="15"/>
      <c r="RLF238" s="15"/>
      <c r="RLG238" s="15"/>
      <c r="RLH238" s="15"/>
      <c r="RLI238" s="10"/>
      <c r="RLJ238" s="10"/>
      <c r="RLK238" s="21"/>
      <c r="RLL238" s="21"/>
      <c r="RLO238" s="21"/>
      <c r="RLP238" s="15"/>
      <c r="RLQ238" s="15"/>
      <c r="RLR238" s="15"/>
      <c r="RLS238" s="15"/>
      <c r="RLT238" s="15"/>
      <c r="RLU238" s="15"/>
      <c r="RLV238" s="15"/>
      <c r="RLW238" s="15"/>
      <c r="RLX238" s="15"/>
      <c r="RLY238" s="15"/>
      <c r="RLZ238" s="10"/>
      <c r="RMA238" s="10"/>
      <c r="RMB238" s="21"/>
      <c r="RMC238" s="21"/>
      <c r="RMF238" s="21"/>
      <c r="RMG238" s="15"/>
      <c r="RMH238" s="15"/>
      <c r="RMI238" s="15"/>
      <c r="RMJ238" s="15"/>
      <c r="RMK238" s="15"/>
      <c r="RML238" s="15"/>
      <c r="RMM238" s="15"/>
      <c r="RMN238" s="15"/>
      <c r="RMO238" s="15"/>
      <c r="RMP238" s="15"/>
      <c r="RMQ238" s="10"/>
      <c r="RMR238" s="10"/>
      <c r="RMS238" s="21"/>
      <c r="RMT238" s="21"/>
      <c r="RMW238" s="21"/>
      <c r="RMX238" s="15"/>
      <c r="RMY238" s="15"/>
      <c r="RMZ238" s="15"/>
      <c r="RNA238" s="15"/>
      <c r="RNB238" s="15"/>
      <c r="RNC238" s="15"/>
      <c r="RND238" s="15"/>
      <c r="RNE238" s="15"/>
      <c r="RNF238" s="15"/>
      <c r="RNG238" s="15"/>
      <c r="RNH238" s="10"/>
      <c r="RNI238" s="10"/>
      <c r="RNJ238" s="21"/>
      <c r="RNK238" s="21"/>
      <c r="RNN238" s="21"/>
      <c r="RNO238" s="15"/>
      <c r="RNP238" s="15"/>
      <c r="RNQ238" s="15"/>
      <c r="RNR238" s="15"/>
      <c r="RNS238" s="15"/>
      <c r="RNT238" s="15"/>
      <c r="RNU238" s="15"/>
      <c r="RNV238" s="15"/>
      <c r="RNW238" s="15"/>
      <c r="RNX238" s="15"/>
      <c r="RNY238" s="10"/>
      <c r="RNZ238" s="10"/>
      <c r="ROA238" s="21"/>
      <c r="ROB238" s="21"/>
      <c r="ROE238" s="21"/>
      <c r="ROF238" s="15"/>
      <c r="ROG238" s="15"/>
      <c r="ROH238" s="15"/>
      <c r="ROI238" s="15"/>
      <c r="ROJ238" s="15"/>
      <c r="ROK238" s="15"/>
      <c r="ROL238" s="15"/>
      <c r="ROM238" s="15"/>
      <c r="RON238" s="15"/>
      <c r="ROO238" s="15"/>
      <c r="ROP238" s="10"/>
      <c r="ROQ238" s="10"/>
      <c r="ROR238" s="21"/>
      <c r="ROS238" s="21"/>
      <c r="ROV238" s="21"/>
      <c r="ROW238" s="15"/>
      <c r="ROX238" s="15"/>
      <c r="ROY238" s="15"/>
      <c r="ROZ238" s="15"/>
      <c r="RPA238" s="15"/>
      <c r="RPB238" s="15"/>
      <c r="RPC238" s="15"/>
      <c r="RPD238" s="15"/>
      <c r="RPE238" s="15"/>
      <c r="RPF238" s="15"/>
      <c r="RPG238" s="10"/>
      <c r="RPH238" s="10"/>
      <c r="RPI238" s="21"/>
      <c r="RPJ238" s="21"/>
      <c r="RPM238" s="21"/>
      <c r="RPN238" s="15"/>
      <c r="RPO238" s="15"/>
      <c r="RPP238" s="15"/>
      <c r="RPQ238" s="15"/>
      <c r="RPR238" s="15"/>
      <c r="RPS238" s="15"/>
      <c r="RPT238" s="15"/>
      <c r="RPU238" s="15"/>
      <c r="RPV238" s="15"/>
      <c r="RPW238" s="15"/>
      <c r="RPX238" s="10"/>
      <c r="RPY238" s="10"/>
      <c r="RPZ238" s="21"/>
      <c r="RQA238" s="21"/>
      <c r="RQD238" s="21"/>
      <c r="RQE238" s="15"/>
      <c r="RQF238" s="15"/>
      <c r="RQG238" s="15"/>
      <c r="RQH238" s="15"/>
      <c r="RQI238" s="15"/>
      <c r="RQJ238" s="15"/>
      <c r="RQK238" s="15"/>
      <c r="RQL238" s="15"/>
      <c r="RQM238" s="15"/>
      <c r="RQN238" s="15"/>
      <c r="RQO238" s="10"/>
      <c r="RQP238" s="10"/>
      <c r="RQQ238" s="21"/>
      <c r="RQR238" s="21"/>
      <c r="RQU238" s="21"/>
      <c r="RQV238" s="15"/>
      <c r="RQW238" s="15"/>
      <c r="RQX238" s="15"/>
      <c r="RQY238" s="15"/>
      <c r="RQZ238" s="15"/>
      <c r="RRA238" s="15"/>
      <c r="RRB238" s="15"/>
      <c r="RRC238" s="15"/>
      <c r="RRD238" s="15"/>
      <c r="RRE238" s="15"/>
      <c r="RRF238" s="10"/>
      <c r="RRG238" s="10"/>
      <c r="RRH238" s="21"/>
      <c r="RRI238" s="21"/>
      <c r="RRL238" s="21"/>
      <c r="RRM238" s="15"/>
      <c r="RRN238" s="15"/>
      <c r="RRO238" s="15"/>
      <c r="RRP238" s="15"/>
      <c r="RRQ238" s="15"/>
      <c r="RRR238" s="15"/>
      <c r="RRS238" s="15"/>
      <c r="RRT238" s="15"/>
      <c r="RRU238" s="15"/>
      <c r="RRV238" s="15"/>
      <c r="RRW238" s="10"/>
      <c r="RRX238" s="10"/>
      <c r="RRY238" s="21"/>
      <c r="RRZ238" s="21"/>
      <c r="RSC238" s="21"/>
      <c r="RSD238" s="15"/>
      <c r="RSE238" s="15"/>
      <c r="RSF238" s="15"/>
      <c r="RSG238" s="15"/>
      <c r="RSH238" s="15"/>
      <c r="RSI238" s="15"/>
      <c r="RSJ238" s="15"/>
      <c r="RSK238" s="15"/>
      <c r="RSL238" s="15"/>
      <c r="RSM238" s="15"/>
      <c r="RSN238" s="10"/>
      <c r="RSO238" s="10"/>
      <c r="RSP238" s="21"/>
      <c r="RSQ238" s="21"/>
      <c r="RST238" s="21"/>
      <c r="RSU238" s="15"/>
      <c r="RSV238" s="15"/>
      <c r="RSW238" s="15"/>
      <c r="RSX238" s="15"/>
      <c r="RSY238" s="15"/>
      <c r="RSZ238" s="15"/>
      <c r="RTA238" s="15"/>
      <c r="RTB238" s="15"/>
      <c r="RTC238" s="15"/>
      <c r="RTD238" s="15"/>
      <c r="RTE238" s="10"/>
      <c r="RTF238" s="10"/>
      <c r="RTG238" s="21"/>
      <c r="RTH238" s="21"/>
      <c r="RTK238" s="21"/>
      <c r="RTL238" s="15"/>
      <c r="RTM238" s="15"/>
      <c r="RTN238" s="15"/>
      <c r="RTO238" s="15"/>
      <c r="RTP238" s="15"/>
      <c r="RTQ238" s="15"/>
      <c r="RTR238" s="15"/>
      <c r="RTS238" s="15"/>
      <c r="RTT238" s="15"/>
      <c r="RTU238" s="15"/>
      <c r="RTV238" s="10"/>
      <c r="RTW238" s="10"/>
      <c r="RTX238" s="21"/>
      <c r="RTY238" s="21"/>
      <c r="RUB238" s="21"/>
      <c r="RUC238" s="15"/>
      <c r="RUD238" s="15"/>
      <c r="RUE238" s="15"/>
      <c r="RUF238" s="15"/>
      <c r="RUG238" s="15"/>
      <c r="RUH238" s="15"/>
      <c r="RUI238" s="15"/>
      <c r="RUJ238" s="15"/>
      <c r="RUK238" s="15"/>
      <c r="RUL238" s="15"/>
      <c r="RUM238" s="10"/>
      <c r="RUN238" s="10"/>
      <c r="RUO238" s="21"/>
      <c r="RUP238" s="21"/>
      <c r="RUS238" s="21"/>
      <c r="RUT238" s="15"/>
      <c r="RUU238" s="15"/>
      <c r="RUV238" s="15"/>
      <c r="RUW238" s="15"/>
      <c r="RUX238" s="15"/>
      <c r="RUY238" s="15"/>
      <c r="RUZ238" s="15"/>
      <c r="RVA238" s="15"/>
      <c r="RVB238" s="15"/>
      <c r="RVC238" s="15"/>
      <c r="RVD238" s="10"/>
      <c r="RVE238" s="10"/>
      <c r="RVF238" s="21"/>
      <c r="RVG238" s="21"/>
      <c r="RVJ238" s="21"/>
      <c r="RVK238" s="15"/>
      <c r="RVL238" s="15"/>
      <c r="RVM238" s="15"/>
      <c r="RVN238" s="15"/>
      <c r="RVO238" s="15"/>
      <c r="RVP238" s="15"/>
      <c r="RVQ238" s="15"/>
      <c r="RVR238" s="15"/>
      <c r="RVS238" s="15"/>
      <c r="RVT238" s="15"/>
      <c r="RVU238" s="10"/>
      <c r="RVV238" s="10"/>
      <c r="RVW238" s="21"/>
      <c r="RVX238" s="21"/>
      <c r="RWA238" s="21"/>
      <c r="RWB238" s="15"/>
      <c r="RWC238" s="15"/>
      <c r="RWD238" s="15"/>
      <c r="RWE238" s="15"/>
      <c r="RWF238" s="15"/>
      <c r="RWG238" s="15"/>
      <c r="RWH238" s="15"/>
      <c r="RWI238" s="15"/>
      <c r="RWJ238" s="15"/>
      <c r="RWK238" s="15"/>
      <c r="RWL238" s="10"/>
      <c r="RWM238" s="10"/>
      <c r="RWN238" s="21"/>
      <c r="RWO238" s="21"/>
      <c r="RWR238" s="21"/>
      <c r="RWS238" s="15"/>
      <c r="RWT238" s="15"/>
      <c r="RWU238" s="15"/>
      <c r="RWV238" s="15"/>
      <c r="RWW238" s="15"/>
      <c r="RWX238" s="15"/>
      <c r="RWY238" s="15"/>
      <c r="RWZ238" s="15"/>
      <c r="RXA238" s="15"/>
      <c r="RXB238" s="15"/>
      <c r="RXC238" s="10"/>
      <c r="RXD238" s="10"/>
      <c r="RXE238" s="21"/>
      <c r="RXF238" s="21"/>
      <c r="RXI238" s="21"/>
      <c r="RXJ238" s="15"/>
      <c r="RXK238" s="15"/>
      <c r="RXL238" s="15"/>
      <c r="RXM238" s="15"/>
      <c r="RXN238" s="15"/>
      <c r="RXO238" s="15"/>
      <c r="RXP238" s="15"/>
      <c r="RXQ238" s="15"/>
      <c r="RXR238" s="15"/>
      <c r="RXS238" s="15"/>
      <c r="RXT238" s="10"/>
      <c r="RXU238" s="10"/>
      <c r="RXV238" s="21"/>
      <c r="RXW238" s="21"/>
      <c r="RXZ238" s="21"/>
      <c r="RYA238" s="15"/>
      <c r="RYB238" s="15"/>
      <c r="RYC238" s="15"/>
      <c r="RYD238" s="15"/>
      <c r="RYE238" s="15"/>
      <c r="RYF238" s="15"/>
      <c r="RYG238" s="15"/>
      <c r="RYH238" s="15"/>
      <c r="RYI238" s="15"/>
      <c r="RYJ238" s="15"/>
      <c r="RYK238" s="10"/>
      <c r="RYL238" s="10"/>
      <c r="RYM238" s="21"/>
      <c r="RYN238" s="21"/>
      <c r="RYQ238" s="21"/>
      <c r="RYR238" s="15"/>
      <c r="RYS238" s="15"/>
      <c r="RYT238" s="15"/>
      <c r="RYU238" s="15"/>
      <c r="RYV238" s="15"/>
      <c r="RYW238" s="15"/>
      <c r="RYX238" s="15"/>
      <c r="RYY238" s="15"/>
      <c r="RYZ238" s="15"/>
      <c r="RZA238" s="15"/>
      <c r="RZB238" s="10"/>
      <c r="RZC238" s="10"/>
      <c r="RZD238" s="21"/>
      <c r="RZE238" s="21"/>
      <c r="RZH238" s="21"/>
      <c r="RZI238" s="15"/>
      <c r="RZJ238" s="15"/>
      <c r="RZK238" s="15"/>
      <c r="RZL238" s="15"/>
      <c r="RZM238" s="15"/>
      <c r="RZN238" s="15"/>
      <c r="RZO238" s="15"/>
      <c r="RZP238" s="15"/>
      <c r="RZQ238" s="15"/>
      <c r="RZR238" s="15"/>
      <c r="RZS238" s="10"/>
      <c r="RZT238" s="10"/>
      <c r="RZU238" s="21"/>
      <c r="RZV238" s="21"/>
      <c r="RZY238" s="21"/>
      <c r="RZZ238" s="15"/>
      <c r="SAA238" s="15"/>
      <c r="SAB238" s="15"/>
      <c r="SAC238" s="15"/>
      <c r="SAD238" s="15"/>
      <c r="SAE238" s="15"/>
      <c r="SAF238" s="15"/>
      <c r="SAG238" s="15"/>
      <c r="SAH238" s="15"/>
      <c r="SAI238" s="15"/>
      <c r="SAJ238" s="10"/>
      <c r="SAK238" s="10"/>
      <c r="SAL238" s="21"/>
      <c r="SAM238" s="21"/>
      <c r="SAP238" s="21"/>
      <c r="SAQ238" s="15"/>
      <c r="SAR238" s="15"/>
      <c r="SAS238" s="15"/>
      <c r="SAT238" s="15"/>
      <c r="SAU238" s="15"/>
      <c r="SAV238" s="15"/>
      <c r="SAW238" s="15"/>
      <c r="SAX238" s="15"/>
      <c r="SAY238" s="15"/>
      <c r="SAZ238" s="15"/>
      <c r="SBA238" s="10"/>
      <c r="SBB238" s="10"/>
      <c r="SBC238" s="21"/>
      <c r="SBD238" s="21"/>
      <c r="SBG238" s="21"/>
      <c r="SBH238" s="15"/>
      <c r="SBI238" s="15"/>
      <c r="SBJ238" s="15"/>
      <c r="SBK238" s="15"/>
      <c r="SBL238" s="15"/>
      <c r="SBM238" s="15"/>
      <c r="SBN238" s="15"/>
      <c r="SBO238" s="15"/>
      <c r="SBP238" s="15"/>
      <c r="SBQ238" s="15"/>
      <c r="SBR238" s="10"/>
      <c r="SBS238" s="10"/>
      <c r="SBT238" s="21"/>
      <c r="SBU238" s="21"/>
      <c r="SBX238" s="21"/>
      <c r="SBY238" s="15"/>
      <c r="SBZ238" s="15"/>
      <c r="SCA238" s="15"/>
      <c r="SCB238" s="15"/>
      <c r="SCC238" s="15"/>
      <c r="SCD238" s="15"/>
      <c r="SCE238" s="15"/>
      <c r="SCF238" s="15"/>
      <c r="SCG238" s="15"/>
      <c r="SCH238" s="15"/>
      <c r="SCI238" s="10"/>
      <c r="SCJ238" s="10"/>
      <c r="SCK238" s="21"/>
      <c r="SCL238" s="21"/>
      <c r="SCO238" s="21"/>
      <c r="SCP238" s="15"/>
      <c r="SCQ238" s="15"/>
      <c r="SCR238" s="15"/>
      <c r="SCS238" s="15"/>
      <c r="SCT238" s="15"/>
      <c r="SCU238" s="15"/>
      <c r="SCV238" s="15"/>
      <c r="SCW238" s="15"/>
      <c r="SCX238" s="15"/>
      <c r="SCY238" s="15"/>
      <c r="SCZ238" s="10"/>
      <c r="SDA238" s="10"/>
      <c r="SDB238" s="21"/>
      <c r="SDC238" s="21"/>
      <c r="SDF238" s="21"/>
      <c r="SDG238" s="15"/>
      <c r="SDH238" s="15"/>
      <c r="SDI238" s="15"/>
      <c r="SDJ238" s="15"/>
      <c r="SDK238" s="15"/>
      <c r="SDL238" s="15"/>
      <c r="SDM238" s="15"/>
      <c r="SDN238" s="15"/>
      <c r="SDO238" s="15"/>
      <c r="SDP238" s="15"/>
      <c r="SDQ238" s="10"/>
      <c r="SDR238" s="10"/>
      <c r="SDS238" s="21"/>
      <c r="SDT238" s="21"/>
      <c r="SDW238" s="21"/>
      <c r="SDX238" s="15"/>
      <c r="SDY238" s="15"/>
      <c r="SDZ238" s="15"/>
      <c r="SEA238" s="15"/>
      <c r="SEB238" s="15"/>
      <c r="SEC238" s="15"/>
      <c r="SED238" s="15"/>
      <c r="SEE238" s="15"/>
      <c r="SEF238" s="15"/>
      <c r="SEG238" s="15"/>
      <c r="SEH238" s="10"/>
      <c r="SEI238" s="10"/>
      <c r="SEJ238" s="21"/>
      <c r="SEK238" s="21"/>
      <c r="SEN238" s="21"/>
      <c r="SEO238" s="15"/>
      <c r="SEP238" s="15"/>
      <c r="SEQ238" s="15"/>
      <c r="SER238" s="15"/>
      <c r="SES238" s="15"/>
      <c r="SET238" s="15"/>
      <c r="SEU238" s="15"/>
      <c r="SEV238" s="15"/>
      <c r="SEW238" s="15"/>
      <c r="SEX238" s="15"/>
      <c r="SEY238" s="10"/>
      <c r="SEZ238" s="10"/>
      <c r="SFA238" s="21"/>
      <c r="SFB238" s="21"/>
      <c r="SFE238" s="21"/>
      <c r="SFF238" s="15"/>
      <c r="SFG238" s="15"/>
      <c r="SFH238" s="15"/>
      <c r="SFI238" s="15"/>
      <c r="SFJ238" s="15"/>
      <c r="SFK238" s="15"/>
      <c r="SFL238" s="15"/>
      <c r="SFM238" s="15"/>
      <c r="SFN238" s="15"/>
      <c r="SFO238" s="15"/>
      <c r="SFP238" s="10"/>
      <c r="SFQ238" s="10"/>
      <c r="SFR238" s="21"/>
      <c r="SFS238" s="21"/>
      <c r="SFV238" s="21"/>
      <c r="SFW238" s="15"/>
      <c r="SFX238" s="15"/>
      <c r="SFY238" s="15"/>
      <c r="SFZ238" s="15"/>
      <c r="SGA238" s="15"/>
      <c r="SGB238" s="15"/>
      <c r="SGC238" s="15"/>
      <c r="SGD238" s="15"/>
      <c r="SGE238" s="15"/>
      <c r="SGF238" s="15"/>
      <c r="SGG238" s="10"/>
      <c r="SGH238" s="10"/>
      <c r="SGI238" s="21"/>
      <c r="SGJ238" s="21"/>
      <c r="SGM238" s="21"/>
      <c r="SGN238" s="15"/>
      <c r="SGO238" s="15"/>
      <c r="SGP238" s="15"/>
      <c r="SGQ238" s="15"/>
      <c r="SGR238" s="15"/>
      <c r="SGS238" s="15"/>
      <c r="SGT238" s="15"/>
      <c r="SGU238" s="15"/>
      <c r="SGV238" s="15"/>
      <c r="SGW238" s="15"/>
      <c r="SGX238" s="10"/>
      <c r="SGY238" s="10"/>
      <c r="SGZ238" s="21"/>
      <c r="SHA238" s="21"/>
      <c r="SHD238" s="21"/>
      <c r="SHE238" s="15"/>
      <c r="SHF238" s="15"/>
      <c r="SHG238" s="15"/>
      <c r="SHH238" s="15"/>
      <c r="SHI238" s="15"/>
      <c r="SHJ238" s="15"/>
      <c r="SHK238" s="15"/>
      <c r="SHL238" s="15"/>
      <c r="SHM238" s="15"/>
      <c r="SHN238" s="15"/>
      <c r="SHO238" s="10"/>
      <c r="SHP238" s="10"/>
      <c r="SHQ238" s="21"/>
      <c r="SHR238" s="21"/>
      <c r="SHU238" s="21"/>
      <c r="SHV238" s="15"/>
      <c r="SHW238" s="15"/>
      <c r="SHX238" s="15"/>
      <c r="SHY238" s="15"/>
      <c r="SHZ238" s="15"/>
      <c r="SIA238" s="15"/>
      <c r="SIB238" s="15"/>
      <c r="SIC238" s="15"/>
      <c r="SID238" s="15"/>
      <c r="SIE238" s="15"/>
      <c r="SIF238" s="10"/>
      <c r="SIG238" s="10"/>
      <c r="SIH238" s="21"/>
      <c r="SII238" s="21"/>
      <c r="SIL238" s="21"/>
      <c r="SIM238" s="15"/>
      <c r="SIN238" s="15"/>
      <c r="SIO238" s="15"/>
      <c r="SIP238" s="15"/>
      <c r="SIQ238" s="15"/>
      <c r="SIR238" s="15"/>
      <c r="SIS238" s="15"/>
      <c r="SIT238" s="15"/>
      <c r="SIU238" s="15"/>
      <c r="SIV238" s="15"/>
      <c r="SIW238" s="10"/>
      <c r="SIX238" s="10"/>
      <c r="SIY238" s="21"/>
      <c r="SIZ238" s="21"/>
      <c r="SJC238" s="21"/>
      <c r="SJD238" s="15"/>
      <c r="SJE238" s="15"/>
      <c r="SJF238" s="15"/>
      <c r="SJG238" s="15"/>
      <c r="SJH238" s="15"/>
      <c r="SJI238" s="15"/>
      <c r="SJJ238" s="15"/>
      <c r="SJK238" s="15"/>
      <c r="SJL238" s="15"/>
      <c r="SJM238" s="15"/>
      <c r="SJN238" s="10"/>
      <c r="SJO238" s="10"/>
      <c r="SJP238" s="21"/>
      <c r="SJQ238" s="21"/>
      <c r="SJT238" s="21"/>
      <c r="SJU238" s="15"/>
      <c r="SJV238" s="15"/>
      <c r="SJW238" s="15"/>
      <c r="SJX238" s="15"/>
      <c r="SJY238" s="15"/>
      <c r="SJZ238" s="15"/>
      <c r="SKA238" s="15"/>
      <c r="SKB238" s="15"/>
      <c r="SKC238" s="15"/>
      <c r="SKD238" s="15"/>
      <c r="SKE238" s="10"/>
      <c r="SKF238" s="10"/>
      <c r="SKG238" s="21"/>
      <c r="SKH238" s="21"/>
      <c r="SKK238" s="21"/>
      <c r="SKL238" s="15"/>
      <c r="SKM238" s="15"/>
      <c r="SKN238" s="15"/>
      <c r="SKO238" s="15"/>
      <c r="SKP238" s="15"/>
      <c r="SKQ238" s="15"/>
      <c r="SKR238" s="15"/>
      <c r="SKS238" s="15"/>
      <c r="SKT238" s="15"/>
      <c r="SKU238" s="15"/>
      <c r="SKV238" s="10"/>
      <c r="SKW238" s="10"/>
      <c r="SKX238" s="21"/>
      <c r="SKY238" s="21"/>
      <c r="SLB238" s="21"/>
      <c r="SLC238" s="15"/>
      <c r="SLD238" s="15"/>
      <c r="SLE238" s="15"/>
      <c r="SLF238" s="15"/>
      <c r="SLG238" s="15"/>
      <c r="SLH238" s="15"/>
      <c r="SLI238" s="15"/>
      <c r="SLJ238" s="15"/>
      <c r="SLK238" s="15"/>
      <c r="SLL238" s="15"/>
      <c r="SLM238" s="10"/>
      <c r="SLN238" s="10"/>
      <c r="SLO238" s="21"/>
      <c r="SLP238" s="21"/>
      <c r="SLS238" s="21"/>
      <c r="SLT238" s="15"/>
      <c r="SLU238" s="15"/>
      <c r="SLV238" s="15"/>
      <c r="SLW238" s="15"/>
      <c r="SLX238" s="15"/>
      <c r="SLY238" s="15"/>
      <c r="SLZ238" s="15"/>
      <c r="SMA238" s="15"/>
      <c r="SMB238" s="15"/>
      <c r="SMC238" s="15"/>
      <c r="SMD238" s="10"/>
      <c r="SME238" s="10"/>
      <c r="SMF238" s="21"/>
      <c r="SMG238" s="21"/>
      <c r="SMJ238" s="21"/>
      <c r="SMK238" s="15"/>
      <c r="SML238" s="15"/>
      <c r="SMM238" s="15"/>
      <c r="SMN238" s="15"/>
      <c r="SMO238" s="15"/>
      <c r="SMP238" s="15"/>
      <c r="SMQ238" s="15"/>
      <c r="SMR238" s="15"/>
      <c r="SMS238" s="15"/>
      <c r="SMT238" s="15"/>
      <c r="SMU238" s="10"/>
      <c r="SMV238" s="10"/>
      <c r="SMW238" s="21"/>
      <c r="SMX238" s="21"/>
      <c r="SNA238" s="21"/>
      <c r="SNB238" s="15"/>
      <c r="SNC238" s="15"/>
      <c r="SND238" s="15"/>
      <c r="SNE238" s="15"/>
      <c r="SNF238" s="15"/>
      <c r="SNG238" s="15"/>
      <c r="SNH238" s="15"/>
      <c r="SNI238" s="15"/>
      <c r="SNJ238" s="15"/>
      <c r="SNK238" s="15"/>
      <c r="SNL238" s="10"/>
      <c r="SNM238" s="10"/>
      <c r="SNN238" s="21"/>
      <c r="SNO238" s="21"/>
      <c r="SNR238" s="21"/>
      <c r="SNS238" s="15"/>
      <c r="SNT238" s="15"/>
      <c r="SNU238" s="15"/>
      <c r="SNV238" s="15"/>
      <c r="SNW238" s="15"/>
      <c r="SNX238" s="15"/>
      <c r="SNY238" s="15"/>
      <c r="SNZ238" s="15"/>
      <c r="SOA238" s="15"/>
      <c r="SOB238" s="15"/>
      <c r="SOC238" s="10"/>
      <c r="SOD238" s="10"/>
      <c r="SOE238" s="21"/>
      <c r="SOF238" s="21"/>
      <c r="SOI238" s="21"/>
      <c r="SOJ238" s="15"/>
      <c r="SOK238" s="15"/>
      <c r="SOL238" s="15"/>
      <c r="SOM238" s="15"/>
      <c r="SON238" s="15"/>
      <c r="SOO238" s="15"/>
      <c r="SOP238" s="15"/>
      <c r="SOQ238" s="15"/>
      <c r="SOR238" s="15"/>
      <c r="SOS238" s="15"/>
      <c r="SOT238" s="10"/>
      <c r="SOU238" s="10"/>
      <c r="SOV238" s="21"/>
      <c r="SOW238" s="21"/>
      <c r="SOZ238" s="21"/>
      <c r="SPA238" s="15"/>
      <c r="SPB238" s="15"/>
      <c r="SPC238" s="15"/>
      <c r="SPD238" s="15"/>
      <c r="SPE238" s="15"/>
      <c r="SPF238" s="15"/>
      <c r="SPG238" s="15"/>
      <c r="SPH238" s="15"/>
      <c r="SPI238" s="15"/>
      <c r="SPJ238" s="15"/>
      <c r="SPK238" s="10"/>
      <c r="SPL238" s="10"/>
      <c r="SPM238" s="21"/>
      <c r="SPN238" s="21"/>
      <c r="SPQ238" s="21"/>
      <c r="SPR238" s="15"/>
      <c r="SPS238" s="15"/>
      <c r="SPT238" s="15"/>
      <c r="SPU238" s="15"/>
      <c r="SPV238" s="15"/>
      <c r="SPW238" s="15"/>
      <c r="SPX238" s="15"/>
      <c r="SPY238" s="15"/>
      <c r="SPZ238" s="15"/>
      <c r="SQA238" s="15"/>
      <c r="SQB238" s="10"/>
      <c r="SQC238" s="10"/>
      <c r="SQD238" s="21"/>
      <c r="SQE238" s="21"/>
      <c r="SQH238" s="21"/>
      <c r="SQI238" s="15"/>
      <c r="SQJ238" s="15"/>
      <c r="SQK238" s="15"/>
      <c r="SQL238" s="15"/>
      <c r="SQM238" s="15"/>
      <c r="SQN238" s="15"/>
      <c r="SQO238" s="15"/>
      <c r="SQP238" s="15"/>
      <c r="SQQ238" s="15"/>
      <c r="SQR238" s="15"/>
      <c r="SQS238" s="10"/>
      <c r="SQT238" s="10"/>
      <c r="SQU238" s="21"/>
      <c r="SQV238" s="21"/>
      <c r="SQY238" s="21"/>
      <c r="SQZ238" s="15"/>
      <c r="SRA238" s="15"/>
      <c r="SRB238" s="15"/>
      <c r="SRC238" s="15"/>
      <c r="SRD238" s="15"/>
      <c r="SRE238" s="15"/>
      <c r="SRF238" s="15"/>
      <c r="SRG238" s="15"/>
      <c r="SRH238" s="15"/>
      <c r="SRI238" s="15"/>
      <c r="SRJ238" s="10"/>
      <c r="SRK238" s="10"/>
      <c r="SRL238" s="21"/>
      <c r="SRM238" s="21"/>
      <c r="SRP238" s="21"/>
      <c r="SRQ238" s="15"/>
      <c r="SRR238" s="15"/>
      <c r="SRS238" s="15"/>
      <c r="SRT238" s="15"/>
      <c r="SRU238" s="15"/>
      <c r="SRV238" s="15"/>
      <c r="SRW238" s="15"/>
      <c r="SRX238" s="15"/>
      <c r="SRY238" s="15"/>
      <c r="SRZ238" s="15"/>
      <c r="SSA238" s="10"/>
      <c r="SSB238" s="10"/>
      <c r="SSC238" s="21"/>
      <c r="SSD238" s="21"/>
      <c r="SSG238" s="21"/>
      <c r="SSH238" s="15"/>
      <c r="SSI238" s="15"/>
      <c r="SSJ238" s="15"/>
      <c r="SSK238" s="15"/>
      <c r="SSL238" s="15"/>
      <c r="SSM238" s="15"/>
      <c r="SSN238" s="15"/>
      <c r="SSO238" s="15"/>
      <c r="SSP238" s="15"/>
      <c r="SSQ238" s="15"/>
      <c r="SSR238" s="10"/>
      <c r="SSS238" s="10"/>
      <c r="SST238" s="21"/>
      <c r="SSU238" s="21"/>
      <c r="SSX238" s="21"/>
      <c r="SSY238" s="15"/>
      <c r="SSZ238" s="15"/>
      <c r="STA238" s="15"/>
      <c r="STB238" s="15"/>
      <c r="STC238" s="15"/>
      <c r="STD238" s="15"/>
      <c r="STE238" s="15"/>
      <c r="STF238" s="15"/>
      <c r="STG238" s="15"/>
      <c r="STH238" s="15"/>
      <c r="STI238" s="10"/>
      <c r="STJ238" s="10"/>
      <c r="STK238" s="21"/>
      <c r="STL238" s="21"/>
      <c r="STO238" s="21"/>
      <c r="STP238" s="15"/>
      <c r="STQ238" s="15"/>
      <c r="STR238" s="15"/>
      <c r="STS238" s="15"/>
      <c r="STT238" s="15"/>
      <c r="STU238" s="15"/>
      <c r="STV238" s="15"/>
      <c r="STW238" s="15"/>
      <c r="STX238" s="15"/>
      <c r="STY238" s="15"/>
      <c r="STZ238" s="10"/>
      <c r="SUA238" s="10"/>
      <c r="SUB238" s="21"/>
      <c r="SUC238" s="21"/>
      <c r="SUF238" s="21"/>
      <c r="SUG238" s="15"/>
      <c r="SUH238" s="15"/>
      <c r="SUI238" s="15"/>
      <c r="SUJ238" s="15"/>
      <c r="SUK238" s="15"/>
      <c r="SUL238" s="15"/>
      <c r="SUM238" s="15"/>
      <c r="SUN238" s="15"/>
      <c r="SUO238" s="15"/>
      <c r="SUP238" s="15"/>
      <c r="SUQ238" s="10"/>
      <c r="SUR238" s="10"/>
      <c r="SUS238" s="21"/>
      <c r="SUT238" s="21"/>
      <c r="SUW238" s="21"/>
      <c r="SUX238" s="15"/>
      <c r="SUY238" s="15"/>
      <c r="SUZ238" s="15"/>
      <c r="SVA238" s="15"/>
      <c r="SVB238" s="15"/>
      <c r="SVC238" s="15"/>
      <c r="SVD238" s="15"/>
      <c r="SVE238" s="15"/>
      <c r="SVF238" s="15"/>
      <c r="SVG238" s="15"/>
      <c r="SVH238" s="10"/>
      <c r="SVI238" s="10"/>
      <c r="SVJ238" s="21"/>
      <c r="SVK238" s="21"/>
      <c r="SVN238" s="21"/>
      <c r="SVO238" s="15"/>
      <c r="SVP238" s="15"/>
      <c r="SVQ238" s="15"/>
      <c r="SVR238" s="15"/>
      <c r="SVS238" s="15"/>
      <c r="SVT238" s="15"/>
      <c r="SVU238" s="15"/>
      <c r="SVV238" s="15"/>
      <c r="SVW238" s="15"/>
      <c r="SVX238" s="15"/>
      <c r="SVY238" s="10"/>
      <c r="SVZ238" s="10"/>
      <c r="SWA238" s="21"/>
      <c r="SWB238" s="21"/>
      <c r="SWE238" s="21"/>
      <c r="SWF238" s="15"/>
      <c r="SWG238" s="15"/>
      <c r="SWH238" s="15"/>
      <c r="SWI238" s="15"/>
      <c r="SWJ238" s="15"/>
      <c r="SWK238" s="15"/>
      <c r="SWL238" s="15"/>
      <c r="SWM238" s="15"/>
      <c r="SWN238" s="15"/>
      <c r="SWO238" s="15"/>
      <c r="SWP238" s="10"/>
      <c r="SWQ238" s="10"/>
      <c r="SWR238" s="21"/>
      <c r="SWS238" s="21"/>
      <c r="SWV238" s="21"/>
      <c r="SWW238" s="15"/>
      <c r="SWX238" s="15"/>
      <c r="SWY238" s="15"/>
      <c r="SWZ238" s="15"/>
      <c r="SXA238" s="15"/>
      <c r="SXB238" s="15"/>
      <c r="SXC238" s="15"/>
      <c r="SXD238" s="15"/>
      <c r="SXE238" s="15"/>
      <c r="SXF238" s="15"/>
      <c r="SXG238" s="10"/>
      <c r="SXH238" s="10"/>
      <c r="SXI238" s="21"/>
      <c r="SXJ238" s="21"/>
      <c r="SXM238" s="21"/>
      <c r="SXN238" s="15"/>
      <c r="SXO238" s="15"/>
      <c r="SXP238" s="15"/>
      <c r="SXQ238" s="15"/>
      <c r="SXR238" s="15"/>
      <c r="SXS238" s="15"/>
      <c r="SXT238" s="15"/>
      <c r="SXU238" s="15"/>
      <c r="SXV238" s="15"/>
      <c r="SXW238" s="15"/>
      <c r="SXX238" s="10"/>
      <c r="SXY238" s="10"/>
      <c r="SXZ238" s="21"/>
      <c r="SYA238" s="21"/>
      <c r="SYD238" s="21"/>
      <c r="SYE238" s="15"/>
      <c r="SYF238" s="15"/>
      <c r="SYG238" s="15"/>
      <c r="SYH238" s="15"/>
      <c r="SYI238" s="15"/>
      <c r="SYJ238" s="15"/>
      <c r="SYK238" s="15"/>
      <c r="SYL238" s="15"/>
      <c r="SYM238" s="15"/>
      <c r="SYN238" s="15"/>
      <c r="SYO238" s="10"/>
      <c r="SYP238" s="10"/>
      <c r="SYQ238" s="21"/>
      <c r="SYR238" s="21"/>
      <c r="SYU238" s="21"/>
      <c r="SYV238" s="15"/>
      <c r="SYW238" s="15"/>
      <c r="SYX238" s="15"/>
      <c r="SYY238" s="15"/>
      <c r="SYZ238" s="15"/>
      <c r="SZA238" s="15"/>
      <c r="SZB238" s="15"/>
      <c r="SZC238" s="15"/>
      <c r="SZD238" s="15"/>
      <c r="SZE238" s="15"/>
      <c r="SZF238" s="10"/>
      <c r="SZG238" s="10"/>
      <c r="SZH238" s="21"/>
      <c r="SZI238" s="21"/>
      <c r="SZL238" s="21"/>
      <c r="SZM238" s="15"/>
      <c r="SZN238" s="15"/>
      <c r="SZO238" s="15"/>
      <c r="SZP238" s="15"/>
      <c r="SZQ238" s="15"/>
      <c r="SZR238" s="15"/>
      <c r="SZS238" s="15"/>
      <c r="SZT238" s="15"/>
      <c r="SZU238" s="15"/>
      <c r="SZV238" s="15"/>
      <c r="SZW238" s="10"/>
      <c r="SZX238" s="10"/>
      <c r="SZY238" s="21"/>
      <c r="SZZ238" s="21"/>
      <c r="TAC238" s="21"/>
      <c r="TAD238" s="15"/>
      <c r="TAE238" s="15"/>
      <c r="TAF238" s="15"/>
      <c r="TAG238" s="15"/>
      <c r="TAH238" s="15"/>
      <c r="TAI238" s="15"/>
      <c r="TAJ238" s="15"/>
      <c r="TAK238" s="15"/>
      <c r="TAL238" s="15"/>
      <c r="TAM238" s="15"/>
      <c r="TAN238" s="10"/>
      <c r="TAO238" s="10"/>
      <c r="TAP238" s="21"/>
      <c r="TAQ238" s="21"/>
      <c r="TAT238" s="21"/>
      <c r="TAU238" s="15"/>
      <c r="TAV238" s="15"/>
      <c r="TAW238" s="15"/>
      <c r="TAX238" s="15"/>
      <c r="TAY238" s="15"/>
      <c r="TAZ238" s="15"/>
      <c r="TBA238" s="15"/>
      <c r="TBB238" s="15"/>
      <c r="TBC238" s="15"/>
      <c r="TBD238" s="15"/>
      <c r="TBE238" s="10"/>
      <c r="TBF238" s="10"/>
      <c r="TBG238" s="21"/>
      <c r="TBH238" s="21"/>
      <c r="TBK238" s="21"/>
      <c r="TBL238" s="15"/>
      <c r="TBM238" s="15"/>
      <c r="TBN238" s="15"/>
      <c r="TBO238" s="15"/>
      <c r="TBP238" s="15"/>
      <c r="TBQ238" s="15"/>
      <c r="TBR238" s="15"/>
      <c r="TBS238" s="15"/>
      <c r="TBT238" s="15"/>
      <c r="TBU238" s="15"/>
      <c r="TBV238" s="10"/>
      <c r="TBW238" s="10"/>
      <c r="TBX238" s="21"/>
      <c r="TBY238" s="21"/>
      <c r="TCB238" s="21"/>
      <c r="TCC238" s="15"/>
      <c r="TCD238" s="15"/>
      <c r="TCE238" s="15"/>
      <c r="TCF238" s="15"/>
      <c r="TCG238" s="15"/>
      <c r="TCH238" s="15"/>
      <c r="TCI238" s="15"/>
      <c r="TCJ238" s="15"/>
      <c r="TCK238" s="15"/>
      <c r="TCL238" s="15"/>
      <c r="TCM238" s="10"/>
      <c r="TCN238" s="10"/>
      <c r="TCO238" s="21"/>
      <c r="TCP238" s="21"/>
      <c r="TCS238" s="21"/>
      <c r="TCT238" s="15"/>
      <c r="TCU238" s="15"/>
      <c r="TCV238" s="15"/>
      <c r="TCW238" s="15"/>
      <c r="TCX238" s="15"/>
      <c r="TCY238" s="15"/>
      <c r="TCZ238" s="15"/>
      <c r="TDA238" s="15"/>
      <c r="TDB238" s="15"/>
      <c r="TDC238" s="15"/>
      <c r="TDD238" s="10"/>
      <c r="TDE238" s="10"/>
      <c r="TDF238" s="21"/>
      <c r="TDG238" s="21"/>
      <c r="TDJ238" s="21"/>
      <c r="TDK238" s="15"/>
      <c r="TDL238" s="15"/>
      <c r="TDM238" s="15"/>
      <c r="TDN238" s="15"/>
      <c r="TDO238" s="15"/>
      <c r="TDP238" s="15"/>
      <c r="TDQ238" s="15"/>
      <c r="TDR238" s="15"/>
      <c r="TDS238" s="15"/>
      <c r="TDT238" s="15"/>
      <c r="TDU238" s="10"/>
      <c r="TDV238" s="10"/>
      <c r="TDW238" s="21"/>
      <c r="TDX238" s="21"/>
      <c r="TEA238" s="21"/>
      <c r="TEB238" s="15"/>
      <c r="TEC238" s="15"/>
      <c r="TED238" s="15"/>
      <c r="TEE238" s="15"/>
      <c r="TEF238" s="15"/>
      <c r="TEG238" s="15"/>
      <c r="TEH238" s="15"/>
      <c r="TEI238" s="15"/>
      <c r="TEJ238" s="15"/>
      <c r="TEK238" s="15"/>
      <c r="TEL238" s="10"/>
      <c r="TEM238" s="10"/>
      <c r="TEN238" s="21"/>
      <c r="TEO238" s="21"/>
      <c r="TER238" s="21"/>
      <c r="TES238" s="15"/>
      <c r="TET238" s="15"/>
      <c r="TEU238" s="15"/>
      <c r="TEV238" s="15"/>
      <c r="TEW238" s="15"/>
      <c r="TEX238" s="15"/>
      <c r="TEY238" s="15"/>
      <c r="TEZ238" s="15"/>
      <c r="TFA238" s="15"/>
      <c r="TFB238" s="15"/>
      <c r="TFC238" s="10"/>
      <c r="TFD238" s="10"/>
      <c r="TFE238" s="21"/>
      <c r="TFF238" s="21"/>
      <c r="TFI238" s="21"/>
      <c r="TFJ238" s="15"/>
      <c r="TFK238" s="15"/>
      <c r="TFL238" s="15"/>
      <c r="TFM238" s="15"/>
      <c r="TFN238" s="15"/>
      <c r="TFO238" s="15"/>
      <c r="TFP238" s="15"/>
      <c r="TFQ238" s="15"/>
      <c r="TFR238" s="15"/>
      <c r="TFS238" s="15"/>
      <c r="TFT238" s="10"/>
      <c r="TFU238" s="10"/>
      <c r="TFV238" s="21"/>
      <c r="TFW238" s="21"/>
      <c r="TFZ238" s="21"/>
      <c r="TGA238" s="15"/>
      <c r="TGB238" s="15"/>
      <c r="TGC238" s="15"/>
      <c r="TGD238" s="15"/>
      <c r="TGE238" s="15"/>
      <c r="TGF238" s="15"/>
      <c r="TGG238" s="15"/>
      <c r="TGH238" s="15"/>
      <c r="TGI238" s="15"/>
      <c r="TGJ238" s="15"/>
      <c r="TGK238" s="10"/>
      <c r="TGL238" s="10"/>
      <c r="TGM238" s="21"/>
      <c r="TGN238" s="21"/>
      <c r="TGQ238" s="21"/>
      <c r="TGR238" s="15"/>
      <c r="TGS238" s="15"/>
      <c r="TGT238" s="15"/>
      <c r="TGU238" s="15"/>
      <c r="TGV238" s="15"/>
      <c r="TGW238" s="15"/>
      <c r="TGX238" s="15"/>
      <c r="TGY238" s="15"/>
      <c r="TGZ238" s="15"/>
      <c r="THA238" s="15"/>
      <c r="THB238" s="10"/>
      <c r="THC238" s="10"/>
      <c r="THD238" s="21"/>
      <c r="THE238" s="21"/>
      <c r="THH238" s="21"/>
      <c r="THI238" s="15"/>
      <c r="THJ238" s="15"/>
      <c r="THK238" s="15"/>
      <c r="THL238" s="15"/>
      <c r="THM238" s="15"/>
      <c r="THN238" s="15"/>
      <c r="THO238" s="15"/>
      <c r="THP238" s="15"/>
      <c r="THQ238" s="15"/>
      <c r="THR238" s="15"/>
      <c r="THS238" s="10"/>
      <c r="THT238" s="10"/>
      <c r="THU238" s="21"/>
      <c r="THV238" s="21"/>
      <c r="THY238" s="21"/>
      <c r="THZ238" s="15"/>
      <c r="TIA238" s="15"/>
      <c r="TIB238" s="15"/>
      <c r="TIC238" s="15"/>
      <c r="TID238" s="15"/>
      <c r="TIE238" s="15"/>
      <c r="TIF238" s="15"/>
      <c r="TIG238" s="15"/>
      <c r="TIH238" s="15"/>
      <c r="TII238" s="15"/>
      <c r="TIJ238" s="10"/>
      <c r="TIK238" s="10"/>
      <c r="TIL238" s="21"/>
      <c r="TIM238" s="21"/>
      <c r="TIP238" s="21"/>
      <c r="TIQ238" s="15"/>
      <c r="TIR238" s="15"/>
      <c r="TIS238" s="15"/>
      <c r="TIT238" s="15"/>
      <c r="TIU238" s="15"/>
      <c r="TIV238" s="15"/>
      <c r="TIW238" s="15"/>
      <c r="TIX238" s="15"/>
      <c r="TIY238" s="15"/>
      <c r="TIZ238" s="15"/>
      <c r="TJA238" s="10"/>
      <c r="TJB238" s="10"/>
      <c r="TJC238" s="21"/>
      <c r="TJD238" s="21"/>
      <c r="TJG238" s="21"/>
      <c r="TJH238" s="15"/>
      <c r="TJI238" s="15"/>
      <c r="TJJ238" s="15"/>
      <c r="TJK238" s="15"/>
      <c r="TJL238" s="15"/>
      <c r="TJM238" s="15"/>
      <c r="TJN238" s="15"/>
      <c r="TJO238" s="15"/>
      <c r="TJP238" s="15"/>
      <c r="TJQ238" s="15"/>
      <c r="TJR238" s="10"/>
      <c r="TJS238" s="10"/>
      <c r="TJT238" s="21"/>
      <c r="TJU238" s="21"/>
      <c r="TJX238" s="21"/>
      <c r="TJY238" s="15"/>
      <c r="TJZ238" s="15"/>
      <c r="TKA238" s="15"/>
      <c r="TKB238" s="15"/>
      <c r="TKC238" s="15"/>
      <c r="TKD238" s="15"/>
      <c r="TKE238" s="15"/>
      <c r="TKF238" s="15"/>
      <c r="TKG238" s="15"/>
      <c r="TKH238" s="15"/>
      <c r="TKI238" s="10"/>
      <c r="TKJ238" s="10"/>
      <c r="TKK238" s="21"/>
      <c r="TKL238" s="21"/>
      <c r="TKO238" s="21"/>
      <c r="TKP238" s="15"/>
      <c r="TKQ238" s="15"/>
      <c r="TKR238" s="15"/>
      <c r="TKS238" s="15"/>
      <c r="TKT238" s="15"/>
      <c r="TKU238" s="15"/>
      <c r="TKV238" s="15"/>
      <c r="TKW238" s="15"/>
      <c r="TKX238" s="15"/>
      <c r="TKY238" s="15"/>
      <c r="TKZ238" s="10"/>
      <c r="TLA238" s="10"/>
      <c r="TLB238" s="21"/>
      <c r="TLC238" s="21"/>
      <c r="TLF238" s="21"/>
      <c r="TLG238" s="15"/>
      <c r="TLH238" s="15"/>
      <c r="TLI238" s="15"/>
      <c r="TLJ238" s="15"/>
      <c r="TLK238" s="15"/>
      <c r="TLL238" s="15"/>
      <c r="TLM238" s="15"/>
      <c r="TLN238" s="15"/>
      <c r="TLO238" s="15"/>
      <c r="TLP238" s="15"/>
      <c r="TLQ238" s="10"/>
      <c r="TLR238" s="10"/>
      <c r="TLS238" s="21"/>
      <c r="TLT238" s="21"/>
      <c r="TLW238" s="21"/>
      <c r="TLX238" s="15"/>
      <c r="TLY238" s="15"/>
      <c r="TLZ238" s="15"/>
      <c r="TMA238" s="15"/>
      <c r="TMB238" s="15"/>
      <c r="TMC238" s="15"/>
      <c r="TMD238" s="15"/>
      <c r="TME238" s="15"/>
      <c r="TMF238" s="15"/>
      <c r="TMG238" s="15"/>
      <c r="TMH238" s="10"/>
      <c r="TMI238" s="10"/>
      <c r="TMJ238" s="21"/>
      <c r="TMK238" s="21"/>
      <c r="TMN238" s="21"/>
      <c r="TMO238" s="15"/>
      <c r="TMP238" s="15"/>
      <c r="TMQ238" s="15"/>
      <c r="TMR238" s="15"/>
      <c r="TMS238" s="15"/>
      <c r="TMT238" s="15"/>
      <c r="TMU238" s="15"/>
      <c r="TMV238" s="15"/>
      <c r="TMW238" s="15"/>
      <c r="TMX238" s="15"/>
      <c r="TMY238" s="10"/>
      <c r="TMZ238" s="10"/>
      <c r="TNA238" s="21"/>
      <c r="TNB238" s="21"/>
      <c r="TNE238" s="21"/>
      <c r="TNF238" s="15"/>
      <c r="TNG238" s="15"/>
      <c r="TNH238" s="15"/>
      <c r="TNI238" s="15"/>
      <c r="TNJ238" s="15"/>
      <c r="TNK238" s="15"/>
      <c r="TNL238" s="15"/>
      <c r="TNM238" s="15"/>
      <c r="TNN238" s="15"/>
      <c r="TNO238" s="15"/>
      <c r="TNP238" s="10"/>
      <c r="TNQ238" s="10"/>
      <c r="TNR238" s="21"/>
      <c r="TNS238" s="21"/>
      <c r="TNV238" s="21"/>
      <c r="TNW238" s="15"/>
      <c r="TNX238" s="15"/>
      <c r="TNY238" s="15"/>
      <c r="TNZ238" s="15"/>
      <c r="TOA238" s="15"/>
      <c r="TOB238" s="15"/>
      <c r="TOC238" s="15"/>
      <c r="TOD238" s="15"/>
      <c r="TOE238" s="15"/>
      <c r="TOF238" s="15"/>
      <c r="TOG238" s="10"/>
      <c r="TOH238" s="10"/>
      <c r="TOI238" s="21"/>
      <c r="TOJ238" s="21"/>
      <c r="TOM238" s="21"/>
      <c r="TON238" s="15"/>
      <c r="TOO238" s="15"/>
      <c r="TOP238" s="15"/>
      <c r="TOQ238" s="15"/>
      <c r="TOR238" s="15"/>
      <c r="TOS238" s="15"/>
      <c r="TOT238" s="15"/>
      <c r="TOU238" s="15"/>
      <c r="TOV238" s="15"/>
      <c r="TOW238" s="15"/>
      <c r="TOX238" s="10"/>
      <c r="TOY238" s="10"/>
      <c r="TOZ238" s="21"/>
      <c r="TPA238" s="21"/>
      <c r="TPD238" s="21"/>
      <c r="TPE238" s="15"/>
      <c r="TPF238" s="15"/>
      <c r="TPG238" s="15"/>
      <c r="TPH238" s="15"/>
      <c r="TPI238" s="15"/>
      <c r="TPJ238" s="15"/>
      <c r="TPK238" s="15"/>
      <c r="TPL238" s="15"/>
      <c r="TPM238" s="15"/>
      <c r="TPN238" s="15"/>
      <c r="TPO238" s="10"/>
      <c r="TPP238" s="10"/>
      <c r="TPQ238" s="21"/>
      <c r="TPR238" s="21"/>
      <c r="TPU238" s="21"/>
      <c r="TPV238" s="15"/>
      <c r="TPW238" s="15"/>
      <c r="TPX238" s="15"/>
      <c r="TPY238" s="15"/>
      <c r="TPZ238" s="15"/>
      <c r="TQA238" s="15"/>
      <c r="TQB238" s="15"/>
      <c r="TQC238" s="15"/>
      <c r="TQD238" s="15"/>
      <c r="TQE238" s="15"/>
      <c r="TQF238" s="10"/>
      <c r="TQG238" s="10"/>
      <c r="TQH238" s="21"/>
      <c r="TQI238" s="21"/>
      <c r="TQL238" s="21"/>
      <c r="TQM238" s="15"/>
      <c r="TQN238" s="15"/>
      <c r="TQO238" s="15"/>
      <c r="TQP238" s="15"/>
      <c r="TQQ238" s="15"/>
      <c r="TQR238" s="15"/>
      <c r="TQS238" s="15"/>
      <c r="TQT238" s="15"/>
      <c r="TQU238" s="15"/>
      <c r="TQV238" s="15"/>
      <c r="TQW238" s="10"/>
      <c r="TQX238" s="10"/>
      <c r="TQY238" s="21"/>
      <c r="TQZ238" s="21"/>
      <c r="TRC238" s="21"/>
      <c r="TRD238" s="15"/>
      <c r="TRE238" s="15"/>
      <c r="TRF238" s="15"/>
      <c r="TRG238" s="15"/>
      <c r="TRH238" s="15"/>
      <c r="TRI238" s="15"/>
      <c r="TRJ238" s="15"/>
      <c r="TRK238" s="15"/>
      <c r="TRL238" s="15"/>
      <c r="TRM238" s="15"/>
      <c r="TRN238" s="10"/>
      <c r="TRO238" s="10"/>
      <c r="TRP238" s="21"/>
      <c r="TRQ238" s="21"/>
      <c r="TRT238" s="21"/>
      <c r="TRU238" s="15"/>
      <c r="TRV238" s="15"/>
      <c r="TRW238" s="15"/>
      <c r="TRX238" s="15"/>
      <c r="TRY238" s="15"/>
      <c r="TRZ238" s="15"/>
      <c r="TSA238" s="15"/>
      <c r="TSB238" s="15"/>
      <c r="TSC238" s="15"/>
      <c r="TSD238" s="15"/>
      <c r="TSE238" s="10"/>
      <c r="TSF238" s="10"/>
      <c r="TSG238" s="21"/>
      <c r="TSH238" s="21"/>
      <c r="TSK238" s="21"/>
      <c r="TSL238" s="15"/>
      <c r="TSM238" s="15"/>
      <c r="TSN238" s="15"/>
      <c r="TSO238" s="15"/>
      <c r="TSP238" s="15"/>
      <c r="TSQ238" s="15"/>
      <c r="TSR238" s="15"/>
      <c r="TSS238" s="15"/>
      <c r="TST238" s="15"/>
      <c r="TSU238" s="15"/>
      <c r="TSV238" s="10"/>
      <c r="TSW238" s="10"/>
      <c r="TSX238" s="21"/>
      <c r="TSY238" s="21"/>
      <c r="TTB238" s="21"/>
      <c r="TTC238" s="15"/>
      <c r="TTD238" s="15"/>
      <c r="TTE238" s="15"/>
      <c r="TTF238" s="15"/>
      <c r="TTG238" s="15"/>
      <c r="TTH238" s="15"/>
      <c r="TTI238" s="15"/>
      <c r="TTJ238" s="15"/>
      <c r="TTK238" s="15"/>
      <c r="TTL238" s="15"/>
      <c r="TTM238" s="10"/>
      <c r="TTN238" s="10"/>
      <c r="TTO238" s="21"/>
      <c r="TTP238" s="21"/>
      <c r="TTS238" s="21"/>
      <c r="TTT238" s="15"/>
      <c r="TTU238" s="15"/>
      <c r="TTV238" s="15"/>
      <c r="TTW238" s="15"/>
      <c r="TTX238" s="15"/>
      <c r="TTY238" s="15"/>
      <c r="TTZ238" s="15"/>
      <c r="TUA238" s="15"/>
      <c r="TUB238" s="15"/>
      <c r="TUC238" s="15"/>
      <c r="TUD238" s="10"/>
      <c r="TUE238" s="10"/>
      <c r="TUF238" s="21"/>
      <c r="TUG238" s="21"/>
      <c r="TUJ238" s="21"/>
      <c r="TUK238" s="15"/>
      <c r="TUL238" s="15"/>
      <c r="TUM238" s="15"/>
      <c r="TUN238" s="15"/>
      <c r="TUO238" s="15"/>
      <c r="TUP238" s="15"/>
      <c r="TUQ238" s="15"/>
      <c r="TUR238" s="15"/>
      <c r="TUS238" s="15"/>
      <c r="TUT238" s="15"/>
      <c r="TUU238" s="10"/>
      <c r="TUV238" s="10"/>
      <c r="TUW238" s="21"/>
      <c r="TUX238" s="21"/>
      <c r="TVA238" s="21"/>
      <c r="TVB238" s="15"/>
      <c r="TVC238" s="15"/>
      <c r="TVD238" s="15"/>
      <c r="TVE238" s="15"/>
      <c r="TVF238" s="15"/>
      <c r="TVG238" s="15"/>
      <c r="TVH238" s="15"/>
      <c r="TVI238" s="15"/>
      <c r="TVJ238" s="15"/>
      <c r="TVK238" s="15"/>
      <c r="TVL238" s="10"/>
      <c r="TVM238" s="10"/>
      <c r="TVN238" s="21"/>
      <c r="TVO238" s="21"/>
      <c r="TVR238" s="21"/>
      <c r="TVS238" s="15"/>
      <c r="TVT238" s="15"/>
      <c r="TVU238" s="15"/>
      <c r="TVV238" s="15"/>
      <c r="TVW238" s="15"/>
      <c r="TVX238" s="15"/>
      <c r="TVY238" s="15"/>
      <c r="TVZ238" s="15"/>
      <c r="TWA238" s="15"/>
      <c r="TWB238" s="15"/>
      <c r="TWC238" s="10"/>
      <c r="TWD238" s="10"/>
      <c r="TWE238" s="21"/>
      <c r="TWF238" s="21"/>
      <c r="TWI238" s="21"/>
      <c r="TWJ238" s="15"/>
      <c r="TWK238" s="15"/>
      <c r="TWL238" s="15"/>
      <c r="TWM238" s="15"/>
      <c r="TWN238" s="15"/>
      <c r="TWO238" s="15"/>
      <c r="TWP238" s="15"/>
      <c r="TWQ238" s="15"/>
      <c r="TWR238" s="15"/>
      <c r="TWS238" s="15"/>
      <c r="TWT238" s="10"/>
      <c r="TWU238" s="10"/>
      <c r="TWV238" s="21"/>
      <c r="TWW238" s="21"/>
      <c r="TWZ238" s="21"/>
      <c r="TXA238" s="15"/>
      <c r="TXB238" s="15"/>
      <c r="TXC238" s="15"/>
      <c r="TXD238" s="15"/>
      <c r="TXE238" s="15"/>
      <c r="TXF238" s="15"/>
      <c r="TXG238" s="15"/>
      <c r="TXH238" s="15"/>
      <c r="TXI238" s="15"/>
      <c r="TXJ238" s="15"/>
      <c r="TXK238" s="10"/>
      <c r="TXL238" s="10"/>
      <c r="TXM238" s="21"/>
      <c r="TXN238" s="21"/>
      <c r="TXQ238" s="21"/>
      <c r="TXR238" s="15"/>
      <c r="TXS238" s="15"/>
      <c r="TXT238" s="15"/>
      <c r="TXU238" s="15"/>
      <c r="TXV238" s="15"/>
      <c r="TXW238" s="15"/>
      <c r="TXX238" s="15"/>
      <c r="TXY238" s="15"/>
      <c r="TXZ238" s="15"/>
      <c r="TYA238" s="15"/>
      <c r="TYB238" s="10"/>
      <c r="TYC238" s="10"/>
      <c r="TYD238" s="21"/>
      <c r="TYE238" s="21"/>
      <c r="TYH238" s="21"/>
      <c r="TYI238" s="15"/>
      <c r="TYJ238" s="15"/>
      <c r="TYK238" s="15"/>
      <c r="TYL238" s="15"/>
      <c r="TYM238" s="15"/>
      <c r="TYN238" s="15"/>
      <c r="TYO238" s="15"/>
      <c r="TYP238" s="15"/>
      <c r="TYQ238" s="15"/>
      <c r="TYR238" s="15"/>
      <c r="TYS238" s="10"/>
      <c r="TYT238" s="10"/>
      <c r="TYU238" s="21"/>
      <c r="TYV238" s="21"/>
      <c r="TYY238" s="21"/>
      <c r="TYZ238" s="15"/>
      <c r="TZA238" s="15"/>
      <c r="TZB238" s="15"/>
      <c r="TZC238" s="15"/>
      <c r="TZD238" s="15"/>
      <c r="TZE238" s="15"/>
      <c r="TZF238" s="15"/>
      <c r="TZG238" s="15"/>
      <c r="TZH238" s="15"/>
      <c r="TZI238" s="15"/>
      <c r="TZJ238" s="10"/>
      <c r="TZK238" s="10"/>
      <c r="TZL238" s="21"/>
      <c r="TZM238" s="21"/>
      <c r="TZP238" s="21"/>
      <c r="TZQ238" s="15"/>
      <c r="TZR238" s="15"/>
      <c r="TZS238" s="15"/>
      <c r="TZT238" s="15"/>
      <c r="TZU238" s="15"/>
      <c r="TZV238" s="15"/>
      <c r="TZW238" s="15"/>
      <c r="TZX238" s="15"/>
      <c r="TZY238" s="15"/>
      <c r="TZZ238" s="15"/>
      <c r="UAA238" s="10"/>
      <c r="UAB238" s="10"/>
      <c r="UAC238" s="21"/>
      <c r="UAD238" s="21"/>
      <c r="UAG238" s="21"/>
      <c r="UAH238" s="15"/>
      <c r="UAI238" s="15"/>
      <c r="UAJ238" s="15"/>
      <c r="UAK238" s="15"/>
      <c r="UAL238" s="15"/>
      <c r="UAM238" s="15"/>
      <c r="UAN238" s="15"/>
      <c r="UAO238" s="15"/>
      <c r="UAP238" s="15"/>
      <c r="UAQ238" s="15"/>
      <c r="UAR238" s="10"/>
      <c r="UAS238" s="10"/>
      <c r="UAT238" s="21"/>
      <c r="UAU238" s="21"/>
      <c r="UAX238" s="21"/>
      <c r="UAY238" s="15"/>
      <c r="UAZ238" s="15"/>
      <c r="UBA238" s="15"/>
      <c r="UBB238" s="15"/>
      <c r="UBC238" s="15"/>
      <c r="UBD238" s="15"/>
      <c r="UBE238" s="15"/>
      <c r="UBF238" s="15"/>
      <c r="UBG238" s="15"/>
      <c r="UBH238" s="15"/>
      <c r="UBI238" s="10"/>
      <c r="UBJ238" s="10"/>
      <c r="UBK238" s="21"/>
      <c r="UBL238" s="21"/>
      <c r="UBO238" s="21"/>
      <c r="UBP238" s="15"/>
      <c r="UBQ238" s="15"/>
      <c r="UBR238" s="15"/>
      <c r="UBS238" s="15"/>
      <c r="UBT238" s="15"/>
      <c r="UBU238" s="15"/>
      <c r="UBV238" s="15"/>
      <c r="UBW238" s="15"/>
      <c r="UBX238" s="15"/>
      <c r="UBY238" s="15"/>
      <c r="UBZ238" s="10"/>
      <c r="UCA238" s="10"/>
      <c r="UCB238" s="21"/>
      <c r="UCC238" s="21"/>
      <c r="UCF238" s="21"/>
      <c r="UCG238" s="15"/>
      <c r="UCH238" s="15"/>
      <c r="UCI238" s="15"/>
      <c r="UCJ238" s="15"/>
      <c r="UCK238" s="15"/>
      <c r="UCL238" s="15"/>
      <c r="UCM238" s="15"/>
      <c r="UCN238" s="15"/>
      <c r="UCO238" s="15"/>
      <c r="UCP238" s="15"/>
      <c r="UCQ238" s="10"/>
      <c r="UCR238" s="10"/>
      <c r="UCS238" s="21"/>
      <c r="UCT238" s="21"/>
      <c r="UCW238" s="21"/>
      <c r="UCX238" s="15"/>
      <c r="UCY238" s="15"/>
      <c r="UCZ238" s="15"/>
      <c r="UDA238" s="15"/>
      <c r="UDB238" s="15"/>
      <c r="UDC238" s="15"/>
      <c r="UDD238" s="15"/>
      <c r="UDE238" s="15"/>
      <c r="UDF238" s="15"/>
      <c r="UDG238" s="15"/>
      <c r="UDH238" s="10"/>
      <c r="UDI238" s="10"/>
      <c r="UDJ238" s="21"/>
      <c r="UDK238" s="21"/>
      <c r="UDN238" s="21"/>
      <c r="UDO238" s="15"/>
      <c r="UDP238" s="15"/>
      <c r="UDQ238" s="15"/>
      <c r="UDR238" s="15"/>
      <c r="UDS238" s="15"/>
      <c r="UDT238" s="15"/>
      <c r="UDU238" s="15"/>
      <c r="UDV238" s="15"/>
      <c r="UDW238" s="15"/>
      <c r="UDX238" s="15"/>
      <c r="UDY238" s="10"/>
      <c r="UDZ238" s="10"/>
      <c r="UEA238" s="21"/>
      <c r="UEB238" s="21"/>
      <c r="UEE238" s="21"/>
      <c r="UEF238" s="15"/>
      <c r="UEG238" s="15"/>
      <c r="UEH238" s="15"/>
      <c r="UEI238" s="15"/>
      <c r="UEJ238" s="15"/>
      <c r="UEK238" s="15"/>
      <c r="UEL238" s="15"/>
      <c r="UEM238" s="15"/>
      <c r="UEN238" s="15"/>
      <c r="UEO238" s="15"/>
      <c r="UEP238" s="10"/>
      <c r="UEQ238" s="10"/>
      <c r="UER238" s="21"/>
      <c r="UES238" s="21"/>
      <c r="UEV238" s="21"/>
      <c r="UEW238" s="15"/>
      <c r="UEX238" s="15"/>
      <c r="UEY238" s="15"/>
      <c r="UEZ238" s="15"/>
      <c r="UFA238" s="15"/>
      <c r="UFB238" s="15"/>
      <c r="UFC238" s="15"/>
      <c r="UFD238" s="15"/>
      <c r="UFE238" s="15"/>
      <c r="UFF238" s="15"/>
      <c r="UFG238" s="10"/>
      <c r="UFH238" s="10"/>
      <c r="UFI238" s="21"/>
      <c r="UFJ238" s="21"/>
      <c r="UFM238" s="21"/>
      <c r="UFN238" s="15"/>
      <c r="UFO238" s="15"/>
      <c r="UFP238" s="15"/>
      <c r="UFQ238" s="15"/>
      <c r="UFR238" s="15"/>
      <c r="UFS238" s="15"/>
      <c r="UFT238" s="15"/>
      <c r="UFU238" s="15"/>
      <c r="UFV238" s="15"/>
      <c r="UFW238" s="15"/>
      <c r="UFX238" s="10"/>
      <c r="UFY238" s="10"/>
      <c r="UFZ238" s="21"/>
      <c r="UGA238" s="21"/>
      <c r="UGD238" s="21"/>
      <c r="UGE238" s="15"/>
      <c r="UGF238" s="15"/>
      <c r="UGG238" s="15"/>
      <c r="UGH238" s="15"/>
      <c r="UGI238" s="15"/>
      <c r="UGJ238" s="15"/>
      <c r="UGK238" s="15"/>
      <c r="UGL238" s="15"/>
      <c r="UGM238" s="15"/>
      <c r="UGN238" s="15"/>
      <c r="UGO238" s="10"/>
      <c r="UGP238" s="10"/>
      <c r="UGQ238" s="21"/>
      <c r="UGR238" s="21"/>
      <c r="UGU238" s="21"/>
      <c r="UGV238" s="15"/>
      <c r="UGW238" s="15"/>
      <c r="UGX238" s="15"/>
      <c r="UGY238" s="15"/>
      <c r="UGZ238" s="15"/>
      <c r="UHA238" s="15"/>
      <c r="UHB238" s="15"/>
      <c r="UHC238" s="15"/>
      <c r="UHD238" s="15"/>
      <c r="UHE238" s="15"/>
      <c r="UHF238" s="10"/>
      <c r="UHG238" s="10"/>
      <c r="UHH238" s="21"/>
      <c r="UHI238" s="21"/>
      <c r="UHL238" s="21"/>
      <c r="UHM238" s="15"/>
      <c r="UHN238" s="15"/>
      <c r="UHO238" s="15"/>
      <c r="UHP238" s="15"/>
      <c r="UHQ238" s="15"/>
      <c r="UHR238" s="15"/>
      <c r="UHS238" s="15"/>
      <c r="UHT238" s="15"/>
      <c r="UHU238" s="15"/>
      <c r="UHV238" s="15"/>
      <c r="UHW238" s="10"/>
      <c r="UHX238" s="10"/>
      <c r="UHY238" s="21"/>
      <c r="UHZ238" s="21"/>
      <c r="UIC238" s="21"/>
      <c r="UID238" s="15"/>
      <c r="UIE238" s="15"/>
      <c r="UIF238" s="15"/>
      <c r="UIG238" s="15"/>
      <c r="UIH238" s="15"/>
      <c r="UII238" s="15"/>
      <c r="UIJ238" s="15"/>
      <c r="UIK238" s="15"/>
      <c r="UIL238" s="15"/>
      <c r="UIM238" s="15"/>
      <c r="UIN238" s="10"/>
      <c r="UIO238" s="10"/>
      <c r="UIP238" s="21"/>
      <c r="UIQ238" s="21"/>
      <c r="UIT238" s="21"/>
      <c r="UIU238" s="15"/>
      <c r="UIV238" s="15"/>
      <c r="UIW238" s="15"/>
      <c r="UIX238" s="15"/>
      <c r="UIY238" s="15"/>
      <c r="UIZ238" s="15"/>
      <c r="UJA238" s="15"/>
      <c r="UJB238" s="15"/>
      <c r="UJC238" s="15"/>
      <c r="UJD238" s="15"/>
      <c r="UJE238" s="10"/>
      <c r="UJF238" s="10"/>
      <c r="UJG238" s="21"/>
      <c r="UJH238" s="21"/>
      <c r="UJK238" s="21"/>
      <c r="UJL238" s="15"/>
      <c r="UJM238" s="15"/>
      <c r="UJN238" s="15"/>
      <c r="UJO238" s="15"/>
      <c r="UJP238" s="15"/>
      <c r="UJQ238" s="15"/>
      <c r="UJR238" s="15"/>
      <c r="UJS238" s="15"/>
      <c r="UJT238" s="15"/>
      <c r="UJU238" s="15"/>
      <c r="UJV238" s="10"/>
      <c r="UJW238" s="10"/>
      <c r="UJX238" s="21"/>
      <c r="UJY238" s="21"/>
      <c r="UKB238" s="21"/>
      <c r="UKC238" s="15"/>
      <c r="UKD238" s="15"/>
      <c r="UKE238" s="15"/>
      <c r="UKF238" s="15"/>
      <c r="UKG238" s="15"/>
      <c r="UKH238" s="15"/>
      <c r="UKI238" s="15"/>
      <c r="UKJ238" s="15"/>
      <c r="UKK238" s="15"/>
      <c r="UKL238" s="15"/>
      <c r="UKM238" s="10"/>
      <c r="UKN238" s="10"/>
      <c r="UKO238" s="21"/>
      <c r="UKP238" s="21"/>
      <c r="UKS238" s="21"/>
      <c r="UKT238" s="15"/>
      <c r="UKU238" s="15"/>
      <c r="UKV238" s="15"/>
      <c r="UKW238" s="15"/>
      <c r="UKX238" s="15"/>
      <c r="UKY238" s="15"/>
      <c r="UKZ238" s="15"/>
      <c r="ULA238" s="15"/>
      <c r="ULB238" s="15"/>
      <c r="ULC238" s="15"/>
      <c r="ULD238" s="10"/>
      <c r="ULE238" s="10"/>
      <c r="ULF238" s="21"/>
      <c r="ULG238" s="21"/>
      <c r="ULJ238" s="21"/>
      <c r="ULK238" s="15"/>
      <c r="ULL238" s="15"/>
      <c r="ULM238" s="15"/>
      <c r="ULN238" s="15"/>
      <c r="ULO238" s="15"/>
      <c r="ULP238" s="15"/>
      <c r="ULQ238" s="15"/>
      <c r="ULR238" s="15"/>
      <c r="ULS238" s="15"/>
      <c r="ULT238" s="15"/>
      <c r="ULU238" s="10"/>
      <c r="ULV238" s="10"/>
      <c r="ULW238" s="21"/>
      <c r="ULX238" s="21"/>
      <c r="UMA238" s="21"/>
      <c r="UMB238" s="15"/>
      <c r="UMC238" s="15"/>
      <c r="UMD238" s="15"/>
      <c r="UME238" s="15"/>
      <c r="UMF238" s="15"/>
      <c r="UMG238" s="15"/>
      <c r="UMH238" s="15"/>
      <c r="UMI238" s="15"/>
      <c r="UMJ238" s="15"/>
      <c r="UMK238" s="15"/>
      <c r="UML238" s="10"/>
      <c r="UMM238" s="10"/>
      <c r="UMN238" s="21"/>
      <c r="UMO238" s="21"/>
      <c r="UMR238" s="21"/>
      <c r="UMS238" s="15"/>
      <c r="UMT238" s="15"/>
      <c r="UMU238" s="15"/>
      <c r="UMV238" s="15"/>
      <c r="UMW238" s="15"/>
      <c r="UMX238" s="15"/>
      <c r="UMY238" s="15"/>
      <c r="UMZ238" s="15"/>
      <c r="UNA238" s="15"/>
      <c r="UNB238" s="15"/>
      <c r="UNC238" s="10"/>
      <c r="UND238" s="10"/>
      <c r="UNE238" s="21"/>
      <c r="UNF238" s="21"/>
      <c r="UNI238" s="21"/>
      <c r="UNJ238" s="15"/>
      <c r="UNK238" s="15"/>
      <c r="UNL238" s="15"/>
      <c r="UNM238" s="15"/>
      <c r="UNN238" s="15"/>
      <c r="UNO238" s="15"/>
      <c r="UNP238" s="15"/>
      <c r="UNQ238" s="15"/>
      <c r="UNR238" s="15"/>
      <c r="UNS238" s="15"/>
      <c r="UNT238" s="10"/>
      <c r="UNU238" s="10"/>
      <c r="UNV238" s="21"/>
      <c r="UNW238" s="21"/>
      <c r="UNZ238" s="21"/>
      <c r="UOA238" s="15"/>
      <c r="UOB238" s="15"/>
      <c r="UOC238" s="15"/>
      <c r="UOD238" s="15"/>
      <c r="UOE238" s="15"/>
      <c r="UOF238" s="15"/>
      <c r="UOG238" s="15"/>
      <c r="UOH238" s="15"/>
      <c r="UOI238" s="15"/>
      <c r="UOJ238" s="15"/>
      <c r="UOK238" s="10"/>
      <c r="UOL238" s="10"/>
      <c r="UOM238" s="21"/>
      <c r="UON238" s="21"/>
      <c r="UOQ238" s="21"/>
      <c r="UOR238" s="15"/>
      <c r="UOS238" s="15"/>
      <c r="UOT238" s="15"/>
      <c r="UOU238" s="15"/>
      <c r="UOV238" s="15"/>
      <c r="UOW238" s="15"/>
      <c r="UOX238" s="15"/>
      <c r="UOY238" s="15"/>
      <c r="UOZ238" s="15"/>
      <c r="UPA238" s="15"/>
      <c r="UPB238" s="10"/>
      <c r="UPC238" s="10"/>
      <c r="UPD238" s="21"/>
      <c r="UPE238" s="21"/>
      <c r="UPH238" s="21"/>
      <c r="UPI238" s="15"/>
      <c r="UPJ238" s="15"/>
      <c r="UPK238" s="15"/>
      <c r="UPL238" s="15"/>
      <c r="UPM238" s="15"/>
      <c r="UPN238" s="15"/>
      <c r="UPO238" s="15"/>
      <c r="UPP238" s="15"/>
      <c r="UPQ238" s="15"/>
      <c r="UPR238" s="15"/>
      <c r="UPS238" s="10"/>
      <c r="UPT238" s="10"/>
      <c r="UPU238" s="21"/>
      <c r="UPV238" s="21"/>
      <c r="UPY238" s="21"/>
      <c r="UPZ238" s="15"/>
      <c r="UQA238" s="15"/>
      <c r="UQB238" s="15"/>
      <c r="UQC238" s="15"/>
      <c r="UQD238" s="15"/>
      <c r="UQE238" s="15"/>
      <c r="UQF238" s="15"/>
      <c r="UQG238" s="15"/>
      <c r="UQH238" s="15"/>
      <c r="UQI238" s="15"/>
      <c r="UQJ238" s="10"/>
      <c r="UQK238" s="10"/>
      <c r="UQL238" s="21"/>
      <c r="UQM238" s="21"/>
      <c r="UQP238" s="21"/>
      <c r="UQQ238" s="15"/>
      <c r="UQR238" s="15"/>
      <c r="UQS238" s="15"/>
      <c r="UQT238" s="15"/>
      <c r="UQU238" s="15"/>
      <c r="UQV238" s="15"/>
      <c r="UQW238" s="15"/>
      <c r="UQX238" s="15"/>
      <c r="UQY238" s="15"/>
      <c r="UQZ238" s="15"/>
      <c r="URA238" s="10"/>
      <c r="URB238" s="10"/>
      <c r="URC238" s="21"/>
      <c r="URD238" s="21"/>
      <c r="URG238" s="21"/>
      <c r="URH238" s="15"/>
      <c r="URI238" s="15"/>
      <c r="URJ238" s="15"/>
      <c r="URK238" s="15"/>
      <c r="URL238" s="15"/>
      <c r="URM238" s="15"/>
      <c r="URN238" s="15"/>
      <c r="URO238" s="15"/>
      <c r="URP238" s="15"/>
      <c r="URQ238" s="15"/>
      <c r="URR238" s="10"/>
      <c r="URS238" s="10"/>
      <c r="URT238" s="21"/>
      <c r="URU238" s="21"/>
      <c r="URX238" s="21"/>
      <c r="URY238" s="15"/>
      <c r="URZ238" s="15"/>
      <c r="USA238" s="15"/>
      <c r="USB238" s="15"/>
      <c r="USC238" s="15"/>
      <c r="USD238" s="15"/>
      <c r="USE238" s="15"/>
      <c r="USF238" s="15"/>
      <c r="USG238" s="15"/>
      <c r="USH238" s="15"/>
      <c r="USI238" s="10"/>
      <c r="USJ238" s="10"/>
      <c r="USK238" s="21"/>
      <c r="USL238" s="21"/>
      <c r="USO238" s="21"/>
      <c r="USP238" s="15"/>
      <c r="USQ238" s="15"/>
      <c r="USR238" s="15"/>
      <c r="USS238" s="15"/>
      <c r="UST238" s="15"/>
      <c r="USU238" s="15"/>
      <c r="USV238" s="15"/>
      <c r="USW238" s="15"/>
      <c r="USX238" s="15"/>
      <c r="USY238" s="15"/>
      <c r="USZ238" s="10"/>
      <c r="UTA238" s="10"/>
      <c r="UTB238" s="21"/>
      <c r="UTC238" s="21"/>
      <c r="UTF238" s="21"/>
      <c r="UTG238" s="15"/>
      <c r="UTH238" s="15"/>
      <c r="UTI238" s="15"/>
      <c r="UTJ238" s="15"/>
      <c r="UTK238" s="15"/>
      <c r="UTL238" s="15"/>
      <c r="UTM238" s="15"/>
      <c r="UTN238" s="15"/>
      <c r="UTO238" s="15"/>
      <c r="UTP238" s="15"/>
      <c r="UTQ238" s="10"/>
      <c r="UTR238" s="10"/>
      <c r="UTS238" s="21"/>
      <c r="UTT238" s="21"/>
      <c r="UTW238" s="21"/>
      <c r="UTX238" s="15"/>
      <c r="UTY238" s="15"/>
      <c r="UTZ238" s="15"/>
      <c r="UUA238" s="15"/>
      <c r="UUB238" s="15"/>
      <c r="UUC238" s="15"/>
      <c r="UUD238" s="15"/>
      <c r="UUE238" s="15"/>
      <c r="UUF238" s="15"/>
      <c r="UUG238" s="15"/>
      <c r="UUH238" s="10"/>
      <c r="UUI238" s="10"/>
      <c r="UUJ238" s="21"/>
      <c r="UUK238" s="21"/>
      <c r="UUN238" s="21"/>
      <c r="UUO238" s="15"/>
      <c r="UUP238" s="15"/>
      <c r="UUQ238" s="15"/>
      <c r="UUR238" s="15"/>
      <c r="UUS238" s="15"/>
      <c r="UUT238" s="15"/>
      <c r="UUU238" s="15"/>
      <c r="UUV238" s="15"/>
      <c r="UUW238" s="15"/>
      <c r="UUX238" s="15"/>
      <c r="UUY238" s="10"/>
      <c r="UUZ238" s="10"/>
      <c r="UVA238" s="21"/>
      <c r="UVB238" s="21"/>
      <c r="UVE238" s="21"/>
      <c r="UVF238" s="15"/>
      <c r="UVG238" s="15"/>
      <c r="UVH238" s="15"/>
      <c r="UVI238" s="15"/>
      <c r="UVJ238" s="15"/>
      <c r="UVK238" s="15"/>
      <c r="UVL238" s="15"/>
      <c r="UVM238" s="15"/>
      <c r="UVN238" s="15"/>
      <c r="UVO238" s="15"/>
      <c r="UVP238" s="10"/>
      <c r="UVQ238" s="10"/>
      <c r="UVR238" s="21"/>
      <c r="UVS238" s="21"/>
      <c r="UVV238" s="21"/>
      <c r="UVW238" s="15"/>
      <c r="UVX238" s="15"/>
      <c r="UVY238" s="15"/>
      <c r="UVZ238" s="15"/>
      <c r="UWA238" s="15"/>
      <c r="UWB238" s="15"/>
      <c r="UWC238" s="15"/>
      <c r="UWD238" s="15"/>
      <c r="UWE238" s="15"/>
      <c r="UWF238" s="15"/>
      <c r="UWG238" s="10"/>
      <c r="UWH238" s="10"/>
      <c r="UWI238" s="21"/>
      <c r="UWJ238" s="21"/>
      <c r="UWM238" s="21"/>
      <c r="UWN238" s="15"/>
      <c r="UWO238" s="15"/>
      <c r="UWP238" s="15"/>
      <c r="UWQ238" s="15"/>
      <c r="UWR238" s="15"/>
      <c r="UWS238" s="15"/>
      <c r="UWT238" s="15"/>
      <c r="UWU238" s="15"/>
      <c r="UWV238" s="15"/>
      <c r="UWW238" s="15"/>
      <c r="UWX238" s="10"/>
      <c r="UWY238" s="10"/>
      <c r="UWZ238" s="21"/>
      <c r="UXA238" s="21"/>
      <c r="UXD238" s="21"/>
      <c r="UXE238" s="15"/>
      <c r="UXF238" s="15"/>
      <c r="UXG238" s="15"/>
      <c r="UXH238" s="15"/>
      <c r="UXI238" s="15"/>
      <c r="UXJ238" s="15"/>
      <c r="UXK238" s="15"/>
      <c r="UXL238" s="15"/>
      <c r="UXM238" s="15"/>
      <c r="UXN238" s="15"/>
      <c r="UXO238" s="10"/>
      <c r="UXP238" s="10"/>
      <c r="UXQ238" s="21"/>
      <c r="UXR238" s="21"/>
      <c r="UXU238" s="21"/>
      <c r="UXV238" s="15"/>
      <c r="UXW238" s="15"/>
      <c r="UXX238" s="15"/>
      <c r="UXY238" s="15"/>
      <c r="UXZ238" s="15"/>
      <c r="UYA238" s="15"/>
      <c r="UYB238" s="15"/>
      <c r="UYC238" s="15"/>
      <c r="UYD238" s="15"/>
      <c r="UYE238" s="15"/>
      <c r="UYF238" s="10"/>
      <c r="UYG238" s="10"/>
      <c r="UYH238" s="21"/>
      <c r="UYI238" s="21"/>
      <c r="UYL238" s="21"/>
      <c r="UYM238" s="15"/>
      <c r="UYN238" s="15"/>
      <c r="UYO238" s="15"/>
      <c r="UYP238" s="15"/>
      <c r="UYQ238" s="15"/>
      <c r="UYR238" s="15"/>
      <c r="UYS238" s="15"/>
      <c r="UYT238" s="15"/>
      <c r="UYU238" s="15"/>
      <c r="UYV238" s="15"/>
      <c r="UYW238" s="10"/>
      <c r="UYX238" s="10"/>
      <c r="UYY238" s="21"/>
      <c r="UYZ238" s="21"/>
      <c r="UZC238" s="21"/>
      <c r="UZD238" s="15"/>
      <c r="UZE238" s="15"/>
      <c r="UZF238" s="15"/>
      <c r="UZG238" s="15"/>
      <c r="UZH238" s="15"/>
      <c r="UZI238" s="15"/>
      <c r="UZJ238" s="15"/>
      <c r="UZK238" s="15"/>
      <c r="UZL238" s="15"/>
      <c r="UZM238" s="15"/>
      <c r="UZN238" s="10"/>
      <c r="UZO238" s="10"/>
      <c r="UZP238" s="21"/>
      <c r="UZQ238" s="21"/>
      <c r="UZT238" s="21"/>
      <c r="UZU238" s="15"/>
      <c r="UZV238" s="15"/>
      <c r="UZW238" s="15"/>
      <c r="UZX238" s="15"/>
      <c r="UZY238" s="15"/>
      <c r="UZZ238" s="15"/>
      <c r="VAA238" s="15"/>
      <c r="VAB238" s="15"/>
      <c r="VAC238" s="15"/>
      <c r="VAD238" s="15"/>
      <c r="VAE238" s="10"/>
      <c r="VAF238" s="10"/>
      <c r="VAG238" s="21"/>
      <c r="VAH238" s="21"/>
      <c r="VAK238" s="21"/>
      <c r="VAL238" s="15"/>
      <c r="VAM238" s="15"/>
      <c r="VAN238" s="15"/>
      <c r="VAO238" s="15"/>
      <c r="VAP238" s="15"/>
      <c r="VAQ238" s="15"/>
      <c r="VAR238" s="15"/>
      <c r="VAS238" s="15"/>
      <c r="VAT238" s="15"/>
      <c r="VAU238" s="15"/>
      <c r="VAV238" s="10"/>
      <c r="VAW238" s="10"/>
      <c r="VAX238" s="21"/>
      <c r="VAY238" s="21"/>
      <c r="VBB238" s="21"/>
      <c r="VBC238" s="15"/>
      <c r="VBD238" s="15"/>
      <c r="VBE238" s="15"/>
      <c r="VBF238" s="15"/>
      <c r="VBG238" s="15"/>
      <c r="VBH238" s="15"/>
      <c r="VBI238" s="15"/>
      <c r="VBJ238" s="15"/>
      <c r="VBK238" s="15"/>
      <c r="VBL238" s="15"/>
      <c r="VBM238" s="10"/>
      <c r="VBN238" s="10"/>
      <c r="VBO238" s="21"/>
      <c r="VBP238" s="21"/>
      <c r="VBS238" s="21"/>
      <c r="VBT238" s="15"/>
      <c r="VBU238" s="15"/>
      <c r="VBV238" s="15"/>
      <c r="VBW238" s="15"/>
      <c r="VBX238" s="15"/>
      <c r="VBY238" s="15"/>
      <c r="VBZ238" s="15"/>
      <c r="VCA238" s="15"/>
      <c r="VCB238" s="15"/>
      <c r="VCC238" s="15"/>
      <c r="VCD238" s="10"/>
      <c r="VCE238" s="10"/>
      <c r="VCF238" s="21"/>
      <c r="VCG238" s="21"/>
      <c r="VCJ238" s="21"/>
      <c r="VCK238" s="15"/>
      <c r="VCL238" s="15"/>
      <c r="VCM238" s="15"/>
      <c r="VCN238" s="15"/>
      <c r="VCO238" s="15"/>
      <c r="VCP238" s="15"/>
      <c r="VCQ238" s="15"/>
      <c r="VCR238" s="15"/>
      <c r="VCS238" s="15"/>
      <c r="VCT238" s="15"/>
      <c r="VCU238" s="10"/>
      <c r="VCV238" s="10"/>
      <c r="VCW238" s="21"/>
      <c r="VCX238" s="21"/>
      <c r="VDA238" s="21"/>
      <c r="VDB238" s="15"/>
      <c r="VDC238" s="15"/>
      <c r="VDD238" s="15"/>
      <c r="VDE238" s="15"/>
      <c r="VDF238" s="15"/>
      <c r="VDG238" s="15"/>
      <c r="VDH238" s="15"/>
      <c r="VDI238" s="15"/>
      <c r="VDJ238" s="15"/>
      <c r="VDK238" s="15"/>
      <c r="VDL238" s="10"/>
      <c r="VDM238" s="10"/>
      <c r="VDN238" s="21"/>
      <c r="VDO238" s="21"/>
      <c r="VDR238" s="21"/>
      <c r="VDS238" s="15"/>
      <c r="VDT238" s="15"/>
      <c r="VDU238" s="15"/>
      <c r="VDV238" s="15"/>
      <c r="VDW238" s="15"/>
      <c r="VDX238" s="15"/>
      <c r="VDY238" s="15"/>
      <c r="VDZ238" s="15"/>
      <c r="VEA238" s="15"/>
      <c r="VEB238" s="15"/>
      <c r="VEC238" s="10"/>
      <c r="VED238" s="10"/>
      <c r="VEE238" s="21"/>
      <c r="VEF238" s="21"/>
      <c r="VEI238" s="21"/>
      <c r="VEJ238" s="15"/>
      <c r="VEK238" s="15"/>
      <c r="VEL238" s="15"/>
      <c r="VEM238" s="15"/>
      <c r="VEN238" s="15"/>
      <c r="VEO238" s="15"/>
      <c r="VEP238" s="15"/>
      <c r="VEQ238" s="15"/>
      <c r="VER238" s="15"/>
      <c r="VES238" s="15"/>
      <c r="VET238" s="10"/>
      <c r="VEU238" s="10"/>
      <c r="VEV238" s="21"/>
      <c r="VEW238" s="21"/>
      <c r="VEZ238" s="21"/>
      <c r="VFA238" s="15"/>
      <c r="VFB238" s="15"/>
      <c r="VFC238" s="15"/>
      <c r="VFD238" s="15"/>
      <c r="VFE238" s="15"/>
      <c r="VFF238" s="15"/>
      <c r="VFG238" s="15"/>
      <c r="VFH238" s="15"/>
      <c r="VFI238" s="15"/>
      <c r="VFJ238" s="15"/>
      <c r="VFK238" s="10"/>
      <c r="VFL238" s="10"/>
      <c r="VFM238" s="21"/>
      <c r="VFN238" s="21"/>
      <c r="VFQ238" s="21"/>
      <c r="VFR238" s="15"/>
      <c r="VFS238" s="15"/>
      <c r="VFT238" s="15"/>
      <c r="VFU238" s="15"/>
      <c r="VFV238" s="15"/>
      <c r="VFW238" s="15"/>
      <c r="VFX238" s="15"/>
      <c r="VFY238" s="15"/>
      <c r="VFZ238" s="15"/>
      <c r="VGA238" s="15"/>
      <c r="VGB238" s="10"/>
      <c r="VGC238" s="10"/>
      <c r="VGD238" s="21"/>
      <c r="VGE238" s="21"/>
      <c r="VGH238" s="21"/>
      <c r="VGI238" s="15"/>
      <c r="VGJ238" s="15"/>
      <c r="VGK238" s="15"/>
      <c r="VGL238" s="15"/>
      <c r="VGM238" s="15"/>
      <c r="VGN238" s="15"/>
      <c r="VGO238" s="15"/>
      <c r="VGP238" s="15"/>
      <c r="VGQ238" s="15"/>
      <c r="VGR238" s="15"/>
      <c r="VGS238" s="10"/>
      <c r="VGT238" s="10"/>
      <c r="VGU238" s="21"/>
      <c r="VGV238" s="21"/>
      <c r="VGY238" s="21"/>
      <c r="VGZ238" s="15"/>
      <c r="VHA238" s="15"/>
      <c r="VHB238" s="15"/>
      <c r="VHC238" s="15"/>
      <c r="VHD238" s="15"/>
      <c r="VHE238" s="15"/>
      <c r="VHF238" s="15"/>
      <c r="VHG238" s="15"/>
      <c r="VHH238" s="15"/>
      <c r="VHI238" s="15"/>
      <c r="VHJ238" s="10"/>
      <c r="VHK238" s="10"/>
      <c r="VHL238" s="21"/>
      <c r="VHM238" s="21"/>
      <c r="VHP238" s="21"/>
      <c r="VHQ238" s="15"/>
      <c r="VHR238" s="15"/>
      <c r="VHS238" s="15"/>
      <c r="VHT238" s="15"/>
      <c r="VHU238" s="15"/>
      <c r="VHV238" s="15"/>
      <c r="VHW238" s="15"/>
      <c r="VHX238" s="15"/>
      <c r="VHY238" s="15"/>
      <c r="VHZ238" s="15"/>
      <c r="VIA238" s="10"/>
      <c r="VIB238" s="10"/>
      <c r="VIC238" s="21"/>
      <c r="VID238" s="21"/>
      <c r="VIG238" s="21"/>
      <c r="VIH238" s="15"/>
      <c r="VII238" s="15"/>
      <c r="VIJ238" s="15"/>
      <c r="VIK238" s="15"/>
      <c r="VIL238" s="15"/>
      <c r="VIM238" s="15"/>
      <c r="VIN238" s="15"/>
      <c r="VIO238" s="15"/>
      <c r="VIP238" s="15"/>
      <c r="VIQ238" s="15"/>
      <c r="VIR238" s="10"/>
      <c r="VIS238" s="10"/>
      <c r="VIT238" s="21"/>
      <c r="VIU238" s="21"/>
      <c r="VIX238" s="21"/>
      <c r="VIY238" s="15"/>
      <c r="VIZ238" s="15"/>
      <c r="VJA238" s="15"/>
      <c r="VJB238" s="15"/>
      <c r="VJC238" s="15"/>
      <c r="VJD238" s="15"/>
      <c r="VJE238" s="15"/>
      <c r="VJF238" s="15"/>
      <c r="VJG238" s="15"/>
      <c r="VJH238" s="15"/>
      <c r="VJI238" s="10"/>
      <c r="VJJ238" s="10"/>
      <c r="VJK238" s="21"/>
      <c r="VJL238" s="21"/>
      <c r="VJO238" s="21"/>
      <c r="VJP238" s="15"/>
      <c r="VJQ238" s="15"/>
      <c r="VJR238" s="15"/>
      <c r="VJS238" s="15"/>
      <c r="VJT238" s="15"/>
      <c r="VJU238" s="15"/>
      <c r="VJV238" s="15"/>
      <c r="VJW238" s="15"/>
      <c r="VJX238" s="15"/>
      <c r="VJY238" s="15"/>
      <c r="VJZ238" s="10"/>
      <c r="VKA238" s="10"/>
      <c r="VKB238" s="21"/>
      <c r="VKC238" s="21"/>
      <c r="VKF238" s="21"/>
      <c r="VKG238" s="15"/>
      <c r="VKH238" s="15"/>
      <c r="VKI238" s="15"/>
      <c r="VKJ238" s="15"/>
      <c r="VKK238" s="15"/>
      <c r="VKL238" s="15"/>
      <c r="VKM238" s="15"/>
      <c r="VKN238" s="15"/>
      <c r="VKO238" s="15"/>
      <c r="VKP238" s="15"/>
      <c r="VKQ238" s="10"/>
      <c r="VKR238" s="10"/>
      <c r="VKS238" s="21"/>
      <c r="VKT238" s="21"/>
      <c r="VKW238" s="21"/>
      <c r="VKX238" s="15"/>
      <c r="VKY238" s="15"/>
      <c r="VKZ238" s="15"/>
      <c r="VLA238" s="15"/>
      <c r="VLB238" s="15"/>
      <c r="VLC238" s="15"/>
      <c r="VLD238" s="15"/>
      <c r="VLE238" s="15"/>
      <c r="VLF238" s="15"/>
      <c r="VLG238" s="15"/>
      <c r="VLH238" s="10"/>
      <c r="VLI238" s="10"/>
      <c r="VLJ238" s="21"/>
      <c r="VLK238" s="21"/>
      <c r="VLN238" s="21"/>
      <c r="VLO238" s="15"/>
      <c r="VLP238" s="15"/>
      <c r="VLQ238" s="15"/>
      <c r="VLR238" s="15"/>
      <c r="VLS238" s="15"/>
      <c r="VLT238" s="15"/>
      <c r="VLU238" s="15"/>
      <c r="VLV238" s="15"/>
      <c r="VLW238" s="15"/>
      <c r="VLX238" s="15"/>
      <c r="VLY238" s="10"/>
      <c r="VLZ238" s="10"/>
      <c r="VMA238" s="21"/>
      <c r="VMB238" s="21"/>
      <c r="VME238" s="21"/>
      <c r="VMF238" s="15"/>
      <c r="VMG238" s="15"/>
      <c r="VMH238" s="15"/>
      <c r="VMI238" s="15"/>
      <c r="VMJ238" s="15"/>
      <c r="VMK238" s="15"/>
      <c r="VML238" s="15"/>
      <c r="VMM238" s="15"/>
      <c r="VMN238" s="15"/>
      <c r="VMO238" s="15"/>
      <c r="VMP238" s="10"/>
      <c r="VMQ238" s="10"/>
      <c r="VMR238" s="21"/>
      <c r="VMS238" s="21"/>
      <c r="VMV238" s="21"/>
      <c r="VMW238" s="15"/>
      <c r="VMX238" s="15"/>
      <c r="VMY238" s="15"/>
      <c r="VMZ238" s="15"/>
      <c r="VNA238" s="15"/>
      <c r="VNB238" s="15"/>
      <c r="VNC238" s="15"/>
      <c r="VND238" s="15"/>
      <c r="VNE238" s="15"/>
      <c r="VNF238" s="15"/>
      <c r="VNG238" s="10"/>
      <c r="VNH238" s="10"/>
      <c r="VNI238" s="21"/>
      <c r="VNJ238" s="21"/>
      <c r="VNM238" s="21"/>
      <c r="VNN238" s="15"/>
      <c r="VNO238" s="15"/>
      <c r="VNP238" s="15"/>
      <c r="VNQ238" s="15"/>
      <c r="VNR238" s="15"/>
      <c r="VNS238" s="15"/>
      <c r="VNT238" s="15"/>
      <c r="VNU238" s="15"/>
      <c r="VNV238" s="15"/>
      <c r="VNW238" s="15"/>
      <c r="VNX238" s="10"/>
      <c r="VNY238" s="10"/>
      <c r="VNZ238" s="21"/>
      <c r="VOA238" s="21"/>
      <c r="VOD238" s="21"/>
      <c r="VOE238" s="15"/>
      <c r="VOF238" s="15"/>
      <c r="VOG238" s="15"/>
      <c r="VOH238" s="15"/>
      <c r="VOI238" s="15"/>
      <c r="VOJ238" s="15"/>
      <c r="VOK238" s="15"/>
      <c r="VOL238" s="15"/>
      <c r="VOM238" s="15"/>
      <c r="VON238" s="15"/>
      <c r="VOO238" s="10"/>
      <c r="VOP238" s="10"/>
      <c r="VOQ238" s="21"/>
      <c r="VOR238" s="21"/>
      <c r="VOU238" s="21"/>
      <c r="VOV238" s="15"/>
      <c r="VOW238" s="15"/>
      <c r="VOX238" s="15"/>
      <c r="VOY238" s="15"/>
      <c r="VOZ238" s="15"/>
      <c r="VPA238" s="15"/>
      <c r="VPB238" s="15"/>
      <c r="VPC238" s="15"/>
      <c r="VPD238" s="15"/>
      <c r="VPE238" s="15"/>
      <c r="VPF238" s="10"/>
      <c r="VPG238" s="10"/>
      <c r="VPH238" s="21"/>
      <c r="VPI238" s="21"/>
      <c r="VPL238" s="21"/>
      <c r="VPM238" s="15"/>
      <c r="VPN238" s="15"/>
      <c r="VPO238" s="15"/>
      <c r="VPP238" s="15"/>
      <c r="VPQ238" s="15"/>
      <c r="VPR238" s="15"/>
      <c r="VPS238" s="15"/>
      <c r="VPT238" s="15"/>
      <c r="VPU238" s="15"/>
      <c r="VPV238" s="15"/>
      <c r="VPW238" s="10"/>
      <c r="VPX238" s="10"/>
      <c r="VPY238" s="21"/>
      <c r="VPZ238" s="21"/>
      <c r="VQC238" s="21"/>
      <c r="VQD238" s="15"/>
      <c r="VQE238" s="15"/>
      <c r="VQF238" s="15"/>
      <c r="VQG238" s="15"/>
      <c r="VQH238" s="15"/>
      <c r="VQI238" s="15"/>
      <c r="VQJ238" s="15"/>
      <c r="VQK238" s="15"/>
      <c r="VQL238" s="15"/>
      <c r="VQM238" s="15"/>
      <c r="VQN238" s="10"/>
      <c r="VQO238" s="10"/>
      <c r="VQP238" s="21"/>
      <c r="VQQ238" s="21"/>
      <c r="VQT238" s="21"/>
      <c r="VQU238" s="15"/>
      <c r="VQV238" s="15"/>
      <c r="VQW238" s="15"/>
      <c r="VQX238" s="15"/>
      <c r="VQY238" s="15"/>
      <c r="VQZ238" s="15"/>
      <c r="VRA238" s="15"/>
      <c r="VRB238" s="15"/>
      <c r="VRC238" s="15"/>
      <c r="VRD238" s="15"/>
      <c r="VRE238" s="10"/>
      <c r="VRF238" s="10"/>
      <c r="VRG238" s="21"/>
      <c r="VRH238" s="21"/>
      <c r="VRK238" s="21"/>
      <c r="VRL238" s="15"/>
      <c r="VRM238" s="15"/>
      <c r="VRN238" s="15"/>
      <c r="VRO238" s="15"/>
      <c r="VRP238" s="15"/>
      <c r="VRQ238" s="15"/>
      <c r="VRR238" s="15"/>
      <c r="VRS238" s="15"/>
      <c r="VRT238" s="15"/>
      <c r="VRU238" s="15"/>
      <c r="VRV238" s="10"/>
      <c r="VRW238" s="10"/>
      <c r="VRX238" s="21"/>
      <c r="VRY238" s="21"/>
      <c r="VSB238" s="21"/>
      <c r="VSC238" s="15"/>
      <c r="VSD238" s="15"/>
      <c r="VSE238" s="15"/>
      <c r="VSF238" s="15"/>
      <c r="VSG238" s="15"/>
      <c r="VSH238" s="15"/>
      <c r="VSI238" s="15"/>
      <c r="VSJ238" s="15"/>
      <c r="VSK238" s="15"/>
      <c r="VSL238" s="15"/>
      <c r="VSM238" s="10"/>
      <c r="VSN238" s="10"/>
      <c r="VSO238" s="21"/>
      <c r="VSP238" s="21"/>
      <c r="VSS238" s="21"/>
      <c r="VST238" s="15"/>
      <c r="VSU238" s="15"/>
      <c r="VSV238" s="15"/>
      <c r="VSW238" s="15"/>
      <c r="VSX238" s="15"/>
      <c r="VSY238" s="15"/>
      <c r="VSZ238" s="15"/>
      <c r="VTA238" s="15"/>
      <c r="VTB238" s="15"/>
      <c r="VTC238" s="15"/>
      <c r="VTD238" s="10"/>
      <c r="VTE238" s="10"/>
      <c r="VTF238" s="21"/>
      <c r="VTG238" s="21"/>
      <c r="VTJ238" s="21"/>
      <c r="VTK238" s="15"/>
      <c r="VTL238" s="15"/>
      <c r="VTM238" s="15"/>
      <c r="VTN238" s="15"/>
      <c r="VTO238" s="15"/>
      <c r="VTP238" s="15"/>
      <c r="VTQ238" s="15"/>
      <c r="VTR238" s="15"/>
      <c r="VTS238" s="15"/>
      <c r="VTT238" s="15"/>
      <c r="VTU238" s="10"/>
      <c r="VTV238" s="10"/>
      <c r="VTW238" s="21"/>
      <c r="VTX238" s="21"/>
      <c r="VUA238" s="21"/>
      <c r="VUB238" s="15"/>
      <c r="VUC238" s="15"/>
      <c r="VUD238" s="15"/>
      <c r="VUE238" s="15"/>
      <c r="VUF238" s="15"/>
      <c r="VUG238" s="15"/>
      <c r="VUH238" s="15"/>
      <c r="VUI238" s="15"/>
      <c r="VUJ238" s="15"/>
      <c r="VUK238" s="15"/>
      <c r="VUL238" s="10"/>
      <c r="VUM238" s="10"/>
      <c r="VUN238" s="21"/>
      <c r="VUO238" s="21"/>
      <c r="VUR238" s="21"/>
      <c r="VUS238" s="15"/>
      <c r="VUT238" s="15"/>
      <c r="VUU238" s="15"/>
      <c r="VUV238" s="15"/>
      <c r="VUW238" s="15"/>
      <c r="VUX238" s="15"/>
      <c r="VUY238" s="15"/>
      <c r="VUZ238" s="15"/>
      <c r="VVA238" s="15"/>
      <c r="VVB238" s="15"/>
      <c r="VVC238" s="10"/>
      <c r="VVD238" s="10"/>
      <c r="VVE238" s="21"/>
      <c r="VVF238" s="21"/>
      <c r="VVI238" s="21"/>
      <c r="VVJ238" s="15"/>
      <c r="VVK238" s="15"/>
      <c r="VVL238" s="15"/>
      <c r="VVM238" s="15"/>
      <c r="VVN238" s="15"/>
      <c r="VVO238" s="15"/>
      <c r="VVP238" s="15"/>
      <c r="VVQ238" s="15"/>
      <c r="VVR238" s="15"/>
      <c r="VVS238" s="15"/>
      <c r="VVT238" s="10"/>
      <c r="VVU238" s="10"/>
      <c r="VVV238" s="21"/>
      <c r="VVW238" s="21"/>
      <c r="VVZ238" s="21"/>
      <c r="VWA238" s="15"/>
      <c r="VWB238" s="15"/>
      <c r="VWC238" s="15"/>
      <c r="VWD238" s="15"/>
      <c r="VWE238" s="15"/>
      <c r="VWF238" s="15"/>
      <c r="VWG238" s="15"/>
      <c r="VWH238" s="15"/>
      <c r="VWI238" s="15"/>
      <c r="VWJ238" s="15"/>
      <c r="VWK238" s="10"/>
      <c r="VWL238" s="10"/>
      <c r="VWM238" s="21"/>
      <c r="VWN238" s="21"/>
      <c r="VWQ238" s="21"/>
      <c r="VWR238" s="15"/>
      <c r="VWS238" s="15"/>
      <c r="VWT238" s="15"/>
      <c r="VWU238" s="15"/>
      <c r="VWV238" s="15"/>
      <c r="VWW238" s="15"/>
      <c r="VWX238" s="15"/>
      <c r="VWY238" s="15"/>
      <c r="VWZ238" s="15"/>
      <c r="VXA238" s="15"/>
      <c r="VXB238" s="10"/>
      <c r="VXC238" s="10"/>
      <c r="VXD238" s="21"/>
      <c r="VXE238" s="21"/>
      <c r="VXH238" s="21"/>
      <c r="VXI238" s="15"/>
      <c r="VXJ238" s="15"/>
      <c r="VXK238" s="15"/>
      <c r="VXL238" s="15"/>
      <c r="VXM238" s="15"/>
      <c r="VXN238" s="15"/>
      <c r="VXO238" s="15"/>
      <c r="VXP238" s="15"/>
      <c r="VXQ238" s="15"/>
      <c r="VXR238" s="15"/>
      <c r="VXS238" s="10"/>
      <c r="VXT238" s="10"/>
      <c r="VXU238" s="21"/>
      <c r="VXV238" s="21"/>
      <c r="VXY238" s="21"/>
      <c r="VXZ238" s="15"/>
      <c r="VYA238" s="15"/>
      <c r="VYB238" s="15"/>
      <c r="VYC238" s="15"/>
      <c r="VYD238" s="15"/>
      <c r="VYE238" s="15"/>
      <c r="VYF238" s="15"/>
      <c r="VYG238" s="15"/>
      <c r="VYH238" s="15"/>
      <c r="VYI238" s="15"/>
      <c r="VYJ238" s="10"/>
      <c r="VYK238" s="10"/>
      <c r="VYL238" s="21"/>
      <c r="VYM238" s="21"/>
      <c r="VYP238" s="21"/>
      <c r="VYQ238" s="15"/>
      <c r="VYR238" s="15"/>
      <c r="VYS238" s="15"/>
      <c r="VYT238" s="15"/>
      <c r="VYU238" s="15"/>
      <c r="VYV238" s="15"/>
      <c r="VYW238" s="15"/>
      <c r="VYX238" s="15"/>
      <c r="VYY238" s="15"/>
      <c r="VYZ238" s="15"/>
      <c r="VZA238" s="10"/>
      <c r="VZB238" s="10"/>
      <c r="VZC238" s="21"/>
      <c r="VZD238" s="21"/>
      <c r="VZG238" s="21"/>
      <c r="VZH238" s="15"/>
      <c r="VZI238" s="15"/>
      <c r="VZJ238" s="15"/>
      <c r="VZK238" s="15"/>
      <c r="VZL238" s="15"/>
      <c r="VZM238" s="15"/>
      <c r="VZN238" s="15"/>
      <c r="VZO238" s="15"/>
      <c r="VZP238" s="15"/>
      <c r="VZQ238" s="15"/>
      <c r="VZR238" s="10"/>
      <c r="VZS238" s="10"/>
      <c r="VZT238" s="21"/>
      <c r="VZU238" s="21"/>
      <c r="VZX238" s="21"/>
      <c r="VZY238" s="15"/>
      <c r="VZZ238" s="15"/>
      <c r="WAA238" s="15"/>
      <c r="WAB238" s="15"/>
      <c r="WAC238" s="15"/>
      <c r="WAD238" s="15"/>
      <c r="WAE238" s="15"/>
      <c r="WAF238" s="15"/>
      <c r="WAG238" s="15"/>
      <c r="WAH238" s="15"/>
      <c r="WAI238" s="10"/>
      <c r="WAJ238" s="10"/>
      <c r="WAK238" s="21"/>
      <c r="WAL238" s="21"/>
      <c r="WAO238" s="21"/>
      <c r="WAP238" s="15"/>
      <c r="WAQ238" s="15"/>
      <c r="WAR238" s="15"/>
      <c r="WAS238" s="15"/>
      <c r="WAT238" s="15"/>
      <c r="WAU238" s="15"/>
      <c r="WAV238" s="15"/>
      <c r="WAW238" s="15"/>
      <c r="WAX238" s="15"/>
      <c r="WAY238" s="15"/>
      <c r="WAZ238" s="10"/>
      <c r="WBA238" s="10"/>
      <c r="WBB238" s="21"/>
      <c r="WBC238" s="21"/>
      <c r="WBF238" s="21"/>
      <c r="WBG238" s="15"/>
      <c r="WBH238" s="15"/>
      <c r="WBI238" s="15"/>
      <c r="WBJ238" s="15"/>
      <c r="WBK238" s="15"/>
      <c r="WBL238" s="15"/>
      <c r="WBM238" s="15"/>
      <c r="WBN238" s="15"/>
      <c r="WBO238" s="15"/>
      <c r="WBP238" s="15"/>
      <c r="WBQ238" s="10"/>
      <c r="WBR238" s="10"/>
      <c r="WBS238" s="21"/>
      <c r="WBT238" s="21"/>
      <c r="WBW238" s="21"/>
      <c r="WBX238" s="15"/>
      <c r="WBY238" s="15"/>
      <c r="WBZ238" s="15"/>
      <c r="WCA238" s="15"/>
      <c r="WCB238" s="15"/>
      <c r="WCC238" s="15"/>
      <c r="WCD238" s="15"/>
      <c r="WCE238" s="15"/>
      <c r="WCF238" s="15"/>
      <c r="WCG238" s="15"/>
      <c r="WCH238" s="10"/>
      <c r="WCI238" s="10"/>
      <c r="WCJ238" s="21"/>
      <c r="WCK238" s="21"/>
      <c r="WCN238" s="21"/>
      <c r="WCO238" s="15"/>
      <c r="WCP238" s="15"/>
      <c r="WCQ238" s="15"/>
      <c r="WCR238" s="15"/>
      <c r="WCS238" s="15"/>
      <c r="WCT238" s="15"/>
      <c r="WCU238" s="15"/>
      <c r="WCV238" s="15"/>
      <c r="WCW238" s="15"/>
      <c r="WCX238" s="15"/>
      <c r="WCY238" s="10"/>
      <c r="WCZ238" s="10"/>
      <c r="WDA238" s="21"/>
      <c r="WDB238" s="21"/>
      <c r="WDE238" s="21"/>
      <c r="WDF238" s="15"/>
      <c r="WDG238" s="15"/>
      <c r="WDH238" s="15"/>
      <c r="WDI238" s="15"/>
      <c r="WDJ238" s="15"/>
      <c r="WDK238" s="15"/>
      <c r="WDL238" s="15"/>
      <c r="WDM238" s="15"/>
      <c r="WDN238" s="15"/>
      <c r="WDO238" s="15"/>
      <c r="WDP238" s="10"/>
      <c r="WDQ238" s="10"/>
      <c r="WDR238" s="21"/>
      <c r="WDS238" s="21"/>
      <c r="WDV238" s="21"/>
      <c r="WDW238" s="15"/>
      <c r="WDX238" s="15"/>
      <c r="WDY238" s="15"/>
      <c r="WDZ238" s="15"/>
      <c r="WEA238" s="15"/>
      <c r="WEB238" s="15"/>
      <c r="WEC238" s="15"/>
      <c r="WED238" s="15"/>
      <c r="WEE238" s="15"/>
      <c r="WEF238" s="15"/>
      <c r="WEG238" s="10"/>
      <c r="WEH238" s="10"/>
      <c r="WEI238" s="21"/>
      <c r="WEJ238" s="21"/>
      <c r="WEM238" s="21"/>
      <c r="WEN238" s="15"/>
      <c r="WEO238" s="15"/>
      <c r="WEP238" s="15"/>
      <c r="WEQ238" s="15"/>
      <c r="WER238" s="15"/>
      <c r="WES238" s="15"/>
      <c r="WET238" s="15"/>
      <c r="WEU238" s="15"/>
      <c r="WEV238" s="15"/>
      <c r="WEW238" s="15"/>
      <c r="WEX238" s="10"/>
      <c r="WEY238" s="10"/>
      <c r="WEZ238" s="21"/>
      <c r="WFA238" s="21"/>
      <c r="WFD238" s="21"/>
      <c r="WFE238" s="15"/>
      <c r="WFF238" s="15"/>
      <c r="WFG238" s="15"/>
      <c r="WFH238" s="15"/>
      <c r="WFI238" s="15"/>
      <c r="WFJ238" s="15"/>
      <c r="WFK238" s="15"/>
      <c r="WFL238" s="15"/>
      <c r="WFM238" s="15"/>
      <c r="WFN238" s="15"/>
      <c r="WFO238" s="10"/>
      <c r="WFP238" s="10"/>
      <c r="WFQ238" s="21"/>
      <c r="WFR238" s="21"/>
      <c r="WFU238" s="21"/>
      <c r="WFV238" s="15"/>
      <c r="WFW238" s="15"/>
      <c r="WFX238" s="15"/>
      <c r="WFY238" s="15"/>
      <c r="WFZ238" s="15"/>
      <c r="WGA238" s="15"/>
      <c r="WGB238" s="15"/>
      <c r="WGC238" s="15"/>
      <c r="WGD238" s="15"/>
      <c r="WGE238" s="15"/>
      <c r="WGF238" s="10"/>
      <c r="WGG238" s="10"/>
      <c r="WGH238" s="21"/>
      <c r="WGI238" s="21"/>
      <c r="WGL238" s="21"/>
      <c r="WGM238" s="15"/>
      <c r="WGN238" s="15"/>
      <c r="WGO238" s="15"/>
      <c r="WGP238" s="15"/>
      <c r="WGQ238" s="15"/>
      <c r="WGR238" s="15"/>
      <c r="WGS238" s="15"/>
      <c r="WGT238" s="15"/>
      <c r="WGU238" s="15"/>
      <c r="WGV238" s="15"/>
      <c r="WGW238" s="10"/>
      <c r="WGX238" s="10"/>
      <c r="WGY238" s="21"/>
      <c r="WGZ238" s="21"/>
      <c r="WHC238" s="21"/>
      <c r="WHD238" s="15"/>
      <c r="WHE238" s="15"/>
      <c r="WHF238" s="15"/>
      <c r="WHG238" s="15"/>
      <c r="WHH238" s="15"/>
      <c r="WHI238" s="15"/>
      <c r="WHJ238" s="15"/>
      <c r="WHK238" s="15"/>
      <c r="WHL238" s="15"/>
      <c r="WHM238" s="15"/>
      <c r="WHN238" s="10"/>
      <c r="WHO238" s="10"/>
      <c r="WHP238" s="21"/>
      <c r="WHQ238" s="21"/>
      <c r="WHT238" s="21"/>
      <c r="WHU238" s="15"/>
      <c r="WHV238" s="15"/>
      <c r="WHW238" s="15"/>
      <c r="WHX238" s="15"/>
      <c r="WHY238" s="15"/>
      <c r="WHZ238" s="15"/>
      <c r="WIA238" s="15"/>
      <c r="WIB238" s="15"/>
      <c r="WIC238" s="15"/>
      <c r="WID238" s="15"/>
      <c r="WIE238" s="10"/>
      <c r="WIF238" s="10"/>
      <c r="WIG238" s="21"/>
      <c r="WIH238" s="21"/>
      <c r="WIK238" s="21"/>
      <c r="WIL238" s="15"/>
      <c r="WIM238" s="15"/>
      <c r="WIN238" s="15"/>
      <c r="WIO238" s="15"/>
      <c r="WIP238" s="15"/>
      <c r="WIQ238" s="15"/>
      <c r="WIR238" s="15"/>
      <c r="WIS238" s="15"/>
      <c r="WIT238" s="15"/>
      <c r="WIU238" s="15"/>
      <c r="WIV238" s="10"/>
      <c r="WIW238" s="10"/>
      <c r="WIX238" s="21"/>
      <c r="WIY238" s="21"/>
      <c r="WJB238" s="21"/>
      <c r="WJC238" s="15"/>
      <c r="WJD238" s="15"/>
      <c r="WJE238" s="15"/>
      <c r="WJF238" s="15"/>
      <c r="WJG238" s="15"/>
      <c r="WJH238" s="15"/>
      <c r="WJI238" s="15"/>
      <c r="WJJ238" s="15"/>
      <c r="WJK238" s="15"/>
      <c r="WJL238" s="15"/>
      <c r="WJM238" s="10"/>
      <c r="WJN238" s="10"/>
      <c r="WJO238" s="21"/>
      <c r="WJP238" s="21"/>
      <c r="WJS238" s="21"/>
      <c r="WJT238" s="15"/>
      <c r="WJU238" s="15"/>
      <c r="WJV238" s="15"/>
      <c r="WJW238" s="15"/>
      <c r="WJX238" s="15"/>
      <c r="WJY238" s="15"/>
      <c r="WJZ238" s="15"/>
      <c r="WKA238" s="15"/>
      <c r="WKB238" s="15"/>
      <c r="WKC238" s="15"/>
      <c r="WKD238" s="10"/>
      <c r="WKE238" s="10"/>
      <c r="WKF238" s="21"/>
      <c r="WKG238" s="21"/>
      <c r="WKJ238" s="21"/>
      <c r="WKK238" s="15"/>
      <c r="WKL238" s="15"/>
      <c r="WKM238" s="15"/>
      <c r="WKN238" s="15"/>
      <c r="WKO238" s="15"/>
      <c r="WKP238" s="15"/>
      <c r="WKQ238" s="15"/>
      <c r="WKR238" s="15"/>
      <c r="WKS238" s="15"/>
      <c r="WKT238" s="15"/>
      <c r="WKU238" s="10"/>
      <c r="WKV238" s="10"/>
      <c r="WKW238" s="21"/>
      <c r="WKX238" s="21"/>
      <c r="WLA238" s="21"/>
      <c r="WLB238" s="15"/>
      <c r="WLC238" s="15"/>
      <c r="WLD238" s="15"/>
      <c r="WLE238" s="15"/>
      <c r="WLF238" s="15"/>
      <c r="WLG238" s="15"/>
      <c r="WLH238" s="15"/>
      <c r="WLI238" s="15"/>
      <c r="WLJ238" s="15"/>
      <c r="WLK238" s="15"/>
      <c r="WLL238" s="10"/>
      <c r="WLM238" s="10"/>
      <c r="WLN238" s="21"/>
      <c r="WLO238" s="21"/>
      <c r="WLR238" s="21"/>
      <c r="WLS238" s="15"/>
      <c r="WLT238" s="15"/>
      <c r="WLU238" s="15"/>
      <c r="WLV238" s="15"/>
      <c r="WLW238" s="15"/>
      <c r="WLX238" s="15"/>
      <c r="WLY238" s="15"/>
      <c r="WLZ238" s="15"/>
      <c r="WMA238" s="15"/>
      <c r="WMB238" s="15"/>
      <c r="WMC238" s="10"/>
      <c r="WMD238" s="10"/>
      <c r="WME238" s="21"/>
      <c r="WMF238" s="21"/>
      <c r="WMI238" s="21"/>
      <c r="WMJ238" s="15"/>
      <c r="WMK238" s="15"/>
      <c r="WML238" s="15"/>
      <c r="WMM238" s="15"/>
      <c r="WMN238" s="15"/>
      <c r="WMO238" s="15"/>
      <c r="WMP238" s="15"/>
      <c r="WMQ238" s="15"/>
      <c r="WMR238" s="15"/>
      <c r="WMS238" s="15"/>
      <c r="WMT238" s="10"/>
      <c r="WMU238" s="10"/>
      <c r="WMV238" s="21"/>
      <c r="WMW238" s="21"/>
      <c r="WMZ238" s="21"/>
      <c r="WNA238" s="15"/>
      <c r="WNB238" s="15"/>
      <c r="WNC238" s="15"/>
      <c r="WND238" s="15"/>
      <c r="WNE238" s="15"/>
      <c r="WNF238" s="15"/>
      <c r="WNG238" s="15"/>
      <c r="WNH238" s="15"/>
      <c r="WNI238" s="15"/>
      <c r="WNJ238" s="15"/>
      <c r="WNK238" s="10"/>
      <c r="WNL238" s="10"/>
      <c r="WNM238" s="21"/>
      <c r="WNN238" s="21"/>
      <c r="WNQ238" s="21"/>
      <c r="WNR238" s="15"/>
      <c r="WNS238" s="15"/>
      <c r="WNT238" s="15"/>
      <c r="WNU238" s="15"/>
      <c r="WNV238" s="15"/>
      <c r="WNW238" s="15"/>
      <c r="WNX238" s="15"/>
      <c r="WNY238" s="15"/>
      <c r="WNZ238" s="15"/>
      <c r="WOA238" s="15"/>
      <c r="WOB238" s="10"/>
      <c r="WOC238" s="10"/>
      <c r="WOD238" s="21"/>
      <c r="WOE238" s="21"/>
      <c r="WOH238" s="21"/>
      <c r="WOI238" s="15"/>
      <c r="WOJ238" s="15"/>
      <c r="WOK238" s="15"/>
      <c r="WOL238" s="15"/>
      <c r="WOM238" s="15"/>
      <c r="WON238" s="15"/>
      <c r="WOO238" s="15"/>
      <c r="WOP238" s="15"/>
      <c r="WOQ238" s="15"/>
      <c r="WOR238" s="15"/>
      <c r="WOS238" s="10"/>
      <c r="WOT238" s="10"/>
      <c r="WOU238" s="21"/>
      <c r="WOV238" s="21"/>
      <c r="WOY238" s="21"/>
      <c r="WOZ238" s="15"/>
      <c r="WPA238" s="15"/>
      <c r="WPB238" s="15"/>
      <c r="WPC238" s="15"/>
      <c r="WPD238" s="15"/>
      <c r="WPE238" s="15"/>
      <c r="WPF238" s="15"/>
      <c r="WPG238" s="15"/>
      <c r="WPH238" s="15"/>
      <c r="WPI238" s="15"/>
      <c r="WPJ238" s="10"/>
      <c r="WPK238" s="10"/>
      <c r="WPL238" s="21"/>
      <c r="WPM238" s="21"/>
      <c r="WPP238" s="21"/>
      <c r="WPQ238" s="15"/>
      <c r="WPR238" s="15"/>
      <c r="WPS238" s="15"/>
      <c r="WPT238" s="15"/>
      <c r="WPU238" s="15"/>
      <c r="WPV238" s="15"/>
      <c r="WPW238" s="15"/>
      <c r="WPX238" s="15"/>
      <c r="WPY238" s="15"/>
      <c r="WPZ238" s="15"/>
      <c r="WQA238" s="10"/>
      <c r="WQB238" s="10"/>
      <c r="WQC238" s="21"/>
      <c r="WQD238" s="21"/>
      <c r="WQG238" s="21"/>
      <c r="WQH238" s="15"/>
      <c r="WQI238" s="15"/>
      <c r="WQJ238" s="15"/>
      <c r="WQK238" s="15"/>
      <c r="WQL238" s="15"/>
      <c r="WQM238" s="15"/>
      <c r="WQN238" s="15"/>
      <c r="WQO238" s="15"/>
      <c r="WQP238" s="15"/>
      <c r="WQQ238" s="15"/>
      <c r="WQR238" s="10"/>
      <c r="WQS238" s="10"/>
      <c r="WQT238" s="21"/>
      <c r="WQU238" s="21"/>
      <c r="WQX238" s="21"/>
      <c r="WQY238" s="15"/>
      <c r="WQZ238" s="15"/>
      <c r="WRA238" s="15"/>
      <c r="WRB238" s="15"/>
      <c r="WRC238" s="15"/>
      <c r="WRD238" s="15"/>
      <c r="WRE238" s="15"/>
      <c r="WRF238" s="15"/>
      <c r="WRG238" s="15"/>
      <c r="WRH238" s="15"/>
      <c r="WRI238" s="10"/>
      <c r="WRJ238" s="10"/>
      <c r="WRK238" s="21"/>
      <c r="WRL238" s="21"/>
      <c r="WRO238" s="21"/>
      <c r="WRP238" s="15"/>
      <c r="WRQ238" s="15"/>
      <c r="WRR238" s="15"/>
      <c r="WRS238" s="15"/>
      <c r="WRT238" s="15"/>
      <c r="WRU238" s="15"/>
      <c r="WRV238" s="15"/>
      <c r="WRW238" s="15"/>
      <c r="WRX238" s="15"/>
      <c r="WRY238" s="15"/>
      <c r="WRZ238" s="10"/>
      <c r="WSA238" s="10"/>
      <c r="WSB238" s="21"/>
      <c r="WSC238" s="21"/>
      <c r="WSF238" s="21"/>
      <c r="WSG238" s="15"/>
      <c r="WSH238" s="15"/>
      <c r="WSI238" s="15"/>
      <c r="WSJ238" s="15"/>
      <c r="WSK238" s="15"/>
      <c r="WSL238" s="15"/>
      <c r="WSM238" s="15"/>
      <c r="WSN238" s="15"/>
      <c r="WSO238" s="15"/>
      <c r="WSP238" s="15"/>
      <c r="WSQ238" s="10"/>
      <c r="WSR238" s="10"/>
      <c r="WSS238" s="21"/>
      <c r="WST238" s="21"/>
      <c r="WSW238" s="21"/>
      <c r="WSX238" s="15"/>
      <c r="WSY238" s="15"/>
      <c r="WSZ238" s="15"/>
      <c r="WTA238" s="15"/>
      <c r="WTB238" s="15"/>
      <c r="WTC238" s="15"/>
      <c r="WTD238" s="15"/>
      <c r="WTE238" s="15"/>
      <c r="WTF238" s="15"/>
      <c r="WTG238" s="15"/>
      <c r="WTH238" s="10"/>
      <c r="WTI238" s="10"/>
      <c r="WTJ238" s="21"/>
      <c r="WTK238" s="21"/>
      <c r="WTN238" s="21"/>
      <c r="WTO238" s="15"/>
      <c r="WTP238" s="15"/>
      <c r="WTQ238" s="15"/>
      <c r="WTR238" s="15"/>
      <c r="WTS238" s="15"/>
      <c r="WTT238" s="15"/>
      <c r="WTU238" s="15"/>
      <c r="WTV238" s="15"/>
      <c r="WTW238" s="15"/>
      <c r="WTX238" s="15"/>
      <c r="WTY238" s="10"/>
      <c r="WTZ238" s="10"/>
      <c r="WUA238" s="21"/>
      <c r="WUB238" s="21"/>
      <c r="WUE238" s="21"/>
      <c r="WUF238" s="15"/>
      <c r="WUG238" s="15"/>
      <c r="WUH238" s="15"/>
      <c r="WUI238" s="15"/>
      <c r="WUJ238" s="15"/>
      <c r="WUK238" s="15"/>
      <c r="WUL238" s="15"/>
      <c r="WUM238" s="15"/>
      <c r="WUN238" s="15"/>
      <c r="WUO238" s="15"/>
      <c r="WUP238" s="10"/>
      <c r="WUQ238" s="10"/>
      <c r="WUR238" s="21"/>
      <c r="WUS238" s="21"/>
      <c r="WUV238" s="21"/>
      <c r="WUW238" s="15"/>
      <c r="WUX238" s="15"/>
      <c r="WUY238" s="15"/>
      <c r="WUZ238" s="15"/>
      <c r="WVA238" s="15"/>
      <c r="WVB238" s="15"/>
      <c r="WVC238" s="15"/>
      <c r="WVD238" s="15"/>
      <c r="WVE238" s="15"/>
      <c r="WVF238" s="15"/>
      <c r="WVG238" s="10"/>
      <c r="WVH238" s="10"/>
      <c r="WVI238" s="21"/>
      <c r="WVJ238" s="21"/>
      <c r="WVM238" s="21"/>
      <c r="WVN238" s="15"/>
      <c r="WVO238" s="15"/>
      <c r="WVP238" s="15"/>
      <c r="WVQ238" s="15"/>
      <c r="WVR238" s="15"/>
      <c r="WVS238" s="15"/>
      <c r="WVT238" s="15"/>
      <c r="WVU238" s="15"/>
      <c r="WVV238" s="15"/>
      <c r="WVW238" s="15"/>
      <c r="WVX238" s="10"/>
      <c r="WVY238" s="10"/>
      <c r="WVZ238" s="21"/>
      <c r="WWA238" s="21"/>
      <c r="WWD238" s="21"/>
      <c r="WWE238" s="15"/>
      <c r="WWF238" s="15"/>
      <c r="WWG238" s="15"/>
      <c r="WWH238" s="15"/>
      <c r="WWI238" s="15"/>
      <c r="WWJ238" s="15"/>
      <c r="WWK238" s="15"/>
      <c r="WWL238" s="15"/>
      <c r="WWM238" s="15"/>
      <c r="WWN238" s="15"/>
      <c r="WWO238" s="10"/>
      <c r="WWP238" s="10"/>
      <c r="WWQ238" s="21"/>
      <c r="WWR238" s="21"/>
      <c r="WWU238" s="21"/>
      <c r="WWV238" s="15"/>
      <c r="WWW238" s="15"/>
      <c r="WWX238" s="15"/>
      <c r="WWY238" s="15"/>
      <c r="WWZ238" s="15"/>
      <c r="WXA238" s="15"/>
      <c r="WXB238" s="15"/>
      <c r="WXC238" s="15"/>
      <c r="WXD238" s="15"/>
      <c r="WXE238" s="15"/>
      <c r="WXF238" s="10"/>
      <c r="WXG238" s="10"/>
      <c r="WXH238" s="21"/>
      <c r="WXI238" s="21"/>
      <c r="WXL238" s="21"/>
      <c r="WXM238" s="15"/>
      <c r="WXN238" s="15"/>
      <c r="WXO238" s="15"/>
      <c r="WXP238" s="15"/>
      <c r="WXQ238" s="15"/>
      <c r="WXR238" s="15"/>
      <c r="WXS238" s="15"/>
      <c r="WXT238" s="15"/>
      <c r="WXU238" s="15"/>
      <c r="WXV238" s="15"/>
      <c r="WXW238" s="10"/>
      <c r="WXX238" s="10"/>
      <c r="WXY238" s="21"/>
      <c r="WXZ238" s="21"/>
      <c r="WYC238" s="21"/>
      <c r="WYD238" s="15"/>
      <c r="WYE238" s="15"/>
      <c r="WYF238" s="15"/>
      <c r="WYG238" s="15"/>
      <c r="WYH238" s="15"/>
      <c r="WYI238" s="15"/>
      <c r="WYJ238" s="15"/>
      <c r="WYK238" s="15"/>
      <c r="WYL238" s="15"/>
      <c r="WYM238" s="15"/>
      <c r="WYN238" s="10"/>
      <c r="WYO238" s="10"/>
      <c r="WYP238" s="21"/>
      <c r="WYQ238" s="21"/>
      <c r="WYT238" s="21"/>
      <c r="WYU238" s="15"/>
      <c r="WYV238" s="15"/>
      <c r="WYW238" s="15"/>
      <c r="WYX238" s="15"/>
      <c r="WYY238" s="15"/>
      <c r="WYZ238" s="15"/>
      <c r="WZA238" s="15"/>
      <c r="WZB238" s="15"/>
      <c r="WZC238" s="15"/>
      <c r="WZD238" s="15"/>
      <c r="WZE238" s="10"/>
      <c r="WZF238" s="10"/>
      <c r="WZG238" s="21"/>
      <c r="WZH238" s="21"/>
      <c r="WZK238" s="21"/>
      <c r="WZL238" s="15"/>
      <c r="WZM238" s="15"/>
      <c r="WZN238" s="15"/>
      <c r="WZO238" s="15"/>
      <c r="WZP238" s="15"/>
      <c r="WZQ238" s="15"/>
      <c r="WZR238" s="15"/>
      <c r="WZS238" s="15"/>
      <c r="WZT238" s="15"/>
      <c r="WZU238" s="15"/>
      <c r="WZV238" s="10"/>
      <c r="WZW238" s="10"/>
      <c r="WZX238" s="21"/>
      <c r="WZY238" s="21"/>
      <c r="XAB238" s="21"/>
      <c r="XAC238" s="15"/>
      <c r="XAD238" s="15"/>
      <c r="XAE238" s="15"/>
      <c r="XAF238" s="15"/>
      <c r="XAG238" s="15"/>
      <c r="XAH238" s="15"/>
      <c r="XAI238" s="15"/>
      <c r="XAJ238" s="15"/>
      <c r="XAK238" s="15"/>
      <c r="XAL238" s="15"/>
      <c r="XAM238" s="10"/>
      <c r="XAN238" s="10"/>
      <c r="XAO238" s="21"/>
      <c r="XAP238" s="21"/>
      <c r="XAS238" s="21"/>
      <c r="XAT238" s="15"/>
      <c r="XAU238" s="15"/>
      <c r="XAV238" s="15"/>
      <c r="XAW238" s="15"/>
      <c r="XAX238" s="15"/>
      <c r="XAY238" s="15"/>
      <c r="XAZ238" s="15"/>
      <c r="XBA238" s="15"/>
      <c r="XBB238" s="15"/>
      <c r="XBC238" s="15"/>
      <c r="XBD238" s="10"/>
      <c r="XBE238" s="10"/>
      <c r="XBF238" s="21"/>
      <c r="XBG238" s="21"/>
      <c r="XBJ238" s="21"/>
      <c r="XBK238" s="15"/>
      <c r="XBL238" s="15"/>
      <c r="XBM238" s="15"/>
      <c r="XBN238" s="15"/>
      <c r="XBO238" s="15"/>
      <c r="XBP238" s="15"/>
      <c r="XBQ238" s="15"/>
      <c r="XBR238" s="15"/>
      <c r="XBS238" s="15"/>
      <c r="XBT238" s="15"/>
      <c r="XBU238" s="10"/>
      <c r="XBV238" s="10"/>
      <c r="XBW238" s="21"/>
      <c r="XBX238" s="21"/>
      <c r="XCA238" s="21"/>
      <c r="XCB238" s="15"/>
      <c r="XCC238" s="15"/>
      <c r="XCD238" s="15"/>
      <c r="XCE238" s="15"/>
      <c r="XCF238" s="15"/>
      <c r="XCG238" s="15"/>
      <c r="XCH238" s="15"/>
      <c r="XCI238" s="15"/>
      <c r="XCJ238" s="15"/>
      <c r="XCK238" s="15"/>
      <c r="XCL238" s="10"/>
      <c r="XCM238" s="10"/>
      <c r="XCN238" s="21"/>
      <c r="XCO238" s="21"/>
      <c r="XCR238" s="21"/>
      <c r="XCS238" s="15"/>
      <c r="XCT238" s="15"/>
      <c r="XCU238" s="15"/>
      <c r="XCV238" s="15"/>
      <c r="XCW238" s="15"/>
      <c r="XCX238" s="15"/>
      <c r="XCY238" s="15"/>
      <c r="XCZ238" s="15"/>
      <c r="XDA238" s="15"/>
      <c r="XDB238" s="15"/>
      <c r="XDC238" s="10"/>
      <c r="XDD238" s="10"/>
      <c r="XDE238" s="21"/>
      <c r="XDF238" s="21"/>
      <c r="XDI238" s="21"/>
      <c r="XDJ238" s="15"/>
      <c r="XDK238" s="15"/>
      <c r="XDL238" s="15"/>
      <c r="XDM238" s="15"/>
      <c r="XDN238" s="15"/>
      <c r="XDO238" s="15"/>
      <c r="XDP238" s="15"/>
      <c r="XDQ238" s="15"/>
      <c r="XDR238" s="15"/>
      <c r="XDS238" s="15"/>
      <c r="XDT238" s="10"/>
      <c r="XDU238" s="10"/>
      <c r="XDV238" s="21"/>
      <c r="XDW238" s="21"/>
      <c r="XDZ238" s="21"/>
      <c r="XEA238" s="15"/>
      <c r="XEB238" s="15"/>
      <c r="XEC238" s="15"/>
      <c r="XED238" s="15"/>
      <c r="XEE238" s="15"/>
      <c r="XEF238" s="15"/>
      <c r="XEG238" s="15"/>
      <c r="XEH238" s="15"/>
      <c r="XEI238" s="15"/>
      <c r="XEJ238" s="15"/>
      <c r="XEK238" s="10"/>
      <c r="XEL238" s="10"/>
      <c r="XEM238" s="21"/>
      <c r="XEN238" s="21"/>
      <c r="XEQ238" s="21"/>
      <c r="XER238" s="15"/>
      <c r="XES238" s="15"/>
      <c r="XET238" s="15"/>
      <c r="XEU238" s="15"/>
      <c r="XEV238" s="15"/>
      <c r="XEW238" s="15"/>
      <c r="XEX238" s="15"/>
      <c r="XEY238" s="15"/>
      <c r="XEZ238" s="15"/>
      <c r="XFA238" s="15"/>
      <c r="XFB238" s="10"/>
      <c r="XFC238" s="10"/>
      <c r="XFD238" s="21"/>
    </row>
    <row r="239" spans="1:4094 4097:8191 8194:12288 12291:16384" ht="14.25" customHeight="1" x14ac:dyDescent="0.25">
      <c r="A239" s="31">
        <v>0</v>
      </c>
      <c r="B239" s="31">
        <v>1</v>
      </c>
      <c r="C239" s="31">
        <v>6</v>
      </c>
      <c r="D239" s="32" t="s">
        <v>517</v>
      </c>
      <c r="E239" s="32" t="s">
        <v>166</v>
      </c>
      <c r="F239" s="32" t="s">
        <v>518</v>
      </c>
      <c r="G239" s="32" t="s">
        <v>519</v>
      </c>
      <c r="H239" s="32" t="s">
        <v>352</v>
      </c>
      <c r="I239" s="31" t="s">
        <v>520</v>
      </c>
      <c r="J239" s="31">
        <v>99</v>
      </c>
      <c r="K239" s="33" t="s">
        <v>698</v>
      </c>
      <c r="L239" s="33">
        <v>40</v>
      </c>
      <c r="M239" s="34" t="s">
        <v>959</v>
      </c>
      <c r="N239" s="34" t="s">
        <v>1823</v>
      </c>
      <c r="O239" s="35">
        <v>1</v>
      </c>
      <c r="P239" s="35"/>
      <c r="Q239" s="32"/>
      <c r="S239" s="1">
        <f t="shared" si="115"/>
        <v>0</v>
      </c>
      <c r="T239" s="1">
        <f t="shared" si="116"/>
        <v>0</v>
      </c>
      <c r="U239" s="1">
        <f t="shared" si="117"/>
        <v>0</v>
      </c>
      <c r="V239" s="1">
        <f t="shared" si="118"/>
        <v>0</v>
      </c>
      <c r="W239" s="1">
        <f t="shared" si="119"/>
        <v>0</v>
      </c>
      <c r="X239" s="1">
        <f t="shared" si="120"/>
        <v>0</v>
      </c>
      <c r="Y239" s="1">
        <f t="shared" si="121"/>
        <v>0</v>
      </c>
      <c r="Z239" s="1">
        <f t="shared" si="122"/>
        <v>0</v>
      </c>
      <c r="AA239" s="1">
        <f t="shared" si="123"/>
        <v>0</v>
      </c>
      <c r="AB239" s="1">
        <f t="shared" si="124"/>
        <v>0</v>
      </c>
      <c r="AD239" s="1">
        <f t="shared" si="125"/>
        <v>0</v>
      </c>
      <c r="AE239" s="1">
        <f t="shared" si="126"/>
        <v>1</v>
      </c>
      <c r="AF239" s="1">
        <f t="shared" si="111"/>
        <v>0</v>
      </c>
      <c r="AG239" s="1">
        <f t="shared" si="112"/>
        <v>1</v>
      </c>
      <c r="AH239" s="1">
        <f t="shared" si="113"/>
        <v>0</v>
      </c>
      <c r="AI239" s="1">
        <f t="shared" si="114"/>
        <v>1</v>
      </c>
    </row>
    <row r="240" spans="1:4094 4097:8191 8194:12288 12291:16384" ht="13.9" customHeight="1" x14ac:dyDescent="0.25">
      <c r="A240" s="38">
        <v>0</v>
      </c>
      <c r="B240" s="38">
        <v>1</v>
      </c>
      <c r="C240" s="38">
        <v>6</v>
      </c>
      <c r="D240" s="39" t="s">
        <v>1811</v>
      </c>
      <c r="E240" s="39" t="s">
        <v>1812</v>
      </c>
      <c r="F240" s="39" t="s">
        <v>1813</v>
      </c>
      <c r="G240" s="39"/>
      <c r="H240" s="39" t="s">
        <v>352</v>
      </c>
      <c r="I240" s="38" t="s">
        <v>1814</v>
      </c>
      <c r="J240" s="38"/>
      <c r="K240" s="40" t="s">
        <v>699</v>
      </c>
      <c r="L240" s="40"/>
      <c r="M240" s="41"/>
      <c r="N240" s="42"/>
      <c r="O240" s="43"/>
      <c r="P240" s="43">
        <v>1</v>
      </c>
      <c r="Q240" s="39"/>
      <c r="S240" s="1">
        <f t="shared" si="115"/>
        <v>0</v>
      </c>
      <c r="T240" s="1">
        <f t="shared" si="116"/>
        <v>0</v>
      </c>
      <c r="U240" s="1">
        <f t="shared" si="117"/>
        <v>0</v>
      </c>
      <c r="V240" s="1">
        <f t="shared" si="118"/>
        <v>0</v>
      </c>
      <c r="W240" s="1">
        <f t="shared" si="119"/>
        <v>0</v>
      </c>
      <c r="X240" s="1">
        <f t="shared" si="120"/>
        <v>0</v>
      </c>
      <c r="Y240" s="1">
        <f t="shared" si="121"/>
        <v>0</v>
      </c>
      <c r="Z240" s="1">
        <f t="shared" si="122"/>
        <v>0</v>
      </c>
      <c r="AA240" s="1">
        <f t="shared" si="123"/>
        <v>0</v>
      </c>
      <c r="AB240" s="1">
        <f t="shared" si="124"/>
        <v>0</v>
      </c>
      <c r="AD240" s="1">
        <f t="shared" si="125"/>
        <v>0</v>
      </c>
      <c r="AE240" s="1">
        <f t="shared" si="126"/>
        <v>0</v>
      </c>
      <c r="AF240" s="1">
        <f t="shared" si="111"/>
        <v>0</v>
      </c>
      <c r="AG240" s="1">
        <f t="shared" si="112"/>
        <v>0</v>
      </c>
      <c r="AH240" s="1">
        <f t="shared" si="113"/>
        <v>1</v>
      </c>
      <c r="AI240" s="1">
        <f t="shared" si="114"/>
        <v>0</v>
      </c>
    </row>
    <row r="241" spans="1:35" ht="14.25" customHeight="1" x14ac:dyDescent="0.25">
      <c r="A241" s="31">
        <v>0</v>
      </c>
      <c r="B241" s="31">
        <v>1</v>
      </c>
      <c r="C241" s="31">
        <v>6</v>
      </c>
      <c r="D241" s="32" t="s">
        <v>2064</v>
      </c>
      <c r="E241" s="32" t="s">
        <v>166</v>
      </c>
      <c r="F241" s="32" t="s">
        <v>2065</v>
      </c>
      <c r="G241" s="32"/>
      <c r="H241" s="32" t="s">
        <v>352</v>
      </c>
      <c r="I241" s="31" t="s">
        <v>2066</v>
      </c>
      <c r="J241" s="31"/>
      <c r="K241" s="33" t="s">
        <v>699</v>
      </c>
      <c r="L241" s="33"/>
      <c r="M241" s="34"/>
      <c r="N241" s="34" t="s">
        <v>1722</v>
      </c>
      <c r="O241" s="35">
        <v>1</v>
      </c>
      <c r="P241" s="35"/>
      <c r="Q241" s="32" t="s">
        <v>2067</v>
      </c>
      <c r="S241" s="1">
        <f t="shared" si="115"/>
        <v>0</v>
      </c>
      <c r="T241" s="1">
        <f t="shared" si="116"/>
        <v>0</v>
      </c>
      <c r="U241" s="1">
        <f t="shared" si="117"/>
        <v>0</v>
      </c>
      <c r="V241" s="1">
        <f t="shared" si="118"/>
        <v>0</v>
      </c>
      <c r="W241" s="1">
        <f t="shared" si="119"/>
        <v>0</v>
      </c>
      <c r="X241" s="1">
        <f t="shared" si="120"/>
        <v>0</v>
      </c>
      <c r="Y241" s="1">
        <f t="shared" si="121"/>
        <v>0</v>
      </c>
      <c r="Z241" s="1">
        <f t="shared" si="122"/>
        <v>0</v>
      </c>
      <c r="AA241" s="1">
        <f t="shared" si="123"/>
        <v>0</v>
      </c>
      <c r="AB241" s="1">
        <f t="shared" si="124"/>
        <v>0</v>
      </c>
      <c r="AD241" s="1">
        <f t="shared" si="125"/>
        <v>0</v>
      </c>
      <c r="AE241" s="1">
        <f t="shared" si="126"/>
        <v>1</v>
      </c>
      <c r="AF241" s="1">
        <f t="shared" si="111"/>
        <v>0</v>
      </c>
      <c r="AG241" s="1">
        <f t="shared" si="112"/>
        <v>1</v>
      </c>
      <c r="AH241" s="1">
        <f t="shared" si="113"/>
        <v>0</v>
      </c>
      <c r="AI241" s="1">
        <f t="shared" si="114"/>
        <v>1</v>
      </c>
    </row>
    <row r="242" spans="1:35" ht="13.9" customHeight="1" x14ac:dyDescent="0.25">
      <c r="A242" s="31">
        <v>0</v>
      </c>
      <c r="B242" s="31">
        <v>1</v>
      </c>
      <c r="C242" s="31">
        <v>6</v>
      </c>
      <c r="D242" s="32" t="s">
        <v>1455</v>
      </c>
      <c r="E242" s="32" t="s">
        <v>166</v>
      </c>
      <c r="F242" s="32" t="s">
        <v>1457</v>
      </c>
      <c r="G242" s="32" t="s">
        <v>1458</v>
      </c>
      <c r="H242" s="32" t="s">
        <v>352</v>
      </c>
      <c r="I242" s="31" t="s">
        <v>1456</v>
      </c>
      <c r="J242" s="31">
        <v>99</v>
      </c>
      <c r="K242" s="33" t="s">
        <v>699</v>
      </c>
      <c r="L242" s="33">
        <v>62</v>
      </c>
      <c r="M242" s="34"/>
      <c r="N242" s="34" t="s">
        <v>1723</v>
      </c>
      <c r="O242" s="35">
        <v>1</v>
      </c>
      <c r="P242" s="35"/>
      <c r="Q242" s="32"/>
      <c r="S242" s="1">
        <f t="shared" si="115"/>
        <v>0</v>
      </c>
      <c r="T242" s="1">
        <f t="shared" si="116"/>
        <v>0</v>
      </c>
      <c r="U242" s="1">
        <f t="shared" si="117"/>
        <v>0</v>
      </c>
      <c r="V242" s="1">
        <f t="shared" si="118"/>
        <v>0</v>
      </c>
      <c r="W242" s="1">
        <f t="shared" si="119"/>
        <v>0</v>
      </c>
      <c r="X242" s="1">
        <f t="shared" si="120"/>
        <v>0</v>
      </c>
      <c r="Y242" s="1">
        <f t="shared" si="121"/>
        <v>0</v>
      </c>
      <c r="Z242" s="1">
        <f t="shared" si="122"/>
        <v>0</v>
      </c>
      <c r="AA242" s="1">
        <f t="shared" si="123"/>
        <v>0</v>
      </c>
      <c r="AB242" s="1">
        <f t="shared" si="124"/>
        <v>0</v>
      </c>
      <c r="AD242" s="1">
        <f t="shared" si="125"/>
        <v>0</v>
      </c>
      <c r="AE242" s="1">
        <f t="shared" si="126"/>
        <v>1</v>
      </c>
      <c r="AF242" s="1">
        <f t="shared" si="111"/>
        <v>0</v>
      </c>
      <c r="AG242" s="1">
        <f t="shared" si="112"/>
        <v>1</v>
      </c>
      <c r="AH242" s="1">
        <f t="shared" si="113"/>
        <v>0</v>
      </c>
      <c r="AI242" s="1">
        <f t="shared" si="114"/>
        <v>1</v>
      </c>
    </row>
    <row r="243" spans="1:35" ht="14.25" customHeight="1" x14ac:dyDescent="0.25">
      <c r="A243" s="31">
        <v>0</v>
      </c>
      <c r="B243" s="31">
        <v>1</v>
      </c>
      <c r="C243" s="31">
        <v>6</v>
      </c>
      <c r="D243" s="32" t="s">
        <v>1177</v>
      </c>
      <c r="E243" s="32" t="s">
        <v>164</v>
      </c>
      <c r="F243" s="32" t="s">
        <v>1644</v>
      </c>
      <c r="G243" s="32" t="s">
        <v>212</v>
      </c>
      <c r="H243" s="32" t="s">
        <v>352</v>
      </c>
      <c r="I243" s="31" t="s">
        <v>1178</v>
      </c>
      <c r="J243" s="31">
        <v>1</v>
      </c>
      <c r="K243" s="33" t="s">
        <v>949</v>
      </c>
      <c r="L243" s="33" t="s">
        <v>683</v>
      </c>
      <c r="M243" s="34" t="s">
        <v>1546</v>
      </c>
      <c r="N243" s="34" t="s">
        <v>1729</v>
      </c>
      <c r="O243" s="35">
        <v>1</v>
      </c>
      <c r="P243" s="35"/>
      <c r="Q243" s="32"/>
      <c r="S243" s="1">
        <f t="shared" si="115"/>
        <v>1</v>
      </c>
      <c r="T243" s="1">
        <f t="shared" si="116"/>
        <v>0</v>
      </c>
      <c r="U243" s="1">
        <f t="shared" si="117"/>
        <v>0</v>
      </c>
      <c r="V243" s="1">
        <f t="shared" si="118"/>
        <v>0</v>
      </c>
      <c r="W243" s="1">
        <f t="shared" si="119"/>
        <v>0</v>
      </c>
      <c r="X243" s="1">
        <f t="shared" si="120"/>
        <v>0</v>
      </c>
      <c r="Y243" s="1">
        <f t="shared" si="121"/>
        <v>0</v>
      </c>
      <c r="Z243" s="1">
        <f t="shared" si="122"/>
        <v>0</v>
      </c>
      <c r="AA243" s="1">
        <f t="shared" si="123"/>
        <v>0</v>
      </c>
      <c r="AB243" s="1">
        <f t="shared" si="124"/>
        <v>0</v>
      </c>
      <c r="AD243" s="1">
        <f t="shared" si="125"/>
        <v>0</v>
      </c>
      <c r="AE243" s="1">
        <f t="shared" si="126"/>
        <v>1</v>
      </c>
      <c r="AF243" s="1">
        <f t="shared" si="111"/>
        <v>0</v>
      </c>
      <c r="AG243" s="1">
        <f t="shared" si="112"/>
        <v>1</v>
      </c>
      <c r="AH243" s="1">
        <f t="shared" si="113"/>
        <v>0</v>
      </c>
      <c r="AI243" s="1">
        <f t="shared" si="114"/>
        <v>1</v>
      </c>
    </row>
    <row r="244" spans="1:35" ht="14.25" customHeight="1" x14ac:dyDescent="0.25">
      <c r="A244" s="44">
        <v>0</v>
      </c>
      <c r="B244" s="44">
        <v>1</v>
      </c>
      <c r="C244" s="44">
        <v>6</v>
      </c>
      <c r="D244" s="45" t="s">
        <v>2043</v>
      </c>
      <c r="E244" s="45" t="s">
        <v>2044</v>
      </c>
      <c r="F244" s="45" t="s">
        <v>2045</v>
      </c>
      <c r="G244" s="45" t="s">
        <v>207</v>
      </c>
      <c r="H244" s="45" t="s">
        <v>352</v>
      </c>
      <c r="I244" s="44" t="s">
        <v>2046</v>
      </c>
      <c r="J244" s="44">
        <v>3</v>
      </c>
      <c r="K244" s="46" t="s">
        <v>699</v>
      </c>
      <c r="L244" s="46">
        <v>30</v>
      </c>
      <c r="M244" s="47" t="s">
        <v>2047</v>
      </c>
      <c r="N244" s="47" t="s">
        <v>1783</v>
      </c>
      <c r="O244" s="48"/>
      <c r="P244" s="48"/>
      <c r="Q244" s="45"/>
      <c r="S244" s="1">
        <f t="shared" si="115"/>
        <v>0</v>
      </c>
      <c r="T244" s="1">
        <f t="shared" si="116"/>
        <v>0</v>
      </c>
      <c r="U244" s="1">
        <f t="shared" si="117"/>
        <v>1</v>
      </c>
      <c r="V244" s="1">
        <f t="shared" si="118"/>
        <v>0</v>
      </c>
      <c r="W244" s="1">
        <f t="shared" si="119"/>
        <v>0</v>
      </c>
      <c r="X244" s="1">
        <f t="shared" si="120"/>
        <v>0</v>
      </c>
      <c r="Y244" s="1">
        <f t="shared" si="121"/>
        <v>0</v>
      </c>
      <c r="Z244" s="1">
        <f t="shared" si="122"/>
        <v>0</v>
      </c>
      <c r="AA244" s="1">
        <f t="shared" si="123"/>
        <v>0</v>
      </c>
      <c r="AB244" s="1">
        <f t="shared" si="124"/>
        <v>0</v>
      </c>
      <c r="AD244" s="1">
        <f t="shared" si="125"/>
        <v>0</v>
      </c>
      <c r="AE244" s="1">
        <f t="shared" si="126"/>
        <v>0</v>
      </c>
      <c r="AF244" s="1">
        <f t="shared" si="111"/>
        <v>0</v>
      </c>
      <c r="AG244" s="1">
        <f t="shared" si="112"/>
        <v>0</v>
      </c>
      <c r="AH244" s="1">
        <f t="shared" si="113"/>
        <v>0</v>
      </c>
      <c r="AI244" s="1">
        <f t="shared" si="114"/>
        <v>1</v>
      </c>
    </row>
    <row r="245" spans="1:35" ht="14.25" customHeight="1" x14ac:dyDescent="0.25">
      <c r="A245" s="31">
        <v>0</v>
      </c>
      <c r="B245" s="31">
        <v>1</v>
      </c>
      <c r="C245" s="31">
        <v>6</v>
      </c>
      <c r="D245" s="32" t="s">
        <v>97</v>
      </c>
      <c r="E245" s="32" t="s">
        <v>166</v>
      </c>
      <c r="F245" s="32" t="s">
        <v>294</v>
      </c>
      <c r="G245" s="32" t="s">
        <v>283</v>
      </c>
      <c r="H245" s="32" t="s">
        <v>352</v>
      </c>
      <c r="I245" s="31" t="s">
        <v>1105</v>
      </c>
      <c r="J245" s="31">
        <v>10</v>
      </c>
      <c r="K245" s="33" t="s">
        <v>943</v>
      </c>
      <c r="L245" s="33" t="s">
        <v>690</v>
      </c>
      <c r="M245" s="34" t="s">
        <v>701</v>
      </c>
      <c r="N245" s="34" t="s">
        <v>1723</v>
      </c>
      <c r="O245" s="35">
        <v>1</v>
      </c>
      <c r="P245" s="35"/>
      <c r="Q245" s="32"/>
      <c r="S245" s="1">
        <f t="shared" si="115"/>
        <v>0</v>
      </c>
      <c r="T245" s="1">
        <f t="shared" si="116"/>
        <v>0</v>
      </c>
      <c r="U245" s="1">
        <f t="shared" si="117"/>
        <v>0</v>
      </c>
      <c r="V245" s="1">
        <f t="shared" si="118"/>
        <v>0</v>
      </c>
      <c r="W245" s="1">
        <f t="shared" si="119"/>
        <v>0</v>
      </c>
      <c r="X245" s="1">
        <f t="shared" si="120"/>
        <v>0</v>
      </c>
      <c r="Y245" s="1">
        <f t="shared" si="121"/>
        <v>0</v>
      </c>
      <c r="Z245" s="1">
        <f t="shared" si="122"/>
        <v>0</v>
      </c>
      <c r="AA245" s="1">
        <f t="shared" si="123"/>
        <v>0</v>
      </c>
      <c r="AB245" s="1">
        <f t="shared" si="124"/>
        <v>1</v>
      </c>
      <c r="AD245" s="1">
        <f t="shared" si="125"/>
        <v>0</v>
      </c>
      <c r="AE245" s="1">
        <f t="shared" si="126"/>
        <v>1</v>
      </c>
      <c r="AF245" s="1">
        <f t="shared" si="111"/>
        <v>0</v>
      </c>
      <c r="AG245" s="1">
        <f t="shared" si="112"/>
        <v>1</v>
      </c>
      <c r="AH245" s="1">
        <f t="shared" si="113"/>
        <v>0</v>
      </c>
      <c r="AI245" s="1">
        <f t="shared" si="114"/>
        <v>1</v>
      </c>
    </row>
    <row r="246" spans="1:35" ht="14.25" customHeight="1" x14ac:dyDescent="0.25">
      <c r="A246" s="31">
        <v>0</v>
      </c>
      <c r="B246" s="31">
        <v>1</v>
      </c>
      <c r="C246" s="31">
        <v>6</v>
      </c>
      <c r="D246" s="32" t="s">
        <v>599</v>
      </c>
      <c r="E246" s="32" t="s">
        <v>164</v>
      </c>
      <c r="F246" s="32" t="s">
        <v>601</v>
      </c>
      <c r="G246" s="32" t="s">
        <v>39</v>
      </c>
      <c r="H246" s="32" t="s">
        <v>352</v>
      </c>
      <c r="I246" s="31" t="s">
        <v>600</v>
      </c>
      <c r="J246" s="31">
        <v>99</v>
      </c>
      <c r="K246" s="33" t="s">
        <v>943</v>
      </c>
      <c r="L246" s="33" t="s">
        <v>689</v>
      </c>
      <c r="M246" s="34" t="s">
        <v>957</v>
      </c>
      <c r="N246" s="34" t="s">
        <v>1723</v>
      </c>
      <c r="O246" s="35">
        <v>1</v>
      </c>
      <c r="P246" s="35"/>
      <c r="Q246" s="32"/>
      <c r="S246" s="1">
        <f t="shared" si="115"/>
        <v>0</v>
      </c>
      <c r="T246" s="1">
        <f t="shared" si="116"/>
        <v>0</v>
      </c>
      <c r="U246" s="1">
        <f t="shared" si="117"/>
        <v>0</v>
      </c>
      <c r="V246" s="1">
        <f t="shared" si="118"/>
        <v>0</v>
      </c>
      <c r="W246" s="1">
        <f t="shared" si="119"/>
        <v>0</v>
      </c>
      <c r="X246" s="1">
        <f t="shared" si="120"/>
        <v>0</v>
      </c>
      <c r="Y246" s="1">
        <f t="shared" si="121"/>
        <v>0</v>
      </c>
      <c r="Z246" s="1">
        <f t="shared" si="122"/>
        <v>0</v>
      </c>
      <c r="AA246" s="1">
        <f t="shared" si="123"/>
        <v>0</v>
      </c>
      <c r="AB246" s="1">
        <f t="shared" si="124"/>
        <v>0</v>
      </c>
      <c r="AD246" s="1">
        <f t="shared" si="125"/>
        <v>0</v>
      </c>
      <c r="AE246" s="1">
        <f t="shared" si="126"/>
        <v>1</v>
      </c>
      <c r="AF246" s="1">
        <f t="shared" si="111"/>
        <v>0</v>
      </c>
      <c r="AG246" s="1">
        <f t="shared" si="112"/>
        <v>1</v>
      </c>
      <c r="AH246" s="1">
        <f t="shared" si="113"/>
        <v>0</v>
      </c>
      <c r="AI246" s="1">
        <f t="shared" si="114"/>
        <v>1</v>
      </c>
    </row>
    <row r="247" spans="1:35" ht="14.25" customHeight="1" x14ac:dyDescent="0.25">
      <c r="A247" s="31">
        <v>0</v>
      </c>
      <c r="B247" s="31">
        <v>1</v>
      </c>
      <c r="C247" s="31">
        <v>6</v>
      </c>
      <c r="D247" s="32" t="s">
        <v>1146</v>
      </c>
      <c r="E247" s="32" t="s">
        <v>164</v>
      </c>
      <c r="F247" s="32" t="s">
        <v>1148</v>
      </c>
      <c r="G247" s="32" t="s">
        <v>219</v>
      </c>
      <c r="H247" s="32" t="s">
        <v>352</v>
      </c>
      <c r="I247" s="31" t="s">
        <v>1147</v>
      </c>
      <c r="J247" s="31">
        <v>8</v>
      </c>
      <c r="K247" s="33" t="s">
        <v>698</v>
      </c>
      <c r="L247" s="33" t="s">
        <v>1687</v>
      </c>
      <c r="M247" s="34" t="s">
        <v>1380</v>
      </c>
      <c r="N247" s="34" t="s">
        <v>1722</v>
      </c>
      <c r="O247" s="35">
        <v>1</v>
      </c>
      <c r="P247" s="35"/>
      <c r="Q247" s="32"/>
      <c r="S247" s="1">
        <f t="shared" si="115"/>
        <v>0</v>
      </c>
      <c r="T247" s="1">
        <f t="shared" si="116"/>
        <v>0</v>
      </c>
      <c r="U247" s="1">
        <f t="shared" si="117"/>
        <v>0</v>
      </c>
      <c r="V247" s="1">
        <f t="shared" si="118"/>
        <v>0</v>
      </c>
      <c r="W247" s="1">
        <f t="shared" si="119"/>
        <v>0</v>
      </c>
      <c r="X247" s="1">
        <f t="shared" si="120"/>
        <v>0</v>
      </c>
      <c r="Y247" s="1">
        <f t="shared" si="121"/>
        <v>0</v>
      </c>
      <c r="Z247" s="1">
        <f t="shared" si="122"/>
        <v>1</v>
      </c>
      <c r="AA247" s="1">
        <f t="shared" si="123"/>
        <v>0</v>
      </c>
      <c r="AB247" s="1">
        <f t="shared" si="124"/>
        <v>0</v>
      </c>
      <c r="AD247" s="1">
        <f t="shared" si="125"/>
        <v>0</v>
      </c>
      <c r="AE247" s="1">
        <f t="shared" si="126"/>
        <v>1</v>
      </c>
      <c r="AF247" s="1">
        <f t="shared" si="111"/>
        <v>0</v>
      </c>
      <c r="AG247" s="1">
        <f t="shared" si="112"/>
        <v>1</v>
      </c>
      <c r="AH247" s="1">
        <f t="shared" si="113"/>
        <v>0</v>
      </c>
      <c r="AI247" s="1">
        <f t="shared" si="114"/>
        <v>1</v>
      </c>
    </row>
    <row r="248" spans="1:35" ht="14.25" customHeight="1" x14ac:dyDescent="0.25">
      <c r="A248" s="31">
        <v>0</v>
      </c>
      <c r="B248" s="31">
        <v>1</v>
      </c>
      <c r="C248" s="31">
        <v>6</v>
      </c>
      <c r="D248" s="32" t="s">
        <v>560</v>
      </c>
      <c r="E248" s="32" t="s">
        <v>166</v>
      </c>
      <c r="F248" s="32" t="s">
        <v>657</v>
      </c>
      <c r="G248" s="32" t="s">
        <v>201</v>
      </c>
      <c r="H248" s="32" t="s">
        <v>352</v>
      </c>
      <c r="I248" s="31" t="s">
        <v>579</v>
      </c>
      <c r="J248" s="31">
        <v>10</v>
      </c>
      <c r="K248" s="33" t="s">
        <v>949</v>
      </c>
      <c r="L248" s="33" t="s">
        <v>689</v>
      </c>
      <c r="M248" s="34" t="s">
        <v>701</v>
      </c>
      <c r="N248" s="34" t="s">
        <v>1722</v>
      </c>
      <c r="O248" s="35">
        <v>1</v>
      </c>
      <c r="P248" s="35"/>
      <c r="Q248" s="36"/>
      <c r="S248" s="1">
        <f t="shared" si="115"/>
        <v>0</v>
      </c>
      <c r="T248" s="1">
        <f t="shared" si="116"/>
        <v>0</v>
      </c>
      <c r="U248" s="1">
        <f t="shared" si="117"/>
        <v>0</v>
      </c>
      <c r="V248" s="1">
        <f t="shared" si="118"/>
        <v>0</v>
      </c>
      <c r="W248" s="1">
        <f t="shared" si="119"/>
        <v>0</v>
      </c>
      <c r="X248" s="1">
        <f t="shared" si="120"/>
        <v>0</v>
      </c>
      <c r="Y248" s="1">
        <f t="shared" si="121"/>
        <v>0</v>
      </c>
      <c r="Z248" s="1">
        <f t="shared" si="122"/>
        <v>0</v>
      </c>
      <c r="AA248" s="1">
        <f t="shared" si="123"/>
        <v>0</v>
      </c>
      <c r="AB248" s="1">
        <f t="shared" si="124"/>
        <v>1</v>
      </c>
      <c r="AD248" s="1">
        <f t="shared" si="125"/>
        <v>0</v>
      </c>
      <c r="AE248" s="1">
        <f t="shared" si="126"/>
        <v>1</v>
      </c>
      <c r="AF248" s="1">
        <f t="shared" si="111"/>
        <v>0</v>
      </c>
      <c r="AG248" s="1">
        <f t="shared" si="112"/>
        <v>1</v>
      </c>
      <c r="AH248" s="1">
        <f t="shared" si="113"/>
        <v>0</v>
      </c>
      <c r="AI248" s="1">
        <f t="shared" si="114"/>
        <v>1</v>
      </c>
    </row>
    <row r="249" spans="1:35" ht="14.25" customHeight="1" x14ac:dyDescent="0.25">
      <c r="A249" s="44">
        <v>0</v>
      </c>
      <c r="B249" s="44">
        <v>1</v>
      </c>
      <c r="C249" s="44">
        <v>6</v>
      </c>
      <c r="D249" s="45" t="s">
        <v>886</v>
      </c>
      <c r="E249" s="45" t="s">
        <v>166</v>
      </c>
      <c r="F249" s="45" t="s">
        <v>926</v>
      </c>
      <c r="G249" s="45" t="s">
        <v>927</v>
      </c>
      <c r="H249" s="45" t="s">
        <v>352</v>
      </c>
      <c r="I249" s="44" t="s">
        <v>940</v>
      </c>
      <c r="J249" s="44">
        <v>99</v>
      </c>
      <c r="K249" s="46" t="s">
        <v>698</v>
      </c>
      <c r="L249" s="46" t="s">
        <v>685</v>
      </c>
      <c r="M249" s="47" t="s">
        <v>1381</v>
      </c>
      <c r="N249" s="47" t="s">
        <v>1712</v>
      </c>
      <c r="O249" s="48"/>
      <c r="P249" s="48"/>
      <c r="Q249" s="45"/>
      <c r="S249" s="1">
        <f t="shared" si="115"/>
        <v>0</v>
      </c>
      <c r="T249" s="1">
        <f t="shared" si="116"/>
        <v>0</v>
      </c>
      <c r="U249" s="1">
        <f t="shared" si="117"/>
        <v>0</v>
      </c>
      <c r="V249" s="1">
        <f t="shared" si="118"/>
        <v>0</v>
      </c>
      <c r="W249" s="1">
        <f t="shared" si="119"/>
        <v>0</v>
      </c>
      <c r="X249" s="1">
        <f t="shared" si="120"/>
        <v>0</v>
      </c>
      <c r="Y249" s="1">
        <f t="shared" si="121"/>
        <v>0</v>
      </c>
      <c r="Z249" s="1">
        <f t="shared" si="122"/>
        <v>0</v>
      </c>
      <c r="AA249" s="1">
        <f t="shared" si="123"/>
        <v>0</v>
      </c>
      <c r="AB249" s="1">
        <f t="shared" si="124"/>
        <v>0</v>
      </c>
      <c r="AD249" s="1">
        <f t="shared" si="125"/>
        <v>0</v>
      </c>
      <c r="AE249" s="1">
        <f t="shared" si="126"/>
        <v>0</v>
      </c>
      <c r="AF249" s="1">
        <f t="shared" si="111"/>
        <v>0</v>
      </c>
      <c r="AG249" s="1">
        <f t="shared" si="112"/>
        <v>0</v>
      </c>
      <c r="AH249" s="1">
        <f t="shared" si="113"/>
        <v>0</v>
      </c>
      <c r="AI249" s="1">
        <f t="shared" si="114"/>
        <v>1</v>
      </c>
    </row>
    <row r="250" spans="1:35" ht="14.25" customHeight="1" x14ac:dyDescent="0.25">
      <c r="A250" s="31">
        <v>0</v>
      </c>
      <c r="B250" s="31">
        <v>1</v>
      </c>
      <c r="C250" s="31">
        <v>6</v>
      </c>
      <c r="D250" s="32" t="s">
        <v>99</v>
      </c>
      <c r="E250" s="32" t="s">
        <v>166</v>
      </c>
      <c r="F250" s="32" t="s">
        <v>658</v>
      </c>
      <c r="G250" s="32" t="s">
        <v>660</v>
      </c>
      <c r="H250" s="32" t="s">
        <v>352</v>
      </c>
      <c r="I250" s="31" t="s">
        <v>444</v>
      </c>
      <c r="J250" s="31">
        <v>99</v>
      </c>
      <c r="K250" s="33" t="s">
        <v>718</v>
      </c>
      <c r="L250" s="33" t="s">
        <v>692</v>
      </c>
      <c r="M250" s="34" t="s">
        <v>703</v>
      </c>
      <c r="N250" s="34" t="s">
        <v>1723</v>
      </c>
      <c r="O250" s="35">
        <v>1</v>
      </c>
      <c r="P250" s="35"/>
      <c r="Q250" s="32"/>
      <c r="S250" s="1">
        <f t="shared" si="115"/>
        <v>0</v>
      </c>
      <c r="T250" s="1">
        <f t="shared" si="116"/>
        <v>0</v>
      </c>
      <c r="U250" s="1">
        <f t="shared" si="117"/>
        <v>0</v>
      </c>
      <c r="V250" s="1">
        <f t="shared" si="118"/>
        <v>0</v>
      </c>
      <c r="W250" s="1">
        <f t="shared" si="119"/>
        <v>0</v>
      </c>
      <c r="X250" s="1">
        <f t="shared" si="120"/>
        <v>0</v>
      </c>
      <c r="Y250" s="1">
        <f t="shared" si="121"/>
        <v>0</v>
      </c>
      <c r="Z250" s="1">
        <f t="shared" si="122"/>
        <v>0</v>
      </c>
      <c r="AA250" s="1">
        <f t="shared" si="123"/>
        <v>0</v>
      </c>
      <c r="AB250" s="1">
        <f t="shared" si="124"/>
        <v>0</v>
      </c>
      <c r="AD250" s="1">
        <f t="shared" si="125"/>
        <v>0</v>
      </c>
      <c r="AE250" s="1">
        <f t="shared" si="126"/>
        <v>1</v>
      </c>
      <c r="AF250" s="1">
        <f t="shared" si="111"/>
        <v>0</v>
      </c>
      <c r="AG250" s="1">
        <f t="shared" si="112"/>
        <v>1</v>
      </c>
      <c r="AH250" s="1">
        <f t="shared" si="113"/>
        <v>0</v>
      </c>
      <c r="AI250" s="1">
        <f t="shared" si="114"/>
        <v>1</v>
      </c>
    </row>
    <row r="251" spans="1:35" ht="14.25" customHeight="1" x14ac:dyDescent="0.25">
      <c r="A251" s="31">
        <v>0</v>
      </c>
      <c r="B251" s="31">
        <v>1</v>
      </c>
      <c r="C251" s="31">
        <v>7</v>
      </c>
      <c r="D251" s="32" t="s">
        <v>86</v>
      </c>
      <c r="E251" s="32" t="s">
        <v>29</v>
      </c>
      <c r="F251" s="32" t="s">
        <v>659</v>
      </c>
      <c r="G251" s="32" t="s">
        <v>660</v>
      </c>
      <c r="H251" s="32" t="s">
        <v>352</v>
      </c>
      <c r="I251" s="31" t="s">
        <v>627</v>
      </c>
      <c r="J251" s="31">
        <v>99</v>
      </c>
      <c r="K251" s="33" t="s">
        <v>941</v>
      </c>
      <c r="L251" s="33" t="s">
        <v>689</v>
      </c>
      <c r="M251" s="34" t="s">
        <v>1382</v>
      </c>
      <c r="N251" s="34" t="s">
        <v>1701</v>
      </c>
      <c r="O251" s="35">
        <v>1</v>
      </c>
      <c r="P251" s="35">
        <v>1</v>
      </c>
      <c r="Q251" s="32"/>
      <c r="S251" s="1">
        <f t="shared" si="115"/>
        <v>0</v>
      </c>
      <c r="T251" s="1">
        <f t="shared" si="116"/>
        <v>0</v>
      </c>
      <c r="U251" s="1">
        <f t="shared" si="117"/>
        <v>0</v>
      </c>
      <c r="V251" s="1">
        <f t="shared" si="118"/>
        <v>0</v>
      </c>
      <c r="W251" s="1">
        <f t="shared" si="119"/>
        <v>0</v>
      </c>
      <c r="X251" s="1">
        <f t="shared" si="120"/>
        <v>0</v>
      </c>
      <c r="Y251" s="1">
        <f t="shared" si="121"/>
        <v>0</v>
      </c>
      <c r="Z251" s="1">
        <f t="shared" si="122"/>
        <v>0</v>
      </c>
      <c r="AA251" s="1">
        <f t="shared" si="123"/>
        <v>0</v>
      </c>
      <c r="AB251" s="1">
        <f t="shared" si="124"/>
        <v>0</v>
      </c>
      <c r="AD251" s="1">
        <f t="shared" si="125"/>
        <v>1</v>
      </c>
      <c r="AE251" s="1">
        <f t="shared" si="126"/>
        <v>0</v>
      </c>
      <c r="AF251" s="1">
        <f t="shared" si="111"/>
        <v>1</v>
      </c>
      <c r="AG251" s="1">
        <f t="shared" si="112"/>
        <v>0</v>
      </c>
      <c r="AH251" s="1">
        <f t="shared" si="113"/>
        <v>1</v>
      </c>
      <c r="AI251" s="1">
        <f t="shared" si="114"/>
        <v>0</v>
      </c>
    </row>
    <row r="252" spans="1:35" ht="14.25" customHeight="1" x14ac:dyDescent="0.25">
      <c r="A252" s="31">
        <v>0</v>
      </c>
      <c r="B252" s="31">
        <v>1</v>
      </c>
      <c r="C252" s="31">
        <v>7</v>
      </c>
      <c r="D252" s="32" t="s">
        <v>646</v>
      </c>
      <c r="E252" s="32" t="s">
        <v>29</v>
      </c>
      <c r="F252" s="32" t="s">
        <v>622</v>
      </c>
      <c r="G252" s="32" t="s">
        <v>231</v>
      </c>
      <c r="H252" s="32" t="s">
        <v>352</v>
      </c>
      <c r="I252" s="31" t="s">
        <v>623</v>
      </c>
      <c r="J252" s="31">
        <v>99</v>
      </c>
      <c r="K252" s="33" t="s">
        <v>709</v>
      </c>
      <c r="L252" s="33" t="s">
        <v>692</v>
      </c>
      <c r="M252" s="34" t="s">
        <v>960</v>
      </c>
      <c r="N252" s="34" t="s">
        <v>1823</v>
      </c>
      <c r="O252" s="35">
        <v>1</v>
      </c>
      <c r="P252" s="35"/>
      <c r="Q252" s="32"/>
      <c r="S252" s="1">
        <f t="shared" si="115"/>
        <v>0</v>
      </c>
      <c r="T252" s="1">
        <f t="shared" si="116"/>
        <v>0</v>
      </c>
      <c r="U252" s="1">
        <f t="shared" si="117"/>
        <v>0</v>
      </c>
      <c r="V252" s="1">
        <f t="shared" si="118"/>
        <v>0</v>
      </c>
      <c r="W252" s="1">
        <f t="shared" si="119"/>
        <v>0</v>
      </c>
      <c r="X252" s="1">
        <f t="shared" si="120"/>
        <v>0</v>
      </c>
      <c r="Y252" s="1">
        <f t="shared" si="121"/>
        <v>0</v>
      </c>
      <c r="Z252" s="1">
        <f t="shared" si="122"/>
        <v>0</v>
      </c>
      <c r="AA252" s="1">
        <f t="shared" si="123"/>
        <v>0</v>
      </c>
      <c r="AB252" s="1">
        <f t="shared" si="124"/>
        <v>0</v>
      </c>
      <c r="AD252" s="1">
        <f t="shared" si="125"/>
        <v>0</v>
      </c>
      <c r="AE252" s="1">
        <f t="shared" si="126"/>
        <v>1</v>
      </c>
      <c r="AF252" s="1">
        <f t="shared" si="111"/>
        <v>0</v>
      </c>
      <c r="AG252" s="1">
        <f t="shared" si="112"/>
        <v>1</v>
      </c>
      <c r="AH252" s="1">
        <f t="shared" si="113"/>
        <v>0</v>
      </c>
      <c r="AI252" s="1">
        <f t="shared" si="114"/>
        <v>1</v>
      </c>
    </row>
    <row r="253" spans="1:35" ht="14.25" customHeight="1" x14ac:dyDescent="0.25">
      <c r="A253" s="15">
        <v>0</v>
      </c>
      <c r="B253" s="15">
        <v>1</v>
      </c>
      <c r="C253" s="15">
        <v>7</v>
      </c>
      <c r="D253" s="16" t="s">
        <v>970</v>
      </c>
      <c r="E253" s="16" t="s">
        <v>29</v>
      </c>
      <c r="F253" s="16" t="s">
        <v>971</v>
      </c>
      <c r="G253" s="16" t="s">
        <v>972</v>
      </c>
      <c r="H253" s="16" t="s">
        <v>352</v>
      </c>
      <c r="I253" s="15" t="s">
        <v>969</v>
      </c>
      <c r="J253" s="15">
        <v>99</v>
      </c>
      <c r="K253" s="10" t="s">
        <v>699</v>
      </c>
      <c r="L253" s="10">
        <v>20</v>
      </c>
      <c r="M253" s="19" t="s">
        <v>960</v>
      </c>
      <c r="N253" s="19"/>
      <c r="Q253" s="16"/>
      <c r="S253" s="1">
        <f t="shared" si="115"/>
        <v>0</v>
      </c>
      <c r="T253" s="1">
        <f t="shared" si="116"/>
        <v>0</v>
      </c>
      <c r="U253" s="1">
        <f t="shared" si="117"/>
        <v>0</v>
      </c>
      <c r="V253" s="1">
        <f t="shared" si="118"/>
        <v>0</v>
      </c>
      <c r="W253" s="1">
        <f t="shared" si="119"/>
        <v>0</v>
      </c>
      <c r="X253" s="1">
        <f t="shared" si="120"/>
        <v>0</v>
      </c>
      <c r="Y253" s="1">
        <f t="shared" si="121"/>
        <v>0</v>
      </c>
      <c r="Z253" s="1">
        <f t="shared" si="122"/>
        <v>0</v>
      </c>
      <c r="AA253" s="1">
        <f t="shared" si="123"/>
        <v>0</v>
      </c>
      <c r="AB253" s="1">
        <f t="shared" si="124"/>
        <v>0</v>
      </c>
      <c r="AD253" s="1">
        <f t="shared" si="125"/>
        <v>0</v>
      </c>
      <c r="AE253" s="1">
        <f t="shared" si="126"/>
        <v>0</v>
      </c>
      <c r="AF253" s="1">
        <f t="shared" si="111"/>
        <v>0</v>
      </c>
      <c r="AG253" s="1">
        <f t="shared" si="112"/>
        <v>0</v>
      </c>
      <c r="AH253" s="1">
        <f t="shared" si="113"/>
        <v>0</v>
      </c>
      <c r="AI253" s="1">
        <f t="shared" si="114"/>
        <v>1</v>
      </c>
    </row>
    <row r="254" spans="1:35" ht="14.25" customHeight="1" x14ac:dyDescent="0.25">
      <c r="A254" s="38">
        <v>0</v>
      </c>
      <c r="B254" s="38">
        <v>1</v>
      </c>
      <c r="C254" s="38">
        <v>7</v>
      </c>
      <c r="D254" s="39" t="s">
        <v>587</v>
      </c>
      <c r="E254" s="39" t="s">
        <v>29</v>
      </c>
      <c r="F254" s="39" t="s">
        <v>588</v>
      </c>
      <c r="G254" s="39" t="s">
        <v>1060</v>
      </c>
      <c r="H254" s="39" t="s">
        <v>352</v>
      </c>
      <c r="I254" s="38" t="s">
        <v>589</v>
      </c>
      <c r="J254" s="38">
        <v>99</v>
      </c>
      <c r="K254" s="40" t="s">
        <v>699</v>
      </c>
      <c r="L254" s="40">
        <v>35</v>
      </c>
      <c r="M254" s="41" t="s">
        <v>1382</v>
      </c>
      <c r="N254" s="41"/>
      <c r="O254" s="43"/>
      <c r="P254" s="43">
        <v>1</v>
      </c>
      <c r="Q254" s="39"/>
      <c r="S254" s="1">
        <f t="shared" si="115"/>
        <v>0</v>
      </c>
      <c r="T254" s="1">
        <f t="shared" si="116"/>
        <v>0</v>
      </c>
      <c r="U254" s="1">
        <f t="shared" si="117"/>
        <v>0</v>
      </c>
      <c r="V254" s="1">
        <f t="shared" si="118"/>
        <v>0</v>
      </c>
      <c r="W254" s="1">
        <f t="shared" si="119"/>
        <v>0</v>
      </c>
      <c r="X254" s="1">
        <f t="shared" si="120"/>
        <v>0</v>
      </c>
      <c r="Y254" s="1">
        <f t="shared" si="121"/>
        <v>0</v>
      </c>
      <c r="Z254" s="1">
        <f t="shared" si="122"/>
        <v>0</v>
      </c>
      <c r="AA254" s="1">
        <f t="shared" si="123"/>
        <v>0</v>
      </c>
      <c r="AB254" s="1">
        <f t="shared" si="124"/>
        <v>0</v>
      </c>
      <c r="AD254" s="1">
        <f t="shared" si="125"/>
        <v>0</v>
      </c>
      <c r="AE254" s="1">
        <f t="shared" si="126"/>
        <v>0</v>
      </c>
      <c r="AF254" s="1">
        <f t="shared" si="111"/>
        <v>0</v>
      </c>
      <c r="AG254" s="1">
        <f t="shared" si="112"/>
        <v>0</v>
      </c>
      <c r="AH254" s="1">
        <f t="shared" si="113"/>
        <v>1</v>
      </c>
      <c r="AI254" s="1">
        <f t="shared" si="114"/>
        <v>0</v>
      </c>
    </row>
    <row r="255" spans="1:35" ht="14.25" customHeight="1" x14ac:dyDescent="0.25">
      <c r="A255" s="31">
        <v>0</v>
      </c>
      <c r="B255" s="31">
        <v>1</v>
      </c>
      <c r="C255" s="31">
        <v>7</v>
      </c>
      <c r="D255" s="32" t="s">
        <v>1601</v>
      </c>
      <c r="E255" s="32" t="s">
        <v>29</v>
      </c>
      <c r="F255" s="32" t="s">
        <v>1656</v>
      </c>
      <c r="G255" s="32" t="s">
        <v>310</v>
      </c>
      <c r="H255" s="32" t="s">
        <v>352</v>
      </c>
      <c r="I255" s="31" t="s">
        <v>1602</v>
      </c>
      <c r="J255" s="31"/>
      <c r="K255" s="33" t="s">
        <v>709</v>
      </c>
      <c r="L255" s="33">
        <v>45</v>
      </c>
      <c r="M255" s="34" t="s">
        <v>1774</v>
      </c>
      <c r="N255" s="34" t="s">
        <v>1707</v>
      </c>
      <c r="O255" s="35">
        <v>1</v>
      </c>
      <c r="P255" s="35">
        <v>1</v>
      </c>
      <c r="Q255" s="32"/>
      <c r="S255" s="1">
        <f t="shared" si="115"/>
        <v>0</v>
      </c>
      <c r="T255" s="1">
        <f t="shared" si="116"/>
        <v>0</v>
      </c>
      <c r="U255" s="1">
        <f t="shared" si="117"/>
        <v>0</v>
      </c>
      <c r="V255" s="1">
        <f t="shared" si="118"/>
        <v>0</v>
      </c>
      <c r="W255" s="1">
        <f t="shared" si="119"/>
        <v>0</v>
      </c>
      <c r="X255" s="1">
        <f t="shared" si="120"/>
        <v>0</v>
      </c>
      <c r="Y255" s="1">
        <f t="shared" si="121"/>
        <v>0</v>
      </c>
      <c r="Z255" s="1">
        <f t="shared" si="122"/>
        <v>0</v>
      </c>
      <c r="AA255" s="1">
        <f t="shared" si="123"/>
        <v>0</v>
      </c>
      <c r="AB255" s="1">
        <f t="shared" si="124"/>
        <v>0</v>
      </c>
      <c r="AD255" s="1">
        <f t="shared" si="125"/>
        <v>1</v>
      </c>
      <c r="AE255" s="1">
        <f t="shared" si="126"/>
        <v>0</v>
      </c>
      <c r="AF255" s="1">
        <f t="shared" si="111"/>
        <v>1</v>
      </c>
      <c r="AG255" s="1">
        <f t="shared" si="112"/>
        <v>0</v>
      </c>
      <c r="AH255" s="1">
        <f t="shared" si="113"/>
        <v>1</v>
      </c>
      <c r="AI255" s="1">
        <f t="shared" si="114"/>
        <v>0</v>
      </c>
    </row>
    <row r="256" spans="1:35" ht="14.25" customHeight="1" x14ac:dyDescent="0.25">
      <c r="A256" s="31">
        <v>0</v>
      </c>
      <c r="B256" s="31">
        <v>1</v>
      </c>
      <c r="C256" s="31">
        <v>7</v>
      </c>
      <c r="D256" s="32" t="s">
        <v>850</v>
      </c>
      <c r="E256" s="32" t="s">
        <v>29</v>
      </c>
      <c r="F256" s="32" t="s">
        <v>851</v>
      </c>
      <c r="G256" s="32" t="s">
        <v>201</v>
      </c>
      <c r="H256" s="32" t="s">
        <v>352</v>
      </c>
      <c r="I256" s="31" t="s">
        <v>852</v>
      </c>
      <c r="J256" s="31">
        <v>10</v>
      </c>
      <c r="K256" s="33" t="s">
        <v>709</v>
      </c>
      <c r="L256" s="33" t="s">
        <v>689</v>
      </c>
      <c r="M256" s="34" t="s">
        <v>1382</v>
      </c>
      <c r="N256" s="34" t="s">
        <v>1729</v>
      </c>
      <c r="O256" s="35">
        <v>1</v>
      </c>
      <c r="P256" s="35"/>
      <c r="Q256" s="32"/>
      <c r="S256" s="1">
        <f t="shared" si="115"/>
        <v>0</v>
      </c>
      <c r="T256" s="1">
        <f t="shared" si="116"/>
        <v>0</v>
      </c>
      <c r="U256" s="1">
        <f t="shared" si="117"/>
        <v>0</v>
      </c>
      <c r="V256" s="1">
        <f t="shared" si="118"/>
        <v>0</v>
      </c>
      <c r="W256" s="1">
        <f t="shared" si="119"/>
        <v>0</v>
      </c>
      <c r="X256" s="1">
        <f t="shared" si="120"/>
        <v>0</v>
      </c>
      <c r="Y256" s="1">
        <f t="shared" si="121"/>
        <v>0</v>
      </c>
      <c r="Z256" s="1">
        <f t="shared" si="122"/>
        <v>0</v>
      </c>
      <c r="AA256" s="1">
        <f t="shared" si="123"/>
        <v>0</v>
      </c>
      <c r="AB256" s="1">
        <f t="shared" si="124"/>
        <v>1</v>
      </c>
      <c r="AD256" s="1">
        <f t="shared" si="125"/>
        <v>0</v>
      </c>
      <c r="AE256" s="1">
        <f t="shared" si="126"/>
        <v>1</v>
      </c>
      <c r="AF256" s="1">
        <f t="shared" si="111"/>
        <v>0</v>
      </c>
      <c r="AG256" s="1">
        <f t="shared" si="112"/>
        <v>1</v>
      </c>
      <c r="AH256" s="1">
        <f t="shared" si="113"/>
        <v>0</v>
      </c>
      <c r="AI256" s="1">
        <f t="shared" si="114"/>
        <v>1</v>
      </c>
    </row>
    <row r="257" spans="1:35" ht="14.25" customHeight="1" x14ac:dyDescent="0.25">
      <c r="A257" s="31">
        <v>0</v>
      </c>
      <c r="B257" s="31">
        <v>1</v>
      </c>
      <c r="C257" s="31">
        <v>7</v>
      </c>
      <c r="D257" s="32" t="s">
        <v>40</v>
      </c>
      <c r="E257" s="32" t="s">
        <v>29</v>
      </c>
      <c r="F257" s="32" t="s">
        <v>279</v>
      </c>
      <c r="G257" s="32" t="s">
        <v>229</v>
      </c>
      <c r="H257" s="32" t="s">
        <v>352</v>
      </c>
      <c r="I257" s="31" t="s">
        <v>433</v>
      </c>
      <c r="J257" s="31">
        <v>7</v>
      </c>
      <c r="K257" s="33" t="s">
        <v>709</v>
      </c>
      <c r="L257" s="33" t="s">
        <v>692</v>
      </c>
      <c r="M257" s="34" t="s">
        <v>960</v>
      </c>
      <c r="N257" s="34" t="s">
        <v>1701</v>
      </c>
      <c r="O257" s="35">
        <v>1</v>
      </c>
      <c r="P257" s="35">
        <v>1</v>
      </c>
      <c r="Q257" s="32"/>
      <c r="S257" s="1">
        <f t="shared" si="115"/>
        <v>0</v>
      </c>
      <c r="T257" s="1">
        <f t="shared" si="116"/>
        <v>0</v>
      </c>
      <c r="U257" s="1">
        <f t="shared" si="117"/>
        <v>0</v>
      </c>
      <c r="V257" s="1">
        <f t="shared" si="118"/>
        <v>0</v>
      </c>
      <c r="W257" s="1">
        <f t="shared" si="119"/>
        <v>0</v>
      </c>
      <c r="X257" s="1">
        <f t="shared" si="120"/>
        <v>0</v>
      </c>
      <c r="Y257" s="1">
        <f t="shared" si="121"/>
        <v>1</v>
      </c>
      <c r="Z257" s="1">
        <f t="shared" si="122"/>
        <v>0</v>
      </c>
      <c r="AA257" s="1">
        <f t="shared" si="123"/>
        <v>0</v>
      </c>
      <c r="AB257" s="1">
        <f t="shared" si="124"/>
        <v>0</v>
      </c>
      <c r="AD257" s="1">
        <f t="shared" si="125"/>
        <v>1</v>
      </c>
      <c r="AE257" s="1">
        <f t="shared" si="126"/>
        <v>0</v>
      </c>
      <c r="AF257" s="1">
        <f t="shared" si="111"/>
        <v>1</v>
      </c>
      <c r="AG257" s="1">
        <f t="shared" si="112"/>
        <v>0</v>
      </c>
      <c r="AH257" s="1">
        <f t="shared" si="113"/>
        <v>1</v>
      </c>
      <c r="AI257" s="1">
        <f t="shared" si="114"/>
        <v>0</v>
      </c>
    </row>
    <row r="258" spans="1:35" ht="14.25" customHeight="1" x14ac:dyDescent="0.25">
      <c r="A258" s="31">
        <v>1</v>
      </c>
      <c r="B258" s="31">
        <v>1</v>
      </c>
      <c r="C258" s="31">
        <v>7</v>
      </c>
      <c r="D258" s="32" t="s">
        <v>40</v>
      </c>
      <c r="E258" s="32" t="s">
        <v>29</v>
      </c>
      <c r="F258" s="32" t="s">
        <v>1575</v>
      </c>
      <c r="G258" s="32" t="s">
        <v>39</v>
      </c>
      <c r="H258" s="32" t="s">
        <v>352</v>
      </c>
      <c r="I258" s="31" t="s">
        <v>1576</v>
      </c>
      <c r="J258" s="31">
        <v>99</v>
      </c>
      <c r="K258" s="33" t="s">
        <v>709</v>
      </c>
      <c r="L258" s="33" t="s">
        <v>692</v>
      </c>
      <c r="M258" s="34" t="s">
        <v>960</v>
      </c>
      <c r="N258" s="34" t="s">
        <v>1701</v>
      </c>
      <c r="O258" s="35">
        <v>1</v>
      </c>
      <c r="P258" s="35">
        <v>1</v>
      </c>
      <c r="Q258" s="32"/>
      <c r="S258" s="1">
        <f t="shared" si="115"/>
        <v>0</v>
      </c>
      <c r="T258" s="1">
        <f t="shared" si="116"/>
        <v>0</v>
      </c>
      <c r="U258" s="1">
        <f t="shared" si="117"/>
        <v>0</v>
      </c>
      <c r="V258" s="1">
        <f t="shared" si="118"/>
        <v>0</v>
      </c>
      <c r="W258" s="1">
        <f t="shared" si="119"/>
        <v>0</v>
      </c>
      <c r="X258" s="1">
        <f t="shared" si="120"/>
        <v>0</v>
      </c>
      <c r="Y258" s="1">
        <f t="shared" si="121"/>
        <v>0</v>
      </c>
      <c r="Z258" s="1">
        <f t="shared" si="122"/>
        <v>0</v>
      </c>
      <c r="AA258" s="1">
        <f t="shared" si="123"/>
        <v>0</v>
      </c>
      <c r="AB258" s="1">
        <f t="shared" si="124"/>
        <v>0</v>
      </c>
      <c r="AD258" s="1">
        <f t="shared" si="125"/>
        <v>1</v>
      </c>
      <c r="AE258" s="1">
        <f t="shared" si="126"/>
        <v>0</v>
      </c>
      <c r="AF258" s="1">
        <f t="shared" si="111"/>
        <v>0</v>
      </c>
      <c r="AG258" s="1">
        <f t="shared" si="112"/>
        <v>0</v>
      </c>
      <c r="AH258" s="1">
        <f t="shared" si="113"/>
        <v>0</v>
      </c>
      <c r="AI258" s="1">
        <f t="shared" si="114"/>
        <v>0</v>
      </c>
    </row>
    <row r="259" spans="1:35" ht="14.25" customHeight="1" x14ac:dyDescent="0.25">
      <c r="A259" s="49">
        <v>0</v>
      </c>
      <c r="B259" s="49">
        <v>1</v>
      </c>
      <c r="C259" s="49">
        <v>7</v>
      </c>
      <c r="D259" s="55" t="s">
        <v>1459</v>
      </c>
      <c r="E259" s="50" t="s">
        <v>29</v>
      </c>
      <c r="F259" s="55" t="s">
        <v>991</v>
      </c>
      <c r="G259" s="55" t="s">
        <v>1089</v>
      </c>
      <c r="H259" s="55" t="s">
        <v>352</v>
      </c>
      <c r="I259" s="63" t="s">
        <v>1097</v>
      </c>
      <c r="J259" s="49">
        <v>10</v>
      </c>
      <c r="K259" s="51" t="s">
        <v>709</v>
      </c>
      <c r="L259" s="51" t="s">
        <v>690</v>
      </c>
      <c r="M259" s="52" t="s">
        <v>960</v>
      </c>
      <c r="N259" s="52" t="s">
        <v>1717</v>
      </c>
      <c r="O259" s="53">
        <v>1</v>
      </c>
      <c r="P259" s="53"/>
      <c r="Q259" s="55"/>
      <c r="S259" s="1">
        <f t="shared" si="115"/>
        <v>0</v>
      </c>
      <c r="T259" s="1">
        <f t="shared" si="116"/>
        <v>0</v>
      </c>
      <c r="U259" s="1">
        <f t="shared" si="117"/>
        <v>0</v>
      </c>
      <c r="V259" s="1">
        <f t="shared" si="118"/>
        <v>0</v>
      </c>
      <c r="W259" s="1">
        <f t="shared" si="119"/>
        <v>0</v>
      </c>
      <c r="X259" s="1">
        <f t="shared" si="120"/>
        <v>0</v>
      </c>
      <c r="Y259" s="1">
        <f t="shared" si="121"/>
        <v>0</v>
      </c>
      <c r="Z259" s="1">
        <f t="shared" si="122"/>
        <v>0</v>
      </c>
      <c r="AA259" s="1">
        <f t="shared" si="123"/>
        <v>0</v>
      </c>
      <c r="AB259" s="1">
        <f t="shared" si="124"/>
        <v>1</v>
      </c>
      <c r="AD259" s="1">
        <f t="shared" si="125"/>
        <v>0</v>
      </c>
      <c r="AE259" s="1">
        <f t="shared" si="126"/>
        <v>1</v>
      </c>
      <c r="AF259" s="1">
        <f t="shared" si="111"/>
        <v>0</v>
      </c>
      <c r="AG259" s="1">
        <f t="shared" si="112"/>
        <v>1</v>
      </c>
      <c r="AH259" s="1">
        <f t="shared" si="113"/>
        <v>0</v>
      </c>
      <c r="AI259" s="1">
        <f t="shared" si="114"/>
        <v>1</v>
      </c>
    </row>
    <row r="260" spans="1:35" ht="14.25" customHeight="1" x14ac:dyDescent="0.25">
      <c r="A260" s="31">
        <v>0</v>
      </c>
      <c r="B260" s="31">
        <v>1</v>
      </c>
      <c r="C260" s="31">
        <v>7</v>
      </c>
      <c r="D260" s="36" t="s">
        <v>1460</v>
      </c>
      <c r="E260" s="32" t="s">
        <v>29</v>
      </c>
      <c r="F260" s="36" t="s">
        <v>989</v>
      </c>
      <c r="G260" s="36" t="s">
        <v>239</v>
      </c>
      <c r="H260" s="36" t="s">
        <v>352</v>
      </c>
      <c r="I260" s="37" t="s">
        <v>990</v>
      </c>
      <c r="J260" s="31">
        <v>1</v>
      </c>
      <c r="K260" s="33" t="s">
        <v>948</v>
      </c>
      <c r="L260" s="33" t="s">
        <v>690</v>
      </c>
      <c r="M260" s="34" t="s">
        <v>960</v>
      </c>
      <c r="N260" s="34" t="s">
        <v>1775</v>
      </c>
      <c r="O260" s="35">
        <v>1</v>
      </c>
      <c r="P260" s="35"/>
      <c r="Q260" s="36"/>
      <c r="S260" s="1">
        <f t="shared" si="115"/>
        <v>1</v>
      </c>
      <c r="T260" s="1">
        <f t="shared" si="116"/>
        <v>0</v>
      </c>
      <c r="U260" s="1">
        <f t="shared" si="117"/>
        <v>0</v>
      </c>
      <c r="V260" s="1">
        <f t="shared" si="118"/>
        <v>0</v>
      </c>
      <c r="W260" s="1">
        <f t="shared" si="119"/>
        <v>0</v>
      </c>
      <c r="X260" s="1">
        <f t="shared" si="120"/>
        <v>0</v>
      </c>
      <c r="Y260" s="1">
        <f t="shared" si="121"/>
        <v>0</v>
      </c>
      <c r="Z260" s="1">
        <f t="shared" si="122"/>
        <v>0</v>
      </c>
      <c r="AA260" s="1">
        <f t="shared" si="123"/>
        <v>0</v>
      </c>
      <c r="AB260" s="1">
        <f t="shared" si="124"/>
        <v>0</v>
      </c>
      <c r="AD260" s="1">
        <f t="shared" si="125"/>
        <v>0</v>
      </c>
      <c r="AE260" s="1">
        <f t="shared" si="126"/>
        <v>1</v>
      </c>
      <c r="AF260" s="1">
        <f t="shared" si="111"/>
        <v>0</v>
      </c>
      <c r="AG260" s="1">
        <f t="shared" si="112"/>
        <v>1</v>
      </c>
      <c r="AH260" s="1">
        <f t="shared" si="113"/>
        <v>0</v>
      </c>
      <c r="AI260" s="1">
        <f t="shared" si="114"/>
        <v>1</v>
      </c>
    </row>
    <row r="261" spans="1:35" ht="14.25" customHeight="1" x14ac:dyDescent="0.25">
      <c r="A261" s="31">
        <v>0</v>
      </c>
      <c r="B261" s="31">
        <v>1</v>
      </c>
      <c r="C261" s="31">
        <v>7</v>
      </c>
      <c r="D261" s="36" t="s">
        <v>887</v>
      </c>
      <c r="E261" s="32" t="s">
        <v>29</v>
      </c>
      <c r="F261" s="36" t="s">
        <v>888</v>
      </c>
      <c r="G261" s="36" t="s">
        <v>39</v>
      </c>
      <c r="H261" s="36" t="s">
        <v>353</v>
      </c>
      <c r="I261" s="37" t="s">
        <v>889</v>
      </c>
      <c r="J261" s="31">
        <v>11</v>
      </c>
      <c r="K261" s="33" t="s">
        <v>699</v>
      </c>
      <c r="L261" s="33">
        <v>35</v>
      </c>
      <c r="M261" s="34" t="s">
        <v>1382</v>
      </c>
      <c r="N261" s="34" t="s">
        <v>1920</v>
      </c>
      <c r="O261" s="35">
        <v>1</v>
      </c>
      <c r="P261" s="35"/>
      <c r="Q261" s="36" t="s">
        <v>1877</v>
      </c>
      <c r="S261" s="1">
        <f t="shared" si="115"/>
        <v>0</v>
      </c>
      <c r="T261" s="1">
        <f t="shared" si="116"/>
        <v>0</v>
      </c>
      <c r="U261" s="1">
        <f t="shared" si="117"/>
        <v>0</v>
      </c>
      <c r="V261" s="1">
        <f t="shared" si="118"/>
        <v>0</v>
      </c>
      <c r="W261" s="1">
        <f t="shared" si="119"/>
        <v>0</v>
      </c>
      <c r="X261" s="1">
        <f t="shared" si="120"/>
        <v>0</v>
      </c>
      <c r="Y261" s="1">
        <f t="shared" si="121"/>
        <v>0</v>
      </c>
      <c r="Z261" s="1">
        <f t="shared" si="122"/>
        <v>0</v>
      </c>
      <c r="AA261" s="1">
        <f t="shared" si="123"/>
        <v>0</v>
      </c>
      <c r="AB261" s="1">
        <f t="shared" si="124"/>
        <v>0</v>
      </c>
      <c r="AD261" s="1">
        <f t="shared" si="125"/>
        <v>0</v>
      </c>
      <c r="AE261" s="1">
        <f t="shared" si="126"/>
        <v>1</v>
      </c>
      <c r="AF261" s="1">
        <f t="shared" si="111"/>
        <v>0</v>
      </c>
      <c r="AG261" s="1">
        <f t="shared" si="112"/>
        <v>1</v>
      </c>
      <c r="AH261" s="1">
        <f t="shared" si="113"/>
        <v>0</v>
      </c>
      <c r="AI261" s="1">
        <f t="shared" si="114"/>
        <v>1</v>
      </c>
    </row>
    <row r="262" spans="1:35" ht="14.25" customHeight="1" x14ac:dyDescent="0.25">
      <c r="A262" s="31">
        <v>0</v>
      </c>
      <c r="B262" s="31">
        <v>1</v>
      </c>
      <c r="C262" s="31">
        <v>7</v>
      </c>
      <c r="D262" s="36" t="s">
        <v>1071</v>
      </c>
      <c r="E262" s="32" t="s">
        <v>29</v>
      </c>
      <c r="F262" s="36" t="s">
        <v>973</v>
      </c>
      <c r="G262" s="36" t="s">
        <v>202</v>
      </c>
      <c r="H262" s="36" t="s">
        <v>352</v>
      </c>
      <c r="I262" s="37" t="s">
        <v>974</v>
      </c>
      <c r="J262" s="31">
        <v>99</v>
      </c>
      <c r="K262" s="33" t="s">
        <v>709</v>
      </c>
      <c r="L262" s="33" t="s">
        <v>690</v>
      </c>
      <c r="M262" s="34" t="s">
        <v>1417</v>
      </c>
      <c r="N262" s="34" t="s">
        <v>1701</v>
      </c>
      <c r="O262" s="35">
        <v>1</v>
      </c>
      <c r="P262" s="35">
        <v>1</v>
      </c>
      <c r="Q262" s="36"/>
      <c r="S262" s="1">
        <f t="shared" si="115"/>
        <v>0</v>
      </c>
      <c r="T262" s="1">
        <f t="shared" si="116"/>
        <v>0</v>
      </c>
      <c r="U262" s="1">
        <f t="shared" si="117"/>
        <v>0</v>
      </c>
      <c r="V262" s="1">
        <f t="shared" si="118"/>
        <v>0</v>
      </c>
      <c r="W262" s="1">
        <f t="shared" si="119"/>
        <v>0</v>
      </c>
      <c r="X262" s="1">
        <f t="shared" si="120"/>
        <v>0</v>
      </c>
      <c r="Y262" s="1">
        <f t="shared" si="121"/>
        <v>0</v>
      </c>
      <c r="Z262" s="1">
        <f t="shared" si="122"/>
        <v>0</v>
      </c>
      <c r="AA262" s="1">
        <f t="shared" si="123"/>
        <v>0</v>
      </c>
      <c r="AB262" s="1">
        <f t="shared" si="124"/>
        <v>0</v>
      </c>
      <c r="AD262" s="1">
        <f t="shared" si="125"/>
        <v>1</v>
      </c>
      <c r="AE262" s="1">
        <f t="shared" si="126"/>
        <v>0</v>
      </c>
      <c r="AF262" s="1">
        <f t="shared" si="111"/>
        <v>1</v>
      </c>
      <c r="AG262" s="1">
        <f t="shared" si="112"/>
        <v>0</v>
      </c>
      <c r="AH262" s="1">
        <f t="shared" si="113"/>
        <v>1</v>
      </c>
      <c r="AI262" s="1">
        <f t="shared" si="114"/>
        <v>0</v>
      </c>
    </row>
    <row r="263" spans="1:35" ht="14.25" customHeight="1" x14ac:dyDescent="0.25">
      <c r="A263" s="15">
        <v>0</v>
      </c>
      <c r="B263" s="15">
        <v>1</v>
      </c>
      <c r="C263" s="15">
        <v>7</v>
      </c>
      <c r="D263" s="16" t="s">
        <v>747</v>
      </c>
      <c r="E263" s="16" t="s">
        <v>29</v>
      </c>
      <c r="F263" s="16" t="s">
        <v>748</v>
      </c>
      <c r="G263" s="16" t="s">
        <v>749</v>
      </c>
      <c r="H263" s="16" t="s">
        <v>352</v>
      </c>
      <c r="I263" s="15" t="s">
        <v>750</v>
      </c>
      <c r="J263" s="15">
        <v>99</v>
      </c>
      <c r="K263" s="10" t="s">
        <v>699</v>
      </c>
      <c r="L263" s="10">
        <v>20</v>
      </c>
      <c r="M263" s="19" t="s">
        <v>1107</v>
      </c>
      <c r="N263" s="17"/>
      <c r="Q263" s="16"/>
      <c r="S263" s="1">
        <f t="shared" si="115"/>
        <v>0</v>
      </c>
      <c r="T263" s="1">
        <f t="shared" si="116"/>
        <v>0</v>
      </c>
      <c r="U263" s="1">
        <f t="shared" si="117"/>
        <v>0</v>
      </c>
      <c r="V263" s="1">
        <f t="shared" si="118"/>
        <v>0</v>
      </c>
      <c r="W263" s="1">
        <f t="shared" si="119"/>
        <v>0</v>
      </c>
      <c r="X263" s="1">
        <f t="shared" si="120"/>
        <v>0</v>
      </c>
      <c r="Y263" s="1">
        <f t="shared" si="121"/>
        <v>0</v>
      </c>
      <c r="Z263" s="1">
        <f t="shared" si="122"/>
        <v>0</v>
      </c>
      <c r="AA263" s="1">
        <f t="shared" si="123"/>
        <v>0</v>
      </c>
      <c r="AB263" s="1">
        <f t="shared" si="124"/>
        <v>0</v>
      </c>
      <c r="AD263" s="1">
        <f t="shared" si="125"/>
        <v>0</v>
      </c>
      <c r="AE263" s="1">
        <f t="shared" si="126"/>
        <v>0</v>
      </c>
      <c r="AF263" s="1">
        <f t="shared" si="111"/>
        <v>0</v>
      </c>
      <c r="AG263" s="1">
        <f t="shared" si="112"/>
        <v>0</v>
      </c>
      <c r="AH263" s="1">
        <f t="shared" si="113"/>
        <v>0</v>
      </c>
      <c r="AI263" s="1">
        <f t="shared" si="114"/>
        <v>1</v>
      </c>
    </row>
    <row r="264" spans="1:35" ht="14.25" customHeight="1" x14ac:dyDescent="0.25">
      <c r="A264" s="31">
        <v>0</v>
      </c>
      <c r="B264" s="31">
        <v>1</v>
      </c>
      <c r="C264" s="31">
        <v>7</v>
      </c>
      <c r="D264" s="36" t="s">
        <v>819</v>
      </c>
      <c r="E264" s="32" t="s">
        <v>29</v>
      </c>
      <c r="F264" s="36" t="s">
        <v>820</v>
      </c>
      <c r="G264" s="36" t="s">
        <v>917</v>
      </c>
      <c r="H264" s="36" t="s">
        <v>352</v>
      </c>
      <c r="I264" s="37" t="s">
        <v>821</v>
      </c>
      <c r="J264" s="31">
        <v>99</v>
      </c>
      <c r="K264" s="33" t="s">
        <v>942</v>
      </c>
      <c r="L264" s="33" t="s">
        <v>690</v>
      </c>
      <c r="M264" s="34" t="s">
        <v>960</v>
      </c>
      <c r="N264" s="34" t="s">
        <v>1799</v>
      </c>
      <c r="O264" s="35">
        <v>1</v>
      </c>
      <c r="P264" s="35"/>
      <c r="Q264" s="36"/>
      <c r="S264" s="1">
        <f t="shared" si="115"/>
        <v>0</v>
      </c>
      <c r="T264" s="1">
        <f t="shared" si="116"/>
        <v>0</v>
      </c>
      <c r="U264" s="1">
        <f t="shared" si="117"/>
        <v>0</v>
      </c>
      <c r="V264" s="1">
        <f t="shared" si="118"/>
        <v>0</v>
      </c>
      <c r="W264" s="1">
        <f t="shared" si="119"/>
        <v>0</v>
      </c>
      <c r="X264" s="1">
        <f t="shared" si="120"/>
        <v>0</v>
      </c>
      <c r="Y264" s="1">
        <f t="shared" si="121"/>
        <v>0</v>
      </c>
      <c r="Z264" s="1">
        <f t="shared" si="122"/>
        <v>0</v>
      </c>
      <c r="AA264" s="1">
        <f t="shared" si="123"/>
        <v>0</v>
      </c>
      <c r="AB264" s="1">
        <f t="shared" si="124"/>
        <v>0</v>
      </c>
      <c r="AD264" s="1">
        <f t="shared" si="125"/>
        <v>0</v>
      </c>
      <c r="AE264" s="1">
        <f t="shared" si="126"/>
        <v>1</v>
      </c>
      <c r="AF264" s="1">
        <f t="shared" si="111"/>
        <v>0</v>
      </c>
      <c r="AG264" s="1">
        <f t="shared" si="112"/>
        <v>1</v>
      </c>
      <c r="AH264" s="1">
        <f t="shared" si="113"/>
        <v>0</v>
      </c>
      <c r="AI264" s="1">
        <f t="shared" si="114"/>
        <v>1</v>
      </c>
    </row>
    <row r="265" spans="1:35" ht="14.25" customHeight="1" x14ac:dyDescent="0.25">
      <c r="A265" s="31">
        <v>0</v>
      </c>
      <c r="B265" s="31">
        <v>1</v>
      </c>
      <c r="C265" s="31">
        <v>7</v>
      </c>
      <c r="D265" s="36" t="s">
        <v>1694</v>
      </c>
      <c r="E265" s="32" t="s">
        <v>29</v>
      </c>
      <c r="F265" s="36" t="s">
        <v>1695</v>
      </c>
      <c r="G265" s="36" t="s">
        <v>248</v>
      </c>
      <c r="H265" s="36" t="s">
        <v>352</v>
      </c>
      <c r="I265" s="37" t="s">
        <v>1696</v>
      </c>
      <c r="J265" s="31"/>
      <c r="K265" s="33" t="s">
        <v>699</v>
      </c>
      <c r="L265" s="33"/>
      <c r="M265" s="34"/>
      <c r="N265" s="34" t="s">
        <v>1701</v>
      </c>
      <c r="O265" s="35">
        <v>1</v>
      </c>
      <c r="P265" s="35">
        <v>1</v>
      </c>
      <c r="Q265" s="36"/>
      <c r="S265" s="1">
        <f t="shared" si="115"/>
        <v>0</v>
      </c>
      <c r="T265" s="1">
        <f t="shared" si="116"/>
        <v>0</v>
      </c>
      <c r="U265" s="1">
        <f t="shared" si="117"/>
        <v>0</v>
      </c>
      <c r="V265" s="1">
        <f t="shared" si="118"/>
        <v>0</v>
      </c>
      <c r="W265" s="1">
        <f t="shared" si="119"/>
        <v>0</v>
      </c>
      <c r="X265" s="1">
        <f t="shared" si="120"/>
        <v>0</v>
      </c>
      <c r="Y265" s="1">
        <f t="shared" si="121"/>
        <v>0</v>
      </c>
      <c r="Z265" s="1">
        <f t="shared" si="122"/>
        <v>0</v>
      </c>
      <c r="AA265" s="1">
        <f t="shared" si="123"/>
        <v>0</v>
      </c>
      <c r="AB265" s="1">
        <f t="shared" si="124"/>
        <v>0</v>
      </c>
      <c r="AD265" s="1">
        <f t="shared" si="125"/>
        <v>1</v>
      </c>
      <c r="AE265" s="1">
        <f t="shared" si="126"/>
        <v>0</v>
      </c>
      <c r="AF265" s="1">
        <f t="shared" si="111"/>
        <v>1</v>
      </c>
      <c r="AG265" s="1">
        <f t="shared" si="112"/>
        <v>0</v>
      </c>
      <c r="AH265" s="1">
        <f t="shared" si="113"/>
        <v>1</v>
      </c>
      <c r="AI265" s="1">
        <f t="shared" si="114"/>
        <v>0</v>
      </c>
    </row>
    <row r="266" spans="1:35" ht="14.25" customHeight="1" x14ac:dyDescent="0.25">
      <c r="A266" s="31">
        <v>0</v>
      </c>
      <c r="B266" s="31">
        <v>1</v>
      </c>
      <c r="C266" s="31">
        <v>7</v>
      </c>
      <c r="D266" s="32" t="s">
        <v>890</v>
      </c>
      <c r="E266" s="32" t="s">
        <v>29</v>
      </c>
      <c r="F266" s="32" t="s">
        <v>891</v>
      </c>
      <c r="G266" s="32" t="s">
        <v>227</v>
      </c>
      <c r="H266" s="32" t="s">
        <v>352</v>
      </c>
      <c r="I266" s="31" t="s">
        <v>892</v>
      </c>
      <c r="J266" s="31">
        <v>99</v>
      </c>
      <c r="K266" s="33" t="s">
        <v>709</v>
      </c>
      <c r="L266" s="33" t="s">
        <v>690</v>
      </c>
      <c r="M266" s="34" t="s">
        <v>1383</v>
      </c>
      <c r="N266" s="34" t="s">
        <v>1722</v>
      </c>
      <c r="O266" s="35">
        <v>1</v>
      </c>
      <c r="P266" s="35"/>
      <c r="Q266" s="32"/>
      <c r="S266" s="1">
        <f t="shared" si="115"/>
        <v>0</v>
      </c>
      <c r="T266" s="1">
        <f t="shared" si="116"/>
        <v>0</v>
      </c>
      <c r="U266" s="1">
        <f t="shared" si="117"/>
        <v>0</v>
      </c>
      <c r="V266" s="1">
        <f t="shared" si="118"/>
        <v>0</v>
      </c>
      <c r="W266" s="1">
        <f t="shared" si="119"/>
        <v>0</v>
      </c>
      <c r="X266" s="1">
        <f t="shared" si="120"/>
        <v>0</v>
      </c>
      <c r="Y266" s="1">
        <f t="shared" si="121"/>
        <v>0</v>
      </c>
      <c r="Z266" s="1">
        <f t="shared" si="122"/>
        <v>0</v>
      </c>
      <c r="AA266" s="1">
        <f t="shared" si="123"/>
        <v>0</v>
      </c>
      <c r="AB266" s="1">
        <f t="shared" si="124"/>
        <v>0</v>
      </c>
      <c r="AD266" s="1">
        <f t="shared" si="125"/>
        <v>0</v>
      </c>
      <c r="AE266" s="1">
        <f t="shared" si="126"/>
        <v>1</v>
      </c>
      <c r="AF266" s="1">
        <f t="shared" si="111"/>
        <v>0</v>
      </c>
      <c r="AG266" s="1">
        <f t="shared" si="112"/>
        <v>1</v>
      </c>
      <c r="AH266" s="1">
        <f t="shared" si="113"/>
        <v>0</v>
      </c>
      <c r="AI266" s="1">
        <f t="shared" si="114"/>
        <v>1</v>
      </c>
    </row>
    <row r="267" spans="1:35" ht="14.25" customHeight="1" x14ac:dyDescent="0.25">
      <c r="A267" s="31">
        <v>0</v>
      </c>
      <c r="B267" s="31">
        <v>1</v>
      </c>
      <c r="C267" s="31">
        <v>7</v>
      </c>
      <c r="D267" s="32" t="s">
        <v>88</v>
      </c>
      <c r="E267" s="32" t="s">
        <v>29</v>
      </c>
      <c r="F267" s="32" t="s">
        <v>280</v>
      </c>
      <c r="G267" s="32" t="s">
        <v>281</v>
      </c>
      <c r="H267" s="32" t="s">
        <v>352</v>
      </c>
      <c r="I267" s="31" t="s">
        <v>931</v>
      </c>
      <c r="J267" s="31">
        <v>99</v>
      </c>
      <c r="K267" s="33" t="s">
        <v>942</v>
      </c>
      <c r="L267" s="33" t="s">
        <v>690</v>
      </c>
      <c r="M267" s="34" t="s">
        <v>960</v>
      </c>
      <c r="N267" s="34" t="s">
        <v>1823</v>
      </c>
      <c r="O267" s="35">
        <v>1</v>
      </c>
      <c r="P267" s="35"/>
      <c r="Q267" s="32"/>
      <c r="S267" s="1">
        <f t="shared" si="115"/>
        <v>0</v>
      </c>
      <c r="T267" s="1">
        <f t="shared" si="116"/>
        <v>0</v>
      </c>
      <c r="U267" s="1">
        <f t="shared" si="117"/>
        <v>0</v>
      </c>
      <c r="V267" s="1">
        <f t="shared" si="118"/>
        <v>0</v>
      </c>
      <c r="W267" s="1">
        <f t="shared" si="119"/>
        <v>0</v>
      </c>
      <c r="X267" s="1">
        <f t="shared" si="120"/>
        <v>0</v>
      </c>
      <c r="Y267" s="1">
        <f t="shared" si="121"/>
        <v>0</v>
      </c>
      <c r="Z267" s="1">
        <f t="shared" si="122"/>
        <v>0</v>
      </c>
      <c r="AA267" s="1">
        <f t="shared" si="123"/>
        <v>0</v>
      </c>
      <c r="AB267" s="1">
        <f t="shared" si="124"/>
        <v>0</v>
      </c>
      <c r="AD267" s="1">
        <f t="shared" si="125"/>
        <v>0</v>
      </c>
      <c r="AE267" s="1">
        <f t="shared" si="126"/>
        <v>1</v>
      </c>
      <c r="AF267" s="1">
        <f t="shared" si="111"/>
        <v>0</v>
      </c>
      <c r="AG267" s="1">
        <f t="shared" si="112"/>
        <v>1</v>
      </c>
      <c r="AH267" s="1">
        <f t="shared" si="113"/>
        <v>0</v>
      </c>
      <c r="AI267" s="1">
        <f t="shared" si="114"/>
        <v>1</v>
      </c>
    </row>
    <row r="268" spans="1:35" ht="14.25" customHeight="1" x14ac:dyDescent="0.25">
      <c r="A268" s="31">
        <v>0</v>
      </c>
      <c r="B268" s="31">
        <v>1</v>
      </c>
      <c r="C268" s="31">
        <v>7</v>
      </c>
      <c r="D268" s="36" t="s">
        <v>1610</v>
      </c>
      <c r="E268" s="32" t="s">
        <v>29</v>
      </c>
      <c r="F268" s="36" t="s">
        <v>1509</v>
      </c>
      <c r="G268" s="36" t="s">
        <v>39</v>
      </c>
      <c r="H268" s="36" t="s">
        <v>875</v>
      </c>
      <c r="I268" s="37" t="s">
        <v>1510</v>
      </c>
      <c r="J268" s="31">
        <v>17</v>
      </c>
      <c r="K268" s="33" t="s">
        <v>709</v>
      </c>
      <c r="L268" s="33" t="s">
        <v>693</v>
      </c>
      <c r="M268" s="34" t="s">
        <v>1432</v>
      </c>
      <c r="N268" s="34" t="s">
        <v>1701</v>
      </c>
      <c r="O268" s="35">
        <v>1</v>
      </c>
      <c r="P268" s="35">
        <v>1</v>
      </c>
      <c r="Q268" s="36"/>
      <c r="S268" s="1">
        <f t="shared" si="115"/>
        <v>0</v>
      </c>
      <c r="T268" s="1">
        <f t="shared" si="116"/>
        <v>0</v>
      </c>
      <c r="U268" s="1">
        <f t="shared" si="117"/>
        <v>0</v>
      </c>
      <c r="V268" s="1">
        <f t="shared" si="118"/>
        <v>0</v>
      </c>
      <c r="W268" s="1">
        <f t="shared" si="119"/>
        <v>0</v>
      </c>
      <c r="X268" s="1">
        <f t="shared" si="120"/>
        <v>0</v>
      </c>
      <c r="Y268" s="1">
        <f t="shared" si="121"/>
        <v>0</v>
      </c>
      <c r="Z268" s="1">
        <f t="shared" si="122"/>
        <v>0</v>
      </c>
      <c r="AA268" s="1">
        <f t="shared" si="123"/>
        <v>0</v>
      </c>
      <c r="AB268" s="1">
        <f t="shared" si="124"/>
        <v>0</v>
      </c>
      <c r="AD268" s="1">
        <f t="shared" si="125"/>
        <v>1</v>
      </c>
      <c r="AE268" s="1">
        <f t="shared" si="126"/>
        <v>0</v>
      </c>
      <c r="AF268" s="1">
        <f t="shared" si="111"/>
        <v>1</v>
      </c>
      <c r="AG268" s="1">
        <f t="shared" si="112"/>
        <v>0</v>
      </c>
      <c r="AH268" s="1">
        <f t="shared" si="113"/>
        <v>1</v>
      </c>
      <c r="AI268" s="1">
        <f t="shared" si="114"/>
        <v>0</v>
      </c>
    </row>
    <row r="269" spans="1:35" ht="14.25" customHeight="1" x14ac:dyDescent="0.25">
      <c r="A269" s="44">
        <v>0</v>
      </c>
      <c r="B269" s="44">
        <v>1</v>
      </c>
      <c r="C269" s="44">
        <v>7</v>
      </c>
      <c r="D269" s="45" t="s">
        <v>1429</v>
      </c>
      <c r="E269" s="45" t="s">
        <v>29</v>
      </c>
      <c r="F269" s="45" t="s">
        <v>1430</v>
      </c>
      <c r="G269" s="45" t="s">
        <v>319</v>
      </c>
      <c r="H269" s="45" t="s">
        <v>352</v>
      </c>
      <c r="I269" s="44" t="s">
        <v>1431</v>
      </c>
      <c r="J269" s="44">
        <v>99</v>
      </c>
      <c r="K269" s="46" t="s">
        <v>699</v>
      </c>
      <c r="L269" s="46">
        <v>30</v>
      </c>
      <c r="M269" s="47" t="s">
        <v>1432</v>
      </c>
      <c r="N269" s="47" t="s">
        <v>1776</v>
      </c>
      <c r="O269" s="48"/>
      <c r="P269" s="48"/>
      <c r="Q269" s="45"/>
      <c r="S269" s="1">
        <f t="shared" si="115"/>
        <v>0</v>
      </c>
      <c r="T269" s="1">
        <f t="shared" si="116"/>
        <v>0</v>
      </c>
      <c r="U269" s="1">
        <f t="shared" si="117"/>
        <v>0</v>
      </c>
      <c r="V269" s="1">
        <f t="shared" si="118"/>
        <v>0</v>
      </c>
      <c r="W269" s="1">
        <f t="shared" si="119"/>
        <v>0</v>
      </c>
      <c r="X269" s="1">
        <f t="shared" si="120"/>
        <v>0</v>
      </c>
      <c r="Y269" s="1">
        <f t="shared" si="121"/>
        <v>0</v>
      </c>
      <c r="Z269" s="1">
        <f t="shared" si="122"/>
        <v>0</v>
      </c>
      <c r="AA269" s="1">
        <f t="shared" si="123"/>
        <v>0</v>
      </c>
      <c r="AB269" s="1">
        <f t="shared" si="124"/>
        <v>0</v>
      </c>
      <c r="AD269" s="1">
        <f t="shared" si="125"/>
        <v>0</v>
      </c>
      <c r="AE269" s="1">
        <f t="shared" si="126"/>
        <v>0</v>
      </c>
      <c r="AF269" s="1">
        <f t="shared" si="111"/>
        <v>0</v>
      </c>
      <c r="AG269" s="1">
        <f t="shared" si="112"/>
        <v>0</v>
      </c>
      <c r="AH269" s="1">
        <f t="shared" si="113"/>
        <v>0</v>
      </c>
      <c r="AI269" s="1">
        <f t="shared" si="114"/>
        <v>1</v>
      </c>
    </row>
    <row r="270" spans="1:35" ht="14.25" customHeight="1" x14ac:dyDescent="0.25">
      <c r="A270" s="31">
        <v>0</v>
      </c>
      <c r="B270" s="31">
        <v>1</v>
      </c>
      <c r="C270" s="31">
        <v>7</v>
      </c>
      <c r="D270" s="36" t="s">
        <v>837</v>
      </c>
      <c r="E270" s="32" t="s">
        <v>29</v>
      </c>
      <c r="F270" s="36" t="s">
        <v>838</v>
      </c>
      <c r="G270" s="36" t="s">
        <v>221</v>
      </c>
      <c r="H270" s="36" t="s">
        <v>352</v>
      </c>
      <c r="I270" s="37" t="s">
        <v>839</v>
      </c>
      <c r="J270" s="31">
        <v>99</v>
      </c>
      <c r="K270" s="33" t="s">
        <v>942</v>
      </c>
      <c r="L270" s="33" t="s">
        <v>690</v>
      </c>
      <c r="M270" s="34" t="s">
        <v>960</v>
      </c>
      <c r="N270" s="34" t="s">
        <v>1823</v>
      </c>
      <c r="O270" s="35">
        <v>1</v>
      </c>
      <c r="P270" s="35"/>
      <c r="Q270" s="36"/>
      <c r="S270" s="1">
        <f t="shared" si="115"/>
        <v>0</v>
      </c>
      <c r="T270" s="1">
        <f t="shared" si="116"/>
        <v>0</v>
      </c>
      <c r="U270" s="1">
        <f t="shared" si="117"/>
        <v>0</v>
      </c>
      <c r="V270" s="1">
        <f t="shared" si="118"/>
        <v>0</v>
      </c>
      <c r="W270" s="1">
        <f t="shared" si="119"/>
        <v>0</v>
      </c>
      <c r="X270" s="1">
        <f t="shared" si="120"/>
        <v>0</v>
      </c>
      <c r="Y270" s="1">
        <f t="shared" si="121"/>
        <v>0</v>
      </c>
      <c r="Z270" s="1">
        <f t="shared" si="122"/>
        <v>0</v>
      </c>
      <c r="AA270" s="1">
        <f t="shared" si="123"/>
        <v>0</v>
      </c>
      <c r="AB270" s="1">
        <f t="shared" si="124"/>
        <v>0</v>
      </c>
      <c r="AD270" s="1">
        <f t="shared" si="125"/>
        <v>0</v>
      </c>
      <c r="AE270" s="1">
        <f t="shared" si="126"/>
        <v>1</v>
      </c>
      <c r="AF270" s="1">
        <f t="shared" si="111"/>
        <v>0</v>
      </c>
      <c r="AG270" s="1">
        <f t="shared" si="112"/>
        <v>1</v>
      </c>
      <c r="AH270" s="1">
        <f t="shared" si="113"/>
        <v>0</v>
      </c>
      <c r="AI270" s="1">
        <f t="shared" si="114"/>
        <v>1</v>
      </c>
    </row>
    <row r="271" spans="1:35" ht="14.25" customHeight="1" x14ac:dyDescent="0.25">
      <c r="A271" s="31">
        <v>1</v>
      </c>
      <c r="B271" s="31">
        <v>1</v>
      </c>
      <c r="C271" s="31">
        <v>7</v>
      </c>
      <c r="D271" s="36" t="s">
        <v>837</v>
      </c>
      <c r="E271" s="32" t="s">
        <v>29</v>
      </c>
      <c r="F271" s="36" t="s">
        <v>919</v>
      </c>
      <c r="G271" s="36" t="s">
        <v>278</v>
      </c>
      <c r="H271" s="36" t="s">
        <v>352</v>
      </c>
      <c r="I271" s="37" t="s">
        <v>840</v>
      </c>
      <c r="J271" s="31">
        <v>99</v>
      </c>
      <c r="K271" s="33" t="s">
        <v>942</v>
      </c>
      <c r="L271" s="33" t="s">
        <v>690</v>
      </c>
      <c r="M271" s="34" t="s">
        <v>960</v>
      </c>
      <c r="N271" s="34" t="s">
        <v>1823</v>
      </c>
      <c r="O271" s="35">
        <v>1</v>
      </c>
      <c r="P271" s="35"/>
      <c r="Q271" s="36"/>
      <c r="S271" s="1">
        <f t="shared" si="115"/>
        <v>0</v>
      </c>
      <c r="T271" s="1">
        <f t="shared" si="116"/>
        <v>0</v>
      </c>
      <c r="U271" s="1">
        <f t="shared" si="117"/>
        <v>0</v>
      </c>
      <c r="V271" s="1">
        <f t="shared" si="118"/>
        <v>0</v>
      </c>
      <c r="W271" s="1">
        <f t="shared" si="119"/>
        <v>0</v>
      </c>
      <c r="X271" s="1">
        <f t="shared" si="120"/>
        <v>0</v>
      </c>
      <c r="Y271" s="1">
        <f t="shared" si="121"/>
        <v>0</v>
      </c>
      <c r="Z271" s="1">
        <f t="shared" si="122"/>
        <v>0</v>
      </c>
      <c r="AA271" s="1">
        <f t="shared" si="123"/>
        <v>0</v>
      </c>
      <c r="AB271" s="1">
        <f t="shared" si="124"/>
        <v>0</v>
      </c>
      <c r="AD271" s="1">
        <f t="shared" si="125"/>
        <v>0</v>
      </c>
      <c r="AE271" s="1">
        <f t="shared" si="126"/>
        <v>1</v>
      </c>
      <c r="AF271" s="1">
        <f t="shared" si="111"/>
        <v>0</v>
      </c>
      <c r="AG271" s="1">
        <f t="shared" si="112"/>
        <v>0</v>
      </c>
      <c r="AH271" s="1">
        <f t="shared" si="113"/>
        <v>0</v>
      </c>
      <c r="AI271" s="1">
        <f t="shared" si="114"/>
        <v>0</v>
      </c>
    </row>
    <row r="272" spans="1:35" ht="14.25" customHeight="1" x14ac:dyDescent="0.25">
      <c r="A272" s="31">
        <v>0</v>
      </c>
      <c r="B272" s="31">
        <v>1</v>
      </c>
      <c r="C272" s="31">
        <v>7</v>
      </c>
      <c r="D272" s="32" t="s">
        <v>1197</v>
      </c>
      <c r="E272" s="32" t="s">
        <v>29</v>
      </c>
      <c r="F272" s="32" t="s">
        <v>1198</v>
      </c>
      <c r="G272" s="32" t="s">
        <v>237</v>
      </c>
      <c r="H272" s="32" t="s">
        <v>352</v>
      </c>
      <c r="I272" s="31" t="s">
        <v>1339</v>
      </c>
      <c r="J272" s="31">
        <v>99</v>
      </c>
      <c r="K272" s="33" t="s">
        <v>709</v>
      </c>
      <c r="L272" s="33" t="s">
        <v>690</v>
      </c>
      <c r="M272" s="34" t="s">
        <v>1384</v>
      </c>
      <c r="N272" s="34" t="s">
        <v>1729</v>
      </c>
      <c r="O272" s="35">
        <v>1</v>
      </c>
      <c r="P272" s="35"/>
      <c r="Q272" s="32"/>
      <c r="S272" s="1">
        <f t="shared" si="115"/>
        <v>0</v>
      </c>
      <c r="T272" s="1">
        <f t="shared" si="116"/>
        <v>0</v>
      </c>
      <c r="U272" s="1">
        <f t="shared" si="117"/>
        <v>0</v>
      </c>
      <c r="V272" s="1">
        <f t="shared" si="118"/>
        <v>0</v>
      </c>
      <c r="W272" s="1">
        <f t="shared" si="119"/>
        <v>0</v>
      </c>
      <c r="X272" s="1">
        <f t="shared" si="120"/>
        <v>0</v>
      </c>
      <c r="Y272" s="1">
        <f t="shared" si="121"/>
        <v>0</v>
      </c>
      <c r="Z272" s="1">
        <f t="shared" si="122"/>
        <v>0</v>
      </c>
      <c r="AA272" s="1">
        <f t="shared" si="123"/>
        <v>0</v>
      </c>
      <c r="AB272" s="1">
        <f t="shared" si="124"/>
        <v>0</v>
      </c>
      <c r="AD272" s="1">
        <f t="shared" si="125"/>
        <v>0</v>
      </c>
      <c r="AE272" s="1">
        <f t="shared" si="126"/>
        <v>1</v>
      </c>
      <c r="AF272" s="1">
        <f t="shared" si="111"/>
        <v>0</v>
      </c>
      <c r="AG272" s="1">
        <f t="shared" si="112"/>
        <v>1</v>
      </c>
      <c r="AH272" s="1">
        <f t="shared" si="113"/>
        <v>0</v>
      </c>
      <c r="AI272" s="1">
        <f t="shared" si="114"/>
        <v>1</v>
      </c>
    </row>
    <row r="273" spans="1:35" ht="14.25" customHeight="1" x14ac:dyDescent="0.25">
      <c r="A273" s="31">
        <v>0</v>
      </c>
      <c r="B273" s="31">
        <v>1</v>
      </c>
      <c r="C273" s="31">
        <v>7</v>
      </c>
      <c r="D273" s="36" t="s">
        <v>1214</v>
      </c>
      <c r="E273" s="32" t="s">
        <v>29</v>
      </c>
      <c r="F273" s="36" t="s">
        <v>1215</v>
      </c>
      <c r="G273" s="36" t="s">
        <v>237</v>
      </c>
      <c r="H273" s="36" t="s">
        <v>352</v>
      </c>
      <c r="I273" s="37" t="s">
        <v>1216</v>
      </c>
      <c r="J273" s="31">
        <v>99</v>
      </c>
      <c r="K273" s="33" t="s">
        <v>709</v>
      </c>
      <c r="L273" s="33" t="s">
        <v>689</v>
      </c>
      <c r="M273" s="34" t="s">
        <v>1384</v>
      </c>
      <c r="N273" s="34" t="s">
        <v>1799</v>
      </c>
      <c r="O273" s="35">
        <v>1</v>
      </c>
      <c r="P273" s="35"/>
      <c r="Q273" s="36"/>
      <c r="S273" s="1">
        <f t="shared" si="115"/>
        <v>0</v>
      </c>
      <c r="T273" s="1">
        <f t="shared" si="116"/>
        <v>0</v>
      </c>
      <c r="U273" s="1">
        <f t="shared" si="117"/>
        <v>0</v>
      </c>
      <c r="V273" s="1">
        <f t="shared" si="118"/>
        <v>0</v>
      </c>
      <c r="W273" s="1">
        <f t="shared" si="119"/>
        <v>0</v>
      </c>
      <c r="X273" s="1">
        <f t="shared" si="120"/>
        <v>0</v>
      </c>
      <c r="Y273" s="1">
        <f t="shared" si="121"/>
        <v>0</v>
      </c>
      <c r="Z273" s="1">
        <f t="shared" si="122"/>
        <v>0</v>
      </c>
      <c r="AA273" s="1">
        <f t="shared" si="123"/>
        <v>0</v>
      </c>
      <c r="AB273" s="1">
        <f t="shared" si="124"/>
        <v>0</v>
      </c>
      <c r="AD273" s="1">
        <f t="shared" si="125"/>
        <v>0</v>
      </c>
      <c r="AE273" s="1">
        <f t="shared" si="126"/>
        <v>1</v>
      </c>
      <c r="AF273" s="1">
        <f t="shared" ref="AF273:AF336" si="127">+O273*P273*(1-A273)</f>
        <v>0</v>
      </c>
      <c r="AG273" s="1">
        <f t="shared" ref="AG273:AG336" si="128">O273*(1-P273)*(1-A273)</f>
        <v>1</v>
      </c>
      <c r="AH273" s="1">
        <f t="shared" ref="AH273:AH336" si="129">+P273*(1-A273)</f>
        <v>0</v>
      </c>
      <c r="AI273" s="1">
        <f t="shared" ref="AI273:AI336" si="130">+(1-A273)*(1-P273)</f>
        <v>1</v>
      </c>
    </row>
    <row r="274" spans="1:35" ht="14.25" customHeight="1" x14ac:dyDescent="0.25">
      <c r="A274" s="31">
        <v>0</v>
      </c>
      <c r="B274" s="31">
        <v>1</v>
      </c>
      <c r="C274" s="31">
        <v>7</v>
      </c>
      <c r="D274" s="36" t="s">
        <v>92</v>
      </c>
      <c r="E274" s="32" t="s">
        <v>29</v>
      </c>
      <c r="F274" s="36" t="s">
        <v>286</v>
      </c>
      <c r="G274" s="36" t="s">
        <v>189</v>
      </c>
      <c r="H274" s="36" t="s">
        <v>352</v>
      </c>
      <c r="I274" s="37" t="s">
        <v>438</v>
      </c>
      <c r="J274" s="31">
        <v>99</v>
      </c>
      <c r="K274" s="33" t="s">
        <v>709</v>
      </c>
      <c r="L274" s="33" t="s">
        <v>690</v>
      </c>
      <c r="M274" s="34" t="s">
        <v>1385</v>
      </c>
      <c r="N274" s="34" t="s">
        <v>1724</v>
      </c>
      <c r="O274" s="35">
        <v>1</v>
      </c>
      <c r="P274" s="35"/>
      <c r="Q274" s="36"/>
      <c r="S274" s="1">
        <f t="shared" si="115"/>
        <v>0</v>
      </c>
      <c r="T274" s="1">
        <f t="shared" si="116"/>
        <v>0</v>
      </c>
      <c r="U274" s="1">
        <f t="shared" si="117"/>
        <v>0</v>
      </c>
      <c r="V274" s="1">
        <f t="shared" si="118"/>
        <v>0</v>
      </c>
      <c r="W274" s="1">
        <f t="shared" si="119"/>
        <v>0</v>
      </c>
      <c r="X274" s="1">
        <f t="shared" si="120"/>
        <v>0</v>
      </c>
      <c r="Y274" s="1">
        <f t="shared" si="121"/>
        <v>0</v>
      </c>
      <c r="Z274" s="1">
        <f t="shared" si="122"/>
        <v>0</v>
      </c>
      <c r="AA274" s="1">
        <f t="shared" si="123"/>
        <v>0</v>
      </c>
      <c r="AB274" s="1">
        <f t="shared" si="124"/>
        <v>0</v>
      </c>
      <c r="AD274" s="1">
        <f t="shared" si="125"/>
        <v>0</v>
      </c>
      <c r="AE274" s="1">
        <f t="shared" si="126"/>
        <v>1</v>
      </c>
      <c r="AF274" s="1">
        <f t="shared" si="127"/>
        <v>0</v>
      </c>
      <c r="AG274" s="1">
        <f t="shared" si="128"/>
        <v>1</v>
      </c>
      <c r="AH274" s="1">
        <f t="shared" si="129"/>
        <v>0</v>
      </c>
      <c r="AI274" s="1">
        <f t="shared" si="130"/>
        <v>1</v>
      </c>
    </row>
    <row r="275" spans="1:35" ht="14.25" customHeight="1" x14ac:dyDescent="0.25">
      <c r="A275" s="31">
        <v>0</v>
      </c>
      <c r="B275" s="31">
        <v>1</v>
      </c>
      <c r="C275" s="31">
        <v>7</v>
      </c>
      <c r="D275" s="32" t="s">
        <v>861</v>
      </c>
      <c r="E275" s="32" t="s">
        <v>29</v>
      </c>
      <c r="F275" s="32" t="s">
        <v>862</v>
      </c>
      <c r="G275" s="32" t="s">
        <v>193</v>
      </c>
      <c r="H275" s="32" t="s">
        <v>352</v>
      </c>
      <c r="I275" s="31" t="s">
        <v>863</v>
      </c>
      <c r="J275" s="31">
        <v>9</v>
      </c>
      <c r="K275" s="33" t="s">
        <v>709</v>
      </c>
      <c r="L275" s="33" t="s">
        <v>692</v>
      </c>
      <c r="M275" s="34" t="s">
        <v>704</v>
      </c>
      <c r="N275" s="34" t="s">
        <v>1717</v>
      </c>
      <c r="O275" s="35">
        <v>1</v>
      </c>
      <c r="P275" s="35"/>
      <c r="Q275" s="32"/>
      <c r="S275" s="1">
        <f t="shared" si="115"/>
        <v>0</v>
      </c>
      <c r="T275" s="1">
        <f t="shared" si="116"/>
        <v>0</v>
      </c>
      <c r="U275" s="1">
        <f t="shared" si="117"/>
        <v>0</v>
      </c>
      <c r="V275" s="1">
        <f t="shared" si="118"/>
        <v>0</v>
      </c>
      <c r="W275" s="1">
        <f t="shared" si="119"/>
        <v>0</v>
      </c>
      <c r="X275" s="1">
        <f t="shared" si="120"/>
        <v>0</v>
      </c>
      <c r="Y275" s="1">
        <f t="shared" si="121"/>
        <v>0</v>
      </c>
      <c r="Z275" s="1">
        <f t="shared" si="122"/>
        <v>0</v>
      </c>
      <c r="AA275" s="1">
        <f t="shared" si="123"/>
        <v>1</v>
      </c>
      <c r="AB275" s="1">
        <f t="shared" si="124"/>
        <v>0</v>
      </c>
      <c r="AD275" s="1">
        <f t="shared" si="125"/>
        <v>0</v>
      </c>
      <c r="AE275" s="1">
        <f t="shared" si="126"/>
        <v>1</v>
      </c>
      <c r="AF275" s="1">
        <f t="shared" si="127"/>
        <v>0</v>
      </c>
      <c r="AG275" s="1">
        <f t="shared" si="128"/>
        <v>1</v>
      </c>
      <c r="AH275" s="1">
        <f t="shared" si="129"/>
        <v>0</v>
      </c>
      <c r="AI275" s="1">
        <f t="shared" si="130"/>
        <v>1</v>
      </c>
    </row>
    <row r="276" spans="1:35" ht="14.25" customHeight="1" x14ac:dyDescent="0.25">
      <c r="A276" s="31">
        <v>1</v>
      </c>
      <c r="B276" s="31">
        <v>1</v>
      </c>
      <c r="C276" s="31">
        <v>7</v>
      </c>
      <c r="D276" s="32" t="s">
        <v>861</v>
      </c>
      <c r="E276" s="32" t="s">
        <v>29</v>
      </c>
      <c r="F276" s="32" t="s">
        <v>1055</v>
      </c>
      <c r="G276" s="32" t="s">
        <v>319</v>
      </c>
      <c r="H276" s="32" t="s">
        <v>352</v>
      </c>
      <c r="I276" s="31" t="s">
        <v>1056</v>
      </c>
      <c r="J276" s="31">
        <v>99</v>
      </c>
      <c r="K276" s="33" t="s">
        <v>709</v>
      </c>
      <c r="L276" s="33" t="s">
        <v>692</v>
      </c>
      <c r="M276" s="34" t="s">
        <v>704</v>
      </c>
      <c r="N276" s="34" t="s">
        <v>1717</v>
      </c>
      <c r="O276" s="35">
        <v>1</v>
      </c>
      <c r="P276" s="35"/>
      <c r="Q276" s="32"/>
      <c r="S276" s="1">
        <f t="shared" si="115"/>
        <v>0</v>
      </c>
      <c r="T276" s="1">
        <f t="shared" si="116"/>
        <v>0</v>
      </c>
      <c r="U276" s="1">
        <f t="shared" si="117"/>
        <v>0</v>
      </c>
      <c r="V276" s="1">
        <f t="shared" si="118"/>
        <v>0</v>
      </c>
      <c r="W276" s="1">
        <f t="shared" si="119"/>
        <v>0</v>
      </c>
      <c r="X276" s="1">
        <f t="shared" si="120"/>
        <v>0</v>
      </c>
      <c r="Y276" s="1">
        <f t="shared" si="121"/>
        <v>0</v>
      </c>
      <c r="Z276" s="1">
        <f t="shared" si="122"/>
        <v>0</v>
      </c>
      <c r="AA276" s="1">
        <f t="shared" si="123"/>
        <v>0</v>
      </c>
      <c r="AB276" s="1">
        <f t="shared" si="124"/>
        <v>0</v>
      </c>
      <c r="AD276" s="1">
        <f t="shared" si="125"/>
        <v>0</v>
      </c>
      <c r="AE276" s="1">
        <f t="shared" si="126"/>
        <v>1</v>
      </c>
      <c r="AF276" s="1">
        <f t="shared" si="127"/>
        <v>0</v>
      </c>
      <c r="AG276" s="1">
        <f t="shared" si="128"/>
        <v>0</v>
      </c>
      <c r="AH276" s="1">
        <f t="shared" si="129"/>
        <v>0</v>
      </c>
      <c r="AI276" s="1">
        <f t="shared" si="130"/>
        <v>0</v>
      </c>
    </row>
    <row r="277" spans="1:35" ht="14.25" customHeight="1" x14ac:dyDescent="0.25">
      <c r="A277" s="31">
        <v>1</v>
      </c>
      <c r="B277" s="31">
        <v>1</v>
      </c>
      <c r="C277" s="31">
        <v>7</v>
      </c>
      <c r="D277" s="32" t="s">
        <v>861</v>
      </c>
      <c r="E277" s="32" t="s">
        <v>29</v>
      </c>
      <c r="F277" s="32" t="s">
        <v>1995</v>
      </c>
      <c r="G277" s="32" t="s">
        <v>193</v>
      </c>
      <c r="H277" s="32" t="s">
        <v>352</v>
      </c>
      <c r="I277" s="31" t="s">
        <v>863</v>
      </c>
      <c r="J277" s="31">
        <v>9</v>
      </c>
      <c r="K277" s="33" t="s">
        <v>709</v>
      </c>
      <c r="L277" s="33" t="s">
        <v>692</v>
      </c>
      <c r="M277" s="34" t="s">
        <v>704</v>
      </c>
      <c r="N277" s="34" t="s">
        <v>1717</v>
      </c>
      <c r="O277" s="35">
        <v>1</v>
      </c>
      <c r="P277" s="35"/>
      <c r="Q277" s="32"/>
      <c r="S277" s="1">
        <f t="shared" ref="S277:S340" si="131">IF(J277=$S$7,1,0)</f>
        <v>0</v>
      </c>
      <c r="T277" s="1">
        <f t="shared" ref="T277:T340" si="132">IF(J277=$T$7,1,0)</f>
        <v>0</v>
      </c>
      <c r="U277" s="1">
        <f t="shared" ref="U277:U340" si="133">IF(J277=$U$7,1,0)</f>
        <v>0</v>
      </c>
      <c r="V277" s="1">
        <f t="shared" ref="V277:V340" si="134">IF(J277=$V$7,1,0)</f>
        <v>0</v>
      </c>
      <c r="W277" s="1">
        <f t="shared" ref="W277:W340" si="135">IF(J277=$W$7,1,0)</f>
        <v>0</v>
      </c>
      <c r="X277" s="1">
        <f t="shared" ref="X277:X340" si="136">IF(J277=$X$7,1,0)</f>
        <v>0</v>
      </c>
      <c r="Y277" s="1">
        <f t="shared" ref="Y277:Y340" si="137">IF(J277=$Y$7,1,0)</f>
        <v>0</v>
      </c>
      <c r="Z277" s="1">
        <f t="shared" ref="Z277:Z340" si="138">IF(J277=$Z$7,1,0)</f>
        <v>0</v>
      </c>
      <c r="AA277" s="1">
        <f t="shared" ref="AA277:AA340" si="139">IF(J277=$AA$7,1,0)</f>
        <v>1</v>
      </c>
      <c r="AB277" s="1">
        <f t="shared" ref="AB277:AB340" si="140">IF(J277=$AB$7,1,0)</f>
        <v>0</v>
      </c>
      <c r="AD277" s="1">
        <f t="shared" ref="AD277:AD340" si="141">+O277*P277</f>
        <v>0</v>
      </c>
      <c r="AE277" s="1">
        <f t="shared" ref="AE277:AE340" si="142">O277*(1-P277)</f>
        <v>1</v>
      </c>
      <c r="AF277" s="1">
        <f t="shared" si="127"/>
        <v>0</v>
      </c>
      <c r="AG277" s="1">
        <f t="shared" si="128"/>
        <v>0</v>
      </c>
      <c r="AH277" s="1">
        <f t="shared" si="129"/>
        <v>0</v>
      </c>
      <c r="AI277" s="1">
        <f t="shared" si="130"/>
        <v>0</v>
      </c>
    </row>
    <row r="278" spans="1:35" ht="14.25" customHeight="1" x14ac:dyDescent="0.25">
      <c r="A278" s="31">
        <v>1</v>
      </c>
      <c r="B278" s="31">
        <v>1</v>
      </c>
      <c r="C278" s="31">
        <v>7</v>
      </c>
      <c r="D278" s="32" t="s">
        <v>861</v>
      </c>
      <c r="E278" s="32" t="s">
        <v>29</v>
      </c>
      <c r="F278" s="32" t="s">
        <v>1997</v>
      </c>
      <c r="G278" s="32" t="s">
        <v>208</v>
      </c>
      <c r="H278" s="32" t="s">
        <v>352</v>
      </c>
      <c r="I278" s="31" t="s">
        <v>1996</v>
      </c>
      <c r="J278" s="31">
        <v>99</v>
      </c>
      <c r="K278" s="33" t="s">
        <v>709</v>
      </c>
      <c r="L278" s="33" t="s">
        <v>692</v>
      </c>
      <c r="M278" s="34" t="s">
        <v>704</v>
      </c>
      <c r="N278" s="34" t="s">
        <v>1717</v>
      </c>
      <c r="O278" s="35">
        <v>1</v>
      </c>
      <c r="P278" s="35"/>
      <c r="Q278" s="32"/>
      <c r="S278" s="1">
        <f t="shared" si="131"/>
        <v>0</v>
      </c>
      <c r="T278" s="1">
        <f t="shared" si="132"/>
        <v>0</v>
      </c>
      <c r="U278" s="1">
        <f t="shared" si="133"/>
        <v>0</v>
      </c>
      <c r="V278" s="1">
        <f t="shared" si="134"/>
        <v>0</v>
      </c>
      <c r="W278" s="1">
        <f t="shared" si="135"/>
        <v>0</v>
      </c>
      <c r="X278" s="1">
        <f t="shared" si="136"/>
        <v>0</v>
      </c>
      <c r="Y278" s="1">
        <f t="shared" si="137"/>
        <v>0</v>
      </c>
      <c r="Z278" s="1">
        <f t="shared" si="138"/>
        <v>0</v>
      </c>
      <c r="AA278" s="1">
        <f t="shared" si="139"/>
        <v>0</v>
      </c>
      <c r="AB278" s="1">
        <f t="shared" si="140"/>
        <v>0</v>
      </c>
      <c r="AD278" s="1">
        <f t="shared" si="141"/>
        <v>0</v>
      </c>
      <c r="AE278" s="1">
        <f t="shared" si="142"/>
        <v>1</v>
      </c>
      <c r="AF278" s="1">
        <f t="shared" si="127"/>
        <v>0</v>
      </c>
      <c r="AG278" s="1">
        <f t="shared" si="128"/>
        <v>0</v>
      </c>
      <c r="AH278" s="1">
        <f t="shared" si="129"/>
        <v>0</v>
      </c>
      <c r="AI278" s="1">
        <f t="shared" si="130"/>
        <v>0</v>
      </c>
    </row>
    <row r="279" spans="1:35" ht="14.25" customHeight="1" x14ac:dyDescent="0.25">
      <c r="A279" s="31">
        <v>0</v>
      </c>
      <c r="B279" s="31">
        <v>1</v>
      </c>
      <c r="C279" s="31">
        <v>7</v>
      </c>
      <c r="D279" s="36" t="s">
        <v>95</v>
      </c>
      <c r="E279" s="32" t="s">
        <v>29</v>
      </c>
      <c r="F279" s="36" t="s">
        <v>290</v>
      </c>
      <c r="G279" s="36" t="s">
        <v>291</v>
      </c>
      <c r="H279" s="36" t="s">
        <v>352</v>
      </c>
      <c r="I279" s="37" t="s">
        <v>1104</v>
      </c>
      <c r="J279" s="31">
        <v>99</v>
      </c>
      <c r="K279" s="33" t="s">
        <v>709</v>
      </c>
      <c r="L279" s="33" t="s">
        <v>692</v>
      </c>
      <c r="M279" s="34" t="s">
        <v>704</v>
      </c>
      <c r="N279" s="34" t="s">
        <v>1722</v>
      </c>
      <c r="O279" s="35">
        <v>1</v>
      </c>
      <c r="P279" s="35"/>
      <c r="Q279" s="36"/>
      <c r="S279" s="1">
        <f t="shared" si="131"/>
        <v>0</v>
      </c>
      <c r="T279" s="1">
        <f t="shared" si="132"/>
        <v>0</v>
      </c>
      <c r="U279" s="1">
        <f t="shared" si="133"/>
        <v>0</v>
      </c>
      <c r="V279" s="1">
        <f t="shared" si="134"/>
        <v>0</v>
      </c>
      <c r="W279" s="1">
        <f t="shared" si="135"/>
        <v>0</v>
      </c>
      <c r="X279" s="1">
        <f t="shared" si="136"/>
        <v>0</v>
      </c>
      <c r="Y279" s="1">
        <f t="shared" si="137"/>
        <v>0</v>
      </c>
      <c r="Z279" s="1">
        <f t="shared" si="138"/>
        <v>0</v>
      </c>
      <c r="AA279" s="1">
        <f t="shared" si="139"/>
        <v>0</v>
      </c>
      <c r="AB279" s="1">
        <f t="shared" si="140"/>
        <v>0</v>
      </c>
      <c r="AD279" s="1">
        <f t="shared" si="141"/>
        <v>0</v>
      </c>
      <c r="AE279" s="1">
        <f t="shared" si="142"/>
        <v>1</v>
      </c>
      <c r="AF279" s="1">
        <f t="shared" si="127"/>
        <v>0</v>
      </c>
      <c r="AG279" s="1">
        <f t="shared" si="128"/>
        <v>1</v>
      </c>
      <c r="AH279" s="1">
        <f t="shared" si="129"/>
        <v>0</v>
      </c>
      <c r="AI279" s="1">
        <f t="shared" si="130"/>
        <v>1</v>
      </c>
    </row>
    <row r="280" spans="1:35" ht="14.25" customHeight="1" x14ac:dyDescent="0.25">
      <c r="A280" s="44">
        <v>0</v>
      </c>
      <c r="B280" s="44">
        <v>1</v>
      </c>
      <c r="C280" s="44">
        <v>7</v>
      </c>
      <c r="D280" s="45" t="s">
        <v>528</v>
      </c>
      <c r="E280" s="45" t="s">
        <v>29</v>
      </c>
      <c r="F280" s="45" t="s">
        <v>661</v>
      </c>
      <c r="G280" s="45" t="s">
        <v>39</v>
      </c>
      <c r="H280" s="45" t="s">
        <v>529</v>
      </c>
      <c r="I280" s="44" t="s">
        <v>1664</v>
      </c>
      <c r="J280" s="44">
        <v>14</v>
      </c>
      <c r="K280" s="46" t="s">
        <v>941</v>
      </c>
      <c r="L280" s="46">
        <v>40</v>
      </c>
      <c r="M280" s="47" t="s">
        <v>704</v>
      </c>
      <c r="N280" s="47" t="s">
        <v>1709</v>
      </c>
      <c r="O280" s="48"/>
      <c r="P280" s="48"/>
      <c r="Q280" s="45"/>
      <c r="S280" s="1">
        <f t="shared" si="131"/>
        <v>0</v>
      </c>
      <c r="T280" s="1">
        <f t="shared" si="132"/>
        <v>0</v>
      </c>
      <c r="U280" s="1">
        <f t="shared" si="133"/>
        <v>0</v>
      </c>
      <c r="V280" s="1">
        <f t="shared" si="134"/>
        <v>0</v>
      </c>
      <c r="W280" s="1">
        <f t="shared" si="135"/>
        <v>0</v>
      </c>
      <c r="X280" s="1">
        <f t="shared" si="136"/>
        <v>0</v>
      </c>
      <c r="Y280" s="1">
        <f t="shared" si="137"/>
        <v>0</v>
      </c>
      <c r="Z280" s="1">
        <f t="shared" si="138"/>
        <v>0</v>
      </c>
      <c r="AA280" s="1">
        <f t="shared" si="139"/>
        <v>0</v>
      </c>
      <c r="AB280" s="1">
        <f t="shared" si="140"/>
        <v>0</v>
      </c>
      <c r="AD280" s="1">
        <f t="shared" si="141"/>
        <v>0</v>
      </c>
      <c r="AE280" s="1">
        <f t="shared" si="142"/>
        <v>0</v>
      </c>
      <c r="AF280" s="1">
        <f t="shared" si="127"/>
        <v>0</v>
      </c>
      <c r="AG280" s="1">
        <f t="shared" si="128"/>
        <v>0</v>
      </c>
      <c r="AH280" s="1">
        <f t="shared" si="129"/>
        <v>0</v>
      </c>
      <c r="AI280" s="1">
        <f t="shared" si="130"/>
        <v>1</v>
      </c>
    </row>
    <row r="281" spans="1:35" ht="14.25" customHeight="1" x14ac:dyDescent="0.25">
      <c r="A281" s="31">
        <v>0</v>
      </c>
      <c r="B281" s="31">
        <v>1</v>
      </c>
      <c r="C281" s="31">
        <v>7</v>
      </c>
      <c r="D281" s="36" t="s">
        <v>1301</v>
      </c>
      <c r="E281" s="32" t="s">
        <v>29</v>
      </c>
      <c r="F281" s="36" t="s">
        <v>1325</v>
      </c>
      <c r="G281" s="36" t="s">
        <v>39</v>
      </c>
      <c r="H281" s="36" t="s">
        <v>352</v>
      </c>
      <c r="I281" s="37" t="s">
        <v>1134</v>
      </c>
      <c r="J281" s="31">
        <v>99</v>
      </c>
      <c r="K281" s="33" t="s">
        <v>709</v>
      </c>
      <c r="L281" s="33" t="s">
        <v>689</v>
      </c>
      <c r="M281" s="34" t="s">
        <v>1386</v>
      </c>
      <c r="N281" s="34" t="s">
        <v>1707</v>
      </c>
      <c r="O281" s="35">
        <v>1</v>
      </c>
      <c r="P281" s="35">
        <v>1</v>
      </c>
      <c r="Q281" s="36"/>
      <c r="S281" s="1">
        <f t="shared" si="131"/>
        <v>0</v>
      </c>
      <c r="T281" s="1">
        <f t="shared" si="132"/>
        <v>0</v>
      </c>
      <c r="U281" s="1">
        <f t="shared" si="133"/>
        <v>0</v>
      </c>
      <c r="V281" s="1">
        <f t="shared" si="134"/>
        <v>0</v>
      </c>
      <c r="W281" s="1">
        <f t="shared" si="135"/>
        <v>0</v>
      </c>
      <c r="X281" s="1">
        <f t="shared" si="136"/>
        <v>0</v>
      </c>
      <c r="Y281" s="1">
        <f t="shared" si="137"/>
        <v>0</v>
      </c>
      <c r="Z281" s="1">
        <f t="shared" si="138"/>
        <v>0</v>
      </c>
      <c r="AA281" s="1">
        <f t="shared" si="139"/>
        <v>0</v>
      </c>
      <c r="AB281" s="1">
        <f t="shared" si="140"/>
        <v>0</v>
      </c>
      <c r="AD281" s="1">
        <f t="shared" si="141"/>
        <v>1</v>
      </c>
      <c r="AE281" s="1">
        <f t="shared" si="142"/>
        <v>0</v>
      </c>
      <c r="AF281" s="1">
        <f t="shared" si="127"/>
        <v>1</v>
      </c>
      <c r="AG281" s="1">
        <f t="shared" si="128"/>
        <v>0</v>
      </c>
      <c r="AH281" s="1">
        <f t="shared" si="129"/>
        <v>1</v>
      </c>
      <c r="AI281" s="1">
        <f t="shared" si="130"/>
        <v>0</v>
      </c>
    </row>
    <row r="282" spans="1:35" ht="14.25" customHeight="1" x14ac:dyDescent="0.25">
      <c r="A282" s="31">
        <v>0</v>
      </c>
      <c r="B282" s="31">
        <v>1</v>
      </c>
      <c r="C282" s="31">
        <v>7</v>
      </c>
      <c r="D282" s="32" t="s">
        <v>96</v>
      </c>
      <c r="E282" s="32" t="s">
        <v>29</v>
      </c>
      <c r="F282" s="32" t="s">
        <v>293</v>
      </c>
      <c r="G282" s="32" t="s">
        <v>262</v>
      </c>
      <c r="H282" s="32" t="s">
        <v>352</v>
      </c>
      <c r="I282" s="31" t="s">
        <v>442</v>
      </c>
      <c r="J282" s="31">
        <v>1</v>
      </c>
      <c r="K282" s="33" t="s">
        <v>709</v>
      </c>
      <c r="L282" s="33" t="s">
        <v>690</v>
      </c>
      <c r="M282" s="34" t="s">
        <v>704</v>
      </c>
      <c r="N282" s="34" t="s">
        <v>1717</v>
      </c>
      <c r="O282" s="35">
        <v>1</v>
      </c>
      <c r="P282" s="35"/>
      <c r="Q282" s="32"/>
      <c r="S282" s="1">
        <f t="shared" si="131"/>
        <v>1</v>
      </c>
      <c r="T282" s="1">
        <f t="shared" si="132"/>
        <v>0</v>
      </c>
      <c r="U282" s="1">
        <f t="shared" si="133"/>
        <v>0</v>
      </c>
      <c r="V282" s="1">
        <f t="shared" si="134"/>
        <v>0</v>
      </c>
      <c r="W282" s="1">
        <f t="shared" si="135"/>
        <v>0</v>
      </c>
      <c r="X282" s="1">
        <f t="shared" si="136"/>
        <v>0</v>
      </c>
      <c r="Y282" s="1">
        <f t="shared" si="137"/>
        <v>0</v>
      </c>
      <c r="Z282" s="1">
        <f t="shared" si="138"/>
        <v>0</v>
      </c>
      <c r="AA282" s="1">
        <f t="shared" si="139"/>
        <v>0</v>
      </c>
      <c r="AB282" s="1">
        <f t="shared" si="140"/>
        <v>0</v>
      </c>
      <c r="AD282" s="1">
        <f t="shared" si="141"/>
        <v>0</v>
      </c>
      <c r="AE282" s="1">
        <f t="shared" si="142"/>
        <v>1</v>
      </c>
      <c r="AF282" s="1">
        <f t="shared" si="127"/>
        <v>0</v>
      </c>
      <c r="AG282" s="1">
        <f t="shared" si="128"/>
        <v>1</v>
      </c>
      <c r="AH282" s="1">
        <f t="shared" si="129"/>
        <v>0</v>
      </c>
      <c r="AI282" s="1">
        <f t="shared" si="130"/>
        <v>1</v>
      </c>
    </row>
    <row r="283" spans="1:35" ht="14.25" customHeight="1" x14ac:dyDescent="0.25">
      <c r="A283" s="15">
        <v>0</v>
      </c>
      <c r="B283" s="15">
        <v>1</v>
      </c>
      <c r="C283" s="15">
        <v>7</v>
      </c>
      <c r="D283" s="16" t="s">
        <v>751</v>
      </c>
      <c r="E283" s="16" t="s">
        <v>29</v>
      </c>
      <c r="F283" s="20" t="s">
        <v>2073</v>
      </c>
      <c r="G283" s="16" t="s">
        <v>39</v>
      </c>
      <c r="H283" s="20" t="s">
        <v>365</v>
      </c>
      <c r="I283" s="21" t="s">
        <v>2074</v>
      </c>
      <c r="J283" s="15">
        <v>18</v>
      </c>
      <c r="K283" s="10" t="s">
        <v>699</v>
      </c>
      <c r="L283" s="10" t="s">
        <v>693</v>
      </c>
      <c r="M283" s="19" t="s">
        <v>704</v>
      </c>
      <c r="N283" s="17"/>
      <c r="Q283" s="16"/>
      <c r="S283" s="1">
        <f t="shared" si="131"/>
        <v>0</v>
      </c>
      <c r="T283" s="1">
        <f t="shared" si="132"/>
        <v>0</v>
      </c>
      <c r="U283" s="1">
        <f t="shared" si="133"/>
        <v>0</v>
      </c>
      <c r="V283" s="1">
        <f t="shared" si="134"/>
        <v>0</v>
      </c>
      <c r="W283" s="1">
        <f t="shared" si="135"/>
        <v>0</v>
      </c>
      <c r="X283" s="1">
        <f t="shared" si="136"/>
        <v>0</v>
      </c>
      <c r="Y283" s="1">
        <f t="shared" si="137"/>
        <v>0</v>
      </c>
      <c r="Z283" s="1">
        <f t="shared" si="138"/>
        <v>0</v>
      </c>
      <c r="AA283" s="1">
        <f t="shared" si="139"/>
        <v>0</v>
      </c>
      <c r="AB283" s="1">
        <f t="shared" si="140"/>
        <v>0</v>
      </c>
      <c r="AD283" s="1">
        <f t="shared" si="141"/>
        <v>0</v>
      </c>
      <c r="AE283" s="1">
        <f t="shared" si="142"/>
        <v>0</v>
      </c>
      <c r="AF283" s="1">
        <f t="shared" si="127"/>
        <v>0</v>
      </c>
      <c r="AG283" s="1">
        <f t="shared" si="128"/>
        <v>0</v>
      </c>
      <c r="AH283" s="1">
        <f t="shared" si="129"/>
        <v>0</v>
      </c>
      <c r="AI283" s="1">
        <f t="shared" si="130"/>
        <v>1</v>
      </c>
    </row>
    <row r="284" spans="1:35" ht="14.25" customHeight="1" x14ac:dyDescent="0.25">
      <c r="A284" s="31">
        <v>0</v>
      </c>
      <c r="B284" s="31">
        <v>1</v>
      </c>
      <c r="C284" s="31">
        <v>7</v>
      </c>
      <c r="D284" s="36" t="s">
        <v>1493</v>
      </c>
      <c r="E284" s="32" t="s">
        <v>29</v>
      </c>
      <c r="F284" s="36" t="s">
        <v>1645</v>
      </c>
      <c r="G284" s="36" t="s">
        <v>1646</v>
      </c>
      <c r="H284" s="36" t="s">
        <v>352</v>
      </c>
      <c r="I284" s="37" t="s">
        <v>1494</v>
      </c>
      <c r="J284" s="31">
        <v>99</v>
      </c>
      <c r="K284" s="33" t="s">
        <v>709</v>
      </c>
      <c r="L284" s="33" t="s">
        <v>39</v>
      </c>
      <c r="M284" s="34" t="s">
        <v>39</v>
      </c>
      <c r="N284" s="34" t="s">
        <v>1701</v>
      </c>
      <c r="O284" s="35">
        <v>1</v>
      </c>
      <c r="P284" s="35">
        <v>1</v>
      </c>
      <c r="Q284" s="36"/>
      <c r="S284" s="1">
        <f t="shared" si="131"/>
        <v>0</v>
      </c>
      <c r="T284" s="1">
        <f t="shared" si="132"/>
        <v>0</v>
      </c>
      <c r="U284" s="1">
        <f t="shared" si="133"/>
        <v>0</v>
      </c>
      <c r="V284" s="1">
        <f t="shared" si="134"/>
        <v>0</v>
      </c>
      <c r="W284" s="1">
        <f t="shared" si="135"/>
        <v>0</v>
      </c>
      <c r="X284" s="1">
        <f t="shared" si="136"/>
        <v>0</v>
      </c>
      <c r="Y284" s="1">
        <f t="shared" si="137"/>
        <v>0</v>
      </c>
      <c r="Z284" s="1">
        <f t="shared" si="138"/>
        <v>0</v>
      </c>
      <c r="AA284" s="1">
        <f t="shared" si="139"/>
        <v>0</v>
      </c>
      <c r="AB284" s="1">
        <f t="shared" si="140"/>
        <v>0</v>
      </c>
      <c r="AD284" s="1">
        <f t="shared" si="141"/>
        <v>1</v>
      </c>
      <c r="AE284" s="1">
        <f t="shared" si="142"/>
        <v>0</v>
      </c>
      <c r="AF284" s="1">
        <f t="shared" si="127"/>
        <v>1</v>
      </c>
      <c r="AG284" s="1">
        <f t="shared" si="128"/>
        <v>0</v>
      </c>
      <c r="AH284" s="1">
        <f t="shared" si="129"/>
        <v>1</v>
      </c>
      <c r="AI284" s="1">
        <f t="shared" si="130"/>
        <v>0</v>
      </c>
    </row>
    <row r="285" spans="1:35" ht="14.25" customHeight="1" x14ac:dyDescent="0.25">
      <c r="A285" s="44">
        <v>0</v>
      </c>
      <c r="B285" s="44">
        <v>1</v>
      </c>
      <c r="C285" s="44">
        <v>7</v>
      </c>
      <c r="D285" s="45" t="s">
        <v>1128</v>
      </c>
      <c r="E285" s="45" t="s">
        <v>29</v>
      </c>
      <c r="F285" s="45" t="s">
        <v>1129</v>
      </c>
      <c r="G285" s="45" t="s">
        <v>1131</v>
      </c>
      <c r="H285" s="45" t="s">
        <v>352</v>
      </c>
      <c r="I285" s="44" t="s">
        <v>1130</v>
      </c>
      <c r="J285" s="44">
        <v>99</v>
      </c>
      <c r="K285" s="46" t="s">
        <v>699</v>
      </c>
      <c r="L285" s="46">
        <v>30</v>
      </c>
      <c r="M285" s="47" t="s">
        <v>1387</v>
      </c>
      <c r="N285" s="47" t="s">
        <v>1783</v>
      </c>
      <c r="O285" s="48"/>
      <c r="P285" s="48"/>
      <c r="Q285" s="45"/>
      <c r="S285" s="1">
        <f t="shared" si="131"/>
        <v>0</v>
      </c>
      <c r="T285" s="1">
        <f t="shared" si="132"/>
        <v>0</v>
      </c>
      <c r="U285" s="1">
        <f t="shared" si="133"/>
        <v>0</v>
      </c>
      <c r="V285" s="1">
        <f t="shared" si="134"/>
        <v>0</v>
      </c>
      <c r="W285" s="1">
        <f t="shared" si="135"/>
        <v>0</v>
      </c>
      <c r="X285" s="1">
        <f t="shared" si="136"/>
        <v>0</v>
      </c>
      <c r="Y285" s="1">
        <f t="shared" si="137"/>
        <v>0</v>
      </c>
      <c r="Z285" s="1">
        <f t="shared" si="138"/>
        <v>0</v>
      </c>
      <c r="AA285" s="1">
        <f t="shared" si="139"/>
        <v>0</v>
      </c>
      <c r="AB285" s="1">
        <f t="shared" si="140"/>
        <v>0</v>
      </c>
      <c r="AD285" s="1">
        <f t="shared" si="141"/>
        <v>0</v>
      </c>
      <c r="AE285" s="1">
        <f t="shared" si="142"/>
        <v>0</v>
      </c>
      <c r="AF285" s="1">
        <f t="shared" si="127"/>
        <v>0</v>
      </c>
      <c r="AG285" s="1">
        <f t="shared" si="128"/>
        <v>0</v>
      </c>
      <c r="AH285" s="1">
        <f t="shared" si="129"/>
        <v>0</v>
      </c>
      <c r="AI285" s="1">
        <f t="shared" si="130"/>
        <v>1</v>
      </c>
    </row>
    <row r="286" spans="1:35" ht="14.25" customHeight="1" x14ac:dyDescent="0.25">
      <c r="A286" s="31">
        <v>0</v>
      </c>
      <c r="B286" s="31">
        <v>1</v>
      </c>
      <c r="C286" s="31">
        <v>7</v>
      </c>
      <c r="D286" s="32" t="s">
        <v>98</v>
      </c>
      <c r="E286" s="32" t="s">
        <v>29</v>
      </c>
      <c r="F286" s="32" t="s">
        <v>295</v>
      </c>
      <c r="G286" s="32" t="s">
        <v>196</v>
      </c>
      <c r="H286" s="32" t="s">
        <v>352</v>
      </c>
      <c r="I286" s="31" t="s">
        <v>443</v>
      </c>
      <c r="J286" s="31">
        <v>9</v>
      </c>
      <c r="K286" s="33" t="s">
        <v>699</v>
      </c>
      <c r="L286" s="33">
        <v>30</v>
      </c>
      <c r="M286" s="34" t="s">
        <v>704</v>
      </c>
      <c r="N286" s="34" t="s">
        <v>1717</v>
      </c>
      <c r="O286" s="35">
        <v>1</v>
      </c>
      <c r="P286" s="35"/>
      <c r="Q286" s="32"/>
      <c r="S286" s="1">
        <f t="shared" si="131"/>
        <v>0</v>
      </c>
      <c r="T286" s="1">
        <f t="shared" si="132"/>
        <v>0</v>
      </c>
      <c r="U286" s="1">
        <f t="shared" si="133"/>
        <v>0</v>
      </c>
      <c r="V286" s="1">
        <f t="shared" si="134"/>
        <v>0</v>
      </c>
      <c r="W286" s="1">
        <f t="shared" si="135"/>
        <v>0</v>
      </c>
      <c r="X286" s="1">
        <f t="shared" si="136"/>
        <v>0</v>
      </c>
      <c r="Y286" s="1">
        <f t="shared" si="137"/>
        <v>0</v>
      </c>
      <c r="Z286" s="1">
        <f t="shared" si="138"/>
        <v>0</v>
      </c>
      <c r="AA286" s="1">
        <f t="shared" si="139"/>
        <v>1</v>
      </c>
      <c r="AB286" s="1">
        <f t="shared" si="140"/>
        <v>0</v>
      </c>
      <c r="AD286" s="1">
        <f t="shared" si="141"/>
        <v>0</v>
      </c>
      <c r="AE286" s="1">
        <f t="shared" si="142"/>
        <v>1</v>
      </c>
      <c r="AF286" s="1">
        <f t="shared" si="127"/>
        <v>0</v>
      </c>
      <c r="AG286" s="1">
        <f t="shared" si="128"/>
        <v>1</v>
      </c>
      <c r="AH286" s="1">
        <f t="shared" si="129"/>
        <v>0</v>
      </c>
      <c r="AI286" s="1">
        <f t="shared" si="130"/>
        <v>1</v>
      </c>
    </row>
    <row r="287" spans="1:35" ht="14.25" customHeight="1" x14ac:dyDescent="0.25">
      <c r="A287" s="31">
        <v>0</v>
      </c>
      <c r="B287" s="31">
        <v>1</v>
      </c>
      <c r="C287" s="31">
        <v>7</v>
      </c>
      <c r="D287" s="32" t="s">
        <v>794</v>
      </c>
      <c r="E287" s="32" t="s">
        <v>29</v>
      </c>
      <c r="F287" s="32" t="s">
        <v>773</v>
      </c>
      <c r="G287" s="32" t="s">
        <v>795</v>
      </c>
      <c r="H287" s="32" t="s">
        <v>352</v>
      </c>
      <c r="I287" s="31" t="s">
        <v>939</v>
      </c>
      <c r="J287" s="31">
        <v>99</v>
      </c>
      <c r="K287" s="33" t="s">
        <v>709</v>
      </c>
      <c r="L287" s="33" t="s">
        <v>690</v>
      </c>
      <c r="M287" s="34" t="s">
        <v>704</v>
      </c>
      <c r="N287" s="34" t="s">
        <v>1799</v>
      </c>
      <c r="O287" s="35">
        <v>1</v>
      </c>
      <c r="P287" s="35"/>
      <c r="Q287" s="32"/>
      <c r="S287" s="1">
        <f t="shared" si="131"/>
        <v>0</v>
      </c>
      <c r="T287" s="1">
        <f t="shared" si="132"/>
        <v>0</v>
      </c>
      <c r="U287" s="1">
        <f t="shared" si="133"/>
        <v>0</v>
      </c>
      <c r="V287" s="1">
        <f t="shared" si="134"/>
        <v>0</v>
      </c>
      <c r="W287" s="1">
        <f t="shared" si="135"/>
        <v>0</v>
      </c>
      <c r="X287" s="1">
        <f t="shared" si="136"/>
        <v>0</v>
      </c>
      <c r="Y287" s="1">
        <f t="shared" si="137"/>
        <v>0</v>
      </c>
      <c r="Z287" s="1">
        <f t="shared" si="138"/>
        <v>0</v>
      </c>
      <c r="AA287" s="1">
        <f t="shared" si="139"/>
        <v>0</v>
      </c>
      <c r="AB287" s="1">
        <f t="shared" si="140"/>
        <v>0</v>
      </c>
      <c r="AD287" s="1">
        <f t="shared" si="141"/>
        <v>0</v>
      </c>
      <c r="AE287" s="1">
        <f t="shared" si="142"/>
        <v>1</v>
      </c>
      <c r="AF287" s="1">
        <f t="shared" si="127"/>
        <v>0</v>
      </c>
      <c r="AG287" s="1">
        <f t="shared" si="128"/>
        <v>1</v>
      </c>
      <c r="AH287" s="1">
        <f t="shared" si="129"/>
        <v>0</v>
      </c>
      <c r="AI287" s="1">
        <f t="shared" si="130"/>
        <v>1</v>
      </c>
    </row>
    <row r="288" spans="1:35" ht="14.25" customHeight="1" x14ac:dyDescent="0.25">
      <c r="A288" s="31">
        <v>0</v>
      </c>
      <c r="B288" s="31">
        <v>1</v>
      </c>
      <c r="C288" s="31">
        <v>7</v>
      </c>
      <c r="D288" s="32" t="s">
        <v>1304</v>
      </c>
      <c r="E288" s="32" t="s">
        <v>29</v>
      </c>
      <c r="F288" s="32" t="s">
        <v>1327</v>
      </c>
      <c r="G288" s="32" t="s">
        <v>1165</v>
      </c>
      <c r="H288" s="32" t="s">
        <v>352</v>
      </c>
      <c r="I288" s="31" t="s">
        <v>1666</v>
      </c>
      <c r="J288" s="31">
        <v>99</v>
      </c>
      <c r="K288" s="33" t="s">
        <v>709</v>
      </c>
      <c r="L288" s="33" t="s">
        <v>690</v>
      </c>
      <c r="M288" s="34" t="s">
        <v>1388</v>
      </c>
      <c r="N288" s="34" t="s">
        <v>1735</v>
      </c>
      <c r="O288" s="35">
        <v>1</v>
      </c>
      <c r="P288" s="35"/>
      <c r="Q288" s="32"/>
      <c r="S288" s="1">
        <f t="shared" si="131"/>
        <v>0</v>
      </c>
      <c r="T288" s="1">
        <f t="shared" si="132"/>
        <v>0</v>
      </c>
      <c r="U288" s="1">
        <f t="shared" si="133"/>
        <v>0</v>
      </c>
      <c r="V288" s="1">
        <f t="shared" si="134"/>
        <v>0</v>
      </c>
      <c r="W288" s="1">
        <f t="shared" si="135"/>
        <v>0</v>
      </c>
      <c r="X288" s="1">
        <f t="shared" si="136"/>
        <v>0</v>
      </c>
      <c r="Y288" s="1">
        <f t="shared" si="137"/>
        <v>0</v>
      </c>
      <c r="Z288" s="1">
        <f t="shared" si="138"/>
        <v>0</v>
      </c>
      <c r="AA288" s="1">
        <f t="shared" si="139"/>
        <v>0</v>
      </c>
      <c r="AB288" s="1">
        <f t="shared" si="140"/>
        <v>0</v>
      </c>
      <c r="AD288" s="1">
        <f t="shared" si="141"/>
        <v>0</v>
      </c>
      <c r="AE288" s="1">
        <f t="shared" si="142"/>
        <v>1</v>
      </c>
      <c r="AF288" s="1">
        <f t="shared" si="127"/>
        <v>0</v>
      </c>
      <c r="AG288" s="1">
        <f t="shared" si="128"/>
        <v>1</v>
      </c>
      <c r="AH288" s="1">
        <f t="shared" si="129"/>
        <v>0</v>
      </c>
      <c r="AI288" s="1">
        <f t="shared" si="130"/>
        <v>1</v>
      </c>
    </row>
    <row r="289" spans="1:35" s="1" customFormat="1" ht="14.25" customHeight="1" x14ac:dyDescent="0.25">
      <c r="A289" s="15">
        <v>0</v>
      </c>
      <c r="B289" s="15">
        <v>1</v>
      </c>
      <c r="C289" s="15">
        <v>7</v>
      </c>
      <c r="D289" s="16" t="s">
        <v>1259</v>
      </c>
      <c r="E289" s="16" t="s">
        <v>29</v>
      </c>
      <c r="F289" s="16" t="s">
        <v>1260</v>
      </c>
      <c r="G289" s="16" t="s">
        <v>1261</v>
      </c>
      <c r="H289" s="16" t="s">
        <v>352</v>
      </c>
      <c r="I289" s="15" t="s">
        <v>1262</v>
      </c>
      <c r="J289" s="15">
        <v>99</v>
      </c>
      <c r="K289" s="10" t="s">
        <v>709</v>
      </c>
      <c r="L289" s="10" t="s">
        <v>690</v>
      </c>
      <c r="M289" s="19" t="s">
        <v>704</v>
      </c>
      <c r="N289" s="17"/>
      <c r="Q289" s="16"/>
      <c r="S289" s="1">
        <f t="shared" si="131"/>
        <v>0</v>
      </c>
      <c r="T289" s="1">
        <f t="shared" si="132"/>
        <v>0</v>
      </c>
      <c r="U289" s="1">
        <f t="shared" si="133"/>
        <v>0</v>
      </c>
      <c r="V289" s="1">
        <f t="shared" si="134"/>
        <v>0</v>
      </c>
      <c r="W289" s="1">
        <f t="shared" si="135"/>
        <v>0</v>
      </c>
      <c r="X289" s="1">
        <f t="shared" si="136"/>
        <v>0</v>
      </c>
      <c r="Y289" s="1">
        <f t="shared" si="137"/>
        <v>0</v>
      </c>
      <c r="Z289" s="1">
        <f t="shared" si="138"/>
        <v>0</v>
      </c>
      <c r="AA289" s="1">
        <f t="shared" si="139"/>
        <v>0</v>
      </c>
      <c r="AB289" s="1">
        <f t="shared" si="140"/>
        <v>0</v>
      </c>
      <c r="AD289" s="1">
        <f t="shared" si="141"/>
        <v>0</v>
      </c>
      <c r="AE289" s="1">
        <f t="shared" si="142"/>
        <v>0</v>
      </c>
      <c r="AF289" s="1">
        <f t="shared" si="127"/>
        <v>0</v>
      </c>
      <c r="AG289" s="1">
        <f t="shared" si="128"/>
        <v>0</v>
      </c>
      <c r="AH289" s="1">
        <f t="shared" si="129"/>
        <v>0</v>
      </c>
      <c r="AI289" s="1">
        <f t="shared" si="130"/>
        <v>1</v>
      </c>
    </row>
    <row r="290" spans="1:35" s="1" customFormat="1" ht="14.25" customHeight="1" x14ac:dyDescent="0.25">
      <c r="A290" s="31">
        <v>0</v>
      </c>
      <c r="B290" s="31">
        <v>1</v>
      </c>
      <c r="C290" s="31">
        <v>7</v>
      </c>
      <c r="D290" s="32" t="s">
        <v>705</v>
      </c>
      <c r="E290" s="32" t="s">
        <v>29</v>
      </c>
      <c r="F290" s="32" t="s">
        <v>706</v>
      </c>
      <c r="G290" s="32" t="s">
        <v>183</v>
      </c>
      <c r="H290" s="32" t="s">
        <v>352</v>
      </c>
      <c r="I290" s="31" t="s">
        <v>707</v>
      </c>
      <c r="J290" s="31">
        <v>99</v>
      </c>
      <c r="K290" s="33" t="s">
        <v>942</v>
      </c>
      <c r="L290" s="33" t="s">
        <v>39</v>
      </c>
      <c r="M290" s="34" t="s">
        <v>39</v>
      </c>
      <c r="N290" s="34" t="s">
        <v>1707</v>
      </c>
      <c r="O290" s="35">
        <v>1</v>
      </c>
      <c r="P290" s="35">
        <v>1</v>
      </c>
      <c r="Q290" s="32"/>
      <c r="S290" s="1">
        <f t="shared" si="131"/>
        <v>0</v>
      </c>
      <c r="T290" s="1">
        <f t="shared" si="132"/>
        <v>0</v>
      </c>
      <c r="U290" s="1">
        <f t="shared" si="133"/>
        <v>0</v>
      </c>
      <c r="V290" s="1">
        <f t="shared" si="134"/>
        <v>0</v>
      </c>
      <c r="W290" s="1">
        <f t="shared" si="135"/>
        <v>0</v>
      </c>
      <c r="X290" s="1">
        <f t="shared" si="136"/>
        <v>0</v>
      </c>
      <c r="Y290" s="1">
        <f t="shared" si="137"/>
        <v>0</v>
      </c>
      <c r="Z290" s="1">
        <f t="shared" si="138"/>
        <v>0</v>
      </c>
      <c r="AA290" s="1">
        <f t="shared" si="139"/>
        <v>0</v>
      </c>
      <c r="AB290" s="1">
        <f t="shared" si="140"/>
        <v>0</v>
      </c>
      <c r="AD290" s="1">
        <f t="shared" si="141"/>
        <v>1</v>
      </c>
      <c r="AE290" s="1">
        <f t="shared" si="142"/>
        <v>0</v>
      </c>
      <c r="AF290" s="1">
        <f t="shared" si="127"/>
        <v>1</v>
      </c>
      <c r="AG290" s="1">
        <f t="shared" si="128"/>
        <v>0</v>
      </c>
      <c r="AH290" s="1">
        <f t="shared" si="129"/>
        <v>1</v>
      </c>
      <c r="AI290" s="1">
        <f t="shared" si="130"/>
        <v>0</v>
      </c>
    </row>
    <row r="291" spans="1:35" s="1" customFormat="1" ht="14.25" customHeight="1" x14ac:dyDescent="0.25">
      <c r="A291" s="31">
        <v>0</v>
      </c>
      <c r="B291" s="31">
        <v>1</v>
      </c>
      <c r="C291" s="31">
        <v>7</v>
      </c>
      <c r="D291" s="36" t="s">
        <v>2104</v>
      </c>
      <c r="E291" s="36" t="s">
        <v>29</v>
      </c>
      <c r="F291" s="36" t="s">
        <v>2105</v>
      </c>
      <c r="G291" s="36" t="s">
        <v>239</v>
      </c>
      <c r="H291" s="36" t="s">
        <v>352</v>
      </c>
      <c r="I291" s="37" t="s">
        <v>2106</v>
      </c>
      <c r="J291" s="31">
        <v>1</v>
      </c>
      <c r="K291" s="33" t="s">
        <v>699</v>
      </c>
      <c r="L291" s="33"/>
      <c r="M291" s="34"/>
      <c r="N291" s="34" t="s">
        <v>1722</v>
      </c>
      <c r="O291" s="35">
        <v>1</v>
      </c>
      <c r="P291" s="35"/>
      <c r="Q291" s="32" t="s">
        <v>2107</v>
      </c>
      <c r="S291" s="1">
        <f t="shared" si="131"/>
        <v>1</v>
      </c>
      <c r="T291" s="1">
        <f t="shared" si="132"/>
        <v>0</v>
      </c>
      <c r="U291" s="1">
        <f t="shared" si="133"/>
        <v>0</v>
      </c>
      <c r="V291" s="1">
        <f t="shared" si="134"/>
        <v>0</v>
      </c>
      <c r="W291" s="1">
        <f t="shared" si="135"/>
        <v>0</v>
      </c>
      <c r="X291" s="1">
        <f t="shared" si="136"/>
        <v>0</v>
      </c>
      <c r="Y291" s="1">
        <f t="shared" si="137"/>
        <v>0</v>
      </c>
      <c r="Z291" s="1">
        <f t="shared" si="138"/>
        <v>0</v>
      </c>
      <c r="AA291" s="1">
        <f t="shared" si="139"/>
        <v>0</v>
      </c>
      <c r="AB291" s="1">
        <f t="shared" si="140"/>
        <v>0</v>
      </c>
      <c r="AD291" s="1">
        <f t="shared" ref="AD291" si="143">+O291*P291</f>
        <v>0</v>
      </c>
      <c r="AE291" s="1">
        <f t="shared" ref="AE291" si="144">O291*(1-P291)</f>
        <v>1</v>
      </c>
      <c r="AF291" s="1">
        <f t="shared" ref="AF291" si="145">+O291*P291*(1-A291)</f>
        <v>0</v>
      </c>
      <c r="AG291" s="1">
        <f t="shared" ref="AG291" si="146">O291*(1-P291)*(1-A291)</f>
        <v>1</v>
      </c>
      <c r="AH291" s="1">
        <f t="shared" ref="AH291" si="147">+P291*(1-A291)</f>
        <v>0</v>
      </c>
      <c r="AI291" s="1">
        <f t="shared" ref="AI291" si="148">+(1-A291)*(1-P291)</f>
        <v>1</v>
      </c>
    </row>
    <row r="292" spans="1:35" s="1" customFormat="1" ht="14.25" customHeight="1" x14ac:dyDescent="0.25">
      <c r="A292" s="31">
        <v>0</v>
      </c>
      <c r="B292" s="31">
        <v>2</v>
      </c>
      <c r="C292" s="31">
        <v>1</v>
      </c>
      <c r="D292" s="32" t="s">
        <v>532</v>
      </c>
      <c r="E292" s="32" t="s">
        <v>34</v>
      </c>
      <c r="F292" s="32" t="s">
        <v>533</v>
      </c>
      <c r="G292" s="32" t="s">
        <v>219</v>
      </c>
      <c r="H292" s="32" t="s">
        <v>352</v>
      </c>
      <c r="I292" s="31" t="s">
        <v>534</v>
      </c>
      <c r="J292" s="31">
        <v>8</v>
      </c>
      <c r="K292" s="33" t="s">
        <v>709</v>
      </c>
      <c r="L292" s="33" t="s">
        <v>709</v>
      </c>
      <c r="M292" s="34" t="s">
        <v>710</v>
      </c>
      <c r="N292" s="34" t="s">
        <v>1722</v>
      </c>
      <c r="O292" s="35">
        <v>1</v>
      </c>
      <c r="P292" s="35"/>
      <c r="Q292" s="32"/>
      <c r="S292" s="1">
        <f t="shared" si="131"/>
        <v>0</v>
      </c>
      <c r="T292" s="1">
        <f t="shared" si="132"/>
        <v>0</v>
      </c>
      <c r="U292" s="1">
        <f t="shared" si="133"/>
        <v>0</v>
      </c>
      <c r="V292" s="1">
        <f t="shared" si="134"/>
        <v>0</v>
      </c>
      <c r="W292" s="1">
        <f t="shared" si="135"/>
        <v>0</v>
      </c>
      <c r="X292" s="1">
        <f t="shared" si="136"/>
        <v>0</v>
      </c>
      <c r="Y292" s="1">
        <f t="shared" si="137"/>
        <v>0</v>
      </c>
      <c r="Z292" s="1">
        <f t="shared" si="138"/>
        <v>1</v>
      </c>
      <c r="AA292" s="1">
        <f t="shared" si="139"/>
        <v>0</v>
      </c>
      <c r="AB292" s="1">
        <f t="shared" si="140"/>
        <v>0</v>
      </c>
      <c r="AD292" s="1">
        <f t="shared" si="141"/>
        <v>0</v>
      </c>
      <c r="AE292" s="1">
        <f t="shared" si="142"/>
        <v>1</v>
      </c>
      <c r="AF292" s="1">
        <f t="shared" si="127"/>
        <v>0</v>
      </c>
      <c r="AG292" s="1">
        <f t="shared" si="128"/>
        <v>1</v>
      </c>
      <c r="AH292" s="1">
        <f t="shared" si="129"/>
        <v>0</v>
      </c>
      <c r="AI292" s="1">
        <f t="shared" si="130"/>
        <v>1</v>
      </c>
    </row>
    <row r="293" spans="1:35" s="1" customFormat="1" ht="14.25" customHeight="1" x14ac:dyDescent="0.25">
      <c r="A293" s="31">
        <v>0</v>
      </c>
      <c r="B293" s="31">
        <v>2</v>
      </c>
      <c r="C293" s="31">
        <v>1</v>
      </c>
      <c r="D293" s="32" t="s">
        <v>1270</v>
      </c>
      <c r="E293" s="32" t="s">
        <v>557</v>
      </c>
      <c r="F293" s="32" t="s">
        <v>1271</v>
      </c>
      <c r="G293" s="32" t="s">
        <v>229</v>
      </c>
      <c r="H293" s="32" t="s">
        <v>352</v>
      </c>
      <c r="I293" s="31" t="s">
        <v>1272</v>
      </c>
      <c r="J293" s="31">
        <v>7</v>
      </c>
      <c r="K293" s="33" t="s">
        <v>709</v>
      </c>
      <c r="L293" s="33" t="s">
        <v>709</v>
      </c>
      <c r="M293" s="34" t="s">
        <v>710</v>
      </c>
      <c r="N293" s="34" t="s">
        <v>1730</v>
      </c>
      <c r="O293" s="35">
        <v>1</v>
      </c>
      <c r="P293" s="35"/>
      <c r="Q293" s="32"/>
      <c r="S293" s="1">
        <f t="shared" si="131"/>
        <v>0</v>
      </c>
      <c r="T293" s="1">
        <f t="shared" si="132"/>
        <v>0</v>
      </c>
      <c r="U293" s="1">
        <f t="shared" si="133"/>
        <v>0</v>
      </c>
      <c r="V293" s="1">
        <f t="shared" si="134"/>
        <v>0</v>
      </c>
      <c r="W293" s="1">
        <f t="shared" si="135"/>
        <v>0</v>
      </c>
      <c r="X293" s="1">
        <f t="shared" si="136"/>
        <v>0</v>
      </c>
      <c r="Y293" s="1">
        <f t="shared" si="137"/>
        <v>1</v>
      </c>
      <c r="Z293" s="1">
        <f t="shared" si="138"/>
        <v>0</v>
      </c>
      <c r="AA293" s="1">
        <f t="shared" si="139"/>
        <v>0</v>
      </c>
      <c r="AB293" s="1">
        <f t="shared" si="140"/>
        <v>0</v>
      </c>
      <c r="AD293" s="1">
        <f t="shared" si="141"/>
        <v>0</v>
      </c>
      <c r="AE293" s="1">
        <f t="shared" si="142"/>
        <v>1</v>
      </c>
      <c r="AF293" s="1">
        <f t="shared" si="127"/>
        <v>0</v>
      </c>
      <c r="AG293" s="1">
        <f t="shared" si="128"/>
        <v>1</v>
      </c>
      <c r="AH293" s="1">
        <f t="shared" si="129"/>
        <v>0</v>
      </c>
      <c r="AI293" s="1">
        <f t="shared" si="130"/>
        <v>1</v>
      </c>
    </row>
    <row r="294" spans="1:35" s="1" customFormat="1" ht="14.25" customHeight="1" x14ac:dyDescent="0.25">
      <c r="A294" s="31">
        <v>0</v>
      </c>
      <c r="B294" s="31">
        <v>2</v>
      </c>
      <c r="C294" s="31">
        <v>1</v>
      </c>
      <c r="D294" s="32" t="s">
        <v>1306</v>
      </c>
      <c r="E294" s="32" t="s">
        <v>557</v>
      </c>
      <c r="F294" s="32" t="s">
        <v>1958</v>
      </c>
      <c r="G294" s="32" t="s">
        <v>212</v>
      </c>
      <c r="H294" s="32" t="s">
        <v>352</v>
      </c>
      <c r="I294" s="31" t="s">
        <v>1140</v>
      </c>
      <c r="J294" s="31">
        <v>1</v>
      </c>
      <c r="K294" s="33" t="s">
        <v>941</v>
      </c>
      <c r="L294" s="33" t="s">
        <v>709</v>
      </c>
      <c r="M294" s="34" t="s">
        <v>710</v>
      </c>
      <c r="N294" s="34" t="s">
        <v>1735</v>
      </c>
      <c r="O294" s="35">
        <v>1</v>
      </c>
      <c r="P294" s="35"/>
      <c r="Q294" s="32"/>
      <c r="S294" s="1">
        <f t="shared" si="131"/>
        <v>1</v>
      </c>
      <c r="T294" s="1">
        <f t="shared" si="132"/>
        <v>0</v>
      </c>
      <c r="U294" s="1">
        <f t="shared" si="133"/>
        <v>0</v>
      </c>
      <c r="V294" s="1">
        <f t="shared" si="134"/>
        <v>0</v>
      </c>
      <c r="W294" s="1">
        <f t="shared" si="135"/>
        <v>0</v>
      </c>
      <c r="X294" s="1">
        <f t="shared" si="136"/>
        <v>0</v>
      </c>
      <c r="Y294" s="1">
        <f t="shared" si="137"/>
        <v>0</v>
      </c>
      <c r="Z294" s="1">
        <f t="shared" si="138"/>
        <v>0</v>
      </c>
      <c r="AA294" s="1">
        <f t="shared" si="139"/>
        <v>0</v>
      </c>
      <c r="AB294" s="1">
        <f t="shared" si="140"/>
        <v>0</v>
      </c>
      <c r="AD294" s="1">
        <f t="shared" si="141"/>
        <v>0</v>
      </c>
      <c r="AE294" s="1">
        <f t="shared" si="142"/>
        <v>1</v>
      </c>
      <c r="AF294" s="1">
        <f t="shared" si="127"/>
        <v>0</v>
      </c>
      <c r="AG294" s="1">
        <f t="shared" si="128"/>
        <v>1</v>
      </c>
      <c r="AH294" s="1">
        <f t="shared" si="129"/>
        <v>0</v>
      </c>
      <c r="AI294" s="1">
        <f t="shared" si="130"/>
        <v>1</v>
      </c>
    </row>
    <row r="295" spans="1:35" s="1" customFormat="1" ht="14.25" customHeight="1" x14ac:dyDescent="0.25">
      <c r="A295" s="31">
        <v>0</v>
      </c>
      <c r="B295" s="31">
        <v>2</v>
      </c>
      <c r="C295" s="31">
        <v>1</v>
      </c>
      <c r="D295" s="32" t="s">
        <v>1307</v>
      </c>
      <c r="E295" s="32" t="s">
        <v>557</v>
      </c>
      <c r="F295" s="32" t="s">
        <v>1135</v>
      </c>
      <c r="G295" s="32" t="s">
        <v>283</v>
      </c>
      <c r="H295" s="32" t="s">
        <v>352</v>
      </c>
      <c r="I295" s="31" t="s">
        <v>1136</v>
      </c>
      <c r="J295" s="31">
        <v>10</v>
      </c>
      <c r="K295" s="33" t="s">
        <v>941</v>
      </c>
      <c r="L295" s="33" t="s">
        <v>709</v>
      </c>
      <c r="M295" s="34" t="s">
        <v>710</v>
      </c>
      <c r="N295" s="34" t="s">
        <v>1735</v>
      </c>
      <c r="O295" s="35">
        <v>1</v>
      </c>
      <c r="P295" s="35"/>
      <c r="Q295" s="32"/>
      <c r="S295" s="1">
        <f t="shared" si="131"/>
        <v>0</v>
      </c>
      <c r="T295" s="1">
        <f t="shared" si="132"/>
        <v>0</v>
      </c>
      <c r="U295" s="1">
        <f t="shared" si="133"/>
        <v>0</v>
      </c>
      <c r="V295" s="1">
        <f t="shared" si="134"/>
        <v>0</v>
      </c>
      <c r="W295" s="1">
        <f t="shared" si="135"/>
        <v>0</v>
      </c>
      <c r="X295" s="1">
        <f t="shared" si="136"/>
        <v>0</v>
      </c>
      <c r="Y295" s="1">
        <f t="shared" si="137"/>
        <v>0</v>
      </c>
      <c r="Z295" s="1">
        <f t="shared" si="138"/>
        <v>0</v>
      </c>
      <c r="AA295" s="1">
        <f t="shared" si="139"/>
        <v>0</v>
      </c>
      <c r="AB295" s="1">
        <f t="shared" si="140"/>
        <v>1</v>
      </c>
      <c r="AD295" s="1">
        <f t="shared" si="141"/>
        <v>0</v>
      </c>
      <c r="AE295" s="1">
        <f t="shared" si="142"/>
        <v>1</v>
      </c>
      <c r="AF295" s="1">
        <f t="shared" si="127"/>
        <v>0</v>
      </c>
      <c r="AG295" s="1">
        <f t="shared" si="128"/>
        <v>1</v>
      </c>
      <c r="AH295" s="1">
        <f t="shared" si="129"/>
        <v>0</v>
      </c>
      <c r="AI295" s="1">
        <f t="shared" si="130"/>
        <v>1</v>
      </c>
    </row>
    <row r="296" spans="1:35" s="1" customFormat="1" ht="14.25" customHeight="1" x14ac:dyDescent="0.25">
      <c r="A296" s="15">
        <v>0</v>
      </c>
      <c r="B296" s="15">
        <v>2</v>
      </c>
      <c r="C296" s="15">
        <v>1</v>
      </c>
      <c r="D296" s="20" t="s">
        <v>2038</v>
      </c>
      <c r="E296" s="20" t="s">
        <v>36</v>
      </c>
      <c r="F296" s="20" t="s">
        <v>2039</v>
      </c>
      <c r="G296" s="20" t="s">
        <v>1458</v>
      </c>
      <c r="H296" s="20" t="s">
        <v>352</v>
      </c>
      <c r="I296" s="21" t="s">
        <v>2041</v>
      </c>
      <c r="J296" s="15">
        <v>99</v>
      </c>
      <c r="K296" s="10" t="s">
        <v>699</v>
      </c>
      <c r="L296" s="10">
        <v>7</v>
      </c>
      <c r="M296" s="19" t="s">
        <v>2040</v>
      </c>
      <c r="N296" s="19"/>
      <c r="Q296" s="20" t="s">
        <v>2042</v>
      </c>
      <c r="S296" s="1">
        <f t="shared" si="131"/>
        <v>0</v>
      </c>
      <c r="T296" s="1">
        <f t="shared" si="132"/>
        <v>0</v>
      </c>
      <c r="U296" s="1">
        <f t="shared" si="133"/>
        <v>0</v>
      </c>
      <c r="V296" s="1">
        <f t="shared" si="134"/>
        <v>0</v>
      </c>
      <c r="W296" s="1">
        <f t="shared" si="135"/>
        <v>0</v>
      </c>
      <c r="X296" s="1">
        <f t="shared" si="136"/>
        <v>0</v>
      </c>
      <c r="Y296" s="1">
        <f t="shared" si="137"/>
        <v>0</v>
      </c>
      <c r="Z296" s="1">
        <f t="shared" si="138"/>
        <v>0</v>
      </c>
      <c r="AA296" s="1">
        <f t="shared" si="139"/>
        <v>0</v>
      </c>
      <c r="AB296" s="1">
        <f t="shared" si="140"/>
        <v>0</v>
      </c>
      <c r="AD296" s="1">
        <f t="shared" si="141"/>
        <v>0</v>
      </c>
      <c r="AE296" s="1">
        <f t="shared" si="142"/>
        <v>0</v>
      </c>
      <c r="AF296" s="1">
        <f t="shared" si="127"/>
        <v>0</v>
      </c>
      <c r="AG296" s="1">
        <f t="shared" si="128"/>
        <v>0</v>
      </c>
      <c r="AH296" s="1">
        <f t="shared" si="129"/>
        <v>0</v>
      </c>
      <c r="AI296" s="1">
        <f t="shared" si="130"/>
        <v>1</v>
      </c>
    </row>
    <row r="297" spans="1:35" s="1" customFormat="1" ht="14.25" customHeight="1" x14ac:dyDescent="0.25">
      <c r="A297" s="15">
        <v>0</v>
      </c>
      <c r="B297" s="15">
        <v>2</v>
      </c>
      <c r="C297" s="15">
        <v>1</v>
      </c>
      <c r="D297" s="16" t="s">
        <v>508</v>
      </c>
      <c r="E297" s="16" t="s">
        <v>34</v>
      </c>
      <c r="F297" s="16" t="s">
        <v>507</v>
      </c>
      <c r="G297" s="16" t="s">
        <v>542</v>
      </c>
      <c r="H297" s="16" t="s">
        <v>352</v>
      </c>
      <c r="I297" s="15" t="s">
        <v>1342</v>
      </c>
      <c r="J297" s="15">
        <v>99</v>
      </c>
      <c r="K297" s="10" t="s">
        <v>942</v>
      </c>
      <c r="L297" s="10" t="s">
        <v>709</v>
      </c>
      <c r="M297" s="19" t="s">
        <v>710</v>
      </c>
      <c r="N297" s="19"/>
      <c r="Q297" s="20" t="s">
        <v>1982</v>
      </c>
      <c r="S297" s="1">
        <f t="shared" si="131"/>
        <v>0</v>
      </c>
      <c r="T297" s="1">
        <f t="shared" si="132"/>
        <v>0</v>
      </c>
      <c r="U297" s="1">
        <f t="shared" si="133"/>
        <v>0</v>
      </c>
      <c r="V297" s="1">
        <f t="shared" si="134"/>
        <v>0</v>
      </c>
      <c r="W297" s="1">
        <f t="shared" si="135"/>
        <v>0</v>
      </c>
      <c r="X297" s="1">
        <f t="shared" si="136"/>
        <v>0</v>
      </c>
      <c r="Y297" s="1">
        <f t="shared" si="137"/>
        <v>0</v>
      </c>
      <c r="Z297" s="1">
        <f t="shared" si="138"/>
        <v>0</v>
      </c>
      <c r="AA297" s="1">
        <f t="shared" si="139"/>
        <v>0</v>
      </c>
      <c r="AB297" s="1">
        <f t="shared" si="140"/>
        <v>0</v>
      </c>
      <c r="AD297" s="1">
        <f t="shared" si="141"/>
        <v>0</v>
      </c>
      <c r="AE297" s="1">
        <f t="shared" si="142"/>
        <v>0</v>
      </c>
      <c r="AF297" s="1">
        <f t="shared" si="127"/>
        <v>0</v>
      </c>
      <c r="AG297" s="1">
        <f t="shared" si="128"/>
        <v>0</v>
      </c>
      <c r="AH297" s="1">
        <f t="shared" si="129"/>
        <v>0</v>
      </c>
      <c r="AI297" s="1">
        <f t="shared" si="130"/>
        <v>1</v>
      </c>
    </row>
    <row r="298" spans="1:35" s="1" customFormat="1" ht="14.25" customHeight="1" x14ac:dyDescent="0.25">
      <c r="A298" s="31">
        <v>0</v>
      </c>
      <c r="B298" s="31">
        <v>2</v>
      </c>
      <c r="C298" s="31">
        <v>1</v>
      </c>
      <c r="D298" s="32" t="s">
        <v>1029</v>
      </c>
      <c r="E298" s="32" t="s">
        <v>36</v>
      </c>
      <c r="F298" s="32" t="s">
        <v>1633</v>
      </c>
      <c r="G298" s="32" t="s">
        <v>624</v>
      </c>
      <c r="H298" s="32" t="s">
        <v>352</v>
      </c>
      <c r="I298" s="31" t="s">
        <v>1030</v>
      </c>
      <c r="J298" s="31">
        <v>99</v>
      </c>
      <c r="K298" s="33" t="s">
        <v>946</v>
      </c>
      <c r="L298" s="33" t="s">
        <v>709</v>
      </c>
      <c r="M298" s="34" t="s">
        <v>710</v>
      </c>
      <c r="N298" s="34" t="s">
        <v>1707</v>
      </c>
      <c r="O298" s="35">
        <v>1</v>
      </c>
      <c r="P298" s="35">
        <v>1</v>
      </c>
      <c r="Q298" s="32" t="s">
        <v>1873</v>
      </c>
      <c r="S298" s="1">
        <f t="shared" si="131"/>
        <v>0</v>
      </c>
      <c r="T298" s="1">
        <f t="shared" si="132"/>
        <v>0</v>
      </c>
      <c r="U298" s="1">
        <f t="shared" si="133"/>
        <v>0</v>
      </c>
      <c r="V298" s="1">
        <f t="shared" si="134"/>
        <v>0</v>
      </c>
      <c r="W298" s="1">
        <f t="shared" si="135"/>
        <v>0</v>
      </c>
      <c r="X298" s="1">
        <f t="shared" si="136"/>
        <v>0</v>
      </c>
      <c r="Y298" s="1">
        <f t="shared" si="137"/>
        <v>0</v>
      </c>
      <c r="Z298" s="1">
        <f t="shared" si="138"/>
        <v>0</v>
      </c>
      <c r="AA298" s="1">
        <f t="shared" si="139"/>
        <v>0</v>
      </c>
      <c r="AB298" s="1">
        <f t="shared" si="140"/>
        <v>0</v>
      </c>
      <c r="AD298" s="1">
        <f t="shared" si="141"/>
        <v>1</v>
      </c>
      <c r="AE298" s="1">
        <f t="shared" si="142"/>
        <v>0</v>
      </c>
      <c r="AF298" s="1">
        <f t="shared" si="127"/>
        <v>1</v>
      </c>
      <c r="AG298" s="1">
        <f t="shared" si="128"/>
        <v>0</v>
      </c>
      <c r="AH298" s="1">
        <f t="shared" si="129"/>
        <v>1</v>
      </c>
      <c r="AI298" s="1">
        <f t="shared" si="130"/>
        <v>0</v>
      </c>
    </row>
    <row r="299" spans="1:35" s="1" customFormat="1" ht="14.25" customHeight="1" x14ac:dyDescent="0.25">
      <c r="A299" s="31">
        <v>1</v>
      </c>
      <c r="B299" s="31">
        <v>2</v>
      </c>
      <c r="C299" s="31">
        <v>1</v>
      </c>
      <c r="D299" s="32" t="s">
        <v>49</v>
      </c>
      <c r="E299" s="32" t="s">
        <v>1294</v>
      </c>
      <c r="F299" s="32" t="s">
        <v>190</v>
      </c>
      <c r="G299" s="32" t="s">
        <v>191</v>
      </c>
      <c r="H299" s="32" t="s">
        <v>352</v>
      </c>
      <c r="I299" s="31" t="s">
        <v>384</v>
      </c>
      <c r="J299" s="31">
        <v>99</v>
      </c>
      <c r="K299" s="33" t="s">
        <v>708</v>
      </c>
      <c r="L299" s="33" t="s">
        <v>709</v>
      </c>
      <c r="M299" s="34" t="s">
        <v>710</v>
      </c>
      <c r="N299" s="34" t="s">
        <v>1730</v>
      </c>
      <c r="O299" s="35">
        <v>1</v>
      </c>
      <c r="P299" s="35"/>
      <c r="Q299" s="32"/>
      <c r="S299" s="1">
        <f t="shared" si="131"/>
        <v>0</v>
      </c>
      <c r="T299" s="1">
        <f t="shared" si="132"/>
        <v>0</v>
      </c>
      <c r="U299" s="1">
        <f t="shared" si="133"/>
        <v>0</v>
      </c>
      <c r="V299" s="1">
        <f t="shared" si="134"/>
        <v>0</v>
      </c>
      <c r="W299" s="1">
        <f t="shared" si="135"/>
        <v>0</v>
      </c>
      <c r="X299" s="1">
        <f t="shared" si="136"/>
        <v>0</v>
      </c>
      <c r="Y299" s="1">
        <f t="shared" si="137"/>
        <v>0</v>
      </c>
      <c r="Z299" s="1">
        <f t="shared" si="138"/>
        <v>0</v>
      </c>
      <c r="AA299" s="1">
        <f t="shared" si="139"/>
        <v>0</v>
      </c>
      <c r="AB299" s="1">
        <f t="shared" si="140"/>
        <v>0</v>
      </c>
      <c r="AD299" s="1">
        <f t="shared" si="141"/>
        <v>0</v>
      </c>
      <c r="AE299" s="1">
        <f t="shared" si="142"/>
        <v>1</v>
      </c>
      <c r="AF299" s="1">
        <f t="shared" si="127"/>
        <v>0</v>
      </c>
      <c r="AG299" s="1">
        <f t="shared" si="128"/>
        <v>0</v>
      </c>
      <c r="AH299" s="1">
        <f t="shared" si="129"/>
        <v>0</v>
      </c>
      <c r="AI299" s="1">
        <f t="shared" si="130"/>
        <v>0</v>
      </c>
    </row>
    <row r="300" spans="1:35" s="1" customFormat="1" ht="14.25" customHeight="1" x14ac:dyDescent="0.25">
      <c r="A300" s="31">
        <v>0</v>
      </c>
      <c r="B300" s="31">
        <v>2</v>
      </c>
      <c r="C300" s="31">
        <v>1</v>
      </c>
      <c r="D300" s="32" t="s">
        <v>1061</v>
      </c>
      <c r="E300" s="32" t="s">
        <v>1294</v>
      </c>
      <c r="F300" s="32" t="s">
        <v>1076</v>
      </c>
      <c r="G300" s="32" t="s">
        <v>201</v>
      </c>
      <c r="H300" s="32" t="s">
        <v>352</v>
      </c>
      <c r="I300" s="31" t="s">
        <v>384</v>
      </c>
      <c r="J300" s="31">
        <v>10</v>
      </c>
      <c r="K300" s="33" t="s">
        <v>708</v>
      </c>
      <c r="L300" s="33" t="s">
        <v>709</v>
      </c>
      <c r="M300" s="34" t="s">
        <v>710</v>
      </c>
      <c r="N300" s="34" t="s">
        <v>1730</v>
      </c>
      <c r="O300" s="35">
        <v>1</v>
      </c>
      <c r="P300" s="35"/>
      <c r="Q300" s="32"/>
      <c r="S300" s="1">
        <f t="shared" si="131"/>
        <v>0</v>
      </c>
      <c r="T300" s="1">
        <f t="shared" si="132"/>
        <v>0</v>
      </c>
      <c r="U300" s="1">
        <f t="shared" si="133"/>
        <v>0</v>
      </c>
      <c r="V300" s="1">
        <f t="shared" si="134"/>
        <v>0</v>
      </c>
      <c r="W300" s="1">
        <f t="shared" si="135"/>
        <v>0</v>
      </c>
      <c r="X300" s="1">
        <f t="shared" si="136"/>
        <v>0</v>
      </c>
      <c r="Y300" s="1">
        <f t="shared" si="137"/>
        <v>0</v>
      </c>
      <c r="Z300" s="1">
        <f t="shared" si="138"/>
        <v>0</v>
      </c>
      <c r="AA300" s="1">
        <f t="shared" si="139"/>
        <v>0</v>
      </c>
      <c r="AB300" s="1">
        <f t="shared" si="140"/>
        <v>1</v>
      </c>
      <c r="AD300" s="1">
        <f t="shared" si="141"/>
        <v>0</v>
      </c>
      <c r="AE300" s="1">
        <f t="shared" si="142"/>
        <v>1</v>
      </c>
      <c r="AF300" s="1">
        <f t="shared" si="127"/>
        <v>0</v>
      </c>
      <c r="AG300" s="1">
        <f t="shared" si="128"/>
        <v>1</v>
      </c>
      <c r="AH300" s="1">
        <f t="shared" si="129"/>
        <v>0</v>
      </c>
      <c r="AI300" s="1">
        <f t="shared" si="130"/>
        <v>1</v>
      </c>
    </row>
    <row r="301" spans="1:35" s="1" customFormat="1" ht="14.25" customHeight="1" x14ac:dyDescent="0.25">
      <c r="A301" s="31">
        <v>0</v>
      </c>
      <c r="B301" s="31">
        <v>2</v>
      </c>
      <c r="C301" s="31">
        <v>1</v>
      </c>
      <c r="D301" s="32" t="s">
        <v>1253</v>
      </c>
      <c r="E301" s="32" t="s">
        <v>557</v>
      </c>
      <c r="F301" s="32" t="s">
        <v>1254</v>
      </c>
      <c r="G301" s="32" t="s">
        <v>257</v>
      </c>
      <c r="H301" s="32" t="s">
        <v>352</v>
      </c>
      <c r="I301" s="31" t="s">
        <v>1255</v>
      </c>
      <c r="J301" s="31">
        <v>8</v>
      </c>
      <c r="K301" s="33" t="s">
        <v>941</v>
      </c>
      <c r="L301" s="33" t="s">
        <v>709</v>
      </c>
      <c r="M301" s="34" t="s">
        <v>710</v>
      </c>
      <c r="N301" s="34" t="s">
        <v>1722</v>
      </c>
      <c r="O301" s="35">
        <v>1</v>
      </c>
      <c r="P301" s="35"/>
      <c r="Q301" s="32"/>
      <c r="S301" s="1">
        <f t="shared" si="131"/>
        <v>0</v>
      </c>
      <c r="T301" s="1">
        <f t="shared" si="132"/>
        <v>0</v>
      </c>
      <c r="U301" s="1">
        <f t="shared" si="133"/>
        <v>0</v>
      </c>
      <c r="V301" s="1">
        <f t="shared" si="134"/>
        <v>0</v>
      </c>
      <c r="W301" s="1">
        <f t="shared" si="135"/>
        <v>0</v>
      </c>
      <c r="X301" s="1">
        <f t="shared" si="136"/>
        <v>0</v>
      </c>
      <c r="Y301" s="1">
        <f t="shared" si="137"/>
        <v>0</v>
      </c>
      <c r="Z301" s="1">
        <f t="shared" si="138"/>
        <v>1</v>
      </c>
      <c r="AA301" s="1">
        <f t="shared" si="139"/>
        <v>0</v>
      </c>
      <c r="AB301" s="1">
        <f t="shared" si="140"/>
        <v>0</v>
      </c>
      <c r="AD301" s="1">
        <f t="shared" si="141"/>
        <v>0</v>
      </c>
      <c r="AE301" s="1">
        <f t="shared" si="142"/>
        <v>1</v>
      </c>
      <c r="AF301" s="1">
        <f t="shared" si="127"/>
        <v>0</v>
      </c>
      <c r="AG301" s="1">
        <f t="shared" si="128"/>
        <v>1</v>
      </c>
      <c r="AH301" s="1">
        <f t="shared" si="129"/>
        <v>0</v>
      </c>
      <c r="AI301" s="1">
        <f t="shared" si="130"/>
        <v>1</v>
      </c>
    </row>
    <row r="302" spans="1:35" s="1" customFormat="1" ht="14.25" customHeight="1" x14ac:dyDescent="0.25">
      <c r="A302" s="44">
        <v>0</v>
      </c>
      <c r="B302" s="44">
        <v>2</v>
      </c>
      <c r="C302" s="44">
        <v>1</v>
      </c>
      <c r="D302" s="45" t="s">
        <v>48</v>
      </c>
      <c r="E302" s="45" t="s">
        <v>574</v>
      </c>
      <c r="F302" s="45" t="s">
        <v>188</v>
      </c>
      <c r="G302" s="45" t="s">
        <v>298</v>
      </c>
      <c r="H302" s="45" t="s">
        <v>352</v>
      </c>
      <c r="I302" s="44" t="s">
        <v>383</v>
      </c>
      <c r="J302" s="44">
        <v>99</v>
      </c>
      <c r="K302" s="46" t="s">
        <v>709</v>
      </c>
      <c r="L302" s="46" t="s">
        <v>709</v>
      </c>
      <c r="M302" s="47" t="s">
        <v>710</v>
      </c>
      <c r="N302" s="47" t="s">
        <v>1721</v>
      </c>
      <c r="O302" s="48"/>
      <c r="P302" s="48"/>
      <c r="Q302" s="45"/>
      <c r="S302" s="1">
        <f t="shared" si="131"/>
        <v>0</v>
      </c>
      <c r="T302" s="1">
        <f t="shared" si="132"/>
        <v>0</v>
      </c>
      <c r="U302" s="1">
        <f t="shared" si="133"/>
        <v>0</v>
      </c>
      <c r="V302" s="1">
        <f t="shared" si="134"/>
        <v>0</v>
      </c>
      <c r="W302" s="1">
        <f t="shared" si="135"/>
        <v>0</v>
      </c>
      <c r="X302" s="1">
        <f t="shared" si="136"/>
        <v>0</v>
      </c>
      <c r="Y302" s="1">
        <f t="shared" si="137"/>
        <v>0</v>
      </c>
      <c r="Z302" s="1">
        <f t="shared" si="138"/>
        <v>0</v>
      </c>
      <c r="AA302" s="1">
        <f t="shared" si="139"/>
        <v>0</v>
      </c>
      <c r="AB302" s="1">
        <f t="shared" si="140"/>
        <v>0</v>
      </c>
      <c r="AD302" s="1">
        <f t="shared" si="141"/>
        <v>0</v>
      </c>
      <c r="AE302" s="1">
        <f t="shared" si="142"/>
        <v>0</v>
      </c>
      <c r="AF302" s="1">
        <f t="shared" si="127"/>
        <v>0</v>
      </c>
      <c r="AG302" s="1">
        <f t="shared" si="128"/>
        <v>0</v>
      </c>
      <c r="AH302" s="1">
        <f t="shared" si="129"/>
        <v>0</v>
      </c>
      <c r="AI302" s="1">
        <f t="shared" si="130"/>
        <v>1</v>
      </c>
    </row>
    <row r="303" spans="1:35" s="1" customFormat="1" ht="14.25" customHeight="1" x14ac:dyDescent="0.25">
      <c r="A303" s="31">
        <v>0</v>
      </c>
      <c r="B303" s="31">
        <v>2</v>
      </c>
      <c r="C303" s="31">
        <v>1</v>
      </c>
      <c r="D303" s="32" t="s">
        <v>57</v>
      </c>
      <c r="E303" s="32" t="s">
        <v>161</v>
      </c>
      <c r="F303" s="32" t="s">
        <v>662</v>
      </c>
      <c r="G303" s="32" t="s">
        <v>220</v>
      </c>
      <c r="H303" s="32" t="s">
        <v>352</v>
      </c>
      <c r="I303" s="31" t="s">
        <v>394</v>
      </c>
      <c r="J303" s="31">
        <v>99</v>
      </c>
      <c r="K303" s="33" t="s">
        <v>948</v>
      </c>
      <c r="L303" s="33" t="s">
        <v>709</v>
      </c>
      <c r="M303" s="34" t="s">
        <v>710</v>
      </c>
      <c r="N303" s="34" t="s">
        <v>1717</v>
      </c>
      <c r="O303" s="35">
        <v>1</v>
      </c>
      <c r="P303" s="35"/>
      <c r="Q303" s="32"/>
      <c r="S303" s="1">
        <f t="shared" si="131"/>
        <v>0</v>
      </c>
      <c r="T303" s="1">
        <f t="shared" si="132"/>
        <v>0</v>
      </c>
      <c r="U303" s="1">
        <f t="shared" si="133"/>
        <v>0</v>
      </c>
      <c r="V303" s="1">
        <f t="shared" si="134"/>
        <v>0</v>
      </c>
      <c r="W303" s="1">
        <f t="shared" si="135"/>
        <v>0</v>
      </c>
      <c r="X303" s="1">
        <f t="shared" si="136"/>
        <v>0</v>
      </c>
      <c r="Y303" s="1">
        <f t="shared" si="137"/>
        <v>0</v>
      </c>
      <c r="Z303" s="1">
        <f t="shared" si="138"/>
        <v>0</v>
      </c>
      <c r="AA303" s="1">
        <f t="shared" si="139"/>
        <v>0</v>
      </c>
      <c r="AB303" s="1">
        <f t="shared" si="140"/>
        <v>0</v>
      </c>
      <c r="AD303" s="1">
        <f t="shared" si="141"/>
        <v>0</v>
      </c>
      <c r="AE303" s="1">
        <f t="shared" si="142"/>
        <v>1</v>
      </c>
      <c r="AF303" s="1">
        <f t="shared" si="127"/>
        <v>0</v>
      </c>
      <c r="AG303" s="1">
        <f t="shared" si="128"/>
        <v>1</v>
      </c>
      <c r="AH303" s="1">
        <f t="shared" si="129"/>
        <v>0</v>
      </c>
      <c r="AI303" s="1">
        <f t="shared" si="130"/>
        <v>1</v>
      </c>
    </row>
    <row r="304" spans="1:35" s="1" customFormat="1" ht="14.25" customHeight="1" x14ac:dyDescent="0.25">
      <c r="A304" s="31">
        <v>0</v>
      </c>
      <c r="B304" s="31">
        <v>2</v>
      </c>
      <c r="C304" s="31">
        <v>1</v>
      </c>
      <c r="D304" s="32" t="s">
        <v>511</v>
      </c>
      <c r="E304" s="32" t="s">
        <v>557</v>
      </c>
      <c r="F304" s="32" t="s">
        <v>228</v>
      </c>
      <c r="G304" s="32" t="s">
        <v>229</v>
      </c>
      <c r="H304" s="32" t="s">
        <v>352</v>
      </c>
      <c r="I304" s="31" t="s">
        <v>398</v>
      </c>
      <c r="J304" s="31">
        <v>7</v>
      </c>
      <c r="K304" s="33" t="s">
        <v>941</v>
      </c>
      <c r="L304" s="33" t="s">
        <v>709</v>
      </c>
      <c r="M304" s="34" t="s">
        <v>710</v>
      </c>
      <c r="N304" s="34" t="s">
        <v>1723</v>
      </c>
      <c r="O304" s="35">
        <v>1</v>
      </c>
      <c r="P304" s="35"/>
      <c r="Q304" s="32"/>
      <c r="S304" s="1">
        <f t="shared" si="131"/>
        <v>0</v>
      </c>
      <c r="T304" s="1">
        <f t="shared" si="132"/>
        <v>0</v>
      </c>
      <c r="U304" s="1">
        <f t="shared" si="133"/>
        <v>0</v>
      </c>
      <c r="V304" s="1">
        <f t="shared" si="134"/>
        <v>0</v>
      </c>
      <c r="W304" s="1">
        <f t="shared" si="135"/>
        <v>0</v>
      </c>
      <c r="X304" s="1">
        <f t="shared" si="136"/>
        <v>0</v>
      </c>
      <c r="Y304" s="1">
        <f t="shared" si="137"/>
        <v>1</v>
      </c>
      <c r="Z304" s="1">
        <f t="shared" si="138"/>
        <v>0</v>
      </c>
      <c r="AA304" s="1">
        <f t="shared" si="139"/>
        <v>0</v>
      </c>
      <c r="AB304" s="1">
        <f t="shared" si="140"/>
        <v>0</v>
      </c>
      <c r="AD304" s="1">
        <f t="shared" si="141"/>
        <v>0</v>
      </c>
      <c r="AE304" s="1">
        <f t="shared" si="142"/>
        <v>1</v>
      </c>
      <c r="AF304" s="1">
        <f t="shared" si="127"/>
        <v>0</v>
      </c>
      <c r="AG304" s="1">
        <f t="shared" si="128"/>
        <v>1</v>
      </c>
      <c r="AH304" s="1">
        <f t="shared" si="129"/>
        <v>0</v>
      </c>
      <c r="AI304" s="1">
        <f t="shared" si="130"/>
        <v>1</v>
      </c>
    </row>
    <row r="305" spans="1:35" s="1" customFormat="1" ht="14.25" customHeight="1" x14ac:dyDescent="0.25">
      <c r="A305" s="44">
        <v>0</v>
      </c>
      <c r="B305" s="44">
        <v>2</v>
      </c>
      <c r="C305" s="44">
        <v>1</v>
      </c>
      <c r="D305" s="45" t="s">
        <v>556</v>
      </c>
      <c r="E305" s="45" t="s">
        <v>557</v>
      </c>
      <c r="F305" s="45" t="s">
        <v>558</v>
      </c>
      <c r="G305" s="45" t="s">
        <v>207</v>
      </c>
      <c r="H305" s="45" t="s">
        <v>352</v>
      </c>
      <c r="I305" s="44" t="s">
        <v>559</v>
      </c>
      <c r="J305" s="44">
        <v>3</v>
      </c>
      <c r="K305" s="46" t="s">
        <v>708</v>
      </c>
      <c r="L305" s="46" t="s">
        <v>709</v>
      </c>
      <c r="M305" s="47" t="s">
        <v>710</v>
      </c>
      <c r="N305" s="47" t="s">
        <v>1721</v>
      </c>
      <c r="O305" s="48"/>
      <c r="P305" s="48"/>
      <c r="Q305" s="45"/>
      <c r="S305" s="1">
        <f t="shared" si="131"/>
        <v>0</v>
      </c>
      <c r="T305" s="1">
        <f t="shared" si="132"/>
        <v>0</v>
      </c>
      <c r="U305" s="1">
        <f t="shared" si="133"/>
        <v>1</v>
      </c>
      <c r="V305" s="1">
        <f t="shared" si="134"/>
        <v>0</v>
      </c>
      <c r="W305" s="1">
        <f t="shared" si="135"/>
        <v>0</v>
      </c>
      <c r="X305" s="1">
        <f t="shared" si="136"/>
        <v>0</v>
      </c>
      <c r="Y305" s="1">
        <f t="shared" si="137"/>
        <v>0</v>
      </c>
      <c r="Z305" s="1">
        <f t="shared" si="138"/>
        <v>0</v>
      </c>
      <c r="AA305" s="1">
        <f t="shared" si="139"/>
        <v>0</v>
      </c>
      <c r="AB305" s="1">
        <f t="shared" si="140"/>
        <v>0</v>
      </c>
      <c r="AD305" s="1">
        <f t="shared" si="141"/>
        <v>0</v>
      </c>
      <c r="AE305" s="1">
        <f t="shared" si="142"/>
        <v>0</v>
      </c>
      <c r="AF305" s="1">
        <f t="shared" si="127"/>
        <v>0</v>
      </c>
      <c r="AG305" s="1">
        <f t="shared" si="128"/>
        <v>0</v>
      </c>
      <c r="AH305" s="1">
        <f t="shared" si="129"/>
        <v>0</v>
      </c>
      <c r="AI305" s="1">
        <f t="shared" si="130"/>
        <v>1</v>
      </c>
    </row>
    <row r="306" spans="1:35" s="1" customFormat="1" ht="14.25" customHeight="1" x14ac:dyDescent="0.25">
      <c r="A306" s="37">
        <v>0</v>
      </c>
      <c r="B306" s="37">
        <v>2</v>
      </c>
      <c r="C306" s="37">
        <v>1</v>
      </c>
      <c r="D306" s="36" t="s">
        <v>1040</v>
      </c>
      <c r="E306" s="36" t="s">
        <v>32</v>
      </c>
      <c r="F306" s="36" t="s">
        <v>1257</v>
      </c>
      <c r="G306" s="36" t="s">
        <v>531</v>
      </c>
      <c r="H306" s="36" t="s">
        <v>352</v>
      </c>
      <c r="I306" s="37" t="s">
        <v>1258</v>
      </c>
      <c r="J306" s="37">
        <v>6</v>
      </c>
      <c r="K306" s="56" t="s">
        <v>709</v>
      </c>
      <c r="L306" s="33" t="s">
        <v>709</v>
      </c>
      <c r="M306" s="34" t="s">
        <v>710</v>
      </c>
      <c r="N306" s="34" t="s">
        <v>1722</v>
      </c>
      <c r="O306" s="35">
        <v>1</v>
      </c>
      <c r="P306" s="35"/>
      <c r="Q306" s="36"/>
      <c r="S306" s="1">
        <f t="shared" si="131"/>
        <v>0</v>
      </c>
      <c r="T306" s="1">
        <f t="shared" si="132"/>
        <v>0</v>
      </c>
      <c r="U306" s="1">
        <f t="shared" si="133"/>
        <v>0</v>
      </c>
      <c r="V306" s="1">
        <f t="shared" si="134"/>
        <v>0</v>
      </c>
      <c r="W306" s="1">
        <f t="shared" si="135"/>
        <v>0</v>
      </c>
      <c r="X306" s="1">
        <f t="shared" si="136"/>
        <v>1</v>
      </c>
      <c r="Y306" s="1">
        <f t="shared" si="137"/>
        <v>0</v>
      </c>
      <c r="Z306" s="1">
        <f t="shared" si="138"/>
        <v>0</v>
      </c>
      <c r="AA306" s="1">
        <f t="shared" si="139"/>
        <v>0</v>
      </c>
      <c r="AB306" s="1">
        <f t="shared" si="140"/>
        <v>0</v>
      </c>
      <c r="AD306" s="1">
        <f t="shared" si="141"/>
        <v>0</v>
      </c>
      <c r="AE306" s="1">
        <f t="shared" si="142"/>
        <v>1</v>
      </c>
      <c r="AF306" s="1">
        <f t="shared" si="127"/>
        <v>0</v>
      </c>
      <c r="AG306" s="1">
        <f t="shared" si="128"/>
        <v>1</v>
      </c>
      <c r="AH306" s="1">
        <f t="shared" si="129"/>
        <v>0</v>
      </c>
      <c r="AI306" s="1">
        <f t="shared" si="130"/>
        <v>1</v>
      </c>
    </row>
    <row r="307" spans="1:35" s="1" customFormat="1" ht="14.25" customHeight="1" x14ac:dyDescent="0.25">
      <c r="A307" s="44">
        <v>0</v>
      </c>
      <c r="B307" s="44">
        <v>2</v>
      </c>
      <c r="C307" s="44">
        <v>1</v>
      </c>
      <c r="D307" s="45" t="s">
        <v>906</v>
      </c>
      <c r="E307" s="45" t="s">
        <v>1313</v>
      </c>
      <c r="F307" s="45" t="s">
        <v>780</v>
      </c>
      <c r="G307" s="45" t="s">
        <v>256</v>
      </c>
      <c r="H307" s="45" t="s">
        <v>352</v>
      </c>
      <c r="I307" s="44" t="s">
        <v>932</v>
      </c>
      <c r="J307" s="44">
        <v>99</v>
      </c>
      <c r="K307" s="46" t="s">
        <v>708</v>
      </c>
      <c r="L307" s="46" t="s">
        <v>709</v>
      </c>
      <c r="M307" s="47" t="s">
        <v>710</v>
      </c>
      <c r="N307" s="47" t="s">
        <v>1708</v>
      </c>
      <c r="O307" s="48"/>
      <c r="P307" s="48"/>
      <c r="Q307" s="45"/>
      <c r="S307" s="1">
        <f t="shared" si="131"/>
        <v>0</v>
      </c>
      <c r="T307" s="1">
        <f t="shared" si="132"/>
        <v>0</v>
      </c>
      <c r="U307" s="1">
        <f t="shared" si="133"/>
        <v>0</v>
      </c>
      <c r="V307" s="1">
        <f t="shared" si="134"/>
        <v>0</v>
      </c>
      <c r="W307" s="1">
        <f t="shared" si="135"/>
        <v>0</v>
      </c>
      <c r="X307" s="1">
        <f t="shared" si="136"/>
        <v>0</v>
      </c>
      <c r="Y307" s="1">
        <f t="shared" si="137"/>
        <v>0</v>
      </c>
      <c r="Z307" s="1">
        <f t="shared" si="138"/>
        <v>0</v>
      </c>
      <c r="AA307" s="1">
        <f t="shared" si="139"/>
        <v>0</v>
      </c>
      <c r="AB307" s="1">
        <f t="shared" si="140"/>
        <v>0</v>
      </c>
      <c r="AD307" s="1">
        <f t="shared" si="141"/>
        <v>0</v>
      </c>
      <c r="AE307" s="1">
        <f t="shared" si="142"/>
        <v>0</v>
      </c>
      <c r="AF307" s="1">
        <f t="shared" si="127"/>
        <v>0</v>
      </c>
      <c r="AG307" s="1">
        <f t="shared" si="128"/>
        <v>0</v>
      </c>
      <c r="AH307" s="1">
        <f t="shared" si="129"/>
        <v>0</v>
      </c>
      <c r="AI307" s="1">
        <f t="shared" si="130"/>
        <v>1</v>
      </c>
    </row>
    <row r="308" spans="1:35" s="1" customFormat="1" ht="14.25" customHeight="1" x14ac:dyDescent="0.25">
      <c r="A308" s="37">
        <v>0</v>
      </c>
      <c r="B308" s="37">
        <v>2</v>
      </c>
      <c r="C308" s="37">
        <v>1</v>
      </c>
      <c r="D308" s="36" t="s">
        <v>1745</v>
      </c>
      <c r="E308" s="36" t="s">
        <v>1746</v>
      </c>
      <c r="F308" s="36" t="s">
        <v>1747</v>
      </c>
      <c r="G308" s="36" t="s">
        <v>179</v>
      </c>
      <c r="H308" s="36" t="s">
        <v>352</v>
      </c>
      <c r="I308" s="37" t="s">
        <v>1748</v>
      </c>
      <c r="J308" s="37"/>
      <c r="K308" s="56" t="s">
        <v>699</v>
      </c>
      <c r="L308" s="33">
        <v>4</v>
      </c>
      <c r="M308" s="34" t="s">
        <v>710</v>
      </c>
      <c r="N308" s="34" t="s">
        <v>1717</v>
      </c>
      <c r="O308" s="35">
        <v>1</v>
      </c>
      <c r="P308" s="35"/>
      <c r="Q308" s="36"/>
      <c r="S308" s="1">
        <f t="shared" si="131"/>
        <v>0</v>
      </c>
      <c r="T308" s="1">
        <f t="shared" si="132"/>
        <v>0</v>
      </c>
      <c r="U308" s="1">
        <f t="shared" si="133"/>
        <v>0</v>
      </c>
      <c r="V308" s="1">
        <f t="shared" si="134"/>
        <v>0</v>
      </c>
      <c r="W308" s="1">
        <f t="shared" si="135"/>
        <v>0</v>
      </c>
      <c r="X308" s="1">
        <f t="shared" si="136"/>
        <v>0</v>
      </c>
      <c r="Y308" s="1">
        <f t="shared" si="137"/>
        <v>0</v>
      </c>
      <c r="Z308" s="1">
        <f t="shared" si="138"/>
        <v>0</v>
      </c>
      <c r="AA308" s="1">
        <f t="shared" si="139"/>
        <v>0</v>
      </c>
      <c r="AB308" s="1">
        <f t="shared" si="140"/>
        <v>0</v>
      </c>
      <c r="AD308" s="1">
        <f t="shared" si="141"/>
        <v>0</v>
      </c>
      <c r="AE308" s="1">
        <f t="shared" si="142"/>
        <v>1</v>
      </c>
      <c r="AF308" s="1">
        <f t="shared" si="127"/>
        <v>0</v>
      </c>
      <c r="AG308" s="1">
        <f t="shared" si="128"/>
        <v>1</v>
      </c>
      <c r="AH308" s="1">
        <f t="shared" si="129"/>
        <v>0</v>
      </c>
      <c r="AI308" s="1">
        <f t="shared" si="130"/>
        <v>1</v>
      </c>
    </row>
    <row r="309" spans="1:35" s="1" customFormat="1" ht="14.25" customHeight="1" x14ac:dyDescent="0.25">
      <c r="A309" s="31">
        <v>0</v>
      </c>
      <c r="B309" s="31">
        <v>2</v>
      </c>
      <c r="C309" s="31">
        <v>1</v>
      </c>
      <c r="D309" s="32" t="s">
        <v>615</v>
      </c>
      <c r="E309" s="32" t="s">
        <v>616</v>
      </c>
      <c r="F309" s="32" t="s">
        <v>617</v>
      </c>
      <c r="G309" s="32" t="s">
        <v>618</v>
      </c>
      <c r="H309" s="32" t="s">
        <v>352</v>
      </c>
      <c r="I309" s="31" t="s">
        <v>619</v>
      </c>
      <c r="J309" s="31">
        <v>99</v>
      </c>
      <c r="K309" s="33" t="s">
        <v>708</v>
      </c>
      <c r="L309" s="33" t="s">
        <v>709</v>
      </c>
      <c r="M309" s="34" t="s">
        <v>710</v>
      </c>
      <c r="N309" s="34" t="s">
        <v>1730</v>
      </c>
      <c r="O309" s="35">
        <v>1</v>
      </c>
      <c r="P309" s="35"/>
      <c r="Q309" s="32"/>
      <c r="S309" s="1">
        <f t="shared" si="131"/>
        <v>0</v>
      </c>
      <c r="T309" s="1">
        <f t="shared" si="132"/>
        <v>0</v>
      </c>
      <c r="U309" s="1">
        <f t="shared" si="133"/>
        <v>0</v>
      </c>
      <c r="V309" s="1">
        <f t="shared" si="134"/>
        <v>0</v>
      </c>
      <c r="W309" s="1">
        <f t="shared" si="135"/>
        <v>0</v>
      </c>
      <c r="X309" s="1">
        <f t="shared" si="136"/>
        <v>0</v>
      </c>
      <c r="Y309" s="1">
        <f t="shared" si="137"/>
        <v>0</v>
      </c>
      <c r="Z309" s="1">
        <f t="shared" si="138"/>
        <v>0</v>
      </c>
      <c r="AA309" s="1">
        <f t="shared" si="139"/>
        <v>0</v>
      </c>
      <c r="AB309" s="1">
        <f t="shared" si="140"/>
        <v>0</v>
      </c>
      <c r="AD309" s="1">
        <f t="shared" si="141"/>
        <v>0</v>
      </c>
      <c r="AE309" s="1">
        <f t="shared" si="142"/>
        <v>1</v>
      </c>
      <c r="AF309" s="1">
        <f t="shared" si="127"/>
        <v>0</v>
      </c>
      <c r="AG309" s="1">
        <f t="shared" si="128"/>
        <v>1</v>
      </c>
      <c r="AH309" s="1">
        <f t="shared" si="129"/>
        <v>0</v>
      </c>
      <c r="AI309" s="1">
        <f t="shared" si="130"/>
        <v>1</v>
      </c>
    </row>
    <row r="310" spans="1:35" s="1" customFormat="1" ht="14.25" customHeight="1" x14ac:dyDescent="0.25">
      <c r="A310" s="31">
        <v>0</v>
      </c>
      <c r="B310" s="31">
        <v>2</v>
      </c>
      <c r="C310" s="31">
        <v>1</v>
      </c>
      <c r="D310" s="32" t="s">
        <v>1067</v>
      </c>
      <c r="E310" s="32" t="s">
        <v>1314</v>
      </c>
      <c r="F310" s="32" t="s">
        <v>1637</v>
      </c>
      <c r="G310" s="32" t="s">
        <v>189</v>
      </c>
      <c r="H310" s="32" t="s">
        <v>352</v>
      </c>
      <c r="I310" s="31" t="s">
        <v>1835</v>
      </c>
      <c r="J310" s="31">
        <v>99</v>
      </c>
      <c r="K310" s="33" t="s">
        <v>708</v>
      </c>
      <c r="L310" s="33" t="s">
        <v>709</v>
      </c>
      <c r="M310" s="34" t="s">
        <v>710</v>
      </c>
      <c r="N310" s="34" t="s">
        <v>1717</v>
      </c>
      <c r="O310" s="35">
        <v>1</v>
      </c>
      <c r="P310" s="35"/>
      <c r="Q310" s="32"/>
      <c r="S310" s="1">
        <f t="shared" si="131"/>
        <v>0</v>
      </c>
      <c r="T310" s="1">
        <f t="shared" si="132"/>
        <v>0</v>
      </c>
      <c r="U310" s="1">
        <f t="shared" si="133"/>
        <v>0</v>
      </c>
      <c r="V310" s="1">
        <f t="shared" si="134"/>
        <v>0</v>
      </c>
      <c r="W310" s="1">
        <f t="shared" si="135"/>
        <v>0</v>
      </c>
      <c r="X310" s="1">
        <f t="shared" si="136"/>
        <v>0</v>
      </c>
      <c r="Y310" s="1">
        <f t="shared" si="137"/>
        <v>0</v>
      </c>
      <c r="Z310" s="1">
        <f t="shared" si="138"/>
        <v>0</v>
      </c>
      <c r="AA310" s="1">
        <f t="shared" si="139"/>
        <v>0</v>
      </c>
      <c r="AB310" s="1">
        <f t="shared" si="140"/>
        <v>0</v>
      </c>
      <c r="AD310" s="1">
        <f t="shared" si="141"/>
        <v>0</v>
      </c>
      <c r="AE310" s="1">
        <f t="shared" si="142"/>
        <v>1</v>
      </c>
      <c r="AF310" s="1">
        <f t="shared" si="127"/>
        <v>0</v>
      </c>
      <c r="AG310" s="1">
        <f t="shared" si="128"/>
        <v>1</v>
      </c>
      <c r="AH310" s="1">
        <f t="shared" si="129"/>
        <v>0</v>
      </c>
      <c r="AI310" s="1">
        <f t="shared" si="130"/>
        <v>1</v>
      </c>
    </row>
    <row r="311" spans="1:35" s="1" customFormat="1" ht="14.25" customHeight="1" x14ac:dyDescent="0.25">
      <c r="A311" s="15">
        <v>0</v>
      </c>
      <c r="B311" s="15">
        <v>2</v>
      </c>
      <c r="C311" s="15">
        <v>1</v>
      </c>
      <c r="D311" s="16" t="s">
        <v>647</v>
      </c>
      <c r="E311" s="16" t="s">
        <v>36</v>
      </c>
      <c r="F311" s="16" t="s">
        <v>663</v>
      </c>
      <c r="G311" s="16" t="s">
        <v>200</v>
      </c>
      <c r="H311" s="16" t="s">
        <v>352</v>
      </c>
      <c r="I311" s="15" t="s">
        <v>992</v>
      </c>
      <c r="J311" s="15">
        <v>99</v>
      </c>
      <c r="K311" s="10" t="s">
        <v>699</v>
      </c>
      <c r="L311" s="10">
        <v>4</v>
      </c>
      <c r="M311" s="19" t="s">
        <v>710</v>
      </c>
      <c r="N311" s="17"/>
      <c r="Q311" s="16"/>
      <c r="S311" s="1">
        <f t="shared" si="131"/>
        <v>0</v>
      </c>
      <c r="T311" s="1">
        <f t="shared" si="132"/>
        <v>0</v>
      </c>
      <c r="U311" s="1">
        <f t="shared" si="133"/>
        <v>0</v>
      </c>
      <c r="V311" s="1">
        <f t="shared" si="134"/>
        <v>0</v>
      </c>
      <c r="W311" s="1">
        <f t="shared" si="135"/>
        <v>0</v>
      </c>
      <c r="X311" s="1">
        <f t="shared" si="136"/>
        <v>0</v>
      </c>
      <c r="Y311" s="1">
        <f t="shared" si="137"/>
        <v>0</v>
      </c>
      <c r="Z311" s="1">
        <f t="shared" si="138"/>
        <v>0</v>
      </c>
      <c r="AA311" s="1">
        <f t="shared" si="139"/>
        <v>0</v>
      </c>
      <c r="AB311" s="1">
        <f t="shared" si="140"/>
        <v>0</v>
      </c>
      <c r="AD311" s="1">
        <f t="shared" si="141"/>
        <v>0</v>
      </c>
      <c r="AE311" s="1">
        <f t="shared" si="142"/>
        <v>0</v>
      </c>
      <c r="AF311" s="1">
        <f t="shared" si="127"/>
        <v>0</v>
      </c>
      <c r="AG311" s="1">
        <f t="shared" si="128"/>
        <v>0</v>
      </c>
      <c r="AH311" s="1">
        <f t="shared" si="129"/>
        <v>0</v>
      </c>
      <c r="AI311" s="1">
        <f t="shared" si="130"/>
        <v>1</v>
      </c>
    </row>
    <row r="312" spans="1:35" s="1" customFormat="1" ht="14.25" customHeight="1" x14ac:dyDescent="0.25">
      <c r="A312" s="44">
        <v>0</v>
      </c>
      <c r="B312" s="44">
        <v>2</v>
      </c>
      <c r="C312" s="44">
        <v>1</v>
      </c>
      <c r="D312" s="45" t="s">
        <v>1244</v>
      </c>
      <c r="E312" s="45" t="s">
        <v>1245</v>
      </c>
      <c r="F312" s="45" t="s">
        <v>1246</v>
      </c>
      <c r="G312" s="45" t="s">
        <v>1149</v>
      </c>
      <c r="H312" s="45" t="s">
        <v>352</v>
      </c>
      <c r="I312" s="44" t="s">
        <v>1247</v>
      </c>
      <c r="J312" s="44">
        <v>11</v>
      </c>
      <c r="K312" s="46" t="s">
        <v>699</v>
      </c>
      <c r="L312" s="46">
        <v>6</v>
      </c>
      <c r="M312" s="47" t="s">
        <v>1702</v>
      </c>
      <c r="N312" s="47" t="s">
        <v>1783</v>
      </c>
      <c r="O312" s="48"/>
      <c r="P312" s="48"/>
      <c r="Q312" s="45"/>
      <c r="S312" s="1">
        <f t="shared" si="131"/>
        <v>0</v>
      </c>
      <c r="T312" s="1">
        <f t="shared" si="132"/>
        <v>0</v>
      </c>
      <c r="U312" s="1">
        <f t="shared" si="133"/>
        <v>0</v>
      </c>
      <c r="V312" s="1">
        <f t="shared" si="134"/>
        <v>0</v>
      </c>
      <c r="W312" s="1">
        <f t="shared" si="135"/>
        <v>0</v>
      </c>
      <c r="X312" s="1">
        <f t="shared" si="136"/>
        <v>0</v>
      </c>
      <c r="Y312" s="1">
        <f t="shared" si="137"/>
        <v>0</v>
      </c>
      <c r="Z312" s="1">
        <f t="shared" si="138"/>
        <v>0</v>
      </c>
      <c r="AA312" s="1">
        <f t="shared" si="139"/>
        <v>0</v>
      </c>
      <c r="AB312" s="1">
        <f t="shared" si="140"/>
        <v>0</v>
      </c>
      <c r="AD312" s="1">
        <f t="shared" si="141"/>
        <v>0</v>
      </c>
      <c r="AE312" s="1">
        <f t="shared" si="142"/>
        <v>0</v>
      </c>
      <c r="AF312" s="1">
        <f t="shared" si="127"/>
        <v>0</v>
      </c>
      <c r="AG312" s="1">
        <f t="shared" si="128"/>
        <v>0</v>
      </c>
      <c r="AH312" s="1">
        <f t="shared" si="129"/>
        <v>0</v>
      </c>
      <c r="AI312" s="1">
        <f t="shared" si="130"/>
        <v>1</v>
      </c>
    </row>
    <row r="313" spans="1:35" s="1" customFormat="1" ht="14.25" customHeight="1" x14ac:dyDescent="0.25">
      <c r="A313" s="31">
        <v>0</v>
      </c>
      <c r="B313" s="31">
        <v>2</v>
      </c>
      <c r="C313" s="31">
        <v>1</v>
      </c>
      <c r="D313" s="32" t="s">
        <v>1110</v>
      </c>
      <c r="E313" s="32" t="s">
        <v>1294</v>
      </c>
      <c r="F313" s="32" t="s">
        <v>1108</v>
      </c>
      <c r="G313" s="32" t="s">
        <v>229</v>
      </c>
      <c r="H313" s="32" t="s">
        <v>352</v>
      </c>
      <c r="I313" s="31" t="s">
        <v>1109</v>
      </c>
      <c r="J313" s="31">
        <v>7</v>
      </c>
      <c r="K313" s="33" t="s">
        <v>709</v>
      </c>
      <c r="L313" s="33" t="s">
        <v>1683</v>
      </c>
      <c r="M313" s="34" t="s">
        <v>710</v>
      </c>
      <c r="N313" s="34" t="s">
        <v>1730</v>
      </c>
      <c r="O313" s="35">
        <v>1</v>
      </c>
      <c r="P313" s="35"/>
      <c r="Q313" s="32"/>
      <c r="S313" s="1">
        <f t="shared" si="131"/>
        <v>0</v>
      </c>
      <c r="T313" s="1">
        <f t="shared" si="132"/>
        <v>0</v>
      </c>
      <c r="U313" s="1">
        <f t="shared" si="133"/>
        <v>0</v>
      </c>
      <c r="V313" s="1">
        <f t="shared" si="134"/>
        <v>0</v>
      </c>
      <c r="W313" s="1">
        <f t="shared" si="135"/>
        <v>0</v>
      </c>
      <c r="X313" s="1">
        <f t="shared" si="136"/>
        <v>0</v>
      </c>
      <c r="Y313" s="1">
        <f t="shared" si="137"/>
        <v>1</v>
      </c>
      <c r="Z313" s="1">
        <f t="shared" si="138"/>
        <v>0</v>
      </c>
      <c r="AA313" s="1">
        <f t="shared" si="139"/>
        <v>0</v>
      </c>
      <c r="AB313" s="1">
        <f t="shared" si="140"/>
        <v>0</v>
      </c>
      <c r="AD313" s="1">
        <f t="shared" si="141"/>
        <v>0</v>
      </c>
      <c r="AE313" s="1">
        <f t="shared" si="142"/>
        <v>1</v>
      </c>
      <c r="AF313" s="1">
        <f t="shared" si="127"/>
        <v>0</v>
      </c>
      <c r="AG313" s="1">
        <f t="shared" si="128"/>
        <v>1</v>
      </c>
      <c r="AH313" s="1">
        <f t="shared" si="129"/>
        <v>0</v>
      </c>
      <c r="AI313" s="1">
        <f t="shared" si="130"/>
        <v>1</v>
      </c>
    </row>
    <row r="314" spans="1:35" s="1" customFormat="1" ht="14.25" customHeight="1" x14ac:dyDescent="0.25">
      <c r="A314" s="31">
        <v>0</v>
      </c>
      <c r="B314" s="31">
        <v>2</v>
      </c>
      <c r="C314" s="31">
        <v>1</v>
      </c>
      <c r="D314" s="32" t="s">
        <v>995</v>
      </c>
      <c r="E314" s="32" t="s">
        <v>1316</v>
      </c>
      <c r="F314" s="32" t="s">
        <v>996</v>
      </c>
      <c r="G314" s="32" t="s">
        <v>1087</v>
      </c>
      <c r="H314" s="32" t="s">
        <v>352</v>
      </c>
      <c r="I314" s="31" t="s">
        <v>406</v>
      </c>
      <c r="J314" s="31">
        <v>99</v>
      </c>
      <c r="K314" s="33" t="s">
        <v>709</v>
      </c>
      <c r="L314" s="33" t="s">
        <v>709</v>
      </c>
      <c r="M314" s="34" t="s">
        <v>710</v>
      </c>
      <c r="N314" s="34" t="s">
        <v>1717</v>
      </c>
      <c r="O314" s="35">
        <v>1</v>
      </c>
      <c r="P314" s="35"/>
      <c r="Q314" s="32"/>
      <c r="S314" s="1">
        <f t="shared" si="131"/>
        <v>0</v>
      </c>
      <c r="T314" s="1">
        <f t="shared" si="132"/>
        <v>0</v>
      </c>
      <c r="U314" s="1">
        <f t="shared" si="133"/>
        <v>0</v>
      </c>
      <c r="V314" s="1">
        <f t="shared" si="134"/>
        <v>0</v>
      </c>
      <c r="W314" s="1">
        <f t="shared" si="135"/>
        <v>0</v>
      </c>
      <c r="X314" s="1">
        <f t="shared" si="136"/>
        <v>0</v>
      </c>
      <c r="Y314" s="1">
        <f t="shared" si="137"/>
        <v>0</v>
      </c>
      <c r="Z314" s="1">
        <f t="shared" si="138"/>
        <v>0</v>
      </c>
      <c r="AA314" s="1">
        <f t="shared" si="139"/>
        <v>0</v>
      </c>
      <c r="AB314" s="1">
        <f t="shared" si="140"/>
        <v>0</v>
      </c>
      <c r="AD314" s="1">
        <f t="shared" si="141"/>
        <v>0</v>
      </c>
      <c r="AE314" s="1">
        <f t="shared" si="142"/>
        <v>1</v>
      </c>
      <c r="AF314" s="1">
        <f t="shared" si="127"/>
        <v>0</v>
      </c>
      <c r="AG314" s="1">
        <f t="shared" si="128"/>
        <v>1</v>
      </c>
      <c r="AH314" s="1">
        <f t="shared" si="129"/>
        <v>0</v>
      </c>
      <c r="AI314" s="1">
        <f t="shared" si="130"/>
        <v>1</v>
      </c>
    </row>
    <row r="315" spans="1:35" s="1" customFormat="1" ht="14.25" customHeight="1" x14ac:dyDescent="0.25">
      <c r="A315" s="31">
        <v>0</v>
      </c>
      <c r="B315" s="31">
        <v>2</v>
      </c>
      <c r="C315" s="31">
        <v>1</v>
      </c>
      <c r="D315" s="32" t="s">
        <v>1117</v>
      </c>
      <c r="E315" s="32" t="s">
        <v>557</v>
      </c>
      <c r="F315" s="32" t="s">
        <v>1333</v>
      </c>
      <c r="G315" s="32" t="s">
        <v>264</v>
      </c>
      <c r="H315" s="32" t="s">
        <v>352</v>
      </c>
      <c r="I315" s="31" t="s">
        <v>1118</v>
      </c>
      <c r="J315" s="31">
        <v>8</v>
      </c>
      <c r="K315" s="33" t="s">
        <v>708</v>
      </c>
      <c r="L315" s="33" t="s">
        <v>1683</v>
      </c>
      <c r="M315" s="34" t="s">
        <v>710</v>
      </c>
      <c r="N315" s="34" t="s">
        <v>1722</v>
      </c>
      <c r="O315" s="35">
        <v>1</v>
      </c>
      <c r="P315" s="35"/>
      <c r="Q315" s="32"/>
      <c r="S315" s="1">
        <f t="shared" si="131"/>
        <v>0</v>
      </c>
      <c r="T315" s="1">
        <f t="shared" si="132"/>
        <v>0</v>
      </c>
      <c r="U315" s="1">
        <f t="shared" si="133"/>
        <v>0</v>
      </c>
      <c r="V315" s="1">
        <f t="shared" si="134"/>
        <v>0</v>
      </c>
      <c r="W315" s="1">
        <f t="shared" si="135"/>
        <v>0</v>
      </c>
      <c r="X315" s="1">
        <f t="shared" si="136"/>
        <v>0</v>
      </c>
      <c r="Y315" s="1">
        <f t="shared" si="137"/>
        <v>0</v>
      </c>
      <c r="Z315" s="1">
        <f t="shared" si="138"/>
        <v>1</v>
      </c>
      <c r="AA315" s="1">
        <f t="shared" si="139"/>
        <v>0</v>
      </c>
      <c r="AB315" s="1">
        <f t="shared" si="140"/>
        <v>0</v>
      </c>
      <c r="AD315" s="1">
        <f t="shared" si="141"/>
        <v>0</v>
      </c>
      <c r="AE315" s="1">
        <f t="shared" si="142"/>
        <v>1</v>
      </c>
      <c r="AF315" s="1">
        <f t="shared" si="127"/>
        <v>0</v>
      </c>
      <c r="AG315" s="1">
        <f t="shared" si="128"/>
        <v>1</v>
      </c>
      <c r="AH315" s="1">
        <f t="shared" si="129"/>
        <v>0</v>
      </c>
      <c r="AI315" s="1">
        <f t="shared" si="130"/>
        <v>1</v>
      </c>
    </row>
    <row r="316" spans="1:35" s="1" customFormat="1" ht="14.25" customHeight="1" x14ac:dyDescent="0.25">
      <c r="A316" s="31">
        <v>0</v>
      </c>
      <c r="B316" s="31">
        <v>2</v>
      </c>
      <c r="C316" s="31">
        <v>1</v>
      </c>
      <c r="D316" s="32" t="s">
        <v>1266</v>
      </c>
      <c r="E316" s="32" t="s">
        <v>1314</v>
      </c>
      <c r="F316" s="32" t="s">
        <v>1263</v>
      </c>
      <c r="G316" s="32" t="s">
        <v>1264</v>
      </c>
      <c r="H316" s="32" t="s">
        <v>352</v>
      </c>
      <c r="I316" s="31" t="s">
        <v>1265</v>
      </c>
      <c r="J316" s="31">
        <v>1</v>
      </c>
      <c r="K316" s="33" t="s">
        <v>708</v>
      </c>
      <c r="L316" s="33" t="s">
        <v>709</v>
      </c>
      <c r="M316" s="34" t="s">
        <v>710</v>
      </c>
      <c r="N316" s="34" t="s">
        <v>1735</v>
      </c>
      <c r="O316" s="35">
        <v>1</v>
      </c>
      <c r="P316" s="35"/>
      <c r="Q316" s="32" t="s">
        <v>1876</v>
      </c>
      <c r="S316" s="1">
        <f t="shared" si="131"/>
        <v>1</v>
      </c>
      <c r="T316" s="1">
        <f t="shared" si="132"/>
        <v>0</v>
      </c>
      <c r="U316" s="1">
        <f t="shared" si="133"/>
        <v>0</v>
      </c>
      <c r="V316" s="1">
        <f t="shared" si="134"/>
        <v>0</v>
      </c>
      <c r="W316" s="1">
        <f t="shared" si="135"/>
        <v>0</v>
      </c>
      <c r="X316" s="1">
        <f t="shared" si="136"/>
        <v>0</v>
      </c>
      <c r="Y316" s="1">
        <f t="shared" si="137"/>
        <v>0</v>
      </c>
      <c r="Z316" s="1">
        <f t="shared" si="138"/>
        <v>0</v>
      </c>
      <c r="AA316" s="1">
        <f t="shared" si="139"/>
        <v>0</v>
      </c>
      <c r="AB316" s="1">
        <f t="shared" si="140"/>
        <v>0</v>
      </c>
      <c r="AD316" s="1">
        <f t="shared" si="141"/>
        <v>0</v>
      </c>
      <c r="AE316" s="1">
        <f t="shared" si="142"/>
        <v>1</v>
      </c>
      <c r="AF316" s="1">
        <f t="shared" si="127"/>
        <v>0</v>
      </c>
      <c r="AG316" s="1">
        <f t="shared" si="128"/>
        <v>1</v>
      </c>
      <c r="AH316" s="1">
        <f t="shared" si="129"/>
        <v>0</v>
      </c>
      <c r="AI316" s="1">
        <f t="shared" si="130"/>
        <v>1</v>
      </c>
    </row>
    <row r="317" spans="1:35" s="1" customFormat="1" ht="14.25" customHeight="1" x14ac:dyDescent="0.25">
      <c r="A317" s="31">
        <v>0</v>
      </c>
      <c r="B317" s="31">
        <v>2</v>
      </c>
      <c r="C317" s="31">
        <v>1</v>
      </c>
      <c r="D317" s="32" t="s">
        <v>52</v>
      </c>
      <c r="E317" s="32" t="s">
        <v>32</v>
      </c>
      <c r="F317" s="32" t="s">
        <v>205</v>
      </c>
      <c r="G317" s="32" t="s">
        <v>206</v>
      </c>
      <c r="H317" s="32" t="s">
        <v>352</v>
      </c>
      <c r="I317" s="31" t="s">
        <v>389</v>
      </c>
      <c r="J317" s="31">
        <v>99</v>
      </c>
      <c r="K317" s="33" t="s">
        <v>708</v>
      </c>
      <c r="L317" s="33" t="s">
        <v>709</v>
      </c>
      <c r="M317" s="34" t="s">
        <v>710</v>
      </c>
      <c r="N317" s="34" t="s">
        <v>1920</v>
      </c>
      <c r="O317" s="35">
        <v>1</v>
      </c>
      <c r="P317" s="35"/>
      <c r="Q317" s="32"/>
      <c r="S317" s="1">
        <f t="shared" si="131"/>
        <v>0</v>
      </c>
      <c r="T317" s="1">
        <f t="shared" si="132"/>
        <v>0</v>
      </c>
      <c r="U317" s="1">
        <f t="shared" si="133"/>
        <v>0</v>
      </c>
      <c r="V317" s="1">
        <f t="shared" si="134"/>
        <v>0</v>
      </c>
      <c r="W317" s="1">
        <f t="shared" si="135"/>
        <v>0</v>
      </c>
      <c r="X317" s="1">
        <f t="shared" si="136"/>
        <v>0</v>
      </c>
      <c r="Y317" s="1">
        <f t="shared" si="137"/>
        <v>0</v>
      </c>
      <c r="Z317" s="1">
        <f t="shared" si="138"/>
        <v>0</v>
      </c>
      <c r="AA317" s="1">
        <f t="shared" si="139"/>
        <v>0</v>
      </c>
      <c r="AB317" s="1">
        <f t="shared" si="140"/>
        <v>0</v>
      </c>
      <c r="AD317" s="1">
        <f t="shared" si="141"/>
        <v>0</v>
      </c>
      <c r="AE317" s="1">
        <f t="shared" si="142"/>
        <v>1</v>
      </c>
      <c r="AF317" s="1">
        <f t="shared" si="127"/>
        <v>0</v>
      </c>
      <c r="AG317" s="1">
        <f t="shared" si="128"/>
        <v>1</v>
      </c>
      <c r="AH317" s="1">
        <f t="shared" si="129"/>
        <v>0</v>
      </c>
      <c r="AI317" s="1">
        <f t="shared" si="130"/>
        <v>1</v>
      </c>
    </row>
    <row r="318" spans="1:35" s="1" customFormat="1" ht="14.25" customHeight="1" x14ac:dyDescent="0.25">
      <c r="A318" s="31">
        <v>0</v>
      </c>
      <c r="B318" s="31">
        <v>2</v>
      </c>
      <c r="C318" s="31">
        <v>1</v>
      </c>
      <c r="D318" s="32" t="s">
        <v>73</v>
      </c>
      <c r="E318" s="32" t="s">
        <v>557</v>
      </c>
      <c r="F318" s="32" t="s">
        <v>1037</v>
      </c>
      <c r="G318" s="32" t="s">
        <v>189</v>
      </c>
      <c r="H318" s="32" t="s">
        <v>352</v>
      </c>
      <c r="I318" s="31" t="s">
        <v>419</v>
      </c>
      <c r="J318" s="31">
        <v>99</v>
      </c>
      <c r="K318" s="33" t="s">
        <v>941</v>
      </c>
      <c r="L318" s="33" t="s">
        <v>709</v>
      </c>
      <c r="M318" s="34" t="s">
        <v>710</v>
      </c>
      <c r="N318" s="34" t="s">
        <v>1717</v>
      </c>
      <c r="O318" s="35">
        <v>1</v>
      </c>
      <c r="P318" s="35"/>
      <c r="Q318" s="32"/>
      <c r="S318" s="1">
        <f t="shared" si="131"/>
        <v>0</v>
      </c>
      <c r="T318" s="1">
        <f t="shared" si="132"/>
        <v>0</v>
      </c>
      <c r="U318" s="1">
        <f t="shared" si="133"/>
        <v>0</v>
      </c>
      <c r="V318" s="1">
        <f t="shared" si="134"/>
        <v>0</v>
      </c>
      <c r="W318" s="1">
        <f t="shared" si="135"/>
        <v>0</v>
      </c>
      <c r="X318" s="1">
        <f t="shared" si="136"/>
        <v>0</v>
      </c>
      <c r="Y318" s="1">
        <f t="shared" si="137"/>
        <v>0</v>
      </c>
      <c r="Z318" s="1">
        <f t="shared" si="138"/>
        <v>0</v>
      </c>
      <c r="AA318" s="1">
        <f t="shared" si="139"/>
        <v>0</v>
      </c>
      <c r="AB318" s="1">
        <f t="shared" si="140"/>
        <v>0</v>
      </c>
      <c r="AD318" s="1">
        <f t="shared" si="141"/>
        <v>0</v>
      </c>
      <c r="AE318" s="1">
        <f t="shared" si="142"/>
        <v>1</v>
      </c>
      <c r="AF318" s="1">
        <f t="shared" si="127"/>
        <v>0</v>
      </c>
      <c r="AG318" s="1">
        <f t="shared" si="128"/>
        <v>1</v>
      </c>
      <c r="AH318" s="1">
        <f t="shared" si="129"/>
        <v>0</v>
      </c>
      <c r="AI318" s="1">
        <f t="shared" si="130"/>
        <v>1</v>
      </c>
    </row>
    <row r="319" spans="1:35" s="1" customFormat="1" ht="14.25" customHeight="1" x14ac:dyDescent="0.25">
      <c r="A319" s="31">
        <v>0</v>
      </c>
      <c r="B319" s="31">
        <v>2</v>
      </c>
      <c r="C319" s="31">
        <v>1</v>
      </c>
      <c r="D319" s="32" t="s">
        <v>47</v>
      </c>
      <c r="E319" s="32" t="s">
        <v>32</v>
      </c>
      <c r="F319" s="32" t="s">
        <v>186</v>
      </c>
      <c r="G319" s="32" t="s">
        <v>179</v>
      </c>
      <c r="H319" s="32" t="s">
        <v>352</v>
      </c>
      <c r="I319" s="31" t="s">
        <v>381</v>
      </c>
      <c r="J319" s="31">
        <v>10</v>
      </c>
      <c r="K319" s="33" t="s">
        <v>942</v>
      </c>
      <c r="L319" s="33" t="s">
        <v>709</v>
      </c>
      <c r="M319" s="34" t="s">
        <v>710</v>
      </c>
      <c r="N319" s="34" t="s">
        <v>1717</v>
      </c>
      <c r="O319" s="35">
        <v>1</v>
      </c>
      <c r="P319" s="35"/>
      <c r="Q319" s="32"/>
      <c r="S319" s="1">
        <f t="shared" si="131"/>
        <v>0</v>
      </c>
      <c r="T319" s="1">
        <f t="shared" si="132"/>
        <v>0</v>
      </c>
      <c r="U319" s="1">
        <f t="shared" si="133"/>
        <v>0</v>
      </c>
      <c r="V319" s="1">
        <f t="shared" si="134"/>
        <v>0</v>
      </c>
      <c r="W319" s="1">
        <f t="shared" si="135"/>
        <v>0</v>
      </c>
      <c r="X319" s="1">
        <f t="shared" si="136"/>
        <v>0</v>
      </c>
      <c r="Y319" s="1">
        <f t="shared" si="137"/>
        <v>0</v>
      </c>
      <c r="Z319" s="1">
        <f t="shared" si="138"/>
        <v>0</v>
      </c>
      <c r="AA319" s="1">
        <f t="shared" si="139"/>
        <v>0</v>
      </c>
      <c r="AB319" s="1">
        <f t="shared" si="140"/>
        <v>1</v>
      </c>
      <c r="AD319" s="1">
        <f t="shared" si="141"/>
        <v>0</v>
      </c>
      <c r="AE319" s="1">
        <f t="shared" si="142"/>
        <v>1</v>
      </c>
      <c r="AF319" s="1">
        <f t="shared" si="127"/>
        <v>0</v>
      </c>
      <c r="AG319" s="1">
        <f t="shared" si="128"/>
        <v>1</v>
      </c>
      <c r="AH319" s="1">
        <f t="shared" si="129"/>
        <v>0</v>
      </c>
      <c r="AI319" s="1">
        <f t="shared" si="130"/>
        <v>1</v>
      </c>
    </row>
    <row r="320" spans="1:35" s="1" customFormat="1" ht="14.25" customHeight="1" x14ac:dyDescent="0.25">
      <c r="A320" s="44">
        <v>0</v>
      </c>
      <c r="B320" s="44">
        <v>2</v>
      </c>
      <c r="C320" s="44">
        <v>1</v>
      </c>
      <c r="D320" s="45" t="s">
        <v>648</v>
      </c>
      <c r="E320" s="45" t="s">
        <v>159</v>
      </c>
      <c r="F320" s="45" t="s">
        <v>187</v>
      </c>
      <c r="G320" s="45" t="s">
        <v>664</v>
      </c>
      <c r="H320" s="45" t="s">
        <v>352</v>
      </c>
      <c r="I320" s="44" t="s">
        <v>382</v>
      </c>
      <c r="J320" s="44">
        <v>99</v>
      </c>
      <c r="K320" s="46" t="s">
        <v>708</v>
      </c>
      <c r="L320" s="46" t="s">
        <v>709</v>
      </c>
      <c r="M320" s="47" t="s">
        <v>710</v>
      </c>
      <c r="N320" s="47" t="s">
        <v>1711</v>
      </c>
      <c r="O320" s="48"/>
      <c r="P320" s="48"/>
      <c r="Q320" s="45"/>
      <c r="S320" s="1">
        <f t="shared" si="131"/>
        <v>0</v>
      </c>
      <c r="T320" s="1">
        <f t="shared" si="132"/>
        <v>0</v>
      </c>
      <c r="U320" s="1">
        <f t="shared" si="133"/>
        <v>0</v>
      </c>
      <c r="V320" s="1">
        <f t="shared" si="134"/>
        <v>0</v>
      </c>
      <c r="W320" s="1">
        <f t="shared" si="135"/>
        <v>0</v>
      </c>
      <c r="X320" s="1">
        <f t="shared" si="136"/>
        <v>0</v>
      </c>
      <c r="Y320" s="1">
        <f t="shared" si="137"/>
        <v>0</v>
      </c>
      <c r="Z320" s="1">
        <f t="shared" si="138"/>
        <v>0</v>
      </c>
      <c r="AA320" s="1">
        <f t="shared" si="139"/>
        <v>0</v>
      </c>
      <c r="AB320" s="1">
        <f t="shared" si="140"/>
        <v>0</v>
      </c>
      <c r="AD320" s="1">
        <f t="shared" si="141"/>
        <v>0</v>
      </c>
      <c r="AE320" s="1">
        <f t="shared" si="142"/>
        <v>0</v>
      </c>
      <c r="AF320" s="1">
        <f t="shared" si="127"/>
        <v>0</v>
      </c>
      <c r="AG320" s="1">
        <f t="shared" si="128"/>
        <v>0</v>
      </c>
      <c r="AH320" s="1">
        <f t="shared" si="129"/>
        <v>0</v>
      </c>
      <c r="AI320" s="1">
        <f t="shared" si="130"/>
        <v>1</v>
      </c>
    </row>
    <row r="321" spans="1:35" s="1" customFormat="1" ht="14.25" customHeight="1" x14ac:dyDescent="0.25">
      <c r="A321" s="38">
        <v>0</v>
      </c>
      <c r="B321" s="38">
        <v>2</v>
      </c>
      <c r="C321" s="38">
        <v>1</v>
      </c>
      <c r="D321" s="39" t="s">
        <v>1284</v>
      </c>
      <c r="E321" s="39" t="s">
        <v>36</v>
      </c>
      <c r="F321" s="39" t="s">
        <v>1285</v>
      </c>
      <c r="G321" s="39" t="s">
        <v>257</v>
      </c>
      <c r="H321" s="39" t="s">
        <v>352</v>
      </c>
      <c r="I321" s="38" t="s">
        <v>1286</v>
      </c>
      <c r="J321" s="38">
        <v>8</v>
      </c>
      <c r="K321" s="40" t="s">
        <v>946</v>
      </c>
      <c r="L321" s="40" t="s">
        <v>709</v>
      </c>
      <c r="M321" s="41" t="s">
        <v>710</v>
      </c>
      <c r="N321" s="42"/>
      <c r="O321" s="43"/>
      <c r="P321" s="43">
        <v>1</v>
      </c>
      <c r="Q321" s="39"/>
      <c r="S321" s="1">
        <f t="shared" si="131"/>
        <v>0</v>
      </c>
      <c r="T321" s="1">
        <f t="shared" si="132"/>
        <v>0</v>
      </c>
      <c r="U321" s="1">
        <f t="shared" si="133"/>
        <v>0</v>
      </c>
      <c r="V321" s="1">
        <f t="shared" si="134"/>
        <v>0</v>
      </c>
      <c r="W321" s="1">
        <f t="shared" si="135"/>
        <v>0</v>
      </c>
      <c r="X321" s="1">
        <f t="shared" si="136"/>
        <v>0</v>
      </c>
      <c r="Y321" s="1">
        <f t="shared" si="137"/>
        <v>0</v>
      </c>
      <c r="Z321" s="1">
        <f t="shared" si="138"/>
        <v>1</v>
      </c>
      <c r="AA321" s="1">
        <f t="shared" si="139"/>
        <v>0</v>
      </c>
      <c r="AB321" s="1">
        <f t="shared" si="140"/>
        <v>0</v>
      </c>
      <c r="AD321" s="1">
        <f t="shared" si="141"/>
        <v>0</v>
      </c>
      <c r="AE321" s="1">
        <f t="shared" si="142"/>
        <v>0</v>
      </c>
      <c r="AF321" s="1">
        <f t="shared" si="127"/>
        <v>0</v>
      </c>
      <c r="AG321" s="1">
        <f t="shared" si="128"/>
        <v>0</v>
      </c>
      <c r="AH321" s="1">
        <f t="shared" si="129"/>
        <v>1</v>
      </c>
      <c r="AI321" s="1">
        <f t="shared" si="130"/>
        <v>0</v>
      </c>
    </row>
    <row r="322" spans="1:35" s="1" customFormat="1" ht="14.25" customHeight="1" x14ac:dyDescent="0.25">
      <c r="A322" s="31">
        <v>0</v>
      </c>
      <c r="B322" s="31">
        <v>2</v>
      </c>
      <c r="C322" s="31">
        <v>1</v>
      </c>
      <c r="D322" s="32" t="s">
        <v>54</v>
      </c>
      <c r="E322" s="32" t="s">
        <v>557</v>
      </c>
      <c r="F322" s="32" t="s">
        <v>211</v>
      </c>
      <c r="G322" s="32" t="s">
        <v>212</v>
      </c>
      <c r="H322" s="32" t="s">
        <v>352</v>
      </c>
      <c r="I322" s="31" t="s">
        <v>391</v>
      </c>
      <c r="J322" s="31">
        <v>1</v>
      </c>
      <c r="K322" s="33" t="s">
        <v>942</v>
      </c>
      <c r="L322" s="33" t="s">
        <v>709</v>
      </c>
      <c r="M322" s="34" t="s">
        <v>39</v>
      </c>
      <c r="N322" s="34" t="s">
        <v>1717</v>
      </c>
      <c r="O322" s="35">
        <v>1</v>
      </c>
      <c r="P322" s="35"/>
      <c r="Q322" s="32"/>
      <c r="S322" s="1">
        <f t="shared" si="131"/>
        <v>1</v>
      </c>
      <c r="T322" s="1">
        <f t="shared" si="132"/>
        <v>0</v>
      </c>
      <c r="U322" s="1">
        <f t="shared" si="133"/>
        <v>0</v>
      </c>
      <c r="V322" s="1">
        <f t="shared" si="134"/>
        <v>0</v>
      </c>
      <c r="W322" s="1">
        <f t="shared" si="135"/>
        <v>0</v>
      </c>
      <c r="X322" s="1">
        <f t="shared" si="136"/>
        <v>0</v>
      </c>
      <c r="Y322" s="1">
        <f t="shared" si="137"/>
        <v>0</v>
      </c>
      <c r="Z322" s="1">
        <f t="shared" si="138"/>
        <v>0</v>
      </c>
      <c r="AA322" s="1">
        <f t="shared" si="139"/>
        <v>0</v>
      </c>
      <c r="AB322" s="1">
        <f t="shared" si="140"/>
        <v>0</v>
      </c>
      <c r="AD322" s="1">
        <f t="shared" si="141"/>
        <v>0</v>
      </c>
      <c r="AE322" s="1">
        <f t="shared" si="142"/>
        <v>1</v>
      </c>
      <c r="AF322" s="1">
        <f t="shared" si="127"/>
        <v>0</v>
      </c>
      <c r="AG322" s="1">
        <f t="shared" si="128"/>
        <v>1</v>
      </c>
      <c r="AH322" s="1">
        <f t="shared" si="129"/>
        <v>0</v>
      </c>
      <c r="AI322" s="1">
        <f t="shared" si="130"/>
        <v>1</v>
      </c>
    </row>
    <row r="323" spans="1:35" s="1" customFormat="1" ht="14.25" customHeight="1" x14ac:dyDescent="0.25">
      <c r="A323" s="44">
        <v>0</v>
      </c>
      <c r="B323" s="44">
        <v>2</v>
      </c>
      <c r="C323" s="44">
        <v>1</v>
      </c>
      <c r="D323" s="45" t="s">
        <v>61</v>
      </c>
      <c r="E323" s="45" t="s">
        <v>539</v>
      </c>
      <c r="F323" s="45" t="s">
        <v>232</v>
      </c>
      <c r="G323" s="45" t="s">
        <v>203</v>
      </c>
      <c r="H323" s="45" t="s">
        <v>352</v>
      </c>
      <c r="I323" s="44" t="s">
        <v>399</v>
      </c>
      <c r="J323" s="44">
        <v>7</v>
      </c>
      <c r="K323" s="46" t="s">
        <v>708</v>
      </c>
      <c r="L323" s="46" t="s">
        <v>709</v>
      </c>
      <c r="M323" s="47" t="s">
        <v>710</v>
      </c>
      <c r="N323" s="47" t="s">
        <v>1712</v>
      </c>
      <c r="O323" s="48"/>
      <c r="P323" s="48"/>
      <c r="Q323" s="45"/>
      <c r="S323" s="1">
        <f t="shared" si="131"/>
        <v>0</v>
      </c>
      <c r="T323" s="1">
        <f t="shared" si="132"/>
        <v>0</v>
      </c>
      <c r="U323" s="1">
        <f t="shared" si="133"/>
        <v>0</v>
      </c>
      <c r="V323" s="1">
        <f t="shared" si="134"/>
        <v>0</v>
      </c>
      <c r="W323" s="1">
        <f t="shared" si="135"/>
        <v>0</v>
      </c>
      <c r="X323" s="1">
        <f t="shared" si="136"/>
        <v>0</v>
      </c>
      <c r="Y323" s="1">
        <f t="shared" si="137"/>
        <v>1</v>
      </c>
      <c r="Z323" s="1">
        <f t="shared" si="138"/>
        <v>0</v>
      </c>
      <c r="AA323" s="1">
        <f t="shared" si="139"/>
        <v>0</v>
      </c>
      <c r="AB323" s="1">
        <f t="shared" si="140"/>
        <v>0</v>
      </c>
      <c r="AD323" s="1">
        <f t="shared" si="141"/>
        <v>0</v>
      </c>
      <c r="AE323" s="1">
        <f t="shared" si="142"/>
        <v>0</v>
      </c>
      <c r="AF323" s="1">
        <f t="shared" si="127"/>
        <v>0</v>
      </c>
      <c r="AG323" s="1">
        <f t="shared" si="128"/>
        <v>0</v>
      </c>
      <c r="AH323" s="1">
        <f t="shared" si="129"/>
        <v>0</v>
      </c>
      <c r="AI323" s="1">
        <f t="shared" si="130"/>
        <v>1</v>
      </c>
    </row>
    <row r="324" spans="1:35" s="1" customFormat="1" ht="14.25" customHeight="1" x14ac:dyDescent="0.25">
      <c r="A324" s="31">
        <v>0</v>
      </c>
      <c r="B324" s="31">
        <v>2</v>
      </c>
      <c r="C324" s="31">
        <v>1</v>
      </c>
      <c r="D324" s="32" t="s">
        <v>1621</v>
      </c>
      <c r="E324" s="32" t="s">
        <v>557</v>
      </c>
      <c r="F324" s="32" t="s">
        <v>1336</v>
      </c>
      <c r="G324" s="32" t="s">
        <v>1264</v>
      </c>
      <c r="H324" s="32" t="s">
        <v>352</v>
      </c>
      <c r="I324" s="31" t="s">
        <v>1151</v>
      </c>
      <c r="J324" s="31">
        <v>99</v>
      </c>
      <c r="K324" s="33" t="s">
        <v>708</v>
      </c>
      <c r="L324" s="33" t="s">
        <v>709</v>
      </c>
      <c r="M324" s="34" t="s">
        <v>710</v>
      </c>
      <c r="N324" s="34" t="s">
        <v>1722</v>
      </c>
      <c r="O324" s="35">
        <v>1</v>
      </c>
      <c r="P324" s="35"/>
      <c r="Q324" s="32" t="s">
        <v>1875</v>
      </c>
      <c r="S324" s="1">
        <f t="shared" si="131"/>
        <v>0</v>
      </c>
      <c r="T324" s="1">
        <f t="shared" si="132"/>
        <v>0</v>
      </c>
      <c r="U324" s="1">
        <f t="shared" si="133"/>
        <v>0</v>
      </c>
      <c r="V324" s="1">
        <f t="shared" si="134"/>
        <v>0</v>
      </c>
      <c r="W324" s="1">
        <f t="shared" si="135"/>
        <v>0</v>
      </c>
      <c r="X324" s="1">
        <f t="shared" si="136"/>
        <v>0</v>
      </c>
      <c r="Y324" s="1">
        <f t="shared" si="137"/>
        <v>0</v>
      </c>
      <c r="Z324" s="1">
        <f t="shared" si="138"/>
        <v>0</v>
      </c>
      <c r="AA324" s="1">
        <f t="shared" si="139"/>
        <v>0</v>
      </c>
      <c r="AB324" s="1">
        <f t="shared" si="140"/>
        <v>0</v>
      </c>
      <c r="AD324" s="1">
        <f t="shared" si="141"/>
        <v>0</v>
      </c>
      <c r="AE324" s="1">
        <f t="shared" si="142"/>
        <v>1</v>
      </c>
      <c r="AF324" s="1">
        <f t="shared" si="127"/>
        <v>0</v>
      </c>
      <c r="AG324" s="1">
        <f t="shared" si="128"/>
        <v>1</v>
      </c>
      <c r="AH324" s="1">
        <f t="shared" si="129"/>
        <v>0</v>
      </c>
      <c r="AI324" s="1">
        <f t="shared" si="130"/>
        <v>1</v>
      </c>
    </row>
    <row r="325" spans="1:35" s="1" customFormat="1" ht="14.25" customHeight="1" x14ac:dyDescent="0.25">
      <c r="A325" s="49">
        <v>0</v>
      </c>
      <c r="B325" s="49">
        <v>2</v>
      </c>
      <c r="C325" s="49">
        <v>1</v>
      </c>
      <c r="D325" s="50" t="s">
        <v>1756</v>
      </c>
      <c r="E325" s="50" t="s">
        <v>1757</v>
      </c>
      <c r="F325" s="50" t="s">
        <v>1758</v>
      </c>
      <c r="G325" s="50" t="s">
        <v>1759</v>
      </c>
      <c r="H325" s="50" t="s">
        <v>352</v>
      </c>
      <c r="I325" s="49"/>
      <c r="J325" s="49">
        <v>1</v>
      </c>
      <c r="K325" s="51" t="s">
        <v>699</v>
      </c>
      <c r="L325" s="51"/>
      <c r="M325" s="52"/>
      <c r="N325" s="52" t="s">
        <v>1717</v>
      </c>
      <c r="O325" s="53">
        <v>1</v>
      </c>
      <c r="P325" s="53"/>
      <c r="Q325" s="55" t="s">
        <v>1883</v>
      </c>
      <c r="S325" s="1">
        <f t="shared" si="131"/>
        <v>1</v>
      </c>
      <c r="T325" s="1">
        <f t="shared" si="132"/>
        <v>0</v>
      </c>
      <c r="U325" s="1">
        <f t="shared" si="133"/>
        <v>0</v>
      </c>
      <c r="V325" s="1">
        <f t="shared" si="134"/>
        <v>0</v>
      </c>
      <c r="W325" s="1">
        <f t="shared" si="135"/>
        <v>0</v>
      </c>
      <c r="X325" s="1">
        <f t="shared" si="136"/>
        <v>0</v>
      </c>
      <c r="Y325" s="1">
        <f t="shared" si="137"/>
        <v>0</v>
      </c>
      <c r="Z325" s="1">
        <f t="shared" si="138"/>
        <v>0</v>
      </c>
      <c r="AA325" s="1">
        <f t="shared" si="139"/>
        <v>0</v>
      </c>
      <c r="AB325" s="1">
        <f t="shared" si="140"/>
        <v>0</v>
      </c>
      <c r="AD325" s="1">
        <f t="shared" si="141"/>
        <v>0</v>
      </c>
      <c r="AE325" s="1">
        <f t="shared" si="142"/>
        <v>1</v>
      </c>
      <c r="AF325" s="1">
        <f t="shared" si="127"/>
        <v>0</v>
      </c>
      <c r="AG325" s="1">
        <f t="shared" si="128"/>
        <v>1</v>
      </c>
      <c r="AH325" s="1">
        <f t="shared" si="129"/>
        <v>0</v>
      </c>
      <c r="AI325" s="1">
        <f t="shared" si="130"/>
        <v>1</v>
      </c>
    </row>
    <row r="326" spans="1:35" s="1" customFormat="1" ht="14.25" customHeight="1" x14ac:dyDescent="0.25">
      <c r="A326" s="31">
        <v>0</v>
      </c>
      <c r="B326" s="31">
        <v>2</v>
      </c>
      <c r="C326" s="31">
        <v>1</v>
      </c>
      <c r="D326" s="32" t="s">
        <v>1298</v>
      </c>
      <c r="E326" s="32" t="s">
        <v>1318</v>
      </c>
      <c r="F326" s="32" t="s">
        <v>1281</v>
      </c>
      <c r="G326" s="32" t="s">
        <v>1282</v>
      </c>
      <c r="H326" s="32" t="s">
        <v>352</v>
      </c>
      <c r="I326" s="31" t="s">
        <v>1283</v>
      </c>
      <c r="J326" s="31">
        <v>99</v>
      </c>
      <c r="K326" s="33" t="s">
        <v>942</v>
      </c>
      <c r="L326" s="33" t="s">
        <v>709</v>
      </c>
      <c r="M326" s="34" t="s">
        <v>710</v>
      </c>
      <c r="N326" s="34" t="s">
        <v>1893</v>
      </c>
      <c r="O326" s="35">
        <v>1</v>
      </c>
      <c r="P326" s="35"/>
      <c r="Q326" s="32"/>
      <c r="S326" s="1">
        <f t="shared" si="131"/>
        <v>0</v>
      </c>
      <c r="T326" s="1">
        <f t="shared" si="132"/>
        <v>0</v>
      </c>
      <c r="U326" s="1">
        <f t="shared" si="133"/>
        <v>0</v>
      </c>
      <c r="V326" s="1">
        <f t="shared" si="134"/>
        <v>0</v>
      </c>
      <c r="W326" s="1">
        <f t="shared" si="135"/>
        <v>0</v>
      </c>
      <c r="X326" s="1">
        <f t="shared" si="136"/>
        <v>0</v>
      </c>
      <c r="Y326" s="1">
        <f t="shared" si="137"/>
        <v>0</v>
      </c>
      <c r="Z326" s="1">
        <f t="shared" si="138"/>
        <v>0</v>
      </c>
      <c r="AA326" s="1">
        <f t="shared" si="139"/>
        <v>0</v>
      </c>
      <c r="AB326" s="1">
        <f t="shared" si="140"/>
        <v>0</v>
      </c>
      <c r="AD326" s="1">
        <f t="shared" si="141"/>
        <v>0</v>
      </c>
      <c r="AE326" s="1">
        <f t="shared" si="142"/>
        <v>1</v>
      </c>
      <c r="AF326" s="1">
        <f t="shared" si="127"/>
        <v>0</v>
      </c>
      <c r="AG326" s="1">
        <f t="shared" si="128"/>
        <v>1</v>
      </c>
      <c r="AH326" s="1">
        <f t="shared" si="129"/>
        <v>0</v>
      </c>
      <c r="AI326" s="1">
        <f t="shared" si="130"/>
        <v>1</v>
      </c>
    </row>
    <row r="327" spans="1:35" s="1" customFormat="1" ht="14.25" customHeight="1" x14ac:dyDescent="0.25">
      <c r="A327" s="44">
        <v>0</v>
      </c>
      <c r="B327" s="44">
        <v>2</v>
      </c>
      <c r="C327" s="44">
        <v>1</v>
      </c>
      <c r="D327" s="45" t="s">
        <v>1293</v>
      </c>
      <c r="E327" s="45" t="s">
        <v>159</v>
      </c>
      <c r="F327" s="45" t="s">
        <v>1295</v>
      </c>
      <c r="G327" s="45" t="s">
        <v>1296</v>
      </c>
      <c r="H327" s="45" t="s">
        <v>352</v>
      </c>
      <c r="I327" s="44" t="s">
        <v>1297</v>
      </c>
      <c r="J327" s="44">
        <v>8</v>
      </c>
      <c r="K327" s="46" t="s">
        <v>709</v>
      </c>
      <c r="L327" s="46" t="s">
        <v>709</v>
      </c>
      <c r="M327" s="47" t="s">
        <v>710</v>
      </c>
      <c r="N327" s="47" t="s">
        <v>1721</v>
      </c>
      <c r="O327" s="48"/>
      <c r="P327" s="48"/>
      <c r="Q327" s="45"/>
      <c r="S327" s="1">
        <f t="shared" si="131"/>
        <v>0</v>
      </c>
      <c r="T327" s="1">
        <f t="shared" si="132"/>
        <v>0</v>
      </c>
      <c r="U327" s="1">
        <f t="shared" si="133"/>
        <v>0</v>
      </c>
      <c r="V327" s="1">
        <f t="shared" si="134"/>
        <v>0</v>
      </c>
      <c r="W327" s="1">
        <f t="shared" si="135"/>
        <v>0</v>
      </c>
      <c r="X327" s="1">
        <f t="shared" si="136"/>
        <v>0</v>
      </c>
      <c r="Y327" s="1">
        <f t="shared" si="137"/>
        <v>0</v>
      </c>
      <c r="Z327" s="1">
        <f t="shared" si="138"/>
        <v>1</v>
      </c>
      <c r="AA327" s="1">
        <f t="shared" si="139"/>
        <v>0</v>
      </c>
      <c r="AB327" s="1">
        <f t="shared" si="140"/>
        <v>0</v>
      </c>
      <c r="AD327" s="1">
        <f t="shared" si="141"/>
        <v>0</v>
      </c>
      <c r="AE327" s="1">
        <f t="shared" si="142"/>
        <v>0</v>
      </c>
      <c r="AF327" s="1">
        <f t="shared" si="127"/>
        <v>0</v>
      </c>
      <c r="AG327" s="1">
        <f t="shared" si="128"/>
        <v>0</v>
      </c>
      <c r="AH327" s="1">
        <f t="shared" si="129"/>
        <v>0</v>
      </c>
      <c r="AI327" s="1">
        <f t="shared" si="130"/>
        <v>1</v>
      </c>
    </row>
    <row r="328" spans="1:35" s="1" customFormat="1" ht="14.25" customHeight="1" x14ac:dyDescent="0.25">
      <c r="A328" s="44">
        <v>0</v>
      </c>
      <c r="B328" s="44">
        <v>2</v>
      </c>
      <c r="C328" s="44">
        <v>2</v>
      </c>
      <c r="D328" s="45" t="s">
        <v>1620</v>
      </c>
      <c r="E328" s="45" t="s">
        <v>1152</v>
      </c>
      <c r="F328" s="45" t="s">
        <v>1654</v>
      </c>
      <c r="G328" s="45" t="s">
        <v>189</v>
      </c>
      <c r="H328" s="45" t="s">
        <v>352</v>
      </c>
      <c r="I328" s="44" t="s">
        <v>1581</v>
      </c>
      <c r="J328" s="44">
        <v>99</v>
      </c>
      <c r="K328" s="46" t="s">
        <v>709</v>
      </c>
      <c r="L328" s="46" t="s">
        <v>692</v>
      </c>
      <c r="M328" s="47" t="s">
        <v>1582</v>
      </c>
      <c r="N328" s="47" t="s">
        <v>1712</v>
      </c>
      <c r="O328" s="48"/>
      <c r="P328" s="48"/>
      <c r="Q328" s="45"/>
      <c r="S328" s="1">
        <f t="shared" si="131"/>
        <v>0</v>
      </c>
      <c r="T328" s="1">
        <f t="shared" si="132"/>
        <v>0</v>
      </c>
      <c r="U328" s="1">
        <f t="shared" si="133"/>
        <v>0</v>
      </c>
      <c r="V328" s="1">
        <f t="shared" si="134"/>
        <v>0</v>
      </c>
      <c r="W328" s="1">
        <f t="shared" si="135"/>
        <v>0</v>
      </c>
      <c r="X328" s="1">
        <f t="shared" si="136"/>
        <v>0</v>
      </c>
      <c r="Y328" s="1">
        <f t="shared" si="137"/>
        <v>0</v>
      </c>
      <c r="Z328" s="1">
        <f t="shared" si="138"/>
        <v>0</v>
      </c>
      <c r="AA328" s="1">
        <f t="shared" si="139"/>
        <v>0</v>
      </c>
      <c r="AB328" s="1">
        <f t="shared" si="140"/>
        <v>0</v>
      </c>
      <c r="AD328" s="1">
        <f t="shared" si="141"/>
        <v>0</v>
      </c>
      <c r="AE328" s="1">
        <f t="shared" si="142"/>
        <v>0</v>
      </c>
      <c r="AF328" s="1">
        <f t="shared" si="127"/>
        <v>0</v>
      </c>
      <c r="AG328" s="1">
        <f t="shared" si="128"/>
        <v>0</v>
      </c>
      <c r="AH328" s="1">
        <f t="shared" si="129"/>
        <v>0</v>
      </c>
      <c r="AI328" s="1">
        <f t="shared" si="130"/>
        <v>1</v>
      </c>
    </row>
    <row r="329" spans="1:35" s="1" customFormat="1" ht="14.25" customHeight="1" x14ac:dyDescent="0.25">
      <c r="A329" s="49">
        <v>0</v>
      </c>
      <c r="B329" s="49">
        <v>2</v>
      </c>
      <c r="C329" s="49">
        <v>2</v>
      </c>
      <c r="D329" s="50" t="s">
        <v>65</v>
      </c>
      <c r="E329" s="50" t="s">
        <v>163</v>
      </c>
      <c r="F329" s="50" t="s">
        <v>242</v>
      </c>
      <c r="G329" s="50" t="s">
        <v>199</v>
      </c>
      <c r="H329" s="50" t="s">
        <v>352</v>
      </c>
      <c r="I329" s="49" t="s">
        <v>405</v>
      </c>
      <c r="J329" s="49">
        <v>2</v>
      </c>
      <c r="K329" s="51" t="s">
        <v>942</v>
      </c>
      <c r="L329" s="51" t="s">
        <v>692</v>
      </c>
      <c r="M329" s="52" t="s">
        <v>711</v>
      </c>
      <c r="N329" s="52" t="s">
        <v>1717</v>
      </c>
      <c r="O329" s="53">
        <v>1</v>
      </c>
      <c r="P329" s="53"/>
      <c r="Q329" s="50"/>
      <c r="S329" s="1">
        <f t="shared" si="131"/>
        <v>0</v>
      </c>
      <c r="T329" s="1">
        <f t="shared" si="132"/>
        <v>1</v>
      </c>
      <c r="U329" s="1">
        <f t="shared" si="133"/>
        <v>0</v>
      </c>
      <c r="V329" s="1">
        <f t="shared" si="134"/>
        <v>0</v>
      </c>
      <c r="W329" s="1">
        <f t="shared" si="135"/>
        <v>0</v>
      </c>
      <c r="X329" s="1">
        <f t="shared" si="136"/>
        <v>0</v>
      </c>
      <c r="Y329" s="1">
        <f t="shared" si="137"/>
        <v>0</v>
      </c>
      <c r="Z329" s="1">
        <f t="shared" si="138"/>
        <v>0</v>
      </c>
      <c r="AA329" s="1">
        <f t="shared" si="139"/>
        <v>0</v>
      </c>
      <c r="AB329" s="1">
        <f t="shared" si="140"/>
        <v>0</v>
      </c>
      <c r="AD329" s="1">
        <f t="shared" si="141"/>
        <v>0</v>
      </c>
      <c r="AE329" s="1">
        <f t="shared" si="142"/>
        <v>1</v>
      </c>
      <c r="AF329" s="1">
        <f t="shared" si="127"/>
        <v>0</v>
      </c>
      <c r="AG329" s="1">
        <f t="shared" si="128"/>
        <v>1</v>
      </c>
      <c r="AH329" s="1">
        <f t="shared" si="129"/>
        <v>0</v>
      </c>
      <c r="AI329" s="1">
        <f t="shared" si="130"/>
        <v>1</v>
      </c>
    </row>
    <row r="330" spans="1:35" s="1" customFormat="1" ht="14.25" customHeight="1" x14ac:dyDescent="0.25">
      <c r="A330" s="31">
        <v>0</v>
      </c>
      <c r="B330" s="31">
        <v>2</v>
      </c>
      <c r="C330" s="31">
        <v>2</v>
      </c>
      <c r="D330" s="32" t="s">
        <v>1802</v>
      </c>
      <c r="E330" s="32" t="s">
        <v>1803</v>
      </c>
      <c r="F330" s="32" t="s">
        <v>1804</v>
      </c>
      <c r="G330" s="32" t="s">
        <v>195</v>
      </c>
      <c r="H330" s="32" t="s">
        <v>352</v>
      </c>
      <c r="I330" s="31" t="s">
        <v>1805</v>
      </c>
      <c r="J330" s="31"/>
      <c r="K330" s="33" t="s">
        <v>699</v>
      </c>
      <c r="L330" s="33">
        <v>20</v>
      </c>
      <c r="M330" s="34" t="s">
        <v>1806</v>
      </c>
      <c r="N330" s="34" t="s">
        <v>1722</v>
      </c>
      <c r="O330" s="35">
        <v>1</v>
      </c>
      <c r="P330" s="35"/>
      <c r="Q330" s="32"/>
      <c r="S330" s="1">
        <f t="shared" si="131"/>
        <v>0</v>
      </c>
      <c r="T330" s="1">
        <f t="shared" si="132"/>
        <v>0</v>
      </c>
      <c r="U330" s="1">
        <f t="shared" si="133"/>
        <v>0</v>
      </c>
      <c r="V330" s="1">
        <f t="shared" si="134"/>
        <v>0</v>
      </c>
      <c r="W330" s="1">
        <f t="shared" si="135"/>
        <v>0</v>
      </c>
      <c r="X330" s="1">
        <f t="shared" si="136"/>
        <v>0</v>
      </c>
      <c r="Y330" s="1">
        <f t="shared" si="137"/>
        <v>0</v>
      </c>
      <c r="Z330" s="1">
        <f t="shared" si="138"/>
        <v>0</v>
      </c>
      <c r="AA330" s="1">
        <f t="shared" si="139"/>
        <v>0</v>
      </c>
      <c r="AB330" s="1">
        <f t="shared" si="140"/>
        <v>0</v>
      </c>
      <c r="AD330" s="1">
        <f t="shared" si="141"/>
        <v>0</v>
      </c>
      <c r="AE330" s="1">
        <f t="shared" si="142"/>
        <v>1</v>
      </c>
      <c r="AF330" s="1">
        <f t="shared" si="127"/>
        <v>0</v>
      </c>
      <c r="AG330" s="1">
        <f t="shared" si="128"/>
        <v>1</v>
      </c>
      <c r="AH330" s="1">
        <f t="shared" si="129"/>
        <v>0</v>
      </c>
      <c r="AI330" s="1">
        <f t="shared" si="130"/>
        <v>1</v>
      </c>
    </row>
    <row r="331" spans="1:35" s="1" customFormat="1" ht="14.25" customHeight="1" x14ac:dyDescent="0.25">
      <c r="A331" s="31">
        <v>0</v>
      </c>
      <c r="B331" s="31">
        <v>2</v>
      </c>
      <c r="C331" s="31">
        <v>2</v>
      </c>
      <c r="D331" s="32" t="s">
        <v>1550</v>
      </c>
      <c r="E331" s="32" t="s">
        <v>1551</v>
      </c>
      <c r="F331" s="32" t="s">
        <v>1553</v>
      </c>
      <c r="G331" s="32" t="s">
        <v>1554</v>
      </c>
      <c r="H331" s="32" t="s">
        <v>352</v>
      </c>
      <c r="I331" s="31" t="s">
        <v>1552</v>
      </c>
      <c r="J331" s="31">
        <v>99</v>
      </c>
      <c r="K331" s="33" t="s">
        <v>699</v>
      </c>
      <c r="L331" s="33">
        <v>18</v>
      </c>
      <c r="M331" s="34" t="s">
        <v>1555</v>
      </c>
      <c r="N331" s="34" t="s">
        <v>1722</v>
      </c>
      <c r="O331" s="35">
        <v>1</v>
      </c>
      <c r="P331" s="35"/>
      <c r="Q331" s="32"/>
      <c r="S331" s="1">
        <f t="shared" si="131"/>
        <v>0</v>
      </c>
      <c r="T331" s="1">
        <f t="shared" si="132"/>
        <v>0</v>
      </c>
      <c r="U331" s="1">
        <f t="shared" si="133"/>
        <v>0</v>
      </c>
      <c r="V331" s="1">
        <f t="shared" si="134"/>
        <v>0</v>
      </c>
      <c r="W331" s="1">
        <f t="shared" si="135"/>
        <v>0</v>
      </c>
      <c r="X331" s="1">
        <f t="shared" si="136"/>
        <v>0</v>
      </c>
      <c r="Y331" s="1">
        <f t="shared" si="137"/>
        <v>0</v>
      </c>
      <c r="Z331" s="1">
        <f t="shared" si="138"/>
        <v>0</v>
      </c>
      <c r="AA331" s="1">
        <f t="shared" si="139"/>
        <v>0</v>
      </c>
      <c r="AB331" s="1">
        <f t="shared" si="140"/>
        <v>0</v>
      </c>
      <c r="AD331" s="1">
        <f t="shared" si="141"/>
        <v>0</v>
      </c>
      <c r="AE331" s="1">
        <f t="shared" si="142"/>
        <v>1</v>
      </c>
      <c r="AF331" s="1">
        <f t="shared" si="127"/>
        <v>0</v>
      </c>
      <c r="AG331" s="1">
        <f t="shared" si="128"/>
        <v>1</v>
      </c>
      <c r="AH331" s="1">
        <f t="shared" si="129"/>
        <v>0</v>
      </c>
      <c r="AI331" s="1">
        <f t="shared" si="130"/>
        <v>1</v>
      </c>
    </row>
    <row r="332" spans="1:35" s="1" customFormat="1" ht="14.25" customHeight="1" x14ac:dyDescent="0.25">
      <c r="A332" s="49">
        <v>0</v>
      </c>
      <c r="B332" s="49">
        <v>2</v>
      </c>
      <c r="C332" s="49">
        <v>2</v>
      </c>
      <c r="D332" s="50" t="s">
        <v>64</v>
      </c>
      <c r="E332" s="50" t="s">
        <v>33</v>
      </c>
      <c r="F332" s="50" t="s">
        <v>240</v>
      </c>
      <c r="G332" s="50" t="s">
        <v>241</v>
      </c>
      <c r="H332" s="50" t="s">
        <v>352</v>
      </c>
      <c r="I332" s="49" t="s">
        <v>404</v>
      </c>
      <c r="J332" s="49">
        <v>1</v>
      </c>
      <c r="K332" s="51" t="s">
        <v>948</v>
      </c>
      <c r="L332" s="51" t="s">
        <v>712</v>
      </c>
      <c r="M332" s="52" t="s">
        <v>713</v>
      </c>
      <c r="N332" s="52" t="s">
        <v>1717</v>
      </c>
      <c r="O332" s="53">
        <v>1</v>
      </c>
      <c r="P332" s="53"/>
      <c r="Q332" s="50"/>
      <c r="S332" s="1">
        <f t="shared" si="131"/>
        <v>1</v>
      </c>
      <c r="T332" s="1">
        <f t="shared" si="132"/>
        <v>0</v>
      </c>
      <c r="U332" s="1">
        <f t="shared" si="133"/>
        <v>0</v>
      </c>
      <c r="V332" s="1">
        <f t="shared" si="134"/>
        <v>0</v>
      </c>
      <c r="W332" s="1">
        <f t="shared" si="135"/>
        <v>0</v>
      </c>
      <c r="X332" s="1">
        <f t="shared" si="136"/>
        <v>0</v>
      </c>
      <c r="Y332" s="1">
        <f t="shared" si="137"/>
        <v>0</v>
      </c>
      <c r="Z332" s="1">
        <f t="shared" si="138"/>
        <v>0</v>
      </c>
      <c r="AA332" s="1">
        <f t="shared" si="139"/>
        <v>0</v>
      </c>
      <c r="AB332" s="1">
        <f t="shared" si="140"/>
        <v>0</v>
      </c>
      <c r="AD332" s="1">
        <f t="shared" si="141"/>
        <v>0</v>
      </c>
      <c r="AE332" s="1">
        <f t="shared" si="142"/>
        <v>1</v>
      </c>
      <c r="AF332" s="1">
        <f t="shared" si="127"/>
        <v>0</v>
      </c>
      <c r="AG332" s="1">
        <f t="shared" si="128"/>
        <v>1</v>
      </c>
      <c r="AH332" s="1">
        <f t="shared" si="129"/>
        <v>0</v>
      </c>
      <c r="AI332" s="1">
        <f t="shared" si="130"/>
        <v>1</v>
      </c>
    </row>
    <row r="333" spans="1:35" s="1" customFormat="1" ht="14.25" customHeight="1" x14ac:dyDescent="0.25">
      <c r="A333" s="49">
        <v>0</v>
      </c>
      <c r="B333" s="49">
        <v>2</v>
      </c>
      <c r="C333" s="49">
        <v>2</v>
      </c>
      <c r="D333" s="50" t="s">
        <v>62</v>
      </c>
      <c r="E333" s="50" t="s">
        <v>1073</v>
      </c>
      <c r="F333" s="50" t="s">
        <v>233</v>
      </c>
      <c r="G333" s="50" t="s">
        <v>234</v>
      </c>
      <c r="H333" s="50" t="s">
        <v>352</v>
      </c>
      <c r="I333" s="49" t="s">
        <v>1343</v>
      </c>
      <c r="J333" s="49">
        <v>99</v>
      </c>
      <c r="K333" s="51" t="s">
        <v>942</v>
      </c>
      <c r="L333" s="51" t="s">
        <v>712</v>
      </c>
      <c r="M333" s="52" t="s">
        <v>714</v>
      </c>
      <c r="N333" s="52" t="s">
        <v>1717</v>
      </c>
      <c r="O333" s="53">
        <v>1</v>
      </c>
      <c r="P333" s="53"/>
      <c r="Q333" s="50"/>
      <c r="S333" s="1">
        <f t="shared" si="131"/>
        <v>0</v>
      </c>
      <c r="T333" s="1">
        <f t="shared" si="132"/>
        <v>0</v>
      </c>
      <c r="U333" s="1">
        <f t="shared" si="133"/>
        <v>0</v>
      </c>
      <c r="V333" s="1">
        <f t="shared" si="134"/>
        <v>0</v>
      </c>
      <c r="W333" s="1">
        <f t="shared" si="135"/>
        <v>0</v>
      </c>
      <c r="X333" s="1">
        <f t="shared" si="136"/>
        <v>0</v>
      </c>
      <c r="Y333" s="1">
        <f t="shared" si="137"/>
        <v>0</v>
      </c>
      <c r="Z333" s="1">
        <f t="shared" si="138"/>
        <v>0</v>
      </c>
      <c r="AA333" s="1">
        <f t="shared" si="139"/>
        <v>0</v>
      </c>
      <c r="AB333" s="1">
        <f t="shared" si="140"/>
        <v>0</v>
      </c>
      <c r="AD333" s="1">
        <f t="shared" si="141"/>
        <v>0</v>
      </c>
      <c r="AE333" s="1">
        <f t="shared" si="142"/>
        <v>1</v>
      </c>
      <c r="AF333" s="1">
        <f t="shared" si="127"/>
        <v>0</v>
      </c>
      <c r="AG333" s="1">
        <f t="shared" si="128"/>
        <v>1</v>
      </c>
      <c r="AH333" s="1">
        <f t="shared" si="129"/>
        <v>0</v>
      </c>
      <c r="AI333" s="1">
        <f t="shared" si="130"/>
        <v>1</v>
      </c>
    </row>
    <row r="334" spans="1:35" s="1" customFormat="1" ht="14.25" customHeight="1" x14ac:dyDescent="0.25">
      <c r="A334" s="31">
        <v>0</v>
      </c>
      <c r="B334" s="31">
        <v>2</v>
      </c>
      <c r="C334" s="31">
        <v>2</v>
      </c>
      <c r="D334" s="32" t="s">
        <v>1690</v>
      </c>
      <c r="E334" s="32" t="s">
        <v>1692</v>
      </c>
      <c r="F334" s="32" t="s">
        <v>1691</v>
      </c>
      <c r="G334" s="32"/>
      <c r="H334" s="32" t="s">
        <v>352</v>
      </c>
      <c r="I334" s="31" t="s">
        <v>1693</v>
      </c>
      <c r="J334" s="31"/>
      <c r="K334" s="33" t="s">
        <v>699</v>
      </c>
      <c r="L334" s="33"/>
      <c r="M334" s="34"/>
      <c r="N334" s="34" t="s">
        <v>1701</v>
      </c>
      <c r="O334" s="35">
        <v>1</v>
      </c>
      <c r="P334" s="35">
        <v>1</v>
      </c>
      <c r="Q334" s="32"/>
      <c r="S334" s="1">
        <f t="shared" si="131"/>
        <v>0</v>
      </c>
      <c r="T334" s="1">
        <f t="shared" si="132"/>
        <v>0</v>
      </c>
      <c r="U334" s="1">
        <f t="shared" si="133"/>
        <v>0</v>
      </c>
      <c r="V334" s="1">
        <f t="shared" si="134"/>
        <v>0</v>
      </c>
      <c r="W334" s="1">
        <f t="shared" si="135"/>
        <v>0</v>
      </c>
      <c r="X334" s="1">
        <f t="shared" si="136"/>
        <v>0</v>
      </c>
      <c r="Y334" s="1">
        <f t="shared" si="137"/>
        <v>0</v>
      </c>
      <c r="Z334" s="1">
        <f t="shared" si="138"/>
        <v>0</v>
      </c>
      <c r="AA334" s="1">
        <f t="shared" si="139"/>
        <v>0</v>
      </c>
      <c r="AB334" s="1">
        <f t="shared" si="140"/>
        <v>0</v>
      </c>
      <c r="AD334" s="1">
        <f t="shared" si="141"/>
        <v>1</v>
      </c>
      <c r="AE334" s="1">
        <f t="shared" si="142"/>
        <v>0</v>
      </c>
      <c r="AF334" s="1">
        <f t="shared" si="127"/>
        <v>1</v>
      </c>
      <c r="AG334" s="1">
        <f t="shared" si="128"/>
        <v>0</v>
      </c>
      <c r="AH334" s="1">
        <f t="shared" si="129"/>
        <v>1</v>
      </c>
      <c r="AI334" s="1">
        <f t="shared" si="130"/>
        <v>0</v>
      </c>
    </row>
    <row r="335" spans="1:35" s="1" customFormat="1" ht="14.25" customHeight="1" x14ac:dyDescent="0.25">
      <c r="A335" s="44">
        <v>0</v>
      </c>
      <c r="B335" s="44">
        <v>2</v>
      </c>
      <c r="C335" s="44">
        <v>2</v>
      </c>
      <c r="D335" s="45" t="s">
        <v>778</v>
      </c>
      <c r="E335" s="45" t="s">
        <v>898</v>
      </c>
      <c r="F335" s="45" t="s">
        <v>1545</v>
      </c>
      <c r="G335" s="45" t="s">
        <v>229</v>
      </c>
      <c r="H335" s="45" t="s">
        <v>352</v>
      </c>
      <c r="I335" s="44" t="s">
        <v>1668</v>
      </c>
      <c r="J335" s="44">
        <v>7</v>
      </c>
      <c r="K335" s="46" t="s">
        <v>709</v>
      </c>
      <c r="L335" s="46">
        <v>20</v>
      </c>
      <c r="M335" s="47" t="s">
        <v>39</v>
      </c>
      <c r="N335" s="47" t="s">
        <v>1708</v>
      </c>
      <c r="O335" s="48"/>
      <c r="P335" s="48"/>
      <c r="Q335" s="45"/>
      <c r="S335" s="1">
        <f t="shared" si="131"/>
        <v>0</v>
      </c>
      <c r="T335" s="1">
        <f t="shared" si="132"/>
        <v>0</v>
      </c>
      <c r="U335" s="1">
        <f t="shared" si="133"/>
        <v>0</v>
      </c>
      <c r="V335" s="1">
        <f t="shared" si="134"/>
        <v>0</v>
      </c>
      <c r="W335" s="1">
        <f t="shared" si="135"/>
        <v>0</v>
      </c>
      <c r="X335" s="1">
        <f t="shared" si="136"/>
        <v>0</v>
      </c>
      <c r="Y335" s="1">
        <f t="shared" si="137"/>
        <v>1</v>
      </c>
      <c r="Z335" s="1">
        <f t="shared" si="138"/>
        <v>0</v>
      </c>
      <c r="AA335" s="1">
        <f t="shared" si="139"/>
        <v>0</v>
      </c>
      <c r="AB335" s="1">
        <f t="shared" si="140"/>
        <v>0</v>
      </c>
      <c r="AD335" s="1">
        <f t="shared" si="141"/>
        <v>0</v>
      </c>
      <c r="AE335" s="1">
        <f t="shared" si="142"/>
        <v>0</v>
      </c>
      <c r="AF335" s="1">
        <f t="shared" si="127"/>
        <v>0</v>
      </c>
      <c r="AG335" s="1">
        <f t="shared" si="128"/>
        <v>0</v>
      </c>
      <c r="AH335" s="1">
        <f t="shared" si="129"/>
        <v>0</v>
      </c>
      <c r="AI335" s="1">
        <f t="shared" si="130"/>
        <v>1</v>
      </c>
    </row>
    <row r="336" spans="1:35" s="1" customFormat="1" ht="14.25" customHeight="1" x14ac:dyDescent="0.25">
      <c r="A336" s="31">
        <v>0</v>
      </c>
      <c r="B336" s="31">
        <v>2</v>
      </c>
      <c r="C336" s="31">
        <v>2</v>
      </c>
      <c r="D336" s="32" t="s">
        <v>843</v>
      </c>
      <c r="E336" s="32" t="s">
        <v>537</v>
      </c>
      <c r="F336" s="32" t="s">
        <v>845</v>
      </c>
      <c r="G336" s="32" t="s">
        <v>219</v>
      </c>
      <c r="H336" s="32" t="s">
        <v>352</v>
      </c>
      <c r="I336" s="31" t="s">
        <v>846</v>
      </c>
      <c r="J336" s="31">
        <v>8</v>
      </c>
      <c r="K336" s="33" t="s">
        <v>709</v>
      </c>
      <c r="L336" s="33" t="s">
        <v>712</v>
      </c>
      <c r="M336" s="34" t="s">
        <v>1389</v>
      </c>
      <c r="N336" s="34" t="s">
        <v>1717</v>
      </c>
      <c r="O336" s="35">
        <v>1</v>
      </c>
      <c r="P336" s="35"/>
      <c r="Q336" s="32"/>
      <c r="S336" s="1">
        <f t="shared" si="131"/>
        <v>0</v>
      </c>
      <c r="T336" s="1">
        <f t="shared" si="132"/>
        <v>0</v>
      </c>
      <c r="U336" s="1">
        <f t="shared" si="133"/>
        <v>0</v>
      </c>
      <c r="V336" s="1">
        <f t="shared" si="134"/>
        <v>0</v>
      </c>
      <c r="W336" s="1">
        <f t="shared" si="135"/>
        <v>0</v>
      </c>
      <c r="X336" s="1">
        <f t="shared" si="136"/>
        <v>0</v>
      </c>
      <c r="Y336" s="1">
        <f t="shared" si="137"/>
        <v>0</v>
      </c>
      <c r="Z336" s="1">
        <f t="shared" si="138"/>
        <v>1</v>
      </c>
      <c r="AA336" s="1">
        <f t="shared" si="139"/>
        <v>0</v>
      </c>
      <c r="AB336" s="1">
        <f t="shared" si="140"/>
        <v>0</v>
      </c>
      <c r="AD336" s="1">
        <f t="shared" si="141"/>
        <v>0</v>
      </c>
      <c r="AE336" s="1">
        <f t="shared" si="142"/>
        <v>1</v>
      </c>
      <c r="AF336" s="1">
        <f t="shared" si="127"/>
        <v>0</v>
      </c>
      <c r="AG336" s="1">
        <f t="shared" si="128"/>
        <v>1</v>
      </c>
      <c r="AH336" s="1">
        <f t="shared" si="129"/>
        <v>0</v>
      </c>
      <c r="AI336" s="1">
        <f t="shared" si="130"/>
        <v>1</v>
      </c>
    </row>
    <row r="337" spans="1:35" s="1" customFormat="1" ht="14.25" customHeight="1" x14ac:dyDescent="0.25">
      <c r="A337" s="31">
        <v>1</v>
      </c>
      <c r="B337" s="31">
        <v>2</v>
      </c>
      <c r="C337" s="31">
        <v>2</v>
      </c>
      <c r="D337" s="32" t="s">
        <v>843</v>
      </c>
      <c r="E337" s="32" t="s">
        <v>537</v>
      </c>
      <c r="F337" s="32" t="s">
        <v>1332</v>
      </c>
      <c r="G337" s="32" t="s">
        <v>193</v>
      </c>
      <c r="H337" s="32" t="s">
        <v>352</v>
      </c>
      <c r="I337" s="31" t="s">
        <v>844</v>
      </c>
      <c r="J337" s="31">
        <v>9</v>
      </c>
      <c r="K337" s="33" t="s">
        <v>709</v>
      </c>
      <c r="L337" s="33" t="s">
        <v>712</v>
      </c>
      <c r="M337" s="34" t="s">
        <v>1389</v>
      </c>
      <c r="N337" s="34" t="s">
        <v>1717</v>
      </c>
      <c r="O337" s="35">
        <v>1</v>
      </c>
      <c r="P337" s="35"/>
      <c r="Q337" s="32"/>
      <c r="S337" s="1">
        <f t="shared" si="131"/>
        <v>0</v>
      </c>
      <c r="T337" s="1">
        <f t="shared" si="132"/>
        <v>0</v>
      </c>
      <c r="U337" s="1">
        <f t="shared" si="133"/>
        <v>0</v>
      </c>
      <c r="V337" s="1">
        <f t="shared" si="134"/>
        <v>0</v>
      </c>
      <c r="W337" s="1">
        <f t="shared" si="135"/>
        <v>0</v>
      </c>
      <c r="X337" s="1">
        <f t="shared" si="136"/>
        <v>0</v>
      </c>
      <c r="Y337" s="1">
        <f t="shared" si="137"/>
        <v>0</v>
      </c>
      <c r="Z337" s="1">
        <f t="shared" si="138"/>
        <v>0</v>
      </c>
      <c r="AA337" s="1">
        <f t="shared" si="139"/>
        <v>1</v>
      </c>
      <c r="AB337" s="1">
        <f t="shared" si="140"/>
        <v>0</v>
      </c>
      <c r="AD337" s="1">
        <f t="shared" si="141"/>
        <v>0</v>
      </c>
      <c r="AE337" s="1">
        <f t="shared" si="142"/>
        <v>1</v>
      </c>
      <c r="AF337" s="1">
        <f t="shared" ref="AF337:AF400" si="149">+O337*P337*(1-A337)</f>
        <v>0</v>
      </c>
      <c r="AG337" s="1">
        <f t="shared" ref="AG337:AG400" si="150">O337*(1-P337)*(1-A337)</f>
        <v>0</v>
      </c>
      <c r="AH337" s="1">
        <f t="shared" ref="AH337:AH400" si="151">+P337*(1-A337)</f>
        <v>0</v>
      </c>
      <c r="AI337" s="1">
        <f t="shared" ref="AI337:AI400" si="152">+(1-A337)*(1-P337)</f>
        <v>0</v>
      </c>
    </row>
    <row r="338" spans="1:35" s="1" customFormat="1" ht="14.25" customHeight="1" x14ac:dyDescent="0.25">
      <c r="A338" s="31">
        <v>0</v>
      </c>
      <c r="B338" s="31">
        <v>2</v>
      </c>
      <c r="C338" s="31">
        <v>2</v>
      </c>
      <c r="D338" s="32" t="s">
        <v>907</v>
      </c>
      <c r="E338" s="32" t="s">
        <v>776</v>
      </c>
      <c r="F338" s="32" t="s">
        <v>777</v>
      </c>
      <c r="G338" s="32" t="s">
        <v>229</v>
      </c>
      <c r="H338" s="32" t="s">
        <v>352</v>
      </c>
      <c r="I338" s="31" t="s">
        <v>779</v>
      </c>
      <c r="J338" s="31">
        <v>7</v>
      </c>
      <c r="K338" s="33" t="s">
        <v>708</v>
      </c>
      <c r="L338" s="33">
        <v>15</v>
      </c>
      <c r="M338" s="34" t="s">
        <v>39</v>
      </c>
      <c r="N338" s="34" t="s">
        <v>1717</v>
      </c>
      <c r="O338" s="35">
        <v>1</v>
      </c>
      <c r="P338" s="35"/>
      <c r="Q338" s="32"/>
      <c r="S338" s="1">
        <f t="shared" si="131"/>
        <v>0</v>
      </c>
      <c r="T338" s="1">
        <f t="shared" si="132"/>
        <v>0</v>
      </c>
      <c r="U338" s="1">
        <f t="shared" si="133"/>
        <v>0</v>
      </c>
      <c r="V338" s="1">
        <f t="shared" si="134"/>
        <v>0</v>
      </c>
      <c r="W338" s="1">
        <f t="shared" si="135"/>
        <v>0</v>
      </c>
      <c r="X338" s="1">
        <f t="shared" si="136"/>
        <v>0</v>
      </c>
      <c r="Y338" s="1">
        <f t="shared" si="137"/>
        <v>1</v>
      </c>
      <c r="Z338" s="1">
        <f t="shared" si="138"/>
        <v>0</v>
      </c>
      <c r="AA338" s="1">
        <f t="shared" si="139"/>
        <v>0</v>
      </c>
      <c r="AB338" s="1">
        <f t="shared" si="140"/>
        <v>0</v>
      </c>
      <c r="AD338" s="1">
        <f t="shared" si="141"/>
        <v>0</v>
      </c>
      <c r="AE338" s="1">
        <f t="shared" si="142"/>
        <v>1</v>
      </c>
      <c r="AF338" s="1">
        <f t="shared" si="149"/>
        <v>0</v>
      </c>
      <c r="AG338" s="1">
        <f t="shared" si="150"/>
        <v>1</v>
      </c>
      <c r="AH338" s="1">
        <f t="shared" si="151"/>
        <v>0</v>
      </c>
      <c r="AI338" s="1">
        <f t="shared" si="152"/>
        <v>1</v>
      </c>
    </row>
    <row r="339" spans="1:35" s="1" customFormat="1" ht="14.25" customHeight="1" x14ac:dyDescent="0.25">
      <c r="A339" s="31">
        <v>0</v>
      </c>
      <c r="B339" s="31">
        <v>2</v>
      </c>
      <c r="C339" s="31">
        <v>2</v>
      </c>
      <c r="D339" s="32" t="s">
        <v>83</v>
      </c>
      <c r="E339" s="32" t="s">
        <v>156</v>
      </c>
      <c r="F339" s="32" t="s">
        <v>1846</v>
      </c>
      <c r="G339" s="32" t="s">
        <v>208</v>
      </c>
      <c r="H339" s="32" t="s">
        <v>352</v>
      </c>
      <c r="I339" s="31" t="s">
        <v>430</v>
      </c>
      <c r="J339" s="31">
        <v>99</v>
      </c>
      <c r="K339" s="33" t="s">
        <v>941</v>
      </c>
      <c r="L339" s="33" t="s">
        <v>700</v>
      </c>
      <c r="M339" s="34" t="s">
        <v>715</v>
      </c>
      <c r="N339" s="34" t="s">
        <v>1717</v>
      </c>
      <c r="O339" s="35">
        <v>1</v>
      </c>
      <c r="P339" s="35"/>
      <c r="Q339" s="32"/>
      <c r="S339" s="1">
        <f t="shared" si="131"/>
        <v>0</v>
      </c>
      <c r="T339" s="1">
        <f t="shared" si="132"/>
        <v>0</v>
      </c>
      <c r="U339" s="1">
        <f t="shared" si="133"/>
        <v>0</v>
      </c>
      <c r="V339" s="1">
        <f t="shared" si="134"/>
        <v>0</v>
      </c>
      <c r="W339" s="1">
        <f t="shared" si="135"/>
        <v>0</v>
      </c>
      <c r="X339" s="1">
        <f t="shared" si="136"/>
        <v>0</v>
      </c>
      <c r="Y339" s="1">
        <f t="shared" si="137"/>
        <v>0</v>
      </c>
      <c r="Z339" s="1">
        <f t="shared" si="138"/>
        <v>0</v>
      </c>
      <c r="AA339" s="1">
        <f t="shared" si="139"/>
        <v>0</v>
      </c>
      <c r="AB339" s="1">
        <f t="shared" si="140"/>
        <v>0</v>
      </c>
      <c r="AD339" s="1">
        <f t="shared" si="141"/>
        <v>0</v>
      </c>
      <c r="AE339" s="1">
        <f t="shared" si="142"/>
        <v>1</v>
      </c>
      <c r="AF339" s="1">
        <f t="shared" si="149"/>
        <v>0</v>
      </c>
      <c r="AG339" s="1">
        <f t="shared" si="150"/>
        <v>1</v>
      </c>
      <c r="AH339" s="1">
        <f t="shared" si="151"/>
        <v>0</v>
      </c>
      <c r="AI339" s="1">
        <f t="shared" si="152"/>
        <v>1</v>
      </c>
    </row>
    <row r="340" spans="1:35" s="1" customFormat="1" ht="14.25" customHeight="1" x14ac:dyDescent="0.25">
      <c r="A340" s="31">
        <v>0</v>
      </c>
      <c r="B340" s="31">
        <v>2</v>
      </c>
      <c r="C340" s="31">
        <v>2</v>
      </c>
      <c r="D340" s="32" t="s">
        <v>1538</v>
      </c>
      <c r="E340" s="32" t="s">
        <v>1314</v>
      </c>
      <c r="F340" s="32" t="s">
        <v>1539</v>
      </c>
      <c r="G340" s="32" t="s">
        <v>1150</v>
      </c>
      <c r="H340" s="32" t="s">
        <v>352</v>
      </c>
      <c r="I340" s="31" t="s">
        <v>1540</v>
      </c>
      <c r="J340" s="31">
        <v>1</v>
      </c>
      <c r="K340" s="33" t="s">
        <v>709</v>
      </c>
      <c r="L340" s="33" t="s">
        <v>39</v>
      </c>
      <c r="M340" s="34" t="s">
        <v>39</v>
      </c>
      <c r="N340" s="34" t="s">
        <v>1701</v>
      </c>
      <c r="O340" s="35">
        <v>1</v>
      </c>
      <c r="P340" s="35">
        <v>1</v>
      </c>
      <c r="Q340" s="32"/>
      <c r="S340" s="1">
        <f t="shared" si="131"/>
        <v>1</v>
      </c>
      <c r="T340" s="1">
        <f t="shared" si="132"/>
        <v>0</v>
      </c>
      <c r="U340" s="1">
        <f t="shared" si="133"/>
        <v>0</v>
      </c>
      <c r="V340" s="1">
        <f t="shared" si="134"/>
        <v>0</v>
      </c>
      <c r="W340" s="1">
        <f t="shared" si="135"/>
        <v>0</v>
      </c>
      <c r="X340" s="1">
        <f t="shared" si="136"/>
        <v>0</v>
      </c>
      <c r="Y340" s="1">
        <f t="shared" si="137"/>
        <v>0</v>
      </c>
      <c r="Z340" s="1">
        <f t="shared" si="138"/>
        <v>0</v>
      </c>
      <c r="AA340" s="1">
        <f t="shared" si="139"/>
        <v>0</v>
      </c>
      <c r="AB340" s="1">
        <f t="shared" si="140"/>
        <v>0</v>
      </c>
      <c r="AD340" s="1">
        <f t="shared" si="141"/>
        <v>1</v>
      </c>
      <c r="AE340" s="1">
        <f t="shared" si="142"/>
        <v>0</v>
      </c>
      <c r="AF340" s="1">
        <f t="shared" si="149"/>
        <v>1</v>
      </c>
      <c r="AG340" s="1">
        <f t="shared" si="150"/>
        <v>0</v>
      </c>
      <c r="AH340" s="1">
        <f t="shared" si="151"/>
        <v>1</v>
      </c>
      <c r="AI340" s="1">
        <f t="shared" si="152"/>
        <v>0</v>
      </c>
    </row>
    <row r="341" spans="1:35" s="1" customFormat="1" ht="14.25" customHeight="1" x14ac:dyDescent="0.25">
      <c r="A341" s="31">
        <v>0</v>
      </c>
      <c r="B341" s="31">
        <v>2</v>
      </c>
      <c r="C341" s="31">
        <v>2</v>
      </c>
      <c r="D341" s="32" t="s">
        <v>1718</v>
      </c>
      <c r="E341" s="32" t="s">
        <v>27</v>
      </c>
      <c r="F341" s="32" t="s">
        <v>1031</v>
      </c>
      <c r="G341" s="32" t="s">
        <v>219</v>
      </c>
      <c r="H341" s="32" t="s">
        <v>352</v>
      </c>
      <c r="I341" s="31" t="s">
        <v>1032</v>
      </c>
      <c r="J341" s="31">
        <v>8</v>
      </c>
      <c r="K341" s="33" t="s">
        <v>709</v>
      </c>
      <c r="L341" s="33">
        <v>25</v>
      </c>
      <c r="M341" s="34" t="s">
        <v>1719</v>
      </c>
      <c r="N341" s="34" t="s">
        <v>1701</v>
      </c>
      <c r="O341" s="35">
        <v>1</v>
      </c>
      <c r="P341" s="35">
        <v>1</v>
      </c>
      <c r="Q341" s="32"/>
      <c r="S341" s="1">
        <f t="shared" ref="S341:S404" si="153">IF(J341=$S$7,1,0)</f>
        <v>0</v>
      </c>
      <c r="T341" s="1">
        <f t="shared" ref="T341:T404" si="154">IF(J341=$T$7,1,0)</f>
        <v>0</v>
      </c>
      <c r="U341" s="1">
        <f t="shared" ref="U341:U404" si="155">IF(J341=$U$7,1,0)</f>
        <v>0</v>
      </c>
      <c r="V341" s="1">
        <f t="shared" ref="V341:V404" si="156">IF(J341=$V$7,1,0)</f>
        <v>0</v>
      </c>
      <c r="W341" s="1">
        <f t="shared" ref="W341:W404" si="157">IF(J341=$W$7,1,0)</f>
        <v>0</v>
      </c>
      <c r="X341" s="1">
        <f t="shared" ref="X341:X404" si="158">IF(J341=$X$7,1,0)</f>
        <v>0</v>
      </c>
      <c r="Y341" s="1">
        <f t="shared" ref="Y341:Y404" si="159">IF(J341=$Y$7,1,0)</f>
        <v>0</v>
      </c>
      <c r="Z341" s="1">
        <f t="shared" ref="Z341:Z404" si="160">IF(J341=$Z$7,1,0)</f>
        <v>1</v>
      </c>
      <c r="AA341" s="1">
        <f t="shared" ref="AA341:AA404" si="161">IF(J341=$AA$7,1,0)</f>
        <v>0</v>
      </c>
      <c r="AB341" s="1">
        <f t="shared" ref="AB341:AB404" si="162">IF(J341=$AB$7,1,0)</f>
        <v>0</v>
      </c>
      <c r="AD341" s="1">
        <f t="shared" ref="AD341:AD404" si="163">+O341*P341</f>
        <v>1</v>
      </c>
      <c r="AE341" s="1">
        <f t="shared" ref="AE341:AE404" si="164">O341*(1-P341)</f>
        <v>0</v>
      </c>
      <c r="AF341" s="1">
        <f t="shared" si="149"/>
        <v>1</v>
      </c>
      <c r="AG341" s="1">
        <f t="shared" si="150"/>
        <v>0</v>
      </c>
      <c r="AH341" s="1">
        <f t="shared" si="151"/>
        <v>1</v>
      </c>
      <c r="AI341" s="1">
        <f t="shared" si="152"/>
        <v>0</v>
      </c>
    </row>
    <row r="342" spans="1:35" s="1" customFormat="1" ht="14.25" customHeight="1" x14ac:dyDescent="0.25">
      <c r="A342" s="31">
        <v>0</v>
      </c>
      <c r="B342" s="31">
        <v>2</v>
      </c>
      <c r="C342" s="31">
        <v>2</v>
      </c>
      <c r="D342" s="32" t="s">
        <v>45</v>
      </c>
      <c r="E342" s="32" t="s">
        <v>44</v>
      </c>
      <c r="F342" s="32" t="s">
        <v>665</v>
      </c>
      <c r="G342" s="32" t="s">
        <v>179</v>
      </c>
      <c r="H342" s="32" t="s">
        <v>352</v>
      </c>
      <c r="I342" s="31" t="s">
        <v>937</v>
      </c>
      <c r="J342" s="31">
        <v>10</v>
      </c>
      <c r="K342" s="33" t="s">
        <v>709</v>
      </c>
      <c r="L342" s="33" t="s">
        <v>716</v>
      </c>
      <c r="M342" s="34" t="s">
        <v>717</v>
      </c>
      <c r="N342" s="34" t="s">
        <v>1701</v>
      </c>
      <c r="O342" s="35">
        <v>1</v>
      </c>
      <c r="P342" s="35">
        <v>1</v>
      </c>
      <c r="Q342" s="32"/>
      <c r="S342" s="1">
        <f t="shared" si="153"/>
        <v>0</v>
      </c>
      <c r="T342" s="1">
        <f t="shared" si="154"/>
        <v>0</v>
      </c>
      <c r="U342" s="1">
        <f t="shared" si="155"/>
        <v>0</v>
      </c>
      <c r="V342" s="1">
        <f t="shared" si="156"/>
        <v>0</v>
      </c>
      <c r="W342" s="1">
        <f t="shared" si="157"/>
        <v>0</v>
      </c>
      <c r="X342" s="1">
        <f t="shared" si="158"/>
        <v>0</v>
      </c>
      <c r="Y342" s="1">
        <f t="shared" si="159"/>
        <v>0</v>
      </c>
      <c r="Z342" s="1">
        <f t="shared" si="160"/>
        <v>0</v>
      </c>
      <c r="AA342" s="1">
        <f t="shared" si="161"/>
        <v>0</v>
      </c>
      <c r="AB342" s="1">
        <f t="shared" si="162"/>
        <v>1</v>
      </c>
      <c r="AD342" s="1">
        <f t="shared" si="163"/>
        <v>1</v>
      </c>
      <c r="AE342" s="1">
        <f t="shared" si="164"/>
        <v>0</v>
      </c>
      <c r="AF342" s="1">
        <f t="shared" si="149"/>
        <v>1</v>
      </c>
      <c r="AG342" s="1">
        <f t="shared" si="150"/>
        <v>0</v>
      </c>
      <c r="AH342" s="1">
        <f t="shared" si="151"/>
        <v>1</v>
      </c>
      <c r="AI342" s="1">
        <f t="shared" si="152"/>
        <v>0</v>
      </c>
    </row>
    <row r="343" spans="1:35" s="1" customFormat="1" ht="14.25" customHeight="1" x14ac:dyDescent="0.25">
      <c r="A343" s="31">
        <v>0</v>
      </c>
      <c r="B343" s="31">
        <v>2</v>
      </c>
      <c r="C343" s="31">
        <v>2</v>
      </c>
      <c r="D343" s="32" t="s">
        <v>1423</v>
      </c>
      <c r="E343" s="32" t="s">
        <v>1627</v>
      </c>
      <c r="F343" s="32" t="s">
        <v>1642</v>
      </c>
      <c r="G343" s="32" t="s">
        <v>229</v>
      </c>
      <c r="H343" s="32" t="s">
        <v>352</v>
      </c>
      <c r="I343" s="31" t="s">
        <v>1424</v>
      </c>
      <c r="J343" s="31">
        <v>99</v>
      </c>
      <c r="K343" s="33" t="s">
        <v>942</v>
      </c>
      <c r="L343" s="33">
        <v>20</v>
      </c>
      <c r="M343" s="34" t="s">
        <v>39</v>
      </c>
      <c r="N343" s="34" t="s">
        <v>1701</v>
      </c>
      <c r="O343" s="35">
        <v>1</v>
      </c>
      <c r="P343" s="35">
        <v>1</v>
      </c>
      <c r="Q343" s="32"/>
      <c r="S343" s="1">
        <f t="shared" si="153"/>
        <v>0</v>
      </c>
      <c r="T343" s="1">
        <f t="shared" si="154"/>
        <v>0</v>
      </c>
      <c r="U343" s="1">
        <f t="shared" si="155"/>
        <v>0</v>
      </c>
      <c r="V343" s="1">
        <f t="shared" si="156"/>
        <v>0</v>
      </c>
      <c r="W343" s="1">
        <f t="shared" si="157"/>
        <v>0</v>
      </c>
      <c r="X343" s="1">
        <f t="shared" si="158"/>
        <v>0</v>
      </c>
      <c r="Y343" s="1">
        <f t="shared" si="159"/>
        <v>0</v>
      </c>
      <c r="Z343" s="1">
        <f t="shared" si="160"/>
        <v>0</v>
      </c>
      <c r="AA343" s="1">
        <f t="shared" si="161"/>
        <v>0</v>
      </c>
      <c r="AB343" s="1">
        <f t="shared" si="162"/>
        <v>0</v>
      </c>
      <c r="AD343" s="1">
        <f t="shared" si="163"/>
        <v>1</v>
      </c>
      <c r="AE343" s="1">
        <f t="shared" si="164"/>
        <v>0</v>
      </c>
      <c r="AF343" s="1">
        <f t="shared" si="149"/>
        <v>1</v>
      </c>
      <c r="AG343" s="1">
        <f t="shared" si="150"/>
        <v>0</v>
      </c>
      <c r="AH343" s="1">
        <f t="shared" si="151"/>
        <v>1</v>
      </c>
      <c r="AI343" s="1">
        <f t="shared" si="152"/>
        <v>0</v>
      </c>
    </row>
    <row r="344" spans="1:35" s="1" customFormat="1" ht="14.25" customHeight="1" x14ac:dyDescent="0.25">
      <c r="A344" s="66">
        <v>0</v>
      </c>
      <c r="B344" s="66">
        <v>2</v>
      </c>
      <c r="C344" s="66">
        <v>2</v>
      </c>
      <c r="D344" s="54" t="s">
        <v>1963</v>
      </c>
      <c r="E344" s="54" t="s">
        <v>2048</v>
      </c>
      <c r="F344" s="54" t="s">
        <v>1964</v>
      </c>
      <c r="G344" s="54" t="s">
        <v>178</v>
      </c>
      <c r="H344" s="54" t="s">
        <v>352</v>
      </c>
      <c r="I344" s="66" t="s">
        <v>1965</v>
      </c>
      <c r="J344" s="66"/>
      <c r="K344" s="66" t="s">
        <v>699</v>
      </c>
      <c r="L344" s="66"/>
      <c r="M344" s="54"/>
      <c r="N344" s="54"/>
      <c r="O344" s="67"/>
      <c r="P344" s="67">
        <v>1</v>
      </c>
      <c r="Q344" s="54"/>
      <c r="S344" s="1">
        <f t="shared" si="153"/>
        <v>0</v>
      </c>
      <c r="T344" s="1">
        <f t="shared" si="154"/>
        <v>0</v>
      </c>
      <c r="U344" s="1">
        <f t="shared" si="155"/>
        <v>0</v>
      </c>
      <c r="V344" s="1">
        <f t="shared" si="156"/>
        <v>0</v>
      </c>
      <c r="W344" s="1">
        <f t="shared" si="157"/>
        <v>0</v>
      </c>
      <c r="X344" s="1">
        <f t="shared" si="158"/>
        <v>0</v>
      </c>
      <c r="Y344" s="1">
        <f t="shared" si="159"/>
        <v>0</v>
      </c>
      <c r="Z344" s="1">
        <f t="shared" si="160"/>
        <v>0</v>
      </c>
      <c r="AA344" s="1">
        <f t="shared" si="161"/>
        <v>0</v>
      </c>
      <c r="AB344" s="1">
        <f t="shared" si="162"/>
        <v>0</v>
      </c>
      <c r="AD344" s="1">
        <f t="shared" si="163"/>
        <v>0</v>
      </c>
      <c r="AE344" s="1">
        <f t="shared" si="164"/>
        <v>0</v>
      </c>
      <c r="AF344" s="1">
        <f t="shared" si="149"/>
        <v>0</v>
      </c>
      <c r="AG344" s="1">
        <f t="shared" si="150"/>
        <v>0</v>
      </c>
      <c r="AH344" s="1">
        <f t="shared" si="151"/>
        <v>1</v>
      </c>
      <c r="AI344" s="1">
        <f t="shared" si="152"/>
        <v>0</v>
      </c>
    </row>
    <row r="345" spans="1:35" s="1" customFormat="1" ht="14.25" customHeight="1" x14ac:dyDescent="0.25">
      <c r="A345" s="49">
        <v>0</v>
      </c>
      <c r="B345" s="49">
        <v>2</v>
      </c>
      <c r="C345" s="49">
        <v>2</v>
      </c>
      <c r="D345" s="50" t="s">
        <v>602</v>
      </c>
      <c r="E345" s="50" t="s">
        <v>603</v>
      </c>
      <c r="F345" s="50" t="s">
        <v>604</v>
      </c>
      <c r="G345" s="50" t="s">
        <v>256</v>
      </c>
      <c r="H345" s="50" t="s">
        <v>352</v>
      </c>
      <c r="I345" s="49" t="s">
        <v>605</v>
      </c>
      <c r="J345" s="49">
        <v>99</v>
      </c>
      <c r="K345" s="51" t="s">
        <v>942</v>
      </c>
      <c r="L345" s="51" t="s">
        <v>700</v>
      </c>
      <c r="M345" s="52" t="s">
        <v>1390</v>
      </c>
      <c r="N345" s="52" t="s">
        <v>1717</v>
      </c>
      <c r="O345" s="53">
        <v>1</v>
      </c>
      <c r="P345" s="53"/>
      <c r="Q345" s="50"/>
      <c r="S345" s="1">
        <f t="shared" si="153"/>
        <v>0</v>
      </c>
      <c r="T345" s="1">
        <f t="shared" si="154"/>
        <v>0</v>
      </c>
      <c r="U345" s="1">
        <f t="shared" si="155"/>
        <v>0</v>
      </c>
      <c r="V345" s="1">
        <f t="shared" si="156"/>
        <v>0</v>
      </c>
      <c r="W345" s="1">
        <f t="shared" si="157"/>
        <v>0</v>
      </c>
      <c r="X345" s="1">
        <f t="shared" si="158"/>
        <v>0</v>
      </c>
      <c r="Y345" s="1">
        <f t="shared" si="159"/>
        <v>0</v>
      </c>
      <c r="Z345" s="1">
        <f t="shared" si="160"/>
        <v>0</v>
      </c>
      <c r="AA345" s="1">
        <f t="shared" si="161"/>
        <v>0</v>
      </c>
      <c r="AB345" s="1">
        <f t="shared" si="162"/>
        <v>0</v>
      </c>
      <c r="AD345" s="1">
        <f t="shared" si="163"/>
        <v>0</v>
      </c>
      <c r="AE345" s="1">
        <f t="shared" si="164"/>
        <v>1</v>
      </c>
      <c r="AF345" s="1">
        <f t="shared" si="149"/>
        <v>0</v>
      </c>
      <c r="AG345" s="1">
        <f t="shared" si="150"/>
        <v>1</v>
      </c>
      <c r="AH345" s="1">
        <f t="shared" si="151"/>
        <v>0</v>
      </c>
      <c r="AI345" s="1">
        <f t="shared" si="152"/>
        <v>1</v>
      </c>
    </row>
    <row r="346" spans="1:35" s="1" customFormat="1" ht="14.25" customHeight="1" x14ac:dyDescent="0.25">
      <c r="A346" s="31">
        <v>0</v>
      </c>
      <c r="B346" s="31">
        <v>2</v>
      </c>
      <c r="C346" s="31">
        <v>2</v>
      </c>
      <c r="D346" s="32" t="s">
        <v>1899</v>
      </c>
      <c r="E346" s="32" t="s">
        <v>1900</v>
      </c>
      <c r="F346" s="32" t="s">
        <v>1901</v>
      </c>
      <c r="G346" s="32" t="s">
        <v>183</v>
      </c>
      <c r="H346" s="32" t="s">
        <v>352</v>
      </c>
      <c r="I346" s="31" t="s">
        <v>1903</v>
      </c>
      <c r="J346" s="31">
        <v>99</v>
      </c>
      <c r="K346" s="33" t="s">
        <v>699</v>
      </c>
      <c r="L346" s="33"/>
      <c r="M346" s="34"/>
      <c r="N346" s="34" t="s">
        <v>1701</v>
      </c>
      <c r="O346" s="35">
        <v>1</v>
      </c>
      <c r="P346" s="35">
        <v>1</v>
      </c>
      <c r="Q346" s="32" t="s">
        <v>1902</v>
      </c>
      <c r="S346" s="1">
        <f t="shared" si="153"/>
        <v>0</v>
      </c>
      <c r="T346" s="1">
        <f t="shared" si="154"/>
        <v>0</v>
      </c>
      <c r="U346" s="1">
        <f t="shared" si="155"/>
        <v>0</v>
      </c>
      <c r="V346" s="1">
        <f t="shared" si="156"/>
        <v>0</v>
      </c>
      <c r="W346" s="1">
        <f t="shared" si="157"/>
        <v>0</v>
      </c>
      <c r="X346" s="1">
        <f t="shared" si="158"/>
        <v>0</v>
      </c>
      <c r="Y346" s="1">
        <f t="shared" si="159"/>
        <v>0</v>
      </c>
      <c r="Z346" s="1">
        <f t="shared" si="160"/>
        <v>0</v>
      </c>
      <c r="AA346" s="1">
        <f t="shared" si="161"/>
        <v>0</v>
      </c>
      <c r="AB346" s="1">
        <f t="shared" si="162"/>
        <v>0</v>
      </c>
      <c r="AD346" s="1">
        <f t="shared" si="163"/>
        <v>1</v>
      </c>
      <c r="AE346" s="1">
        <f t="shared" si="164"/>
        <v>0</v>
      </c>
      <c r="AF346" s="1">
        <f t="shared" si="149"/>
        <v>1</v>
      </c>
      <c r="AG346" s="1">
        <f t="shared" si="150"/>
        <v>0</v>
      </c>
      <c r="AH346" s="1">
        <f t="shared" si="151"/>
        <v>1</v>
      </c>
      <c r="AI346" s="1">
        <f t="shared" si="152"/>
        <v>0</v>
      </c>
    </row>
    <row r="347" spans="1:35" s="1" customFormat="1" ht="14.25" customHeight="1" x14ac:dyDescent="0.25">
      <c r="A347" s="31">
        <v>0</v>
      </c>
      <c r="B347" s="31">
        <v>2</v>
      </c>
      <c r="C347" s="31">
        <v>2</v>
      </c>
      <c r="D347" s="32" t="s">
        <v>1617</v>
      </c>
      <c r="E347" s="32" t="s">
        <v>1152</v>
      </c>
      <c r="F347" s="32" t="s">
        <v>1648</v>
      </c>
      <c r="G347" s="32" t="s">
        <v>179</v>
      </c>
      <c r="H347" s="32" t="s">
        <v>352</v>
      </c>
      <c r="I347" s="31" t="s">
        <v>1469</v>
      </c>
      <c r="J347" s="31">
        <v>10</v>
      </c>
      <c r="K347" s="33" t="s">
        <v>708</v>
      </c>
      <c r="L347" s="33">
        <v>15</v>
      </c>
      <c r="M347" s="34" t="s">
        <v>39</v>
      </c>
      <c r="N347" s="34" t="s">
        <v>1763</v>
      </c>
      <c r="O347" s="35">
        <v>1</v>
      </c>
      <c r="P347" s="35"/>
      <c r="Q347" s="32"/>
      <c r="S347" s="1">
        <f t="shared" si="153"/>
        <v>0</v>
      </c>
      <c r="T347" s="1">
        <f t="shared" si="154"/>
        <v>0</v>
      </c>
      <c r="U347" s="1">
        <f t="shared" si="155"/>
        <v>0</v>
      </c>
      <c r="V347" s="1">
        <f t="shared" si="156"/>
        <v>0</v>
      </c>
      <c r="W347" s="1">
        <f t="shared" si="157"/>
        <v>0</v>
      </c>
      <c r="X347" s="1">
        <f t="shared" si="158"/>
        <v>0</v>
      </c>
      <c r="Y347" s="1">
        <f t="shared" si="159"/>
        <v>0</v>
      </c>
      <c r="Z347" s="1">
        <f t="shared" si="160"/>
        <v>0</v>
      </c>
      <c r="AA347" s="1">
        <f t="shared" si="161"/>
        <v>0</v>
      </c>
      <c r="AB347" s="1">
        <f t="shared" si="162"/>
        <v>1</v>
      </c>
      <c r="AD347" s="1">
        <f t="shared" si="163"/>
        <v>0</v>
      </c>
      <c r="AE347" s="1">
        <f t="shared" si="164"/>
        <v>1</v>
      </c>
      <c r="AF347" s="1">
        <f t="shared" si="149"/>
        <v>0</v>
      </c>
      <c r="AG347" s="1">
        <f t="shared" si="150"/>
        <v>1</v>
      </c>
      <c r="AH347" s="1">
        <f t="shared" si="151"/>
        <v>0</v>
      </c>
      <c r="AI347" s="1">
        <f t="shared" si="152"/>
        <v>1</v>
      </c>
    </row>
    <row r="348" spans="1:35" s="1" customFormat="1" ht="14.25" customHeight="1" x14ac:dyDescent="0.25">
      <c r="A348" s="44">
        <v>0</v>
      </c>
      <c r="B348" s="44">
        <v>2</v>
      </c>
      <c r="C348" s="44">
        <v>2</v>
      </c>
      <c r="D348" s="45" t="s">
        <v>853</v>
      </c>
      <c r="E348" s="45" t="s">
        <v>540</v>
      </c>
      <c r="F348" s="45" t="s">
        <v>854</v>
      </c>
      <c r="G348" s="45" t="s">
        <v>312</v>
      </c>
      <c r="H348" s="45" t="s">
        <v>352</v>
      </c>
      <c r="I348" s="44" t="s">
        <v>855</v>
      </c>
      <c r="J348" s="44">
        <v>1</v>
      </c>
      <c r="K348" s="46" t="s">
        <v>708</v>
      </c>
      <c r="L348" s="46">
        <v>25</v>
      </c>
      <c r="M348" s="47" t="s">
        <v>39</v>
      </c>
      <c r="N348" s="47" t="s">
        <v>1709</v>
      </c>
      <c r="O348" s="48"/>
      <c r="P348" s="48"/>
      <c r="Q348" s="45"/>
      <c r="S348" s="1">
        <f t="shared" si="153"/>
        <v>1</v>
      </c>
      <c r="T348" s="1">
        <f t="shared" si="154"/>
        <v>0</v>
      </c>
      <c r="U348" s="1">
        <f t="shared" si="155"/>
        <v>0</v>
      </c>
      <c r="V348" s="1">
        <f t="shared" si="156"/>
        <v>0</v>
      </c>
      <c r="W348" s="1">
        <f t="shared" si="157"/>
        <v>0</v>
      </c>
      <c r="X348" s="1">
        <f t="shared" si="158"/>
        <v>0</v>
      </c>
      <c r="Y348" s="1">
        <f t="shared" si="159"/>
        <v>0</v>
      </c>
      <c r="Z348" s="1">
        <f t="shared" si="160"/>
        <v>0</v>
      </c>
      <c r="AA348" s="1">
        <f t="shared" si="161"/>
        <v>0</v>
      </c>
      <c r="AB348" s="1">
        <f t="shared" si="162"/>
        <v>0</v>
      </c>
      <c r="AD348" s="1">
        <f t="shared" si="163"/>
        <v>0</v>
      </c>
      <c r="AE348" s="1">
        <f t="shared" si="164"/>
        <v>0</v>
      </c>
      <c r="AF348" s="1">
        <f t="shared" si="149"/>
        <v>0</v>
      </c>
      <c r="AG348" s="1">
        <f t="shared" si="150"/>
        <v>0</v>
      </c>
      <c r="AH348" s="1">
        <f t="shared" si="151"/>
        <v>0</v>
      </c>
      <c r="AI348" s="1">
        <f t="shared" si="152"/>
        <v>1</v>
      </c>
    </row>
    <row r="349" spans="1:35" s="1" customFormat="1" ht="14.25" customHeight="1" x14ac:dyDescent="0.25">
      <c r="A349" s="31">
        <v>0</v>
      </c>
      <c r="B349" s="31">
        <v>2</v>
      </c>
      <c r="C349" s="31">
        <v>3</v>
      </c>
      <c r="D349" s="32" t="s">
        <v>564</v>
      </c>
      <c r="E349" s="32" t="s">
        <v>38</v>
      </c>
      <c r="F349" s="32" t="s">
        <v>236</v>
      </c>
      <c r="G349" s="32" t="s">
        <v>535</v>
      </c>
      <c r="H349" s="32" t="s">
        <v>352</v>
      </c>
      <c r="I349" s="31" t="s">
        <v>401</v>
      </c>
      <c r="J349" s="31">
        <v>1</v>
      </c>
      <c r="K349" s="33" t="s">
        <v>708</v>
      </c>
      <c r="L349" s="33" t="s">
        <v>720</v>
      </c>
      <c r="M349" s="34" t="s">
        <v>721</v>
      </c>
      <c r="N349" s="34" t="s">
        <v>1701</v>
      </c>
      <c r="O349" s="35">
        <v>1</v>
      </c>
      <c r="P349" s="35">
        <v>1</v>
      </c>
      <c r="Q349" s="32"/>
      <c r="S349" s="1">
        <f t="shared" si="153"/>
        <v>1</v>
      </c>
      <c r="T349" s="1">
        <f t="shared" si="154"/>
        <v>0</v>
      </c>
      <c r="U349" s="1">
        <f t="shared" si="155"/>
        <v>0</v>
      </c>
      <c r="V349" s="1">
        <f t="shared" si="156"/>
        <v>0</v>
      </c>
      <c r="W349" s="1">
        <f t="shared" si="157"/>
        <v>0</v>
      </c>
      <c r="X349" s="1">
        <f t="shared" si="158"/>
        <v>0</v>
      </c>
      <c r="Y349" s="1">
        <f t="shared" si="159"/>
        <v>0</v>
      </c>
      <c r="Z349" s="1">
        <f t="shared" si="160"/>
        <v>0</v>
      </c>
      <c r="AA349" s="1">
        <f t="shared" si="161"/>
        <v>0</v>
      </c>
      <c r="AB349" s="1">
        <f t="shared" si="162"/>
        <v>0</v>
      </c>
      <c r="AD349" s="1">
        <f t="shared" si="163"/>
        <v>1</v>
      </c>
      <c r="AE349" s="1">
        <f t="shared" si="164"/>
        <v>0</v>
      </c>
      <c r="AF349" s="1">
        <f t="shared" si="149"/>
        <v>1</v>
      </c>
      <c r="AG349" s="1">
        <f t="shared" si="150"/>
        <v>0</v>
      </c>
      <c r="AH349" s="1">
        <f t="shared" si="151"/>
        <v>1</v>
      </c>
      <c r="AI349" s="1">
        <f t="shared" si="152"/>
        <v>0</v>
      </c>
    </row>
    <row r="350" spans="1:35" s="1" customFormat="1" ht="14.25" customHeight="1" x14ac:dyDescent="0.25">
      <c r="A350" s="44">
        <v>0</v>
      </c>
      <c r="B350" s="44">
        <v>2</v>
      </c>
      <c r="C350" s="44">
        <v>3</v>
      </c>
      <c r="D350" s="45" t="s">
        <v>841</v>
      </c>
      <c r="E350" s="45" t="s">
        <v>34</v>
      </c>
      <c r="F350" s="45" t="s">
        <v>915</v>
      </c>
      <c r="G350" s="45" t="s">
        <v>634</v>
      </c>
      <c r="H350" s="45" t="s">
        <v>352</v>
      </c>
      <c r="I350" s="44" t="s">
        <v>842</v>
      </c>
      <c r="J350" s="44">
        <v>1</v>
      </c>
      <c r="K350" s="46" t="s">
        <v>941</v>
      </c>
      <c r="L350" s="46" t="s">
        <v>725</v>
      </c>
      <c r="M350" s="47" t="s">
        <v>719</v>
      </c>
      <c r="N350" s="47" t="s">
        <v>1709</v>
      </c>
      <c r="O350" s="48"/>
      <c r="P350" s="48"/>
      <c r="Q350" s="45"/>
      <c r="S350" s="1">
        <f t="shared" si="153"/>
        <v>1</v>
      </c>
      <c r="T350" s="1">
        <f t="shared" si="154"/>
        <v>0</v>
      </c>
      <c r="U350" s="1">
        <f t="shared" si="155"/>
        <v>0</v>
      </c>
      <c r="V350" s="1">
        <f t="shared" si="156"/>
        <v>0</v>
      </c>
      <c r="W350" s="1">
        <f t="shared" si="157"/>
        <v>0</v>
      </c>
      <c r="X350" s="1">
        <f t="shared" si="158"/>
        <v>0</v>
      </c>
      <c r="Y350" s="1">
        <f t="shared" si="159"/>
        <v>0</v>
      </c>
      <c r="Z350" s="1">
        <f t="shared" si="160"/>
        <v>0</v>
      </c>
      <c r="AA350" s="1">
        <f t="shared" si="161"/>
        <v>0</v>
      </c>
      <c r="AB350" s="1">
        <f t="shared" si="162"/>
        <v>0</v>
      </c>
      <c r="AD350" s="1">
        <f t="shared" si="163"/>
        <v>0</v>
      </c>
      <c r="AE350" s="1">
        <f t="shared" si="164"/>
        <v>0</v>
      </c>
      <c r="AF350" s="1">
        <f t="shared" si="149"/>
        <v>0</v>
      </c>
      <c r="AG350" s="1">
        <f t="shared" si="150"/>
        <v>0</v>
      </c>
      <c r="AH350" s="1">
        <f t="shared" si="151"/>
        <v>0</v>
      </c>
      <c r="AI350" s="1">
        <f t="shared" si="152"/>
        <v>1</v>
      </c>
    </row>
    <row r="351" spans="1:35" s="1" customFormat="1" ht="14.25" customHeight="1" x14ac:dyDescent="0.25">
      <c r="A351" s="44">
        <v>0</v>
      </c>
      <c r="B351" s="44">
        <v>2</v>
      </c>
      <c r="C351" s="44">
        <v>3</v>
      </c>
      <c r="D351" s="45" t="s">
        <v>784</v>
      </c>
      <c r="E351" s="45" t="s">
        <v>32</v>
      </c>
      <c r="F351" s="45" t="s">
        <v>785</v>
      </c>
      <c r="G351" s="45" t="s">
        <v>250</v>
      </c>
      <c r="H351" s="45" t="s">
        <v>352</v>
      </c>
      <c r="I351" s="44" t="s">
        <v>786</v>
      </c>
      <c r="J351" s="44">
        <v>99</v>
      </c>
      <c r="K351" s="46" t="s">
        <v>709</v>
      </c>
      <c r="L351" s="46" t="s">
        <v>718</v>
      </c>
      <c r="M351" s="47" t="s">
        <v>719</v>
      </c>
      <c r="N351" s="47" t="s">
        <v>1783</v>
      </c>
      <c r="O351" s="48"/>
      <c r="P351" s="48"/>
      <c r="Q351" s="45"/>
      <c r="S351" s="1">
        <f t="shared" si="153"/>
        <v>0</v>
      </c>
      <c r="T351" s="1">
        <f t="shared" si="154"/>
        <v>0</v>
      </c>
      <c r="U351" s="1">
        <f t="shared" si="155"/>
        <v>0</v>
      </c>
      <c r="V351" s="1">
        <f t="shared" si="156"/>
        <v>0</v>
      </c>
      <c r="W351" s="1">
        <f t="shared" si="157"/>
        <v>0</v>
      </c>
      <c r="X351" s="1">
        <f t="shared" si="158"/>
        <v>0</v>
      </c>
      <c r="Y351" s="1">
        <f t="shared" si="159"/>
        <v>0</v>
      </c>
      <c r="Z351" s="1">
        <f t="shared" si="160"/>
        <v>0</v>
      </c>
      <c r="AA351" s="1">
        <f t="shared" si="161"/>
        <v>0</v>
      </c>
      <c r="AB351" s="1">
        <f t="shared" si="162"/>
        <v>0</v>
      </c>
      <c r="AD351" s="1">
        <f t="shared" si="163"/>
        <v>0</v>
      </c>
      <c r="AE351" s="1">
        <f t="shared" si="164"/>
        <v>0</v>
      </c>
      <c r="AF351" s="1">
        <f t="shared" si="149"/>
        <v>0</v>
      </c>
      <c r="AG351" s="1">
        <f t="shared" si="150"/>
        <v>0</v>
      </c>
      <c r="AH351" s="1">
        <f t="shared" si="151"/>
        <v>0</v>
      </c>
      <c r="AI351" s="1">
        <f t="shared" si="152"/>
        <v>1</v>
      </c>
    </row>
    <row r="352" spans="1:35" s="1" customFormat="1" ht="14.25" customHeight="1" x14ac:dyDescent="0.25">
      <c r="A352" s="44">
        <v>0</v>
      </c>
      <c r="B352" s="44">
        <v>2</v>
      </c>
      <c r="C352" s="44">
        <v>3</v>
      </c>
      <c r="D352" s="45" t="s">
        <v>56</v>
      </c>
      <c r="E352" s="45" t="s">
        <v>160</v>
      </c>
      <c r="F352" s="45" t="s">
        <v>218</v>
      </c>
      <c r="G352" s="45" t="s">
        <v>195</v>
      </c>
      <c r="H352" s="45" t="s">
        <v>352</v>
      </c>
      <c r="I352" s="44" t="s">
        <v>547</v>
      </c>
      <c r="J352" s="44">
        <v>99</v>
      </c>
      <c r="K352" s="46" t="s">
        <v>709</v>
      </c>
      <c r="L352" s="46" t="s">
        <v>718</v>
      </c>
      <c r="M352" s="47" t="s">
        <v>719</v>
      </c>
      <c r="N352" s="47" t="s">
        <v>1776</v>
      </c>
      <c r="O352" s="48"/>
      <c r="P352" s="48"/>
      <c r="Q352" s="45"/>
      <c r="S352" s="1">
        <f t="shared" si="153"/>
        <v>0</v>
      </c>
      <c r="T352" s="1">
        <f t="shared" si="154"/>
        <v>0</v>
      </c>
      <c r="U352" s="1">
        <f t="shared" si="155"/>
        <v>0</v>
      </c>
      <c r="V352" s="1">
        <f t="shared" si="156"/>
        <v>0</v>
      </c>
      <c r="W352" s="1">
        <f t="shared" si="157"/>
        <v>0</v>
      </c>
      <c r="X352" s="1">
        <f t="shared" si="158"/>
        <v>0</v>
      </c>
      <c r="Y352" s="1">
        <f t="shared" si="159"/>
        <v>0</v>
      </c>
      <c r="Z352" s="1">
        <f t="shared" si="160"/>
        <v>0</v>
      </c>
      <c r="AA352" s="1">
        <f t="shared" si="161"/>
        <v>0</v>
      </c>
      <c r="AB352" s="1">
        <f t="shared" si="162"/>
        <v>0</v>
      </c>
      <c r="AD352" s="1">
        <f t="shared" si="163"/>
        <v>0</v>
      </c>
      <c r="AE352" s="1">
        <f t="shared" si="164"/>
        <v>0</v>
      </c>
      <c r="AF352" s="1">
        <f t="shared" si="149"/>
        <v>0</v>
      </c>
      <c r="AG352" s="1">
        <f t="shared" si="150"/>
        <v>0</v>
      </c>
      <c r="AH352" s="1">
        <f t="shared" si="151"/>
        <v>0</v>
      </c>
      <c r="AI352" s="1">
        <f t="shared" si="152"/>
        <v>1</v>
      </c>
    </row>
    <row r="353" spans="1:35" s="1" customFormat="1" ht="14.25" customHeight="1" x14ac:dyDescent="0.25">
      <c r="A353" s="31">
        <v>0</v>
      </c>
      <c r="B353" s="31">
        <v>2</v>
      </c>
      <c r="C353" s="31">
        <v>3</v>
      </c>
      <c r="D353" s="32" t="s">
        <v>1159</v>
      </c>
      <c r="E353" s="32" t="s">
        <v>1315</v>
      </c>
      <c r="F353" s="32" t="s">
        <v>1160</v>
      </c>
      <c r="G353" s="32" t="s">
        <v>300</v>
      </c>
      <c r="H353" s="32" t="s">
        <v>352</v>
      </c>
      <c r="I353" s="31" t="s">
        <v>1161</v>
      </c>
      <c r="J353" s="31">
        <v>1</v>
      </c>
      <c r="K353" s="33" t="s">
        <v>942</v>
      </c>
      <c r="L353" s="33" t="s">
        <v>689</v>
      </c>
      <c r="M353" s="34" t="s">
        <v>1391</v>
      </c>
      <c r="N353" s="34" t="s">
        <v>1717</v>
      </c>
      <c r="O353" s="35">
        <v>1</v>
      </c>
      <c r="P353" s="35"/>
      <c r="Q353" s="32"/>
      <c r="S353" s="1">
        <f t="shared" si="153"/>
        <v>1</v>
      </c>
      <c r="T353" s="1">
        <f t="shared" si="154"/>
        <v>0</v>
      </c>
      <c r="U353" s="1">
        <f t="shared" si="155"/>
        <v>0</v>
      </c>
      <c r="V353" s="1">
        <f t="shared" si="156"/>
        <v>0</v>
      </c>
      <c r="W353" s="1">
        <f t="shared" si="157"/>
        <v>0</v>
      </c>
      <c r="X353" s="1">
        <f t="shared" si="158"/>
        <v>0</v>
      </c>
      <c r="Y353" s="1">
        <f t="shared" si="159"/>
        <v>0</v>
      </c>
      <c r="Z353" s="1">
        <f t="shared" si="160"/>
        <v>0</v>
      </c>
      <c r="AA353" s="1">
        <f t="shared" si="161"/>
        <v>0</v>
      </c>
      <c r="AB353" s="1">
        <f t="shared" si="162"/>
        <v>0</v>
      </c>
      <c r="AD353" s="1">
        <f t="shared" si="163"/>
        <v>0</v>
      </c>
      <c r="AE353" s="1">
        <f t="shared" si="164"/>
        <v>1</v>
      </c>
      <c r="AF353" s="1">
        <f t="shared" si="149"/>
        <v>0</v>
      </c>
      <c r="AG353" s="1">
        <f t="shared" si="150"/>
        <v>1</v>
      </c>
      <c r="AH353" s="1">
        <f t="shared" si="151"/>
        <v>0</v>
      </c>
      <c r="AI353" s="1">
        <f t="shared" si="152"/>
        <v>1</v>
      </c>
    </row>
    <row r="354" spans="1:35" s="1" customFormat="1" ht="14.25" customHeight="1" x14ac:dyDescent="0.25">
      <c r="A354" s="31">
        <v>0</v>
      </c>
      <c r="B354" s="31">
        <v>2</v>
      </c>
      <c r="C354" s="31">
        <v>3</v>
      </c>
      <c r="D354" s="32" t="s">
        <v>1156</v>
      </c>
      <c r="E354" s="32" t="s">
        <v>1315</v>
      </c>
      <c r="F354" s="32" t="s">
        <v>1157</v>
      </c>
      <c r="G354" s="32" t="s">
        <v>1043</v>
      </c>
      <c r="H354" s="32" t="s">
        <v>352</v>
      </c>
      <c r="I354" s="31" t="s">
        <v>1158</v>
      </c>
      <c r="J354" s="31">
        <v>1</v>
      </c>
      <c r="K354" s="33" t="s">
        <v>709</v>
      </c>
      <c r="L354" s="33" t="s">
        <v>689</v>
      </c>
      <c r="M354" s="34" t="s">
        <v>1391</v>
      </c>
      <c r="N354" s="34" t="s">
        <v>1717</v>
      </c>
      <c r="O354" s="35">
        <v>1</v>
      </c>
      <c r="P354" s="35"/>
      <c r="Q354" s="32"/>
      <c r="S354" s="1">
        <f t="shared" si="153"/>
        <v>1</v>
      </c>
      <c r="T354" s="1">
        <f t="shared" si="154"/>
        <v>0</v>
      </c>
      <c r="U354" s="1">
        <f t="shared" si="155"/>
        <v>0</v>
      </c>
      <c r="V354" s="1">
        <f t="shared" si="156"/>
        <v>0</v>
      </c>
      <c r="W354" s="1">
        <f t="shared" si="157"/>
        <v>0</v>
      </c>
      <c r="X354" s="1">
        <f t="shared" si="158"/>
        <v>0</v>
      </c>
      <c r="Y354" s="1">
        <f t="shared" si="159"/>
        <v>0</v>
      </c>
      <c r="Z354" s="1">
        <f t="shared" si="160"/>
        <v>0</v>
      </c>
      <c r="AA354" s="1">
        <f t="shared" si="161"/>
        <v>0</v>
      </c>
      <c r="AB354" s="1">
        <f t="shared" si="162"/>
        <v>0</v>
      </c>
      <c r="AD354" s="1">
        <f t="shared" si="163"/>
        <v>0</v>
      </c>
      <c r="AE354" s="1">
        <f t="shared" si="164"/>
        <v>1</v>
      </c>
      <c r="AF354" s="1">
        <f t="shared" si="149"/>
        <v>0</v>
      </c>
      <c r="AG354" s="1">
        <f t="shared" si="150"/>
        <v>1</v>
      </c>
      <c r="AH354" s="1">
        <f t="shared" si="151"/>
        <v>0</v>
      </c>
      <c r="AI354" s="1">
        <f t="shared" si="152"/>
        <v>1</v>
      </c>
    </row>
    <row r="355" spans="1:35" s="1" customFormat="1" ht="14.25" customHeight="1" x14ac:dyDescent="0.25">
      <c r="A355" s="31">
        <v>0</v>
      </c>
      <c r="B355" s="31">
        <v>2</v>
      </c>
      <c r="C355" s="31">
        <v>3</v>
      </c>
      <c r="D355" s="32" t="s">
        <v>1274</v>
      </c>
      <c r="E355" s="32" t="s">
        <v>32</v>
      </c>
      <c r="F355" s="32" t="s">
        <v>1275</v>
      </c>
      <c r="G355" s="32" t="s">
        <v>221</v>
      </c>
      <c r="H355" s="32" t="s">
        <v>352</v>
      </c>
      <c r="I355" s="31" t="s">
        <v>1663</v>
      </c>
      <c r="J355" s="31">
        <v>99</v>
      </c>
      <c r="K355" s="33" t="s">
        <v>709</v>
      </c>
      <c r="L355" s="33" t="s">
        <v>712</v>
      </c>
      <c r="M355" s="34" t="s">
        <v>1276</v>
      </c>
      <c r="N355" s="34" t="s">
        <v>1701</v>
      </c>
      <c r="O355" s="35">
        <v>1</v>
      </c>
      <c r="P355" s="35">
        <v>1</v>
      </c>
      <c r="Q355" s="32"/>
      <c r="S355" s="1">
        <f t="shared" si="153"/>
        <v>0</v>
      </c>
      <c r="T355" s="1">
        <f t="shared" si="154"/>
        <v>0</v>
      </c>
      <c r="U355" s="1">
        <f t="shared" si="155"/>
        <v>0</v>
      </c>
      <c r="V355" s="1">
        <f t="shared" si="156"/>
        <v>0</v>
      </c>
      <c r="W355" s="1">
        <f t="shared" si="157"/>
        <v>0</v>
      </c>
      <c r="X355" s="1">
        <f t="shared" si="158"/>
        <v>0</v>
      </c>
      <c r="Y355" s="1">
        <f t="shared" si="159"/>
        <v>0</v>
      </c>
      <c r="Z355" s="1">
        <f t="shared" si="160"/>
        <v>0</v>
      </c>
      <c r="AA355" s="1">
        <f t="shared" si="161"/>
        <v>0</v>
      </c>
      <c r="AB355" s="1">
        <f t="shared" si="162"/>
        <v>0</v>
      </c>
      <c r="AD355" s="1">
        <f t="shared" si="163"/>
        <v>1</v>
      </c>
      <c r="AE355" s="1">
        <f t="shared" si="164"/>
        <v>0</v>
      </c>
      <c r="AF355" s="1">
        <f t="shared" si="149"/>
        <v>1</v>
      </c>
      <c r="AG355" s="1">
        <f t="shared" si="150"/>
        <v>0</v>
      </c>
      <c r="AH355" s="1">
        <f t="shared" si="151"/>
        <v>1</v>
      </c>
      <c r="AI355" s="1">
        <f t="shared" si="152"/>
        <v>0</v>
      </c>
    </row>
    <row r="356" spans="1:35" s="1" customFormat="1" ht="14.25" customHeight="1" x14ac:dyDescent="0.25">
      <c r="A356" s="31">
        <v>0</v>
      </c>
      <c r="B356" s="31">
        <v>2</v>
      </c>
      <c r="C356" s="31">
        <v>3</v>
      </c>
      <c r="D356" s="32" t="s">
        <v>752</v>
      </c>
      <c r="E356" s="32" t="s">
        <v>902</v>
      </c>
      <c r="F356" s="32" t="s">
        <v>753</v>
      </c>
      <c r="G356" s="32" t="s">
        <v>219</v>
      </c>
      <c r="H356" s="32" t="s">
        <v>352</v>
      </c>
      <c r="I356" s="31" t="s">
        <v>754</v>
      </c>
      <c r="J356" s="31">
        <v>8</v>
      </c>
      <c r="K356" s="33" t="s">
        <v>942</v>
      </c>
      <c r="L356" s="33" t="s">
        <v>725</v>
      </c>
      <c r="M356" s="34" t="s">
        <v>719</v>
      </c>
      <c r="N356" s="34" t="s">
        <v>1722</v>
      </c>
      <c r="O356" s="35">
        <v>1</v>
      </c>
      <c r="P356" s="35"/>
      <c r="Q356" s="32"/>
      <c r="S356" s="1">
        <f t="shared" si="153"/>
        <v>0</v>
      </c>
      <c r="T356" s="1">
        <f t="shared" si="154"/>
        <v>0</v>
      </c>
      <c r="U356" s="1">
        <f t="shared" si="155"/>
        <v>0</v>
      </c>
      <c r="V356" s="1">
        <f t="shared" si="156"/>
        <v>0</v>
      </c>
      <c r="W356" s="1">
        <f t="shared" si="157"/>
        <v>0</v>
      </c>
      <c r="X356" s="1">
        <f t="shared" si="158"/>
        <v>0</v>
      </c>
      <c r="Y356" s="1">
        <f t="shared" si="159"/>
        <v>0</v>
      </c>
      <c r="Z356" s="1">
        <f t="shared" si="160"/>
        <v>1</v>
      </c>
      <c r="AA356" s="1">
        <f t="shared" si="161"/>
        <v>0</v>
      </c>
      <c r="AB356" s="1">
        <f t="shared" si="162"/>
        <v>0</v>
      </c>
      <c r="AD356" s="1">
        <f t="shared" si="163"/>
        <v>0</v>
      </c>
      <c r="AE356" s="1">
        <f t="shared" si="164"/>
        <v>1</v>
      </c>
      <c r="AF356" s="1">
        <f t="shared" si="149"/>
        <v>0</v>
      </c>
      <c r="AG356" s="1">
        <f t="shared" si="150"/>
        <v>1</v>
      </c>
      <c r="AH356" s="1">
        <f t="shared" si="151"/>
        <v>0</v>
      </c>
      <c r="AI356" s="1">
        <f t="shared" si="152"/>
        <v>1</v>
      </c>
    </row>
    <row r="357" spans="1:35" s="1" customFormat="1" ht="14.25" customHeight="1" x14ac:dyDescent="0.25">
      <c r="A357" s="44">
        <v>0</v>
      </c>
      <c r="B357" s="44">
        <v>2</v>
      </c>
      <c r="C357" s="44">
        <v>3</v>
      </c>
      <c r="D357" s="45" t="s">
        <v>1470</v>
      </c>
      <c r="E357" s="45" t="s">
        <v>1471</v>
      </c>
      <c r="F357" s="45" t="s">
        <v>1472</v>
      </c>
      <c r="G357" s="45" t="s">
        <v>237</v>
      </c>
      <c r="H357" s="45" t="s">
        <v>352</v>
      </c>
      <c r="I357" s="44" t="s">
        <v>1473</v>
      </c>
      <c r="J357" s="44">
        <v>4</v>
      </c>
      <c r="K357" s="46" t="s">
        <v>708</v>
      </c>
      <c r="L357" s="46">
        <v>15</v>
      </c>
      <c r="M357" s="47" t="s">
        <v>39</v>
      </c>
      <c r="N357" s="47" t="s">
        <v>1776</v>
      </c>
      <c r="O357" s="48"/>
      <c r="P357" s="48"/>
      <c r="Q357" s="45"/>
      <c r="S357" s="1">
        <f t="shared" si="153"/>
        <v>0</v>
      </c>
      <c r="T357" s="1">
        <f t="shared" si="154"/>
        <v>0</v>
      </c>
      <c r="U357" s="1">
        <f t="shared" si="155"/>
        <v>0</v>
      </c>
      <c r="V357" s="1">
        <f t="shared" si="156"/>
        <v>1</v>
      </c>
      <c r="W357" s="1">
        <f t="shared" si="157"/>
        <v>0</v>
      </c>
      <c r="X357" s="1">
        <f t="shared" si="158"/>
        <v>0</v>
      </c>
      <c r="Y357" s="1">
        <f t="shared" si="159"/>
        <v>0</v>
      </c>
      <c r="Z357" s="1">
        <f t="shared" si="160"/>
        <v>0</v>
      </c>
      <c r="AA357" s="1">
        <f t="shared" si="161"/>
        <v>0</v>
      </c>
      <c r="AB357" s="1">
        <f t="shared" si="162"/>
        <v>0</v>
      </c>
      <c r="AD357" s="1">
        <f t="shared" si="163"/>
        <v>0</v>
      </c>
      <c r="AE357" s="1">
        <f t="shared" si="164"/>
        <v>0</v>
      </c>
      <c r="AF357" s="1">
        <f t="shared" si="149"/>
        <v>0</v>
      </c>
      <c r="AG357" s="1">
        <f t="shared" si="150"/>
        <v>0</v>
      </c>
      <c r="AH357" s="1">
        <f t="shared" si="151"/>
        <v>0</v>
      </c>
      <c r="AI357" s="1">
        <f t="shared" si="152"/>
        <v>1</v>
      </c>
    </row>
    <row r="358" spans="1:35" s="1" customFormat="1" ht="14.25" customHeight="1" x14ac:dyDescent="0.25">
      <c r="A358" s="31">
        <v>0</v>
      </c>
      <c r="B358" s="31">
        <v>2</v>
      </c>
      <c r="C358" s="31">
        <v>3</v>
      </c>
      <c r="D358" s="32" t="s">
        <v>1527</v>
      </c>
      <c r="E358" s="32" t="s">
        <v>1528</v>
      </c>
      <c r="F358" s="32" t="s">
        <v>1529</v>
      </c>
      <c r="G358" s="32" t="s">
        <v>1530</v>
      </c>
      <c r="H358" s="32" t="s">
        <v>352</v>
      </c>
      <c r="I358" s="31" t="s">
        <v>1531</v>
      </c>
      <c r="J358" s="31">
        <v>7</v>
      </c>
      <c r="K358" s="33" t="s">
        <v>942</v>
      </c>
      <c r="L358" s="33">
        <v>10</v>
      </c>
      <c r="M358" s="34" t="s">
        <v>39</v>
      </c>
      <c r="N358" s="34" t="s">
        <v>1717</v>
      </c>
      <c r="O358" s="35">
        <v>1</v>
      </c>
      <c r="P358" s="35"/>
      <c r="Q358" s="32"/>
      <c r="S358" s="1">
        <f t="shared" si="153"/>
        <v>0</v>
      </c>
      <c r="T358" s="1">
        <f t="shared" si="154"/>
        <v>0</v>
      </c>
      <c r="U358" s="1">
        <f t="shared" si="155"/>
        <v>0</v>
      </c>
      <c r="V358" s="1">
        <f t="shared" si="156"/>
        <v>0</v>
      </c>
      <c r="W358" s="1">
        <f t="shared" si="157"/>
        <v>0</v>
      </c>
      <c r="X358" s="1">
        <f t="shared" si="158"/>
        <v>0</v>
      </c>
      <c r="Y358" s="1">
        <f t="shared" si="159"/>
        <v>1</v>
      </c>
      <c r="Z358" s="1">
        <f t="shared" si="160"/>
        <v>0</v>
      </c>
      <c r="AA358" s="1">
        <f t="shared" si="161"/>
        <v>0</v>
      </c>
      <c r="AB358" s="1">
        <f t="shared" si="162"/>
        <v>0</v>
      </c>
      <c r="AD358" s="1">
        <f t="shared" si="163"/>
        <v>0</v>
      </c>
      <c r="AE358" s="1">
        <f t="shared" si="164"/>
        <v>1</v>
      </c>
      <c r="AF358" s="1">
        <f t="shared" si="149"/>
        <v>0</v>
      </c>
      <c r="AG358" s="1">
        <f t="shared" si="150"/>
        <v>1</v>
      </c>
      <c r="AH358" s="1">
        <f t="shared" si="151"/>
        <v>0</v>
      </c>
      <c r="AI358" s="1">
        <f t="shared" si="152"/>
        <v>1</v>
      </c>
    </row>
    <row r="359" spans="1:35" s="1" customFormat="1" ht="14.25" customHeight="1" x14ac:dyDescent="0.25">
      <c r="A359" s="31">
        <v>0</v>
      </c>
      <c r="B359" s="31">
        <v>2</v>
      </c>
      <c r="C359" s="31">
        <v>3</v>
      </c>
      <c r="D359" s="32" t="s">
        <v>832</v>
      </c>
      <c r="E359" s="32" t="s">
        <v>32</v>
      </c>
      <c r="F359" s="32" t="s">
        <v>834</v>
      </c>
      <c r="G359" s="32" t="s">
        <v>39</v>
      </c>
      <c r="H359" s="32" t="s">
        <v>352</v>
      </c>
      <c r="I359" s="31" t="s">
        <v>833</v>
      </c>
      <c r="J359" s="31">
        <v>1</v>
      </c>
      <c r="K359" s="33" t="s">
        <v>709</v>
      </c>
      <c r="L359" s="33" t="s">
        <v>690</v>
      </c>
      <c r="M359" s="34" t="s">
        <v>1391</v>
      </c>
      <c r="N359" s="34" t="s">
        <v>1717</v>
      </c>
      <c r="O359" s="35">
        <v>1</v>
      </c>
      <c r="P359" s="35"/>
      <c r="Q359" s="32"/>
      <c r="S359" s="1">
        <f t="shared" si="153"/>
        <v>1</v>
      </c>
      <c r="T359" s="1">
        <f t="shared" si="154"/>
        <v>0</v>
      </c>
      <c r="U359" s="1">
        <f t="shared" si="155"/>
        <v>0</v>
      </c>
      <c r="V359" s="1">
        <f t="shared" si="156"/>
        <v>0</v>
      </c>
      <c r="W359" s="1">
        <f t="shared" si="157"/>
        <v>0</v>
      </c>
      <c r="X359" s="1">
        <f t="shared" si="158"/>
        <v>0</v>
      </c>
      <c r="Y359" s="1">
        <f t="shared" si="159"/>
        <v>0</v>
      </c>
      <c r="Z359" s="1">
        <f t="shared" si="160"/>
        <v>0</v>
      </c>
      <c r="AA359" s="1">
        <f t="shared" si="161"/>
        <v>0</v>
      </c>
      <c r="AB359" s="1">
        <f t="shared" si="162"/>
        <v>0</v>
      </c>
      <c r="AD359" s="1">
        <f t="shared" si="163"/>
        <v>0</v>
      </c>
      <c r="AE359" s="1">
        <f t="shared" si="164"/>
        <v>1</v>
      </c>
      <c r="AF359" s="1">
        <f t="shared" si="149"/>
        <v>0</v>
      </c>
      <c r="AG359" s="1">
        <f t="shared" si="150"/>
        <v>1</v>
      </c>
      <c r="AH359" s="1">
        <f t="shared" si="151"/>
        <v>0</v>
      </c>
      <c r="AI359" s="1">
        <f t="shared" si="152"/>
        <v>1</v>
      </c>
    </row>
    <row r="360" spans="1:35" s="1" customFormat="1" ht="14.25" customHeight="1" x14ac:dyDescent="0.25">
      <c r="A360" s="15">
        <v>0</v>
      </c>
      <c r="B360" s="15">
        <v>2</v>
      </c>
      <c r="C360" s="15">
        <v>4</v>
      </c>
      <c r="D360" s="16" t="s">
        <v>755</v>
      </c>
      <c r="E360" s="16" t="s">
        <v>756</v>
      </c>
      <c r="F360" s="16" t="s">
        <v>757</v>
      </c>
      <c r="G360" s="16" t="s">
        <v>758</v>
      </c>
      <c r="H360" s="16" t="s">
        <v>352</v>
      </c>
      <c r="I360" s="15" t="s">
        <v>759</v>
      </c>
      <c r="J360" s="15">
        <v>99</v>
      </c>
      <c r="K360" s="10" t="s">
        <v>699</v>
      </c>
      <c r="L360" s="10">
        <v>15</v>
      </c>
      <c r="M360" s="19" t="s">
        <v>760</v>
      </c>
      <c r="N360" s="19"/>
      <c r="Q360" s="16"/>
      <c r="S360" s="1">
        <f t="shared" si="153"/>
        <v>0</v>
      </c>
      <c r="T360" s="1">
        <f t="shared" si="154"/>
        <v>0</v>
      </c>
      <c r="U360" s="1">
        <f t="shared" si="155"/>
        <v>0</v>
      </c>
      <c r="V360" s="1">
        <f t="shared" si="156"/>
        <v>0</v>
      </c>
      <c r="W360" s="1">
        <f t="shared" si="157"/>
        <v>0</v>
      </c>
      <c r="X360" s="1">
        <f t="shared" si="158"/>
        <v>0</v>
      </c>
      <c r="Y360" s="1">
        <f t="shared" si="159"/>
        <v>0</v>
      </c>
      <c r="Z360" s="1">
        <f t="shared" si="160"/>
        <v>0</v>
      </c>
      <c r="AA360" s="1">
        <f t="shared" si="161"/>
        <v>0</v>
      </c>
      <c r="AB360" s="1">
        <f t="shared" si="162"/>
        <v>0</v>
      </c>
      <c r="AD360" s="1">
        <f t="shared" si="163"/>
        <v>0</v>
      </c>
      <c r="AE360" s="1">
        <f t="shared" si="164"/>
        <v>0</v>
      </c>
      <c r="AF360" s="1">
        <f t="shared" si="149"/>
        <v>0</v>
      </c>
      <c r="AG360" s="1">
        <f t="shared" si="150"/>
        <v>0</v>
      </c>
      <c r="AH360" s="1">
        <f t="shared" si="151"/>
        <v>0</v>
      </c>
      <c r="AI360" s="1">
        <f t="shared" si="152"/>
        <v>1</v>
      </c>
    </row>
    <row r="361" spans="1:35" s="1" customFormat="1" ht="14.25" customHeight="1" x14ac:dyDescent="0.25">
      <c r="A361" s="31">
        <v>0</v>
      </c>
      <c r="B361" s="31">
        <v>2</v>
      </c>
      <c r="C361" s="31">
        <v>4</v>
      </c>
      <c r="D361" s="32" t="s">
        <v>789</v>
      </c>
      <c r="E361" s="32" t="s">
        <v>897</v>
      </c>
      <c r="F361" s="32" t="s">
        <v>914</v>
      </c>
      <c r="G361" s="32" t="s">
        <v>207</v>
      </c>
      <c r="H361" s="32" t="s">
        <v>352</v>
      </c>
      <c r="I361" s="31" t="s">
        <v>1341</v>
      </c>
      <c r="J361" s="31">
        <v>3</v>
      </c>
      <c r="K361" s="33" t="s">
        <v>699</v>
      </c>
      <c r="L361" s="33">
        <v>20</v>
      </c>
      <c r="M361" s="34" t="s">
        <v>1393</v>
      </c>
      <c r="N361" s="34" t="s">
        <v>1799</v>
      </c>
      <c r="O361" s="35">
        <v>1</v>
      </c>
      <c r="P361" s="35"/>
      <c r="Q361" s="32"/>
      <c r="S361" s="1">
        <f t="shared" si="153"/>
        <v>0</v>
      </c>
      <c r="T361" s="1">
        <f t="shared" si="154"/>
        <v>0</v>
      </c>
      <c r="U361" s="1">
        <f t="shared" si="155"/>
        <v>1</v>
      </c>
      <c r="V361" s="1">
        <f t="shared" si="156"/>
        <v>0</v>
      </c>
      <c r="W361" s="1">
        <f t="shared" si="157"/>
        <v>0</v>
      </c>
      <c r="X361" s="1">
        <f t="shared" si="158"/>
        <v>0</v>
      </c>
      <c r="Y361" s="1">
        <f t="shared" si="159"/>
        <v>0</v>
      </c>
      <c r="Z361" s="1">
        <f t="shared" si="160"/>
        <v>0</v>
      </c>
      <c r="AA361" s="1">
        <f t="shared" si="161"/>
        <v>0</v>
      </c>
      <c r="AB361" s="1">
        <f t="shared" si="162"/>
        <v>0</v>
      </c>
      <c r="AD361" s="1">
        <f t="shared" si="163"/>
        <v>0</v>
      </c>
      <c r="AE361" s="1">
        <f t="shared" si="164"/>
        <v>1</v>
      </c>
      <c r="AF361" s="1">
        <f t="shared" si="149"/>
        <v>0</v>
      </c>
      <c r="AG361" s="1">
        <f t="shared" si="150"/>
        <v>1</v>
      </c>
      <c r="AH361" s="1">
        <f t="shared" si="151"/>
        <v>0</v>
      </c>
      <c r="AI361" s="1">
        <f t="shared" si="152"/>
        <v>1</v>
      </c>
    </row>
    <row r="362" spans="1:35" s="1" customFormat="1" ht="14.25" customHeight="1" x14ac:dyDescent="0.25">
      <c r="A362" s="57">
        <v>0</v>
      </c>
      <c r="B362" s="57">
        <v>2</v>
      </c>
      <c r="C362" s="57">
        <v>4</v>
      </c>
      <c r="D362" s="58" t="s">
        <v>563</v>
      </c>
      <c r="E362" s="58" t="s">
        <v>37</v>
      </c>
      <c r="F362" s="58" t="s">
        <v>204</v>
      </c>
      <c r="G362" s="58" t="s">
        <v>39</v>
      </c>
      <c r="H362" s="58" t="s">
        <v>352</v>
      </c>
      <c r="I362" s="57" t="s">
        <v>387</v>
      </c>
      <c r="J362" s="57">
        <v>6</v>
      </c>
      <c r="K362" s="59" t="s">
        <v>699</v>
      </c>
      <c r="L362" s="59" t="s">
        <v>39</v>
      </c>
      <c r="M362" s="60" t="s">
        <v>39</v>
      </c>
      <c r="N362" s="61"/>
      <c r="O362" s="62"/>
      <c r="P362" s="62"/>
      <c r="Q362" s="58"/>
      <c r="S362" s="1">
        <f t="shared" si="153"/>
        <v>0</v>
      </c>
      <c r="T362" s="1">
        <f t="shared" si="154"/>
        <v>0</v>
      </c>
      <c r="U362" s="1">
        <f t="shared" si="155"/>
        <v>0</v>
      </c>
      <c r="V362" s="1">
        <f t="shared" si="156"/>
        <v>0</v>
      </c>
      <c r="W362" s="1">
        <f t="shared" si="157"/>
        <v>0</v>
      </c>
      <c r="X362" s="1">
        <f t="shared" si="158"/>
        <v>1</v>
      </c>
      <c r="Y362" s="1">
        <f t="shared" si="159"/>
        <v>0</v>
      </c>
      <c r="Z362" s="1">
        <f t="shared" si="160"/>
        <v>0</v>
      </c>
      <c r="AA362" s="1">
        <f t="shared" si="161"/>
        <v>0</v>
      </c>
      <c r="AB362" s="1">
        <f t="shared" si="162"/>
        <v>0</v>
      </c>
      <c r="AD362" s="1">
        <f t="shared" si="163"/>
        <v>0</v>
      </c>
      <c r="AE362" s="1">
        <f t="shared" si="164"/>
        <v>0</v>
      </c>
      <c r="AF362" s="1">
        <f t="shared" si="149"/>
        <v>0</v>
      </c>
      <c r="AG362" s="1">
        <f t="shared" si="150"/>
        <v>0</v>
      </c>
      <c r="AH362" s="1">
        <f t="shared" si="151"/>
        <v>0</v>
      </c>
      <c r="AI362" s="1">
        <f t="shared" si="152"/>
        <v>1</v>
      </c>
    </row>
    <row r="363" spans="1:35" s="1" customFormat="1" ht="14.25" customHeight="1" x14ac:dyDescent="0.25">
      <c r="A363" s="44">
        <v>0</v>
      </c>
      <c r="B363" s="44">
        <v>2</v>
      </c>
      <c r="C363" s="44">
        <v>4</v>
      </c>
      <c r="D363" s="45" t="s">
        <v>649</v>
      </c>
      <c r="E363" s="45" t="s">
        <v>899</v>
      </c>
      <c r="F363" s="45" t="s">
        <v>620</v>
      </c>
      <c r="G363" s="45" t="s">
        <v>339</v>
      </c>
      <c r="H363" s="45" t="s">
        <v>352</v>
      </c>
      <c r="I363" s="44" t="s">
        <v>621</v>
      </c>
      <c r="J363" s="44">
        <v>10</v>
      </c>
      <c r="K363" s="46" t="s">
        <v>941</v>
      </c>
      <c r="L363" s="46" t="s">
        <v>700</v>
      </c>
      <c r="M363" s="47" t="s">
        <v>1394</v>
      </c>
      <c r="N363" s="47" t="s">
        <v>1708</v>
      </c>
      <c r="O363" s="48"/>
      <c r="P363" s="48"/>
      <c r="Q363" s="45"/>
      <c r="S363" s="1">
        <f t="shared" si="153"/>
        <v>0</v>
      </c>
      <c r="T363" s="1">
        <f t="shared" si="154"/>
        <v>0</v>
      </c>
      <c r="U363" s="1">
        <f t="shared" si="155"/>
        <v>0</v>
      </c>
      <c r="V363" s="1">
        <f t="shared" si="156"/>
        <v>0</v>
      </c>
      <c r="W363" s="1">
        <f t="shared" si="157"/>
        <v>0</v>
      </c>
      <c r="X363" s="1">
        <f t="shared" si="158"/>
        <v>0</v>
      </c>
      <c r="Y363" s="1">
        <f t="shared" si="159"/>
        <v>0</v>
      </c>
      <c r="Z363" s="1">
        <f t="shared" si="160"/>
        <v>0</v>
      </c>
      <c r="AA363" s="1">
        <f t="shared" si="161"/>
        <v>0</v>
      </c>
      <c r="AB363" s="1">
        <f t="shared" si="162"/>
        <v>1</v>
      </c>
      <c r="AD363" s="1">
        <f t="shared" si="163"/>
        <v>0</v>
      </c>
      <c r="AE363" s="1">
        <f t="shared" si="164"/>
        <v>0</v>
      </c>
      <c r="AF363" s="1">
        <f t="shared" si="149"/>
        <v>0</v>
      </c>
      <c r="AG363" s="1">
        <f t="shared" si="150"/>
        <v>0</v>
      </c>
      <c r="AH363" s="1">
        <f t="shared" si="151"/>
        <v>0</v>
      </c>
      <c r="AI363" s="1">
        <f t="shared" si="152"/>
        <v>1</v>
      </c>
    </row>
    <row r="364" spans="1:35" s="1" customFormat="1" ht="14.25" customHeight="1" x14ac:dyDescent="0.25">
      <c r="A364" s="31">
        <v>0</v>
      </c>
      <c r="B364" s="31">
        <v>2</v>
      </c>
      <c r="C364" s="31">
        <v>4</v>
      </c>
      <c r="D364" s="32" t="s">
        <v>75</v>
      </c>
      <c r="E364" s="32" t="s">
        <v>35</v>
      </c>
      <c r="F364" s="32" t="s">
        <v>265</v>
      </c>
      <c r="G364" s="32" t="s">
        <v>212</v>
      </c>
      <c r="H364" s="32" t="s">
        <v>352</v>
      </c>
      <c r="I364" s="31" t="s">
        <v>933</v>
      </c>
      <c r="J364" s="31">
        <v>1</v>
      </c>
      <c r="K364" s="33" t="s">
        <v>709</v>
      </c>
      <c r="L364" s="33" t="s">
        <v>700</v>
      </c>
      <c r="M364" s="34" t="s">
        <v>1395</v>
      </c>
      <c r="N364" s="34" t="s">
        <v>1717</v>
      </c>
      <c r="O364" s="35">
        <v>1</v>
      </c>
      <c r="P364" s="35"/>
      <c r="Q364" s="32"/>
      <c r="S364" s="1">
        <f t="shared" si="153"/>
        <v>1</v>
      </c>
      <c r="T364" s="1">
        <f t="shared" si="154"/>
        <v>0</v>
      </c>
      <c r="U364" s="1">
        <f t="shared" si="155"/>
        <v>0</v>
      </c>
      <c r="V364" s="1">
        <f t="shared" si="156"/>
        <v>0</v>
      </c>
      <c r="W364" s="1">
        <f t="shared" si="157"/>
        <v>0</v>
      </c>
      <c r="X364" s="1">
        <f t="shared" si="158"/>
        <v>0</v>
      </c>
      <c r="Y364" s="1">
        <f t="shared" si="159"/>
        <v>0</v>
      </c>
      <c r="Z364" s="1">
        <f t="shared" si="160"/>
        <v>0</v>
      </c>
      <c r="AA364" s="1">
        <f t="shared" si="161"/>
        <v>0</v>
      </c>
      <c r="AB364" s="1">
        <f t="shared" si="162"/>
        <v>0</v>
      </c>
      <c r="AD364" s="1">
        <f t="shared" si="163"/>
        <v>0</v>
      </c>
      <c r="AE364" s="1">
        <f t="shared" si="164"/>
        <v>1</v>
      </c>
      <c r="AF364" s="1">
        <f t="shared" si="149"/>
        <v>0</v>
      </c>
      <c r="AG364" s="1">
        <f t="shared" si="150"/>
        <v>1</v>
      </c>
      <c r="AH364" s="1">
        <f t="shared" si="151"/>
        <v>0</v>
      </c>
      <c r="AI364" s="1">
        <f t="shared" si="152"/>
        <v>1</v>
      </c>
    </row>
    <row r="365" spans="1:35" s="1" customFormat="1" ht="14.25" customHeight="1" x14ac:dyDescent="0.25">
      <c r="A365" s="31">
        <v>0</v>
      </c>
      <c r="B365" s="31">
        <v>2</v>
      </c>
      <c r="C365" s="31">
        <v>4</v>
      </c>
      <c r="D365" s="32" t="s">
        <v>908</v>
      </c>
      <c r="E365" s="32" t="s">
        <v>901</v>
      </c>
      <c r="F365" s="32" t="s">
        <v>773</v>
      </c>
      <c r="G365" s="32" t="s">
        <v>283</v>
      </c>
      <c r="H365" s="32" t="s">
        <v>352</v>
      </c>
      <c r="I365" s="31" t="s">
        <v>934</v>
      </c>
      <c r="J365" s="31">
        <v>4</v>
      </c>
      <c r="K365" s="33" t="s">
        <v>709</v>
      </c>
      <c r="L365" s="33" t="s">
        <v>692</v>
      </c>
      <c r="M365" s="34" t="s">
        <v>1396</v>
      </c>
      <c r="N365" s="34" t="s">
        <v>1723</v>
      </c>
      <c r="O365" s="35">
        <v>1</v>
      </c>
      <c r="P365" s="35"/>
      <c r="Q365" s="32"/>
      <c r="S365" s="1">
        <f t="shared" si="153"/>
        <v>0</v>
      </c>
      <c r="T365" s="1">
        <f t="shared" si="154"/>
        <v>0</v>
      </c>
      <c r="U365" s="1">
        <f t="shared" si="155"/>
        <v>0</v>
      </c>
      <c r="V365" s="1">
        <f t="shared" si="156"/>
        <v>1</v>
      </c>
      <c r="W365" s="1">
        <f t="shared" si="157"/>
        <v>0</v>
      </c>
      <c r="X365" s="1">
        <f t="shared" si="158"/>
        <v>0</v>
      </c>
      <c r="Y365" s="1">
        <f t="shared" si="159"/>
        <v>0</v>
      </c>
      <c r="Z365" s="1">
        <f t="shared" si="160"/>
        <v>0</v>
      </c>
      <c r="AA365" s="1">
        <f t="shared" si="161"/>
        <v>0</v>
      </c>
      <c r="AB365" s="1">
        <f t="shared" si="162"/>
        <v>0</v>
      </c>
      <c r="AD365" s="1">
        <f t="shared" si="163"/>
        <v>0</v>
      </c>
      <c r="AE365" s="1">
        <f t="shared" si="164"/>
        <v>1</v>
      </c>
      <c r="AF365" s="1">
        <f t="shared" si="149"/>
        <v>0</v>
      </c>
      <c r="AG365" s="1">
        <f t="shared" si="150"/>
        <v>1</v>
      </c>
      <c r="AH365" s="1">
        <f t="shared" si="151"/>
        <v>0</v>
      </c>
      <c r="AI365" s="1">
        <f t="shared" si="152"/>
        <v>1</v>
      </c>
    </row>
    <row r="366" spans="1:35" s="1" customFormat="1" ht="14.25" customHeight="1" x14ac:dyDescent="0.25">
      <c r="A366" s="15">
        <v>0</v>
      </c>
      <c r="B366" s="15">
        <v>2</v>
      </c>
      <c r="C366" s="15">
        <v>4</v>
      </c>
      <c r="D366" s="16" t="s">
        <v>625</v>
      </c>
      <c r="E366" s="16" t="s">
        <v>681</v>
      </c>
      <c r="F366" s="16" t="s">
        <v>666</v>
      </c>
      <c r="G366" s="16" t="s">
        <v>624</v>
      </c>
      <c r="H366" s="16" t="s">
        <v>352</v>
      </c>
      <c r="I366" s="15" t="s">
        <v>626</v>
      </c>
      <c r="J366" s="15">
        <v>99</v>
      </c>
      <c r="K366" s="10" t="s">
        <v>942</v>
      </c>
      <c r="L366" s="10" t="s">
        <v>39</v>
      </c>
      <c r="M366" s="19" t="s">
        <v>39</v>
      </c>
      <c r="N366" s="17"/>
      <c r="Q366" s="20" t="s">
        <v>1871</v>
      </c>
      <c r="S366" s="1">
        <f t="shared" si="153"/>
        <v>0</v>
      </c>
      <c r="T366" s="1">
        <f t="shared" si="154"/>
        <v>0</v>
      </c>
      <c r="U366" s="1">
        <f t="shared" si="155"/>
        <v>0</v>
      </c>
      <c r="V366" s="1">
        <f t="shared" si="156"/>
        <v>0</v>
      </c>
      <c r="W366" s="1">
        <f t="shared" si="157"/>
        <v>0</v>
      </c>
      <c r="X366" s="1">
        <f t="shared" si="158"/>
        <v>0</v>
      </c>
      <c r="Y366" s="1">
        <f t="shared" si="159"/>
        <v>0</v>
      </c>
      <c r="Z366" s="1">
        <f t="shared" si="160"/>
        <v>0</v>
      </c>
      <c r="AA366" s="1">
        <f t="shared" si="161"/>
        <v>0</v>
      </c>
      <c r="AB366" s="1">
        <f t="shared" si="162"/>
        <v>0</v>
      </c>
      <c r="AD366" s="1">
        <f t="shared" si="163"/>
        <v>0</v>
      </c>
      <c r="AE366" s="1">
        <f t="shared" si="164"/>
        <v>0</v>
      </c>
      <c r="AF366" s="1">
        <f t="shared" si="149"/>
        <v>0</v>
      </c>
      <c r="AG366" s="1">
        <f t="shared" si="150"/>
        <v>0</v>
      </c>
      <c r="AH366" s="1">
        <f t="shared" si="151"/>
        <v>0</v>
      </c>
      <c r="AI366" s="1">
        <f t="shared" si="152"/>
        <v>1</v>
      </c>
    </row>
    <row r="367" spans="1:35" s="1" customFormat="1" ht="14.25" customHeight="1" x14ac:dyDescent="0.25">
      <c r="A367" s="31">
        <v>0</v>
      </c>
      <c r="B367" s="31">
        <v>2</v>
      </c>
      <c r="C367" s="31">
        <v>4</v>
      </c>
      <c r="D367" s="32" t="s">
        <v>84</v>
      </c>
      <c r="E367" s="32" t="s">
        <v>35</v>
      </c>
      <c r="F367" s="32" t="s">
        <v>276</v>
      </c>
      <c r="G367" s="32" t="s">
        <v>223</v>
      </c>
      <c r="H367" s="32" t="s">
        <v>352</v>
      </c>
      <c r="I367" s="31" t="s">
        <v>431</v>
      </c>
      <c r="J367" s="31">
        <v>99</v>
      </c>
      <c r="K367" s="33" t="s">
        <v>941</v>
      </c>
      <c r="L367" s="33" t="s">
        <v>700</v>
      </c>
      <c r="M367" s="34" t="s">
        <v>722</v>
      </c>
      <c r="N367" s="34" t="s">
        <v>1735</v>
      </c>
      <c r="O367" s="35">
        <v>1</v>
      </c>
      <c r="P367" s="35"/>
      <c r="Q367" s="32"/>
      <c r="S367" s="1">
        <f t="shared" si="153"/>
        <v>0</v>
      </c>
      <c r="T367" s="1">
        <f t="shared" si="154"/>
        <v>0</v>
      </c>
      <c r="U367" s="1">
        <f t="shared" si="155"/>
        <v>0</v>
      </c>
      <c r="V367" s="1">
        <f t="shared" si="156"/>
        <v>0</v>
      </c>
      <c r="W367" s="1">
        <f t="shared" si="157"/>
        <v>0</v>
      </c>
      <c r="X367" s="1">
        <f t="shared" si="158"/>
        <v>0</v>
      </c>
      <c r="Y367" s="1">
        <f t="shared" si="159"/>
        <v>0</v>
      </c>
      <c r="Z367" s="1">
        <f t="shared" si="160"/>
        <v>0</v>
      </c>
      <c r="AA367" s="1">
        <f t="shared" si="161"/>
        <v>0</v>
      </c>
      <c r="AB367" s="1">
        <f t="shared" si="162"/>
        <v>0</v>
      </c>
      <c r="AD367" s="1">
        <f t="shared" si="163"/>
        <v>0</v>
      </c>
      <c r="AE367" s="1">
        <f t="shared" si="164"/>
        <v>1</v>
      </c>
      <c r="AF367" s="1">
        <f t="shared" si="149"/>
        <v>0</v>
      </c>
      <c r="AG367" s="1">
        <f t="shared" si="150"/>
        <v>1</v>
      </c>
      <c r="AH367" s="1">
        <f t="shared" si="151"/>
        <v>0</v>
      </c>
      <c r="AI367" s="1">
        <f t="shared" si="152"/>
        <v>1</v>
      </c>
    </row>
    <row r="368" spans="1:35" s="1" customFormat="1" ht="14.25" customHeight="1" x14ac:dyDescent="0.25">
      <c r="A368" s="15">
        <v>0</v>
      </c>
      <c r="B368" s="15">
        <v>2</v>
      </c>
      <c r="C368" s="15">
        <v>4</v>
      </c>
      <c r="D368" s="16" t="s">
        <v>870</v>
      </c>
      <c r="E368" s="16" t="s">
        <v>763</v>
      </c>
      <c r="F368" s="16" t="s">
        <v>868</v>
      </c>
      <c r="G368" s="16" t="s">
        <v>278</v>
      </c>
      <c r="H368" s="16" t="s">
        <v>352</v>
      </c>
      <c r="I368" s="15" t="s">
        <v>869</v>
      </c>
      <c r="J368" s="15">
        <v>99</v>
      </c>
      <c r="K368" s="10" t="s">
        <v>699</v>
      </c>
      <c r="L368" s="10">
        <v>25</v>
      </c>
      <c r="M368" s="19" t="s">
        <v>1397</v>
      </c>
      <c r="N368" s="19"/>
      <c r="Q368" s="16"/>
      <c r="S368" s="1">
        <f t="shared" si="153"/>
        <v>0</v>
      </c>
      <c r="T368" s="1">
        <f t="shared" si="154"/>
        <v>0</v>
      </c>
      <c r="U368" s="1">
        <f t="shared" si="155"/>
        <v>0</v>
      </c>
      <c r="V368" s="1">
        <f t="shared" si="156"/>
        <v>0</v>
      </c>
      <c r="W368" s="1">
        <f t="shared" si="157"/>
        <v>0</v>
      </c>
      <c r="X368" s="1">
        <f t="shared" si="158"/>
        <v>0</v>
      </c>
      <c r="Y368" s="1">
        <f t="shared" si="159"/>
        <v>0</v>
      </c>
      <c r="Z368" s="1">
        <f t="shared" si="160"/>
        <v>0</v>
      </c>
      <c r="AA368" s="1">
        <f t="shared" si="161"/>
        <v>0</v>
      </c>
      <c r="AB368" s="1">
        <f t="shared" si="162"/>
        <v>0</v>
      </c>
      <c r="AD368" s="1">
        <f t="shared" si="163"/>
        <v>0</v>
      </c>
      <c r="AE368" s="1">
        <f t="shared" si="164"/>
        <v>0</v>
      </c>
      <c r="AF368" s="1">
        <f t="shared" si="149"/>
        <v>0</v>
      </c>
      <c r="AG368" s="1">
        <f t="shared" si="150"/>
        <v>0</v>
      </c>
      <c r="AH368" s="1">
        <f t="shared" si="151"/>
        <v>0</v>
      </c>
      <c r="AI368" s="1">
        <f t="shared" si="152"/>
        <v>1</v>
      </c>
    </row>
    <row r="369" spans="1:35" s="1" customFormat="1" ht="14.25" customHeight="1" x14ac:dyDescent="0.25">
      <c r="A369" s="31">
        <v>0</v>
      </c>
      <c r="B369" s="31">
        <v>2</v>
      </c>
      <c r="C369" s="31">
        <v>4</v>
      </c>
      <c r="D369" s="32" t="s">
        <v>911</v>
      </c>
      <c r="E369" s="32" t="s">
        <v>763</v>
      </c>
      <c r="F369" s="32" t="s">
        <v>835</v>
      </c>
      <c r="G369" s="32" t="s">
        <v>208</v>
      </c>
      <c r="H369" s="32" t="s">
        <v>352</v>
      </c>
      <c r="I369" s="31" t="s">
        <v>836</v>
      </c>
      <c r="J369" s="31">
        <v>99</v>
      </c>
      <c r="K369" s="33" t="s">
        <v>708</v>
      </c>
      <c r="L369" s="33" t="s">
        <v>700</v>
      </c>
      <c r="M369" s="34" t="s">
        <v>722</v>
      </c>
      <c r="N369" s="34" t="s">
        <v>1730</v>
      </c>
      <c r="O369" s="35">
        <v>1</v>
      </c>
      <c r="P369" s="35"/>
      <c r="Q369" s="32"/>
      <c r="S369" s="1">
        <f t="shared" si="153"/>
        <v>0</v>
      </c>
      <c r="T369" s="1">
        <f t="shared" si="154"/>
        <v>0</v>
      </c>
      <c r="U369" s="1">
        <f t="shared" si="155"/>
        <v>0</v>
      </c>
      <c r="V369" s="1">
        <f t="shared" si="156"/>
        <v>0</v>
      </c>
      <c r="W369" s="1">
        <f t="shared" si="157"/>
        <v>0</v>
      </c>
      <c r="X369" s="1">
        <f t="shared" si="158"/>
        <v>0</v>
      </c>
      <c r="Y369" s="1">
        <f t="shared" si="159"/>
        <v>0</v>
      </c>
      <c r="Z369" s="1">
        <f t="shared" si="160"/>
        <v>0</v>
      </c>
      <c r="AA369" s="1">
        <f t="shared" si="161"/>
        <v>0</v>
      </c>
      <c r="AB369" s="1">
        <f t="shared" si="162"/>
        <v>0</v>
      </c>
      <c r="AD369" s="1">
        <f t="shared" si="163"/>
        <v>0</v>
      </c>
      <c r="AE369" s="1">
        <f t="shared" si="164"/>
        <v>1</v>
      </c>
      <c r="AF369" s="1">
        <f t="shared" si="149"/>
        <v>0</v>
      </c>
      <c r="AG369" s="1">
        <f t="shared" si="150"/>
        <v>1</v>
      </c>
      <c r="AH369" s="1">
        <f t="shared" si="151"/>
        <v>0</v>
      </c>
      <c r="AI369" s="1">
        <f t="shared" si="152"/>
        <v>1</v>
      </c>
    </row>
    <row r="370" spans="1:35" s="1" customFormat="1" ht="14.25" customHeight="1" x14ac:dyDescent="0.25">
      <c r="A370" s="31">
        <v>0</v>
      </c>
      <c r="B370" s="31">
        <v>2</v>
      </c>
      <c r="C370" s="31">
        <v>4</v>
      </c>
      <c r="D370" s="32" t="s">
        <v>1998</v>
      </c>
      <c r="E370" s="32" t="s">
        <v>35</v>
      </c>
      <c r="F370" s="32" t="s">
        <v>1999</v>
      </c>
      <c r="G370" s="32" t="s">
        <v>208</v>
      </c>
      <c r="H370" s="32" t="s">
        <v>352</v>
      </c>
      <c r="I370" s="31" t="s">
        <v>2000</v>
      </c>
      <c r="J370" s="31">
        <v>99</v>
      </c>
      <c r="K370" s="33" t="s">
        <v>699</v>
      </c>
      <c r="L370" s="33">
        <v>25</v>
      </c>
      <c r="M370" s="34" t="s">
        <v>2002</v>
      </c>
      <c r="N370" s="34" t="s">
        <v>1823</v>
      </c>
      <c r="O370" s="35">
        <v>1</v>
      </c>
      <c r="P370" s="35"/>
      <c r="Q370" s="32" t="s">
        <v>2001</v>
      </c>
      <c r="S370" s="1">
        <f t="shared" si="153"/>
        <v>0</v>
      </c>
      <c r="T370" s="1">
        <f t="shared" si="154"/>
        <v>0</v>
      </c>
      <c r="U370" s="1">
        <f t="shared" si="155"/>
        <v>0</v>
      </c>
      <c r="V370" s="1">
        <f t="shared" si="156"/>
        <v>0</v>
      </c>
      <c r="W370" s="1">
        <f t="shared" si="157"/>
        <v>0</v>
      </c>
      <c r="X370" s="1">
        <f t="shared" si="158"/>
        <v>0</v>
      </c>
      <c r="Y370" s="1">
        <f t="shared" si="159"/>
        <v>0</v>
      </c>
      <c r="Z370" s="1">
        <f t="shared" si="160"/>
        <v>0</v>
      </c>
      <c r="AA370" s="1">
        <f t="shared" si="161"/>
        <v>0</v>
      </c>
      <c r="AB370" s="1">
        <f t="shared" si="162"/>
        <v>0</v>
      </c>
      <c r="AD370" s="1">
        <f t="shared" si="163"/>
        <v>0</v>
      </c>
      <c r="AE370" s="1">
        <f t="shared" si="164"/>
        <v>1</v>
      </c>
      <c r="AF370" s="1">
        <f t="shared" si="149"/>
        <v>0</v>
      </c>
      <c r="AG370" s="1">
        <f t="shared" si="150"/>
        <v>1</v>
      </c>
      <c r="AH370" s="1">
        <f t="shared" si="151"/>
        <v>0</v>
      </c>
      <c r="AI370" s="1">
        <f t="shared" si="152"/>
        <v>1</v>
      </c>
    </row>
    <row r="371" spans="1:35" s="1" customFormat="1" ht="14.25" customHeight="1" x14ac:dyDescent="0.25">
      <c r="A371" s="44">
        <v>0</v>
      </c>
      <c r="B371" s="44">
        <v>2</v>
      </c>
      <c r="C371" s="44">
        <v>4</v>
      </c>
      <c r="D371" s="45" t="s">
        <v>1204</v>
      </c>
      <c r="E371" s="45" t="s">
        <v>1203</v>
      </c>
      <c r="F371" s="45" t="s">
        <v>1205</v>
      </c>
      <c r="G371" s="45" t="s">
        <v>531</v>
      </c>
      <c r="H371" s="45" t="s">
        <v>352</v>
      </c>
      <c r="I371" s="44" t="s">
        <v>1206</v>
      </c>
      <c r="J371" s="44">
        <v>99</v>
      </c>
      <c r="K371" s="46" t="s">
        <v>709</v>
      </c>
      <c r="L371" s="46" t="s">
        <v>690</v>
      </c>
      <c r="M371" s="47" t="s">
        <v>1398</v>
      </c>
      <c r="N371" s="47" t="s">
        <v>1721</v>
      </c>
      <c r="O371" s="48"/>
      <c r="P371" s="48"/>
      <c r="Q371" s="45"/>
      <c r="S371" s="1">
        <f t="shared" si="153"/>
        <v>0</v>
      </c>
      <c r="T371" s="1">
        <f t="shared" si="154"/>
        <v>0</v>
      </c>
      <c r="U371" s="1">
        <f t="shared" si="155"/>
        <v>0</v>
      </c>
      <c r="V371" s="1">
        <f t="shared" si="156"/>
        <v>0</v>
      </c>
      <c r="W371" s="1">
        <f t="shared" si="157"/>
        <v>0</v>
      </c>
      <c r="X371" s="1">
        <f t="shared" si="158"/>
        <v>0</v>
      </c>
      <c r="Y371" s="1">
        <f t="shared" si="159"/>
        <v>0</v>
      </c>
      <c r="Z371" s="1">
        <f t="shared" si="160"/>
        <v>0</v>
      </c>
      <c r="AA371" s="1">
        <f t="shared" si="161"/>
        <v>0</v>
      </c>
      <c r="AB371" s="1">
        <f t="shared" si="162"/>
        <v>0</v>
      </c>
      <c r="AD371" s="1">
        <f t="shared" si="163"/>
        <v>0</v>
      </c>
      <c r="AE371" s="1">
        <f t="shared" si="164"/>
        <v>0</v>
      </c>
      <c r="AF371" s="1">
        <f t="shared" si="149"/>
        <v>0</v>
      </c>
      <c r="AG371" s="1">
        <f t="shared" si="150"/>
        <v>0</v>
      </c>
      <c r="AH371" s="1">
        <f t="shared" si="151"/>
        <v>0</v>
      </c>
      <c r="AI371" s="1">
        <f t="shared" si="152"/>
        <v>1</v>
      </c>
    </row>
    <row r="372" spans="1:35" s="1" customFormat="1" ht="14.25" customHeight="1" x14ac:dyDescent="0.25">
      <c r="A372" s="31">
        <v>0</v>
      </c>
      <c r="B372" s="31">
        <v>2</v>
      </c>
      <c r="C372" s="31">
        <v>4</v>
      </c>
      <c r="D372" s="32" t="s">
        <v>814</v>
      </c>
      <c r="E372" s="32" t="s">
        <v>586</v>
      </c>
      <c r="F372" s="32" t="s">
        <v>815</v>
      </c>
      <c r="G372" s="32" t="s">
        <v>925</v>
      </c>
      <c r="H372" s="32" t="s">
        <v>352</v>
      </c>
      <c r="I372" s="31" t="s">
        <v>938</v>
      </c>
      <c r="J372" s="31">
        <v>7</v>
      </c>
      <c r="K372" s="33" t="s">
        <v>708</v>
      </c>
      <c r="L372" s="33" t="s">
        <v>39</v>
      </c>
      <c r="M372" s="34" t="s">
        <v>39</v>
      </c>
      <c r="N372" s="34" t="s">
        <v>1701</v>
      </c>
      <c r="O372" s="35">
        <v>1</v>
      </c>
      <c r="P372" s="35">
        <v>1</v>
      </c>
      <c r="Q372" s="32"/>
      <c r="S372" s="1">
        <f t="shared" si="153"/>
        <v>0</v>
      </c>
      <c r="T372" s="1">
        <f t="shared" si="154"/>
        <v>0</v>
      </c>
      <c r="U372" s="1">
        <f t="shared" si="155"/>
        <v>0</v>
      </c>
      <c r="V372" s="1">
        <f t="shared" si="156"/>
        <v>0</v>
      </c>
      <c r="W372" s="1">
        <f t="shared" si="157"/>
        <v>0</v>
      </c>
      <c r="X372" s="1">
        <f t="shared" si="158"/>
        <v>0</v>
      </c>
      <c r="Y372" s="1">
        <f t="shared" si="159"/>
        <v>1</v>
      </c>
      <c r="Z372" s="1">
        <f t="shared" si="160"/>
        <v>0</v>
      </c>
      <c r="AA372" s="1">
        <f t="shared" si="161"/>
        <v>0</v>
      </c>
      <c r="AB372" s="1">
        <f t="shared" si="162"/>
        <v>0</v>
      </c>
      <c r="AD372" s="1">
        <f t="shared" si="163"/>
        <v>1</v>
      </c>
      <c r="AE372" s="1">
        <f t="shared" si="164"/>
        <v>0</v>
      </c>
      <c r="AF372" s="1">
        <f t="shared" si="149"/>
        <v>1</v>
      </c>
      <c r="AG372" s="1">
        <f t="shared" si="150"/>
        <v>0</v>
      </c>
      <c r="AH372" s="1">
        <f t="shared" si="151"/>
        <v>1</v>
      </c>
      <c r="AI372" s="1">
        <f t="shared" si="152"/>
        <v>0</v>
      </c>
    </row>
    <row r="373" spans="1:35" s="1" customFormat="1" ht="14.25" customHeight="1" x14ac:dyDescent="0.25">
      <c r="A373" s="44">
        <v>0</v>
      </c>
      <c r="B373" s="44">
        <v>2</v>
      </c>
      <c r="C373" s="44">
        <v>4</v>
      </c>
      <c r="D373" s="45" t="s">
        <v>1579</v>
      </c>
      <c r="E373" s="45" t="s">
        <v>1629</v>
      </c>
      <c r="F373" s="45" t="s">
        <v>1580</v>
      </c>
      <c r="G373" s="45" t="s">
        <v>331</v>
      </c>
      <c r="H373" s="45" t="s">
        <v>352</v>
      </c>
      <c r="I373" s="44" t="s">
        <v>30</v>
      </c>
      <c r="J373" s="44">
        <v>99</v>
      </c>
      <c r="K373" s="46" t="s">
        <v>709</v>
      </c>
      <c r="L373" s="46">
        <v>20</v>
      </c>
      <c r="M373" s="47" t="s">
        <v>39</v>
      </c>
      <c r="N373" s="47" t="s">
        <v>1715</v>
      </c>
      <c r="O373" s="48"/>
      <c r="P373" s="48"/>
      <c r="Q373" s="45"/>
      <c r="S373" s="1">
        <f t="shared" si="153"/>
        <v>0</v>
      </c>
      <c r="T373" s="1">
        <f t="shared" si="154"/>
        <v>0</v>
      </c>
      <c r="U373" s="1">
        <f t="shared" si="155"/>
        <v>0</v>
      </c>
      <c r="V373" s="1">
        <f t="shared" si="156"/>
        <v>0</v>
      </c>
      <c r="W373" s="1">
        <f t="shared" si="157"/>
        <v>0</v>
      </c>
      <c r="X373" s="1">
        <f t="shared" si="158"/>
        <v>0</v>
      </c>
      <c r="Y373" s="1">
        <f t="shared" si="159"/>
        <v>0</v>
      </c>
      <c r="Z373" s="1">
        <f t="shared" si="160"/>
        <v>0</v>
      </c>
      <c r="AA373" s="1">
        <f t="shared" si="161"/>
        <v>0</v>
      </c>
      <c r="AB373" s="1">
        <f t="shared" si="162"/>
        <v>0</v>
      </c>
      <c r="AD373" s="1">
        <f t="shared" si="163"/>
        <v>0</v>
      </c>
      <c r="AE373" s="1">
        <f t="shared" si="164"/>
        <v>0</v>
      </c>
      <c r="AF373" s="1">
        <f t="shared" si="149"/>
        <v>0</v>
      </c>
      <c r="AG373" s="1">
        <f t="shared" si="150"/>
        <v>0</v>
      </c>
      <c r="AH373" s="1">
        <f t="shared" si="151"/>
        <v>0</v>
      </c>
      <c r="AI373" s="1">
        <f t="shared" si="152"/>
        <v>1</v>
      </c>
    </row>
    <row r="374" spans="1:35" s="1" customFormat="1" ht="14.25" customHeight="1" x14ac:dyDescent="0.25">
      <c r="A374" s="31">
        <v>0</v>
      </c>
      <c r="B374" s="31">
        <v>2</v>
      </c>
      <c r="C374" s="31">
        <v>5</v>
      </c>
      <c r="D374" s="32" t="s">
        <v>58</v>
      </c>
      <c r="E374" s="32" t="s">
        <v>44</v>
      </c>
      <c r="F374" s="32" t="s">
        <v>667</v>
      </c>
      <c r="G374" s="32" t="s">
        <v>222</v>
      </c>
      <c r="H374" s="32" t="s">
        <v>352</v>
      </c>
      <c r="I374" s="31" t="s">
        <v>395</v>
      </c>
      <c r="J374" s="31">
        <v>8</v>
      </c>
      <c r="K374" s="33" t="s">
        <v>709</v>
      </c>
      <c r="L374" s="33" t="s">
        <v>712</v>
      </c>
      <c r="M374" s="34" t="s">
        <v>1399</v>
      </c>
      <c r="N374" s="34" t="s">
        <v>1722</v>
      </c>
      <c r="O374" s="35">
        <v>1</v>
      </c>
      <c r="P374" s="35"/>
      <c r="Q374" s="32"/>
      <c r="S374" s="1">
        <f t="shared" si="153"/>
        <v>0</v>
      </c>
      <c r="T374" s="1">
        <f t="shared" si="154"/>
        <v>0</v>
      </c>
      <c r="U374" s="1">
        <f t="shared" si="155"/>
        <v>0</v>
      </c>
      <c r="V374" s="1">
        <f t="shared" si="156"/>
        <v>0</v>
      </c>
      <c r="W374" s="1">
        <f t="shared" si="157"/>
        <v>0</v>
      </c>
      <c r="X374" s="1">
        <f t="shared" si="158"/>
        <v>0</v>
      </c>
      <c r="Y374" s="1">
        <f t="shared" si="159"/>
        <v>0</v>
      </c>
      <c r="Z374" s="1">
        <f t="shared" si="160"/>
        <v>1</v>
      </c>
      <c r="AA374" s="1">
        <f t="shared" si="161"/>
        <v>0</v>
      </c>
      <c r="AB374" s="1">
        <f t="shared" si="162"/>
        <v>0</v>
      </c>
      <c r="AD374" s="1">
        <f t="shared" si="163"/>
        <v>0</v>
      </c>
      <c r="AE374" s="1">
        <f t="shared" si="164"/>
        <v>1</v>
      </c>
      <c r="AF374" s="1">
        <f t="shared" si="149"/>
        <v>0</v>
      </c>
      <c r="AG374" s="1">
        <f t="shared" si="150"/>
        <v>1</v>
      </c>
      <c r="AH374" s="1">
        <f t="shared" si="151"/>
        <v>0</v>
      </c>
      <c r="AI374" s="1">
        <f t="shared" si="152"/>
        <v>1</v>
      </c>
    </row>
    <row r="375" spans="1:35" s="1" customFormat="1" ht="14.25" customHeight="1" x14ac:dyDescent="0.25">
      <c r="A375" s="44">
        <v>0</v>
      </c>
      <c r="B375" s="44">
        <v>2</v>
      </c>
      <c r="C375" s="44">
        <v>5</v>
      </c>
      <c r="D375" s="45" t="s">
        <v>823</v>
      </c>
      <c r="E375" s="45" t="s">
        <v>822</v>
      </c>
      <c r="F375" s="45" t="s">
        <v>913</v>
      </c>
      <c r="G375" s="45" t="s">
        <v>212</v>
      </c>
      <c r="H375" s="45" t="s">
        <v>352</v>
      </c>
      <c r="I375" s="44" t="s">
        <v>824</v>
      </c>
      <c r="J375" s="44">
        <v>1</v>
      </c>
      <c r="K375" s="46" t="s">
        <v>708</v>
      </c>
      <c r="L375" s="46" t="s">
        <v>689</v>
      </c>
      <c r="M375" s="47" t="s">
        <v>1400</v>
      </c>
      <c r="N375" s="47" t="s">
        <v>1709</v>
      </c>
      <c r="O375" s="48"/>
      <c r="P375" s="48"/>
      <c r="Q375" s="45"/>
      <c r="S375" s="1">
        <f t="shared" si="153"/>
        <v>1</v>
      </c>
      <c r="T375" s="1">
        <f t="shared" si="154"/>
        <v>0</v>
      </c>
      <c r="U375" s="1">
        <f t="shared" si="155"/>
        <v>0</v>
      </c>
      <c r="V375" s="1">
        <f t="shared" si="156"/>
        <v>0</v>
      </c>
      <c r="W375" s="1">
        <f t="shared" si="157"/>
        <v>0</v>
      </c>
      <c r="X375" s="1">
        <f t="shared" si="158"/>
        <v>0</v>
      </c>
      <c r="Y375" s="1">
        <f t="shared" si="159"/>
        <v>0</v>
      </c>
      <c r="Z375" s="1">
        <f t="shared" si="160"/>
        <v>0</v>
      </c>
      <c r="AA375" s="1">
        <f t="shared" si="161"/>
        <v>0</v>
      </c>
      <c r="AB375" s="1">
        <f t="shared" si="162"/>
        <v>0</v>
      </c>
      <c r="AD375" s="1">
        <f t="shared" si="163"/>
        <v>0</v>
      </c>
      <c r="AE375" s="1">
        <f t="shared" si="164"/>
        <v>0</v>
      </c>
      <c r="AF375" s="1">
        <f t="shared" si="149"/>
        <v>0</v>
      </c>
      <c r="AG375" s="1">
        <f t="shared" si="150"/>
        <v>0</v>
      </c>
      <c r="AH375" s="1">
        <f t="shared" si="151"/>
        <v>0</v>
      </c>
      <c r="AI375" s="1">
        <f t="shared" si="152"/>
        <v>1</v>
      </c>
    </row>
    <row r="376" spans="1:35" s="1" customFormat="1" ht="14.25" customHeight="1" x14ac:dyDescent="0.25">
      <c r="A376" s="31">
        <v>0</v>
      </c>
      <c r="B376" s="31">
        <v>2</v>
      </c>
      <c r="C376" s="31">
        <v>5</v>
      </c>
      <c r="D376" s="36" t="s">
        <v>2031</v>
      </c>
      <c r="E376" s="36" t="s">
        <v>169</v>
      </c>
      <c r="F376" s="36" t="s">
        <v>2032</v>
      </c>
      <c r="G376" s="36" t="s">
        <v>1508</v>
      </c>
      <c r="H376" s="36" t="s">
        <v>352</v>
      </c>
      <c r="I376" s="37" t="s">
        <v>2033</v>
      </c>
      <c r="J376" s="31">
        <v>5</v>
      </c>
      <c r="K376" s="33" t="s">
        <v>699</v>
      </c>
      <c r="L376" s="33"/>
      <c r="M376" s="34"/>
      <c r="N376" s="34" t="s">
        <v>1701</v>
      </c>
      <c r="O376" s="35">
        <v>1</v>
      </c>
      <c r="P376" s="35">
        <v>1</v>
      </c>
      <c r="Q376" s="36" t="s">
        <v>2034</v>
      </c>
      <c r="S376" s="1">
        <f t="shared" si="153"/>
        <v>0</v>
      </c>
      <c r="T376" s="1">
        <f t="shared" si="154"/>
        <v>0</v>
      </c>
      <c r="U376" s="1">
        <f t="shared" si="155"/>
        <v>0</v>
      </c>
      <c r="V376" s="1">
        <f t="shared" si="156"/>
        <v>0</v>
      </c>
      <c r="W376" s="1">
        <f t="shared" si="157"/>
        <v>1</v>
      </c>
      <c r="X376" s="1">
        <f t="shared" si="158"/>
        <v>0</v>
      </c>
      <c r="Y376" s="1">
        <f t="shared" si="159"/>
        <v>0</v>
      </c>
      <c r="Z376" s="1">
        <f t="shared" si="160"/>
        <v>0</v>
      </c>
      <c r="AA376" s="1">
        <f t="shared" si="161"/>
        <v>0</v>
      </c>
      <c r="AB376" s="1">
        <f t="shared" si="162"/>
        <v>0</v>
      </c>
      <c r="AD376" s="1">
        <f t="shared" si="163"/>
        <v>1</v>
      </c>
      <c r="AE376" s="1">
        <f t="shared" si="164"/>
        <v>0</v>
      </c>
      <c r="AF376" s="1">
        <f t="shared" si="149"/>
        <v>1</v>
      </c>
      <c r="AG376" s="1">
        <f t="shared" si="150"/>
        <v>0</v>
      </c>
      <c r="AH376" s="1">
        <f t="shared" si="151"/>
        <v>1</v>
      </c>
      <c r="AI376" s="1">
        <f t="shared" si="152"/>
        <v>0</v>
      </c>
    </row>
    <row r="377" spans="1:35" s="1" customFormat="1" ht="14.25" customHeight="1" x14ac:dyDescent="0.25">
      <c r="A377" s="31">
        <v>0</v>
      </c>
      <c r="B377" s="31">
        <v>2</v>
      </c>
      <c r="C377" s="31">
        <v>5</v>
      </c>
      <c r="D377" s="32" t="s">
        <v>65</v>
      </c>
      <c r="E377" s="32" t="s">
        <v>163</v>
      </c>
      <c r="F377" s="32" t="s">
        <v>543</v>
      </c>
      <c r="G377" s="32" t="s">
        <v>193</v>
      </c>
      <c r="H377" s="32" t="s">
        <v>352</v>
      </c>
      <c r="I377" s="31" t="s">
        <v>548</v>
      </c>
      <c r="J377" s="31">
        <v>9</v>
      </c>
      <c r="K377" s="33" t="s">
        <v>709</v>
      </c>
      <c r="L377" s="33" t="s">
        <v>683</v>
      </c>
      <c r="M377" s="34" t="s">
        <v>1418</v>
      </c>
      <c r="N377" s="34" t="s">
        <v>1735</v>
      </c>
      <c r="O377" s="35">
        <v>1</v>
      </c>
      <c r="P377" s="35"/>
      <c r="Q377" s="32"/>
      <c r="S377" s="1">
        <f t="shared" si="153"/>
        <v>0</v>
      </c>
      <c r="T377" s="1">
        <f t="shared" si="154"/>
        <v>0</v>
      </c>
      <c r="U377" s="1">
        <f t="shared" si="155"/>
        <v>0</v>
      </c>
      <c r="V377" s="1">
        <f t="shared" si="156"/>
        <v>0</v>
      </c>
      <c r="W377" s="1">
        <f t="shared" si="157"/>
        <v>0</v>
      </c>
      <c r="X377" s="1">
        <f t="shared" si="158"/>
        <v>0</v>
      </c>
      <c r="Y377" s="1">
        <f t="shared" si="159"/>
        <v>0</v>
      </c>
      <c r="Z377" s="1">
        <f t="shared" si="160"/>
        <v>0</v>
      </c>
      <c r="AA377" s="1">
        <f t="shared" si="161"/>
        <v>1</v>
      </c>
      <c r="AB377" s="1">
        <f t="shared" si="162"/>
        <v>0</v>
      </c>
      <c r="AD377" s="1">
        <f t="shared" si="163"/>
        <v>0</v>
      </c>
      <c r="AE377" s="1">
        <f t="shared" si="164"/>
        <v>1</v>
      </c>
      <c r="AF377" s="1">
        <f t="shared" si="149"/>
        <v>0</v>
      </c>
      <c r="AG377" s="1">
        <f t="shared" si="150"/>
        <v>1</v>
      </c>
      <c r="AH377" s="1">
        <f t="shared" si="151"/>
        <v>0</v>
      </c>
      <c r="AI377" s="1">
        <f t="shared" si="152"/>
        <v>1</v>
      </c>
    </row>
    <row r="378" spans="1:35" s="1" customFormat="1" ht="14.25" customHeight="1" x14ac:dyDescent="0.25">
      <c r="A378" s="44">
        <v>0</v>
      </c>
      <c r="B378" s="44">
        <v>2</v>
      </c>
      <c r="C378" s="44">
        <v>5</v>
      </c>
      <c r="D378" s="45" t="s">
        <v>1461</v>
      </c>
      <c r="E378" s="45" t="s">
        <v>35</v>
      </c>
      <c r="F378" s="64" t="s">
        <v>1847</v>
      </c>
      <c r="G378" s="45" t="s">
        <v>221</v>
      </c>
      <c r="H378" s="45" t="s">
        <v>352</v>
      </c>
      <c r="I378" s="44" t="s">
        <v>1660</v>
      </c>
      <c r="J378" s="44">
        <v>99</v>
      </c>
      <c r="K378" s="46" t="s">
        <v>709</v>
      </c>
      <c r="L378" s="46">
        <v>25</v>
      </c>
      <c r="M378" s="47" t="s">
        <v>39</v>
      </c>
      <c r="N378" s="47" t="s">
        <v>1711</v>
      </c>
      <c r="O378" s="48"/>
      <c r="P378" s="48"/>
      <c r="Q378" s="45"/>
      <c r="S378" s="1">
        <f t="shared" si="153"/>
        <v>0</v>
      </c>
      <c r="T378" s="1">
        <f t="shared" si="154"/>
        <v>0</v>
      </c>
      <c r="U378" s="1">
        <f t="shared" si="155"/>
        <v>0</v>
      </c>
      <c r="V378" s="1">
        <f t="shared" si="156"/>
        <v>0</v>
      </c>
      <c r="W378" s="1">
        <f t="shared" si="157"/>
        <v>0</v>
      </c>
      <c r="X378" s="1">
        <f t="shared" si="158"/>
        <v>0</v>
      </c>
      <c r="Y378" s="1">
        <f t="shared" si="159"/>
        <v>0</v>
      </c>
      <c r="Z378" s="1">
        <f t="shared" si="160"/>
        <v>0</v>
      </c>
      <c r="AA378" s="1">
        <f t="shared" si="161"/>
        <v>0</v>
      </c>
      <c r="AB378" s="1">
        <f t="shared" si="162"/>
        <v>0</v>
      </c>
      <c r="AD378" s="1">
        <f t="shared" si="163"/>
        <v>0</v>
      </c>
      <c r="AE378" s="1">
        <f t="shared" si="164"/>
        <v>0</v>
      </c>
      <c r="AF378" s="1">
        <f t="shared" si="149"/>
        <v>0</v>
      </c>
      <c r="AG378" s="1">
        <f t="shared" si="150"/>
        <v>0</v>
      </c>
      <c r="AH378" s="1">
        <f t="shared" si="151"/>
        <v>0</v>
      </c>
      <c r="AI378" s="1">
        <f t="shared" si="152"/>
        <v>1</v>
      </c>
    </row>
    <row r="379" spans="1:35" s="1" customFormat="1" ht="14.25" customHeight="1" x14ac:dyDescent="0.25">
      <c r="A379" s="31">
        <v>0</v>
      </c>
      <c r="B379" s="31">
        <v>2</v>
      </c>
      <c r="C379" s="31">
        <v>5</v>
      </c>
      <c r="D379" s="32" t="s">
        <v>1793</v>
      </c>
      <c r="E379" s="32" t="s">
        <v>763</v>
      </c>
      <c r="F379" s="32" t="s">
        <v>1794</v>
      </c>
      <c r="G379" s="32" t="s">
        <v>223</v>
      </c>
      <c r="H379" s="32" t="s">
        <v>352</v>
      </c>
      <c r="I379" s="31" t="s">
        <v>1795</v>
      </c>
      <c r="J379" s="31">
        <v>99</v>
      </c>
      <c r="K379" s="33" t="s">
        <v>1796</v>
      </c>
      <c r="L379" s="33">
        <v>40</v>
      </c>
      <c r="M379" s="34" t="s">
        <v>1797</v>
      </c>
      <c r="N379" s="34" t="s">
        <v>1823</v>
      </c>
      <c r="O379" s="35">
        <v>1</v>
      </c>
      <c r="P379" s="35"/>
      <c r="Q379" s="32"/>
      <c r="S379" s="1">
        <f t="shared" si="153"/>
        <v>0</v>
      </c>
      <c r="T379" s="1">
        <f t="shared" si="154"/>
        <v>0</v>
      </c>
      <c r="U379" s="1">
        <f t="shared" si="155"/>
        <v>0</v>
      </c>
      <c r="V379" s="1">
        <f t="shared" si="156"/>
        <v>0</v>
      </c>
      <c r="W379" s="1">
        <f t="shared" si="157"/>
        <v>0</v>
      </c>
      <c r="X379" s="1">
        <f t="shared" si="158"/>
        <v>0</v>
      </c>
      <c r="Y379" s="1">
        <f t="shared" si="159"/>
        <v>0</v>
      </c>
      <c r="Z379" s="1">
        <f t="shared" si="160"/>
        <v>0</v>
      </c>
      <c r="AA379" s="1">
        <f t="shared" si="161"/>
        <v>0</v>
      </c>
      <c r="AB379" s="1">
        <f t="shared" si="162"/>
        <v>0</v>
      </c>
      <c r="AD379" s="1">
        <f t="shared" si="163"/>
        <v>0</v>
      </c>
      <c r="AE379" s="1">
        <f t="shared" si="164"/>
        <v>1</v>
      </c>
      <c r="AF379" s="1">
        <f t="shared" si="149"/>
        <v>0</v>
      </c>
      <c r="AG379" s="1">
        <f t="shared" si="150"/>
        <v>1</v>
      </c>
      <c r="AH379" s="1">
        <f t="shared" si="151"/>
        <v>0</v>
      </c>
      <c r="AI379" s="1">
        <f t="shared" si="152"/>
        <v>1</v>
      </c>
    </row>
    <row r="380" spans="1:35" s="1" customFormat="1" ht="14.25" customHeight="1" x14ac:dyDescent="0.25">
      <c r="A380" s="31">
        <v>0</v>
      </c>
      <c r="B380" s="31">
        <v>2</v>
      </c>
      <c r="C380" s="31">
        <v>5</v>
      </c>
      <c r="D380" s="32" t="s">
        <v>612</v>
      </c>
      <c r="E380" s="32" t="s">
        <v>682</v>
      </c>
      <c r="F380" s="32" t="s">
        <v>613</v>
      </c>
      <c r="G380" s="32" t="s">
        <v>285</v>
      </c>
      <c r="H380" s="32" t="s">
        <v>352</v>
      </c>
      <c r="I380" s="31" t="s">
        <v>614</v>
      </c>
      <c r="J380" s="31">
        <v>99</v>
      </c>
      <c r="K380" s="33" t="s">
        <v>708</v>
      </c>
      <c r="L380" s="33" t="s">
        <v>700</v>
      </c>
      <c r="M380" s="34" t="s">
        <v>1401</v>
      </c>
      <c r="N380" s="34" t="s">
        <v>1717</v>
      </c>
      <c r="O380" s="35">
        <v>1</v>
      </c>
      <c r="P380" s="35"/>
      <c r="Q380" s="32"/>
      <c r="S380" s="1">
        <f t="shared" si="153"/>
        <v>0</v>
      </c>
      <c r="T380" s="1">
        <f t="shared" si="154"/>
        <v>0</v>
      </c>
      <c r="U380" s="1">
        <f t="shared" si="155"/>
        <v>0</v>
      </c>
      <c r="V380" s="1">
        <f t="shared" si="156"/>
        <v>0</v>
      </c>
      <c r="W380" s="1">
        <f t="shared" si="157"/>
        <v>0</v>
      </c>
      <c r="X380" s="1">
        <f t="shared" si="158"/>
        <v>0</v>
      </c>
      <c r="Y380" s="1">
        <f t="shared" si="159"/>
        <v>0</v>
      </c>
      <c r="Z380" s="1">
        <f t="shared" si="160"/>
        <v>0</v>
      </c>
      <c r="AA380" s="1">
        <f t="shared" si="161"/>
        <v>0</v>
      </c>
      <c r="AB380" s="1">
        <f t="shared" si="162"/>
        <v>0</v>
      </c>
      <c r="AD380" s="1">
        <f t="shared" si="163"/>
        <v>0</v>
      </c>
      <c r="AE380" s="1">
        <f t="shared" si="164"/>
        <v>1</v>
      </c>
      <c r="AF380" s="1">
        <f t="shared" si="149"/>
        <v>0</v>
      </c>
      <c r="AG380" s="1">
        <f t="shared" si="150"/>
        <v>1</v>
      </c>
      <c r="AH380" s="1">
        <f t="shared" si="151"/>
        <v>0</v>
      </c>
      <c r="AI380" s="1">
        <f t="shared" si="152"/>
        <v>1</v>
      </c>
    </row>
    <row r="381" spans="1:35" s="1" customFormat="1" ht="14.25" customHeight="1" x14ac:dyDescent="0.25">
      <c r="A381" s="31">
        <v>0</v>
      </c>
      <c r="B381" s="31">
        <v>2</v>
      </c>
      <c r="C381" s="31">
        <v>5</v>
      </c>
      <c r="D381" s="32" t="s">
        <v>1463</v>
      </c>
      <c r="E381" s="32" t="s">
        <v>763</v>
      </c>
      <c r="F381" s="32" t="s">
        <v>1464</v>
      </c>
      <c r="G381" s="32" t="s">
        <v>195</v>
      </c>
      <c r="H381" s="32" t="s">
        <v>352</v>
      </c>
      <c r="I381" s="31" t="s">
        <v>1465</v>
      </c>
      <c r="J381" s="31">
        <v>99</v>
      </c>
      <c r="K381" s="33" t="s">
        <v>941</v>
      </c>
      <c r="L381" s="33" t="s">
        <v>689</v>
      </c>
      <c r="M381" s="34" t="s">
        <v>1392</v>
      </c>
      <c r="N381" s="34" t="s">
        <v>1717</v>
      </c>
      <c r="O381" s="35">
        <v>1</v>
      </c>
      <c r="P381" s="35"/>
      <c r="Q381" s="32"/>
      <c r="S381" s="1">
        <f t="shared" si="153"/>
        <v>0</v>
      </c>
      <c r="T381" s="1">
        <f t="shared" si="154"/>
        <v>0</v>
      </c>
      <c r="U381" s="1">
        <f t="shared" si="155"/>
        <v>0</v>
      </c>
      <c r="V381" s="1">
        <f t="shared" si="156"/>
        <v>0</v>
      </c>
      <c r="W381" s="1">
        <f t="shared" si="157"/>
        <v>0</v>
      </c>
      <c r="X381" s="1">
        <f t="shared" si="158"/>
        <v>0</v>
      </c>
      <c r="Y381" s="1">
        <f t="shared" si="159"/>
        <v>0</v>
      </c>
      <c r="Z381" s="1">
        <f t="shared" si="160"/>
        <v>0</v>
      </c>
      <c r="AA381" s="1">
        <f t="shared" si="161"/>
        <v>0</v>
      </c>
      <c r="AB381" s="1">
        <f t="shared" si="162"/>
        <v>0</v>
      </c>
      <c r="AD381" s="1">
        <f t="shared" si="163"/>
        <v>0</v>
      </c>
      <c r="AE381" s="1">
        <f t="shared" si="164"/>
        <v>1</v>
      </c>
      <c r="AF381" s="1">
        <f t="shared" si="149"/>
        <v>0</v>
      </c>
      <c r="AG381" s="1">
        <f t="shared" si="150"/>
        <v>1</v>
      </c>
      <c r="AH381" s="1">
        <f t="shared" si="151"/>
        <v>0</v>
      </c>
      <c r="AI381" s="1">
        <f t="shared" si="152"/>
        <v>1</v>
      </c>
    </row>
    <row r="382" spans="1:35" s="1" customFormat="1" ht="14.25" customHeight="1" x14ac:dyDescent="0.25">
      <c r="A382" s="31">
        <v>0</v>
      </c>
      <c r="B382" s="31">
        <v>2</v>
      </c>
      <c r="C382" s="31">
        <v>5</v>
      </c>
      <c r="D382" s="32" t="s">
        <v>766</v>
      </c>
      <c r="E382" s="32" t="s">
        <v>763</v>
      </c>
      <c r="F382" s="32" t="s">
        <v>768</v>
      </c>
      <c r="G382" s="32" t="s">
        <v>206</v>
      </c>
      <c r="H382" s="32" t="s">
        <v>352</v>
      </c>
      <c r="I382" s="31" t="s">
        <v>767</v>
      </c>
      <c r="J382" s="31">
        <v>99</v>
      </c>
      <c r="K382" s="33" t="s">
        <v>708</v>
      </c>
      <c r="L382" s="33" t="s">
        <v>690</v>
      </c>
      <c r="M382" s="34" t="s">
        <v>1402</v>
      </c>
      <c r="N382" s="34" t="s">
        <v>1717</v>
      </c>
      <c r="O382" s="35">
        <v>1</v>
      </c>
      <c r="P382" s="35"/>
      <c r="Q382" s="32"/>
      <c r="S382" s="1">
        <f t="shared" si="153"/>
        <v>0</v>
      </c>
      <c r="T382" s="1">
        <f t="shared" si="154"/>
        <v>0</v>
      </c>
      <c r="U382" s="1">
        <f t="shared" si="155"/>
        <v>0</v>
      </c>
      <c r="V382" s="1">
        <f t="shared" si="156"/>
        <v>0</v>
      </c>
      <c r="W382" s="1">
        <f t="shared" si="157"/>
        <v>0</v>
      </c>
      <c r="X382" s="1">
        <f t="shared" si="158"/>
        <v>0</v>
      </c>
      <c r="Y382" s="1">
        <f t="shared" si="159"/>
        <v>0</v>
      </c>
      <c r="Z382" s="1">
        <f t="shared" si="160"/>
        <v>0</v>
      </c>
      <c r="AA382" s="1">
        <f t="shared" si="161"/>
        <v>0</v>
      </c>
      <c r="AB382" s="1">
        <f t="shared" si="162"/>
        <v>0</v>
      </c>
      <c r="AD382" s="1">
        <f t="shared" si="163"/>
        <v>0</v>
      </c>
      <c r="AE382" s="1">
        <f t="shared" si="164"/>
        <v>1</v>
      </c>
      <c r="AF382" s="1">
        <f t="shared" si="149"/>
        <v>0</v>
      </c>
      <c r="AG382" s="1">
        <f t="shared" si="150"/>
        <v>1</v>
      </c>
      <c r="AH382" s="1">
        <f t="shared" si="151"/>
        <v>0</v>
      </c>
      <c r="AI382" s="1">
        <f t="shared" si="152"/>
        <v>1</v>
      </c>
    </row>
    <row r="383" spans="1:35" s="1" customFormat="1" ht="14.25" customHeight="1" x14ac:dyDescent="0.25">
      <c r="A383" s="31">
        <v>1</v>
      </c>
      <c r="B383" s="31">
        <v>2</v>
      </c>
      <c r="C383" s="31">
        <v>5</v>
      </c>
      <c r="D383" s="32" t="s">
        <v>766</v>
      </c>
      <c r="E383" s="32" t="s">
        <v>763</v>
      </c>
      <c r="F383" s="32" t="s">
        <v>993</v>
      </c>
      <c r="G383" s="32" t="s">
        <v>189</v>
      </c>
      <c r="H383" s="32" t="s">
        <v>352</v>
      </c>
      <c r="I383" s="31" t="s">
        <v>994</v>
      </c>
      <c r="J383" s="31">
        <v>99</v>
      </c>
      <c r="K383" s="33" t="s">
        <v>708</v>
      </c>
      <c r="L383" s="33" t="s">
        <v>690</v>
      </c>
      <c r="M383" s="34" t="s">
        <v>1402</v>
      </c>
      <c r="N383" s="34" t="s">
        <v>1717</v>
      </c>
      <c r="O383" s="35">
        <v>1</v>
      </c>
      <c r="P383" s="35"/>
      <c r="Q383" s="32"/>
      <c r="S383" s="1">
        <f t="shared" si="153"/>
        <v>0</v>
      </c>
      <c r="T383" s="1">
        <f t="shared" si="154"/>
        <v>0</v>
      </c>
      <c r="U383" s="1">
        <f t="shared" si="155"/>
        <v>0</v>
      </c>
      <c r="V383" s="1">
        <f t="shared" si="156"/>
        <v>0</v>
      </c>
      <c r="W383" s="1">
        <f t="shared" si="157"/>
        <v>0</v>
      </c>
      <c r="X383" s="1">
        <f t="shared" si="158"/>
        <v>0</v>
      </c>
      <c r="Y383" s="1">
        <f t="shared" si="159"/>
        <v>0</v>
      </c>
      <c r="Z383" s="1">
        <f t="shared" si="160"/>
        <v>0</v>
      </c>
      <c r="AA383" s="1">
        <f t="shared" si="161"/>
        <v>0</v>
      </c>
      <c r="AB383" s="1">
        <f t="shared" si="162"/>
        <v>0</v>
      </c>
      <c r="AD383" s="1">
        <f t="shared" si="163"/>
        <v>0</v>
      </c>
      <c r="AE383" s="1">
        <f t="shared" si="164"/>
        <v>1</v>
      </c>
      <c r="AF383" s="1">
        <f t="shared" si="149"/>
        <v>0</v>
      </c>
      <c r="AG383" s="1">
        <f t="shared" si="150"/>
        <v>0</v>
      </c>
      <c r="AH383" s="1">
        <f t="shared" si="151"/>
        <v>0</v>
      </c>
      <c r="AI383" s="1">
        <f t="shared" si="152"/>
        <v>0</v>
      </c>
    </row>
    <row r="384" spans="1:35" s="1" customFormat="1" ht="14.25" customHeight="1" x14ac:dyDescent="0.25">
      <c r="A384" s="15">
        <v>0</v>
      </c>
      <c r="B384" s="15">
        <v>2</v>
      </c>
      <c r="C384" s="15">
        <v>5</v>
      </c>
      <c r="D384" s="16" t="s">
        <v>905</v>
      </c>
      <c r="E384" s="16" t="s">
        <v>900</v>
      </c>
      <c r="F384" s="16" t="s">
        <v>918</v>
      </c>
      <c r="G384" s="16" t="s">
        <v>1329</v>
      </c>
      <c r="H384" s="16" t="s">
        <v>352</v>
      </c>
      <c r="I384" s="15" t="s">
        <v>761</v>
      </c>
      <c r="J384" s="15">
        <v>99</v>
      </c>
      <c r="K384" s="10" t="s">
        <v>699</v>
      </c>
      <c r="L384" s="10">
        <v>20</v>
      </c>
      <c r="M384" s="19" t="s">
        <v>1403</v>
      </c>
      <c r="N384" s="19"/>
      <c r="Q384" s="16"/>
      <c r="S384" s="1">
        <f t="shared" si="153"/>
        <v>0</v>
      </c>
      <c r="T384" s="1">
        <f t="shared" si="154"/>
        <v>0</v>
      </c>
      <c r="U384" s="1">
        <f t="shared" si="155"/>
        <v>0</v>
      </c>
      <c r="V384" s="1">
        <f t="shared" si="156"/>
        <v>0</v>
      </c>
      <c r="W384" s="1">
        <f t="shared" si="157"/>
        <v>0</v>
      </c>
      <c r="X384" s="1">
        <f t="shared" si="158"/>
        <v>0</v>
      </c>
      <c r="Y384" s="1">
        <f t="shared" si="159"/>
        <v>0</v>
      </c>
      <c r="Z384" s="1">
        <f t="shared" si="160"/>
        <v>0</v>
      </c>
      <c r="AA384" s="1">
        <f t="shared" si="161"/>
        <v>0</v>
      </c>
      <c r="AB384" s="1">
        <f t="shared" si="162"/>
        <v>0</v>
      </c>
      <c r="AD384" s="1">
        <f t="shared" si="163"/>
        <v>0</v>
      </c>
      <c r="AE384" s="1">
        <f t="shared" si="164"/>
        <v>0</v>
      </c>
      <c r="AF384" s="1">
        <f t="shared" si="149"/>
        <v>0</v>
      </c>
      <c r="AG384" s="1">
        <f t="shared" si="150"/>
        <v>0</v>
      </c>
      <c r="AH384" s="1">
        <f t="shared" si="151"/>
        <v>0</v>
      </c>
      <c r="AI384" s="1">
        <f t="shared" si="152"/>
        <v>1</v>
      </c>
    </row>
    <row r="385" spans="1:35" s="1" customFormat="1" ht="14.25" customHeight="1" x14ac:dyDescent="0.25">
      <c r="A385" s="31">
        <v>0</v>
      </c>
      <c r="B385" s="31">
        <v>2</v>
      </c>
      <c r="C385" s="31">
        <v>5</v>
      </c>
      <c r="D385" s="32" t="s">
        <v>1895</v>
      </c>
      <c r="E385" s="32"/>
      <c r="F385" s="32" t="s">
        <v>1896</v>
      </c>
      <c r="G385" s="32" t="s">
        <v>207</v>
      </c>
      <c r="H385" s="32" t="s">
        <v>352</v>
      </c>
      <c r="I385" s="31" t="s">
        <v>1897</v>
      </c>
      <c r="J385" s="31">
        <v>3</v>
      </c>
      <c r="K385" s="33" t="s">
        <v>699</v>
      </c>
      <c r="L385" s="33"/>
      <c r="M385" s="34"/>
      <c r="N385" s="34" t="s">
        <v>1701</v>
      </c>
      <c r="O385" s="35">
        <v>1</v>
      </c>
      <c r="P385" s="35">
        <v>1</v>
      </c>
      <c r="Q385" s="32" t="s">
        <v>1898</v>
      </c>
      <c r="S385" s="1">
        <f t="shared" si="153"/>
        <v>0</v>
      </c>
      <c r="T385" s="1">
        <f t="shared" si="154"/>
        <v>0</v>
      </c>
      <c r="U385" s="1">
        <f t="shared" si="155"/>
        <v>1</v>
      </c>
      <c r="V385" s="1">
        <f t="shared" si="156"/>
        <v>0</v>
      </c>
      <c r="W385" s="1">
        <f t="shared" si="157"/>
        <v>0</v>
      </c>
      <c r="X385" s="1">
        <f t="shared" si="158"/>
        <v>0</v>
      </c>
      <c r="Y385" s="1">
        <f t="shared" si="159"/>
        <v>0</v>
      </c>
      <c r="Z385" s="1">
        <f t="shared" si="160"/>
        <v>0</v>
      </c>
      <c r="AA385" s="1">
        <f t="shared" si="161"/>
        <v>0</v>
      </c>
      <c r="AB385" s="1">
        <f t="shared" si="162"/>
        <v>0</v>
      </c>
      <c r="AD385" s="1">
        <f t="shared" si="163"/>
        <v>1</v>
      </c>
      <c r="AE385" s="1">
        <f t="shared" si="164"/>
        <v>0</v>
      </c>
      <c r="AF385" s="1">
        <f t="shared" si="149"/>
        <v>1</v>
      </c>
      <c r="AG385" s="1">
        <f t="shared" si="150"/>
        <v>0</v>
      </c>
      <c r="AH385" s="1">
        <f t="shared" si="151"/>
        <v>1</v>
      </c>
      <c r="AI385" s="1">
        <f t="shared" si="152"/>
        <v>0</v>
      </c>
    </row>
    <row r="386" spans="1:35" s="1" customFormat="1" ht="14.25" customHeight="1" x14ac:dyDescent="0.25">
      <c r="A386" s="31">
        <v>0</v>
      </c>
      <c r="B386" s="31">
        <v>2</v>
      </c>
      <c r="C386" s="31">
        <v>5</v>
      </c>
      <c r="D386" s="32" t="s">
        <v>1250</v>
      </c>
      <c r="E386" s="32" t="s">
        <v>1251</v>
      </c>
      <c r="F386" s="32" t="s">
        <v>1252</v>
      </c>
      <c r="G386" s="32" t="s">
        <v>219</v>
      </c>
      <c r="H386" s="32" t="s">
        <v>352</v>
      </c>
      <c r="I386" s="31" t="s">
        <v>1697</v>
      </c>
      <c r="J386" s="31">
        <v>8</v>
      </c>
      <c r="K386" s="33" t="s">
        <v>709</v>
      </c>
      <c r="L386" s="33" t="s">
        <v>39</v>
      </c>
      <c r="M386" s="34" t="s">
        <v>39</v>
      </c>
      <c r="N386" s="34" t="s">
        <v>1701</v>
      </c>
      <c r="O386" s="35">
        <v>1</v>
      </c>
      <c r="P386" s="35">
        <v>1</v>
      </c>
      <c r="Q386" s="32"/>
      <c r="S386" s="1">
        <f t="shared" si="153"/>
        <v>0</v>
      </c>
      <c r="T386" s="1">
        <f t="shared" si="154"/>
        <v>0</v>
      </c>
      <c r="U386" s="1">
        <f t="shared" si="155"/>
        <v>0</v>
      </c>
      <c r="V386" s="1">
        <f t="shared" si="156"/>
        <v>0</v>
      </c>
      <c r="W386" s="1">
        <f t="shared" si="157"/>
        <v>0</v>
      </c>
      <c r="X386" s="1">
        <f t="shared" si="158"/>
        <v>0</v>
      </c>
      <c r="Y386" s="1">
        <f t="shared" si="159"/>
        <v>0</v>
      </c>
      <c r="Z386" s="1">
        <f t="shared" si="160"/>
        <v>1</v>
      </c>
      <c r="AA386" s="1">
        <f t="shared" si="161"/>
        <v>0</v>
      </c>
      <c r="AB386" s="1">
        <f t="shared" si="162"/>
        <v>0</v>
      </c>
      <c r="AD386" s="1">
        <f t="shared" si="163"/>
        <v>1</v>
      </c>
      <c r="AE386" s="1">
        <f t="shared" si="164"/>
        <v>0</v>
      </c>
      <c r="AF386" s="1">
        <f t="shared" si="149"/>
        <v>1</v>
      </c>
      <c r="AG386" s="1">
        <f t="shared" si="150"/>
        <v>0</v>
      </c>
      <c r="AH386" s="1">
        <f t="shared" si="151"/>
        <v>1</v>
      </c>
      <c r="AI386" s="1">
        <f t="shared" si="152"/>
        <v>0</v>
      </c>
    </row>
    <row r="387" spans="1:35" s="1" customFormat="1" ht="14.25" customHeight="1" x14ac:dyDescent="0.25">
      <c r="A387" s="31">
        <v>0</v>
      </c>
      <c r="B387" s="31">
        <v>2</v>
      </c>
      <c r="C387" s="31">
        <v>5</v>
      </c>
      <c r="D387" s="32" t="s">
        <v>1069</v>
      </c>
      <c r="E387" s="32" t="s">
        <v>154</v>
      </c>
      <c r="F387" s="32" t="s">
        <v>1053</v>
      </c>
      <c r="G387" s="32" t="s">
        <v>319</v>
      </c>
      <c r="H387" s="32" t="s">
        <v>352</v>
      </c>
      <c r="I387" s="31" t="s">
        <v>1054</v>
      </c>
      <c r="J387" s="31">
        <v>99</v>
      </c>
      <c r="K387" s="33" t="s">
        <v>709</v>
      </c>
      <c r="L387" s="33" t="s">
        <v>690</v>
      </c>
      <c r="M387" s="34" t="s">
        <v>1404</v>
      </c>
      <c r="N387" s="34" t="s">
        <v>1730</v>
      </c>
      <c r="O387" s="35">
        <v>1</v>
      </c>
      <c r="P387" s="35"/>
      <c r="Q387" s="32"/>
      <c r="S387" s="1">
        <f t="shared" si="153"/>
        <v>0</v>
      </c>
      <c r="T387" s="1">
        <f t="shared" si="154"/>
        <v>0</v>
      </c>
      <c r="U387" s="1">
        <f t="shared" si="155"/>
        <v>0</v>
      </c>
      <c r="V387" s="1">
        <f t="shared" si="156"/>
        <v>0</v>
      </c>
      <c r="W387" s="1">
        <f t="shared" si="157"/>
        <v>0</v>
      </c>
      <c r="X387" s="1">
        <f t="shared" si="158"/>
        <v>0</v>
      </c>
      <c r="Y387" s="1">
        <f t="shared" si="159"/>
        <v>0</v>
      </c>
      <c r="Z387" s="1">
        <f t="shared" si="160"/>
        <v>0</v>
      </c>
      <c r="AA387" s="1">
        <f t="shared" si="161"/>
        <v>0</v>
      </c>
      <c r="AB387" s="1">
        <f t="shared" si="162"/>
        <v>0</v>
      </c>
      <c r="AD387" s="1">
        <f t="shared" si="163"/>
        <v>0</v>
      </c>
      <c r="AE387" s="1">
        <f t="shared" si="164"/>
        <v>1</v>
      </c>
      <c r="AF387" s="1">
        <f t="shared" si="149"/>
        <v>0</v>
      </c>
      <c r="AG387" s="1">
        <f t="shared" si="150"/>
        <v>1</v>
      </c>
      <c r="AH387" s="1">
        <f t="shared" si="151"/>
        <v>0</v>
      </c>
      <c r="AI387" s="1">
        <f t="shared" si="152"/>
        <v>1</v>
      </c>
    </row>
    <row r="388" spans="1:35" s="1" customFormat="1" ht="14.25" customHeight="1" x14ac:dyDescent="0.25">
      <c r="A388" s="31">
        <v>0</v>
      </c>
      <c r="B388" s="31">
        <v>2</v>
      </c>
      <c r="C388" s="31">
        <v>5</v>
      </c>
      <c r="D388" s="32" t="s">
        <v>787</v>
      </c>
      <c r="E388" s="32" t="s">
        <v>763</v>
      </c>
      <c r="F388" s="32" t="s">
        <v>921</v>
      </c>
      <c r="G388" s="32" t="s">
        <v>219</v>
      </c>
      <c r="H388" s="32" t="s">
        <v>352</v>
      </c>
      <c r="I388" s="31" t="s">
        <v>788</v>
      </c>
      <c r="J388" s="31">
        <v>8</v>
      </c>
      <c r="K388" s="33" t="s">
        <v>699</v>
      </c>
      <c r="L388" s="33">
        <v>20</v>
      </c>
      <c r="M388" s="34" t="s">
        <v>1395</v>
      </c>
      <c r="N388" s="34" t="s">
        <v>1799</v>
      </c>
      <c r="O388" s="35">
        <v>1</v>
      </c>
      <c r="P388" s="35"/>
      <c r="Q388" s="32"/>
      <c r="S388" s="1">
        <f t="shared" si="153"/>
        <v>0</v>
      </c>
      <c r="T388" s="1">
        <f t="shared" si="154"/>
        <v>0</v>
      </c>
      <c r="U388" s="1">
        <f t="shared" si="155"/>
        <v>0</v>
      </c>
      <c r="V388" s="1">
        <f t="shared" si="156"/>
        <v>0</v>
      </c>
      <c r="W388" s="1">
        <f t="shared" si="157"/>
        <v>0</v>
      </c>
      <c r="X388" s="1">
        <f t="shared" si="158"/>
        <v>0</v>
      </c>
      <c r="Y388" s="1">
        <f t="shared" si="159"/>
        <v>0</v>
      </c>
      <c r="Z388" s="1">
        <f t="shared" si="160"/>
        <v>1</v>
      </c>
      <c r="AA388" s="1">
        <f t="shared" si="161"/>
        <v>0</v>
      </c>
      <c r="AB388" s="1">
        <f t="shared" si="162"/>
        <v>0</v>
      </c>
      <c r="AD388" s="1">
        <f t="shared" si="163"/>
        <v>0</v>
      </c>
      <c r="AE388" s="1">
        <f t="shared" si="164"/>
        <v>1</v>
      </c>
      <c r="AF388" s="1">
        <f t="shared" si="149"/>
        <v>0</v>
      </c>
      <c r="AG388" s="1">
        <f t="shared" si="150"/>
        <v>1</v>
      </c>
      <c r="AH388" s="1">
        <f t="shared" si="151"/>
        <v>0</v>
      </c>
      <c r="AI388" s="1">
        <f t="shared" si="152"/>
        <v>1</v>
      </c>
    </row>
    <row r="389" spans="1:35" s="1" customFormat="1" ht="14.25" customHeight="1" x14ac:dyDescent="0.25">
      <c r="A389" s="49">
        <v>0</v>
      </c>
      <c r="B389" s="49">
        <v>2</v>
      </c>
      <c r="C389" s="49">
        <v>5</v>
      </c>
      <c r="D389" s="50" t="s">
        <v>79</v>
      </c>
      <c r="E389" s="50" t="s">
        <v>158</v>
      </c>
      <c r="F389" s="50" t="s">
        <v>267</v>
      </c>
      <c r="G389" s="50" t="s">
        <v>212</v>
      </c>
      <c r="H389" s="50" t="s">
        <v>352</v>
      </c>
      <c r="I389" s="49" t="s">
        <v>423</v>
      </c>
      <c r="J389" s="49">
        <v>1</v>
      </c>
      <c r="K389" s="51" t="s">
        <v>942</v>
      </c>
      <c r="L389" s="51" t="s">
        <v>700</v>
      </c>
      <c r="M389" s="52" t="s">
        <v>723</v>
      </c>
      <c r="N389" s="52" t="s">
        <v>1717</v>
      </c>
      <c r="O389" s="53">
        <v>1</v>
      </c>
      <c r="P389" s="53"/>
      <c r="Q389" s="50"/>
      <c r="S389" s="1">
        <f t="shared" si="153"/>
        <v>1</v>
      </c>
      <c r="T389" s="1">
        <f t="shared" si="154"/>
        <v>0</v>
      </c>
      <c r="U389" s="1">
        <f t="shared" si="155"/>
        <v>0</v>
      </c>
      <c r="V389" s="1">
        <f t="shared" si="156"/>
        <v>0</v>
      </c>
      <c r="W389" s="1">
        <f t="shared" si="157"/>
        <v>0</v>
      </c>
      <c r="X389" s="1">
        <f t="shared" si="158"/>
        <v>0</v>
      </c>
      <c r="Y389" s="1">
        <f t="shared" si="159"/>
        <v>0</v>
      </c>
      <c r="Z389" s="1">
        <f t="shared" si="160"/>
        <v>0</v>
      </c>
      <c r="AA389" s="1">
        <f t="shared" si="161"/>
        <v>0</v>
      </c>
      <c r="AB389" s="1">
        <f t="shared" si="162"/>
        <v>0</v>
      </c>
      <c r="AD389" s="1">
        <f t="shared" si="163"/>
        <v>0</v>
      </c>
      <c r="AE389" s="1">
        <f t="shared" si="164"/>
        <v>1</v>
      </c>
      <c r="AF389" s="1">
        <f t="shared" si="149"/>
        <v>0</v>
      </c>
      <c r="AG389" s="1">
        <f t="shared" si="150"/>
        <v>1</v>
      </c>
      <c r="AH389" s="1">
        <f t="shared" si="151"/>
        <v>0</v>
      </c>
      <c r="AI389" s="1">
        <f t="shared" si="152"/>
        <v>1</v>
      </c>
    </row>
    <row r="390" spans="1:35" s="1" customFormat="1" ht="14.25" customHeight="1" x14ac:dyDescent="0.25">
      <c r="A390" s="31">
        <v>0</v>
      </c>
      <c r="B390" s="31">
        <v>2</v>
      </c>
      <c r="C390" s="31">
        <v>5</v>
      </c>
      <c r="D390" s="32" t="s">
        <v>2057</v>
      </c>
      <c r="E390" s="32" t="s">
        <v>171</v>
      </c>
      <c r="F390" s="32" t="s">
        <v>2058</v>
      </c>
      <c r="G390" s="32" t="s">
        <v>206</v>
      </c>
      <c r="H390" s="32" t="s">
        <v>352</v>
      </c>
      <c r="I390" s="31" t="s">
        <v>2059</v>
      </c>
      <c r="J390" s="31">
        <v>99</v>
      </c>
      <c r="K390" s="33" t="s">
        <v>699</v>
      </c>
      <c r="L390" s="33">
        <v>30</v>
      </c>
      <c r="M390" s="34" t="s">
        <v>957</v>
      </c>
      <c r="N390" s="34" t="s">
        <v>1717</v>
      </c>
      <c r="O390" s="35">
        <v>1</v>
      </c>
      <c r="P390" s="35"/>
      <c r="Q390" s="32" t="s">
        <v>2060</v>
      </c>
      <c r="S390" s="1">
        <f t="shared" si="153"/>
        <v>0</v>
      </c>
      <c r="T390" s="1">
        <f t="shared" si="154"/>
        <v>0</v>
      </c>
      <c r="U390" s="1">
        <f t="shared" si="155"/>
        <v>0</v>
      </c>
      <c r="V390" s="1">
        <f t="shared" si="156"/>
        <v>0</v>
      </c>
      <c r="W390" s="1">
        <f t="shared" si="157"/>
        <v>0</v>
      </c>
      <c r="X390" s="1">
        <f t="shared" si="158"/>
        <v>0</v>
      </c>
      <c r="Y390" s="1">
        <f t="shared" si="159"/>
        <v>0</v>
      </c>
      <c r="Z390" s="1">
        <f t="shared" si="160"/>
        <v>0</v>
      </c>
      <c r="AA390" s="1">
        <f t="shared" si="161"/>
        <v>0</v>
      </c>
      <c r="AB390" s="1">
        <f t="shared" si="162"/>
        <v>0</v>
      </c>
      <c r="AD390" s="1">
        <f t="shared" si="163"/>
        <v>0</v>
      </c>
      <c r="AE390" s="1">
        <f t="shared" si="164"/>
        <v>1</v>
      </c>
      <c r="AF390" s="1">
        <f t="shared" si="149"/>
        <v>0</v>
      </c>
      <c r="AG390" s="1">
        <f t="shared" si="150"/>
        <v>1</v>
      </c>
      <c r="AH390" s="1">
        <f t="shared" si="151"/>
        <v>0</v>
      </c>
      <c r="AI390" s="1">
        <f t="shared" si="152"/>
        <v>1</v>
      </c>
    </row>
    <row r="391" spans="1:35" s="1" customFormat="1" ht="14.25" customHeight="1" x14ac:dyDescent="0.25">
      <c r="A391" s="31">
        <v>0</v>
      </c>
      <c r="B391" s="31">
        <v>2</v>
      </c>
      <c r="C391" s="31">
        <v>5</v>
      </c>
      <c r="D391" s="32" t="s">
        <v>1616</v>
      </c>
      <c r="E391" s="32" t="s">
        <v>1628</v>
      </c>
      <c r="F391" s="32" t="s">
        <v>1525</v>
      </c>
      <c r="G391" s="32" t="s">
        <v>261</v>
      </c>
      <c r="H391" s="32" t="s">
        <v>352</v>
      </c>
      <c r="I391" s="31" t="s">
        <v>1526</v>
      </c>
      <c r="J391" s="31">
        <v>99</v>
      </c>
      <c r="K391" s="33" t="s">
        <v>942</v>
      </c>
      <c r="L391" s="33">
        <v>40</v>
      </c>
      <c r="M391" s="34" t="s">
        <v>39</v>
      </c>
      <c r="N391" s="34" t="s">
        <v>1799</v>
      </c>
      <c r="O391" s="35">
        <v>1</v>
      </c>
      <c r="P391" s="35"/>
      <c r="Q391" s="32"/>
      <c r="S391" s="1">
        <f t="shared" si="153"/>
        <v>0</v>
      </c>
      <c r="T391" s="1">
        <f t="shared" si="154"/>
        <v>0</v>
      </c>
      <c r="U391" s="1">
        <f t="shared" si="155"/>
        <v>0</v>
      </c>
      <c r="V391" s="1">
        <f t="shared" si="156"/>
        <v>0</v>
      </c>
      <c r="W391" s="1">
        <f t="shared" si="157"/>
        <v>0</v>
      </c>
      <c r="X391" s="1">
        <f t="shared" si="158"/>
        <v>0</v>
      </c>
      <c r="Y391" s="1">
        <f t="shared" si="159"/>
        <v>0</v>
      </c>
      <c r="Z391" s="1">
        <f t="shared" si="160"/>
        <v>0</v>
      </c>
      <c r="AA391" s="1">
        <f t="shared" si="161"/>
        <v>0</v>
      </c>
      <c r="AB391" s="1">
        <f t="shared" si="162"/>
        <v>0</v>
      </c>
      <c r="AD391" s="1">
        <f t="shared" si="163"/>
        <v>0</v>
      </c>
      <c r="AE391" s="1">
        <f t="shared" si="164"/>
        <v>1</v>
      </c>
      <c r="AF391" s="1">
        <f t="shared" si="149"/>
        <v>0</v>
      </c>
      <c r="AG391" s="1">
        <f t="shared" si="150"/>
        <v>1</v>
      </c>
      <c r="AH391" s="1">
        <f t="shared" si="151"/>
        <v>0</v>
      </c>
      <c r="AI391" s="1">
        <f t="shared" si="152"/>
        <v>1</v>
      </c>
    </row>
    <row r="392" spans="1:35" s="1" customFormat="1" ht="14.25" customHeight="1" x14ac:dyDescent="0.25">
      <c r="A392" s="31">
        <v>0</v>
      </c>
      <c r="B392" s="31">
        <v>2</v>
      </c>
      <c r="C392" s="31">
        <v>5</v>
      </c>
      <c r="D392" s="32" t="s">
        <v>1277</v>
      </c>
      <c r="E392" s="32" t="s">
        <v>27</v>
      </c>
      <c r="F392" s="32" t="s">
        <v>1278</v>
      </c>
      <c r="G392" s="32" t="s">
        <v>1279</v>
      </c>
      <c r="H392" s="32" t="s">
        <v>352</v>
      </c>
      <c r="I392" s="31" t="s">
        <v>1280</v>
      </c>
      <c r="J392" s="31">
        <v>99</v>
      </c>
      <c r="K392" s="33" t="s">
        <v>942</v>
      </c>
      <c r="L392" s="33" t="s">
        <v>39</v>
      </c>
      <c r="M392" s="34" t="s">
        <v>39</v>
      </c>
      <c r="N392" s="34" t="s">
        <v>1701</v>
      </c>
      <c r="O392" s="35">
        <v>1</v>
      </c>
      <c r="P392" s="35">
        <v>1</v>
      </c>
      <c r="Q392" s="36"/>
      <c r="S392" s="1">
        <f t="shared" si="153"/>
        <v>0</v>
      </c>
      <c r="T392" s="1">
        <f t="shared" si="154"/>
        <v>0</v>
      </c>
      <c r="U392" s="1">
        <f t="shared" si="155"/>
        <v>0</v>
      </c>
      <c r="V392" s="1">
        <f t="shared" si="156"/>
        <v>0</v>
      </c>
      <c r="W392" s="1">
        <f t="shared" si="157"/>
        <v>0</v>
      </c>
      <c r="X392" s="1">
        <f t="shared" si="158"/>
        <v>0</v>
      </c>
      <c r="Y392" s="1">
        <f t="shared" si="159"/>
        <v>0</v>
      </c>
      <c r="Z392" s="1">
        <f t="shared" si="160"/>
        <v>0</v>
      </c>
      <c r="AA392" s="1">
        <f t="shared" si="161"/>
        <v>0</v>
      </c>
      <c r="AB392" s="1">
        <f t="shared" si="162"/>
        <v>0</v>
      </c>
      <c r="AD392" s="1">
        <f t="shared" si="163"/>
        <v>1</v>
      </c>
      <c r="AE392" s="1">
        <f t="shared" si="164"/>
        <v>0</v>
      </c>
      <c r="AF392" s="1">
        <f t="shared" si="149"/>
        <v>1</v>
      </c>
      <c r="AG392" s="1">
        <f t="shared" si="150"/>
        <v>0</v>
      </c>
      <c r="AH392" s="1">
        <f t="shared" si="151"/>
        <v>1</v>
      </c>
      <c r="AI392" s="1">
        <f t="shared" si="152"/>
        <v>0</v>
      </c>
    </row>
    <row r="393" spans="1:35" s="1" customFormat="1" ht="14.25" customHeight="1" x14ac:dyDescent="0.25">
      <c r="A393" s="44">
        <v>0</v>
      </c>
      <c r="B393" s="44">
        <v>2</v>
      </c>
      <c r="C393" s="44">
        <v>5</v>
      </c>
      <c r="D393" s="45" t="s">
        <v>1577</v>
      </c>
      <c r="E393" s="45" t="s">
        <v>158</v>
      </c>
      <c r="F393" s="45" t="s">
        <v>1649</v>
      </c>
      <c r="G393" s="45" t="s">
        <v>1443</v>
      </c>
      <c r="H393" s="45" t="s">
        <v>352</v>
      </c>
      <c r="I393" s="44" t="s">
        <v>1444</v>
      </c>
      <c r="J393" s="44">
        <v>99</v>
      </c>
      <c r="K393" s="46" t="s">
        <v>709</v>
      </c>
      <c r="L393" s="46" t="s">
        <v>692</v>
      </c>
      <c r="M393" s="47" t="s">
        <v>1445</v>
      </c>
      <c r="N393" s="47" t="s">
        <v>1721</v>
      </c>
      <c r="O393" s="48"/>
      <c r="P393" s="48"/>
      <c r="Q393" s="45"/>
      <c r="S393" s="1">
        <f t="shared" si="153"/>
        <v>0</v>
      </c>
      <c r="T393" s="1">
        <f t="shared" si="154"/>
        <v>0</v>
      </c>
      <c r="U393" s="1">
        <f t="shared" si="155"/>
        <v>0</v>
      </c>
      <c r="V393" s="1">
        <f t="shared" si="156"/>
        <v>0</v>
      </c>
      <c r="W393" s="1">
        <f t="shared" si="157"/>
        <v>0</v>
      </c>
      <c r="X393" s="1">
        <f t="shared" si="158"/>
        <v>0</v>
      </c>
      <c r="Y393" s="1">
        <f t="shared" si="159"/>
        <v>0</v>
      </c>
      <c r="Z393" s="1">
        <f t="shared" si="160"/>
        <v>0</v>
      </c>
      <c r="AA393" s="1">
        <f t="shared" si="161"/>
        <v>0</v>
      </c>
      <c r="AB393" s="1">
        <f t="shared" si="162"/>
        <v>0</v>
      </c>
      <c r="AD393" s="1">
        <f t="shared" si="163"/>
        <v>0</v>
      </c>
      <c r="AE393" s="1">
        <f t="shared" si="164"/>
        <v>0</v>
      </c>
      <c r="AF393" s="1">
        <f t="shared" si="149"/>
        <v>0</v>
      </c>
      <c r="AG393" s="1">
        <f t="shared" si="150"/>
        <v>0</v>
      </c>
      <c r="AH393" s="1">
        <f t="shared" si="151"/>
        <v>0</v>
      </c>
      <c r="AI393" s="1">
        <f t="shared" si="152"/>
        <v>1</v>
      </c>
    </row>
    <row r="394" spans="1:35" s="1" customFormat="1" ht="14.25" customHeight="1" x14ac:dyDescent="0.25">
      <c r="A394" s="31">
        <v>0</v>
      </c>
      <c r="B394" s="31">
        <v>2</v>
      </c>
      <c r="C394" s="31">
        <v>5</v>
      </c>
      <c r="D394" s="32" t="s">
        <v>2015</v>
      </c>
      <c r="E394" s="32" t="s">
        <v>2016</v>
      </c>
      <c r="F394" s="32" t="s">
        <v>2017</v>
      </c>
      <c r="G394" s="32" t="s">
        <v>2020</v>
      </c>
      <c r="H394" s="32" t="s">
        <v>352</v>
      </c>
      <c r="I394" s="31" t="s">
        <v>2018</v>
      </c>
      <c r="J394" s="31"/>
      <c r="K394" s="33" t="s">
        <v>1796</v>
      </c>
      <c r="L394" s="33"/>
      <c r="M394" s="34"/>
      <c r="N394" s="34" t="s">
        <v>1701</v>
      </c>
      <c r="O394" s="35">
        <v>1</v>
      </c>
      <c r="P394" s="35">
        <v>1</v>
      </c>
      <c r="Q394" s="32" t="s">
        <v>2019</v>
      </c>
      <c r="S394" s="1">
        <f t="shared" si="153"/>
        <v>0</v>
      </c>
      <c r="T394" s="1">
        <f t="shared" si="154"/>
        <v>0</v>
      </c>
      <c r="U394" s="1">
        <f t="shared" si="155"/>
        <v>0</v>
      </c>
      <c r="V394" s="1">
        <f t="shared" si="156"/>
        <v>0</v>
      </c>
      <c r="W394" s="1">
        <f t="shared" si="157"/>
        <v>0</v>
      </c>
      <c r="X394" s="1">
        <f t="shared" si="158"/>
        <v>0</v>
      </c>
      <c r="Y394" s="1">
        <f t="shared" si="159"/>
        <v>0</v>
      </c>
      <c r="Z394" s="1">
        <f t="shared" si="160"/>
        <v>0</v>
      </c>
      <c r="AA394" s="1">
        <f t="shared" si="161"/>
        <v>0</v>
      </c>
      <c r="AB394" s="1">
        <f t="shared" si="162"/>
        <v>0</v>
      </c>
      <c r="AD394" s="1">
        <f t="shared" si="163"/>
        <v>1</v>
      </c>
      <c r="AE394" s="1">
        <f t="shared" si="164"/>
        <v>0</v>
      </c>
      <c r="AF394" s="1">
        <f t="shared" si="149"/>
        <v>1</v>
      </c>
      <c r="AG394" s="1">
        <f t="shared" si="150"/>
        <v>0</v>
      </c>
      <c r="AH394" s="1">
        <f t="shared" si="151"/>
        <v>1</v>
      </c>
      <c r="AI394" s="1">
        <f t="shared" si="152"/>
        <v>0</v>
      </c>
    </row>
    <row r="395" spans="1:35" s="1" customFormat="1" ht="14.25" customHeight="1" x14ac:dyDescent="0.25">
      <c r="A395" s="31">
        <v>0</v>
      </c>
      <c r="B395" s="31">
        <v>2</v>
      </c>
      <c r="C395" s="31">
        <v>5</v>
      </c>
      <c r="D395" s="32" t="s">
        <v>1752</v>
      </c>
      <c r="E395" s="32" t="s">
        <v>154</v>
      </c>
      <c r="F395" s="32" t="s">
        <v>1753</v>
      </c>
      <c r="G395" s="32" t="s">
        <v>652</v>
      </c>
      <c r="H395" s="32" t="s">
        <v>352</v>
      </c>
      <c r="I395" s="31" t="s">
        <v>1754</v>
      </c>
      <c r="J395" s="31"/>
      <c r="K395" s="33" t="s">
        <v>699</v>
      </c>
      <c r="L395" s="33">
        <v>40</v>
      </c>
      <c r="M395" s="34" t="s">
        <v>1755</v>
      </c>
      <c r="N395" s="34" t="s">
        <v>1717</v>
      </c>
      <c r="O395" s="35">
        <v>1</v>
      </c>
      <c r="P395" s="35"/>
      <c r="Q395" s="32"/>
      <c r="S395" s="1">
        <f t="shared" si="153"/>
        <v>0</v>
      </c>
      <c r="T395" s="1">
        <f t="shared" si="154"/>
        <v>0</v>
      </c>
      <c r="U395" s="1">
        <f t="shared" si="155"/>
        <v>0</v>
      </c>
      <c r="V395" s="1">
        <f t="shared" si="156"/>
        <v>0</v>
      </c>
      <c r="W395" s="1">
        <f t="shared" si="157"/>
        <v>0</v>
      </c>
      <c r="X395" s="1">
        <f t="shared" si="158"/>
        <v>0</v>
      </c>
      <c r="Y395" s="1">
        <f t="shared" si="159"/>
        <v>0</v>
      </c>
      <c r="Z395" s="1">
        <f t="shared" si="160"/>
        <v>0</v>
      </c>
      <c r="AA395" s="1">
        <f t="shared" si="161"/>
        <v>0</v>
      </c>
      <c r="AB395" s="1">
        <f t="shared" si="162"/>
        <v>0</v>
      </c>
      <c r="AD395" s="1">
        <f t="shared" si="163"/>
        <v>0</v>
      </c>
      <c r="AE395" s="1">
        <f t="shared" si="164"/>
        <v>1</v>
      </c>
      <c r="AF395" s="1">
        <f t="shared" si="149"/>
        <v>0</v>
      </c>
      <c r="AG395" s="1">
        <f t="shared" si="150"/>
        <v>1</v>
      </c>
      <c r="AH395" s="1">
        <f t="shared" si="151"/>
        <v>0</v>
      </c>
      <c r="AI395" s="1">
        <f t="shared" si="152"/>
        <v>1</v>
      </c>
    </row>
    <row r="396" spans="1:35" s="1" customFormat="1" ht="14.25" customHeight="1" x14ac:dyDescent="0.25">
      <c r="A396" s="31">
        <v>0</v>
      </c>
      <c r="B396" s="31">
        <v>2</v>
      </c>
      <c r="C396" s="31">
        <v>5</v>
      </c>
      <c r="D396" s="32" t="s">
        <v>828</v>
      </c>
      <c r="E396" s="32" t="s">
        <v>822</v>
      </c>
      <c r="F396" s="32" t="s">
        <v>929</v>
      </c>
      <c r="G396" s="32" t="s">
        <v>179</v>
      </c>
      <c r="H396" s="32" t="s">
        <v>352</v>
      </c>
      <c r="I396" s="31" t="s">
        <v>1096</v>
      </c>
      <c r="J396" s="31">
        <v>10</v>
      </c>
      <c r="K396" s="33" t="s">
        <v>708</v>
      </c>
      <c r="L396" s="33" t="s">
        <v>689</v>
      </c>
      <c r="M396" s="34" t="s">
        <v>1405</v>
      </c>
      <c r="N396" s="34" t="s">
        <v>1729</v>
      </c>
      <c r="O396" s="35">
        <v>1</v>
      </c>
      <c r="P396" s="35"/>
      <c r="Q396" s="32"/>
      <c r="S396" s="1">
        <f t="shared" si="153"/>
        <v>0</v>
      </c>
      <c r="T396" s="1">
        <f t="shared" si="154"/>
        <v>0</v>
      </c>
      <c r="U396" s="1">
        <f t="shared" si="155"/>
        <v>0</v>
      </c>
      <c r="V396" s="1">
        <f t="shared" si="156"/>
        <v>0</v>
      </c>
      <c r="W396" s="1">
        <f t="shared" si="157"/>
        <v>0</v>
      </c>
      <c r="X396" s="1">
        <f t="shared" si="158"/>
        <v>0</v>
      </c>
      <c r="Y396" s="1">
        <f t="shared" si="159"/>
        <v>0</v>
      </c>
      <c r="Z396" s="1">
        <f t="shared" si="160"/>
        <v>0</v>
      </c>
      <c r="AA396" s="1">
        <f t="shared" si="161"/>
        <v>0</v>
      </c>
      <c r="AB396" s="1">
        <f t="shared" si="162"/>
        <v>1</v>
      </c>
      <c r="AD396" s="1">
        <f t="shared" si="163"/>
        <v>0</v>
      </c>
      <c r="AE396" s="1">
        <f t="shared" si="164"/>
        <v>1</v>
      </c>
      <c r="AF396" s="1">
        <f t="shared" si="149"/>
        <v>0</v>
      </c>
      <c r="AG396" s="1">
        <f t="shared" si="150"/>
        <v>1</v>
      </c>
      <c r="AH396" s="1">
        <f t="shared" si="151"/>
        <v>0</v>
      </c>
      <c r="AI396" s="1">
        <f t="shared" si="152"/>
        <v>1</v>
      </c>
    </row>
    <row r="397" spans="1:35" s="1" customFormat="1" ht="14.25" customHeight="1" x14ac:dyDescent="0.25">
      <c r="A397" s="57">
        <v>0</v>
      </c>
      <c r="B397" s="57">
        <v>2</v>
      </c>
      <c r="C397" s="57">
        <v>6</v>
      </c>
      <c r="D397" s="58" t="s">
        <v>1517</v>
      </c>
      <c r="E397" s="58" t="s">
        <v>27</v>
      </c>
      <c r="F397" s="58" t="s">
        <v>1519</v>
      </c>
      <c r="G397" s="58" t="s">
        <v>1508</v>
      </c>
      <c r="H397" s="58" t="s">
        <v>352</v>
      </c>
      <c r="I397" s="57" t="s">
        <v>1518</v>
      </c>
      <c r="J397" s="57">
        <v>5</v>
      </c>
      <c r="K397" s="59" t="s">
        <v>942</v>
      </c>
      <c r="L397" s="59" t="s">
        <v>39</v>
      </c>
      <c r="M397" s="60" t="s">
        <v>39</v>
      </c>
      <c r="N397" s="61"/>
      <c r="O397" s="62"/>
      <c r="P397" s="62"/>
      <c r="Q397" s="65" t="s">
        <v>1874</v>
      </c>
      <c r="S397" s="1">
        <f t="shared" si="153"/>
        <v>0</v>
      </c>
      <c r="T397" s="1">
        <f t="shared" si="154"/>
        <v>0</v>
      </c>
      <c r="U397" s="1">
        <f t="shared" si="155"/>
        <v>0</v>
      </c>
      <c r="V397" s="1">
        <f t="shared" si="156"/>
        <v>0</v>
      </c>
      <c r="W397" s="1">
        <f t="shared" si="157"/>
        <v>1</v>
      </c>
      <c r="X397" s="1">
        <f t="shared" si="158"/>
        <v>0</v>
      </c>
      <c r="Y397" s="1">
        <f t="shared" si="159"/>
        <v>0</v>
      </c>
      <c r="Z397" s="1">
        <f t="shared" si="160"/>
        <v>0</v>
      </c>
      <c r="AA397" s="1">
        <f t="shared" si="161"/>
        <v>0</v>
      </c>
      <c r="AB397" s="1">
        <f t="shared" si="162"/>
        <v>0</v>
      </c>
      <c r="AD397" s="1">
        <f t="shared" si="163"/>
        <v>0</v>
      </c>
      <c r="AE397" s="1">
        <f t="shared" si="164"/>
        <v>0</v>
      </c>
      <c r="AF397" s="1">
        <f t="shared" si="149"/>
        <v>0</v>
      </c>
      <c r="AG397" s="1">
        <f t="shared" si="150"/>
        <v>0</v>
      </c>
      <c r="AH397" s="1">
        <f t="shared" si="151"/>
        <v>0</v>
      </c>
      <c r="AI397" s="1">
        <f t="shared" si="152"/>
        <v>1</v>
      </c>
    </row>
    <row r="398" spans="1:35" s="1" customFormat="1" ht="14.25" customHeight="1" x14ac:dyDescent="0.25">
      <c r="A398" s="31">
        <v>0</v>
      </c>
      <c r="B398" s="31">
        <v>2</v>
      </c>
      <c r="C398" s="31">
        <v>6</v>
      </c>
      <c r="D398" s="32" t="s">
        <v>515</v>
      </c>
      <c r="E398" s="32" t="s">
        <v>31</v>
      </c>
      <c r="F398" s="32" t="s">
        <v>668</v>
      </c>
      <c r="G398" s="32" t="s">
        <v>199</v>
      </c>
      <c r="H398" s="32" t="s">
        <v>352</v>
      </c>
      <c r="I398" s="31" t="s">
        <v>516</v>
      </c>
      <c r="J398" s="31">
        <v>2</v>
      </c>
      <c r="K398" s="33" t="s">
        <v>941</v>
      </c>
      <c r="L398" s="33" t="s">
        <v>690</v>
      </c>
      <c r="M398" s="34" t="s">
        <v>1406</v>
      </c>
      <c r="N398" s="34" t="s">
        <v>1717</v>
      </c>
      <c r="O398" s="35">
        <v>1</v>
      </c>
      <c r="P398" s="35"/>
      <c r="Q398" s="32"/>
      <c r="S398" s="1">
        <f t="shared" si="153"/>
        <v>0</v>
      </c>
      <c r="T398" s="1">
        <f t="shared" si="154"/>
        <v>1</v>
      </c>
      <c r="U398" s="1">
        <f t="shared" si="155"/>
        <v>0</v>
      </c>
      <c r="V398" s="1">
        <f t="shared" si="156"/>
        <v>0</v>
      </c>
      <c r="W398" s="1">
        <f t="shared" si="157"/>
        <v>0</v>
      </c>
      <c r="X398" s="1">
        <f t="shared" si="158"/>
        <v>0</v>
      </c>
      <c r="Y398" s="1">
        <f t="shared" si="159"/>
        <v>0</v>
      </c>
      <c r="Z398" s="1">
        <f t="shared" si="160"/>
        <v>0</v>
      </c>
      <c r="AA398" s="1">
        <f t="shared" si="161"/>
        <v>0</v>
      </c>
      <c r="AB398" s="1">
        <f t="shared" si="162"/>
        <v>0</v>
      </c>
      <c r="AD398" s="1">
        <f t="shared" si="163"/>
        <v>0</v>
      </c>
      <c r="AE398" s="1">
        <f t="shared" si="164"/>
        <v>1</v>
      </c>
      <c r="AF398" s="1">
        <f t="shared" si="149"/>
        <v>0</v>
      </c>
      <c r="AG398" s="1">
        <f t="shared" si="150"/>
        <v>1</v>
      </c>
      <c r="AH398" s="1">
        <f t="shared" si="151"/>
        <v>0</v>
      </c>
      <c r="AI398" s="1">
        <f t="shared" si="152"/>
        <v>1</v>
      </c>
    </row>
    <row r="399" spans="1:35" s="1" customFormat="1" ht="14.25" customHeight="1" x14ac:dyDescent="0.25">
      <c r="A399" s="31">
        <v>0</v>
      </c>
      <c r="B399" s="31">
        <v>2</v>
      </c>
      <c r="C399" s="31">
        <v>6</v>
      </c>
      <c r="D399" s="32" t="s">
        <v>53</v>
      </c>
      <c r="E399" s="32" t="s">
        <v>31</v>
      </c>
      <c r="F399" s="32" t="s">
        <v>209</v>
      </c>
      <c r="G399" s="32" t="s">
        <v>210</v>
      </c>
      <c r="H399" s="32" t="s">
        <v>352</v>
      </c>
      <c r="I399" s="31" t="s">
        <v>390</v>
      </c>
      <c r="J399" s="31">
        <v>1</v>
      </c>
      <c r="K399" s="33" t="s">
        <v>708</v>
      </c>
      <c r="L399" s="33" t="s">
        <v>700</v>
      </c>
      <c r="M399" s="34" t="s">
        <v>724</v>
      </c>
      <c r="N399" s="34" t="s">
        <v>1717</v>
      </c>
      <c r="O399" s="35">
        <v>1</v>
      </c>
      <c r="P399" s="35"/>
      <c r="Q399" s="32"/>
      <c r="S399" s="1">
        <f t="shared" si="153"/>
        <v>1</v>
      </c>
      <c r="T399" s="1">
        <f t="shared" si="154"/>
        <v>0</v>
      </c>
      <c r="U399" s="1">
        <f t="shared" si="155"/>
        <v>0</v>
      </c>
      <c r="V399" s="1">
        <f t="shared" si="156"/>
        <v>0</v>
      </c>
      <c r="W399" s="1">
        <f t="shared" si="157"/>
        <v>0</v>
      </c>
      <c r="X399" s="1">
        <f t="shared" si="158"/>
        <v>0</v>
      </c>
      <c r="Y399" s="1">
        <f t="shared" si="159"/>
        <v>0</v>
      </c>
      <c r="Z399" s="1">
        <f t="shared" si="160"/>
        <v>0</v>
      </c>
      <c r="AA399" s="1">
        <f t="shared" si="161"/>
        <v>0</v>
      </c>
      <c r="AB399" s="1">
        <f t="shared" si="162"/>
        <v>0</v>
      </c>
      <c r="AD399" s="1">
        <f t="shared" si="163"/>
        <v>0</v>
      </c>
      <c r="AE399" s="1">
        <f t="shared" si="164"/>
        <v>1</v>
      </c>
      <c r="AF399" s="1">
        <f t="shared" si="149"/>
        <v>0</v>
      </c>
      <c r="AG399" s="1">
        <f t="shared" si="150"/>
        <v>1</v>
      </c>
      <c r="AH399" s="1">
        <f t="shared" si="151"/>
        <v>0</v>
      </c>
      <c r="AI399" s="1">
        <f t="shared" si="152"/>
        <v>1</v>
      </c>
    </row>
    <row r="400" spans="1:35" s="1" customFormat="1" ht="14.25" customHeight="1" x14ac:dyDescent="0.25">
      <c r="A400" s="31">
        <v>0</v>
      </c>
      <c r="B400" s="31">
        <v>2</v>
      </c>
      <c r="C400" s="31">
        <v>6</v>
      </c>
      <c r="D400" s="32" t="s">
        <v>1836</v>
      </c>
      <c r="E400" s="32" t="s">
        <v>1837</v>
      </c>
      <c r="F400" s="32" t="s">
        <v>1838</v>
      </c>
      <c r="G400" s="32"/>
      <c r="H400" s="32" t="s">
        <v>352</v>
      </c>
      <c r="I400" s="31" t="s">
        <v>1839</v>
      </c>
      <c r="J400" s="31">
        <v>99</v>
      </c>
      <c r="K400" s="33" t="s">
        <v>699</v>
      </c>
      <c r="L400" s="33">
        <v>25</v>
      </c>
      <c r="M400" s="34" t="s">
        <v>1840</v>
      </c>
      <c r="N400" s="34" t="s">
        <v>1717</v>
      </c>
      <c r="O400" s="35">
        <v>1</v>
      </c>
      <c r="P400" s="35"/>
      <c r="Q400" s="32" t="s">
        <v>2021</v>
      </c>
      <c r="S400" s="1">
        <f t="shared" si="153"/>
        <v>0</v>
      </c>
      <c r="T400" s="1">
        <f t="shared" si="154"/>
        <v>0</v>
      </c>
      <c r="U400" s="1">
        <f t="shared" si="155"/>
        <v>0</v>
      </c>
      <c r="V400" s="1">
        <f t="shared" si="156"/>
        <v>0</v>
      </c>
      <c r="W400" s="1">
        <f t="shared" si="157"/>
        <v>0</v>
      </c>
      <c r="X400" s="1">
        <f t="shared" si="158"/>
        <v>0</v>
      </c>
      <c r="Y400" s="1">
        <f t="shared" si="159"/>
        <v>0</v>
      </c>
      <c r="Z400" s="1">
        <f t="shared" si="160"/>
        <v>0</v>
      </c>
      <c r="AA400" s="1">
        <f t="shared" si="161"/>
        <v>0</v>
      </c>
      <c r="AB400" s="1">
        <f t="shared" si="162"/>
        <v>0</v>
      </c>
      <c r="AD400" s="1">
        <f t="shared" si="163"/>
        <v>0</v>
      </c>
      <c r="AE400" s="1">
        <f t="shared" si="164"/>
        <v>1</v>
      </c>
      <c r="AF400" s="1">
        <f t="shared" si="149"/>
        <v>0</v>
      </c>
      <c r="AG400" s="1">
        <f t="shared" si="150"/>
        <v>1</v>
      </c>
      <c r="AH400" s="1">
        <f t="shared" si="151"/>
        <v>0</v>
      </c>
      <c r="AI400" s="1">
        <f t="shared" si="152"/>
        <v>1</v>
      </c>
    </row>
    <row r="401" spans="1:35" s="1" customFormat="1" ht="14.25" customHeight="1" x14ac:dyDescent="0.25">
      <c r="A401" s="44">
        <v>0</v>
      </c>
      <c r="B401" s="44">
        <v>2</v>
      </c>
      <c r="C401" s="44">
        <v>6</v>
      </c>
      <c r="D401" s="45" t="s">
        <v>80</v>
      </c>
      <c r="E401" s="45" t="s">
        <v>31</v>
      </c>
      <c r="F401" s="45" t="s">
        <v>269</v>
      </c>
      <c r="G401" s="45" t="s">
        <v>223</v>
      </c>
      <c r="H401" s="45" t="s">
        <v>352</v>
      </c>
      <c r="I401" s="44" t="s">
        <v>674</v>
      </c>
      <c r="J401" s="44">
        <v>99</v>
      </c>
      <c r="K401" s="46" t="s">
        <v>942</v>
      </c>
      <c r="L401" s="46" t="s">
        <v>690</v>
      </c>
      <c r="M401" s="47" t="s">
        <v>1407</v>
      </c>
      <c r="N401" s="47" t="s">
        <v>1783</v>
      </c>
      <c r="O401" s="48"/>
      <c r="P401" s="48"/>
      <c r="Q401" s="45"/>
      <c r="S401" s="1">
        <f t="shared" si="153"/>
        <v>0</v>
      </c>
      <c r="T401" s="1">
        <f t="shared" si="154"/>
        <v>0</v>
      </c>
      <c r="U401" s="1">
        <f t="shared" si="155"/>
        <v>0</v>
      </c>
      <c r="V401" s="1">
        <f t="shared" si="156"/>
        <v>0</v>
      </c>
      <c r="W401" s="1">
        <f t="shared" si="157"/>
        <v>0</v>
      </c>
      <c r="X401" s="1">
        <f t="shared" si="158"/>
        <v>0</v>
      </c>
      <c r="Y401" s="1">
        <f t="shared" si="159"/>
        <v>0</v>
      </c>
      <c r="Z401" s="1">
        <f t="shared" si="160"/>
        <v>0</v>
      </c>
      <c r="AA401" s="1">
        <f t="shared" si="161"/>
        <v>0</v>
      </c>
      <c r="AB401" s="1">
        <f t="shared" si="162"/>
        <v>0</v>
      </c>
      <c r="AD401" s="1">
        <f t="shared" si="163"/>
        <v>0</v>
      </c>
      <c r="AE401" s="1">
        <f t="shared" si="164"/>
        <v>0</v>
      </c>
      <c r="AF401" s="1">
        <f t="shared" ref="AF401:AF419" si="165">+O401*P401*(1-A401)</f>
        <v>0</v>
      </c>
      <c r="AG401" s="1">
        <f t="shared" ref="AG401:AG419" si="166">O401*(1-P401)*(1-A401)</f>
        <v>0</v>
      </c>
      <c r="AH401" s="1">
        <f t="shared" ref="AH401:AH419" si="167">+P401*(1-A401)</f>
        <v>0</v>
      </c>
      <c r="AI401" s="1">
        <f t="shared" ref="AI401:AI419" si="168">+(1-A401)*(1-P401)</f>
        <v>1</v>
      </c>
    </row>
    <row r="402" spans="1:35" s="1" customFormat="1" ht="14.25" customHeight="1" x14ac:dyDescent="0.25">
      <c r="A402" s="44">
        <v>0</v>
      </c>
      <c r="B402" s="44">
        <v>2</v>
      </c>
      <c r="C402" s="44">
        <v>6</v>
      </c>
      <c r="D402" s="45" t="s">
        <v>635</v>
      </c>
      <c r="E402" s="45" t="s">
        <v>31</v>
      </c>
      <c r="F402" s="45" t="s">
        <v>636</v>
      </c>
      <c r="G402" s="45" t="s">
        <v>239</v>
      </c>
      <c r="H402" s="45" t="s">
        <v>352</v>
      </c>
      <c r="I402" s="44" t="s">
        <v>637</v>
      </c>
      <c r="J402" s="44">
        <v>1</v>
      </c>
      <c r="K402" s="46" t="s">
        <v>709</v>
      </c>
      <c r="L402" s="46" t="s">
        <v>690</v>
      </c>
      <c r="M402" s="47" t="s">
        <v>1408</v>
      </c>
      <c r="N402" s="47" t="s">
        <v>1709</v>
      </c>
      <c r="O402" s="48"/>
      <c r="P402" s="48"/>
      <c r="Q402" s="45"/>
      <c r="S402" s="1">
        <f t="shared" si="153"/>
        <v>1</v>
      </c>
      <c r="T402" s="1">
        <f t="shared" si="154"/>
        <v>0</v>
      </c>
      <c r="U402" s="1">
        <f t="shared" si="155"/>
        <v>0</v>
      </c>
      <c r="V402" s="1">
        <f t="shared" si="156"/>
        <v>0</v>
      </c>
      <c r="W402" s="1">
        <f t="shared" si="157"/>
        <v>0</v>
      </c>
      <c r="X402" s="1">
        <f t="shared" si="158"/>
        <v>0</v>
      </c>
      <c r="Y402" s="1">
        <f t="shared" si="159"/>
        <v>0</v>
      </c>
      <c r="Z402" s="1">
        <f t="shared" si="160"/>
        <v>0</v>
      </c>
      <c r="AA402" s="1">
        <f t="shared" si="161"/>
        <v>0</v>
      </c>
      <c r="AB402" s="1">
        <f t="shared" si="162"/>
        <v>0</v>
      </c>
      <c r="AD402" s="1">
        <f t="shared" si="163"/>
        <v>0</v>
      </c>
      <c r="AE402" s="1">
        <f t="shared" si="164"/>
        <v>0</v>
      </c>
      <c r="AF402" s="1">
        <f t="shared" si="165"/>
        <v>0</v>
      </c>
      <c r="AG402" s="1">
        <f t="shared" si="166"/>
        <v>0</v>
      </c>
      <c r="AH402" s="1">
        <f t="shared" si="167"/>
        <v>0</v>
      </c>
      <c r="AI402" s="1">
        <f t="shared" si="168"/>
        <v>1</v>
      </c>
    </row>
    <row r="403" spans="1:35" s="1" customFormat="1" ht="14.25" customHeight="1" x14ac:dyDescent="0.25">
      <c r="A403" s="44">
        <v>0</v>
      </c>
      <c r="B403" s="44">
        <v>2</v>
      </c>
      <c r="C403" s="44">
        <v>6</v>
      </c>
      <c r="D403" s="45" t="s">
        <v>1119</v>
      </c>
      <c r="E403" s="45" t="s">
        <v>31</v>
      </c>
      <c r="F403" s="45" t="s">
        <v>668</v>
      </c>
      <c r="G403" s="45" t="s">
        <v>199</v>
      </c>
      <c r="H403" s="45" t="s">
        <v>352</v>
      </c>
      <c r="I403" s="44" t="s">
        <v>516</v>
      </c>
      <c r="J403" s="44">
        <v>2</v>
      </c>
      <c r="K403" s="46" t="s">
        <v>708</v>
      </c>
      <c r="L403" s="46" t="s">
        <v>690</v>
      </c>
      <c r="M403" s="47" t="s">
        <v>724</v>
      </c>
      <c r="N403" s="47" t="s">
        <v>1709</v>
      </c>
      <c r="O403" s="48"/>
      <c r="P403" s="48"/>
      <c r="Q403" s="45"/>
      <c r="S403" s="1">
        <f t="shared" si="153"/>
        <v>0</v>
      </c>
      <c r="T403" s="1">
        <f t="shared" si="154"/>
        <v>1</v>
      </c>
      <c r="U403" s="1">
        <f t="shared" si="155"/>
        <v>0</v>
      </c>
      <c r="V403" s="1">
        <f t="shared" si="156"/>
        <v>0</v>
      </c>
      <c r="W403" s="1">
        <f t="shared" si="157"/>
        <v>0</v>
      </c>
      <c r="X403" s="1">
        <f t="shared" si="158"/>
        <v>0</v>
      </c>
      <c r="Y403" s="1">
        <f t="shared" si="159"/>
        <v>0</v>
      </c>
      <c r="Z403" s="1">
        <f t="shared" si="160"/>
        <v>0</v>
      </c>
      <c r="AA403" s="1">
        <f t="shared" si="161"/>
        <v>0</v>
      </c>
      <c r="AB403" s="1">
        <f t="shared" si="162"/>
        <v>0</v>
      </c>
      <c r="AD403" s="1">
        <f t="shared" si="163"/>
        <v>0</v>
      </c>
      <c r="AE403" s="1">
        <f t="shared" si="164"/>
        <v>0</v>
      </c>
      <c r="AF403" s="1">
        <f t="shared" si="165"/>
        <v>0</v>
      </c>
      <c r="AG403" s="1">
        <f t="shared" si="166"/>
        <v>0</v>
      </c>
      <c r="AH403" s="1">
        <f t="shared" si="167"/>
        <v>0</v>
      </c>
      <c r="AI403" s="1">
        <f t="shared" si="168"/>
        <v>1</v>
      </c>
    </row>
    <row r="404" spans="1:35" s="1" customFormat="1" ht="14.25" customHeight="1" x14ac:dyDescent="0.25">
      <c r="A404" s="44">
        <v>0</v>
      </c>
      <c r="B404" s="44">
        <v>2</v>
      </c>
      <c r="C404" s="44">
        <v>6</v>
      </c>
      <c r="D404" s="45" t="s">
        <v>1070</v>
      </c>
      <c r="E404" s="45" t="s">
        <v>158</v>
      </c>
      <c r="F404" s="45" t="s">
        <v>197</v>
      </c>
      <c r="G404" s="45" t="s">
        <v>198</v>
      </c>
      <c r="H404" s="45" t="s">
        <v>352</v>
      </c>
      <c r="I404" s="44" t="s">
        <v>386</v>
      </c>
      <c r="J404" s="44">
        <v>99</v>
      </c>
      <c r="K404" s="46" t="s">
        <v>708</v>
      </c>
      <c r="L404" s="46" t="s">
        <v>712</v>
      </c>
      <c r="M404" s="47" t="s">
        <v>726</v>
      </c>
      <c r="N404" s="47" t="s">
        <v>1708</v>
      </c>
      <c r="O404" s="48"/>
      <c r="P404" s="48"/>
      <c r="Q404" s="45"/>
      <c r="S404" s="1">
        <f t="shared" si="153"/>
        <v>0</v>
      </c>
      <c r="T404" s="1">
        <f t="shared" si="154"/>
        <v>0</v>
      </c>
      <c r="U404" s="1">
        <f t="shared" si="155"/>
        <v>0</v>
      </c>
      <c r="V404" s="1">
        <f t="shared" si="156"/>
        <v>0</v>
      </c>
      <c r="W404" s="1">
        <f t="shared" si="157"/>
        <v>0</v>
      </c>
      <c r="X404" s="1">
        <f t="shared" si="158"/>
        <v>0</v>
      </c>
      <c r="Y404" s="1">
        <f t="shared" si="159"/>
        <v>0</v>
      </c>
      <c r="Z404" s="1">
        <f t="shared" si="160"/>
        <v>0</v>
      </c>
      <c r="AA404" s="1">
        <f t="shared" si="161"/>
        <v>0</v>
      </c>
      <c r="AB404" s="1">
        <f t="shared" si="162"/>
        <v>0</v>
      </c>
      <c r="AD404" s="1">
        <f t="shared" si="163"/>
        <v>0</v>
      </c>
      <c r="AE404" s="1">
        <f t="shared" si="164"/>
        <v>0</v>
      </c>
      <c r="AF404" s="1">
        <f t="shared" si="165"/>
        <v>0</v>
      </c>
      <c r="AG404" s="1">
        <f t="shared" si="166"/>
        <v>0</v>
      </c>
      <c r="AH404" s="1">
        <f t="shared" si="167"/>
        <v>0</v>
      </c>
      <c r="AI404" s="1">
        <f t="shared" si="168"/>
        <v>1</v>
      </c>
    </row>
    <row r="405" spans="1:35" s="1" customFormat="1" ht="14.25" customHeight="1" x14ac:dyDescent="0.25">
      <c r="A405" s="31">
        <v>0</v>
      </c>
      <c r="B405" s="31">
        <v>2</v>
      </c>
      <c r="C405" s="31">
        <v>7</v>
      </c>
      <c r="D405" s="32" t="s">
        <v>505</v>
      </c>
      <c r="E405" s="32" t="s">
        <v>155</v>
      </c>
      <c r="F405" s="32" t="s">
        <v>506</v>
      </c>
      <c r="G405" s="32" t="s">
        <v>39</v>
      </c>
      <c r="H405" s="32" t="s">
        <v>352</v>
      </c>
      <c r="I405" s="31" t="s">
        <v>930</v>
      </c>
      <c r="J405" s="31">
        <v>7</v>
      </c>
      <c r="K405" s="33" t="s">
        <v>942</v>
      </c>
      <c r="L405" s="33" t="s">
        <v>39</v>
      </c>
      <c r="M405" s="34" t="s">
        <v>39</v>
      </c>
      <c r="N405" s="34" t="s">
        <v>1701</v>
      </c>
      <c r="O405" s="35">
        <v>1</v>
      </c>
      <c r="P405" s="35">
        <v>1</v>
      </c>
      <c r="Q405" s="32"/>
      <c r="S405" s="1">
        <f t="shared" ref="S405:S419" si="169">IF(J405=$S$7,1,0)</f>
        <v>0</v>
      </c>
      <c r="T405" s="1">
        <f t="shared" ref="T405:T419" si="170">IF(J405=$T$7,1,0)</f>
        <v>0</v>
      </c>
      <c r="U405" s="1">
        <f t="shared" ref="U405:U419" si="171">IF(J405=$U$7,1,0)</f>
        <v>0</v>
      </c>
      <c r="V405" s="1">
        <f t="shared" ref="V405:V419" si="172">IF(J405=$V$7,1,0)</f>
        <v>0</v>
      </c>
      <c r="W405" s="1">
        <f t="shared" ref="W405:W419" si="173">IF(J405=$W$7,1,0)</f>
        <v>0</v>
      </c>
      <c r="X405" s="1">
        <f t="shared" ref="X405:X419" si="174">IF(J405=$X$7,1,0)</f>
        <v>0</v>
      </c>
      <c r="Y405" s="1">
        <f t="shared" ref="Y405:Y419" si="175">IF(J405=$Y$7,1,0)</f>
        <v>1</v>
      </c>
      <c r="Z405" s="1">
        <f t="shared" ref="Z405:Z419" si="176">IF(J405=$Z$7,1,0)</f>
        <v>0</v>
      </c>
      <c r="AA405" s="1">
        <f t="shared" ref="AA405:AA419" si="177">IF(J405=$AA$7,1,0)</f>
        <v>0</v>
      </c>
      <c r="AB405" s="1">
        <f t="shared" ref="AB405:AB419" si="178">IF(J405=$AB$7,1,0)</f>
        <v>0</v>
      </c>
      <c r="AD405" s="1">
        <f t="shared" ref="AD405:AD419" si="179">+O405*P405</f>
        <v>1</v>
      </c>
      <c r="AE405" s="1">
        <f t="shared" ref="AE405:AE419" si="180">O405*(1-P405)</f>
        <v>0</v>
      </c>
      <c r="AF405" s="1">
        <f t="shared" si="165"/>
        <v>1</v>
      </c>
      <c r="AG405" s="1">
        <f t="shared" si="166"/>
        <v>0</v>
      </c>
      <c r="AH405" s="1">
        <f t="shared" si="167"/>
        <v>1</v>
      </c>
      <c r="AI405" s="1">
        <f t="shared" si="168"/>
        <v>0</v>
      </c>
    </row>
    <row r="406" spans="1:35" s="1" customFormat="1" ht="14.25" customHeight="1" x14ac:dyDescent="0.25">
      <c r="A406" s="31">
        <v>0</v>
      </c>
      <c r="B406" s="31">
        <v>2</v>
      </c>
      <c r="C406" s="31">
        <v>7</v>
      </c>
      <c r="D406" s="32" t="s">
        <v>70</v>
      </c>
      <c r="E406" s="32" t="s">
        <v>28</v>
      </c>
      <c r="F406" s="32" t="s">
        <v>669</v>
      </c>
      <c r="G406" s="32" t="s">
        <v>257</v>
      </c>
      <c r="H406" s="32" t="s">
        <v>352</v>
      </c>
      <c r="I406" s="31" t="s">
        <v>415</v>
      </c>
      <c r="J406" s="31">
        <v>8</v>
      </c>
      <c r="K406" s="33" t="s">
        <v>709</v>
      </c>
      <c r="L406" s="33" t="s">
        <v>709</v>
      </c>
      <c r="M406" s="34" t="s">
        <v>727</v>
      </c>
      <c r="N406" s="34" t="s">
        <v>1717</v>
      </c>
      <c r="O406" s="35">
        <v>1</v>
      </c>
      <c r="P406" s="35"/>
      <c r="Q406" s="32"/>
      <c r="S406" s="1">
        <f t="shared" si="169"/>
        <v>0</v>
      </c>
      <c r="T406" s="1">
        <f t="shared" si="170"/>
        <v>0</v>
      </c>
      <c r="U406" s="1">
        <f t="shared" si="171"/>
        <v>0</v>
      </c>
      <c r="V406" s="1">
        <f t="shared" si="172"/>
        <v>0</v>
      </c>
      <c r="W406" s="1">
        <f t="shared" si="173"/>
        <v>0</v>
      </c>
      <c r="X406" s="1">
        <f t="shared" si="174"/>
        <v>0</v>
      </c>
      <c r="Y406" s="1">
        <f t="shared" si="175"/>
        <v>0</v>
      </c>
      <c r="Z406" s="1">
        <f t="shared" si="176"/>
        <v>1</v>
      </c>
      <c r="AA406" s="1">
        <f t="shared" si="177"/>
        <v>0</v>
      </c>
      <c r="AB406" s="1">
        <f t="shared" si="178"/>
        <v>0</v>
      </c>
      <c r="AD406" s="1">
        <f t="shared" si="179"/>
        <v>0</v>
      </c>
      <c r="AE406" s="1">
        <f t="shared" si="180"/>
        <v>1</v>
      </c>
      <c r="AF406" s="1">
        <f t="shared" si="165"/>
        <v>0</v>
      </c>
      <c r="AG406" s="1">
        <f t="shared" si="166"/>
        <v>1</v>
      </c>
      <c r="AH406" s="1">
        <f t="shared" si="167"/>
        <v>0</v>
      </c>
      <c r="AI406" s="1">
        <f t="shared" si="168"/>
        <v>1</v>
      </c>
    </row>
    <row r="407" spans="1:35" s="1" customFormat="1" ht="14.25" customHeight="1" x14ac:dyDescent="0.25">
      <c r="A407" s="31">
        <v>0</v>
      </c>
      <c r="B407" s="31">
        <v>2</v>
      </c>
      <c r="C407" s="31">
        <v>7</v>
      </c>
      <c r="D407" s="32" t="s">
        <v>650</v>
      </c>
      <c r="E407" s="32" t="s">
        <v>155</v>
      </c>
      <c r="F407" s="32" t="s">
        <v>581</v>
      </c>
      <c r="G407" s="32" t="s">
        <v>248</v>
      </c>
      <c r="H407" s="32" t="s">
        <v>352</v>
      </c>
      <c r="I407" s="31" t="s">
        <v>675</v>
      </c>
      <c r="J407" s="31">
        <v>7</v>
      </c>
      <c r="K407" s="33" t="s">
        <v>942</v>
      </c>
      <c r="L407" s="33" t="s">
        <v>39</v>
      </c>
      <c r="M407" s="34" t="s">
        <v>39</v>
      </c>
      <c r="N407" s="34" t="s">
        <v>1701</v>
      </c>
      <c r="O407" s="35">
        <v>1</v>
      </c>
      <c r="P407" s="35">
        <v>1</v>
      </c>
      <c r="Q407" s="32"/>
      <c r="S407" s="1">
        <f t="shared" si="169"/>
        <v>0</v>
      </c>
      <c r="T407" s="1">
        <f t="shared" si="170"/>
        <v>0</v>
      </c>
      <c r="U407" s="1">
        <f t="shared" si="171"/>
        <v>0</v>
      </c>
      <c r="V407" s="1">
        <f t="shared" si="172"/>
        <v>0</v>
      </c>
      <c r="W407" s="1">
        <f t="shared" si="173"/>
        <v>0</v>
      </c>
      <c r="X407" s="1">
        <f t="shared" si="174"/>
        <v>0</v>
      </c>
      <c r="Y407" s="1">
        <f t="shared" si="175"/>
        <v>1</v>
      </c>
      <c r="Z407" s="1">
        <f t="shared" si="176"/>
        <v>0</v>
      </c>
      <c r="AA407" s="1">
        <f t="shared" si="177"/>
        <v>0</v>
      </c>
      <c r="AB407" s="1">
        <f t="shared" si="178"/>
        <v>0</v>
      </c>
      <c r="AD407" s="1">
        <f t="shared" si="179"/>
        <v>1</v>
      </c>
      <c r="AE407" s="1">
        <f t="shared" si="180"/>
        <v>0</v>
      </c>
      <c r="AF407" s="1">
        <f t="shared" si="165"/>
        <v>1</v>
      </c>
      <c r="AG407" s="1">
        <f t="shared" si="166"/>
        <v>0</v>
      </c>
      <c r="AH407" s="1">
        <f t="shared" si="167"/>
        <v>1</v>
      </c>
      <c r="AI407" s="1">
        <f t="shared" si="168"/>
        <v>0</v>
      </c>
    </row>
    <row r="408" spans="1:35" s="1" customFormat="1" ht="14.25" customHeight="1" x14ac:dyDescent="0.25">
      <c r="A408" s="44">
        <v>0</v>
      </c>
      <c r="B408" s="44">
        <v>2</v>
      </c>
      <c r="C408" s="44">
        <v>7</v>
      </c>
      <c r="D408" s="45" t="s">
        <v>1608</v>
      </c>
      <c r="E408" s="45" t="s">
        <v>155</v>
      </c>
      <c r="F408" s="45" t="s">
        <v>1631</v>
      </c>
      <c r="G408" s="45" t="s">
        <v>212</v>
      </c>
      <c r="H408" s="45" t="s">
        <v>352</v>
      </c>
      <c r="I408" s="44" t="s">
        <v>590</v>
      </c>
      <c r="J408" s="44">
        <v>1</v>
      </c>
      <c r="K408" s="46" t="s">
        <v>708</v>
      </c>
      <c r="L408" s="46" t="s">
        <v>718</v>
      </c>
      <c r="M408" s="47" t="s">
        <v>1409</v>
      </c>
      <c r="N408" s="47" t="s">
        <v>1709</v>
      </c>
      <c r="O408" s="48"/>
      <c r="P408" s="48"/>
      <c r="Q408" s="45"/>
      <c r="S408" s="1">
        <f t="shared" si="169"/>
        <v>1</v>
      </c>
      <c r="T408" s="1">
        <f t="shared" si="170"/>
        <v>0</v>
      </c>
      <c r="U408" s="1">
        <f t="shared" si="171"/>
        <v>0</v>
      </c>
      <c r="V408" s="1">
        <f t="shared" si="172"/>
        <v>0</v>
      </c>
      <c r="W408" s="1">
        <f t="shared" si="173"/>
        <v>0</v>
      </c>
      <c r="X408" s="1">
        <f t="shared" si="174"/>
        <v>0</v>
      </c>
      <c r="Y408" s="1">
        <f t="shared" si="175"/>
        <v>0</v>
      </c>
      <c r="Z408" s="1">
        <f t="shared" si="176"/>
        <v>0</v>
      </c>
      <c r="AA408" s="1">
        <f t="shared" si="177"/>
        <v>0</v>
      </c>
      <c r="AB408" s="1">
        <f t="shared" si="178"/>
        <v>0</v>
      </c>
      <c r="AD408" s="1">
        <f t="shared" si="179"/>
        <v>0</v>
      </c>
      <c r="AE408" s="1">
        <f t="shared" si="180"/>
        <v>0</v>
      </c>
      <c r="AF408" s="1">
        <f t="shared" si="165"/>
        <v>0</v>
      </c>
      <c r="AG408" s="1">
        <f t="shared" si="166"/>
        <v>0</v>
      </c>
      <c r="AH408" s="1">
        <f t="shared" si="167"/>
        <v>0</v>
      </c>
      <c r="AI408" s="1">
        <f t="shared" si="168"/>
        <v>1</v>
      </c>
    </row>
    <row r="409" spans="1:35" s="1" customFormat="1" ht="14.25" customHeight="1" x14ac:dyDescent="0.25">
      <c r="A409" s="44">
        <v>0</v>
      </c>
      <c r="B409" s="44">
        <v>2</v>
      </c>
      <c r="C409" s="44">
        <v>7</v>
      </c>
      <c r="D409" s="45" t="s">
        <v>1057</v>
      </c>
      <c r="E409" s="45" t="s">
        <v>1033</v>
      </c>
      <c r="F409" s="45" t="s">
        <v>1058</v>
      </c>
      <c r="G409" s="45" t="s">
        <v>212</v>
      </c>
      <c r="H409" s="45" t="s">
        <v>352</v>
      </c>
      <c r="I409" s="44" t="s">
        <v>1059</v>
      </c>
      <c r="J409" s="44">
        <v>1</v>
      </c>
      <c r="K409" s="46" t="s">
        <v>942</v>
      </c>
      <c r="L409" s="46" t="s">
        <v>718</v>
      </c>
      <c r="M409" s="47" t="s">
        <v>1410</v>
      </c>
      <c r="N409" s="47" t="s">
        <v>1709</v>
      </c>
      <c r="O409" s="48"/>
      <c r="P409" s="48"/>
      <c r="Q409" s="45" t="s">
        <v>1892</v>
      </c>
      <c r="S409" s="1">
        <f t="shared" si="169"/>
        <v>1</v>
      </c>
      <c r="T409" s="1">
        <f t="shared" si="170"/>
        <v>0</v>
      </c>
      <c r="U409" s="1">
        <f t="shared" si="171"/>
        <v>0</v>
      </c>
      <c r="V409" s="1">
        <f t="shared" si="172"/>
        <v>0</v>
      </c>
      <c r="W409" s="1">
        <f t="shared" si="173"/>
        <v>0</v>
      </c>
      <c r="X409" s="1">
        <f t="shared" si="174"/>
        <v>0</v>
      </c>
      <c r="Y409" s="1">
        <f t="shared" si="175"/>
        <v>0</v>
      </c>
      <c r="Z409" s="1">
        <f t="shared" si="176"/>
        <v>0</v>
      </c>
      <c r="AA409" s="1">
        <f t="shared" si="177"/>
        <v>0</v>
      </c>
      <c r="AB409" s="1">
        <f t="shared" si="178"/>
        <v>0</v>
      </c>
      <c r="AD409" s="1">
        <f t="shared" si="179"/>
        <v>0</v>
      </c>
      <c r="AE409" s="1">
        <f t="shared" si="180"/>
        <v>0</v>
      </c>
      <c r="AF409" s="1">
        <f t="shared" si="165"/>
        <v>0</v>
      </c>
      <c r="AG409" s="1">
        <f t="shared" si="166"/>
        <v>0</v>
      </c>
      <c r="AH409" s="1">
        <f t="shared" si="167"/>
        <v>0</v>
      </c>
      <c r="AI409" s="1">
        <f t="shared" si="168"/>
        <v>1</v>
      </c>
    </row>
    <row r="410" spans="1:35" s="1" customFormat="1" ht="14.25" customHeight="1" x14ac:dyDescent="0.25">
      <c r="A410" s="31">
        <v>0</v>
      </c>
      <c r="B410" s="31">
        <v>2</v>
      </c>
      <c r="C410" s="31">
        <v>7</v>
      </c>
      <c r="D410" s="32" t="s">
        <v>1004</v>
      </c>
      <c r="E410" s="32" t="s">
        <v>155</v>
      </c>
      <c r="F410" s="32" t="s">
        <v>1075</v>
      </c>
      <c r="G410" s="32" t="s">
        <v>1085</v>
      </c>
      <c r="H410" s="32" t="s">
        <v>352</v>
      </c>
      <c r="I410" s="31" t="s">
        <v>1005</v>
      </c>
      <c r="J410" s="31">
        <v>99</v>
      </c>
      <c r="K410" s="33" t="s">
        <v>709</v>
      </c>
      <c r="L410" s="33" t="s">
        <v>718</v>
      </c>
      <c r="M410" s="34" t="s">
        <v>1410</v>
      </c>
      <c r="N410" s="34" t="s">
        <v>1722</v>
      </c>
      <c r="O410" s="35">
        <v>1</v>
      </c>
      <c r="P410" s="35"/>
      <c r="Q410" s="32"/>
      <c r="S410" s="1">
        <f t="shared" si="169"/>
        <v>0</v>
      </c>
      <c r="T410" s="1">
        <f t="shared" si="170"/>
        <v>0</v>
      </c>
      <c r="U410" s="1">
        <f t="shared" si="171"/>
        <v>0</v>
      </c>
      <c r="V410" s="1">
        <f t="shared" si="172"/>
        <v>0</v>
      </c>
      <c r="W410" s="1">
        <f t="shared" si="173"/>
        <v>0</v>
      </c>
      <c r="X410" s="1">
        <f t="shared" si="174"/>
        <v>0</v>
      </c>
      <c r="Y410" s="1">
        <f t="shared" si="175"/>
        <v>0</v>
      </c>
      <c r="Z410" s="1">
        <f t="shared" si="176"/>
        <v>0</v>
      </c>
      <c r="AA410" s="1">
        <f t="shared" si="177"/>
        <v>0</v>
      </c>
      <c r="AB410" s="1">
        <f t="shared" si="178"/>
        <v>0</v>
      </c>
      <c r="AD410" s="1">
        <f t="shared" si="179"/>
        <v>0</v>
      </c>
      <c r="AE410" s="1">
        <f t="shared" si="180"/>
        <v>1</v>
      </c>
      <c r="AF410" s="1">
        <f t="shared" si="165"/>
        <v>0</v>
      </c>
      <c r="AG410" s="1">
        <f t="shared" si="166"/>
        <v>1</v>
      </c>
      <c r="AH410" s="1">
        <f t="shared" si="167"/>
        <v>0</v>
      </c>
      <c r="AI410" s="1">
        <f t="shared" si="168"/>
        <v>1</v>
      </c>
    </row>
    <row r="411" spans="1:35" s="1" customFormat="1" ht="14.25" customHeight="1" x14ac:dyDescent="0.25">
      <c r="A411" s="31">
        <v>0</v>
      </c>
      <c r="B411" s="31">
        <v>2</v>
      </c>
      <c r="C411" s="31">
        <v>7</v>
      </c>
      <c r="D411" s="32" t="s">
        <v>1186</v>
      </c>
      <c r="E411" s="32" t="s">
        <v>1312</v>
      </c>
      <c r="F411" s="32" t="s">
        <v>1187</v>
      </c>
      <c r="G411" s="32" t="s">
        <v>39</v>
      </c>
      <c r="H411" s="32" t="s">
        <v>352</v>
      </c>
      <c r="I411" s="31" t="s">
        <v>1659</v>
      </c>
      <c r="J411" s="31">
        <v>99</v>
      </c>
      <c r="K411" s="33" t="s">
        <v>942</v>
      </c>
      <c r="L411" s="33" t="s">
        <v>725</v>
      </c>
      <c r="M411" s="34" t="s">
        <v>1411</v>
      </c>
      <c r="N411" s="34" t="s">
        <v>1722</v>
      </c>
      <c r="O411" s="35">
        <v>1</v>
      </c>
      <c r="P411" s="35"/>
      <c r="Q411" s="32"/>
      <c r="S411" s="1">
        <f t="shared" si="169"/>
        <v>0</v>
      </c>
      <c r="T411" s="1">
        <f t="shared" si="170"/>
        <v>0</v>
      </c>
      <c r="U411" s="1">
        <f t="shared" si="171"/>
        <v>0</v>
      </c>
      <c r="V411" s="1">
        <f t="shared" si="172"/>
        <v>0</v>
      </c>
      <c r="W411" s="1">
        <f t="shared" si="173"/>
        <v>0</v>
      </c>
      <c r="X411" s="1">
        <f t="shared" si="174"/>
        <v>0</v>
      </c>
      <c r="Y411" s="1">
        <f t="shared" si="175"/>
        <v>0</v>
      </c>
      <c r="Z411" s="1">
        <f t="shared" si="176"/>
        <v>0</v>
      </c>
      <c r="AA411" s="1">
        <f t="shared" si="177"/>
        <v>0</v>
      </c>
      <c r="AB411" s="1">
        <f t="shared" si="178"/>
        <v>0</v>
      </c>
      <c r="AD411" s="1">
        <f t="shared" si="179"/>
        <v>0</v>
      </c>
      <c r="AE411" s="1">
        <f t="shared" si="180"/>
        <v>1</v>
      </c>
      <c r="AF411" s="1">
        <f t="shared" si="165"/>
        <v>0</v>
      </c>
      <c r="AG411" s="1">
        <f t="shared" si="166"/>
        <v>1</v>
      </c>
      <c r="AH411" s="1">
        <f t="shared" si="167"/>
        <v>0</v>
      </c>
      <c r="AI411" s="1">
        <f t="shared" si="168"/>
        <v>1</v>
      </c>
    </row>
    <row r="412" spans="1:35" s="1" customFormat="1" ht="14.25" customHeight="1" x14ac:dyDescent="0.25">
      <c r="A412" s="31">
        <v>0</v>
      </c>
      <c r="B412" s="31">
        <v>2</v>
      </c>
      <c r="C412" s="31">
        <v>7</v>
      </c>
      <c r="D412" s="32" t="s">
        <v>55</v>
      </c>
      <c r="E412" s="32" t="s">
        <v>28</v>
      </c>
      <c r="F412" s="32" t="s">
        <v>640</v>
      </c>
      <c r="G412" s="32" t="s">
        <v>531</v>
      </c>
      <c r="H412" s="32" t="s">
        <v>352</v>
      </c>
      <c r="I412" s="31" t="s">
        <v>392</v>
      </c>
      <c r="J412" s="31">
        <v>6</v>
      </c>
      <c r="K412" s="33" t="s">
        <v>708</v>
      </c>
      <c r="L412" s="33" t="s">
        <v>709</v>
      </c>
      <c r="M412" s="34" t="s">
        <v>727</v>
      </c>
      <c r="N412" s="34" t="s">
        <v>1735</v>
      </c>
      <c r="O412" s="35">
        <v>1</v>
      </c>
      <c r="P412" s="35"/>
      <c r="Q412" s="32"/>
      <c r="S412" s="1">
        <f t="shared" si="169"/>
        <v>0</v>
      </c>
      <c r="T412" s="1">
        <f t="shared" si="170"/>
        <v>0</v>
      </c>
      <c r="U412" s="1">
        <f t="shared" si="171"/>
        <v>0</v>
      </c>
      <c r="V412" s="1">
        <f t="shared" si="172"/>
        <v>0</v>
      </c>
      <c r="W412" s="1">
        <f t="shared" si="173"/>
        <v>0</v>
      </c>
      <c r="X412" s="1">
        <f t="shared" si="174"/>
        <v>1</v>
      </c>
      <c r="Y412" s="1">
        <f t="shared" si="175"/>
        <v>0</v>
      </c>
      <c r="Z412" s="1">
        <f t="shared" si="176"/>
        <v>0</v>
      </c>
      <c r="AA412" s="1">
        <f t="shared" si="177"/>
        <v>0</v>
      </c>
      <c r="AB412" s="1">
        <f t="shared" si="178"/>
        <v>0</v>
      </c>
      <c r="AD412" s="1">
        <f t="shared" si="179"/>
        <v>0</v>
      </c>
      <c r="AE412" s="1">
        <f t="shared" si="180"/>
        <v>1</v>
      </c>
      <c r="AF412" s="1">
        <f t="shared" si="165"/>
        <v>0</v>
      </c>
      <c r="AG412" s="1">
        <f t="shared" si="166"/>
        <v>1</v>
      </c>
      <c r="AH412" s="1">
        <f t="shared" si="167"/>
        <v>0</v>
      </c>
      <c r="AI412" s="1">
        <f t="shared" si="168"/>
        <v>1</v>
      </c>
    </row>
    <row r="413" spans="1:35" s="1" customFormat="1" ht="14.25" customHeight="1" x14ac:dyDescent="0.25">
      <c r="A413" s="31">
        <v>1</v>
      </c>
      <c r="B413" s="31">
        <v>2</v>
      </c>
      <c r="C413" s="31">
        <v>7</v>
      </c>
      <c r="D413" s="32" t="s">
        <v>55</v>
      </c>
      <c r="E413" s="32" t="s">
        <v>28</v>
      </c>
      <c r="F413" s="32" t="s">
        <v>215</v>
      </c>
      <c r="G413" s="32" t="s">
        <v>39</v>
      </c>
      <c r="H413" s="32" t="s">
        <v>352</v>
      </c>
      <c r="I413" s="31" t="s">
        <v>30</v>
      </c>
      <c r="J413" s="31">
        <v>99</v>
      </c>
      <c r="K413" s="33" t="s">
        <v>708</v>
      </c>
      <c r="L413" s="33" t="s">
        <v>709</v>
      </c>
      <c r="M413" s="34" t="s">
        <v>727</v>
      </c>
      <c r="N413" s="34" t="s">
        <v>1735</v>
      </c>
      <c r="O413" s="35">
        <v>1</v>
      </c>
      <c r="P413" s="35"/>
      <c r="Q413" s="32"/>
      <c r="S413" s="1">
        <f t="shared" si="169"/>
        <v>0</v>
      </c>
      <c r="T413" s="1">
        <f t="shared" si="170"/>
        <v>0</v>
      </c>
      <c r="U413" s="1">
        <f t="shared" si="171"/>
        <v>0</v>
      </c>
      <c r="V413" s="1">
        <f t="shared" si="172"/>
        <v>0</v>
      </c>
      <c r="W413" s="1">
        <f t="shared" si="173"/>
        <v>0</v>
      </c>
      <c r="X413" s="1">
        <f t="shared" si="174"/>
        <v>0</v>
      </c>
      <c r="Y413" s="1">
        <f t="shared" si="175"/>
        <v>0</v>
      </c>
      <c r="Z413" s="1">
        <f t="shared" si="176"/>
        <v>0</v>
      </c>
      <c r="AA413" s="1">
        <f t="shared" si="177"/>
        <v>0</v>
      </c>
      <c r="AB413" s="1">
        <f t="shared" si="178"/>
        <v>0</v>
      </c>
      <c r="AD413" s="1">
        <f t="shared" si="179"/>
        <v>0</v>
      </c>
      <c r="AE413" s="1">
        <f t="shared" si="180"/>
        <v>1</v>
      </c>
      <c r="AF413" s="1">
        <f t="shared" si="165"/>
        <v>0</v>
      </c>
      <c r="AG413" s="1">
        <f t="shared" si="166"/>
        <v>0</v>
      </c>
      <c r="AH413" s="1">
        <f t="shared" si="167"/>
        <v>0</v>
      </c>
      <c r="AI413" s="1">
        <f t="shared" si="168"/>
        <v>0</v>
      </c>
    </row>
    <row r="414" spans="1:35" s="1" customFormat="1" ht="14.25" customHeight="1" x14ac:dyDescent="0.25">
      <c r="A414" s="31">
        <v>1</v>
      </c>
      <c r="B414" s="31">
        <v>2</v>
      </c>
      <c r="C414" s="31">
        <v>7</v>
      </c>
      <c r="D414" s="32" t="s">
        <v>55</v>
      </c>
      <c r="E414" s="32" t="s">
        <v>28</v>
      </c>
      <c r="F414" s="32" t="s">
        <v>214</v>
      </c>
      <c r="G414" s="32" t="s">
        <v>39</v>
      </c>
      <c r="H414" s="32" t="s">
        <v>352</v>
      </c>
      <c r="I414" s="31" t="s">
        <v>392</v>
      </c>
      <c r="J414" s="31">
        <v>99</v>
      </c>
      <c r="K414" s="33" t="s">
        <v>708</v>
      </c>
      <c r="L414" s="33" t="s">
        <v>709</v>
      </c>
      <c r="M414" s="34" t="s">
        <v>727</v>
      </c>
      <c r="N414" s="34" t="s">
        <v>1735</v>
      </c>
      <c r="O414" s="35">
        <v>1</v>
      </c>
      <c r="P414" s="35"/>
      <c r="Q414" s="32"/>
      <c r="S414" s="1">
        <f t="shared" si="169"/>
        <v>0</v>
      </c>
      <c r="T414" s="1">
        <f t="shared" si="170"/>
        <v>0</v>
      </c>
      <c r="U414" s="1">
        <f t="shared" si="171"/>
        <v>0</v>
      </c>
      <c r="V414" s="1">
        <f t="shared" si="172"/>
        <v>0</v>
      </c>
      <c r="W414" s="1">
        <f t="shared" si="173"/>
        <v>0</v>
      </c>
      <c r="X414" s="1">
        <f t="shared" si="174"/>
        <v>0</v>
      </c>
      <c r="Y414" s="1">
        <f t="shared" si="175"/>
        <v>0</v>
      </c>
      <c r="Z414" s="1">
        <f t="shared" si="176"/>
        <v>0</v>
      </c>
      <c r="AA414" s="1">
        <f t="shared" si="177"/>
        <v>0</v>
      </c>
      <c r="AB414" s="1">
        <f t="shared" si="178"/>
        <v>0</v>
      </c>
      <c r="AD414" s="1">
        <f t="shared" si="179"/>
        <v>0</v>
      </c>
      <c r="AE414" s="1">
        <f t="shared" si="180"/>
        <v>1</v>
      </c>
      <c r="AF414" s="1">
        <f t="shared" si="165"/>
        <v>0</v>
      </c>
      <c r="AG414" s="1">
        <f t="shared" si="166"/>
        <v>0</v>
      </c>
      <c r="AH414" s="1">
        <f t="shared" si="167"/>
        <v>0</v>
      </c>
      <c r="AI414" s="1">
        <f t="shared" si="168"/>
        <v>0</v>
      </c>
    </row>
    <row r="415" spans="1:35" s="1" customFormat="1" ht="14.25" customHeight="1" x14ac:dyDescent="0.25">
      <c r="A415" s="31">
        <v>1</v>
      </c>
      <c r="B415" s="31">
        <v>2</v>
      </c>
      <c r="C415" s="31">
        <v>7</v>
      </c>
      <c r="D415" s="32" t="s">
        <v>55</v>
      </c>
      <c r="E415" s="32" t="s">
        <v>28</v>
      </c>
      <c r="F415" s="32" t="s">
        <v>216</v>
      </c>
      <c r="G415" s="32" t="s">
        <v>217</v>
      </c>
      <c r="H415" s="32" t="s">
        <v>352</v>
      </c>
      <c r="I415" s="31" t="s">
        <v>393</v>
      </c>
      <c r="J415" s="31">
        <v>99</v>
      </c>
      <c r="K415" s="33" t="s">
        <v>708</v>
      </c>
      <c r="L415" s="33" t="s">
        <v>709</v>
      </c>
      <c r="M415" s="34" t="s">
        <v>727</v>
      </c>
      <c r="N415" s="34" t="s">
        <v>1735</v>
      </c>
      <c r="O415" s="35">
        <v>1</v>
      </c>
      <c r="P415" s="35"/>
      <c r="Q415" s="32"/>
      <c r="S415" s="1">
        <f t="shared" si="169"/>
        <v>0</v>
      </c>
      <c r="T415" s="1">
        <f t="shared" si="170"/>
        <v>0</v>
      </c>
      <c r="U415" s="1">
        <f t="shared" si="171"/>
        <v>0</v>
      </c>
      <c r="V415" s="1">
        <f t="shared" si="172"/>
        <v>0</v>
      </c>
      <c r="W415" s="1">
        <f t="shared" si="173"/>
        <v>0</v>
      </c>
      <c r="X415" s="1">
        <f t="shared" si="174"/>
        <v>0</v>
      </c>
      <c r="Y415" s="1">
        <f t="shared" si="175"/>
        <v>0</v>
      </c>
      <c r="Z415" s="1">
        <f t="shared" si="176"/>
        <v>0</v>
      </c>
      <c r="AA415" s="1">
        <f t="shared" si="177"/>
        <v>0</v>
      </c>
      <c r="AB415" s="1">
        <f t="shared" si="178"/>
        <v>0</v>
      </c>
      <c r="AD415" s="1">
        <f t="shared" si="179"/>
        <v>0</v>
      </c>
      <c r="AE415" s="1">
        <f t="shared" si="180"/>
        <v>1</v>
      </c>
      <c r="AF415" s="1">
        <f t="shared" si="165"/>
        <v>0</v>
      </c>
      <c r="AG415" s="1">
        <f t="shared" si="166"/>
        <v>0</v>
      </c>
      <c r="AH415" s="1">
        <f t="shared" si="167"/>
        <v>0</v>
      </c>
      <c r="AI415" s="1">
        <f t="shared" si="168"/>
        <v>0</v>
      </c>
    </row>
    <row r="416" spans="1:35" s="1" customFormat="1" ht="14.25" customHeight="1" x14ac:dyDescent="0.25">
      <c r="A416" s="31">
        <v>0</v>
      </c>
      <c r="B416" s="31">
        <v>2</v>
      </c>
      <c r="C416" s="31">
        <v>7</v>
      </c>
      <c r="D416" s="36" t="s">
        <v>2023</v>
      </c>
      <c r="E416" s="36" t="s">
        <v>155</v>
      </c>
      <c r="F416" s="36" t="s">
        <v>2024</v>
      </c>
      <c r="G416" s="36" t="s">
        <v>219</v>
      </c>
      <c r="H416" s="36" t="s">
        <v>352</v>
      </c>
      <c r="I416" s="37" t="s">
        <v>2025</v>
      </c>
      <c r="J416" s="31">
        <v>99</v>
      </c>
      <c r="K416" s="33" t="s">
        <v>699</v>
      </c>
      <c r="L416" s="33">
        <v>10</v>
      </c>
      <c r="M416" s="34" t="s">
        <v>2026</v>
      </c>
      <c r="N416" s="34" t="s">
        <v>1722</v>
      </c>
      <c r="O416" s="35">
        <v>1</v>
      </c>
      <c r="P416" s="35"/>
      <c r="Q416" s="32"/>
      <c r="S416" s="1">
        <f t="shared" si="169"/>
        <v>0</v>
      </c>
      <c r="T416" s="1">
        <f t="shared" si="170"/>
        <v>0</v>
      </c>
      <c r="U416" s="1">
        <f t="shared" si="171"/>
        <v>0</v>
      </c>
      <c r="V416" s="1">
        <f t="shared" si="172"/>
        <v>0</v>
      </c>
      <c r="W416" s="1">
        <f t="shared" si="173"/>
        <v>0</v>
      </c>
      <c r="X416" s="1">
        <f t="shared" si="174"/>
        <v>0</v>
      </c>
      <c r="Y416" s="1">
        <f t="shared" si="175"/>
        <v>0</v>
      </c>
      <c r="Z416" s="1">
        <f t="shared" si="176"/>
        <v>0</v>
      </c>
      <c r="AA416" s="1">
        <f t="shared" si="177"/>
        <v>0</v>
      </c>
      <c r="AB416" s="1">
        <f t="shared" si="178"/>
        <v>0</v>
      </c>
      <c r="AD416" s="1">
        <f t="shared" si="179"/>
        <v>0</v>
      </c>
      <c r="AE416" s="1">
        <f t="shared" si="180"/>
        <v>1</v>
      </c>
      <c r="AF416" s="1">
        <f t="shared" si="165"/>
        <v>0</v>
      </c>
      <c r="AG416" s="1">
        <f t="shared" si="166"/>
        <v>1</v>
      </c>
      <c r="AH416" s="1">
        <f t="shared" si="167"/>
        <v>0</v>
      </c>
      <c r="AI416" s="1">
        <f t="shared" si="168"/>
        <v>1</v>
      </c>
    </row>
    <row r="417" spans="1:35" s="1" customFormat="1" ht="14.25" customHeight="1" x14ac:dyDescent="0.25">
      <c r="A417" s="44">
        <v>0</v>
      </c>
      <c r="B417" s="44">
        <v>2</v>
      </c>
      <c r="C417" s="44">
        <v>7</v>
      </c>
      <c r="D417" s="45" t="s">
        <v>68</v>
      </c>
      <c r="E417" s="45" t="s">
        <v>28</v>
      </c>
      <c r="F417" s="45" t="s">
        <v>252</v>
      </c>
      <c r="G417" s="45" t="s">
        <v>253</v>
      </c>
      <c r="H417" s="45" t="s">
        <v>352</v>
      </c>
      <c r="I417" s="44" t="s">
        <v>412</v>
      </c>
      <c r="J417" s="44">
        <v>99</v>
      </c>
      <c r="K417" s="46" t="s">
        <v>709</v>
      </c>
      <c r="L417" s="46" t="s">
        <v>709</v>
      </c>
      <c r="M417" s="47" t="s">
        <v>727</v>
      </c>
      <c r="N417" s="47" t="s">
        <v>1776</v>
      </c>
      <c r="O417" s="48"/>
      <c r="P417" s="48"/>
      <c r="Q417" s="45"/>
      <c r="S417" s="1">
        <f t="shared" si="169"/>
        <v>0</v>
      </c>
      <c r="T417" s="1">
        <f t="shared" si="170"/>
        <v>0</v>
      </c>
      <c r="U417" s="1">
        <f t="shared" si="171"/>
        <v>0</v>
      </c>
      <c r="V417" s="1">
        <f t="shared" si="172"/>
        <v>0</v>
      </c>
      <c r="W417" s="1">
        <f t="shared" si="173"/>
        <v>0</v>
      </c>
      <c r="X417" s="1">
        <f t="shared" si="174"/>
        <v>0</v>
      </c>
      <c r="Y417" s="1">
        <f t="shared" si="175"/>
        <v>0</v>
      </c>
      <c r="Z417" s="1">
        <f t="shared" si="176"/>
        <v>0</v>
      </c>
      <c r="AA417" s="1">
        <f t="shared" si="177"/>
        <v>0</v>
      </c>
      <c r="AB417" s="1">
        <f t="shared" si="178"/>
        <v>0</v>
      </c>
      <c r="AD417" s="1">
        <f t="shared" si="179"/>
        <v>0</v>
      </c>
      <c r="AE417" s="1">
        <f t="shared" si="180"/>
        <v>0</v>
      </c>
      <c r="AF417" s="1">
        <f t="shared" si="165"/>
        <v>0</v>
      </c>
      <c r="AG417" s="1">
        <f t="shared" si="166"/>
        <v>0</v>
      </c>
      <c r="AH417" s="1">
        <f t="shared" si="167"/>
        <v>0</v>
      </c>
      <c r="AI417" s="1">
        <f t="shared" si="168"/>
        <v>1</v>
      </c>
    </row>
    <row r="418" spans="1:35" s="1" customFormat="1" ht="14.25" customHeight="1" x14ac:dyDescent="0.25">
      <c r="A418" s="31">
        <v>0</v>
      </c>
      <c r="B418" s="31">
        <v>2</v>
      </c>
      <c r="C418" s="31">
        <v>7</v>
      </c>
      <c r="D418" s="32" t="s">
        <v>1987</v>
      </c>
      <c r="E418" s="32" t="s">
        <v>28</v>
      </c>
      <c r="F418" s="32" t="s">
        <v>1989</v>
      </c>
      <c r="G418" s="32" t="s">
        <v>1091</v>
      </c>
      <c r="H418" s="32" t="s">
        <v>352</v>
      </c>
      <c r="I418" s="31" t="s">
        <v>1990</v>
      </c>
      <c r="J418" s="31">
        <v>1</v>
      </c>
      <c r="K418" s="33" t="s">
        <v>699</v>
      </c>
      <c r="L418" s="33"/>
      <c r="M418" s="34"/>
      <c r="N418" s="34" t="s">
        <v>1701</v>
      </c>
      <c r="O418" s="35">
        <v>1</v>
      </c>
      <c r="P418" s="35">
        <v>1</v>
      </c>
      <c r="Q418" s="32" t="s">
        <v>1992</v>
      </c>
      <c r="S418" s="1">
        <f t="shared" si="169"/>
        <v>1</v>
      </c>
      <c r="T418" s="1">
        <f t="shared" si="170"/>
        <v>0</v>
      </c>
      <c r="U418" s="1">
        <f t="shared" si="171"/>
        <v>0</v>
      </c>
      <c r="V418" s="1">
        <f t="shared" si="172"/>
        <v>0</v>
      </c>
      <c r="W418" s="1">
        <f t="shared" si="173"/>
        <v>0</v>
      </c>
      <c r="X418" s="1">
        <f t="shared" si="174"/>
        <v>0</v>
      </c>
      <c r="Y418" s="1">
        <f t="shared" si="175"/>
        <v>0</v>
      </c>
      <c r="Z418" s="1">
        <f t="shared" si="176"/>
        <v>0</v>
      </c>
      <c r="AA418" s="1">
        <f t="shared" si="177"/>
        <v>0</v>
      </c>
      <c r="AB418" s="1">
        <f t="shared" si="178"/>
        <v>0</v>
      </c>
      <c r="AD418" s="1">
        <f t="shared" si="179"/>
        <v>1</v>
      </c>
      <c r="AE418" s="1">
        <f t="shared" si="180"/>
        <v>0</v>
      </c>
      <c r="AF418" s="1">
        <f t="shared" si="165"/>
        <v>1</v>
      </c>
      <c r="AG418" s="1">
        <f t="shared" si="166"/>
        <v>0</v>
      </c>
      <c r="AH418" s="1">
        <f t="shared" si="167"/>
        <v>1</v>
      </c>
      <c r="AI418" s="1">
        <f t="shared" si="168"/>
        <v>0</v>
      </c>
    </row>
    <row r="419" spans="1:35" s="1" customFormat="1" ht="14.25" customHeight="1" x14ac:dyDescent="0.25">
      <c r="A419" s="31">
        <v>1</v>
      </c>
      <c r="B419" s="31">
        <v>2</v>
      </c>
      <c r="C419" s="31">
        <v>7</v>
      </c>
      <c r="D419" s="32" t="s">
        <v>1987</v>
      </c>
      <c r="E419" s="32" t="s">
        <v>28</v>
      </c>
      <c r="F419" s="32" t="s">
        <v>1988</v>
      </c>
      <c r="G419" s="36" t="s">
        <v>1994</v>
      </c>
      <c r="H419" s="32" t="s">
        <v>352</v>
      </c>
      <c r="I419" s="31" t="s">
        <v>1991</v>
      </c>
      <c r="J419" s="31">
        <v>8</v>
      </c>
      <c r="K419" s="33" t="s">
        <v>699</v>
      </c>
      <c r="L419" s="33"/>
      <c r="M419" s="34"/>
      <c r="N419" s="34" t="s">
        <v>1701</v>
      </c>
      <c r="O419" s="35">
        <v>1</v>
      </c>
      <c r="P419" s="35">
        <v>1</v>
      </c>
      <c r="Q419" s="32" t="s">
        <v>1993</v>
      </c>
      <c r="S419" s="1">
        <f t="shared" si="169"/>
        <v>0</v>
      </c>
      <c r="T419" s="1">
        <f t="shared" si="170"/>
        <v>0</v>
      </c>
      <c r="U419" s="1">
        <f t="shared" si="171"/>
        <v>0</v>
      </c>
      <c r="V419" s="1">
        <f t="shared" si="172"/>
        <v>0</v>
      </c>
      <c r="W419" s="1">
        <f t="shared" si="173"/>
        <v>0</v>
      </c>
      <c r="X419" s="1">
        <f t="shared" si="174"/>
        <v>0</v>
      </c>
      <c r="Y419" s="1">
        <f t="shared" si="175"/>
        <v>0</v>
      </c>
      <c r="Z419" s="1">
        <f t="shared" si="176"/>
        <v>1</v>
      </c>
      <c r="AA419" s="1">
        <f t="shared" si="177"/>
        <v>0</v>
      </c>
      <c r="AB419" s="1">
        <f t="shared" si="178"/>
        <v>0</v>
      </c>
      <c r="AD419" s="1">
        <f t="shared" si="179"/>
        <v>1</v>
      </c>
      <c r="AE419" s="1">
        <f t="shared" si="180"/>
        <v>0</v>
      </c>
      <c r="AF419" s="1">
        <f t="shared" si="165"/>
        <v>0</v>
      </c>
      <c r="AG419" s="1">
        <f t="shared" si="166"/>
        <v>0</v>
      </c>
      <c r="AH419" s="1">
        <f t="shared" si="167"/>
        <v>0</v>
      </c>
      <c r="AI419" s="1">
        <f t="shared" si="168"/>
        <v>0</v>
      </c>
    </row>
    <row r="420" spans="1:35" s="1" customFormat="1" ht="14.25" customHeight="1" x14ac:dyDescent="0.25">
      <c r="A420" s="31">
        <v>0</v>
      </c>
      <c r="B420" s="31">
        <v>2</v>
      </c>
      <c r="C420" s="31">
        <v>7</v>
      </c>
      <c r="D420" s="32" t="s">
        <v>69</v>
      </c>
      <c r="E420" s="32" t="s">
        <v>28</v>
      </c>
      <c r="F420" s="32" t="s">
        <v>254</v>
      </c>
      <c r="G420" s="36" t="s">
        <v>206</v>
      </c>
      <c r="H420" s="32" t="s">
        <v>352</v>
      </c>
      <c r="I420" s="31" t="s">
        <v>413</v>
      </c>
      <c r="J420" s="31">
        <v>99</v>
      </c>
      <c r="K420" s="33" t="s">
        <v>942</v>
      </c>
      <c r="L420" s="33" t="s">
        <v>709</v>
      </c>
      <c r="M420" s="34" t="s">
        <v>727</v>
      </c>
      <c r="N420" s="34" t="s">
        <v>1707</v>
      </c>
      <c r="O420" s="35">
        <v>1</v>
      </c>
      <c r="P420" s="35">
        <v>1</v>
      </c>
      <c r="Q420" s="32"/>
      <c r="S420" s="1">
        <f t="shared" ref="S420:S469" si="181">IF(J420=$S$7,1,0)</f>
        <v>0</v>
      </c>
      <c r="T420" s="1">
        <f t="shared" ref="T420:T469" si="182">IF(J420=$T$7,1,0)</f>
        <v>0</v>
      </c>
      <c r="U420" s="1">
        <f t="shared" ref="U420:U469" si="183">IF(J420=$U$7,1,0)</f>
        <v>0</v>
      </c>
      <c r="V420" s="1">
        <f t="shared" ref="V420:V469" si="184">IF(J420=$V$7,1,0)</f>
        <v>0</v>
      </c>
      <c r="W420" s="1">
        <f t="shared" ref="W420:W469" si="185">IF(J420=$W$7,1,0)</f>
        <v>0</v>
      </c>
      <c r="X420" s="1">
        <f t="shared" ref="X420:X469" si="186">IF(J420=$X$7,1,0)</f>
        <v>0</v>
      </c>
      <c r="Y420" s="1">
        <f t="shared" ref="Y420:Y469" si="187">IF(J420=$Y$7,1,0)</f>
        <v>0</v>
      </c>
      <c r="Z420" s="1">
        <f t="shared" ref="Z420:Z469" si="188">IF(J420=$Z$7,1,0)</f>
        <v>0</v>
      </c>
      <c r="AA420" s="1">
        <f t="shared" ref="AA420:AA469" si="189">IF(J420=$AA$7,1,0)</f>
        <v>0</v>
      </c>
      <c r="AB420" s="1">
        <f t="shared" ref="AB420:AB469" si="190">IF(J420=$AB$7,1,0)</f>
        <v>0</v>
      </c>
      <c r="AD420" s="1">
        <f t="shared" ref="AD420:AD469" si="191">+O420*P420</f>
        <v>1</v>
      </c>
      <c r="AE420" s="1">
        <f t="shared" ref="AE420:AE469" si="192">O420*(1-P420)</f>
        <v>0</v>
      </c>
      <c r="AF420" s="1">
        <f t="shared" ref="AF420:AF465" si="193">+O420*P420*(1-A420)</f>
        <v>1</v>
      </c>
      <c r="AG420" s="1">
        <f t="shared" ref="AG420:AG465" si="194">O420*(1-P420)*(1-A420)</f>
        <v>0</v>
      </c>
      <c r="AH420" s="1">
        <f t="shared" ref="AH420:AH465" si="195">+P420*(1-A420)</f>
        <v>1</v>
      </c>
      <c r="AI420" s="1">
        <f t="shared" ref="AI420:AI465" si="196">+(1-A420)*(1-P420)</f>
        <v>0</v>
      </c>
    </row>
    <row r="421" spans="1:35" s="1" customFormat="1" ht="14.25" customHeight="1" x14ac:dyDescent="0.25">
      <c r="A421" s="31">
        <v>1</v>
      </c>
      <c r="B421" s="31">
        <v>2</v>
      </c>
      <c r="C421" s="31">
        <v>7</v>
      </c>
      <c r="D421" s="32" t="s">
        <v>69</v>
      </c>
      <c r="E421" s="32" t="s">
        <v>28</v>
      </c>
      <c r="F421" s="32" t="s">
        <v>1848</v>
      </c>
      <c r="G421" s="36" t="s">
        <v>255</v>
      </c>
      <c r="H421" s="32" t="s">
        <v>352</v>
      </c>
      <c r="I421" s="31" t="s">
        <v>414</v>
      </c>
      <c r="J421" s="31">
        <v>99</v>
      </c>
      <c r="K421" s="33" t="s">
        <v>942</v>
      </c>
      <c r="L421" s="33" t="s">
        <v>709</v>
      </c>
      <c r="M421" s="34" t="s">
        <v>727</v>
      </c>
      <c r="N421" s="34" t="s">
        <v>1707</v>
      </c>
      <c r="O421" s="35">
        <v>1</v>
      </c>
      <c r="P421" s="35">
        <v>1</v>
      </c>
      <c r="Q421" s="32"/>
      <c r="S421" s="1">
        <f t="shared" si="181"/>
        <v>0</v>
      </c>
      <c r="T421" s="1">
        <f t="shared" si="182"/>
        <v>0</v>
      </c>
      <c r="U421" s="1">
        <f t="shared" si="183"/>
        <v>0</v>
      </c>
      <c r="V421" s="1">
        <f t="shared" si="184"/>
        <v>0</v>
      </c>
      <c r="W421" s="1">
        <f t="shared" si="185"/>
        <v>0</v>
      </c>
      <c r="X421" s="1">
        <f t="shared" si="186"/>
        <v>0</v>
      </c>
      <c r="Y421" s="1">
        <f t="shared" si="187"/>
        <v>0</v>
      </c>
      <c r="Z421" s="1">
        <f t="shared" si="188"/>
        <v>0</v>
      </c>
      <c r="AA421" s="1">
        <f t="shared" si="189"/>
        <v>0</v>
      </c>
      <c r="AB421" s="1">
        <f t="shared" si="190"/>
        <v>0</v>
      </c>
      <c r="AD421" s="1">
        <f t="shared" si="191"/>
        <v>1</v>
      </c>
      <c r="AE421" s="1">
        <f t="shared" si="192"/>
        <v>0</v>
      </c>
      <c r="AF421" s="1">
        <f t="shared" si="193"/>
        <v>0</v>
      </c>
      <c r="AG421" s="1">
        <f t="shared" si="194"/>
        <v>0</v>
      </c>
      <c r="AH421" s="1">
        <f t="shared" si="195"/>
        <v>0</v>
      </c>
      <c r="AI421" s="1">
        <f t="shared" si="196"/>
        <v>0</v>
      </c>
    </row>
    <row r="422" spans="1:35" s="1" customFormat="1" ht="14.25" customHeight="1" x14ac:dyDescent="0.25">
      <c r="A422" s="31">
        <v>1</v>
      </c>
      <c r="B422" s="31">
        <v>2</v>
      </c>
      <c r="C422" s="31">
        <v>7</v>
      </c>
      <c r="D422" s="32" t="s">
        <v>69</v>
      </c>
      <c r="E422" s="32" t="s">
        <v>28</v>
      </c>
      <c r="F422" s="32" t="s">
        <v>566</v>
      </c>
      <c r="G422" s="36" t="s">
        <v>567</v>
      </c>
      <c r="H422" s="32" t="s">
        <v>352</v>
      </c>
      <c r="I422" s="31" t="s">
        <v>576</v>
      </c>
      <c r="J422" s="31">
        <v>99</v>
      </c>
      <c r="K422" s="33" t="s">
        <v>942</v>
      </c>
      <c r="L422" s="33" t="s">
        <v>709</v>
      </c>
      <c r="M422" s="34" t="s">
        <v>727</v>
      </c>
      <c r="N422" s="34" t="s">
        <v>1707</v>
      </c>
      <c r="O422" s="35">
        <v>1</v>
      </c>
      <c r="P422" s="35">
        <v>1</v>
      </c>
      <c r="Q422" s="32"/>
      <c r="S422" s="1">
        <f t="shared" si="181"/>
        <v>0</v>
      </c>
      <c r="T422" s="1">
        <f t="shared" si="182"/>
        <v>0</v>
      </c>
      <c r="U422" s="1">
        <f t="shared" si="183"/>
        <v>0</v>
      </c>
      <c r="V422" s="1">
        <f t="shared" si="184"/>
        <v>0</v>
      </c>
      <c r="W422" s="1">
        <f t="shared" si="185"/>
        <v>0</v>
      </c>
      <c r="X422" s="1">
        <f t="shared" si="186"/>
        <v>0</v>
      </c>
      <c r="Y422" s="1">
        <f t="shared" si="187"/>
        <v>0</v>
      </c>
      <c r="Z422" s="1">
        <f t="shared" si="188"/>
        <v>0</v>
      </c>
      <c r="AA422" s="1">
        <f t="shared" si="189"/>
        <v>0</v>
      </c>
      <c r="AB422" s="1">
        <f t="shared" si="190"/>
        <v>0</v>
      </c>
      <c r="AD422" s="1">
        <f t="shared" si="191"/>
        <v>1</v>
      </c>
      <c r="AE422" s="1">
        <f t="shared" si="192"/>
        <v>0</v>
      </c>
      <c r="AF422" s="1">
        <f t="shared" si="193"/>
        <v>0</v>
      </c>
      <c r="AG422" s="1">
        <f t="shared" si="194"/>
        <v>0</v>
      </c>
      <c r="AH422" s="1">
        <f t="shared" si="195"/>
        <v>0</v>
      </c>
      <c r="AI422" s="1">
        <f t="shared" si="196"/>
        <v>0</v>
      </c>
    </row>
    <row r="423" spans="1:35" s="1" customFormat="1" ht="14.25" customHeight="1" x14ac:dyDescent="0.25">
      <c r="A423" s="44">
        <v>0</v>
      </c>
      <c r="B423" s="44">
        <v>2</v>
      </c>
      <c r="C423" s="44">
        <v>7</v>
      </c>
      <c r="D423" s="45" t="s">
        <v>71</v>
      </c>
      <c r="E423" s="45" t="s">
        <v>28</v>
      </c>
      <c r="F423" s="45" t="s">
        <v>1328</v>
      </c>
      <c r="G423" s="45" t="s">
        <v>258</v>
      </c>
      <c r="H423" s="45" t="s">
        <v>352</v>
      </c>
      <c r="I423" s="44" t="s">
        <v>416</v>
      </c>
      <c r="J423" s="44">
        <v>99</v>
      </c>
      <c r="K423" s="46" t="s">
        <v>709</v>
      </c>
      <c r="L423" s="46" t="s">
        <v>709</v>
      </c>
      <c r="M423" s="47" t="s">
        <v>727</v>
      </c>
      <c r="N423" s="47" t="s">
        <v>1776</v>
      </c>
      <c r="O423" s="48"/>
      <c r="P423" s="48"/>
      <c r="Q423" s="45"/>
      <c r="S423" s="1">
        <f t="shared" si="181"/>
        <v>0</v>
      </c>
      <c r="T423" s="1">
        <f t="shared" si="182"/>
        <v>0</v>
      </c>
      <c r="U423" s="1">
        <f t="shared" si="183"/>
        <v>0</v>
      </c>
      <c r="V423" s="1">
        <f t="shared" si="184"/>
        <v>0</v>
      </c>
      <c r="W423" s="1">
        <f t="shared" si="185"/>
        <v>0</v>
      </c>
      <c r="X423" s="1">
        <f t="shared" si="186"/>
        <v>0</v>
      </c>
      <c r="Y423" s="1">
        <f t="shared" si="187"/>
        <v>0</v>
      </c>
      <c r="Z423" s="1">
        <f t="shared" si="188"/>
        <v>0</v>
      </c>
      <c r="AA423" s="1">
        <f t="shared" si="189"/>
        <v>0</v>
      </c>
      <c r="AB423" s="1">
        <f t="shared" si="190"/>
        <v>0</v>
      </c>
      <c r="AD423" s="1">
        <f t="shared" si="191"/>
        <v>0</v>
      </c>
      <c r="AE423" s="1">
        <f t="shared" si="192"/>
        <v>0</v>
      </c>
      <c r="AF423" s="1">
        <f t="shared" si="193"/>
        <v>0</v>
      </c>
      <c r="AG423" s="1">
        <f t="shared" si="194"/>
        <v>0</v>
      </c>
      <c r="AH423" s="1">
        <f t="shared" si="195"/>
        <v>0</v>
      </c>
      <c r="AI423" s="1">
        <f t="shared" si="196"/>
        <v>1</v>
      </c>
    </row>
    <row r="424" spans="1:35" s="1" customFormat="1" ht="14.25" customHeight="1" x14ac:dyDescent="0.25">
      <c r="A424" s="44">
        <v>0</v>
      </c>
      <c r="B424" s="44">
        <v>2</v>
      </c>
      <c r="C424" s="44">
        <v>7</v>
      </c>
      <c r="D424" s="45" t="s">
        <v>1049</v>
      </c>
      <c r="E424" s="45" t="s">
        <v>28</v>
      </c>
      <c r="F424" s="45" t="s">
        <v>1050</v>
      </c>
      <c r="G424" s="45" t="s">
        <v>1051</v>
      </c>
      <c r="H424" s="45" t="s">
        <v>352</v>
      </c>
      <c r="I424" s="44" t="s">
        <v>1052</v>
      </c>
      <c r="J424" s="44">
        <v>99</v>
      </c>
      <c r="K424" s="46" t="s">
        <v>709</v>
      </c>
      <c r="L424" s="46" t="s">
        <v>709</v>
      </c>
      <c r="M424" s="47" t="s">
        <v>727</v>
      </c>
      <c r="N424" s="47" t="s">
        <v>1776</v>
      </c>
      <c r="O424" s="48"/>
      <c r="P424" s="48"/>
      <c r="Q424" s="45"/>
      <c r="S424" s="1">
        <f t="shared" si="181"/>
        <v>0</v>
      </c>
      <c r="T424" s="1">
        <f t="shared" si="182"/>
        <v>0</v>
      </c>
      <c r="U424" s="1">
        <f t="shared" si="183"/>
        <v>0</v>
      </c>
      <c r="V424" s="1">
        <f t="shared" si="184"/>
        <v>0</v>
      </c>
      <c r="W424" s="1">
        <f t="shared" si="185"/>
        <v>0</v>
      </c>
      <c r="X424" s="1">
        <f t="shared" si="186"/>
        <v>0</v>
      </c>
      <c r="Y424" s="1">
        <f t="shared" si="187"/>
        <v>0</v>
      </c>
      <c r="Z424" s="1">
        <f t="shared" si="188"/>
        <v>0</v>
      </c>
      <c r="AA424" s="1">
        <f t="shared" si="189"/>
        <v>0</v>
      </c>
      <c r="AB424" s="1">
        <f t="shared" si="190"/>
        <v>0</v>
      </c>
      <c r="AD424" s="1">
        <f t="shared" si="191"/>
        <v>0</v>
      </c>
      <c r="AE424" s="1">
        <f t="shared" si="192"/>
        <v>0</v>
      </c>
      <c r="AF424" s="1">
        <f t="shared" si="193"/>
        <v>0</v>
      </c>
      <c r="AG424" s="1">
        <f t="shared" si="194"/>
        <v>0</v>
      </c>
      <c r="AH424" s="1">
        <f t="shared" si="195"/>
        <v>0</v>
      </c>
      <c r="AI424" s="1">
        <f t="shared" si="196"/>
        <v>1</v>
      </c>
    </row>
    <row r="425" spans="1:35" s="1" customFormat="1" ht="14.25" customHeight="1" x14ac:dyDescent="0.25">
      <c r="A425" s="31">
        <v>0</v>
      </c>
      <c r="B425" s="31">
        <v>2</v>
      </c>
      <c r="C425" s="31">
        <v>7</v>
      </c>
      <c r="D425" s="32" t="s">
        <v>1780</v>
      </c>
      <c r="E425" s="32" t="s">
        <v>155</v>
      </c>
      <c r="F425" s="32" t="s">
        <v>1781</v>
      </c>
      <c r="G425" s="32"/>
      <c r="H425" s="32" t="s">
        <v>352</v>
      </c>
      <c r="I425" s="31" t="s">
        <v>1782</v>
      </c>
      <c r="J425" s="31">
        <v>99</v>
      </c>
      <c r="K425" s="33" t="s">
        <v>699</v>
      </c>
      <c r="L425" s="33"/>
      <c r="M425" s="34"/>
      <c r="N425" s="34" t="s">
        <v>1701</v>
      </c>
      <c r="O425" s="35">
        <v>1</v>
      </c>
      <c r="P425" s="35">
        <v>1</v>
      </c>
      <c r="Q425" s="32"/>
      <c r="S425" s="1">
        <f t="shared" si="181"/>
        <v>0</v>
      </c>
      <c r="T425" s="1">
        <f t="shared" si="182"/>
        <v>0</v>
      </c>
      <c r="U425" s="1">
        <f t="shared" si="183"/>
        <v>0</v>
      </c>
      <c r="V425" s="1">
        <f t="shared" si="184"/>
        <v>0</v>
      </c>
      <c r="W425" s="1">
        <f t="shared" si="185"/>
        <v>0</v>
      </c>
      <c r="X425" s="1">
        <f t="shared" si="186"/>
        <v>0</v>
      </c>
      <c r="Y425" s="1">
        <f t="shared" si="187"/>
        <v>0</v>
      </c>
      <c r="Z425" s="1">
        <f t="shared" si="188"/>
        <v>0</v>
      </c>
      <c r="AA425" s="1">
        <f t="shared" si="189"/>
        <v>0</v>
      </c>
      <c r="AB425" s="1">
        <f t="shared" si="190"/>
        <v>0</v>
      </c>
      <c r="AD425" s="1">
        <f t="shared" si="191"/>
        <v>1</v>
      </c>
      <c r="AE425" s="1">
        <f t="shared" si="192"/>
        <v>0</v>
      </c>
      <c r="AF425" s="1">
        <f t="shared" si="193"/>
        <v>1</v>
      </c>
      <c r="AG425" s="1">
        <f t="shared" si="194"/>
        <v>0</v>
      </c>
      <c r="AH425" s="1">
        <f t="shared" si="195"/>
        <v>1</v>
      </c>
      <c r="AI425" s="1">
        <f t="shared" si="196"/>
        <v>0</v>
      </c>
    </row>
    <row r="426" spans="1:35" s="1" customFormat="1" ht="14.25" customHeight="1" x14ac:dyDescent="0.25">
      <c r="A426" s="31">
        <v>0</v>
      </c>
      <c r="B426" s="31">
        <v>2</v>
      </c>
      <c r="C426" s="31">
        <v>7</v>
      </c>
      <c r="D426" s="32" t="s">
        <v>1162</v>
      </c>
      <c r="E426" s="32" t="s">
        <v>155</v>
      </c>
      <c r="F426" s="32" t="s">
        <v>1163</v>
      </c>
      <c r="G426" s="32" t="s">
        <v>291</v>
      </c>
      <c r="H426" s="32" t="s">
        <v>352</v>
      </c>
      <c r="I426" s="31" t="s">
        <v>1164</v>
      </c>
      <c r="J426" s="31">
        <v>99</v>
      </c>
      <c r="K426" s="33" t="s">
        <v>709</v>
      </c>
      <c r="L426" s="33" t="s">
        <v>718</v>
      </c>
      <c r="M426" s="34" t="s">
        <v>1410</v>
      </c>
      <c r="N426" s="34" t="s">
        <v>1722</v>
      </c>
      <c r="O426" s="35">
        <v>1</v>
      </c>
      <c r="P426" s="35"/>
      <c r="Q426" s="32"/>
      <c r="S426" s="1">
        <f t="shared" si="181"/>
        <v>0</v>
      </c>
      <c r="T426" s="1">
        <f t="shared" si="182"/>
        <v>0</v>
      </c>
      <c r="U426" s="1">
        <f t="shared" si="183"/>
        <v>0</v>
      </c>
      <c r="V426" s="1">
        <f t="shared" si="184"/>
        <v>0</v>
      </c>
      <c r="W426" s="1">
        <f t="shared" si="185"/>
        <v>0</v>
      </c>
      <c r="X426" s="1">
        <f t="shared" si="186"/>
        <v>0</v>
      </c>
      <c r="Y426" s="1">
        <f t="shared" si="187"/>
        <v>0</v>
      </c>
      <c r="Z426" s="1">
        <f t="shared" si="188"/>
        <v>0</v>
      </c>
      <c r="AA426" s="1">
        <f t="shared" si="189"/>
        <v>0</v>
      </c>
      <c r="AB426" s="1">
        <f t="shared" si="190"/>
        <v>0</v>
      </c>
      <c r="AD426" s="1">
        <f t="shared" si="191"/>
        <v>0</v>
      </c>
      <c r="AE426" s="1">
        <f t="shared" si="192"/>
        <v>1</v>
      </c>
      <c r="AF426" s="1">
        <f t="shared" si="193"/>
        <v>0</v>
      </c>
      <c r="AG426" s="1">
        <f t="shared" si="194"/>
        <v>1</v>
      </c>
      <c r="AH426" s="1">
        <f t="shared" si="195"/>
        <v>0</v>
      </c>
      <c r="AI426" s="1">
        <f t="shared" si="196"/>
        <v>1</v>
      </c>
    </row>
    <row r="427" spans="1:35" s="1" customFormat="1" ht="14.25" customHeight="1" x14ac:dyDescent="0.25">
      <c r="A427" s="31">
        <v>0</v>
      </c>
      <c r="B427" s="31">
        <v>2</v>
      </c>
      <c r="C427" s="31">
        <v>7</v>
      </c>
      <c r="D427" s="32" t="s">
        <v>1137</v>
      </c>
      <c r="E427" s="32" t="s">
        <v>1138</v>
      </c>
      <c r="F427" s="36" t="s">
        <v>1852</v>
      </c>
      <c r="G427" s="32" t="s">
        <v>624</v>
      </c>
      <c r="H427" s="32" t="s">
        <v>352</v>
      </c>
      <c r="I427" s="31" t="s">
        <v>1139</v>
      </c>
      <c r="J427" s="31">
        <v>99</v>
      </c>
      <c r="K427" s="33" t="s">
        <v>709</v>
      </c>
      <c r="L427" s="33" t="s">
        <v>709</v>
      </c>
      <c r="M427" s="34" t="s">
        <v>727</v>
      </c>
      <c r="N427" s="34" t="s">
        <v>1717</v>
      </c>
      <c r="O427" s="35">
        <v>1</v>
      </c>
      <c r="P427" s="35"/>
      <c r="Q427" s="36" t="s">
        <v>1872</v>
      </c>
      <c r="S427" s="1">
        <f t="shared" si="181"/>
        <v>0</v>
      </c>
      <c r="T427" s="1">
        <f t="shared" si="182"/>
        <v>0</v>
      </c>
      <c r="U427" s="1">
        <f t="shared" si="183"/>
        <v>0</v>
      </c>
      <c r="V427" s="1">
        <f t="shared" si="184"/>
        <v>0</v>
      </c>
      <c r="W427" s="1">
        <f t="shared" si="185"/>
        <v>0</v>
      </c>
      <c r="X427" s="1">
        <f t="shared" si="186"/>
        <v>0</v>
      </c>
      <c r="Y427" s="1">
        <f t="shared" si="187"/>
        <v>0</v>
      </c>
      <c r="Z427" s="1">
        <f t="shared" si="188"/>
        <v>0</v>
      </c>
      <c r="AA427" s="1">
        <f t="shared" si="189"/>
        <v>0</v>
      </c>
      <c r="AB427" s="1">
        <f t="shared" si="190"/>
        <v>0</v>
      </c>
      <c r="AD427" s="1">
        <f t="shared" si="191"/>
        <v>0</v>
      </c>
      <c r="AE427" s="1">
        <f t="shared" si="192"/>
        <v>1</v>
      </c>
      <c r="AF427" s="1">
        <f t="shared" si="193"/>
        <v>0</v>
      </c>
      <c r="AG427" s="1">
        <f t="shared" si="194"/>
        <v>1</v>
      </c>
      <c r="AH427" s="1">
        <f t="shared" si="195"/>
        <v>0</v>
      </c>
      <c r="AI427" s="1">
        <f t="shared" si="196"/>
        <v>1</v>
      </c>
    </row>
    <row r="428" spans="1:35" s="1" customFormat="1" ht="14.25" customHeight="1" x14ac:dyDescent="0.25">
      <c r="A428" s="31">
        <v>0</v>
      </c>
      <c r="B428" s="31">
        <v>2</v>
      </c>
      <c r="C428" s="31">
        <v>7</v>
      </c>
      <c r="D428" s="32" t="s">
        <v>538</v>
      </c>
      <c r="E428" s="32" t="s">
        <v>157</v>
      </c>
      <c r="F428" s="32" t="s">
        <v>194</v>
      </c>
      <c r="G428" s="32" t="s">
        <v>195</v>
      </c>
      <c r="H428" s="32" t="s">
        <v>352</v>
      </c>
      <c r="I428" s="31" t="s">
        <v>546</v>
      </c>
      <c r="J428" s="31">
        <v>99</v>
      </c>
      <c r="K428" s="33" t="s">
        <v>942</v>
      </c>
      <c r="L428" s="33" t="s">
        <v>692</v>
      </c>
      <c r="M428" s="34" t="s">
        <v>1412</v>
      </c>
      <c r="N428" s="34" t="s">
        <v>1722</v>
      </c>
      <c r="O428" s="35">
        <v>1</v>
      </c>
      <c r="P428" s="35"/>
      <c r="Q428" s="32"/>
      <c r="S428" s="1">
        <f t="shared" si="181"/>
        <v>0</v>
      </c>
      <c r="T428" s="1">
        <f t="shared" si="182"/>
        <v>0</v>
      </c>
      <c r="U428" s="1">
        <f t="shared" si="183"/>
        <v>0</v>
      </c>
      <c r="V428" s="1">
        <f t="shared" si="184"/>
        <v>0</v>
      </c>
      <c r="W428" s="1">
        <f t="shared" si="185"/>
        <v>0</v>
      </c>
      <c r="X428" s="1">
        <f t="shared" si="186"/>
        <v>0</v>
      </c>
      <c r="Y428" s="1">
        <f t="shared" si="187"/>
        <v>0</v>
      </c>
      <c r="Z428" s="1">
        <f t="shared" si="188"/>
        <v>0</v>
      </c>
      <c r="AA428" s="1">
        <f t="shared" si="189"/>
        <v>0</v>
      </c>
      <c r="AB428" s="1">
        <f t="shared" si="190"/>
        <v>0</v>
      </c>
      <c r="AD428" s="1">
        <f t="shared" si="191"/>
        <v>0</v>
      </c>
      <c r="AE428" s="1">
        <f t="shared" si="192"/>
        <v>1</v>
      </c>
      <c r="AF428" s="1">
        <f t="shared" si="193"/>
        <v>0</v>
      </c>
      <c r="AG428" s="1">
        <f t="shared" si="194"/>
        <v>1</v>
      </c>
      <c r="AH428" s="1">
        <f t="shared" si="195"/>
        <v>0</v>
      </c>
      <c r="AI428" s="1">
        <f t="shared" si="196"/>
        <v>1</v>
      </c>
    </row>
    <row r="429" spans="1:35" s="1" customFormat="1" ht="14.25" customHeight="1" x14ac:dyDescent="0.25">
      <c r="A429" s="44">
        <v>0</v>
      </c>
      <c r="B429" s="44">
        <v>2</v>
      </c>
      <c r="C429" s="44">
        <v>7</v>
      </c>
      <c r="D429" s="45" t="s">
        <v>46</v>
      </c>
      <c r="E429" s="45" t="s">
        <v>155</v>
      </c>
      <c r="F429" s="45" t="s">
        <v>182</v>
      </c>
      <c r="G429" s="45" t="s">
        <v>178</v>
      </c>
      <c r="H429" s="45" t="s">
        <v>352</v>
      </c>
      <c r="I429" s="44" t="s">
        <v>380</v>
      </c>
      <c r="J429" s="44">
        <v>10</v>
      </c>
      <c r="K429" s="46" t="s">
        <v>942</v>
      </c>
      <c r="L429" s="46" t="s">
        <v>718</v>
      </c>
      <c r="M429" s="47" t="s">
        <v>1410</v>
      </c>
      <c r="N429" s="47" t="s">
        <v>1783</v>
      </c>
      <c r="O429" s="48"/>
      <c r="P429" s="48"/>
      <c r="Q429" s="45"/>
      <c r="S429" s="1">
        <f t="shared" si="181"/>
        <v>0</v>
      </c>
      <c r="T429" s="1">
        <f t="shared" si="182"/>
        <v>0</v>
      </c>
      <c r="U429" s="1">
        <f t="shared" si="183"/>
        <v>0</v>
      </c>
      <c r="V429" s="1">
        <f t="shared" si="184"/>
        <v>0</v>
      </c>
      <c r="W429" s="1">
        <f t="shared" si="185"/>
        <v>0</v>
      </c>
      <c r="X429" s="1">
        <f t="shared" si="186"/>
        <v>0</v>
      </c>
      <c r="Y429" s="1">
        <f t="shared" si="187"/>
        <v>0</v>
      </c>
      <c r="Z429" s="1">
        <f t="shared" si="188"/>
        <v>0</v>
      </c>
      <c r="AA429" s="1">
        <f t="shared" si="189"/>
        <v>0</v>
      </c>
      <c r="AB429" s="1">
        <f t="shared" si="190"/>
        <v>1</v>
      </c>
      <c r="AD429" s="1">
        <f t="shared" si="191"/>
        <v>0</v>
      </c>
      <c r="AE429" s="1">
        <f t="shared" si="192"/>
        <v>0</v>
      </c>
      <c r="AF429" s="1">
        <f t="shared" si="193"/>
        <v>0</v>
      </c>
      <c r="AG429" s="1">
        <f t="shared" si="194"/>
        <v>0</v>
      </c>
      <c r="AH429" s="1">
        <f t="shared" si="195"/>
        <v>0</v>
      </c>
      <c r="AI429" s="1">
        <f t="shared" si="196"/>
        <v>1</v>
      </c>
    </row>
    <row r="430" spans="1:35" s="1" customFormat="1" ht="14.25" customHeight="1" x14ac:dyDescent="0.25">
      <c r="A430" s="44">
        <v>0</v>
      </c>
      <c r="B430" s="44">
        <v>2</v>
      </c>
      <c r="C430" s="44">
        <v>7</v>
      </c>
      <c r="D430" s="45" t="s">
        <v>67</v>
      </c>
      <c r="E430" s="45" t="s">
        <v>28</v>
      </c>
      <c r="F430" s="45" t="s">
        <v>247</v>
      </c>
      <c r="G430" s="45" t="s">
        <v>248</v>
      </c>
      <c r="H430" s="45" t="s">
        <v>352</v>
      </c>
      <c r="I430" s="44" t="s">
        <v>409</v>
      </c>
      <c r="J430" s="44">
        <v>7</v>
      </c>
      <c r="K430" s="46" t="s">
        <v>709</v>
      </c>
      <c r="L430" s="46" t="s">
        <v>709</v>
      </c>
      <c r="M430" s="47" t="s">
        <v>727</v>
      </c>
      <c r="N430" s="47" t="s">
        <v>1708</v>
      </c>
      <c r="O430" s="48"/>
      <c r="P430" s="48"/>
      <c r="Q430" s="45"/>
      <c r="S430" s="1">
        <f t="shared" si="181"/>
        <v>0</v>
      </c>
      <c r="T430" s="1">
        <f t="shared" si="182"/>
        <v>0</v>
      </c>
      <c r="U430" s="1">
        <f t="shared" si="183"/>
        <v>0</v>
      </c>
      <c r="V430" s="1">
        <f t="shared" si="184"/>
        <v>0</v>
      </c>
      <c r="W430" s="1">
        <f t="shared" si="185"/>
        <v>0</v>
      </c>
      <c r="X430" s="1">
        <f t="shared" si="186"/>
        <v>0</v>
      </c>
      <c r="Y430" s="1">
        <f t="shared" si="187"/>
        <v>1</v>
      </c>
      <c r="Z430" s="1">
        <f t="shared" si="188"/>
        <v>0</v>
      </c>
      <c r="AA430" s="1">
        <f t="shared" si="189"/>
        <v>0</v>
      </c>
      <c r="AB430" s="1">
        <f t="shared" si="190"/>
        <v>0</v>
      </c>
      <c r="AD430" s="1">
        <f t="shared" si="191"/>
        <v>0</v>
      </c>
      <c r="AE430" s="1">
        <f t="shared" si="192"/>
        <v>0</v>
      </c>
      <c r="AF430" s="1">
        <f t="shared" si="193"/>
        <v>0</v>
      </c>
      <c r="AG430" s="1">
        <f t="shared" si="194"/>
        <v>0</v>
      </c>
      <c r="AH430" s="1">
        <f t="shared" si="195"/>
        <v>0</v>
      </c>
      <c r="AI430" s="1">
        <f t="shared" si="196"/>
        <v>1</v>
      </c>
    </row>
    <row r="431" spans="1:35" s="1" customFormat="1" ht="14.25" customHeight="1" x14ac:dyDescent="0.25">
      <c r="A431" s="44">
        <v>1</v>
      </c>
      <c r="B431" s="44">
        <v>2</v>
      </c>
      <c r="C431" s="44">
        <v>7</v>
      </c>
      <c r="D431" s="45" t="s">
        <v>67</v>
      </c>
      <c r="E431" s="45" t="s">
        <v>28</v>
      </c>
      <c r="F431" s="45" t="s">
        <v>1026</v>
      </c>
      <c r="G431" s="45" t="s">
        <v>535</v>
      </c>
      <c r="H431" s="45" t="s">
        <v>352</v>
      </c>
      <c r="I431" s="44" t="s">
        <v>30</v>
      </c>
      <c r="J431" s="44">
        <v>1</v>
      </c>
      <c r="K431" s="46" t="s">
        <v>709</v>
      </c>
      <c r="L431" s="46" t="s">
        <v>709</v>
      </c>
      <c r="M431" s="47" t="s">
        <v>727</v>
      </c>
      <c r="N431" s="47" t="s">
        <v>1708</v>
      </c>
      <c r="O431" s="48"/>
      <c r="P431" s="48"/>
      <c r="Q431" s="45"/>
      <c r="S431" s="1">
        <f t="shared" si="181"/>
        <v>1</v>
      </c>
      <c r="T431" s="1">
        <f t="shared" si="182"/>
        <v>0</v>
      </c>
      <c r="U431" s="1">
        <f t="shared" si="183"/>
        <v>0</v>
      </c>
      <c r="V431" s="1">
        <f t="shared" si="184"/>
        <v>0</v>
      </c>
      <c r="W431" s="1">
        <f t="shared" si="185"/>
        <v>0</v>
      </c>
      <c r="X431" s="1">
        <f t="shared" si="186"/>
        <v>0</v>
      </c>
      <c r="Y431" s="1">
        <f t="shared" si="187"/>
        <v>0</v>
      </c>
      <c r="Z431" s="1">
        <f t="shared" si="188"/>
        <v>0</v>
      </c>
      <c r="AA431" s="1">
        <f t="shared" si="189"/>
        <v>0</v>
      </c>
      <c r="AB431" s="1">
        <f t="shared" si="190"/>
        <v>0</v>
      </c>
      <c r="AD431" s="1">
        <f t="shared" si="191"/>
        <v>0</v>
      </c>
      <c r="AE431" s="1">
        <f t="shared" si="192"/>
        <v>0</v>
      </c>
      <c r="AF431" s="1">
        <f t="shared" si="193"/>
        <v>0</v>
      </c>
      <c r="AG431" s="1">
        <f t="shared" si="194"/>
        <v>0</v>
      </c>
      <c r="AH431" s="1">
        <f t="shared" si="195"/>
        <v>0</v>
      </c>
      <c r="AI431" s="1">
        <f t="shared" si="196"/>
        <v>0</v>
      </c>
    </row>
    <row r="432" spans="1:35" s="1" customFormat="1" ht="14.25" customHeight="1" x14ac:dyDescent="0.25">
      <c r="A432" s="44">
        <v>1</v>
      </c>
      <c r="B432" s="44">
        <v>2</v>
      </c>
      <c r="C432" s="44">
        <v>7</v>
      </c>
      <c r="D432" s="45" t="s">
        <v>67</v>
      </c>
      <c r="E432" s="45" t="s">
        <v>28</v>
      </c>
      <c r="F432" s="45" t="s">
        <v>249</v>
      </c>
      <c r="G432" s="45" t="s">
        <v>199</v>
      </c>
      <c r="H432" s="45" t="s">
        <v>352</v>
      </c>
      <c r="I432" s="44" t="s">
        <v>410</v>
      </c>
      <c r="J432" s="44">
        <v>2</v>
      </c>
      <c r="K432" s="46" t="s">
        <v>709</v>
      </c>
      <c r="L432" s="46" t="s">
        <v>709</v>
      </c>
      <c r="M432" s="47" t="s">
        <v>727</v>
      </c>
      <c r="N432" s="47" t="s">
        <v>1708</v>
      </c>
      <c r="O432" s="48"/>
      <c r="P432" s="48"/>
      <c r="Q432" s="45"/>
      <c r="S432" s="1">
        <f t="shared" si="181"/>
        <v>0</v>
      </c>
      <c r="T432" s="1">
        <f t="shared" si="182"/>
        <v>1</v>
      </c>
      <c r="U432" s="1">
        <f t="shared" si="183"/>
        <v>0</v>
      </c>
      <c r="V432" s="1">
        <f t="shared" si="184"/>
        <v>0</v>
      </c>
      <c r="W432" s="1">
        <f t="shared" si="185"/>
        <v>0</v>
      </c>
      <c r="X432" s="1">
        <f t="shared" si="186"/>
        <v>0</v>
      </c>
      <c r="Y432" s="1">
        <f t="shared" si="187"/>
        <v>0</v>
      </c>
      <c r="Z432" s="1">
        <f t="shared" si="188"/>
        <v>0</v>
      </c>
      <c r="AA432" s="1">
        <f t="shared" si="189"/>
        <v>0</v>
      </c>
      <c r="AB432" s="1">
        <f t="shared" si="190"/>
        <v>0</v>
      </c>
      <c r="AD432" s="1">
        <f t="shared" si="191"/>
        <v>0</v>
      </c>
      <c r="AE432" s="1">
        <f t="shared" si="192"/>
        <v>0</v>
      </c>
      <c r="AF432" s="1">
        <f t="shared" si="193"/>
        <v>0</v>
      </c>
      <c r="AG432" s="1">
        <f t="shared" si="194"/>
        <v>0</v>
      </c>
      <c r="AH432" s="1">
        <f t="shared" si="195"/>
        <v>0</v>
      </c>
      <c r="AI432" s="1">
        <f t="shared" si="196"/>
        <v>0</v>
      </c>
    </row>
    <row r="433" spans="1:35" s="1" customFormat="1" ht="14.25" customHeight="1" x14ac:dyDescent="0.25">
      <c r="A433" s="44">
        <v>1</v>
      </c>
      <c r="B433" s="44">
        <v>2</v>
      </c>
      <c r="C433" s="44">
        <v>7</v>
      </c>
      <c r="D433" s="45" t="s">
        <v>67</v>
      </c>
      <c r="E433" s="45" t="s">
        <v>28</v>
      </c>
      <c r="F433" s="45" t="s">
        <v>246</v>
      </c>
      <c r="G433" s="45" t="s">
        <v>1330</v>
      </c>
      <c r="H433" s="45" t="s">
        <v>352</v>
      </c>
      <c r="I433" s="44" t="s">
        <v>30</v>
      </c>
      <c r="J433" s="44">
        <v>1</v>
      </c>
      <c r="K433" s="46" t="s">
        <v>709</v>
      </c>
      <c r="L433" s="46" t="s">
        <v>709</v>
      </c>
      <c r="M433" s="47" t="s">
        <v>727</v>
      </c>
      <c r="N433" s="47" t="s">
        <v>1708</v>
      </c>
      <c r="O433" s="48"/>
      <c r="P433" s="48"/>
      <c r="Q433" s="45" t="s">
        <v>1891</v>
      </c>
      <c r="S433" s="1">
        <f t="shared" si="181"/>
        <v>1</v>
      </c>
      <c r="T433" s="1">
        <f t="shared" si="182"/>
        <v>0</v>
      </c>
      <c r="U433" s="1">
        <f t="shared" si="183"/>
        <v>0</v>
      </c>
      <c r="V433" s="1">
        <f t="shared" si="184"/>
        <v>0</v>
      </c>
      <c r="W433" s="1">
        <f t="shared" si="185"/>
        <v>0</v>
      </c>
      <c r="X433" s="1">
        <f t="shared" si="186"/>
        <v>0</v>
      </c>
      <c r="Y433" s="1">
        <f t="shared" si="187"/>
        <v>0</v>
      </c>
      <c r="Z433" s="1">
        <f t="shared" si="188"/>
        <v>0</v>
      </c>
      <c r="AA433" s="1">
        <f t="shared" si="189"/>
        <v>0</v>
      </c>
      <c r="AB433" s="1">
        <f t="shared" si="190"/>
        <v>0</v>
      </c>
      <c r="AD433" s="1">
        <f t="shared" si="191"/>
        <v>0</v>
      </c>
      <c r="AE433" s="1">
        <f t="shared" si="192"/>
        <v>0</v>
      </c>
      <c r="AF433" s="1">
        <f t="shared" si="193"/>
        <v>0</v>
      </c>
      <c r="AG433" s="1">
        <f t="shared" si="194"/>
        <v>0</v>
      </c>
      <c r="AH433" s="1">
        <f t="shared" si="195"/>
        <v>0</v>
      </c>
      <c r="AI433" s="1">
        <f t="shared" si="196"/>
        <v>0</v>
      </c>
    </row>
    <row r="434" spans="1:35" s="1" customFormat="1" ht="14.25" customHeight="1" x14ac:dyDescent="0.25">
      <c r="A434" s="44">
        <v>1</v>
      </c>
      <c r="B434" s="44">
        <v>2</v>
      </c>
      <c r="C434" s="44">
        <v>7</v>
      </c>
      <c r="D434" s="45" t="s">
        <v>67</v>
      </c>
      <c r="E434" s="45" t="s">
        <v>28</v>
      </c>
      <c r="F434" s="45" t="s">
        <v>251</v>
      </c>
      <c r="G434" s="45" t="s">
        <v>193</v>
      </c>
      <c r="H434" s="45" t="s">
        <v>352</v>
      </c>
      <c r="I434" s="44" t="s">
        <v>411</v>
      </c>
      <c r="J434" s="44">
        <v>9</v>
      </c>
      <c r="K434" s="46" t="s">
        <v>709</v>
      </c>
      <c r="L434" s="46" t="s">
        <v>709</v>
      </c>
      <c r="M434" s="47" t="s">
        <v>727</v>
      </c>
      <c r="N434" s="47" t="s">
        <v>1708</v>
      </c>
      <c r="O434" s="48"/>
      <c r="P434" s="48"/>
      <c r="Q434" s="45"/>
      <c r="S434" s="1">
        <f t="shared" si="181"/>
        <v>0</v>
      </c>
      <c r="T434" s="1">
        <f t="shared" si="182"/>
        <v>0</v>
      </c>
      <c r="U434" s="1">
        <f t="shared" si="183"/>
        <v>0</v>
      </c>
      <c r="V434" s="1">
        <f t="shared" si="184"/>
        <v>0</v>
      </c>
      <c r="W434" s="1">
        <f t="shared" si="185"/>
        <v>0</v>
      </c>
      <c r="X434" s="1">
        <f t="shared" si="186"/>
        <v>0</v>
      </c>
      <c r="Y434" s="1">
        <f t="shared" si="187"/>
        <v>0</v>
      </c>
      <c r="Z434" s="1">
        <f t="shared" si="188"/>
        <v>0</v>
      </c>
      <c r="AA434" s="1">
        <f t="shared" si="189"/>
        <v>1</v>
      </c>
      <c r="AB434" s="1">
        <f t="shared" si="190"/>
        <v>0</v>
      </c>
      <c r="AD434" s="1">
        <f t="shared" si="191"/>
        <v>0</v>
      </c>
      <c r="AE434" s="1">
        <f t="shared" si="192"/>
        <v>0</v>
      </c>
      <c r="AF434" s="1">
        <f t="shared" si="193"/>
        <v>0</v>
      </c>
      <c r="AG434" s="1">
        <f t="shared" si="194"/>
        <v>0</v>
      </c>
      <c r="AH434" s="1">
        <f t="shared" si="195"/>
        <v>0</v>
      </c>
      <c r="AI434" s="1">
        <f t="shared" si="196"/>
        <v>0</v>
      </c>
    </row>
    <row r="435" spans="1:35" s="1" customFormat="1" ht="14.25" customHeight="1" x14ac:dyDescent="0.25">
      <c r="A435" s="44">
        <v>0</v>
      </c>
      <c r="B435" s="44">
        <v>2</v>
      </c>
      <c r="C435" s="44">
        <v>7</v>
      </c>
      <c r="D435" s="45" t="s">
        <v>1010</v>
      </c>
      <c r="E435" s="45" t="s">
        <v>28</v>
      </c>
      <c r="F435" s="45" t="s">
        <v>1011</v>
      </c>
      <c r="G435" s="45" t="s">
        <v>193</v>
      </c>
      <c r="H435" s="45" t="s">
        <v>352</v>
      </c>
      <c r="I435" s="44" t="s">
        <v>1012</v>
      </c>
      <c r="J435" s="44">
        <v>9</v>
      </c>
      <c r="K435" s="46" t="s">
        <v>708</v>
      </c>
      <c r="L435" s="46" t="s">
        <v>709</v>
      </c>
      <c r="M435" s="47" t="s">
        <v>727</v>
      </c>
      <c r="N435" s="47" t="s">
        <v>1709</v>
      </c>
      <c r="O435" s="48"/>
      <c r="P435" s="48"/>
      <c r="Q435" s="45"/>
      <c r="S435" s="1">
        <f t="shared" si="181"/>
        <v>0</v>
      </c>
      <c r="T435" s="1">
        <f t="shared" si="182"/>
        <v>0</v>
      </c>
      <c r="U435" s="1">
        <f t="shared" si="183"/>
        <v>0</v>
      </c>
      <c r="V435" s="1">
        <f t="shared" si="184"/>
        <v>0</v>
      </c>
      <c r="W435" s="1">
        <f t="shared" si="185"/>
        <v>0</v>
      </c>
      <c r="X435" s="1">
        <f t="shared" si="186"/>
        <v>0</v>
      </c>
      <c r="Y435" s="1">
        <f t="shared" si="187"/>
        <v>0</v>
      </c>
      <c r="Z435" s="1">
        <f t="shared" si="188"/>
        <v>0</v>
      </c>
      <c r="AA435" s="1">
        <f t="shared" si="189"/>
        <v>1</v>
      </c>
      <c r="AB435" s="1">
        <f t="shared" si="190"/>
        <v>0</v>
      </c>
      <c r="AD435" s="1">
        <f t="shared" si="191"/>
        <v>0</v>
      </c>
      <c r="AE435" s="1">
        <f t="shared" si="192"/>
        <v>0</v>
      </c>
      <c r="AF435" s="1">
        <f t="shared" si="193"/>
        <v>0</v>
      </c>
      <c r="AG435" s="1">
        <f t="shared" si="194"/>
        <v>0</v>
      </c>
      <c r="AH435" s="1">
        <f t="shared" si="195"/>
        <v>0</v>
      </c>
      <c r="AI435" s="1">
        <f t="shared" si="196"/>
        <v>1</v>
      </c>
    </row>
    <row r="436" spans="1:35" s="1" customFormat="1" ht="14.25" customHeight="1" x14ac:dyDescent="0.25">
      <c r="A436" s="31">
        <v>0</v>
      </c>
      <c r="B436" s="31">
        <v>2</v>
      </c>
      <c r="C436" s="31">
        <v>7</v>
      </c>
      <c r="D436" s="32" t="s">
        <v>1807</v>
      </c>
      <c r="E436" s="32" t="s">
        <v>1808</v>
      </c>
      <c r="F436" s="32" t="s">
        <v>1809</v>
      </c>
      <c r="G436" s="32" t="s">
        <v>206</v>
      </c>
      <c r="H436" s="32" t="s">
        <v>352</v>
      </c>
      <c r="I436" s="31" t="s">
        <v>30</v>
      </c>
      <c r="J436" s="31"/>
      <c r="K436" s="33" t="s">
        <v>699</v>
      </c>
      <c r="L436" s="33">
        <v>20</v>
      </c>
      <c r="M436" s="34" t="s">
        <v>1810</v>
      </c>
      <c r="N436" s="34" t="s">
        <v>1717</v>
      </c>
      <c r="O436" s="35">
        <v>1</v>
      </c>
      <c r="P436" s="35"/>
      <c r="Q436" s="32"/>
      <c r="S436" s="1">
        <f t="shared" si="181"/>
        <v>0</v>
      </c>
      <c r="T436" s="1">
        <f t="shared" si="182"/>
        <v>0</v>
      </c>
      <c r="U436" s="1">
        <f t="shared" si="183"/>
        <v>0</v>
      </c>
      <c r="V436" s="1">
        <f t="shared" si="184"/>
        <v>0</v>
      </c>
      <c r="W436" s="1">
        <f t="shared" si="185"/>
        <v>0</v>
      </c>
      <c r="X436" s="1">
        <f t="shared" si="186"/>
        <v>0</v>
      </c>
      <c r="Y436" s="1">
        <f t="shared" si="187"/>
        <v>0</v>
      </c>
      <c r="Z436" s="1">
        <f t="shared" si="188"/>
        <v>0</v>
      </c>
      <c r="AA436" s="1">
        <f t="shared" si="189"/>
        <v>0</v>
      </c>
      <c r="AB436" s="1">
        <f t="shared" si="190"/>
        <v>0</v>
      </c>
      <c r="AD436" s="1">
        <f t="shared" si="191"/>
        <v>0</v>
      </c>
      <c r="AE436" s="1">
        <f t="shared" si="192"/>
        <v>1</v>
      </c>
      <c r="AF436" s="1">
        <f t="shared" si="193"/>
        <v>0</v>
      </c>
      <c r="AG436" s="1">
        <f t="shared" si="194"/>
        <v>1</v>
      </c>
      <c r="AH436" s="1">
        <f t="shared" si="195"/>
        <v>0</v>
      </c>
      <c r="AI436" s="1">
        <f t="shared" si="196"/>
        <v>1</v>
      </c>
    </row>
    <row r="437" spans="1:35" s="1" customFormat="1" ht="14.25" customHeight="1" x14ac:dyDescent="0.25">
      <c r="A437" s="49">
        <v>0</v>
      </c>
      <c r="B437" s="49">
        <v>2</v>
      </c>
      <c r="C437" s="49">
        <v>7</v>
      </c>
      <c r="D437" s="50" t="s">
        <v>1066</v>
      </c>
      <c r="E437" s="50" t="s">
        <v>540</v>
      </c>
      <c r="F437" s="50" t="s">
        <v>1047</v>
      </c>
      <c r="G437" s="50" t="s">
        <v>237</v>
      </c>
      <c r="H437" s="50" t="s">
        <v>352</v>
      </c>
      <c r="I437" s="49" t="s">
        <v>1048</v>
      </c>
      <c r="J437" s="49">
        <v>99</v>
      </c>
      <c r="K437" s="51" t="s">
        <v>942</v>
      </c>
      <c r="L437" s="51" t="s">
        <v>718</v>
      </c>
      <c r="M437" s="52" t="s">
        <v>1413</v>
      </c>
      <c r="N437" s="52" t="s">
        <v>1717</v>
      </c>
      <c r="O437" s="53">
        <v>1</v>
      </c>
      <c r="P437" s="53"/>
      <c r="Q437" s="50"/>
      <c r="S437" s="1">
        <f t="shared" si="181"/>
        <v>0</v>
      </c>
      <c r="T437" s="1">
        <f t="shared" si="182"/>
        <v>0</v>
      </c>
      <c r="U437" s="1">
        <f t="shared" si="183"/>
        <v>0</v>
      </c>
      <c r="V437" s="1">
        <f t="shared" si="184"/>
        <v>0</v>
      </c>
      <c r="W437" s="1">
        <f t="shared" si="185"/>
        <v>0</v>
      </c>
      <c r="X437" s="1">
        <f t="shared" si="186"/>
        <v>0</v>
      </c>
      <c r="Y437" s="1">
        <f t="shared" si="187"/>
        <v>0</v>
      </c>
      <c r="Z437" s="1">
        <f t="shared" si="188"/>
        <v>0</v>
      </c>
      <c r="AA437" s="1">
        <f t="shared" si="189"/>
        <v>0</v>
      </c>
      <c r="AB437" s="1">
        <f t="shared" si="190"/>
        <v>0</v>
      </c>
      <c r="AD437" s="1">
        <f t="shared" si="191"/>
        <v>0</v>
      </c>
      <c r="AE437" s="1">
        <f t="shared" si="192"/>
        <v>1</v>
      </c>
      <c r="AF437" s="1">
        <f t="shared" si="193"/>
        <v>0</v>
      </c>
      <c r="AG437" s="1">
        <f t="shared" si="194"/>
        <v>1</v>
      </c>
      <c r="AH437" s="1">
        <f t="shared" si="195"/>
        <v>0</v>
      </c>
      <c r="AI437" s="1">
        <f t="shared" si="196"/>
        <v>1</v>
      </c>
    </row>
    <row r="438" spans="1:35" s="1" customFormat="1" ht="14.25" customHeight="1" x14ac:dyDescent="0.25">
      <c r="A438" s="31">
        <v>0</v>
      </c>
      <c r="B438" s="31">
        <v>2</v>
      </c>
      <c r="C438" s="31">
        <v>7</v>
      </c>
      <c r="D438" s="32" t="s">
        <v>1207</v>
      </c>
      <c r="E438" s="32" t="s">
        <v>155</v>
      </c>
      <c r="F438" s="32" t="s">
        <v>1208</v>
      </c>
      <c r="G438" s="32" t="s">
        <v>250</v>
      </c>
      <c r="H438" s="32" t="s">
        <v>352</v>
      </c>
      <c r="I438" s="31" t="s">
        <v>1209</v>
      </c>
      <c r="J438" s="31">
        <v>99</v>
      </c>
      <c r="K438" s="33" t="s">
        <v>709</v>
      </c>
      <c r="L438" s="33">
        <v>10</v>
      </c>
      <c r="M438" s="34" t="s">
        <v>1720</v>
      </c>
      <c r="N438" s="34" t="s">
        <v>1701</v>
      </c>
      <c r="O438" s="35">
        <v>1</v>
      </c>
      <c r="P438" s="35">
        <v>1</v>
      </c>
      <c r="Q438" s="32"/>
      <c r="S438" s="1">
        <f t="shared" si="181"/>
        <v>0</v>
      </c>
      <c r="T438" s="1">
        <f t="shared" si="182"/>
        <v>0</v>
      </c>
      <c r="U438" s="1">
        <f t="shared" si="183"/>
        <v>0</v>
      </c>
      <c r="V438" s="1">
        <f t="shared" si="184"/>
        <v>0</v>
      </c>
      <c r="W438" s="1">
        <f t="shared" si="185"/>
        <v>0</v>
      </c>
      <c r="X438" s="1">
        <f t="shared" si="186"/>
        <v>0</v>
      </c>
      <c r="Y438" s="1">
        <f t="shared" si="187"/>
        <v>0</v>
      </c>
      <c r="Z438" s="1">
        <f t="shared" si="188"/>
        <v>0</v>
      </c>
      <c r="AA438" s="1">
        <f t="shared" si="189"/>
        <v>0</v>
      </c>
      <c r="AB438" s="1">
        <f t="shared" si="190"/>
        <v>0</v>
      </c>
      <c r="AD438" s="1">
        <f t="shared" si="191"/>
        <v>1</v>
      </c>
      <c r="AE438" s="1">
        <f t="shared" si="192"/>
        <v>0</v>
      </c>
      <c r="AF438" s="1">
        <f t="shared" si="193"/>
        <v>1</v>
      </c>
      <c r="AG438" s="1">
        <f t="shared" si="194"/>
        <v>0</v>
      </c>
      <c r="AH438" s="1">
        <f t="shared" si="195"/>
        <v>1</v>
      </c>
      <c r="AI438" s="1">
        <f t="shared" si="196"/>
        <v>0</v>
      </c>
    </row>
    <row r="439" spans="1:35" s="1" customFormat="1" ht="14.25" customHeight="1" x14ac:dyDescent="0.25">
      <c r="A439" s="31">
        <v>0</v>
      </c>
      <c r="B439" s="31">
        <v>2</v>
      </c>
      <c r="C439" s="31">
        <v>7</v>
      </c>
      <c r="D439" s="36" t="s">
        <v>1777</v>
      </c>
      <c r="E439" s="36" t="s">
        <v>28</v>
      </c>
      <c r="F439" s="36" t="s">
        <v>1778</v>
      </c>
      <c r="G439" s="36" t="s">
        <v>179</v>
      </c>
      <c r="H439" s="36" t="s">
        <v>352</v>
      </c>
      <c r="I439" s="37" t="s">
        <v>1779</v>
      </c>
      <c r="J439" s="31">
        <v>10</v>
      </c>
      <c r="K439" s="33" t="s">
        <v>699</v>
      </c>
      <c r="L439" s="33">
        <v>10</v>
      </c>
      <c r="M439" s="34"/>
      <c r="N439" s="34" t="s">
        <v>1701</v>
      </c>
      <c r="O439" s="35">
        <v>1</v>
      </c>
      <c r="P439" s="35">
        <v>1</v>
      </c>
      <c r="Q439" s="36"/>
      <c r="S439" s="1">
        <f t="shared" si="181"/>
        <v>0</v>
      </c>
      <c r="T439" s="1">
        <f t="shared" si="182"/>
        <v>0</v>
      </c>
      <c r="U439" s="1">
        <f t="shared" si="183"/>
        <v>0</v>
      </c>
      <c r="V439" s="1">
        <f t="shared" si="184"/>
        <v>0</v>
      </c>
      <c r="W439" s="1">
        <f t="shared" si="185"/>
        <v>0</v>
      </c>
      <c r="X439" s="1">
        <f t="shared" si="186"/>
        <v>0</v>
      </c>
      <c r="Y439" s="1">
        <f t="shared" si="187"/>
        <v>0</v>
      </c>
      <c r="Z439" s="1">
        <f t="shared" si="188"/>
        <v>0</v>
      </c>
      <c r="AA439" s="1">
        <f t="shared" si="189"/>
        <v>0</v>
      </c>
      <c r="AB439" s="1">
        <f t="shared" si="190"/>
        <v>1</v>
      </c>
      <c r="AD439" s="1">
        <f t="shared" si="191"/>
        <v>1</v>
      </c>
      <c r="AE439" s="1">
        <f t="shared" si="192"/>
        <v>0</v>
      </c>
      <c r="AF439" s="1">
        <f t="shared" si="193"/>
        <v>1</v>
      </c>
      <c r="AG439" s="1">
        <f t="shared" si="194"/>
        <v>0</v>
      </c>
      <c r="AH439" s="1">
        <f t="shared" si="195"/>
        <v>1</v>
      </c>
      <c r="AI439" s="1">
        <f t="shared" si="196"/>
        <v>0</v>
      </c>
    </row>
    <row r="440" spans="1:35" s="1" customFormat="1" ht="14.25" customHeight="1" x14ac:dyDescent="0.25">
      <c r="A440" s="37">
        <v>0</v>
      </c>
      <c r="B440" s="37">
        <v>2</v>
      </c>
      <c r="C440" s="37">
        <v>7</v>
      </c>
      <c r="D440" s="36" t="s">
        <v>1559</v>
      </c>
      <c r="E440" s="36" t="s">
        <v>1625</v>
      </c>
      <c r="F440" s="36" t="s">
        <v>1560</v>
      </c>
      <c r="G440" s="36" t="s">
        <v>652</v>
      </c>
      <c r="H440" s="36" t="s">
        <v>352</v>
      </c>
      <c r="I440" s="37" t="s">
        <v>1561</v>
      </c>
      <c r="J440" s="37">
        <v>99</v>
      </c>
      <c r="K440" s="33" t="s">
        <v>709</v>
      </c>
      <c r="L440" s="33" t="s">
        <v>39</v>
      </c>
      <c r="M440" s="34" t="s">
        <v>39</v>
      </c>
      <c r="N440" s="34" t="s">
        <v>1701</v>
      </c>
      <c r="O440" s="35">
        <v>1</v>
      </c>
      <c r="P440" s="35">
        <v>1</v>
      </c>
      <c r="Q440" s="36"/>
      <c r="S440" s="1">
        <f t="shared" si="181"/>
        <v>0</v>
      </c>
      <c r="T440" s="1">
        <f t="shared" si="182"/>
        <v>0</v>
      </c>
      <c r="U440" s="1">
        <f t="shared" si="183"/>
        <v>0</v>
      </c>
      <c r="V440" s="1">
        <f t="shared" si="184"/>
        <v>0</v>
      </c>
      <c r="W440" s="1">
        <f t="shared" si="185"/>
        <v>0</v>
      </c>
      <c r="X440" s="1">
        <f t="shared" si="186"/>
        <v>0</v>
      </c>
      <c r="Y440" s="1">
        <f t="shared" si="187"/>
        <v>0</v>
      </c>
      <c r="Z440" s="1">
        <f t="shared" si="188"/>
        <v>0</v>
      </c>
      <c r="AA440" s="1">
        <f t="shared" si="189"/>
        <v>0</v>
      </c>
      <c r="AB440" s="1">
        <f t="shared" si="190"/>
        <v>0</v>
      </c>
      <c r="AD440" s="1">
        <f t="shared" si="191"/>
        <v>1</v>
      </c>
      <c r="AE440" s="1">
        <f t="shared" si="192"/>
        <v>0</v>
      </c>
      <c r="AF440" s="1">
        <f t="shared" si="193"/>
        <v>1</v>
      </c>
      <c r="AG440" s="1">
        <f t="shared" si="194"/>
        <v>0</v>
      </c>
      <c r="AH440" s="1">
        <f t="shared" si="195"/>
        <v>1</v>
      </c>
      <c r="AI440" s="1">
        <f t="shared" si="196"/>
        <v>0</v>
      </c>
    </row>
    <row r="441" spans="1:35" s="1" customFormat="1" ht="14.25" customHeight="1" x14ac:dyDescent="0.25">
      <c r="A441" s="31">
        <v>0</v>
      </c>
      <c r="B441" s="31">
        <v>2</v>
      </c>
      <c r="C441" s="31">
        <v>7</v>
      </c>
      <c r="D441" s="32" t="s">
        <v>1511</v>
      </c>
      <c r="E441" s="32" t="s">
        <v>28</v>
      </c>
      <c r="F441" s="32" t="s">
        <v>1636</v>
      </c>
      <c r="G441" s="32" t="s">
        <v>285</v>
      </c>
      <c r="H441" s="32" t="s">
        <v>352</v>
      </c>
      <c r="I441" s="31" t="s">
        <v>1662</v>
      </c>
      <c r="J441" s="31">
        <v>99</v>
      </c>
      <c r="K441" s="33" t="s">
        <v>709</v>
      </c>
      <c r="L441" s="33" t="s">
        <v>709</v>
      </c>
      <c r="M441" s="34" t="s">
        <v>727</v>
      </c>
      <c r="N441" s="34" t="s">
        <v>1717</v>
      </c>
      <c r="O441" s="35">
        <v>1</v>
      </c>
      <c r="P441" s="35"/>
      <c r="Q441" s="32"/>
      <c r="S441" s="1">
        <f t="shared" si="181"/>
        <v>0</v>
      </c>
      <c r="T441" s="1">
        <f t="shared" si="182"/>
        <v>0</v>
      </c>
      <c r="U441" s="1">
        <f t="shared" si="183"/>
        <v>0</v>
      </c>
      <c r="V441" s="1">
        <f t="shared" si="184"/>
        <v>0</v>
      </c>
      <c r="W441" s="1">
        <f t="shared" si="185"/>
        <v>0</v>
      </c>
      <c r="X441" s="1">
        <f t="shared" si="186"/>
        <v>0</v>
      </c>
      <c r="Y441" s="1">
        <f t="shared" si="187"/>
        <v>0</v>
      </c>
      <c r="Z441" s="1">
        <f t="shared" si="188"/>
        <v>0</v>
      </c>
      <c r="AA441" s="1">
        <f t="shared" si="189"/>
        <v>0</v>
      </c>
      <c r="AB441" s="1">
        <f t="shared" si="190"/>
        <v>0</v>
      </c>
      <c r="AD441" s="1">
        <f t="shared" si="191"/>
        <v>0</v>
      </c>
      <c r="AE441" s="1">
        <f t="shared" si="192"/>
        <v>1</v>
      </c>
      <c r="AF441" s="1">
        <f t="shared" si="193"/>
        <v>0</v>
      </c>
      <c r="AG441" s="1">
        <f t="shared" si="194"/>
        <v>1</v>
      </c>
      <c r="AH441" s="1">
        <f t="shared" si="195"/>
        <v>0</v>
      </c>
      <c r="AI441" s="1">
        <f t="shared" si="196"/>
        <v>1</v>
      </c>
    </row>
    <row r="442" spans="1:35" s="1" customFormat="1" ht="14.25" customHeight="1" x14ac:dyDescent="0.25">
      <c r="A442" s="44">
        <v>0</v>
      </c>
      <c r="B442" s="44">
        <v>2</v>
      </c>
      <c r="C442" s="44">
        <v>7</v>
      </c>
      <c r="D442" s="45" t="s">
        <v>1308</v>
      </c>
      <c r="E442" s="45" t="s">
        <v>28</v>
      </c>
      <c r="F442" s="45" t="s">
        <v>568</v>
      </c>
      <c r="G442" s="45" t="s">
        <v>180</v>
      </c>
      <c r="H442" s="45" t="s">
        <v>352</v>
      </c>
      <c r="I442" s="44" t="s">
        <v>428</v>
      </c>
      <c r="J442" s="44">
        <v>7</v>
      </c>
      <c r="K442" s="46" t="s">
        <v>708</v>
      </c>
      <c r="L442" s="46" t="s">
        <v>709</v>
      </c>
      <c r="M442" s="47" t="s">
        <v>727</v>
      </c>
      <c r="N442" s="47" t="s">
        <v>1709</v>
      </c>
      <c r="O442" s="48"/>
      <c r="P442" s="48"/>
      <c r="Q442" s="45"/>
      <c r="S442" s="1">
        <f t="shared" si="181"/>
        <v>0</v>
      </c>
      <c r="T442" s="1">
        <f t="shared" si="182"/>
        <v>0</v>
      </c>
      <c r="U442" s="1">
        <f t="shared" si="183"/>
        <v>0</v>
      </c>
      <c r="V442" s="1">
        <f t="shared" si="184"/>
        <v>0</v>
      </c>
      <c r="W442" s="1">
        <f t="shared" si="185"/>
        <v>0</v>
      </c>
      <c r="X442" s="1">
        <f t="shared" si="186"/>
        <v>0</v>
      </c>
      <c r="Y442" s="1">
        <f t="shared" si="187"/>
        <v>1</v>
      </c>
      <c r="Z442" s="1">
        <f t="shared" si="188"/>
        <v>0</v>
      </c>
      <c r="AA442" s="1">
        <f t="shared" si="189"/>
        <v>0</v>
      </c>
      <c r="AB442" s="1">
        <f t="shared" si="190"/>
        <v>0</v>
      </c>
      <c r="AD442" s="1">
        <f t="shared" si="191"/>
        <v>0</v>
      </c>
      <c r="AE442" s="1">
        <f t="shared" si="192"/>
        <v>0</v>
      </c>
      <c r="AF442" s="1">
        <f t="shared" si="193"/>
        <v>0</v>
      </c>
      <c r="AG442" s="1">
        <f t="shared" si="194"/>
        <v>0</v>
      </c>
      <c r="AH442" s="1">
        <f t="shared" si="195"/>
        <v>0</v>
      </c>
      <c r="AI442" s="1">
        <f t="shared" si="196"/>
        <v>1</v>
      </c>
    </row>
    <row r="443" spans="1:35" s="1" customFormat="1" ht="14.25" customHeight="1" x14ac:dyDescent="0.25">
      <c r="A443" s="31">
        <v>0</v>
      </c>
      <c r="B443" s="31">
        <v>2</v>
      </c>
      <c r="C443" s="31">
        <v>7</v>
      </c>
      <c r="D443" s="32" t="s">
        <v>72</v>
      </c>
      <c r="E443" s="32" t="s">
        <v>28</v>
      </c>
      <c r="F443" s="32" t="s">
        <v>1849</v>
      </c>
      <c r="G443" s="32" t="s">
        <v>234</v>
      </c>
      <c r="H443" s="32" t="s">
        <v>352</v>
      </c>
      <c r="I443" s="31" t="s">
        <v>676</v>
      </c>
      <c r="J443" s="31">
        <v>99</v>
      </c>
      <c r="K443" s="33" t="s">
        <v>709</v>
      </c>
      <c r="L443" s="33" t="s">
        <v>709</v>
      </c>
      <c r="M443" s="34" t="s">
        <v>727</v>
      </c>
      <c r="N443" s="34" t="s">
        <v>1717</v>
      </c>
      <c r="O443" s="35">
        <v>1</v>
      </c>
      <c r="P443" s="35"/>
      <c r="Q443" s="32"/>
      <c r="S443" s="1">
        <f t="shared" si="181"/>
        <v>0</v>
      </c>
      <c r="T443" s="1">
        <f t="shared" si="182"/>
        <v>0</v>
      </c>
      <c r="U443" s="1">
        <f t="shared" si="183"/>
        <v>0</v>
      </c>
      <c r="V443" s="1">
        <f t="shared" si="184"/>
        <v>0</v>
      </c>
      <c r="W443" s="1">
        <f t="shared" si="185"/>
        <v>0</v>
      </c>
      <c r="X443" s="1">
        <f t="shared" si="186"/>
        <v>0</v>
      </c>
      <c r="Y443" s="1">
        <f t="shared" si="187"/>
        <v>0</v>
      </c>
      <c r="Z443" s="1">
        <f t="shared" si="188"/>
        <v>0</v>
      </c>
      <c r="AA443" s="1">
        <f t="shared" si="189"/>
        <v>0</v>
      </c>
      <c r="AB443" s="1">
        <f t="shared" si="190"/>
        <v>0</v>
      </c>
      <c r="AD443" s="1">
        <f t="shared" si="191"/>
        <v>0</v>
      </c>
      <c r="AE443" s="1">
        <f t="shared" si="192"/>
        <v>1</v>
      </c>
      <c r="AF443" s="1">
        <f t="shared" si="193"/>
        <v>0</v>
      </c>
      <c r="AG443" s="1">
        <f t="shared" si="194"/>
        <v>1</v>
      </c>
      <c r="AH443" s="1">
        <f t="shared" si="195"/>
        <v>0</v>
      </c>
      <c r="AI443" s="1">
        <f t="shared" si="196"/>
        <v>1</v>
      </c>
    </row>
    <row r="444" spans="1:35" s="1" customFormat="1" ht="14.25" customHeight="1" x14ac:dyDescent="0.25">
      <c r="A444" s="31">
        <v>1</v>
      </c>
      <c r="B444" s="31">
        <v>2</v>
      </c>
      <c r="C444" s="31">
        <v>7</v>
      </c>
      <c r="D444" s="32" t="s">
        <v>72</v>
      </c>
      <c r="E444" s="32" t="s">
        <v>28</v>
      </c>
      <c r="F444" s="32" t="s">
        <v>260</v>
      </c>
      <c r="G444" s="32" t="s">
        <v>219</v>
      </c>
      <c r="H444" s="32" t="s">
        <v>352</v>
      </c>
      <c r="I444" s="31" t="s">
        <v>418</v>
      </c>
      <c r="J444" s="31">
        <v>8</v>
      </c>
      <c r="K444" s="33" t="s">
        <v>709</v>
      </c>
      <c r="L444" s="33" t="s">
        <v>709</v>
      </c>
      <c r="M444" s="34" t="s">
        <v>727</v>
      </c>
      <c r="N444" s="34" t="s">
        <v>1717</v>
      </c>
      <c r="O444" s="35">
        <v>1</v>
      </c>
      <c r="P444" s="35"/>
      <c r="Q444" s="32"/>
      <c r="S444" s="1">
        <f t="shared" si="181"/>
        <v>0</v>
      </c>
      <c r="T444" s="1">
        <f t="shared" si="182"/>
        <v>0</v>
      </c>
      <c r="U444" s="1">
        <f t="shared" si="183"/>
        <v>0</v>
      </c>
      <c r="V444" s="1">
        <f t="shared" si="184"/>
        <v>0</v>
      </c>
      <c r="W444" s="1">
        <f t="shared" si="185"/>
        <v>0</v>
      </c>
      <c r="X444" s="1">
        <f t="shared" si="186"/>
        <v>0</v>
      </c>
      <c r="Y444" s="1">
        <f t="shared" si="187"/>
        <v>0</v>
      </c>
      <c r="Z444" s="1">
        <f t="shared" si="188"/>
        <v>1</v>
      </c>
      <c r="AA444" s="1">
        <f t="shared" si="189"/>
        <v>0</v>
      </c>
      <c r="AB444" s="1">
        <f t="shared" si="190"/>
        <v>0</v>
      </c>
      <c r="AD444" s="1">
        <f t="shared" si="191"/>
        <v>0</v>
      </c>
      <c r="AE444" s="1">
        <f t="shared" si="192"/>
        <v>1</v>
      </c>
      <c r="AF444" s="1">
        <f t="shared" si="193"/>
        <v>0</v>
      </c>
      <c r="AG444" s="1">
        <f t="shared" si="194"/>
        <v>0</v>
      </c>
      <c r="AH444" s="1">
        <f t="shared" si="195"/>
        <v>0</v>
      </c>
      <c r="AI444" s="1">
        <f t="shared" si="196"/>
        <v>0</v>
      </c>
    </row>
    <row r="445" spans="1:35" s="1" customFormat="1" ht="14.25" customHeight="1" x14ac:dyDescent="0.25">
      <c r="A445" s="31">
        <v>1</v>
      </c>
      <c r="B445" s="31">
        <v>2</v>
      </c>
      <c r="C445" s="31">
        <v>7</v>
      </c>
      <c r="D445" s="32" t="s">
        <v>72</v>
      </c>
      <c r="E445" s="32" t="s">
        <v>28</v>
      </c>
      <c r="F445" s="32" t="s">
        <v>259</v>
      </c>
      <c r="G445" s="32" t="s">
        <v>177</v>
      </c>
      <c r="H445" s="32" t="s">
        <v>352</v>
      </c>
      <c r="I445" s="31" t="s">
        <v>417</v>
      </c>
      <c r="J445" s="31">
        <v>1</v>
      </c>
      <c r="K445" s="33" t="s">
        <v>709</v>
      </c>
      <c r="L445" s="33" t="s">
        <v>709</v>
      </c>
      <c r="M445" s="34" t="s">
        <v>727</v>
      </c>
      <c r="N445" s="34" t="s">
        <v>1717</v>
      </c>
      <c r="O445" s="35">
        <v>1</v>
      </c>
      <c r="P445" s="35"/>
      <c r="Q445" s="32"/>
      <c r="S445" s="1">
        <f t="shared" si="181"/>
        <v>1</v>
      </c>
      <c r="T445" s="1">
        <f t="shared" si="182"/>
        <v>0</v>
      </c>
      <c r="U445" s="1">
        <f t="shared" si="183"/>
        <v>0</v>
      </c>
      <c r="V445" s="1">
        <f t="shared" si="184"/>
        <v>0</v>
      </c>
      <c r="W445" s="1">
        <f t="shared" si="185"/>
        <v>0</v>
      </c>
      <c r="X445" s="1">
        <f t="shared" si="186"/>
        <v>0</v>
      </c>
      <c r="Y445" s="1">
        <f t="shared" si="187"/>
        <v>0</v>
      </c>
      <c r="Z445" s="1">
        <f t="shared" si="188"/>
        <v>0</v>
      </c>
      <c r="AA445" s="1">
        <f t="shared" si="189"/>
        <v>0</v>
      </c>
      <c r="AB445" s="1">
        <f t="shared" si="190"/>
        <v>0</v>
      </c>
      <c r="AD445" s="1">
        <f t="shared" si="191"/>
        <v>0</v>
      </c>
      <c r="AE445" s="1">
        <f t="shared" si="192"/>
        <v>1</v>
      </c>
      <c r="AF445" s="1">
        <f t="shared" si="193"/>
        <v>0</v>
      </c>
      <c r="AG445" s="1">
        <f t="shared" si="194"/>
        <v>0</v>
      </c>
      <c r="AH445" s="1">
        <f t="shared" si="195"/>
        <v>0</v>
      </c>
      <c r="AI445" s="1">
        <f t="shared" si="196"/>
        <v>0</v>
      </c>
    </row>
    <row r="446" spans="1:35" s="1" customFormat="1" ht="14.25" customHeight="1" x14ac:dyDescent="0.25">
      <c r="A446" s="15">
        <v>0</v>
      </c>
      <c r="B446" s="15">
        <v>2</v>
      </c>
      <c r="C446" s="15">
        <v>7</v>
      </c>
      <c r="D446" s="16" t="s">
        <v>769</v>
      </c>
      <c r="E446" s="16" t="s">
        <v>28</v>
      </c>
      <c r="F446" s="16" t="s">
        <v>770</v>
      </c>
      <c r="G446" s="16" t="s">
        <v>278</v>
      </c>
      <c r="H446" s="16" t="s">
        <v>352</v>
      </c>
      <c r="I446" s="15" t="s">
        <v>771</v>
      </c>
      <c r="J446" s="15">
        <v>99</v>
      </c>
      <c r="K446" s="10" t="s">
        <v>709</v>
      </c>
      <c r="L446" s="10" t="s">
        <v>709</v>
      </c>
      <c r="M446" s="19" t="s">
        <v>727</v>
      </c>
      <c r="N446" s="17"/>
      <c r="Q446" s="16"/>
      <c r="S446" s="1">
        <f t="shared" si="181"/>
        <v>0</v>
      </c>
      <c r="T446" s="1">
        <f t="shared" si="182"/>
        <v>0</v>
      </c>
      <c r="U446" s="1">
        <f t="shared" si="183"/>
        <v>0</v>
      </c>
      <c r="V446" s="1">
        <f t="shared" si="184"/>
        <v>0</v>
      </c>
      <c r="W446" s="1">
        <f t="shared" si="185"/>
        <v>0</v>
      </c>
      <c r="X446" s="1">
        <f t="shared" si="186"/>
        <v>0</v>
      </c>
      <c r="Y446" s="1">
        <f t="shared" si="187"/>
        <v>0</v>
      </c>
      <c r="Z446" s="1">
        <f t="shared" si="188"/>
        <v>0</v>
      </c>
      <c r="AA446" s="1">
        <f t="shared" si="189"/>
        <v>0</v>
      </c>
      <c r="AB446" s="1">
        <f t="shared" si="190"/>
        <v>0</v>
      </c>
      <c r="AD446" s="1">
        <f t="shared" si="191"/>
        <v>0</v>
      </c>
      <c r="AE446" s="1">
        <f t="shared" si="192"/>
        <v>0</v>
      </c>
      <c r="AF446" s="1">
        <f t="shared" si="193"/>
        <v>0</v>
      </c>
      <c r="AG446" s="1">
        <f t="shared" si="194"/>
        <v>0</v>
      </c>
      <c r="AH446" s="1">
        <f t="shared" si="195"/>
        <v>0</v>
      </c>
      <c r="AI446" s="1">
        <f t="shared" si="196"/>
        <v>1</v>
      </c>
    </row>
    <row r="447" spans="1:35" s="1" customFormat="1" ht="14.25" customHeight="1" x14ac:dyDescent="0.25">
      <c r="A447" s="15">
        <v>0</v>
      </c>
      <c r="B447" s="15">
        <v>2</v>
      </c>
      <c r="C447" s="15">
        <v>7</v>
      </c>
      <c r="D447" s="16" t="s">
        <v>85</v>
      </c>
      <c r="E447" s="16" t="s">
        <v>28</v>
      </c>
      <c r="F447" s="16" t="s">
        <v>277</v>
      </c>
      <c r="G447" s="16" t="s">
        <v>278</v>
      </c>
      <c r="H447" s="16" t="s">
        <v>352</v>
      </c>
      <c r="I447" s="15" t="s">
        <v>432</v>
      </c>
      <c r="J447" s="15">
        <v>99</v>
      </c>
      <c r="K447" s="10" t="s">
        <v>709</v>
      </c>
      <c r="L447" s="10" t="s">
        <v>709</v>
      </c>
      <c r="M447" s="19" t="s">
        <v>727</v>
      </c>
      <c r="N447" s="17"/>
      <c r="Q447" s="16"/>
      <c r="S447" s="1">
        <f t="shared" si="181"/>
        <v>0</v>
      </c>
      <c r="T447" s="1">
        <f t="shared" si="182"/>
        <v>0</v>
      </c>
      <c r="U447" s="1">
        <f t="shared" si="183"/>
        <v>0</v>
      </c>
      <c r="V447" s="1">
        <f t="shared" si="184"/>
        <v>0</v>
      </c>
      <c r="W447" s="1">
        <f t="shared" si="185"/>
        <v>0</v>
      </c>
      <c r="X447" s="1">
        <f t="shared" si="186"/>
        <v>0</v>
      </c>
      <c r="Y447" s="1">
        <f t="shared" si="187"/>
        <v>0</v>
      </c>
      <c r="Z447" s="1">
        <f t="shared" si="188"/>
        <v>0</v>
      </c>
      <c r="AA447" s="1">
        <f t="shared" si="189"/>
        <v>0</v>
      </c>
      <c r="AB447" s="1">
        <f t="shared" si="190"/>
        <v>0</v>
      </c>
      <c r="AD447" s="1">
        <f t="shared" si="191"/>
        <v>0</v>
      </c>
      <c r="AE447" s="1">
        <f t="shared" si="192"/>
        <v>0</v>
      </c>
      <c r="AF447" s="1">
        <f t="shared" si="193"/>
        <v>0</v>
      </c>
      <c r="AG447" s="1">
        <f t="shared" si="194"/>
        <v>0</v>
      </c>
      <c r="AH447" s="1">
        <f t="shared" si="195"/>
        <v>0</v>
      </c>
      <c r="AI447" s="1">
        <f t="shared" si="196"/>
        <v>1</v>
      </c>
    </row>
    <row r="448" spans="1:35" s="1" customFormat="1" ht="14.25" customHeight="1" x14ac:dyDescent="0.25">
      <c r="A448" s="37">
        <v>0</v>
      </c>
      <c r="B448" s="37">
        <v>2</v>
      </c>
      <c r="C448" s="37">
        <v>7</v>
      </c>
      <c r="D448" s="36" t="s">
        <v>1911</v>
      </c>
      <c r="E448" s="36" t="s">
        <v>28</v>
      </c>
      <c r="F448" s="36" t="s">
        <v>1912</v>
      </c>
      <c r="G448" s="36" t="s">
        <v>184</v>
      </c>
      <c r="H448" s="36" t="s">
        <v>352</v>
      </c>
      <c r="I448" s="37" t="s">
        <v>1913</v>
      </c>
      <c r="J448" s="37">
        <v>99</v>
      </c>
      <c r="K448" s="33" t="s">
        <v>699</v>
      </c>
      <c r="L448" s="33">
        <v>4</v>
      </c>
      <c r="M448" s="34" t="s">
        <v>727</v>
      </c>
      <c r="N448" s="34" t="s">
        <v>1717</v>
      </c>
      <c r="O448" s="35">
        <v>1</v>
      </c>
      <c r="P448" s="35"/>
      <c r="Q448" s="36" t="s">
        <v>1914</v>
      </c>
      <c r="S448" s="1">
        <f t="shared" si="181"/>
        <v>0</v>
      </c>
      <c r="T448" s="1">
        <f t="shared" si="182"/>
        <v>0</v>
      </c>
      <c r="U448" s="1">
        <f t="shared" si="183"/>
        <v>0</v>
      </c>
      <c r="V448" s="1">
        <f t="shared" si="184"/>
        <v>0</v>
      </c>
      <c r="W448" s="1">
        <f t="shared" si="185"/>
        <v>0</v>
      </c>
      <c r="X448" s="1">
        <f t="shared" si="186"/>
        <v>0</v>
      </c>
      <c r="Y448" s="1">
        <f t="shared" si="187"/>
        <v>0</v>
      </c>
      <c r="Z448" s="1">
        <f t="shared" si="188"/>
        <v>0</v>
      </c>
      <c r="AA448" s="1">
        <f t="shared" si="189"/>
        <v>0</v>
      </c>
      <c r="AB448" s="1">
        <f t="shared" si="190"/>
        <v>0</v>
      </c>
      <c r="AD448" s="1">
        <f t="shared" si="191"/>
        <v>0</v>
      </c>
      <c r="AE448" s="1">
        <f t="shared" si="192"/>
        <v>1</v>
      </c>
      <c r="AF448" s="1">
        <f t="shared" si="193"/>
        <v>0</v>
      </c>
      <c r="AG448" s="1">
        <f t="shared" si="194"/>
        <v>1</v>
      </c>
      <c r="AH448" s="1">
        <f t="shared" si="195"/>
        <v>0</v>
      </c>
      <c r="AI448" s="1">
        <f t="shared" si="196"/>
        <v>1</v>
      </c>
    </row>
    <row r="449" spans="1:35" s="1" customFormat="1" ht="14.25" customHeight="1" x14ac:dyDescent="0.25">
      <c r="A449" s="37">
        <v>0</v>
      </c>
      <c r="B449" s="37">
        <v>2</v>
      </c>
      <c r="C449" s="37">
        <v>7</v>
      </c>
      <c r="D449" s="36" t="s">
        <v>549</v>
      </c>
      <c r="E449" s="36" t="s">
        <v>28</v>
      </c>
      <c r="F449" s="36" t="s">
        <v>1850</v>
      </c>
      <c r="G449" s="36" t="s">
        <v>552</v>
      </c>
      <c r="H449" s="36" t="s">
        <v>352</v>
      </c>
      <c r="I449" s="37" t="s">
        <v>553</v>
      </c>
      <c r="J449" s="37">
        <v>99</v>
      </c>
      <c r="K449" s="33" t="s">
        <v>709</v>
      </c>
      <c r="L449" s="33" t="s">
        <v>709</v>
      </c>
      <c r="M449" s="34" t="s">
        <v>727</v>
      </c>
      <c r="N449" s="34" t="s">
        <v>1799</v>
      </c>
      <c r="O449" s="35">
        <v>1</v>
      </c>
      <c r="P449" s="35"/>
      <c r="Q449" s="36"/>
      <c r="S449" s="1">
        <f t="shared" si="181"/>
        <v>0</v>
      </c>
      <c r="T449" s="1">
        <f t="shared" si="182"/>
        <v>0</v>
      </c>
      <c r="U449" s="1">
        <f t="shared" si="183"/>
        <v>0</v>
      </c>
      <c r="V449" s="1">
        <f t="shared" si="184"/>
        <v>0</v>
      </c>
      <c r="W449" s="1">
        <f t="shared" si="185"/>
        <v>0</v>
      </c>
      <c r="X449" s="1">
        <f t="shared" si="186"/>
        <v>0</v>
      </c>
      <c r="Y449" s="1">
        <f t="shared" si="187"/>
        <v>0</v>
      </c>
      <c r="Z449" s="1">
        <f t="shared" si="188"/>
        <v>0</v>
      </c>
      <c r="AA449" s="1">
        <f t="shared" si="189"/>
        <v>0</v>
      </c>
      <c r="AB449" s="1">
        <f t="shared" si="190"/>
        <v>0</v>
      </c>
      <c r="AD449" s="1">
        <f t="shared" si="191"/>
        <v>0</v>
      </c>
      <c r="AE449" s="1">
        <f t="shared" si="192"/>
        <v>1</v>
      </c>
      <c r="AF449" s="1">
        <f t="shared" si="193"/>
        <v>0</v>
      </c>
      <c r="AG449" s="1">
        <f t="shared" si="194"/>
        <v>1</v>
      </c>
      <c r="AH449" s="1">
        <f t="shared" si="195"/>
        <v>0</v>
      </c>
      <c r="AI449" s="1">
        <f t="shared" si="196"/>
        <v>1</v>
      </c>
    </row>
    <row r="450" spans="1:35" s="1" customFormat="1" ht="14.25" customHeight="1" x14ac:dyDescent="0.25">
      <c r="A450" s="37">
        <v>1</v>
      </c>
      <c r="B450" s="37">
        <v>2</v>
      </c>
      <c r="C450" s="37">
        <v>7</v>
      </c>
      <c r="D450" s="36" t="s">
        <v>549</v>
      </c>
      <c r="E450" s="36" t="s">
        <v>28</v>
      </c>
      <c r="F450" s="36" t="s">
        <v>1851</v>
      </c>
      <c r="G450" s="36" t="s">
        <v>550</v>
      </c>
      <c r="H450" s="36" t="s">
        <v>352</v>
      </c>
      <c r="I450" s="37" t="s">
        <v>551</v>
      </c>
      <c r="J450" s="37">
        <v>99</v>
      </c>
      <c r="K450" s="33" t="s">
        <v>709</v>
      </c>
      <c r="L450" s="33" t="s">
        <v>709</v>
      </c>
      <c r="M450" s="34" t="s">
        <v>727</v>
      </c>
      <c r="N450" s="34" t="s">
        <v>1799</v>
      </c>
      <c r="O450" s="35">
        <v>1</v>
      </c>
      <c r="P450" s="35"/>
      <c r="Q450" s="36"/>
      <c r="S450" s="1">
        <f t="shared" si="181"/>
        <v>0</v>
      </c>
      <c r="T450" s="1">
        <f t="shared" si="182"/>
        <v>0</v>
      </c>
      <c r="U450" s="1">
        <f t="shared" si="183"/>
        <v>0</v>
      </c>
      <c r="V450" s="1">
        <f t="shared" si="184"/>
        <v>0</v>
      </c>
      <c r="W450" s="1">
        <f t="shared" si="185"/>
        <v>0</v>
      </c>
      <c r="X450" s="1">
        <f t="shared" si="186"/>
        <v>0</v>
      </c>
      <c r="Y450" s="1">
        <f t="shared" si="187"/>
        <v>0</v>
      </c>
      <c r="Z450" s="1">
        <f t="shared" si="188"/>
        <v>0</v>
      </c>
      <c r="AA450" s="1">
        <f t="shared" si="189"/>
        <v>0</v>
      </c>
      <c r="AB450" s="1">
        <f t="shared" si="190"/>
        <v>0</v>
      </c>
      <c r="AD450" s="1">
        <f t="shared" si="191"/>
        <v>0</v>
      </c>
      <c r="AE450" s="1">
        <f t="shared" si="192"/>
        <v>1</v>
      </c>
      <c r="AF450" s="1">
        <f t="shared" si="193"/>
        <v>0</v>
      </c>
      <c r="AG450" s="1">
        <f t="shared" si="194"/>
        <v>0</v>
      </c>
      <c r="AH450" s="1">
        <f t="shared" si="195"/>
        <v>0</v>
      </c>
      <c r="AI450" s="1">
        <f t="shared" si="196"/>
        <v>0</v>
      </c>
    </row>
    <row r="451" spans="1:35" s="1" customFormat="1" ht="14.25" customHeight="1" x14ac:dyDescent="0.25">
      <c r="A451" s="31">
        <v>0</v>
      </c>
      <c r="B451" s="31">
        <v>2</v>
      </c>
      <c r="C451" s="31">
        <v>7</v>
      </c>
      <c r="D451" s="32" t="s">
        <v>1166</v>
      </c>
      <c r="E451" s="32" t="s">
        <v>28</v>
      </c>
      <c r="F451" s="32" t="s">
        <v>1652</v>
      </c>
      <c r="G451" s="32" t="s">
        <v>234</v>
      </c>
      <c r="H451" s="32" t="s">
        <v>352</v>
      </c>
      <c r="I451" s="31" t="s">
        <v>1344</v>
      </c>
      <c r="J451" s="31">
        <v>99</v>
      </c>
      <c r="K451" s="33" t="s">
        <v>708</v>
      </c>
      <c r="L451" s="33" t="s">
        <v>709</v>
      </c>
      <c r="M451" s="34" t="s">
        <v>727</v>
      </c>
      <c r="N451" s="34" t="s">
        <v>1717</v>
      </c>
      <c r="O451" s="35">
        <v>1</v>
      </c>
      <c r="P451" s="35"/>
      <c r="Q451" s="32"/>
      <c r="S451" s="1">
        <f t="shared" si="181"/>
        <v>0</v>
      </c>
      <c r="T451" s="1">
        <f t="shared" si="182"/>
        <v>0</v>
      </c>
      <c r="U451" s="1">
        <f t="shared" si="183"/>
        <v>0</v>
      </c>
      <c r="V451" s="1">
        <f t="shared" si="184"/>
        <v>0</v>
      </c>
      <c r="W451" s="1">
        <f t="shared" si="185"/>
        <v>0</v>
      </c>
      <c r="X451" s="1">
        <f t="shared" si="186"/>
        <v>0</v>
      </c>
      <c r="Y451" s="1">
        <f t="shared" si="187"/>
        <v>0</v>
      </c>
      <c r="Z451" s="1">
        <f t="shared" si="188"/>
        <v>0</v>
      </c>
      <c r="AA451" s="1">
        <f t="shared" si="189"/>
        <v>0</v>
      </c>
      <c r="AB451" s="1">
        <f t="shared" si="190"/>
        <v>0</v>
      </c>
      <c r="AD451" s="1">
        <f t="shared" si="191"/>
        <v>0</v>
      </c>
      <c r="AE451" s="1">
        <f t="shared" si="192"/>
        <v>1</v>
      </c>
      <c r="AF451" s="1">
        <f t="shared" si="193"/>
        <v>0</v>
      </c>
      <c r="AG451" s="1">
        <f t="shared" si="194"/>
        <v>1</v>
      </c>
      <c r="AH451" s="1">
        <f t="shared" si="195"/>
        <v>0</v>
      </c>
      <c r="AI451" s="1">
        <f t="shared" si="196"/>
        <v>1</v>
      </c>
    </row>
    <row r="452" spans="1:35" s="1" customFormat="1" ht="14.25" customHeight="1" x14ac:dyDescent="0.25">
      <c r="A452" s="31">
        <v>1</v>
      </c>
      <c r="B452" s="31">
        <v>2</v>
      </c>
      <c r="C452" s="31">
        <v>7</v>
      </c>
      <c r="D452" s="32" t="s">
        <v>1166</v>
      </c>
      <c r="E452" s="32" t="s">
        <v>28</v>
      </c>
      <c r="F452" s="32" t="s">
        <v>1653</v>
      </c>
      <c r="G452" s="32" t="s">
        <v>1331</v>
      </c>
      <c r="H452" s="32" t="s">
        <v>352</v>
      </c>
      <c r="I452" s="31" t="s">
        <v>1345</v>
      </c>
      <c r="J452" s="31">
        <v>99</v>
      </c>
      <c r="K452" s="33" t="s">
        <v>708</v>
      </c>
      <c r="L452" s="33" t="s">
        <v>709</v>
      </c>
      <c r="M452" s="34" t="s">
        <v>727</v>
      </c>
      <c r="N452" s="34" t="s">
        <v>1717</v>
      </c>
      <c r="O452" s="35">
        <v>1</v>
      </c>
      <c r="P452" s="35"/>
      <c r="Q452" s="32"/>
      <c r="S452" s="1">
        <f t="shared" si="181"/>
        <v>0</v>
      </c>
      <c r="T452" s="1">
        <f t="shared" si="182"/>
        <v>0</v>
      </c>
      <c r="U452" s="1">
        <f t="shared" si="183"/>
        <v>0</v>
      </c>
      <c r="V452" s="1">
        <f t="shared" si="184"/>
        <v>0</v>
      </c>
      <c r="W452" s="1">
        <f t="shared" si="185"/>
        <v>0</v>
      </c>
      <c r="X452" s="1">
        <f t="shared" si="186"/>
        <v>0</v>
      </c>
      <c r="Y452" s="1">
        <f t="shared" si="187"/>
        <v>0</v>
      </c>
      <c r="Z452" s="1">
        <f t="shared" si="188"/>
        <v>0</v>
      </c>
      <c r="AA452" s="1">
        <f t="shared" si="189"/>
        <v>0</v>
      </c>
      <c r="AB452" s="1">
        <f t="shared" si="190"/>
        <v>0</v>
      </c>
      <c r="AD452" s="1">
        <f t="shared" si="191"/>
        <v>0</v>
      </c>
      <c r="AE452" s="1">
        <f t="shared" si="192"/>
        <v>1</v>
      </c>
      <c r="AF452" s="1">
        <f t="shared" si="193"/>
        <v>0</v>
      </c>
      <c r="AG452" s="1">
        <f t="shared" si="194"/>
        <v>0</v>
      </c>
      <c r="AH452" s="1">
        <f t="shared" si="195"/>
        <v>0</v>
      </c>
      <c r="AI452" s="1">
        <f t="shared" si="196"/>
        <v>0</v>
      </c>
    </row>
    <row r="453" spans="1:35" s="1" customFormat="1" ht="14.25" customHeight="1" x14ac:dyDescent="0.25">
      <c r="A453" s="31">
        <v>0</v>
      </c>
      <c r="B453" s="31">
        <v>2</v>
      </c>
      <c r="C453" s="31">
        <v>7</v>
      </c>
      <c r="D453" s="32" t="s">
        <v>1234</v>
      </c>
      <c r="E453" s="32" t="s">
        <v>28</v>
      </c>
      <c r="F453" s="32" t="s">
        <v>1233</v>
      </c>
      <c r="G453" s="32" t="s">
        <v>1218</v>
      </c>
      <c r="H453" s="32" t="s">
        <v>352</v>
      </c>
      <c r="I453" s="31" t="s">
        <v>1235</v>
      </c>
      <c r="J453" s="31">
        <v>99</v>
      </c>
      <c r="K453" s="33" t="s">
        <v>699</v>
      </c>
      <c r="L453" s="33" t="s">
        <v>709</v>
      </c>
      <c r="M453" s="34" t="s">
        <v>727</v>
      </c>
      <c r="N453" s="34" t="s">
        <v>1717</v>
      </c>
      <c r="O453" s="35">
        <v>1</v>
      </c>
      <c r="P453" s="35"/>
      <c r="Q453" s="32"/>
      <c r="S453" s="1">
        <f t="shared" si="181"/>
        <v>0</v>
      </c>
      <c r="T453" s="1">
        <f t="shared" si="182"/>
        <v>0</v>
      </c>
      <c r="U453" s="1">
        <f t="shared" si="183"/>
        <v>0</v>
      </c>
      <c r="V453" s="1">
        <f t="shared" si="184"/>
        <v>0</v>
      </c>
      <c r="W453" s="1">
        <f t="shared" si="185"/>
        <v>0</v>
      </c>
      <c r="X453" s="1">
        <f t="shared" si="186"/>
        <v>0</v>
      </c>
      <c r="Y453" s="1">
        <f t="shared" si="187"/>
        <v>0</v>
      </c>
      <c r="Z453" s="1">
        <f t="shared" si="188"/>
        <v>0</v>
      </c>
      <c r="AA453" s="1">
        <f t="shared" si="189"/>
        <v>0</v>
      </c>
      <c r="AB453" s="1">
        <f t="shared" si="190"/>
        <v>0</v>
      </c>
      <c r="AD453" s="1">
        <f t="shared" si="191"/>
        <v>0</v>
      </c>
      <c r="AE453" s="1">
        <f t="shared" si="192"/>
        <v>1</v>
      </c>
      <c r="AF453" s="1">
        <f t="shared" si="193"/>
        <v>0</v>
      </c>
      <c r="AG453" s="1">
        <f t="shared" si="194"/>
        <v>1</v>
      </c>
      <c r="AH453" s="1">
        <f t="shared" si="195"/>
        <v>0</v>
      </c>
      <c r="AI453" s="1">
        <f t="shared" si="196"/>
        <v>1</v>
      </c>
    </row>
    <row r="454" spans="1:35" s="1" customFormat="1" ht="14.25" customHeight="1" x14ac:dyDescent="0.25">
      <c r="A454" s="31">
        <v>1</v>
      </c>
      <c r="B454" s="31">
        <v>2</v>
      </c>
      <c r="C454" s="31">
        <v>7</v>
      </c>
      <c r="D454" s="32" t="s">
        <v>1234</v>
      </c>
      <c r="E454" s="32" t="s">
        <v>28</v>
      </c>
      <c r="F454" s="32" t="s">
        <v>1232</v>
      </c>
      <c r="G454" s="32" t="s">
        <v>39</v>
      </c>
      <c r="H454" s="32" t="s">
        <v>352</v>
      </c>
      <c r="I454" s="31" t="s">
        <v>1236</v>
      </c>
      <c r="J454" s="31">
        <v>9</v>
      </c>
      <c r="K454" s="33" t="s">
        <v>699</v>
      </c>
      <c r="L454" s="33" t="s">
        <v>709</v>
      </c>
      <c r="M454" s="34" t="s">
        <v>727</v>
      </c>
      <c r="N454" s="34" t="s">
        <v>1717</v>
      </c>
      <c r="O454" s="35">
        <v>1</v>
      </c>
      <c r="P454" s="35"/>
      <c r="Q454" s="32"/>
      <c r="S454" s="1">
        <f t="shared" si="181"/>
        <v>0</v>
      </c>
      <c r="T454" s="1">
        <f t="shared" si="182"/>
        <v>0</v>
      </c>
      <c r="U454" s="1">
        <f t="shared" si="183"/>
        <v>0</v>
      </c>
      <c r="V454" s="1">
        <f t="shared" si="184"/>
        <v>0</v>
      </c>
      <c r="W454" s="1">
        <f t="shared" si="185"/>
        <v>0</v>
      </c>
      <c r="X454" s="1">
        <f t="shared" si="186"/>
        <v>0</v>
      </c>
      <c r="Y454" s="1">
        <f t="shared" si="187"/>
        <v>0</v>
      </c>
      <c r="Z454" s="1">
        <f t="shared" si="188"/>
        <v>0</v>
      </c>
      <c r="AA454" s="1">
        <f t="shared" si="189"/>
        <v>1</v>
      </c>
      <c r="AB454" s="1">
        <f t="shared" si="190"/>
        <v>0</v>
      </c>
      <c r="AD454" s="1">
        <f t="shared" si="191"/>
        <v>0</v>
      </c>
      <c r="AE454" s="1">
        <f t="shared" si="192"/>
        <v>1</v>
      </c>
      <c r="AF454" s="1">
        <f t="shared" si="193"/>
        <v>0</v>
      </c>
      <c r="AG454" s="1">
        <f t="shared" si="194"/>
        <v>0</v>
      </c>
      <c r="AH454" s="1">
        <f t="shared" si="195"/>
        <v>0</v>
      </c>
      <c r="AI454" s="1">
        <f t="shared" si="196"/>
        <v>0</v>
      </c>
    </row>
    <row r="455" spans="1:35" s="1" customFormat="1" ht="14.25" customHeight="1" x14ac:dyDescent="0.25">
      <c r="A455" s="31">
        <v>1</v>
      </c>
      <c r="B455" s="31">
        <v>2</v>
      </c>
      <c r="C455" s="31">
        <v>7</v>
      </c>
      <c r="D455" s="32" t="s">
        <v>1234</v>
      </c>
      <c r="E455" s="32" t="s">
        <v>28</v>
      </c>
      <c r="F455" s="36" t="s">
        <v>1798</v>
      </c>
      <c r="G455" s="36" t="s">
        <v>257</v>
      </c>
      <c r="H455" s="32" t="s">
        <v>352</v>
      </c>
      <c r="I455" s="37" t="s">
        <v>30</v>
      </c>
      <c r="J455" s="31">
        <v>8</v>
      </c>
      <c r="K455" s="33" t="s">
        <v>699</v>
      </c>
      <c r="L455" s="33" t="s">
        <v>709</v>
      </c>
      <c r="M455" s="34" t="s">
        <v>727</v>
      </c>
      <c r="N455" s="34" t="s">
        <v>1717</v>
      </c>
      <c r="O455" s="35">
        <v>1</v>
      </c>
      <c r="P455" s="35"/>
      <c r="Q455" s="32"/>
      <c r="S455" s="1">
        <f t="shared" si="181"/>
        <v>0</v>
      </c>
      <c r="T455" s="1">
        <f t="shared" si="182"/>
        <v>0</v>
      </c>
      <c r="U455" s="1">
        <f t="shared" si="183"/>
        <v>0</v>
      </c>
      <c r="V455" s="1">
        <f t="shared" si="184"/>
        <v>0</v>
      </c>
      <c r="W455" s="1">
        <f t="shared" si="185"/>
        <v>0</v>
      </c>
      <c r="X455" s="1">
        <f t="shared" si="186"/>
        <v>0</v>
      </c>
      <c r="Y455" s="1">
        <f t="shared" si="187"/>
        <v>0</v>
      </c>
      <c r="Z455" s="1">
        <f t="shared" si="188"/>
        <v>1</v>
      </c>
      <c r="AA455" s="1">
        <f t="shared" si="189"/>
        <v>0</v>
      </c>
      <c r="AB455" s="1">
        <f t="shared" si="190"/>
        <v>0</v>
      </c>
      <c r="AD455" s="1">
        <f t="shared" si="191"/>
        <v>0</v>
      </c>
      <c r="AE455" s="1">
        <f t="shared" si="192"/>
        <v>1</v>
      </c>
      <c r="AF455" s="1">
        <f t="shared" si="193"/>
        <v>0</v>
      </c>
      <c r="AG455" s="1">
        <f t="shared" si="194"/>
        <v>0</v>
      </c>
      <c r="AH455" s="1">
        <f t="shared" si="195"/>
        <v>0</v>
      </c>
      <c r="AI455" s="1">
        <f t="shared" si="196"/>
        <v>0</v>
      </c>
    </row>
    <row r="456" spans="1:35" s="1" customFormat="1" ht="14.25" customHeight="1" x14ac:dyDescent="0.25">
      <c r="A456" s="31">
        <v>0</v>
      </c>
      <c r="B456" s="31">
        <v>2</v>
      </c>
      <c r="C456" s="31">
        <v>7</v>
      </c>
      <c r="D456" s="32" t="s">
        <v>51</v>
      </c>
      <c r="E456" s="32" t="s">
        <v>28</v>
      </c>
      <c r="F456" s="32" t="s">
        <v>670</v>
      </c>
      <c r="G456" s="32" t="s">
        <v>184</v>
      </c>
      <c r="H456" s="32" t="s">
        <v>352</v>
      </c>
      <c r="I456" s="31" t="s">
        <v>388</v>
      </c>
      <c r="J456" s="31">
        <v>99</v>
      </c>
      <c r="K456" s="33" t="s">
        <v>708</v>
      </c>
      <c r="L456" s="33" t="s">
        <v>709</v>
      </c>
      <c r="M456" s="34" t="s">
        <v>727</v>
      </c>
      <c r="N456" s="34" t="s">
        <v>1723</v>
      </c>
      <c r="O456" s="35">
        <v>1</v>
      </c>
      <c r="P456" s="35"/>
      <c r="Q456" s="32"/>
      <c r="S456" s="1">
        <f t="shared" si="181"/>
        <v>0</v>
      </c>
      <c r="T456" s="1">
        <f t="shared" si="182"/>
        <v>0</v>
      </c>
      <c r="U456" s="1">
        <f t="shared" si="183"/>
        <v>0</v>
      </c>
      <c r="V456" s="1">
        <f t="shared" si="184"/>
        <v>0</v>
      </c>
      <c r="W456" s="1">
        <f t="shared" si="185"/>
        <v>0</v>
      </c>
      <c r="X456" s="1">
        <f t="shared" si="186"/>
        <v>0</v>
      </c>
      <c r="Y456" s="1">
        <f t="shared" si="187"/>
        <v>0</v>
      </c>
      <c r="Z456" s="1">
        <f t="shared" si="188"/>
        <v>0</v>
      </c>
      <c r="AA456" s="1">
        <f t="shared" si="189"/>
        <v>0</v>
      </c>
      <c r="AB456" s="1">
        <f t="shared" si="190"/>
        <v>0</v>
      </c>
      <c r="AD456" s="1">
        <f t="shared" si="191"/>
        <v>0</v>
      </c>
      <c r="AE456" s="1">
        <f t="shared" si="192"/>
        <v>1</v>
      </c>
      <c r="AF456" s="1">
        <f t="shared" si="193"/>
        <v>0</v>
      </c>
      <c r="AG456" s="1">
        <f t="shared" si="194"/>
        <v>1</v>
      </c>
      <c r="AH456" s="1">
        <f t="shared" si="195"/>
        <v>0</v>
      </c>
      <c r="AI456" s="1">
        <f t="shared" si="196"/>
        <v>1</v>
      </c>
    </row>
    <row r="457" spans="1:35" s="1" customFormat="1" ht="14.25" customHeight="1" x14ac:dyDescent="0.25">
      <c r="A457" s="44">
        <v>0</v>
      </c>
      <c r="B457" s="44">
        <v>2</v>
      </c>
      <c r="C457" s="44">
        <v>7</v>
      </c>
      <c r="D457" s="45" t="s">
        <v>1068</v>
      </c>
      <c r="E457" s="45" t="s">
        <v>28</v>
      </c>
      <c r="F457" s="45" t="s">
        <v>985</v>
      </c>
      <c r="G457" s="45" t="s">
        <v>239</v>
      </c>
      <c r="H457" s="45" t="s">
        <v>352</v>
      </c>
      <c r="I457" s="44" t="s">
        <v>1093</v>
      </c>
      <c r="J457" s="44">
        <v>1</v>
      </c>
      <c r="K457" s="46" t="s">
        <v>708</v>
      </c>
      <c r="L457" s="46" t="s">
        <v>709</v>
      </c>
      <c r="M457" s="47" t="s">
        <v>727</v>
      </c>
      <c r="N457" s="47" t="s">
        <v>1709</v>
      </c>
      <c r="O457" s="48"/>
      <c r="P457" s="48"/>
      <c r="Q457" s="45"/>
      <c r="S457" s="1">
        <f t="shared" si="181"/>
        <v>1</v>
      </c>
      <c r="T457" s="1">
        <f t="shared" si="182"/>
        <v>0</v>
      </c>
      <c r="U457" s="1">
        <f t="shared" si="183"/>
        <v>0</v>
      </c>
      <c r="V457" s="1">
        <f t="shared" si="184"/>
        <v>0</v>
      </c>
      <c r="W457" s="1">
        <f t="shared" si="185"/>
        <v>0</v>
      </c>
      <c r="X457" s="1">
        <f t="shared" si="186"/>
        <v>0</v>
      </c>
      <c r="Y457" s="1">
        <f t="shared" si="187"/>
        <v>0</v>
      </c>
      <c r="Z457" s="1">
        <f t="shared" si="188"/>
        <v>0</v>
      </c>
      <c r="AA457" s="1">
        <f t="shared" si="189"/>
        <v>0</v>
      </c>
      <c r="AB457" s="1">
        <f t="shared" si="190"/>
        <v>0</v>
      </c>
      <c r="AD457" s="1">
        <f t="shared" si="191"/>
        <v>0</v>
      </c>
      <c r="AE457" s="1">
        <f t="shared" si="192"/>
        <v>0</v>
      </c>
      <c r="AF457" s="1">
        <f t="shared" si="193"/>
        <v>0</v>
      </c>
      <c r="AG457" s="1">
        <f t="shared" si="194"/>
        <v>0</v>
      </c>
      <c r="AH457" s="1">
        <f t="shared" si="195"/>
        <v>0</v>
      </c>
      <c r="AI457" s="1">
        <f t="shared" si="196"/>
        <v>1</v>
      </c>
    </row>
    <row r="458" spans="1:35" s="1" customFormat="1" ht="14.25" customHeight="1" x14ac:dyDescent="0.25">
      <c r="A458" s="44">
        <v>1</v>
      </c>
      <c r="B458" s="44">
        <v>2</v>
      </c>
      <c r="C458" s="44">
        <v>7</v>
      </c>
      <c r="D458" s="45" t="s">
        <v>1068</v>
      </c>
      <c r="E458" s="45" t="s">
        <v>28</v>
      </c>
      <c r="F458" s="45" t="s">
        <v>986</v>
      </c>
      <c r="G458" s="45" t="s">
        <v>1086</v>
      </c>
      <c r="H458" s="45" t="s">
        <v>352</v>
      </c>
      <c r="I458" s="44" t="s">
        <v>1094</v>
      </c>
      <c r="J458" s="44">
        <v>1</v>
      </c>
      <c r="K458" s="46" t="s">
        <v>708</v>
      </c>
      <c r="L458" s="46" t="s">
        <v>709</v>
      </c>
      <c r="M458" s="47" t="s">
        <v>727</v>
      </c>
      <c r="N458" s="47" t="s">
        <v>1709</v>
      </c>
      <c r="O458" s="48"/>
      <c r="P458" s="48"/>
      <c r="Q458" s="45"/>
      <c r="S458" s="1">
        <f t="shared" si="181"/>
        <v>1</v>
      </c>
      <c r="T458" s="1">
        <f t="shared" si="182"/>
        <v>0</v>
      </c>
      <c r="U458" s="1">
        <f t="shared" si="183"/>
        <v>0</v>
      </c>
      <c r="V458" s="1">
        <f t="shared" si="184"/>
        <v>0</v>
      </c>
      <c r="W458" s="1">
        <f t="shared" si="185"/>
        <v>0</v>
      </c>
      <c r="X458" s="1">
        <f t="shared" si="186"/>
        <v>0</v>
      </c>
      <c r="Y458" s="1">
        <f t="shared" si="187"/>
        <v>0</v>
      </c>
      <c r="Z458" s="1">
        <f t="shared" si="188"/>
        <v>0</v>
      </c>
      <c r="AA458" s="1">
        <f t="shared" si="189"/>
        <v>0</v>
      </c>
      <c r="AB458" s="1">
        <f t="shared" si="190"/>
        <v>0</v>
      </c>
      <c r="AD458" s="1">
        <f t="shared" si="191"/>
        <v>0</v>
      </c>
      <c r="AE458" s="1">
        <f t="shared" si="192"/>
        <v>0</v>
      </c>
      <c r="AF458" s="1">
        <f t="shared" si="193"/>
        <v>0</v>
      </c>
      <c r="AG458" s="1">
        <f t="shared" si="194"/>
        <v>0</v>
      </c>
      <c r="AH458" s="1">
        <f t="shared" si="195"/>
        <v>0</v>
      </c>
      <c r="AI458" s="1">
        <f t="shared" si="196"/>
        <v>0</v>
      </c>
    </row>
    <row r="459" spans="1:35" s="1" customFormat="1" ht="14.25" customHeight="1" x14ac:dyDescent="0.25">
      <c r="A459" s="31">
        <v>0</v>
      </c>
      <c r="B459" s="31">
        <v>2</v>
      </c>
      <c r="C459" s="31">
        <v>7</v>
      </c>
      <c r="D459" s="32" t="s">
        <v>1612</v>
      </c>
      <c r="E459" s="32" t="s">
        <v>155</v>
      </c>
      <c r="F459" s="32" t="s">
        <v>1466</v>
      </c>
      <c r="G459" s="32" t="s">
        <v>1467</v>
      </c>
      <c r="H459" s="32" t="s">
        <v>352</v>
      </c>
      <c r="I459" s="31" t="s">
        <v>1468</v>
      </c>
      <c r="J459" s="31">
        <v>99</v>
      </c>
      <c r="K459" s="33" t="s">
        <v>942</v>
      </c>
      <c r="L459" s="33" t="s">
        <v>718</v>
      </c>
      <c r="M459" s="34" t="s">
        <v>728</v>
      </c>
      <c r="N459" s="34" t="s">
        <v>1722</v>
      </c>
      <c r="O459" s="35">
        <v>1</v>
      </c>
      <c r="P459" s="35"/>
      <c r="Q459" s="32"/>
      <c r="S459" s="1">
        <f t="shared" si="181"/>
        <v>0</v>
      </c>
      <c r="T459" s="1">
        <f t="shared" si="182"/>
        <v>0</v>
      </c>
      <c r="U459" s="1">
        <f t="shared" si="183"/>
        <v>0</v>
      </c>
      <c r="V459" s="1">
        <f t="shared" si="184"/>
        <v>0</v>
      </c>
      <c r="W459" s="1">
        <f t="shared" si="185"/>
        <v>0</v>
      </c>
      <c r="X459" s="1">
        <f t="shared" si="186"/>
        <v>0</v>
      </c>
      <c r="Y459" s="1">
        <f t="shared" si="187"/>
        <v>0</v>
      </c>
      <c r="Z459" s="1">
        <f t="shared" si="188"/>
        <v>0</v>
      </c>
      <c r="AA459" s="1">
        <f t="shared" si="189"/>
        <v>0</v>
      </c>
      <c r="AB459" s="1">
        <f t="shared" si="190"/>
        <v>0</v>
      </c>
      <c r="AD459" s="1">
        <f t="shared" si="191"/>
        <v>0</v>
      </c>
      <c r="AE459" s="1">
        <f t="shared" si="192"/>
        <v>1</v>
      </c>
      <c r="AF459" s="1">
        <f t="shared" si="193"/>
        <v>0</v>
      </c>
      <c r="AG459" s="1">
        <f t="shared" si="194"/>
        <v>1</v>
      </c>
      <c r="AH459" s="1">
        <f t="shared" si="195"/>
        <v>0</v>
      </c>
      <c r="AI459" s="1">
        <f t="shared" si="196"/>
        <v>1</v>
      </c>
    </row>
    <row r="460" spans="1:35" s="1" customFormat="1" ht="14.25" customHeight="1" x14ac:dyDescent="0.25">
      <c r="A460" s="44">
        <v>0</v>
      </c>
      <c r="B460" s="44">
        <v>2</v>
      </c>
      <c r="C460" s="44">
        <v>7</v>
      </c>
      <c r="D460" s="45" t="s">
        <v>82</v>
      </c>
      <c r="E460" s="45" t="s">
        <v>28</v>
      </c>
      <c r="F460" s="45" t="s">
        <v>273</v>
      </c>
      <c r="G460" s="45" t="s">
        <v>274</v>
      </c>
      <c r="H460" s="45" t="s">
        <v>352</v>
      </c>
      <c r="I460" s="44" t="s">
        <v>427</v>
      </c>
      <c r="J460" s="44">
        <v>7</v>
      </c>
      <c r="K460" s="46" t="s">
        <v>942</v>
      </c>
      <c r="L460" s="46" t="s">
        <v>941</v>
      </c>
      <c r="M460" s="47" t="s">
        <v>955</v>
      </c>
      <c r="N460" s="47" t="s">
        <v>1783</v>
      </c>
      <c r="O460" s="48"/>
      <c r="P460" s="48"/>
      <c r="Q460" s="45"/>
      <c r="S460" s="1">
        <f t="shared" si="181"/>
        <v>0</v>
      </c>
      <c r="T460" s="1">
        <f t="shared" si="182"/>
        <v>0</v>
      </c>
      <c r="U460" s="1">
        <f t="shared" si="183"/>
        <v>0</v>
      </c>
      <c r="V460" s="1">
        <f t="shared" si="184"/>
        <v>0</v>
      </c>
      <c r="W460" s="1">
        <f t="shared" si="185"/>
        <v>0</v>
      </c>
      <c r="X460" s="1">
        <f t="shared" si="186"/>
        <v>0</v>
      </c>
      <c r="Y460" s="1">
        <f t="shared" si="187"/>
        <v>1</v>
      </c>
      <c r="Z460" s="1">
        <f t="shared" si="188"/>
        <v>0</v>
      </c>
      <c r="AA460" s="1">
        <f t="shared" si="189"/>
        <v>0</v>
      </c>
      <c r="AB460" s="1">
        <f t="shared" si="190"/>
        <v>0</v>
      </c>
      <c r="AD460" s="1">
        <f t="shared" si="191"/>
        <v>0</v>
      </c>
      <c r="AE460" s="1">
        <f t="shared" si="192"/>
        <v>0</v>
      </c>
      <c r="AF460" s="1">
        <f t="shared" si="193"/>
        <v>0</v>
      </c>
      <c r="AG460" s="1">
        <f t="shared" si="194"/>
        <v>0</v>
      </c>
      <c r="AH460" s="1">
        <f t="shared" si="195"/>
        <v>0</v>
      </c>
      <c r="AI460" s="1">
        <f t="shared" si="196"/>
        <v>1</v>
      </c>
    </row>
    <row r="461" spans="1:35" s="1" customFormat="1" ht="14.25" customHeight="1" x14ac:dyDescent="0.25">
      <c r="A461" s="31">
        <v>0</v>
      </c>
      <c r="B461" s="31">
        <v>2</v>
      </c>
      <c r="C461" s="31">
        <v>7</v>
      </c>
      <c r="D461" s="32" t="s">
        <v>76</v>
      </c>
      <c r="E461" s="32" t="s">
        <v>28</v>
      </c>
      <c r="F461" s="32" t="s">
        <v>1655</v>
      </c>
      <c r="G461" s="32" t="s">
        <v>189</v>
      </c>
      <c r="H461" s="32" t="s">
        <v>352</v>
      </c>
      <c r="I461" s="31" t="s">
        <v>421</v>
      </c>
      <c r="J461" s="31">
        <v>99</v>
      </c>
      <c r="K461" s="33" t="s">
        <v>941</v>
      </c>
      <c r="L461" s="33" t="s">
        <v>709</v>
      </c>
      <c r="M461" s="34" t="s">
        <v>727</v>
      </c>
      <c r="N461" s="34" t="s">
        <v>1717</v>
      </c>
      <c r="O461" s="35">
        <v>1</v>
      </c>
      <c r="P461" s="35"/>
      <c r="Q461" s="32"/>
      <c r="S461" s="1">
        <f t="shared" si="181"/>
        <v>0</v>
      </c>
      <c r="T461" s="1">
        <f t="shared" si="182"/>
        <v>0</v>
      </c>
      <c r="U461" s="1">
        <f t="shared" si="183"/>
        <v>0</v>
      </c>
      <c r="V461" s="1">
        <f t="shared" si="184"/>
        <v>0</v>
      </c>
      <c r="W461" s="1">
        <f t="shared" si="185"/>
        <v>0</v>
      </c>
      <c r="X461" s="1">
        <f t="shared" si="186"/>
        <v>0</v>
      </c>
      <c r="Y461" s="1">
        <f t="shared" si="187"/>
        <v>0</v>
      </c>
      <c r="Z461" s="1">
        <f t="shared" si="188"/>
        <v>0</v>
      </c>
      <c r="AA461" s="1">
        <f t="shared" si="189"/>
        <v>0</v>
      </c>
      <c r="AB461" s="1">
        <f t="shared" si="190"/>
        <v>0</v>
      </c>
      <c r="AD461" s="1">
        <f t="shared" si="191"/>
        <v>0</v>
      </c>
      <c r="AE461" s="1">
        <f t="shared" si="192"/>
        <v>1</v>
      </c>
      <c r="AF461" s="1">
        <f t="shared" si="193"/>
        <v>0</v>
      </c>
      <c r="AG461" s="1">
        <f t="shared" si="194"/>
        <v>1</v>
      </c>
      <c r="AH461" s="1">
        <f t="shared" si="195"/>
        <v>0</v>
      </c>
      <c r="AI461" s="1">
        <f t="shared" si="196"/>
        <v>1</v>
      </c>
    </row>
    <row r="462" spans="1:35" s="1" customFormat="1" ht="14.25" customHeight="1" x14ac:dyDescent="0.25">
      <c r="A462" s="31">
        <v>0</v>
      </c>
      <c r="B462" s="31">
        <v>2</v>
      </c>
      <c r="C462" s="31">
        <v>7</v>
      </c>
      <c r="D462" s="36" t="s">
        <v>2003</v>
      </c>
      <c r="E462" s="32" t="s">
        <v>2007</v>
      </c>
      <c r="F462" s="36" t="s">
        <v>2004</v>
      </c>
      <c r="G462" s="36" t="s">
        <v>2005</v>
      </c>
      <c r="H462" s="36" t="s">
        <v>352</v>
      </c>
      <c r="I462" s="37" t="s">
        <v>2006</v>
      </c>
      <c r="J462" s="31">
        <v>99</v>
      </c>
      <c r="K462" s="33" t="s">
        <v>699</v>
      </c>
      <c r="L462" s="33">
        <v>20</v>
      </c>
      <c r="M462" s="34" t="s">
        <v>2009</v>
      </c>
      <c r="N462" s="34" t="s">
        <v>1722</v>
      </c>
      <c r="O462" s="35">
        <v>1</v>
      </c>
      <c r="P462" s="35"/>
      <c r="Q462" s="36" t="s">
        <v>2008</v>
      </c>
      <c r="S462" s="1">
        <f t="shared" si="181"/>
        <v>0</v>
      </c>
      <c r="T462" s="1">
        <f t="shared" si="182"/>
        <v>0</v>
      </c>
      <c r="U462" s="1">
        <f t="shared" si="183"/>
        <v>0</v>
      </c>
      <c r="V462" s="1">
        <f t="shared" si="184"/>
        <v>0</v>
      </c>
      <c r="W462" s="1">
        <f t="shared" si="185"/>
        <v>0</v>
      </c>
      <c r="X462" s="1">
        <f t="shared" si="186"/>
        <v>0</v>
      </c>
      <c r="Y462" s="1">
        <f t="shared" si="187"/>
        <v>0</v>
      </c>
      <c r="Z462" s="1">
        <f t="shared" si="188"/>
        <v>0</v>
      </c>
      <c r="AA462" s="1">
        <f t="shared" si="189"/>
        <v>0</v>
      </c>
      <c r="AB462" s="1">
        <f t="shared" si="190"/>
        <v>0</v>
      </c>
      <c r="AD462" s="1">
        <f t="shared" si="191"/>
        <v>0</v>
      </c>
      <c r="AE462" s="1">
        <f t="shared" si="192"/>
        <v>1</v>
      </c>
      <c r="AF462" s="1">
        <f t="shared" si="193"/>
        <v>0</v>
      </c>
      <c r="AG462" s="1">
        <f t="shared" si="194"/>
        <v>1</v>
      </c>
      <c r="AH462" s="1">
        <f t="shared" si="195"/>
        <v>0</v>
      </c>
      <c r="AI462" s="1">
        <f t="shared" si="196"/>
        <v>1</v>
      </c>
    </row>
    <row r="463" spans="1:35" s="1" customFormat="1" ht="14.25" customHeight="1" x14ac:dyDescent="0.25">
      <c r="A463" s="31">
        <v>0</v>
      </c>
      <c r="B463" s="31">
        <v>2</v>
      </c>
      <c r="C463" s="31">
        <v>7</v>
      </c>
      <c r="D463" s="32" t="s">
        <v>1614</v>
      </c>
      <c r="E463" s="32" t="s">
        <v>162</v>
      </c>
      <c r="F463" s="32" t="s">
        <v>243</v>
      </c>
      <c r="G463" s="32" t="s">
        <v>217</v>
      </c>
      <c r="H463" s="32" t="s">
        <v>352</v>
      </c>
      <c r="I463" s="31" t="s">
        <v>406</v>
      </c>
      <c r="J463" s="31">
        <v>99</v>
      </c>
      <c r="K463" s="33" t="s">
        <v>709</v>
      </c>
      <c r="L463" s="33" t="s">
        <v>718</v>
      </c>
      <c r="M463" s="34" t="s">
        <v>728</v>
      </c>
      <c r="N463" s="34" t="s">
        <v>1701</v>
      </c>
      <c r="O463" s="35">
        <v>1</v>
      </c>
      <c r="P463" s="35">
        <v>1</v>
      </c>
      <c r="Q463" s="32"/>
      <c r="S463" s="1">
        <f t="shared" si="181"/>
        <v>0</v>
      </c>
      <c r="T463" s="1">
        <f t="shared" si="182"/>
        <v>0</v>
      </c>
      <c r="U463" s="1">
        <f t="shared" si="183"/>
        <v>0</v>
      </c>
      <c r="V463" s="1">
        <f t="shared" si="184"/>
        <v>0</v>
      </c>
      <c r="W463" s="1">
        <f t="shared" si="185"/>
        <v>0</v>
      </c>
      <c r="X463" s="1">
        <f t="shared" si="186"/>
        <v>0</v>
      </c>
      <c r="Y463" s="1">
        <f t="shared" si="187"/>
        <v>0</v>
      </c>
      <c r="Z463" s="1">
        <f t="shared" si="188"/>
        <v>0</v>
      </c>
      <c r="AA463" s="1">
        <f t="shared" si="189"/>
        <v>0</v>
      </c>
      <c r="AB463" s="1">
        <f t="shared" si="190"/>
        <v>0</v>
      </c>
      <c r="AD463" s="1">
        <f t="shared" si="191"/>
        <v>1</v>
      </c>
      <c r="AE463" s="1">
        <f t="shared" si="192"/>
        <v>0</v>
      </c>
      <c r="AF463" s="1">
        <f t="shared" si="193"/>
        <v>1</v>
      </c>
      <c r="AG463" s="1">
        <f t="shared" si="194"/>
        <v>0</v>
      </c>
      <c r="AH463" s="1">
        <f t="shared" si="195"/>
        <v>1</v>
      </c>
      <c r="AI463" s="1">
        <f t="shared" si="196"/>
        <v>0</v>
      </c>
    </row>
    <row r="464" spans="1:35" s="1" customFormat="1" ht="14.25" customHeight="1" x14ac:dyDescent="0.25">
      <c r="A464" s="31">
        <v>0</v>
      </c>
      <c r="B464" s="31">
        <v>2</v>
      </c>
      <c r="C464" s="31">
        <v>7</v>
      </c>
      <c r="D464" s="32" t="s">
        <v>1512</v>
      </c>
      <c r="E464" s="32" t="s">
        <v>155</v>
      </c>
      <c r="F464" s="32" t="s">
        <v>1513</v>
      </c>
      <c r="G464" s="32" t="s">
        <v>39</v>
      </c>
      <c r="H464" s="32" t="s">
        <v>352</v>
      </c>
      <c r="I464" s="31" t="s">
        <v>1514</v>
      </c>
      <c r="J464" s="31">
        <v>99</v>
      </c>
      <c r="K464" s="33" t="s">
        <v>709</v>
      </c>
      <c r="L464" s="33" t="s">
        <v>718</v>
      </c>
      <c r="M464" s="34" t="s">
        <v>728</v>
      </c>
      <c r="N464" s="34" t="s">
        <v>1722</v>
      </c>
      <c r="O464" s="35">
        <v>1</v>
      </c>
      <c r="P464" s="35"/>
      <c r="Q464" s="32"/>
      <c r="S464" s="1">
        <f t="shared" si="181"/>
        <v>0</v>
      </c>
      <c r="T464" s="1">
        <f t="shared" si="182"/>
        <v>0</v>
      </c>
      <c r="U464" s="1">
        <f t="shared" si="183"/>
        <v>0</v>
      </c>
      <c r="V464" s="1">
        <f t="shared" si="184"/>
        <v>0</v>
      </c>
      <c r="W464" s="1">
        <f t="shared" si="185"/>
        <v>0</v>
      </c>
      <c r="X464" s="1">
        <f t="shared" si="186"/>
        <v>0</v>
      </c>
      <c r="Y464" s="1">
        <f t="shared" si="187"/>
        <v>0</v>
      </c>
      <c r="Z464" s="1">
        <f t="shared" si="188"/>
        <v>0</v>
      </c>
      <c r="AA464" s="1">
        <f t="shared" si="189"/>
        <v>0</v>
      </c>
      <c r="AB464" s="1">
        <f t="shared" si="190"/>
        <v>0</v>
      </c>
      <c r="AD464" s="1">
        <f t="shared" si="191"/>
        <v>0</v>
      </c>
      <c r="AE464" s="1">
        <f t="shared" si="192"/>
        <v>1</v>
      </c>
      <c r="AF464" s="1">
        <f t="shared" si="193"/>
        <v>0</v>
      </c>
      <c r="AG464" s="1">
        <f t="shared" si="194"/>
        <v>1</v>
      </c>
      <c r="AH464" s="1">
        <f t="shared" si="195"/>
        <v>0</v>
      </c>
      <c r="AI464" s="1">
        <f t="shared" si="196"/>
        <v>1</v>
      </c>
    </row>
    <row r="465" spans="1:35" s="1" customFormat="1" ht="14.25" customHeight="1" x14ac:dyDescent="0.25">
      <c r="A465" s="31">
        <v>0</v>
      </c>
      <c r="B465" s="31">
        <v>2</v>
      </c>
      <c r="C465" s="31">
        <v>7</v>
      </c>
      <c r="D465" s="32" t="s">
        <v>66</v>
      </c>
      <c r="E465" s="32" t="s">
        <v>28</v>
      </c>
      <c r="F465" s="32" t="s">
        <v>961</v>
      </c>
      <c r="G465" s="32" t="s">
        <v>1088</v>
      </c>
      <c r="H465" s="32" t="s">
        <v>352</v>
      </c>
      <c r="I465" s="31" t="s">
        <v>1095</v>
      </c>
      <c r="J465" s="31">
        <v>99</v>
      </c>
      <c r="K465" s="33" t="s">
        <v>709</v>
      </c>
      <c r="L465" s="33" t="s">
        <v>709</v>
      </c>
      <c r="M465" s="34" t="s">
        <v>727</v>
      </c>
      <c r="N465" s="34" t="s">
        <v>1717</v>
      </c>
      <c r="O465" s="35">
        <v>1</v>
      </c>
      <c r="P465" s="35"/>
      <c r="Q465" s="32"/>
      <c r="S465" s="1">
        <f t="shared" si="181"/>
        <v>0</v>
      </c>
      <c r="T465" s="1">
        <f t="shared" si="182"/>
        <v>0</v>
      </c>
      <c r="U465" s="1">
        <f t="shared" si="183"/>
        <v>0</v>
      </c>
      <c r="V465" s="1">
        <f t="shared" si="184"/>
        <v>0</v>
      </c>
      <c r="W465" s="1">
        <f t="shared" si="185"/>
        <v>0</v>
      </c>
      <c r="X465" s="1">
        <f t="shared" si="186"/>
        <v>0</v>
      </c>
      <c r="Y465" s="1">
        <f t="shared" si="187"/>
        <v>0</v>
      </c>
      <c r="Z465" s="1">
        <f t="shared" si="188"/>
        <v>0</v>
      </c>
      <c r="AA465" s="1">
        <f t="shared" si="189"/>
        <v>0</v>
      </c>
      <c r="AB465" s="1">
        <f t="shared" si="190"/>
        <v>0</v>
      </c>
      <c r="AD465" s="1">
        <f t="shared" si="191"/>
        <v>0</v>
      </c>
      <c r="AE465" s="1">
        <f t="shared" si="192"/>
        <v>1</v>
      </c>
      <c r="AF465" s="1">
        <f t="shared" si="193"/>
        <v>0</v>
      </c>
      <c r="AG465" s="1">
        <f t="shared" si="194"/>
        <v>1</v>
      </c>
      <c r="AH465" s="1">
        <f t="shared" si="195"/>
        <v>0</v>
      </c>
      <c r="AI465" s="1">
        <f t="shared" si="196"/>
        <v>1</v>
      </c>
    </row>
    <row r="466" spans="1:35" s="1" customFormat="1" ht="14.25" customHeight="1" x14ac:dyDescent="0.25">
      <c r="A466" s="31">
        <v>1</v>
      </c>
      <c r="B466" s="31">
        <v>2</v>
      </c>
      <c r="C466" s="31">
        <v>7</v>
      </c>
      <c r="D466" s="32" t="s">
        <v>66</v>
      </c>
      <c r="E466" s="32" t="s">
        <v>28</v>
      </c>
      <c r="F466" s="32" t="s">
        <v>244</v>
      </c>
      <c r="G466" s="32" t="s">
        <v>223</v>
      </c>
      <c r="H466" s="32" t="s">
        <v>352</v>
      </c>
      <c r="I466" s="31" t="s">
        <v>407</v>
      </c>
      <c r="J466" s="31">
        <v>99</v>
      </c>
      <c r="K466" s="33" t="s">
        <v>709</v>
      </c>
      <c r="L466" s="33" t="s">
        <v>709</v>
      </c>
      <c r="M466" s="34" t="s">
        <v>727</v>
      </c>
      <c r="N466" s="34" t="s">
        <v>1717</v>
      </c>
      <c r="O466" s="35">
        <v>1</v>
      </c>
      <c r="P466" s="35"/>
      <c r="Q466" s="32"/>
      <c r="S466" s="1">
        <f t="shared" si="181"/>
        <v>0</v>
      </c>
      <c r="T466" s="1">
        <f t="shared" si="182"/>
        <v>0</v>
      </c>
      <c r="U466" s="1">
        <f t="shared" si="183"/>
        <v>0</v>
      </c>
      <c r="V466" s="1">
        <f t="shared" si="184"/>
        <v>0</v>
      </c>
      <c r="W466" s="1">
        <f t="shared" si="185"/>
        <v>0</v>
      </c>
      <c r="X466" s="1">
        <f t="shared" si="186"/>
        <v>0</v>
      </c>
      <c r="Y466" s="1">
        <f t="shared" si="187"/>
        <v>0</v>
      </c>
      <c r="Z466" s="1">
        <f t="shared" si="188"/>
        <v>0</v>
      </c>
      <c r="AA466" s="1">
        <f t="shared" si="189"/>
        <v>0</v>
      </c>
      <c r="AB466" s="1">
        <f t="shared" si="190"/>
        <v>0</v>
      </c>
      <c r="AD466" s="1">
        <f t="shared" si="191"/>
        <v>0</v>
      </c>
      <c r="AE466" s="1">
        <f t="shared" si="192"/>
        <v>1</v>
      </c>
      <c r="AF466" s="1">
        <f t="shared" ref="AF466:AF500" si="197">+O466*P466*(1-A466)</f>
        <v>0</v>
      </c>
      <c r="AG466" s="1">
        <f t="shared" ref="AG466:AG500" si="198">O466*(1-P466)*(1-A466)</f>
        <v>0</v>
      </c>
      <c r="AH466" s="1">
        <f t="shared" ref="AH466:AH500" si="199">+P466*(1-A466)</f>
        <v>0</v>
      </c>
      <c r="AI466" s="1">
        <f t="shared" ref="AI466:AI500" si="200">+(1-A466)*(1-P466)</f>
        <v>0</v>
      </c>
    </row>
    <row r="467" spans="1:35" s="1" customFormat="1" ht="14.25" customHeight="1" x14ac:dyDescent="0.25">
      <c r="A467" s="31">
        <v>1</v>
      </c>
      <c r="B467" s="31">
        <v>2</v>
      </c>
      <c r="C467" s="31">
        <v>7</v>
      </c>
      <c r="D467" s="32" t="s">
        <v>66</v>
      </c>
      <c r="E467" s="32" t="s">
        <v>28</v>
      </c>
      <c r="F467" s="32" t="s">
        <v>245</v>
      </c>
      <c r="G467" s="32" t="s">
        <v>219</v>
      </c>
      <c r="H467" s="32" t="s">
        <v>352</v>
      </c>
      <c r="I467" s="31" t="s">
        <v>408</v>
      </c>
      <c r="J467" s="31">
        <v>8</v>
      </c>
      <c r="K467" s="33" t="s">
        <v>709</v>
      </c>
      <c r="L467" s="33" t="s">
        <v>709</v>
      </c>
      <c r="M467" s="34" t="s">
        <v>727</v>
      </c>
      <c r="N467" s="34" t="s">
        <v>1717</v>
      </c>
      <c r="O467" s="35">
        <v>1</v>
      </c>
      <c r="P467" s="35"/>
      <c r="Q467" s="32" t="s">
        <v>1986</v>
      </c>
      <c r="S467" s="1">
        <f t="shared" si="181"/>
        <v>0</v>
      </c>
      <c r="T467" s="1">
        <f t="shared" si="182"/>
        <v>0</v>
      </c>
      <c r="U467" s="1">
        <f t="shared" si="183"/>
        <v>0</v>
      </c>
      <c r="V467" s="1">
        <f t="shared" si="184"/>
        <v>0</v>
      </c>
      <c r="W467" s="1">
        <f t="shared" si="185"/>
        <v>0</v>
      </c>
      <c r="X467" s="1">
        <f t="shared" si="186"/>
        <v>0</v>
      </c>
      <c r="Y467" s="1">
        <f t="shared" si="187"/>
        <v>0</v>
      </c>
      <c r="Z467" s="1">
        <f t="shared" si="188"/>
        <v>1</v>
      </c>
      <c r="AA467" s="1">
        <f t="shared" si="189"/>
        <v>0</v>
      </c>
      <c r="AB467" s="1">
        <f t="shared" si="190"/>
        <v>0</v>
      </c>
      <c r="AD467" s="1">
        <f t="shared" si="191"/>
        <v>0</v>
      </c>
      <c r="AE467" s="1">
        <f t="shared" si="192"/>
        <v>1</v>
      </c>
      <c r="AF467" s="1">
        <f t="shared" si="197"/>
        <v>0</v>
      </c>
      <c r="AG467" s="1">
        <f t="shared" si="198"/>
        <v>0</v>
      </c>
      <c r="AH467" s="1">
        <f t="shared" si="199"/>
        <v>0</v>
      </c>
      <c r="AI467" s="1">
        <f t="shared" si="200"/>
        <v>0</v>
      </c>
    </row>
    <row r="468" spans="1:35" s="1" customFormat="1" ht="14.25" customHeight="1" x14ac:dyDescent="0.25">
      <c r="A468" s="31">
        <v>1</v>
      </c>
      <c r="B468" s="31">
        <v>2</v>
      </c>
      <c r="C468" s="31">
        <v>7</v>
      </c>
      <c r="D468" s="32" t="s">
        <v>66</v>
      </c>
      <c r="E468" s="32" t="s">
        <v>28</v>
      </c>
      <c r="F468" s="32" t="s">
        <v>1021</v>
      </c>
      <c r="G468" s="32" t="s">
        <v>39</v>
      </c>
      <c r="H468" s="32" t="s">
        <v>352</v>
      </c>
      <c r="I468" s="31" t="s">
        <v>1022</v>
      </c>
      <c r="J468" s="31">
        <v>1</v>
      </c>
      <c r="K468" s="33" t="s">
        <v>709</v>
      </c>
      <c r="L468" s="33" t="s">
        <v>709</v>
      </c>
      <c r="M468" s="34" t="s">
        <v>727</v>
      </c>
      <c r="N468" s="34" t="s">
        <v>1717</v>
      </c>
      <c r="O468" s="35">
        <v>1</v>
      </c>
      <c r="P468" s="35"/>
      <c r="Q468" s="32"/>
      <c r="S468" s="1">
        <f t="shared" si="181"/>
        <v>1</v>
      </c>
      <c r="T468" s="1">
        <f t="shared" si="182"/>
        <v>0</v>
      </c>
      <c r="U468" s="1">
        <f t="shared" si="183"/>
        <v>0</v>
      </c>
      <c r="V468" s="1">
        <f t="shared" si="184"/>
        <v>0</v>
      </c>
      <c r="W468" s="1">
        <f t="shared" si="185"/>
        <v>0</v>
      </c>
      <c r="X468" s="1">
        <f t="shared" si="186"/>
        <v>0</v>
      </c>
      <c r="Y468" s="1">
        <f t="shared" si="187"/>
        <v>0</v>
      </c>
      <c r="Z468" s="1">
        <f t="shared" si="188"/>
        <v>0</v>
      </c>
      <c r="AA468" s="1">
        <f t="shared" si="189"/>
        <v>0</v>
      </c>
      <c r="AB468" s="1">
        <f t="shared" si="190"/>
        <v>0</v>
      </c>
      <c r="AD468" s="1">
        <f t="shared" si="191"/>
        <v>0</v>
      </c>
      <c r="AE468" s="1">
        <f t="shared" si="192"/>
        <v>1</v>
      </c>
      <c r="AF468" s="1">
        <f t="shared" si="197"/>
        <v>0</v>
      </c>
      <c r="AG468" s="1">
        <f t="shared" si="198"/>
        <v>0</v>
      </c>
      <c r="AH468" s="1">
        <f t="shared" si="199"/>
        <v>0</v>
      </c>
      <c r="AI468" s="1">
        <f t="shared" si="200"/>
        <v>0</v>
      </c>
    </row>
    <row r="469" spans="1:35" s="1" customFormat="1" ht="14.25" customHeight="1" x14ac:dyDescent="0.25">
      <c r="A469" s="31">
        <v>1</v>
      </c>
      <c r="B469" s="31">
        <v>2</v>
      </c>
      <c r="C469" s="31">
        <v>7</v>
      </c>
      <c r="D469" s="32" t="s">
        <v>66</v>
      </c>
      <c r="E469" s="32" t="s">
        <v>28</v>
      </c>
      <c r="F469" s="32" t="s">
        <v>1023</v>
      </c>
      <c r="G469" s="32" t="s">
        <v>300</v>
      </c>
      <c r="H469" s="32" t="s">
        <v>352</v>
      </c>
      <c r="I469" s="31" t="s">
        <v>1024</v>
      </c>
      <c r="J469" s="31">
        <v>1</v>
      </c>
      <c r="K469" s="33" t="s">
        <v>709</v>
      </c>
      <c r="L469" s="33" t="s">
        <v>709</v>
      </c>
      <c r="M469" s="34" t="s">
        <v>727</v>
      </c>
      <c r="N469" s="34" t="s">
        <v>1717</v>
      </c>
      <c r="O469" s="35">
        <v>1</v>
      </c>
      <c r="P469" s="35"/>
      <c r="Q469" s="32"/>
      <c r="S469" s="1">
        <f t="shared" si="181"/>
        <v>1</v>
      </c>
      <c r="T469" s="1">
        <f t="shared" si="182"/>
        <v>0</v>
      </c>
      <c r="U469" s="1">
        <f t="shared" si="183"/>
        <v>0</v>
      </c>
      <c r="V469" s="1">
        <f t="shared" si="184"/>
        <v>0</v>
      </c>
      <c r="W469" s="1">
        <f t="shared" si="185"/>
        <v>0</v>
      </c>
      <c r="X469" s="1">
        <f t="shared" si="186"/>
        <v>0</v>
      </c>
      <c r="Y469" s="1">
        <f t="shared" si="187"/>
        <v>0</v>
      </c>
      <c r="Z469" s="1">
        <f t="shared" si="188"/>
        <v>0</v>
      </c>
      <c r="AA469" s="1">
        <f t="shared" si="189"/>
        <v>0</v>
      </c>
      <c r="AB469" s="1">
        <f t="shared" si="190"/>
        <v>0</v>
      </c>
      <c r="AD469" s="1">
        <f t="shared" si="191"/>
        <v>0</v>
      </c>
      <c r="AE469" s="1">
        <f t="shared" si="192"/>
        <v>1</v>
      </c>
      <c r="AF469" s="1">
        <f t="shared" si="197"/>
        <v>0</v>
      </c>
      <c r="AG469" s="1">
        <f t="shared" si="198"/>
        <v>0</v>
      </c>
      <c r="AH469" s="1">
        <f t="shared" si="199"/>
        <v>0</v>
      </c>
      <c r="AI469" s="1">
        <f t="shared" si="200"/>
        <v>0</v>
      </c>
    </row>
    <row r="470" spans="1:35" s="1" customFormat="1" ht="14.25" customHeight="1" x14ac:dyDescent="0.25">
      <c r="A470" s="31">
        <v>0</v>
      </c>
      <c r="B470" s="31">
        <v>2</v>
      </c>
      <c r="C470" s="31">
        <v>7</v>
      </c>
      <c r="D470" s="32" t="s">
        <v>1547</v>
      </c>
      <c r="E470" s="32" t="s">
        <v>155</v>
      </c>
      <c r="F470" s="32" t="s">
        <v>1548</v>
      </c>
      <c r="G470" s="32" t="s">
        <v>206</v>
      </c>
      <c r="H470" s="32" t="s">
        <v>352</v>
      </c>
      <c r="I470" s="31" t="s">
        <v>1549</v>
      </c>
      <c r="J470" s="31">
        <v>99</v>
      </c>
      <c r="K470" s="33" t="s">
        <v>708</v>
      </c>
      <c r="L470" s="33" t="s">
        <v>718</v>
      </c>
      <c r="M470" s="34" t="s">
        <v>728</v>
      </c>
      <c r="N470" s="34" t="s">
        <v>1920</v>
      </c>
      <c r="O470" s="35">
        <v>1</v>
      </c>
      <c r="P470" s="35"/>
      <c r="Q470" s="32"/>
      <c r="S470" s="1">
        <f t="shared" ref="S470:S500" si="201">IF(J470=$S$7,1,0)</f>
        <v>0</v>
      </c>
      <c r="T470" s="1">
        <f t="shared" ref="T470:T500" si="202">IF(J470=$T$7,1,0)</f>
        <v>0</v>
      </c>
      <c r="U470" s="1">
        <f t="shared" ref="U470:U500" si="203">IF(J470=$U$7,1,0)</f>
        <v>0</v>
      </c>
      <c r="V470" s="1">
        <f t="shared" ref="V470:V500" si="204">IF(J470=$V$7,1,0)</f>
        <v>0</v>
      </c>
      <c r="W470" s="1">
        <f t="shared" ref="W470:W500" si="205">IF(J470=$W$7,1,0)</f>
        <v>0</v>
      </c>
      <c r="X470" s="1">
        <f t="shared" ref="X470:X500" si="206">IF(J470=$X$7,1,0)</f>
        <v>0</v>
      </c>
      <c r="Y470" s="1">
        <f t="shared" ref="Y470:Y500" si="207">IF(J470=$Y$7,1,0)</f>
        <v>0</v>
      </c>
      <c r="Z470" s="1">
        <f t="shared" ref="Z470:Z500" si="208">IF(J470=$Z$7,1,0)</f>
        <v>0</v>
      </c>
      <c r="AA470" s="1">
        <f t="shared" ref="AA470:AA500" si="209">IF(J470=$AA$7,1,0)</f>
        <v>0</v>
      </c>
      <c r="AB470" s="1">
        <f t="shared" ref="AB470:AB500" si="210">IF(J470=$AB$7,1,0)</f>
        <v>0</v>
      </c>
      <c r="AD470" s="1">
        <f t="shared" ref="AD470:AD500" si="211">+O470*P470</f>
        <v>0</v>
      </c>
      <c r="AE470" s="1">
        <f t="shared" ref="AE470:AE500" si="212">O470*(1-P470)</f>
        <v>1</v>
      </c>
      <c r="AF470" s="1">
        <f t="shared" si="197"/>
        <v>0</v>
      </c>
      <c r="AG470" s="1">
        <f t="shared" si="198"/>
        <v>1</v>
      </c>
      <c r="AH470" s="1">
        <f t="shared" si="199"/>
        <v>0</v>
      </c>
      <c r="AI470" s="1">
        <f t="shared" si="200"/>
        <v>1</v>
      </c>
    </row>
    <row r="471" spans="1:35" s="1" customFormat="1" ht="14.25" customHeight="1" x14ac:dyDescent="0.25">
      <c r="A471" s="31">
        <v>0</v>
      </c>
      <c r="B471" s="31">
        <v>2</v>
      </c>
      <c r="C471" s="31">
        <v>7</v>
      </c>
      <c r="D471" s="32" t="s">
        <v>73</v>
      </c>
      <c r="E471" s="32" t="s">
        <v>28</v>
      </c>
      <c r="F471" s="32" t="s">
        <v>263</v>
      </c>
      <c r="G471" s="32" t="s">
        <v>193</v>
      </c>
      <c r="H471" s="32" t="s">
        <v>352</v>
      </c>
      <c r="I471" s="31" t="s">
        <v>419</v>
      </c>
      <c r="J471" s="31">
        <v>9</v>
      </c>
      <c r="K471" s="33" t="s">
        <v>708</v>
      </c>
      <c r="L471" s="33" t="s">
        <v>709</v>
      </c>
      <c r="M471" s="34" t="s">
        <v>727</v>
      </c>
      <c r="N471" s="34" t="s">
        <v>1717</v>
      </c>
      <c r="O471" s="35">
        <v>1</v>
      </c>
      <c r="P471" s="35"/>
      <c r="Q471" s="32"/>
      <c r="S471" s="1">
        <f t="shared" si="201"/>
        <v>0</v>
      </c>
      <c r="T471" s="1">
        <f t="shared" si="202"/>
        <v>0</v>
      </c>
      <c r="U471" s="1">
        <f t="shared" si="203"/>
        <v>0</v>
      </c>
      <c r="V471" s="1">
        <f t="shared" si="204"/>
        <v>0</v>
      </c>
      <c r="W471" s="1">
        <f t="shared" si="205"/>
        <v>0</v>
      </c>
      <c r="X471" s="1">
        <f t="shared" si="206"/>
        <v>0</v>
      </c>
      <c r="Y471" s="1">
        <f t="shared" si="207"/>
        <v>0</v>
      </c>
      <c r="Z471" s="1">
        <f t="shared" si="208"/>
        <v>0</v>
      </c>
      <c r="AA471" s="1">
        <f t="shared" si="209"/>
        <v>1</v>
      </c>
      <c r="AB471" s="1">
        <f t="shared" si="210"/>
        <v>0</v>
      </c>
      <c r="AD471" s="1">
        <f t="shared" si="211"/>
        <v>0</v>
      </c>
      <c r="AE471" s="1">
        <f t="shared" si="212"/>
        <v>1</v>
      </c>
      <c r="AF471" s="1">
        <f t="shared" si="197"/>
        <v>0</v>
      </c>
      <c r="AG471" s="1">
        <f t="shared" si="198"/>
        <v>1</v>
      </c>
      <c r="AH471" s="1">
        <f t="shared" si="199"/>
        <v>0</v>
      </c>
      <c r="AI471" s="1">
        <f t="shared" si="200"/>
        <v>1</v>
      </c>
    </row>
    <row r="472" spans="1:35" s="1" customFormat="1" ht="14.25" customHeight="1" x14ac:dyDescent="0.25">
      <c r="A472" s="31">
        <v>0</v>
      </c>
      <c r="B472" s="31">
        <v>2</v>
      </c>
      <c r="C472" s="31">
        <v>7</v>
      </c>
      <c r="D472" s="32" t="s">
        <v>59</v>
      </c>
      <c r="E472" s="32" t="s">
        <v>162</v>
      </c>
      <c r="F472" s="32" t="s">
        <v>224</v>
      </c>
      <c r="G472" s="32" t="s">
        <v>225</v>
      </c>
      <c r="H472" s="32" t="s">
        <v>352</v>
      </c>
      <c r="I472" s="31" t="s">
        <v>396</v>
      </c>
      <c r="J472" s="31">
        <v>99</v>
      </c>
      <c r="K472" s="33" t="s">
        <v>709</v>
      </c>
      <c r="L472" s="33" t="s">
        <v>718</v>
      </c>
      <c r="M472" s="34" t="s">
        <v>728</v>
      </c>
      <c r="N472" s="34" t="s">
        <v>1724</v>
      </c>
      <c r="O472" s="35">
        <v>1</v>
      </c>
      <c r="P472" s="35"/>
      <c r="Q472" s="32"/>
      <c r="S472" s="1">
        <f t="shared" si="201"/>
        <v>0</v>
      </c>
      <c r="T472" s="1">
        <f t="shared" si="202"/>
        <v>0</v>
      </c>
      <c r="U472" s="1">
        <f t="shared" si="203"/>
        <v>0</v>
      </c>
      <c r="V472" s="1">
        <f t="shared" si="204"/>
        <v>0</v>
      </c>
      <c r="W472" s="1">
        <f t="shared" si="205"/>
        <v>0</v>
      </c>
      <c r="X472" s="1">
        <f t="shared" si="206"/>
        <v>0</v>
      </c>
      <c r="Y472" s="1">
        <f t="shared" si="207"/>
        <v>0</v>
      </c>
      <c r="Z472" s="1">
        <f t="shared" si="208"/>
        <v>0</v>
      </c>
      <c r="AA472" s="1">
        <f t="shared" si="209"/>
        <v>0</v>
      </c>
      <c r="AB472" s="1">
        <f t="shared" si="210"/>
        <v>0</v>
      </c>
      <c r="AD472" s="1">
        <f t="shared" si="211"/>
        <v>0</v>
      </c>
      <c r="AE472" s="1">
        <f t="shared" si="212"/>
        <v>1</v>
      </c>
      <c r="AF472" s="1">
        <f t="shared" si="197"/>
        <v>0</v>
      </c>
      <c r="AG472" s="1">
        <f t="shared" si="198"/>
        <v>1</v>
      </c>
      <c r="AH472" s="1">
        <f t="shared" si="199"/>
        <v>0</v>
      </c>
      <c r="AI472" s="1">
        <f t="shared" si="200"/>
        <v>1</v>
      </c>
    </row>
    <row r="473" spans="1:35" s="1" customFormat="1" ht="14.25" customHeight="1" x14ac:dyDescent="0.25">
      <c r="A473" s="31">
        <v>0</v>
      </c>
      <c r="B473" s="31">
        <v>2</v>
      </c>
      <c r="C473" s="31">
        <v>7</v>
      </c>
      <c r="D473" s="32" t="s">
        <v>1062</v>
      </c>
      <c r="E473" s="32" t="s">
        <v>155</v>
      </c>
      <c r="F473" s="32" t="s">
        <v>1063</v>
      </c>
      <c r="G473" s="32" t="s">
        <v>219</v>
      </c>
      <c r="H473" s="32" t="s">
        <v>352</v>
      </c>
      <c r="I473" s="31" t="s">
        <v>1064</v>
      </c>
      <c r="J473" s="31">
        <v>8</v>
      </c>
      <c r="K473" s="33" t="s">
        <v>708</v>
      </c>
      <c r="L473" s="33" t="s">
        <v>718</v>
      </c>
      <c r="M473" s="34" t="s">
        <v>728</v>
      </c>
      <c r="N473" s="34" t="s">
        <v>1722</v>
      </c>
      <c r="O473" s="35">
        <v>1</v>
      </c>
      <c r="P473" s="35"/>
      <c r="Q473" s="32"/>
      <c r="S473" s="1">
        <f t="shared" si="201"/>
        <v>0</v>
      </c>
      <c r="T473" s="1">
        <f t="shared" si="202"/>
        <v>0</v>
      </c>
      <c r="U473" s="1">
        <f t="shared" si="203"/>
        <v>0</v>
      </c>
      <c r="V473" s="1">
        <f t="shared" si="204"/>
        <v>0</v>
      </c>
      <c r="W473" s="1">
        <f t="shared" si="205"/>
        <v>0</v>
      </c>
      <c r="X473" s="1">
        <f t="shared" si="206"/>
        <v>0</v>
      </c>
      <c r="Y473" s="1">
        <f t="shared" si="207"/>
        <v>0</v>
      </c>
      <c r="Z473" s="1">
        <f t="shared" si="208"/>
        <v>1</v>
      </c>
      <c r="AA473" s="1">
        <f t="shared" si="209"/>
        <v>0</v>
      </c>
      <c r="AB473" s="1">
        <f t="shared" si="210"/>
        <v>0</v>
      </c>
      <c r="AD473" s="1">
        <f t="shared" si="211"/>
        <v>0</v>
      </c>
      <c r="AE473" s="1">
        <f t="shared" si="212"/>
        <v>1</v>
      </c>
      <c r="AF473" s="1">
        <f t="shared" si="197"/>
        <v>0</v>
      </c>
      <c r="AG473" s="1">
        <f t="shared" si="198"/>
        <v>1</v>
      </c>
      <c r="AH473" s="1">
        <f t="shared" si="199"/>
        <v>0</v>
      </c>
      <c r="AI473" s="1">
        <f t="shared" si="200"/>
        <v>1</v>
      </c>
    </row>
    <row r="474" spans="1:35" s="1" customFormat="1" ht="14.25" customHeight="1" x14ac:dyDescent="0.25">
      <c r="A474" s="31">
        <v>0</v>
      </c>
      <c r="B474" s="31">
        <v>2</v>
      </c>
      <c r="C474" s="31">
        <v>7</v>
      </c>
      <c r="D474" s="32" t="s">
        <v>81</v>
      </c>
      <c r="E474" s="32" t="s">
        <v>155</v>
      </c>
      <c r="F474" s="32" t="s">
        <v>272</v>
      </c>
      <c r="G474" s="32" t="s">
        <v>253</v>
      </c>
      <c r="H474" s="32" t="s">
        <v>352</v>
      </c>
      <c r="I474" s="31" t="s">
        <v>426</v>
      </c>
      <c r="J474" s="31">
        <v>99</v>
      </c>
      <c r="K474" s="33" t="s">
        <v>709</v>
      </c>
      <c r="L474" s="33" t="s">
        <v>729</v>
      </c>
      <c r="M474" s="34" t="s">
        <v>730</v>
      </c>
      <c r="N474" s="34" t="s">
        <v>1730</v>
      </c>
      <c r="O474" s="35">
        <v>1</v>
      </c>
      <c r="P474" s="35"/>
      <c r="Q474" s="32"/>
      <c r="S474" s="1">
        <f t="shared" si="201"/>
        <v>0</v>
      </c>
      <c r="T474" s="1">
        <f t="shared" si="202"/>
        <v>0</v>
      </c>
      <c r="U474" s="1">
        <f t="shared" si="203"/>
        <v>0</v>
      </c>
      <c r="V474" s="1">
        <f t="shared" si="204"/>
        <v>0</v>
      </c>
      <c r="W474" s="1">
        <f t="shared" si="205"/>
        <v>0</v>
      </c>
      <c r="X474" s="1">
        <f t="shared" si="206"/>
        <v>0</v>
      </c>
      <c r="Y474" s="1">
        <f t="shared" si="207"/>
        <v>0</v>
      </c>
      <c r="Z474" s="1">
        <f t="shared" si="208"/>
        <v>0</v>
      </c>
      <c r="AA474" s="1">
        <f t="shared" si="209"/>
        <v>0</v>
      </c>
      <c r="AB474" s="1">
        <f t="shared" si="210"/>
        <v>0</v>
      </c>
      <c r="AD474" s="1">
        <f t="shared" si="211"/>
        <v>0</v>
      </c>
      <c r="AE474" s="1">
        <f t="shared" si="212"/>
        <v>1</v>
      </c>
      <c r="AF474" s="1">
        <f t="shared" si="197"/>
        <v>0</v>
      </c>
      <c r="AG474" s="1">
        <f t="shared" si="198"/>
        <v>1</v>
      </c>
      <c r="AH474" s="1">
        <f t="shared" si="199"/>
        <v>0</v>
      </c>
      <c r="AI474" s="1">
        <f t="shared" si="200"/>
        <v>1</v>
      </c>
    </row>
    <row r="475" spans="1:35" s="1" customFormat="1" ht="14.25" customHeight="1" x14ac:dyDescent="0.25">
      <c r="A475" s="37">
        <v>0</v>
      </c>
      <c r="B475" s="37">
        <v>2</v>
      </c>
      <c r="C475" s="37">
        <v>7</v>
      </c>
      <c r="D475" s="36" t="s">
        <v>1749</v>
      </c>
      <c r="E475" s="36" t="s">
        <v>1750</v>
      </c>
      <c r="F475" s="36" t="s">
        <v>1751</v>
      </c>
      <c r="G475" s="36" t="s">
        <v>189</v>
      </c>
      <c r="H475" s="36" t="s">
        <v>352</v>
      </c>
      <c r="I475" s="37"/>
      <c r="J475" s="37"/>
      <c r="K475" s="33" t="s">
        <v>699</v>
      </c>
      <c r="L475" s="33"/>
      <c r="M475" s="34"/>
      <c r="N475" s="34" t="s">
        <v>1701</v>
      </c>
      <c r="O475" s="35">
        <v>1</v>
      </c>
      <c r="P475" s="35">
        <v>1</v>
      </c>
      <c r="Q475" s="36"/>
      <c r="S475" s="1">
        <f t="shared" si="201"/>
        <v>0</v>
      </c>
      <c r="T475" s="1">
        <f t="shared" si="202"/>
        <v>0</v>
      </c>
      <c r="U475" s="1">
        <f t="shared" si="203"/>
        <v>0</v>
      </c>
      <c r="V475" s="1">
        <f t="shared" si="204"/>
        <v>0</v>
      </c>
      <c r="W475" s="1">
        <f t="shared" si="205"/>
        <v>0</v>
      </c>
      <c r="X475" s="1">
        <f t="shared" si="206"/>
        <v>0</v>
      </c>
      <c r="Y475" s="1">
        <f t="shared" si="207"/>
        <v>0</v>
      </c>
      <c r="Z475" s="1">
        <f t="shared" si="208"/>
        <v>0</v>
      </c>
      <c r="AA475" s="1">
        <f t="shared" si="209"/>
        <v>0</v>
      </c>
      <c r="AB475" s="1">
        <f t="shared" si="210"/>
        <v>0</v>
      </c>
      <c r="AD475" s="1">
        <f t="shared" si="211"/>
        <v>1</v>
      </c>
      <c r="AE475" s="1">
        <f t="shared" si="212"/>
        <v>0</v>
      </c>
      <c r="AF475" s="1">
        <f t="shared" si="197"/>
        <v>1</v>
      </c>
      <c r="AG475" s="1">
        <f t="shared" si="198"/>
        <v>0</v>
      </c>
      <c r="AH475" s="1">
        <f t="shared" si="199"/>
        <v>1</v>
      </c>
      <c r="AI475" s="1">
        <f t="shared" si="200"/>
        <v>0</v>
      </c>
    </row>
    <row r="476" spans="1:35" s="1" customFormat="1" ht="14.25" customHeight="1" x14ac:dyDescent="0.25">
      <c r="A476" s="37">
        <v>0</v>
      </c>
      <c r="B476" s="37">
        <v>2</v>
      </c>
      <c r="C476" s="37">
        <v>7</v>
      </c>
      <c r="D476" s="36" t="s">
        <v>510</v>
      </c>
      <c r="E476" s="36" t="s">
        <v>155</v>
      </c>
      <c r="F476" s="36" t="s">
        <v>570</v>
      </c>
      <c r="G476" s="36" t="s">
        <v>319</v>
      </c>
      <c r="H476" s="36" t="s">
        <v>352</v>
      </c>
      <c r="I476" s="37" t="s">
        <v>577</v>
      </c>
      <c r="J476" s="37">
        <v>99</v>
      </c>
      <c r="K476" s="33" t="s">
        <v>941</v>
      </c>
      <c r="L476" s="33" t="s">
        <v>718</v>
      </c>
      <c r="M476" s="34" t="s">
        <v>728</v>
      </c>
      <c r="N476" s="34" t="s">
        <v>1735</v>
      </c>
      <c r="O476" s="35">
        <v>1</v>
      </c>
      <c r="P476" s="35"/>
      <c r="Q476" s="36"/>
      <c r="S476" s="1">
        <f t="shared" si="201"/>
        <v>0</v>
      </c>
      <c r="T476" s="1">
        <f t="shared" si="202"/>
        <v>0</v>
      </c>
      <c r="U476" s="1">
        <f t="shared" si="203"/>
        <v>0</v>
      </c>
      <c r="V476" s="1">
        <f t="shared" si="204"/>
        <v>0</v>
      </c>
      <c r="W476" s="1">
        <f t="shared" si="205"/>
        <v>0</v>
      </c>
      <c r="X476" s="1">
        <f t="shared" si="206"/>
        <v>0</v>
      </c>
      <c r="Y476" s="1">
        <f t="shared" si="207"/>
        <v>0</v>
      </c>
      <c r="Z476" s="1">
        <f t="shared" si="208"/>
        <v>0</v>
      </c>
      <c r="AA476" s="1">
        <f t="shared" si="209"/>
        <v>0</v>
      </c>
      <c r="AB476" s="1">
        <f t="shared" si="210"/>
        <v>0</v>
      </c>
      <c r="AD476" s="1">
        <f t="shared" si="211"/>
        <v>0</v>
      </c>
      <c r="AE476" s="1">
        <f t="shared" si="212"/>
        <v>1</v>
      </c>
      <c r="AF476" s="1">
        <f t="shared" si="197"/>
        <v>0</v>
      </c>
      <c r="AG476" s="1">
        <f t="shared" si="198"/>
        <v>1</v>
      </c>
      <c r="AH476" s="1">
        <f t="shared" si="199"/>
        <v>0</v>
      </c>
      <c r="AI476" s="1">
        <f t="shared" si="200"/>
        <v>1</v>
      </c>
    </row>
    <row r="477" spans="1:35" s="1" customFormat="1" ht="14.25" customHeight="1" x14ac:dyDescent="0.25">
      <c r="A477" s="31">
        <v>0</v>
      </c>
      <c r="B477" s="31">
        <v>2</v>
      </c>
      <c r="C477" s="31">
        <v>7</v>
      </c>
      <c r="D477" s="32" t="s">
        <v>74</v>
      </c>
      <c r="E477" s="32" t="s">
        <v>155</v>
      </c>
      <c r="F477" s="32" t="s">
        <v>671</v>
      </c>
      <c r="G477" s="32" t="s">
        <v>264</v>
      </c>
      <c r="H477" s="32" t="s">
        <v>352</v>
      </c>
      <c r="I477" s="31" t="s">
        <v>420</v>
      </c>
      <c r="J477" s="31">
        <v>99</v>
      </c>
      <c r="K477" s="33" t="s">
        <v>708</v>
      </c>
      <c r="L477" s="33" t="s">
        <v>725</v>
      </c>
      <c r="M477" s="34" t="s">
        <v>728</v>
      </c>
      <c r="N477" s="34" t="s">
        <v>1717</v>
      </c>
      <c r="O477" s="35">
        <v>1</v>
      </c>
      <c r="P477" s="35"/>
      <c r="Q477" s="32"/>
      <c r="S477" s="1">
        <f t="shared" si="201"/>
        <v>0</v>
      </c>
      <c r="T477" s="1">
        <f t="shared" si="202"/>
        <v>0</v>
      </c>
      <c r="U477" s="1">
        <f t="shared" si="203"/>
        <v>0</v>
      </c>
      <c r="V477" s="1">
        <f t="shared" si="204"/>
        <v>0</v>
      </c>
      <c r="W477" s="1">
        <f t="shared" si="205"/>
        <v>0</v>
      </c>
      <c r="X477" s="1">
        <f t="shared" si="206"/>
        <v>0</v>
      </c>
      <c r="Y477" s="1">
        <f t="shared" si="207"/>
        <v>0</v>
      </c>
      <c r="Z477" s="1">
        <f t="shared" si="208"/>
        <v>0</v>
      </c>
      <c r="AA477" s="1">
        <f t="shared" si="209"/>
        <v>0</v>
      </c>
      <c r="AB477" s="1">
        <f t="shared" si="210"/>
        <v>0</v>
      </c>
      <c r="AD477" s="1">
        <f t="shared" si="211"/>
        <v>0</v>
      </c>
      <c r="AE477" s="1">
        <f t="shared" si="212"/>
        <v>1</v>
      </c>
      <c r="AF477" s="1">
        <f t="shared" si="197"/>
        <v>0</v>
      </c>
      <c r="AG477" s="1">
        <f t="shared" si="198"/>
        <v>1</v>
      </c>
      <c r="AH477" s="1">
        <f t="shared" si="199"/>
        <v>0</v>
      </c>
      <c r="AI477" s="1">
        <f t="shared" si="200"/>
        <v>1</v>
      </c>
    </row>
    <row r="478" spans="1:35" s="1" customFormat="1" ht="14.25" customHeight="1" x14ac:dyDescent="0.25">
      <c r="A478" s="31">
        <v>0</v>
      </c>
      <c r="B478" s="31">
        <v>2</v>
      </c>
      <c r="C478" s="31">
        <v>7</v>
      </c>
      <c r="D478" s="32" t="s">
        <v>1976</v>
      </c>
      <c r="E478" s="32" t="s">
        <v>155</v>
      </c>
      <c r="F478" s="32" t="s">
        <v>1977</v>
      </c>
      <c r="G478" s="32" t="s">
        <v>281</v>
      </c>
      <c r="H478" s="32" t="s">
        <v>352</v>
      </c>
      <c r="I478" s="31" t="s">
        <v>1978</v>
      </c>
      <c r="J478" s="31">
        <v>99</v>
      </c>
      <c r="K478" s="33" t="s">
        <v>699</v>
      </c>
      <c r="L478" s="33" t="s">
        <v>718</v>
      </c>
      <c r="M478" s="34" t="s">
        <v>728</v>
      </c>
      <c r="N478" s="34" t="s">
        <v>1701</v>
      </c>
      <c r="O478" s="35">
        <v>1</v>
      </c>
      <c r="P478" s="35">
        <v>1</v>
      </c>
      <c r="Q478" s="32"/>
      <c r="S478" s="1">
        <f t="shared" si="201"/>
        <v>0</v>
      </c>
      <c r="T478" s="1">
        <f t="shared" si="202"/>
        <v>0</v>
      </c>
      <c r="U478" s="1">
        <f t="shared" si="203"/>
        <v>0</v>
      </c>
      <c r="V478" s="1">
        <f t="shared" si="204"/>
        <v>0</v>
      </c>
      <c r="W478" s="1">
        <f t="shared" si="205"/>
        <v>0</v>
      </c>
      <c r="X478" s="1">
        <f t="shared" si="206"/>
        <v>0</v>
      </c>
      <c r="Y478" s="1">
        <f t="shared" si="207"/>
        <v>0</v>
      </c>
      <c r="Z478" s="1">
        <f t="shared" si="208"/>
        <v>0</v>
      </c>
      <c r="AA478" s="1">
        <f t="shared" si="209"/>
        <v>0</v>
      </c>
      <c r="AB478" s="1">
        <f t="shared" si="210"/>
        <v>0</v>
      </c>
      <c r="AD478" s="1">
        <f t="shared" si="211"/>
        <v>1</v>
      </c>
      <c r="AE478" s="1">
        <f t="shared" si="212"/>
        <v>0</v>
      </c>
      <c r="AF478" s="1">
        <f t="shared" si="197"/>
        <v>1</v>
      </c>
      <c r="AG478" s="1">
        <f t="shared" si="198"/>
        <v>0</v>
      </c>
      <c r="AH478" s="1">
        <f t="shared" si="199"/>
        <v>1</v>
      </c>
      <c r="AI478" s="1">
        <f t="shared" si="200"/>
        <v>0</v>
      </c>
    </row>
    <row r="479" spans="1:35" s="1" customFormat="1" ht="14.25" customHeight="1" x14ac:dyDescent="0.25">
      <c r="A479" s="31">
        <v>1</v>
      </c>
      <c r="B479" s="31">
        <v>2</v>
      </c>
      <c r="C479" s="31">
        <v>7</v>
      </c>
      <c r="D479" s="32" t="s">
        <v>1976</v>
      </c>
      <c r="E479" s="32" t="s">
        <v>155</v>
      </c>
      <c r="F479" s="32" t="s">
        <v>1979</v>
      </c>
      <c r="G479" s="32" t="s">
        <v>1980</v>
      </c>
      <c r="H479" s="32" t="s">
        <v>352</v>
      </c>
      <c r="I479" s="31" t="s">
        <v>1981</v>
      </c>
      <c r="J479" s="31">
        <v>99</v>
      </c>
      <c r="K479" s="33" t="s">
        <v>699</v>
      </c>
      <c r="L479" s="33" t="s">
        <v>718</v>
      </c>
      <c r="M479" s="34" t="s">
        <v>728</v>
      </c>
      <c r="N479" s="34" t="s">
        <v>1701</v>
      </c>
      <c r="O479" s="35">
        <v>1</v>
      </c>
      <c r="P479" s="35">
        <v>1</v>
      </c>
      <c r="Q479" s="32"/>
      <c r="S479" s="1">
        <f t="shared" si="201"/>
        <v>0</v>
      </c>
      <c r="T479" s="1">
        <f t="shared" si="202"/>
        <v>0</v>
      </c>
      <c r="U479" s="1">
        <f t="shared" si="203"/>
        <v>0</v>
      </c>
      <c r="V479" s="1">
        <f t="shared" si="204"/>
        <v>0</v>
      </c>
      <c r="W479" s="1">
        <f t="shared" si="205"/>
        <v>0</v>
      </c>
      <c r="X479" s="1">
        <f t="shared" si="206"/>
        <v>0</v>
      </c>
      <c r="Y479" s="1">
        <f t="shared" si="207"/>
        <v>0</v>
      </c>
      <c r="Z479" s="1">
        <f t="shared" si="208"/>
        <v>0</v>
      </c>
      <c r="AA479" s="1">
        <f t="shared" si="209"/>
        <v>0</v>
      </c>
      <c r="AB479" s="1">
        <f t="shared" si="210"/>
        <v>0</v>
      </c>
      <c r="AD479" s="1">
        <f t="shared" si="211"/>
        <v>1</v>
      </c>
      <c r="AE479" s="1">
        <f t="shared" si="212"/>
        <v>0</v>
      </c>
      <c r="AF479" s="1">
        <f t="shared" si="197"/>
        <v>0</v>
      </c>
      <c r="AG479" s="1">
        <f t="shared" si="198"/>
        <v>0</v>
      </c>
      <c r="AH479" s="1">
        <f t="shared" si="199"/>
        <v>0</v>
      </c>
      <c r="AI479" s="1">
        <f t="shared" si="200"/>
        <v>0</v>
      </c>
    </row>
    <row r="480" spans="1:35" s="1" customFormat="1" ht="14.25" customHeight="1" x14ac:dyDescent="0.25">
      <c r="A480" s="15">
        <v>0</v>
      </c>
      <c r="B480" s="15">
        <v>2</v>
      </c>
      <c r="C480" s="15">
        <v>7</v>
      </c>
      <c r="D480" s="20" t="s">
        <v>1832</v>
      </c>
      <c r="E480" s="16" t="s">
        <v>155</v>
      </c>
      <c r="F480" s="20" t="s">
        <v>1833</v>
      </c>
      <c r="G480" s="20" t="s">
        <v>281</v>
      </c>
      <c r="H480" s="20" t="s">
        <v>352</v>
      </c>
      <c r="I480" s="21" t="s">
        <v>1834</v>
      </c>
      <c r="J480" s="15">
        <v>99</v>
      </c>
      <c r="K480" s="10" t="s">
        <v>699</v>
      </c>
      <c r="L480" s="10" t="s">
        <v>718</v>
      </c>
      <c r="M480" s="19" t="s">
        <v>728</v>
      </c>
      <c r="N480" s="19"/>
      <c r="Q480" s="20"/>
      <c r="S480" s="1">
        <f t="shared" si="201"/>
        <v>0</v>
      </c>
      <c r="T480" s="1">
        <f t="shared" si="202"/>
        <v>0</v>
      </c>
      <c r="U480" s="1">
        <f t="shared" si="203"/>
        <v>0</v>
      </c>
      <c r="V480" s="1">
        <f t="shared" si="204"/>
        <v>0</v>
      </c>
      <c r="W480" s="1">
        <f t="shared" si="205"/>
        <v>0</v>
      </c>
      <c r="X480" s="1">
        <f t="shared" si="206"/>
        <v>0</v>
      </c>
      <c r="Y480" s="1">
        <f t="shared" si="207"/>
        <v>0</v>
      </c>
      <c r="Z480" s="1">
        <f t="shared" si="208"/>
        <v>0</v>
      </c>
      <c r="AA480" s="1">
        <f t="shared" si="209"/>
        <v>0</v>
      </c>
      <c r="AB480" s="1">
        <f t="shared" si="210"/>
        <v>0</v>
      </c>
      <c r="AD480" s="1">
        <f t="shared" si="211"/>
        <v>0</v>
      </c>
      <c r="AE480" s="1">
        <f t="shared" si="212"/>
        <v>0</v>
      </c>
      <c r="AF480" s="1">
        <f t="shared" si="197"/>
        <v>0</v>
      </c>
      <c r="AG480" s="1">
        <f t="shared" si="198"/>
        <v>0</v>
      </c>
      <c r="AH480" s="1">
        <f t="shared" si="199"/>
        <v>0</v>
      </c>
      <c r="AI480" s="1">
        <f t="shared" si="200"/>
        <v>1</v>
      </c>
    </row>
    <row r="481" spans="1:35" s="1" customFormat="1" ht="14.25" customHeight="1" x14ac:dyDescent="0.25">
      <c r="A481" s="31">
        <v>0</v>
      </c>
      <c r="B481" s="31">
        <v>2</v>
      </c>
      <c r="C481" s="31">
        <v>7</v>
      </c>
      <c r="D481" s="32" t="s">
        <v>60</v>
      </c>
      <c r="E481" s="32" t="s">
        <v>162</v>
      </c>
      <c r="F481" s="32" t="s">
        <v>226</v>
      </c>
      <c r="G481" s="32" t="s">
        <v>189</v>
      </c>
      <c r="H481" s="32" t="s">
        <v>352</v>
      </c>
      <c r="I481" s="31" t="s">
        <v>397</v>
      </c>
      <c r="J481" s="31">
        <v>99</v>
      </c>
      <c r="K481" s="33" t="s">
        <v>709</v>
      </c>
      <c r="L481" s="33" t="s">
        <v>718</v>
      </c>
      <c r="M481" s="34" t="s">
        <v>728</v>
      </c>
      <c r="N481" s="34" t="s">
        <v>1722</v>
      </c>
      <c r="O481" s="35">
        <v>1</v>
      </c>
      <c r="P481" s="35"/>
      <c r="Q481" s="32"/>
      <c r="S481" s="1">
        <f t="shared" si="201"/>
        <v>0</v>
      </c>
      <c r="T481" s="1">
        <f t="shared" si="202"/>
        <v>0</v>
      </c>
      <c r="U481" s="1">
        <f t="shared" si="203"/>
        <v>0</v>
      </c>
      <c r="V481" s="1">
        <f t="shared" si="204"/>
        <v>0</v>
      </c>
      <c r="W481" s="1">
        <f t="shared" si="205"/>
        <v>0</v>
      </c>
      <c r="X481" s="1">
        <f t="shared" si="206"/>
        <v>0</v>
      </c>
      <c r="Y481" s="1">
        <f t="shared" si="207"/>
        <v>0</v>
      </c>
      <c r="Z481" s="1">
        <f t="shared" si="208"/>
        <v>0</v>
      </c>
      <c r="AA481" s="1">
        <f t="shared" si="209"/>
        <v>0</v>
      </c>
      <c r="AB481" s="1">
        <f t="shared" si="210"/>
        <v>0</v>
      </c>
      <c r="AD481" s="1">
        <f t="shared" si="211"/>
        <v>0</v>
      </c>
      <c r="AE481" s="1">
        <f t="shared" si="212"/>
        <v>1</v>
      </c>
      <c r="AF481" s="1">
        <f t="shared" si="197"/>
        <v>0</v>
      </c>
      <c r="AG481" s="1">
        <f t="shared" si="198"/>
        <v>1</v>
      </c>
      <c r="AH481" s="1">
        <f t="shared" si="199"/>
        <v>0</v>
      </c>
      <c r="AI481" s="1">
        <f t="shared" si="200"/>
        <v>1</v>
      </c>
    </row>
    <row r="482" spans="1:35" s="1" customFormat="1" ht="14.25" customHeight="1" x14ac:dyDescent="0.25">
      <c r="A482" s="31">
        <v>0</v>
      </c>
      <c r="B482" s="31">
        <v>2</v>
      </c>
      <c r="C482" s="31">
        <v>7</v>
      </c>
      <c r="D482" s="32" t="s">
        <v>1309</v>
      </c>
      <c r="E482" s="32" t="s">
        <v>155</v>
      </c>
      <c r="F482" s="32" t="s">
        <v>1127</v>
      </c>
      <c r="G482" s="32" t="s">
        <v>191</v>
      </c>
      <c r="H482" s="32" t="s">
        <v>352</v>
      </c>
      <c r="I482" s="31" t="s">
        <v>1346</v>
      </c>
      <c r="J482" s="31">
        <v>99</v>
      </c>
      <c r="K482" s="33" t="s">
        <v>708</v>
      </c>
      <c r="L482" s="33" t="s">
        <v>39</v>
      </c>
      <c r="M482" s="34" t="s">
        <v>39</v>
      </c>
      <c r="N482" s="34" t="s">
        <v>1701</v>
      </c>
      <c r="O482" s="35">
        <v>1</v>
      </c>
      <c r="P482" s="35">
        <v>1</v>
      </c>
      <c r="Q482" s="32"/>
      <c r="S482" s="1">
        <f t="shared" si="201"/>
        <v>0</v>
      </c>
      <c r="T482" s="1">
        <f t="shared" si="202"/>
        <v>0</v>
      </c>
      <c r="U482" s="1">
        <f t="shared" si="203"/>
        <v>0</v>
      </c>
      <c r="V482" s="1">
        <f t="shared" si="204"/>
        <v>0</v>
      </c>
      <c r="W482" s="1">
        <f t="shared" si="205"/>
        <v>0</v>
      </c>
      <c r="X482" s="1">
        <f t="shared" si="206"/>
        <v>0</v>
      </c>
      <c r="Y482" s="1">
        <f t="shared" si="207"/>
        <v>0</v>
      </c>
      <c r="Z482" s="1">
        <f t="shared" si="208"/>
        <v>0</v>
      </c>
      <c r="AA482" s="1">
        <f t="shared" si="209"/>
        <v>0</v>
      </c>
      <c r="AB482" s="1">
        <f t="shared" si="210"/>
        <v>0</v>
      </c>
      <c r="AD482" s="1">
        <f t="shared" si="211"/>
        <v>1</v>
      </c>
      <c r="AE482" s="1">
        <f t="shared" si="212"/>
        <v>0</v>
      </c>
      <c r="AF482" s="1">
        <f t="shared" si="197"/>
        <v>1</v>
      </c>
      <c r="AG482" s="1">
        <f t="shared" si="198"/>
        <v>0</v>
      </c>
      <c r="AH482" s="1">
        <f t="shared" si="199"/>
        <v>1</v>
      </c>
      <c r="AI482" s="1">
        <f t="shared" si="200"/>
        <v>0</v>
      </c>
    </row>
    <row r="483" spans="1:35" s="1" customFormat="1" ht="14.25" customHeight="1" x14ac:dyDescent="0.25">
      <c r="A483" s="31">
        <v>0</v>
      </c>
      <c r="B483" s="31">
        <v>2</v>
      </c>
      <c r="C483" s="31">
        <v>7</v>
      </c>
      <c r="D483" s="32" t="s">
        <v>585</v>
      </c>
      <c r="E483" s="32" t="s">
        <v>1317</v>
      </c>
      <c r="F483" s="32" t="s">
        <v>672</v>
      </c>
      <c r="G483" s="32" t="s">
        <v>239</v>
      </c>
      <c r="H483" s="32" t="s">
        <v>352</v>
      </c>
      <c r="I483" s="31" t="s">
        <v>403</v>
      </c>
      <c r="J483" s="31">
        <v>1</v>
      </c>
      <c r="K483" s="33" t="s">
        <v>709</v>
      </c>
      <c r="L483" s="33" t="s">
        <v>1685</v>
      </c>
      <c r="M483" s="34" t="s">
        <v>1414</v>
      </c>
      <c r="N483" s="34" t="s">
        <v>1722</v>
      </c>
      <c r="O483" s="35">
        <v>1</v>
      </c>
      <c r="P483" s="35"/>
      <c r="Q483" s="32"/>
      <c r="S483" s="1">
        <f t="shared" si="201"/>
        <v>1</v>
      </c>
      <c r="T483" s="1">
        <f t="shared" si="202"/>
        <v>0</v>
      </c>
      <c r="U483" s="1">
        <f t="shared" si="203"/>
        <v>0</v>
      </c>
      <c r="V483" s="1">
        <f t="shared" si="204"/>
        <v>0</v>
      </c>
      <c r="W483" s="1">
        <f t="shared" si="205"/>
        <v>0</v>
      </c>
      <c r="X483" s="1">
        <f t="shared" si="206"/>
        <v>0</v>
      </c>
      <c r="Y483" s="1">
        <f t="shared" si="207"/>
        <v>0</v>
      </c>
      <c r="Z483" s="1">
        <f t="shared" si="208"/>
        <v>0</v>
      </c>
      <c r="AA483" s="1">
        <f t="shared" si="209"/>
        <v>0</v>
      </c>
      <c r="AB483" s="1">
        <f t="shared" si="210"/>
        <v>0</v>
      </c>
      <c r="AD483" s="1">
        <f t="shared" si="211"/>
        <v>0</v>
      </c>
      <c r="AE483" s="1">
        <f t="shared" si="212"/>
        <v>1</v>
      </c>
      <c r="AF483" s="1">
        <f t="shared" si="197"/>
        <v>0</v>
      </c>
      <c r="AG483" s="1">
        <f t="shared" si="198"/>
        <v>1</v>
      </c>
      <c r="AH483" s="1">
        <f t="shared" si="199"/>
        <v>0</v>
      </c>
      <c r="AI483" s="1">
        <f t="shared" si="200"/>
        <v>1</v>
      </c>
    </row>
    <row r="484" spans="1:35" s="1" customFormat="1" ht="14.25" customHeight="1" x14ac:dyDescent="0.25">
      <c r="A484" s="31">
        <v>1</v>
      </c>
      <c r="B484" s="31">
        <v>2</v>
      </c>
      <c r="C484" s="31">
        <v>7</v>
      </c>
      <c r="D484" s="32" t="s">
        <v>585</v>
      </c>
      <c r="E484" s="32" t="s">
        <v>1317</v>
      </c>
      <c r="F484" s="32" t="s">
        <v>238</v>
      </c>
      <c r="G484" s="32" t="s">
        <v>177</v>
      </c>
      <c r="H484" s="32" t="s">
        <v>352</v>
      </c>
      <c r="I484" s="31" t="s">
        <v>402</v>
      </c>
      <c r="J484" s="31">
        <v>1</v>
      </c>
      <c r="K484" s="33" t="s">
        <v>709</v>
      </c>
      <c r="L484" s="33" t="s">
        <v>1685</v>
      </c>
      <c r="M484" s="34" t="s">
        <v>1414</v>
      </c>
      <c r="N484" s="34" t="s">
        <v>1722</v>
      </c>
      <c r="O484" s="35">
        <v>1</v>
      </c>
      <c r="P484" s="35"/>
      <c r="Q484" s="36" t="s">
        <v>1885</v>
      </c>
      <c r="S484" s="1">
        <f t="shared" si="201"/>
        <v>1</v>
      </c>
      <c r="T484" s="1">
        <f t="shared" si="202"/>
        <v>0</v>
      </c>
      <c r="U484" s="1">
        <f t="shared" si="203"/>
        <v>0</v>
      </c>
      <c r="V484" s="1">
        <f t="shared" si="204"/>
        <v>0</v>
      </c>
      <c r="W484" s="1">
        <f t="shared" si="205"/>
        <v>0</v>
      </c>
      <c r="X484" s="1">
        <f t="shared" si="206"/>
        <v>0</v>
      </c>
      <c r="Y484" s="1">
        <f t="shared" si="207"/>
        <v>0</v>
      </c>
      <c r="Z484" s="1">
        <f t="shared" si="208"/>
        <v>0</v>
      </c>
      <c r="AA484" s="1">
        <f t="shared" si="209"/>
        <v>0</v>
      </c>
      <c r="AB484" s="1">
        <f t="shared" si="210"/>
        <v>0</v>
      </c>
      <c r="AD484" s="1">
        <f t="shared" si="211"/>
        <v>0</v>
      </c>
      <c r="AE484" s="1">
        <f t="shared" si="212"/>
        <v>1</v>
      </c>
      <c r="AF484" s="1">
        <f t="shared" si="197"/>
        <v>0</v>
      </c>
      <c r="AG484" s="1">
        <f t="shared" si="198"/>
        <v>0</v>
      </c>
      <c r="AH484" s="1">
        <f t="shared" si="199"/>
        <v>0</v>
      </c>
      <c r="AI484" s="1">
        <f t="shared" si="200"/>
        <v>0</v>
      </c>
    </row>
    <row r="485" spans="1:35" s="1" customFormat="1" ht="14.25" customHeight="1" x14ac:dyDescent="0.25">
      <c r="A485" s="31">
        <v>0</v>
      </c>
      <c r="B485" s="31">
        <v>2</v>
      </c>
      <c r="C485" s="31">
        <v>7</v>
      </c>
      <c r="D485" s="32" t="s">
        <v>1310</v>
      </c>
      <c r="E485" s="32" t="s">
        <v>155</v>
      </c>
      <c r="F485" s="32" t="s">
        <v>1334</v>
      </c>
      <c r="G485" s="32" t="s">
        <v>257</v>
      </c>
      <c r="H485" s="32" t="s">
        <v>352</v>
      </c>
      <c r="I485" s="31" t="s">
        <v>1220</v>
      </c>
      <c r="J485" s="31">
        <v>8</v>
      </c>
      <c r="K485" s="33" t="s">
        <v>942</v>
      </c>
      <c r="L485" s="33" t="s">
        <v>718</v>
      </c>
      <c r="M485" s="34" t="s">
        <v>728</v>
      </c>
      <c r="N485" s="34" t="s">
        <v>1722</v>
      </c>
      <c r="O485" s="35">
        <v>1</v>
      </c>
      <c r="P485" s="35"/>
      <c r="Q485" s="32"/>
      <c r="S485" s="1">
        <f t="shared" si="201"/>
        <v>0</v>
      </c>
      <c r="T485" s="1">
        <f t="shared" si="202"/>
        <v>0</v>
      </c>
      <c r="U485" s="1">
        <f t="shared" si="203"/>
        <v>0</v>
      </c>
      <c r="V485" s="1">
        <f t="shared" si="204"/>
        <v>0</v>
      </c>
      <c r="W485" s="1">
        <f t="shared" si="205"/>
        <v>0</v>
      </c>
      <c r="X485" s="1">
        <f t="shared" si="206"/>
        <v>0</v>
      </c>
      <c r="Y485" s="1">
        <f t="shared" si="207"/>
        <v>0</v>
      </c>
      <c r="Z485" s="1">
        <f t="shared" si="208"/>
        <v>1</v>
      </c>
      <c r="AA485" s="1">
        <f t="shared" si="209"/>
        <v>0</v>
      </c>
      <c r="AB485" s="1">
        <f t="shared" si="210"/>
        <v>0</v>
      </c>
      <c r="AD485" s="1">
        <f t="shared" si="211"/>
        <v>0</v>
      </c>
      <c r="AE485" s="1">
        <f t="shared" si="212"/>
        <v>1</v>
      </c>
      <c r="AF485" s="1">
        <f t="shared" si="197"/>
        <v>0</v>
      </c>
      <c r="AG485" s="1">
        <f t="shared" si="198"/>
        <v>1</v>
      </c>
      <c r="AH485" s="1">
        <f t="shared" si="199"/>
        <v>0</v>
      </c>
      <c r="AI485" s="1">
        <f t="shared" si="200"/>
        <v>1</v>
      </c>
    </row>
    <row r="486" spans="1:35" s="1" customFormat="1" ht="14.25" customHeight="1" x14ac:dyDescent="0.25">
      <c r="A486" s="31">
        <v>1</v>
      </c>
      <c r="B486" s="31">
        <v>2</v>
      </c>
      <c r="C486" s="31">
        <v>7</v>
      </c>
      <c r="D486" s="32" t="s">
        <v>1310</v>
      </c>
      <c r="E486" s="32" t="s">
        <v>155</v>
      </c>
      <c r="F486" s="32" t="s">
        <v>1199</v>
      </c>
      <c r="G486" s="32" t="s">
        <v>217</v>
      </c>
      <c r="H486" s="32" t="s">
        <v>352</v>
      </c>
      <c r="I486" s="31" t="s">
        <v>1220</v>
      </c>
      <c r="J486" s="31">
        <v>99</v>
      </c>
      <c r="K486" s="33" t="s">
        <v>942</v>
      </c>
      <c r="L486" s="33" t="s">
        <v>718</v>
      </c>
      <c r="M486" s="34" t="s">
        <v>728</v>
      </c>
      <c r="N486" s="34" t="s">
        <v>1722</v>
      </c>
      <c r="O486" s="35">
        <v>1</v>
      </c>
      <c r="P486" s="35"/>
      <c r="Q486" s="32"/>
      <c r="S486" s="1">
        <f t="shared" si="201"/>
        <v>0</v>
      </c>
      <c r="T486" s="1">
        <f t="shared" si="202"/>
        <v>0</v>
      </c>
      <c r="U486" s="1">
        <f t="shared" si="203"/>
        <v>0</v>
      </c>
      <c r="V486" s="1">
        <f t="shared" si="204"/>
        <v>0</v>
      </c>
      <c r="W486" s="1">
        <f t="shared" si="205"/>
        <v>0</v>
      </c>
      <c r="X486" s="1">
        <f t="shared" si="206"/>
        <v>0</v>
      </c>
      <c r="Y486" s="1">
        <f t="shared" si="207"/>
        <v>0</v>
      </c>
      <c r="Z486" s="1">
        <f t="shared" si="208"/>
        <v>0</v>
      </c>
      <c r="AA486" s="1">
        <f t="shared" si="209"/>
        <v>0</v>
      </c>
      <c r="AB486" s="1">
        <f t="shared" si="210"/>
        <v>0</v>
      </c>
      <c r="AD486" s="1">
        <f t="shared" si="211"/>
        <v>0</v>
      </c>
      <c r="AE486" s="1">
        <f t="shared" si="212"/>
        <v>1</v>
      </c>
      <c r="AF486" s="1">
        <f t="shared" si="197"/>
        <v>0</v>
      </c>
      <c r="AG486" s="1">
        <f t="shared" si="198"/>
        <v>0</v>
      </c>
      <c r="AH486" s="1">
        <f t="shared" si="199"/>
        <v>0</v>
      </c>
      <c r="AI486" s="1">
        <f t="shared" si="200"/>
        <v>0</v>
      </c>
    </row>
    <row r="487" spans="1:35" s="1" customFormat="1" ht="14.25" customHeight="1" x14ac:dyDescent="0.25">
      <c r="A487" s="44">
        <v>0</v>
      </c>
      <c r="B487" s="44">
        <v>2</v>
      </c>
      <c r="C487" s="44">
        <v>7</v>
      </c>
      <c r="D487" s="45" t="s">
        <v>1229</v>
      </c>
      <c r="E487" s="45" t="s">
        <v>155</v>
      </c>
      <c r="F487" s="45" t="s">
        <v>1231</v>
      </c>
      <c r="G487" s="45" t="s">
        <v>219</v>
      </c>
      <c r="H487" s="45" t="s">
        <v>352</v>
      </c>
      <c r="I487" s="44" t="s">
        <v>1347</v>
      </c>
      <c r="J487" s="44">
        <v>8</v>
      </c>
      <c r="K487" s="46" t="s">
        <v>941</v>
      </c>
      <c r="L487" s="46" t="s">
        <v>718</v>
      </c>
      <c r="M487" s="47" t="s">
        <v>728</v>
      </c>
      <c r="N487" s="47" t="s">
        <v>1709</v>
      </c>
      <c r="O487" s="48"/>
      <c r="P487" s="48"/>
      <c r="Q487" s="45"/>
      <c r="S487" s="1">
        <f t="shared" si="201"/>
        <v>0</v>
      </c>
      <c r="T487" s="1">
        <f t="shared" si="202"/>
        <v>0</v>
      </c>
      <c r="U487" s="1">
        <f t="shared" si="203"/>
        <v>0</v>
      </c>
      <c r="V487" s="1">
        <f t="shared" si="204"/>
        <v>0</v>
      </c>
      <c r="W487" s="1">
        <f t="shared" si="205"/>
        <v>0</v>
      </c>
      <c r="X487" s="1">
        <f t="shared" si="206"/>
        <v>0</v>
      </c>
      <c r="Y487" s="1">
        <f t="shared" si="207"/>
        <v>0</v>
      </c>
      <c r="Z487" s="1">
        <f t="shared" si="208"/>
        <v>1</v>
      </c>
      <c r="AA487" s="1">
        <f t="shared" si="209"/>
        <v>0</v>
      </c>
      <c r="AB487" s="1">
        <f t="shared" si="210"/>
        <v>0</v>
      </c>
      <c r="AD487" s="1">
        <f t="shared" si="211"/>
        <v>0</v>
      </c>
      <c r="AE487" s="1">
        <f t="shared" si="212"/>
        <v>0</v>
      </c>
      <c r="AF487" s="1">
        <f t="shared" si="197"/>
        <v>0</v>
      </c>
      <c r="AG487" s="1">
        <f t="shared" si="198"/>
        <v>0</v>
      </c>
      <c r="AH487" s="1">
        <f t="shared" si="199"/>
        <v>0</v>
      </c>
      <c r="AI487" s="1">
        <f t="shared" si="200"/>
        <v>1</v>
      </c>
    </row>
    <row r="488" spans="1:35" s="1" customFormat="1" ht="14.25" customHeight="1" x14ac:dyDescent="0.25">
      <c r="A488" s="44">
        <v>1</v>
      </c>
      <c r="B488" s="44">
        <v>2</v>
      </c>
      <c r="C488" s="44">
        <v>7</v>
      </c>
      <c r="D488" s="45" t="s">
        <v>1229</v>
      </c>
      <c r="E488" s="45" t="s">
        <v>155</v>
      </c>
      <c r="F488" s="45" t="s">
        <v>1335</v>
      </c>
      <c r="G488" s="45" t="s">
        <v>39</v>
      </c>
      <c r="H488" s="45" t="s">
        <v>353</v>
      </c>
      <c r="I488" s="44" t="s">
        <v>1230</v>
      </c>
      <c r="J488" s="44">
        <v>99</v>
      </c>
      <c r="K488" s="46" t="s">
        <v>941</v>
      </c>
      <c r="L488" s="46" t="s">
        <v>718</v>
      </c>
      <c r="M488" s="47" t="s">
        <v>728</v>
      </c>
      <c r="N488" s="47" t="s">
        <v>1709</v>
      </c>
      <c r="O488" s="48"/>
      <c r="P488" s="48"/>
      <c r="Q488" s="64" t="s">
        <v>1878</v>
      </c>
      <c r="S488" s="1">
        <f t="shared" si="201"/>
        <v>0</v>
      </c>
      <c r="T488" s="1">
        <f t="shared" si="202"/>
        <v>0</v>
      </c>
      <c r="U488" s="1">
        <f t="shared" si="203"/>
        <v>0</v>
      </c>
      <c r="V488" s="1">
        <f t="shared" si="204"/>
        <v>0</v>
      </c>
      <c r="W488" s="1">
        <f t="shared" si="205"/>
        <v>0</v>
      </c>
      <c r="X488" s="1">
        <f t="shared" si="206"/>
        <v>0</v>
      </c>
      <c r="Y488" s="1">
        <f t="shared" si="207"/>
        <v>0</v>
      </c>
      <c r="Z488" s="1">
        <f t="shared" si="208"/>
        <v>0</v>
      </c>
      <c r="AA488" s="1">
        <f t="shared" si="209"/>
        <v>0</v>
      </c>
      <c r="AB488" s="1">
        <f t="shared" si="210"/>
        <v>0</v>
      </c>
      <c r="AD488" s="1">
        <f t="shared" si="211"/>
        <v>0</v>
      </c>
      <c r="AE488" s="1">
        <f t="shared" si="212"/>
        <v>0</v>
      </c>
      <c r="AF488" s="1">
        <f t="shared" si="197"/>
        <v>0</v>
      </c>
      <c r="AG488" s="1">
        <f t="shared" si="198"/>
        <v>0</v>
      </c>
      <c r="AH488" s="1">
        <f t="shared" si="199"/>
        <v>0</v>
      </c>
      <c r="AI488" s="1">
        <f t="shared" si="200"/>
        <v>0</v>
      </c>
    </row>
    <row r="489" spans="1:35" s="1" customFormat="1" ht="14.25" customHeight="1" x14ac:dyDescent="0.25">
      <c r="A489" s="44">
        <v>1</v>
      </c>
      <c r="B489" s="44">
        <v>2</v>
      </c>
      <c r="C489" s="44">
        <v>7</v>
      </c>
      <c r="D489" s="45" t="s">
        <v>1229</v>
      </c>
      <c r="E489" s="45" t="s">
        <v>155</v>
      </c>
      <c r="F489" s="45" t="s">
        <v>1498</v>
      </c>
      <c r="G489" s="45" t="s">
        <v>234</v>
      </c>
      <c r="H489" s="45" t="s">
        <v>352</v>
      </c>
      <c r="I489" s="44" t="s">
        <v>1665</v>
      </c>
      <c r="J489" s="44">
        <v>99</v>
      </c>
      <c r="K489" s="46" t="s">
        <v>941</v>
      </c>
      <c r="L489" s="46" t="s">
        <v>718</v>
      </c>
      <c r="M489" s="47" t="s">
        <v>728</v>
      </c>
      <c r="N489" s="47" t="s">
        <v>1709</v>
      </c>
      <c r="O489" s="48"/>
      <c r="P489" s="48"/>
      <c r="Q489" s="45"/>
      <c r="S489" s="1">
        <f t="shared" si="201"/>
        <v>0</v>
      </c>
      <c r="T489" s="1">
        <f t="shared" si="202"/>
        <v>0</v>
      </c>
      <c r="U489" s="1">
        <f t="shared" si="203"/>
        <v>0</v>
      </c>
      <c r="V489" s="1">
        <f t="shared" si="204"/>
        <v>0</v>
      </c>
      <c r="W489" s="1">
        <f t="shared" si="205"/>
        <v>0</v>
      </c>
      <c r="X489" s="1">
        <f t="shared" si="206"/>
        <v>0</v>
      </c>
      <c r="Y489" s="1">
        <f t="shared" si="207"/>
        <v>0</v>
      </c>
      <c r="Z489" s="1">
        <f t="shared" si="208"/>
        <v>0</v>
      </c>
      <c r="AA489" s="1">
        <f t="shared" si="209"/>
        <v>0</v>
      </c>
      <c r="AB489" s="1">
        <f t="shared" si="210"/>
        <v>0</v>
      </c>
      <c r="AD489" s="1">
        <f t="shared" si="211"/>
        <v>0</v>
      </c>
      <c r="AE489" s="1">
        <f t="shared" si="212"/>
        <v>0</v>
      </c>
      <c r="AF489" s="1">
        <f t="shared" si="197"/>
        <v>0</v>
      </c>
      <c r="AG489" s="1">
        <f t="shared" si="198"/>
        <v>0</v>
      </c>
      <c r="AH489" s="1">
        <f t="shared" si="199"/>
        <v>0</v>
      </c>
      <c r="AI489" s="1">
        <f t="shared" si="200"/>
        <v>0</v>
      </c>
    </row>
    <row r="490" spans="1:35" s="1" customFormat="1" ht="14.25" customHeight="1" x14ac:dyDescent="0.25">
      <c r="A490" s="31">
        <v>0</v>
      </c>
      <c r="B490" s="31">
        <v>2</v>
      </c>
      <c r="C490" s="31">
        <v>7</v>
      </c>
      <c r="D490" s="32" t="s">
        <v>1824</v>
      </c>
      <c r="E490" s="32" t="s">
        <v>1825</v>
      </c>
      <c r="F490" s="32" t="s">
        <v>1826</v>
      </c>
      <c r="G490" s="32" t="s">
        <v>264</v>
      </c>
      <c r="H490" s="32" t="s">
        <v>352</v>
      </c>
      <c r="I490" s="31" t="s">
        <v>1827</v>
      </c>
      <c r="J490" s="31">
        <v>99</v>
      </c>
      <c r="K490" s="33" t="s">
        <v>699</v>
      </c>
      <c r="L490" s="33"/>
      <c r="M490" s="34"/>
      <c r="N490" s="34" t="s">
        <v>1701</v>
      </c>
      <c r="O490" s="35">
        <v>1</v>
      </c>
      <c r="P490" s="35">
        <v>1</v>
      </c>
      <c r="Q490" s="32"/>
      <c r="S490" s="1">
        <f t="shared" si="201"/>
        <v>0</v>
      </c>
      <c r="T490" s="1">
        <f t="shared" si="202"/>
        <v>0</v>
      </c>
      <c r="U490" s="1">
        <f t="shared" si="203"/>
        <v>0</v>
      </c>
      <c r="V490" s="1">
        <f t="shared" si="204"/>
        <v>0</v>
      </c>
      <c r="W490" s="1">
        <f t="shared" si="205"/>
        <v>0</v>
      </c>
      <c r="X490" s="1">
        <f t="shared" si="206"/>
        <v>0</v>
      </c>
      <c r="Y490" s="1">
        <f t="shared" si="207"/>
        <v>0</v>
      </c>
      <c r="Z490" s="1">
        <f t="shared" si="208"/>
        <v>0</v>
      </c>
      <c r="AA490" s="1">
        <f t="shared" si="209"/>
        <v>0</v>
      </c>
      <c r="AB490" s="1">
        <f t="shared" si="210"/>
        <v>0</v>
      </c>
      <c r="AD490" s="1">
        <f t="shared" si="211"/>
        <v>1</v>
      </c>
      <c r="AE490" s="1">
        <f t="shared" si="212"/>
        <v>0</v>
      </c>
      <c r="AF490" s="1">
        <f t="shared" si="197"/>
        <v>1</v>
      </c>
      <c r="AG490" s="1">
        <f t="shared" si="198"/>
        <v>0</v>
      </c>
      <c r="AH490" s="1">
        <f t="shared" si="199"/>
        <v>1</v>
      </c>
      <c r="AI490" s="1">
        <f t="shared" si="200"/>
        <v>0</v>
      </c>
    </row>
    <row r="491" spans="1:35" s="1" customFormat="1" ht="14.25" customHeight="1" x14ac:dyDescent="0.25">
      <c r="A491" s="44">
        <v>0</v>
      </c>
      <c r="B491" s="44">
        <v>2</v>
      </c>
      <c r="C491" s="44">
        <v>7</v>
      </c>
      <c r="D491" s="45" t="s">
        <v>1224</v>
      </c>
      <c r="E491" s="45" t="s">
        <v>28</v>
      </c>
      <c r="F491" s="45" t="s">
        <v>1217</v>
      </c>
      <c r="G491" s="45" t="s">
        <v>1218</v>
      </c>
      <c r="H491" s="45" t="s">
        <v>352</v>
      </c>
      <c r="I491" s="44" t="s">
        <v>1219</v>
      </c>
      <c r="J491" s="44">
        <v>99</v>
      </c>
      <c r="K491" s="46" t="s">
        <v>708</v>
      </c>
      <c r="L491" s="46" t="s">
        <v>709</v>
      </c>
      <c r="M491" s="47" t="s">
        <v>727</v>
      </c>
      <c r="N491" s="47" t="s">
        <v>1709</v>
      </c>
      <c r="O491" s="48"/>
      <c r="P491" s="48"/>
      <c r="Q491" s="45"/>
      <c r="S491" s="1">
        <f t="shared" si="201"/>
        <v>0</v>
      </c>
      <c r="T491" s="1">
        <f t="shared" si="202"/>
        <v>0</v>
      </c>
      <c r="U491" s="1">
        <f t="shared" si="203"/>
        <v>0</v>
      </c>
      <c r="V491" s="1">
        <f t="shared" si="204"/>
        <v>0</v>
      </c>
      <c r="W491" s="1">
        <f t="shared" si="205"/>
        <v>0</v>
      </c>
      <c r="X491" s="1">
        <f t="shared" si="206"/>
        <v>0</v>
      </c>
      <c r="Y491" s="1">
        <f t="shared" si="207"/>
        <v>0</v>
      </c>
      <c r="Z491" s="1">
        <f t="shared" si="208"/>
        <v>0</v>
      </c>
      <c r="AA491" s="1">
        <f t="shared" si="209"/>
        <v>0</v>
      </c>
      <c r="AB491" s="1">
        <f t="shared" si="210"/>
        <v>0</v>
      </c>
      <c r="AD491" s="1">
        <f t="shared" si="211"/>
        <v>0</v>
      </c>
      <c r="AE491" s="1">
        <f t="shared" si="212"/>
        <v>0</v>
      </c>
      <c r="AF491" s="1">
        <f t="shared" si="197"/>
        <v>0</v>
      </c>
      <c r="AG491" s="1">
        <f t="shared" si="198"/>
        <v>0</v>
      </c>
      <c r="AH491" s="1">
        <f t="shared" si="199"/>
        <v>0</v>
      </c>
      <c r="AI491" s="1">
        <f t="shared" si="200"/>
        <v>1</v>
      </c>
    </row>
    <row r="492" spans="1:35" s="1" customFormat="1" ht="14.25" customHeight="1" x14ac:dyDescent="0.25">
      <c r="A492" s="44">
        <v>1</v>
      </c>
      <c r="B492" s="44">
        <v>2</v>
      </c>
      <c r="C492" s="44">
        <v>7</v>
      </c>
      <c r="D492" s="45" t="s">
        <v>1221</v>
      </c>
      <c r="E492" s="45" t="s">
        <v>28</v>
      </c>
      <c r="F492" s="45" t="s">
        <v>1222</v>
      </c>
      <c r="G492" s="45" t="s">
        <v>519</v>
      </c>
      <c r="H492" s="45" t="s">
        <v>352</v>
      </c>
      <c r="I492" s="44" t="s">
        <v>1223</v>
      </c>
      <c r="J492" s="44">
        <v>99</v>
      </c>
      <c r="K492" s="46" t="s">
        <v>708</v>
      </c>
      <c r="L492" s="46" t="s">
        <v>709</v>
      </c>
      <c r="M492" s="47" t="s">
        <v>727</v>
      </c>
      <c r="N492" s="47" t="s">
        <v>1709</v>
      </c>
      <c r="O492" s="48"/>
      <c r="P492" s="48"/>
      <c r="Q492" s="45"/>
      <c r="S492" s="1">
        <f t="shared" si="201"/>
        <v>0</v>
      </c>
      <c r="T492" s="1">
        <f t="shared" si="202"/>
        <v>0</v>
      </c>
      <c r="U492" s="1">
        <f t="shared" si="203"/>
        <v>0</v>
      </c>
      <c r="V492" s="1">
        <f t="shared" si="204"/>
        <v>0</v>
      </c>
      <c r="W492" s="1">
        <f t="shared" si="205"/>
        <v>0</v>
      </c>
      <c r="X492" s="1">
        <f t="shared" si="206"/>
        <v>0</v>
      </c>
      <c r="Y492" s="1">
        <f t="shared" si="207"/>
        <v>0</v>
      </c>
      <c r="Z492" s="1">
        <f t="shared" si="208"/>
        <v>0</v>
      </c>
      <c r="AA492" s="1">
        <f t="shared" si="209"/>
        <v>0</v>
      </c>
      <c r="AB492" s="1">
        <f t="shared" si="210"/>
        <v>0</v>
      </c>
      <c r="AD492" s="1">
        <f t="shared" si="211"/>
        <v>0</v>
      </c>
      <c r="AE492" s="1">
        <f t="shared" si="212"/>
        <v>0</v>
      </c>
      <c r="AF492" s="1">
        <f t="shared" si="197"/>
        <v>0</v>
      </c>
      <c r="AG492" s="1">
        <f t="shared" si="198"/>
        <v>0</v>
      </c>
      <c r="AH492" s="1">
        <f t="shared" si="199"/>
        <v>0</v>
      </c>
      <c r="AI492" s="1">
        <f t="shared" si="200"/>
        <v>0</v>
      </c>
    </row>
    <row r="493" spans="1:35" s="1" customFormat="1" ht="14.25" customHeight="1" x14ac:dyDescent="0.25">
      <c r="A493" s="31">
        <v>0</v>
      </c>
      <c r="B493" s="31">
        <v>2</v>
      </c>
      <c r="C493" s="31">
        <v>7</v>
      </c>
      <c r="D493" s="32" t="s">
        <v>1820</v>
      </c>
      <c r="E493" s="32" t="s">
        <v>1152</v>
      </c>
      <c r="F493" s="32" t="s">
        <v>1821</v>
      </c>
      <c r="G493" s="32"/>
      <c r="H493" s="32" t="s">
        <v>352</v>
      </c>
      <c r="I493" s="31" t="s">
        <v>1822</v>
      </c>
      <c r="J493" s="31">
        <v>6</v>
      </c>
      <c r="K493" s="33" t="s">
        <v>699</v>
      </c>
      <c r="L493" s="33"/>
      <c r="M493" s="34"/>
      <c r="N493" s="34" t="s">
        <v>1722</v>
      </c>
      <c r="O493" s="35">
        <v>1</v>
      </c>
      <c r="P493" s="35"/>
      <c r="Q493" s="32"/>
      <c r="S493" s="1">
        <f t="shared" si="201"/>
        <v>0</v>
      </c>
      <c r="T493" s="1">
        <f t="shared" si="202"/>
        <v>0</v>
      </c>
      <c r="U493" s="1">
        <f t="shared" si="203"/>
        <v>0</v>
      </c>
      <c r="V493" s="1">
        <f t="shared" si="204"/>
        <v>0</v>
      </c>
      <c r="W493" s="1">
        <f t="shared" si="205"/>
        <v>0</v>
      </c>
      <c r="X493" s="1">
        <f t="shared" si="206"/>
        <v>1</v>
      </c>
      <c r="Y493" s="1">
        <f t="shared" si="207"/>
        <v>0</v>
      </c>
      <c r="Z493" s="1">
        <f t="shared" si="208"/>
        <v>0</v>
      </c>
      <c r="AA493" s="1">
        <f t="shared" si="209"/>
        <v>0</v>
      </c>
      <c r="AB493" s="1">
        <f t="shared" si="210"/>
        <v>0</v>
      </c>
      <c r="AD493" s="1">
        <f t="shared" si="211"/>
        <v>0</v>
      </c>
      <c r="AE493" s="1">
        <f t="shared" si="212"/>
        <v>1</v>
      </c>
      <c r="AF493" s="1">
        <f t="shared" si="197"/>
        <v>0</v>
      </c>
      <c r="AG493" s="1">
        <f t="shared" si="198"/>
        <v>1</v>
      </c>
      <c r="AH493" s="1">
        <f t="shared" si="199"/>
        <v>0</v>
      </c>
      <c r="AI493" s="1">
        <f t="shared" si="200"/>
        <v>1</v>
      </c>
    </row>
    <row r="494" spans="1:35" s="1" customFormat="1" ht="14.25" customHeight="1" x14ac:dyDescent="0.25">
      <c r="A494" s="31">
        <v>0</v>
      </c>
      <c r="B494" s="31">
        <v>2</v>
      </c>
      <c r="C494" s="31">
        <v>7</v>
      </c>
      <c r="D494" s="32" t="s">
        <v>1433</v>
      </c>
      <c r="E494" s="32" t="s">
        <v>28</v>
      </c>
      <c r="F494" s="32" t="s">
        <v>1434</v>
      </c>
      <c r="G494" s="32" t="s">
        <v>1435</v>
      </c>
      <c r="H494" s="32" t="s">
        <v>352</v>
      </c>
      <c r="I494" s="31" t="s">
        <v>1436</v>
      </c>
      <c r="J494" s="31">
        <v>99</v>
      </c>
      <c r="K494" s="33" t="s">
        <v>708</v>
      </c>
      <c r="L494" s="33" t="s">
        <v>709</v>
      </c>
      <c r="M494" s="34" t="s">
        <v>727</v>
      </c>
      <c r="N494" s="34" t="s">
        <v>1717</v>
      </c>
      <c r="O494" s="35">
        <v>1</v>
      </c>
      <c r="P494" s="35"/>
      <c r="Q494" s="32" t="s">
        <v>1905</v>
      </c>
      <c r="S494" s="1">
        <f t="shared" si="201"/>
        <v>0</v>
      </c>
      <c r="T494" s="1">
        <f t="shared" si="202"/>
        <v>0</v>
      </c>
      <c r="U494" s="1">
        <f t="shared" si="203"/>
        <v>0</v>
      </c>
      <c r="V494" s="1">
        <f t="shared" si="204"/>
        <v>0</v>
      </c>
      <c r="W494" s="1">
        <f t="shared" si="205"/>
        <v>0</v>
      </c>
      <c r="X494" s="1">
        <f t="shared" si="206"/>
        <v>0</v>
      </c>
      <c r="Y494" s="1">
        <f t="shared" si="207"/>
        <v>0</v>
      </c>
      <c r="Z494" s="1">
        <f t="shared" si="208"/>
        <v>0</v>
      </c>
      <c r="AA494" s="1">
        <f t="shared" si="209"/>
        <v>0</v>
      </c>
      <c r="AB494" s="1">
        <f t="shared" si="210"/>
        <v>0</v>
      </c>
      <c r="AD494" s="1">
        <f t="shared" si="211"/>
        <v>0</v>
      </c>
      <c r="AE494" s="1">
        <f t="shared" si="212"/>
        <v>1</v>
      </c>
      <c r="AF494" s="1">
        <f t="shared" si="197"/>
        <v>0</v>
      </c>
      <c r="AG494" s="1">
        <f t="shared" si="198"/>
        <v>1</v>
      </c>
      <c r="AH494" s="1">
        <f t="shared" si="199"/>
        <v>0</v>
      </c>
      <c r="AI494" s="1">
        <f t="shared" si="200"/>
        <v>1</v>
      </c>
    </row>
    <row r="495" spans="1:35" s="1" customFormat="1" ht="14.25" customHeight="1" x14ac:dyDescent="0.25">
      <c r="A495" s="31">
        <v>0</v>
      </c>
      <c r="B495" s="31">
        <v>2</v>
      </c>
      <c r="C495" s="31">
        <v>7</v>
      </c>
      <c r="D495" s="32" t="s">
        <v>43</v>
      </c>
      <c r="E495" s="32" t="s">
        <v>537</v>
      </c>
      <c r="F495" s="32" t="s">
        <v>571</v>
      </c>
      <c r="G495" s="32" t="s">
        <v>234</v>
      </c>
      <c r="H495" s="32" t="s">
        <v>352</v>
      </c>
      <c r="I495" s="31" t="s">
        <v>578</v>
      </c>
      <c r="J495" s="31">
        <v>99</v>
      </c>
      <c r="K495" s="33" t="s">
        <v>708</v>
      </c>
      <c r="L495" s="33" t="s">
        <v>725</v>
      </c>
      <c r="M495" s="34" t="s">
        <v>1415</v>
      </c>
      <c r="N495" s="34" t="s">
        <v>1722</v>
      </c>
      <c r="O495" s="35">
        <v>1</v>
      </c>
      <c r="P495" s="35"/>
      <c r="Q495" s="32"/>
      <c r="S495" s="1">
        <f t="shared" si="201"/>
        <v>0</v>
      </c>
      <c r="T495" s="1">
        <f t="shared" si="202"/>
        <v>0</v>
      </c>
      <c r="U495" s="1">
        <f t="shared" si="203"/>
        <v>0</v>
      </c>
      <c r="V495" s="1">
        <f t="shared" si="204"/>
        <v>0</v>
      </c>
      <c r="W495" s="1">
        <f t="shared" si="205"/>
        <v>0</v>
      </c>
      <c r="X495" s="1">
        <f t="shared" si="206"/>
        <v>0</v>
      </c>
      <c r="Y495" s="1">
        <f t="shared" si="207"/>
        <v>0</v>
      </c>
      <c r="Z495" s="1">
        <f t="shared" si="208"/>
        <v>0</v>
      </c>
      <c r="AA495" s="1">
        <f t="shared" si="209"/>
        <v>0</v>
      </c>
      <c r="AB495" s="1">
        <f t="shared" si="210"/>
        <v>0</v>
      </c>
      <c r="AD495" s="1">
        <f t="shared" si="211"/>
        <v>0</v>
      </c>
      <c r="AE495" s="1">
        <f t="shared" si="212"/>
        <v>1</v>
      </c>
      <c r="AF495" s="1">
        <f t="shared" si="197"/>
        <v>0</v>
      </c>
      <c r="AG495" s="1">
        <f t="shared" si="198"/>
        <v>1</v>
      </c>
      <c r="AH495" s="1">
        <f t="shared" si="199"/>
        <v>0</v>
      </c>
      <c r="AI495" s="1">
        <f t="shared" si="200"/>
        <v>1</v>
      </c>
    </row>
    <row r="496" spans="1:35" s="1" customFormat="1" ht="14.25" customHeight="1" x14ac:dyDescent="0.25">
      <c r="A496" s="31">
        <v>1</v>
      </c>
      <c r="B496" s="31">
        <v>2</v>
      </c>
      <c r="C496" s="31">
        <v>7</v>
      </c>
      <c r="D496" s="32" t="s">
        <v>43</v>
      </c>
      <c r="E496" s="32" t="s">
        <v>537</v>
      </c>
      <c r="F496" s="32" t="s">
        <v>270</v>
      </c>
      <c r="G496" s="32" t="s">
        <v>179</v>
      </c>
      <c r="H496" s="32" t="s">
        <v>352</v>
      </c>
      <c r="I496" s="31" t="s">
        <v>424</v>
      </c>
      <c r="J496" s="31">
        <v>10</v>
      </c>
      <c r="K496" s="33" t="s">
        <v>708</v>
      </c>
      <c r="L496" s="33" t="s">
        <v>725</v>
      </c>
      <c r="M496" s="34" t="s">
        <v>1415</v>
      </c>
      <c r="N496" s="34" t="s">
        <v>1722</v>
      </c>
      <c r="O496" s="35">
        <v>1</v>
      </c>
      <c r="P496" s="35"/>
      <c r="Q496" s="32"/>
      <c r="S496" s="1">
        <f t="shared" si="201"/>
        <v>0</v>
      </c>
      <c r="T496" s="1">
        <f t="shared" si="202"/>
        <v>0</v>
      </c>
      <c r="U496" s="1">
        <f t="shared" si="203"/>
        <v>0</v>
      </c>
      <c r="V496" s="1">
        <f t="shared" si="204"/>
        <v>0</v>
      </c>
      <c r="W496" s="1">
        <f t="shared" si="205"/>
        <v>0</v>
      </c>
      <c r="X496" s="1">
        <f t="shared" si="206"/>
        <v>0</v>
      </c>
      <c r="Y496" s="1">
        <f t="shared" si="207"/>
        <v>0</v>
      </c>
      <c r="Z496" s="1">
        <f t="shared" si="208"/>
        <v>0</v>
      </c>
      <c r="AA496" s="1">
        <f t="shared" si="209"/>
        <v>0</v>
      </c>
      <c r="AB496" s="1">
        <f t="shared" si="210"/>
        <v>1</v>
      </c>
      <c r="AD496" s="1">
        <f t="shared" si="211"/>
        <v>0</v>
      </c>
      <c r="AE496" s="1">
        <f t="shared" si="212"/>
        <v>1</v>
      </c>
      <c r="AF496" s="1">
        <f t="shared" si="197"/>
        <v>0</v>
      </c>
      <c r="AG496" s="1">
        <f t="shared" si="198"/>
        <v>0</v>
      </c>
      <c r="AH496" s="1">
        <f t="shared" si="199"/>
        <v>0</v>
      </c>
      <c r="AI496" s="1">
        <f t="shared" si="200"/>
        <v>0</v>
      </c>
    </row>
    <row r="497" spans="1:35" s="1" customFormat="1" ht="14.25" customHeight="1" x14ac:dyDescent="0.25">
      <c r="A497" s="31">
        <v>1</v>
      </c>
      <c r="B497" s="31">
        <v>2</v>
      </c>
      <c r="C497" s="31">
        <v>7</v>
      </c>
      <c r="D497" s="32" t="s">
        <v>43</v>
      </c>
      <c r="E497" s="32" t="s">
        <v>537</v>
      </c>
      <c r="F497" s="32" t="s">
        <v>271</v>
      </c>
      <c r="G497" s="32" t="s">
        <v>39</v>
      </c>
      <c r="H497" s="32" t="s">
        <v>352</v>
      </c>
      <c r="I497" s="31" t="s">
        <v>425</v>
      </c>
      <c r="J497" s="31">
        <v>5</v>
      </c>
      <c r="K497" s="33" t="s">
        <v>708</v>
      </c>
      <c r="L497" s="33" t="s">
        <v>725</v>
      </c>
      <c r="M497" s="34" t="s">
        <v>1415</v>
      </c>
      <c r="N497" s="34" t="s">
        <v>1722</v>
      </c>
      <c r="O497" s="35">
        <v>1</v>
      </c>
      <c r="P497" s="35"/>
      <c r="Q497" s="32"/>
      <c r="S497" s="1">
        <f t="shared" si="201"/>
        <v>0</v>
      </c>
      <c r="T497" s="1">
        <f t="shared" si="202"/>
        <v>0</v>
      </c>
      <c r="U497" s="1">
        <f t="shared" si="203"/>
        <v>0</v>
      </c>
      <c r="V497" s="1">
        <f t="shared" si="204"/>
        <v>0</v>
      </c>
      <c r="W497" s="1">
        <f t="shared" si="205"/>
        <v>1</v>
      </c>
      <c r="X497" s="1">
        <f t="shared" si="206"/>
        <v>0</v>
      </c>
      <c r="Y497" s="1">
        <f t="shared" si="207"/>
        <v>0</v>
      </c>
      <c r="Z497" s="1">
        <f t="shared" si="208"/>
        <v>0</v>
      </c>
      <c r="AA497" s="1">
        <f t="shared" si="209"/>
        <v>0</v>
      </c>
      <c r="AB497" s="1">
        <f t="shared" si="210"/>
        <v>0</v>
      </c>
      <c r="AD497" s="1">
        <f t="shared" si="211"/>
        <v>0</v>
      </c>
      <c r="AE497" s="1">
        <f t="shared" si="212"/>
        <v>1</v>
      </c>
      <c r="AF497" s="1">
        <f t="shared" si="197"/>
        <v>0</v>
      </c>
      <c r="AG497" s="1">
        <f t="shared" si="198"/>
        <v>0</v>
      </c>
      <c r="AH497" s="1">
        <f t="shared" si="199"/>
        <v>0</v>
      </c>
      <c r="AI497" s="1">
        <f t="shared" si="200"/>
        <v>0</v>
      </c>
    </row>
    <row r="498" spans="1:35" s="1" customFormat="1" ht="14.25" customHeight="1" x14ac:dyDescent="0.25">
      <c r="A498" s="31">
        <v>1</v>
      </c>
      <c r="B498" s="31">
        <v>2</v>
      </c>
      <c r="C498" s="31">
        <v>7</v>
      </c>
      <c r="D498" s="32" t="s">
        <v>43</v>
      </c>
      <c r="E498" s="32" t="s">
        <v>537</v>
      </c>
      <c r="F498" s="32" t="s">
        <v>275</v>
      </c>
      <c r="G498" s="32" t="s">
        <v>193</v>
      </c>
      <c r="H498" s="32" t="s">
        <v>352</v>
      </c>
      <c r="I498" s="31" t="s">
        <v>429</v>
      </c>
      <c r="J498" s="31">
        <v>9</v>
      </c>
      <c r="K498" s="33" t="s">
        <v>708</v>
      </c>
      <c r="L498" s="33" t="s">
        <v>725</v>
      </c>
      <c r="M498" s="34" t="s">
        <v>1415</v>
      </c>
      <c r="N498" s="34" t="s">
        <v>1722</v>
      </c>
      <c r="O498" s="35">
        <v>1</v>
      </c>
      <c r="P498" s="35"/>
      <c r="Q498" s="32"/>
      <c r="S498" s="1">
        <f t="shared" si="201"/>
        <v>0</v>
      </c>
      <c r="T498" s="1">
        <f t="shared" si="202"/>
        <v>0</v>
      </c>
      <c r="U498" s="1">
        <f t="shared" si="203"/>
        <v>0</v>
      </c>
      <c r="V498" s="1">
        <f t="shared" si="204"/>
        <v>0</v>
      </c>
      <c r="W498" s="1">
        <f t="shared" si="205"/>
        <v>0</v>
      </c>
      <c r="X498" s="1">
        <f t="shared" si="206"/>
        <v>0</v>
      </c>
      <c r="Y498" s="1">
        <f t="shared" si="207"/>
        <v>0</v>
      </c>
      <c r="Z498" s="1">
        <f t="shared" si="208"/>
        <v>0</v>
      </c>
      <c r="AA498" s="1">
        <f t="shared" si="209"/>
        <v>1</v>
      </c>
      <c r="AB498" s="1">
        <f t="shared" si="210"/>
        <v>0</v>
      </c>
      <c r="AD498" s="1">
        <f t="shared" si="211"/>
        <v>0</v>
      </c>
      <c r="AE498" s="1">
        <f t="shared" si="212"/>
        <v>1</v>
      </c>
      <c r="AF498" s="1">
        <f t="shared" si="197"/>
        <v>0</v>
      </c>
      <c r="AG498" s="1">
        <f t="shared" si="198"/>
        <v>0</v>
      </c>
      <c r="AH498" s="1">
        <f t="shared" si="199"/>
        <v>0</v>
      </c>
      <c r="AI498" s="1">
        <f t="shared" si="200"/>
        <v>0</v>
      </c>
    </row>
    <row r="499" spans="1:35" s="1" customFormat="1" ht="14.25" customHeight="1" x14ac:dyDescent="0.25">
      <c r="A499" s="31">
        <v>0</v>
      </c>
      <c r="B499" s="31">
        <v>2</v>
      </c>
      <c r="C499" s="31">
        <v>7</v>
      </c>
      <c r="D499" s="32" t="s">
        <v>1535</v>
      </c>
      <c r="E499" s="32" t="s">
        <v>28</v>
      </c>
      <c r="F499" s="32" t="s">
        <v>1536</v>
      </c>
      <c r="G499" s="32" t="s">
        <v>237</v>
      </c>
      <c r="H499" s="32" t="s">
        <v>352</v>
      </c>
      <c r="I499" s="31" t="s">
        <v>1669</v>
      </c>
      <c r="J499" s="31">
        <v>4</v>
      </c>
      <c r="K499" s="33" t="s">
        <v>709</v>
      </c>
      <c r="L499" s="33" t="s">
        <v>709</v>
      </c>
      <c r="M499" s="34" t="s">
        <v>727</v>
      </c>
      <c r="N499" s="34" t="s">
        <v>1717</v>
      </c>
      <c r="O499" s="35">
        <v>1</v>
      </c>
      <c r="P499" s="35"/>
      <c r="Q499" s="32"/>
      <c r="S499" s="1">
        <f t="shared" si="201"/>
        <v>0</v>
      </c>
      <c r="T499" s="1">
        <f t="shared" si="202"/>
        <v>0</v>
      </c>
      <c r="U499" s="1">
        <f t="shared" si="203"/>
        <v>0</v>
      </c>
      <c r="V499" s="1">
        <f t="shared" si="204"/>
        <v>1</v>
      </c>
      <c r="W499" s="1">
        <f t="shared" si="205"/>
        <v>0</v>
      </c>
      <c r="X499" s="1">
        <f t="shared" si="206"/>
        <v>0</v>
      </c>
      <c r="Y499" s="1">
        <f t="shared" si="207"/>
        <v>0</v>
      </c>
      <c r="Z499" s="1">
        <f t="shared" si="208"/>
        <v>0</v>
      </c>
      <c r="AA499" s="1">
        <f t="shared" si="209"/>
        <v>0</v>
      </c>
      <c r="AB499" s="1">
        <f t="shared" si="210"/>
        <v>0</v>
      </c>
      <c r="AD499" s="1">
        <f t="shared" si="211"/>
        <v>0</v>
      </c>
      <c r="AE499" s="1">
        <f t="shared" si="212"/>
        <v>1</v>
      </c>
      <c r="AF499" s="1">
        <f t="shared" si="197"/>
        <v>0</v>
      </c>
      <c r="AG499" s="1">
        <f t="shared" si="198"/>
        <v>1</v>
      </c>
      <c r="AH499" s="1">
        <f t="shared" si="199"/>
        <v>0</v>
      </c>
      <c r="AI499" s="1">
        <f t="shared" si="200"/>
        <v>1</v>
      </c>
    </row>
    <row r="500" spans="1:35" s="1" customFormat="1" ht="14.25" customHeight="1" x14ac:dyDescent="0.25">
      <c r="A500" s="31">
        <v>0</v>
      </c>
      <c r="B500" s="31">
        <v>2</v>
      </c>
      <c r="C500" s="31">
        <v>7</v>
      </c>
      <c r="D500" s="32" t="s">
        <v>63</v>
      </c>
      <c r="E500" s="32" t="s">
        <v>44</v>
      </c>
      <c r="F500" s="32" t="s">
        <v>235</v>
      </c>
      <c r="G500" s="32" t="s">
        <v>199</v>
      </c>
      <c r="H500" s="32" t="s">
        <v>352</v>
      </c>
      <c r="I500" s="31" t="s">
        <v>400</v>
      </c>
      <c r="J500" s="31">
        <v>2</v>
      </c>
      <c r="K500" s="33" t="s">
        <v>709</v>
      </c>
      <c r="L500" s="33" t="s">
        <v>718</v>
      </c>
      <c r="M500" s="34" t="s">
        <v>731</v>
      </c>
      <c r="N500" s="34" t="s">
        <v>1717</v>
      </c>
      <c r="O500" s="35">
        <v>1</v>
      </c>
      <c r="P500" s="35"/>
      <c r="Q500" s="32"/>
      <c r="S500" s="1">
        <f t="shared" si="201"/>
        <v>0</v>
      </c>
      <c r="T500" s="1">
        <f t="shared" si="202"/>
        <v>1</v>
      </c>
      <c r="U500" s="1">
        <f t="shared" si="203"/>
        <v>0</v>
      </c>
      <c r="V500" s="1">
        <f t="shared" si="204"/>
        <v>0</v>
      </c>
      <c r="W500" s="1">
        <f t="shared" si="205"/>
        <v>0</v>
      </c>
      <c r="X500" s="1">
        <f t="shared" si="206"/>
        <v>0</v>
      </c>
      <c r="Y500" s="1">
        <f t="shared" si="207"/>
        <v>0</v>
      </c>
      <c r="Z500" s="1">
        <f t="shared" si="208"/>
        <v>0</v>
      </c>
      <c r="AA500" s="1">
        <f t="shared" si="209"/>
        <v>0</v>
      </c>
      <c r="AB500" s="1">
        <f t="shared" si="210"/>
        <v>0</v>
      </c>
      <c r="AD500" s="1">
        <f t="shared" si="211"/>
        <v>0</v>
      </c>
      <c r="AE500" s="1">
        <f t="shared" si="212"/>
        <v>1</v>
      </c>
      <c r="AF500" s="1">
        <f t="shared" si="197"/>
        <v>0</v>
      </c>
      <c r="AG500" s="1">
        <f t="shared" si="198"/>
        <v>1</v>
      </c>
      <c r="AH500" s="1">
        <f t="shared" si="199"/>
        <v>0</v>
      </c>
      <c r="AI500" s="1">
        <f t="shared" si="200"/>
        <v>1</v>
      </c>
    </row>
    <row r="501" spans="1:35" s="1" customFormat="1" ht="14.25" customHeight="1" x14ac:dyDescent="0.25">
      <c r="A501" s="15"/>
      <c r="B501" s="15"/>
      <c r="C501" s="15"/>
      <c r="D501" s="20"/>
      <c r="E501" s="20"/>
      <c r="F501" s="20"/>
      <c r="G501" s="20"/>
      <c r="H501" s="20"/>
      <c r="I501" s="21"/>
      <c r="J501" s="15"/>
      <c r="K501" s="21"/>
      <c r="L501" s="10"/>
      <c r="M501" s="19"/>
      <c r="N501" s="17"/>
      <c r="Q501" s="20"/>
    </row>
    <row r="502" spans="1:35" s="1" customFormat="1" ht="14.25" customHeight="1" x14ac:dyDescent="0.25">
      <c r="A502" s="15"/>
      <c r="B502" s="15"/>
      <c r="C502" s="15"/>
      <c r="D502" s="20"/>
      <c r="E502" s="20"/>
      <c r="F502" s="20"/>
      <c r="G502" s="20"/>
      <c r="H502" s="20"/>
      <c r="I502" s="21"/>
      <c r="J502" s="15"/>
      <c r="K502" s="21"/>
      <c r="L502" s="10"/>
      <c r="M502" s="19"/>
      <c r="N502" s="17"/>
      <c r="Q502" s="20"/>
    </row>
    <row r="503" spans="1:35" s="1" customFormat="1" ht="14.25" customHeight="1" x14ac:dyDescent="0.25">
      <c r="A503" s="15"/>
      <c r="B503" s="15"/>
      <c r="C503" s="15"/>
      <c r="D503" s="20"/>
      <c r="E503" s="20"/>
      <c r="F503" s="20"/>
      <c r="G503" s="20"/>
      <c r="H503" s="20"/>
      <c r="I503" s="21"/>
      <c r="J503" s="15"/>
      <c r="K503" s="21"/>
      <c r="L503" s="10"/>
      <c r="M503" s="19"/>
      <c r="N503" s="17"/>
      <c r="Q503" s="20"/>
    </row>
    <row r="504" spans="1:35" s="1" customFormat="1" ht="14.25" customHeight="1" x14ac:dyDescent="0.25">
      <c r="A504" s="15"/>
      <c r="B504" s="15"/>
      <c r="C504" s="15"/>
      <c r="D504" s="20"/>
      <c r="E504" s="20"/>
      <c r="F504" s="20"/>
      <c r="G504" s="20"/>
      <c r="H504" s="20"/>
      <c r="I504" s="21"/>
      <c r="J504" s="15"/>
      <c r="K504" s="21"/>
      <c r="L504" s="10"/>
      <c r="M504" s="19"/>
      <c r="N504" s="17"/>
      <c r="Q504" s="20"/>
    </row>
    <row r="505" spans="1:35" s="1" customFormat="1" ht="14.25" customHeight="1" x14ac:dyDescent="0.25">
      <c r="A505" s="15"/>
      <c r="B505" s="15"/>
      <c r="C505" s="15"/>
      <c r="D505" s="20"/>
      <c r="E505" s="20"/>
      <c r="F505" s="20"/>
      <c r="G505" s="20"/>
      <c r="H505" s="20"/>
      <c r="I505" s="21"/>
      <c r="J505" s="15"/>
      <c r="K505" s="21"/>
      <c r="L505" s="10"/>
      <c r="M505" s="19"/>
      <c r="N505" s="17"/>
      <c r="Q505" s="20"/>
    </row>
    <row r="506" spans="1:35" s="1" customFormat="1" ht="14.25" customHeight="1" x14ac:dyDescent="0.25">
      <c r="A506" s="15"/>
      <c r="B506" s="15"/>
      <c r="C506" s="15"/>
      <c r="D506" s="20"/>
      <c r="E506" s="20"/>
      <c r="F506" s="20"/>
      <c r="G506" s="20"/>
      <c r="H506" s="20"/>
      <c r="I506" s="21"/>
      <c r="J506" s="15"/>
      <c r="K506" s="21"/>
      <c r="L506" s="10"/>
      <c r="M506" s="19"/>
      <c r="N506" s="17"/>
      <c r="Q506" s="20"/>
    </row>
    <row r="507" spans="1:35" s="1" customFormat="1" ht="14.25" customHeight="1" x14ac:dyDescent="0.25">
      <c r="A507" s="15"/>
      <c r="B507" s="15"/>
      <c r="C507" s="15"/>
      <c r="D507" s="20"/>
      <c r="E507" s="20"/>
      <c r="F507" s="20"/>
      <c r="G507" s="20"/>
      <c r="H507" s="20"/>
      <c r="I507" s="21"/>
      <c r="J507" s="15"/>
      <c r="K507" s="21"/>
      <c r="L507" s="10"/>
      <c r="M507" s="19"/>
      <c r="N507" s="17"/>
      <c r="Q507" s="20"/>
    </row>
    <row r="508" spans="1:35" s="1" customFormat="1" ht="14.25" customHeight="1" x14ac:dyDescent="0.25">
      <c r="A508" s="15"/>
      <c r="B508" s="15"/>
      <c r="C508" s="15"/>
      <c r="D508" s="20"/>
      <c r="E508" s="20"/>
      <c r="F508" s="20"/>
      <c r="G508" s="20"/>
      <c r="H508" s="20"/>
      <c r="I508" s="21"/>
      <c r="J508" s="15"/>
      <c r="K508" s="21"/>
      <c r="L508" s="10"/>
      <c r="M508" s="19"/>
      <c r="N508" s="17"/>
      <c r="Q508" s="20"/>
    </row>
    <row r="509" spans="1:35" s="1" customFormat="1" ht="14.25" customHeight="1" x14ac:dyDescent="0.25">
      <c r="A509" s="15"/>
      <c r="B509" s="15"/>
      <c r="C509" s="15"/>
      <c r="D509" s="20"/>
      <c r="E509" s="20"/>
      <c r="F509" s="20"/>
      <c r="G509" s="20"/>
      <c r="H509" s="20"/>
      <c r="I509" s="21"/>
      <c r="J509" s="15"/>
      <c r="K509" s="21"/>
      <c r="L509" s="10"/>
      <c r="M509" s="19"/>
      <c r="N509" s="17"/>
      <c r="Q509" s="20"/>
    </row>
    <row r="510" spans="1:35" s="1" customFormat="1" ht="14.25" customHeight="1" x14ac:dyDescent="0.25">
      <c r="A510" s="15"/>
      <c r="B510" s="15"/>
      <c r="C510" s="15"/>
      <c r="D510" s="20"/>
      <c r="E510" s="20"/>
      <c r="F510" s="20"/>
      <c r="G510" s="20"/>
      <c r="H510" s="20"/>
      <c r="I510" s="21"/>
      <c r="J510" s="15"/>
      <c r="K510" s="21"/>
      <c r="L510" s="10"/>
      <c r="M510" s="19"/>
      <c r="N510" s="17"/>
      <c r="Q510" s="20"/>
    </row>
    <row r="511" spans="1:35" s="1" customFormat="1" ht="14.25" customHeight="1" x14ac:dyDescent="0.25">
      <c r="A511" s="15"/>
      <c r="B511" s="15"/>
      <c r="C511" s="15"/>
      <c r="D511" s="20"/>
      <c r="E511" s="20"/>
      <c r="F511" s="20"/>
      <c r="G511" s="20"/>
      <c r="H511" s="20"/>
      <c r="I511" s="21"/>
      <c r="J511" s="15"/>
      <c r="K511" s="21"/>
      <c r="L511" s="10"/>
      <c r="M511" s="19"/>
      <c r="N511" s="17"/>
      <c r="Q511" s="20"/>
    </row>
    <row r="512" spans="1:35" s="1" customFormat="1" ht="14.25" customHeight="1" x14ac:dyDescent="0.25">
      <c r="A512" s="15"/>
      <c r="B512" s="15"/>
      <c r="C512" s="15"/>
      <c r="D512" s="20"/>
      <c r="E512" s="20"/>
      <c r="F512" s="20"/>
      <c r="G512" s="20"/>
      <c r="H512" s="20"/>
      <c r="I512" s="21"/>
      <c r="J512" s="15"/>
      <c r="K512" s="21"/>
      <c r="L512" s="10"/>
      <c r="M512" s="19"/>
      <c r="N512" s="17"/>
      <c r="Q512" s="20"/>
    </row>
    <row r="513" spans="1:17" s="1" customFormat="1" ht="14.25" customHeight="1" x14ac:dyDescent="0.25">
      <c r="A513" s="15"/>
      <c r="B513" s="15"/>
      <c r="C513" s="15"/>
      <c r="D513" s="20"/>
      <c r="E513" s="20"/>
      <c r="F513" s="20"/>
      <c r="G513" s="20"/>
      <c r="H513" s="20"/>
      <c r="I513" s="21"/>
      <c r="J513" s="15"/>
      <c r="K513" s="21"/>
      <c r="L513" s="10"/>
      <c r="M513" s="19"/>
      <c r="N513" s="17"/>
      <c r="Q513" s="20"/>
    </row>
    <row r="514" spans="1:17" s="1" customFormat="1" ht="14.25" customHeight="1" x14ac:dyDescent="0.25">
      <c r="A514" s="15"/>
      <c r="B514" s="15"/>
      <c r="C514" s="15"/>
      <c r="D514" s="20"/>
      <c r="E514" s="20"/>
      <c r="F514" s="20"/>
      <c r="G514" s="20"/>
      <c r="H514" s="20"/>
      <c r="I514" s="21"/>
      <c r="J514" s="15"/>
      <c r="K514" s="21"/>
      <c r="L514" s="10"/>
      <c r="M514" s="19"/>
      <c r="N514" s="17"/>
      <c r="Q514" s="20"/>
    </row>
    <row r="515" spans="1:17" s="1" customFormat="1" ht="14.25" customHeight="1" x14ac:dyDescent="0.25">
      <c r="A515" s="15"/>
      <c r="B515" s="15"/>
      <c r="C515" s="15"/>
      <c r="D515" s="20"/>
      <c r="E515" s="20"/>
      <c r="F515" s="20"/>
      <c r="G515" s="20"/>
      <c r="H515" s="20"/>
      <c r="I515" s="21"/>
      <c r="J515" s="15"/>
      <c r="K515" s="21"/>
      <c r="L515" s="10"/>
      <c r="M515" s="19"/>
      <c r="N515" s="17"/>
      <c r="Q515" s="20"/>
    </row>
    <row r="516" spans="1:17" s="1" customFormat="1" ht="14.25" customHeight="1" x14ac:dyDescent="0.25">
      <c r="A516" s="15"/>
      <c r="B516" s="15"/>
      <c r="C516" s="15"/>
      <c r="D516" s="20"/>
      <c r="E516" s="20"/>
      <c r="F516" s="20"/>
      <c r="G516" s="20"/>
      <c r="H516" s="20"/>
      <c r="I516" s="21"/>
      <c r="J516" s="15"/>
      <c r="K516" s="21"/>
      <c r="L516" s="10"/>
      <c r="M516" s="19"/>
      <c r="N516" s="17"/>
      <c r="Q516" s="20"/>
    </row>
    <row r="517" spans="1:17" s="1" customFormat="1" ht="14.25" customHeight="1" x14ac:dyDescent="0.25">
      <c r="A517" s="15"/>
      <c r="B517" s="15"/>
      <c r="C517" s="15"/>
      <c r="D517" s="20"/>
      <c r="E517" s="20"/>
      <c r="F517" s="20"/>
      <c r="G517" s="20"/>
      <c r="H517" s="20"/>
      <c r="I517" s="21"/>
      <c r="J517" s="15"/>
      <c r="K517" s="21"/>
      <c r="L517" s="10"/>
      <c r="M517" s="19"/>
      <c r="N517" s="17"/>
      <c r="Q517" s="20"/>
    </row>
    <row r="518" spans="1:17" s="1" customFormat="1" ht="14.25" customHeight="1" x14ac:dyDescent="0.25">
      <c r="A518" s="15"/>
      <c r="B518" s="15"/>
      <c r="C518" s="15"/>
      <c r="D518" s="20"/>
      <c r="E518" s="20"/>
      <c r="F518" s="20"/>
      <c r="G518" s="20"/>
      <c r="H518" s="20"/>
      <c r="I518" s="21"/>
      <c r="J518" s="15"/>
      <c r="K518" s="21"/>
      <c r="L518" s="10"/>
      <c r="M518" s="19"/>
      <c r="N518" s="17"/>
      <c r="Q518" s="20"/>
    </row>
    <row r="519" spans="1:17" s="1" customFormat="1" ht="14.25" customHeight="1" x14ac:dyDescent="0.25">
      <c r="A519" s="15"/>
      <c r="B519" s="15"/>
      <c r="C519" s="15"/>
      <c r="D519" s="20"/>
      <c r="E519" s="20"/>
      <c r="F519" s="20"/>
      <c r="G519" s="20"/>
      <c r="H519" s="20"/>
      <c r="I519" s="21"/>
      <c r="J519" s="15"/>
      <c r="K519" s="21"/>
      <c r="L519" s="10"/>
      <c r="M519" s="19"/>
      <c r="N519" s="17"/>
      <c r="Q519" s="20"/>
    </row>
    <row r="520" spans="1:17" s="1" customFormat="1" ht="14.25" customHeight="1" x14ac:dyDescent="0.25">
      <c r="A520" s="15"/>
      <c r="B520" s="15"/>
      <c r="C520" s="15"/>
      <c r="D520" s="20"/>
      <c r="E520" s="20"/>
      <c r="F520" s="20"/>
      <c r="G520" s="20"/>
      <c r="H520" s="20"/>
      <c r="I520" s="21"/>
      <c r="J520" s="15"/>
      <c r="K520" s="21"/>
      <c r="L520" s="10"/>
      <c r="M520" s="19"/>
      <c r="N520" s="17"/>
      <c r="Q520" s="20"/>
    </row>
    <row r="521" spans="1:17" s="1" customFormat="1" ht="14.25" customHeight="1" x14ac:dyDescent="0.25">
      <c r="A521" s="15"/>
      <c r="B521" s="15"/>
      <c r="C521" s="15"/>
      <c r="D521" s="20"/>
      <c r="E521" s="20"/>
      <c r="F521" s="20"/>
      <c r="G521" s="20"/>
      <c r="H521" s="20"/>
      <c r="I521" s="21"/>
      <c r="J521" s="15"/>
      <c r="K521" s="21"/>
      <c r="L521" s="10"/>
      <c r="M521" s="19"/>
      <c r="N521" s="17"/>
      <c r="Q521" s="20"/>
    </row>
    <row r="522" spans="1:17" s="1" customFormat="1" ht="14.25" customHeight="1" x14ac:dyDescent="0.25">
      <c r="A522" s="15"/>
      <c r="B522" s="15"/>
      <c r="C522" s="15"/>
      <c r="D522" s="20"/>
      <c r="E522" s="20"/>
      <c r="F522" s="20"/>
      <c r="G522" s="20"/>
      <c r="H522" s="20"/>
      <c r="I522" s="21"/>
      <c r="J522" s="15"/>
      <c r="K522" s="21"/>
      <c r="L522" s="10"/>
      <c r="M522" s="19"/>
      <c r="N522" s="17"/>
      <c r="Q522" s="20"/>
    </row>
    <row r="523" spans="1:17" s="1" customFormat="1" ht="14.25" customHeight="1" x14ac:dyDescent="0.25">
      <c r="A523" s="15"/>
      <c r="B523" s="15"/>
      <c r="C523" s="15"/>
      <c r="D523" s="20"/>
      <c r="E523" s="20"/>
      <c r="F523" s="20"/>
      <c r="G523" s="20"/>
      <c r="H523" s="20"/>
      <c r="I523" s="21"/>
      <c r="J523" s="15"/>
      <c r="K523" s="21"/>
      <c r="L523" s="10"/>
      <c r="M523" s="19"/>
      <c r="N523" s="17"/>
      <c r="Q523" s="20"/>
    </row>
    <row r="524" spans="1:17" s="1" customFormat="1" ht="14.25" customHeight="1" x14ac:dyDescent="0.25">
      <c r="A524" s="15"/>
      <c r="B524" s="15"/>
      <c r="C524" s="15"/>
      <c r="D524" s="20"/>
      <c r="E524" s="20"/>
      <c r="F524" s="20"/>
      <c r="G524" s="20"/>
      <c r="H524" s="20"/>
      <c r="I524" s="21"/>
      <c r="J524" s="15"/>
      <c r="K524" s="21"/>
      <c r="L524" s="10"/>
      <c r="M524" s="19"/>
      <c r="N524" s="17"/>
      <c r="Q524" s="20"/>
    </row>
    <row r="525" spans="1:17" s="1" customFormat="1" ht="14.25" customHeight="1" x14ac:dyDescent="0.25">
      <c r="A525" s="15"/>
      <c r="B525" s="15"/>
      <c r="C525" s="15"/>
      <c r="D525" s="20"/>
      <c r="E525" s="20"/>
      <c r="F525" s="20"/>
      <c r="G525" s="20"/>
      <c r="H525" s="20"/>
      <c r="I525" s="21"/>
      <c r="J525" s="15"/>
      <c r="K525" s="21"/>
      <c r="L525" s="10"/>
      <c r="M525" s="19"/>
      <c r="N525" s="17"/>
      <c r="Q525" s="20"/>
    </row>
    <row r="526" spans="1:17" s="1" customFormat="1" ht="14.25" customHeight="1" x14ac:dyDescent="0.25">
      <c r="A526" s="15"/>
      <c r="B526" s="15"/>
      <c r="C526" s="15"/>
      <c r="D526" s="20"/>
      <c r="E526" s="20"/>
      <c r="F526" s="20"/>
      <c r="G526" s="20"/>
      <c r="H526" s="20"/>
      <c r="I526" s="21"/>
      <c r="J526" s="15"/>
      <c r="K526" s="21"/>
      <c r="L526" s="10"/>
      <c r="M526" s="19"/>
      <c r="N526" s="17"/>
      <c r="Q526" s="20"/>
    </row>
    <row r="527" spans="1:17" s="1" customFormat="1" ht="14.25" customHeight="1" x14ac:dyDescent="0.25">
      <c r="A527" s="15"/>
      <c r="B527" s="15"/>
      <c r="C527" s="15"/>
      <c r="D527" s="20"/>
      <c r="E527" s="20"/>
      <c r="F527" s="20"/>
      <c r="G527" s="20"/>
      <c r="H527" s="20"/>
      <c r="I527" s="21"/>
      <c r="J527" s="15"/>
      <c r="K527" s="21"/>
      <c r="L527" s="10"/>
      <c r="M527" s="19"/>
      <c r="N527" s="17"/>
      <c r="Q527" s="20"/>
    </row>
    <row r="528" spans="1:17" s="1" customFormat="1" ht="14.25" customHeight="1" x14ac:dyDescent="0.25">
      <c r="A528" s="15"/>
      <c r="B528" s="15"/>
      <c r="C528" s="15"/>
      <c r="D528" s="20"/>
      <c r="E528" s="20"/>
      <c r="F528" s="20"/>
      <c r="G528" s="20"/>
      <c r="H528" s="20"/>
      <c r="I528" s="21"/>
      <c r="J528" s="15"/>
      <c r="K528" s="21"/>
      <c r="L528" s="10"/>
      <c r="M528" s="19"/>
      <c r="N528" s="17"/>
      <c r="Q528" s="20"/>
    </row>
    <row r="529" spans="1:17" s="1" customFormat="1" ht="14.25" customHeight="1" x14ac:dyDescent="0.25">
      <c r="A529" s="15"/>
      <c r="B529" s="15"/>
      <c r="C529" s="15"/>
      <c r="D529" s="20"/>
      <c r="E529" s="20"/>
      <c r="F529" s="20"/>
      <c r="G529" s="20"/>
      <c r="H529" s="20"/>
      <c r="I529" s="21"/>
      <c r="J529" s="15"/>
      <c r="K529" s="21"/>
      <c r="L529" s="10"/>
      <c r="M529" s="19"/>
      <c r="N529" s="17"/>
      <c r="Q529" s="20"/>
    </row>
    <row r="530" spans="1:17" s="1" customFormat="1" ht="14.25" customHeight="1" x14ac:dyDescent="0.25">
      <c r="A530" s="15"/>
      <c r="B530" s="15"/>
      <c r="C530" s="15"/>
      <c r="D530" s="20"/>
      <c r="E530" s="20"/>
      <c r="F530" s="20"/>
      <c r="G530" s="20"/>
      <c r="H530" s="20"/>
      <c r="I530" s="21"/>
      <c r="J530" s="15"/>
      <c r="K530" s="21"/>
      <c r="L530" s="10"/>
      <c r="M530" s="19"/>
      <c r="N530" s="17"/>
      <c r="Q530" s="20"/>
    </row>
    <row r="531" spans="1:17" s="1" customFormat="1" ht="14.25" customHeight="1" x14ac:dyDescent="0.25">
      <c r="A531" s="15"/>
      <c r="B531" s="15"/>
      <c r="C531" s="15"/>
      <c r="D531" s="20"/>
      <c r="E531" s="20"/>
      <c r="F531" s="20"/>
      <c r="G531" s="20"/>
      <c r="H531" s="20"/>
      <c r="I531" s="21"/>
      <c r="J531" s="15"/>
      <c r="K531" s="21"/>
      <c r="L531" s="10"/>
      <c r="M531" s="19"/>
      <c r="N531" s="17"/>
      <c r="Q531" s="20"/>
    </row>
    <row r="532" spans="1:17" s="1" customFormat="1" ht="14.25" customHeight="1" x14ac:dyDescent="0.25">
      <c r="A532" s="15"/>
      <c r="B532" s="15"/>
      <c r="C532" s="15"/>
      <c r="D532" s="20"/>
      <c r="E532" s="20"/>
      <c r="F532" s="20"/>
      <c r="G532" s="20"/>
      <c r="H532" s="20"/>
      <c r="I532" s="21"/>
      <c r="J532" s="15"/>
      <c r="K532" s="21"/>
      <c r="L532" s="10"/>
      <c r="M532" s="19"/>
      <c r="N532" s="17"/>
      <c r="Q532" s="20"/>
    </row>
    <row r="533" spans="1:17" s="1" customFormat="1" ht="14.25" customHeight="1" x14ac:dyDescent="0.25">
      <c r="A533" s="15"/>
      <c r="B533" s="15"/>
      <c r="C533" s="15"/>
      <c r="D533" s="20"/>
      <c r="E533" s="20"/>
      <c r="F533" s="20"/>
      <c r="G533" s="20"/>
      <c r="H533" s="20"/>
      <c r="I533" s="21"/>
      <c r="J533" s="15"/>
      <c r="K533" s="21"/>
      <c r="L533" s="10"/>
      <c r="M533" s="19"/>
      <c r="N533" s="17"/>
      <c r="Q533" s="20"/>
    </row>
    <row r="534" spans="1:17" s="1" customFormat="1" ht="14.25" customHeight="1" x14ac:dyDescent="0.25">
      <c r="A534" s="15"/>
      <c r="B534" s="15"/>
      <c r="C534" s="15"/>
      <c r="D534" s="20"/>
      <c r="E534" s="20"/>
      <c r="F534" s="20"/>
      <c r="G534" s="20"/>
      <c r="H534" s="20"/>
      <c r="I534" s="21"/>
      <c r="J534" s="15"/>
      <c r="K534" s="21"/>
      <c r="L534" s="10"/>
      <c r="M534" s="19"/>
      <c r="N534" s="17"/>
      <c r="Q534" s="20"/>
    </row>
    <row r="535" spans="1:17" s="1" customFormat="1" ht="14.25" customHeight="1" x14ac:dyDescent="0.25">
      <c r="A535" s="15"/>
      <c r="B535" s="15"/>
      <c r="C535" s="15"/>
      <c r="D535" s="20"/>
      <c r="E535" s="20"/>
      <c r="F535" s="20"/>
      <c r="G535" s="20"/>
      <c r="H535" s="20"/>
      <c r="I535" s="21"/>
      <c r="J535" s="15"/>
      <c r="K535" s="21"/>
      <c r="L535" s="10"/>
      <c r="M535" s="19"/>
      <c r="N535" s="17"/>
      <c r="Q535" s="20"/>
    </row>
    <row r="536" spans="1:17" s="1" customFormat="1" ht="14.25" customHeight="1" x14ac:dyDescent="0.25">
      <c r="A536" s="15"/>
      <c r="B536" s="15"/>
      <c r="C536" s="15"/>
      <c r="D536" s="20"/>
      <c r="E536" s="20"/>
      <c r="F536" s="20"/>
      <c r="G536" s="20"/>
      <c r="H536" s="20"/>
      <c r="I536" s="21"/>
      <c r="J536" s="15"/>
      <c r="K536" s="21"/>
      <c r="L536" s="10"/>
      <c r="M536" s="19"/>
      <c r="N536" s="17"/>
      <c r="Q536" s="20"/>
    </row>
    <row r="537" spans="1:17" s="1" customFormat="1" ht="14.25" customHeight="1" x14ac:dyDescent="0.25">
      <c r="A537" s="15"/>
      <c r="B537" s="15"/>
      <c r="C537" s="15"/>
      <c r="D537" s="20"/>
      <c r="E537" s="20"/>
      <c r="F537" s="20"/>
      <c r="G537" s="20"/>
      <c r="H537" s="20"/>
      <c r="I537" s="21"/>
      <c r="J537" s="15"/>
      <c r="K537" s="21"/>
      <c r="L537" s="10"/>
      <c r="M537" s="19"/>
      <c r="N537" s="17"/>
      <c r="Q537" s="20"/>
    </row>
    <row r="538" spans="1:17" s="1" customFormat="1" ht="14.25" customHeight="1" x14ac:dyDescent="0.25">
      <c r="A538" s="15"/>
      <c r="B538" s="15"/>
      <c r="C538" s="15"/>
      <c r="D538" s="20"/>
      <c r="E538" s="20"/>
      <c r="F538" s="20"/>
      <c r="G538" s="20"/>
      <c r="H538" s="20"/>
      <c r="I538" s="21"/>
      <c r="J538" s="15"/>
      <c r="K538" s="21"/>
      <c r="L538" s="10"/>
      <c r="M538" s="19"/>
      <c r="N538" s="17"/>
      <c r="Q538" s="20"/>
    </row>
    <row r="539" spans="1:17" s="1" customFormat="1" ht="14.25" customHeight="1" x14ac:dyDescent="0.25">
      <c r="A539" s="15"/>
      <c r="B539" s="15"/>
      <c r="C539" s="15"/>
      <c r="D539" s="20"/>
      <c r="E539" s="20"/>
      <c r="F539" s="20"/>
      <c r="G539" s="20"/>
      <c r="H539" s="20"/>
      <c r="I539" s="21"/>
      <c r="J539" s="15"/>
      <c r="K539" s="21"/>
      <c r="L539" s="10"/>
      <c r="M539" s="19"/>
      <c r="N539" s="17"/>
      <c r="Q539" s="20"/>
    </row>
    <row r="540" spans="1:17" s="1" customFormat="1" ht="14.25" customHeight="1" x14ac:dyDescent="0.25">
      <c r="A540" s="15"/>
      <c r="B540" s="15"/>
      <c r="C540" s="15"/>
      <c r="D540" s="20"/>
      <c r="E540" s="20"/>
      <c r="F540" s="20"/>
      <c r="G540" s="20"/>
      <c r="H540" s="20"/>
      <c r="I540" s="21"/>
      <c r="J540" s="15"/>
      <c r="K540" s="21"/>
      <c r="L540" s="10"/>
      <c r="M540" s="19"/>
      <c r="N540" s="17"/>
      <c r="Q540" s="20"/>
    </row>
    <row r="541" spans="1:17" s="1" customFormat="1" ht="14.25" customHeight="1" x14ac:dyDescent="0.25">
      <c r="A541" s="15"/>
      <c r="B541" s="15"/>
      <c r="C541" s="15"/>
      <c r="D541" s="20"/>
      <c r="E541" s="20"/>
      <c r="F541" s="20"/>
      <c r="G541" s="20"/>
      <c r="H541" s="20"/>
      <c r="I541" s="21"/>
      <c r="J541" s="15"/>
      <c r="K541" s="21"/>
      <c r="L541" s="10"/>
      <c r="M541" s="19"/>
      <c r="N541" s="17"/>
      <c r="Q541" s="20"/>
    </row>
    <row r="542" spans="1:17" s="1" customFormat="1" ht="14.25" customHeight="1" x14ac:dyDescent="0.25">
      <c r="A542" s="15"/>
      <c r="B542" s="15"/>
      <c r="C542" s="15"/>
      <c r="D542" s="20"/>
      <c r="E542" s="20"/>
      <c r="F542" s="20"/>
      <c r="G542" s="20"/>
      <c r="H542" s="20"/>
      <c r="I542" s="21"/>
      <c r="J542" s="15"/>
      <c r="K542" s="21"/>
      <c r="L542" s="10"/>
      <c r="M542" s="19"/>
      <c r="N542" s="17"/>
      <c r="Q542" s="20"/>
    </row>
    <row r="543" spans="1:17" s="1" customFormat="1" ht="14.25" customHeight="1" x14ac:dyDescent="0.25">
      <c r="A543" s="15"/>
      <c r="B543" s="15"/>
      <c r="C543" s="15"/>
      <c r="D543" s="20"/>
      <c r="E543" s="20"/>
      <c r="F543" s="20"/>
      <c r="G543" s="20"/>
      <c r="H543" s="20"/>
      <c r="I543" s="21"/>
      <c r="J543" s="15"/>
      <c r="K543" s="21"/>
      <c r="L543" s="10"/>
      <c r="M543" s="19"/>
      <c r="N543" s="17"/>
      <c r="Q543" s="20"/>
    </row>
    <row r="544" spans="1:17" s="1" customFormat="1" ht="14.25" customHeight="1" x14ac:dyDescent="0.25">
      <c r="A544" s="15"/>
      <c r="B544" s="15"/>
      <c r="C544" s="15"/>
      <c r="D544" s="20"/>
      <c r="E544" s="20"/>
      <c r="F544" s="20"/>
      <c r="G544" s="20"/>
      <c r="H544" s="20"/>
      <c r="I544" s="21"/>
      <c r="J544" s="15"/>
      <c r="K544" s="21"/>
      <c r="L544" s="10"/>
      <c r="M544" s="19"/>
      <c r="N544" s="17"/>
      <c r="Q544" s="20"/>
    </row>
    <row r="545" spans="1:17" s="1" customFormat="1" ht="14.25" customHeight="1" x14ac:dyDescent="0.25">
      <c r="A545" s="15"/>
      <c r="B545" s="15"/>
      <c r="C545" s="15"/>
      <c r="D545" s="20"/>
      <c r="E545" s="20"/>
      <c r="F545" s="20"/>
      <c r="G545" s="20"/>
      <c r="H545" s="20"/>
      <c r="I545" s="21"/>
      <c r="J545" s="15"/>
      <c r="K545" s="21"/>
      <c r="L545" s="10"/>
      <c r="M545" s="19"/>
      <c r="N545" s="17"/>
      <c r="Q545" s="20"/>
    </row>
    <row r="546" spans="1:17" s="1" customFormat="1" ht="14.25" customHeight="1" x14ac:dyDescent="0.25">
      <c r="A546" s="15"/>
      <c r="B546" s="15"/>
      <c r="C546" s="15"/>
      <c r="D546" s="20"/>
      <c r="E546" s="20"/>
      <c r="F546" s="20"/>
      <c r="G546" s="20"/>
      <c r="H546" s="20"/>
      <c r="I546" s="21"/>
      <c r="J546" s="15"/>
      <c r="K546" s="21"/>
      <c r="L546" s="10"/>
      <c r="M546" s="19"/>
      <c r="N546" s="17"/>
      <c r="Q546" s="20"/>
    </row>
    <row r="547" spans="1:17" s="1" customFormat="1" ht="14.25" customHeight="1" x14ac:dyDescent="0.25">
      <c r="A547" s="15"/>
      <c r="B547" s="15"/>
      <c r="C547" s="15"/>
      <c r="D547" s="20"/>
      <c r="E547" s="20"/>
      <c r="F547" s="20"/>
      <c r="G547" s="20"/>
      <c r="H547" s="20"/>
      <c r="I547" s="21"/>
      <c r="J547" s="15"/>
      <c r="K547" s="21"/>
      <c r="L547" s="10"/>
      <c r="M547" s="19"/>
      <c r="N547" s="17"/>
      <c r="Q547" s="20"/>
    </row>
    <row r="548" spans="1:17" s="1" customFormat="1" ht="14.25" customHeight="1" x14ac:dyDescent="0.25">
      <c r="A548" s="15"/>
      <c r="B548" s="15"/>
      <c r="C548" s="15"/>
      <c r="D548" s="20"/>
      <c r="E548" s="20"/>
      <c r="F548" s="20"/>
      <c r="G548" s="20"/>
      <c r="H548" s="20"/>
      <c r="I548" s="21"/>
      <c r="J548" s="15"/>
      <c r="K548" s="21"/>
      <c r="L548" s="10"/>
      <c r="M548" s="19"/>
      <c r="N548" s="17"/>
      <c r="Q548" s="20"/>
    </row>
    <row r="549" spans="1:17" s="1" customFormat="1" ht="14.25" customHeight="1" x14ac:dyDescent="0.25">
      <c r="A549" s="15"/>
      <c r="B549" s="15"/>
      <c r="C549" s="15"/>
      <c r="D549" s="20"/>
      <c r="E549" s="20"/>
      <c r="F549" s="20"/>
      <c r="G549" s="20"/>
      <c r="H549" s="20"/>
      <c r="I549" s="21"/>
      <c r="J549" s="15"/>
      <c r="K549" s="21"/>
      <c r="L549" s="10"/>
      <c r="M549" s="19"/>
      <c r="N549" s="17"/>
      <c r="Q549" s="20"/>
    </row>
    <row r="550" spans="1:17" s="1" customFormat="1" ht="14.25" customHeight="1" x14ac:dyDescent="0.25">
      <c r="A550" s="15"/>
      <c r="B550" s="15"/>
      <c r="C550" s="15"/>
      <c r="D550" s="20"/>
      <c r="E550" s="20"/>
      <c r="F550" s="20"/>
      <c r="G550" s="20"/>
      <c r="H550" s="20"/>
      <c r="I550" s="21"/>
      <c r="J550" s="15"/>
      <c r="K550" s="21"/>
      <c r="L550" s="10"/>
      <c r="M550" s="19"/>
      <c r="N550" s="17"/>
      <c r="Q550" s="20"/>
    </row>
    <row r="551" spans="1:17" s="1" customFormat="1" ht="14.25" customHeight="1" x14ac:dyDescent="0.25">
      <c r="A551" s="15"/>
      <c r="B551" s="15"/>
      <c r="C551" s="15"/>
      <c r="D551" s="20"/>
      <c r="E551" s="20"/>
      <c r="F551" s="20"/>
      <c r="G551" s="20"/>
      <c r="H551" s="20"/>
      <c r="I551" s="21"/>
      <c r="J551" s="15"/>
      <c r="K551" s="21"/>
      <c r="L551" s="10"/>
      <c r="M551" s="19"/>
      <c r="N551" s="17"/>
      <c r="Q551" s="20"/>
    </row>
    <row r="552" spans="1:17" s="1" customFormat="1" ht="14.25" customHeight="1" x14ac:dyDescent="0.25">
      <c r="A552" s="15"/>
      <c r="B552" s="15"/>
      <c r="C552" s="15"/>
      <c r="D552" s="20"/>
      <c r="E552" s="20"/>
      <c r="F552" s="20"/>
      <c r="G552" s="20"/>
      <c r="H552" s="20"/>
      <c r="I552" s="21"/>
      <c r="J552" s="15"/>
      <c r="K552" s="21"/>
      <c r="L552" s="10"/>
      <c r="M552" s="19"/>
      <c r="N552" s="17"/>
      <c r="Q552" s="20"/>
    </row>
    <row r="553" spans="1:17" s="1" customFormat="1" ht="14.25" customHeight="1" x14ac:dyDescent="0.25">
      <c r="A553" s="15"/>
      <c r="B553" s="15"/>
      <c r="C553" s="15"/>
      <c r="D553" s="20"/>
      <c r="E553" s="20"/>
      <c r="F553" s="20"/>
      <c r="G553" s="20"/>
      <c r="H553" s="20"/>
      <c r="I553" s="21"/>
      <c r="J553" s="15"/>
      <c r="K553" s="21"/>
      <c r="L553" s="10"/>
      <c r="M553" s="19"/>
      <c r="N553" s="17"/>
      <c r="Q553" s="20"/>
    </row>
    <row r="554" spans="1:17" s="1" customFormat="1" ht="14.25" customHeight="1" x14ac:dyDescent="0.25">
      <c r="A554" s="15"/>
      <c r="B554" s="15"/>
      <c r="C554" s="15"/>
      <c r="D554" s="20"/>
      <c r="E554" s="20"/>
      <c r="F554" s="20"/>
      <c r="G554" s="20"/>
      <c r="H554" s="20"/>
      <c r="I554" s="21"/>
      <c r="J554" s="15"/>
      <c r="K554" s="21"/>
      <c r="L554" s="10"/>
      <c r="M554" s="19"/>
      <c r="N554" s="17"/>
      <c r="Q554" s="20"/>
    </row>
    <row r="555" spans="1:17" s="1" customFormat="1" ht="14.25" customHeight="1" x14ac:dyDescent="0.25">
      <c r="A555" s="15"/>
      <c r="B555" s="15"/>
      <c r="C555" s="15"/>
      <c r="D555" s="20"/>
      <c r="E555" s="20"/>
      <c r="F555" s="20"/>
      <c r="G555" s="20"/>
      <c r="H555" s="20"/>
      <c r="I555" s="21"/>
      <c r="J555" s="15"/>
      <c r="K555" s="21"/>
      <c r="L555" s="10"/>
      <c r="M555" s="19"/>
      <c r="N555" s="17"/>
      <c r="Q555" s="20"/>
    </row>
    <row r="556" spans="1:17" s="1" customFormat="1" ht="14.25" customHeight="1" x14ac:dyDescent="0.25">
      <c r="A556" s="15"/>
      <c r="B556" s="15"/>
      <c r="C556" s="15"/>
      <c r="D556" s="20"/>
      <c r="E556" s="20"/>
      <c r="F556" s="20"/>
      <c r="G556" s="20"/>
      <c r="H556" s="20"/>
      <c r="I556" s="21"/>
      <c r="J556" s="15"/>
      <c r="K556" s="21"/>
      <c r="L556" s="10"/>
      <c r="M556" s="19"/>
      <c r="N556" s="17"/>
      <c r="Q556" s="20"/>
    </row>
    <row r="557" spans="1:17" s="1" customFormat="1" ht="14.25" customHeight="1" x14ac:dyDescent="0.25">
      <c r="A557" s="15"/>
      <c r="B557" s="15"/>
      <c r="C557" s="15"/>
      <c r="D557" s="20"/>
      <c r="E557" s="20"/>
      <c r="F557" s="20"/>
      <c r="G557" s="20"/>
      <c r="H557" s="20"/>
      <c r="I557" s="21"/>
      <c r="J557" s="15"/>
      <c r="K557" s="21"/>
      <c r="L557" s="10"/>
      <c r="M557" s="19"/>
      <c r="N557" s="17"/>
      <c r="Q557" s="20"/>
    </row>
    <row r="558" spans="1:17" s="1" customFormat="1" ht="14.25" customHeight="1" x14ac:dyDescent="0.25">
      <c r="A558" s="15"/>
      <c r="B558" s="15"/>
      <c r="C558" s="15"/>
      <c r="D558" s="20"/>
      <c r="E558" s="20"/>
      <c r="F558" s="20"/>
      <c r="G558" s="20"/>
      <c r="H558" s="20"/>
      <c r="I558" s="21"/>
      <c r="J558" s="15"/>
      <c r="K558" s="21"/>
      <c r="L558" s="10"/>
      <c r="M558" s="19"/>
      <c r="N558" s="17"/>
      <c r="Q558" s="20"/>
    </row>
    <row r="559" spans="1:17" s="1" customFormat="1" ht="14.25" customHeight="1" x14ac:dyDescent="0.25">
      <c r="A559" s="15"/>
      <c r="B559" s="15"/>
      <c r="C559" s="15"/>
      <c r="D559" s="20"/>
      <c r="E559" s="20"/>
      <c r="F559" s="20"/>
      <c r="G559" s="20"/>
      <c r="H559" s="20"/>
      <c r="I559" s="21"/>
      <c r="J559" s="15"/>
      <c r="K559" s="21"/>
      <c r="L559" s="10"/>
      <c r="M559" s="19"/>
      <c r="N559" s="17"/>
      <c r="Q559" s="20"/>
    </row>
    <row r="560" spans="1:17" s="1" customFormat="1" ht="14.25" customHeight="1" x14ac:dyDescent="0.25">
      <c r="A560" s="15"/>
      <c r="B560" s="15"/>
      <c r="C560" s="15"/>
      <c r="D560" s="20"/>
      <c r="E560" s="20"/>
      <c r="F560" s="20"/>
      <c r="G560" s="20"/>
      <c r="H560" s="20"/>
      <c r="I560" s="21"/>
      <c r="J560" s="15"/>
      <c r="K560" s="21"/>
      <c r="L560" s="10"/>
      <c r="M560" s="19"/>
      <c r="N560" s="17"/>
      <c r="Q560" s="20"/>
    </row>
    <row r="561" spans="1:17" s="1" customFormat="1" ht="14.25" customHeight="1" x14ac:dyDescent="0.25">
      <c r="A561" s="15"/>
      <c r="B561" s="15"/>
      <c r="C561" s="15"/>
      <c r="D561" s="20"/>
      <c r="E561" s="20"/>
      <c r="F561" s="20"/>
      <c r="G561" s="20"/>
      <c r="H561" s="20"/>
      <c r="I561" s="21"/>
      <c r="J561" s="15"/>
      <c r="K561" s="21"/>
      <c r="L561" s="10"/>
      <c r="M561" s="19"/>
      <c r="N561" s="17"/>
      <c r="Q561" s="20"/>
    </row>
    <row r="562" spans="1:17" s="1" customFormat="1" ht="14.25" customHeight="1" x14ac:dyDescent="0.25">
      <c r="A562" s="15"/>
      <c r="B562" s="15"/>
      <c r="C562" s="15"/>
      <c r="D562" s="20"/>
      <c r="E562" s="20"/>
      <c r="F562" s="20"/>
      <c r="G562" s="20"/>
      <c r="H562" s="20"/>
      <c r="I562" s="21"/>
      <c r="J562" s="15"/>
      <c r="K562" s="21"/>
      <c r="L562" s="10"/>
      <c r="M562" s="19"/>
      <c r="N562" s="17"/>
      <c r="Q562" s="20"/>
    </row>
    <row r="563" spans="1:17" s="1" customFormat="1" ht="14.25" customHeight="1" x14ac:dyDescent="0.25">
      <c r="A563" s="15"/>
      <c r="B563" s="15"/>
      <c r="C563" s="15"/>
      <c r="D563" s="20"/>
      <c r="E563" s="20"/>
      <c r="F563" s="20"/>
      <c r="G563" s="20"/>
      <c r="H563" s="20"/>
      <c r="I563" s="21"/>
      <c r="J563" s="15"/>
      <c r="K563" s="21"/>
      <c r="L563" s="10"/>
      <c r="M563" s="19"/>
      <c r="N563" s="17"/>
      <c r="Q563" s="20"/>
    </row>
    <row r="564" spans="1:17" s="1" customFormat="1" ht="14.25" customHeight="1" x14ac:dyDescent="0.25">
      <c r="A564" s="15"/>
      <c r="B564" s="15"/>
      <c r="C564" s="15"/>
      <c r="D564" s="20"/>
      <c r="E564" s="20"/>
      <c r="F564" s="20"/>
      <c r="G564" s="20"/>
      <c r="H564" s="20"/>
      <c r="I564" s="21"/>
      <c r="J564" s="15"/>
      <c r="K564" s="21"/>
      <c r="L564" s="10"/>
      <c r="M564" s="19"/>
      <c r="N564" s="17"/>
      <c r="Q564" s="20"/>
    </row>
    <row r="565" spans="1:17" s="1" customFormat="1" ht="14.25" customHeight="1" x14ac:dyDescent="0.25">
      <c r="A565" s="15"/>
      <c r="B565" s="15"/>
      <c r="C565" s="15"/>
      <c r="D565" s="20"/>
      <c r="E565" s="20"/>
      <c r="F565" s="20"/>
      <c r="G565" s="20"/>
      <c r="H565" s="20"/>
      <c r="I565" s="21"/>
      <c r="J565" s="15"/>
      <c r="K565" s="21"/>
      <c r="L565" s="10"/>
      <c r="M565" s="19"/>
      <c r="N565" s="17"/>
      <c r="Q565" s="20"/>
    </row>
    <row r="566" spans="1:17" s="1" customFormat="1" ht="14.25" customHeight="1" x14ac:dyDescent="0.25">
      <c r="A566" s="15"/>
      <c r="B566" s="15"/>
      <c r="C566" s="15"/>
      <c r="D566" s="20"/>
      <c r="E566" s="20"/>
      <c r="F566" s="20"/>
      <c r="G566" s="20"/>
      <c r="H566" s="20"/>
      <c r="I566" s="21"/>
      <c r="J566" s="15"/>
      <c r="K566" s="21"/>
      <c r="L566" s="10"/>
      <c r="M566" s="19"/>
      <c r="N566" s="17"/>
      <c r="Q566" s="20"/>
    </row>
    <row r="567" spans="1:17" s="1" customFormat="1" ht="14.25" customHeight="1" x14ac:dyDescent="0.25">
      <c r="A567" s="15"/>
      <c r="B567" s="15"/>
      <c r="C567" s="15"/>
      <c r="D567" s="20"/>
      <c r="E567" s="20"/>
      <c r="F567" s="20"/>
      <c r="G567" s="20"/>
      <c r="H567" s="20"/>
      <c r="I567" s="21"/>
      <c r="J567" s="15"/>
      <c r="K567" s="21"/>
      <c r="L567" s="10"/>
      <c r="M567" s="19"/>
      <c r="N567" s="17"/>
      <c r="Q567" s="20"/>
    </row>
    <row r="568" spans="1:17" s="1" customFormat="1" ht="14.25" customHeight="1" x14ac:dyDescent="0.25">
      <c r="A568" s="15"/>
      <c r="B568" s="15"/>
      <c r="C568" s="15"/>
      <c r="D568" s="20"/>
      <c r="E568" s="20"/>
      <c r="F568" s="20"/>
      <c r="G568" s="20"/>
      <c r="H568" s="20"/>
      <c r="I568" s="21"/>
      <c r="J568" s="15"/>
      <c r="K568" s="21"/>
      <c r="L568" s="10"/>
      <c r="M568" s="19"/>
      <c r="N568" s="17"/>
      <c r="Q568" s="20"/>
    </row>
    <row r="569" spans="1:17" s="1" customFormat="1" ht="14.25" customHeight="1" x14ac:dyDescent="0.25">
      <c r="A569" s="15"/>
      <c r="B569" s="15"/>
      <c r="C569" s="15"/>
      <c r="D569" s="20"/>
      <c r="E569" s="20"/>
      <c r="F569" s="20"/>
      <c r="G569" s="20"/>
      <c r="H569" s="20"/>
      <c r="I569" s="21"/>
      <c r="J569" s="15"/>
      <c r="K569" s="21"/>
      <c r="L569" s="10"/>
      <c r="M569" s="19"/>
      <c r="N569" s="17"/>
      <c r="Q569" s="20"/>
    </row>
    <row r="570" spans="1:17" s="1" customFormat="1" ht="14.25" customHeight="1" x14ac:dyDescent="0.25">
      <c r="A570" s="15"/>
      <c r="B570" s="15"/>
      <c r="C570" s="15"/>
      <c r="D570" s="20"/>
      <c r="E570" s="20"/>
      <c r="F570" s="20"/>
      <c r="G570" s="20"/>
      <c r="H570" s="20"/>
      <c r="I570" s="21"/>
      <c r="J570" s="15"/>
      <c r="K570" s="21"/>
      <c r="L570" s="10"/>
      <c r="M570" s="19"/>
      <c r="N570" s="17"/>
      <c r="Q570" s="20"/>
    </row>
    <row r="571" spans="1:17" s="1" customFormat="1" ht="14.25" customHeight="1" x14ac:dyDescent="0.25">
      <c r="A571" s="15"/>
      <c r="B571" s="15"/>
      <c r="C571" s="15"/>
      <c r="D571" s="20"/>
      <c r="E571" s="20"/>
      <c r="F571" s="20"/>
      <c r="G571" s="20"/>
      <c r="H571" s="20"/>
      <c r="I571" s="21"/>
      <c r="J571" s="15"/>
      <c r="K571" s="21"/>
      <c r="L571" s="10"/>
      <c r="M571" s="19"/>
      <c r="N571" s="17"/>
      <c r="Q571" s="20"/>
    </row>
    <row r="572" spans="1:17" s="1" customFormat="1" ht="14.25" customHeight="1" x14ac:dyDescent="0.25">
      <c r="A572" s="15"/>
      <c r="B572" s="15"/>
      <c r="C572" s="15"/>
      <c r="D572" s="20"/>
      <c r="E572" s="20"/>
      <c r="F572" s="20"/>
      <c r="G572" s="20"/>
      <c r="H572" s="20"/>
      <c r="I572" s="21"/>
      <c r="J572" s="15"/>
      <c r="K572" s="21"/>
      <c r="L572" s="10"/>
      <c r="M572" s="19"/>
      <c r="N572" s="17"/>
      <c r="Q572" s="20"/>
    </row>
    <row r="573" spans="1:17" s="1" customFormat="1" ht="14.25" customHeight="1" x14ac:dyDescent="0.25">
      <c r="A573" s="15"/>
      <c r="B573" s="15"/>
      <c r="C573" s="15"/>
      <c r="D573" s="20"/>
      <c r="E573" s="20"/>
      <c r="F573" s="20"/>
      <c r="G573" s="20"/>
      <c r="H573" s="20"/>
      <c r="I573" s="21"/>
      <c r="J573" s="15"/>
      <c r="K573" s="21"/>
      <c r="L573" s="10"/>
      <c r="M573" s="19"/>
      <c r="N573" s="17"/>
      <c r="Q573" s="20"/>
    </row>
    <row r="574" spans="1:17" s="1" customFormat="1" ht="14.25" customHeight="1" x14ac:dyDescent="0.25">
      <c r="A574" s="15"/>
      <c r="B574" s="15"/>
      <c r="C574" s="15"/>
      <c r="D574" s="20"/>
      <c r="E574" s="20"/>
      <c r="F574" s="20"/>
      <c r="G574" s="20"/>
      <c r="H574" s="20"/>
      <c r="I574" s="21"/>
      <c r="J574" s="15"/>
      <c r="K574" s="21"/>
      <c r="L574" s="10"/>
      <c r="M574" s="19"/>
      <c r="N574" s="17"/>
      <c r="Q574" s="20"/>
    </row>
    <row r="575" spans="1:17" s="1" customFormat="1" ht="14.25" customHeight="1" x14ac:dyDescent="0.25">
      <c r="A575" s="15"/>
      <c r="B575" s="15"/>
      <c r="C575" s="15"/>
      <c r="D575" s="20"/>
      <c r="E575" s="20"/>
      <c r="F575" s="20"/>
      <c r="G575" s="20"/>
      <c r="H575" s="20"/>
      <c r="I575" s="21"/>
      <c r="J575" s="15"/>
      <c r="K575" s="21"/>
      <c r="L575" s="10"/>
      <c r="M575" s="19"/>
      <c r="N575" s="17"/>
      <c r="Q575" s="20"/>
    </row>
    <row r="576" spans="1:17" s="1" customFormat="1" ht="14.25" customHeight="1" x14ac:dyDescent="0.25">
      <c r="A576" s="15"/>
      <c r="B576" s="15"/>
      <c r="C576" s="15"/>
      <c r="D576" s="20"/>
      <c r="E576" s="20"/>
      <c r="F576" s="20"/>
      <c r="G576" s="20"/>
      <c r="H576" s="20"/>
      <c r="I576" s="21"/>
      <c r="J576" s="15"/>
      <c r="K576" s="21"/>
      <c r="L576" s="10"/>
      <c r="M576" s="19"/>
      <c r="N576" s="17"/>
      <c r="Q576" s="20"/>
    </row>
    <row r="577" spans="1:17" s="1" customFormat="1" ht="14.25" customHeight="1" x14ac:dyDescent="0.25">
      <c r="A577" s="15"/>
      <c r="B577" s="15"/>
      <c r="C577" s="15"/>
      <c r="D577" s="20"/>
      <c r="E577" s="20"/>
      <c r="F577" s="20"/>
      <c r="G577" s="20"/>
      <c r="H577" s="20"/>
      <c r="I577" s="21"/>
      <c r="J577" s="15"/>
      <c r="K577" s="21"/>
      <c r="L577" s="10"/>
      <c r="M577" s="19"/>
      <c r="N577" s="17"/>
      <c r="Q577" s="20"/>
    </row>
    <row r="578" spans="1:17" s="1" customFormat="1" ht="14.25" customHeight="1" x14ac:dyDescent="0.25">
      <c r="A578" s="15"/>
      <c r="B578" s="15"/>
      <c r="C578" s="15"/>
      <c r="D578" s="20"/>
      <c r="E578" s="20"/>
      <c r="F578" s="20"/>
      <c r="G578" s="20"/>
      <c r="H578" s="20"/>
      <c r="I578" s="21"/>
      <c r="J578" s="15"/>
      <c r="K578" s="21"/>
      <c r="L578" s="10"/>
      <c r="M578" s="19"/>
      <c r="N578" s="17"/>
      <c r="Q578" s="20"/>
    </row>
    <row r="579" spans="1:17" s="1" customFormat="1" ht="14.25" customHeight="1" x14ac:dyDescent="0.25">
      <c r="A579" s="15"/>
      <c r="B579" s="15"/>
      <c r="C579" s="15"/>
      <c r="D579" s="20"/>
      <c r="E579" s="20"/>
      <c r="F579" s="20"/>
      <c r="G579" s="20"/>
      <c r="H579" s="20"/>
      <c r="I579" s="21"/>
      <c r="J579" s="15"/>
      <c r="K579" s="21"/>
      <c r="L579" s="10"/>
      <c r="M579" s="19"/>
      <c r="N579" s="17"/>
      <c r="Q579" s="20"/>
    </row>
    <row r="580" spans="1:17" s="1" customFormat="1" ht="14.25" customHeight="1" x14ac:dyDescent="0.25">
      <c r="A580" s="15"/>
      <c r="B580" s="15"/>
      <c r="C580" s="15"/>
      <c r="D580" s="20"/>
      <c r="E580" s="20"/>
      <c r="F580" s="20"/>
      <c r="G580" s="20"/>
      <c r="H580" s="20"/>
      <c r="I580" s="21"/>
      <c r="J580" s="15"/>
      <c r="K580" s="21"/>
      <c r="L580" s="10"/>
      <c r="M580" s="19"/>
      <c r="N580" s="17"/>
      <c r="Q580" s="20"/>
    </row>
    <row r="581" spans="1:17" s="1" customFormat="1" ht="14.25" customHeight="1" x14ac:dyDescent="0.25">
      <c r="A581" s="15"/>
      <c r="B581" s="15"/>
      <c r="C581" s="15"/>
      <c r="D581" s="20"/>
      <c r="E581" s="20"/>
      <c r="F581" s="20"/>
      <c r="G581" s="20"/>
      <c r="H581" s="20"/>
      <c r="I581" s="21"/>
      <c r="J581" s="15"/>
      <c r="K581" s="21"/>
      <c r="L581" s="10"/>
      <c r="M581" s="19"/>
      <c r="N581" s="17"/>
      <c r="Q581" s="20"/>
    </row>
    <row r="582" spans="1:17" s="1" customFormat="1" ht="14.25" customHeight="1" x14ac:dyDescent="0.25">
      <c r="A582" s="15"/>
      <c r="B582" s="15"/>
      <c r="C582" s="15"/>
      <c r="D582" s="20"/>
      <c r="E582" s="20"/>
      <c r="F582" s="20"/>
      <c r="G582" s="20"/>
      <c r="H582" s="20"/>
      <c r="I582" s="21"/>
      <c r="J582" s="15"/>
      <c r="K582" s="21"/>
      <c r="L582" s="10"/>
      <c r="M582" s="19"/>
      <c r="N582" s="17"/>
      <c r="Q582" s="20"/>
    </row>
    <row r="583" spans="1:17" s="1" customFormat="1" ht="14.25" customHeight="1" x14ac:dyDescent="0.25">
      <c r="A583" s="15"/>
      <c r="B583" s="15"/>
      <c r="C583" s="15"/>
      <c r="D583" s="20"/>
      <c r="E583" s="20"/>
      <c r="F583" s="20"/>
      <c r="G583" s="20"/>
      <c r="H583" s="20"/>
      <c r="I583" s="21"/>
      <c r="J583" s="15"/>
      <c r="K583" s="21"/>
      <c r="L583" s="10"/>
      <c r="M583" s="19"/>
      <c r="N583" s="17"/>
      <c r="Q583" s="20"/>
    </row>
    <row r="584" spans="1:17" s="1" customFormat="1" ht="14.25" customHeight="1" x14ac:dyDescent="0.25">
      <c r="A584" s="15"/>
      <c r="B584" s="15"/>
      <c r="C584" s="15"/>
      <c r="D584" s="20"/>
      <c r="E584" s="20"/>
      <c r="F584" s="20"/>
      <c r="G584" s="20"/>
      <c r="H584" s="20"/>
      <c r="I584" s="21"/>
      <c r="J584" s="15"/>
      <c r="K584" s="21"/>
      <c r="L584" s="10"/>
      <c r="M584" s="19"/>
      <c r="N584" s="17"/>
      <c r="Q584" s="20"/>
    </row>
    <row r="585" spans="1:17" s="1" customFormat="1" ht="14.25" customHeight="1" x14ac:dyDescent="0.25">
      <c r="A585" s="15"/>
      <c r="B585" s="15"/>
      <c r="C585" s="15"/>
      <c r="D585" s="20"/>
      <c r="E585" s="20"/>
      <c r="F585" s="20"/>
      <c r="G585" s="20"/>
      <c r="H585" s="20"/>
      <c r="I585" s="21"/>
      <c r="J585" s="15"/>
      <c r="K585" s="21"/>
      <c r="L585" s="10"/>
      <c r="M585" s="19"/>
      <c r="N585" s="17"/>
      <c r="Q585" s="20"/>
    </row>
    <row r="586" spans="1:17" s="1" customFormat="1" ht="14.25" customHeight="1" x14ac:dyDescent="0.25">
      <c r="A586" s="15"/>
      <c r="B586" s="15"/>
      <c r="C586" s="15"/>
      <c r="D586" s="20"/>
      <c r="E586" s="20"/>
      <c r="F586" s="20"/>
      <c r="G586" s="20"/>
      <c r="H586" s="20"/>
      <c r="I586" s="21"/>
      <c r="J586" s="15"/>
      <c r="K586" s="21"/>
      <c r="L586" s="10"/>
      <c r="M586" s="19"/>
      <c r="N586" s="17"/>
      <c r="Q586" s="20"/>
    </row>
    <row r="587" spans="1:17" s="1" customFormat="1" ht="14.25" customHeight="1" x14ac:dyDescent="0.25">
      <c r="A587" s="15"/>
      <c r="B587" s="15"/>
      <c r="C587" s="15"/>
      <c r="D587" s="20"/>
      <c r="E587" s="20"/>
      <c r="F587" s="20"/>
      <c r="G587" s="20"/>
      <c r="H587" s="20"/>
      <c r="I587" s="21"/>
      <c r="J587" s="15"/>
      <c r="K587" s="21"/>
      <c r="L587" s="10"/>
      <c r="M587" s="19"/>
      <c r="N587" s="17"/>
      <c r="Q587" s="20"/>
    </row>
    <row r="588" spans="1:17" s="1" customFormat="1" ht="14.25" customHeight="1" x14ac:dyDescent="0.25">
      <c r="A588" s="15"/>
      <c r="B588" s="15"/>
      <c r="C588" s="15"/>
      <c r="D588" s="20"/>
      <c r="E588" s="20"/>
      <c r="F588" s="20"/>
      <c r="G588" s="20"/>
      <c r="H588" s="20"/>
      <c r="I588" s="21"/>
      <c r="J588" s="15"/>
      <c r="K588" s="21"/>
      <c r="L588" s="10"/>
      <c r="M588" s="19"/>
      <c r="N588" s="17"/>
      <c r="Q588" s="20"/>
    </row>
    <row r="589" spans="1:17" s="1" customFormat="1" ht="14.25" customHeight="1" x14ac:dyDescent="0.25">
      <c r="A589" s="15"/>
      <c r="B589" s="15"/>
      <c r="C589" s="15"/>
      <c r="D589" s="20"/>
      <c r="E589" s="20"/>
      <c r="F589" s="20"/>
      <c r="G589" s="20"/>
      <c r="H589" s="20"/>
      <c r="I589" s="21"/>
      <c r="J589" s="15"/>
      <c r="K589" s="21"/>
      <c r="L589" s="10"/>
      <c r="M589" s="19"/>
      <c r="N589" s="17"/>
      <c r="Q589" s="20"/>
    </row>
    <row r="590" spans="1:17" s="1" customFormat="1" ht="14.25" customHeight="1" x14ac:dyDescent="0.25">
      <c r="A590" s="15"/>
      <c r="B590" s="15"/>
      <c r="C590" s="15"/>
      <c r="D590" s="20"/>
      <c r="E590" s="20"/>
      <c r="F590" s="20"/>
      <c r="G590" s="20"/>
      <c r="H590" s="20"/>
      <c r="I590" s="21"/>
      <c r="J590" s="15"/>
      <c r="K590" s="21"/>
      <c r="L590" s="10"/>
      <c r="M590" s="19"/>
      <c r="N590" s="17"/>
      <c r="Q590" s="20"/>
    </row>
    <row r="591" spans="1:17" s="1" customFormat="1" ht="14.25" customHeight="1" x14ac:dyDescent="0.25">
      <c r="A591" s="15"/>
      <c r="B591" s="15"/>
      <c r="C591" s="15"/>
      <c r="D591" s="20"/>
      <c r="E591" s="20"/>
      <c r="F591" s="20"/>
      <c r="G591" s="20"/>
      <c r="H591" s="20"/>
      <c r="I591" s="21"/>
      <c r="J591" s="15"/>
      <c r="K591" s="21"/>
      <c r="L591" s="10"/>
      <c r="M591" s="19"/>
      <c r="N591" s="17"/>
      <c r="Q591" s="20"/>
    </row>
    <row r="592" spans="1:17" s="1" customFormat="1" ht="14.25" customHeight="1" x14ac:dyDescent="0.25">
      <c r="A592" s="15"/>
      <c r="B592" s="15"/>
      <c r="C592" s="15"/>
      <c r="D592" s="20"/>
      <c r="E592" s="20"/>
      <c r="F592" s="20"/>
      <c r="G592" s="20"/>
      <c r="H592" s="20"/>
      <c r="I592" s="21"/>
      <c r="J592" s="15"/>
      <c r="K592" s="21"/>
      <c r="L592" s="10"/>
      <c r="M592" s="19"/>
      <c r="N592" s="17"/>
      <c r="Q592" s="20"/>
    </row>
    <row r="593" spans="1:17" s="1" customFormat="1" ht="14.25" customHeight="1" x14ac:dyDescent="0.25">
      <c r="A593" s="15"/>
      <c r="B593" s="15"/>
      <c r="C593" s="15"/>
      <c r="D593" s="20"/>
      <c r="E593" s="20"/>
      <c r="F593" s="20"/>
      <c r="G593" s="20"/>
      <c r="H593" s="20"/>
      <c r="I593" s="21"/>
      <c r="J593" s="15"/>
      <c r="K593" s="21"/>
      <c r="L593" s="10"/>
      <c r="M593" s="19"/>
      <c r="N593" s="17"/>
      <c r="Q593" s="20"/>
    </row>
    <row r="594" spans="1:17" s="1" customFormat="1" ht="14.25" customHeight="1" x14ac:dyDescent="0.25">
      <c r="A594" s="15"/>
      <c r="B594" s="15"/>
      <c r="C594" s="15"/>
      <c r="D594" s="20"/>
      <c r="E594" s="20"/>
      <c r="F594" s="20"/>
      <c r="G594" s="20"/>
      <c r="H594" s="20"/>
      <c r="I594" s="21"/>
      <c r="J594" s="15"/>
      <c r="K594" s="21"/>
      <c r="L594" s="10"/>
      <c r="M594" s="19"/>
      <c r="N594" s="17"/>
      <c r="Q594" s="20"/>
    </row>
    <row r="595" spans="1:17" s="1" customFormat="1" ht="14.25" customHeight="1" x14ac:dyDescent="0.25">
      <c r="A595" s="15"/>
      <c r="B595" s="15"/>
      <c r="C595" s="15"/>
      <c r="D595" s="20"/>
      <c r="E595" s="20"/>
      <c r="F595" s="20"/>
      <c r="G595" s="20"/>
      <c r="H595" s="20"/>
      <c r="I595" s="21"/>
      <c r="J595" s="15"/>
      <c r="K595" s="21"/>
      <c r="L595" s="10"/>
      <c r="M595" s="19"/>
      <c r="N595" s="17"/>
      <c r="Q595" s="20"/>
    </row>
    <row r="596" spans="1:17" s="1" customFormat="1" ht="14.25" customHeight="1" x14ac:dyDescent="0.25">
      <c r="A596" s="15"/>
      <c r="B596" s="15"/>
      <c r="C596" s="15"/>
      <c r="D596" s="20"/>
      <c r="E596" s="20"/>
      <c r="F596" s="20"/>
      <c r="G596" s="20"/>
      <c r="H596" s="20"/>
      <c r="I596" s="21"/>
      <c r="J596" s="15"/>
      <c r="K596" s="21"/>
      <c r="L596" s="10"/>
      <c r="M596" s="19"/>
      <c r="N596" s="17"/>
      <c r="Q596" s="20"/>
    </row>
    <row r="597" spans="1:17" s="1" customFormat="1" ht="14.25" customHeight="1" x14ac:dyDescent="0.25">
      <c r="A597" s="15"/>
      <c r="B597" s="15"/>
      <c r="C597" s="15"/>
      <c r="D597" s="20"/>
      <c r="E597" s="20"/>
      <c r="F597" s="20"/>
      <c r="G597" s="20"/>
      <c r="H597" s="20"/>
      <c r="I597" s="21"/>
      <c r="J597" s="15"/>
      <c r="K597" s="21"/>
      <c r="L597" s="10"/>
      <c r="M597" s="19"/>
      <c r="N597" s="17"/>
      <c r="Q597" s="20"/>
    </row>
    <row r="598" spans="1:17" s="1" customFormat="1" ht="14.25" customHeight="1" x14ac:dyDescent="0.25">
      <c r="A598" s="15"/>
      <c r="B598" s="15"/>
      <c r="C598" s="15"/>
      <c r="D598" s="20"/>
      <c r="E598" s="20"/>
      <c r="F598" s="20"/>
      <c r="G598" s="20"/>
      <c r="H598" s="20"/>
      <c r="I598" s="21"/>
      <c r="J598" s="15"/>
      <c r="K598" s="21"/>
      <c r="L598" s="10"/>
      <c r="M598" s="19"/>
      <c r="N598" s="17"/>
      <c r="Q598" s="20"/>
    </row>
    <row r="599" spans="1:17" s="1" customFormat="1" ht="14.25" customHeight="1" x14ac:dyDescent="0.25">
      <c r="A599" s="15"/>
      <c r="B599" s="15"/>
      <c r="C599" s="15"/>
      <c r="D599" s="20"/>
      <c r="E599" s="20"/>
      <c r="F599" s="20"/>
      <c r="G599" s="20"/>
      <c r="H599" s="20"/>
      <c r="I599" s="21"/>
      <c r="J599" s="15"/>
      <c r="K599" s="21"/>
      <c r="L599" s="10"/>
      <c r="M599" s="19"/>
      <c r="N599" s="17"/>
      <c r="Q599" s="20"/>
    </row>
    <row r="600" spans="1:17" s="1" customFormat="1" ht="14.25" customHeight="1" x14ac:dyDescent="0.25">
      <c r="A600" s="15"/>
      <c r="B600" s="15"/>
      <c r="C600" s="15"/>
      <c r="D600" s="20"/>
      <c r="E600" s="20"/>
      <c r="F600" s="20"/>
      <c r="G600" s="20"/>
      <c r="H600" s="20"/>
      <c r="I600" s="21"/>
      <c r="J600" s="15"/>
      <c r="K600" s="21"/>
      <c r="L600" s="10"/>
      <c r="M600" s="19"/>
      <c r="N600" s="17"/>
      <c r="Q600" s="20"/>
    </row>
    <row r="601" spans="1:17" s="1" customFormat="1" ht="14.25" customHeight="1" x14ac:dyDescent="0.25">
      <c r="A601" s="15"/>
      <c r="B601" s="15"/>
      <c r="C601" s="15"/>
      <c r="D601" s="20"/>
      <c r="E601" s="20"/>
      <c r="F601" s="20"/>
      <c r="G601" s="20"/>
      <c r="H601" s="20"/>
      <c r="I601" s="21"/>
      <c r="J601" s="15"/>
      <c r="K601" s="21"/>
      <c r="L601" s="10"/>
      <c r="M601" s="19"/>
      <c r="N601" s="17"/>
      <c r="Q601" s="20"/>
    </row>
    <row r="602" spans="1:17" s="1" customFormat="1" ht="14.25" customHeight="1" x14ac:dyDescent="0.25">
      <c r="A602" s="15"/>
      <c r="B602" s="15"/>
      <c r="C602" s="15"/>
      <c r="D602" s="20"/>
      <c r="E602" s="20"/>
      <c r="F602" s="20"/>
      <c r="G602" s="20"/>
      <c r="H602" s="20"/>
      <c r="I602" s="21"/>
      <c r="J602" s="15"/>
      <c r="K602" s="21"/>
      <c r="L602" s="10"/>
      <c r="M602" s="19"/>
      <c r="N602" s="17"/>
      <c r="Q602" s="20"/>
    </row>
    <row r="603" spans="1:17" s="1" customFormat="1" ht="14.25" customHeight="1" x14ac:dyDescent="0.25">
      <c r="A603" s="15"/>
      <c r="B603" s="15"/>
      <c r="C603" s="15"/>
      <c r="D603" s="20"/>
      <c r="E603" s="20"/>
      <c r="F603" s="20"/>
      <c r="G603" s="20"/>
      <c r="H603" s="20"/>
      <c r="I603" s="21"/>
      <c r="J603" s="15"/>
      <c r="K603" s="21"/>
      <c r="L603" s="10"/>
      <c r="M603" s="19"/>
      <c r="N603" s="17"/>
      <c r="Q603" s="20"/>
    </row>
    <row r="604" spans="1:17" s="1" customFormat="1" ht="14.25" customHeight="1" x14ac:dyDescent="0.25">
      <c r="A604" s="15"/>
      <c r="B604" s="15"/>
      <c r="C604" s="15"/>
      <c r="D604" s="20"/>
      <c r="E604" s="20"/>
      <c r="F604" s="20"/>
      <c r="G604" s="20"/>
      <c r="H604" s="20"/>
      <c r="I604" s="21"/>
      <c r="J604" s="15"/>
      <c r="K604" s="21"/>
      <c r="L604" s="10"/>
      <c r="M604" s="19"/>
      <c r="N604" s="17"/>
      <c r="Q604" s="20"/>
    </row>
    <row r="605" spans="1:17" s="1" customFormat="1" ht="14.25" customHeight="1" x14ac:dyDescent="0.25">
      <c r="A605" s="15"/>
      <c r="B605" s="15"/>
      <c r="C605" s="15"/>
      <c r="D605" s="20"/>
      <c r="E605" s="20"/>
      <c r="F605" s="20"/>
      <c r="G605" s="20"/>
      <c r="H605" s="20"/>
      <c r="I605" s="21"/>
      <c r="J605" s="15"/>
      <c r="K605" s="21"/>
      <c r="L605" s="10"/>
      <c r="M605" s="19"/>
      <c r="N605" s="17"/>
      <c r="Q605" s="20"/>
    </row>
    <row r="606" spans="1:17" s="1" customFormat="1" ht="14.25" customHeight="1" x14ac:dyDescent="0.25">
      <c r="A606" s="15"/>
      <c r="B606" s="15"/>
      <c r="C606" s="15"/>
      <c r="D606" s="20"/>
      <c r="E606" s="20"/>
      <c r="F606" s="20"/>
      <c r="G606" s="20"/>
      <c r="H606" s="20"/>
      <c r="I606" s="21"/>
      <c r="J606" s="15"/>
      <c r="K606" s="21"/>
      <c r="L606" s="10"/>
      <c r="M606" s="19"/>
      <c r="N606" s="17"/>
      <c r="Q606" s="20"/>
    </row>
    <row r="607" spans="1:17" s="1" customFormat="1" ht="14.25" customHeight="1" x14ac:dyDescent="0.25">
      <c r="A607" s="15"/>
      <c r="B607" s="15"/>
      <c r="C607" s="15"/>
      <c r="D607" s="20"/>
      <c r="E607" s="20"/>
      <c r="F607" s="20"/>
      <c r="G607" s="20"/>
      <c r="H607" s="20"/>
      <c r="I607" s="21"/>
      <c r="J607" s="15"/>
      <c r="K607" s="21"/>
      <c r="L607" s="10"/>
      <c r="M607" s="19"/>
      <c r="N607" s="17"/>
      <c r="Q607" s="20"/>
    </row>
    <row r="608" spans="1:17" s="1" customFormat="1" ht="14.25" customHeight="1" x14ac:dyDescent="0.25">
      <c r="A608" s="15"/>
      <c r="B608" s="15"/>
      <c r="C608" s="15"/>
      <c r="D608" s="20"/>
      <c r="E608" s="20"/>
      <c r="F608" s="20"/>
      <c r="G608" s="20"/>
      <c r="H608" s="20"/>
      <c r="I608" s="21"/>
      <c r="J608" s="15"/>
      <c r="K608" s="21"/>
      <c r="L608" s="10"/>
      <c r="M608" s="19"/>
      <c r="N608" s="17"/>
      <c r="Q608" s="20"/>
    </row>
    <row r="609" spans="1:17" s="1" customFormat="1" ht="14.25" customHeight="1" x14ac:dyDescent="0.25">
      <c r="A609" s="15"/>
      <c r="B609" s="15"/>
      <c r="C609" s="15"/>
      <c r="D609" s="20"/>
      <c r="E609" s="20"/>
      <c r="F609" s="20"/>
      <c r="G609" s="20"/>
      <c r="H609" s="20"/>
      <c r="I609" s="21"/>
      <c r="J609" s="15"/>
      <c r="K609" s="21"/>
      <c r="L609" s="10"/>
      <c r="M609" s="19"/>
      <c r="N609" s="17"/>
      <c r="Q609" s="20"/>
    </row>
    <row r="610" spans="1:17" s="1" customFormat="1" ht="14.25" customHeight="1" x14ac:dyDescent="0.25">
      <c r="A610" s="15"/>
      <c r="B610" s="15"/>
      <c r="C610" s="15"/>
      <c r="D610" s="20"/>
      <c r="E610" s="20"/>
      <c r="F610" s="20"/>
      <c r="G610" s="20"/>
      <c r="H610" s="20"/>
      <c r="I610" s="21"/>
      <c r="J610" s="15"/>
      <c r="K610" s="21"/>
      <c r="L610" s="10"/>
      <c r="M610" s="19"/>
      <c r="N610" s="17"/>
      <c r="Q610" s="20"/>
    </row>
    <row r="611" spans="1:17" s="1" customFormat="1" ht="14.25" customHeight="1" x14ac:dyDescent="0.25">
      <c r="A611" s="15"/>
      <c r="B611" s="15"/>
      <c r="C611" s="15"/>
      <c r="D611" s="20"/>
      <c r="E611" s="20"/>
      <c r="F611" s="20"/>
      <c r="G611" s="20"/>
      <c r="H611" s="20"/>
      <c r="I611" s="21"/>
      <c r="J611" s="15"/>
      <c r="K611" s="21"/>
      <c r="L611" s="10"/>
      <c r="M611" s="19"/>
      <c r="N611" s="17"/>
      <c r="Q611" s="20"/>
    </row>
    <row r="612" spans="1:17" s="1" customFormat="1" ht="14.25" customHeight="1" x14ac:dyDescent="0.25">
      <c r="A612" s="15"/>
      <c r="B612" s="15"/>
      <c r="C612" s="15"/>
      <c r="D612" s="20"/>
      <c r="E612" s="20"/>
      <c r="F612" s="20"/>
      <c r="G612" s="20"/>
      <c r="H612" s="20"/>
      <c r="I612" s="21"/>
      <c r="J612" s="15"/>
      <c r="K612" s="21"/>
      <c r="L612" s="10"/>
      <c r="M612" s="19"/>
      <c r="N612" s="17"/>
      <c r="Q612" s="20"/>
    </row>
    <row r="613" spans="1:17" s="1" customFormat="1" ht="14.25" customHeight="1" x14ac:dyDescent="0.25">
      <c r="A613" s="15"/>
      <c r="B613" s="15"/>
      <c r="C613" s="15"/>
      <c r="D613" s="20"/>
      <c r="E613" s="20"/>
      <c r="F613" s="20"/>
      <c r="G613" s="20"/>
      <c r="H613" s="20"/>
      <c r="I613" s="21"/>
      <c r="J613" s="15"/>
      <c r="K613" s="21"/>
      <c r="L613" s="10"/>
      <c r="M613" s="19"/>
      <c r="N613" s="17"/>
      <c r="Q613" s="20"/>
    </row>
    <row r="614" spans="1:17" s="1" customFormat="1" ht="14.25" customHeight="1" x14ac:dyDescent="0.25">
      <c r="A614" s="15"/>
      <c r="B614" s="15"/>
      <c r="C614" s="15"/>
      <c r="D614" s="20"/>
      <c r="E614" s="20"/>
      <c r="F614" s="20"/>
      <c r="G614" s="20"/>
      <c r="H614" s="20"/>
      <c r="I614" s="21"/>
      <c r="J614" s="15"/>
      <c r="K614" s="21"/>
      <c r="L614" s="10"/>
      <c r="M614" s="19"/>
      <c r="N614" s="17"/>
      <c r="Q614" s="20"/>
    </row>
    <row r="615" spans="1:17" s="1" customFormat="1" ht="14.25" customHeight="1" x14ac:dyDescent="0.25">
      <c r="A615" s="15"/>
      <c r="B615" s="15"/>
      <c r="C615" s="15"/>
      <c r="D615" s="20"/>
      <c r="E615" s="20"/>
      <c r="F615" s="20"/>
      <c r="G615" s="20"/>
      <c r="H615" s="20"/>
      <c r="I615" s="21"/>
      <c r="J615" s="15"/>
      <c r="K615" s="21"/>
      <c r="L615" s="10"/>
      <c r="M615" s="19"/>
      <c r="N615" s="17"/>
      <c r="Q615" s="20"/>
    </row>
    <row r="616" spans="1:17" s="1" customFormat="1" ht="14.25" customHeight="1" x14ac:dyDescent="0.25">
      <c r="A616" s="15"/>
      <c r="B616" s="15"/>
      <c r="C616" s="15"/>
      <c r="D616" s="20"/>
      <c r="E616" s="20"/>
      <c r="F616" s="20"/>
      <c r="G616" s="20"/>
      <c r="H616" s="20"/>
      <c r="I616" s="21"/>
      <c r="J616" s="15"/>
      <c r="K616" s="21"/>
      <c r="L616" s="10"/>
      <c r="M616" s="19"/>
      <c r="N616" s="17"/>
      <c r="Q616" s="20"/>
    </row>
    <row r="617" spans="1:17" s="1" customFormat="1" ht="14.25" customHeight="1" x14ac:dyDescent="0.25">
      <c r="A617" s="15"/>
      <c r="B617" s="15"/>
      <c r="C617" s="15"/>
      <c r="D617" s="20"/>
      <c r="E617" s="20"/>
      <c r="F617" s="20"/>
      <c r="G617" s="20"/>
      <c r="H617" s="20"/>
      <c r="I617" s="21"/>
      <c r="J617" s="15"/>
      <c r="K617" s="21"/>
      <c r="L617" s="10"/>
      <c r="M617" s="19"/>
      <c r="N617" s="17"/>
      <c r="Q617" s="20"/>
    </row>
    <row r="618" spans="1:17" s="1" customFormat="1" ht="14.25" customHeight="1" x14ac:dyDescent="0.25">
      <c r="A618" s="15"/>
      <c r="B618" s="15"/>
      <c r="C618" s="15"/>
      <c r="D618" s="20"/>
      <c r="E618" s="20"/>
      <c r="F618" s="20"/>
      <c r="G618" s="20"/>
      <c r="H618" s="20"/>
      <c r="I618" s="21"/>
      <c r="J618" s="15"/>
      <c r="K618" s="21"/>
      <c r="L618" s="10"/>
      <c r="M618" s="19"/>
      <c r="N618" s="17"/>
      <c r="Q618" s="20"/>
    </row>
    <row r="619" spans="1:17" s="1" customFormat="1" ht="14.25" customHeight="1" x14ac:dyDescent="0.25">
      <c r="A619" s="15"/>
      <c r="B619" s="15"/>
      <c r="C619" s="15"/>
      <c r="D619" s="20"/>
      <c r="E619" s="20"/>
      <c r="F619" s="20"/>
      <c r="G619" s="20"/>
      <c r="H619" s="20"/>
      <c r="I619" s="21"/>
      <c r="J619" s="15"/>
      <c r="K619" s="21"/>
      <c r="L619" s="10"/>
      <c r="M619" s="19"/>
      <c r="N619" s="17"/>
      <c r="Q619" s="20"/>
    </row>
    <row r="620" spans="1:17" s="1" customFormat="1" ht="14.25" customHeight="1" x14ac:dyDescent="0.25">
      <c r="A620" s="15"/>
      <c r="B620" s="15"/>
      <c r="C620" s="15"/>
      <c r="D620" s="20"/>
      <c r="E620" s="20"/>
      <c r="F620" s="20"/>
      <c r="G620" s="20"/>
      <c r="H620" s="20"/>
      <c r="I620" s="21"/>
      <c r="J620" s="15"/>
      <c r="K620" s="21"/>
      <c r="L620" s="10"/>
      <c r="M620" s="19"/>
      <c r="N620" s="17"/>
      <c r="Q620" s="20"/>
    </row>
    <row r="621" spans="1:17" s="1" customFormat="1" ht="14.25" customHeight="1" x14ac:dyDescent="0.25">
      <c r="A621" s="15"/>
      <c r="B621" s="15"/>
      <c r="C621" s="15"/>
      <c r="D621" s="20"/>
      <c r="E621" s="20"/>
      <c r="F621" s="20"/>
      <c r="G621" s="20"/>
      <c r="H621" s="20"/>
      <c r="I621" s="21"/>
      <c r="J621" s="15"/>
      <c r="K621" s="21"/>
      <c r="L621" s="10"/>
      <c r="M621" s="19"/>
      <c r="N621" s="17"/>
      <c r="Q621" s="20"/>
    </row>
    <row r="622" spans="1:17" s="1" customFormat="1" ht="14.25" customHeight="1" x14ac:dyDescent="0.25">
      <c r="A622" s="15"/>
      <c r="B622" s="15"/>
      <c r="C622" s="15"/>
      <c r="D622" s="20"/>
      <c r="E622" s="20"/>
      <c r="F622" s="20"/>
      <c r="G622" s="20"/>
      <c r="H622" s="20"/>
      <c r="I622" s="21"/>
      <c r="J622" s="15"/>
      <c r="K622" s="21"/>
      <c r="L622" s="10"/>
      <c r="M622" s="19"/>
      <c r="N622" s="17"/>
      <c r="Q622" s="20"/>
    </row>
    <row r="623" spans="1:17" s="1" customFormat="1" ht="14.25" customHeight="1" x14ac:dyDescent="0.25">
      <c r="A623" s="15"/>
      <c r="B623" s="15"/>
      <c r="C623" s="15"/>
      <c r="D623" s="20"/>
      <c r="E623" s="20"/>
      <c r="F623" s="20"/>
      <c r="G623" s="20"/>
      <c r="H623" s="20"/>
      <c r="I623" s="21"/>
      <c r="J623" s="15"/>
      <c r="K623" s="21"/>
      <c r="L623" s="10"/>
      <c r="M623" s="19"/>
      <c r="N623" s="17"/>
      <c r="Q623" s="20"/>
    </row>
    <row r="624" spans="1:17" s="1" customFormat="1" ht="14.25" customHeight="1" x14ac:dyDescent="0.25">
      <c r="A624" s="15"/>
      <c r="B624" s="15"/>
      <c r="C624" s="15"/>
      <c r="D624" s="20"/>
      <c r="E624" s="20"/>
      <c r="F624" s="20"/>
      <c r="G624" s="20"/>
      <c r="H624" s="20"/>
      <c r="I624" s="21"/>
      <c r="J624" s="15"/>
      <c r="K624" s="21"/>
      <c r="L624" s="10"/>
      <c r="M624" s="19"/>
      <c r="N624" s="17"/>
      <c r="Q624" s="20"/>
    </row>
    <row r="625" spans="1:17" s="1" customFormat="1" ht="14.25" customHeight="1" x14ac:dyDescent="0.25">
      <c r="A625" s="15"/>
      <c r="B625" s="15"/>
      <c r="C625" s="15"/>
      <c r="D625" s="20"/>
      <c r="E625" s="20"/>
      <c r="F625" s="20"/>
      <c r="G625" s="20"/>
      <c r="H625" s="20"/>
      <c r="I625" s="21"/>
      <c r="J625" s="15"/>
      <c r="K625" s="21"/>
      <c r="L625" s="10"/>
      <c r="M625" s="19"/>
      <c r="N625" s="17"/>
      <c r="Q625" s="20"/>
    </row>
    <row r="626" spans="1:17" s="1" customFormat="1" ht="14.25" customHeight="1" x14ac:dyDescent="0.25">
      <c r="A626" s="15"/>
      <c r="B626" s="15"/>
      <c r="C626" s="15"/>
      <c r="D626" s="20"/>
      <c r="E626" s="20"/>
      <c r="F626" s="20"/>
      <c r="G626" s="20"/>
      <c r="H626" s="20"/>
      <c r="I626" s="21"/>
      <c r="J626" s="15"/>
      <c r="K626" s="21"/>
      <c r="L626" s="10"/>
      <c r="M626" s="19"/>
      <c r="N626" s="17"/>
      <c r="Q626" s="20"/>
    </row>
    <row r="627" spans="1:17" s="1" customFormat="1" ht="14.25" customHeight="1" x14ac:dyDescent="0.25">
      <c r="A627" s="15"/>
      <c r="B627" s="15"/>
      <c r="C627" s="15"/>
      <c r="D627" s="20"/>
      <c r="E627" s="20"/>
      <c r="F627" s="20"/>
      <c r="G627" s="20"/>
      <c r="H627" s="20"/>
      <c r="I627" s="21"/>
      <c r="J627" s="15"/>
      <c r="K627" s="21"/>
      <c r="L627" s="10"/>
      <c r="M627" s="19"/>
      <c r="N627" s="17"/>
      <c r="Q627" s="20"/>
    </row>
    <row r="628" spans="1:17" s="1" customFormat="1" ht="14.25" customHeight="1" x14ac:dyDescent="0.25">
      <c r="A628" s="15"/>
      <c r="B628" s="15"/>
      <c r="C628" s="15"/>
      <c r="D628" s="20"/>
      <c r="E628" s="20"/>
      <c r="F628" s="20"/>
      <c r="G628" s="20"/>
      <c r="H628" s="20"/>
      <c r="I628" s="21"/>
      <c r="J628" s="15"/>
      <c r="K628" s="21"/>
      <c r="L628" s="10"/>
      <c r="M628" s="19"/>
      <c r="N628" s="17"/>
      <c r="Q628" s="20"/>
    </row>
    <row r="629" spans="1:17" s="1" customFormat="1" ht="14.25" customHeight="1" x14ac:dyDescent="0.25">
      <c r="A629" s="15"/>
      <c r="B629" s="15"/>
      <c r="C629" s="15"/>
      <c r="D629" s="20"/>
      <c r="E629" s="20"/>
      <c r="F629" s="20"/>
      <c r="G629" s="20"/>
      <c r="H629" s="20"/>
      <c r="I629" s="21"/>
      <c r="J629" s="15"/>
      <c r="K629" s="21"/>
      <c r="L629" s="10"/>
      <c r="M629" s="19"/>
      <c r="N629" s="17"/>
      <c r="Q629" s="20"/>
    </row>
    <row r="630" spans="1:17" s="1" customFormat="1" ht="14.25" customHeight="1" x14ac:dyDescent="0.25">
      <c r="A630" s="15"/>
      <c r="B630" s="15"/>
      <c r="C630" s="15"/>
      <c r="D630" s="20"/>
      <c r="E630" s="20"/>
      <c r="F630" s="20"/>
      <c r="G630" s="20"/>
      <c r="H630" s="20"/>
      <c r="I630" s="21"/>
      <c r="J630" s="15"/>
      <c r="K630" s="21"/>
      <c r="L630" s="10"/>
      <c r="M630" s="19"/>
      <c r="N630" s="17"/>
      <c r="Q630" s="20"/>
    </row>
    <row r="631" spans="1:17" s="1" customFormat="1" ht="14.25" customHeight="1" x14ac:dyDescent="0.25">
      <c r="A631" s="15"/>
      <c r="B631" s="15"/>
      <c r="C631" s="15"/>
      <c r="D631" s="20"/>
      <c r="E631" s="20"/>
      <c r="F631" s="20"/>
      <c r="G631" s="20"/>
      <c r="H631" s="20"/>
      <c r="I631" s="21"/>
      <c r="J631" s="15"/>
      <c r="K631" s="21"/>
      <c r="L631" s="10"/>
      <c r="M631" s="19"/>
      <c r="N631" s="17"/>
      <c r="Q631" s="20"/>
    </row>
    <row r="632" spans="1:17" s="1" customFormat="1" ht="14.25" customHeight="1" x14ac:dyDescent="0.25">
      <c r="A632" s="15"/>
      <c r="B632" s="15"/>
      <c r="C632" s="15"/>
      <c r="D632" s="20"/>
      <c r="E632" s="20"/>
      <c r="F632" s="20"/>
      <c r="G632" s="20"/>
      <c r="H632" s="20"/>
      <c r="I632" s="21"/>
      <c r="J632" s="15"/>
      <c r="K632" s="21"/>
      <c r="L632" s="10"/>
      <c r="M632" s="19"/>
      <c r="N632" s="17"/>
      <c r="Q632" s="20"/>
    </row>
    <row r="633" spans="1:17" s="1" customFormat="1" ht="14.25" customHeight="1" x14ac:dyDescent="0.25">
      <c r="A633" s="15"/>
      <c r="B633" s="15"/>
      <c r="C633" s="15"/>
      <c r="D633" s="20"/>
      <c r="E633" s="20"/>
      <c r="F633" s="20"/>
      <c r="G633" s="20"/>
      <c r="H633" s="20"/>
      <c r="I633" s="21"/>
      <c r="J633" s="15"/>
      <c r="K633" s="21"/>
      <c r="L633" s="10"/>
      <c r="M633" s="19"/>
      <c r="N633" s="17"/>
      <c r="Q633" s="20"/>
    </row>
    <row r="634" spans="1:17" s="1" customFormat="1" ht="14.25" customHeight="1" x14ac:dyDescent="0.25">
      <c r="A634" s="15"/>
      <c r="B634" s="15"/>
      <c r="C634" s="15"/>
      <c r="D634" s="20"/>
      <c r="E634" s="20"/>
      <c r="F634" s="20"/>
      <c r="G634" s="20"/>
      <c r="H634" s="20"/>
      <c r="I634" s="21"/>
      <c r="J634" s="15"/>
      <c r="K634" s="21"/>
      <c r="L634" s="10"/>
      <c r="M634" s="19"/>
      <c r="N634" s="17"/>
      <c r="Q634" s="20"/>
    </row>
    <row r="635" spans="1:17" s="1" customFormat="1" ht="14.25" customHeight="1" x14ac:dyDescent="0.25">
      <c r="A635" s="15"/>
      <c r="B635" s="15"/>
      <c r="C635" s="15"/>
      <c r="D635" s="20"/>
      <c r="E635" s="20"/>
      <c r="F635" s="20"/>
      <c r="G635" s="20"/>
      <c r="H635" s="20"/>
      <c r="I635" s="21"/>
      <c r="J635" s="15"/>
      <c r="K635" s="21"/>
      <c r="L635" s="10"/>
      <c r="M635" s="19"/>
      <c r="N635" s="17"/>
      <c r="Q635" s="20"/>
    </row>
    <row r="636" spans="1:17" s="1" customFormat="1" ht="14.25" customHeight="1" x14ac:dyDescent="0.25">
      <c r="A636" s="15"/>
      <c r="B636" s="15"/>
      <c r="C636" s="15"/>
      <c r="D636" s="20"/>
      <c r="E636" s="20"/>
      <c r="F636" s="20"/>
      <c r="G636" s="20"/>
      <c r="H636" s="20"/>
      <c r="I636" s="21"/>
      <c r="J636" s="15"/>
      <c r="K636" s="21"/>
      <c r="L636" s="10"/>
      <c r="M636" s="19"/>
      <c r="N636" s="17"/>
      <c r="Q636" s="20"/>
    </row>
    <row r="637" spans="1:17" s="1" customFormat="1" ht="14.25" customHeight="1" x14ac:dyDescent="0.25">
      <c r="A637" s="15"/>
      <c r="B637" s="15"/>
      <c r="C637" s="15"/>
      <c r="D637" s="20"/>
      <c r="E637" s="20"/>
      <c r="F637" s="20"/>
      <c r="G637" s="20"/>
      <c r="H637" s="20"/>
      <c r="I637" s="21"/>
      <c r="J637" s="15"/>
      <c r="K637" s="21"/>
      <c r="L637" s="10"/>
      <c r="M637" s="19"/>
      <c r="N637" s="17"/>
      <c r="Q637" s="20"/>
    </row>
    <row r="638" spans="1:17" s="1" customFormat="1" ht="14.25" customHeight="1" x14ac:dyDescent="0.25">
      <c r="A638" s="15"/>
      <c r="B638" s="15"/>
      <c r="C638" s="15"/>
      <c r="D638" s="20"/>
      <c r="E638" s="20"/>
      <c r="F638" s="20"/>
      <c r="G638" s="20"/>
      <c r="H638" s="20"/>
      <c r="I638" s="21"/>
      <c r="J638" s="15"/>
      <c r="K638" s="21"/>
      <c r="L638" s="10"/>
      <c r="M638" s="19"/>
      <c r="N638" s="17"/>
      <c r="Q638" s="20"/>
    </row>
    <row r="639" spans="1:17" s="1" customFormat="1" ht="14.25" customHeight="1" x14ac:dyDescent="0.25">
      <c r="A639" s="15"/>
      <c r="B639" s="15"/>
      <c r="C639" s="15"/>
      <c r="D639" s="20"/>
      <c r="E639" s="20"/>
      <c r="F639" s="20"/>
      <c r="G639" s="20"/>
      <c r="H639" s="20"/>
      <c r="I639" s="21"/>
      <c r="J639" s="15"/>
      <c r="K639" s="21"/>
      <c r="L639" s="10"/>
      <c r="M639" s="19"/>
      <c r="N639" s="17"/>
      <c r="Q639" s="20"/>
    </row>
    <row r="640" spans="1:17" s="1" customFormat="1" ht="14.25" customHeight="1" x14ac:dyDescent="0.25">
      <c r="A640" s="15"/>
      <c r="B640" s="15"/>
      <c r="C640" s="15"/>
      <c r="D640" s="20"/>
      <c r="E640" s="20"/>
      <c r="F640" s="20"/>
      <c r="G640" s="20"/>
      <c r="H640" s="20"/>
      <c r="I640" s="21"/>
      <c r="J640" s="15"/>
      <c r="K640" s="21"/>
      <c r="L640" s="10"/>
      <c r="M640" s="19"/>
      <c r="N640" s="17"/>
      <c r="Q640" s="20"/>
    </row>
    <row r="641" spans="1:17" s="1" customFormat="1" ht="14.25" customHeight="1" x14ac:dyDescent="0.25">
      <c r="A641" s="15"/>
      <c r="B641" s="15"/>
      <c r="C641" s="15"/>
      <c r="D641" s="20"/>
      <c r="E641" s="20"/>
      <c r="F641" s="20"/>
      <c r="G641" s="20"/>
      <c r="H641" s="20"/>
      <c r="I641" s="21"/>
      <c r="J641" s="15"/>
      <c r="K641" s="21"/>
      <c r="L641" s="10"/>
      <c r="M641" s="19"/>
      <c r="N641" s="17"/>
      <c r="Q641" s="20"/>
    </row>
    <row r="642" spans="1:17" s="1" customFormat="1" ht="14.25" customHeight="1" x14ac:dyDescent="0.25">
      <c r="A642" s="15"/>
      <c r="B642" s="15"/>
      <c r="C642" s="15"/>
      <c r="D642" s="20"/>
      <c r="E642" s="20"/>
      <c r="F642" s="20"/>
      <c r="G642" s="20"/>
      <c r="H642" s="20"/>
      <c r="I642" s="21"/>
      <c r="J642" s="15"/>
      <c r="K642" s="21"/>
      <c r="L642" s="10"/>
      <c r="M642" s="19"/>
      <c r="N642" s="17"/>
      <c r="Q642" s="20"/>
    </row>
    <row r="643" spans="1:17" s="1" customFormat="1" ht="14.25" customHeight="1" x14ac:dyDescent="0.25">
      <c r="A643" s="15"/>
      <c r="B643" s="15"/>
      <c r="C643" s="15"/>
      <c r="D643" s="20"/>
      <c r="E643" s="20"/>
      <c r="F643" s="20"/>
      <c r="G643" s="20"/>
      <c r="H643" s="20"/>
      <c r="I643" s="21"/>
      <c r="J643" s="15"/>
      <c r="K643" s="21"/>
      <c r="L643" s="10"/>
      <c r="M643" s="19"/>
      <c r="N643" s="17"/>
      <c r="Q643" s="20"/>
    </row>
    <row r="644" spans="1:17" s="1" customFormat="1" ht="14.25" customHeight="1" x14ac:dyDescent="0.25">
      <c r="A644" s="15"/>
      <c r="B644" s="15"/>
      <c r="C644" s="15"/>
      <c r="D644" s="20"/>
      <c r="E644" s="20"/>
      <c r="F644" s="20"/>
      <c r="G644" s="20"/>
      <c r="H644" s="20"/>
      <c r="I644" s="21"/>
      <c r="J644" s="15"/>
      <c r="K644" s="21"/>
      <c r="L644" s="10"/>
      <c r="M644" s="19"/>
      <c r="N644" s="17"/>
      <c r="Q644" s="20"/>
    </row>
    <row r="645" spans="1:17" s="1" customFormat="1" ht="14.25" customHeight="1" x14ac:dyDescent="0.25">
      <c r="A645" s="15"/>
      <c r="B645" s="15"/>
      <c r="C645" s="15"/>
      <c r="D645" s="20"/>
      <c r="E645" s="20"/>
      <c r="F645" s="20"/>
      <c r="G645" s="20"/>
      <c r="H645" s="20"/>
      <c r="I645" s="21"/>
      <c r="J645" s="15"/>
      <c r="K645" s="21"/>
      <c r="L645" s="10"/>
      <c r="M645" s="19"/>
      <c r="N645" s="17"/>
      <c r="Q645" s="20"/>
    </row>
    <row r="646" spans="1:17" s="1" customFormat="1" ht="14.25" customHeight="1" x14ac:dyDescent="0.25">
      <c r="A646" s="15"/>
      <c r="B646" s="15"/>
      <c r="C646" s="15"/>
      <c r="D646" s="20"/>
      <c r="E646" s="20"/>
      <c r="F646" s="20"/>
      <c r="G646" s="20"/>
      <c r="H646" s="20"/>
      <c r="I646" s="21"/>
      <c r="J646" s="15"/>
      <c r="K646" s="21"/>
      <c r="L646" s="10"/>
      <c r="M646" s="19"/>
      <c r="N646" s="17"/>
      <c r="Q646" s="20"/>
    </row>
    <row r="647" spans="1:17" s="1" customFormat="1" ht="14.25" customHeight="1" x14ac:dyDescent="0.25">
      <c r="A647" s="15"/>
      <c r="B647" s="15"/>
      <c r="C647" s="15"/>
      <c r="D647" s="20"/>
      <c r="E647" s="20"/>
      <c r="F647" s="20"/>
      <c r="G647" s="20"/>
      <c r="H647" s="20"/>
      <c r="I647" s="21"/>
      <c r="J647" s="15"/>
      <c r="K647" s="21"/>
      <c r="L647" s="10"/>
      <c r="M647" s="19"/>
      <c r="N647" s="17"/>
      <c r="Q647" s="20"/>
    </row>
    <row r="648" spans="1:17" s="1" customFormat="1" ht="14.25" customHeight="1" x14ac:dyDescent="0.25">
      <c r="A648" s="15"/>
      <c r="B648" s="15"/>
      <c r="C648" s="15"/>
      <c r="D648" s="20"/>
      <c r="E648" s="20"/>
      <c r="F648" s="20"/>
      <c r="G648" s="20"/>
      <c r="H648" s="20"/>
      <c r="I648" s="21"/>
      <c r="J648" s="15"/>
      <c r="K648" s="21"/>
      <c r="L648" s="10"/>
      <c r="M648" s="19"/>
      <c r="N648" s="17"/>
      <c r="Q648" s="20"/>
    </row>
    <row r="649" spans="1:17" s="1" customFormat="1" ht="14.25" customHeight="1" x14ac:dyDescent="0.25">
      <c r="A649" s="15"/>
      <c r="B649" s="15"/>
      <c r="C649" s="15"/>
      <c r="D649" s="20"/>
      <c r="E649" s="20"/>
      <c r="F649" s="20"/>
      <c r="G649" s="20"/>
      <c r="H649" s="20"/>
      <c r="I649" s="21"/>
      <c r="J649" s="15"/>
      <c r="K649" s="21"/>
      <c r="L649" s="10"/>
      <c r="M649" s="19"/>
      <c r="N649" s="17"/>
      <c r="Q649" s="20"/>
    </row>
    <row r="650" spans="1:17" s="1" customFormat="1" ht="14.25" customHeight="1" x14ac:dyDescent="0.25">
      <c r="A650" s="15"/>
      <c r="B650" s="15"/>
      <c r="C650" s="15"/>
      <c r="D650" s="20"/>
      <c r="E650" s="20"/>
      <c r="F650" s="20"/>
      <c r="G650" s="20"/>
      <c r="H650" s="20"/>
      <c r="I650" s="21"/>
      <c r="J650" s="15"/>
      <c r="K650" s="21"/>
      <c r="L650" s="10"/>
      <c r="M650" s="19"/>
      <c r="N650" s="17"/>
      <c r="Q650" s="20"/>
    </row>
    <row r="651" spans="1:17" s="1" customFormat="1" ht="14.25" customHeight="1" x14ac:dyDescent="0.25">
      <c r="A651" s="15"/>
      <c r="B651" s="15"/>
      <c r="C651" s="15"/>
      <c r="D651" s="20"/>
      <c r="E651" s="20"/>
      <c r="F651" s="20"/>
      <c r="G651" s="20"/>
      <c r="H651" s="20"/>
      <c r="I651" s="21"/>
      <c r="J651" s="15"/>
      <c r="K651" s="21"/>
      <c r="L651" s="10"/>
      <c r="M651" s="19"/>
      <c r="N651" s="17"/>
      <c r="Q651" s="20"/>
    </row>
    <row r="652" spans="1:17" s="1" customFormat="1" ht="14.25" customHeight="1" x14ac:dyDescent="0.25">
      <c r="A652" s="15"/>
      <c r="B652" s="15"/>
      <c r="C652" s="15"/>
      <c r="D652" s="20"/>
      <c r="E652" s="20"/>
      <c r="F652" s="20"/>
      <c r="G652" s="20"/>
      <c r="H652" s="20"/>
      <c r="I652" s="21"/>
      <c r="J652" s="15"/>
      <c r="K652" s="21"/>
      <c r="L652" s="10"/>
      <c r="M652" s="19"/>
      <c r="N652" s="17"/>
      <c r="Q652" s="20"/>
    </row>
    <row r="653" spans="1:17" s="1" customFormat="1" ht="14.25" customHeight="1" x14ac:dyDescent="0.25">
      <c r="A653" s="15"/>
      <c r="B653" s="15"/>
      <c r="C653" s="15"/>
      <c r="D653" s="20"/>
      <c r="E653" s="20"/>
      <c r="F653" s="20"/>
      <c r="G653" s="20"/>
      <c r="H653" s="20"/>
      <c r="I653" s="21"/>
      <c r="J653" s="15"/>
      <c r="K653" s="21"/>
      <c r="L653" s="10"/>
      <c r="M653" s="19"/>
      <c r="N653" s="17"/>
      <c r="Q653" s="20"/>
    </row>
    <row r="654" spans="1:17" s="1" customFormat="1" ht="14.25" customHeight="1" x14ac:dyDescent="0.25">
      <c r="A654" s="15"/>
      <c r="B654" s="15"/>
      <c r="C654" s="15"/>
      <c r="D654" s="20"/>
      <c r="E654" s="20"/>
      <c r="F654" s="20"/>
      <c r="G654" s="20"/>
      <c r="H654" s="20"/>
      <c r="I654" s="21"/>
      <c r="J654" s="15"/>
      <c r="K654" s="21"/>
      <c r="L654" s="10"/>
      <c r="M654" s="19"/>
      <c r="N654" s="17"/>
      <c r="Q654" s="20"/>
    </row>
    <row r="655" spans="1:17" s="1" customFormat="1" ht="14.25" customHeight="1" x14ac:dyDescent="0.25">
      <c r="A655" s="15"/>
      <c r="B655" s="15"/>
      <c r="C655" s="15"/>
      <c r="D655" s="20"/>
      <c r="E655" s="20"/>
      <c r="F655" s="20"/>
      <c r="G655" s="20"/>
      <c r="H655" s="20"/>
      <c r="I655" s="21"/>
      <c r="J655" s="15"/>
      <c r="K655" s="21"/>
      <c r="L655" s="10"/>
      <c r="M655" s="19"/>
      <c r="N655" s="17"/>
      <c r="Q655" s="20"/>
    </row>
    <row r="656" spans="1:17" s="1" customFormat="1" ht="14.25" customHeight="1" x14ac:dyDescent="0.25">
      <c r="A656" s="15"/>
      <c r="B656" s="15"/>
      <c r="C656" s="15"/>
      <c r="D656" s="20"/>
      <c r="E656" s="20"/>
      <c r="F656" s="20"/>
      <c r="G656" s="20"/>
      <c r="H656" s="20"/>
      <c r="I656" s="21"/>
      <c r="J656" s="15"/>
      <c r="K656" s="21"/>
      <c r="L656" s="10"/>
      <c r="M656" s="19"/>
      <c r="N656" s="17"/>
      <c r="Q656" s="20"/>
    </row>
    <row r="657" spans="1:17" s="1" customFormat="1" ht="14.25" customHeight="1" x14ac:dyDescent="0.25">
      <c r="A657" s="15"/>
      <c r="B657" s="15"/>
      <c r="C657" s="15"/>
      <c r="D657" s="20"/>
      <c r="E657" s="20"/>
      <c r="F657" s="20"/>
      <c r="G657" s="20"/>
      <c r="H657" s="20"/>
      <c r="I657" s="21"/>
      <c r="J657" s="15"/>
      <c r="K657" s="21"/>
      <c r="L657" s="10"/>
      <c r="M657" s="19"/>
      <c r="N657" s="17"/>
      <c r="Q657" s="20"/>
    </row>
    <row r="658" spans="1:17" s="1" customFormat="1" ht="14.25" customHeight="1" x14ac:dyDescent="0.25">
      <c r="A658" s="15"/>
      <c r="B658" s="15"/>
      <c r="C658" s="15"/>
      <c r="D658" s="20"/>
      <c r="E658" s="20"/>
      <c r="F658" s="20"/>
      <c r="G658" s="20"/>
      <c r="H658" s="20"/>
      <c r="I658" s="21"/>
      <c r="J658" s="15"/>
      <c r="K658" s="21"/>
      <c r="L658" s="10"/>
      <c r="M658" s="19"/>
      <c r="N658" s="17"/>
      <c r="Q658" s="20"/>
    </row>
    <row r="659" spans="1:17" s="1" customFormat="1" ht="14.25" customHeight="1" x14ac:dyDescent="0.25">
      <c r="A659" s="15"/>
      <c r="B659" s="15"/>
      <c r="C659" s="15"/>
      <c r="D659" s="20"/>
      <c r="E659" s="20"/>
      <c r="F659" s="20"/>
      <c r="G659" s="20"/>
      <c r="H659" s="20"/>
      <c r="I659" s="21"/>
      <c r="J659" s="15"/>
      <c r="K659" s="21"/>
      <c r="L659" s="10"/>
      <c r="M659" s="19"/>
      <c r="N659" s="17"/>
      <c r="Q659" s="20"/>
    </row>
    <row r="660" spans="1:17" s="1" customFormat="1" ht="14.25" customHeight="1" x14ac:dyDescent="0.25">
      <c r="A660" s="15"/>
      <c r="B660" s="15"/>
      <c r="C660" s="15"/>
      <c r="D660" s="20"/>
      <c r="E660" s="20"/>
      <c r="F660" s="20"/>
      <c r="G660" s="20"/>
      <c r="H660" s="20"/>
      <c r="I660" s="21"/>
      <c r="J660" s="15"/>
      <c r="K660" s="21"/>
      <c r="L660" s="10"/>
      <c r="M660" s="19"/>
      <c r="N660" s="17"/>
      <c r="Q660" s="20"/>
    </row>
    <row r="661" spans="1:17" s="1" customFormat="1" ht="14.25" customHeight="1" x14ac:dyDescent="0.25">
      <c r="A661" s="15"/>
      <c r="B661" s="15"/>
      <c r="C661" s="15"/>
      <c r="D661" s="20"/>
      <c r="E661" s="20"/>
      <c r="F661" s="20"/>
      <c r="G661" s="20"/>
      <c r="H661" s="20"/>
      <c r="I661" s="21"/>
      <c r="J661" s="15"/>
      <c r="K661" s="21"/>
      <c r="L661" s="10"/>
      <c r="M661" s="19"/>
      <c r="N661" s="17"/>
      <c r="Q661" s="20"/>
    </row>
    <row r="662" spans="1:17" s="1" customFormat="1" ht="14.25" customHeight="1" x14ac:dyDescent="0.25">
      <c r="A662" s="15"/>
      <c r="B662" s="15"/>
      <c r="C662" s="15"/>
      <c r="D662" s="20"/>
      <c r="E662" s="20"/>
      <c r="F662" s="20"/>
      <c r="G662" s="20"/>
      <c r="H662" s="20"/>
      <c r="I662" s="21"/>
      <c r="J662" s="15"/>
      <c r="K662" s="21"/>
      <c r="L662" s="10"/>
      <c r="M662" s="19"/>
      <c r="N662" s="17"/>
      <c r="Q662" s="20"/>
    </row>
    <row r="663" spans="1:17" s="1" customFormat="1" ht="14.25" customHeight="1" x14ac:dyDescent="0.25">
      <c r="A663" s="15"/>
      <c r="B663" s="15"/>
      <c r="C663" s="15"/>
      <c r="D663" s="20"/>
      <c r="E663" s="20"/>
      <c r="F663" s="20"/>
      <c r="G663" s="20"/>
      <c r="H663" s="20"/>
      <c r="I663" s="21"/>
      <c r="J663" s="15"/>
      <c r="K663" s="21"/>
      <c r="L663" s="10"/>
      <c r="M663" s="19"/>
      <c r="N663" s="17"/>
      <c r="Q663" s="20"/>
    </row>
    <row r="664" spans="1:17" s="1" customFormat="1" ht="14.25" customHeight="1" x14ac:dyDescent="0.25">
      <c r="A664" s="15"/>
      <c r="B664" s="15"/>
      <c r="C664" s="15"/>
      <c r="D664" s="20"/>
      <c r="E664" s="20"/>
      <c r="F664" s="20"/>
      <c r="G664" s="20"/>
      <c r="H664" s="20"/>
      <c r="I664" s="21"/>
      <c r="J664" s="15"/>
      <c r="K664" s="21"/>
      <c r="L664" s="10"/>
      <c r="M664" s="19"/>
      <c r="N664" s="17"/>
      <c r="Q664" s="20"/>
    </row>
    <row r="665" spans="1:17" s="1" customFormat="1" ht="14.25" customHeight="1" x14ac:dyDescent="0.25">
      <c r="A665" s="15"/>
      <c r="B665" s="15"/>
      <c r="C665" s="15"/>
      <c r="D665" s="20"/>
      <c r="E665" s="20"/>
      <c r="F665" s="20"/>
      <c r="G665" s="20"/>
      <c r="H665" s="20"/>
      <c r="I665" s="21"/>
      <c r="J665" s="15"/>
      <c r="K665" s="21"/>
      <c r="L665" s="10"/>
      <c r="M665" s="19"/>
      <c r="N665" s="17"/>
      <c r="Q665" s="20"/>
    </row>
    <row r="666" spans="1:17" s="1" customFormat="1" ht="14.25" customHeight="1" x14ac:dyDescent="0.25">
      <c r="A666" s="15"/>
      <c r="B666" s="15"/>
      <c r="C666" s="15"/>
      <c r="D666" s="20"/>
      <c r="E666" s="20"/>
      <c r="F666" s="20"/>
      <c r="G666" s="20"/>
      <c r="H666" s="20"/>
      <c r="I666" s="21"/>
      <c r="J666" s="15"/>
      <c r="K666" s="21"/>
      <c r="L666" s="10"/>
      <c r="M666" s="19"/>
      <c r="N666" s="17"/>
      <c r="Q666" s="20"/>
    </row>
    <row r="667" spans="1:17" s="1" customFormat="1" ht="14.25" customHeight="1" x14ac:dyDescent="0.25">
      <c r="A667" s="15"/>
      <c r="B667" s="15"/>
      <c r="C667" s="15"/>
      <c r="D667" s="20"/>
      <c r="E667" s="20"/>
      <c r="F667" s="20"/>
      <c r="G667" s="20"/>
      <c r="H667" s="20"/>
      <c r="I667" s="21"/>
      <c r="J667" s="15"/>
      <c r="K667" s="21"/>
      <c r="L667" s="10"/>
      <c r="M667" s="19"/>
      <c r="N667" s="17"/>
      <c r="Q667" s="20"/>
    </row>
    <row r="668" spans="1:17" s="1" customFormat="1" ht="14.25" customHeight="1" x14ac:dyDescent="0.25">
      <c r="A668" s="15"/>
      <c r="B668" s="15"/>
      <c r="C668" s="15"/>
      <c r="D668" s="20"/>
      <c r="E668" s="20"/>
      <c r="F668" s="20"/>
      <c r="G668" s="20"/>
      <c r="H668" s="20"/>
      <c r="I668" s="21"/>
      <c r="J668" s="15"/>
      <c r="K668" s="21"/>
      <c r="L668" s="10"/>
      <c r="M668" s="19"/>
      <c r="N668" s="17"/>
      <c r="Q668" s="20"/>
    </row>
    <row r="669" spans="1:17" s="1" customFormat="1" ht="14.25" customHeight="1" x14ac:dyDescent="0.25">
      <c r="A669" s="15"/>
      <c r="B669" s="15"/>
      <c r="C669" s="15"/>
      <c r="D669" s="20"/>
      <c r="E669" s="20"/>
      <c r="F669" s="20"/>
      <c r="G669" s="20"/>
      <c r="H669" s="20"/>
      <c r="I669" s="21"/>
      <c r="J669" s="15"/>
      <c r="K669" s="21"/>
      <c r="L669" s="10"/>
      <c r="M669" s="19"/>
      <c r="N669" s="17"/>
      <c r="Q669" s="20"/>
    </row>
    <row r="670" spans="1:17" s="1" customFormat="1" ht="14.25" customHeight="1" x14ac:dyDescent="0.25">
      <c r="A670" s="15"/>
      <c r="B670" s="15"/>
      <c r="C670" s="15"/>
      <c r="D670" s="20"/>
      <c r="E670" s="20"/>
      <c r="F670" s="20"/>
      <c r="G670" s="20"/>
      <c r="H670" s="20"/>
      <c r="I670" s="21"/>
      <c r="J670" s="15"/>
      <c r="K670" s="21"/>
      <c r="L670" s="10"/>
      <c r="M670" s="19"/>
      <c r="N670" s="17"/>
      <c r="Q670" s="20"/>
    </row>
    <row r="671" spans="1:17" s="1" customFormat="1" ht="14.25" customHeight="1" x14ac:dyDescent="0.25">
      <c r="A671" s="15"/>
      <c r="B671" s="15"/>
      <c r="C671" s="15"/>
      <c r="D671" s="20"/>
      <c r="E671" s="20"/>
      <c r="F671" s="20"/>
      <c r="G671" s="20"/>
      <c r="H671" s="20"/>
      <c r="I671" s="21"/>
      <c r="J671" s="15"/>
      <c r="K671" s="21"/>
      <c r="L671" s="10"/>
      <c r="M671" s="19"/>
      <c r="N671" s="17"/>
      <c r="Q671" s="20"/>
    </row>
    <row r="672" spans="1:17" s="1" customFormat="1" ht="14.25" customHeight="1" x14ac:dyDescent="0.25">
      <c r="A672" s="15"/>
      <c r="B672" s="15"/>
      <c r="C672" s="15"/>
      <c r="D672" s="20"/>
      <c r="E672" s="20"/>
      <c r="F672" s="20"/>
      <c r="G672" s="20"/>
      <c r="H672" s="20"/>
      <c r="I672" s="21"/>
      <c r="J672" s="15"/>
      <c r="K672" s="21"/>
      <c r="L672" s="10"/>
      <c r="M672" s="19"/>
      <c r="N672" s="17"/>
      <c r="Q672" s="20"/>
    </row>
    <row r="673" spans="1:17" s="1" customFormat="1" ht="14.25" customHeight="1" x14ac:dyDescent="0.25">
      <c r="A673" s="15"/>
      <c r="B673" s="15"/>
      <c r="C673" s="15"/>
      <c r="D673" s="20"/>
      <c r="E673" s="20"/>
      <c r="F673" s="20"/>
      <c r="G673" s="20"/>
      <c r="H673" s="20"/>
      <c r="I673" s="21"/>
      <c r="J673" s="15"/>
      <c r="K673" s="21"/>
      <c r="L673" s="10"/>
      <c r="M673" s="19"/>
      <c r="N673" s="17"/>
      <c r="Q673" s="20"/>
    </row>
    <row r="674" spans="1:17" s="1" customFormat="1" ht="14.25" customHeight="1" x14ac:dyDescent="0.25">
      <c r="A674" s="15"/>
      <c r="B674" s="15"/>
      <c r="C674" s="15"/>
      <c r="D674" s="20"/>
      <c r="E674" s="20"/>
      <c r="F674" s="20"/>
      <c r="G674" s="20"/>
      <c r="H674" s="20"/>
      <c r="I674" s="21"/>
      <c r="J674" s="15"/>
      <c r="K674" s="21"/>
      <c r="L674" s="10"/>
      <c r="M674" s="19"/>
      <c r="N674" s="17"/>
      <c r="Q674" s="20"/>
    </row>
    <row r="675" spans="1:17" s="1" customFormat="1" ht="14.25" customHeight="1" x14ac:dyDescent="0.25">
      <c r="A675" s="15"/>
      <c r="B675" s="15"/>
      <c r="C675" s="15"/>
      <c r="D675" s="20"/>
      <c r="E675" s="20"/>
      <c r="F675" s="20"/>
      <c r="G675" s="20"/>
      <c r="H675" s="20"/>
      <c r="I675" s="21"/>
      <c r="J675" s="15"/>
      <c r="K675" s="21"/>
      <c r="L675" s="10"/>
      <c r="M675" s="19"/>
      <c r="N675" s="17"/>
      <c r="Q675" s="20"/>
    </row>
    <row r="676" spans="1:17" s="1" customFormat="1" ht="14.25" customHeight="1" x14ac:dyDescent="0.25">
      <c r="A676" s="15"/>
      <c r="B676" s="15"/>
      <c r="C676" s="15"/>
      <c r="D676" s="20"/>
      <c r="E676" s="20"/>
      <c r="F676" s="20"/>
      <c r="G676" s="20"/>
      <c r="H676" s="20"/>
      <c r="I676" s="21"/>
      <c r="J676" s="15"/>
      <c r="K676" s="21"/>
      <c r="L676" s="10"/>
      <c r="M676" s="19"/>
      <c r="N676" s="17"/>
      <c r="Q676" s="20"/>
    </row>
    <row r="677" spans="1:17" s="1" customFormat="1" ht="14.25" customHeight="1" x14ac:dyDescent="0.25">
      <c r="A677" s="15"/>
      <c r="B677" s="15"/>
      <c r="C677" s="15"/>
      <c r="D677" s="20"/>
      <c r="E677" s="20"/>
      <c r="F677" s="20"/>
      <c r="G677" s="20"/>
      <c r="H677" s="20"/>
      <c r="I677" s="21"/>
      <c r="J677" s="15"/>
      <c r="K677" s="21"/>
      <c r="L677" s="10"/>
      <c r="M677" s="19"/>
      <c r="N677" s="17"/>
      <c r="Q677" s="20"/>
    </row>
    <row r="678" spans="1:17" s="1" customFormat="1" ht="14.25" customHeight="1" x14ac:dyDescent="0.25">
      <c r="A678" s="15"/>
      <c r="B678" s="15"/>
      <c r="C678" s="15"/>
      <c r="D678" s="20"/>
      <c r="E678" s="20"/>
      <c r="F678" s="20"/>
      <c r="G678" s="20"/>
      <c r="H678" s="20"/>
      <c r="I678" s="21"/>
      <c r="J678" s="15"/>
      <c r="K678" s="21"/>
      <c r="L678" s="10"/>
      <c r="M678" s="19"/>
      <c r="N678" s="17"/>
      <c r="Q678" s="20"/>
    </row>
    <row r="679" spans="1:17" s="1" customFormat="1" ht="14.25" customHeight="1" x14ac:dyDescent="0.25">
      <c r="A679" s="15"/>
      <c r="B679" s="15"/>
      <c r="C679" s="15"/>
      <c r="D679" s="20"/>
      <c r="E679" s="20"/>
      <c r="F679" s="20"/>
      <c r="G679" s="20"/>
      <c r="H679" s="20"/>
      <c r="I679" s="21"/>
      <c r="J679" s="15"/>
      <c r="K679" s="21"/>
      <c r="L679" s="10"/>
      <c r="M679" s="19"/>
      <c r="N679" s="17"/>
      <c r="Q679" s="20"/>
    </row>
    <row r="680" spans="1:17" s="1" customFormat="1" ht="14.25" customHeight="1" x14ac:dyDescent="0.25">
      <c r="A680" s="15"/>
      <c r="B680" s="15"/>
      <c r="C680" s="15"/>
      <c r="D680" s="20"/>
      <c r="E680" s="20"/>
      <c r="F680" s="20"/>
      <c r="G680" s="20"/>
      <c r="H680" s="20"/>
      <c r="I680" s="21"/>
      <c r="J680" s="15"/>
      <c r="K680" s="21"/>
      <c r="L680" s="10"/>
      <c r="M680" s="19"/>
      <c r="N680" s="17"/>
      <c r="Q680" s="20"/>
    </row>
    <row r="681" spans="1:17" s="1" customFormat="1" ht="14.25" customHeight="1" x14ac:dyDescent="0.25">
      <c r="A681" s="15"/>
      <c r="B681" s="15"/>
      <c r="C681" s="15"/>
      <c r="D681" s="20"/>
      <c r="E681" s="20"/>
      <c r="F681" s="20"/>
      <c r="G681" s="20"/>
      <c r="H681" s="20"/>
      <c r="I681" s="21"/>
      <c r="J681" s="15"/>
      <c r="K681" s="21"/>
      <c r="L681" s="10"/>
      <c r="M681" s="19"/>
      <c r="N681" s="17"/>
      <c r="Q681" s="20"/>
    </row>
    <row r="682" spans="1:17" s="1" customFormat="1" ht="14.25" customHeight="1" x14ac:dyDescent="0.25">
      <c r="A682" s="15"/>
      <c r="B682" s="15"/>
      <c r="C682" s="15"/>
      <c r="D682" s="20"/>
      <c r="E682" s="20"/>
      <c r="F682" s="20"/>
      <c r="G682" s="20"/>
      <c r="H682" s="20"/>
      <c r="I682" s="21"/>
      <c r="J682" s="15"/>
      <c r="K682" s="21"/>
      <c r="L682" s="10"/>
      <c r="M682" s="19"/>
      <c r="N682" s="17"/>
      <c r="Q682" s="20"/>
    </row>
    <row r="683" spans="1:17" s="1" customFormat="1" ht="14.25" customHeight="1" x14ac:dyDescent="0.25">
      <c r="A683" s="15"/>
      <c r="B683" s="15"/>
      <c r="C683" s="15"/>
      <c r="D683" s="20"/>
      <c r="E683" s="20"/>
      <c r="F683" s="20"/>
      <c r="G683" s="20"/>
      <c r="H683" s="20"/>
      <c r="I683" s="21"/>
      <c r="J683" s="15"/>
      <c r="K683" s="21"/>
      <c r="L683" s="10"/>
      <c r="M683" s="19"/>
      <c r="N683" s="17"/>
      <c r="Q683" s="20"/>
    </row>
    <row r="684" spans="1:17" s="1" customFormat="1" ht="14.25" customHeight="1" x14ac:dyDescent="0.25">
      <c r="A684" s="15"/>
      <c r="B684" s="15"/>
      <c r="C684" s="15"/>
      <c r="D684" s="20"/>
      <c r="E684" s="20"/>
      <c r="F684" s="20"/>
      <c r="G684" s="20"/>
      <c r="H684" s="20"/>
      <c r="I684" s="21"/>
      <c r="J684" s="15"/>
      <c r="K684" s="21"/>
      <c r="L684" s="10"/>
      <c r="M684" s="19"/>
      <c r="N684" s="17"/>
      <c r="Q684" s="20"/>
    </row>
    <row r="685" spans="1:17" s="1" customFormat="1" ht="14.25" customHeight="1" x14ac:dyDescent="0.25">
      <c r="A685" s="15"/>
      <c r="B685" s="15"/>
      <c r="C685" s="15"/>
      <c r="D685" s="20"/>
      <c r="E685" s="20"/>
      <c r="F685" s="20"/>
      <c r="G685" s="20"/>
      <c r="H685" s="20"/>
      <c r="I685" s="21"/>
      <c r="J685" s="15"/>
      <c r="K685" s="21"/>
      <c r="L685" s="10"/>
      <c r="M685" s="19"/>
      <c r="N685" s="17"/>
      <c r="Q685" s="20"/>
    </row>
    <row r="686" spans="1:17" s="1" customFormat="1" ht="14.25" customHeight="1" x14ac:dyDescent="0.25">
      <c r="A686" s="15"/>
      <c r="B686" s="15"/>
      <c r="C686" s="15"/>
      <c r="D686" s="20"/>
      <c r="E686" s="20"/>
      <c r="F686" s="20"/>
      <c r="G686" s="20"/>
      <c r="H686" s="20"/>
      <c r="I686" s="21"/>
      <c r="J686" s="15"/>
      <c r="K686" s="21"/>
      <c r="L686" s="10"/>
      <c r="M686" s="19"/>
      <c r="N686" s="17"/>
      <c r="Q686" s="20"/>
    </row>
    <row r="687" spans="1:17" s="1" customFormat="1" ht="14.25" customHeight="1" x14ac:dyDescent="0.25">
      <c r="A687" s="15"/>
      <c r="B687" s="15"/>
      <c r="C687" s="15"/>
      <c r="D687" s="20"/>
      <c r="E687" s="20"/>
      <c r="F687" s="20"/>
      <c r="G687" s="20"/>
      <c r="H687" s="20"/>
      <c r="I687" s="21"/>
      <c r="J687" s="15"/>
      <c r="K687" s="21"/>
      <c r="L687" s="10"/>
      <c r="M687" s="19"/>
      <c r="N687" s="17"/>
      <c r="Q687" s="20"/>
    </row>
    <row r="688" spans="1:17" s="1" customFormat="1" ht="14.25" customHeight="1" x14ac:dyDescent="0.25">
      <c r="A688" s="15"/>
      <c r="B688" s="15"/>
      <c r="C688" s="15"/>
      <c r="D688" s="20"/>
      <c r="E688" s="20"/>
      <c r="F688" s="20"/>
      <c r="G688" s="20"/>
      <c r="H688" s="20"/>
      <c r="I688" s="21"/>
      <c r="J688" s="15"/>
      <c r="K688" s="21"/>
      <c r="L688" s="10"/>
      <c r="M688" s="19"/>
      <c r="N688" s="17"/>
      <c r="Q688" s="20"/>
    </row>
    <row r="689" spans="1:17" s="1" customFormat="1" ht="14.25" customHeight="1" x14ac:dyDescent="0.25">
      <c r="A689" s="15"/>
      <c r="B689" s="15"/>
      <c r="C689" s="15"/>
      <c r="D689" s="20"/>
      <c r="E689" s="20"/>
      <c r="F689" s="20"/>
      <c r="G689" s="20"/>
      <c r="H689" s="20"/>
      <c r="I689" s="21"/>
      <c r="J689" s="15"/>
      <c r="K689" s="21"/>
      <c r="L689" s="10"/>
      <c r="M689" s="19"/>
      <c r="N689" s="17"/>
      <c r="Q689" s="20"/>
    </row>
    <row r="690" spans="1:17" s="1" customFormat="1" ht="14.25" customHeight="1" x14ac:dyDescent="0.25">
      <c r="A690" s="15"/>
      <c r="B690" s="15"/>
      <c r="C690" s="15"/>
      <c r="D690" s="20"/>
      <c r="E690" s="20"/>
      <c r="F690" s="20"/>
      <c r="G690" s="20"/>
      <c r="H690" s="20"/>
      <c r="I690" s="21"/>
      <c r="J690" s="15"/>
      <c r="K690" s="21"/>
      <c r="L690" s="10"/>
      <c r="M690" s="19"/>
      <c r="N690" s="17"/>
      <c r="Q690" s="20"/>
    </row>
    <row r="691" spans="1:17" s="1" customFormat="1" ht="14.25" customHeight="1" x14ac:dyDescent="0.25">
      <c r="A691" s="15"/>
      <c r="B691" s="15"/>
      <c r="C691" s="15"/>
      <c r="D691" s="20"/>
      <c r="E691" s="20"/>
      <c r="F691" s="20"/>
      <c r="G691" s="20"/>
      <c r="H691" s="20"/>
      <c r="I691" s="21"/>
      <c r="J691" s="15"/>
      <c r="K691" s="21"/>
      <c r="L691" s="10"/>
      <c r="M691" s="19"/>
      <c r="N691" s="17"/>
      <c r="Q691" s="20"/>
    </row>
    <row r="692" spans="1:17" s="1" customFormat="1" ht="14.25" customHeight="1" x14ac:dyDescent="0.25">
      <c r="A692" s="15"/>
      <c r="B692" s="15"/>
      <c r="C692" s="15"/>
      <c r="D692" s="20"/>
      <c r="E692" s="20"/>
      <c r="F692" s="20"/>
      <c r="G692" s="20"/>
      <c r="H692" s="20"/>
      <c r="I692" s="21"/>
      <c r="J692" s="15"/>
      <c r="K692" s="21"/>
      <c r="L692" s="10"/>
      <c r="M692" s="19"/>
      <c r="N692" s="17"/>
      <c r="Q692" s="20"/>
    </row>
    <row r="693" spans="1:17" s="1" customFormat="1" ht="14.25" customHeight="1" x14ac:dyDescent="0.25">
      <c r="A693" s="15"/>
      <c r="B693" s="15"/>
      <c r="C693" s="15"/>
      <c r="D693" s="20"/>
      <c r="E693" s="20"/>
      <c r="F693" s="20"/>
      <c r="G693" s="20"/>
      <c r="H693" s="20"/>
      <c r="I693" s="21"/>
      <c r="J693" s="15"/>
      <c r="K693" s="21"/>
      <c r="L693" s="10"/>
      <c r="M693" s="19"/>
      <c r="N693" s="17"/>
      <c r="Q693" s="20"/>
    </row>
    <row r="694" spans="1:17" s="1" customFormat="1" ht="14.25" customHeight="1" x14ac:dyDescent="0.25">
      <c r="A694" s="15"/>
      <c r="B694" s="15"/>
      <c r="C694" s="15"/>
      <c r="D694" s="20"/>
      <c r="E694" s="20"/>
      <c r="F694" s="20"/>
      <c r="G694" s="20"/>
      <c r="H694" s="20"/>
      <c r="I694" s="21"/>
      <c r="J694" s="15"/>
      <c r="K694" s="21"/>
      <c r="L694" s="10"/>
      <c r="M694" s="19"/>
      <c r="N694" s="17"/>
      <c r="Q694" s="20"/>
    </row>
    <row r="695" spans="1:17" s="1" customFormat="1" ht="14.25" customHeight="1" x14ac:dyDescent="0.25">
      <c r="A695" s="15"/>
      <c r="B695" s="15"/>
      <c r="C695" s="15"/>
      <c r="D695" s="20"/>
      <c r="E695" s="20"/>
      <c r="F695" s="20"/>
      <c r="G695" s="20"/>
      <c r="H695" s="20"/>
      <c r="I695" s="21"/>
      <c r="J695" s="15"/>
      <c r="K695" s="21"/>
      <c r="L695" s="10"/>
      <c r="M695" s="19"/>
      <c r="N695" s="17"/>
      <c r="Q695" s="20"/>
    </row>
    <row r="696" spans="1:17" s="1" customFormat="1" ht="14.25" customHeight="1" x14ac:dyDescent="0.25">
      <c r="A696" s="15"/>
      <c r="B696" s="15"/>
      <c r="C696" s="15"/>
      <c r="D696" s="20"/>
      <c r="E696" s="20"/>
      <c r="F696" s="20"/>
      <c r="G696" s="20"/>
      <c r="H696" s="20"/>
      <c r="I696" s="21"/>
      <c r="J696" s="15"/>
      <c r="K696" s="21"/>
      <c r="L696" s="10"/>
      <c r="M696" s="19"/>
      <c r="N696" s="17"/>
      <c r="Q696" s="20"/>
    </row>
    <row r="697" spans="1:17" s="1" customFormat="1" ht="14.25" customHeight="1" x14ac:dyDescent="0.25">
      <c r="A697" s="15"/>
      <c r="B697" s="15"/>
      <c r="C697" s="15"/>
      <c r="D697" s="20"/>
      <c r="E697" s="20"/>
      <c r="F697" s="20"/>
      <c r="G697" s="20"/>
      <c r="H697" s="20"/>
      <c r="I697" s="21"/>
      <c r="J697" s="15"/>
      <c r="K697" s="21"/>
      <c r="L697" s="10"/>
      <c r="M697" s="19"/>
      <c r="N697" s="17"/>
      <c r="Q697" s="20"/>
    </row>
    <row r="698" spans="1:17" s="1" customFormat="1" ht="14.25" customHeight="1" x14ac:dyDescent="0.25">
      <c r="A698" s="15"/>
      <c r="B698" s="15"/>
      <c r="C698" s="15"/>
      <c r="D698" s="20"/>
      <c r="E698" s="20"/>
      <c r="F698" s="20"/>
      <c r="G698" s="20"/>
      <c r="H698" s="20"/>
      <c r="I698" s="21"/>
      <c r="J698" s="15"/>
      <c r="K698" s="21"/>
      <c r="L698" s="10"/>
      <c r="M698" s="19"/>
      <c r="N698" s="17"/>
      <c r="Q698" s="20"/>
    </row>
    <row r="699" spans="1:17" s="1" customFormat="1" ht="14.25" customHeight="1" x14ac:dyDescent="0.25">
      <c r="A699" s="15"/>
      <c r="B699" s="15"/>
      <c r="C699" s="15"/>
      <c r="D699" s="20"/>
      <c r="E699" s="20"/>
      <c r="F699" s="20"/>
      <c r="G699" s="20"/>
      <c r="H699" s="20"/>
      <c r="I699" s="21"/>
      <c r="J699" s="15"/>
      <c r="K699" s="21"/>
      <c r="L699" s="10"/>
      <c r="M699" s="19"/>
      <c r="N699" s="17"/>
      <c r="Q699" s="20"/>
    </row>
    <row r="700" spans="1:17" s="1" customFormat="1" ht="14.25" customHeight="1" x14ac:dyDescent="0.25">
      <c r="A700" s="15"/>
      <c r="B700" s="15"/>
      <c r="C700" s="15"/>
      <c r="D700" s="20"/>
      <c r="E700" s="20"/>
      <c r="F700" s="20"/>
      <c r="G700" s="20"/>
      <c r="H700" s="20"/>
      <c r="I700" s="21"/>
      <c r="J700" s="15"/>
      <c r="K700" s="21"/>
      <c r="L700" s="10"/>
      <c r="M700" s="19"/>
      <c r="N700" s="17"/>
      <c r="Q700" s="20"/>
    </row>
    <row r="701" spans="1:17" s="1" customFormat="1" ht="14.25" customHeight="1" x14ac:dyDescent="0.25">
      <c r="A701" s="15"/>
      <c r="B701" s="15"/>
      <c r="C701" s="15"/>
      <c r="D701" s="20"/>
      <c r="E701" s="20"/>
      <c r="F701" s="20"/>
      <c r="G701" s="20"/>
      <c r="H701" s="20"/>
      <c r="I701" s="21"/>
      <c r="J701" s="15"/>
      <c r="K701" s="21"/>
      <c r="L701" s="10"/>
      <c r="M701" s="19"/>
      <c r="N701" s="17"/>
      <c r="Q701" s="20"/>
    </row>
    <row r="702" spans="1:17" s="1" customFormat="1" ht="14.25" customHeight="1" x14ac:dyDescent="0.25">
      <c r="A702" s="15"/>
      <c r="B702" s="15"/>
      <c r="C702" s="15"/>
      <c r="D702" s="20"/>
      <c r="E702" s="20"/>
      <c r="F702" s="20"/>
      <c r="G702" s="20"/>
      <c r="H702" s="20"/>
      <c r="I702" s="21"/>
      <c r="J702" s="15"/>
      <c r="K702" s="21"/>
      <c r="L702" s="10"/>
      <c r="M702" s="19"/>
      <c r="N702" s="17"/>
      <c r="Q702" s="20"/>
    </row>
    <row r="703" spans="1:17" s="1" customFormat="1" ht="14.25" customHeight="1" x14ac:dyDescent="0.25">
      <c r="A703" s="15"/>
      <c r="B703" s="15"/>
      <c r="C703" s="15"/>
      <c r="D703" s="20"/>
      <c r="E703" s="20"/>
      <c r="F703" s="20"/>
      <c r="G703" s="20"/>
      <c r="H703" s="20"/>
      <c r="I703" s="21"/>
      <c r="J703" s="15"/>
      <c r="K703" s="21"/>
      <c r="L703" s="10"/>
      <c r="M703" s="19"/>
      <c r="N703" s="17"/>
      <c r="Q703" s="20"/>
    </row>
    <row r="704" spans="1:17" s="1" customFormat="1" ht="14.25" customHeight="1" x14ac:dyDescent="0.25">
      <c r="A704" s="15"/>
      <c r="B704" s="15"/>
      <c r="C704" s="15"/>
      <c r="D704" s="20"/>
      <c r="E704" s="20"/>
      <c r="F704" s="20"/>
      <c r="G704" s="20"/>
      <c r="H704" s="20"/>
      <c r="I704" s="21"/>
      <c r="J704" s="15"/>
      <c r="K704" s="21"/>
      <c r="L704" s="10"/>
      <c r="M704" s="19"/>
      <c r="N704" s="17"/>
      <c r="Q704" s="20"/>
    </row>
    <row r="705" spans="1:17" s="1" customFormat="1" ht="14.25" customHeight="1" x14ac:dyDescent="0.25">
      <c r="A705" s="15"/>
      <c r="B705" s="15"/>
      <c r="C705" s="15"/>
      <c r="D705" s="20"/>
      <c r="E705" s="20"/>
      <c r="F705" s="20"/>
      <c r="G705" s="20"/>
      <c r="H705" s="20"/>
      <c r="I705" s="21"/>
      <c r="J705" s="15"/>
      <c r="K705" s="21"/>
      <c r="L705" s="10"/>
      <c r="M705" s="19"/>
      <c r="N705" s="17"/>
      <c r="Q705" s="20"/>
    </row>
    <row r="706" spans="1:17" s="1" customFormat="1" ht="14.25" customHeight="1" x14ac:dyDescent="0.25">
      <c r="A706" s="15"/>
      <c r="B706" s="15"/>
      <c r="C706" s="15"/>
      <c r="D706" s="20"/>
      <c r="E706" s="20"/>
      <c r="F706" s="20"/>
      <c r="G706" s="20"/>
      <c r="H706" s="20"/>
      <c r="I706" s="21"/>
      <c r="J706" s="15"/>
      <c r="K706" s="21"/>
      <c r="L706" s="10"/>
      <c r="M706" s="19"/>
      <c r="N706" s="17"/>
      <c r="Q706" s="20"/>
    </row>
    <row r="707" spans="1:17" s="1" customFormat="1" ht="14.25" customHeight="1" x14ac:dyDescent="0.25">
      <c r="A707" s="15"/>
      <c r="B707" s="15"/>
      <c r="C707" s="15"/>
      <c r="D707" s="20"/>
      <c r="E707" s="20"/>
      <c r="F707" s="20"/>
      <c r="G707" s="20"/>
      <c r="H707" s="20"/>
      <c r="I707" s="21"/>
      <c r="J707" s="15"/>
      <c r="K707" s="21"/>
      <c r="L707" s="10"/>
      <c r="M707" s="19"/>
      <c r="N707" s="17"/>
      <c r="Q707" s="20"/>
    </row>
    <row r="708" spans="1:17" s="1" customFormat="1" ht="14.25" customHeight="1" x14ac:dyDescent="0.25">
      <c r="A708" s="15"/>
      <c r="B708" s="15"/>
      <c r="C708" s="15"/>
      <c r="D708" s="20"/>
      <c r="E708" s="20"/>
      <c r="F708" s="20"/>
      <c r="G708" s="20"/>
      <c r="H708" s="20"/>
      <c r="I708" s="21"/>
      <c r="J708" s="15"/>
      <c r="K708" s="21"/>
      <c r="L708" s="10"/>
      <c r="M708" s="19"/>
      <c r="N708" s="17"/>
      <c r="Q708" s="20"/>
    </row>
    <row r="709" spans="1:17" s="1" customFormat="1" ht="14.25" customHeight="1" x14ac:dyDescent="0.25">
      <c r="A709" s="15"/>
      <c r="B709" s="15"/>
      <c r="C709" s="15"/>
      <c r="D709" s="20"/>
      <c r="E709" s="20"/>
      <c r="F709" s="20"/>
      <c r="G709" s="20"/>
      <c r="H709" s="20"/>
      <c r="I709" s="21"/>
      <c r="J709" s="15"/>
      <c r="K709" s="21"/>
      <c r="L709" s="10"/>
      <c r="M709" s="19"/>
      <c r="N709" s="17"/>
      <c r="Q709" s="20"/>
    </row>
    <row r="710" spans="1:17" s="1" customFormat="1" ht="14.25" customHeight="1" x14ac:dyDescent="0.25">
      <c r="A710" s="15"/>
      <c r="B710" s="15"/>
      <c r="C710" s="15"/>
      <c r="D710" s="20"/>
      <c r="E710" s="20"/>
      <c r="F710" s="20"/>
      <c r="G710" s="20"/>
      <c r="H710" s="20"/>
      <c r="I710" s="21"/>
      <c r="J710" s="15"/>
      <c r="K710" s="21"/>
      <c r="L710" s="10"/>
      <c r="M710" s="19"/>
      <c r="N710" s="17"/>
      <c r="Q710" s="20"/>
    </row>
    <row r="711" spans="1:17" s="1" customFormat="1" ht="14.25" customHeight="1" x14ac:dyDescent="0.25">
      <c r="A711" s="15"/>
      <c r="B711" s="15"/>
      <c r="C711" s="15"/>
      <c r="D711" s="20"/>
      <c r="E711" s="20"/>
      <c r="F711" s="20"/>
      <c r="G711" s="20"/>
      <c r="H711" s="20"/>
      <c r="I711" s="21"/>
      <c r="J711" s="15"/>
      <c r="K711" s="21"/>
      <c r="L711" s="10"/>
      <c r="M711" s="19"/>
      <c r="N711" s="17"/>
      <c r="Q711" s="20"/>
    </row>
    <row r="712" spans="1:17" s="1" customFormat="1" ht="14.25" customHeight="1" x14ac:dyDescent="0.25">
      <c r="A712" s="15"/>
      <c r="B712" s="15"/>
      <c r="C712" s="15"/>
      <c r="D712" s="20"/>
      <c r="E712" s="20"/>
      <c r="F712" s="20"/>
      <c r="G712" s="20"/>
      <c r="H712" s="20"/>
      <c r="I712" s="21"/>
      <c r="J712" s="15"/>
      <c r="K712" s="21"/>
      <c r="L712" s="10"/>
      <c r="M712" s="19"/>
      <c r="N712" s="17"/>
      <c r="Q712" s="20"/>
    </row>
    <row r="713" spans="1:17" s="1" customFormat="1" ht="14.25" customHeight="1" x14ac:dyDescent="0.25">
      <c r="A713" s="15"/>
      <c r="B713" s="15"/>
      <c r="C713" s="15"/>
      <c r="D713" s="20"/>
      <c r="E713" s="20"/>
      <c r="F713" s="20"/>
      <c r="G713" s="20"/>
      <c r="H713" s="20"/>
      <c r="I713" s="21"/>
      <c r="J713" s="15"/>
      <c r="K713" s="21"/>
      <c r="L713" s="10"/>
      <c r="M713" s="19"/>
      <c r="N713" s="17"/>
      <c r="Q713" s="20"/>
    </row>
    <row r="714" spans="1:17" s="1" customFormat="1" ht="14.25" customHeight="1" x14ac:dyDescent="0.25">
      <c r="A714" s="15"/>
      <c r="B714" s="15"/>
      <c r="C714" s="15"/>
      <c r="D714" s="20"/>
      <c r="E714" s="20"/>
      <c r="F714" s="20"/>
      <c r="G714" s="20"/>
      <c r="H714" s="20"/>
      <c r="I714" s="21"/>
      <c r="J714" s="15"/>
      <c r="K714" s="21"/>
      <c r="L714" s="10"/>
      <c r="M714" s="19"/>
      <c r="N714" s="17"/>
      <c r="Q714" s="20"/>
    </row>
    <row r="715" spans="1:17" s="1" customFormat="1" ht="14.25" customHeight="1" x14ac:dyDescent="0.25">
      <c r="A715" s="15"/>
      <c r="B715" s="15"/>
      <c r="C715" s="15"/>
      <c r="D715" s="20"/>
      <c r="E715" s="20"/>
      <c r="F715" s="20"/>
      <c r="G715" s="20"/>
      <c r="H715" s="20"/>
      <c r="I715" s="21"/>
      <c r="J715" s="15"/>
      <c r="K715" s="21"/>
      <c r="L715" s="10"/>
      <c r="M715" s="19"/>
      <c r="N715" s="17"/>
      <c r="Q715" s="20"/>
    </row>
    <row r="716" spans="1:17" s="1" customFormat="1" ht="14.25" customHeight="1" x14ac:dyDescent="0.25">
      <c r="A716" s="15"/>
      <c r="B716" s="15"/>
      <c r="C716" s="15"/>
      <c r="D716" s="20"/>
      <c r="E716" s="20"/>
      <c r="F716" s="20"/>
      <c r="G716" s="20"/>
      <c r="H716" s="20"/>
      <c r="I716" s="21"/>
      <c r="J716" s="15"/>
      <c r="K716" s="21"/>
      <c r="L716" s="10"/>
      <c r="M716" s="19"/>
      <c r="N716" s="17"/>
      <c r="Q716" s="20"/>
    </row>
    <row r="717" spans="1:17" s="1" customFormat="1" ht="14.25" customHeight="1" x14ac:dyDescent="0.25">
      <c r="A717" s="15"/>
      <c r="B717" s="15"/>
      <c r="C717" s="15"/>
      <c r="D717" s="20"/>
      <c r="E717" s="20"/>
      <c r="F717" s="20"/>
      <c r="G717" s="20"/>
      <c r="H717" s="20"/>
      <c r="I717" s="21"/>
      <c r="J717" s="15"/>
      <c r="K717" s="21"/>
      <c r="L717" s="10"/>
      <c r="M717" s="19"/>
      <c r="N717" s="17"/>
      <c r="Q717" s="20"/>
    </row>
    <row r="718" spans="1:17" s="1" customFormat="1" ht="14.25" customHeight="1" x14ac:dyDescent="0.25">
      <c r="A718" s="15"/>
      <c r="B718" s="15"/>
      <c r="C718" s="15"/>
      <c r="D718" s="20"/>
      <c r="E718" s="20"/>
      <c r="F718" s="20"/>
      <c r="G718" s="20"/>
      <c r="H718" s="20"/>
      <c r="I718" s="21"/>
      <c r="J718" s="15"/>
      <c r="K718" s="21"/>
      <c r="L718" s="10"/>
      <c r="M718" s="19"/>
      <c r="N718" s="17"/>
      <c r="Q718" s="20"/>
    </row>
    <row r="719" spans="1:17" s="1" customFormat="1" ht="14.25" customHeight="1" x14ac:dyDescent="0.25">
      <c r="A719" s="15"/>
      <c r="B719" s="15"/>
      <c r="C719" s="15"/>
      <c r="D719" s="20"/>
      <c r="E719" s="20"/>
      <c r="F719" s="20"/>
      <c r="G719" s="20"/>
      <c r="H719" s="20"/>
      <c r="I719" s="21"/>
      <c r="J719" s="15"/>
      <c r="K719" s="21"/>
      <c r="L719" s="10"/>
      <c r="M719" s="19"/>
      <c r="N719" s="17"/>
      <c r="Q719" s="20"/>
    </row>
    <row r="720" spans="1:17" s="1" customFormat="1" ht="14.25" customHeight="1" x14ac:dyDescent="0.25">
      <c r="A720" s="15"/>
      <c r="B720" s="15"/>
      <c r="C720" s="15"/>
      <c r="D720" s="20"/>
      <c r="E720" s="20"/>
      <c r="F720" s="20"/>
      <c r="G720" s="20"/>
      <c r="H720" s="20"/>
      <c r="I720" s="21"/>
      <c r="J720" s="15"/>
      <c r="K720" s="21"/>
      <c r="L720" s="10"/>
      <c r="M720" s="19"/>
      <c r="N720" s="17"/>
      <c r="Q720" s="20"/>
    </row>
    <row r="721" spans="1:17" s="1" customFormat="1" ht="14.25" customHeight="1" x14ac:dyDescent="0.25">
      <c r="A721" s="15"/>
      <c r="B721" s="15"/>
      <c r="C721" s="15"/>
      <c r="D721" s="20"/>
      <c r="E721" s="20"/>
      <c r="F721" s="20"/>
      <c r="G721" s="20"/>
      <c r="H721" s="20"/>
      <c r="I721" s="21"/>
      <c r="J721" s="15"/>
      <c r="K721" s="21"/>
      <c r="L721" s="10"/>
      <c r="M721" s="19"/>
      <c r="N721" s="17"/>
      <c r="Q721" s="20"/>
    </row>
    <row r="722" spans="1:17" s="1" customFormat="1" ht="14.25" customHeight="1" x14ac:dyDescent="0.25">
      <c r="A722" s="15"/>
      <c r="B722" s="15"/>
      <c r="C722" s="15"/>
      <c r="D722" s="20"/>
      <c r="E722" s="20"/>
      <c r="F722" s="20"/>
      <c r="G722" s="20"/>
      <c r="H722" s="20"/>
      <c r="I722" s="21"/>
      <c r="J722" s="15"/>
      <c r="K722" s="21"/>
      <c r="L722" s="10"/>
      <c r="M722" s="19"/>
      <c r="N722" s="17"/>
      <c r="Q722" s="20"/>
    </row>
    <row r="723" spans="1:17" s="1" customFormat="1" ht="14.25" customHeight="1" x14ac:dyDescent="0.25">
      <c r="A723" s="15"/>
      <c r="B723" s="15"/>
      <c r="C723" s="15"/>
      <c r="D723" s="20"/>
      <c r="E723" s="20"/>
      <c r="F723" s="20"/>
      <c r="G723" s="20"/>
      <c r="H723" s="20"/>
      <c r="I723" s="21"/>
      <c r="J723" s="15"/>
      <c r="K723" s="21"/>
      <c r="L723" s="10"/>
      <c r="M723" s="19"/>
      <c r="N723" s="17"/>
      <c r="Q723" s="20"/>
    </row>
    <row r="724" spans="1:17" s="1" customFormat="1" ht="14.25" customHeight="1" x14ac:dyDescent="0.25">
      <c r="A724" s="15"/>
      <c r="B724" s="15"/>
      <c r="C724" s="15"/>
      <c r="D724" s="20"/>
      <c r="E724" s="20"/>
      <c r="F724" s="20"/>
      <c r="G724" s="20"/>
      <c r="H724" s="20"/>
      <c r="I724" s="21"/>
      <c r="J724" s="15"/>
      <c r="K724" s="21"/>
      <c r="L724" s="10"/>
      <c r="M724" s="19"/>
      <c r="N724" s="17"/>
      <c r="Q724" s="20"/>
    </row>
    <row r="725" spans="1:17" s="1" customFormat="1" ht="14.25" customHeight="1" x14ac:dyDescent="0.25">
      <c r="A725" s="15"/>
      <c r="B725" s="15"/>
      <c r="C725" s="15"/>
      <c r="D725" s="20"/>
      <c r="E725" s="20"/>
      <c r="F725" s="20"/>
      <c r="G725" s="20"/>
      <c r="H725" s="20"/>
      <c r="I725" s="21"/>
      <c r="J725" s="15"/>
      <c r="K725" s="21"/>
      <c r="L725" s="10"/>
      <c r="M725" s="19"/>
      <c r="N725" s="17"/>
      <c r="Q725" s="20"/>
    </row>
    <row r="726" spans="1:17" s="1" customFormat="1" ht="14.25" customHeight="1" x14ac:dyDescent="0.25">
      <c r="A726" s="15"/>
      <c r="B726" s="15"/>
      <c r="C726" s="15"/>
      <c r="D726" s="20"/>
      <c r="E726" s="20"/>
      <c r="F726" s="20"/>
      <c r="G726" s="20"/>
      <c r="H726" s="20"/>
      <c r="I726" s="21"/>
      <c r="J726" s="15"/>
      <c r="K726" s="21"/>
      <c r="L726" s="10"/>
      <c r="M726" s="19"/>
      <c r="N726" s="17"/>
      <c r="Q726" s="20"/>
    </row>
    <row r="727" spans="1:17" s="1" customFormat="1" ht="14.25" customHeight="1" x14ac:dyDescent="0.25">
      <c r="A727" s="15"/>
      <c r="B727" s="15"/>
      <c r="C727" s="15"/>
      <c r="D727" s="20"/>
      <c r="E727" s="20"/>
      <c r="F727" s="20"/>
      <c r="G727" s="20"/>
      <c r="H727" s="20"/>
      <c r="I727" s="21"/>
      <c r="J727" s="15"/>
      <c r="K727" s="21"/>
      <c r="L727" s="10"/>
      <c r="M727" s="19"/>
      <c r="N727" s="17"/>
      <c r="Q727" s="20"/>
    </row>
    <row r="728" spans="1:17" s="1" customFormat="1" ht="14.25" customHeight="1" x14ac:dyDescent="0.25">
      <c r="A728" s="15"/>
      <c r="B728" s="15"/>
      <c r="C728" s="15"/>
      <c r="D728" s="20"/>
      <c r="E728" s="20"/>
      <c r="F728" s="20"/>
      <c r="G728" s="20"/>
      <c r="H728" s="20"/>
      <c r="I728" s="21"/>
      <c r="J728" s="15"/>
      <c r="K728" s="21"/>
      <c r="L728" s="10"/>
      <c r="M728" s="19"/>
      <c r="N728" s="17"/>
      <c r="Q728" s="20"/>
    </row>
    <row r="729" spans="1:17" s="1" customFormat="1" ht="14.25" customHeight="1" x14ac:dyDescent="0.25">
      <c r="A729" s="15"/>
      <c r="B729" s="15"/>
      <c r="C729" s="15"/>
      <c r="D729" s="20"/>
      <c r="E729" s="20"/>
      <c r="F729" s="20"/>
      <c r="G729" s="20"/>
      <c r="H729" s="20"/>
      <c r="I729" s="21"/>
      <c r="J729" s="15"/>
      <c r="K729" s="21"/>
      <c r="L729" s="10"/>
      <c r="M729" s="19"/>
      <c r="N729" s="17"/>
      <c r="Q729" s="20"/>
    </row>
    <row r="730" spans="1:17" s="1" customFormat="1" ht="14.25" customHeight="1" x14ac:dyDescent="0.25">
      <c r="A730" s="15"/>
      <c r="B730" s="15"/>
      <c r="C730" s="15"/>
      <c r="D730" s="20"/>
      <c r="E730" s="20"/>
      <c r="F730" s="20"/>
      <c r="G730" s="20"/>
      <c r="H730" s="20"/>
      <c r="I730" s="21"/>
      <c r="J730" s="15"/>
      <c r="K730" s="21"/>
      <c r="L730" s="10"/>
      <c r="M730" s="19"/>
      <c r="N730" s="17"/>
      <c r="Q730" s="20"/>
    </row>
    <row r="731" spans="1:17" s="1" customFormat="1" ht="14.25" customHeight="1" x14ac:dyDescent="0.25">
      <c r="A731" s="15"/>
      <c r="B731" s="15"/>
      <c r="C731" s="15"/>
      <c r="D731" s="20"/>
      <c r="E731" s="20"/>
      <c r="F731" s="20"/>
      <c r="G731" s="20"/>
      <c r="H731" s="20"/>
      <c r="I731" s="21"/>
      <c r="J731" s="15"/>
      <c r="K731" s="21"/>
      <c r="L731" s="10"/>
      <c r="M731" s="19"/>
      <c r="N731" s="17"/>
      <c r="Q731" s="20"/>
    </row>
    <row r="732" spans="1:17" s="1" customFormat="1" ht="14.25" customHeight="1" x14ac:dyDescent="0.25">
      <c r="A732" s="15"/>
      <c r="B732" s="15"/>
      <c r="C732" s="15"/>
      <c r="D732" s="20"/>
      <c r="E732" s="20"/>
      <c r="F732" s="20"/>
      <c r="G732" s="20"/>
      <c r="H732" s="20"/>
      <c r="I732" s="21"/>
      <c r="J732" s="15"/>
      <c r="K732" s="21"/>
      <c r="L732" s="10"/>
      <c r="M732" s="19"/>
      <c r="N732" s="17"/>
      <c r="Q732" s="20"/>
    </row>
    <row r="733" spans="1:17" s="1" customFormat="1" ht="14.25" customHeight="1" x14ac:dyDescent="0.25">
      <c r="A733" s="15"/>
      <c r="B733" s="15"/>
      <c r="C733" s="15"/>
      <c r="D733" s="20"/>
      <c r="E733" s="20"/>
      <c r="F733" s="20"/>
      <c r="G733" s="20"/>
      <c r="H733" s="20"/>
      <c r="I733" s="21"/>
      <c r="J733" s="15"/>
      <c r="K733" s="21"/>
      <c r="L733" s="10"/>
      <c r="M733" s="19"/>
      <c r="N733" s="17"/>
      <c r="Q733" s="20"/>
    </row>
    <row r="734" spans="1:17" s="1" customFormat="1" ht="14.25" customHeight="1" x14ac:dyDescent="0.25">
      <c r="A734" s="15"/>
      <c r="B734" s="15"/>
      <c r="C734" s="15"/>
      <c r="D734" s="20"/>
      <c r="E734" s="20"/>
      <c r="F734" s="20"/>
      <c r="G734" s="20"/>
      <c r="H734" s="20"/>
      <c r="I734" s="21"/>
      <c r="J734" s="15"/>
      <c r="K734" s="21"/>
      <c r="L734" s="10"/>
      <c r="M734" s="19"/>
      <c r="N734" s="17"/>
      <c r="Q734" s="20"/>
    </row>
    <row r="735" spans="1:17" s="1" customFormat="1" ht="14.25" customHeight="1" x14ac:dyDescent="0.25">
      <c r="A735" s="15"/>
      <c r="B735" s="15"/>
      <c r="C735" s="15"/>
      <c r="D735" s="20"/>
      <c r="E735" s="20"/>
      <c r="F735" s="20"/>
      <c r="G735" s="20"/>
      <c r="H735" s="20"/>
      <c r="I735" s="21"/>
      <c r="J735" s="15"/>
      <c r="K735" s="21"/>
      <c r="L735" s="10"/>
      <c r="M735" s="19"/>
      <c r="N735" s="17"/>
      <c r="Q735" s="20"/>
    </row>
    <row r="736" spans="1:17" s="1" customFormat="1" ht="14.25" customHeight="1" x14ac:dyDescent="0.25">
      <c r="A736" s="15"/>
      <c r="B736" s="15"/>
      <c r="C736" s="15"/>
      <c r="D736" s="20"/>
      <c r="E736" s="20"/>
      <c r="F736" s="20"/>
      <c r="G736" s="20"/>
      <c r="H736" s="20"/>
      <c r="I736" s="21"/>
      <c r="J736" s="15"/>
      <c r="K736" s="21"/>
      <c r="L736" s="10"/>
      <c r="M736" s="19"/>
      <c r="N736" s="17"/>
      <c r="Q736" s="20"/>
    </row>
    <row r="737" spans="1:17" s="1" customFormat="1" ht="14.25" customHeight="1" x14ac:dyDescent="0.25">
      <c r="A737" s="15"/>
      <c r="B737" s="15"/>
      <c r="C737" s="15"/>
      <c r="D737" s="20"/>
      <c r="E737" s="20"/>
      <c r="F737" s="20"/>
      <c r="G737" s="20"/>
      <c r="H737" s="20"/>
      <c r="I737" s="21"/>
      <c r="J737" s="15"/>
      <c r="K737" s="21"/>
      <c r="L737" s="10"/>
      <c r="M737" s="19"/>
      <c r="N737" s="17"/>
      <c r="Q737" s="20"/>
    </row>
    <row r="738" spans="1:17" s="1" customFormat="1" ht="14.25" customHeight="1" x14ac:dyDescent="0.25">
      <c r="A738" s="15"/>
      <c r="B738" s="15"/>
      <c r="C738" s="15"/>
      <c r="D738" s="20"/>
      <c r="E738" s="20"/>
      <c r="F738" s="20"/>
      <c r="G738" s="20"/>
      <c r="H738" s="20"/>
      <c r="I738" s="21"/>
      <c r="J738" s="15"/>
      <c r="K738" s="21"/>
      <c r="L738" s="10"/>
      <c r="M738" s="19"/>
      <c r="N738" s="17"/>
      <c r="Q738" s="20"/>
    </row>
    <row r="739" spans="1:17" s="1" customFormat="1" ht="14.25" customHeight="1" x14ac:dyDescent="0.25">
      <c r="A739" s="15"/>
      <c r="B739" s="15"/>
      <c r="C739" s="15"/>
      <c r="D739" s="20"/>
      <c r="E739" s="20"/>
      <c r="F739" s="20"/>
      <c r="G739" s="20"/>
      <c r="H739" s="20"/>
      <c r="I739" s="21"/>
      <c r="J739" s="15"/>
      <c r="K739" s="21"/>
      <c r="L739" s="10"/>
      <c r="M739" s="19"/>
      <c r="N739" s="17"/>
      <c r="Q739" s="20"/>
    </row>
    <row r="740" spans="1:17" s="1" customFormat="1" ht="14.25" customHeight="1" x14ac:dyDescent="0.25">
      <c r="A740" s="15"/>
      <c r="B740" s="15"/>
      <c r="C740" s="15"/>
      <c r="D740" s="20"/>
      <c r="E740" s="20"/>
      <c r="F740" s="20"/>
      <c r="G740" s="20"/>
      <c r="H740" s="20"/>
      <c r="I740" s="21"/>
      <c r="J740" s="15"/>
      <c r="K740" s="21"/>
      <c r="L740" s="10"/>
      <c r="M740" s="19"/>
      <c r="N740" s="17"/>
      <c r="Q740" s="20"/>
    </row>
    <row r="741" spans="1:17" s="1" customFormat="1" ht="14.25" customHeight="1" x14ac:dyDescent="0.25">
      <c r="A741" s="15"/>
      <c r="B741" s="15"/>
      <c r="C741" s="15"/>
      <c r="D741" s="20"/>
      <c r="E741" s="20"/>
      <c r="F741" s="20"/>
      <c r="G741" s="20"/>
      <c r="H741" s="20"/>
      <c r="I741" s="21"/>
      <c r="J741" s="15"/>
      <c r="K741" s="21"/>
      <c r="L741" s="10"/>
      <c r="M741" s="19"/>
      <c r="N741" s="17"/>
      <c r="Q741" s="20"/>
    </row>
    <row r="742" spans="1:17" s="1" customFormat="1" ht="14.25" customHeight="1" x14ac:dyDescent="0.25">
      <c r="A742" s="15"/>
      <c r="B742" s="15"/>
      <c r="C742" s="15"/>
      <c r="D742" s="20"/>
      <c r="E742" s="20"/>
      <c r="F742" s="20"/>
      <c r="G742" s="20"/>
      <c r="H742" s="20"/>
      <c r="I742" s="21"/>
      <c r="J742" s="15"/>
      <c r="K742" s="21"/>
      <c r="L742" s="10"/>
      <c r="M742" s="19"/>
      <c r="N742" s="17"/>
      <c r="Q742" s="20"/>
    </row>
    <row r="743" spans="1:17" s="1" customFormat="1" ht="14.25" customHeight="1" x14ac:dyDescent="0.25">
      <c r="A743" s="15"/>
      <c r="B743" s="15"/>
      <c r="C743" s="15"/>
      <c r="D743" s="20"/>
      <c r="E743" s="20"/>
      <c r="F743" s="20"/>
      <c r="G743" s="20"/>
      <c r="H743" s="20"/>
      <c r="I743" s="21"/>
      <c r="J743" s="15"/>
      <c r="K743" s="21"/>
      <c r="L743" s="10"/>
      <c r="M743" s="19"/>
      <c r="N743" s="17"/>
      <c r="Q743" s="20"/>
    </row>
    <row r="744" spans="1:17" s="1" customFormat="1" ht="14.25" customHeight="1" x14ac:dyDescent="0.25">
      <c r="A744" s="15"/>
      <c r="B744" s="15"/>
      <c r="C744" s="15"/>
      <c r="D744" s="20"/>
      <c r="E744" s="20"/>
      <c r="F744" s="20"/>
      <c r="G744" s="20"/>
      <c r="H744" s="20"/>
      <c r="I744" s="21"/>
      <c r="J744" s="15"/>
      <c r="K744" s="21"/>
      <c r="L744" s="10"/>
      <c r="M744" s="19"/>
      <c r="N744" s="17"/>
      <c r="Q744" s="20"/>
    </row>
    <row r="745" spans="1:17" s="1" customFormat="1" ht="14.25" customHeight="1" x14ac:dyDescent="0.25">
      <c r="A745" s="15"/>
      <c r="B745" s="15"/>
      <c r="C745" s="15"/>
      <c r="D745" s="20"/>
      <c r="E745" s="20"/>
      <c r="F745" s="20"/>
      <c r="G745" s="20"/>
      <c r="H745" s="20"/>
      <c r="I745" s="21"/>
      <c r="J745" s="15"/>
      <c r="K745" s="21"/>
      <c r="L745" s="10"/>
      <c r="M745" s="19"/>
      <c r="N745" s="17"/>
      <c r="Q745" s="20"/>
    </row>
    <row r="746" spans="1:17" s="1" customFormat="1" ht="14.25" customHeight="1" x14ac:dyDescent="0.25">
      <c r="A746" s="15"/>
      <c r="B746" s="15"/>
      <c r="C746" s="15"/>
      <c r="D746" s="20"/>
      <c r="E746" s="20"/>
      <c r="F746" s="20"/>
      <c r="G746" s="20"/>
      <c r="H746" s="20"/>
      <c r="I746" s="21"/>
      <c r="J746" s="15"/>
      <c r="K746" s="21"/>
      <c r="L746" s="10"/>
      <c r="M746" s="19"/>
      <c r="N746" s="17"/>
      <c r="Q746" s="20"/>
    </row>
    <row r="747" spans="1:17" s="1" customFormat="1" ht="14.25" customHeight="1" x14ac:dyDescent="0.25">
      <c r="A747" s="15"/>
      <c r="B747" s="15"/>
      <c r="C747" s="15"/>
      <c r="D747" s="20"/>
      <c r="E747" s="20"/>
      <c r="F747" s="20"/>
      <c r="G747" s="20"/>
      <c r="H747" s="20"/>
      <c r="I747" s="21"/>
      <c r="J747" s="15"/>
      <c r="K747" s="21"/>
      <c r="L747" s="10"/>
      <c r="M747" s="19"/>
      <c r="N747" s="17"/>
      <c r="Q747" s="20"/>
    </row>
    <row r="748" spans="1:17" s="1" customFormat="1" ht="14.25" customHeight="1" x14ac:dyDescent="0.25">
      <c r="A748" s="15"/>
      <c r="B748" s="15"/>
      <c r="C748" s="15"/>
      <c r="D748" s="20"/>
      <c r="E748" s="20"/>
      <c r="F748" s="20"/>
      <c r="G748" s="20"/>
      <c r="H748" s="20"/>
      <c r="I748" s="21"/>
      <c r="J748" s="15"/>
      <c r="K748" s="21"/>
      <c r="L748" s="10"/>
      <c r="M748" s="19"/>
      <c r="N748" s="17"/>
      <c r="Q748" s="20"/>
    </row>
    <row r="749" spans="1:17" s="1" customFormat="1" ht="14.25" customHeight="1" x14ac:dyDescent="0.25">
      <c r="A749" s="15"/>
      <c r="B749" s="15"/>
      <c r="C749" s="15"/>
      <c r="D749" s="20"/>
      <c r="E749" s="20"/>
      <c r="F749" s="20"/>
      <c r="G749" s="20"/>
      <c r="H749" s="20"/>
      <c r="I749" s="21"/>
      <c r="J749" s="15"/>
      <c r="K749" s="21"/>
      <c r="L749" s="10"/>
      <c r="M749" s="19"/>
      <c r="N749" s="17"/>
      <c r="Q749" s="20"/>
    </row>
    <row r="750" spans="1:17" s="1" customFormat="1" ht="14.25" customHeight="1" x14ac:dyDescent="0.25">
      <c r="A750" s="15"/>
      <c r="B750" s="15"/>
      <c r="C750" s="15"/>
      <c r="D750" s="20"/>
      <c r="E750" s="20"/>
      <c r="F750" s="20"/>
      <c r="G750" s="20"/>
      <c r="H750" s="20"/>
      <c r="I750" s="21"/>
      <c r="J750" s="15"/>
      <c r="K750" s="21"/>
      <c r="L750" s="10"/>
      <c r="M750" s="19"/>
      <c r="N750" s="17"/>
      <c r="Q750" s="20"/>
    </row>
    <row r="751" spans="1:17" s="1" customFormat="1" ht="14.25" customHeight="1" x14ac:dyDescent="0.25">
      <c r="A751" s="15"/>
      <c r="B751" s="15"/>
      <c r="C751" s="15"/>
      <c r="D751" s="20"/>
      <c r="E751" s="20"/>
      <c r="F751" s="20"/>
      <c r="G751" s="20"/>
      <c r="H751" s="20"/>
      <c r="I751" s="21"/>
      <c r="J751" s="15"/>
      <c r="K751" s="21"/>
      <c r="L751" s="10"/>
      <c r="M751" s="19"/>
      <c r="N751" s="17"/>
      <c r="Q751" s="20"/>
    </row>
    <row r="752" spans="1:17" s="1" customFormat="1" ht="14.25" customHeight="1" x14ac:dyDescent="0.25">
      <c r="A752" s="15"/>
      <c r="B752" s="15"/>
      <c r="C752" s="15"/>
      <c r="D752" s="20"/>
      <c r="E752" s="20"/>
      <c r="F752" s="20"/>
      <c r="G752" s="20"/>
      <c r="H752" s="20"/>
      <c r="I752" s="21"/>
      <c r="J752" s="15"/>
      <c r="K752" s="21"/>
      <c r="L752" s="10"/>
      <c r="M752" s="19"/>
      <c r="N752" s="17"/>
      <c r="Q752" s="20"/>
    </row>
    <row r="753" spans="1:17" s="1" customFormat="1" ht="14.25" customHeight="1" x14ac:dyDescent="0.25">
      <c r="A753" s="15"/>
      <c r="B753" s="15"/>
      <c r="C753" s="15"/>
      <c r="D753" s="20"/>
      <c r="E753" s="20"/>
      <c r="F753" s="20"/>
      <c r="G753" s="20"/>
      <c r="H753" s="20"/>
      <c r="I753" s="21"/>
      <c r="J753" s="15"/>
      <c r="K753" s="21"/>
      <c r="L753" s="10"/>
      <c r="M753" s="19"/>
      <c r="N753" s="17"/>
      <c r="Q753" s="20"/>
    </row>
    <row r="754" spans="1:17" s="1" customFormat="1" ht="14.25" customHeight="1" x14ac:dyDescent="0.25">
      <c r="A754" s="15"/>
      <c r="B754" s="15"/>
      <c r="C754" s="15"/>
      <c r="D754" s="20"/>
      <c r="E754" s="20"/>
      <c r="F754" s="20"/>
      <c r="G754" s="20"/>
      <c r="H754" s="20"/>
      <c r="I754" s="21"/>
      <c r="J754" s="15"/>
      <c r="K754" s="21"/>
      <c r="L754" s="10"/>
      <c r="M754" s="19"/>
      <c r="N754" s="17"/>
      <c r="Q754" s="20"/>
    </row>
    <row r="755" spans="1:17" s="1" customFormat="1" ht="14.25" customHeight="1" x14ac:dyDescent="0.25">
      <c r="A755" s="15"/>
      <c r="B755" s="15"/>
      <c r="C755" s="15"/>
      <c r="D755" s="20"/>
      <c r="E755" s="20"/>
      <c r="F755" s="20"/>
      <c r="G755" s="20"/>
      <c r="H755" s="20"/>
      <c r="I755" s="21"/>
      <c r="J755" s="15"/>
      <c r="K755" s="21"/>
      <c r="L755" s="10"/>
      <c r="M755" s="19"/>
      <c r="N755" s="17"/>
      <c r="Q755" s="20"/>
    </row>
    <row r="756" spans="1:17" s="1" customFormat="1" ht="14.25" customHeight="1" x14ac:dyDescent="0.25">
      <c r="A756" s="15"/>
      <c r="B756" s="15"/>
      <c r="C756" s="15"/>
      <c r="D756" s="20"/>
      <c r="E756" s="20"/>
      <c r="F756" s="20"/>
      <c r="G756" s="20"/>
      <c r="H756" s="20"/>
      <c r="I756" s="21"/>
      <c r="J756" s="15"/>
      <c r="K756" s="21"/>
      <c r="L756" s="10"/>
      <c r="M756" s="19"/>
      <c r="N756" s="17"/>
      <c r="Q756" s="20"/>
    </row>
    <row r="757" spans="1:17" s="1" customFormat="1" ht="14.25" customHeight="1" x14ac:dyDescent="0.25">
      <c r="A757" s="15"/>
      <c r="B757" s="15"/>
      <c r="C757" s="15"/>
      <c r="D757" s="20"/>
      <c r="E757" s="20"/>
      <c r="F757" s="20"/>
      <c r="G757" s="20"/>
      <c r="H757" s="20"/>
      <c r="I757" s="21"/>
      <c r="J757" s="15"/>
      <c r="K757" s="21"/>
      <c r="L757" s="10"/>
      <c r="M757" s="19"/>
      <c r="N757" s="17"/>
      <c r="Q757" s="20"/>
    </row>
    <row r="758" spans="1:17" s="1" customFormat="1" ht="14.25" customHeight="1" x14ac:dyDescent="0.25">
      <c r="A758" s="15"/>
      <c r="B758" s="15"/>
      <c r="C758" s="15"/>
      <c r="D758" s="20"/>
      <c r="E758" s="20"/>
      <c r="F758" s="20"/>
      <c r="G758" s="20"/>
      <c r="H758" s="20"/>
      <c r="I758" s="21"/>
      <c r="J758" s="15"/>
      <c r="K758" s="21"/>
      <c r="L758" s="10"/>
      <c r="M758" s="19"/>
      <c r="N758" s="17"/>
      <c r="Q758" s="20"/>
    </row>
    <row r="759" spans="1:17" s="1" customFormat="1" ht="14.25" customHeight="1" x14ac:dyDescent="0.25">
      <c r="A759" s="15"/>
      <c r="B759" s="15"/>
      <c r="C759" s="15"/>
      <c r="D759" s="20"/>
      <c r="E759" s="20"/>
      <c r="F759" s="20"/>
      <c r="G759" s="20"/>
      <c r="H759" s="20"/>
      <c r="I759" s="21"/>
      <c r="J759" s="15"/>
      <c r="K759" s="21"/>
      <c r="L759" s="10"/>
      <c r="M759" s="19"/>
      <c r="N759" s="17"/>
      <c r="Q759" s="20"/>
    </row>
    <row r="760" spans="1:17" s="1" customFormat="1" ht="14.25" customHeight="1" x14ac:dyDescent="0.25">
      <c r="A760" s="15"/>
      <c r="B760" s="15"/>
      <c r="C760" s="15"/>
      <c r="D760" s="20"/>
      <c r="E760" s="20"/>
      <c r="F760" s="20"/>
      <c r="G760" s="20"/>
      <c r="H760" s="20"/>
      <c r="I760" s="21"/>
      <c r="J760" s="15"/>
      <c r="K760" s="21"/>
      <c r="L760" s="10"/>
      <c r="M760" s="19"/>
      <c r="N760" s="17"/>
      <c r="Q760" s="20"/>
    </row>
    <row r="761" spans="1:17" s="1" customFormat="1" ht="14.25" customHeight="1" x14ac:dyDescent="0.25">
      <c r="A761" s="15"/>
      <c r="B761" s="15"/>
      <c r="C761" s="15"/>
      <c r="D761" s="20"/>
      <c r="E761" s="20"/>
      <c r="F761" s="20"/>
      <c r="G761" s="20"/>
      <c r="H761" s="20"/>
      <c r="I761" s="21"/>
      <c r="J761" s="15"/>
      <c r="K761" s="21"/>
      <c r="L761" s="10"/>
      <c r="M761" s="19"/>
      <c r="N761" s="17"/>
      <c r="Q761" s="20"/>
    </row>
    <row r="762" spans="1:17" s="1" customFormat="1" ht="14.25" customHeight="1" x14ac:dyDescent="0.25">
      <c r="A762" s="15"/>
      <c r="B762" s="15"/>
      <c r="C762" s="15"/>
      <c r="D762" s="20"/>
      <c r="E762" s="20"/>
      <c r="F762" s="20"/>
      <c r="G762" s="20"/>
      <c r="H762" s="20"/>
      <c r="I762" s="21"/>
      <c r="J762" s="15"/>
      <c r="K762" s="21"/>
      <c r="L762" s="10"/>
      <c r="M762" s="19"/>
      <c r="N762" s="17"/>
      <c r="Q762" s="20"/>
    </row>
    <row r="763" spans="1:17" s="1" customFormat="1" ht="14.25" customHeight="1" x14ac:dyDescent="0.25">
      <c r="A763" s="15"/>
      <c r="B763" s="15"/>
      <c r="C763" s="15"/>
      <c r="D763" s="20"/>
      <c r="E763" s="20"/>
      <c r="F763" s="20"/>
      <c r="G763" s="20"/>
      <c r="H763" s="20"/>
      <c r="I763" s="21"/>
      <c r="J763" s="15"/>
      <c r="K763" s="21"/>
      <c r="L763" s="10"/>
      <c r="M763" s="19"/>
      <c r="N763" s="17"/>
      <c r="Q763" s="20"/>
    </row>
    <row r="764" spans="1:17" s="1" customFormat="1" ht="14.25" customHeight="1" x14ac:dyDescent="0.25">
      <c r="A764" s="15"/>
      <c r="B764" s="15"/>
      <c r="C764" s="15"/>
      <c r="D764" s="20"/>
      <c r="E764" s="20"/>
      <c r="F764" s="20"/>
      <c r="G764" s="20"/>
      <c r="H764" s="20"/>
      <c r="I764" s="21"/>
      <c r="J764" s="15"/>
      <c r="K764" s="21"/>
      <c r="L764" s="10"/>
      <c r="M764" s="19"/>
      <c r="N764" s="17"/>
      <c r="Q764" s="20"/>
    </row>
    <row r="765" spans="1:17" s="1" customFormat="1" ht="14.25" customHeight="1" x14ac:dyDescent="0.25">
      <c r="A765" s="15"/>
      <c r="B765" s="15"/>
      <c r="C765" s="15"/>
      <c r="D765" s="20"/>
      <c r="E765" s="20"/>
      <c r="F765" s="20"/>
      <c r="G765" s="20"/>
      <c r="H765" s="20"/>
      <c r="I765" s="21"/>
      <c r="J765" s="15"/>
      <c r="K765" s="21"/>
      <c r="L765" s="10"/>
      <c r="M765" s="19"/>
      <c r="N765" s="17"/>
      <c r="Q765" s="20"/>
    </row>
    <row r="766" spans="1:17" s="1" customFormat="1" ht="14.25" customHeight="1" x14ac:dyDescent="0.25">
      <c r="A766" s="15"/>
      <c r="B766" s="15"/>
      <c r="C766" s="15"/>
      <c r="D766" s="20"/>
      <c r="E766" s="20"/>
      <c r="F766" s="20"/>
      <c r="G766" s="20"/>
      <c r="H766" s="20"/>
      <c r="I766" s="21"/>
      <c r="J766" s="15"/>
      <c r="K766" s="21"/>
      <c r="L766" s="10"/>
      <c r="M766" s="19"/>
      <c r="N766" s="17"/>
      <c r="Q766" s="20"/>
    </row>
    <row r="767" spans="1:17" s="1" customFormat="1" ht="14.25" customHeight="1" x14ac:dyDescent="0.25">
      <c r="A767" s="15"/>
      <c r="B767" s="15"/>
      <c r="C767" s="15"/>
      <c r="D767" s="20"/>
      <c r="E767" s="20"/>
      <c r="F767" s="20"/>
      <c r="G767" s="20"/>
      <c r="H767" s="20"/>
      <c r="I767" s="21"/>
      <c r="J767" s="15"/>
      <c r="K767" s="21"/>
      <c r="L767" s="10"/>
      <c r="M767" s="19"/>
      <c r="N767" s="17"/>
      <c r="Q767" s="20"/>
    </row>
    <row r="768" spans="1:17" s="1" customFormat="1" ht="14.25" customHeight="1" x14ac:dyDescent="0.25">
      <c r="A768" s="15"/>
      <c r="B768" s="15"/>
      <c r="C768" s="15"/>
      <c r="D768" s="20"/>
      <c r="E768" s="20"/>
      <c r="F768" s="20"/>
      <c r="G768" s="20"/>
      <c r="H768" s="20"/>
      <c r="I768" s="21"/>
      <c r="J768" s="15"/>
      <c r="K768" s="21"/>
      <c r="L768" s="10"/>
      <c r="M768" s="19"/>
      <c r="N768" s="17"/>
      <c r="Q768" s="20"/>
    </row>
    <row r="769" spans="1:17" s="1" customFormat="1" ht="14.25" customHeight="1" x14ac:dyDescent="0.25">
      <c r="A769" s="15"/>
      <c r="B769" s="15"/>
      <c r="C769" s="15"/>
      <c r="D769" s="20"/>
      <c r="E769" s="20"/>
      <c r="F769" s="20"/>
      <c r="G769" s="20"/>
      <c r="H769" s="20"/>
      <c r="I769" s="21"/>
      <c r="J769" s="15"/>
      <c r="K769" s="21"/>
      <c r="L769" s="10"/>
      <c r="M769" s="19"/>
      <c r="N769" s="17"/>
      <c r="Q769" s="20"/>
    </row>
    <row r="770" spans="1:17" s="1" customFormat="1" ht="14.25" customHeight="1" x14ac:dyDescent="0.25">
      <c r="A770" s="15"/>
      <c r="B770" s="15"/>
      <c r="C770" s="15"/>
      <c r="D770" s="20"/>
      <c r="E770" s="20"/>
      <c r="F770" s="20"/>
      <c r="G770" s="20"/>
      <c r="H770" s="20"/>
      <c r="I770" s="21"/>
      <c r="J770" s="15"/>
      <c r="K770" s="21"/>
      <c r="L770" s="10"/>
      <c r="M770" s="19"/>
      <c r="N770" s="17"/>
      <c r="Q770" s="20"/>
    </row>
    <row r="771" spans="1:17" s="1" customFormat="1" ht="14.25" customHeight="1" x14ac:dyDescent="0.25">
      <c r="A771" s="15"/>
      <c r="B771" s="15"/>
      <c r="C771" s="15"/>
      <c r="D771" s="20"/>
      <c r="E771" s="20"/>
      <c r="F771" s="20"/>
      <c r="G771" s="20"/>
      <c r="H771" s="20"/>
      <c r="I771" s="21"/>
      <c r="J771" s="15"/>
      <c r="K771" s="21"/>
      <c r="L771" s="10"/>
      <c r="M771" s="19"/>
      <c r="N771" s="17"/>
      <c r="Q771" s="20"/>
    </row>
    <row r="772" spans="1:17" s="1" customFormat="1" ht="14.25" customHeight="1" x14ac:dyDescent="0.25">
      <c r="A772" s="15"/>
      <c r="B772" s="15"/>
      <c r="C772" s="15"/>
      <c r="D772" s="20"/>
      <c r="E772" s="20"/>
      <c r="F772" s="20"/>
      <c r="G772" s="20"/>
      <c r="H772" s="20"/>
      <c r="I772" s="21"/>
      <c r="J772" s="15"/>
      <c r="K772" s="21"/>
      <c r="L772" s="10"/>
      <c r="M772" s="19"/>
      <c r="N772" s="17"/>
      <c r="Q772" s="20"/>
    </row>
    <row r="773" spans="1:17" s="1" customFormat="1" ht="14.25" customHeight="1" x14ac:dyDescent="0.25">
      <c r="A773" s="15"/>
      <c r="B773" s="15"/>
      <c r="C773" s="15"/>
      <c r="D773" s="20"/>
      <c r="E773" s="20"/>
      <c r="F773" s="20"/>
      <c r="G773" s="20"/>
      <c r="H773" s="20"/>
      <c r="I773" s="21"/>
      <c r="J773" s="15"/>
      <c r="K773" s="21"/>
      <c r="L773" s="10"/>
      <c r="M773" s="19"/>
      <c r="N773" s="17"/>
      <c r="Q773" s="20"/>
    </row>
    <row r="774" spans="1:17" s="1" customFormat="1" ht="14.25" customHeight="1" x14ac:dyDescent="0.25">
      <c r="A774" s="15"/>
      <c r="B774" s="15"/>
      <c r="C774" s="15"/>
      <c r="D774" s="20"/>
      <c r="E774" s="20"/>
      <c r="F774" s="20"/>
      <c r="G774" s="20"/>
      <c r="H774" s="20"/>
      <c r="I774" s="21"/>
      <c r="J774" s="15"/>
      <c r="K774" s="21"/>
      <c r="L774" s="10"/>
      <c r="M774" s="19"/>
      <c r="N774" s="17"/>
      <c r="Q774" s="20"/>
    </row>
    <row r="775" spans="1:17" s="1" customFormat="1" ht="14.25" customHeight="1" x14ac:dyDescent="0.25">
      <c r="A775" s="15"/>
      <c r="B775" s="15"/>
      <c r="C775" s="15"/>
      <c r="D775" s="20"/>
      <c r="E775" s="20"/>
      <c r="F775" s="20"/>
      <c r="G775" s="20"/>
      <c r="H775" s="20"/>
      <c r="I775" s="21"/>
      <c r="J775" s="15"/>
      <c r="K775" s="21"/>
      <c r="L775" s="10"/>
      <c r="M775" s="19"/>
      <c r="N775" s="17"/>
      <c r="Q775" s="20"/>
    </row>
    <row r="776" spans="1:17" s="1" customFormat="1" ht="14.25" customHeight="1" x14ac:dyDescent="0.25">
      <c r="A776" s="15"/>
      <c r="B776" s="15"/>
      <c r="C776" s="15"/>
      <c r="D776" s="20"/>
      <c r="E776" s="20"/>
      <c r="F776" s="20"/>
      <c r="G776" s="20"/>
      <c r="H776" s="20"/>
      <c r="I776" s="21"/>
      <c r="J776" s="15"/>
      <c r="K776" s="21"/>
      <c r="L776" s="10"/>
      <c r="M776" s="19"/>
      <c r="N776" s="17"/>
      <c r="Q776" s="20"/>
    </row>
    <row r="777" spans="1:17" s="1" customFormat="1" ht="14.25" customHeight="1" x14ac:dyDescent="0.25">
      <c r="A777" s="15"/>
      <c r="B777" s="15"/>
      <c r="C777" s="15"/>
      <c r="D777" s="20"/>
      <c r="E777" s="20"/>
      <c r="F777" s="20"/>
      <c r="G777" s="20"/>
      <c r="H777" s="20"/>
      <c r="I777" s="21"/>
      <c r="J777" s="15"/>
      <c r="K777" s="21"/>
      <c r="L777" s="10"/>
      <c r="M777" s="19"/>
      <c r="N777" s="17"/>
      <c r="Q777" s="20"/>
    </row>
    <row r="778" spans="1:17" s="1" customFormat="1" ht="14.25" customHeight="1" x14ac:dyDescent="0.25">
      <c r="A778" s="15"/>
      <c r="B778" s="15"/>
      <c r="C778" s="15"/>
      <c r="D778" s="20"/>
      <c r="E778" s="20"/>
      <c r="F778" s="20"/>
      <c r="G778" s="20"/>
      <c r="H778" s="20"/>
      <c r="I778" s="21"/>
      <c r="J778" s="15"/>
      <c r="K778" s="21"/>
      <c r="L778" s="10"/>
      <c r="M778" s="19"/>
      <c r="N778" s="17"/>
      <c r="Q778" s="20"/>
    </row>
    <row r="779" spans="1:17" s="1" customFormat="1" ht="14.25" customHeight="1" x14ac:dyDescent="0.25">
      <c r="A779" s="15"/>
      <c r="B779" s="15"/>
      <c r="C779" s="15"/>
      <c r="D779" s="20"/>
      <c r="E779" s="20"/>
      <c r="F779" s="20"/>
      <c r="G779" s="20"/>
      <c r="H779" s="20"/>
      <c r="I779" s="21"/>
      <c r="J779" s="15"/>
      <c r="K779" s="21"/>
      <c r="L779" s="10"/>
      <c r="M779" s="19"/>
      <c r="N779" s="17"/>
      <c r="Q779" s="20"/>
    </row>
    <row r="780" spans="1:17" s="1" customFormat="1" ht="14.25" customHeight="1" x14ac:dyDescent="0.25">
      <c r="A780" s="15"/>
      <c r="B780" s="15"/>
      <c r="C780" s="15"/>
      <c r="D780" s="20"/>
      <c r="E780" s="20"/>
      <c r="F780" s="20"/>
      <c r="G780" s="20"/>
      <c r="H780" s="20"/>
      <c r="I780" s="21"/>
      <c r="J780" s="15"/>
      <c r="K780" s="21"/>
      <c r="L780" s="10"/>
      <c r="M780" s="19"/>
      <c r="N780" s="17"/>
      <c r="Q780" s="20"/>
    </row>
    <row r="781" spans="1:17" s="1" customFormat="1" ht="14.25" customHeight="1" x14ac:dyDescent="0.25">
      <c r="A781" s="15"/>
      <c r="B781" s="15"/>
      <c r="C781" s="15"/>
      <c r="D781" s="20"/>
      <c r="E781" s="20"/>
      <c r="F781" s="20"/>
      <c r="G781" s="20"/>
      <c r="H781" s="20"/>
      <c r="I781" s="21"/>
      <c r="J781" s="15"/>
      <c r="K781" s="21"/>
      <c r="L781" s="10"/>
      <c r="M781" s="19"/>
      <c r="N781" s="17"/>
      <c r="Q781" s="20"/>
    </row>
    <row r="782" spans="1:17" s="1" customFormat="1" ht="14.25" customHeight="1" x14ac:dyDescent="0.25">
      <c r="A782" s="15"/>
      <c r="B782" s="15"/>
      <c r="C782" s="15"/>
      <c r="D782" s="20"/>
      <c r="E782" s="20"/>
      <c r="F782" s="20"/>
      <c r="G782" s="20"/>
      <c r="H782" s="20"/>
      <c r="I782" s="21"/>
      <c r="J782" s="15"/>
      <c r="K782" s="21"/>
      <c r="L782" s="10"/>
      <c r="M782" s="19"/>
      <c r="N782" s="17"/>
      <c r="Q782" s="20"/>
    </row>
    <row r="783" spans="1:17" s="1" customFormat="1" ht="14.25" customHeight="1" x14ac:dyDescent="0.25">
      <c r="A783" s="15"/>
      <c r="B783" s="15"/>
      <c r="C783" s="15"/>
      <c r="D783" s="20"/>
      <c r="E783" s="20"/>
      <c r="F783" s="20"/>
      <c r="G783" s="20"/>
      <c r="H783" s="20"/>
      <c r="I783" s="21"/>
      <c r="J783" s="15"/>
      <c r="K783" s="21"/>
      <c r="L783" s="10"/>
      <c r="M783" s="19"/>
      <c r="N783" s="17"/>
      <c r="Q783" s="20"/>
    </row>
    <row r="784" spans="1:17" s="1" customFormat="1" ht="14.25" customHeight="1" x14ac:dyDescent="0.25">
      <c r="A784" s="15"/>
      <c r="B784" s="15"/>
      <c r="C784" s="15"/>
      <c r="D784" s="20"/>
      <c r="E784" s="20"/>
      <c r="F784" s="20"/>
      <c r="G784" s="20"/>
      <c r="H784" s="20"/>
      <c r="I784" s="21"/>
      <c r="J784" s="15"/>
      <c r="K784" s="21"/>
      <c r="L784" s="10"/>
      <c r="M784" s="19"/>
      <c r="N784" s="17"/>
      <c r="Q784" s="20"/>
    </row>
    <row r="785" spans="1:17" s="1" customFormat="1" ht="14.25" customHeight="1" x14ac:dyDescent="0.25">
      <c r="A785" s="15"/>
      <c r="B785" s="15"/>
      <c r="C785" s="15"/>
      <c r="D785" s="20"/>
      <c r="E785" s="20"/>
      <c r="F785" s="20"/>
      <c r="G785" s="20"/>
      <c r="H785" s="20"/>
      <c r="I785" s="21"/>
      <c r="J785" s="15"/>
      <c r="K785" s="21"/>
      <c r="L785" s="10"/>
      <c r="M785" s="19"/>
      <c r="N785" s="17"/>
      <c r="Q785" s="20"/>
    </row>
    <row r="786" spans="1:17" s="1" customFormat="1" ht="14.25" customHeight="1" x14ac:dyDescent="0.25">
      <c r="A786" s="15"/>
      <c r="B786" s="15"/>
      <c r="C786" s="15"/>
      <c r="D786" s="20"/>
      <c r="E786" s="20"/>
      <c r="F786" s="20"/>
      <c r="G786" s="20"/>
      <c r="H786" s="20"/>
      <c r="I786" s="21"/>
      <c r="J786" s="15"/>
      <c r="K786" s="21"/>
      <c r="L786" s="10"/>
      <c r="M786" s="19"/>
      <c r="N786" s="17"/>
      <c r="Q786" s="20"/>
    </row>
    <row r="787" spans="1:17" s="1" customFormat="1" ht="14.25" customHeight="1" x14ac:dyDescent="0.25">
      <c r="A787" s="15"/>
      <c r="B787" s="15"/>
      <c r="C787" s="15"/>
      <c r="D787" s="20"/>
      <c r="E787" s="20"/>
      <c r="F787" s="20"/>
      <c r="G787" s="20"/>
      <c r="H787" s="20"/>
      <c r="I787" s="21"/>
      <c r="J787" s="15"/>
      <c r="K787" s="21"/>
      <c r="L787" s="10"/>
      <c r="M787" s="19"/>
      <c r="N787" s="17"/>
      <c r="Q787" s="20"/>
    </row>
    <row r="788" spans="1:17" s="1" customFormat="1" ht="14.25" customHeight="1" x14ac:dyDescent="0.25">
      <c r="A788" s="15"/>
      <c r="B788" s="15"/>
      <c r="C788" s="15"/>
      <c r="D788" s="20"/>
      <c r="E788" s="20"/>
      <c r="F788" s="20"/>
      <c r="G788" s="20"/>
      <c r="H788" s="20"/>
      <c r="I788" s="21"/>
      <c r="J788" s="15"/>
      <c r="K788" s="21"/>
      <c r="L788" s="10"/>
      <c r="M788" s="19"/>
      <c r="N788" s="17"/>
      <c r="Q788" s="20"/>
    </row>
    <row r="789" spans="1:17" s="1" customFormat="1" ht="14.25" customHeight="1" x14ac:dyDescent="0.25">
      <c r="A789" s="15"/>
      <c r="B789" s="15"/>
      <c r="C789" s="15"/>
      <c r="D789" s="20"/>
      <c r="E789" s="20"/>
      <c r="F789" s="20"/>
      <c r="G789" s="20"/>
      <c r="H789" s="20"/>
      <c r="I789" s="21"/>
      <c r="J789" s="15"/>
      <c r="K789" s="21"/>
      <c r="L789" s="10"/>
      <c r="M789" s="19"/>
      <c r="N789" s="17"/>
      <c r="Q789" s="20"/>
    </row>
    <row r="790" spans="1:17" s="1" customFormat="1" ht="14.25" customHeight="1" x14ac:dyDescent="0.25">
      <c r="A790" s="15"/>
      <c r="B790" s="15"/>
      <c r="C790" s="15"/>
      <c r="D790" s="20"/>
      <c r="E790" s="20"/>
      <c r="F790" s="20"/>
      <c r="G790" s="20"/>
      <c r="H790" s="20"/>
      <c r="I790" s="21"/>
      <c r="J790" s="15"/>
      <c r="K790" s="21"/>
      <c r="L790" s="10"/>
      <c r="M790" s="19"/>
      <c r="N790" s="17"/>
      <c r="Q790" s="20"/>
    </row>
    <row r="791" spans="1:17" s="1" customFormat="1" ht="14.25" customHeight="1" x14ac:dyDescent="0.25">
      <c r="A791" s="15"/>
      <c r="B791" s="15"/>
      <c r="C791" s="15"/>
      <c r="D791" s="20"/>
      <c r="E791" s="20"/>
      <c r="F791" s="20"/>
      <c r="G791" s="20"/>
      <c r="H791" s="20"/>
      <c r="I791" s="21"/>
      <c r="J791" s="15"/>
      <c r="K791" s="21"/>
      <c r="L791" s="10"/>
      <c r="M791" s="19"/>
      <c r="N791" s="17"/>
      <c r="Q791" s="20"/>
    </row>
    <row r="792" spans="1:17" s="1" customFormat="1" ht="14.25" customHeight="1" x14ac:dyDescent="0.25">
      <c r="A792" s="15"/>
      <c r="B792" s="15"/>
      <c r="C792" s="15"/>
      <c r="D792" s="16"/>
      <c r="E792" s="16"/>
      <c r="F792" s="16"/>
      <c r="G792" s="16"/>
      <c r="H792" s="16"/>
      <c r="I792" s="15"/>
      <c r="J792" s="15"/>
      <c r="K792" s="10"/>
      <c r="L792" s="10"/>
      <c r="M792" s="19"/>
      <c r="N792" s="17"/>
      <c r="Q792" s="16"/>
    </row>
    <row r="793" spans="1:17" s="1" customFormat="1" ht="14.25" customHeight="1" x14ac:dyDescent="0.25">
      <c r="A793" s="15"/>
      <c r="B793" s="15"/>
      <c r="C793" s="15"/>
      <c r="D793" s="16"/>
      <c r="E793" s="16"/>
      <c r="F793" s="16"/>
      <c r="G793" s="16"/>
      <c r="H793" s="16"/>
      <c r="I793" s="15"/>
      <c r="J793" s="15"/>
      <c r="K793" s="10"/>
      <c r="L793" s="10"/>
      <c r="M793" s="19"/>
      <c r="N793" s="17"/>
      <c r="Q793" s="16"/>
    </row>
    <row r="794" spans="1:17" s="1" customFormat="1" ht="14.25" customHeight="1" x14ac:dyDescent="0.25">
      <c r="A794" s="15"/>
      <c r="B794" s="15"/>
      <c r="C794" s="15"/>
      <c r="D794" s="16"/>
      <c r="E794" s="16"/>
      <c r="F794" s="16"/>
      <c r="G794" s="16"/>
      <c r="H794" s="16"/>
      <c r="I794" s="15"/>
      <c r="J794" s="15"/>
      <c r="K794" s="10"/>
      <c r="L794" s="10"/>
      <c r="M794" s="19"/>
      <c r="N794" s="17"/>
      <c r="Q794" s="16"/>
    </row>
    <row r="795" spans="1:17" s="1" customFormat="1" ht="14.25" customHeight="1" x14ac:dyDescent="0.25">
      <c r="A795" s="15"/>
      <c r="B795" s="15"/>
      <c r="C795" s="15"/>
      <c r="D795" s="16"/>
      <c r="E795" s="16"/>
      <c r="F795" s="16"/>
      <c r="G795" s="16"/>
      <c r="H795" s="16"/>
      <c r="I795" s="15"/>
      <c r="J795" s="15"/>
      <c r="K795" s="10"/>
      <c r="L795" s="10"/>
      <c r="M795" s="19"/>
      <c r="N795" s="17"/>
      <c r="Q795" s="16"/>
    </row>
    <row r="796" spans="1:17" s="1" customFormat="1" ht="14.25" customHeight="1" x14ac:dyDescent="0.25">
      <c r="A796" s="15"/>
      <c r="B796" s="15"/>
      <c r="C796" s="15"/>
      <c r="D796" s="16"/>
      <c r="E796" s="16"/>
      <c r="F796" s="16"/>
      <c r="G796" s="16"/>
      <c r="H796" s="16"/>
      <c r="I796" s="15"/>
      <c r="J796" s="15"/>
      <c r="K796" s="10"/>
      <c r="L796" s="10"/>
      <c r="M796" s="17"/>
      <c r="N796" s="17"/>
      <c r="Q796" s="16"/>
    </row>
    <row r="797" spans="1:17" s="1" customFormat="1" ht="14.25" customHeight="1" x14ac:dyDescent="0.25">
      <c r="A797" s="15"/>
      <c r="B797" s="15"/>
      <c r="C797" s="15"/>
      <c r="D797" s="16"/>
      <c r="E797" s="16"/>
      <c r="F797" s="16"/>
      <c r="G797" s="16"/>
      <c r="H797" s="16"/>
      <c r="I797" s="15"/>
      <c r="J797" s="15"/>
      <c r="K797" s="10"/>
      <c r="L797" s="10"/>
      <c r="M797" s="17"/>
      <c r="N797" s="17"/>
      <c r="Q797" s="16"/>
    </row>
    <row r="798" spans="1:17" s="1" customFormat="1" ht="14.25" customHeight="1" x14ac:dyDescent="0.25">
      <c r="A798" s="15"/>
      <c r="B798" s="15"/>
      <c r="C798" s="15"/>
      <c r="D798" s="16"/>
      <c r="E798" s="16"/>
      <c r="F798" s="16"/>
      <c r="G798" s="16"/>
      <c r="H798" s="16"/>
      <c r="I798" s="15"/>
      <c r="J798" s="15"/>
      <c r="K798" s="10"/>
      <c r="L798" s="10"/>
      <c r="M798" s="17"/>
      <c r="N798" s="17"/>
      <c r="Q798" s="16"/>
    </row>
    <row r="799" spans="1:17" s="1" customFormat="1" ht="14.25" customHeight="1" x14ac:dyDescent="0.25">
      <c r="A799" s="15"/>
      <c r="B799" s="15"/>
      <c r="C799" s="15"/>
      <c r="D799" s="16"/>
      <c r="E799" s="16"/>
      <c r="F799" s="16"/>
      <c r="G799" s="16"/>
      <c r="H799" s="16"/>
      <c r="I799" s="15"/>
      <c r="J799" s="15"/>
      <c r="K799" s="10"/>
      <c r="L799" s="10"/>
      <c r="M799" s="17"/>
      <c r="N799" s="17"/>
      <c r="Q799" s="16"/>
    </row>
  </sheetData>
  <autoFilter ref="A7:Q500" xr:uid="{AEE30112-88BB-441D-AEFC-A7A733AB1798}">
    <sortState xmlns:xlrd2="http://schemas.microsoft.com/office/spreadsheetml/2017/richdata2" ref="A8:Q500">
      <sortCondition ref="B8:B500"/>
      <sortCondition ref="C8:C500"/>
      <sortCondition ref="D8:D500"/>
      <sortCondition ref="A8:A500"/>
    </sortState>
  </autoFilter>
  <sortState xmlns:xlrd2="http://schemas.microsoft.com/office/spreadsheetml/2017/richdata2" ref="A8:Q500">
    <sortCondition ref="B8:B500"/>
    <sortCondition ref="C8:C500"/>
    <sortCondition ref="D8:D500"/>
    <sortCondition ref="A8:A500"/>
  </sortState>
  <phoneticPr fontId="0" type="noConversion"/>
  <pageMargins left="0.35433070866141736" right="0.35433070866141736" top="0.15748031496062992" bottom="0.19685039370078741" header="0.51181102362204722" footer="0.19685039370078741"/>
  <pageSetup paperSize="9" scale="20" orientation="landscape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2023-07-30T07:09:54Z</cp:lastPrinted>
  <dcterms:created xsi:type="dcterms:W3CDTF">2003-01-08T15:13:21Z</dcterms:created>
  <dcterms:modified xsi:type="dcterms:W3CDTF">2026-08-29T17:25:27Z</dcterms:modified>
</cp:coreProperties>
</file>