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ED8541B-F02F-4471-AE7D-AE577FD1163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golose'!$A$7:$Q$487</definedName>
    <definedName name="_xlnm.Print_Area" localSheetId="0">'Tavole e pause golose'!$D$7:$I$174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47" i="6" l="1"/>
  <c r="AE447" i="6"/>
  <c r="AF447" i="6"/>
  <c r="AG447" i="6"/>
  <c r="AH447" i="6"/>
  <c r="AI447" i="6"/>
  <c r="AD448" i="6"/>
  <c r="AE448" i="6"/>
  <c r="AF448" i="6"/>
  <c r="AG448" i="6"/>
  <c r="AH448" i="6"/>
  <c r="AI448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S447" i="6"/>
  <c r="T447" i="6"/>
  <c r="U447" i="6"/>
  <c r="V447" i="6"/>
  <c r="W447" i="6"/>
  <c r="X447" i="6"/>
  <c r="Y447" i="6"/>
  <c r="Z447" i="6"/>
  <c r="AA447" i="6"/>
  <c r="AB447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S358" i="6"/>
  <c r="T358" i="6"/>
  <c r="AI266" i="6"/>
  <c r="AH266" i="6"/>
  <c r="AG266" i="6"/>
  <c r="AF266" i="6"/>
  <c r="AE266" i="6"/>
  <c r="AD266" i="6"/>
  <c r="S266" i="6"/>
  <c r="AI265" i="6"/>
  <c r="AH265" i="6"/>
  <c r="AG265" i="6"/>
  <c r="AF265" i="6"/>
  <c r="AE265" i="6"/>
  <c r="AD265" i="6"/>
  <c r="S265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S186" i="6"/>
  <c r="AG186" i="6"/>
  <c r="AH186" i="6"/>
  <c r="AI186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479" i="6"/>
  <c r="AH479" i="6"/>
  <c r="AG479" i="6"/>
  <c r="AF479" i="6"/>
  <c r="AE479" i="6"/>
  <c r="AD479" i="6"/>
  <c r="AI478" i="6"/>
  <c r="AH478" i="6"/>
  <c r="AG478" i="6"/>
  <c r="AF478" i="6"/>
  <c r="AE478" i="6"/>
  <c r="AD478" i="6"/>
  <c r="AI261" i="6"/>
  <c r="AH261" i="6"/>
  <c r="AG261" i="6"/>
  <c r="AF261" i="6"/>
  <c r="AE261" i="6"/>
  <c r="AD261" i="6"/>
  <c r="AI260" i="6"/>
  <c r="AH260" i="6"/>
  <c r="AG260" i="6"/>
  <c r="AF260" i="6"/>
  <c r="AE260" i="6"/>
  <c r="AD260" i="6"/>
  <c r="S485" i="6"/>
  <c r="S484" i="6"/>
  <c r="S483" i="6"/>
  <c r="S482" i="6"/>
  <c r="S481" i="6"/>
  <c r="S480" i="6"/>
  <c r="S479" i="6"/>
  <c r="S478" i="6"/>
  <c r="AD190" i="6"/>
  <c r="AE190" i="6"/>
  <c r="AF190" i="6"/>
  <c r="AD191" i="6"/>
  <c r="AE191" i="6"/>
  <c r="AF191" i="6"/>
  <c r="S191" i="6"/>
  <c r="AG191" i="6"/>
  <c r="AH191" i="6"/>
  <c r="AI19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4" i="6"/>
  <c r="AD324" i="6"/>
  <c r="AE324" i="6"/>
  <c r="AF324" i="6"/>
  <c r="AG324" i="6"/>
  <c r="AH324" i="6"/>
  <c r="AI324" i="6"/>
  <c r="AD361" i="6"/>
  <c r="AE361" i="6"/>
  <c r="AF361" i="6"/>
  <c r="AG361" i="6"/>
  <c r="AH361" i="6"/>
  <c r="AI361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S362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AD455" i="6"/>
  <c r="AE455" i="6"/>
  <c r="AD456" i="6"/>
  <c r="AE456" i="6"/>
  <c r="S455" i="6"/>
  <c r="AF455" i="6"/>
  <c r="AG455" i="6"/>
  <c r="AH455" i="6"/>
  <c r="AI455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0" i="6"/>
  <c r="AE470" i="6"/>
  <c r="S470" i="6"/>
  <c r="AF470" i="6"/>
  <c r="AG470" i="6"/>
  <c r="AH470" i="6"/>
  <c r="AI470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G184" i="6"/>
  <c r="AH184" i="6"/>
  <c r="AI184" i="6"/>
  <c r="S185" i="6"/>
  <c r="AG185" i="6"/>
  <c r="AH185" i="6"/>
  <c r="AI185" i="6"/>
  <c r="S187" i="6"/>
  <c r="AG187" i="6"/>
  <c r="AH187" i="6"/>
  <c r="AI187" i="6"/>
  <c r="S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S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AD360" i="6"/>
  <c r="AE360" i="6"/>
  <c r="AF360" i="6"/>
  <c r="AG360" i="6"/>
  <c r="AH360" i="6"/>
  <c r="AI360" i="6"/>
  <c r="S361" i="6"/>
  <c r="S363" i="6"/>
  <c r="S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8" i="6"/>
  <c r="S449" i="6"/>
  <c r="S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2" i="6" s="1"/>
  <c r="T265" i="6" l="1"/>
  <c r="T266" i="6"/>
  <c r="T408" i="6"/>
  <c r="T407" i="6"/>
  <c r="T406" i="6"/>
  <c r="T405" i="6"/>
  <c r="T404" i="6"/>
  <c r="T403" i="6"/>
  <c r="T402" i="6"/>
  <c r="T73" i="6"/>
  <c r="T469" i="6"/>
  <c r="T468" i="6"/>
  <c r="T467" i="6"/>
  <c r="T466" i="6"/>
  <c r="T465" i="6"/>
  <c r="T464" i="6"/>
  <c r="T53" i="6"/>
  <c r="T52" i="6"/>
  <c r="T51" i="6"/>
  <c r="T186" i="6"/>
  <c r="T480" i="6"/>
  <c r="T485" i="6"/>
  <c r="T482" i="6"/>
  <c r="T484" i="6"/>
  <c r="T481" i="6"/>
  <c r="T483" i="6"/>
  <c r="T487" i="6"/>
  <c r="T486" i="6"/>
  <c r="T479" i="6"/>
  <c r="T478" i="6"/>
  <c r="T191" i="6"/>
  <c r="T426" i="6"/>
  <c r="T425" i="6"/>
  <c r="T424" i="6"/>
  <c r="T423" i="6"/>
  <c r="T422" i="6"/>
  <c r="T99" i="6"/>
  <c r="T98" i="6"/>
  <c r="T97" i="6"/>
  <c r="T324" i="6"/>
  <c r="T362" i="6"/>
  <c r="T32" i="6"/>
  <c r="T87" i="6"/>
  <c r="T336" i="6"/>
  <c r="T367" i="6"/>
  <c r="T298" i="6"/>
  <c r="T187" i="6"/>
  <c r="T185" i="6"/>
  <c r="T64" i="6"/>
  <c r="T378" i="6"/>
  <c r="T377" i="6"/>
  <c r="T376" i="6"/>
  <c r="T455" i="6"/>
  <c r="T270" i="6"/>
  <c r="T239" i="6"/>
  <c r="T271" i="6"/>
  <c r="T217" i="6"/>
  <c r="T216" i="6"/>
  <c r="T354" i="6"/>
  <c r="T340" i="6"/>
  <c r="T141" i="6"/>
  <c r="T164" i="6"/>
  <c r="T104" i="6"/>
  <c r="T142" i="6"/>
  <c r="T320" i="6"/>
  <c r="T103" i="6"/>
  <c r="T94" i="6"/>
  <c r="T93" i="6"/>
  <c r="T92" i="6"/>
  <c r="T295" i="6"/>
  <c r="T240" i="6"/>
  <c r="T371" i="6"/>
  <c r="T355" i="6"/>
  <c r="T319" i="6"/>
  <c r="T291" i="6"/>
  <c r="T268" i="6"/>
  <c r="T238" i="6"/>
  <c r="T215" i="6"/>
  <c r="T183" i="6"/>
  <c r="T70" i="6"/>
  <c r="T140" i="6"/>
  <c r="T100" i="6"/>
  <c r="T375" i="6"/>
  <c r="T342" i="6"/>
  <c r="T318" i="6"/>
  <c r="T290" i="6"/>
  <c r="T267" i="6"/>
  <c r="T237" i="6"/>
  <c r="T212" i="6"/>
  <c r="T182" i="6"/>
  <c r="T132" i="6"/>
  <c r="T65" i="6"/>
  <c r="T289" i="6"/>
  <c r="T181" i="6"/>
  <c r="T207" i="6"/>
  <c r="T392" i="6"/>
  <c r="T68" i="6"/>
  <c r="T205" i="6"/>
  <c r="T364" i="6"/>
  <c r="T400" i="6"/>
  <c r="T330" i="6"/>
  <c r="T307" i="6"/>
  <c r="T284" i="6"/>
  <c r="T80" i="6"/>
  <c r="T231" i="6"/>
  <c r="T204" i="6"/>
  <c r="T90" i="6"/>
  <c r="T156" i="6"/>
  <c r="T124" i="6"/>
  <c r="T89" i="6"/>
  <c r="T127" i="6"/>
  <c r="T233" i="6"/>
  <c r="T346" i="6"/>
  <c r="T368" i="6"/>
  <c r="T410" i="6"/>
  <c r="T252" i="6"/>
  <c r="T306" i="6"/>
  <c r="T283" i="6"/>
  <c r="T246" i="6"/>
  <c r="T228" i="6"/>
  <c r="T203" i="6"/>
  <c r="T169" i="6"/>
  <c r="T155" i="6"/>
  <c r="T123" i="6"/>
  <c r="T48" i="6"/>
  <c r="T328" i="6"/>
  <c r="T128" i="6"/>
  <c r="T261" i="6"/>
  <c r="T329" i="6"/>
  <c r="T257" i="6"/>
  <c r="T174" i="6"/>
  <c r="T396" i="6"/>
  <c r="T305" i="6"/>
  <c r="T247" i="6"/>
  <c r="T224" i="6"/>
  <c r="T201" i="6"/>
  <c r="T162" i="6"/>
  <c r="T153" i="6"/>
  <c r="T121" i="6"/>
  <c r="T47" i="6"/>
  <c r="T380" i="6"/>
  <c r="T264" i="6"/>
  <c r="T60" i="6"/>
  <c r="T235" i="6"/>
  <c r="T287" i="6"/>
  <c r="T172" i="6"/>
  <c r="T372" i="6"/>
  <c r="T331" i="6"/>
  <c r="T282" i="6"/>
  <c r="T250" i="6"/>
  <c r="T304" i="6"/>
  <c r="T279" i="6"/>
  <c r="T248" i="6"/>
  <c r="T223" i="6"/>
  <c r="T200" i="6"/>
  <c r="T170" i="6"/>
  <c r="T152" i="6"/>
  <c r="T120" i="6"/>
  <c r="T45" i="6"/>
  <c r="T316" i="6"/>
  <c r="T84" i="6"/>
  <c r="T384" i="6"/>
  <c r="T288" i="6"/>
  <c r="T67" i="6"/>
  <c r="T314" i="6"/>
  <c r="T126" i="6"/>
  <c r="T125" i="6"/>
  <c r="T337" i="6"/>
  <c r="T381" i="6"/>
  <c r="T338" i="6"/>
  <c r="T348" i="6"/>
  <c r="T303" i="6"/>
  <c r="T275" i="6"/>
  <c r="T171" i="6"/>
  <c r="T222" i="6"/>
  <c r="T192" i="6"/>
  <c r="T69" i="6"/>
  <c r="T151" i="6"/>
  <c r="T116" i="6"/>
  <c r="T44" i="6"/>
  <c r="T236" i="6"/>
  <c r="T345" i="6"/>
  <c r="T178" i="6"/>
  <c r="T206" i="6"/>
  <c r="T360" i="6"/>
  <c r="T311" i="6"/>
  <c r="T232" i="6"/>
  <c r="T166" i="6"/>
  <c r="T58" i="6"/>
  <c r="T325" i="6"/>
  <c r="T302" i="6"/>
  <c r="T163" i="6"/>
  <c r="T190" i="6"/>
  <c r="T148" i="6"/>
  <c r="T393" i="6"/>
  <c r="T255" i="6"/>
  <c r="T300" i="6"/>
  <c r="T273" i="6"/>
  <c r="T173" i="6"/>
  <c r="T220" i="6"/>
  <c r="T189" i="6"/>
  <c r="T91" i="6"/>
  <c r="T144" i="6"/>
  <c r="T107" i="6"/>
  <c r="T40" i="6"/>
  <c r="T208" i="6"/>
  <c r="T315" i="6"/>
  <c r="T85" i="6"/>
  <c r="T158" i="6"/>
  <c r="T286" i="6"/>
  <c r="T157" i="6"/>
  <c r="T389" i="6"/>
  <c r="T254" i="6"/>
  <c r="T274" i="6"/>
  <c r="T221" i="6"/>
  <c r="T59" i="6"/>
  <c r="T112" i="6"/>
  <c r="T42" i="6"/>
  <c r="T397" i="6"/>
  <c r="T339" i="6"/>
  <c r="T256" i="6"/>
  <c r="T299" i="6"/>
  <c r="T272" i="6"/>
  <c r="T244" i="6"/>
  <c r="T219" i="6"/>
  <c r="T188" i="6"/>
  <c r="T74" i="6"/>
  <c r="T143" i="6"/>
  <c r="T105" i="6"/>
  <c r="T37" i="6"/>
  <c r="T61" i="6"/>
  <c r="T55" i="6"/>
  <c r="T139" i="6"/>
  <c r="T111" i="6"/>
  <c r="T79" i="6"/>
  <c r="T31" i="6"/>
  <c r="T199" i="6"/>
  <c r="T167" i="6"/>
  <c r="T160" i="6"/>
  <c r="T137" i="6"/>
  <c r="T110" i="6"/>
  <c r="T63" i="6"/>
  <c r="T30" i="6"/>
  <c r="T196" i="6"/>
  <c r="T168" i="6"/>
  <c r="T159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U358" i="6" s="1"/>
  <c r="T434" i="6"/>
  <c r="T373" i="6"/>
  <c r="T470" i="6"/>
  <c r="T385" i="6"/>
  <c r="T388" i="6"/>
  <c r="T251" i="6"/>
  <c r="T347" i="6"/>
  <c r="T317" i="6"/>
  <c r="T301" i="6"/>
  <c r="T285" i="6"/>
  <c r="T269" i="6"/>
  <c r="T249" i="6"/>
  <c r="T234" i="6"/>
  <c r="T218" i="6"/>
  <c r="T202" i="6"/>
  <c r="T184" i="6"/>
  <c r="T83" i="6"/>
  <c r="T57" i="6"/>
  <c r="T154" i="6"/>
  <c r="T138" i="6"/>
  <c r="T122" i="6"/>
  <c r="T106" i="6"/>
  <c r="T95" i="6"/>
  <c r="T43" i="6"/>
  <c r="T28" i="6"/>
  <c r="T12" i="6"/>
  <c r="T476" i="6"/>
  <c r="T401" i="6"/>
  <c r="T341" i="6"/>
  <c r="T332" i="6"/>
  <c r="T313" i="6"/>
  <c r="T297" i="6"/>
  <c r="T281" i="6"/>
  <c r="T263" i="6"/>
  <c r="T165" i="6"/>
  <c r="T230" i="6"/>
  <c r="T214" i="6"/>
  <c r="T198" i="6"/>
  <c r="T180" i="6"/>
  <c r="T96" i="6"/>
  <c r="T150" i="6"/>
  <c r="T134" i="6"/>
  <c r="T118" i="6"/>
  <c r="T102" i="6"/>
  <c r="T56" i="6"/>
  <c r="T39" i="6"/>
  <c r="T24" i="6"/>
  <c r="T10" i="6"/>
  <c r="T471" i="6"/>
  <c r="T411" i="6"/>
  <c r="T326" i="6"/>
  <c r="T253" i="6"/>
  <c r="T312" i="6"/>
  <c r="T296" i="6"/>
  <c r="T280" i="6"/>
  <c r="T262" i="6"/>
  <c r="T245" i="6"/>
  <c r="T229" i="6"/>
  <c r="T213" i="6"/>
  <c r="T197" i="6"/>
  <c r="T179" i="6"/>
  <c r="T86" i="6"/>
  <c r="T81" i="6"/>
  <c r="T149" i="6"/>
  <c r="T133" i="6"/>
  <c r="T117" i="6"/>
  <c r="T101" i="6"/>
  <c r="T72" i="6"/>
  <c r="T38" i="6"/>
  <c r="T23" i="6"/>
  <c r="T352" i="6"/>
  <c r="T391" i="6"/>
  <c r="T439" i="6"/>
  <c r="AD6" i="6"/>
  <c r="F3" i="6" s="1"/>
  <c r="T414" i="6"/>
  <c r="T412" i="6"/>
  <c r="T351" i="6"/>
  <c r="T343" i="6"/>
  <c r="T323" i="6"/>
  <c r="T310" i="6"/>
  <c r="T294" i="6"/>
  <c r="T278" i="6"/>
  <c r="T260" i="6"/>
  <c r="T243" i="6"/>
  <c r="T227" i="6"/>
  <c r="T211" i="6"/>
  <c r="T195" i="6"/>
  <c r="T177" i="6"/>
  <c r="T66" i="6"/>
  <c r="T78" i="6"/>
  <c r="T147" i="6"/>
  <c r="T131" i="6"/>
  <c r="T115" i="6"/>
  <c r="T88" i="6"/>
  <c r="T36" i="6"/>
  <c r="T21" i="6"/>
  <c r="T451" i="6"/>
  <c r="T357" i="6"/>
  <c r="T334" i="6"/>
  <c r="T335" i="6"/>
  <c r="T327" i="6"/>
  <c r="T322" i="6"/>
  <c r="T309" i="6"/>
  <c r="T293" i="6"/>
  <c r="T277" i="6"/>
  <c r="T259" i="6"/>
  <c r="T242" i="6"/>
  <c r="T226" i="6"/>
  <c r="T210" i="6"/>
  <c r="T194" i="6"/>
  <c r="T176" i="6"/>
  <c r="T62" i="6"/>
  <c r="T146" i="6"/>
  <c r="T130" i="6"/>
  <c r="T114" i="6"/>
  <c r="T35" i="6"/>
  <c r="T20" i="6"/>
  <c r="T349" i="6"/>
  <c r="T359" i="6"/>
  <c r="T353" i="6"/>
  <c r="T344" i="6"/>
  <c r="T321" i="6"/>
  <c r="T308" i="6"/>
  <c r="T292" i="6"/>
  <c r="T276" i="6"/>
  <c r="T258" i="6"/>
  <c r="T241" i="6"/>
  <c r="T225" i="6"/>
  <c r="T209" i="6"/>
  <c r="T193" i="6"/>
  <c r="T175" i="6"/>
  <c r="T77" i="6"/>
  <c r="T161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3" i="6"/>
  <c r="T446" i="6"/>
  <c r="T430" i="6"/>
  <c r="T474" i="6"/>
  <c r="T454" i="6"/>
  <c r="T437" i="6"/>
  <c r="T420" i="6"/>
  <c r="T395" i="6"/>
  <c r="T363" i="6"/>
  <c r="T461" i="6"/>
  <c r="T444" i="6"/>
  <c r="T428" i="6"/>
  <c r="T350" i="6"/>
  <c r="T472" i="6"/>
  <c r="T452" i="6"/>
  <c r="T435" i="6"/>
  <c r="T418" i="6"/>
  <c r="T399" i="6"/>
  <c r="T382" i="6"/>
  <c r="T366" i="6"/>
  <c r="T459" i="6"/>
  <c r="T442" i="6"/>
  <c r="T416" i="6"/>
  <c r="T450" i="6"/>
  <c r="T433" i="6"/>
  <c r="T386" i="6"/>
  <c r="T370" i="6"/>
  <c r="T477" i="6"/>
  <c r="T457" i="6"/>
  <c r="T440" i="6"/>
  <c r="T448" i="6"/>
  <c r="T431" i="6"/>
  <c r="T390" i="6"/>
  <c r="T374" i="6"/>
  <c r="T356" i="6"/>
  <c r="T475" i="6"/>
  <c r="T456" i="6"/>
  <c r="T438" i="6"/>
  <c r="T421" i="6"/>
  <c r="T409" i="6"/>
  <c r="T462" i="6"/>
  <c r="T445" i="6"/>
  <c r="T429" i="6"/>
  <c r="T394" i="6"/>
  <c r="T379" i="6"/>
  <c r="T361" i="6"/>
  <c r="T473" i="6"/>
  <c r="T453" i="6"/>
  <c r="T436" i="6"/>
  <c r="T419" i="6"/>
  <c r="T460" i="6"/>
  <c r="T443" i="6"/>
  <c r="T427" i="6"/>
  <c r="T417" i="6"/>
  <c r="T413" i="6"/>
  <c r="T398" i="6"/>
  <c r="T383" i="6"/>
  <c r="T365" i="6"/>
  <c r="T415" i="6"/>
  <c r="T333" i="6"/>
  <c r="T458" i="6"/>
  <c r="T441" i="6"/>
  <c r="T387" i="6"/>
  <c r="T369" i="6"/>
  <c r="T449" i="6"/>
  <c r="U266" i="6" l="1"/>
  <c r="U265" i="6"/>
  <c r="U73" i="6"/>
  <c r="U402" i="6"/>
  <c r="U403" i="6"/>
  <c r="U404" i="6"/>
  <c r="U405" i="6"/>
  <c r="U406" i="6"/>
  <c r="U407" i="6"/>
  <c r="U408" i="6"/>
  <c r="U464" i="6"/>
  <c r="U465" i="6"/>
  <c r="U466" i="6"/>
  <c r="U467" i="6"/>
  <c r="U468" i="6"/>
  <c r="U469" i="6"/>
  <c r="U186" i="6"/>
  <c r="U51" i="6"/>
  <c r="U52" i="6"/>
  <c r="U53" i="6"/>
  <c r="U480" i="6"/>
  <c r="U486" i="6"/>
  <c r="U487" i="6"/>
  <c r="U483" i="6"/>
  <c r="U481" i="6"/>
  <c r="U484" i="6"/>
  <c r="U482" i="6"/>
  <c r="U485" i="6"/>
  <c r="U191" i="6"/>
  <c r="U478" i="6"/>
  <c r="U479" i="6"/>
  <c r="U422" i="6"/>
  <c r="U423" i="6"/>
  <c r="U424" i="6"/>
  <c r="U425" i="6"/>
  <c r="U426" i="6"/>
  <c r="U324" i="6"/>
  <c r="U97" i="6"/>
  <c r="U98" i="6"/>
  <c r="U99" i="6"/>
  <c r="U13" i="6"/>
  <c r="U362" i="6"/>
  <c r="U335" i="6"/>
  <c r="U455" i="6"/>
  <c r="U376" i="6"/>
  <c r="U377" i="6"/>
  <c r="U378" i="6"/>
  <c r="U92" i="6"/>
  <c r="U93" i="6"/>
  <c r="U94" i="6"/>
  <c r="U143" i="6"/>
  <c r="U108" i="6"/>
  <c r="U292" i="6"/>
  <c r="U181" i="6"/>
  <c r="U453" i="6"/>
  <c r="U416" i="6"/>
  <c r="U457" i="6"/>
  <c r="U293" i="6"/>
  <c r="U220" i="6"/>
  <c r="U230" i="6"/>
  <c r="U311" i="6"/>
  <c r="U172" i="6"/>
  <c r="U132" i="6"/>
  <c r="U275" i="6"/>
  <c r="U147" i="6"/>
  <c r="U278" i="6"/>
  <c r="U101" i="6"/>
  <c r="U333" i="6"/>
  <c r="U321" i="6"/>
  <c r="U77" i="6"/>
  <c r="U297" i="6"/>
  <c r="U162" i="6"/>
  <c r="U385" i="6"/>
  <c r="U109" i="6"/>
  <c r="U106" i="6"/>
  <c r="U332" i="6"/>
  <c r="U174" i="6"/>
  <c r="U206" i="6"/>
  <c r="U119" i="6"/>
  <c r="U326" i="6"/>
  <c r="U200" i="6"/>
  <c r="U295" i="6"/>
  <c r="U177" i="6"/>
  <c r="U157" i="6"/>
  <c r="U44" i="6"/>
  <c r="U22" i="6"/>
  <c r="U188" i="6"/>
  <c r="U35" i="6"/>
  <c r="U24" i="6"/>
  <c r="U299" i="6"/>
  <c r="U122" i="6"/>
  <c r="U227" i="6"/>
  <c r="U203" i="6"/>
  <c r="U472" i="6"/>
  <c r="U477" i="6"/>
  <c r="U460" i="6"/>
  <c r="U20" i="6"/>
  <c r="U444" i="6"/>
  <c r="U323" i="6"/>
  <c r="U70" i="6"/>
  <c r="U459" i="6"/>
  <c r="U451" i="6"/>
  <c r="U235" i="6"/>
  <c r="U152" i="6"/>
  <c r="U315" i="6"/>
  <c r="U155" i="6"/>
  <c r="U239" i="6"/>
  <c r="U229" i="6"/>
  <c r="U111" i="6"/>
  <c r="U199" i="6"/>
  <c r="U231" i="6"/>
  <c r="V7" i="6"/>
  <c r="V358" i="6" s="1"/>
  <c r="U27" i="6"/>
  <c r="U462" i="6"/>
  <c r="U246" i="6"/>
  <c r="U442" i="6"/>
  <c r="U21" i="6"/>
  <c r="U110" i="6"/>
  <c r="U19" i="6"/>
  <c r="U68" i="6"/>
  <c r="U413" i="6"/>
  <c r="U138" i="6"/>
  <c r="U343" i="6"/>
  <c r="U215" i="6"/>
  <c r="U351" i="6"/>
  <c r="U78" i="6"/>
  <c r="U267" i="6"/>
  <c r="U205" i="6"/>
  <c r="U283" i="6"/>
  <c r="U450" i="6"/>
  <c r="U461" i="6"/>
  <c r="U56" i="6"/>
  <c r="U34" i="6"/>
  <c r="U105" i="6"/>
  <c r="U72" i="6"/>
  <c r="U140" i="6"/>
  <c r="U131" i="6"/>
  <c r="U133" i="6"/>
  <c r="U334" i="6"/>
  <c r="U158" i="6"/>
  <c r="U175" i="6"/>
  <c r="U271" i="6"/>
  <c r="U439" i="6"/>
  <c r="U9" i="6"/>
  <c r="U67" i="6"/>
  <c r="U171" i="6"/>
  <c r="U151" i="6"/>
  <c r="U107" i="6"/>
  <c r="U11" i="6"/>
  <c r="U289" i="6"/>
  <c r="U352" i="6"/>
  <c r="U190" i="6"/>
  <c r="U437" i="6"/>
  <c r="U193" i="6"/>
  <c r="U76" i="6"/>
  <c r="U291" i="6"/>
  <c r="U430" i="6"/>
  <c r="U274" i="6"/>
  <c r="U179" i="6"/>
  <c r="U30" i="6"/>
  <c r="U443" i="6"/>
  <c r="U431" i="6"/>
  <c r="U473" i="6"/>
  <c r="U417" i="6"/>
  <c r="U142" i="6"/>
  <c r="U433" i="6"/>
  <c r="U10" i="6"/>
  <c r="U112" i="6"/>
  <c r="U23" i="6"/>
  <c r="U414" i="6"/>
  <c r="U156" i="6"/>
  <c r="U471" i="6"/>
  <c r="U103" i="6"/>
  <c r="U273" i="6"/>
  <c r="U75" i="6"/>
  <c r="U237" i="6"/>
  <c r="U159" i="6"/>
  <c r="U411" i="6"/>
  <c r="U84" i="6"/>
  <c r="U135" i="6"/>
  <c r="U421" i="6"/>
  <c r="U118" i="6"/>
  <c r="U149" i="6"/>
  <c r="U25" i="6"/>
  <c r="U305" i="6"/>
  <c r="U418" i="6"/>
  <c r="U207" i="6"/>
  <c r="U209" i="6"/>
  <c r="U310" i="6"/>
  <c r="U176" i="6"/>
  <c r="U313" i="6"/>
  <c r="U208" i="6"/>
  <c r="U58" i="6"/>
  <c r="U475" i="6"/>
  <c r="U124" i="6"/>
  <c r="U61" i="6"/>
  <c r="U8" i="6"/>
  <c r="U434" i="6"/>
  <c r="U353" i="6"/>
  <c r="U39" i="6"/>
  <c r="U221" i="6"/>
  <c r="U449" i="6"/>
  <c r="U87" i="6"/>
  <c r="U85" i="6"/>
  <c r="U420" i="6"/>
  <c r="U50" i="6"/>
  <c r="U89" i="6"/>
  <c r="U412" i="6"/>
  <c r="U102" i="6"/>
  <c r="U419" i="6"/>
  <c r="U253" i="6"/>
  <c r="U184" i="6"/>
  <c r="U168" i="6"/>
  <c r="U40" i="6"/>
  <c r="U164" i="6"/>
  <c r="U223" i="6"/>
  <c r="U454" i="6"/>
  <c r="U225" i="6"/>
  <c r="U255" i="6"/>
  <c r="U201" i="6"/>
  <c r="U368" i="6"/>
  <c r="U173" i="6"/>
  <c r="U409" i="6"/>
  <c r="U245" i="6"/>
  <c r="U81" i="6"/>
  <c r="U428" i="6"/>
  <c r="U448" i="6"/>
  <c r="U42" i="6"/>
  <c r="U37" i="6"/>
  <c r="U59" i="6"/>
  <c r="U54" i="6"/>
  <c r="U163" i="6"/>
  <c r="U476" i="6"/>
  <c r="U458" i="6"/>
  <c r="U127" i="6"/>
  <c r="U436" i="6"/>
  <c r="U218" i="6"/>
  <c r="U440" i="6"/>
  <c r="U187" i="6"/>
  <c r="U74" i="6"/>
  <c r="U474" i="6"/>
  <c r="U259" i="6"/>
  <c r="U398" i="6"/>
  <c r="U233" i="6"/>
  <c r="U276" i="6"/>
  <c r="U16" i="6"/>
  <c r="U210" i="6"/>
  <c r="U445" i="6"/>
  <c r="U29" i="6"/>
  <c r="U165" i="6"/>
  <c r="U432" i="6"/>
  <c r="U95" i="6"/>
  <c r="U441" i="6"/>
  <c r="U18" i="6"/>
  <c r="U438" i="6"/>
  <c r="U202" i="6"/>
  <c r="U134" i="6"/>
  <c r="U57" i="6"/>
  <c r="U435" i="6"/>
  <c r="U350" i="6"/>
  <c r="U249" i="6"/>
  <c r="U344" i="6"/>
  <c r="U228" i="6"/>
  <c r="U15" i="6"/>
  <c r="U427" i="6"/>
  <c r="U153" i="6"/>
  <c r="U429" i="6"/>
  <c r="U456" i="6"/>
  <c r="U128" i="6"/>
  <c r="U204" i="6"/>
  <c r="U90" i="6"/>
  <c r="U452" i="6"/>
  <c r="U277" i="6"/>
  <c r="U79" i="6"/>
  <c r="U272" i="6"/>
  <c r="U401" i="6"/>
  <c r="U180" i="6"/>
  <c r="U48" i="6"/>
  <c r="U88" i="6"/>
  <c r="U117" i="6"/>
  <c r="U296" i="6"/>
  <c r="U370" i="6"/>
  <c r="U120" i="6"/>
  <c r="U129" i="6"/>
  <c r="U294" i="6"/>
  <c r="U314" i="6"/>
  <c r="U387" i="6"/>
  <c r="U316" i="6"/>
  <c r="U189" i="6"/>
  <c r="U366" i="6"/>
  <c r="U312" i="6"/>
  <c r="U349" i="6"/>
  <c r="U415" i="6"/>
  <c r="U282" i="6"/>
  <c r="U365" i="6"/>
  <c r="U243" i="6"/>
  <c r="U383" i="6"/>
  <c r="U254" i="6"/>
  <c r="U342" i="6"/>
  <c r="U446" i="6"/>
  <c r="U463" i="6"/>
  <c r="U302" i="6"/>
  <c r="U382" i="6"/>
  <c r="U399" i="6"/>
  <c r="U327" i="6"/>
  <c r="U369" i="6"/>
  <c r="U320" i="6"/>
  <c r="U43" i="6"/>
  <c r="U338" i="6"/>
  <c r="U384" i="6"/>
  <c r="U386" i="6"/>
  <c r="U347" i="6"/>
  <c r="U41" i="6"/>
  <c r="U325" i="6"/>
  <c r="U71" i="6"/>
  <c r="U367" i="6"/>
  <c r="U46" i="6"/>
  <c r="U14" i="6"/>
  <c r="U357" i="6"/>
  <c r="U69" i="6"/>
  <c r="U12" i="6"/>
  <c r="U104" i="6"/>
  <c r="U400" i="6"/>
  <c r="U178" i="6"/>
  <c r="U47" i="6"/>
  <c r="U336" i="6"/>
  <c r="U374" i="6"/>
  <c r="U169" i="6"/>
  <c r="U45" i="6"/>
  <c r="U241" i="6"/>
  <c r="U80" i="6"/>
  <c r="U113" i="6"/>
  <c r="U391" i="6"/>
  <c r="U337" i="6"/>
  <c r="U33" i="6"/>
  <c r="U121" i="6"/>
  <c r="U211" i="6"/>
  <c r="U248" i="6"/>
  <c r="U286" i="6"/>
  <c r="U232" i="6"/>
  <c r="U355" i="6"/>
  <c r="U381" i="6"/>
  <c r="U251" i="6"/>
  <c r="U212" i="6"/>
  <c r="U240" i="6"/>
  <c r="U49" i="6"/>
  <c r="U161" i="6"/>
  <c r="U216" i="6"/>
  <c r="U258" i="6"/>
  <c r="U290" i="6"/>
  <c r="U244" i="6"/>
  <c r="U360" i="6"/>
  <c r="U390" i="6"/>
  <c r="U114" i="6"/>
  <c r="U393" i="6"/>
  <c r="U195" i="6"/>
  <c r="U96" i="6"/>
  <c r="U145" i="6"/>
  <c r="U470" i="6"/>
  <c r="U100" i="6"/>
  <c r="U166" i="6"/>
  <c r="U217" i="6"/>
  <c r="U260" i="6"/>
  <c r="U298" i="6"/>
  <c r="U256" i="6"/>
  <c r="U361" i="6"/>
  <c r="U392" i="6"/>
  <c r="U126" i="6"/>
  <c r="U262" i="6"/>
  <c r="U123" i="6"/>
  <c r="U82" i="6"/>
  <c r="U309" i="6"/>
  <c r="U91" i="6"/>
  <c r="U319" i="6"/>
  <c r="U247" i="6"/>
  <c r="U339" i="6"/>
  <c r="U38" i="6"/>
  <c r="U288" i="6"/>
  <c r="U55" i="6"/>
  <c r="U219" i="6"/>
  <c r="U300" i="6"/>
  <c r="U363" i="6"/>
  <c r="U280" i="6"/>
  <c r="U285" i="6"/>
  <c r="U213" i="6"/>
  <c r="U60" i="6"/>
  <c r="U115" i="6"/>
  <c r="U150" i="6"/>
  <c r="U222" i="6"/>
  <c r="U263" i="6"/>
  <c r="U301" i="6"/>
  <c r="U348" i="6"/>
  <c r="U394" i="6"/>
  <c r="U146" i="6"/>
  <c r="U354" i="6"/>
  <c r="U389" i="6"/>
  <c r="U62" i="6"/>
  <c r="U116" i="6"/>
  <c r="U182" i="6"/>
  <c r="U224" i="6"/>
  <c r="U264" i="6"/>
  <c r="U303" i="6"/>
  <c r="U322" i="6"/>
  <c r="U364" i="6"/>
  <c r="U395" i="6"/>
  <c r="U226" i="6"/>
  <c r="U331" i="6"/>
  <c r="U371" i="6"/>
  <c r="U136" i="6"/>
  <c r="U252" i="6"/>
  <c r="U36" i="6"/>
  <c r="U63" i="6"/>
  <c r="U125" i="6"/>
  <c r="U183" i="6"/>
  <c r="U268" i="6"/>
  <c r="U304" i="6"/>
  <c r="U396" i="6"/>
  <c r="U269" i="6"/>
  <c r="U372" i="6"/>
  <c r="U137" i="6"/>
  <c r="U64" i="6"/>
  <c r="U141" i="6"/>
  <c r="U185" i="6"/>
  <c r="U306" i="6"/>
  <c r="U397" i="6"/>
  <c r="U139" i="6"/>
  <c r="U242" i="6"/>
  <c r="U359" i="6"/>
  <c r="U17" i="6"/>
  <c r="U65" i="6"/>
  <c r="U170" i="6"/>
  <c r="U192" i="6"/>
  <c r="U144" i="6"/>
  <c r="U270" i="6"/>
  <c r="U307" i="6"/>
  <c r="U330" i="6"/>
  <c r="U373" i="6"/>
  <c r="U279" i="6"/>
  <c r="U308" i="6"/>
  <c r="U375" i="6"/>
  <c r="U198" i="6"/>
  <c r="U388" i="6"/>
  <c r="U26" i="6"/>
  <c r="U66" i="6"/>
  <c r="U130" i="6"/>
  <c r="U194" i="6"/>
  <c r="U160" i="6"/>
  <c r="U346" i="6"/>
  <c r="U28" i="6"/>
  <c r="U329" i="6"/>
  <c r="U167" i="6"/>
  <c r="U341" i="6"/>
  <c r="U287" i="6"/>
  <c r="U31" i="6"/>
  <c r="U83" i="6"/>
  <c r="U154" i="6"/>
  <c r="U196" i="6"/>
  <c r="U234" i="6"/>
  <c r="U281" i="6"/>
  <c r="U317" i="6"/>
  <c r="U345" i="6"/>
  <c r="U410" i="6"/>
  <c r="U236" i="6"/>
  <c r="U257" i="6"/>
  <c r="U32" i="6"/>
  <c r="U86" i="6"/>
  <c r="U148" i="6"/>
  <c r="U197" i="6"/>
  <c r="U238" i="6"/>
  <c r="U284" i="6"/>
  <c r="U318" i="6"/>
  <c r="U328" i="6"/>
  <c r="U379" i="6"/>
  <c r="U340" i="6"/>
  <c r="U380" i="6"/>
  <c r="U356" i="6"/>
  <c r="U214" i="6"/>
  <c r="U250" i="6"/>
  <c r="U261" i="6"/>
  <c r="F5" i="6"/>
  <c r="G5" i="6"/>
  <c r="E5" i="6"/>
  <c r="H4" i="6"/>
  <c r="H3" i="6"/>
  <c r="T5" i="6"/>
  <c r="V265" i="6" l="1"/>
  <c r="V266" i="6"/>
  <c r="V73" i="6"/>
  <c r="V402" i="6"/>
  <c r="V403" i="6"/>
  <c r="V404" i="6"/>
  <c r="V405" i="6"/>
  <c r="V406" i="6"/>
  <c r="V407" i="6"/>
  <c r="V408" i="6"/>
  <c r="V312" i="6"/>
  <c r="V464" i="6"/>
  <c r="V465" i="6"/>
  <c r="V466" i="6"/>
  <c r="V467" i="6"/>
  <c r="V468" i="6"/>
  <c r="V469" i="6"/>
  <c r="V51" i="6"/>
  <c r="V52" i="6"/>
  <c r="V53" i="6"/>
  <c r="V140" i="6"/>
  <c r="V186" i="6"/>
  <c r="V470" i="6"/>
  <c r="V480" i="6"/>
  <c r="V486" i="6"/>
  <c r="V487" i="6"/>
  <c r="V483" i="6"/>
  <c r="V481" i="6"/>
  <c r="V484" i="6"/>
  <c r="V482" i="6"/>
  <c r="V485" i="6"/>
  <c r="V379" i="6"/>
  <c r="V188" i="6"/>
  <c r="V354" i="6"/>
  <c r="V237" i="6"/>
  <c r="V191" i="6"/>
  <c r="V478" i="6"/>
  <c r="V479" i="6"/>
  <c r="V422" i="6"/>
  <c r="V423" i="6"/>
  <c r="V424" i="6"/>
  <c r="V425" i="6"/>
  <c r="V426" i="6"/>
  <c r="V97" i="6"/>
  <c r="V98" i="6"/>
  <c r="V99" i="6"/>
  <c r="V362" i="6"/>
  <c r="V324" i="6"/>
  <c r="V95" i="6"/>
  <c r="V309" i="6"/>
  <c r="V383" i="6"/>
  <c r="V37" i="6"/>
  <c r="V261" i="6"/>
  <c r="V128" i="6"/>
  <c r="V317" i="6"/>
  <c r="V391" i="6"/>
  <c r="V13" i="6"/>
  <c r="V67" i="6"/>
  <c r="V136" i="6"/>
  <c r="V351" i="6"/>
  <c r="V166" i="6"/>
  <c r="V283" i="6"/>
  <c r="V288" i="6"/>
  <c r="V226" i="6"/>
  <c r="V321" i="6"/>
  <c r="V28" i="6"/>
  <c r="V18" i="6"/>
  <c r="V232" i="6"/>
  <c r="V438" i="6"/>
  <c r="V181" i="6"/>
  <c r="V455" i="6"/>
  <c r="V376" i="6"/>
  <c r="V377" i="6"/>
  <c r="V378" i="6"/>
  <c r="V92" i="6"/>
  <c r="V93" i="6"/>
  <c r="V94" i="6"/>
  <c r="V153" i="6"/>
  <c r="V418" i="6"/>
  <c r="V203" i="6"/>
  <c r="V472" i="6"/>
  <c r="V250" i="6"/>
  <c r="V72" i="6"/>
  <c r="V357" i="6"/>
  <c r="V104" i="6"/>
  <c r="V389" i="6"/>
  <c r="V134" i="6"/>
  <c r="V251" i="6"/>
  <c r="V200" i="6"/>
  <c r="V253" i="6"/>
  <c r="V55" i="6"/>
  <c r="V280" i="6"/>
  <c r="V12" i="6"/>
  <c r="V229" i="6"/>
  <c r="V344" i="6"/>
  <c r="V50" i="6"/>
  <c r="V277" i="6"/>
  <c r="V450" i="6"/>
  <c r="V194" i="6"/>
  <c r="V291" i="6"/>
  <c r="V33" i="6"/>
  <c r="V155" i="6"/>
  <c r="V248" i="6"/>
  <c r="V32" i="6"/>
  <c r="V392" i="6"/>
  <c r="V124" i="6"/>
  <c r="V440" i="6"/>
  <c r="V356" i="6"/>
  <c r="V64" i="6"/>
  <c r="V457" i="6"/>
  <c r="V347" i="6"/>
  <c r="V34" i="6"/>
  <c r="V372" i="6"/>
  <c r="V118" i="6"/>
  <c r="V233" i="6"/>
  <c r="V439" i="6"/>
  <c r="V182" i="6"/>
  <c r="V147" i="6"/>
  <c r="V262" i="6"/>
  <c r="V473" i="6"/>
  <c r="V213" i="6"/>
  <c r="V325" i="6"/>
  <c r="V19" i="6"/>
  <c r="V259" i="6"/>
  <c r="V433" i="6"/>
  <c r="V176" i="6"/>
  <c r="V275" i="6"/>
  <c r="V394" i="6"/>
  <c r="V139" i="6"/>
  <c r="V238" i="6"/>
  <c r="V267" i="6"/>
  <c r="V452" i="6"/>
  <c r="V301" i="6"/>
  <c r="V477" i="6"/>
  <c r="V9" i="6"/>
  <c r="V246" i="6"/>
  <c r="V88" i="6"/>
  <c r="V428" i="6"/>
  <c r="V318" i="6"/>
  <c r="V65" i="6"/>
  <c r="V355" i="6"/>
  <c r="V102" i="6"/>
  <c r="V217" i="6"/>
  <c r="V170" i="6"/>
  <c r="V386" i="6"/>
  <c r="V131" i="6"/>
  <c r="V80" i="6"/>
  <c r="V453" i="6"/>
  <c r="V197" i="6"/>
  <c r="V310" i="6"/>
  <c r="V79" i="6"/>
  <c r="V243" i="6"/>
  <c r="W7" i="6"/>
  <c r="W358" i="6" s="1"/>
  <c r="V91" i="6"/>
  <c r="V257" i="6"/>
  <c r="V123" i="6"/>
  <c r="V222" i="6"/>
  <c r="V476" i="6"/>
  <c r="V208" i="6"/>
  <c r="V444" i="6"/>
  <c r="V363" i="6"/>
  <c r="V167" i="6"/>
  <c r="V461" i="6"/>
  <c r="V412" i="6"/>
  <c r="V302" i="6"/>
  <c r="V66" i="6"/>
  <c r="V348" i="6"/>
  <c r="V31" i="6"/>
  <c r="V201" i="6"/>
  <c r="V337" i="6"/>
  <c r="V81" i="6"/>
  <c r="V369" i="6"/>
  <c r="V115" i="6"/>
  <c r="V230" i="6"/>
  <c r="V436" i="6"/>
  <c r="V179" i="6"/>
  <c r="V294" i="6"/>
  <c r="V39" i="6"/>
  <c r="V227" i="6"/>
  <c r="V415" i="6"/>
  <c r="V158" i="6"/>
  <c r="V241" i="6"/>
  <c r="V361" i="6"/>
  <c r="V107" i="6"/>
  <c r="V206" i="6"/>
  <c r="V448" i="6"/>
  <c r="V252" i="6"/>
  <c r="V171" i="6"/>
  <c r="V366" i="6"/>
  <c r="V307" i="6"/>
  <c r="V137" i="6"/>
  <c r="V10" i="6"/>
  <c r="V271" i="6"/>
  <c r="V42" i="6"/>
  <c r="V430" i="6"/>
  <c r="V319" i="6"/>
  <c r="V286" i="6"/>
  <c r="V24" i="6"/>
  <c r="V316" i="6"/>
  <c r="V85" i="6"/>
  <c r="V183" i="6"/>
  <c r="V148" i="6"/>
  <c r="V342" i="6"/>
  <c r="V78" i="6"/>
  <c r="V214" i="6"/>
  <c r="V419" i="6"/>
  <c r="V90" i="6"/>
  <c r="V278" i="6"/>
  <c r="V471" i="6"/>
  <c r="V211" i="6"/>
  <c r="V397" i="6"/>
  <c r="V142" i="6"/>
  <c r="V225" i="6"/>
  <c r="V346" i="6"/>
  <c r="V40" i="6"/>
  <c r="V189" i="6"/>
  <c r="V76" i="6"/>
  <c r="V306" i="6"/>
  <c r="V446" i="6"/>
  <c r="V375" i="6"/>
  <c r="V185" i="6"/>
  <c r="V463" i="6"/>
  <c r="V414" i="6"/>
  <c r="V235" i="6"/>
  <c r="V270" i="6"/>
  <c r="V103" i="6"/>
  <c r="V300" i="6"/>
  <c r="V169" i="6"/>
  <c r="V387" i="6"/>
  <c r="V132" i="6"/>
  <c r="V333" i="6"/>
  <c r="V25" i="6"/>
  <c r="V198" i="6"/>
  <c r="V339" i="6"/>
  <c r="V161" i="6"/>
  <c r="V260" i="6"/>
  <c r="V451" i="6"/>
  <c r="V195" i="6"/>
  <c r="V381" i="6"/>
  <c r="V126" i="6"/>
  <c r="V209" i="6"/>
  <c r="V256" i="6"/>
  <c r="V96" i="6"/>
  <c r="V59" i="6"/>
  <c r="V75" i="6"/>
  <c r="V221" i="6"/>
  <c r="V353" i="6"/>
  <c r="V285" i="6"/>
  <c r="V108" i="6"/>
  <c r="V432" i="6"/>
  <c r="V331" i="6"/>
  <c r="V156" i="6"/>
  <c r="V165" i="6"/>
  <c r="V284" i="6"/>
  <c r="V20" i="6"/>
  <c r="V370" i="6"/>
  <c r="V116" i="6"/>
  <c r="V313" i="6"/>
  <c r="V58" i="6"/>
  <c r="V180" i="6"/>
  <c r="V400" i="6"/>
  <c r="V145" i="6"/>
  <c r="V244" i="6"/>
  <c r="V434" i="6"/>
  <c r="V177" i="6"/>
  <c r="V364" i="6"/>
  <c r="V110" i="6"/>
  <c r="V193" i="6"/>
  <c r="V305" i="6"/>
  <c r="V30" i="6"/>
  <c r="V70" i="6"/>
  <c r="V151" i="6"/>
  <c r="V390" i="6"/>
  <c r="V192" i="6"/>
  <c r="V240" i="6"/>
  <c r="V69" i="6"/>
  <c r="V236" i="6"/>
  <c r="V60" i="6"/>
  <c r="V268" i="6"/>
  <c r="V149" i="6"/>
  <c r="V326" i="6"/>
  <c r="V100" i="6"/>
  <c r="V297" i="6"/>
  <c r="V45" i="6"/>
  <c r="V163" i="6"/>
  <c r="V384" i="6"/>
  <c r="V129" i="6"/>
  <c r="V228" i="6"/>
  <c r="V335" i="6"/>
  <c r="V61" i="6"/>
  <c r="V254" i="6"/>
  <c r="V46" i="6"/>
  <c r="V175" i="6"/>
  <c r="V289" i="6"/>
  <c r="V411" i="6"/>
  <c r="V154" i="6"/>
  <c r="V26" i="6"/>
  <c r="V290" i="6"/>
  <c r="V121" i="6"/>
  <c r="V437" i="6"/>
  <c r="V329" i="6"/>
  <c r="V57" i="6"/>
  <c r="V417" i="6"/>
  <c r="V220" i="6"/>
  <c r="V54" i="6"/>
  <c r="V173" i="6"/>
  <c r="V388" i="6"/>
  <c r="V133" i="6"/>
  <c r="V349" i="6"/>
  <c r="V27" i="6"/>
  <c r="V281" i="6"/>
  <c r="V14" i="6"/>
  <c r="V162" i="6"/>
  <c r="V367" i="6"/>
  <c r="V113" i="6"/>
  <c r="V212" i="6"/>
  <c r="V340" i="6"/>
  <c r="V159" i="6"/>
  <c r="V322" i="6"/>
  <c r="V15" i="6"/>
  <c r="V74" i="6"/>
  <c r="V273" i="6"/>
  <c r="V393" i="6"/>
  <c r="V138" i="6"/>
  <c r="V449" i="6"/>
  <c r="V205" i="6"/>
  <c r="V474" i="6"/>
  <c r="V11" i="6"/>
  <c r="V249" i="6"/>
  <c r="V71" i="6"/>
  <c r="V460" i="6"/>
  <c r="V204" i="6"/>
  <c r="V22" i="6"/>
  <c r="V234" i="6"/>
  <c r="V371" i="6"/>
  <c r="V117" i="6"/>
  <c r="V314" i="6"/>
  <c r="V82" i="6"/>
  <c r="V263" i="6"/>
  <c r="V401" i="6"/>
  <c r="V146" i="6"/>
  <c r="V327" i="6"/>
  <c r="V196" i="6"/>
  <c r="V398" i="6"/>
  <c r="V143" i="6"/>
  <c r="V308" i="6"/>
  <c r="V63" i="6"/>
  <c r="V157" i="6"/>
  <c r="V247" i="6"/>
  <c r="V122" i="6"/>
  <c r="V287" i="6"/>
  <c r="V84" i="6"/>
  <c r="V150" i="6"/>
  <c r="V296" i="6"/>
  <c r="V112" i="6"/>
  <c r="V56" i="6"/>
  <c r="V420" i="6"/>
  <c r="V135" i="6"/>
  <c r="V442" i="6"/>
  <c r="V359" i="6"/>
  <c r="V459" i="6"/>
  <c r="V443" i="6"/>
  <c r="V187" i="6"/>
  <c r="V416" i="6"/>
  <c r="V218" i="6"/>
  <c r="V341" i="6"/>
  <c r="V101" i="6"/>
  <c r="V298" i="6"/>
  <c r="V47" i="6"/>
  <c r="V164" i="6"/>
  <c r="V385" i="6"/>
  <c r="V130" i="6"/>
  <c r="V334" i="6"/>
  <c r="V21" i="6"/>
  <c r="V178" i="6"/>
  <c r="V382" i="6"/>
  <c r="V127" i="6"/>
  <c r="V292" i="6"/>
  <c r="V35" i="6"/>
  <c r="V141" i="6"/>
  <c r="V239" i="6"/>
  <c r="V360" i="6"/>
  <c r="V106" i="6"/>
  <c r="V224" i="6"/>
  <c r="V435" i="6"/>
  <c r="V120" i="6"/>
  <c r="V421" i="6"/>
  <c r="V245" i="6"/>
  <c r="V87" i="6"/>
  <c r="V454" i="6"/>
  <c r="V395" i="6"/>
  <c r="V352" i="6"/>
  <c r="V8" i="6"/>
  <c r="V269" i="6"/>
  <c r="V36" i="6"/>
  <c r="V429" i="6"/>
  <c r="V427" i="6"/>
  <c r="V168" i="6"/>
  <c r="V458" i="6"/>
  <c r="V202" i="6"/>
  <c r="V332" i="6"/>
  <c r="V29" i="6"/>
  <c r="V282" i="6"/>
  <c r="V16" i="6"/>
  <c r="V231" i="6"/>
  <c r="V368" i="6"/>
  <c r="V114" i="6"/>
  <c r="V311" i="6"/>
  <c r="V89" i="6"/>
  <c r="V83" i="6"/>
  <c r="V365" i="6"/>
  <c r="V111" i="6"/>
  <c r="V276" i="6"/>
  <c r="V396" i="6"/>
  <c r="V125" i="6"/>
  <c r="V223" i="6"/>
  <c r="V330" i="6"/>
  <c r="V38" i="6"/>
  <c r="V303" i="6"/>
  <c r="V445" i="6"/>
  <c r="V373" i="6"/>
  <c r="V174" i="6"/>
  <c r="V462" i="6"/>
  <c r="V413" i="6"/>
  <c r="V336" i="6"/>
  <c r="V441" i="6"/>
  <c r="V184" i="6"/>
  <c r="V315" i="6"/>
  <c r="V68" i="6"/>
  <c r="V264" i="6"/>
  <c r="V475" i="6"/>
  <c r="V215" i="6"/>
  <c r="V343" i="6"/>
  <c r="V62" i="6"/>
  <c r="V295" i="6"/>
  <c r="V41" i="6"/>
  <c r="V160" i="6"/>
  <c r="V328" i="6"/>
  <c r="V48" i="6"/>
  <c r="V258" i="6"/>
  <c r="V380" i="6"/>
  <c r="V109" i="6"/>
  <c r="V207" i="6"/>
  <c r="V320" i="6"/>
  <c r="V119" i="6"/>
  <c r="V374" i="6"/>
  <c r="V216" i="6"/>
  <c r="V43" i="6"/>
  <c r="V293" i="6"/>
  <c r="V210" i="6"/>
  <c r="V272" i="6"/>
  <c r="V410" i="6"/>
  <c r="V219" i="6"/>
  <c r="V338" i="6"/>
  <c r="V274" i="6"/>
  <c r="V105" i="6"/>
  <c r="V431" i="6"/>
  <c r="V255" i="6"/>
  <c r="V409" i="6"/>
  <c r="V152" i="6"/>
  <c r="V77" i="6"/>
  <c r="V299" i="6"/>
  <c r="V49" i="6"/>
  <c r="V172" i="6"/>
  <c r="V456" i="6"/>
  <c r="V199" i="6"/>
  <c r="V350" i="6"/>
  <c r="V23" i="6"/>
  <c r="V279" i="6"/>
  <c r="V399" i="6"/>
  <c r="V144" i="6"/>
  <c r="V323" i="6"/>
  <c r="V17" i="6"/>
  <c r="V242" i="6"/>
  <c r="V345" i="6"/>
  <c r="V44" i="6"/>
  <c r="V190" i="6"/>
  <c r="V304" i="6"/>
  <c r="V86" i="6"/>
  <c r="U5" i="6"/>
  <c r="H5" i="6"/>
  <c r="W266" i="6" l="1"/>
  <c r="W265" i="6"/>
  <c r="W73" i="6"/>
  <c r="W402" i="6"/>
  <c r="W403" i="6"/>
  <c r="W404" i="6"/>
  <c r="W405" i="6"/>
  <c r="W406" i="6"/>
  <c r="W407" i="6"/>
  <c r="W408" i="6"/>
  <c r="W464" i="6"/>
  <c r="W465" i="6"/>
  <c r="W466" i="6"/>
  <c r="W467" i="6"/>
  <c r="W468" i="6"/>
  <c r="W469" i="6"/>
  <c r="W186" i="6"/>
  <c r="W51" i="6"/>
  <c r="W52" i="6"/>
  <c r="W53" i="6"/>
  <c r="W34" i="6"/>
  <c r="W485" i="6"/>
  <c r="W480" i="6"/>
  <c r="W486" i="6"/>
  <c r="W487" i="6"/>
  <c r="W483" i="6"/>
  <c r="W481" i="6"/>
  <c r="W484" i="6"/>
  <c r="W482" i="6"/>
  <c r="W191" i="6"/>
  <c r="W478" i="6"/>
  <c r="W479" i="6"/>
  <c r="W422" i="6"/>
  <c r="W423" i="6"/>
  <c r="W424" i="6"/>
  <c r="W425" i="6"/>
  <c r="W426" i="6"/>
  <c r="W125" i="6"/>
  <c r="W97" i="6"/>
  <c r="W98" i="6"/>
  <c r="W99" i="6"/>
  <c r="W357" i="6"/>
  <c r="W324" i="6"/>
  <c r="W60" i="6"/>
  <c r="W118" i="6"/>
  <c r="W86" i="6"/>
  <c r="W249" i="6"/>
  <c r="W184" i="6"/>
  <c r="W278" i="6"/>
  <c r="W17" i="6"/>
  <c r="W411" i="6"/>
  <c r="W12" i="6"/>
  <c r="W36" i="6"/>
  <c r="W147" i="6"/>
  <c r="W318" i="6"/>
  <c r="W362" i="6"/>
  <c r="W354" i="6"/>
  <c r="W59" i="6"/>
  <c r="W432" i="6"/>
  <c r="W198" i="6"/>
  <c r="W8" i="6"/>
  <c r="W476" i="6"/>
  <c r="W420" i="6"/>
  <c r="W61" i="6"/>
  <c r="W66" i="6"/>
  <c r="W32" i="6"/>
  <c r="W455" i="6"/>
  <c r="W376" i="6"/>
  <c r="W377" i="6"/>
  <c r="W378" i="6"/>
  <c r="W302" i="6"/>
  <c r="W92" i="6"/>
  <c r="W93" i="6"/>
  <c r="W94" i="6"/>
  <c r="V5" i="6"/>
  <c r="W379" i="6"/>
  <c r="W401" i="6"/>
  <c r="W412" i="6"/>
  <c r="W472" i="6"/>
  <c r="W452" i="6"/>
  <c r="W435" i="6"/>
  <c r="W31" i="6"/>
  <c r="W30" i="6"/>
  <c r="W58" i="6"/>
  <c r="W84" i="6"/>
  <c r="W117" i="6"/>
  <c r="W145" i="6"/>
  <c r="W162" i="6"/>
  <c r="W242" i="6"/>
  <c r="W178" i="6"/>
  <c r="W42" i="6"/>
  <c r="W260" i="6"/>
  <c r="W167" i="6"/>
  <c r="W386" i="6"/>
  <c r="W109" i="6"/>
  <c r="W207" i="6"/>
  <c r="W35" i="6"/>
  <c r="W49" i="6"/>
  <c r="W286" i="6"/>
  <c r="W342" i="6"/>
  <c r="W399" i="6"/>
  <c r="W336" i="6"/>
  <c r="W419" i="6"/>
  <c r="W433" i="6"/>
  <c r="W253" i="6"/>
  <c r="W471" i="6"/>
  <c r="W451" i="6"/>
  <c r="W29" i="6"/>
  <c r="W56" i="6"/>
  <c r="W81" i="6"/>
  <c r="W116" i="6"/>
  <c r="W143" i="6"/>
  <c r="W163" i="6"/>
  <c r="W334" i="6"/>
  <c r="W27" i="6"/>
  <c r="W221" i="6"/>
  <c r="W443" i="6"/>
  <c r="W158" i="6"/>
  <c r="W369" i="6"/>
  <c r="W87" i="6"/>
  <c r="W305" i="6"/>
  <c r="W20" i="6"/>
  <c r="W33" i="6"/>
  <c r="W270" i="6"/>
  <c r="W76" i="6"/>
  <c r="W187" i="6"/>
  <c r="W228" i="6"/>
  <c r="W343" i="6"/>
  <c r="W375" i="6"/>
  <c r="W398" i="6"/>
  <c r="W319" i="6"/>
  <c r="W413" i="6"/>
  <c r="W473" i="6"/>
  <c r="W449" i="6"/>
  <c r="W462" i="6"/>
  <c r="W434" i="6"/>
  <c r="W28" i="6"/>
  <c r="W80" i="6"/>
  <c r="W115" i="6"/>
  <c r="W140" i="6"/>
  <c r="W312" i="6"/>
  <c r="W458" i="6"/>
  <c r="W246" i="6"/>
  <c r="W414" i="6"/>
  <c r="W142" i="6"/>
  <c r="W320" i="6"/>
  <c r="W70" i="6"/>
  <c r="W289" i="6"/>
  <c r="W303" i="6"/>
  <c r="W18" i="6"/>
  <c r="W226" i="6"/>
  <c r="W75" i="6"/>
  <c r="W350" i="6"/>
  <c r="W351" i="6"/>
  <c r="W204" i="6"/>
  <c r="W373" i="6"/>
  <c r="W396" i="6"/>
  <c r="W395" i="6"/>
  <c r="W394" i="6"/>
  <c r="W325" i="6"/>
  <c r="W453" i="6"/>
  <c r="W463" i="6"/>
  <c r="W429" i="6"/>
  <c r="W477" i="6"/>
  <c r="W26" i="6"/>
  <c r="W50" i="6"/>
  <c r="W79" i="6"/>
  <c r="W113" i="6"/>
  <c r="W296" i="6"/>
  <c r="W214" i="6"/>
  <c r="W126" i="6"/>
  <c r="W347" i="6"/>
  <c r="W54" i="6"/>
  <c r="W273" i="6"/>
  <c r="W287" i="6"/>
  <c r="X7" i="6"/>
  <c r="X358" i="6" s="1"/>
  <c r="W237" i="6"/>
  <c r="W300" i="6"/>
  <c r="W299" i="6"/>
  <c r="W255" i="6"/>
  <c r="W344" i="6"/>
  <c r="W371" i="6"/>
  <c r="W368" i="6"/>
  <c r="W366" i="6"/>
  <c r="W393" i="6"/>
  <c r="W415" i="6"/>
  <c r="W446" i="6"/>
  <c r="W474" i="6"/>
  <c r="W454" i="6"/>
  <c r="W24" i="6"/>
  <c r="W47" i="6"/>
  <c r="W78" i="6"/>
  <c r="W280" i="6"/>
  <c r="W431" i="6"/>
  <c r="W252" i="6"/>
  <c r="W387" i="6"/>
  <c r="W110" i="6"/>
  <c r="W223" i="6"/>
  <c r="W37" i="6"/>
  <c r="W240" i="6"/>
  <c r="W271" i="6"/>
  <c r="W421" i="6"/>
  <c r="W177" i="6"/>
  <c r="W470" i="6"/>
  <c r="W272" i="6"/>
  <c r="W269" i="6"/>
  <c r="W298" i="6"/>
  <c r="W215" i="6"/>
  <c r="W328" i="6"/>
  <c r="W321" i="6"/>
  <c r="W254" i="6"/>
  <c r="W365" i="6"/>
  <c r="W392" i="6"/>
  <c r="W390" i="6"/>
  <c r="W416" i="6"/>
  <c r="W437" i="6"/>
  <c r="W444" i="6"/>
  <c r="W21" i="6"/>
  <c r="W46" i="6"/>
  <c r="W262" i="6"/>
  <c r="W461" i="6"/>
  <c r="W160" i="6"/>
  <c r="W370" i="6"/>
  <c r="W88" i="6"/>
  <c r="W307" i="6"/>
  <c r="W22" i="6"/>
  <c r="W179" i="6"/>
  <c r="W232" i="6"/>
  <c r="W10" i="6"/>
  <c r="W173" i="6"/>
  <c r="W213" i="6"/>
  <c r="W188" i="6"/>
  <c r="W268" i="6"/>
  <c r="W297" i="6"/>
  <c r="W199" i="6"/>
  <c r="W190" i="6"/>
  <c r="W256" i="6"/>
  <c r="W345" i="6"/>
  <c r="W346" i="6"/>
  <c r="W363" i="6"/>
  <c r="W388" i="6"/>
  <c r="W352" i="6"/>
  <c r="W460" i="6"/>
  <c r="W448" i="6"/>
  <c r="W441" i="6"/>
  <c r="W19" i="6"/>
  <c r="W174" i="6"/>
  <c r="W144" i="6"/>
  <c r="W326" i="6"/>
  <c r="W71" i="6"/>
  <c r="W291" i="6"/>
  <c r="W475" i="6"/>
  <c r="W203" i="6"/>
  <c r="W241" i="6"/>
  <c r="W450" i="6"/>
  <c r="W171" i="6"/>
  <c r="W229" i="6"/>
  <c r="W91" i="6"/>
  <c r="W234" i="6"/>
  <c r="W222" i="6"/>
  <c r="W245" i="6"/>
  <c r="W267" i="6"/>
  <c r="W295" i="6"/>
  <c r="W293" i="6"/>
  <c r="W290" i="6"/>
  <c r="W176" i="6"/>
  <c r="W315" i="6"/>
  <c r="W331" i="6"/>
  <c r="W361" i="6"/>
  <c r="W385" i="6"/>
  <c r="W337" i="6"/>
  <c r="W9" i="6"/>
  <c r="W459" i="6"/>
  <c r="W192" i="6"/>
  <c r="W340" i="6"/>
  <c r="W128" i="6"/>
  <c r="W330" i="6"/>
  <c r="W55" i="6"/>
  <c r="W275" i="6"/>
  <c r="W445" i="6"/>
  <c r="W175" i="6"/>
  <c r="W185" i="6"/>
  <c r="W239" i="6"/>
  <c r="W152" i="6"/>
  <c r="W301" i="6"/>
  <c r="W238" i="6"/>
  <c r="W138" i="6"/>
  <c r="W172" i="6"/>
  <c r="W164" i="6"/>
  <c r="W206" i="6"/>
  <c r="W233" i="6"/>
  <c r="W264" i="6"/>
  <c r="W263" i="6"/>
  <c r="W261" i="6"/>
  <c r="W288" i="6"/>
  <c r="W285" i="6"/>
  <c r="W314" i="6"/>
  <c r="W348" i="6"/>
  <c r="W360" i="6"/>
  <c r="W383" i="6"/>
  <c r="W338" i="6"/>
  <c r="W410" i="6"/>
  <c r="W418" i="6"/>
  <c r="W230" i="6"/>
  <c r="W389" i="6"/>
  <c r="W112" i="6"/>
  <c r="W231" i="6"/>
  <c r="W38" i="6"/>
  <c r="W257" i="6"/>
  <c r="W436" i="6"/>
  <c r="W169" i="6"/>
  <c r="W250" i="6"/>
  <c r="W220" i="6"/>
  <c r="W136" i="6"/>
  <c r="W274" i="6"/>
  <c r="W111" i="6"/>
  <c r="W135" i="6"/>
  <c r="W134" i="6"/>
  <c r="W180" i="6"/>
  <c r="W224" i="6"/>
  <c r="W216" i="6"/>
  <c r="W208" i="6"/>
  <c r="W259" i="6"/>
  <c r="W244" i="6"/>
  <c r="W284" i="6"/>
  <c r="W313" i="6"/>
  <c r="W332" i="6"/>
  <c r="W359" i="6"/>
  <c r="W382" i="6"/>
  <c r="W243" i="6"/>
  <c r="W440" i="6"/>
  <c r="W193" i="6"/>
  <c r="W372" i="6"/>
  <c r="W90" i="6"/>
  <c r="W308" i="6"/>
  <c r="W23" i="6"/>
  <c r="W197" i="6"/>
  <c r="W235" i="6"/>
  <c r="W155" i="6"/>
  <c r="W170" i="6"/>
  <c r="W397" i="6"/>
  <c r="W120" i="6"/>
  <c r="W77" i="6"/>
  <c r="W108" i="6"/>
  <c r="W106" i="6"/>
  <c r="W133" i="6"/>
  <c r="W161" i="6"/>
  <c r="W165" i="6"/>
  <c r="W251" i="6"/>
  <c r="W225" i="6"/>
  <c r="W200" i="6"/>
  <c r="W182" i="6"/>
  <c r="W236" i="6"/>
  <c r="W283" i="6"/>
  <c r="W311" i="6"/>
  <c r="W212" i="6"/>
  <c r="W356" i="6"/>
  <c r="W380" i="6"/>
  <c r="W430" i="6"/>
  <c r="W355" i="6"/>
  <c r="W74" i="6"/>
  <c r="W292" i="6"/>
  <c r="W428" i="6"/>
  <c r="W219" i="6"/>
  <c r="W11" i="6"/>
  <c r="W139" i="6"/>
  <c r="W153" i="6"/>
  <c r="W381" i="6"/>
  <c r="W104" i="6"/>
  <c r="W45" i="6"/>
  <c r="W44" i="6"/>
  <c r="W72" i="6"/>
  <c r="W103" i="6"/>
  <c r="W132" i="6"/>
  <c r="W159" i="6"/>
  <c r="W156" i="6"/>
  <c r="W154" i="6"/>
  <c r="W217" i="6"/>
  <c r="W209" i="6"/>
  <c r="W247" i="6"/>
  <c r="W218" i="6"/>
  <c r="W282" i="6"/>
  <c r="W309" i="6"/>
  <c r="W349" i="6"/>
  <c r="W341" i="6"/>
  <c r="W323" i="6"/>
  <c r="W146" i="6"/>
  <c r="W329" i="6"/>
  <c r="W57" i="6"/>
  <c r="W276" i="6"/>
  <c r="W316" i="6"/>
  <c r="W189" i="6"/>
  <c r="W400" i="6"/>
  <c r="W123" i="6"/>
  <c r="W137" i="6"/>
  <c r="W364" i="6"/>
  <c r="W82" i="6"/>
  <c r="W16" i="6"/>
  <c r="W15" i="6"/>
  <c r="W43" i="6"/>
  <c r="W69" i="6"/>
  <c r="W102" i="6"/>
  <c r="W131" i="6"/>
  <c r="W129" i="6"/>
  <c r="W127" i="6"/>
  <c r="W151" i="6"/>
  <c r="W150" i="6"/>
  <c r="W201" i="6"/>
  <c r="W211" i="6"/>
  <c r="W210" i="6"/>
  <c r="W281" i="6"/>
  <c r="W306" i="6"/>
  <c r="W333" i="6"/>
  <c r="W196" i="6"/>
  <c r="W130" i="6"/>
  <c r="W335" i="6"/>
  <c r="W40" i="6"/>
  <c r="W258" i="6"/>
  <c r="W439" i="6"/>
  <c r="W168" i="6"/>
  <c r="W384" i="6"/>
  <c r="W107" i="6"/>
  <c r="W121" i="6"/>
  <c r="W327" i="6"/>
  <c r="W65" i="6"/>
  <c r="W442" i="6"/>
  <c r="W438" i="6"/>
  <c r="W14" i="6"/>
  <c r="W41" i="6"/>
  <c r="W67" i="6"/>
  <c r="W101" i="6"/>
  <c r="W100" i="6"/>
  <c r="W124" i="6"/>
  <c r="W122" i="6"/>
  <c r="W149" i="6"/>
  <c r="W183" i="6"/>
  <c r="W195" i="6"/>
  <c r="W202" i="6"/>
  <c r="W279" i="6"/>
  <c r="W304" i="6"/>
  <c r="W391" i="6"/>
  <c r="W114" i="6"/>
  <c r="W310" i="6"/>
  <c r="W25" i="6"/>
  <c r="W205" i="6"/>
  <c r="W427" i="6"/>
  <c r="W157" i="6"/>
  <c r="W367" i="6"/>
  <c r="W85" i="6"/>
  <c r="W105" i="6"/>
  <c r="W322" i="6"/>
  <c r="W48" i="6"/>
  <c r="W409" i="6"/>
  <c r="W456" i="6"/>
  <c r="W353" i="6"/>
  <c r="W417" i="6"/>
  <c r="W457" i="6"/>
  <c r="W13" i="6"/>
  <c r="W39" i="6"/>
  <c r="W64" i="6"/>
  <c r="W63" i="6"/>
  <c r="W62" i="6"/>
  <c r="W96" i="6"/>
  <c r="W89" i="6"/>
  <c r="W119" i="6"/>
  <c r="W148" i="6"/>
  <c r="W166" i="6"/>
  <c r="W248" i="6"/>
  <c r="W194" i="6"/>
  <c r="W277" i="6"/>
  <c r="W374" i="6"/>
  <c r="W95" i="6"/>
  <c r="W294" i="6"/>
  <c r="W227" i="6"/>
  <c r="W339" i="6"/>
  <c r="W141" i="6"/>
  <c r="W317" i="6"/>
  <c r="W68" i="6"/>
  <c r="W83" i="6"/>
  <c r="W181" i="6"/>
  <c r="X266" i="6" l="1"/>
  <c r="X265" i="6"/>
  <c r="X73" i="6"/>
  <c r="X402" i="6"/>
  <c r="X403" i="6"/>
  <c r="X404" i="6"/>
  <c r="X405" i="6"/>
  <c r="X406" i="6"/>
  <c r="X407" i="6"/>
  <c r="X408" i="6"/>
  <c r="X464" i="6"/>
  <c r="X465" i="6"/>
  <c r="X466" i="6"/>
  <c r="X467" i="6"/>
  <c r="X468" i="6"/>
  <c r="X469" i="6"/>
  <c r="X186" i="6"/>
  <c r="X51" i="6"/>
  <c r="X52" i="6"/>
  <c r="X53" i="6"/>
  <c r="X485" i="6"/>
  <c r="X480" i="6"/>
  <c r="X486" i="6"/>
  <c r="X487" i="6"/>
  <c r="X483" i="6"/>
  <c r="X481" i="6"/>
  <c r="X484" i="6"/>
  <c r="X482" i="6"/>
  <c r="X191" i="6"/>
  <c r="X478" i="6"/>
  <c r="X479" i="6"/>
  <c r="X422" i="6"/>
  <c r="X423" i="6"/>
  <c r="X424" i="6"/>
  <c r="X425" i="6"/>
  <c r="X426" i="6"/>
  <c r="X324" i="6"/>
  <c r="X97" i="6"/>
  <c r="X98" i="6"/>
  <c r="X99" i="6"/>
  <c r="X271" i="6"/>
  <c r="X362" i="6"/>
  <c r="X385" i="6"/>
  <c r="X296" i="6"/>
  <c r="X165" i="6"/>
  <c r="X473" i="6"/>
  <c r="X321" i="6"/>
  <c r="X71" i="6"/>
  <c r="X376" i="6"/>
  <c r="X377" i="6"/>
  <c r="X378" i="6"/>
  <c r="X270" i="6"/>
  <c r="X286" i="6"/>
  <c r="X444" i="6"/>
  <c r="X415" i="6"/>
  <c r="X78" i="6"/>
  <c r="X66" i="6"/>
  <c r="X13" i="6"/>
  <c r="X28" i="6"/>
  <c r="X455" i="6"/>
  <c r="X430" i="6"/>
  <c r="X80" i="6"/>
  <c r="X164" i="6"/>
  <c r="X26" i="6"/>
  <c r="X319" i="6"/>
  <c r="X248" i="6"/>
  <c r="X217" i="6"/>
  <c r="X448" i="6"/>
  <c r="X310" i="6"/>
  <c r="X81" i="6"/>
  <c r="X432" i="6"/>
  <c r="X418" i="6"/>
  <c r="X368" i="6"/>
  <c r="X224" i="6"/>
  <c r="X445" i="6"/>
  <c r="X249" i="6"/>
  <c r="X312" i="6"/>
  <c r="X326" i="6"/>
  <c r="X178" i="6"/>
  <c r="X86" i="6"/>
  <c r="X132" i="6"/>
  <c r="X394" i="6"/>
  <c r="X359" i="6"/>
  <c r="X149" i="6"/>
  <c r="X345" i="6"/>
  <c r="X290" i="6"/>
  <c r="X274" i="6"/>
  <c r="X192" i="6"/>
  <c r="X331" i="6"/>
  <c r="X353" i="6"/>
  <c r="X29" i="6"/>
  <c r="X92" i="6"/>
  <c r="X93" i="6"/>
  <c r="X94" i="6"/>
  <c r="X357" i="6"/>
  <c r="X168" i="6"/>
  <c r="X288" i="6"/>
  <c r="X91" i="6"/>
  <c r="X64" i="6"/>
  <c r="X69" i="6"/>
  <c r="X338" i="6"/>
  <c r="X152" i="6"/>
  <c r="X27" i="6"/>
  <c r="X272" i="6"/>
  <c r="X83" i="6"/>
  <c r="X472" i="6"/>
  <c r="X287" i="6"/>
  <c r="X167" i="6"/>
  <c r="X88" i="6"/>
  <c r="W5" i="6"/>
  <c r="X474" i="6"/>
  <c r="X427" i="6"/>
  <c r="X101" i="6"/>
  <c r="X349" i="6"/>
  <c r="X382" i="6"/>
  <c r="X10" i="6"/>
  <c r="X435" i="6"/>
  <c r="X263" i="6"/>
  <c r="X329" i="6"/>
  <c r="X244" i="6"/>
  <c r="X176" i="6"/>
  <c r="X42" i="6"/>
  <c r="X236" i="6"/>
  <c r="X232" i="6"/>
  <c r="X226" i="6"/>
  <c r="X436" i="6"/>
  <c r="X187" i="6"/>
  <c r="X209" i="6"/>
  <c r="X397" i="6"/>
  <c r="X136" i="6"/>
  <c r="X151" i="6"/>
  <c r="X411" i="6"/>
  <c r="X148" i="6"/>
  <c r="X335" i="6"/>
  <c r="X50" i="6"/>
  <c r="X48" i="6"/>
  <c r="X47" i="6"/>
  <c r="X45" i="6"/>
  <c r="X76" i="6"/>
  <c r="X307" i="6"/>
  <c r="X419" i="6"/>
  <c r="X188" i="6"/>
  <c r="X22" i="6"/>
  <c r="X241" i="6"/>
  <c r="X135" i="6"/>
  <c r="X25" i="6"/>
  <c r="X24" i="6"/>
  <c r="X75" i="6"/>
  <c r="X461" i="6"/>
  <c r="X390" i="6"/>
  <c r="X183" i="6"/>
  <c r="X350" i="6"/>
  <c r="X379" i="6"/>
  <c r="Y7" i="6"/>
  <c r="Y358" i="6" s="1"/>
  <c r="X184" i="6"/>
  <c r="X211" i="6"/>
  <c r="X289" i="6"/>
  <c r="X195" i="6"/>
  <c r="X185" i="6"/>
  <c r="X177" i="6"/>
  <c r="X417" i="6"/>
  <c r="X154" i="6"/>
  <c r="X169" i="6"/>
  <c r="X364" i="6"/>
  <c r="X104" i="6"/>
  <c r="X119" i="6"/>
  <c r="X116" i="6"/>
  <c r="X294" i="6"/>
  <c r="X293" i="6"/>
  <c r="X292" i="6"/>
  <c r="X291" i="6"/>
  <c r="X9" i="6"/>
  <c r="X365" i="6"/>
  <c r="X457" i="6"/>
  <c r="X303" i="6"/>
  <c r="X256" i="6"/>
  <c r="X400" i="6"/>
  <c r="X446" i="6"/>
  <c r="X118" i="6"/>
  <c r="X180" i="6"/>
  <c r="X273" i="6"/>
  <c r="X471" i="6"/>
  <c r="X250" i="6"/>
  <c r="X251" i="6"/>
  <c r="X225" i="6"/>
  <c r="X399" i="6"/>
  <c r="X138" i="6"/>
  <c r="X153" i="6"/>
  <c r="X344" i="6"/>
  <c r="X79" i="6"/>
  <c r="X103" i="6"/>
  <c r="X360" i="6"/>
  <c r="X100" i="6"/>
  <c r="X278" i="6"/>
  <c r="X277" i="6"/>
  <c r="X276" i="6"/>
  <c r="X275" i="6"/>
  <c r="X35" i="6"/>
  <c r="X470" i="6"/>
  <c r="X413" i="6"/>
  <c r="X330" i="6"/>
  <c r="X412" i="6"/>
  <c r="X476" i="6"/>
  <c r="X74" i="6"/>
  <c r="X255" i="6"/>
  <c r="X374" i="6"/>
  <c r="X11" i="6"/>
  <c r="X228" i="6"/>
  <c r="X240" i="6"/>
  <c r="X212" i="6"/>
  <c r="X204" i="6"/>
  <c r="X196" i="6"/>
  <c r="X383" i="6"/>
  <c r="X122" i="6"/>
  <c r="X137" i="6"/>
  <c r="X333" i="6"/>
  <c r="X57" i="6"/>
  <c r="X56" i="6"/>
  <c r="X190" i="6"/>
  <c r="X90" i="6"/>
  <c r="X260" i="6"/>
  <c r="X259" i="6"/>
  <c r="X258" i="6"/>
  <c r="X257" i="6"/>
  <c r="X20" i="6"/>
  <c r="X398" i="6"/>
  <c r="X313" i="6"/>
  <c r="X387" i="6"/>
  <c r="X340" i="6"/>
  <c r="X421" i="6"/>
  <c r="X297" i="6"/>
  <c r="X215" i="6"/>
  <c r="X395" i="6"/>
  <c r="X428" i="6"/>
  <c r="X84" i="6"/>
  <c r="X179" i="6"/>
  <c r="X477" i="6"/>
  <c r="X173" i="6"/>
  <c r="X172" i="6"/>
  <c r="X171" i="6"/>
  <c r="X366" i="6"/>
  <c r="X106" i="6"/>
  <c r="X121" i="6"/>
  <c r="X315" i="6"/>
  <c r="X36" i="6"/>
  <c r="X34" i="6"/>
  <c r="X351" i="6"/>
  <c r="X221" i="6"/>
  <c r="X213" i="6"/>
  <c r="X205" i="6"/>
  <c r="X197" i="6"/>
  <c r="X49" i="6"/>
  <c r="X433" i="6"/>
  <c r="X134" i="6"/>
  <c r="X305" i="6"/>
  <c r="X237" i="6"/>
  <c r="X388" i="6"/>
  <c r="X200" i="6"/>
  <c r="X361" i="6"/>
  <c r="X439" i="6"/>
  <c r="X166" i="6"/>
  <c r="X336" i="6"/>
  <c r="X371" i="6"/>
  <c r="X443" i="6"/>
  <c r="X159" i="6"/>
  <c r="X203" i="6"/>
  <c r="X339" i="6"/>
  <c r="X157" i="6"/>
  <c r="X156" i="6"/>
  <c r="X155" i="6"/>
  <c r="X327" i="6"/>
  <c r="X82" i="6"/>
  <c r="X105" i="6"/>
  <c r="X299" i="6"/>
  <c r="X12" i="6"/>
  <c r="X96" i="6"/>
  <c r="X311" i="6"/>
  <c r="X30" i="6"/>
  <c r="X246" i="6"/>
  <c r="X247" i="6"/>
  <c r="X227" i="6"/>
  <c r="X219" i="6"/>
  <c r="X33" i="6"/>
  <c r="X355" i="6"/>
  <c r="X120" i="6"/>
  <c r="X373" i="6"/>
  <c r="X102" i="6"/>
  <c r="X322" i="6"/>
  <c r="X384" i="6"/>
  <c r="X354" i="6"/>
  <c r="X452" i="6"/>
  <c r="X281" i="6"/>
  <c r="X254" i="6"/>
  <c r="X181" i="6"/>
  <c r="X143" i="6"/>
  <c r="X175" i="6"/>
  <c r="X141" i="6"/>
  <c r="X140" i="6"/>
  <c r="X139" i="6"/>
  <c r="X223" i="6"/>
  <c r="X59" i="6"/>
  <c r="X89" i="6"/>
  <c r="X283" i="6"/>
  <c r="X298" i="6"/>
  <c r="X55" i="6"/>
  <c r="X295" i="6"/>
  <c r="X438" i="6"/>
  <c r="X214" i="6"/>
  <c r="X206" i="6"/>
  <c r="X198" i="6"/>
  <c r="X189" i="6"/>
  <c r="X18" i="6"/>
  <c r="X416" i="6"/>
  <c r="X381" i="6"/>
  <c r="X363" i="6"/>
  <c r="X431" i="6"/>
  <c r="X308" i="6"/>
  <c r="X356" i="6"/>
  <c r="X453" i="6"/>
  <c r="X150" i="6"/>
  <c r="X318" i="6"/>
  <c r="X391" i="6"/>
  <c r="X127" i="6"/>
  <c r="X220" i="6"/>
  <c r="X386" i="6"/>
  <c r="X125" i="6"/>
  <c r="X124" i="6"/>
  <c r="X123" i="6"/>
  <c r="X317" i="6"/>
  <c r="X38" i="6"/>
  <c r="X58" i="6"/>
  <c r="X267" i="6"/>
  <c r="X282" i="6"/>
  <c r="X279" i="6"/>
  <c r="X442" i="6"/>
  <c r="X243" i="6"/>
  <c r="X239" i="6"/>
  <c r="X235" i="6"/>
  <c r="X231" i="6"/>
  <c r="X63" i="6"/>
  <c r="X393" i="6"/>
  <c r="X328" i="6"/>
  <c r="X429" i="6"/>
  <c r="X230" i="6"/>
  <c r="X199" i="6"/>
  <c r="X380" i="6"/>
  <c r="X8" i="6"/>
  <c r="X437" i="6"/>
  <c r="X262" i="6"/>
  <c r="X367" i="6"/>
  <c r="X111" i="6"/>
  <c r="X67" i="6"/>
  <c r="X369" i="6"/>
  <c r="X109" i="6"/>
  <c r="X108" i="6"/>
  <c r="X107" i="6"/>
  <c r="X301" i="6"/>
  <c r="X16" i="6"/>
  <c r="X37" i="6"/>
  <c r="X202" i="6"/>
  <c r="X264" i="6"/>
  <c r="X72" i="6"/>
  <c r="X261" i="6"/>
  <c r="X87" i="6"/>
  <c r="X70" i="6"/>
  <c r="X46" i="6"/>
  <c r="X332" i="6"/>
  <c r="X451" i="6"/>
  <c r="X458" i="6"/>
  <c r="X306" i="6"/>
  <c r="X341" i="6"/>
  <c r="X401" i="6"/>
  <c r="X463" i="6"/>
  <c r="X133" i="6"/>
  <c r="X346" i="6"/>
  <c r="X65" i="6"/>
  <c r="X158" i="6"/>
  <c r="X342" i="6"/>
  <c r="X85" i="6"/>
  <c r="X68" i="6"/>
  <c r="X95" i="6"/>
  <c r="X285" i="6"/>
  <c r="X300" i="6"/>
  <c r="X14" i="6"/>
  <c r="X216" i="6"/>
  <c r="X194" i="6"/>
  <c r="X54" i="6"/>
  <c r="X229" i="6"/>
  <c r="X207" i="6"/>
  <c r="X163" i="6"/>
  <c r="X162" i="6"/>
  <c r="X161" i="6"/>
  <c r="X160" i="6"/>
  <c r="X31" i="6"/>
  <c r="X245" i="6"/>
  <c r="X323" i="6"/>
  <c r="X414" i="6"/>
  <c r="X454" i="6"/>
  <c r="X252" i="6"/>
  <c r="X334" i="6"/>
  <c r="X337" i="6"/>
  <c r="X449" i="6"/>
  <c r="X314" i="6"/>
  <c r="X43" i="6"/>
  <c r="X142" i="6"/>
  <c r="X348" i="6"/>
  <c r="X62" i="6"/>
  <c r="X61" i="6"/>
  <c r="X60" i="6"/>
  <c r="X269" i="6"/>
  <c r="X284" i="6"/>
  <c r="X441" i="6"/>
  <c r="X242" i="6"/>
  <c r="X208" i="6"/>
  <c r="X32" i="6"/>
  <c r="X182" i="6"/>
  <c r="X410" i="6"/>
  <c r="X147" i="6"/>
  <c r="X146" i="6"/>
  <c r="X145" i="6"/>
  <c r="X144" i="6"/>
  <c r="X15" i="6"/>
  <c r="X434" i="6"/>
  <c r="X316" i="6"/>
  <c r="X420" i="6"/>
  <c r="X309" i="6"/>
  <c r="X389" i="6"/>
  <c r="X440" i="6"/>
  <c r="X456" i="6"/>
  <c r="X302" i="6"/>
  <c r="X343" i="6"/>
  <c r="X396" i="6"/>
  <c r="X460" i="6"/>
  <c r="X174" i="6"/>
  <c r="X23" i="6"/>
  <c r="X126" i="6"/>
  <c r="X320" i="6"/>
  <c r="X41" i="6"/>
  <c r="X40" i="6"/>
  <c r="X39" i="6"/>
  <c r="X218" i="6"/>
  <c r="X268" i="6"/>
  <c r="X462" i="6"/>
  <c r="X201" i="6"/>
  <c r="X238" i="6"/>
  <c r="X475" i="6"/>
  <c r="X222" i="6"/>
  <c r="X392" i="6"/>
  <c r="X131" i="6"/>
  <c r="X130" i="6"/>
  <c r="X129" i="6"/>
  <c r="X128" i="6"/>
  <c r="X44" i="6"/>
  <c r="X170" i="6"/>
  <c r="X234" i="6"/>
  <c r="X280" i="6"/>
  <c r="X347" i="6"/>
  <c r="X409" i="6"/>
  <c r="X352" i="6"/>
  <c r="X372" i="6"/>
  <c r="X325" i="6"/>
  <c r="X117" i="6"/>
  <c r="X370" i="6"/>
  <c r="X110" i="6"/>
  <c r="X304" i="6"/>
  <c r="X21" i="6"/>
  <c r="X19" i="6"/>
  <c r="X17" i="6"/>
  <c r="X233" i="6"/>
  <c r="X210" i="6"/>
  <c r="X450" i="6"/>
  <c r="X77" i="6"/>
  <c r="X193" i="6"/>
  <c r="X459" i="6"/>
  <c r="X253" i="6"/>
  <c r="X375" i="6"/>
  <c r="X115" i="6"/>
  <c r="X114" i="6"/>
  <c r="X113" i="6"/>
  <c r="X112" i="6"/>
  <c r="Y266" i="6" l="1"/>
  <c r="Y265" i="6"/>
  <c r="Y73" i="6"/>
  <c r="Y402" i="6"/>
  <c r="Y403" i="6"/>
  <c r="Y404" i="6"/>
  <c r="Y405" i="6"/>
  <c r="Y406" i="6"/>
  <c r="Y407" i="6"/>
  <c r="Y408" i="6"/>
  <c r="Y464" i="6"/>
  <c r="Y465" i="6"/>
  <c r="Y466" i="6"/>
  <c r="Y467" i="6"/>
  <c r="Y468" i="6"/>
  <c r="Y469" i="6"/>
  <c r="Y186" i="6"/>
  <c r="Y51" i="6"/>
  <c r="Y52" i="6"/>
  <c r="Y53" i="6"/>
  <c r="Y482" i="6"/>
  <c r="Y485" i="6"/>
  <c r="Y480" i="6"/>
  <c r="Y486" i="6"/>
  <c r="Y487" i="6"/>
  <c r="Y483" i="6"/>
  <c r="Y481" i="6"/>
  <c r="Y484" i="6"/>
  <c r="Y478" i="6"/>
  <c r="Y479" i="6"/>
  <c r="Y101" i="6"/>
  <c r="Y366" i="6"/>
  <c r="Y135" i="6"/>
  <c r="Y191" i="6"/>
  <c r="Y471" i="6"/>
  <c r="Y400" i="6"/>
  <c r="Y397" i="6"/>
  <c r="Y144" i="6"/>
  <c r="Y41" i="6"/>
  <c r="Y74" i="6"/>
  <c r="Y121" i="6"/>
  <c r="Y197" i="6"/>
  <c r="Y422" i="6"/>
  <c r="Y423" i="6"/>
  <c r="Y424" i="6"/>
  <c r="Y425" i="6"/>
  <c r="Y426" i="6"/>
  <c r="Y268" i="6"/>
  <c r="Y214" i="6"/>
  <c r="Y33" i="6"/>
  <c r="Y174" i="6"/>
  <c r="Y127" i="6"/>
  <c r="Y77" i="6"/>
  <c r="Y56" i="6"/>
  <c r="Y364" i="6"/>
  <c r="Y203" i="6"/>
  <c r="Y14" i="6"/>
  <c r="Y281" i="6"/>
  <c r="Y431" i="6"/>
  <c r="Y275" i="6"/>
  <c r="Y420" i="6"/>
  <c r="Y27" i="6"/>
  <c r="Y289" i="6"/>
  <c r="Y143" i="6"/>
  <c r="Y64" i="6"/>
  <c r="Y103" i="6"/>
  <c r="Y18" i="6"/>
  <c r="Y219" i="6"/>
  <c r="Y108" i="6"/>
  <c r="Y239" i="6"/>
  <c r="Y176" i="6"/>
  <c r="Y147" i="6"/>
  <c r="Y85" i="6"/>
  <c r="Y217" i="6"/>
  <c r="Y157" i="6"/>
  <c r="Y71" i="6"/>
  <c r="Y60" i="6"/>
  <c r="Y122" i="6"/>
  <c r="Y347" i="6"/>
  <c r="Y271" i="6"/>
  <c r="Y395" i="6"/>
  <c r="Y303" i="6"/>
  <c r="Y215" i="6"/>
  <c r="Y113" i="6"/>
  <c r="Y324" i="6"/>
  <c r="Y97" i="6"/>
  <c r="Y98" i="6"/>
  <c r="Y99" i="6"/>
  <c r="Y338" i="6"/>
  <c r="Y170" i="6"/>
  <c r="Y230" i="6"/>
  <c r="Y83" i="6"/>
  <c r="Y61" i="6"/>
  <c r="Y409" i="6"/>
  <c r="Y81" i="6"/>
  <c r="Y313" i="6"/>
  <c r="Y184" i="6"/>
  <c r="Y457" i="6"/>
  <c r="Y146" i="6"/>
  <c r="Y102" i="6"/>
  <c r="Y354" i="6"/>
  <c r="Y345" i="6"/>
  <c r="Y251" i="6"/>
  <c r="Y12" i="6"/>
  <c r="Y117" i="6"/>
  <c r="Y228" i="6"/>
  <c r="Y362" i="6"/>
  <c r="Y446" i="6"/>
  <c r="Y130" i="6"/>
  <c r="Y327" i="6"/>
  <c r="Y200" i="6"/>
  <c r="Y132" i="6"/>
  <c r="Y432" i="6"/>
  <c r="Y416" i="6"/>
  <c r="Y392" i="6"/>
  <c r="Y48" i="6"/>
  <c r="Y125" i="6"/>
  <c r="Y192" i="6"/>
  <c r="Y190" i="6"/>
  <c r="Y211" i="6"/>
  <c r="Y311" i="6"/>
  <c r="Y16" i="6"/>
  <c r="Y37" i="6"/>
  <c r="Y59" i="6"/>
  <c r="Y9" i="6"/>
  <c r="Y111" i="6"/>
  <c r="Y185" i="6"/>
  <c r="Y201" i="6"/>
  <c r="Y179" i="6"/>
  <c r="Y45" i="6"/>
  <c r="Y257" i="6"/>
  <c r="Y326" i="6"/>
  <c r="Y235" i="6"/>
  <c r="Y17" i="6"/>
  <c r="Y110" i="6"/>
  <c r="Y369" i="6"/>
  <c r="Y393" i="6"/>
  <c r="Y26" i="6"/>
  <c r="Y100" i="6"/>
  <c r="Y163" i="6"/>
  <c r="Y87" i="6"/>
  <c r="Y188" i="6"/>
  <c r="Y360" i="6"/>
  <c r="Y276" i="6"/>
  <c r="Y13" i="6"/>
  <c r="Y35" i="6"/>
  <c r="Y396" i="6"/>
  <c r="Y72" i="6"/>
  <c r="Y169" i="6"/>
  <c r="Y154" i="6"/>
  <c r="Y164" i="6"/>
  <c r="Y30" i="6"/>
  <c r="Y387" i="6"/>
  <c r="Y273" i="6"/>
  <c r="Y8" i="6"/>
  <c r="Y57" i="6"/>
  <c r="Y244" i="6"/>
  <c r="Y365" i="6"/>
  <c r="Y454" i="6"/>
  <c r="Y388" i="6"/>
  <c r="Y47" i="6"/>
  <c r="Y123" i="6"/>
  <c r="Y68" i="6"/>
  <c r="Y120" i="6"/>
  <c r="Y442" i="6"/>
  <c r="Y339" i="6"/>
  <c r="Y341" i="6"/>
  <c r="Y363" i="6"/>
  <c r="Y355" i="6"/>
  <c r="Y39" i="6"/>
  <c r="Y69" i="6"/>
  <c r="Y106" i="6"/>
  <c r="Y80" i="6"/>
  <c r="Y76" i="6"/>
  <c r="Y255" i="6"/>
  <c r="Y95" i="6"/>
  <c r="Y258" i="6"/>
  <c r="Y374" i="6"/>
  <c r="Y475" i="6"/>
  <c r="Y24" i="6"/>
  <c r="Y36" i="6"/>
  <c r="Y84" i="6"/>
  <c r="Y46" i="6"/>
  <c r="Y75" i="6"/>
  <c r="Y224" i="6"/>
  <c r="Y379" i="6"/>
  <c r="Y415" i="6"/>
  <c r="Y22" i="6"/>
  <c r="Y384" i="6"/>
  <c r="Y54" i="6"/>
  <c r="Y301" i="6"/>
  <c r="Y42" i="6"/>
  <c r="Y439" i="6"/>
  <c r="Y438" i="6"/>
  <c r="Y435" i="6"/>
  <c r="Y375" i="6"/>
  <c r="Y50" i="6"/>
  <c r="Y470" i="6"/>
  <c r="Y344" i="6"/>
  <c r="Y309" i="6"/>
  <c r="Y43" i="6"/>
  <c r="Y350" i="6"/>
  <c r="Y249" i="6"/>
  <c r="Y380" i="6"/>
  <c r="Y306" i="6"/>
  <c r="Y461" i="6"/>
  <c r="Y233" i="6"/>
  <c r="Y336" i="6"/>
  <c r="Y371" i="6"/>
  <c r="Y312" i="6"/>
  <c r="Y15" i="6"/>
  <c r="Y295" i="6"/>
  <c r="Y436" i="6"/>
  <c r="Y107" i="6"/>
  <c r="Y308" i="6"/>
  <c r="Y437" i="6"/>
  <c r="Y131" i="6"/>
  <c r="Y198" i="6"/>
  <c r="Y242" i="6"/>
  <c r="Y353" i="6"/>
  <c r="Y477" i="6"/>
  <c r="Y476" i="6"/>
  <c r="Y367" i="6"/>
  <c r="Y20" i="6"/>
  <c r="Y334" i="6"/>
  <c r="Y298" i="6"/>
  <c r="Y290" i="6"/>
  <c r="Y394" i="6"/>
  <c r="Y264" i="6"/>
  <c r="Y418" i="6"/>
  <c r="Y401" i="6"/>
  <c r="Y34" i="6"/>
  <c r="Y444" i="6"/>
  <c r="Y430" i="6"/>
  <c r="Y361" i="6"/>
  <c r="Y456" i="6"/>
  <c r="Y221" i="6"/>
  <c r="Y411" i="6"/>
  <c r="Y459" i="6"/>
  <c r="Y109" i="6"/>
  <c r="Y293" i="6"/>
  <c r="Y449" i="6"/>
  <c r="Y372" i="6"/>
  <c r="Y304" i="6"/>
  <c r="Y288" i="6"/>
  <c r="Y282" i="6"/>
  <c r="Y307" i="6"/>
  <c r="Y340" i="6"/>
  <c r="Y357" i="6"/>
  <c r="Y287" i="6"/>
  <c r="Y428" i="6"/>
  <c r="Y389" i="6"/>
  <c r="Y419" i="6"/>
  <c r="Y349" i="6"/>
  <c r="Y261" i="6"/>
  <c r="Y441" i="6"/>
  <c r="Y67" i="6"/>
  <c r="Y460" i="6"/>
  <c r="Y381" i="6"/>
  <c r="Y440" i="6"/>
  <c r="Y300" i="6"/>
  <c r="Y390" i="6"/>
  <c r="Y195" i="6"/>
  <c r="Y451" i="6"/>
  <c r="Y210" i="6"/>
  <c r="Y153" i="6"/>
  <c r="Y223" i="6"/>
  <c r="Y78" i="6"/>
  <c r="Y129" i="6"/>
  <c r="Y167" i="6"/>
  <c r="Y218" i="6"/>
  <c r="Y315" i="6"/>
  <c r="Y474" i="6"/>
  <c r="Y187" i="6"/>
  <c r="Y231" i="6"/>
  <c r="Y310" i="6"/>
  <c r="Y302" i="6"/>
  <c r="Y294" i="6"/>
  <c r="Y270" i="6"/>
  <c r="Y321" i="6"/>
  <c r="Y462" i="6"/>
  <c r="Y277" i="6"/>
  <c r="Y116" i="6"/>
  <c r="Y25" i="6"/>
  <c r="Y175" i="6"/>
  <c r="Y10" i="6"/>
  <c r="Y66" i="6"/>
  <c r="Y463" i="6"/>
  <c r="Y31" i="6"/>
  <c r="Y11" i="6"/>
  <c r="Y155" i="6"/>
  <c r="Y427" i="6"/>
  <c r="Y417" i="6"/>
  <c r="Y278" i="6"/>
  <c r="Y328" i="6"/>
  <c r="Y173" i="6"/>
  <c r="Y238" i="6"/>
  <c r="Y263" i="6"/>
  <c r="Y348" i="6"/>
  <c r="Y373" i="6"/>
  <c r="Y274" i="6"/>
  <c r="Y199" i="6"/>
  <c r="Y412" i="6"/>
  <c r="Y246" i="6"/>
  <c r="Y40" i="6"/>
  <c r="Y262" i="6"/>
  <c r="Y32" i="6"/>
  <c r="Y105" i="6"/>
  <c r="Y151" i="6"/>
  <c r="Y194" i="6"/>
  <c r="Y337" i="6"/>
  <c r="Y316" i="6"/>
  <c r="Y342" i="6"/>
  <c r="Y448" i="6"/>
  <c r="Y91" i="6"/>
  <c r="Y208" i="6"/>
  <c r="Y254" i="6"/>
  <c r="Y232" i="6"/>
  <c r="Y226" i="6"/>
  <c r="Y206" i="6"/>
  <c r="Y296" i="6"/>
  <c r="Y450" i="6"/>
  <c r="Y445" i="6"/>
  <c r="Y322" i="6"/>
  <c r="Y90" i="6"/>
  <c r="Y142" i="6"/>
  <c r="Y248" i="6"/>
  <c r="Y443" i="6"/>
  <c r="Y237" i="6"/>
  <c r="Y168" i="6"/>
  <c r="Y259" i="6"/>
  <c r="Y205" i="6"/>
  <c r="Y458" i="6"/>
  <c r="Y28" i="6"/>
  <c r="Y119" i="6"/>
  <c r="Y166" i="6"/>
  <c r="Y413" i="6"/>
  <c r="Y23" i="6"/>
  <c r="Y325" i="6"/>
  <c r="Y434" i="6"/>
  <c r="Y473" i="6"/>
  <c r="Y391" i="6"/>
  <c r="Y128" i="6"/>
  <c r="Y234" i="6"/>
  <c r="Y269" i="6"/>
  <c r="Y182" i="6"/>
  <c r="Y207" i="6"/>
  <c r="Y204" i="6"/>
  <c r="Y189" i="6"/>
  <c r="Y352" i="6"/>
  <c r="Y433" i="6"/>
  <c r="Y386" i="6"/>
  <c r="Y260" i="6"/>
  <c r="Y368" i="6"/>
  <c r="Y209" i="6"/>
  <c r="Y225" i="6"/>
  <c r="Y104" i="6"/>
  <c r="Y148" i="6"/>
  <c r="Y216" i="6"/>
  <c r="Y299" i="6"/>
  <c r="Y291" i="6"/>
  <c r="Y256" i="6"/>
  <c r="Y139" i="6"/>
  <c r="Y181" i="6"/>
  <c r="Y160" i="6"/>
  <c r="Y177" i="6"/>
  <c r="Y165" i="6"/>
  <c r="Y317" i="6"/>
  <c r="Y318" i="6"/>
  <c r="Y141" i="6"/>
  <c r="Y243" i="6"/>
  <c r="Y29" i="6"/>
  <c r="Y202" i="6"/>
  <c r="Y414" i="6"/>
  <c r="Y370" i="6"/>
  <c r="Y49" i="6"/>
  <c r="Y126" i="6"/>
  <c r="Y193" i="6"/>
  <c r="Y319" i="6"/>
  <c r="Y297" i="6"/>
  <c r="Y346" i="6"/>
  <c r="Y89" i="6"/>
  <c r="Y115" i="6"/>
  <c r="Y137" i="6"/>
  <c r="Y136" i="6"/>
  <c r="Y158" i="6"/>
  <c r="Y159" i="6"/>
  <c r="Y253" i="6"/>
  <c r="Y241" i="6"/>
  <c r="Y285" i="6"/>
  <c r="Y133" i="6"/>
  <c r="Y332" i="6"/>
  <c r="Y335" i="6"/>
  <c r="Y161" i="6"/>
  <c r="Y227" i="6"/>
  <c r="Y272" i="6"/>
  <c r="Y356" i="6"/>
  <c r="Y410" i="6"/>
  <c r="Y86" i="6"/>
  <c r="Y171" i="6"/>
  <c r="Y351" i="6"/>
  <c r="Y305" i="6"/>
  <c r="Y343" i="6"/>
  <c r="Y330" i="6"/>
  <c r="Y286" i="6"/>
  <c r="Y55" i="6"/>
  <c r="Y152" i="6"/>
  <c r="Y220" i="6"/>
  <c r="Y333" i="6"/>
  <c r="Y453" i="6"/>
  <c r="Y284" i="6"/>
  <c r="Y44" i="6"/>
  <c r="Y88" i="6"/>
  <c r="Y172" i="6"/>
  <c r="Y292" i="6"/>
  <c r="Y38" i="6"/>
  <c r="Y114" i="6"/>
  <c r="Y180" i="6"/>
  <c r="Y245" i="6"/>
  <c r="Y331" i="6"/>
  <c r="Y452" i="6"/>
  <c r="Y138" i="6"/>
  <c r="Y247" i="6"/>
  <c r="Y455" i="6"/>
  <c r="Y376" i="6"/>
  <c r="Y377" i="6"/>
  <c r="Y378" i="6"/>
  <c r="Y112" i="6"/>
  <c r="Y240" i="6"/>
  <c r="Y279" i="6"/>
  <c r="Y156" i="6"/>
  <c r="Y320" i="6"/>
  <c r="Y383" i="6"/>
  <c r="Y150" i="6"/>
  <c r="Y212" i="6"/>
  <c r="Y82" i="6"/>
  <c r="Y250" i="6"/>
  <c r="Y399" i="6"/>
  <c r="Y140" i="6"/>
  <c r="Y329" i="6"/>
  <c r="Y359" i="6"/>
  <c r="Y134" i="6"/>
  <c r="Y196" i="6"/>
  <c r="Y70" i="6"/>
  <c r="Y145" i="6"/>
  <c r="Y252" i="6"/>
  <c r="Y65" i="6"/>
  <c r="Y162" i="6"/>
  <c r="Y236" i="6"/>
  <c r="Y398" i="6"/>
  <c r="Z7" i="6"/>
  <c r="Z358" i="6" s="1"/>
  <c r="Y58" i="6"/>
  <c r="Y222" i="6"/>
  <c r="Y472" i="6"/>
  <c r="Y124" i="6"/>
  <c r="Y280" i="6"/>
  <c r="Y385" i="6"/>
  <c r="Y118" i="6"/>
  <c r="Y178" i="6"/>
  <c r="X5" i="6"/>
  <c r="Y62" i="6"/>
  <c r="Y92" i="6"/>
  <c r="Y93" i="6"/>
  <c r="Y94" i="6"/>
  <c r="Y421" i="6"/>
  <c r="Y96" i="6"/>
  <c r="Y283" i="6"/>
  <c r="Y21" i="6"/>
  <c r="Y183" i="6"/>
  <c r="Y429" i="6"/>
  <c r="Y63" i="6"/>
  <c r="Y149" i="6"/>
  <c r="Y267" i="6"/>
  <c r="Y19" i="6"/>
  <c r="Y229" i="6"/>
  <c r="Y382" i="6"/>
  <c r="Y79" i="6"/>
  <c r="Y323" i="6"/>
  <c r="Y213" i="6"/>
  <c r="Y314" i="6"/>
  <c r="Z266" i="6" l="1"/>
  <c r="Z265" i="6"/>
  <c r="Z73" i="6"/>
  <c r="Z402" i="6"/>
  <c r="Z403" i="6"/>
  <c r="Z404" i="6"/>
  <c r="Z405" i="6"/>
  <c r="Z406" i="6"/>
  <c r="Z407" i="6"/>
  <c r="Z408" i="6"/>
  <c r="Z464" i="6"/>
  <c r="Z465" i="6"/>
  <c r="Z466" i="6"/>
  <c r="Z467" i="6"/>
  <c r="Z468" i="6"/>
  <c r="Z469" i="6"/>
  <c r="Z186" i="6"/>
  <c r="Z51" i="6"/>
  <c r="Z52" i="6"/>
  <c r="Z53" i="6"/>
  <c r="Z482" i="6"/>
  <c r="Z485" i="6"/>
  <c r="Z480" i="6"/>
  <c r="Z486" i="6"/>
  <c r="Z487" i="6"/>
  <c r="Z483" i="6"/>
  <c r="Z481" i="6"/>
  <c r="Z484" i="6"/>
  <c r="Z158" i="6"/>
  <c r="Z191" i="6"/>
  <c r="Z478" i="6"/>
  <c r="Z479" i="6"/>
  <c r="Z198" i="6"/>
  <c r="Z180" i="6"/>
  <c r="Z365" i="6"/>
  <c r="Z422" i="6"/>
  <c r="Z423" i="6"/>
  <c r="Z424" i="6"/>
  <c r="Z425" i="6"/>
  <c r="Z426" i="6"/>
  <c r="Z133" i="6"/>
  <c r="Z324" i="6"/>
  <c r="Z97" i="6"/>
  <c r="Z98" i="6"/>
  <c r="Z99" i="6"/>
  <c r="Z165" i="6"/>
  <c r="Z32" i="6"/>
  <c r="Z12" i="6"/>
  <c r="Z362" i="6"/>
  <c r="Z75" i="6"/>
  <c r="Z343" i="6"/>
  <c r="Z308" i="6"/>
  <c r="Z382" i="6"/>
  <c r="Z446" i="6"/>
  <c r="Z301" i="6"/>
  <c r="Z13" i="6"/>
  <c r="Z344" i="6"/>
  <c r="Z449" i="6"/>
  <c r="Z428" i="6"/>
  <c r="Z271" i="6"/>
  <c r="Z440" i="6"/>
  <c r="Z142" i="6"/>
  <c r="Z470" i="6"/>
  <c r="Z135" i="6"/>
  <c r="Z41" i="6"/>
  <c r="Z152" i="6"/>
  <c r="Z126" i="6"/>
  <c r="Z60" i="6"/>
  <c r="Z383" i="6"/>
  <c r="Z23" i="6"/>
  <c r="Z82" i="6"/>
  <c r="Z8" i="6"/>
  <c r="Z459" i="6"/>
  <c r="Z354" i="6"/>
  <c r="Z316" i="6"/>
  <c r="Y5" i="6"/>
  <c r="Z390" i="6"/>
  <c r="Z245" i="6"/>
  <c r="Z49" i="6"/>
  <c r="Z114" i="6"/>
  <c r="Z347" i="6"/>
  <c r="Z157" i="6"/>
  <c r="Z64" i="6"/>
  <c r="Z291" i="6"/>
  <c r="Z62" i="6"/>
  <c r="Z86" i="6"/>
  <c r="Z345" i="6"/>
  <c r="Z297" i="6"/>
  <c r="Z125" i="6"/>
  <c r="Z145" i="6"/>
  <c r="Z281" i="6"/>
  <c r="Z248" i="6"/>
  <c r="Z349" i="6"/>
  <c r="Z87" i="6"/>
  <c r="Z240" i="6"/>
  <c r="Z231" i="6"/>
  <c r="Z280" i="6"/>
  <c r="Z255" i="6"/>
  <c r="Z306" i="6"/>
  <c r="Z410" i="6"/>
  <c r="Z259" i="6"/>
  <c r="Z208" i="6"/>
  <c r="Z392" i="6"/>
  <c r="Z350" i="6"/>
  <c r="Z254" i="6"/>
  <c r="Z272" i="6"/>
  <c r="Z342" i="6"/>
  <c r="Z235" i="6"/>
  <c r="Z412" i="6"/>
  <c r="Z132" i="6"/>
  <c r="Z374" i="6"/>
  <c r="Z116" i="6"/>
  <c r="Z274" i="6"/>
  <c r="Z84" i="6"/>
  <c r="Z326" i="6"/>
  <c r="Z329" i="6"/>
  <c r="Z335" i="6"/>
  <c r="Z247" i="6"/>
  <c r="Z251" i="6"/>
  <c r="Z474" i="6"/>
  <c r="Z430" i="6"/>
  <c r="Z119" i="6"/>
  <c r="Z36" i="6"/>
  <c r="Z141" i="6"/>
  <c r="Z452" i="6"/>
  <c r="Z234" i="6"/>
  <c r="Z366" i="6"/>
  <c r="Z333" i="6"/>
  <c r="Z241" i="6"/>
  <c r="Z357" i="6"/>
  <c r="Z311" i="6"/>
  <c r="Z112" i="6"/>
  <c r="Z61" i="6"/>
  <c r="Z293" i="6"/>
  <c r="Z396" i="6"/>
  <c r="Z477" i="6"/>
  <c r="Z42" i="6"/>
  <c r="Z340" i="6"/>
  <c r="Z375" i="6"/>
  <c r="Z200" i="6"/>
  <c r="Z339" i="6"/>
  <c r="Z457" i="6"/>
  <c r="Z25" i="6"/>
  <c r="Z258" i="6"/>
  <c r="Z50" i="6"/>
  <c r="Z359" i="6"/>
  <c r="Z443" i="6"/>
  <c r="Z284" i="6"/>
  <c r="Z210" i="6"/>
  <c r="Z433" i="6"/>
  <c r="Z55" i="6"/>
  <c r="Z348" i="6"/>
  <c r="Z364" i="6"/>
  <c r="Z175" i="6"/>
  <c r="Z398" i="6"/>
  <c r="Z309" i="6"/>
  <c r="Z31" i="6"/>
  <c r="Z224" i="6"/>
  <c r="Z110" i="6"/>
  <c r="Z109" i="6"/>
  <c r="Z286" i="6"/>
  <c r="Z278" i="6"/>
  <c r="Z320" i="6"/>
  <c r="Z219" i="6"/>
  <c r="Z218" i="6"/>
  <c r="Z215" i="6"/>
  <c r="Z149" i="6"/>
  <c r="Z287" i="6"/>
  <c r="Z72" i="6"/>
  <c r="Z313" i="6"/>
  <c r="Z107" i="6"/>
  <c r="Z381" i="6"/>
  <c r="Z437" i="6"/>
  <c r="Z69" i="6"/>
  <c r="Z312" i="6"/>
  <c r="Z397" i="6"/>
  <c r="Z193" i="6"/>
  <c r="Z418" i="6"/>
  <c r="Z29" i="6"/>
  <c r="Z275" i="6"/>
  <c r="Z334" i="6"/>
  <c r="Z367" i="6"/>
  <c r="Z192" i="6"/>
  <c r="Z317" i="6"/>
  <c r="Z91" i="6"/>
  <c r="Z80" i="6"/>
  <c r="Z322" i="6"/>
  <c r="Z321" i="6"/>
  <c r="Z411" i="6"/>
  <c r="Z185" i="6"/>
  <c r="Z184" i="6"/>
  <c r="Z181" i="6"/>
  <c r="Z431" i="6"/>
  <c r="Z117" i="6"/>
  <c r="Z288" i="6"/>
  <c r="Z33" i="6"/>
  <c r="Z244" i="6"/>
  <c r="Z83" i="6"/>
  <c r="Z93" i="6"/>
  <c r="Z95" i="6"/>
  <c r="Z203" i="6"/>
  <c r="Z199" i="6"/>
  <c r="Z282" i="6"/>
  <c r="Z389" i="6"/>
  <c r="Z174" i="6"/>
  <c r="Z44" i="6"/>
  <c r="Z43" i="6"/>
  <c r="Z237" i="6"/>
  <c r="Z236" i="6"/>
  <c r="Z368" i="6"/>
  <c r="Z170" i="6"/>
  <c r="Z169" i="6"/>
  <c r="Z166" i="6"/>
  <c r="Z394" i="6"/>
  <c r="Z100" i="6"/>
  <c r="Z257" i="6"/>
  <c r="Z15" i="6"/>
  <c r="Z228" i="6"/>
  <c r="Z48" i="6"/>
  <c r="Z92" i="6"/>
  <c r="Z71" i="6"/>
  <c r="Z246" i="6"/>
  <c r="Z232" i="6"/>
  <c r="Z277" i="6"/>
  <c r="Z416" i="6"/>
  <c r="Z161" i="6"/>
  <c r="Z346" i="6"/>
  <c r="Z413" i="6"/>
  <c r="Z201" i="6"/>
  <c r="Z427" i="6"/>
  <c r="Z46" i="6"/>
  <c r="Z299" i="6"/>
  <c r="Z355" i="6"/>
  <c r="Z167" i="6"/>
  <c r="Z252" i="6"/>
  <c r="Z268" i="6"/>
  <c r="Z159" i="6"/>
  <c r="Z318" i="6"/>
  <c r="Z27" i="6"/>
  <c r="Z26" i="6"/>
  <c r="Z221" i="6"/>
  <c r="Z220" i="6"/>
  <c r="Z473" i="6"/>
  <c r="Z154" i="6"/>
  <c r="Z153" i="6"/>
  <c r="Z150" i="6"/>
  <c r="Z295" i="6"/>
  <c r="Z90" i="6"/>
  <c r="Z319" i="6"/>
  <c r="Z391" i="6"/>
  <c r="Z212" i="6"/>
  <c r="AA7" i="6"/>
  <c r="AA358" i="6" s="1"/>
  <c r="Z88" i="6"/>
  <c r="Z336" i="6"/>
  <c r="Z471" i="6"/>
  <c r="Z136" i="6"/>
  <c r="Z261" i="6"/>
  <c r="Z183" i="6"/>
  <c r="Z242" i="6"/>
  <c r="Z450" i="6"/>
  <c r="Z102" i="6"/>
  <c r="Z243" i="6"/>
  <c r="Z458" i="6"/>
  <c r="Z143" i="6"/>
  <c r="Z302" i="6"/>
  <c r="Z294" i="6"/>
  <c r="Z276" i="6"/>
  <c r="Z205" i="6"/>
  <c r="Z204" i="6"/>
  <c r="Z453" i="6"/>
  <c r="Z138" i="6"/>
  <c r="Z137" i="6"/>
  <c r="Z134" i="6"/>
  <c r="Z328" i="6"/>
  <c r="Z250" i="6"/>
  <c r="Z384" i="6"/>
  <c r="Z196" i="6"/>
  <c r="Z17" i="6"/>
  <c r="Z128" i="6"/>
  <c r="Z371" i="6"/>
  <c r="Z225" i="6"/>
  <c r="Z434" i="6"/>
  <c r="Z262" i="6"/>
  <c r="Z176" i="6"/>
  <c r="Z19" i="6"/>
  <c r="Z227" i="6"/>
  <c r="Z441" i="6"/>
  <c r="Z127" i="6"/>
  <c r="Z273" i="6"/>
  <c r="Z263" i="6"/>
  <c r="Z363" i="6"/>
  <c r="Z188" i="6"/>
  <c r="Z187" i="6"/>
  <c r="Z436" i="6"/>
  <c r="Z122" i="6"/>
  <c r="Z121" i="6"/>
  <c r="Z118" i="6"/>
  <c r="Z296" i="6"/>
  <c r="Z34" i="6"/>
  <c r="Z74" i="6"/>
  <c r="Z414" i="6"/>
  <c r="Z178" i="6"/>
  <c r="Z14" i="6"/>
  <c r="Z400" i="6"/>
  <c r="Z476" i="6"/>
  <c r="Z216" i="6"/>
  <c r="Z57" i="6"/>
  <c r="Z120" i="6"/>
  <c r="Z160" i="6"/>
  <c r="Z151" i="6"/>
  <c r="Z341" i="6"/>
  <c r="Z253" i="6"/>
  <c r="Z37" i="6"/>
  <c r="Z113" i="6"/>
  <c r="Z264" i="6"/>
  <c r="Z387" i="6"/>
  <c r="Z211" i="6"/>
  <c r="Z111" i="6"/>
  <c r="Z325" i="6"/>
  <c r="Z323" i="6"/>
  <c r="Z292" i="6"/>
  <c r="Z172" i="6"/>
  <c r="Z171" i="6"/>
  <c r="Z419" i="6"/>
  <c r="Z105" i="6"/>
  <c r="Z104" i="6"/>
  <c r="Z101" i="6"/>
  <c r="Z267" i="6"/>
  <c r="Z16" i="6"/>
  <c r="Z229" i="6"/>
  <c r="Z415" i="6"/>
  <c r="Z163" i="6"/>
  <c r="Z455" i="6"/>
  <c r="Z376" i="6"/>
  <c r="Z377" i="6"/>
  <c r="Z378" i="6"/>
  <c r="Z226" i="6"/>
  <c r="Z454" i="6"/>
  <c r="Z194" i="6"/>
  <c r="Z283" i="6"/>
  <c r="Z66" i="6"/>
  <c r="Z239" i="6"/>
  <c r="Z238" i="6"/>
  <c r="Z475" i="6"/>
  <c r="Z156" i="6"/>
  <c r="Z155" i="6"/>
  <c r="Z409" i="6"/>
  <c r="Z65" i="6"/>
  <c r="Z337" i="6"/>
  <c r="Z213" i="6"/>
  <c r="Z462" i="6"/>
  <c r="Z147" i="6"/>
  <c r="Z67" i="6"/>
  <c r="Z78" i="6"/>
  <c r="Z420" i="6"/>
  <c r="Z380" i="6"/>
  <c r="Z89" i="6"/>
  <c r="Z439" i="6"/>
  <c r="Z10" i="6"/>
  <c r="Z298" i="6"/>
  <c r="Z233" i="6"/>
  <c r="Z401" i="6"/>
  <c r="Z177" i="6"/>
  <c r="Z327" i="6"/>
  <c r="Z45" i="6"/>
  <c r="Z223" i="6"/>
  <c r="Z222" i="6"/>
  <c r="Z456" i="6"/>
  <c r="Z140" i="6"/>
  <c r="Z139" i="6"/>
  <c r="Z290" i="6"/>
  <c r="Z59" i="6"/>
  <c r="Z58" i="6"/>
  <c r="Z54" i="6"/>
  <c r="Z249" i="6"/>
  <c r="Z388" i="6"/>
  <c r="Z197" i="6"/>
  <c r="Z445" i="6"/>
  <c r="Z131" i="6"/>
  <c r="Z56" i="6"/>
  <c r="Z94" i="6"/>
  <c r="Z372" i="6"/>
  <c r="Z460" i="6"/>
  <c r="Z79" i="6"/>
  <c r="Z30" i="6"/>
  <c r="Z195" i="6"/>
  <c r="Z96" i="6"/>
  <c r="Z47" i="6"/>
  <c r="Z162" i="6"/>
  <c r="Z28" i="6"/>
  <c r="Z206" i="6"/>
  <c r="Z438" i="6"/>
  <c r="Z124" i="6"/>
  <c r="Z123" i="6"/>
  <c r="Z330" i="6"/>
  <c r="Z40" i="6"/>
  <c r="Z38" i="6"/>
  <c r="Z35" i="6"/>
  <c r="Z9" i="6"/>
  <c r="Z179" i="6"/>
  <c r="Z429" i="6"/>
  <c r="Z115" i="6"/>
  <c r="Z39" i="6"/>
  <c r="Z338" i="6"/>
  <c r="Z202" i="6"/>
  <c r="Z448" i="6"/>
  <c r="Z305" i="6"/>
  <c r="Z331" i="6"/>
  <c r="Z373" i="6"/>
  <c r="Z352" i="6"/>
  <c r="Z472" i="6"/>
  <c r="Z144" i="6"/>
  <c r="Z303" i="6"/>
  <c r="Z379" i="6"/>
  <c r="Z70" i="6"/>
  <c r="Z451" i="6"/>
  <c r="Z103" i="6"/>
  <c r="Z461" i="6"/>
  <c r="Z146" i="6"/>
  <c r="Z332" i="6"/>
  <c r="Z370" i="6"/>
  <c r="Z190" i="6"/>
  <c r="Z189" i="6"/>
  <c r="Z421" i="6"/>
  <c r="Z108" i="6"/>
  <c r="Z106" i="6"/>
  <c r="Z307" i="6"/>
  <c r="Z22" i="6"/>
  <c r="Z21" i="6"/>
  <c r="Z18" i="6"/>
  <c r="Z230" i="6"/>
  <c r="Z256" i="6"/>
  <c r="Z164" i="6"/>
  <c r="Z386" i="6"/>
  <c r="Z81" i="6"/>
  <c r="Z24" i="6"/>
  <c r="Z351" i="6"/>
  <c r="Z300" i="6"/>
  <c r="Z369" i="6"/>
  <c r="Z395" i="6"/>
  <c r="Z361" i="6"/>
  <c r="Z289" i="6"/>
  <c r="Z129" i="6"/>
  <c r="Z269" i="6"/>
  <c r="Z11" i="6"/>
  <c r="Z209" i="6"/>
  <c r="Z432" i="6"/>
  <c r="Z315" i="6"/>
  <c r="Z360" i="6"/>
  <c r="Z168" i="6"/>
  <c r="Z285" i="6"/>
  <c r="Z207" i="6"/>
  <c r="Z442" i="6"/>
  <c r="Z314" i="6"/>
  <c r="Z217" i="6"/>
  <c r="Z435" i="6"/>
  <c r="Z304" i="6"/>
  <c r="Z393" i="6"/>
  <c r="Z182" i="6"/>
  <c r="Z417" i="6"/>
  <c r="Z20" i="6"/>
  <c r="Z444" i="6"/>
  <c r="Z130" i="6"/>
  <c r="Z310" i="6"/>
  <c r="Z385" i="6"/>
  <c r="Z173" i="6"/>
  <c r="Z77" i="6"/>
  <c r="Z356" i="6"/>
  <c r="Z85" i="6"/>
  <c r="Z68" i="6"/>
  <c r="Z270" i="6"/>
  <c r="Z260" i="6"/>
  <c r="Z353" i="6"/>
  <c r="Z399" i="6"/>
  <c r="Z214" i="6"/>
  <c r="Z463" i="6"/>
  <c r="Z148" i="6"/>
  <c r="Z279" i="6"/>
  <c r="Z63" i="6"/>
  <c r="Z76" i="6"/>
  <c r="AA266" i="6" l="1"/>
  <c r="AA265" i="6"/>
  <c r="AA73" i="6"/>
  <c r="AA402" i="6"/>
  <c r="AA403" i="6"/>
  <c r="AA404" i="6"/>
  <c r="AA405" i="6"/>
  <c r="AA406" i="6"/>
  <c r="AA407" i="6"/>
  <c r="AA408" i="6"/>
  <c r="AA464" i="6"/>
  <c r="AA465" i="6"/>
  <c r="AA466" i="6"/>
  <c r="AA467" i="6"/>
  <c r="AA468" i="6"/>
  <c r="AA469" i="6"/>
  <c r="AA186" i="6"/>
  <c r="AA51" i="6"/>
  <c r="AA52" i="6"/>
  <c r="AA53" i="6"/>
  <c r="AA482" i="6"/>
  <c r="AA485" i="6"/>
  <c r="AA480" i="6"/>
  <c r="AA486" i="6"/>
  <c r="AA487" i="6"/>
  <c r="AA483" i="6"/>
  <c r="AA481" i="6"/>
  <c r="AA484" i="6"/>
  <c r="AA191" i="6"/>
  <c r="AA479" i="6"/>
  <c r="AA478" i="6"/>
  <c r="AA422" i="6"/>
  <c r="AA423" i="6"/>
  <c r="AA424" i="6"/>
  <c r="AA425" i="6"/>
  <c r="AA426" i="6"/>
  <c r="AA324" i="6"/>
  <c r="AA98" i="6"/>
  <c r="AA99" i="6"/>
  <c r="AA97" i="6"/>
  <c r="AA394" i="6"/>
  <c r="AA268" i="6"/>
  <c r="AA362" i="6"/>
  <c r="AA343" i="6"/>
  <c r="AA137" i="6"/>
  <c r="AA54" i="6"/>
  <c r="AA433" i="6"/>
  <c r="AA38" i="6"/>
  <c r="AA379" i="6"/>
  <c r="AA130" i="6"/>
  <c r="AA363" i="6"/>
  <c r="AA292" i="6"/>
  <c r="AA118" i="6"/>
  <c r="AA23" i="6"/>
  <c r="AA327" i="6"/>
  <c r="AA11" i="6"/>
  <c r="AA96" i="6"/>
  <c r="AA108" i="6"/>
  <c r="AA215" i="6"/>
  <c r="AA319" i="6"/>
  <c r="AA139" i="6"/>
  <c r="AA162" i="6"/>
  <c r="AA90" i="6"/>
  <c r="AA276" i="6"/>
  <c r="AA286" i="6"/>
  <c r="AA249" i="6"/>
  <c r="AA307" i="6"/>
  <c r="AA345" i="6"/>
  <c r="AA65" i="6"/>
  <c r="AA311" i="6"/>
  <c r="AA182" i="6"/>
  <c r="AA197" i="6"/>
  <c r="AA152" i="6"/>
  <c r="AA234" i="6"/>
  <c r="AA269" i="6"/>
  <c r="AA287" i="6"/>
  <c r="AA175" i="6"/>
  <c r="AA80" i="6"/>
  <c r="AA106" i="6"/>
  <c r="AA280" i="6"/>
  <c r="AA48" i="6"/>
  <c r="AA87" i="6"/>
  <c r="AA333" i="6"/>
  <c r="AA29" i="6"/>
  <c r="AA459" i="6"/>
  <c r="AA131" i="6"/>
  <c r="AA202" i="6"/>
  <c r="AA103" i="6"/>
  <c r="AA13" i="6"/>
  <c r="AA360" i="6"/>
  <c r="AA129" i="6"/>
  <c r="AA192" i="6"/>
  <c r="AA390" i="6"/>
  <c r="AA371" i="6"/>
  <c r="AA383" i="6"/>
  <c r="AA250" i="6"/>
  <c r="AA150" i="6"/>
  <c r="AA396" i="6"/>
  <c r="AA100" i="6"/>
  <c r="AA147" i="6"/>
  <c r="AA445" i="6"/>
  <c r="AA357" i="6"/>
  <c r="AA148" i="6"/>
  <c r="AA401" i="6"/>
  <c r="AA409" i="6"/>
  <c r="AA119" i="6"/>
  <c r="AA28" i="6"/>
  <c r="AA69" i="6"/>
  <c r="AA359" i="6"/>
  <c r="AA224" i="6"/>
  <c r="AA92" i="6"/>
  <c r="AA179" i="6"/>
  <c r="AA74" i="6"/>
  <c r="AA200" i="6"/>
  <c r="AA270" i="6"/>
  <c r="AA434" i="6"/>
  <c r="AA356" i="6"/>
  <c r="AA180" i="6"/>
  <c r="AA313" i="6"/>
  <c r="AA205" i="6"/>
  <c r="Z5" i="6"/>
  <c r="AA455" i="6"/>
  <c r="AA376" i="6"/>
  <c r="AA377" i="6"/>
  <c r="AA378" i="6"/>
  <c r="AA237" i="6"/>
  <c r="AA328" i="6"/>
  <c r="AA334" i="6"/>
  <c r="AA386" i="6"/>
  <c r="AA306" i="6"/>
  <c r="AA388" i="6"/>
  <c r="AA64" i="6"/>
  <c r="AA63" i="6"/>
  <c r="AA177" i="6"/>
  <c r="AA278" i="6"/>
  <c r="AA346" i="6"/>
  <c r="AA443" i="6"/>
  <c r="AA290" i="6"/>
  <c r="AA159" i="6"/>
  <c r="AA17" i="6"/>
  <c r="AA392" i="6"/>
  <c r="AA217" i="6"/>
  <c r="AA277" i="6"/>
  <c r="AA57" i="6"/>
  <c r="AA155" i="6"/>
  <c r="AA214" i="6"/>
  <c r="AA442" i="6"/>
  <c r="AA141" i="6"/>
  <c r="AA458" i="6"/>
  <c r="AA43" i="6"/>
  <c r="AA274" i="6"/>
  <c r="AA368" i="6"/>
  <c r="AA134" i="6"/>
  <c r="AA281" i="6"/>
  <c r="AA329" i="6"/>
  <c r="AA456" i="6"/>
  <c r="AA397" i="6"/>
  <c r="AA37" i="6"/>
  <c r="AA36" i="6"/>
  <c r="AA255" i="6"/>
  <c r="AA308" i="6"/>
  <c r="AA299" i="6"/>
  <c r="AA421" i="6"/>
  <c r="AA355" i="6"/>
  <c r="AA22" i="6"/>
  <c r="AA173" i="6"/>
  <c r="AA30" i="6"/>
  <c r="AA317" i="6"/>
  <c r="AA204" i="6"/>
  <c r="AA232" i="6"/>
  <c r="AA40" i="6"/>
  <c r="AA222" i="6"/>
  <c r="AA239" i="6"/>
  <c r="AA120" i="6"/>
  <c r="AA212" i="6"/>
  <c r="AA252" i="6"/>
  <c r="AA288" i="6"/>
  <c r="AA58" i="6"/>
  <c r="AA184" i="6"/>
  <c r="AA248" i="6"/>
  <c r="AA181" i="6"/>
  <c r="AA367" i="6"/>
  <c r="AA8" i="6"/>
  <c r="AA112" i="6"/>
  <c r="AA151" i="6"/>
  <c r="AA166" i="6"/>
  <c r="AA262" i="6"/>
  <c r="AA432" i="6"/>
  <c r="AA10" i="6"/>
  <c r="AA384" i="6"/>
  <c r="AA370" i="6"/>
  <c r="AA121" i="6"/>
  <c r="AA246" i="6"/>
  <c r="AA352" i="6"/>
  <c r="AA325" i="6"/>
  <c r="AA303" i="6"/>
  <c r="AA79" i="6"/>
  <c r="AA14" i="6"/>
  <c r="AA279" i="6"/>
  <c r="AA168" i="6"/>
  <c r="AA244" i="6"/>
  <c r="AA25" i="6"/>
  <c r="AA243" i="6"/>
  <c r="AA158" i="6"/>
  <c r="AA373" i="6"/>
  <c r="AA83" i="6"/>
  <c r="AA219" i="6"/>
  <c r="AA472" i="6"/>
  <c r="AA460" i="6"/>
  <c r="AA140" i="6"/>
  <c r="AA77" i="6"/>
  <c r="AA193" i="6"/>
  <c r="AA273" i="6"/>
  <c r="AA348" i="6"/>
  <c r="AA431" i="6"/>
  <c r="AA477" i="6"/>
  <c r="AA374" i="6"/>
  <c r="AA91" i="6"/>
  <c r="AA228" i="6"/>
  <c r="AA233" i="6"/>
  <c r="AA291" i="6"/>
  <c r="AA420" i="6"/>
  <c r="AA298" i="6"/>
  <c r="AA21" i="6"/>
  <c r="AA220" i="6"/>
  <c r="AA452" i="6"/>
  <c r="AA138" i="6"/>
  <c r="AA339" i="6"/>
  <c r="AA416" i="6"/>
  <c r="AA109" i="6"/>
  <c r="AA127" i="6"/>
  <c r="AA347" i="6"/>
  <c r="AA49" i="6"/>
  <c r="AA354" i="6"/>
  <c r="AA245" i="6"/>
  <c r="AA369" i="6"/>
  <c r="AA453" i="6"/>
  <c r="AA380" i="6"/>
  <c r="AA62" i="6"/>
  <c r="AA156" i="6"/>
  <c r="AA230" i="6"/>
  <c r="AA353" i="6"/>
  <c r="AA314" i="6"/>
  <c r="AA463" i="6"/>
  <c r="AA198" i="6"/>
  <c r="AA111" i="6"/>
  <c r="AA435" i="6"/>
  <c r="AA174" i="6"/>
  <c r="AA123" i="6"/>
  <c r="AA461" i="6"/>
  <c r="AA135" i="6"/>
  <c r="AA149" i="6"/>
  <c r="AA322" i="6"/>
  <c r="AA33" i="6"/>
  <c r="AA271" i="6"/>
  <c r="AA448" i="6"/>
  <c r="AA309" i="6"/>
  <c r="AA32" i="6"/>
  <c r="AA226" i="6"/>
  <c r="AA331" i="6"/>
  <c r="AA418" i="6"/>
  <c r="AA59" i="6"/>
  <c r="AA208" i="6"/>
  <c r="AA444" i="6"/>
  <c r="AA157" i="6"/>
  <c r="AA128" i="6"/>
  <c r="AA310" i="6"/>
  <c r="AA18" i="6"/>
  <c r="AA12" i="6"/>
  <c r="AA223" i="6"/>
  <c r="AA338" i="6"/>
  <c r="AA441" i="6"/>
  <c r="AA107" i="6"/>
  <c r="AA167" i="6"/>
  <c r="AA344" i="6"/>
  <c r="AA66" i="6"/>
  <c r="AA225" i="6"/>
  <c r="AA46" i="6"/>
  <c r="AA335" i="6"/>
  <c r="AA412" i="6"/>
  <c r="AA411" i="6"/>
  <c r="AA171" i="6"/>
  <c r="AA430" i="6"/>
  <c r="AA172" i="6"/>
  <c r="AA440" i="6"/>
  <c r="AA413" i="6"/>
  <c r="AA398" i="6"/>
  <c r="AA399" i="6"/>
  <c r="AA183" i="6"/>
  <c r="AA365" i="6"/>
  <c r="AA387" i="6"/>
  <c r="AA124" i="6"/>
  <c r="AA283" i="6"/>
  <c r="AA419" i="6"/>
  <c r="AA142" i="6"/>
  <c r="AA154" i="6"/>
  <c r="AA9" i="6"/>
  <c r="AA242" i="6"/>
  <c r="AA428" i="6"/>
  <c r="AA136" i="6"/>
  <c r="AA84" i="6"/>
  <c r="AA297" i="6"/>
  <c r="AA76" i="6"/>
  <c r="AA438" i="6"/>
  <c r="AA321" i="6"/>
  <c r="AA190" i="6"/>
  <c r="AA336" i="6"/>
  <c r="AA261" i="6"/>
  <c r="AA196" i="6"/>
  <c r="AA56" i="6"/>
  <c r="AA305" i="6"/>
  <c r="AA16" i="6"/>
  <c r="AA211" i="6"/>
  <c r="AA389" i="6"/>
  <c r="AA178" i="6"/>
  <c r="AA231" i="6"/>
  <c r="AA315" i="6"/>
  <c r="AA437" i="6"/>
  <c r="AB7" i="6"/>
  <c r="AB358" i="6" s="1"/>
  <c r="AA462" i="6"/>
  <c r="AA144" i="6"/>
  <c r="AA229" i="6"/>
  <c r="AA332" i="6"/>
  <c r="AA476" i="6"/>
  <c r="AA89" i="6"/>
  <c r="AA247" i="6"/>
  <c r="AA42" i="6"/>
  <c r="AA474" i="6"/>
  <c r="AA238" i="6"/>
  <c r="AA350" i="6"/>
  <c r="AA289" i="6"/>
  <c r="AA320" i="6"/>
  <c r="AA439" i="6"/>
  <c r="AA71" i="6"/>
  <c r="AA161" i="6"/>
  <c r="AA203" i="6"/>
  <c r="AA302" i="6"/>
  <c r="AA301" i="6"/>
  <c r="AA451" i="6"/>
  <c r="AA375" i="6"/>
  <c r="AA60" i="6"/>
  <c r="AA117" i="6"/>
  <c r="AA251" i="6"/>
  <c r="AA337" i="6"/>
  <c r="AA295" i="6"/>
  <c r="AA169" i="6"/>
  <c r="AA176" i="6"/>
  <c r="AA293" i="6"/>
  <c r="AA27" i="6"/>
  <c r="AA201" i="6"/>
  <c r="AA382" i="6"/>
  <c r="AA85" i="6"/>
  <c r="AA67" i="6"/>
  <c r="AA258" i="6"/>
  <c r="AA75" i="6"/>
  <c r="AA393" i="6"/>
  <c r="AA47" i="6"/>
  <c r="AA260" i="6"/>
  <c r="AA410" i="6"/>
  <c r="AA26" i="6"/>
  <c r="AA102" i="6"/>
  <c r="AA263" i="6"/>
  <c r="AA132" i="6"/>
  <c r="AA259" i="6"/>
  <c r="AA88" i="6"/>
  <c r="AA209" i="6"/>
  <c r="AA45" i="6"/>
  <c r="AA194" i="6"/>
  <c r="AA417" i="6"/>
  <c r="AA341" i="6"/>
  <c r="AA41" i="6"/>
  <c r="AA163" i="6"/>
  <c r="AA113" i="6"/>
  <c r="AA318" i="6"/>
  <c r="AA429" i="6"/>
  <c r="AA381" i="6"/>
  <c r="AA31" i="6"/>
  <c r="AA86" i="6"/>
  <c r="AA104" i="6"/>
  <c r="AA218" i="6"/>
  <c r="AA312" i="6"/>
  <c r="AA105" i="6"/>
  <c r="AA95" i="6"/>
  <c r="AA272" i="6"/>
  <c r="AA414" i="6"/>
  <c r="AA187" i="6"/>
  <c r="AA326" i="6"/>
  <c r="AA68" i="6"/>
  <c r="AA50" i="6"/>
  <c r="AA188" i="6"/>
  <c r="AA454" i="6"/>
  <c r="AA385" i="6"/>
  <c r="AA473" i="6"/>
  <c r="AA342" i="6"/>
  <c r="AA221" i="6"/>
  <c r="AA294" i="6"/>
  <c r="AA361" i="6"/>
  <c r="AA340" i="6"/>
  <c r="AA55" i="6"/>
  <c r="AA114" i="6"/>
  <c r="AA216" i="6"/>
  <c r="AA275" i="6"/>
  <c r="AA133" i="6"/>
  <c r="AA78" i="6"/>
  <c r="AA267" i="6"/>
  <c r="AA207" i="6"/>
  <c r="AA153" i="6"/>
  <c r="AA330" i="6"/>
  <c r="AA34" i="6"/>
  <c r="AA227" i="6"/>
  <c r="AA470" i="6"/>
  <c r="AA284" i="6"/>
  <c r="AA116" i="6"/>
  <c r="AA164" i="6"/>
  <c r="AA285" i="6"/>
  <c r="AA61" i="6"/>
  <c r="AA206" i="6"/>
  <c r="AA165" i="6"/>
  <c r="AA110" i="6"/>
  <c r="AA253" i="6"/>
  <c r="AA240" i="6"/>
  <c r="AA241" i="6"/>
  <c r="AA72" i="6"/>
  <c r="AA372" i="6"/>
  <c r="AA143" i="6"/>
  <c r="AA415" i="6"/>
  <c r="AA395" i="6"/>
  <c r="AA145" i="6"/>
  <c r="AA475" i="6"/>
  <c r="AA366" i="6"/>
  <c r="AA125" i="6"/>
  <c r="AA264" i="6"/>
  <c r="AA15" i="6"/>
  <c r="AA304" i="6"/>
  <c r="AA457" i="6"/>
  <c r="AA400" i="6"/>
  <c r="AA70" i="6"/>
  <c r="AA146" i="6"/>
  <c r="AA195" i="6"/>
  <c r="AA213" i="6"/>
  <c r="AA449" i="6"/>
  <c r="AA364" i="6"/>
  <c r="AA24" i="6"/>
  <c r="AA101" i="6"/>
  <c r="AA189" i="6"/>
  <c r="AA323" i="6"/>
  <c r="AA115" i="6"/>
  <c r="AA199" i="6"/>
  <c r="AA170" i="6"/>
  <c r="AA349" i="6"/>
  <c r="AA35" i="6"/>
  <c r="AA19" i="6"/>
  <c r="AA94" i="6"/>
  <c r="AA160" i="6"/>
  <c r="AA446" i="6"/>
  <c r="AA296" i="6"/>
  <c r="AA300" i="6"/>
  <c r="AA126" i="6"/>
  <c r="AA257" i="6"/>
  <c r="AA436" i="6"/>
  <c r="AA39" i="6"/>
  <c r="AA254" i="6"/>
  <c r="AA185" i="6"/>
  <c r="AA236" i="6"/>
  <c r="AA427" i="6"/>
  <c r="AA471" i="6"/>
  <c r="AA391" i="6"/>
  <c r="AA81" i="6"/>
  <c r="AA256" i="6"/>
  <c r="AA210" i="6"/>
  <c r="AA82" i="6"/>
  <c r="AA44" i="6"/>
  <c r="AA316" i="6"/>
  <c r="AA450" i="6"/>
  <c r="AA122" i="6"/>
  <c r="AA351" i="6"/>
  <c r="AA20" i="6"/>
  <c r="AA282" i="6"/>
  <c r="AA235" i="6"/>
  <c r="AA93" i="6"/>
  <c r="AB265" i="6" l="1"/>
  <c r="AB266" i="6"/>
  <c r="AB73" i="6"/>
  <c r="AB402" i="6"/>
  <c r="AB403" i="6"/>
  <c r="AB404" i="6"/>
  <c r="AB405" i="6"/>
  <c r="AB406" i="6"/>
  <c r="AB407" i="6"/>
  <c r="AB408" i="6"/>
  <c r="AB464" i="6"/>
  <c r="AB465" i="6"/>
  <c r="AB466" i="6"/>
  <c r="AB467" i="6"/>
  <c r="AB468" i="6"/>
  <c r="AB469" i="6"/>
  <c r="AB186" i="6"/>
  <c r="AB51" i="6"/>
  <c r="AB52" i="6"/>
  <c r="AB53" i="6"/>
  <c r="AB482" i="6"/>
  <c r="AB485" i="6"/>
  <c r="AB480" i="6"/>
  <c r="AB486" i="6"/>
  <c r="AB487" i="6"/>
  <c r="AB483" i="6"/>
  <c r="AB481" i="6"/>
  <c r="AB484" i="6"/>
  <c r="AB191" i="6"/>
  <c r="AB479" i="6"/>
  <c r="AB478" i="6"/>
  <c r="AB320" i="6"/>
  <c r="AB425" i="6"/>
  <c r="AB424" i="6"/>
  <c r="AB422" i="6"/>
  <c r="AB423" i="6"/>
  <c r="AB426" i="6"/>
  <c r="AB437" i="6"/>
  <c r="AB324" i="6"/>
  <c r="AB97" i="6"/>
  <c r="AB98" i="6"/>
  <c r="AB99" i="6"/>
  <c r="AB126" i="6"/>
  <c r="AB163" i="6"/>
  <c r="AB362" i="6"/>
  <c r="AB363" i="6"/>
  <c r="AB219" i="6"/>
  <c r="AB166" i="6"/>
  <c r="AB303" i="6"/>
  <c r="AB304" i="6"/>
  <c r="AB314" i="6"/>
  <c r="AB238" i="6"/>
  <c r="AB63" i="6"/>
  <c r="AB421" i="6"/>
  <c r="AB55" i="6"/>
  <c r="AB46" i="6"/>
  <c r="AB71" i="6"/>
  <c r="AB367" i="6"/>
  <c r="AB38" i="6"/>
  <c r="AB31" i="6"/>
  <c r="AB110" i="6"/>
  <c r="AB234" i="6"/>
  <c r="AB132" i="6"/>
  <c r="AB182" i="6"/>
  <c r="AB284" i="6"/>
  <c r="AB268" i="6"/>
  <c r="AB17" i="6"/>
  <c r="AB346" i="6"/>
  <c r="AB218" i="6"/>
  <c r="AB433" i="6"/>
  <c r="AB476" i="6"/>
  <c r="AB352" i="6"/>
  <c r="AB113" i="6"/>
  <c r="AB414" i="6"/>
  <c r="AB128" i="6"/>
  <c r="AB250" i="6"/>
  <c r="AB119" i="6"/>
  <c r="AB281" i="6"/>
  <c r="AB368" i="6"/>
  <c r="AB263" i="6"/>
  <c r="AB85" i="6"/>
  <c r="AB330" i="6"/>
  <c r="AB161" i="6"/>
  <c r="AB68" i="6"/>
  <c r="AB475" i="6"/>
  <c r="AB24" i="6"/>
  <c r="AB418" i="6"/>
  <c r="AB448" i="6"/>
  <c r="AB400" i="6"/>
  <c r="AB351" i="6"/>
  <c r="AB323" i="6"/>
  <c r="AB348" i="6"/>
  <c r="AB435" i="6"/>
  <c r="AB309" i="6"/>
  <c r="AB101" i="6"/>
  <c r="AB432" i="6"/>
  <c r="AB217" i="6"/>
  <c r="AB306" i="6"/>
  <c r="AB167" i="6"/>
  <c r="AB168" i="6"/>
  <c r="AB343" i="6"/>
  <c r="AB78" i="6"/>
  <c r="AB108" i="6"/>
  <c r="AB327" i="6"/>
  <c r="AB183" i="6"/>
  <c r="AB61" i="6"/>
  <c r="AB401" i="6"/>
  <c r="AB267" i="6"/>
  <c r="AB246" i="6"/>
  <c r="AB305" i="6"/>
  <c r="AB417" i="6"/>
  <c r="AB154" i="6"/>
  <c r="AB114" i="6"/>
  <c r="AB312" i="6"/>
  <c r="AB388" i="6"/>
  <c r="AB23" i="6"/>
  <c r="AB202" i="6"/>
  <c r="AB136" i="6"/>
  <c r="AB169" i="6"/>
  <c r="AB44" i="6"/>
  <c r="AB239" i="6"/>
  <c r="AB142" i="6"/>
  <c r="AB174" i="6"/>
  <c r="AB130" i="6"/>
  <c r="AB296" i="6"/>
  <c r="AB111" i="6"/>
  <c r="AB357" i="6"/>
  <c r="AB87" i="6"/>
  <c r="AB109" i="6"/>
  <c r="AB105" i="6"/>
  <c r="AB441" i="6"/>
  <c r="AB29" i="6"/>
  <c r="AB104" i="6"/>
  <c r="AB371" i="6"/>
  <c r="AB70" i="6"/>
  <c r="AB416" i="6"/>
  <c r="AB135" i="6"/>
  <c r="AB133" i="6"/>
  <c r="AB384" i="6"/>
  <c r="AB13" i="6"/>
  <c r="AB280" i="6"/>
  <c r="AB337" i="6"/>
  <c r="AB60" i="6"/>
  <c r="AB326" i="6"/>
  <c r="AB349" i="6"/>
  <c r="AB76" i="6"/>
  <c r="AB100" i="6"/>
  <c r="AB190" i="6"/>
  <c r="AB155" i="6"/>
  <c r="AB244" i="6"/>
  <c r="AB382" i="6"/>
  <c r="AB149" i="6"/>
  <c r="AB213" i="6"/>
  <c r="AB245" i="6"/>
  <c r="AB222" i="6"/>
  <c r="AB43" i="6"/>
  <c r="AB221" i="6"/>
  <c r="AB153" i="6"/>
  <c r="AB311" i="6"/>
  <c r="AB430" i="6"/>
  <c r="AB201" i="6"/>
  <c r="AB11" i="6"/>
  <c r="AB247" i="6"/>
  <c r="AB459" i="6"/>
  <c r="AB333" i="6"/>
  <c r="AB75" i="6"/>
  <c r="AB397" i="6"/>
  <c r="AB77" i="6"/>
  <c r="AB59" i="6"/>
  <c r="AB415" i="6"/>
  <c r="AB353" i="6"/>
  <c r="AB198" i="6"/>
  <c r="AB58" i="6"/>
  <c r="AB48" i="6"/>
  <c r="AB315" i="6"/>
  <c r="AB386" i="6"/>
  <c r="AB28" i="6"/>
  <c r="AB205" i="6"/>
  <c r="AB204" i="6"/>
  <c r="AB295" i="6"/>
  <c r="AB361" i="6"/>
  <c r="AB86" i="6"/>
  <c r="AB451" i="6"/>
  <c r="AB231" i="6"/>
  <c r="AB398" i="6"/>
  <c r="AB79" i="6"/>
  <c r="AB445" i="6"/>
  <c r="AB474" i="6"/>
  <c r="AB229" i="6"/>
  <c r="AB9" i="6"/>
  <c r="AB107" i="6"/>
  <c r="AB54" i="6"/>
  <c r="AB188" i="6"/>
  <c r="AB454" i="6"/>
  <c r="AB471" i="6"/>
  <c r="AB255" i="6"/>
  <c r="AB370" i="6"/>
  <c r="AB298" i="6"/>
  <c r="AB106" i="6"/>
  <c r="AB157" i="6"/>
  <c r="AB290" i="6"/>
  <c r="AB66" i="6"/>
  <c r="AB41" i="6"/>
  <c r="AB438" i="6"/>
  <c r="AB187" i="6"/>
  <c r="AB215" i="6"/>
  <c r="AB62" i="6"/>
  <c r="AB127" i="6"/>
  <c r="AB102" i="6"/>
  <c r="AB165" i="6"/>
  <c r="AB160" i="6"/>
  <c r="AB261" i="6"/>
  <c r="AB150" i="6"/>
  <c r="AB21" i="6"/>
  <c r="AB199" i="6"/>
  <c r="AB442" i="6"/>
  <c r="AB45" i="6"/>
  <c r="AB253" i="6"/>
  <c r="AB262" i="6"/>
  <c r="AB12" i="6"/>
  <c r="AB477" i="6"/>
  <c r="AB158" i="6"/>
  <c r="AB214" i="6"/>
  <c r="AB372" i="6"/>
  <c r="AB207" i="6"/>
  <c r="AB42" i="6"/>
  <c r="AB419" i="6"/>
  <c r="AB347" i="6"/>
  <c r="AB364" i="6"/>
  <c r="AB90" i="6"/>
  <c r="AB89" i="6"/>
  <c r="AB145" i="6"/>
  <c r="AB341" i="6"/>
  <c r="AB10" i="6"/>
  <c r="AB248" i="6"/>
  <c r="AB120" i="6"/>
  <c r="AB409" i="6"/>
  <c r="AB30" i="6"/>
  <c r="AB342" i="6"/>
  <c r="AB237" i="6"/>
  <c r="AB82" i="6"/>
  <c r="AB279" i="6"/>
  <c r="AB146" i="6"/>
  <c r="AB412" i="6"/>
  <c r="AB18" i="6"/>
  <c r="AB197" i="6"/>
  <c r="AB410" i="6"/>
  <c r="AB27" i="6"/>
  <c r="AB331" i="6"/>
  <c r="AB440" i="6"/>
  <c r="AB360" i="6"/>
  <c r="AB72" i="6"/>
  <c r="AB162" i="6"/>
  <c r="AB260" i="6"/>
  <c r="AB427" i="6"/>
  <c r="AB232" i="6"/>
  <c r="AB84" i="6"/>
  <c r="AB350" i="6"/>
  <c r="AB14" i="6"/>
  <c r="AB289" i="6"/>
  <c r="AB189" i="6"/>
  <c r="AB436" i="6"/>
  <c r="AB369" i="6"/>
  <c r="AB103" i="6"/>
  <c r="AB428" i="6"/>
  <c r="AB334" i="6"/>
  <c r="AB65" i="6"/>
  <c r="AB443" i="6"/>
  <c r="AB316" i="6"/>
  <c r="AB373" i="6"/>
  <c r="AB56" i="6"/>
  <c r="AB137" i="6"/>
  <c r="AB216" i="6"/>
  <c r="AB359" i="6"/>
  <c r="AB387" i="6"/>
  <c r="AB283" i="6"/>
  <c r="AB413" i="6"/>
  <c r="AB383" i="6"/>
  <c r="AB446" i="6"/>
  <c r="AB300" i="6"/>
  <c r="AB458" i="6"/>
  <c r="AB457" i="6"/>
  <c r="AB39" i="6"/>
  <c r="AB251" i="6"/>
  <c r="AB159" i="6"/>
  <c r="AB340" i="6"/>
  <c r="AB200" i="6"/>
  <c r="AB444" i="6"/>
  <c r="AB319" i="6"/>
  <c r="AB392" i="6"/>
  <c r="AB318" i="6"/>
  <c r="AB332" i="6"/>
  <c r="AB35" i="6"/>
  <c r="AB19" i="6"/>
  <c r="AB228" i="6"/>
  <c r="AB243" i="6"/>
  <c r="AB302" i="6"/>
  <c r="AB317" i="6"/>
  <c r="AB470" i="6"/>
  <c r="AB293" i="6"/>
  <c r="AB339" i="6"/>
  <c r="AB20" i="6"/>
  <c r="AB399" i="6"/>
  <c r="AB212" i="6"/>
  <c r="AB227" i="6"/>
  <c r="AB286" i="6"/>
  <c r="AB301" i="6"/>
  <c r="AB37" i="6"/>
  <c r="AB322" i="6"/>
  <c r="AB196" i="6"/>
  <c r="AB270" i="6"/>
  <c r="AB285" i="6"/>
  <c r="AB461" i="6"/>
  <c r="AB180" i="6"/>
  <c r="AB116" i="6"/>
  <c r="AB134" i="6"/>
  <c r="AB91" i="6"/>
  <c r="AB256" i="6"/>
  <c r="AB118" i="6"/>
  <c r="AB74" i="6"/>
  <c r="AB170" i="6"/>
  <c r="AB434" i="6"/>
  <c r="AB203" i="6"/>
  <c r="AB325" i="6"/>
  <c r="AB22" i="6"/>
  <c r="AB129" i="6"/>
  <c r="AB308" i="6"/>
  <c r="AB393" i="6"/>
  <c r="AB178" i="6"/>
  <c r="AB195" i="6"/>
  <c r="AB131" i="6"/>
  <c r="AB269" i="6"/>
  <c r="AB211" i="6"/>
  <c r="AB282" i="6"/>
  <c r="AB449" i="6"/>
  <c r="AB230" i="6"/>
  <c r="AB26" i="6"/>
  <c r="AB344" i="6"/>
  <c r="AB57" i="6"/>
  <c r="AB252" i="6"/>
  <c r="AB365" i="6"/>
  <c r="AB185" i="6"/>
  <c r="AB310" i="6"/>
  <c r="AB354" i="6"/>
  <c r="AB151" i="6"/>
  <c r="AB292" i="6"/>
  <c r="AB291" i="6"/>
  <c r="AB462" i="6"/>
  <c r="AB177" i="6"/>
  <c r="AB194" i="6"/>
  <c r="AB123" i="6"/>
  <c r="AA5" i="6"/>
  <c r="AB345" i="6"/>
  <c r="AB336" i="6"/>
  <c r="AB49" i="6"/>
  <c r="AB299" i="6"/>
  <c r="AB240" i="6"/>
  <c r="AB138" i="6"/>
  <c r="AB273" i="6"/>
  <c r="AB264" i="6"/>
  <c r="AB379" i="6"/>
  <c r="AB115" i="6"/>
  <c r="AB124" i="6"/>
  <c r="AB375" i="6"/>
  <c r="AB224" i="6"/>
  <c r="AB328" i="6"/>
  <c r="AB25" i="6"/>
  <c r="AB236" i="6"/>
  <c r="AB456" i="6"/>
  <c r="AB152" i="6"/>
  <c r="AB294" i="6"/>
  <c r="AB277" i="6"/>
  <c r="AB249" i="6"/>
  <c r="AB276" i="6"/>
  <c r="AB275" i="6"/>
  <c r="AB81" i="6"/>
  <c r="AB176" i="6"/>
  <c r="AB140" i="6"/>
  <c r="AB259" i="6"/>
  <c r="AB374" i="6"/>
  <c r="AB206" i="6"/>
  <c r="AB141" i="6"/>
  <c r="AB254" i="6"/>
  <c r="AB472" i="6"/>
  <c r="AB33" i="6"/>
  <c r="AB223" i="6"/>
  <c r="AB450" i="6"/>
  <c r="AB208" i="6"/>
  <c r="AB297" i="6"/>
  <c r="AB366" i="6"/>
  <c r="AB220" i="6"/>
  <c r="AB431" i="6"/>
  <c r="AB88" i="6"/>
  <c r="AB278" i="6"/>
  <c r="AB172" i="6"/>
  <c r="AB233" i="6"/>
  <c r="AB258" i="6"/>
  <c r="AB257" i="6"/>
  <c r="AB473" i="6"/>
  <c r="AB389" i="6"/>
  <c r="AB80" i="6"/>
  <c r="AB96" i="6"/>
  <c r="AB455" i="6"/>
  <c r="AB376" i="6"/>
  <c r="AB377" i="6"/>
  <c r="AB378" i="6"/>
  <c r="AB181" i="6"/>
  <c r="AB335" i="6"/>
  <c r="AB64" i="6"/>
  <c r="AB287" i="6"/>
  <c r="AB15" i="6"/>
  <c r="AB148" i="6"/>
  <c r="AB381" i="6"/>
  <c r="AB241" i="6"/>
  <c r="AB94" i="6"/>
  <c r="AB47" i="6"/>
  <c r="AB271" i="6"/>
  <c r="AB391" i="6"/>
  <c r="AB171" i="6"/>
  <c r="AB453" i="6"/>
  <c r="AB225" i="6"/>
  <c r="AB93" i="6"/>
  <c r="AB32" i="6"/>
  <c r="AB139" i="6"/>
  <c r="AB396" i="6"/>
  <c r="AB117" i="6"/>
  <c r="AB390" i="6"/>
  <c r="AB209" i="6"/>
  <c r="AB92" i="6"/>
  <c r="AB69" i="6"/>
  <c r="AB121" i="6"/>
  <c r="AB338" i="6"/>
  <c r="AB67" i="6"/>
  <c r="AB288" i="6"/>
  <c r="AB16" i="6"/>
  <c r="AB156" i="6"/>
  <c r="AB385" i="6"/>
  <c r="AB242" i="6"/>
  <c r="AB193" i="6"/>
  <c r="AB36" i="6"/>
  <c r="AB321" i="6"/>
  <c r="AB50" i="6"/>
  <c r="AB272" i="6"/>
  <c r="AB395" i="6"/>
  <c r="AB226" i="6"/>
  <c r="AB439" i="6"/>
  <c r="AB175" i="6"/>
  <c r="AB184" i="6"/>
  <c r="AB356" i="6"/>
  <c r="AB143" i="6"/>
  <c r="AB112" i="6"/>
  <c r="AB83" i="6"/>
  <c r="AB274" i="6"/>
  <c r="AB460" i="6"/>
  <c r="AB329" i="6"/>
  <c r="AB179" i="6"/>
  <c r="AB420" i="6"/>
  <c r="AB173" i="6"/>
  <c r="AB463" i="6"/>
  <c r="AB192" i="6"/>
  <c r="AB313" i="6"/>
  <c r="AB40" i="6"/>
  <c r="AB122" i="6"/>
  <c r="AB355" i="6"/>
  <c r="AB235" i="6"/>
  <c r="AB429" i="6"/>
  <c r="AB144" i="6"/>
  <c r="AB452" i="6"/>
  <c r="AB411" i="6"/>
  <c r="AB164" i="6"/>
  <c r="AB307" i="6"/>
  <c r="AB34" i="6"/>
  <c r="AB147" i="6"/>
  <c r="AB8" i="6"/>
  <c r="AB125" i="6"/>
  <c r="AB394" i="6"/>
  <c r="AB210" i="6"/>
  <c r="AB380" i="6"/>
  <c r="AB95" i="6"/>
  <c r="AB5" i="6" l="1"/>
</calcChain>
</file>

<file path=xl/sharedStrings.xml><?xml version="1.0" encoding="utf-8"?>
<sst xmlns="http://schemas.openxmlformats.org/spreadsheetml/2006/main" count="4655" uniqueCount="2042">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</sst>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6"/>
  <sheetViews>
    <sheetView tabSelected="1" zoomScaleNormal="100" workbookViewId="0">
      <pane ySplit="7" topLeftCell="A114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114</v>
      </c>
      <c r="F3" s="5">
        <f>+AD6</f>
        <v>93</v>
      </c>
      <c r="G3" s="5">
        <f>+AF6</f>
        <v>90</v>
      </c>
      <c r="H3" s="5">
        <f>+E3-G3</f>
        <v>24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147</v>
      </c>
      <c r="G4" s="7">
        <f>+AG6</f>
        <v>130</v>
      </c>
      <c r="H4" s="5">
        <f>+E4-G4</f>
        <v>196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440</v>
      </c>
      <c r="F5" s="8">
        <f>+F3+F4</f>
        <v>240</v>
      </c>
      <c r="G5" s="8">
        <f>+G3+G4</f>
        <v>220</v>
      </c>
      <c r="H5" s="8">
        <f>+H3+H4</f>
        <v>220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SUM(S8:S2429)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SUM(AD8:AD1698)</f>
        <v>93</v>
      </c>
      <c r="AE6" s="1">
        <f t="shared" si="1"/>
        <v>147</v>
      </c>
      <c r="AF6" s="1">
        <f t="shared" si="1"/>
        <v>90</v>
      </c>
      <c r="AG6" s="1">
        <f t="shared" si="1"/>
        <v>130</v>
      </c>
      <c r="AH6" s="1">
        <f t="shared" si="1"/>
        <v>114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44">
        <v>0</v>
      </c>
      <c r="B11" s="44">
        <v>1</v>
      </c>
      <c r="C11" s="44">
        <v>1</v>
      </c>
      <c r="D11" s="45" t="s">
        <v>1032</v>
      </c>
      <c r="E11" s="45" t="s">
        <v>174</v>
      </c>
      <c r="F11" s="45" t="s">
        <v>1090</v>
      </c>
      <c r="G11" s="45" t="s">
        <v>39</v>
      </c>
      <c r="H11" s="45" t="s">
        <v>1033</v>
      </c>
      <c r="I11" s="44" t="s">
        <v>1112</v>
      </c>
      <c r="J11" s="44">
        <v>16</v>
      </c>
      <c r="K11" s="46" t="s">
        <v>962</v>
      </c>
      <c r="L11" s="46">
        <v>45</v>
      </c>
      <c r="M11" s="47" t="s">
        <v>1377</v>
      </c>
      <c r="N11" s="47" t="s">
        <v>1802</v>
      </c>
      <c r="O11" s="48"/>
      <c r="P11" s="48"/>
      <c r="Q11" s="45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4">
        <v>0</v>
      </c>
      <c r="B55" s="44">
        <v>1</v>
      </c>
      <c r="C55" s="44">
        <v>2</v>
      </c>
      <c r="D55" s="45" t="s">
        <v>1639</v>
      </c>
      <c r="E55" s="45" t="s">
        <v>175</v>
      </c>
      <c r="F55" s="45" t="s">
        <v>1665</v>
      </c>
      <c r="G55" s="45" t="s">
        <v>1666</v>
      </c>
      <c r="H55" s="45" t="s">
        <v>354</v>
      </c>
      <c r="I55" s="44" t="s">
        <v>1478</v>
      </c>
      <c r="J55" s="44">
        <v>99</v>
      </c>
      <c r="K55" s="46" t="s">
        <v>702</v>
      </c>
      <c r="L55" s="46">
        <v>45</v>
      </c>
      <c r="M55" s="47" t="s">
        <v>39</v>
      </c>
      <c r="N55" s="47" t="s">
        <v>1741</v>
      </c>
      <c r="O55" s="48"/>
      <c r="P55" s="48"/>
      <c r="Q55" s="45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8">
        <v>0</v>
      </c>
      <c r="B63" s="38">
        <v>1</v>
      </c>
      <c r="C63" s="38">
        <v>2</v>
      </c>
      <c r="D63" s="39" t="s">
        <v>569</v>
      </c>
      <c r="E63" s="39" t="s">
        <v>579</v>
      </c>
      <c r="F63" s="39" t="s">
        <v>558</v>
      </c>
      <c r="G63" s="39" t="s">
        <v>262</v>
      </c>
      <c r="H63" s="39" t="s">
        <v>354</v>
      </c>
      <c r="I63" s="38" t="s">
        <v>559</v>
      </c>
      <c r="J63" s="38">
        <v>99</v>
      </c>
      <c r="K63" s="40" t="s">
        <v>956</v>
      </c>
      <c r="L63" s="40" t="s">
        <v>39</v>
      </c>
      <c r="M63" s="41" t="s">
        <v>39</v>
      </c>
      <c r="N63" s="42"/>
      <c r="O63" s="43"/>
      <c r="P63" s="43">
        <v>1</v>
      </c>
      <c r="Q63" s="39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170</v>
      </c>
      <c r="F82" s="16" t="s">
        <v>576</v>
      </c>
      <c r="G82" s="16" t="s">
        <v>39</v>
      </c>
      <c r="H82" s="16" t="s">
        <v>373</v>
      </c>
      <c r="I82" s="15" t="s">
        <v>471</v>
      </c>
      <c r="J82" s="15">
        <v>18</v>
      </c>
      <c r="K82" s="10" t="s">
        <v>703</v>
      </c>
      <c r="L82" s="10" t="s">
        <v>695</v>
      </c>
      <c r="M82" s="19" t="s">
        <v>691</v>
      </c>
      <c r="N82" s="17"/>
      <c r="Q82" s="20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s="1" customFormat="1" ht="14.25" customHeight="1" x14ac:dyDescent="0.25">
      <c r="A115" s="31">
        <v>0</v>
      </c>
      <c r="B115" s="31">
        <v>1</v>
      </c>
      <c r="C115" s="31">
        <v>3</v>
      </c>
      <c r="D115" s="32" t="s">
        <v>129</v>
      </c>
      <c r="E115" s="32" t="s">
        <v>170</v>
      </c>
      <c r="F115" s="32" t="s">
        <v>330</v>
      </c>
      <c r="G115" s="32" t="s">
        <v>39</v>
      </c>
      <c r="H115" s="32" t="s">
        <v>371</v>
      </c>
      <c r="I115" s="31" t="s">
        <v>478</v>
      </c>
      <c r="J115" s="31">
        <v>11</v>
      </c>
      <c r="K115" s="33" t="s">
        <v>702</v>
      </c>
      <c r="L115" s="33" t="s">
        <v>39</v>
      </c>
      <c r="M115" s="34" t="s">
        <v>39</v>
      </c>
      <c r="N115" s="34" t="s">
        <v>1733</v>
      </c>
      <c r="O115" s="35">
        <v>1</v>
      </c>
      <c r="P115" s="35">
        <v>1</v>
      </c>
      <c r="Q115" s="32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1</v>
      </c>
      <c r="AE115" s="1">
        <f t="shared" si="68"/>
        <v>0</v>
      </c>
      <c r="AF115" s="1">
        <f t="shared" si="53"/>
        <v>1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s="1" customFormat="1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3" si="97">+O138*P138*(1-A138)</f>
        <v>1</v>
      </c>
      <c r="AG138" s="1">
        <f t="shared" ref="AG138:AG203" si="98">O138*(1-P138)*(1-A138)</f>
        <v>0</v>
      </c>
      <c r="AH138" s="1">
        <f t="shared" ref="AH138:AH203" si="99">+P138*(1-A138)</f>
        <v>1</v>
      </c>
      <c r="AI138" s="1">
        <f t="shared" ref="AI138:AI203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8" si="101">IF(J143=$S$7,1,0)</f>
        <v>0</v>
      </c>
      <c r="T143" s="1">
        <f t="shared" ref="T143:T208" si="102">IF(J143=$T$7,1,0)</f>
        <v>0</v>
      </c>
      <c r="U143" s="1">
        <f t="shared" ref="U143:U208" si="103">IF(J143=$U$7,1,0)</f>
        <v>0</v>
      </c>
      <c r="V143" s="1">
        <f t="shared" ref="V143:V208" si="104">IF(J143=$V$7,1,0)</f>
        <v>0</v>
      </c>
      <c r="W143" s="1">
        <f t="shared" ref="W143:W208" si="105">IF(J143=$W$7,1,0)</f>
        <v>0</v>
      </c>
      <c r="X143" s="1">
        <f t="shared" ref="X143:X208" si="106">IF(J143=$X$7,1,0)</f>
        <v>0</v>
      </c>
      <c r="Y143" s="1">
        <f t="shared" ref="Y143:Y208" si="107">IF(J143=$Y$7,1,0)</f>
        <v>0</v>
      </c>
      <c r="Z143" s="1">
        <f t="shared" ref="Z143:Z208" si="108">IF(J143=$Z$7,1,0)</f>
        <v>0</v>
      </c>
      <c r="AA143" s="1">
        <f t="shared" ref="AA143:AA208" si="109">IF(J143=$AA$7,1,0)</f>
        <v>0</v>
      </c>
      <c r="AB143" s="1">
        <f t="shared" ref="AB143:AB208" si="110">IF(J143=$AB$7,1,0)</f>
        <v>0</v>
      </c>
      <c r="AD143" s="1">
        <f t="shared" ref="AD143:AD208" si="111">+O143*P143</f>
        <v>0</v>
      </c>
      <c r="AE143" s="1">
        <f t="shared" ref="AE143:AE208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si="101"/>
        <v>0</v>
      </c>
      <c r="T155" s="1">
        <f t="shared" si="102"/>
        <v>0</v>
      </c>
      <c r="U155" s="1">
        <f t="shared" si="103"/>
        <v>0</v>
      </c>
      <c r="V155" s="1">
        <f t="shared" si="104"/>
        <v>0</v>
      </c>
      <c r="W155" s="1">
        <f t="shared" si="105"/>
        <v>0</v>
      </c>
      <c r="X155" s="1">
        <f t="shared" si="106"/>
        <v>0</v>
      </c>
      <c r="Y155" s="1">
        <f t="shared" si="107"/>
        <v>0</v>
      </c>
      <c r="Z155" s="1">
        <f t="shared" si="108"/>
        <v>0</v>
      </c>
      <c r="AA155" s="1">
        <f t="shared" si="109"/>
        <v>0</v>
      </c>
      <c r="AB155" s="1">
        <f t="shared" si="110"/>
        <v>0</v>
      </c>
      <c r="AD155" s="1">
        <f t="shared" si="111"/>
        <v>0</v>
      </c>
      <c r="AE155" s="1">
        <f t="shared" si="112"/>
        <v>0</v>
      </c>
      <c r="AF155" s="1">
        <f t="shared" si="97"/>
        <v>0</v>
      </c>
      <c r="AG155" s="1">
        <f t="shared" si="98"/>
        <v>0</v>
      </c>
      <c r="AH155" s="1">
        <f t="shared" si="99"/>
        <v>0</v>
      </c>
      <c r="AI155" s="1">
        <f t="shared" si="10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01"/>
        <v>0</v>
      </c>
      <c r="T156" s="1">
        <f t="shared" si="102"/>
        <v>0</v>
      </c>
      <c r="U156" s="1">
        <f t="shared" si="103"/>
        <v>0</v>
      </c>
      <c r="V156" s="1">
        <f t="shared" si="104"/>
        <v>0</v>
      </c>
      <c r="W156" s="1">
        <f t="shared" si="105"/>
        <v>0</v>
      </c>
      <c r="X156" s="1">
        <f t="shared" si="106"/>
        <v>0</v>
      </c>
      <c r="Y156" s="1">
        <f t="shared" si="107"/>
        <v>0</v>
      </c>
      <c r="Z156" s="1">
        <f t="shared" si="108"/>
        <v>0</v>
      </c>
      <c r="AA156" s="1">
        <f t="shared" si="109"/>
        <v>0</v>
      </c>
      <c r="AB156" s="1">
        <f t="shared" si="110"/>
        <v>0</v>
      </c>
      <c r="AD156" s="1">
        <f t="shared" si="111"/>
        <v>0</v>
      </c>
      <c r="AE156" s="1">
        <f t="shared" si="112"/>
        <v>1</v>
      </c>
      <c r="AF156" s="1">
        <f t="shared" si="97"/>
        <v>0</v>
      </c>
      <c r="AG156" s="1">
        <f t="shared" si="98"/>
        <v>1</v>
      </c>
      <c r="AH156" s="1">
        <f t="shared" si="99"/>
        <v>0</v>
      </c>
      <c r="AI156" s="1">
        <f t="shared" si="100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743</v>
      </c>
      <c r="E157" s="16" t="s">
        <v>170</v>
      </c>
      <c r="F157" s="16" t="s">
        <v>744</v>
      </c>
      <c r="G157" s="16" t="s">
        <v>39</v>
      </c>
      <c r="H157" s="16" t="s">
        <v>745</v>
      </c>
      <c r="I157" s="15" t="s">
        <v>746</v>
      </c>
      <c r="J157" s="15">
        <v>17</v>
      </c>
      <c r="K157" s="10" t="s">
        <v>703</v>
      </c>
      <c r="L157" s="10" t="s">
        <v>697</v>
      </c>
      <c r="M157" s="19" t="s">
        <v>971</v>
      </c>
      <c r="N157" s="17"/>
      <c r="Q157" s="16"/>
      <c r="S157" s="1">
        <f t="shared" si="101"/>
        <v>0</v>
      </c>
      <c r="T157" s="1">
        <f t="shared" si="102"/>
        <v>0</v>
      </c>
      <c r="U157" s="1">
        <f t="shared" si="103"/>
        <v>0</v>
      </c>
      <c r="V157" s="1">
        <f t="shared" si="104"/>
        <v>0</v>
      </c>
      <c r="W157" s="1">
        <f t="shared" si="105"/>
        <v>0</v>
      </c>
      <c r="X157" s="1">
        <f t="shared" si="106"/>
        <v>0</v>
      </c>
      <c r="Y157" s="1">
        <f t="shared" si="107"/>
        <v>0</v>
      </c>
      <c r="Z157" s="1">
        <f t="shared" si="108"/>
        <v>0</v>
      </c>
      <c r="AA157" s="1">
        <f t="shared" si="109"/>
        <v>0</v>
      </c>
      <c r="AB157" s="1">
        <f t="shared" si="110"/>
        <v>0</v>
      </c>
      <c r="AD157" s="1">
        <f t="shared" si="111"/>
        <v>0</v>
      </c>
      <c r="AE157" s="1">
        <f t="shared" si="112"/>
        <v>0</v>
      </c>
      <c r="AF157" s="1">
        <f t="shared" si="97"/>
        <v>0</v>
      </c>
      <c r="AG157" s="1">
        <f t="shared" si="98"/>
        <v>0</v>
      </c>
      <c r="AH157" s="1">
        <f t="shared" si="99"/>
        <v>0</v>
      </c>
      <c r="AI157" s="1">
        <f t="shared" si="100"/>
        <v>1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1947</v>
      </c>
      <c r="E158" s="20" t="s">
        <v>172</v>
      </c>
      <c r="F158" s="20" t="s">
        <v>1958</v>
      </c>
      <c r="G158" s="20"/>
      <c r="H158" s="20" t="s">
        <v>1959</v>
      </c>
      <c r="I158" s="21" t="s">
        <v>1960</v>
      </c>
      <c r="J158" s="15">
        <v>16</v>
      </c>
      <c r="K158" s="10" t="s">
        <v>703</v>
      </c>
      <c r="L158" s="10" t="s">
        <v>697</v>
      </c>
      <c r="M158" s="19" t="s">
        <v>971</v>
      </c>
      <c r="N158" s="17"/>
      <c r="Q158" s="20" t="s">
        <v>1957</v>
      </c>
      <c r="S158" s="1">
        <f t="shared" si="101"/>
        <v>0</v>
      </c>
      <c r="T158" s="1">
        <f t="shared" si="102"/>
        <v>0</v>
      </c>
      <c r="U158" s="1">
        <f t="shared" si="103"/>
        <v>0</v>
      </c>
      <c r="V158" s="1">
        <f t="shared" si="104"/>
        <v>0</v>
      </c>
      <c r="W158" s="1">
        <f t="shared" si="105"/>
        <v>0</v>
      </c>
      <c r="X158" s="1">
        <f t="shared" si="106"/>
        <v>0</v>
      </c>
      <c r="Y158" s="1">
        <f t="shared" si="107"/>
        <v>0</v>
      </c>
      <c r="Z158" s="1">
        <f t="shared" si="108"/>
        <v>0</v>
      </c>
      <c r="AA158" s="1">
        <f t="shared" si="109"/>
        <v>0</v>
      </c>
      <c r="AB158" s="1">
        <f t="shared" si="110"/>
        <v>0</v>
      </c>
      <c r="AD158" s="1">
        <f t="shared" si="111"/>
        <v>0</v>
      </c>
      <c r="AE158" s="1">
        <f t="shared" si="112"/>
        <v>0</v>
      </c>
      <c r="AF158" s="1">
        <f t="shared" si="97"/>
        <v>0</v>
      </c>
      <c r="AG158" s="1">
        <f t="shared" si="98"/>
        <v>0</v>
      </c>
      <c r="AH158" s="1">
        <f t="shared" si="99"/>
        <v>0</v>
      </c>
      <c r="AI158" s="1">
        <f t="shared" si="100"/>
        <v>1</v>
      </c>
    </row>
    <row r="159" spans="1:35" ht="14.25" customHeight="1" x14ac:dyDescent="0.25">
      <c r="A159" s="44">
        <v>0</v>
      </c>
      <c r="B159" s="44">
        <v>1</v>
      </c>
      <c r="C159" s="44">
        <v>3</v>
      </c>
      <c r="D159" s="45" t="s">
        <v>834</v>
      </c>
      <c r="E159" s="45" t="s">
        <v>914</v>
      </c>
      <c r="F159" s="45" t="s">
        <v>835</v>
      </c>
      <c r="G159" s="45" t="s">
        <v>208</v>
      </c>
      <c r="H159" s="45" t="s">
        <v>354</v>
      </c>
      <c r="I159" s="44" t="s">
        <v>836</v>
      </c>
      <c r="J159" s="44">
        <v>3</v>
      </c>
      <c r="K159" s="46" t="s">
        <v>722</v>
      </c>
      <c r="L159" s="46" t="s">
        <v>693</v>
      </c>
      <c r="M159" s="47" t="s">
        <v>698</v>
      </c>
      <c r="N159" s="47" t="s">
        <v>1740</v>
      </c>
      <c r="O159" s="48"/>
      <c r="P159" s="48"/>
      <c r="Q159" s="45"/>
      <c r="S159" s="1">
        <f t="shared" si="101"/>
        <v>0</v>
      </c>
      <c r="T159" s="1">
        <f t="shared" si="102"/>
        <v>0</v>
      </c>
      <c r="U159" s="1">
        <f t="shared" si="103"/>
        <v>1</v>
      </c>
      <c r="V159" s="1">
        <f t="shared" si="104"/>
        <v>0</v>
      </c>
      <c r="W159" s="1">
        <f t="shared" si="105"/>
        <v>0</v>
      </c>
      <c r="X159" s="1">
        <f t="shared" si="106"/>
        <v>0</v>
      </c>
      <c r="Y159" s="1">
        <f t="shared" si="107"/>
        <v>0</v>
      </c>
      <c r="Z159" s="1">
        <f t="shared" si="108"/>
        <v>0</v>
      </c>
      <c r="AA159" s="1">
        <f t="shared" si="109"/>
        <v>0</v>
      </c>
      <c r="AB159" s="1">
        <f t="shared" si="110"/>
        <v>0</v>
      </c>
      <c r="AD159" s="1">
        <f t="shared" si="111"/>
        <v>0</v>
      </c>
      <c r="AE159" s="1">
        <f t="shared" si="112"/>
        <v>0</v>
      </c>
      <c r="AF159" s="1">
        <f t="shared" si="97"/>
        <v>0</v>
      </c>
      <c r="AG159" s="1">
        <f t="shared" si="98"/>
        <v>0</v>
      </c>
      <c r="AH159" s="1">
        <f t="shared" si="99"/>
        <v>0</v>
      </c>
      <c r="AI159" s="1">
        <f t="shared" si="100"/>
        <v>1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1953</v>
      </c>
      <c r="E160" s="20" t="s">
        <v>172</v>
      </c>
      <c r="F160" s="20" t="s">
        <v>1955</v>
      </c>
      <c r="G160" s="20"/>
      <c r="H160" s="20" t="s">
        <v>1956</v>
      </c>
      <c r="I160" s="21" t="s">
        <v>1954</v>
      </c>
      <c r="J160" s="15">
        <v>16</v>
      </c>
      <c r="K160" s="10" t="s">
        <v>703</v>
      </c>
      <c r="L160" s="10" t="s">
        <v>697</v>
      </c>
      <c r="M160" s="19" t="s">
        <v>971</v>
      </c>
      <c r="N160" s="17"/>
      <c r="Q160" s="20" t="s">
        <v>1961</v>
      </c>
      <c r="S160" s="1">
        <f t="shared" si="101"/>
        <v>0</v>
      </c>
      <c r="T160" s="1">
        <f t="shared" si="102"/>
        <v>0</v>
      </c>
      <c r="U160" s="1">
        <f t="shared" si="103"/>
        <v>0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44">
        <v>0</v>
      </c>
      <c r="B161" s="44">
        <v>1</v>
      </c>
      <c r="C161" s="44">
        <v>3</v>
      </c>
      <c r="D161" s="45" t="s">
        <v>1209</v>
      </c>
      <c r="E161" s="45" t="s">
        <v>172</v>
      </c>
      <c r="F161" s="45" t="s">
        <v>1211</v>
      </c>
      <c r="G161" s="45" t="s">
        <v>185</v>
      </c>
      <c r="H161" s="45" t="s">
        <v>354</v>
      </c>
      <c r="I161" s="44" t="s">
        <v>1210</v>
      </c>
      <c r="J161" s="44">
        <v>99</v>
      </c>
      <c r="K161" s="46" t="s">
        <v>958</v>
      </c>
      <c r="L161" s="46" t="s">
        <v>689</v>
      </c>
      <c r="M161" s="47" t="s">
        <v>971</v>
      </c>
      <c r="N161" s="47" t="s">
        <v>1734</v>
      </c>
      <c r="O161" s="48"/>
      <c r="P161" s="48"/>
      <c r="Q161" s="45"/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632</v>
      </c>
      <c r="E162" s="32" t="s">
        <v>170</v>
      </c>
      <c r="F162" s="32" t="s">
        <v>633</v>
      </c>
      <c r="G162" s="32" t="s">
        <v>194</v>
      </c>
      <c r="H162" s="32" t="s">
        <v>354</v>
      </c>
      <c r="I162" s="31" t="s">
        <v>634</v>
      </c>
      <c r="J162" s="31">
        <v>9</v>
      </c>
      <c r="K162" s="33" t="s">
        <v>957</v>
      </c>
      <c r="L162" s="33" t="s">
        <v>1699</v>
      </c>
      <c r="M162" s="34" t="s">
        <v>970</v>
      </c>
      <c r="N162" s="34" t="s">
        <v>1727</v>
      </c>
      <c r="O162" s="35">
        <v>1</v>
      </c>
      <c r="P162" s="35">
        <v>1</v>
      </c>
      <c r="Q162" s="32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1</v>
      </c>
      <c r="AB162" s="1">
        <f t="shared" si="110"/>
        <v>0</v>
      </c>
      <c r="AD162" s="1">
        <f t="shared" si="111"/>
        <v>1</v>
      </c>
      <c r="AE162" s="1">
        <f t="shared" si="112"/>
        <v>0</v>
      </c>
      <c r="AF162" s="1">
        <f t="shared" si="97"/>
        <v>1</v>
      </c>
      <c r="AG162" s="1">
        <f t="shared" si="98"/>
        <v>0</v>
      </c>
      <c r="AH162" s="1">
        <f t="shared" si="99"/>
        <v>1</v>
      </c>
      <c r="AI162" s="1">
        <f t="shared" si="100"/>
        <v>0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132</v>
      </c>
      <c r="E163" s="45" t="s">
        <v>683</v>
      </c>
      <c r="F163" s="45" t="s">
        <v>334</v>
      </c>
      <c r="G163" s="45" t="s">
        <v>39</v>
      </c>
      <c r="H163" s="45" t="s">
        <v>362</v>
      </c>
      <c r="I163" s="44" t="s">
        <v>481</v>
      </c>
      <c r="J163" s="44">
        <v>12</v>
      </c>
      <c r="K163" s="46" t="s">
        <v>722</v>
      </c>
      <c r="L163" s="46">
        <v>35</v>
      </c>
      <c r="M163" s="47" t="s">
        <v>39</v>
      </c>
      <c r="N163" s="47" t="s">
        <v>1802</v>
      </c>
      <c r="O163" s="48"/>
      <c r="P163" s="48"/>
      <c r="Q163" s="45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0</v>
      </c>
      <c r="AB163" s="1">
        <f t="shared" si="110"/>
        <v>0</v>
      </c>
      <c r="AD163" s="1">
        <f t="shared" si="111"/>
        <v>0</v>
      </c>
      <c r="AE163" s="1">
        <f t="shared" si="112"/>
        <v>0</v>
      </c>
      <c r="AF163" s="1">
        <f t="shared" si="97"/>
        <v>0</v>
      </c>
      <c r="AG163" s="1">
        <f t="shared" si="98"/>
        <v>0</v>
      </c>
      <c r="AH163" s="1">
        <f t="shared" si="99"/>
        <v>0</v>
      </c>
      <c r="AI163" s="1">
        <f t="shared" si="100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826</v>
      </c>
      <c r="E164" s="16" t="s">
        <v>172</v>
      </c>
      <c r="F164" s="16" t="s">
        <v>827</v>
      </c>
      <c r="G164" s="16" t="s">
        <v>39</v>
      </c>
      <c r="H164" s="16" t="s">
        <v>375</v>
      </c>
      <c r="I164" s="15" t="s">
        <v>825</v>
      </c>
      <c r="J164" s="15">
        <v>12</v>
      </c>
      <c r="K164" s="10" t="s">
        <v>703</v>
      </c>
      <c r="L164" s="10">
        <v>40</v>
      </c>
      <c r="M164" s="19" t="s">
        <v>970</v>
      </c>
      <c r="N164" s="19"/>
      <c r="Q164" s="16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142</v>
      </c>
      <c r="E165" s="32" t="s">
        <v>172</v>
      </c>
      <c r="F165" s="32" t="s">
        <v>343</v>
      </c>
      <c r="G165" s="32" t="s">
        <v>39</v>
      </c>
      <c r="H165" s="32" t="s">
        <v>377</v>
      </c>
      <c r="I165" s="31" t="s">
        <v>490</v>
      </c>
      <c r="J165" s="31">
        <v>15</v>
      </c>
      <c r="K165" s="33" t="s">
        <v>702</v>
      </c>
      <c r="L165" s="33" t="s">
        <v>692</v>
      </c>
      <c r="M165" s="34" t="s">
        <v>691</v>
      </c>
      <c r="N165" s="34" t="s">
        <v>1733</v>
      </c>
      <c r="O165" s="35">
        <v>1</v>
      </c>
      <c r="P165" s="35">
        <v>1</v>
      </c>
      <c r="Q165" s="36" t="s">
        <v>1891</v>
      </c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1</v>
      </c>
      <c r="AE165" s="1">
        <f t="shared" si="112"/>
        <v>0</v>
      </c>
      <c r="AF165" s="1">
        <f t="shared" si="97"/>
        <v>1</v>
      </c>
      <c r="AG165" s="1">
        <f t="shared" si="98"/>
        <v>0</v>
      </c>
      <c r="AH165" s="1">
        <f t="shared" si="99"/>
        <v>1</v>
      </c>
      <c r="AI165" s="1">
        <f t="shared" si="100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747</v>
      </c>
      <c r="E166" s="16" t="s">
        <v>610</v>
      </c>
      <c r="F166" s="16" t="s">
        <v>748</v>
      </c>
      <c r="G166" s="16" t="s">
        <v>39</v>
      </c>
      <c r="H166" s="16" t="s">
        <v>749</v>
      </c>
      <c r="I166" s="15" t="s">
        <v>750</v>
      </c>
      <c r="J166" s="15">
        <v>18</v>
      </c>
      <c r="K166" s="10" t="s">
        <v>703</v>
      </c>
      <c r="L166" s="10" t="s">
        <v>697</v>
      </c>
      <c r="M166" s="19" t="s">
        <v>691</v>
      </c>
      <c r="N166" s="17"/>
      <c r="Q166" s="16"/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0</v>
      </c>
      <c r="AE166" s="1">
        <f t="shared" si="112"/>
        <v>0</v>
      </c>
      <c r="AF166" s="1">
        <f t="shared" si="97"/>
        <v>0</v>
      </c>
      <c r="AG166" s="1">
        <f t="shared" si="98"/>
        <v>0</v>
      </c>
      <c r="AH166" s="1">
        <f t="shared" si="99"/>
        <v>0</v>
      </c>
      <c r="AI166" s="1">
        <f t="shared" si="10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6" t="s">
        <v>1841</v>
      </c>
      <c r="E167" s="32" t="s">
        <v>1087</v>
      </c>
      <c r="F167" s="32" t="s">
        <v>1826</v>
      </c>
      <c r="G167" s="32"/>
      <c r="H167" s="32" t="s">
        <v>372</v>
      </c>
      <c r="I167" s="31" t="s">
        <v>1827</v>
      </c>
      <c r="J167" s="31">
        <v>16</v>
      </c>
      <c r="K167" s="33" t="s">
        <v>703</v>
      </c>
      <c r="L167" s="33"/>
      <c r="M167" s="34"/>
      <c r="N167" s="34" t="s">
        <v>1727</v>
      </c>
      <c r="O167" s="35">
        <v>1</v>
      </c>
      <c r="P167" s="35">
        <v>1</v>
      </c>
      <c r="Q167" s="32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1</v>
      </c>
      <c r="AE167" s="1">
        <f t="shared" si="112"/>
        <v>0</v>
      </c>
      <c r="AF167" s="1">
        <f t="shared" si="97"/>
        <v>1</v>
      </c>
      <c r="AG167" s="1">
        <f t="shared" si="98"/>
        <v>0</v>
      </c>
      <c r="AH167" s="1">
        <f t="shared" si="99"/>
        <v>1</v>
      </c>
      <c r="AI167" s="1">
        <f t="shared" si="100"/>
        <v>0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979</v>
      </c>
      <c r="E168" s="32" t="s">
        <v>610</v>
      </c>
      <c r="F168" s="32" t="s">
        <v>980</v>
      </c>
      <c r="G168" s="32" t="s">
        <v>203</v>
      </c>
      <c r="H168" s="32" t="s">
        <v>354</v>
      </c>
      <c r="I168" s="31" t="s">
        <v>981</v>
      </c>
      <c r="J168" s="31">
        <v>99</v>
      </c>
      <c r="K168" s="33" t="s">
        <v>956</v>
      </c>
      <c r="L168" s="33" t="s">
        <v>39</v>
      </c>
      <c r="M168" s="34" t="s">
        <v>39</v>
      </c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149</v>
      </c>
      <c r="E169" s="32" t="s">
        <v>172</v>
      </c>
      <c r="F169" s="32" t="s">
        <v>350</v>
      </c>
      <c r="G169" s="32" t="s">
        <v>39</v>
      </c>
      <c r="H169" s="32" t="s">
        <v>380</v>
      </c>
      <c r="I169" s="31" t="s">
        <v>496</v>
      </c>
      <c r="J169" s="31">
        <v>14</v>
      </c>
      <c r="K169" s="33" t="s">
        <v>964</v>
      </c>
      <c r="L169" s="33" t="s">
        <v>39</v>
      </c>
      <c r="M169" s="34" t="s">
        <v>39</v>
      </c>
      <c r="N169" s="34" t="s">
        <v>1733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1989</v>
      </c>
      <c r="E170" s="32" t="s">
        <v>1990</v>
      </c>
      <c r="F170" s="32" t="s">
        <v>1991</v>
      </c>
      <c r="G170" s="32" t="s">
        <v>535</v>
      </c>
      <c r="H170" s="32" t="s">
        <v>354</v>
      </c>
      <c r="I170" s="31" t="s">
        <v>1992</v>
      </c>
      <c r="J170" s="31"/>
      <c r="K170" s="33" t="s">
        <v>703</v>
      </c>
      <c r="L170" s="33"/>
      <c r="M170" s="34"/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635</v>
      </c>
      <c r="E171" s="32" t="s">
        <v>172</v>
      </c>
      <c r="F171" s="32" t="s">
        <v>637</v>
      </c>
      <c r="G171" s="32" t="s">
        <v>238</v>
      </c>
      <c r="H171" s="32" t="s">
        <v>354</v>
      </c>
      <c r="I171" s="31" t="s">
        <v>636</v>
      </c>
      <c r="J171" s="31">
        <v>4</v>
      </c>
      <c r="K171" s="33" t="s">
        <v>956</v>
      </c>
      <c r="L171" s="33" t="s">
        <v>39</v>
      </c>
      <c r="M171" s="34" t="s">
        <v>39</v>
      </c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1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1528</v>
      </c>
      <c r="E172" s="16" t="s">
        <v>1087</v>
      </c>
      <c r="F172" s="16" t="s">
        <v>1529</v>
      </c>
      <c r="G172" s="16" t="s">
        <v>218</v>
      </c>
      <c r="H172" s="16" t="s">
        <v>354</v>
      </c>
      <c r="I172" s="15" t="s">
        <v>1530</v>
      </c>
      <c r="J172" s="15">
        <v>99</v>
      </c>
      <c r="K172" s="10" t="s">
        <v>703</v>
      </c>
      <c r="L172" s="10">
        <v>40</v>
      </c>
      <c r="M172" s="19" t="s">
        <v>970</v>
      </c>
      <c r="N172" s="19"/>
      <c r="Q172" s="16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0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0</v>
      </c>
      <c r="AE172" s="1">
        <f t="shared" si="112"/>
        <v>0</v>
      </c>
      <c r="AF172" s="1">
        <f t="shared" si="97"/>
        <v>0</v>
      </c>
      <c r="AG172" s="1">
        <f t="shared" si="98"/>
        <v>0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102</v>
      </c>
      <c r="E173" s="32" t="s">
        <v>172</v>
      </c>
      <c r="F173" s="32" t="s">
        <v>299</v>
      </c>
      <c r="G173" s="32" t="s">
        <v>300</v>
      </c>
      <c r="H173" s="32" t="s">
        <v>354</v>
      </c>
      <c r="I173" s="31" t="s">
        <v>449</v>
      </c>
      <c r="J173" s="31">
        <v>99</v>
      </c>
      <c r="K173" s="33" t="s">
        <v>958</v>
      </c>
      <c r="L173" s="33" t="s">
        <v>693</v>
      </c>
      <c r="M173" s="34" t="s">
        <v>691</v>
      </c>
      <c r="N173" s="34" t="s">
        <v>1743</v>
      </c>
      <c r="O173" s="35">
        <v>1</v>
      </c>
      <c r="P173" s="35"/>
      <c r="Q173" s="32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1</v>
      </c>
      <c r="AF173" s="1">
        <f t="shared" si="97"/>
        <v>0</v>
      </c>
      <c r="AG173" s="1">
        <f t="shared" si="98"/>
        <v>1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44">
        <v>0</v>
      </c>
      <c r="B174" s="44">
        <v>1</v>
      </c>
      <c r="C174" s="44">
        <v>3</v>
      </c>
      <c r="D174" s="45" t="s">
        <v>990</v>
      </c>
      <c r="E174" s="45" t="s">
        <v>172</v>
      </c>
      <c r="F174" s="45" t="s">
        <v>993</v>
      </c>
      <c r="G174" s="45" t="s">
        <v>39</v>
      </c>
      <c r="H174" s="45" t="s">
        <v>992</v>
      </c>
      <c r="I174" s="44" t="s">
        <v>991</v>
      </c>
      <c r="J174" s="44">
        <v>14</v>
      </c>
      <c r="K174" s="46" t="s">
        <v>722</v>
      </c>
      <c r="L174" s="46" t="s">
        <v>694</v>
      </c>
      <c r="M174" s="47" t="s">
        <v>971</v>
      </c>
      <c r="N174" s="47" t="s">
        <v>1735</v>
      </c>
      <c r="O174" s="48"/>
      <c r="P174" s="48"/>
      <c r="Q174" s="45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0</v>
      </c>
      <c r="AF174" s="1">
        <f t="shared" si="97"/>
        <v>0</v>
      </c>
      <c r="AG174" s="1">
        <f t="shared" si="98"/>
        <v>0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57">
        <v>0</v>
      </c>
      <c r="B175" s="57">
        <v>1</v>
      </c>
      <c r="C175" s="57">
        <v>3</v>
      </c>
      <c r="D175" s="58" t="s">
        <v>1644</v>
      </c>
      <c r="E175" s="58" t="s">
        <v>172</v>
      </c>
      <c r="F175" s="58" t="s">
        <v>773</v>
      </c>
      <c r="G175" s="58" t="s">
        <v>39</v>
      </c>
      <c r="H175" s="58" t="s">
        <v>367</v>
      </c>
      <c r="I175" s="57" t="s">
        <v>781</v>
      </c>
      <c r="J175" s="57">
        <v>18</v>
      </c>
      <c r="K175" s="59" t="s">
        <v>1697</v>
      </c>
      <c r="L175" s="59" t="s">
        <v>39</v>
      </c>
      <c r="M175" s="60" t="s">
        <v>774</v>
      </c>
      <c r="N175" s="61"/>
      <c r="O175" s="62"/>
      <c r="P175" s="62"/>
      <c r="Q175" s="58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49">
        <v>0</v>
      </c>
      <c r="B176" s="49">
        <v>1</v>
      </c>
      <c r="C176" s="49">
        <v>3</v>
      </c>
      <c r="D176" s="50" t="s">
        <v>135</v>
      </c>
      <c r="E176" s="50" t="s">
        <v>172</v>
      </c>
      <c r="F176" s="50" t="s">
        <v>659</v>
      </c>
      <c r="G176" s="50" t="s">
        <v>257</v>
      </c>
      <c r="H176" s="50" t="s">
        <v>354</v>
      </c>
      <c r="I176" s="49" t="s">
        <v>1693</v>
      </c>
      <c r="J176" s="49">
        <v>99</v>
      </c>
      <c r="K176" s="51" t="s">
        <v>722</v>
      </c>
      <c r="L176" s="51" t="s">
        <v>687</v>
      </c>
      <c r="M176" s="52" t="s">
        <v>1397</v>
      </c>
      <c r="N176" s="52" t="s">
        <v>1743</v>
      </c>
      <c r="O176" s="53">
        <v>1</v>
      </c>
      <c r="P176" s="53"/>
      <c r="Q176" s="50" t="s">
        <v>1930</v>
      </c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1</v>
      </c>
      <c r="AF176" s="1">
        <f t="shared" si="97"/>
        <v>0</v>
      </c>
      <c r="AG176" s="1">
        <f t="shared" si="98"/>
        <v>1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923</v>
      </c>
      <c r="E177" s="16" t="s">
        <v>170</v>
      </c>
      <c r="F177" s="16" t="s">
        <v>940</v>
      </c>
      <c r="G177" s="16" t="s">
        <v>39</v>
      </c>
      <c r="H177" s="16" t="s">
        <v>365</v>
      </c>
      <c r="I177" s="15" t="s">
        <v>883</v>
      </c>
      <c r="J177" s="15">
        <v>18</v>
      </c>
      <c r="K177" s="10" t="s">
        <v>702</v>
      </c>
      <c r="L177" s="10" t="s">
        <v>697</v>
      </c>
      <c r="M177" s="19" t="s">
        <v>971</v>
      </c>
      <c r="N177" s="17"/>
      <c r="Q177" s="16"/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0</v>
      </c>
      <c r="AF177" s="1">
        <f t="shared" si="97"/>
        <v>0</v>
      </c>
      <c r="AG177" s="1">
        <f t="shared" si="98"/>
        <v>0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1260</v>
      </c>
      <c r="E178" s="32" t="s">
        <v>170</v>
      </c>
      <c r="F178" s="32" t="s">
        <v>1676</v>
      </c>
      <c r="G178" s="32" t="s">
        <v>39</v>
      </c>
      <c r="H178" s="32" t="s">
        <v>771</v>
      </c>
      <c r="I178" s="31" t="s">
        <v>1261</v>
      </c>
      <c r="J178" s="31">
        <v>11</v>
      </c>
      <c r="K178" s="33" t="s">
        <v>722</v>
      </c>
      <c r="L178" s="33" t="s">
        <v>689</v>
      </c>
      <c r="M178" s="34" t="s">
        <v>1398</v>
      </c>
      <c r="N178" s="34" t="s">
        <v>1749</v>
      </c>
      <c r="O178" s="35">
        <v>1</v>
      </c>
      <c r="P178" s="35"/>
      <c r="Q178" s="32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1</v>
      </c>
      <c r="AF178" s="1">
        <f t="shared" si="97"/>
        <v>0</v>
      </c>
      <c r="AG178" s="1">
        <f t="shared" si="98"/>
        <v>1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4</v>
      </c>
      <c r="D179" s="32" t="s">
        <v>996</v>
      </c>
      <c r="E179" s="32" t="s">
        <v>772</v>
      </c>
      <c r="F179" s="32" t="s">
        <v>1094</v>
      </c>
      <c r="G179" s="32" t="s">
        <v>200</v>
      </c>
      <c r="H179" s="32" t="s">
        <v>354</v>
      </c>
      <c r="I179" s="31" t="s">
        <v>997</v>
      </c>
      <c r="J179" s="31">
        <v>2</v>
      </c>
      <c r="K179" s="33" t="s">
        <v>956</v>
      </c>
      <c r="L179" s="33" t="s">
        <v>693</v>
      </c>
      <c r="M179" s="34" t="s">
        <v>1399</v>
      </c>
      <c r="N179" s="34" t="s">
        <v>1727</v>
      </c>
      <c r="O179" s="35">
        <v>1</v>
      </c>
      <c r="P179" s="35">
        <v>1</v>
      </c>
      <c r="Q179" s="32"/>
      <c r="S179" s="1">
        <f t="shared" si="101"/>
        <v>0</v>
      </c>
      <c r="T179" s="1">
        <f t="shared" si="102"/>
        <v>1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1</v>
      </c>
      <c r="AE179" s="1">
        <f t="shared" si="112"/>
        <v>0</v>
      </c>
      <c r="AF179" s="1">
        <f t="shared" si="97"/>
        <v>1</v>
      </c>
      <c r="AG179" s="1">
        <f t="shared" si="98"/>
        <v>0</v>
      </c>
      <c r="AH179" s="1">
        <f t="shared" si="99"/>
        <v>1</v>
      </c>
      <c r="AI179" s="1">
        <f t="shared" si="100"/>
        <v>0</v>
      </c>
    </row>
    <row r="180" spans="1:35" ht="14.25" customHeight="1" x14ac:dyDescent="0.25">
      <c r="A180" s="44">
        <v>0</v>
      </c>
      <c r="B180" s="44">
        <v>1</v>
      </c>
      <c r="C180" s="44">
        <v>4</v>
      </c>
      <c r="D180" s="45" t="s">
        <v>50</v>
      </c>
      <c r="E180" s="45" t="s">
        <v>772</v>
      </c>
      <c r="F180" s="45" t="s">
        <v>193</v>
      </c>
      <c r="G180" s="45" t="s">
        <v>194</v>
      </c>
      <c r="H180" s="45" t="s">
        <v>354</v>
      </c>
      <c r="I180" s="44" t="s">
        <v>387</v>
      </c>
      <c r="J180" s="44">
        <v>9</v>
      </c>
      <c r="K180" s="46" t="s">
        <v>956</v>
      </c>
      <c r="L180" s="46" t="s">
        <v>694</v>
      </c>
      <c r="M180" s="47" t="s">
        <v>969</v>
      </c>
      <c r="N180" s="47" t="s">
        <v>1736</v>
      </c>
      <c r="O180" s="48"/>
      <c r="P180" s="48"/>
      <c r="Q180" s="45"/>
      <c r="S180" s="1">
        <f t="shared" si="101"/>
        <v>0</v>
      </c>
      <c r="T180" s="1">
        <f t="shared" si="102"/>
        <v>0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1</v>
      </c>
      <c r="AB180" s="1">
        <f t="shared" si="110"/>
        <v>0</v>
      </c>
      <c r="AD180" s="1">
        <f t="shared" si="111"/>
        <v>0</v>
      </c>
      <c r="AE180" s="1">
        <f t="shared" si="112"/>
        <v>0</v>
      </c>
      <c r="AF180" s="1">
        <f t="shared" si="97"/>
        <v>0</v>
      </c>
      <c r="AG180" s="1">
        <f t="shared" si="98"/>
        <v>0</v>
      </c>
      <c r="AH180" s="1">
        <f t="shared" si="99"/>
        <v>0</v>
      </c>
      <c r="AI180" s="1">
        <f t="shared" si="100"/>
        <v>1</v>
      </c>
    </row>
    <row r="181" spans="1:35" ht="14.25" customHeight="1" x14ac:dyDescent="0.25">
      <c r="A181" s="44">
        <v>0</v>
      </c>
      <c r="B181" s="44">
        <v>1</v>
      </c>
      <c r="C181" s="44">
        <v>4</v>
      </c>
      <c r="D181" s="45" t="s">
        <v>134</v>
      </c>
      <c r="E181" s="45" t="s">
        <v>177</v>
      </c>
      <c r="F181" s="45" t="s">
        <v>336</v>
      </c>
      <c r="G181" s="45" t="s">
        <v>213</v>
      </c>
      <c r="H181" s="45" t="s">
        <v>354</v>
      </c>
      <c r="I181" s="44" t="s">
        <v>483</v>
      </c>
      <c r="J181" s="44">
        <v>1</v>
      </c>
      <c r="K181" s="46" t="s">
        <v>956</v>
      </c>
      <c r="L181" s="46" t="s">
        <v>689</v>
      </c>
      <c r="M181" s="47" t="s">
        <v>691</v>
      </c>
      <c r="N181" s="47" t="s">
        <v>1735</v>
      </c>
      <c r="O181" s="48"/>
      <c r="P181" s="48"/>
      <c r="Q181" s="45"/>
      <c r="S181" s="1">
        <f t="shared" si="101"/>
        <v>1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0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15">
        <v>0</v>
      </c>
      <c r="B182" s="15">
        <v>1</v>
      </c>
      <c r="C182" s="15">
        <v>4</v>
      </c>
      <c r="D182" s="16" t="s">
        <v>884</v>
      </c>
      <c r="E182" s="16" t="s">
        <v>772</v>
      </c>
      <c r="F182" s="16" t="s">
        <v>885</v>
      </c>
      <c r="G182" s="16" t="s">
        <v>39</v>
      </c>
      <c r="H182" s="16" t="s">
        <v>886</v>
      </c>
      <c r="I182" s="15" t="s">
        <v>950</v>
      </c>
      <c r="J182" s="15">
        <v>17</v>
      </c>
      <c r="K182" s="10" t="s">
        <v>703</v>
      </c>
      <c r="L182" s="10" t="s">
        <v>1141</v>
      </c>
      <c r="M182" s="19" t="s">
        <v>972</v>
      </c>
      <c r="N182" s="17"/>
      <c r="Q182" s="16"/>
      <c r="S182" s="1">
        <f t="shared" si="101"/>
        <v>0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44">
        <v>0</v>
      </c>
      <c r="B183" s="44">
        <v>1</v>
      </c>
      <c r="C183" s="44">
        <v>5</v>
      </c>
      <c r="D183" s="45" t="s">
        <v>126</v>
      </c>
      <c r="E183" s="45" t="s">
        <v>526</v>
      </c>
      <c r="F183" s="45" t="s">
        <v>327</v>
      </c>
      <c r="G183" s="45" t="s">
        <v>300</v>
      </c>
      <c r="H183" s="45" t="s">
        <v>354</v>
      </c>
      <c r="I183" s="44" t="s">
        <v>475</v>
      </c>
      <c r="J183" s="44">
        <v>99</v>
      </c>
      <c r="K183" s="46" t="s">
        <v>702</v>
      </c>
      <c r="L183" s="46" t="s">
        <v>689</v>
      </c>
      <c r="M183" s="47" t="s">
        <v>970</v>
      </c>
      <c r="N183" s="47" t="s">
        <v>1737</v>
      </c>
      <c r="O183" s="48"/>
      <c r="P183" s="48"/>
      <c r="Q183" s="45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31">
        <v>0</v>
      </c>
      <c r="B184" s="31">
        <v>1</v>
      </c>
      <c r="C184" s="31">
        <v>5</v>
      </c>
      <c r="D184" s="32" t="s">
        <v>1729</v>
      </c>
      <c r="E184" s="32" t="s">
        <v>166</v>
      </c>
      <c r="F184" s="32" t="s">
        <v>1730</v>
      </c>
      <c r="G184" s="32" t="s">
        <v>1731</v>
      </c>
      <c r="H184" s="32" t="s">
        <v>354</v>
      </c>
      <c r="I184" s="31" t="s">
        <v>1732</v>
      </c>
      <c r="J184" s="31">
        <v>2</v>
      </c>
      <c r="K184" s="33" t="s">
        <v>703</v>
      </c>
      <c r="L184" s="33"/>
      <c r="M184" s="34"/>
      <c r="N184" s="34" t="s">
        <v>1733</v>
      </c>
      <c r="O184" s="35">
        <v>1</v>
      </c>
      <c r="P184" s="35">
        <v>1</v>
      </c>
      <c r="Q184" s="32"/>
      <c r="S184" s="1">
        <f t="shared" si="101"/>
        <v>0</v>
      </c>
      <c r="T184" s="1">
        <f t="shared" si="102"/>
        <v>1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ref="AD184:AD188" si="113">+O184*P184</f>
        <v>1</v>
      </c>
      <c r="AE184" s="1">
        <f t="shared" ref="AE184:AE188" si="114">O184*(1-P184)</f>
        <v>0</v>
      </c>
      <c r="AF184" s="1">
        <f t="shared" ref="AF184:AF188" si="115">+O184*P184*(1-A184)</f>
        <v>1</v>
      </c>
      <c r="AG184" s="1">
        <f t="shared" si="98"/>
        <v>0</v>
      </c>
      <c r="AH184" s="1">
        <f t="shared" si="99"/>
        <v>1</v>
      </c>
      <c r="AI184" s="1">
        <f t="shared" si="100"/>
        <v>0</v>
      </c>
    </row>
    <row r="185" spans="1:35" ht="14.25" customHeight="1" x14ac:dyDescent="0.25">
      <c r="A185" s="44">
        <v>0</v>
      </c>
      <c r="B185" s="44">
        <v>1</v>
      </c>
      <c r="C185" s="44">
        <v>5</v>
      </c>
      <c r="D185" s="45" t="s">
        <v>87</v>
      </c>
      <c r="E185" s="45" t="s">
        <v>166</v>
      </c>
      <c r="F185" s="45" t="s">
        <v>577</v>
      </c>
      <c r="G185" s="45" t="s">
        <v>194</v>
      </c>
      <c r="H185" s="45" t="s">
        <v>354</v>
      </c>
      <c r="I185" s="44" t="s">
        <v>436</v>
      </c>
      <c r="J185" s="44">
        <v>9</v>
      </c>
      <c r="K185" s="46" t="s">
        <v>956</v>
      </c>
      <c r="L185" s="46" t="s">
        <v>696</v>
      </c>
      <c r="M185" s="47" t="s">
        <v>691</v>
      </c>
      <c r="N185" s="47" t="s">
        <v>1735</v>
      </c>
      <c r="O185" s="48"/>
      <c r="P185" s="48"/>
      <c r="Q185" s="45"/>
      <c r="S185" s="1">
        <f t="shared" si="101"/>
        <v>0</v>
      </c>
      <c r="T185" s="1">
        <f t="shared" si="102"/>
        <v>0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1</v>
      </c>
      <c r="AB185" s="1">
        <f t="shared" si="110"/>
        <v>0</v>
      </c>
      <c r="AD185" s="1">
        <f t="shared" si="113"/>
        <v>0</v>
      </c>
      <c r="AE185" s="1">
        <f t="shared" si="114"/>
        <v>0</v>
      </c>
      <c r="AF185" s="1">
        <f t="shared" si="115"/>
        <v>0</v>
      </c>
      <c r="AG185" s="1">
        <f t="shared" si="98"/>
        <v>0</v>
      </c>
      <c r="AH185" s="1">
        <f t="shared" si="99"/>
        <v>0</v>
      </c>
      <c r="AI185" s="1">
        <f t="shared" si="100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1997</v>
      </c>
      <c r="E186" s="32" t="s">
        <v>166</v>
      </c>
      <c r="F186" s="32" t="s">
        <v>1998</v>
      </c>
      <c r="G186" s="32" t="s">
        <v>2001</v>
      </c>
      <c r="H186" s="32" t="s">
        <v>354</v>
      </c>
      <c r="I186" s="31" t="s">
        <v>1999</v>
      </c>
      <c r="J186" s="31">
        <v>99</v>
      </c>
      <c r="K186" s="33" t="s">
        <v>703</v>
      </c>
      <c r="L186" s="33">
        <v>25</v>
      </c>
      <c r="M186" s="34" t="s">
        <v>691</v>
      </c>
      <c r="N186" s="34" t="s">
        <v>1743</v>
      </c>
      <c r="O186" s="35">
        <v>1</v>
      </c>
      <c r="P186" s="35"/>
      <c r="Q186" s="32" t="s">
        <v>2000</v>
      </c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0</v>
      </c>
      <c r="AB186" s="1">
        <f t="shared" si="110"/>
        <v>0</v>
      </c>
      <c r="AD186" s="1">
        <f t="shared" si="113"/>
        <v>0</v>
      </c>
      <c r="AE186" s="1">
        <f t="shared" si="114"/>
        <v>1</v>
      </c>
      <c r="AF186" s="1">
        <f t="shared" si="115"/>
        <v>0</v>
      </c>
      <c r="AG186" s="1">
        <f t="shared" si="98"/>
        <v>1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44">
        <v>0</v>
      </c>
      <c r="B187" s="44">
        <v>1</v>
      </c>
      <c r="C187" s="44">
        <v>5</v>
      </c>
      <c r="D187" s="45" t="s">
        <v>127</v>
      </c>
      <c r="E187" s="45" t="s">
        <v>166</v>
      </c>
      <c r="F187" s="45" t="s">
        <v>328</v>
      </c>
      <c r="G187" s="45" t="s">
        <v>180</v>
      </c>
      <c r="H187" s="45" t="s">
        <v>354</v>
      </c>
      <c r="I187" s="44" t="s">
        <v>476</v>
      </c>
      <c r="J187" s="44">
        <v>10</v>
      </c>
      <c r="K187" s="46" t="s">
        <v>958</v>
      </c>
      <c r="L187" s="46" t="s">
        <v>694</v>
      </c>
      <c r="M187" s="47" t="s">
        <v>691</v>
      </c>
      <c r="N187" s="47" t="s">
        <v>1740</v>
      </c>
      <c r="O187" s="48"/>
      <c r="P187" s="48"/>
      <c r="Q187" s="45"/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1</v>
      </c>
      <c r="AD187" s="1">
        <f t="shared" si="113"/>
        <v>0</v>
      </c>
      <c r="AE187" s="1">
        <f t="shared" si="114"/>
        <v>0</v>
      </c>
      <c r="AF187" s="1">
        <f t="shared" si="115"/>
        <v>0</v>
      </c>
      <c r="AG187" s="1">
        <f t="shared" si="98"/>
        <v>0</v>
      </c>
      <c r="AH187" s="1">
        <f t="shared" si="99"/>
        <v>0</v>
      </c>
      <c r="AI187" s="1">
        <f t="shared" si="100"/>
        <v>1</v>
      </c>
    </row>
    <row r="188" spans="1:35" ht="13.9" customHeight="1" x14ac:dyDescent="0.25">
      <c r="A188" s="44">
        <v>0</v>
      </c>
      <c r="B188" s="44">
        <v>1</v>
      </c>
      <c r="C188" s="44">
        <v>5</v>
      </c>
      <c r="D188" s="45" t="s">
        <v>137</v>
      </c>
      <c r="E188" s="45" t="s">
        <v>166</v>
      </c>
      <c r="F188" s="45" t="s">
        <v>548</v>
      </c>
      <c r="G188" s="45" t="s">
        <v>220</v>
      </c>
      <c r="H188" s="45" t="s">
        <v>354</v>
      </c>
      <c r="I188" s="44" t="s">
        <v>540</v>
      </c>
      <c r="J188" s="44">
        <v>8</v>
      </c>
      <c r="K188" s="46" t="s">
        <v>956</v>
      </c>
      <c r="L188" s="46" t="s">
        <v>694</v>
      </c>
      <c r="M188" s="47" t="s">
        <v>691</v>
      </c>
      <c r="N188" s="47" t="s">
        <v>1735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1</v>
      </c>
      <c r="AA188" s="1">
        <f t="shared" si="109"/>
        <v>0</v>
      </c>
      <c r="AB188" s="1">
        <f t="shared" si="110"/>
        <v>0</v>
      </c>
      <c r="AD188" s="1">
        <f t="shared" si="113"/>
        <v>0</v>
      </c>
      <c r="AE188" s="1">
        <f t="shared" si="114"/>
        <v>0</v>
      </c>
      <c r="AF188" s="1">
        <f t="shared" si="115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4.25" customHeight="1" x14ac:dyDescent="0.25">
      <c r="A189" s="44">
        <v>1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337</v>
      </c>
      <c r="G189" s="45" t="s">
        <v>338</v>
      </c>
      <c r="H189" s="45" t="s">
        <v>354</v>
      </c>
      <c r="I189" s="44" t="s">
        <v>485</v>
      </c>
      <c r="J189" s="44">
        <v>10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0</v>
      </c>
      <c r="AA189" s="1">
        <f t="shared" si="109"/>
        <v>0</v>
      </c>
      <c r="AB189" s="1">
        <f t="shared" si="110"/>
        <v>1</v>
      </c>
      <c r="AD189" s="1">
        <f t="shared" si="111"/>
        <v>0</v>
      </c>
      <c r="AE189" s="1">
        <f t="shared" si="112"/>
        <v>0</v>
      </c>
      <c r="AF189" s="1">
        <f t="shared" si="97"/>
        <v>0</v>
      </c>
      <c r="AG189" s="1">
        <f t="shared" si="98"/>
        <v>0</v>
      </c>
      <c r="AH189" s="1">
        <f t="shared" si="99"/>
        <v>0</v>
      </c>
      <c r="AI189" s="1">
        <f t="shared" si="100"/>
        <v>0</v>
      </c>
    </row>
    <row r="190" spans="1:35" ht="14.25" customHeight="1" x14ac:dyDescent="0.25">
      <c r="A190" s="44">
        <v>0</v>
      </c>
      <c r="B190" s="44">
        <v>1</v>
      </c>
      <c r="C190" s="44">
        <v>5</v>
      </c>
      <c r="D190" s="45" t="s">
        <v>1637</v>
      </c>
      <c r="E190" s="45" t="s">
        <v>166</v>
      </c>
      <c r="F190" s="45" t="s">
        <v>865</v>
      </c>
      <c r="G190" s="45" t="s">
        <v>1664</v>
      </c>
      <c r="H190" s="45" t="s">
        <v>354</v>
      </c>
      <c r="I190" s="44" t="s">
        <v>866</v>
      </c>
      <c r="J190" s="44">
        <v>1</v>
      </c>
      <c r="K190" s="46" t="s">
        <v>722</v>
      </c>
      <c r="L190" s="46" t="s">
        <v>1707</v>
      </c>
      <c r="M190" s="47" t="s">
        <v>1400</v>
      </c>
      <c r="N190" s="47" t="s">
        <v>1735</v>
      </c>
      <c r="O190" s="48"/>
      <c r="P190" s="48"/>
      <c r="Q190" s="45"/>
      <c r="S190" s="1">
        <f t="shared" si="101"/>
        <v>1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0</v>
      </c>
      <c r="AD190" s="1">
        <f t="shared" ref="AD190:AD191" si="116">+O190*P190</f>
        <v>0</v>
      </c>
      <c r="AE190" s="1">
        <f t="shared" ref="AE190:AE191" si="117">O190*(1-P190)</f>
        <v>0</v>
      </c>
      <c r="AF190" s="1">
        <f t="shared" ref="AF190:AF191" si="118">+O190*P190*(1-A190)</f>
        <v>0</v>
      </c>
      <c r="AG190" s="1">
        <f t="shared" si="98"/>
        <v>0</v>
      </c>
      <c r="AH190" s="1">
        <f t="shared" si="99"/>
        <v>0</v>
      </c>
      <c r="AI190" s="1">
        <f t="shared" si="100"/>
        <v>1</v>
      </c>
    </row>
    <row r="191" spans="1:35" ht="14.25" customHeight="1" x14ac:dyDescent="0.25">
      <c r="A191" s="15">
        <v>0</v>
      </c>
      <c r="B191" s="15">
        <v>1</v>
      </c>
      <c r="C191" s="15">
        <v>5</v>
      </c>
      <c r="D191" s="20" t="s">
        <v>1949</v>
      </c>
      <c r="E191" s="20" t="s">
        <v>893</v>
      </c>
      <c r="F191" s="20" t="s">
        <v>1967</v>
      </c>
      <c r="G191" s="20"/>
      <c r="H191" s="20" t="s">
        <v>1968</v>
      </c>
      <c r="I191" s="21" t="s">
        <v>1966</v>
      </c>
      <c r="J191" s="15">
        <v>15</v>
      </c>
      <c r="K191" s="10" t="s">
        <v>703</v>
      </c>
      <c r="L191" s="10" t="s">
        <v>697</v>
      </c>
      <c r="M191" s="19" t="s">
        <v>971</v>
      </c>
      <c r="N191" s="17"/>
      <c r="Q191" s="20" t="s">
        <v>1969</v>
      </c>
      <c r="S191" s="1">
        <f t="shared" si="101"/>
        <v>0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si="116"/>
        <v>0</v>
      </c>
      <c r="AE191" s="1">
        <f t="shared" si="117"/>
        <v>0</v>
      </c>
      <c r="AF191" s="1">
        <f t="shared" si="118"/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31">
        <v>0</v>
      </c>
      <c r="B192" s="31">
        <v>1</v>
      </c>
      <c r="C192" s="31">
        <v>5</v>
      </c>
      <c r="D192" s="32" t="s">
        <v>887</v>
      </c>
      <c r="E192" s="32" t="s">
        <v>888</v>
      </c>
      <c r="F192" s="32" t="s">
        <v>1092</v>
      </c>
      <c r="G192" s="32" t="s">
        <v>39</v>
      </c>
      <c r="H192" s="32" t="s">
        <v>889</v>
      </c>
      <c r="I192" s="31" t="s">
        <v>890</v>
      </c>
      <c r="J192" s="31">
        <v>16</v>
      </c>
      <c r="K192" s="33" t="s">
        <v>703</v>
      </c>
      <c r="L192" s="33" t="s">
        <v>692</v>
      </c>
      <c r="M192" s="34" t="s">
        <v>970</v>
      </c>
      <c r="N192" s="34" t="s">
        <v>1733</v>
      </c>
      <c r="O192" s="35">
        <v>1</v>
      </c>
      <c r="P192" s="35">
        <v>1</v>
      </c>
      <c r="Q192" s="36" t="s">
        <v>1894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11"/>
        <v>1</v>
      </c>
      <c r="AE192" s="1">
        <f t="shared" si="112"/>
        <v>0</v>
      </c>
      <c r="AF192" s="1">
        <f t="shared" si="97"/>
        <v>1</v>
      </c>
      <c r="AG192" s="1">
        <f t="shared" si="98"/>
        <v>0</v>
      </c>
      <c r="AH192" s="1">
        <f t="shared" si="99"/>
        <v>1</v>
      </c>
      <c r="AI192" s="1">
        <f t="shared" si="100"/>
        <v>0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106</v>
      </c>
      <c r="E193" s="32" t="s">
        <v>173</v>
      </c>
      <c r="F193" s="32" t="s">
        <v>304</v>
      </c>
      <c r="G193" s="32" t="s">
        <v>39</v>
      </c>
      <c r="H193" s="32" t="s">
        <v>359</v>
      </c>
      <c r="I193" s="31" t="s">
        <v>453</v>
      </c>
      <c r="J193" s="31">
        <v>14</v>
      </c>
      <c r="K193" s="33" t="s">
        <v>956</v>
      </c>
      <c r="L193" s="33" t="s">
        <v>693</v>
      </c>
      <c r="M193" s="34" t="s">
        <v>970</v>
      </c>
      <c r="N193" s="34" t="s">
        <v>1743</v>
      </c>
      <c r="O193" s="35">
        <v>1</v>
      </c>
      <c r="P193" s="35"/>
      <c r="Q193" s="32"/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0</v>
      </c>
      <c r="AE193" s="1">
        <f t="shared" si="112"/>
        <v>1</v>
      </c>
      <c r="AF193" s="1">
        <f t="shared" si="97"/>
        <v>0</v>
      </c>
      <c r="AG193" s="1">
        <f t="shared" si="98"/>
        <v>1</v>
      </c>
      <c r="AH193" s="1">
        <f t="shared" si="99"/>
        <v>0</v>
      </c>
      <c r="AI193" s="1">
        <f t="shared" si="100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1951</v>
      </c>
      <c r="E194" s="20" t="s">
        <v>893</v>
      </c>
      <c r="F194" s="20" t="s">
        <v>1981</v>
      </c>
      <c r="G194" s="20"/>
      <c r="H194" s="20" t="s">
        <v>1980</v>
      </c>
      <c r="I194" s="21" t="s">
        <v>1979</v>
      </c>
      <c r="J194" s="15">
        <v>18</v>
      </c>
      <c r="K194" s="10" t="s">
        <v>703</v>
      </c>
      <c r="L194" s="10" t="s">
        <v>697</v>
      </c>
      <c r="M194" s="19" t="s">
        <v>971</v>
      </c>
      <c r="N194" s="17"/>
      <c r="Q194" s="20" t="s">
        <v>1982</v>
      </c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0</v>
      </c>
      <c r="AF194" s="1">
        <f t="shared" si="97"/>
        <v>0</v>
      </c>
      <c r="AG194" s="1">
        <f t="shared" si="98"/>
        <v>0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44">
        <v>0</v>
      </c>
      <c r="B195" s="44">
        <v>1</v>
      </c>
      <c r="C195" s="44">
        <v>5</v>
      </c>
      <c r="D195" s="45" t="s">
        <v>513</v>
      </c>
      <c r="E195" s="45" t="s">
        <v>172</v>
      </c>
      <c r="F195" s="45" t="s">
        <v>549</v>
      </c>
      <c r="G195" s="45" t="s">
        <v>39</v>
      </c>
      <c r="H195" s="45" t="s">
        <v>362</v>
      </c>
      <c r="I195" s="44" t="s">
        <v>1114</v>
      </c>
      <c r="J195" s="44">
        <v>12</v>
      </c>
      <c r="K195" s="46" t="s">
        <v>703</v>
      </c>
      <c r="L195" s="46">
        <v>35</v>
      </c>
      <c r="M195" s="47" t="s">
        <v>970</v>
      </c>
      <c r="N195" s="47" t="s">
        <v>1802</v>
      </c>
      <c r="O195" s="48"/>
      <c r="P195" s="48"/>
      <c r="Q195" s="45"/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151</v>
      </c>
      <c r="E196" s="32" t="s">
        <v>166</v>
      </c>
      <c r="F196" s="36" t="s">
        <v>1870</v>
      </c>
      <c r="G196" s="32" t="s">
        <v>197</v>
      </c>
      <c r="H196" s="32" t="s">
        <v>354</v>
      </c>
      <c r="I196" s="31" t="s">
        <v>498</v>
      </c>
      <c r="J196" s="31">
        <v>99</v>
      </c>
      <c r="K196" s="33" t="s">
        <v>956</v>
      </c>
      <c r="L196" s="33" t="s">
        <v>693</v>
      </c>
      <c r="M196" s="34" t="s">
        <v>970</v>
      </c>
      <c r="N196" s="34" t="s">
        <v>1748</v>
      </c>
      <c r="O196" s="35">
        <v>1</v>
      </c>
      <c r="P196" s="35"/>
      <c r="Q196" s="32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1</v>
      </c>
      <c r="AF196" s="1">
        <f t="shared" si="97"/>
        <v>0</v>
      </c>
      <c r="AG196" s="1">
        <f t="shared" si="98"/>
        <v>1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44">
        <v>0</v>
      </c>
      <c r="B197" s="44">
        <v>1</v>
      </c>
      <c r="C197" s="44">
        <v>5</v>
      </c>
      <c r="D197" s="45" t="s">
        <v>649</v>
      </c>
      <c r="E197" s="45" t="s">
        <v>684</v>
      </c>
      <c r="F197" s="45" t="s">
        <v>645</v>
      </c>
      <c r="G197" s="45" t="s">
        <v>185</v>
      </c>
      <c r="H197" s="45" t="s">
        <v>354</v>
      </c>
      <c r="I197" s="44" t="s">
        <v>646</v>
      </c>
      <c r="J197" s="44">
        <v>99</v>
      </c>
      <c r="K197" s="46" t="s">
        <v>722</v>
      </c>
      <c r="L197" s="46" t="s">
        <v>693</v>
      </c>
      <c r="M197" s="47" t="s">
        <v>970</v>
      </c>
      <c r="N197" s="47" t="s">
        <v>1734</v>
      </c>
      <c r="O197" s="48"/>
      <c r="P197" s="48"/>
      <c r="Q197" s="45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0</v>
      </c>
      <c r="AF197" s="1">
        <f t="shared" si="97"/>
        <v>0</v>
      </c>
      <c r="AG197" s="1">
        <f t="shared" si="98"/>
        <v>0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1310</v>
      </c>
      <c r="E198" s="32" t="s">
        <v>166</v>
      </c>
      <c r="F198" s="32" t="s">
        <v>1311</v>
      </c>
      <c r="G198" s="32" t="s">
        <v>283</v>
      </c>
      <c r="H198" s="32" t="s">
        <v>354</v>
      </c>
      <c r="I198" s="31" t="s">
        <v>1312</v>
      </c>
      <c r="J198" s="31">
        <v>99</v>
      </c>
      <c r="K198" s="33" t="s">
        <v>702</v>
      </c>
      <c r="L198" s="33" t="s">
        <v>39</v>
      </c>
      <c r="M198" s="34" t="s">
        <v>39</v>
      </c>
      <c r="N198" s="34" t="s">
        <v>1733</v>
      </c>
      <c r="O198" s="35">
        <v>1</v>
      </c>
      <c r="P198" s="35">
        <v>1</v>
      </c>
      <c r="Q198" s="32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1</v>
      </c>
      <c r="AE198" s="1">
        <f t="shared" si="112"/>
        <v>0</v>
      </c>
      <c r="AF198" s="1">
        <f t="shared" si="97"/>
        <v>1</v>
      </c>
      <c r="AG198" s="1">
        <f t="shared" si="98"/>
        <v>0</v>
      </c>
      <c r="AH198" s="1">
        <f t="shared" si="99"/>
        <v>1</v>
      </c>
      <c r="AI198" s="1">
        <f t="shared" si="100"/>
        <v>0</v>
      </c>
    </row>
    <row r="199" spans="1:35" ht="14.25" customHeight="1" x14ac:dyDescent="0.25">
      <c r="A199" s="44">
        <v>0</v>
      </c>
      <c r="B199" s="44">
        <v>1</v>
      </c>
      <c r="C199" s="44">
        <v>5</v>
      </c>
      <c r="D199" s="45" t="s">
        <v>892</v>
      </c>
      <c r="E199" s="45" t="s">
        <v>893</v>
      </c>
      <c r="F199" s="45" t="s">
        <v>934</v>
      </c>
      <c r="G199" s="45" t="s">
        <v>39</v>
      </c>
      <c r="H199" s="45" t="s">
        <v>894</v>
      </c>
      <c r="I199" s="44" t="s">
        <v>895</v>
      </c>
      <c r="J199" s="44">
        <v>17</v>
      </c>
      <c r="K199" s="46" t="s">
        <v>703</v>
      </c>
      <c r="L199" s="46" t="s">
        <v>697</v>
      </c>
      <c r="M199" s="47" t="s">
        <v>970</v>
      </c>
      <c r="N199" s="47" t="s">
        <v>1741</v>
      </c>
      <c r="O199" s="48"/>
      <c r="P199" s="48"/>
      <c r="Q199" s="45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0</v>
      </c>
      <c r="AE199" s="1">
        <f t="shared" si="112"/>
        <v>0</v>
      </c>
      <c r="AF199" s="1">
        <f t="shared" si="97"/>
        <v>0</v>
      </c>
      <c r="AG199" s="1">
        <f t="shared" si="98"/>
        <v>0</v>
      </c>
      <c r="AH199" s="1">
        <f t="shared" si="99"/>
        <v>0</v>
      </c>
      <c r="AI199" s="1">
        <f t="shared" si="100"/>
        <v>1</v>
      </c>
    </row>
    <row r="200" spans="1:35" ht="14.25" customHeight="1" x14ac:dyDescent="0.25">
      <c r="A200" s="15">
        <v>0</v>
      </c>
      <c r="B200" s="15">
        <v>1</v>
      </c>
      <c r="C200" s="15">
        <v>5</v>
      </c>
      <c r="D200" s="16" t="s">
        <v>1941</v>
      </c>
      <c r="E200" s="16" t="s">
        <v>893</v>
      </c>
      <c r="F200" s="16" t="s">
        <v>1943</v>
      </c>
      <c r="G200" s="16"/>
      <c r="H200" s="16" t="s">
        <v>1942</v>
      </c>
      <c r="I200" s="15" t="s">
        <v>1944</v>
      </c>
      <c r="J200" s="15">
        <v>16</v>
      </c>
      <c r="K200" s="10" t="s">
        <v>703</v>
      </c>
      <c r="L200" s="10" t="s">
        <v>697</v>
      </c>
      <c r="M200" s="19" t="s">
        <v>970</v>
      </c>
      <c r="N200" s="17"/>
      <c r="Q200" s="20" t="s">
        <v>1945</v>
      </c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44">
        <v>0</v>
      </c>
      <c r="B201" s="44">
        <v>1</v>
      </c>
      <c r="C201" s="44">
        <v>5</v>
      </c>
      <c r="D201" s="45" t="s">
        <v>131</v>
      </c>
      <c r="E201" s="45" t="s">
        <v>166</v>
      </c>
      <c r="F201" s="45" t="s">
        <v>332</v>
      </c>
      <c r="G201" s="45" t="s">
        <v>333</v>
      </c>
      <c r="H201" s="45" t="s">
        <v>354</v>
      </c>
      <c r="I201" s="44" t="s">
        <v>480</v>
      </c>
      <c r="J201" s="44">
        <v>99</v>
      </c>
      <c r="K201" s="46" t="s">
        <v>722</v>
      </c>
      <c r="L201" s="46" t="s">
        <v>694</v>
      </c>
      <c r="M201" s="47" t="s">
        <v>970</v>
      </c>
      <c r="N201" s="47" t="s">
        <v>1747</v>
      </c>
      <c r="O201" s="48"/>
      <c r="P201" s="48"/>
      <c r="Q201" s="45"/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109</v>
      </c>
      <c r="E202" s="32" t="s">
        <v>166</v>
      </c>
      <c r="F202" s="32" t="s">
        <v>307</v>
      </c>
      <c r="G202" s="32" t="s">
        <v>231</v>
      </c>
      <c r="H202" s="32" t="s">
        <v>354</v>
      </c>
      <c r="I202" s="31" t="s">
        <v>456</v>
      </c>
      <c r="J202" s="31">
        <v>99</v>
      </c>
      <c r="K202" s="33" t="s">
        <v>722</v>
      </c>
      <c r="L202" s="33" t="s">
        <v>696</v>
      </c>
      <c r="M202" s="34" t="s">
        <v>691</v>
      </c>
      <c r="N202" s="34" t="s">
        <v>1743</v>
      </c>
      <c r="O202" s="35">
        <v>1</v>
      </c>
      <c r="P202" s="35"/>
      <c r="Q202" s="32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1</v>
      </c>
      <c r="AF202" s="1">
        <f t="shared" si="97"/>
        <v>0</v>
      </c>
      <c r="AG202" s="1">
        <f t="shared" si="98"/>
        <v>1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111</v>
      </c>
      <c r="E203" s="16" t="s">
        <v>172</v>
      </c>
      <c r="F203" s="16" t="s">
        <v>310</v>
      </c>
      <c r="G203" s="16" t="s">
        <v>39</v>
      </c>
      <c r="H203" s="16" t="s">
        <v>364</v>
      </c>
      <c r="I203" s="15" t="s">
        <v>459</v>
      </c>
      <c r="J203" s="15">
        <v>17</v>
      </c>
      <c r="K203" s="10" t="s">
        <v>703</v>
      </c>
      <c r="L203" s="10" t="s">
        <v>697</v>
      </c>
      <c r="M203" s="19" t="s">
        <v>691</v>
      </c>
      <c r="N203" s="17"/>
      <c r="Q203" s="20" t="s">
        <v>1915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97"/>
        <v>0</v>
      </c>
      <c r="AG203" s="1">
        <f t="shared" si="98"/>
        <v>0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525</v>
      </c>
      <c r="E204" s="32" t="s">
        <v>526</v>
      </c>
      <c r="F204" s="32" t="s">
        <v>527</v>
      </c>
      <c r="G204" s="32" t="s">
        <v>202</v>
      </c>
      <c r="H204" s="32" t="s">
        <v>354</v>
      </c>
      <c r="I204" s="31" t="s">
        <v>528</v>
      </c>
      <c r="J204" s="31">
        <v>10</v>
      </c>
      <c r="K204" s="33" t="s">
        <v>702</v>
      </c>
      <c r="L204" s="33" t="s">
        <v>693</v>
      </c>
      <c r="M204" s="34" t="s">
        <v>970</v>
      </c>
      <c r="N204" s="34" t="s">
        <v>1733</v>
      </c>
      <c r="O204" s="35">
        <v>1</v>
      </c>
      <c r="P204" s="35">
        <v>1</v>
      </c>
      <c r="Q204" s="32"/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1</v>
      </c>
      <c r="AD204" s="1">
        <f t="shared" si="111"/>
        <v>1</v>
      </c>
      <c r="AE204" s="1">
        <f t="shared" si="112"/>
        <v>0</v>
      </c>
      <c r="AF204" s="1">
        <f t="shared" ref="AF204:AF269" si="119">+O204*P204*(1-A204)</f>
        <v>1</v>
      </c>
      <c r="AG204" s="1">
        <f t="shared" ref="AG204:AG269" si="120">O204*(1-P204)*(1-A204)</f>
        <v>0</v>
      </c>
      <c r="AH204" s="1">
        <f t="shared" ref="AH204:AH269" si="121">+P204*(1-A204)</f>
        <v>1</v>
      </c>
      <c r="AI204" s="1">
        <f t="shared" ref="AI204:AI269" si="122">+(1-A204)*(1-P204)</f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1499</v>
      </c>
      <c r="E205" s="32" t="s">
        <v>166</v>
      </c>
      <c r="F205" s="32" t="s">
        <v>1500</v>
      </c>
      <c r="G205" s="32" t="s">
        <v>180</v>
      </c>
      <c r="H205" s="32" t="s">
        <v>354</v>
      </c>
      <c r="I205" s="31" t="s">
        <v>1501</v>
      </c>
      <c r="J205" s="31">
        <v>10</v>
      </c>
      <c r="K205" s="33" t="s">
        <v>956</v>
      </c>
      <c r="L205" s="33" t="s">
        <v>693</v>
      </c>
      <c r="M205" s="34" t="s">
        <v>970</v>
      </c>
      <c r="N205" s="34" t="s">
        <v>1727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si="119"/>
        <v>1</v>
      </c>
      <c r="AG205" s="1">
        <f t="shared" si="120"/>
        <v>0</v>
      </c>
      <c r="AH205" s="1">
        <f t="shared" si="121"/>
        <v>1</v>
      </c>
      <c r="AI205" s="1">
        <f t="shared" si="122"/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1757</v>
      </c>
      <c r="E206" s="32" t="s">
        <v>166</v>
      </c>
      <c r="F206" s="32" t="s">
        <v>1758</v>
      </c>
      <c r="G206" s="32" t="s">
        <v>1759</v>
      </c>
      <c r="H206" s="32" t="s">
        <v>354</v>
      </c>
      <c r="I206" s="31" t="s">
        <v>1760</v>
      </c>
      <c r="J206" s="31">
        <v>1</v>
      </c>
      <c r="K206" s="33" t="s">
        <v>703</v>
      </c>
      <c r="L206" s="33"/>
      <c r="M206" s="34"/>
      <c r="N206" s="34" t="s">
        <v>1748</v>
      </c>
      <c r="O206" s="35">
        <v>1</v>
      </c>
      <c r="P206" s="35"/>
      <c r="Q206" s="32"/>
      <c r="S206" s="1">
        <f t="shared" si="101"/>
        <v>1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0</v>
      </c>
      <c r="AD206" s="1">
        <f t="shared" si="111"/>
        <v>0</v>
      </c>
      <c r="AE206" s="1">
        <f t="shared" si="112"/>
        <v>1</v>
      </c>
      <c r="AF206" s="1">
        <f t="shared" si="119"/>
        <v>0</v>
      </c>
      <c r="AG206" s="1">
        <f t="shared" si="120"/>
        <v>1</v>
      </c>
      <c r="AH206" s="1">
        <f t="shared" si="121"/>
        <v>0</v>
      </c>
      <c r="AI206" s="1">
        <f t="shared" si="122"/>
        <v>1</v>
      </c>
    </row>
    <row r="207" spans="1:35" ht="14.25" customHeight="1" x14ac:dyDescent="0.25">
      <c r="A207" s="44">
        <v>0</v>
      </c>
      <c r="B207" s="44">
        <v>1</v>
      </c>
      <c r="C207" s="44">
        <v>5</v>
      </c>
      <c r="D207" s="45" t="s">
        <v>1026</v>
      </c>
      <c r="E207" s="45" t="s">
        <v>1087</v>
      </c>
      <c r="F207" s="45" t="s">
        <v>1027</v>
      </c>
      <c r="G207" s="45" t="s">
        <v>194</v>
      </c>
      <c r="H207" s="45" t="s">
        <v>354</v>
      </c>
      <c r="I207" s="44" t="s">
        <v>1028</v>
      </c>
      <c r="J207" s="44">
        <v>9</v>
      </c>
      <c r="K207" s="46" t="s">
        <v>722</v>
      </c>
      <c r="L207" s="46" t="s">
        <v>1704</v>
      </c>
      <c r="M207" s="47" t="s">
        <v>1604</v>
      </c>
      <c r="N207" s="47" t="s">
        <v>1735</v>
      </c>
      <c r="O207" s="48"/>
      <c r="P207" s="48"/>
      <c r="Q207" s="45"/>
      <c r="S207" s="1">
        <f t="shared" si="101"/>
        <v>0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1</v>
      </c>
      <c r="AB207" s="1">
        <f t="shared" si="110"/>
        <v>0</v>
      </c>
      <c r="AD207" s="1">
        <f t="shared" si="111"/>
        <v>0</v>
      </c>
      <c r="AE207" s="1">
        <f t="shared" si="112"/>
        <v>0</v>
      </c>
      <c r="AF207" s="1">
        <f t="shared" si="119"/>
        <v>0</v>
      </c>
      <c r="AG207" s="1">
        <f t="shared" si="120"/>
        <v>0</v>
      </c>
      <c r="AH207" s="1">
        <f t="shared" si="121"/>
        <v>0</v>
      </c>
      <c r="AI207" s="1">
        <f t="shared" si="122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1614</v>
      </c>
      <c r="E208" s="45" t="s">
        <v>166</v>
      </c>
      <c r="F208" s="45" t="s">
        <v>1615</v>
      </c>
      <c r="G208" s="45" t="s">
        <v>213</v>
      </c>
      <c r="H208" s="45" t="s">
        <v>354</v>
      </c>
      <c r="I208" s="44" t="s">
        <v>1616</v>
      </c>
      <c r="J208" s="44">
        <v>1</v>
      </c>
      <c r="K208" s="46" t="s">
        <v>722</v>
      </c>
      <c r="L208" s="46" t="s">
        <v>694</v>
      </c>
      <c r="M208" s="47" t="s">
        <v>970</v>
      </c>
      <c r="N208" s="47" t="s">
        <v>1736</v>
      </c>
      <c r="O208" s="48"/>
      <c r="P208" s="48"/>
      <c r="Q208" s="45"/>
      <c r="S208" s="1">
        <f t="shared" si="101"/>
        <v>1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0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19"/>
        <v>0</v>
      </c>
      <c r="AG208" s="1">
        <f t="shared" si="120"/>
        <v>0</v>
      </c>
      <c r="AH208" s="1">
        <f t="shared" si="121"/>
        <v>0</v>
      </c>
      <c r="AI208" s="1">
        <f t="shared" si="122"/>
        <v>1</v>
      </c>
    </row>
    <row r="209" spans="1:35" ht="14.25" customHeight="1" x14ac:dyDescent="0.25">
      <c r="A209" s="38">
        <v>0</v>
      </c>
      <c r="B209" s="38">
        <v>1</v>
      </c>
      <c r="C209" s="38">
        <v>5</v>
      </c>
      <c r="D209" s="39" t="s">
        <v>147</v>
      </c>
      <c r="E209" s="39" t="s">
        <v>545</v>
      </c>
      <c r="F209" s="39" t="s">
        <v>1599</v>
      </c>
      <c r="G209" s="39" t="s">
        <v>1673</v>
      </c>
      <c r="H209" s="39" t="s">
        <v>354</v>
      </c>
      <c r="I209" s="38" t="s">
        <v>494</v>
      </c>
      <c r="J209" s="38">
        <v>99</v>
      </c>
      <c r="K209" s="40" t="s">
        <v>702</v>
      </c>
      <c r="L209" s="40" t="s">
        <v>689</v>
      </c>
      <c r="M209" s="41" t="s">
        <v>970</v>
      </c>
      <c r="N209" s="42"/>
      <c r="O209" s="43"/>
      <c r="P209" s="43">
        <v>1</v>
      </c>
      <c r="Q209" s="39"/>
      <c r="S209" s="1">
        <f t="shared" ref="S209:S273" si="123">IF(J209=$S$7,1,0)</f>
        <v>0</v>
      </c>
      <c r="T209" s="1">
        <f t="shared" ref="T209:T273" si="124">IF(J209=$T$7,1,0)</f>
        <v>0</v>
      </c>
      <c r="U209" s="1">
        <f t="shared" ref="U209:U273" si="125">IF(J209=$U$7,1,0)</f>
        <v>0</v>
      </c>
      <c r="V209" s="1">
        <f t="shared" ref="V209:V273" si="126">IF(J209=$V$7,1,0)</f>
        <v>0</v>
      </c>
      <c r="W209" s="1">
        <f t="shared" ref="W209:W273" si="127">IF(J209=$W$7,1,0)</f>
        <v>0</v>
      </c>
      <c r="X209" s="1">
        <f t="shared" ref="X209:X273" si="128">IF(J209=$X$7,1,0)</f>
        <v>0</v>
      </c>
      <c r="Y209" s="1">
        <f t="shared" ref="Y209:Y273" si="129">IF(J209=$Y$7,1,0)</f>
        <v>0</v>
      </c>
      <c r="Z209" s="1">
        <f t="shared" ref="Z209:Z273" si="130">IF(J209=$Z$7,1,0)</f>
        <v>0</v>
      </c>
      <c r="AA209" s="1">
        <f t="shared" ref="AA209:AA273" si="131">IF(J209=$AA$7,1,0)</f>
        <v>0</v>
      </c>
      <c r="AB209" s="1">
        <f t="shared" ref="AB209:AB273" si="132">IF(J209=$AB$7,1,0)</f>
        <v>0</v>
      </c>
      <c r="AD209" s="1">
        <f t="shared" ref="AD209:AD273" si="133">+O209*P209</f>
        <v>0</v>
      </c>
      <c r="AE209" s="1">
        <f t="shared" ref="AE209:AE273" si="134">O209*(1-P209)</f>
        <v>0</v>
      </c>
      <c r="AF209" s="1">
        <f t="shared" si="119"/>
        <v>0</v>
      </c>
      <c r="AG209" s="1">
        <f t="shared" si="120"/>
        <v>0</v>
      </c>
      <c r="AH209" s="1">
        <f t="shared" si="121"/>
        <v>1</v>
      </c>
      <c r="AI209" s="1">
        <f t="shared" si="122"/>
        <v>0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1212</v>
      </c>
      <c r="E210" s="16" t="s">
        <v>166</v>
      </c>
      <c r="F210" s="16" t="s">
        <v>1213</v>
      </c>
      <c r="G210" s="16" t="s">
        <v>1214</v>
      </c>
      <c r="H210" s="16" t="s">
        <v>354</v>
      </c>
      <c r="I210" s="15" t="s">
        <v>1215</v>
      </c>
      <c r="J210" s="15">
        <v>99</v>
      </c>
      <c r="K210" s="10" t="s">
        <v>703</v>
      </c>
      <c r="L210" s="10">
        <v>30</v>
      </c>
      <c r="M210" s="19" t="s">
        <v>970</v>
      </c>
      <c r="N210" s="19"/>
      <c r="Q210" s="16"/>
      <c r="S210" s="1">
        <f t="shared" si="123"/>
        <v>0</v>
      </c>
      <c r="T210" s="1">
        <f t="shared" si="124"/>
        <v>0</v>
      </c>
      <c r="U210" s="1">
        <f t="shared" si="125"/>
        <v>0</v>
      </c>
      <c r="V210" s="1">
        <f t="shared" si="126"/>
        <v>0</v>
      </c>
      <c r="W210" s="1">
        <f t="shared" si="127"/>
        <v>0</v>
      </c>
      <c r="X210" s="1">
        <f t="shared" si="128"/>
        <v>0</v>
      </c>
      <c r="Y210" s="1">
        <f t="shared" si="129"/>
        <v>0</v>
      </c>
      <c r="Z210" s="1">
        <f t="shared" si="130"/>
        <v>0</v>
      </c>
      <c r="AA210" s="1">
        <f t="shared" si="131"/>
        <v>0</v>
      </c>
      <c r="AB210" s="1">
        <f t="shared" si="132"/>
        <v>0</v>
      </c>
      <c r="AD210" s="1">
        <f t="shared" si="133"/>
        <v>0</v>
      </c>
      <c r="AE210" s="1">
        <f t="shared" si="134"/>
        <v>0</v>
      </c>
      <c r="AF210" s="1">
        <f t="shared" si="119"/>
        <v>0</v>
      </c>
      <c r="AG210" s="1">
        <f t="shared" si="120"/>
        <v>0</v>
      </c>
      <c r="AH210" s="1">
        <f t="shared" si="121"/>
        <v>0</v>
      </c>
      <c r="AI210" s="1">
        <f t="shared" si="122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1600</v>
      </c>
      <c r="E211" s="32" t="s">
        <v>172</v>
      </c>
      <c r="F211" s="32" t="s">
        <v>808</v>
      </c>
      <c r="G211" s="32" t="s">
        <v>39</v>
      </c>
      <c r="H211" s="32" t="s">
        <v>809</v>
      </c>
      <c r="I211" s="31" t="s">
        <v>810</v>
      </c>
      <c r="J211" s="31">
        <v>16</v>
      </c>
      <c r="K211" s="33" t="s">
        <v>957</v>
      </c>
      <c r="L211" s="33" t="s">
        <v>1742</v>
      </c>
      <c r="M211" s="34" t="s">
        <v>970</v>
      </c>
      <c r="N211" s="34" t="s">
        <v>1748</v>
      </c>
      <c r="O211" s="35">
        <v>1</v>
      </c>
      <c r="P211" s="35"/>
      <c r="Q211" s="32"/>
      <c r="S211" s="1">
        <f t="shared" si="123"/>
        <v>0</v>
      </c>
      <c r="T211" s="1">
        <f t="shared" si="124"/>
        <v>0</v>
      </c>
      <c r="U211" s="1">
        <f t="shared" si="125"/>
        <v>0</v>
      </c>
      <c r="V211" s="1">
        <f t="shared" si="126"/>
        <v>0</v>
      </c>
      <c r="W211" s="1">
        <f t="shared" si="127"/>
        <v>0</v>
      </c>
      <c r="X211" s="1">
        <f t="shared" si="128"/>
        <v>0</v>
      </c>
      <c r="Y211" s="1">
        <f t="shared" si="129"/>
        <v>0</v>
      </c>
      <c r="Z211" s="1">
        <f t="shared" si="130"/>
        <v>0</v>
      </c>
      <c r="AA211" s="1">
        <f t="shared" si="131"/>
        <v>0</v>
      </c>
      <c r="AB211" s="1">
        <f t="shared" si="132"/>
        <v>0</v>
      </c>
      <c r="AD211" s="1">
        <f t="shared" si="133"/>
        <v>0</v>
      </c>
      <c r="AE211" s="1">
        <f t="shared" si="134"/>
        <v>1</v>
      </c>
      <c r="AF211" s="1">
        <f t="shared" si="119"/>
        <v>0</v>
      </c>
      <c r="AG211" s="1">
        <f t="shared" si="120"/>
        <v>1</v>
      </c>
      <c r="AH211" s="1">
        <f t="shared" si="121"/>
        <v>0</v>
      </c>
      <c r="AI211" s="1">
        <f t="shared" si="122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502</v>
      </c>
      <c r="E212" s="32" t="s">
        <v>166</v>
      </c>
      <c r="F212" s="32" t="s">
        <v>503</v>
      </c>
      <c r="G212" s="32" t="s">
        <v>504</v>
      </c>
      <c r="H212" s="32" t="s">
        <v>354</v>
      </c>
      <c r="I212" s="31" t="s">
        <v>505</v>
      </c>
      <c r="J212" s="31">
        <v>99</v>
      </c>
      <c r="K212" s="33" t="s">
        <v>957</v>
      </c>
      <c r="L212" s="33" t="s">
        <v>694</v>
      </c>
      <c r="M212" s="34" t="s">
        <v>691</v>
      </c>
      <c r="N212" s="34" t="s">
        <v>1727</v>
      </c>
      <c r="O212" s="35">
        <v>1</v>
      </c>
      <c r="P212" s="35">
        <v>1</v>
      </c>
      <c r="Q212" s="32"/>
      <c r="S212" s="1">
        <f t="shared" si="123"/>
        <v>0</v>
      </c>
      <c r="T212" s="1">
        <f t="shared" si="124"/>
        <v>0</v>
      </c>
      <c r="U212" s="1">
        <f t="shared" si="125"/>
        <v>0</v>
      </c>
      <c r="V212" s="1">
        <f t="shared" si="126"/>
        <v>0</v>
      </c>
      <c r="W212" s="1">
        <f t="shared" si="127"/>
        <v>0</v>
      </c>
      <c r="X212" s="1">
        <f t="shared" si="128"/>
        <v>0</v>
      </c>
      <c r="Y212" s="1">
        <f t="shared" si="129"/>
        <v>0</v>
      </c>
      <c r="Z212" s="1">
        <f t="shared" si="130"/>
        <v>0</v>
      </c>
      <c r="AA212" s="1">
        <f t="shared" si="131"/>
        <v>0</v>
      </c>
      <c r="AB212" s="1">
        <f t="shared" si="132"/>
        <v>0</v>
      </c>
      <c r="AD212" s="1">
        <f t="shared" si="133"/>
        <v>1</v>
      </c>
      <c r="AE212" s="1">
        <f t="shared" si="134"/>
        <v>0</v>
      </c>
      <c r="AF212" s="1">
        <f t="shared" si="119"/>
        <v>1</v>
      </c>
      <c r="AG212" s="1">
        <f t="shared" si="120"/>
        <v>0</v>
      </c>
      <c r="AH212" s="1">
        <f t="shared" si="121"/>
        <v>1</v>
      </c>
      <c r="AI212" s="1">
        <f t="shared" si="122"/>
        <v>0</v>
      </c>
    </row>
    <row r="213" spans="1:35" ht="14.25" customHeight="1" x14ac:dyDescent="0.25">
      <c r="A213" s="31">
        <v>0</v>
      </c>
      <c r="B213" s="31">
        <v>1</v>
      </c>
      <c r="C213" s="31">
        <v>6</v>
      </c>
      <c r="D213" s="32" t="s">
        <v>1450</v>
      </c>
      <c r="E213" s="32" t="s">
        <v>167</v>
      </c>
      <c r="F213" s="32" t="s">
        <v>1451</v>
      </c>
      <c r="G213" s="32" t="s">
        <v>179</v>
      </c>
      <c r="H213" s="32" t="s">
        <v>354</v>
      </c>
      <c r="I213" s="31" t="s">
        <v>1452</v>
      </c>
      <c r="J213" s="31">
        <v>99</v>
      </c>
      <c r="K213" s="33" t="s">
        <v>956</v>
      </c>
      <c r="L213" s="33" t="s">
        <v>696</v>
      </c>
      <c r="M213" s="34" t="s">
        <v>1453</v>
      </c>
      <c r="N213" s="34" t="s">
        <v>1749</v>
      </c>
      <c r="O213" s="35">
        <v>1</v>
      </c>
      <c r="P213" s="35"/>
      <c r="Q213" s="36"/>
      <c r="S213" s="1">
        <f t="shared" si="123"/>
        <v>0</v>
      </c>
      <c r="T213" s="1">
        <f t="shared" si="124"/>
        <v>0</v>
      </c>
      <c r="U213" s="1">
        <f t="shared" si="125"/>
        <v>0</v>
      </c>
      <c r="V213" s="1">
        <f t="shared" si="126"/>
        <v>0</v>
      </c>
      <c r="W213" s="1">
        <f t="shared" si="127"/>
        <v>0</v>
      </c>
      <c r="X213" s="1">
        <f t="shared" si="128"/>
        <v>0</v>
      </c>
      <c r="Y213" s="1">
        <f t="shared" si="129"/>
        <v>0</v>
      </c>
      <c r="Z213" s="1">
        <f t="shared" si="130"/>
        <v>0</v>
      </c>
      <c r="AA213" s="1">
        <f t="shared" si="131"/>
        <v>0</v>
      </c>
      <c r="AB213" s="1">
        <f t="shared" si="132"/>
        <v>0</v>
      </c>
      <c r="AD213" s="1">
        <f t="shared" si="133"/>
        <v>0</v>
      </c>
      <c r="AE213" s="1">
        <f t="shared" si="134"/>
        <v>1</v>
      </c>
      <c r="AF213" s="1">
        <f t="shared" si="119"/>
        <v>0</v>
      </c>
      <c r="AG213" s="1">
        <f t="shared" si="120"/>
        <v>1</v>
      </c>
      <c r="AH213" s="1">
        <f t="shared" si="121"/>
        <v>0</v>
      </c>
      <c r="AI213" s="1">
        <f t="shared" si="122"/>
        <v>1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1186</v>
      </c>
      <c r="E214" s="32" t="s">
        <v>1189</v>
      </c>
      <c r="F214" s="32" t="s">
        <v>1187</v>
      </c>
      <c r="G214" s="32" t="s">
        <v>39</v>
      </c>
      <c r="H214" s="32" t="s">
        <v>354</v>
      </c>
      <c r="I214" s="31" t="s">
        <v>1188</v>
      </c>
      <c r="J214" s="31">
        <v>99</v>
      </c>
      <c r="K214" s="33" t="s">
        <v>962</v>
      </c>
      <c r="L214" s="33" t="s">
        <v>39</v>
      </c>
      <c r="M214" s="34" t="s">
        <v>39</v>
      </c>
      <c r="N214" s="34" t="s">
        <v>1733</v>
      </c>
      <c r="O214" s="35">
        <v>1</v>
      </c>
      <c r="P214" s="35">
        <v>1</v>
      </c>
      <c r="Q214" s="36" t="s">
        <v>1908</v>
      </c>
      <c r="S214" s="1">
        <f t="shared" si="123"/>
        <v>0</v>
      </c>
      <c r="T214" s="1">
        <f t="shared" si="124"/>
        <v>0</v>
      </c>
      <c r="U214" s="1">
        <f t="shared" si="125"/>
        <v>0</v>
      </c>
      <c r="V214" s="1">
        <f t="shared" si="126"/>
        <v>0</v>
      </c>
      <c r="W214" s="1">
        <f t="shared" si="127"/>
        <v>0</v>
      </c>
      <c r="X214" s="1">
        <f t="shared" si="128"/>
        <v>0</v>
      </c>
      <c r="Y214" s="1">
        <f t="shared" si="129"/>
        <v>0</v>
      </c>
      <c r="Z214" s="1">
        <f t="shared" si="130"/>
        <v>0</v>
      </c>
      <c r="AA214" s="1">
        <f t="shared" si="131"/>
        <v>0</v>
      </c>
      <c r="AB214" s="1">
        <f t="shared" si="132"/>
        <v>0</v>
      </c>
      <c r="AD214" s="1">
        <f t="shared" si="133"/>
        <v>1</v>
      </c>
      <c r="AE214" s="1">
        <f t="shared" si="134"/>
        <v>0</v>
      </c>
      <c r="AF214" s="1">
        <f t="shared" si="119"/>
        <v>1</v>
      </c>
      <c r="AG214" s="1">
        <f t="shared" si="120"/>
        <v>0</v>
      </c>
      <c r="AH214" s="1">
        <f t="shared" si="121"/>
        <v>1</v>
      </c>
      <c r="AI214" s="1">
        <f t="shared" si="122"/>
        <v>0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1648</v>
      </c>
      <c r="E215" s="32" t="s">
        <v>1656</v>
      </c>
      <c r="F215" s="32" t="s">
        <v>1683</v>
      </c>
      <c r="G215" s="32" t="s">
        <v>1684</v>
      </c>
      <c r="H215" s="32" t="s">
        <v>354</v>
      </c>
      <c r="I215" s="31" t="s">
        <v>1696</v>
      </c>
      <c r="J215" s="31">
        <v>1</v>
      </c>
      <c r="K215" s="33" t="s">
        <v>958</v>
      </c>
      <c r="L215" s="33" t="s">
        <v>39</v>
      </c>
      <c r="M215" s="34" t="s">
        <v>39</v>
      </c>
      <c r="N215" s="34" t="s">
        <v>1727</v>
      </c>
      <c r="O215" s="35">
        <v>1</v>
      </c>
      <c r="P215" s="35">
        <v>1</v>
      </c>
      <c r="Q215" s="32"/>
      <c r="S215" s="1">
        <f t="shared" si="123"/>
        <v>1</v>
      </c>
      <c r="T215" s="1">
        <f t="shared" si="124"/>
        <v>0</v>
      </c>
      <c r="U215" s="1">
        <f t="shared" si="125"/>
        <v>0</v>
      </c>
      <c r="V215" s="1">
        <f t="shared" si="126"/>
        <v>0</v>
      </c>
      <c r="W215" s="1">
        <f t="shared" si="127"/>
        <v>0</v>
      </c>
      <c r="X215" s="1">
        <f t="shared" si="128"/>
        <v>0</v>
      </c>
      <c r="Y215" s="1">
        <f t="shared" si="129"/>
        <v>0</v>
      </c>
      <c r="Z215" s="1">
        <f t="shared" si="130"/>
        <v>0</v>
      </c>
      <c r="AA215" s="1">
        <f t="shared" si="131"/>
        <v>0</v>
      </c>
      <c r="AB215" s="1">
        <f t="shared" si="132"/>
        <v>0</v>
      </c>
      <c r="AD215" s="1">
        <f t="shared" si="133"/>
        <v>1</v>
      </c>
      <c r="AE215" s="1">
        <f t="shared" si="134"/>
        <v>0</v>
      </c>
      <c r="AF215" s="1">
        <f t="shared" si="119"/>
        <v>1</v>
      </c>
      <c r="AG215" s="1">
        <f t="shared" si="120"/>
        <v>0</v>
      </c>
      <c r="AH215" s="1">
        <f t="shared" si="121"/>
        <v>1</v>
      </c>
      <c r="AI215" s="1">
        <f t="shared" si="122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90</v>
      </c>
      <c r="E216" s="32" t="s">
        <v>168</v>
      </c>
      <c r="F216" s="32" t="s">
        <v>284</v>
      </c>
      <c r="G216" s="32" t="s">
        <v>230</v>
      </c>
      <c r="H216" s="32" t="s">
        <v>354</v>
      </c>
      <c r="I216" s="31" t="s">
        <v>438</v>
      </c>
      <c r="J216" s="31">
        <v>7</v>
      </c>
      <c r="K216" s="33" t="s">
        <v>722</v>
      </c>
      <c r="L216" s="33">
        <v>40</v>
      </c>
      <c r="M216" s="34" t="s">
        <v>39</v>
      </c>
      <c r="N216" s="34" t="s">
        <v>1748</v>
      </c>
      <c r="O216" s="35">
        <v>1</v>
      </c>
      <c r="P216" s="35"/>
      <c r="Q216" s="32"/>
      <c r="S216" s="1">
        <f t="shared" si="123"/>
        <v>0</v>
      </c>
      <c r="T216" s="1">
        <f t="shared" si="124"/>
        <v>0</v>
      </c>
      <c r="U216" s="1">
        <f t="shared" si="125"/>
        <v>0</v>
      </c>
      <c r="V216" s="1">
        <f t="shared" si="126"/>
        <v>0</v>
      </c>
      <c r="W216" s="1">
        <f t="shared" si="127"/>
        <v>0</v>
      </c>
      <c r="X216" s="1">
        <f t="shared" si="128"/>
        <v>0</v>
      </c>
      <c r="Y216" s="1">
        <f t="shared" si="129"/>
        <v>1</v>
      </c>
      <c r="Z216" s="1">
        <f t="shared" si="130"/>
        <v>0</v>
      </c>
      <c r="AA216" s="1">
        <f t="shared" si="131"/>
        <v>0</v>
      </c>
      <c r="AB216" s="1">
        <f t="shared" si="132"/>
        <v>0</v>
      </c>
      <c r="AD216" s="1">
        <f t="shared" si="133"/>
        <v>0</v>
      </c>
      <c r="AE216" s="1">
        <f t="shared" si="134"/>
        <v>1</v>
      </c>
      <c r="AF216" s="1">
        <f t="shared" si="119"/>
        <v>0</v>
      </c>
      <c r="AG216" s="1">
        <f t="shared" si="120"/>
        <v>1</v>
      </c>
      <c r="AH216" s="1">
        <f t="shared" si="121"/>
        <v>0</v>
      </c>
      <c r="AI216" s="1">
        <f t="shared" si="122"/>
        <v>1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91</v>
      </c>
      <c r="E217" s="32" t="s">
        <v>165</v>
      </c>
      <c r="F217" s="36" t="s">
        <v>1871</v>
      </c>
      <c r="G217" s="32" t="s">
        <v>240</v>
      </c>
      <c r="H217" s="32" t="s">
        <v>354</v>
      </c>
      <c r="I217" s="31" t="s">
        <v>439</v>
      </c>
      <c r="J217" s="31">
        <v>1</v>
      </c>
      <c r="K217" s="33" t="s">
        <v>964</v>
      </c>
      <c r="L217" s="33" t="s">
        <v>39</v>
      </c>
      <c r="M217" s="34" t="s">
        <v>39</v>
      </c>
      <c r="N217" s="34" t="s">
        <v>1727</v>
      </c>
      <c r="O217" s="35">
        <v>1</v>
      </c>
      <c r="P217" s="35">
        <v>1</v>
      </c>
      <c r="Q217" s="32"/>
      <c r="S217" s="1">
        <f t="shared" si="123"/>
        <v>1</v>
      </c>
      <c r="T217" s="1">
        <f t="shared" si="124"/>
        <v>0</v>
      </c>
      <c r="U217" s="1">
        <f t="shared" si="125"/>
        <v>0</v>
      </c>
      <c r="V217" s="1">
        <f t="shared" si="126"/>
        <v>0</v>
      </c>
      <c r="W217" s="1">
        <f t="shared" si="127"/>
        <v>0</v>
      </c>
      <c r="X217" s="1">
        <f t="shared" si="128"/>
        <v>0</v>
      </c>
      <c r="Y217" s="1">
        <f t="shared" si="129"/>
        <v>0</v>
      </c>
      <c r="Z217" s="1">
        <f t="shared" si="130"/>
        <v>0</v>
      </c>
      <c r="AA217" s="1">
        <f t="shared" si="131"/>
        <v>0</v>
      </c>
      <c r="AB217" s="1">
        <f t="shared" si="132"/>
        <v>0</v>
      </c>
      <c r="AD217" s="1">
        <f t="shared" si="133"/>
        <v>1</v>
      </c>
      <c r="AE217" s="1">
        <f t="shared" si="134"/>
        <v>0</v>
      </c>
      <c r="AF217" s="1">
        <f t="shared" si="119"/>
        <v>1</v>
      </c>
      <c r="AG217" s="1">
        <f t="shared" si="120"/>
        <v>0</v>
      </c>
      <c r="AH217" s="1">
        <f t="shared" si="121"/>
        <v>1</v>
      </c>
      <c r="AI217" s="1">
        <f t="shared" si="122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92</v>
      </c>
      <c r="E218" s="32" t="s">
        <v>167</v>
      </c>
      <c r="F218" s="32" t="s">
        <v>286</v>
      </c>
      <c r="G218" s="32" t="s">
        <v>200</v>
      </c>
      <c r="H218" s="32" t="s">
        <v>354</v>
      </c>
      <c r="I218" s="31" t="s">
        <v>440</v>
      </c>
      <c r="J218" s="31">
        <v>2</v>
      </c>
      <c r="K218" s="33" t="s">
        <v>962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23"/>
        <v>0</v>
      </c>
      <c r="T218" s="1">
        <f t="shared" si="124"/>
        <v>1</v>
      </c>
      <c r="U218" s="1">
        <f t="shared" si="125"/>
        <v>0</v>
      </c>
      <c r="V218" s="1">
        <f t="shared" si="126"/>
        <v>0</v>
      </c>
      <c r="W218" s="1">
        <f t="shared" si="127"/>
        <v>0</v>
      </c>
      <c r="X218" s="1">
        <f t="shared" si="128"/>
        <v>0</v>
      </c>
      <c r="Y218" s="1">
        <f t="shared" si="129"/>
        <v>0</v>
      </c>
      <c r="Z218" s="1">
        <f t="shared" si="130"/>
        <v>0</v>
      </c>
      <c r="AA218" s="1">
        <f t="shared" si="131"/>
        <v>0</v>
      </c>
      <c r="AB218" s="1">
        <f t="shared" si="132"/>
        <v>0</v>
      </c>
      <c r="AD218" s="1">
        <f t="shared" si="133"/>
        <v>1</v>
      </c>
      <c r="AE218" s="1">
        <f t="shared" si="134"/>
        <v>0</v>
      </c>
      <c r="AF218" s="1">
        <f t="shared" si="119"/>
        <v>1</v>
      </c>
      <c r="AG218" s="1">
        <f t="shared" si="120"/>
        <v>0</v>
      </c>
      <c r="AH218" s="1">
        <f t="shared" si="121"/>
        <v>1</v>
      </c>
      <c r="AI218" s="1">
        <f t="shared" si="122"/>
        <v>0</v>
      </c>
    </row>
    <row r="219" spans="1:35" ht="14.25" customHeight="1" x14ac:dyDescent="0.25">
      <c r="A219" s="44">
        <v>0</v>
      </c>
      <c r="B219" s="44">
        <v>1</v>
      </c>
      <c r="C219" s="44">
        <v>6</v>
      </c>
      <c r="D219" s="45" t="s">
        <v>1276</v>
      </c>
      <c r="E219" s="45" t="s">
        <v>167</v>
      </c>
      <c r="F219" s="45" t="s">
        <v>1148</v>
      </c>
      <c r="G219" s="45" t="s">
        <v>1342</v>
      </c>
      <c r="H219" s="45" t="s">
        <v>354</v>
      </c>
      <c r="I219" s="44" t="s">
        <v>1149</v>
      </c>
      <c r="J219" s="44">
        <v>99</v>
      </c>
      <c r="K219" s="46" t="s">
        <v>702</v>
      </c>
      <c r="L219" s="46">
        <v>45</v>
      </c>
      <c r="M219" s="47" t="s">
        <v>39</v>
      </c>
      <c r="N219" s="47" t="s">
        <v>1735</v>
      </c>
      <c r="O219" s="48"/>
      <c r="P219" s="48"/>
      <c r="Q219" s="45"/>
      <c r="S219" s="1">
        <f t="shared" si="123"/>
        <v>0</v>
      </c>
      <c r="T219" s="1">
        <f t="shared" si="124"/>
        <v>0</v>
      </c>
      <c r="U219" s="1">
        <f t="shared" si="125"/>
        <v>0</v>
      </c>
      <c r="V219" s="1">
        <f t="shared" si="126"/>
        <v>0</v>
      </c>
      <c r="W219" s="1">
        <f t="shared" si="127"/>
        <v>0</v>
      </c>
      <c r="X219" s="1">
        <f t="shared" si="128"/>
        <v>0</v>
      </c>
      <c r="Y219" s="1">
        <f t="shared" si="129"/>
        <v>0</v>
      </c>
      <c r="Z219" s="1">
        <f t="shared" si="130"/>
        <v>0</v>
      </c>
      <c r="AA219" s="1">
        <f t="shared" si="131"/>
        <v>0</v>
      </c>
      <c r="AB219" s="1">
        <f t="shared" si="132"/>
        <v>0</v>
      </c>
      <c r="AD219" s="1">
        <f t="shared" si="133"/>
        <v>0</v>
      </c>
      <c r="AE219" s="1">
        <f t="shared" si="134"/>
        <v>0</v>
      </c>
      <c r="AF219" s="1">
        <f t="shared" si="119"/>
        <v>0</v>
      </c>
      <c r="AG219" s="1">
        <f t="shared" si="120"/>
        <v>0</v>
      </c>
      <c r="AH219" s="1">
        <f t="shared" si="121"/>
        <v>0</v>
      </c>
      <c r="AI219" s="1">
        <f t="shared" si="122"/>
        <v>1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1791</v>
      </c>
      <c r="E220" s="32" t="s">
        <v>167</v>
      </c>
      <c r="F220" s="32" t="s">
        <v>1766</v>
      </c>
      <c r="G220" s="32"/>
      <c r="H220" s="32" t="s">
        <v>354</v>
      </c>
      <c r="I220" s="31" t="s">
        <v>1767</v>
      </c>
      <c r="J220" s="31"/>
      <c r="K220" s="33" t="s">
        <v>703</v>
      </c>
      <c r="L220" s="33"/>
      <c r="M220" s="34"/>
      <c r="N220" s="34" t="s">
        <v>1727</v>
      </c>
      <c r="O220" s="35">
        <v>1</v>
      </c>
      <c r="P220" s="35">
        <v>1</v>
      </c>
      <c r="Q220" s="32"/>
      <c r="S220" s="1">
        <f t="shared" si="123"/>
        <v>0</v>
      </c>
      <c r="T220" s="1">
        <f t="shared" si="124"/>
        <v>0</v>
      </c>
      <c r="U220" s="1">
        <f t="shared" si="125"/>
        <v>0</v>
      </c>
      <c r="V220" s="1">
        <f t="shared" si="126"/>
        <v>0</v>
      </c>
      <c r="W220" s="1">
        <f t="shared" si="127"/>
        <v>0</v>
      </c>
      <c r="X220" s="1">
        <f t="shared" si="128"/>
        <v>0</v>
      </c>
      <c r="Y220" s="1">
        <f t="shared" si="129"/>
        <v>0</v>
      </c>
      <c r="Z220" s="1">
        <f t="shared" si="130"/>
        <v>0</v>
      </c>
      <c r="AA220" s="1">
        <f t="shared" si="131"/>
        <v>0</v>
      </c>
      <c r="AB220" s="1">
        <f t="shared" si="132"/>
        <v>0</v>
      </c>
      <c r="AD220" s="1">
        <f t="shared" si="133"/>
        <v>1</v>
      </c>
      <c r="AE220" s="1">
        <f t="shared" si="134"/>
        <v>0</v>
      </c>
      <c r="AF220" s="1">
        <f t="shared" si="119"/>
        <v>1</v>
      </c>
      <c r="AG220" s="1">
        <f t="shared" si="120"/>
        <v>0</v>
      </c>
      <c r="AH220" s="1">
        <f t="shared" si="121"/>
        <v>1</v>
      </c>
      <c r="AI220" s="1">
        <f t="shared" si="122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1014</v>
      </c>
      <c r="E221" s="32" t="s">
        <v>167</v>
      </c>
      <c r="F221" s="32" t="s">
        <v>1015</v>
      </c>
      <c r="G221" s="32" t="s">
        <v>1103</v>
      </c>
      <c r="H221" s="32" t="s">
        <v>354</v>
      </c>
      <c r="I221" s="31" t="s">
        <v>1016</v>
      </c>
      <c r="J221" s="31">
        <v>99</v>
      </c>
      <c r="K221" s="33" t="s">
        <v>964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23"/>
        <v>0</v>
      </c>
      <c r="T221" s="1">
        <f t="shared" si="124"/>
        <v>0</v>
      </c>
      <c r="U221" s="1">
        <f t="shared" si="125"/>
        <v>0</v>
      </c>
      <c r="V221" s="1">
        <f t="shared" si="126"/>
        <v>0</v>
      </c>
      <c r="W221" s="1">
        <f t="shared" si="127"/>
        <v>0</v>
      </c>
      <c r="X221" s="1">
        <f t="shared" si="128"/>
        <v>0</v>
      </c>
      <c r="Y221" s="1">
        <f t="shared" si="129"/>
        <v>0</v>
      </c>
      <c r="Z221" s="1">
        <f t="shared" si="130"/>
        <v>0</v>
      </c>
      <c r="AA221" s="1">
        <f t="shared" si="131"/>
        <v>0</v>
      </c>
      <c r="AB221" s="1">
        <f t="shared" si="132"/>
        <v>0</v>
      </c>
      <c r="AD221" s="1">
        <f t="shared" si="133"/>
        <v>1</v>
      </c>
      <c r="AE221" s="1">
        <f t="shared" si="134"/>
        <v>0</v>
      </c>
      <c r="AF221" s="1">
        <f t="shared" si="119"/>
        <v>1</v>
      </c>
      <c r="AG221" s="1">
        <f t="shared" si="120"/>
        <v>0</v>
      </c>
      <c r="AH221" s="1">
        <f t="shared" si="121"/>
        <v>1</v>
      </c>
      <c r="AI221" s="1">
        <f t="shared" si="122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94</v>
      </c>
      <c r="E222" s="32" t="s">
        <v>169</v>
      </c>
      <c r="F222" s="32" t="s">
        <v>289</v>
      </c>
      <c r="G222" s="32" t="s">
        <v>194</v>
      </c>
      <c r="H222" s="32" t="s">
        <v>354</v>
      </c>
      <c r="I222" s="31" t="s">
        <v>442</v>
      </c>
      <c r="J222" s="31">
        <v>9</v>
      </c>
      <c r="K222" s="33" t="s">
        <v>702</v>
      </c>
      <c r="L222" s="33" t="s">
        <v>694</v>
      </c>
      <c r="M222" s="34" t="s">
        <v>706</v>
      </c>
      <c r="N222" s="34" t="s">
        <v>1748</v>
      </c>
      <c r="O222" s="35">
        <v>1</v>
      </c>
      <c r="P222" s="35"/>
      <c r="Q222" s="32"/>
      <c r="S222" s="1">
        <f t="shared" si="123"/>
        <v>0</v>
      </c>
      <c r="T222" s="1">
        <f t="shared" si="124"/>
        <v>0</v>
      </c>
      <c r="U222" s="1">
        <f t="shared" si="125"/>
        <v>0</v>
      </c>
      <c r="V222" s="1">
        <f t="shared" si="126"/>
        <v>0</v>
      </c>
      <c r="W222" s="1">
        <f t="shared" si="127"/>
        <v>0</v>
      </c>
      <c r="X222" s="1">
        <f t="shared" si="128"/>
        <v>0</v>
      </c>
      <c r="Y222" s="1">
        <f t="shared" si="129"/>
        <v>0</v>
      </c>
      <c r="Z222" s="1">
        <f t="shared" si="130"/>
        <v>0</v>
      </c>
      <c r="AA222" s="1">
        <f t="shared" si="131"/>
        <v>1</v>
      </c>
      <c r="AB222" s="1">
        <f t="shared" si="132"/>
        <v>0</v>
      </c>
      <c r="AD222" s="1">
        <f t="shared" si="133"/>
        <v>0</v>
      </c>
      <c r="AE222" s="1">
        <f t="shared" si="134"/>
        <v>1</v>
      </c>
      <c r="AF222" s="1">
        <f t="shared" si="119"/>
        <v>0</v>
      </c>
      <c r="AG222" s="1">
        <f t="shared" si="120"/>
        <v>1</v>
      </c>
      <c r="AH222" s="1">
        <f t="shared" si="121"/>
        <v>0</v>
      </c>
      <c r="AI222" s="1">
        <f t="shared" si="122"/>
        <v>1</v>
      </c>
    </row>
    <row r="223" spans="1:35" ht="14.25" customHeight="1" x14ac:dyDescent="0.25">
      <c r="A223" s="38">
        <v>0</v>
      </c>
      <c r="B223" s="38">
        <v>1</v>
      </c>
      <c r="C223" s="38">
        <v>6</v>
      </c>
      <c r="D223" s="54" t="s">
        <v>1609</v>
      </c>
      <c r="E223" s="39" t="s">
        <v>1610</v>
      </c>
      <c r="F223" s="39" t="s">
        <v>1611</v>
      </c>
      <c r="G223" s="39" t="s">
        <v>192</v>
      </c>
      <c r="H223" s="39" t="s">
        <v>354</v>
      </c>
      <c r="I223" s="38" t="s">
        <v>1612</v>
      </c>
      <c r="J223" s="38">
        <v>10</v>
      </c>
      <c r="K223" s="40" t="s">
        <v>956</v>
      </c>
      <c r="L223" s="40" t="s">
        <v>687</v>
      </c>
      <c r="M223" s="41" t="s">
        <v>1613</v>
      </c>
      <c r="N223" s="42"/>
      <c r="O223" s="43"/>
      <c r="P223" s="43">
        <v>1</v>
      </c>
      <c r="Q223" s="39"/>
      <c r="S223" s="1">
        <f t="shared" si="123"/>
        <v>0</v>
      </c>
      <c r="T223" s="1">
        <f t="shared" si="124"/>
        <v>0</v>
      </c>
      <c r="U223" s="1">
        <f t="shared" si="125"/>
        <v>0</v>
      </c>
      <c r="V223" s="1">
        <f t="shared" si="126"/>
        <v>0</v>
      </c>
      <c r="W223" s="1">
        <f t="shared" si="127"/>
        <v>0</v>
      </c>
      <c r="X223" s="1">
        <f t="shared" si="128"/>
        <v>0</v>
      </c>
      <c r="Y223" s="1">
        <f t="shared" si="129"/>
        <v>0</v>
      </c>
      <c r="Z223" s="1">
        <f t="shared" si="130"/>
        <v>0</v>
      </c>
      <c r="AA223" s="1">
        <f t="shared" si="131"/>
        <v>0</v>
      </c>
      <c r="AB223" s="1">
        <f t="shared" si="132"/>
        <v>1</v>
      </c>
      <c r="AD223" s="1">
        <f t="shared" si="133"/>
        <v>0</v>
      </c>
      <c r="AE223" s="1">
        <f t="shared" si="134"/>
        <v>0</v>
      </c>
      <c r="AF223" s="1">
        <f t="shared" si="119"/>
        <v>0</v>
      </c>
      <c r="AG223" s="1">
        <f t="shared" si="120"/>
        <v>0</v>
      </c>
      <c r="AH223" s="1">
        <f t="shared" si="121"/>
        <v>1</v>
      </c>
      <c r="AI223" s="1">
        <f t="shared" si="122"/>
        <v>0</v>
      </c>
    </row>
    <row r="224" spans="1:35" ht="14.25" customHeight="1" x14ac:dyDescent="0.25">
      <c r="A224" s="44">
        <v>0</v>
      </c>
      <c r="B224" s="44">
        <v>1</v>
      </c>
      <c r="C224" s="44">
        <v>6</v>
      </c>
      <c r="D224" s="45" t="s">
        <v>95</v>
      </c>
      <c r="E224" s="45" t="s">
        <v>165</v>
      </c>
      <c r="F224" s="45" t="s">
        <v>290</v>
      </c>
      <c r="G224" s="45" t="s">
        <v>291</v>
      </c>
      <c r="H224" s="45" t="s">
        <v>354</v>
      </c>
      <c r="I224" s="44" t="s">
        <v>443</v>
      </c>
      <c r="J224" s="44">
        <v>7</v>
      </c>
      <c r="K224" s="46" t="s">
        <v>702</v>
      </c>
      <c r="L224" s="46" t="s">
        <v>694</v>
      </c>
      <c r="M224" s="47" t="s">
        <v>698</v>
      </c>
      <c r="N224" s="47" t="s">
        <v>1734</v>
      </c>
      <c r="O224" s="48"/>
      <c r="P224" s="48"/>
      <c r="Q224" s="45"/>
      <c r="S224" s="1">
        <f t="shared" si="123"/>
        <v>0</v>
      </c>
      <c r="T224" s="1">
        <f t="shared" si="124"/>
        <v>0</v>
      </c>
      <c r="U224" s="1">
        <f t="shared" si="125"/>
        <v>0</v>
      </c>
      <c r="V224" s="1">
        <f t="shared" si="126"/>
        <v>0</v>
      </c>
      <c r="W224" s="1">
        <f t="shared" si="127"/>
        <v>0</v>
      </c>
      <c r="X224" s="1">
        <f t="shared" si="128"/>
        <v>0</v>
      </c>
      <c r="Y224" s="1">
        <f t="shared" si="129"/>
        <v>1</v>
      </c>
      <c r="Z224" s="1">
        <f t="shared" si="130"/>
        <v>0</v>
      </c>
      <c r="AA224" s="1">
        <f t="shared" si="131"/>
        <v>0</v>
      </c>
      <c r="AB224" s="1">
        <f t="shared" si="132"/>
        <v>0</v>
      </c>
      <c r="AD224" s="1">
        <f t="shared" si="133"/>
        <v>0</v>
      </c>
      <c r="AE224" s="1">
        <f t="shared" si="134"/>
        <v>0</v>
      </c>
      <c r="AF224" s="1">
        <f t="shared" si="119"/>
        <v>0</v>
      </c>
      <c r="AG224" s="1">
        <f t="shared" si="120"/>
        <v>0</v>
      </c>
      <c r="AH224" s="1">
        <f t="shared" si="121"/>
        <v>0</v>
      </c>
      <c r="AI224" s="1">
        <f t="shared" si="122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1085</v>
      </c>
      <c r="E225" s="32" t="s">
        <v>167</v>
      </c>
      <c r="F225" s="32" t="s">
        <v>660</v>
      </c>
      <c r="G225" s="32" t="s">
        <v>179</v>
      </c>
      <c r="H225" s="32" t="s">
        <v>354</v>
      </c>
      <c r="I225" s="31" t="s">
        <v>381</v>
      </c>
      <c r="J225" s="31">
        <v>10</v>
      </c>
      <c r="K225" s="33" t="s">
        <v>722</v>
      </c>
      <c r="L225" s="33" t="s">
        <v>704</v>
      </c>
      <c r="M225" s="34" t="s">
        <v>707</v>
      </c>
      <c r="N225" s="34" t="s">
        <v>1750</v>
      </c>
      <c r="O225" s="35">
        <v>1</v>
      </c>
      <c r="P225" s="35"/>
      <c r="Q225" s="32"/>
      <c r="S225" s="1">
        <f t="shared" si="123"/>
        <v>0</v>
      </c>
      <c r="T225" s="1">
        <f t="shared" si="124"/>
        <v>0</v>
      </c>
      <c r="U225" s="1">
        <f t="shared" si="125"/>
        <v>0</v>
      </c>
      <c r="V225" s="1">
        <f t="shared" si="126"/>
        <v>0</v>
      </c>
      <c r="W225" s="1">
        <f t="shared" si="127"/>
        <v>0</v>
      </c>
      <c r="X225" s="1">
        <f t="shared" si="128"/>
        <v>0</v>
      </c>
      <c r="Y225" s="1">
        <f t="shared" si="129"/>
        <v>0</v>
      </c>
      <c r="Z225" s="1">
        <f t="shared" si="130"/>
        <v>0</v>
      </c>
      <c r="AA225" s="1">
        <f t="shared" si="131"/>
        <v>0</v>
      </c>
      <c r="AB225" s="1">
        <f t="shared" si="132"/>
        <v>1</v>
      </c>
      <c r="AD225" s="1">
        <f t="shared" si="133"/>
        <v>0</v>
      </c>
      <c r="AE225" s="1">
        <f t="shared" si="134"/>
        <v>1</v>
      </c>
      <c r="AF225" s="1">
        <f t="shared" si="119"/>
        <v>0</v>
      </c>
      <c r="AG225" s="1">
        <f t="shared" si="120"/>
        <v>1</v>
      </c>
      <c r="AH225" s="1">
        <f t="shared" si="121"/>
        <v>0</v>
      </c>
      <c r="AI225" s="1">
        <f t="shared" si="122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1229</v>
      </c>
      <c r="E226" s="32" t="s">
        <v>165</v>
      </c>
      <c r="F226" s="32" t="s">
        <v>1230</v>
      </c>
      <c r="G226" s="32" t="s">
        <v>1232</v>
      </c>
      <c r="H226" s="32" t="s">
        <v>354</v>
      </c>
      <c r="I226" s="31" t="s">
        <v>1231</v>
      </c>
      <c r="J226" s="31">
        <v>99</v>
      </c>
      <c r="K226" s="33" t="s">
        <v>722</v>
      </c>
      <c r="L226" s="33" t="s">
        <v>693</v>
      </c>
      <c r="M226" s="34" t="s">
        <v>1401</v>
      </c>
      <c r="N226" s="34" t="s">
        <v>1743</v>
      </c>
      <c r="O226" s="35">
        <v>1</v>
      </c>
      <c r="P226" s="35"/>
      <c r="Q226" s="32"/>
      <c r="R226" s="15"/>
      <c r="S226" s="15">
        <f t="shared" si="123"/>
        <v>0</v>
      </c>
      <c r="T226" s="15">
        <f t="shared" si="124"/>
        <v>0</v>
      </c>
      <c r="U226" s="15">
        <f t="shared" si="125"/>
        <v>0</v>
      </c>
      <c r="V226" s="15">
        <f t="shared" si="126"/>
        <v>0</v>
      </c>
      <c r="W226" s="15">
        <f t="shared" si="127"/>
        <v>0</v>
      </c>
      <c r="X226" s="15">
        <f t="shared" si="128"/>
        <v>0</v>
      </c>
      <c r="Y226" s="15">
        <f t="shared" si="129"/>
        <v>0</v>
      </c>
      <c r="Z226" s="15">
        <f t="shared" si="130"/>
        <v>0</v>
      </c>
      <c r="AA226" s="15">
        <f t="shared" si="131"/>
        <v>0</v>
      </c>
      <c r="AB226" s="10">
        <f t="shared" si="132"/>
        <v>0</v>
      </c>
      <c r="AC226" s="10"/>
      <c r="AD226" s="21">
        <f t="shared" si="133"/>
        <v>0</v>
      </c>
      <c r="AE226" s="21">
        <f t="shared" si="134"/>
        <v>1</v>
      </c>
      <c r="AF226" s="1">
        <f t="shared" si="119"/>
        <v>0</v>
      </c>
      <c r="AG226" s="1">
        <f t="shared" si="120"/>
        <v>1</v>
      </c>
      <c r="AH226" s="21">
        <f t="shared" si="121"/>
        <v>0</v>
      </c>
      <c r="AI226" s="15">
        <f t="shared" si="122"/>
        <v>1</v>
      </c>
      <c r="AJ226" s="15"/>
      <c r="AK226" s="15"/>
      <c r="AL226" s="15"/>
      <c r="AM226" s="15"/>
      <c r="AN226" s="15"/>
      <c r="AO226" s="15"/>
      <c r="AP226" s="15"/>
      <c r="AQ226" s="15"/>
      <c r="AR226" s="15"/>
      <c r="AS226" s="10"/>
      <c r="AT226" s="10"/>
      <c r="AU226" s="21"/>
      <c r="AV226" s="21"/>
      <c r="AY226" s="21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0"/>
      <c r="BK226" s="10"/>
      <c r="BL226" s="21"/>
      <c r="BM226" s="21"/>
      <c r="BP226" s="21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0"/>
      <c r="CB226" s="10"/>
      <c r="CC226" s="21"/>
      <c r="CD226" s="21"/>
      <c r="CG226" s="21"/>
      <c r="CH226" s="15"/>
      <c r="CI226" s="15"/>
      <c r="CJ226" s="15"/>
      <c r="CK226" s="15"/>
      <c r="CL226" s="15"/>
      <c r="CM226" s="15"/>
      <c r="CN226" s="15"/>
      <c r="CO226" s="15"/>
      <c r="CP226" s="15"/>
      <c r="CQ226" s="15"/>
      <c r="CR226" s="10"/>
      <c r="CS226" s="10"/>
      <c r="CT226" s="21"/>
      <c r="CU226" s="21"/>
      <c r="CX226" s="21"/>
      <c r="CY226" s="15"/>
      <c r="CZ226" s="15"/>
      <c r="DA226" s="15"/>
      <c r="DB226" s="15"/>
      <c r="DC226" s="15"/>
      <c r="DD226" s="15"/>
      <c r="DE226" s="15"/>
      <c r="DF226" s="15"/>
      <c r="DG226" s="15"/>
      <c r="DH226" s="15"/>
      <c r="DI226" s="10"/>
      <c r="DJ226" s="10"/>
      <c r="DK226" s="21"/>
      <c r="DL226" s="21"/>
      <c r="DO226" s="21"/>
      <c r="DP226" s="15"/>
      <c r="DQ226" s="15"/>
      <c r="DR226" s="15"/>
      <c r="DS226" s="15"/>
      <c r="DT226" s="15"/>
      <c r="DU226" s="15"/>
      <c r="DV226" s="15"/>
      <c r="DW226" s="15"/>
      <c r="DX226" s="15"/>
      <c r="DY226" s="15"/>
      <c r="DZ226" s="10"/>
      <c r="EA226" s="10"/>
      <c r="EB226" s="21"/>
      <c r="EC226" s="21"/>
      <c r="EF226" s="21"/>
      <c r="EG226" s="15"/>
      <c r="EH226" s="15"/>
      <c r="EI226" s="15"/>
      <c r="EJ226" s="15"/>
      <c r="EK226" s="15"/>
      <c r="EL226" s="15"/>
      <c r="EM226" s="15"/>
      <c r="EN226" s="15"/>
      <c r="EO226" s="15"/>
      <c r="EP226" s="15"/>
      <c r="EQ226" s="10"/>
      <c r="ER226" s="10"/>
      <c r="ES226" s="21"/>
      <c r="ET226" s="21"/>
      <c r="EW226" s="21"/>
      <c r="EX226" s="15"/>
      <c r="EY226" s="15"/>
      <c r="EZ226" s="15"/>
      <c r="FA226" s="15"/>
      <c r="FB226" s="15"/>
      <c r="FC226" s="15"/>
      <c r="FD226" s="15"/>
      <c r="FE226" s="15"/>
      <c r="FF226" s="15"/>
      <c r="FG226" s="15"/>
      <c r="FH226" s="10"/>
      <c r="FI226" s="10"/>
      <c r="FJ226" s="21"/>
      <c r="FK226" s="21"/>
      <c r="FN226" s="21"/>
      <c r="FO226" s="15"/>
      <c r="FP226" s="15"/>
      <c r="FQ226" s="15"/>
      <c r="FR226" s="15"/>
      <c r="FS226" s="15"/>
      <c r="FT226" s="15"/>
      <c r="FU226" s="15"/>
      <c r="FV226" s="15"/>
      <c r="FW226" s="15"/>
      <c r="FX226" s="15"/>
      <c r="FY226" s="10"/>
      <c r="FZ226" s="10"/>
      <c r="GA226" s="21"/>
      <c r="GB226" s="21"/>
      <c r="GE226" s="21"/>
      <c r="GF226" s="15"/>
      <c r="GG226" s="15"/>
      <c r="GH226" s="15"/>
      <c r="GI226" s="15"/>
      <c r="GJ226" s="15"/>
      <c r="GK226" s="15"/>
      <c r="GL226" s="15"/>
      <c r="GM226" s="15"/>
      <c r="GN226" s="15"/>
      <c r="GO226" s="15"/>
      <c r="GP226" s="10"/>
      <c r="GQ226" s="10"/>
      <c r="GR226" s="21"/>
      <c r="GS226" s="21"/>
      <c r="GV226" s="21"/>
      <c r="GW226" s="15"/>
      <c r="GX226" s="15"/>
      <c r="GY226" s="15"/>
      <c r="GZ226" s="15"/>
      <c r="HA226" s="15"/>
      <c r="HB226" s="15"/>
      <c r="HC226" s="15"/>
      <c r="HD226" s="15"/>
      <c r="HE226" s="15"/>
      <c r="HF226" s="15"/>
      <c r="HG226" s="10"/>
      <c r="HH226" s="10"/>
      <c r="HI226" s="21"/>
      <c r="HJ226" s="21"/>
      <c r="HM226" s="21"/>
      <c r="HN226" s="15"/>
      <c r="HO226" s="15"/>
      <c r="HP226" s="15"/>
      <c r="HQ226" s="15"/>
      <c r="HR226" s="15"/>
      <c r="HS226" s="15"/>
      <c r="HT226" s="15"/>
      <c r="HU226" s="15"/>
      <c r="HV226" s="15"/>
      <c r="HW226" s="15"/>
      <c r="HX226" s="10"/>
      <c r="HY226" s="10"/>
      <c r="HZ226" s="21"/>
      <c r="IA226" s="21"/>
      <c r="ID226" s="21"/>
      <c r="IE226" s="15"/>
      <c r="IF226" s="15"/>
      <c r="IG226" s="15"/>
      <c r="IH226" s="15"/>
      <c r="II226" s="15"/>
      <c r="IJ226" s="15"/>
      <c r="IK226" s="15"/>
      <c r="IL226" s="15"/>
      <c r="IM226" s="15"/>
      <c r="IN226" s="15"/>
      <c r="IO226" s="10"/>
      <c r="IP226" s="10"/>
      <c r="IQ226" s="21"/>
      <c r="IR226" s="21"/>
      <c r="IU226" s="21"/>
      <c r="IV226" s="15"/>
      <c r="IW226" s="15"/>
      <c r="IX226" s="15"/>
      <c r="IY226" s="15"/>
      <c r="IZ226" s="15"/>
      <c r="JA226" s="15"/>
      <c r="JB226" s="15"/>
      <c r="JC226" s="15"/>
      <c r="JD226" s="15"/>
      <c r="JE226" s="15"/>
      <c r="JF226" s="10"/>
      <c r="JG226" s="10"/>
      <c r="JH226" s="21"/>
      <c r="JI226" s="21"/>
      <c r="JL226" s="21"/>
      <c r="JM226" s="15"/>
      <c r="JN226" s="15"/>
      <c r="JO226" s="15"/>
      <c r="JP226" s="15"/>
      <c r="JQ226" s="15"/>
      <c r="JR226" s="15"/>
      <c r="JS226" s="15"/>
      <c r="JT226" s="15"/>
      <c r="JU226" s="15"/>
      <c r="JV226" s="15"/>
      <c r="JW226" s="10"/>
      <c r="JX226" s="10"/>
      <c r="JY226" s="21"/>
      <c r="JZ226" s="21"/>
      <c r="KC226" s="21"/>
      <c r="KD226" s="15"/>
      <c r="KE226" s="15"/>
      <c r="KF226" s="15"/>
      <c r="KG226" s="15"/>
      <c r="KH226" s="15"/>
      <c r="KI226" s="15"/>
      <c r="KJ226" s="15"/>
      <c r="KK226" s="15"/>
      <c r="KL226" s="15"/>
      <c r="KM226" s="15"/>
      <c r="KN226" s="10"/>
      <c r="KO226" s="10"/>
      <c r="KP226" s="21"/>
      <c r="KQ226" s="21"/>
      <c r="KT226" s="21"/>
      <c r="KU226" s="15"/>
      <c r="KV226" s="15"/>
      <c r="KW226" s="15"/>
      <c r="KX226" s="15"/>
      <c r="KY226" s="15"/>
      <c r="KZ226" s="15"/>
      <c r="LA226" s="15"/>
      <c r="LB226" s="15"/>
      <c r="LC226" s="15"/>
      <c r="LD226" s="15"/>
      <c r="LE226" s="10"/>
      <c r="LF226" s="10"/>
      <c r="LG226" s="21"/>
      <c r="LH226" s="21"/>
      <c r="LK226" s="21"/>
      <c r="LL226" s="15"/>
      <c r="LM226" s="15"/>
      <c r="LN226" s="15"/>
      <c r="LO226" s="15"/>
      <c r="LP226" s="15"/>
      <c r="LQ226" s="15"/>
      <c r="LR226" s="15"/>
      <c r="LS226" s="15"/>
      <c r="LT226" s="15"/>
      <c r="LU226" s="15"/>
      <c r="LV226" s="10"/>
      <c r="LW226" s="10"/>
      <c r="LX226" s="21"/>
      <c r="LY226" s="21"/>
      <c r="MB226" s="21"/>
      <c r="MC226" s="15"/>
      <c r="MD226" s="15"/>
      <c r="ME226" s="15"/>
      <c r="MF226" s="15"/>
      <c r="MG226" s="15"/>
      <c r="MH226" s="15"/>
      <c r="MI226" s="15"/>
      <c r="MJ226" s="15"/>
      <c r="MK226" s="15"/>
      <c r="ML226" s="15"/>
      <c r="MM226" s="10"/>
      <c r="MN226" s="10"/>
      <c r="MO226" s="21"/>
      <c r="MP226" s="21"/>
      <c r="MS226" s="21"/>
      <c r="MT226" s="15"/>
      <c r="MU226" s="15"/>
      <c r="MV226" s="15"/>
      <c r="MW226" s="15"/>
      <c r="MX226" s="15"/>
      <c r="MY226" s="15"/>
      <c r="MZ226" s="15"/>
      <c r="NA226" s="15"/>
      <c r="NB226" s="15"/>
      <c r="NC226" s="15"/>
      <c r="ND226" s="10"/>
      <c r="NE226" s="10"/>
      <c r="NF226" s="21"/>
      <c r="NG226" s="21"/>
      <c r="NJ226" s="21"/>
      <c r="NK226" s="15"/>
      <c r="NL226" s="15"/>
      <c r="NM226" s="15"/>
      <c r="NN226" s="15"/>
      <c r="NO226" s="15"/>
      <c r="NP226" s="15"/>
      <c r="NQ226" s="15"/>
      <c r="NR226" s="15"/>
      <c r="NS226" s="15"/>
      <c r="NT226" s="15"/>
      <c r="NU226" s="10"/>
      <c r="NV226" s="10"/>
      <c r="NW226" s="21"/>
      <c r="NX226" s="21"/>
      <c r="OA226" s="21"/>
      <c r="OB226" s="15"/>
      <c r="OC226" s="15"/>
      <c r="OD226" s="15"/>
      <c r="OE226" s="15"/>
      <c r="OF226" s="15"/>
      <c r="OG226" s="15"/>
      <c r="OH226" s="15"/>
      <c r="OI226" s="15"/>
      <c r="OJ226" s="15"/>
      <c r="OK226" s="15"/>
      <c r="OL226" s="10"/>
      <c r="OM226" s="10"/>
      <c r="ON226" s="21"/>
      <c r="OO226" s="21"/>
      <c r="OR226" s="21"/>
      <c r="OS226" s="15"/>
      <c r="OT226" s="15"/>
      <c r="OU226" s="15"/>
      <c r="OV226" s="15"/>
      <c r="OW226" s="15"/>
      <c r="OX226" s="15"/>
      <c r="OY226" s="15"/>
      <c r="OZ226" s="15"/>
      <c r="PA226" s="15"/>
      <c r="PB226" s="15"/>
      <c r="PC226" s="10"/>
      <c r="PD226" s="10"/>
      <c r="PE226" s="21"/>
      <c r="PF226" s="21"/>
      <c r="PI226" s="21"/>
      <c r="PJ226" s="15"/>
      <c r="PK226" s="15"/>
      <c r="PL226" s="15"/>
      <c r="PM226" s="15"/>
      <c r="PN226" s="15"/>
      <c r="PO226" s="15"/>
      <c r="PP226" s="15"/>
      <c r="PQ226" s="15"/>
      <c r="PR226" s="15"/>
      <c r="PS226" s="15"/>
      <c r="PT226" s="10"/>
      <c r="PU226" s="10"/>
      <c r="PV226" s="21"/>
      <c r="PW226" s="21"/>
      <c r="PZ226" s="21"/>
      <c r="QA226" s="15"/>
      <c r="QB226" s="15"/>
      <c r="QC226" s="15"/>
      <c r="QD226" s="15"/>
      <c r="QE226" s="15"/>
      <c r="QF226" s="15"/>
      <c r="QG226" s="15"/>
      <c r="QH226" s="15"/>
      <c r="QI226" s="15"/>
      <c r="QJ226" s="15"/>
      <c r="QK226" s="10"/>
      <c r="QL226" s="10"/>
      <c r="QM226" s="21"/>
      <c r="QN226" s="21"/>
      <c r="QQ226" s="21"/>
      <c r="QR226" s="15"/>
      <c r="QS226" s="15"/>
      <c r="QT226" s="15"/>
      <c r="QU226" s="15"/>
      <c r="QV226" s="15"/>
      <c r="QW226" s="15"/>
      <c r="QX226" s="15"/>
      <c r="QY226" s="15"/>
      <c r="QZ226" s="15"/>
      <c r="RA226" s="15"/>
      <c r="RB226" s="10"/>
      <c r="RC226" s="10"/>
      <c r="RD226" s="21"/>
      <c r="RE226" s="21"/>
      <c r="RH226" s="21"/>
      <c r="RI226" s="15"/>
      <c r="RJ226" s="15"/>
      <c r="RK226" s="15"/>
      <c r="RL226" s="15"/>
      <c r="RM226" s="15"/>
      <c r="RN226" s="15"/>
      <c r="RO226" s="15"/>
      <c r="RP226" s="15"/>
      <c r="RQ226" s="15"/>
      <c r="RR226" s="15"/>
      <c r="RS226" s="10"/>
      <c r="RT226" s="10"/>
      <c r="RU226" s="21"/>
      <c r="RV226" s="21"/>
      <c r="RY226" s="21"/>
      <c r="RZ226" s="15"/>
      <c r="SA226" s="15"/>
      <c r="SB226" s="15"/>
      <c r="SC226" s="15"/>
      <c r="SD226" s="15"/>
      <c r="SE226" s="15"/>
      <c r="SF226" s="15"/>
      <c r="SG226" s="15"/>
      <c r="SH226" s="15"/>
      <c r="SI226" s="15"/>
      <c r="SJ226" s="10"/>
      <c r="SK226" s="10"/>
      <c r="SL226" s="21"/>
      <c r="SM226" s="21"/>
      <c r="SP226" s="21"/>
      <c r="SQ226" s="15"/>
      <c r="SR226" s="15"/>
      <c r="SS226" s="15"/>
      <c r="ST226" s="15"/>
      <c r="SU226" s="15"/>
      <c r="SV226" s="15"/>
      <c r="SW226" s="15"/>
      <c r="SX226" s="15"/>
      <c r="SY226" s="15"/>
      <c r="SZ226" s="15"/>
      <c r="TA226" s="10"/>
      <c r="TB226" s="10"/>
      <c r="TC226" s="21"/>
      <c r="TD226" s="21"/>
      <c r="TG226" s="21"/>
      <c r="TH226" s="15"/>
      <c r="TI226" s="15"/>
      <c r="TJ226" s="15"/>
      <c r="TK226" s="15"/>
      <c r="TL226" s="15"/>
      <c r="TM226" s="15"/>
      <c r="TN226" s="15"/>
      <c r="TO226" s="15"/>
      <c r="TP226" s="15"/>
      <c r="TQ226" s="15"/>
      <c r="TR226" s="10"/>
      <c r="TS226" s="10"/>
      <c r="TT226" s="21"/>
      <c r="TU226" s="21"/>
      <c r="TX226" s="21"/>
      <c r="TY226" s="15"/>
      <c r="TZ226" s="15"/>
      <c r="UA226" s="15"/>
      <c r="UB226" s="15"/>
      <c r="UC226" s="15"/>
      <c r="UD226" s="15"/>
      <c r="UE226" s="15"/>
      <c r="UF226" s="15"/>
      <c r="UG226" s="15"/>
      <c r="UH226" s="15"/>
      <c r="UI226" s="10"/>
      <c r="UJ226" s="10"/>
      <c r="UK226" s="21"/>
      <c r="UL226" s="21"/>
      <c r="UO226" s="21"/>
      <c r="UP226" s="15"/>
      <c r="UQ226" s="15"/>
      <c r="UR226" s="15"/>
      <c r="US226" s="15"/>
      <c r="UT226" s="15"/>
      <c r="UU226" s="15"/>
      <c r="UV226" s="15"/>
      <c r="UW226" s="15"/>
      <c r="UX226" s="15"/>
      <c r="UY226" s="15"/>
      <c r="UZ226" s="10"/>
      <c r="VA226" s="10"/>
      <c r="VB226" s="21"/>
      <c r="VC226" s="21"/>
      <c r="VF226" s="21"/>
      <c r="VG226" s="15"/>
      <c r="VH226" s="15"/>
      <c r="VI226" s="15"/>
      <c r="VJ226" s="15"/>
      <c r="VK226" s="15"/>
      <c r="VL226" s="15"/>
      <c r="VM226" s="15"/>
      <c r="VN226" s="15"/>
      <c r="VO226" s="15"/>
      <c r="VP226" s="15"/>
      <c r="VQ226" s="10"/>
      <c r="VR226" s="10"/>
      <c r="VS226" s="21"/>
      <c r="VT226" s="21"/>
      <c r="VW226" s="21"/>
      <c r="VX226" s="15"/>
      <c r="VY226" s="15"/>
      <c r="VZ226" s="15"/>
      <c r="WA226" s="15"/>
      <c r="WB226" s="15"/>
      <c r="WC226" s="15"/>
      <c r="WD226" s="15"/>
      <c r="WE226" s="15"/>
      <c r="WF226" s="15"/>
      <c r="WG226" s="15"/>
      <c r="WH226" s="10"/>
      <c r="WI226" s="10"/>
      <c r="WJ226" s="21"/>
      <c r="WK226" s="21"/>
      <c r="WN226" s="21"/>
      <c r="WO226" s="15"/>
      <c r="WP226" s="15"/>
      <c r="WQ226" s="15"/>
      <c r="WR226" s="15"/>
      <c r="WS226" s="15"/>
      <c r="WT226" s="15"/>
      <c r="WU226" s="15"/>
      <c r="WV226" s="15"/>
      <c r="WW226" s="15"/>
      <c r="WX226" s="15"/>
      <c r="WY226" s="10"/>
      <c r="WZ226" s="10"/>
      <c r="XA226" s="21"/>
      <c r="XB226" s="21"/>
      <c r="XE226" s="21"/>
      <c r="XF226" s="15"/>
      <c r="XG226" s="15"/>
      <c r="XH226" s="15"/>
      <c r="XI226" s="15"/>
      <c r="XJ226" s="15"/>
      <c r="XK226" s="15"/>
      <c r="XL226" s="15"/>
      <c r="XM226" s="15"/>
      <c r="XN226" s="15"/>
      <c r="XO226" s="15"/>
      <c r="XP226" s="10"/>
      <c r="XQ226" s="10"/>
      <c r="XR226" s="21"/>
      <c r="XS226" s="21"/>
      <c r="XV226" s="21"/>
      <c r="XW226" s="15"/>
      <c r="XX226" s="15"/>
      <c r="XY226" s="15"/>
      <c r="XZ226" s="15"/>
      <c r="YA226" s="15"/>
      <c r="YB226" s="15"/>
      <c r="YC226" s="15"/>
      <c r="YD226" s="15"/>
      <c r="YE226" s="15"/>
      <c r="YF226" s="15"/>
      <c r="YG226" s="10"/>
      <c r="YH226" s="10"/>
      <c r="YI226" s="21"/>
      <c r="YJ226" s="21"/>
      <c r="YM226" s="21"/>
      <c r="YN226" s="15"/>
      <c r="YO226" s="15"/>
      <c r="YP226" s="15"/>
      <c r="YQ226" s="15"/>
      <c r="YR226" s="15"/>
      <c r="YS226" s="15"/>
      <c r="YT226" s="15"/>
      <c r="YU226" s="15"/>
      <c r="YV226" s="15"/>
      <c r="YW226" s="15"/>
      <c r="YX226" s="10"/>
      <c r="YY226" s="10"/>
      <c r="YZ226" s="21"/>
      <c r="ZA226" s="21"/>
      <c r="ZD226" s="21"/>
      <c r="ZE226" s="15"/>
      <c r="ZF226" s="15"/>
      <c r="ZG226" s="15"/>
      <c r="ZH226" s="15"/>
      <c r="ZI226" s="15"/>
      <c r="ZJ226" s="15"/>
      <c r="ZK226" s="15"/>
      <c r="ZL226" s="15"/>
      <c r="ZM226" s="15"/>
      <c r="ZN226" s="15"/>
      <c r="ZO226" s="10"/>
      <c r="ZP226" s="10"/>
      <c r="ZQ226" s="21"/>
      <c r="ZR226" s="21"/>
      <c r="ZU226" s="21"/>
      <c r="ZV226" s="15"/>
      <c r="ZW226" s="15"/>
      <c r="ZX226" s="15"/>
      <c r="ZY226" s="15"/>
      <c r="ZZ226" s="15"/>
      <c r="AAA226" s="15"/>
      <c r="AAB226" s="15"/>
      <c r="AAC226" s="15"/>
      <c r="AAD226" s="15"/>
      <c r="AAE226" s="15"/>
      <c r="AAF226" s="10"/>
      <c r="AAG226" s="10"/>
      <c r="AAH226" s="21"/>
      <c r="AAI226" s="21"/>
      <c r="AAL226" s="21"/>
      <c r="AAM226" s="15"/>
      <c r="AAN226" s="15"/>
      <c r="AAO226" s="15"/>
      <c r="AAP226" s="15"/>
      <c r="AAQ226" s="15"/>
      <c r="AAR226" s="15"/>
      <c r="AAS226" s="15"/>
      <c r="AAT226" s="15"/>
      <c r="AAU226" s="15"/>
      <c r="AAV226" s="15"/>
      <c r="AAW226" s="10"/>
      <c r="AAX226" s="10"/>
      <c r="AAY226" s="21"/>
      <c r="AAZ226" s="21"/>
      <c r="ABC226" s="21"/>
      <c r="ABD226" s="15"/>
      <c r="ABE226" s="15"/>
      <c r="ABF226" s="15"/>
      <c r="ABG226" s="15"/>
      <c r="ABH226" s="15"/>
      <c r="ABI226" s="15"/>
      <c r="ABJ226" s="15"/>
      <c r="ABK226" s="15"/>
      <c r="ABL226" s="15"/>
      <c r="ABM226" s="15"/>
      <c r="ABN226" s="10"/>
      <c r="ABO226" s="10"/>
      <c r="ABP226" s="21"/>
      <c r="ABQ226" s="21"/>
      <c r="ABT226" s="21"/>
      <c r="ABU226" s="15"/>
      <c r="ABV226" s="15"/>
      <c r="ABW226" s="15"/>
      <c r="ABX226" s="15"/>
      <c r="ABY226" s="15"/>
      <c r="ABZ226" s="15"/>
      <c r="ACA226" s="15"/>
      <c r="ACB226" s="15"/>
      <c r="ACC226" s="15"/>
      <c r="ACD226" s="15"/>
      <c r="ACE226" s="10"/>
      <c r="ACF226" s="10"/>
      <c r="ACG226" s="21"/>
      <c r="ACH226" s="21"/>
      <c r="ACK226" s="21"/>
      <c r="ACL226" s="15"/>
      <c r="ACM226" s="15"/>
      <c r="ACN226" s="15"/>
      <c r="ACO226" s="15"/>
      <c r="ACP226" s="15"/>
      <c r="ACQ226" s="15"/>
      <c r="ACR226" s="15"/>
      <c r="ACS226" s="15"/>
      <c r="ACT226" s="15"/>
      <c r="ACU226" s="15"/>
      <c r="ACV226" s="10"/>
      <c r="ACW226" s="10"/>
      <c r="ACX226" s="21"/>
      <c r="ACY226" s="21"/>
      <c r="ADB226" s="21"/>
      <c r="ADC226" s="15"/>
      <c r="ADD226" s="15"/>
      <c r="ADE226" s="15"/>
      <c r="ADF226" s="15"/>
      <c r="ADG226" s="15"/>
      <c r="ADH226" s="15"/>
      <c r="ADI226" s="15"/>
      <c r="ADJ226" s="15"/>
      <c r="ADK226" s="15"/>
      <c r="ADL226" s="15"/>
      <c r="ADM226" s="10"/>
      <c r="ADN226" s="10"/>
      <c r="ADO226" s="21"/>
      <c r="ADP226" s="21"/>
      <c r="ADS226" s="21"/>
      <c r="ADT226" s="15"/>
      <c r="ADU226" s="15"/>
      <c r="ADV226" s="15"/>
      <c r="ADW226" s="15"/>
      <c r="ADX226" s="15"/>
      <c r="ADY226" s="15"/>
      <c r="ADZ226" s="15"/>
      <c r="AEA226" s="15"/>
      <c r="AEB226" s="15"/>
      <c r="AEC226" s="15"/>
      <c r="AED226" s="10"/>
      <c r="AEE226" s="10"/>
      <c r="AEF226" s="21"/>
      <c r="AEG226" s="21"/>
      <c r="AEJ226" s="21"/>
      <c r="AEK226" s="15"/>
      <c r="AEL226" s="15"/>
      <c r="AEM226" s="15"/>
      <c r="AEN226" s="15"/>
      <c r="AEO226" s="15"/>
      <c r="AEP226" s="15"/>
      <c r="AEQ226" s="15"/>
      <c r="AER226" s="15"/>
      <c r="AES226" s="15"/>
      <c r="AET226" s="15"/>
      <c r="AEU226" s="10"/>
      <c r="AEV226" s="10"/>
      <c r="AEW226" s="21"/>
      <c r="AEX226" s="21"/>
      <c r="AFA226" s="21"/>
      <c r="AFB226" s="15"/>
      <c r="AFC226" s="15"/>
      <c r="AFD226" s="15"/>
      <c r="AFE226" s="15"/>
      <c r="AFF226" s="15"/>
      <c r="AFG226" s="15"/>
      <c r="AFH226" s="15"/>
      <c r="AFI226" s="15"/>
      <c r="AFJ226" s="15"/>
      <c r="AFK226" s="15"/>
      <c r="AFL226" s="10"/>
      <c r="AFM226" s="10"/>
      <c r="AFN226" s="21"/>
      <c r="AFO226" s="21"/>
      <c r="AFR226" s="21"/>
      <c r="AFS226" s="15"/>
      <c r="AFT226" s="15"/>
      <c r="AFU226" s="15"/>
      <c r="AFV226" s="15"/>
      <c r="AFW226" s="15"/>
      <c r="AFX226" s="15"/>
      <c r="AFY226" s="15"/>
      <c r="AFZ226" s="15"/>
      <c r="AGA226" s="15"/>
      <c r="AGB226" s="15"/>
      <c r="AGC226" s="10"/>
      <c r="AGD226" s="10"/>
      <c r="AGE226" s="21"/>
      <c r="AGF226" s="21"/>
      <c r="AGI226" s="21"/>
      <c r="AGJ226" s="15"/>
      <c r="AGK226" s="15"/>
      <c r="AGL226" s="15"/>
      <c r="AGM226" s="15"/>
      <c r="AGN226" s="15"/>
      <c r="AGO226" s="15"/>
      <c r="AGP226" s="15"/>
      <c r="AGQ226" s="15"/>
      <c r="AGR226" s="15"/>
      <c r="AGS226" s="15"/>
      <c r="AGT226" s="10"/>
      <c r="AGU226" s="10"/>
      <c r="AGV226" s="21"/>
      <c r="AGW226" s="21"/>
      <c r="AGZ226" s="21"/>
      <c r="AHA226" s="15"/>
      <c r="AHB226" s="15"/>
      <c r="AHC226" s="15"/>
      <c r="AHD226" s="15"/>
      <c r="AHE226" s="15"/>
      <c r="AHF226" s="15"/>
      <c r="AHG226" s="15"/>
      <c r="AHH226" s="15"/>
      <c r="AHI226" s="15"/>
      <c r="AHJ226" s="15"/>
      <c r="AHK226" s="10"/>
      <c r="AHL226" s="10"/>
      <c r="AHM226" s="21"/>
      <c r="AHN226" s="21"/>
      <c r="AHQ226" s="21"/>
      <c r="AHR226" s="15"/>
      <c r="AHS226" s="15"/>
      <c r="AHT226" s="15"/>
      <c r="AHU226" s="15"/>
      <c r="AHV226" s="15"/>
      <c r="AHW226" s="15"/>
      <c r="AHX226" s="15"/>
      <c r="AHY226" s="15"/>
      <c r="AHZ226" s="15"/>
      <c r="AIA226" s="15"/>
      <c r="AIB226" s="10"/>
      <c r="AIC226" s="10"/>
      <c r="AID226" s="21"/>
      <c r="AIE226" s="21"/>
      <c r="AIH226" s="21"/>
      <c r="AII226" s="15"/>
      <c r="AIJ226" s="15"/>
      <c r="AIK226" s="15"/>
      <c r="AIL226" s="15"/>
      <c r="AIM226" s="15"/>
      <c r="AIN226" s="15"/>
      <c r="AIO226" s="15"/>
      <c r="AIP226" s="15"/>
      <c r="AIQ226" s="15"/>
      <c r="AIR226" s="15"/>
      <c r="AIS226" s="10"/>
      <c r="AIT226" s="10"/>
      <c r="AIU226" s="21"/>
      <c r="AIV226" s="21"/>
      <c r="AIY226" s="21"/>
      <c r="AIZ226" s="15"/>
      <c r="AJA226" s="15"/>
      <c r="AJB226" s="15"/>
      <c r="AJC226" s="15"/>
      <c r="AJD226" s="15"/>
      <c r="AJE226" s="15"/>
      <c r="AJF226" s="15"/>
      <c r="AJG226" s="15"/>
      <c r="AJH226" s="15"/>
      <c r="AJI226" s="15"/>
      <c r="AJJ226" s="10"/>
      <c r="AJK226" s="10"/>
      <c r="AJL226" s="21"/>
      <c r="AJM226" s="21"/>
      <c r="AJP226" s="21"/>
      <c r="AJQ226" s="15"/>
      <c r="AJR226" s="15"/>
      <c r="AJS226" s="15"/>
      <c r="AJT226" s="15"/>
      <c r="AJU226" s="15"/>
      <c r="AJV226" s="15"/>
      <c r="AJW226" s="15"/>
      <c r="AJX226" s="15"/>
      <c r="AJY226" s="15"/>
      <c r="AJZ226" s="15"/>
      <c r="AKA226" s="10"/>
      <c r="AKB226" s="10"/>
      <c r="AKC226" s="21"/>
      <c r="AKD226" s="21"/>
      <c r="AKG226" s="21"/>
      <c r="AKH226" s="15"/>
      <c r="AKI226" s="15"/>
      <c r="AKJ226" s="15"/>
      <c r="AKK226" s="15"/>
      <c r="AKL226" s="15"/>
      <c r="AKM226" s="15"/>
      <c r="AKN226" s="15"/>
      <c r="AKO226" s="15"/>
      <c r="AKP226" s="15"/>
      <c r="AKQ226" s="15"/>
      <c r="AKR226" s="10"/>
      <c r="AKS226" s="10"/>
      <c r="AKT226" s="21"/>
      <c r="AKU226" s="21"/>
      <c r="AKX226" s="21"/>
      <c r="AKY226" s="15"/>
      <c r="AKZ226" s="15"/>
      <c r="ALA226" s="15"/>
      <c r="ALB226" s="15"/>
      <c r="ALC226" s="15"/>
      <c r="ALD226" s="15"/>
      <c r="ALE226" s="15"/>
      <c r="ALF226" s="15"/>
      <c r="ALG226" s="15"/>
      <c r="ALH226" s="15"/>
      <c r="ALI226" s="10"/>
      <c r="ALJ226" s="10"/>
      <c r="ALK226" s="21"/>
      <c r="ALL226" s="21"/>
      <c r="ALO226" s="21"/>
      <c r="ALP226" s="15"/>
      <c r="ALQ226" s="15"/>
      <c r="ALR226" s="15"/>
      <c r="ALS226" s="15"/>
      <c r="ALT226" s="15"/>
      <c r="ALU226" s="15"/>
      <c r="ALV226" s="15"/>
      <c r="ALW226" s="15"/>
      <c r="ALX226" s="15"/>
      <c r="ALY226" s="15"/>
      <c r="ALZ226" s="10"/>
      <c r="AMA226" s="10"/>
      <c r="AMB226" s="21"/>
      <c r="AMC226" s="21"/>
      <c r="AMF226" s="21"/>
      <c r="AMG226" s="15"/>
      <c r="AMH226" s="15"/>
      <c r="AMI226" s="15"/>
      <c r="AMJ226" s="15"/>
      <c r="AMK226" s="15"/>
      <c r="AML226" s="15"/>
      <c r="AMM226" s="15"/>
      <c r="AMN226" s="15"/>
      <c r="AMO226" s="15"/>
      <c r="AMP226" s="15"/>
      <c r="AMQ226" s="10"/>
      <c r="AMR226" s="10"/>
      <c r="AMS226" s="21"/>
      <c r="AMT226" s="21"/>
      <c r="AMW226" s="21"/>
      <c r="AMX226" s="15"/>
      <c r="AMY226" s="15"/>
      <c r="AMZ226" s="15"/>
      <c r="ANA226" s="15"/>
      <c r="ANB226" s="15"/>
      <c r="ANC226" s="15"/>
      <c r="AND226" s="15"/>
      <c r="ANE226" s="15"/>
      <c r="ANF226" s="15"/>
      <c r="ANG226" s="15"/>
      <c r="ANH226" s="10"/>
      <c r="ANI226" s="10"/>
      <c r="ANJ226" s="21"/>
      <c r="ANK226" s="21"/>
      <c r="ANN226" s="21"/>
      <c r="ANO226" s="15"/>
      <c r="ANP226" s="15"/>
      <c r="ANQ226" s="15"/>
      <c r="ANR226" s="15"/>
      <c r="ANS226" s="15"/>
      <c r="ANT226" s="15"/>
      <c r="ANU226" s="15"/>
      <c r="ANV226" s="15"/>
      <c r="ANW226" s="15"/>
      <c r="ANX226" s="15"/>
      <c r="ANY226" s="10"/>
      <c r="ANZ226" s="10"/>
      <c r="AOA226" s="21"/>
      <c r="AOB226" s="21"/>
      <c r="AOE226" s="21"/>
      <c r="AOF226" s="15"/>
      <c r="AOG226" s="15"/>
      <c r="AOH226" s="15"/>
      <c r="AOI226" s="15"/>
      <c r="AOJ226" s="15"/>
      <c r="AOK226" s="15"/>
      <c r="AOL226" s="15"/>
      <c r="AOM226" s="15"/>
      <c r="AON226" s="15"/>
      <c r="AOO226" s="15"/>
      <c r="AOP226" s="10"/>
      <c r="AOQ226" s="10"/>
      <c r="AOR226" s="21"/>
      <c r="AOS226" s="21"/>
      <c r="AOV226" s="21"/>
      <c r="AOW226" s="15"/>
      <c r="AOX226" s="15"/>
      <c r="AOY226" s="15"/>
      <c r="AOZ226" s="15"/>
      <c r="APA226" s="15"/>
      <c r="APB226" s="15"/>
      <c r="APC226" s="15"/>
      <c r="APD226" s="15"/>
      <c r="APE226" s="15"/>
      <c r="APF226" s="15"/>
      <c r="APG226" s="10"/>
      <c r="APH226" s="10"/>
      <c r="API226" s="21"/>
      <c r="APJ226" s="21"/>
      <c r="APM226" s="21"/>
      <c r="APN226" s="15"/>
      <c r="APO226" s="15"/>
      <c r="APP226" s="15"/>
      <c r="APQ226" s="15"/>
      <c r="APR226" s="15"/>
      <c r="APS226" s="15"/>
      <c r="APT226" s="15"/>
      <c r="APU226" s="15"/>
      <c r="APV226" s="15"/>
      <c r="APW226" s="15"/>
      <c r="APX226" s="10"/>
      <c r="APY226" s="10"/>
      <c r="APZ226" s="21"/>
      <c r="AQA226" s="21"/>
      <c r="AQD226" s="21"/>
      <c r="AQE226" s="15"/>
      <c r="AQF226" s="15"/>
      <c r="AQG226" s="15"/>
      <c r="AQH226" s="15"/>
      <c r="AQI226" s="15"/>
      <c r="AQJ226" s="15"/>
      <c r="AQK226" s="15"/>
      <c r="AQL226" s="15"/>
      <c r="AQM226" s="15"/>
      <c r="AQN226" s="15"/>
      <c r="AQO226" s="10"/>
      <c r="AQP226" s="10"/>
      <c r="AQQ226" s="21"/>
      <c r="AQR226" s="21"/>
      <c r="AQU226" s="21"/>
      <c r="AQV226" s="15"/>
      <c r="AQW226" s="15"/>
      <c r="AQX226" s="15"/>
      <c r="AQY226" s="15"/>
      <c r="AQZ226" s="15"/>
      <c r="ARA226" s="15"/>
      <c r="ARB226" s="15"/>
      <c r="ARC226" s="15"/>
      <c r="ARD226" s="15"/>
      <c r="ARE226" s="15"/>
      <c r="ARF226" s="10"/>
      <c r="ARG226" s="10"/>
      <c r="ARH226" s="21"/>
      <c r="ARI226" s="21"/>
      <c r="ARL226" s="21"/>
      <c r="ARM226" s="15"/>
      <c r="ARN226" s="15"/>
      <c r="ARO226" s="15"/>
      <c r="ARP226" s="15"/>
      <c r="ARQ226" s="15"/>
      <c r="ARR226" s="15"/>
      <c r="ARS226" s="15"/>
      <c r="ART226" s="15"/>
      <c r="ARU226" s="15"/>
      <c r="ARV226" s="15"/>
      <c r="ARW226" s="10"/>
      <c r="ARX226" s="10"/>
      <c r="ARY226" s="21"/>
      <c r="ARZ226" s="21"/>
      <c r="ASC226" s="21"/>
      <c r="ASD226" s="15"/>
      <c r="ASE226" s="15"/>
      <c r="ASF226" s="15"/>
      <c r="ASG226" s="15"/>
      <c r="ASH226" s="15"/>
      <c r="ASI226" s="15"/>
      <c r="ASJ226" s="15"/>
      <c r="ASK226" s="15"/>
      <c r="ASL226" s="15"/>
      <c r="ASM226" s="15"/>
      <c r="ASN226" s="10"/>
      <c r="ASO226" s="10"/>
      <c r="ASP226" s="21"/>
      <c r="ASQ226" s="21"/>
      <c r="AST226" s="21"/>
      <c r="ASU226" s="15"/>
      <c r="ASV226" s="15"/>
      <c r="ASW226" s="15"/>
      <c r="ASX226" s="15"/>
      <c r="ASY226" s="15"/>
      <c r="ASZ226" s="15"/>
      <c r="ATA226" s="15"/>
      <c r="ATB226" s="15"/>
      <c r="ATC226" s="15"/>
      <c r="ATD226" s="15"/>
      <c r="ATE226" s="10"/>
      <c r="ATF226" s="10"/>
      <c r="ATG226" s="21"/>
      <c r="ATH226" s="21"/>
      <c r="ATK226" s="21"/>
      <c r="ATL226" s="15"/>
      <c r="ATM226" s="15"/>
      <c r="ATN226" s="15"/>
      <c r="ATO226" s="15"/>
      <c r="ATP226" s="15"/>
      <c r="ATQ226" s="15"/>
      <c r="ATR226" s="15"/>
      <c r="ATS226" s="15"/>
      <c r="ATT226" s="15"/>
      <c r="ATU226" s="15"/>
      <c r="ATV226" s="10"/>
      <c r="ATW226" s="10"/>
      <c r="ATX226" s="21"/>
      <c r="ATY226" s="21"/>
      <c r="AUB226" s="21"/>
      <c r="AUC226" s="15"/>
      <c r="AUD226" s="15"/>
      <c r="AUE226" s="15"/>
      <c r="AUF226" s="15"/>
      <c r="AUG226" s="15"/>
      <c r="AUH226" s="15"/>
      <c r="AUI226" s="15"/>
      <c r="AUJ226" s="15"/>
      <c r="AUK226" s="15"/>
      <c r="AUL226" s="15"/>
      <c r="AUM226" s="10"/>
      <c r="AUN226" s="10"/>
      <c r="AUO226" s="21"/>
      <c r="AUP226" s="21"/>
      <c r="AUS226" s="21"/>
      <c r="AUT226" s="15"/>
      <c r="AUU226" s="15"/>
      <c r="AUV226" s="15"/>
      <c r="AUW226" s="15"/>
      <c r="AUX226" s="15"/>
      <c r="AUY226" s="15"/>
      <c r="AUZ226" s="15"/>
      <c r="AVA226" s="15"/>
      <c r="AVB226" s="15"/>
      <c r="AVC226" s="15"/>
      <c r="AVD226" s="10"/>
      <c r="AVE226" s="10"/>
      <c r="AVF226" s="21"/>
      <c r="AVG226" s="21"/>
      <c r="AVJ226" s="21"/>
      <c r="AVK226" s="15"/>
      <c r="AVL226" s="15"/>
      <c r="AVM226" s="15"/>
      <c r="AVN226" s="15"/>
      <c r="AVO226" s="15"/>
      <c r="AVP226" s="15"/>
      <c r="AVQ226" s="15"/>
      <c r="AVR226" s="15"/>
      <c r="AVS226" s="15"/>
      <c r="AVT226" s="15"/>
      <c r="AVU226" s="10"/>
      <c r="AVV226" s="10"/>
      <c r="AVW226" s="21"/>
      <c r="AVX226" s="21"/>
      <c r="AWA226" s="21"/>
      <c r="AWB226" s="15"/>
      <c r="AWC226" s="15"/>
      <c r="AWD226" s="15"/>
      <c r="AWE226" s="15"/>
      <c r="AWF226" s="15"/>
      <c r="AWG226" s="15"/>
      <c r="AWH226" s="15"/>
      <c r="AWI226" s="15"/>
      <c r="AWJ226" s="15"/>
      <c r="AWK226" s="15"/>
      <c r="AWL226" s="10"/>
      <c r="AWM226" s="10"/>
      <c r="AWN226" s="21"/>
      <c r="AWO226" s="21"/>
      <c r="AWR226" s="21"/>
      <c r="AWS226" s="15"/>
      <c r="AWT226" s="15"/>
      <c r="AWU226" s="15"/>
      <c r="AWV226" s="15"/>
      <c r="AWW226" s="15"/>
      <c r="AWX226" s="15"/>
      <c r="AWY226" s="15"/>
      <c r="AWZ226" s="15"/>
      <c r="AXA226" s="15"/>
      <c r="AXB226" s="15"/>
      <c r="AXC226" s="10"/>
      <c r="AXD226" s="10"/>
      <c r="AXE226" s="21"/>
      <c r="AXF226" s="21"/>
      <c r="AXI226" s="21"/>
      <c r="AXJ226" s="15"/>
      <c r="AXK226" s="15"/>
      <c r="AXL226" s="15"/>
      <c r="AXM226" s="15"/>
      <c r="AXN226" s="15"/>
      <c r="AXO226" s="15"/>
      <c r="AXP226" s="15"/>
      <c r="AXQ226" s="15"/>
      <c r="AXR226" s="15"/>
      <c r="AXS226" s="15"/>
      <c r="AXT226" s="10"/>
      <c r="AXU226" s="10"/>
      <c r="AXV226" s="21"/>
      <c r="AXW226" s="21"/>
      <c r="AXZ226" s="21"/>
      <c r="AYA226" s="15"/>
      <c r="AYB226" s="15"/>
      <c r="AYC226" s="15"/>
      <c r="AYD226" s="15"/>
      <c r="AYE226" s="15"/>
      <c r="AYF226" s="15"/>
      <c r="AYG226" s="15"/>
      <c r="AYH226" s="15"/>
      <c r="AYI226" s="15"/>
      <c r="AYJ226" s="15"/>
      <c r="AYK226" s="10"/>
      <c r="AYL226" s="10"/>
      <c r="AYM226" s="21"/>
      <c r="AYN226" s="21"/>
      <c r="AYQ226" s="21"/>
      <c r="AYR226" s="15"/>
      <c r="AYS226" s="15"/>
      <c r="AYT226" s="15"/>
      <c r="AYU226" s="15"/>
      <c r="AYV226" s="15"/>
      <c r="AYW226" s="15"/>
      <c r="AYX226" s="15"/>
      <c r="AYY226" s="15"/>
      <c r="AYZ226" s="15"/>
      <c r="AZA226" s="15"/>
      <c r="AZB226" s="10"/>
      <c r="AZC226" s="10"/>
      <c r="AZD226" s="21"/>
      <c r="AZE226" s="21"/>
      <c r="AZH226" s="21"/>
      <c r="AZI226" s="15"/>
      <c r="AZJ226" s="15"/>
      <c r="AZK226" s="15"/>
      <c r="AZL226" s="15"/>
      <c r="AZM226" s="15"/>
      <c r="AZN226" s="15"/>
      <c r="AZO226" s="15"/>
      <c r="AZP226" s="15"/>
      <c r="AZQ226" s="15"/>
      <c r="AZR226" s="15"/>
      <c r="AZS226" s="10"/>
      <c r="AZT226" s="10"/>
      <c r="AZU226" s="21"/>
      <c r="AZV226" s="21"/>
      <c r="AZY226" s="21"/>
      <c r="AZZ226" s="15"/>
      <c r="BAA226" s="15"/>
      <c r="BAB226" s="15"/>
      <c r="BAC226" s="15"/>
      <c r="BAD226" s="15"/>
      <c r="BAE226" s="15"/>
      <c r="BAF226" s="15"/>
      <c r="BAG226" s="15"/>
      <c r="BAH226" s="15"/>
      <c r="BAI226" s="15"/>
      <c r="BAJ226" s="10"/>
      <c r="BAK226" s="10"/>
      <c r="BAL226" s="21"/>
      <c r="BAM226" s="21"/>
      <c r="BAP226" s="21"/>
      <c r="BAQ226" s="15"/>
      <c r="BAR226" s="15"/>
      <c r="BAS226" s="15"/>
      <c r="BAT226" s="15"/>
      <c r="BAU226" s="15"/>
      <c r="BAV226" s="15"/>
      <c r="BAW226" s="15"/>
      <c r="BAX226" s="15"/>
      <c r="BAY226" s="15"/>
      <c r="BAZ226" s="15"/>
      <c r="BBA226" s="10"/>
      <c r="BBB226" s="10"/>
      <c r="BBC226" s="21"/>
      <c r="BBD226" s="21"/>
      <c r="BBG226" s="21"/>
      <c r="BBH226" s="15"/>
      <c r="BBI226" s="15"/>
      <c r="BBJ226" s="15"/>
      <c r="BBK226" s="15"/>
      <c r="BBL226" s="15"/>
      <c r="BBM226" s="15"/>
      <c r="BBN226" s="15"/>
      <c r="BBO226" s="15"/>
      <c r="BBP226" s="15"/>
      <c r="BBQ226" s="15"/>
      <c r="BBR226" s="10"/>
      <c r="BBS226" s="10"/>
      <c r="BBT226" s="21"/>
      <c r="BBU226" s="21"/>
      <c r="BBX226" s="21"/>
      <c r="BBY226" s="15"/>
      <c r="BBZ226" s="15"/>
      <c r="BCA226" s="15"/>
      <c r="BCB226" s="15"/>
      <c r="BCC226" s="15"/>
      <c r="BCD226" s="15"/>
      <c r="BCE226" s="15"/>
      <c r="BCF226" s="15"/>
      <c r="BCG226" s="15"/>
      <c r="BCH226" s="15"/>
      <c r="BCI226" s="10"/>
      <c r="BCJ226" s="10"/>
      <c r="BCK226" s="21"/>
      <c r="BCL226" s="21"/>
      <c r="BCO226" s="21"/>
      <c r="BCP226" s="15"/>
      <c r="BCQ226" s="15"/>
      <c r="BCR226" s="15"/>
      <c r="BCS226" s="15"/>
      <c r="BCT226" s="15"/>
      <c r="BCU226" s="15"/>
      <c r="BCV226" s="15"/>
      <c r="BCW226" s="15"/>
      <c r="BCX226" s="15"/>
      <c r="BCY226" s="15"/>
      <c r="BCZ226" s="10"/>
      <c r="BDA226" s="10"/>
      <c r="BDB226" s="21"/>
      <c r="BDC226" s="21"/>
      <c r="BDF226" s="21"/>
      <c r="BDG226" s="15"/>
      <c r="BDH226" s="15"/>
      <c r="BDI226" s="15"/>
      <c r="BDJ226" s="15"/>
      <c r="BDK226" s="15"/>
      <c r="BDL226" s="15"/>
      <c r="BDM226" s="15"/>
      <c r="BDN226" s="15"/>
      <c r="BDO226" s="15"/>
      <c r="BDP226" s="15"/>
      <c r="BDQ226" s="10"/>
      <c r="BDR226" s="10"/>
      <c r="BDS226" s="21"/>
      <c r="BDT226" s="21"/>
      <c r="BDW226" s="21"/>
      <c r="BDX226" s="15"/>
      <c r="BDY226" s="15"/>
      <c r="BDZ226" s="15"/>
      <c r="BEA226" s="15"/>
      <c r="BEB226" s="15"/>
      <c r="BEC226" s="15"/>
      <c r="BED226" s="15"/>
      <c r="BEE226" s="15"/>
      <c r="BEF226" s="15"/>
      <c r="BEG226" s="15"/>
      <c r="BEH226" s="10"/>
      <c r="BEI226" s="10"/>
      <c r="BEJ226" s="21"/>
      <c r="BEK226" s="21"/>
      <c r="BEN226" s="21"/>
      <c r="BEO226" s="15"/>
      <c r="BEP226" s="15"/>
      <c r="BEQ226" s="15"/>
      <c r="BER226" s="15"/>
      <c r="BES226" s="15"/>
      <c r="BET226" s="15"/>
      <c r="BEU226" s="15"/>
      <c r="BEV226" s="15"/>
      <c r="BEW226" s="15"/>
      <c r="BEX226" s="15"/>
      <c r="BEY226" s="10"/>
      <c r="BEZ226" s="10"/>
      <c r="BFA226" s="21"/>
      <c r="BFB226" s="21"/>
      <c r="BFE226" s="21"/>
      <c r="BFF226" s="15"/>
      <c r="BFG226" s="15"/>
      <c r="BFH226" s="15"/>
      <c r="BFI226" s="15"/>
      <c r="BFJ226" s="15"/>
      <c r="BFK226" s="15"/>
      <c r="BFL226" s="15"/>
      <c r="BFM226" s="15"/>
      <c r="BFN226" s="15"/>
      <c r="BFO226" s="15"/>
      <c r="BFP226" s="10"/>
      <c r="BFQ226" s="10"/>
      <c r="BFR226" s="21"/>
      <c r="BFS226" s="21"/>
      <c r="BFV226" s="21"/>
      <c r="BFW226" s="15"/>
      <c r="BFX226" s="15"/>
      <c r="BFY226" s="15"/>
      <c r="BFZ226" s="15"/>
      <c r="BGA226" s="15"/>
      <c r="BGB226" s="15"/>
      <c r="BGC226" s="15"/>
      <c r="BGD226" s="15"/>
      <c r="BGE226" s="15"/>
      <c r="BGF226" s="15"/>
      <c r="BGG226" s="10"/>
      <c r="BGH226" s="10"/>
      <c r="BGI226" s="21"/>
      <c r="BGJ226" s="21"/>
      <c r="BGM226" s="21"/>
      <c r="BGN226" s="15"/>
      <c r="BGO226" s="15"/>
      <c r="BGP226" s="15"/>
      <c r="BGQ226" s="15"/>
      <c r="BGR226" s="15"/>
      <c r="BGS226" s="15"/>
      <c r="BGT226" s="15"/>
      <c r="BGU226" s="15"/>
      <c r="BGV226" s="15"/>
      <c r="BGW226" s="15"/>
      <c r="BGX226" s="10"/>
      <c r="BGY226" s="10"/>
      <c r="BGZ226" s="21"/>
      <c r="BHA226" s="21"/>
      <c r="BHD226" s="21"/>
      <c r="BHE226" s="15"/>
      <c r="BHF226" s="15"/>
      <c r="BHG226" s="15"/>
      <c r="BHH226" s="15"/>
      <c r="BHI226" s="15"/>
      <c r="BHJ226" s="15"/>
      <c r="BHK226" s="15"/>
      <c r="BHL226" s="15"/>
      <c r="BHM226" s="15"/>
      <c r="BHN226" s="15"/>
      <c r="BHO226" s="10"/>
      <c r="BHP226" s="10"/>
      <c r="BHQ226" s="21"/>
      <c r="BHR226" s="21"/>
      <c r="BHU226" s="21"/>
      <c r="BHV226" s="15"/>
      <c r="BHW226" s="15"/>
      <c r="BHX226" s="15"/>
      <c r="BHY226" s="15"/>
      <c r="BHZ226" s="15"/>
      <c r="BIA226" s="15"/>
      <c r="BIB226" s="15"/>
      <c r="BIC226" s="15"/>
      <c r="BID226" s="15"/>
      <c r="BIE226" s="15"/>
      <c r="BIF226" s="10"/>
      <c r="BIG226" s="10"/>
      <c r="BIH226" s="21"/>
      <c r="BII226" s="21"/>
      <c r="BIL226" s="21"/>
      <c r="BIM226" s="15"/>
      <c r="BIN226" s="15"/>
      <c r="BIO226" s="15"/>
      <c r="BIP226" s="15"/>
      <c r="BIQ226" s="15"/>
      <c r="BIR226" s="15"/>
      <c r="BIS226" s="15"/>
      <c r="BIT226" s="15"/>
      <c r="BIU226" s="15"/>
      <c r="BIV226" s="15"/>
      <c r="BIW226" s="10"/>
      <c r="BIX226" s="10"/>
      <c r="BIY226" s="21"/>
      <c r="BIZ226" s="21"/>
      <c r="BJC226" s="21"/>
      <c r="BJD226" s="15"/>
      <c r="BJE226" s="15"/>
      <c r="BJF226" s="15"/>
      <c r="BJG226" s="15"/>
      <c r="BJH226" s="15"/>
      <c r="BJI226" s="15"/>
      <c r="BJJ226" s="15"/>
      <c r="BJK226" s="15"/>
      <c r="BJL226" s="15"/>
      <c r="BJM226" s="15"/>
      <c r="BJN226" s="10"/>
      <c r="BJO226" s="10"/>
      <c r="BJP226" s="21"/>
      <c r="BJQ226" s="21"/>
      <c r="BJT226" s="21"/>
      <c r="BJU226" s="15"/>
      <c r="BJV226" s="15"/>
      <c r="BJW226" s="15"/>
      <c r="BJX226" s="15"/>
      <c r="BJY226" s="15"/>
      <c r="BJZ226" s="15"/>
      <c r="BKA226" s="15"/>
      <c r="BKB226" s="15"/>
      <c r="BKC226" s="15"/>
      <c r="BKD226" s="15"/>
      <c r="BKE226" s="10"/>
      <c r="BKF226" s="10"/>
      <c r="BKG226" s="21"/>
      <c r="BKH226" s="21"/>
      <c r="BKK226" s="21"/>
      <c r="BKL226" s="15"/>
      <c r="BKM226" s="15"/>
      <c r="BKN226" s="15"/>
      <c r="BKO226" s="15"/>
      <c r="BKP226" s="15"/>
      <c r="BKQ226" s="15"/>
      <c r="BKR226" s="15"/>
      <c r="BKS226" s="15"/>
      <c r="BKT226" s="15"/>
      <c r="BKU226" s="15"/>
      <c r="BKV226" s="10"/>
      <c r="BKW226" s="10"/>
      <c r="BKX226" s="21"/>
      <c r="BKY226" s="21"/>
      <c r="BLB226" s="21"/>
      <c r="BLC226" s="15"/>
      <c r="BLD226" s="15"/>
      <c r="BLE226" s="15"/>
      <c r="BLF226" s="15"/>
      <c r="BLG226" s="15"/>
      <c r="BLH226" s="15"/>
      <c r="BLI226" s="15"/>
      <c r="BLJ226" s="15"/>
      <c r="BLK226" s="15"/>
      <c r="BLL226" s="15"/>
      <c r="BLM226" s="10"/>
      <c r="BLN226" s="10"/>
      <c r="BLO226" s="21"/>
      <c r="BLP226" s="21"/>
      <c r="BLS226" s="21"/>
      <c r="BLT226" s="15"/>
      <c r="BLU226" s="15"/>
      <c r="BLV226" s="15"/>
      <c r="BLW226" s="15"/>
      <c r="BLX226" s="15"/>
      <c r="BLY226" s="15"/>
      <c r="BLZ226" s="15"/>
      <c r="BMA226" s="15"/>
      <c r="BMB226" s="15"/>
      <c r="BMC226" s="15"/>
      <c r="BMD226" s="10"/>
      <c r="BME226" s="10"/>
      <c r="BMF226" s="21"/>
      <c r="BMG226" s="21"/>
      <c r="BMJ226" s="21"/>
      <c r="BMK226" s="15"/>
      <c r="BML226" s="15"/>
      <c r="BMM226" s="15"/>
      <c r="BMN226" s="15"/>
      <c r="BMO226" s="15"/>
      <c r="BMP226" s="15"/>
      <c r="BMQ226" s="15"/>
      <c r="BMR226" s="15"/>
      <c r="BMS226" s="15"/>
      <c r="BMT226" s="15"/>
      <c r="BMU226" s="10"/>
      <c r="BMV226" s="10"/>
      <c r="BMW226" s="21"/>
      <c r="BMX226" s="21"/>
      <c r="BNA226" s="21"/>
      <c r="BNB226" s="15"/>
      <c r="BNC226" s="15"/>
      <c r="BND226" s="15"/>
      <c r="BNE226" s="15"/>
      <c r="BNF226" s="15"/>
      <c r="BNG226" s="15"/>
      <c r="BNH226" s="15"/>
      <c r="BNI226" s="15"/>
      <c r="BNJ226" s="15"/>
      <c r="BNK226" s="15"/>
      <c r="BNL226" s="10"/>
      <c r="BNM226" s="10"/>
      <c r="BNN226" s="21"/>
      <c r="BNO226" s="21"/>
      <c r="BNR226" s="21"/>
      <c r="BNS226" s="15"/>
      <c r="BNT226" s="15"/>
      <c r="BNU226" s="15"/>
      <c r="BNV226" s="15"/>
      <c r="BNW226" s="15"/>
      <c r="BNX226" s="15"/>
      <c r="BNY226" s="15"/>
      <c r="BNZ226" s="15"/>
      <c r="BOA226" s="15"/>
      <c r="BOB226" s="15"/>
      <c r="BOC226" s="10"/>
      <c r="BOD226" s="10"/>
      <c r="BOE226" s="21"/>
      <c r="BOF226" s="21"/>
      <c r="BOI226" s="21"/>
      <c r="BOJ226" s="15"/>
      <c r="BOK226" s="15"/>
      <c r="BOL226" s="15"/>
      <c r="BOM226" s="15"/>
      <c r="BON226" s="15"/>
      <c r="BOO226" s="15"/>
      <c r="BOP226" s="15"/>
      <c r="BOQ226" s="15"/>
      <c r="BOR226" s="15"/>
      <c r="BOS226" s="15"/>
      <c r="BOT226" s="10"/>
      <c r="BOU226" s="10"/>
      <c r="BOV226" s="21"/>
      <c r="BOW226" s="21"/>
      <c r="BOZ226" s="21"/>
      <c r="BPA226" s="15"/>
      <c r="BPB226" s="15"/>
      <c r="BPC226" s="15"/>
      <c r="BPD226" s="15"/>
      <c r="BPE226" s="15"/>
      <c r="BPF226" s="15"/>
      <c r="BPG226" s="15"/>
      <c r="BPH226" s="15"/>
      <c r="BPI226" s="15"/>
      <c r="BPJ226" s="15"/>
      <c r="BPK226" s="10"/>
      <c r="BPL226" s="10"/>
      <c r="BPM226" s="21"/>
      <c r="BPN226" s="21"/>
      <c r="BPQ226" s="21"/>
      <c r="BPR226" s="15"/>
      <c r="BPS226" s="15"/>
      <c r="BPT226" s="15"/>
      <c r="BPU226" s="15"/>
      <c r="BPV226" s="15"/>
      <c r="BPW226" s="15"/>
      <c r="BPX226" s="15"/>
      <c r="BPY226" s="15"/>
      <c r="BPZ226" s="15"/>
      <c r="BQA226" s="15"/>
      <c r="BQB226" s="10"/>
      <c r="BQC226" s="10"/>
      <c r="BQD226" s="21"/>
      <c r="BQE226" s="21"/>
      <c r="BQH226" s="21"/>
      <c r="BQI226" s="15"/>
      <c r="BQJ226" s="15"/>
      <c r="BQK226" s="15"/>
      <c r="BQL226" s="15"/>
      <c r="BQM226" s="15"/>
      <c r="BQN226" s="15"/>
      <c r="BQO226" s="15"/>
      <c r="BQP226" s="15"/>
      <c r="BQQ226" s="15"/>
      <c r="BQR226" s="15"/>
      <c r="BQS226" s="10"/>
      <c r="BQT226" s="10"/>
      <c r="BQU226" s="21"/>
      <c r="BQV226" s="21"/>
      <c r="BQY226" s="21"/>
      <c r="BQZ226" s="15"/>
      <c r="BRA226" s="15"/>
      <c r="BRB226" s="15"/>
      <c r="BRC226" s="15"/>
      <c r="BRD226" s="15"/>
      <c r="BRE226" s="15"/>
      <c r="BRF226" s="15"/>
      <c r="BRG226" s="15"/>
      <c r="BRH226" s="15"/>
      <c r="BRI226" s="15"/>
      <c r="BRJ226" s="10"/>
      <c r="BRK226" s="10"/>
      <c r="BRL226" s="21"/>
      <c r="BRM226" s="21"/>
      <c r="BRP226" s="21"/>
      <c r="BRQ226" s="15"/>
      <c r="BRR226" s="15"/>
      <c r="BRS226" s="15"/>
      <c r="BRT226" s="15"/>
      <c r="BRU226" s="15"/>
      <c r="BRV226" s="15"/>
      <c r="BRW226" s="15"/>
      <c r="BRX226" s="15"/>
      <c r="BRY226" s="15"/>
      <c r="BRZ226" s="15"/>
      <c r="BSA226" s="10"/>
      <c r="BSB226" s="10"/>
      <c r="BSC226" s="21"/>
      <c r="BSD226" s="21"/>
      <c r="BSG226" s="21"/>
      <c r="BSH226" s="15"/>
      <c r="BSI226" s="15"/>
      <c r="BSJ226" s="15"/>
      <c r="BSK226" s="15"/>
      <c r="BSL226" s="15"/>
      <c r="BSM226" s="15"/>
      <c r="BSN226" s="15"/>
      <c r="BSO226" s="15"/>
      <c r="BSP226" s="15"/>
      <c r="BSQ226" s="15"/>
      <c r="BSR226" s="10"/>
      <c r="BSS226" s="10"/>
      <c r="BST226" s="21"/>
      <c r="BSU226" s="21"/>
      <c r="BSX226" s="21"/>
      <c r="BSY226" s="15"/>
      <c r="BSZ226" s="15"/>
      <c r="BTA226" s="15"/>
      <c r="BTB226" s="15"/>
      <c r="BTC226" s="15"/>
      <c r="BTD226" s="15"/>
      <c r="BTE226" s="15"/>
      <c r="BTF226" s="15"/>
      <c r="BTG226" s="15"/>
      <c r="BTH226" s="15"/>
      <c r="BTI226" s="10"/>
      <c r="BTJ226" s="10"/>
      <c r="BTK226" s="21"/>
      <c r="BTL226" s="21"/>
      <c r="BTO226" s="21"/>
      <c r="BTP226" s="15"/>
      <c r="BTQ226" s="15"/>
      <c r="BTR226" s="15"/>
      <c r="BTS226" s="15"/>
      <c r="BTT226" s="15"/>
      <c r="BTU226" s="15"/>
      <c r="BTV226" s="15"/>
      <c r="BTW226" s="15"/>
      <c r="BTX226" s="15"/>
      <c r="BTY226" s="15"/>
      <c r="BTZ226" s="10"/>
      <c r="BUA226" s="10"/>
      <c r="BUB226" s="21"/>
      <c r="BUC226" s="21"/>
      <c r="BUF226" s="21"/>
      <c r="BUG226" s="15"/>
      <c r="BUH226" s="15"/>
      <c r="BUI226" s="15"/>
      <c r="BUJ226" s="15"/>
      <c r="BUK226" s="15"/>
      <c r="BUL226" s="15"/>
      <c r="BUM226" s="15"/>
      <c r="BUN226" s="15"/>
      <c r="BUO226" s="15"/>
      <c r="BUP226" s="15"/>
      <c r="BUQ226" s="10"/>
      <c r="BUR226" s="10"/>
      <c r="BUS226" s="21"/>
      <c r="BUT226" s="21"/>
      <c r="BUW226" s="21"/>
      <c r="BUX226" s="15"/>
      <c r="BUY226" s="15"/>
      <c r="BUZ226" s="15"/>
      <c r="BVA226" s="15"/>
      <c r="BVB226" s="15"/>
      <c r="BVC226" s="15"/>
      <c r="BVD226" s="15"/>
      <c r="BVE226" s="15"/>
      <c r="BVF226" s="15"/>
      <c r="BVG226" s="15"/>
      <c r="BVH226" s="10"/>
      <c r="BVI226" s="10"/>
      <c r="BVJ226" s="21"/>
      <c r="BVK226" s="21"/>
      <c r="BVN226" s="21"/>
      <c r="BVO226" s="15"/>
      <c r="BVP226" s="15"/>
      <c r="BVQ226" s="15"/>
      <c r="BVR226" s="15"/>
      <c r="BVS226" s="15"/>
      <c r="BVT226" s="15"/>
      <c r="BVU226" s="15"/>
      <c r="BVV226" s="15"/>
      <c r="BVW226" s="15"/>
      <c r="BVX226" s="15"/>
      <c r="BVY226" s="10"/>
      <c r="BVZ226" s="10"/>
      <c r="BWA226" s="21"/>
      <c r="BWB226" s="21"/>
      <c r="BWE226" s="21"/>
      <c r="BWF226" s="15"/>
      <c r="BWG226" s="15"/>
      <c r="BWH226" s="15"/>
      <c r="BWI226" s="15"/>
      <c r="BWJ226" s="15"/>
      <c r="BWK226" s="15"/>
      <c r="BWL226" s="15"/>
      <c r="BWM226" s="15"/>
      <c r="BWN226" s="15"/>
      <c r="BWO226" s="15"/>
      <c r="BWP226" s="10"/>
      <c r="BWQ226" s="10"/>
      <c r="BWR226" s="21"/>
      <c r="BWS226" s="21"/>
      <c r="BWV226" s="21"/>
      <c r="BWW226" s="15"/>
      <c r="BWX226" s="15"/>
      <c r="BWY226" s="15"/>
      <c r="BWZ226" s="15"/>
      <c r="BXA226" s="15"/>
      <c r="BXB226" s="15"/>
      <c r="BXC226" s="15"/>
      <c r="BXD226" s="15"/>
      <c r="BXE226" s="15"/>
      <c r="BXF226" s="15"/>
      <c r="BXG226" s="10"/>
      <c r="BXH226" s="10"/>
      <c r="BXI226" s="21"/>
      <c r="BXJ226" s="21"/>
      <c r="BXM226" s="21"/>
      <c r="BXN226" s="15"/>
      <c r="BXO226" s="15"/>
      <c r="BXP226" s="15"/>
      <c r="BXQ226" s="15"/>
      <c r="BXR226" s="15"/>
      <c r="BXS226" s="15"/>
      <c r="BXT226" s="15"/>
      <c r="BXU226" s="15"/>
      <c r="BXV226" s="15"/>
      <c r="BXW226" s="15"/>
      <c r="BXX226" s="10"/>
      <c r="BXY226" s="10"/>
      <c r="BXZ226" s="21"/>
      <c r="BYA226" s="21"/>
      <c r="BYD226" s="21"/>
      <c r="BYE226" s="15"/>
      <c r="BYF226" s="15"/>
      <c r="BYG226" s="15"/>
      <c r="BYH226" s="15"/>
      <c r="BYI226" s="15"/>
      <c r="BYJ226" s="15"/>
      <c r="BYK226" s="15"/>
      <c r="BYL226" s="15"/>
      <c r="BYM226" s="15"/>
      <c r="BYN226" s="15"/>
      <c r="BYO226" s="10"/>
      <c r="BYP226" s="10"/>
      <c r="BYQ226" s="21"/>
      <c r="BYR226" s="21"/>
      <c r="BYU226" s="21"/>
      <c r="BYV226" s="15"/>
      <c r="BYW226" s="15"/>
      <c r="BYX226" s="15"/>
      <c r="BYY226" s="15"/>
      <c r="BYZ226" s="15"/>
      <c r="BZA226" s="15"/>
      <c r="BZB226" s="15"/>
      <c r="BZC226" s="15"/>
      <c r="BZD226" s="15"/>
      <c r="BZE226" s="15"/>
      <c r="BZF226" s="10"/>
      <c r="BZG226" s="10"/>
      <c r="BZH226" s="21"/>
      <c r="BZI226" s="21"/>
      <c r="BZL226" s="21"/>
      <c r="BZM226" s="15"/>
      <c r="BZN226" s="15"/>
      <c r="BZO226" s="15"/>
      <c r="BZP226" s="15"/>
      <c r="BZQ226" s="15"/>
      <c r="BZR226" s="15"/>
      <c r="BZS226" s="15"/>
      <c r="BZT226" s="15"/>
      <c r="BZU226" s="15"/>
      <c r="BZV226" s="15"/>
      <c r="BZW226" s="10"/>
      <c r="BZX226" s="10"/>
      <c r="BZY226" s="21"/>
      <c r="BZZ226" s="21"/>
      <c r="CAC226" s="21"/>
      <c r="CAD226" s="15"/>
      <c r="CAE226" s="15"/>
      <c r="CAF226" s="15"/>
      <c r="CAG226" s="15"/>
      <c r="CAH226" s="15"/>
      <c r="CAI226" s="15"/>
      <c r="CAJ226" s="15"/>
      <c r="CAK226" s="15"/>
      <c r="CAL226" s="15"/>
      <c r="CAM226" s="15"/>
      <c r="CAN226" s="10"/>
      <c r="CAO226" s="10"/>
      <c r="CAP226" s="21"/>
      <c r="CAQ226" s="21"/>
      <c r="CAT226" s="21"/>
      <c r="CAU226" s="15"/>
      <c r="CAV226" s="15"/>
      <c r="CAW226" s="15"/>
      <c r="CAX226" s="15"/>
      <c r="CAY226" s="15"/>
      <c r="CAZ226" s="15"/>
      <c r="CBA226" s="15"/>
      <c r="CBB226" s="15"/>
      <c r="CBC226" s="15"/>
      <c r="CBD226" s="15"/>
      <c r="CBE226" s="10"/>
      <c r="CBF226" s="10"/>
      <c r="CBG226" s="21"/>
      <c r="CBH226" s="21"/>
      <c r="CBK226" s="21"/>
      <c r="CBL226" s="15"/>
      <c r="CBM226" s="15"/>
      <c r="CBN226" s="15"/>
      <c r="CBO226" s="15"/>
      <c r="CBP226" s="15"/>
      <c r="CBQ226" s="15"/>
      <c r="CBR226" s="15"/>
      <c r="CBS226" s="15"/>
      <c r="CBT226" s="15"/>
      <c r="CBU226" s="15"/>
      <c r="CBV226" s="10"/>
      <c r="CBW226" s="10"/>
      <c r="CBX226" s="21"/>
      <c r="CBY226" s="21"/>
      <c r="CCB226" s="21"/>
      <c r="CCC226" s="15"/>
      <c r="CCD226" s="15"/>
      <c r="CCE226" s="15"/>
      <c r="CCF226" s="15"/>
      <c r="CCG226" s="15"/>
      <c r="CCH226" s="15"/>
      <c r="CCI226" s="15"/>
      <c r="CCJ226" s="15"/>
      <c r="CCK226" s="15"/>
      <c r="CCL226" s="15"/>
      <c r="CCM226" s="10"/>
      <c r="CCN226" s="10"/>
      <c r="CCO226" s="21"/>
      <c r="CCP226" s="21"/>
      <c r="CCS226" s="21"/>
      <c r="CCT226" s="15"/>
      <c r="CCU226" s="15"/>
      <c r="CCV226" s="15"/>
      <c r="CCW226" s="15"/>
      <c r="CCX226" s="15"/>
      <c r="CCY226" s="15"/>
      <c r="CCZ226" s="15"/>
      <c r="CDA226" s="15"/>
      <c r="CDB226" s="15"/>
      <c r="CDC226" s="15"/>
      <c r="CDD226" s="10"/>
      <c r="CDE226" s="10"/>
      <c r="CDF226" s="21"/>
      <c r="CDG226" s="21"/>
      <c r="CDJ226" s="21"/>
      <c r="CDK226" s="15"/>
      <c r="CDL226" s="15"/>
      <c r="CDM226" s="15"/>
      <c r="CDN226" s="15"/>
      <c r="CDO226" s="15"/>
      <c r="CDP226" s="15"/>
      <c r="CDQ226" s="15"/>
      <c r="CDR226" s="15"/>
      <c r="CDS226" s="15"/>
      <c r="CDT226" s="15"/>
      <c r="CDU226" s="10"/>
      <c r="CDV226" s="10"/>
      <c r="CDW226" s="21"/>
      <c r="CDX226" s="21"/>
      <c r="CEA226" s="21"/>
      <c r="CEB226" s="15"/>
      <c r="CEC226" s="15"/>
      <c r="CED226" s="15"/>
      <c r="CEE226" s="15"/>
      <c r="CEF226" s="15"/>
      <c r="CEG226" s="15"/>
      <c r="CEH226" s="15"/>
      <c r="CEI226" s="15"/>
      <c r="CEJ226" s="15"/>
      <c r="CEK226" s="15"/>
      <c r="CEL226" s="10"/>
      <c r="CEM226" s="10"/>
      <c r="CEN226" s="21"/>
      <c r="CEO226" s="21"/>
      <c r="CER226" s="21"/>
      <c r="CES226" s="15"/>
      <c r="CET226" s="15"/>
      <c r="CEU226" s="15"/>
      <c r="CEV226" s="15"/>
      <c r="CEW226" s="15"/>
      <c r="CEX226" s="15"/>
      <c r="CEY226" s="15"/>
      <c r="CEZ226" s="15"/>
      <c r="CFA226" s="15"/>
      <c r="CFB226" s="15"/>
      <c r="CFC226" s="10"/>
      <c r="CFD226" s="10"/>
      <c r="CFE226" s="21"/>
      <c r="CFF226" s="21"/>
      <c r="CFI226" s="21"/>
      <c r="CFJ226" s="15"/>
      <c r="CFK226" s="15"/>
      <c r="CFL226" s="15"/>
      <c r="CFM226" s="15"/>
      <c r="CFN226" s="15"/>
      <c r="CFO226" s="15"/>
      <c r="CFP226" s="15"/>
      <c r="CFQ226" s="15"/>
      <c r="CFR226" s="15"/>
      <c r="CFS226" s="15"/>
      <c r="CFT226" s="10"/>
      <c r="CFU226" s="10"/>
      <c r="CFV226" s="21"/>
      <c r="CFW226" s="21"/>
      <c r="CFZ226" s="21"/>
      <c r="CGA226" s="15"/>
      <c r="CGB226" s="15"/>
      <c r="CGC226" s="15"/>
      <c r="CGD226" s="15"/>
      <c r="CGE226" s="15"/>
      <c r="CGF226" s="15"/>
      <c r="CGG226" s="15"/>
      <c r="CGH226" s="15"/>
      <c r="CGI226" s="15"/>
      <c r="CGJ226" s="15"/>
      <c r="CGK226" s="10"/>
      <c r="CGL226" s="10"/>
      <c r="CGM226" s="21"/>
      <c r="CGN226" s="21"/>
      <c r="CGQ226" s="21"/>
      <c r="CGR226" s="15"/>
      <c r="CGS226" s="15"/>
      <c r="CGT226" s="15"/>
      <c r="CGU226" s="15"/>
      <c r="CGV226" s="15"/>
      <c r="CGW226" s="15"/>
      <c r="CGX226" s="15"/>
      <c r="CGY226" s="15"/>
      <c r="CGZ226" s="15"/>
      <c r="CHA226" s="15"/>
      <c r="CHB226" s="10"/>
      <c r="CHC226" s="10"/>
      <c r="CHD226" s="21"/>
      <c r="CHE226" s="21"/>
      <c r="CHH226" s="21"/>
      <c r="CHI226" s="15"/>
      <c r="CHJ226" s="15"/>
      <c r="CHK226" s="15"/>
      <c r="CHL226" s="15"/>
      <c r="CHM226" s="15"/>
      <c r="CHN226" s="15"/>
      <c r="CHO226" s="15"/>
      <c r="CHP226" s="15"/>
      <c r="CHQ226" s="15"/>
      <c r="CHR226" s="15"/>
      <c r="CHS226" s="10"/>
      <c r="CHT226" s="10"/>
      <c r="CHU226" s="21"/>
      <c r="CHV226" s="21"/>
      <c r="CHY226" s="21"/>
      <c r="CHZ226" s="15"/>
      <c r="CIA226" s="15"/>
      <c r="CIB226" s="15"/>
      <c r="CIC226" s="15"/>
      <c r="CID226" s="15"/>
      <c r="CIE226" s="15"/>
      <c r="CIF226" s="15"/>
      <c r="CIG226" s="15"/>
      <c r="CIH226" s="15"/>
      <c r="CII226" s="15"/>
      <c r="CIJ226" s="10"/>
      <c r="CIK226" s="10"/>
      <c r="CIL226" s="21"/>
      <c r="CIM226" s="21"/>
      <c r="CIP226" s="21"/>
      <c r="CIQ226" s="15"/>
      <c r="CIR226" s="15"/>
      <c r="CIS226" s="15"/>
      <c r="CIT226" s="15"/>
      <c r="CIU226" s="15"/>
      <c r="CIV226" s="15"/>
      <c r="CIW226" s="15"/>
      <c r="CIX226" s="15"/>
      <c r="CIY226" s="15"/>
      <c r="CIZ226" s="15"/>
      <c r="CJA226" s="10"/>
      <c r="CJB226" s="10"/>
      <c r="CJC226" s="21"/>
      <c r="CJD226" s="21"/>
      <c r="CJG226" s="21"/>
      <c r="CJH226" s="15"/>
      <c r="CJI226" s="15"/>
      <c r="CJJ226" s="15"/>
      <c r="CJK226" s="15"/>
      <c r="CJL226" s="15"/>
      <c r="CJM226" s="15"/>
      <c r="CJN226" s="15"/>
      <c r="CJO226" s="15"/>
      <c r="CJP226" s="15"/>
      <c r="CJQ226" s="15"/>
      <c r="CJR226" s="10"/>
      <c r="CJS226" s="10"/>
      <c r="CJT226" s="21"/>
      <c r="CJU226" s="21"/>
      <c r="CJX226" s="21"/>
      <c r="CJY226" s="15"/>
      <c r="CJZ226" s="15"/>
      <c r="CKA226" s="15"/>
      <c r="CKB226" s="15"/>
      <c r="CKC226" s="15"/>
      <c r="CKD226" s="15"/>
      <c r="CKE226" s="15"/>
      <c r="CKF226" s="15"/>
      <c r="CKG226" s="15"/>
      <c r="CKH226" s="15"/>
      <c r="CKI226" s="10"/>
      <c r="CKJ226" s="10"/>
      <c r="CKK226" s="21"/>
      <c r="CKL226" s="21"/>
      <c r="CKO226" s="21"/>
      <c r="CKP226" s="15"/>
      <c r="CKQ226" s="15"/>
      <c r="CKR226" s="15"/>
      <c r="CKS226" s="15"/>
      <c r="CKT226" s="15"/>
      <c r="CKU226" s="15"/>
      <c r="CKV226" s="15"/>
      <c r="CKW226" s="15"/>
      <c r="CKX226" s="15"/>
      <c r="CKY226" s="15"/>
      <c r="CKZ226" s="10"/>
      <c r="CLA226" s="10"/>
      <c r="CLB226" s="21"/>
      <c r="CLC226" s="21"/>
      <c r="CLF226" s="21"/>
      <c r="CLG226" s="15"/>
      <c r="CLH226" s="15"/>
      <c r="CLI226" s="15"/>
      <c r="CLJ226" s="15"/>
      <c r="CLK226" s="15"/>
      <c r="CLL226" s="15"/>
      <c r="CLM226" s="15"/>
      <c r="CLN226" s="15"/>
      <c r="CLO226" s="15"/>
      <c r="CLP226" s="15"/>
      <c r="CLQ226" s="10"/>
      <c r="CLR226" s="10"/>
      <c r="CLS226" s="21"/>
      <c r="CLT226" s="21"/>
      <c r="CLW226" s="21"/>
      <c r="CLX226" s="15"/>
      <c r="CLY226" s="15"/>
      <c r="CLZ226" s="15"/>
      <c r="CMA226" s="15"/>
      <c r="CMB226" s="15"/>
      <c r="CMC226" s="15"/>
      <c r="CMD226" s="15"/>
      <c r="CME226" s="15"/>
      <c r="CMF226" s="15"/>
      <c r="CMG226" s="15"/>
      <c r="CMH226" s="10"/>
      <c r="CMI226" s="10"/>
      <c r="CMJ226" s="21"/>
      <c r="CMK226" s="21"/>
      <c r="CMN226" s="21"/>
      <c r="CMO226" s="15"/>
      <c r="CMP226" s="15"/>
      <c r="CMQ226" s="15"/>
      <c r="CMR226" s="15"/>
      <c r="CMS226" s="15"/>
      <c r="CMT226" s="15"/>
      <c r="CMU226" s="15"/>
      <c r="CMV226" s="15"/>
      <c r="CMW226" s="15"/>
      <c r="CMX226" s="15"/>
      <c r="CMY226" s="10"/>
      <c r="CMZ226" s="10"/>
      <c r="CNA226" s="21"/>
      <c r="CNB226" s="21"/>
      <c r="CNE226" s="21"/>
      <c r="CNF226" s="15"/>
      <c r="CNG226" s="15"/>
      <c r="CNH226" s="15"/>
      <c r="CNI226" s="15"/>
      <c r="CNJ226" s="15"/>
      <c r="CNK226" s="15"/>
      <c r="CNL226" s="15"/>
      <c r="CNM226" s="15"/>
      <c r="CNN226" s="15"/>
      <c r="CNO226" s="15"/>
      <c r="CNP226" s="10"/>
      <c r="CNQ226" s="10"/>
      <c r="CNR226" s="21"/>
      <c r="CNS226" s="21"/>
      <c r="CNV226" s="21"/>
      <c r="CNW226" s="15"/>
      <c r="CNX226" s="15"/>
      <c r="CNY226" s="15"/>
      <c r="CNZ226" s="15"/>
      <c r="COA226" s="15"/>
      <c r="COB226" s="15"/>
      <c r="COC226" s="15"/>
      <c r="COD226" s="15"/>
      <c r="COE226" s="15"/>
      <c r="COF226" s="15"/>
      <c r="COG226" s="10"/>
      <c r="COH226" s="10"/>
      <c r="COI226" s="21"/>
      <c r="COJ226" s="21"/>
      <c r="COM226" s="21"/>
      <c r="CON226" s="15"/>
      <c r="COO226" s="15"/>
      <c r="COP226" s="15"/>
      <c r="COQ226" s="15"/>
      <c r="COR226" s="15"/>
      <c r="COS226" s="15"/>
      <c r="COT226" s="15"/>
      <c r="COU226" s="15"/>
      <c r="COV226" s="15"/>
      <c r="COW226" s="15"/>
      <c r="COX226" s="10"/>
      <c r="COY226" s="10"/>
      <c r="COZ226" s="21"/>
      <c r="CPA226" s="21"/>
      <c r="CPD226" s="21"/>
      <c r="CPE226" s="15"/>
      <c r="CPF226" s="15"/>
      <c r="CPG226" s="15"/>
      <c r="CPH226" s="15"/>
      <c r="CPI226" s="15"/>
      <c r="CPJ226" s="15"/>
      <c r="CPK226" s="15"/>
      <c r="CPL226" s="15"/>
      <c r="CPM226" s="15"/>
      <c r="CPN226" s="15"/>
      <c r="CPO226" s="10"/>
      <c r="CPP226" s="10"/>
      <c r="CPQ226" s="21"/>
      <c r="CPR226" s="21"/>
      <c r="CPU226" s="21"/>
      <c r="CPV226" s="15"/>
      <c r="CPW226" s="15"/>
      <c r="CPX226" s="15"/>
      <c r="CPY226" s="15"/>
      <c r="CPZ226" s="15"/>
      <c r="CQA226" s="15"/>
      <c r="CQB226" s="15"/>
      <c r="CQC226" s="15"/>
      <c r="CQD226" s="15"/>
      <c r="CQE226" s="15"/>
      <c r="CQF226" s="10"/>
      <c r="CQG226" s="10"/>
      <c r="CQH226" s="21"/>
      <c r="CQI226" s="21"/>
      <c r="CQL226" s="21"/>
      <c r="CQM226" s="15"/>
      <c r="CQN226" s="15"/>
      <c r="CQO226" s="15"/>
      <c r="CQP226" s="15"/>
      <c r="CQQ226" s="15"/>
      <c r="CQR226" s="15"/>
      <c r="CQS226" s="15"/>
      <c r="CQT226" s="15"/>
      <c r="CQU226" s="15"/>
      <c r="CQV226" s="15"/>
      <c r="CQW226" s="10"/>
      <c r="CQX226" s="10"/>
      <c r="CQY226" s="21"/>
      <c r="CQZ226" s="21"/>
      <c r="CRC226" s="21"/>
      <c r="CRD226" s="15"/>
      <c r="CRE226" s="15"/>
      <c r="CRF226" s="15"/>
      <c r="CRG226" s="15"/>
      <c r="CRH226" s="15"/>
      <c r="CRI226" s="15"/>
      <c r="CRJ226" s="15"/>
      <c r="CRK226" s="15"/>
      <c r="CRL226" s="15"/>
      <c r="CRM226" s="15"/>
      <c r="CRN226" s="10"/>
      <c r="CRO226" s="10"/>
      <c r="CRP226" s="21"/>
      <c r="CRQ226" s="21"/>
      <c r="CRT226" s="21"/>
      <c r="CRU226" s="15"/>
      <c r="CRV226" s="15"/>
      <c r="CRW226" s="15"/>
      <c r="CRX226" s="15"/>
      <c r="CRY226" s="15"/>
      <c r="CRZ226" s="15"/>
      <c r="CSA226" s="15"/>
      <c r="CSB226" s="15"/>
      <c r="CSC226" s="15"/>
      <c r="CSD226" s="15"/>
      <c r="CSE226" s="10"/>
      <c r="CSF226" s="10"/>
      <c r="CSG226" s="21"/>
      <c r="CSH226" s="21"/>
      <c r="CSK226" s="21"/>
      <c r="CSL226" s="15"/>
      <c r="CSM226" s="15"/>
      <c r="CSN226" s="15"/>
      <c r="CSO226" s="15"/>
      <c r="CSP226" s="15"/>
      <c r="CSQ226" s="15"/>
      <c r="CSR226" s="15"/>
      <c r="CSS226" s="15"/>
      <c r="CST226" s="15"/>
      <c r="CSU226" s="15"/>
      <c r="CSV226" s="10"/>
      <c r="CSW226" s="10"/>
      <c r="CSX226" s="21"/>
      <c r="CSY226" s="21"/>
      <c r="CTB226" s="21"/>
      <c r="CTC226" s="15"/>
      <c r="CTD226" s="15"/>
      <c r="CTE226" s="15"/>
      <c r="CTF226" s="15"/>
      <c r="CTG226" s="15"/>
      <c r="CTH226" s="15"/>
      <c r="CTI226" s="15"/>
      <c r="CTJ226" s="15"/>
      <c r="CTK226" s="15"/>
      <c r="CTL226" s="15"/>
      <c r="CTM226" s="10"/>
      <c r="CTN226" s="10"/>
      <c r="CTO226" s="21"/>
      <c r="CTP226" s="21"/>
      <c r="CTS226" s="21"/>
      <c r="CTT226" s="15"/>
      <c r="CTU226" s="15"/>
      <c r="CTV226" s="15"/>
      <c r="CTW226" s="15"/>
      <c r="CTX226" s="15"/>
      <c r="CTY226" s="15"/>
      <c r="CTZ226" s="15"/>
      <c r="CUA226" s="15"/>
      <c r="CUB226" s="15"/>
      <c r="CUC226" s="15"/>
      <c r="CUD226" s="10"/>
      <c r="CUE226" s="10"/>
      <c r="CUF226" s="21"/>
      <c r="CUG226" s="21"/>
      <c r="CUJ226" s="21"/>
      <c r="CUK226" s="15"/>
      <c r="CUL226" s="15"/>
      <c r="CUM226" s="15"/>
      <c r="CUN226" s="15"/>
      <c r="CUO226" s="15"/>
      <c r="CUP226" s="15"/>
      <c r="CUQ226" s="15"/>
      <c r="CUR226" s="15"/>
      <c r="CUS226" s="15"/>
      <c r="CUT226" s="15"/>
      <c r="CUU226" s="10"/>
      <c r="CUV226" s="10"/>
      <c r="CUW226" s="21"/>
      <c r="CUX226" s="21"/>
      <c r="CVA226" s="21"/>
      <c r="CVB226" s="15"/>
      <c r="CVC226" s="15"/>
      <c r="CVD226" s="15"/>
      <c r="CVE226" s="15"/>
      <c r="CVF226" s="15"/>
      <c r="CVG226" s="15"/>
      <c r="CVH226" s="15"/>
      <c r="CVI226" s="15"/>
      <c r="CVJ226" s="15"/>
      <c r="CVK226" s="15"/>
      <c r="CVL226" s="10"/>
      <c r="CVM226" s="10"/>
      <c r="CVN226" s="21"/>
      <c r="CVO226" s="21"/>
      <c r="CVR226" s="21"/>
      <c r="CVS226" s="15"/>
      <c r="CVT226" s="15"/>
      <c r="CVU226" s="15"/>
      <c r="CVV226" s="15"/>
      <c r="CVW226" s="15"/>
      <c r="CVX226" s="15"/>
      <c r="CVY226" s="15"/>
      <c r="CVZ226" s="15"/>
      <c r="CWA226" s="15"/>
      <c r="CWB226" s="15"/>
      <c r="CWC226" s="10"/>
      <c r="CWD226" s="10"/>
      <c r="CWE226" s="21"/>
      <c r="CWF226" s="21"/>
      <c r="CWI226" s="21"/>
      <c r="CWJ226" s="15"/>
      <c r="CWK226" s="15"/>
      <c r="CWL226" s="15"/>
      <c r="CWM226" s="15"/>
      <c r="CWN226" s="15"/>
      <c r="CWO226" s="15"/>
      <c r="CWP226" s="15"/>
      <c r="CWQ226" s="15"/>
      <c r="CWR226" s="15"/>
      <c r="CWS226" s="15"/>
      <c r="CWT226" s="10"/>
      <c r="CWU226" s="10"/>
      <c r="CWV226" s="21"/>
      <c r="CWW226" s="21"/>
      <c r="CWZ226" s="21"/>
      <c r="CXA226" s="15"/>
      <c r="CXB226" s="15"/>
      <c r="CXC226" s="15"/>
      <c r="CXD226" s="15"/>
      <c r="CXE226" s="15"/>
      <c r="CXF226" s="15"/>
      <c r="CXG226" s="15"/>
      <c r="CXH226" s="15"/>
      <c r="CXI226" s="15"/>
      <c r="CXJ226" s="15"/>
      <c r="CXK226" s="10"/>
      <c r="CXL226" s="10"/>
      <c r="CXM226" s="21"/>
      <c r="CXN226" s="21"/>
      <c r="CXQ226" s="21"/>
      <c r="CXR226" s="15"/>
      <c r="CXS226" s="15"/>
      <c r="CXT226" s="15"/>
      <c r="CXU226" s="15"/>
      <c r="CXV226" s="15"/>
      <c r="CXW226" s="15"/>
      <c r="CXX226" s="15"/>
      <c r="CXY226" s="15"/>
      <c r="CXZ226" s="15"/>
      <c r="CYA226" s="15"/>
      <c r="CYB226" s="10"/>
      <c r="CYC226" s="10"/>
      <c r="CYD226" s="21"/>
      <c r="CYE226" s="21"/>
      <c r="CYH226" s="21"/>
      <c r="CYI226" s="15"/>
      <c r="CYJ226" s="15"/>
      <c r="CYK226" s="15"/>
      <c r="CYL226" s="15"/>
      <c r="CYM226" s="15"/>
      <c r="CYN226" s="15"/>
      <c r="CYO226" s="15"/>
      <c r="CYP226" s="15"/>
      <c r="CYQ226" s="15"/>
      <c r="CYR226" s="15"/>
      <c r="CYS226" s="10"/>
      <c r="CYT226" s="10"/>
      <c r="CYU226" s="21"/>
      <c r="CYV226" s="21"/>
      <c r="CYY226" s="21"/>
      <c r="CYZ226" s="15"/>
      <c r="CZA226" s="15"/>
      <c r="CZB226" s="15"/>
      <c r="CZC226" s="15"/>
      <c r="CZD226" s="15"/>
      <c r="CZE226" s="15"/>
      <c r="CZF226" s="15"/>
      <c r="CZG226" s="15"/>
      <c r="CZH226" s="15"/>
      <c r="CZI226" s="15"/>
      <c r="CZJ226" s="10"/>
      <c r="CZK226" s="10"/>
      <c r="CZL226" s="21"/>
      <c r="CZM226" s="21"/>
      <c r="CZP226" s="21"/>
      <c r="CZQ226" s="15"/>
      <c r="CZR226" s="15"/>
      <c r="CZS226" s="15"/>
      <c r="CZT226" s="15"/>
      <c r="CZU226" s="15"/>
      <c r="CZV226" s="15"/>
      <c r="CZW226" s="15"/>
      <c r="CZX226" s="15"/>
      <c r="CZY226" s="15"/>
      <c r="CZZ226" s="15"/>
      <c r="DAA226" s="10"/>
      <c r="DAB226" s="10"/>
      <c r="DAC226" s="21"/>
      <c r="DAD226" s="21"/>
      <c r="DAG226" s="21"/>
      <c r="DAH226" s="15"/>
      <c r="DAI226" s="15"/>
      <c r="DAJ226" s="15"/>
      <c r="DAK226" s="15"/>
      <c r="DAL226" s="15"/>
      <c r="DAM226" s="15"/>
      <c r="DAN226" s="15"/>
      <c r="DAO226" s="15"/>
      <c r="DAP226" s="15"/>
      <c r="DAQ226" s="15"/>
      <c r="DAR226" s="10"/>
      <c r="DAS226" s="10"/>
      <c r="DAT226" s="21"/>
      <c r="DAU226" s="21"/>
      <c r="DAX226" s="21"/>
      <c r="DAY226" s="15"/>
      <c r="DAZ226" s="15"/>
      <c r="DBA226" s="15"/>
      <c r="DBB226" s="15"/>
      <c r="DBC226" s="15"/>
      <c r="DBD226" s="15"/>
      <c r="DBE226" s="15"/>
      <c r="DBF226" s="15"/>
      <c r="DBG226" s="15"/>
      <c r="DBH226" s="15"/>
      <c r="DBI226" s="10"/>
      <c r="DBJ226" s="10"/>
      <c r="DBK226" s="21"/>
      <c r="DBL226" s="21"/>
      <c r="DBO226" s="21"/>
      <c r="DBP226" s="15"/>
      <c r="DBQ226" s="15"/>
      <c r="DBR226" s="15"/>
      <c r="DBS226" s="15"/>
      <c r="DBT226" s="15"/>
      <c r="DBU226" s="15"/>
      <c r="DBV226" s="15"/>
      <c r="DBW226" s="15"/>
      <c r="DBX226" s="15"/>
      <c r="DBY226" s="15"/>
      <c r="DBZ226" s="10"/>
      <c r="DCA226" s="10"/>
      <c r="DCB226" s="21"/>
      <c r="DCC226" s="21"/>
      <c r="DCF226" s="21"/>
      <c r="DCG226" s="15"/>
      <c r="DCH226" s="15"/>
      <c r="DCI226" s="15"/>
      <c r="DCJ226" s="15"/>
      <c r="DCK226" s="15"/>
      <c r="DCL226" s="15"/>
      <c r="DCM226" s="15"/>
      <c r="DCN226" s="15"/>
      <c r="DCO226" s="15"/>
      <c r="DCP226" s="15"/>
      <c r="DCQ226" s="10"/>
      <c r="DCR226" s="10"/>
      <c r="DCS226" s="21"/>
      <c r="DCT226" s="21"/>
      <c r="DCW226" s="21"/>
      <c r="DCX226" s="15"/>
      <c r="DCY226" s="15"/>
      <c r="DCZ226" s="15"/>
      <c r="DDA226" s="15"/>
      <c r="DDB226" s="15"/>
      <c r="DDC226" s="15"/>
      <c r="DDD226" s="15"/>
      <c r="DDE226" s="15"/>
      <c r="DDF226" s="15"/>
      <c r="DDG226" s="15"/>
      <c r="DDH226" s="10"/>
      <c r="DDI226" s="10"/>
      <c r="DDJ226" s="21"/>
      <c r="DDK226" s="21"/>
      <c r="DDN226" s="21"/>
      <c r="DDO226" s="15"/>
      <c r="DDP226" s="15"/>
      <c r="DDQ226" s="15"/>
      <c r="DDR226" s="15"/>
      <c r="DDS226" s="15"/>
      <c r="DDT226" s="15"/>
      <c r="DDU226" s="15"/>
      <c r="DDV226" s="15"/>
      <c r="DDW226" s="15"/>
      <c r="DDX226" s="15"/>
      <c r="DDY226" s="10"/>
      <c r="DDZ226" s="10"/>
      <c r="DEA226" s="21"/>
      <c r="DEB226" s="21"/>
      <c r="DEE226" s="21"/>
      <c r="DEF226" s="15"/>
      <c r="DEG226" s="15"/>
      <c r="DEH226" s="15"/>
      <c r="DEI226" s="15"/>
      <c r="DEJ226" s="15"/>
      <c r="DEK226" s="15"/>
      <c r="DEL226" s="15"/>
      <c r="DEM226" s="15"/>
      <c r="DEN226" s="15"/>
      <c r="DEO226" s="15"/>
      <c r="DEP226" s="10"/>
      <c r="DEQ226" s="10"/>
      <c r="DER226" s="21"/>
      <c r="DES226" s="21"/>
      <c r="DEV226" s="21"/>
      <c r="DEW226" s="15"/>
      <c r="DEX226" s="15"/>
      <c r="DEY226" s="15"/>
      <c r="DEZ226" s="15"/>
      <c r="DFA226" s="15"/>
      <c r="DFB226" s="15"/>
      <c r="DFC226" s="15"/>
      <c r="DFD226" s="15"/>
      <c r="DFE226" s="15"/>
      <c r="DFF226" s="15"/>
      <c r="DFG226" s="10"/>
      <c r="DFH226" s="10"/>
      <c r="DFI226" s="21"/>
      <c r="DFJ226" s="21"/>
      <c r="DFM226" s="21"/>
      <c r="DFN226" s="15"/>
      <c r="DFO226" s="15"/>
      <c r="DFP226" s="15"/>
      <c r="DFQ226" s="15"/>
      <c r="DFR226" s="15"/>
      <c r="DFS226" s="15"/>
      <c r="DFT226" s="15"/>
      <c r="DFU226" s="15"/>
      <c r="DFV226" s="15"/>
      <c r="DFW226" s="15"/>
      <c r="DFX226" s="10"/>
      <c r="DFY226" s="10"/>
      <c r="DFZ226" s="21"/>
      <c r="DGA226" s="21"/>
      <c r="DGD226" s="21"/>
      <c r="DGE226" s="15"/>
      <c r="DGF226" s="15"/>
      <c r="DGG226" s="15"/>
      <c r="DGH226" s="15"/>
      <c r="DGI226" s="15"/>
      <c r="DGJ226" s="15"/>
      <c r="DGK226" s="15"/>
      <c r="DGL226" s="15"/>
      <c r="DGM226" s="15"/>
      <c r="DGN226" s="15"/>
      <c r="DGO226" s="10"/>
      <c r="DGP226" s="10"/>
      <c r="DGQ226" s="21"/>
      <c r="DGR226" s="21"/>
      <c r="DGU226" s="21"/>
      <c r="DGV226" s="15"/>
      <c r="DGW226" s="15"/>
      <c r="DGX226" s="15"/>
      <c r="DGY226" s="15"/>
      <c r="DGZ226" s="15"/>
      <c r="DHA226" s="15"/>
      <c r="DHB226" s="15"/>
      <c r="DHC226" s="15"/>
      <c r="DHD226" s="15"/>
      <c r="DHE226" s="15"/>
      <c r="DHF226" s="10"/>
      <c r="DHG226" s="10"/>
      <c r="DHH226" s="21"/>
      <c r="DHI226" s="21"/>
      <c r="DHL226" s="21"/>
      <c r="DHM226" s="15"/>
      <c r="DHN226" s="15"/>
      <c r="DHO226" s="15"/>
      <c r="DHP226" s="15"/>
      <c r="DHQ226" s="15"/>
      <c r="DHR226" s="15"/>
      <c r="DHS226" s="15"/>
      <c r="DHT226" s="15"/>
      <c r="DHU226" s="15"/>
      <c r="DHV226" s="15"/>
      <c r="DHW226" s="10"/>
      <c r="DHX226" s="10"/>
      <c r="DHY226" s="21"/>
      <c r="DHZ226" s="21"/>
      <c r="DIC226" s="21"/>
      <c r="DID226" s="15"/>
      <c r="DIE226" s="15"/>
      <c r="DIF226" s="15"/>
      <c r="DIG226" s="15"/>
      <c r="DIH226" s="15"/>
      <c r="DII226" s="15"/>
      <c r="DIJ226" s="15"/>
      <c r="DIK226" s="15"/>
      <c r="DIL226" s="15"/>
      <c r="DIM226" s="15"/>
      <c r="DIN226" s="10"/>
      <c r="DIO226" s="10"/>
      <c r="DIP226" s="21"/>
      <c r="DIQ226" s="21"/>
      <c r="DIT226" s="21"/>
      <c r="DIU226" s="15"/>
      <c r="DIV226" s="15"/>
      <c r="DIW226" s="15"/>
      <c r="DIX226" s="15"/>
      <c r="DIY226" s="15"/>
      <c r="DIZ226" s="15"/>
      <c r="DJA226" s="15"/>
      <c r="DJB226" s="15"/>
      <c r="DJC226" s="15"/>
      <c r="DJD226" s="15"/>
      <c r="DJE226" s="10"/>
      <c r="DJF226" s="10"/>
      <c r="DJG226" s="21"/>
      <c r="DJH226" s="21"/>
      <c r="DJK226" s="21"/>
      <c r="DJL226" s="15"/>
      <c r="DJM226" s="15"/>
      <c r="DJN226" s="15"/>
      <c r="DJO226" s="15"/>
      <c r="DJP226" s="15"/>
      <c r="DJQ226" s="15"/>
      <c r="DJR226" s="15"/>
      <c r="DJS226" s="15"/>
      <c r="DJT226" s="15"/>
      <c r="DJU226" s="15"/>
      <c r="DJV226" s="10"/>
      <c r="DJW226" s="10"/>
      <c r="DJX226" s="21"/>
      <c r="DJY226" s="21"/>
      <c r="DKB226" s="21"/>
      <c r="DKC226" s="15"/>
      <c r="DKD226" s="15"/>
      <c r="DKE226" s="15"/>
      <c r="DKF226" s="15"/>
      <c r="DKG226" s="15"/>
      <c r="DKH226" s="15"/>
      <c r="DKI226" s="15"/>
      <c r="DKJ226" s="15"/>
      <c r="DKK226" s="15"/>
      <c r="DKL226" s="15"/>
      <c r="DKM226" s="10"/>
      <c r="DKN226" s="10"/>
      <c r="DKO226" s="21"/>
      <c r="DKP226" s="21"/>
      <c r="DKS226" s="21"/>
      <c r="DKT226" s="15"/>
      <c r="DKU226" s="15"/>
      <c r="DKV226" s="15"/>
      <c r="DKW226" s="15"/>
      <c r="DKX226" s="15"/>
      <c r="DKY226" s="15"/>
      <c r="DKZ226" s="15"/>
      <c r="DLA226" s="15"/>
      <c r="DLB226" s="15"/>
      <c r="DLC226" s="15"/>
      <c r="DLD226" s="10"/>
      <c r="DLE226" s="10"/>
      <c r="DLF226" s="21"/>
      <c r="DLG226" s="21"/>
      <c r="DLJ226" s="21"/>
      <c r="DLK226" s="15"/>
      <c r="DLL226" s="15"/>
      <c r="DLM226" s="15"/>
      <c r="DLN226" s="15"/>
      <c r="DLO226" s="15"/>
      <c r="DLP226" s="15"/>
      <c r="DLQ226" s="15"/>
      <c r="DLR226" s="15"/>
      <c r="DLS226" s="15"/>
      <c r="DLT226" s="15"/>
      <c r="DLU226" s="10"/>
      <c r="DLV226" s="10"/>
      <c r="DLW226" s="21"/>
      <c r="DLX226" s="21"/>
      <c r="DMA226" s="21"/>
      <c r="DMB226" s="15"/>
      <c r="DMC226" s="15"/>
      <c r="DMD226" s="15"/>
      <c r="DME226" s="15"/>
      <c r="DMF226" s="15"/>
      <c r="DMG226" s="15"/>
      <c r="DMH226" s="15"/>
      <c r="DMI226" s="15"/>
      <c r="DMJ226" s="15"/>
      <c r="DMK226" s="15"/>
      <c r="DML226" s="10"/>
      <c r="DMM226" s="10"/>
      <c r="DMN226" s="21"/>
      <c r="DMO226" s="21"/>
      <c r="DMR226" s="21"/>
      <c r="DMS226" s="15"/>
      <c r="DMT226" s="15"/>
      <c r="DMU226" s="15"/>
      <c r="DMV226" s="15"/>
      <c r="DMW226" s="15"/>
      <c r="DMX226" s="15"/>
      <c r="DMY226" s="15"/>
      <c r="DMZ226" s="15"/>
      <c r="DNA226" s="15"/>
      <c r="DNB226" s="15"/>
      <c r="DNC226" s="10"/>
      <c r="DND226" s="10"/>
      <c r="DNE226" s="21"/>
      <c r="DNF226" s="21"/>
      <c r="DNI226" s="21"/>
      <c r="DNJ226" s="15"/>
      <c r="DNK226" s="15"/>
      <c r="DNL226" s="15"/>
      <c r="DNM226" s="15"/>
      <c r="DNN226" s="15"/>
      <c r="DNO226" s="15"/>
      <c r="DNP226" s="15"/>
      <c r="DNQ226" s="15"/>
      <c r="DNR226" s="15"/>
      <c r="DNS226" s="15"/>
      <c r="DNT226" s="10"/>
      <c r="DNU226" s="10"/>
      <c r="DNV226" s="21"/>
      <c r="DNW226" s="21"/>
      <c r="DNZ226" s="21"/>
      <c r="DOA226" s="15"/>
      <c r="DOB226" s="15"/>
      <c r="DOC226" s="15"/>
      <c r="DOD226" s="15"/>
      <c r="DOE226" s="15"/>
      <c r="DOF226" s="15"/>
      <c r="DOG226" s="15"/>
      <c r="DOH226" s="15"/>
      <c r="DOI226" s="15"/>
      <c r="DOJ226" s="15"/>
      <c r="DOK226" s="10"/>
      <c r="DOL226" s="10"/>
      <c r="DOM226" s="21"/>
      <c r="DON226" s="21"/>
      <c r="DOQ226" s="21"/>
      <c r="DOR226" s="15"/>
      <c r="DOS226" s="15"/>
      <c r="DOT226" s="15"/>
      <c r="DOU226" s="15"/>
      <c r="DOV226" s="15"/>
      <c r="DOW226" s="15"/>
      <c r="DOX226" s="15"/>
      <c r="DOY226" s="15"/>
      <c r="DOZ226" s="15"/>
      <c r="DPA226" s="15"/>
      <c r="DPB226" s="10"/>
      <c r="DPC226" s="10"/>
      <c r="DPD226" s="21"/>
      <c r="DPE226" s="21"/>
      <c r="DPH226" s="21"/>
      <c r="DPI226" s="15"/>
      <c r="DPJ226" s="15"/>
      <c r="DPK226" s="15"/>
      <c r="DPL226" s="15"/>
      <c r="DPM226" s="15"/>
      <c r="DPN226" s="15"/>
      <c r="DPO226" s="15"/>
      <c r="DPP226" s="15"/>
      <c r="DPQ226" s="15"/>
      <c r="DPR226" s="15"/>
      <c r="DPS226" s="10"/>
      <c r="DPT226" s="10"/>
      <c r="DPU226" s="21"/>
      <c r="DPV226" s="21"/>
      <c r="DPY226" s="21"/>
      <c r="DPZ226" s="15"/>
      <c r="DQA226" s="15"/>
      <c r="DQB226" s="15"/>
      <c r="DQC226" s="15"/>
      <c r="DQD226" s="15"/>
      <c r="DQE226" s="15"/>
      <c r="DQF226" s="15"/>
      <c r="DQG226" s="15"/>
      <c r="DQH226" s="15"/>
      <c r="DQI226" s="15"/>
      <c r="DQJ226" s="10"/>
      <c r="DQK226" s="10"/>
      <c r="DQL226" s="21"/>
      <c r="DQM226" s="21"/>
      <c r="DQP226" s="21"/>
      <c r="DQQ226" s="15"/>
      <c r="DQR226" s="15"/>
      <c r="DQS226" s="15"/>
      <c r="DQT226" s="15"/>
      <c r="DQU226" s="15"/>
      <c r="DQV226" s="15"/>
      <c r="DQW226" s="15"/>
      <c r="DQX226" s="15"/>
      <c r="DQY226" s="15"/>
      <c r="DQZ226" s="15"/>
      <c r="DRA226" s="10"/>
      <c r="DRB226" s="10"/>
      <c r="DRC226" s="21"/>
      <c r="DRD226" s="21"/>
      <c r="DRG226" s="21"/>
      <c r="DRH226" s="15"/>
      <c r="DRI226" s="15"/>
      <c r="DRJ226" s="15"/>
      <c r="DRK226" s="15"/>
      <c r="DRL226" s="15"/>
      <c r="DRM226" s="15"/>
      <c r="DRN226" s="15"/>
      <c r="DRO226" s="15"/>
      <c r="DRP226" s="15"/>
      <c r="DRQ226" s="15"/>
      <c r="DRR226" s="10"/>
      <c r="DRS226" s="10"/>
      <c r="DRT226" s="21"/>
      <c r="DRU226" s="21"/>
      <c r="DRX226" s="21"/>
      <c r="DRY226" s="15"/>
      <c r="DRZ226" s="15"/>
      <c r="DSA226" s="15"/>
      <c r="DSB226" s="15"/>
      <c r="DSC226" s="15"/>
      <c r="DSD226" s="15"/>
      <c r="DSE226" s="15"/>
      <c r="DSF226" s="15"/>
      <c r="DSG226" s="15"/>
      <c r="DSH226" s="15"/>
      <c r="DSI226" s="10"/>
      <c r="DSJ226" s="10"/>
      <c r="DSK226" s="21"/>
      <c r="DSL226" s="21"/>
      <c r="DSO226" s="21"/>
      <c r="DSP226" s="15"/>
      <c r="DSQ226" s="15"/>
      <c r="DSR226" s="15"/>
      <c r="DSS226" s="15"/>
      <c r="DST226" s="15"/>
      <c r="DSU226" s="15"/>
      <c r="DSV226" s="15"/>
      <c r="DSW226" s="15"/>
      <c r="DSX226" s="15"/>
      <c r="DSY226" s="15"/>
      <c r="DSZ226" s="10"/>
      <c r="DTA226" s="10"/>
      <c r="DTB226" s="21"/>
      <c r="DTC226" s="21"/>
      <c r="DTF226" s="21"/>
      <c r="DTG226" s="15"/>
      <c r="DTH226" s="15"/>
      <c r="DTI226" s="15"/>
      <c r="DTJ226" s="15"/>
      <c r="DTK226" s="15"/>
      <c r="DTL226" s="15"/>
      <c r="DTM226" s="15"/>
      <c r="DTN226" s="15"/>
      <c r="DTO226" s="15"/>
      <c r="DTP226" s="15"/>
      <c r="DTQ226" s="10"/>
      <c r="DTR226" s="10"/>
      <c r="DTS226" s="21"/>
      <c r="DTT226" s="21"/>
      <c r="DTW226" s="21"/>
      <c r="DTX226" s="15"/>
      <c r="DTY226" s="15"/>
      <c r="DTZ226" s="15"/>
      <c r="DUA226" s="15"/>
      <c r="DUB226" s="15"/>
      <c r="DUC226" s="15"/>
      <c r="DUD226" s="15"/>
      <c r="DUE226" s="15"/>
      <c r="DUF226" s="15"/>
      <c r="DUG226" s="15"/>
      <c r="DUH226" s="10"/>
      <c r="DUI226" s="10"/>
      <c r="DUJ226" s="21"/>
      <c r="DUK226" s="21"/>
      <c r="DUN226" s="21"/>
      <c r="DUO226" s="15"/>
      <c r="DUP226" s="15"/>
      <c r="DUQ226" s="15"/>
      <c r="DUR226" s="15"/>
      <c r="DUS226" s="15"/>
      <c r="DUT226" s="15"/>
      <c r="DUU226" s="15"/>
      <c r="DUV226" s="15"/>
      <c r="DUW226" s="15"/>
      <c r="DUX226" s="15"/>
      <c r="DUY226" s="10"/>
      <c r="DUZ226" s="10"/>
      <c r="DVA226" s="21"/>
      <c r="DVB226" s="21"/>
      <c r="DVE226" s="21"/>
      <c r="DVF226" s="15"/>
      <c r="DVG226" s="15"/>
      <c r="DVH226" s="15"/>
      <c r="DVI226" s="15"/>
      <c r="DVJ226" s="15"/>
      <c r="DVK226" s="15"/>
      <c r="DVL226" s="15"/>
      <c r="DVM226" s="15"/>
      <c r="DVN226" s="15"/>
      <c r="DVO226" s="15"/>
      <c r="DVP226" s="10"/>
      <c r="DVQ226" s="10"/>
      <c r="DVR226" s="21"/>
      <c r="DVS226" s="21"/>
      <c r="DVV226" s="21"/>
      <c r="DVW226" s="15"/>
      <c r="DVX226" s="15"/>
      <c r="DVY226" s="15"/>
      <c r="DVZ226" s="15"/>
      <c r="DWA226" s="15"/>
      <c r="DWB226" s="15"/>
      <c r="DWC226" s="15"/>
      <c r="DWD226" s="15"/>
      <c r="DWE226" s="15"/>
      <c r="DWF226" s="15"/>
      <c r="DWG226" s="10"/>
      <c r="DWH226" s="10"/>
      <c r="DWI226" s="21"/>
      <c r="DWJ226" s="21"/>
      <c r="DWM226" s="21"/>
      <c r="DWN226" s="15"/>
      <c r="DWO226" s="15"/>
      <c r="DWP226" s="15"/>
      <c r="DWQ226" s="15"/>
      <c r="DWR226" s="15"/>
      <c r="DWS226" s="15"/>
      <c r="DWT226" s="15"/>
      <c r="DWU226" s="15"/>
      <c r="DWV226" s="15"/>
      <c r="DWW226" s="15"/>
      <c r="DWX226" s="10"/>
      <c r="DWY226" s="10"/>
      <c r="DWZ226" s="21"/>
      <c r="DXA226" s="21"/>
      <c r="DXD226" s="21"/>
      <c r="DXE226" s="15"/>
      <c r="DXF226" s="15"/>
      <c r="DXG226" s="15"/>
      <c r="DXH226" s="15"/>
      <c r="DXI226" s="15"/>
      <c r="DXJ226" s="15"/>
      <c r="DXK226" s="15"/>
      <c r="DXL226" s="15"/>
      <c r="DXM226" s="15"/>
      <c r="DXN226" s="15"/>
      <c r="DXO226" s="10"/>
      <c r="DXP226" s="10"/>
      <c r="DXQ226" s="21"/>
      <c r="DXR226" s="21"/>
      <c r="DXU226" s="21"/>
      <c r="DXV226" s="15"/>
      <c r="DXW226" s="15"/>
      <c r="DXX226" s="15"/>
      <c r="DXY226" s="15"/>
      <c r="DXZ226" s="15"/>
      <c r="DYA226" s="15"/>
      <c r="DYB226" s="15"/>
      <c r="DYC226" s="15"/>
      <c r="DYD226" s="15"/>
      <c r="DYE226" s="15"/>
      <c r="DYF226" s="10"/>
      <c r="DYG226" s="10"/>
      <c r="DYH226" s="21"/>
      <c r="DYI226" s="21"/>
      <c r="DYL226" s="21"/>
      <c r="DYM226" s="15"/>
      <c r="DYN226" s="15"/>
      <c r="DYO226" s="15"/>
      <c r="DYP226" s="15"/>
      <c r="DYQ226" s="15"/>
      <c r="DYR226" s="15"/>
      <c r="DYS226" s="15"/>
      <c r="DYT226" s="15"/>
      <c r="DYU226" s="15"/>
      <c r="DYV226" s="15"/>
      <c r="DYW226" s="10"/>
      <c r="DYX226" s="10"/>
      <c r="DYY226" s="21"/>
      <c r="DYZ226" s="21"/>
      <c r="DZC226" s="21"/>
      <c r="DZD226" s="15"/>
      <c r="DZE226" s="15"/>
      <c r="DZF226" s="15"/>
      <c r="DZG226" s="15"/>
      <c r="DZH226" s="15"/>
      <c r="DZI226" s="15"/>
      <c r="DZJ226" s="15"/>
      <c r="DZK226" s="15"/>
      <c r="DZL226" s="15"/>
      <c r="DZM226" s="15"/>
      <c r="DZN226" s="10"/>
      <c r="DZO226" s="10"/>
      <c r="DZP226" s="21"/>
      <c r="DZQ226" s="21"/>
      <c r="DZT226" s="21"/>
      <c r="DZU226" s="15"/>
      <c r="DZV226" s="15"/>
      <c r="DZW226" s="15"/>
      <c r="DZX226" s="15"/>
      <c r="DZY226" s="15"/>
      <c r="DZZ226" s="15"/>
      <c r="EAA226" s="15"/>
      <c r="EAB226" s="15"/>
      <c r="EAC226" s="15"/>
      <c r="EAD226" s="15"/>
      <c r="EAE226" s="10"/>
      <c r="EAF226" s="10"/>
      <c r="EAG226" s="21"/>
      <c r="EAH226" s="21"/>
      <c r="EAK226" s="21"/>
      <c r="EAL226" s="15"/>
      <c r="EAM226" s="15"/>
      <c r="EAN226" s="15"/>
      <c r="EAO226" s="15"/>
      <c r="EAP226" s="15"/>
      <c r="EAQ226" s="15"/>
      <c r="EAR226" s="15"/>
      <c r="EAS226" s="15"/>
      <c r="EAT226" s="15"/>
      <c r="EAU226" s="15"/>
      <c r="EAV226" s="10"/>
      <c r="EAW226" s="10"/>
      <c r="EAX226" s="21"/>
      <c r="EAY226" s="21"/>
      <c r="EBB226" s="21"/>
      <c r="EBC226" s="15"/>
      <c r="EBD226" s="15"/>
      <c r="EBE226" s="15"/>
      <c r="EBF226" s="15"/>
      <c r="EBG226" s="15"/>
      <c r="EBH226" s="15"/>
      <c r="EBI226" s="15"/>
      <c r="EBJ226" s="15"/>
      <c r="EBK226" s="15"/>
      <c r="EBL226" s="15"/>
      <c r="EBM226" s="10"/>
      <c r="EBN226" s="10"/>
      <c r="EBO226" s="21"/>
      <c r="EBP226" s="21"/>
      <c r="EBS226" s="21"/>
      <c r="EBT226" s="15"/>
      <c r="EBU226" s="15"/>
      <c r="EBV226" s="15"/>
      <c r="EBW226" s="15"/>
      <c r="EBX226" s="15"/>
      <c r="EBY226" s="15"/>
      <c r="EBZ226" s="15"/>
      <c r="ECA226" s="15"/>
      <c r="ECB226" s="15"/>
      <c r="ECC226" s="15"/>
      <c r="ECD226" s="10"/>
      <c r="ECE226" s="10"/>
      <c r="ECF226" s="21"/>
      <c r="ECG226" s="21"/>
      <c r="ECJ226" s="21"/>
      <c r="ECK226" s="15"/>
      <c r="ECL226" s="15"/>
      <c r="ECM226" s="15"/>
      <c r="ECN226" s="15"/>
      <c r="ECO226" s="15"/>
      <c r="ECP226" s="15"/>
      <c r="ECQ226" s="15"/>
      <c r="ECR226" s="15"/>
      <c r="ECS226" s="15"/>
      <c r="ECT226" s="15"/>
      <c r="ECU226" s="10"/>
      <c r="ECV226" s="10"/>
      <c r="ECW226" s="21"/>
      <c r="ECX226" s="21"/>
      <c r="EDA226" s="21"/>
      <c r="EDB226" s="15"/>
      <c r="EDC226" s="15"/>
      <c r="EDD226" s="15"/>
      <c r="EDE226" s="15"/>
      <c r="EDF226" s="15"/>
      <c r="EDG226" s="15"/>
      <c r="EDH226" s="15"/>
      <c r="EDI226" s="15"/>
      <c r="EDJ226" s="15"/>
      <c r="EDK226" s="15"/>
      <c r="EDL226" s="10"/>
      <c r="EDM226" s="10"/>
      <c r="EDN226" s="21"/>
      <c r="EDO226" s="21"/>
      <c r="EDR226" s="21"/>
      <c r="EDS226" s="15"/>
      <c r="EDT226" s="15"/>
      <c r="EDU226" s="15"/>
      <c r="EDV226" s="15"/>
      <c r="EDW226" s="15"/>
      <c r="EDX226" s="15"/>
      <c r="EDY226" s="15"/>
      <c r="EDZ226" s="15"/>
      <c r="EEA226" s="15"/>
      <c r="EEB226" s="15"/>
      <c r="EEC226" s="10"/>
      <c r="EED226" s="10"/>
      <c r="EEE226" s="21"/>
      <c r="EEF226" s="21"/>
      <c r="EEI226" s="21"/>
      <c r="EEJ226" s="15"/>
      <c r="EEK226" s="15"/>
      <c r="EEL226" s="15"/>
      <c r="EEM226" s="15"/>
      <c r="EEN226" s="15"/>
      <c r="EEO226" s="15"/>
      <c r="EEP226" s="15"/>
      <c r="EEQ226" s="15"/>
      <c r="EER226" s="15"/>
      <c r="EES226" s="15"/>
      <c r="EET226" s="10"/>
      <c r="EEU226" s="10"/>
      <c r="EEV226" s="21"/>
      <c r="EEW226" s="21"/>
      <c r="EEZ226" s="21"/>
      <c r="EFA226" s="15"/>
      <c r="EFB226" s="15"/>
      <c r="EFC226" s="15"/>
      <c r="EFD226" s="15"/>
      <c r="EFE226" s="15"/>
      <c r="EFF226" s="15"/>
      <c r="EFG226" s="15"/>
      <c r="EFH226" s="15"/>
      <c r="EFI226" s="15"/>
      <c r="EFJ226" s="15"/>
      <c r="EFK226" s="10"/>
      <c r="EFL226" s="10"/>
      <c r="EFM226" s="21"/>
      <c r="EFN226" s="21"/>
      <c r="EFQ226" s="21"/>
      <c r="EFR226" s="15"/>
      <c r="EFS226" s="15"/>
      <c r="EFT226" s="15"/>
      <c r="EFU226" s="15"/>
      <c r="EFV226" s="15"/>
      <c r="EFW226" s="15"/>
      <c r="EFX226" s="15"/>
      <c r="EFY226" s="15"/>
      <c r="EFZ226" s="15"/>
      <c r="EGA226" s="15"/>
      <c r="EGB226" s="10"/>
      <c r="EGC226" s="10"/>
      <c r="EGD226" s="21"/>
      <c r="EGE226" s="21"/>
      <c r="EGH226" s="21"/>
      <c r="EGI226" s="15"/>
      <c r="EGJ226" s="15"/>
      <c r="EGK226" s="15"/>
      <c r="EGL226" s="15"/>
      <c r="EGM226" s="15"/>
      <c r="EGN226" s="15"/>
      <c r="EGO226" s="15"/>
      <c r="EGP226" s="15"/>
      <c r="EGQ226" s="15"/>
      <c r="EGR226" s="15"/>
      <c r="EGS226" s="10"/>
      <c r="EGT226" s="10"/>
      <c r="EGU226" s="21"/>
      <c r="EGV226" s="21"/>
      <c r="EGY226" s="21"/>
      <c r="EGZ226" s="15"/>
      <c r="EHA226" s="15"/>
      <c r="EHB226" s="15"/>
      <c r="EHC226" s="15"/>
      <c r="EHD226" s="15"/>
      <c r="EHE226" s="15"/>
      <c r="EHF226" s="15"/>
      <c r="EHG226" s="15"/>
      <c r="EHH226" s="15"/>
      <c r="EHI226" s="15"/>
      <c r="EHJ226" s="10"/>
      <c r="EHK226" s="10"/>
      <c r="EHL226" s="21"/>
      <c r="EHM226" s="21"/>
      <c r="EHP226" s="21"/>
      <c r="EHQ226" s="15"/>
      <c r="EHR226" s="15"/>
      <c r="EHS226" s="15"/>
      <c r="EHT226" s="15"/>
      <c r="EHU226" s="15"/>
      <c r="EHV226" s="15"/>
      <c r="EHW226" s="15"/>
      <c r="EHX226" s="15"/>
      <c r="EHY226" s="15"/>
      <c r="EHZ226" s="15"/>
      <c r="EIA226" s="10"/>
      <c r="EIB226" s="10"/>
      <c r="EIC226" s="21"/>
      <c r="EID226" s="21"/>
      <c r="EIG226" s="21"/>
      <c r="EIH226" s="15"/>
      <c r="EII226" s="15"/>
      <c r="EIJ226" s="15"/>
      <c r="EIK226" s="15"/>
      <c r="EIL226" s="15"/>
      <c r="EIM226" s="15"/>
      <c r="EIN226" s="15"/>
      <c r="EIO226" s="15"/>
      <c r="EIP226" s="15"/>
      <c r="EIQ226" s="15"/>
      <c r="EIR226" s="10"/>
      <c r="EIS226" s="10"/>
      <c r="EIT226" s="21"/>
      <c r="EIU226" s="21"/>
      <c r="EIX226" s="21"/>
      <c r="EIY226" s="15"/>
      <c r="EIZ226" s="15"/>
      <c r="EJA226" s="15"/>
      <c r="EJB226" s="15"/>
      <c r="EJC226" s="15"/>
      <c r="EJD226" s="15"/>
      <c r="EJE226" s="15"/>
      <c r="EJF226" s="15"/>
      <c r="EJG226" s="15"/>
      <c r="EJH226" s="15"/>
      <c r="EJI226" s="10"/>
      <c r="EJJ226" s="10"/>
      <c r="EJK226" s="21"/>
      <c r="EJL226" s="21"/>
      <c r="EJO226" s="21"/>
      <c r="EJP226" s="15"/>
      <c r="EJQ226" s="15"/>
      <c r="EJR226" s="15"/>
      <c r="EJS226" s="15"/>
      <c r="EJT226" s="15"/>
      <c r="EJU226" s="15"/>
      <c r="EJV226" s="15"/>
      <c r="EJW226" s="15"/>
      <c r="EJX226" s="15"/>
      <c r="EJY226" s="15"/>
      <c r="EJZ226" s="10"/>
      <c r="EKA226" s="10"/>
      <c r="EKB226" s="21"/>
      <c r="EKC226" s="21"/>
      <c r="EKF226" s="21"/>
      <c r="EKG226" s="15"/>
      <c r="EKH226" s="15"/>
      <c r="EKI226" s="15"/>
      <c r="EKJ226" s="15"/>
      <c r="EKK226" s="15"/>
      <c r="EKL226" s="15"/>
      <c r="EKM226" s="15"/>
      <c r="EKN226" s="15"/>
      <c r="EKO226" s="15"/>
      <c r="EKP226" s="15"/>
      <c r="EKQ226" s="10"/>
      <c r="EKR226" s="10"/>
      <c r="EKS226" s="21"/>
      <c r="EKT226" s="21"/>
      <c r="EKW226" s="21"/>
      <c r="EKX226" s="15"/>
      <c r="EKY226" s="15"/>
      <c r="EKZ226" s="15"/>
      <c r="ELA226" s="15"/>
      <c r="ELB226" s="15"/>
      <c r="ELC226" s="15"/>
      <c r="ELD226" s="15"/>
      <c r="ELE226" s="15"/>
      <c r="ELF226" s="15"/>
      <c r="ELG226" s="15"/>
      <c r="ELH226" s="10"/>
      <c r="ELI226" s="10"/>
      <c r="ELJ226" s="21"/>
      <c r="ELK226" s="21"/>
      <c r="ELN226" s="21"/>
      <c r="ELO226" s="15"/>
      <c r="ELP226" s="15"/>
      <c r="ELQ226" s="15"/>
      <c r="ELR226" s="15"/>
      <c r="ELS226" s="15"/>
      <c r="ELT226" s="15"/>
      <c r="ELU226" s="15"/>
      <c r="ELV226" s="15"/>
      <c r="ELW226" s="15"/>
      <c r="ELX226" s="15"/>
      <c r="ELY226" s="10"/>
      <c r="ELZ226" s="10"/>
      <c r="EMA226" s="21"/>
      <c r="EMB226" s="21"/>
      <c r="EME226" s="21"/>
      <c r="EMF226" s="15"/>
      <c r="EMG226" s="15"/>
      <c r="EMH226" s="15"/>
      <c r="EMI226" s="15"/>
      <c r="EMJ226" s="15"/>
      <c r="EMK226" s="15"/>
      <c r="EML226" s="15"/>
      <c r="EMM226" s="15"/>
      <c r="EMN226" s="15"/>
      <c r="EMO226" s="15"/>
      <c r="EMP226" s="10"/>
      <c r="EMQ226" s="10"/>
      <c r="EMR226" s="21"/>
      <c r="EMS226" s="21"/>
      <c r="EMV226" s="21"/>
      <c r="EMW226" s="15"/>
      <c r="EMX226" s="15"/>
      <c r="EMY226" s="15"/>
      <c r="EMZ226" s="15"/>
      <c r="ENA226" s="15"/>
      <c r="ENB226" s="15"/>
      <c r="ENC226" s="15"/>
      <c r="END226" s="15"/>
      <c r="ENE226" s="15"/>
      <c r="ENF226" s="15"/>
      <c r="ENG226" s="10"/>
      <c r="ENH226" s="10"/>
      <c r="ENI226" s="21"/>
      <c r="ENJ226" s="21"/>
      <c r="ENM226" s="21"/>
      <c r="ENN226" s="15"/>
      <c r="ENO226" s="15"/>
      <c r="ENP226" s="15"/>
      <c r="ENQ226" s="15"/>
      <c r="ENR226" s="15"/>
      <c r="ENS226" s="15"/>
      <c r="ENT226" s="15"/>
      <c r="ENU226" s="15"/>
      <c r="ENV226" s="15"/>
      <c r="ENW226" s="15"/>
      <c r="ENX226" s="10"/>
      <c r="ENY226" s="10"/>
      <c r="ENZ226" s="21"/>
      <c r="EOA226" s="21"/>
      <c r="EOD226" s="21"/>
      <c r="EOE226" s="15"/>
      <c r="EOF226" s="15"/>
      <c r="EOG226" s="15"/>
      <c r="EOH226" s="15"/>
      <c r="EOI226" s="15"/>
      <c r="EOJ226" s="15"/>
      <c r="EOK226" s="15"/>
      <c r="EOL226" s="15"/>
      <c r="EOM226" s="15"/>
      <c r="EON226" s="15"/>
      <c r="EOO226" s="10"/>
      <c r="EOP226" s="10"/>
      <c r="EOQ226" s="21"/>
      <c r="EOR226" s="21"/>
      <c r="EOU226" s="21"/>
      <c r="EOV226" s="15"/>
      <c r="EOW226" s="15"/>
      <c r="EOX226" s="15"/>
      <c r="EOY226" s="15"/>
      <c r="EOZ226" s="15"/>
      <c r="EPA226" s="15"/>
      <c r="EPB226" s="15"/>
      <c r="EPC226" s="15"/>
      <c r="EPD226" s="15"/>
      <c r="EPE226" s="15"/>
      <c r="EPF226" s="10"/>
      <c r="EPG226" s="10"/>
      <c r="EPH226" s="21"/>
      <c r="EPI226" s="21"/>
      <c r="EPL226" s="21"/>
      <c r="EPM226" s="15"/>
      <c r="EPN226" s="15"/>
      <c r="EPO226" s="15"/>
      <c r="EPP226" s="15"/>
      <c r="EPQ226" s="15"/>
      <c r="EPR226" s="15"/>
      <c r="EPS226" s="15"/>
      <c r="EPT226" s="15"/>
      <c r="EPU226" s="15"/>
      <c r="EPV226" s="15"/>
      <c r="EPW226" s="10"/>
      <c r="EPX226" s="10"/>
      <c r="EPY226" s="21"/>
      <c r="EPZ226" s="21"/>
      <c r="EQC226" s="21"/>
      <c r="EQD226" s="15"/>
      <c r="EQE226" s="15"/>
      <c r="EQF226" s="15"/>
      <c r="EQG226" s="15"/>
      <c r="EQH226" s="15"/>
      <c r="EQI226" s="15"/>
      <c r="EQJ226" s="15"/>
      <c r="EQK226" s="15"/>
      <c r="EQL226" s="15"/>
      <c r="EQM226" s="15"/>
      <c r="EQN226" s="10"/>
      <c r="EQO226" s="10"/>
      <c r="EQP226" s="21"/>
      <c r="EQQ226" s="21"/>
      <c r="EQT226" s="21"/>
      <c r="EQU226" s="15"/>
      <c r="EQV226" s="15"/>
      <c r="EQW226" s="15"/>
      <c r="EQX226" s="15"/>
      <c r="EQY226" s="15"/>
      <c r="EQZ226" s="15"/>
      <c r="ERA226" s="15"/>
      <c r="ERB226" s="15"/>
      <c r="ERC226" s="15"/>
      <c r="ERD226" s="15"/>
      <c r="ERE226" s="10"/>
      <c r="ERF226" s="10"/>
      <c r="ERG226" s="21"/>
      <c r="ERH226" s="21"/>
      <c r="ERK226" s="21"/>
      <c r="ERL226" s="15"/>
      <c r="ERM226" s="15"/>
      <c r="ERN226" s="15"/>
      <c r="ERO226" s="15"/>
      <c r="ERP226" s="15"/>
      <c r="ERQ226" s="15"/>
      <c r="ERR226" s="15"/>
      <c r="ERS226" s="15"/>
      <c r="ERT226" s="15"/>
      <c r="ERU226" s="15"/>
      <c r="ERV226" s="10"/>
      <c r="ERW226" s="10"/>
      <c r="ERX226" s="21"/>
      <c r="ERY226" s="21"/>
      <c r="ESB226" s="21"/>
      <c r="ESC226" s="15"/>
      <c r="ESD226" s="15"/>
      <c r="ESE226" s="15"/>
      <c r="ESF226" s="15"/>
      <c r="ESG226" s="15"/>
      <c r="ESH226" s="15"/>
      <c r="ESI226" s="15"/>
      <c r="ESJ226" s="15"/>
      <c r="ESK226" s="15"/>
      <c r="ESL226" s="15"/>
      <c r="ESM226" s="10"/>
      <c r="ESN226" s="10"/>
      <c r="ESO226" s="21"/>
      <c r="ESP226" s="21"/>
      <c r="ESS226" s="21"/>
      <c r="EST226" s="15"/>
      <c r="ESU226" s="15"/>
      <c r="ESV226" s="15"/>
      <c r="ESW226" s="15"/>
      <c r="ESX226" s="15"/>
      <c r="ESY226" s="15"/>
      <c r="ESZ226" s="15"/>
      <c r="ETA226" s="15"/>
      <c r="ETB226" s="15"/>
      <c r="ETC226" s="15"/>
      <c r="ETD226" s="10"/>
      <c r="ETE226" s="10"/>
      <c r="ETF226" s="21"/>
      <c r="ETG226" s="21"/>
      <c r="ETJ226" s="21"/>
      <c r="ETK226" s="15"/>
      <c r="ETL226" s="15"/>
      <c r="ETM226" s="15"/>
      <c r="ETN226" s="15"/>
      <c r="ETO226" s="15"/>
      <c r="ETP226" s="15"/>
      <c r="ETQ226" s="15"/>
      <c r="ETR226" s="15"/>
      <c r="ETS226" s="15"/>
      <c r="ETT226" s="15"/>
      <c r="ETU226" s="10"/>
      <c r="ETV226" s="10"/>
      <c r="ETW226" s="21"/>
      <c r="ETX226" s="21"/>
      <c r="EUA226" s="21"/>
      <c r="EUB226" s="15"/>
      <c r="EUC226" s="15"/>
      <c r="EUD226" s="15"/>
      <c r="EUE226" s="15"/>
      <c r="EUF226" s="15"/>
      <c r="EUG226" s="15"/>
      <c r="EUH226" s="15"/>
      <c r="EUI226" s="15"/>
      <c r="EUJ226" s="15"/>
      <c r="EUK226" s="15"/>
      <c r="EUL226" s="10"/>
      <c r="EUM226" s="10"/>
      <c r="EUN226" s="21"/>
      <c r="EUO226" s="21"/>
      <c r="EUR226" s="21"/>
      <c r="EUS226" s="15"/>
      <c r="EUT226" s="15"/>
      <c r="EUU226" s="15"/>
      <c r="EUV226" s="15"/>
      <c r="EUW226" s="15"/>
      <c r="EUX226" s="15"/>
      <c r="EUY226" s="15"/>
      <c r="EUZ226" s="15"/>
      <c r="EVA226" s="15"/>
      <c r="EVB226" s="15"/>
      <c r="EVC226" s="10"/>
      <c r="EVD226" s="10"/>
      <c r="EVE226" s="21"/>
      <c r="EVF226" s="21"/>
      <c r="EVI226" s="21"/>
      <c r="EVJ226" s="15"/>
      <c r="EVK226" s="15"/>
      <c r="EVL226" s="15"/>
      <c r="EVM226" s="15"/>
      <c r="EVN226" s="15"/>
      <c r="EVO226" s="15"/>
      <c r="EVP226" s="15"/>
      <c r="EVQ226" s="15"/>
      <c r="EVR226" s="15"/>
      <c r="EVS226" s="15"/>
      <c r="EVT226" s="10"/>
      <c r="EVU226" s="10"/>
      <c r="EVV226" s="21"/>
      <c r="EVW226" s="21"/>
      <c r="EVZ226" s="21"/>
      <c r="EWA226" s="15"/>
      <c r="EWB226" s="15"/>
      <c r="EWC226" s="15"/>
      <c r="EWD226" s="15"/>
      <c r="EWE226" s="15"/>
      <c r="EWF226" s="15"/>
      <c r="EWG226" s="15"/>
      <c r="EWH226" s="15"/>
      <c r="EWI226" s="15"/>
      <c r="EWJ226" s="15"/>
      <c r="EWK226" s="10"/>
      <c r="EWL226" s="10"/>
      <c r="EWM226" s="21"/>
      <c r="EWN226" s="21"/>
      <c r="EWQ226" s="21"/>
      <c r="EWR226" s="15"/>
      <c r="EWS226" s="15"/>
      <c r="EWT226" s="15"/>
      <c r="EWU226" s="15"/>
      <c r="EWV226" s="15"/>
      <c r="EWW226" s="15"/>
      <c r="EWX226" s="15"/>
      <c r="EWY226" s="15"/>
      <c r="EWZ226" s="15"/>
      <c r="EXA226" s="15"/>
      <c r="EXB226" s="10"/>
      <c r="EXC226" s="10"/>
      <c r="EXD226" s="21"/>
      <c r="EXE226" s="21"/>
      <c r="EXH226" s="21"/>
      <c r="EXI226" s="15"/>
      <c r="EXJ226" s="15"/>
      <c r="EXK226" s="15"/>
      <c r="EXL226" s="15"/>
      <c r="EXM226" s="15"/>
      <c r="EXN226" s="15"/>
      <c r="EXO226" s="15"/>
      <c r="EXP226" s="15"/>
      <c r="EXQ226" s="15"/>
      <c r="EXR226" s="15"/>
      <c r="EXS226" s="10"/>
      <c r="EXT226" s="10"/>
      <c r="EXU226" s="21"/>
      <c r="EXV226" s="21"/>
      <c r="EXY226" s="21"/>
      <c r="EXZ226" s="15"/>
      <c r="EYA226" s="15"/>
      <c r="EYB226" s="15"/>
      <c r="EYC226" s="15"/>
      <c r="EYD226" s="15"/>
      <c r="EYE226" s="15"/>
      <c r="EYF226" s="15"/>
      <c r="EYG226" s="15"/>
      <c r="EYH226" s="15"/>
      <c r="EYI226" s="15"/>
      <c r="EYJ226" s="10"/>
      <c r="EYK226" s="10"/>
      <c r="EYL226" s="21"/>
      <c r="EYM226" s="21"/>
      <c r="EYP226" s="21"/>
      <c r="EYQ226" s="15"/>
      <c r="EYR226" s="15"/>
      <c r="EYS226" s="15"/>
      <c r="EYT226" s="15"/>
      <c r="EYU226" s="15"/>
      <c r="EYV226" s="15"/>
      <c r="EYW226" s="15"/>
      <c r="EYX226" s="15"/>
      <c r="EYY226" s="15"/>
      <c r="EYZ226" s="15"/>
      <c r="EZA226" s="10"/>
      <c r="EZB226" s="10"/>
      <c r="EZC226" s="21"/>
      <c r="EZD226" s="21"/>
      <c r="EZG226" s="21"/>
      <c r="EZH226" s="15"/>
      <c r="EZI226" s="15"/>
      <c r="EZJ226" s="15"/>
      <c r="EZK226" s="15"/>
      <c r="EZL226" s="15"/>
      <c r="EZM226" s="15"/>
      <c r="EZN226" s="15"/>
      <c r="EZO226" s="15"/>
      <c r="EZP226" s="15"/>
      <c r="EZQ226" s="15"/>
      <c r="EZR226" s="10"/>
      <c r="EZS226" s="10"/>
      <c r="EZT226" s="21"/>
      <c r="EZU226" s="21"/>
      <c r="EZX226" s="21"/>
      <c r="EZY226" s="15"/>
      <c r="EZZ226" s="15"/>
      <c r="FAA226" s="15"/>
      <c r="FAB226" s="15"/>
      <c r="FAC226" s="15"/>
      <c r="FAD226" s="15"/>
      <c r="FAE226" s="15"/>
      <c r="FAF226" s="15"/>
      <c r="FAG226" s="15"/>
      <c r="FAH226" s="15"/>
      <c r="FAI226" s="10"/>
      <c r="FAJ226" s="10"/>
      <c r="FAK226" s="21"/>
      <c r="FAL226" s="21"/>
      <c r="FAO226" s="21"/>
      <c r="FAP226" s="15"/>
      <c r="FAQ226" s="15"/>
      <c r="FAR226" s="15"/>
      <c r="FAS226" s="15"/>
      <c r="FAT226" s="15"/>
      <c r="FAU226" s="15"/>
      <c r="FAV226" s="15"/>
      <c r="FAW226" s="15"/>
      <c r="FAX226" s="15"/>
      <c r="FAY226" s="15"/>
      <c r="FAZ226" s="10"/>
      <c r="FBA226" s="10"/>
      <c r="FBB226" s="21"/>
      <c r="FBC226" s="21"/>
      <c r="FBF226" s="21"/>
      <c r="FBG226" s="15"/>
      <c r="FBH226" s="15"/>
      <c r="FBI226" s="15"/>
      <c r="FBJ226" s="15"/>
      <c r="FBK226" s="15"/>
      <c r="FBL226" s="15"/>
      <c r="FBM226" s="15"/>
      <c r="FBN226" s="15"/>
      <c r="FBO226" s="15"/>
      <c r="FBP226" s="15"/>
      <c r="FBQ226" s="10"/>
      <c r="FBR226" s="10"/>
      <c r="FBS226" s="21"/>
      <c r="FBT226" s="21"/>
      <c r="FBW226" s="21"/>
      <c r="FBX226" s="15"/>
      <c r="FBY226" s="15"/>
      <c r="FBZ226" s="15"/>
      <c r="FCA226" s="15"/>
      <c r="FCB226" s="15"/>
      <c r="FCC226" s="15"/>
      <c r="FCD226" s="15"/>
      <c r="FCE226" s="15"/>
      <c r="FCF226" s="15"/>
      <c r="FCG226" s="15"/>
      <c r="FCH226" s="10"/>
      <c r="FCI226" s="10"/>
      <c r="FCJ226" s="21"/>
      <c r="FCK226" s="21"/>
      <c r="FCN226" s="21"/>
      <c r="FCO226" s="15"/>
      <c r="FCP226" s="15"/>
      <c r="FCQ226" s="15"/>
      <c r="FCR226" s="15"/>
      <c r="FCS226" s="15"/>
      <c r="FCT226" s="15"/>
      <c r="FCU226" s="15"/>
      <c r="FCV226" s="15"/>
      <c r="FCW226" s="15"/>
      <c r="FCX226" s="15"/>
      <c r="FCY226" s="10"/>
      <c r="FCZ226" s="10"/>
      <c r="FDA226" s="21"/>
      <c r="FDB226" s="21"/>
      <c r="FDE226" s="21"/>
      <c r="FDF226" s="15"/>
      <c r="FDG226" s="15"/>
      <c r="FDH226" s="15"/>
      <c r="FDI226" s="15"/>
      <c r="FDJ226" s="15"/>
      <c r="FDK226" s="15"/>
      <c r="FDL226" s="15"/>
      <c r="FDM226" s="15"/>
      <c r="FDN226" s="15"/>
      <c r="FDO226" s="15"/>
      <c r="FDP226" s="10"/>
      <c r="FDQ226" s="10"/>
      <c r="FDR226" s="21"/>
      <c r="FDS226" s="21"/>
      <c r="FDV226" s="21"/>
      <c r="FDW226" s="15"/>
      <c r="FDX226" s="15"/>
      <c r="FDY226" s="15"/>
      <c r="FDZ226" s="15"/>
      <c r="FEA226" s="15"/>
      <c r="FEB226" s="15"/>
      <c r="FEC226" s="15"/>
      <c r="FED226" s="15"/>
      <c r="FEE226" s="15"/>
      <c r="FEF226" s="15"/>
      <c r="FEG226" s="10"/>
      <c r="FEH226" s="10"/>
      <c r="FEI226" s="21"/>
      <c r="FEJ226" s="21"/>
      <c r="FEM226" s="21"/>
      <c r="FEN226" s="15"/>
      <c r="FEO226" s="15"/>
      <c r="FEP226" s="15"/>
      <c r="FEQ226" s="15"/>
      <c r="FER226" s="15"/>
      <c r="FES226" s="15"/>
      <c r="FET226" s="15"/>
      <c r="FEU226" s="15"/>
      <c r="FEV226" s="15"/>
      <c r="FEW226" s="15"/>
      <c r="FEX226" s="10"/>
      <c r="FEY226" s="10"/>
      <c r="FEZ226" s="21"/>
      <c r="FFA226" s="21"/>
      <c r="FFD226" s="21"/>
      <c r="FFE226" s="15"/>
      <c r="FFF226" s="15"/>
      <c r="FFG226" s="15"/>
      <c r="FFH226" s="15"/>
      <c r="FFI226" s="15"/>
      <c r="FFJ226" s="15"/>
      <c r="FFK226" s="15"/>
      <c r="FFL226" s="15"/>
      <c r="FFM226" s="15"/>
      <c r="FFN226" s="15"/>
      <c r="FFO226" s="10"/>
      <c r="FFP226" s="10"/>
      <c r="FFQ226" s="21"/>
      <c r="FFR226" s="21"/>
      <c r="FFU226" s="21"/>
      <c r="FFV226" s="15"/>
      <c r="FFW226" s="15"/>
      <c r="FFX226" s="15"/>
      <c r="FFY226" s="15"/>
      <c r="FFZ226" s="15"/>
      <c r="FGA226" s="15"/>
      <c r="FGB226" s="15"/>
      <c r="FGC226" s="15"/>
      <c r="FGD226" s="15"/>
      <c r="FGE226" s="15"/>
      <c r="FGF226" s="10"/>
      <c r="FGG226" s="10"/>
      <c r="FGH226" s="21"/>
      <c r="FGI226" s="21"/>
      <c r="FGL226" s="21"/>
      <c r="FGM226" s="15"/>
      <c r="FGN226" s="15"/>
      <c r="FGO226" s="15"/>
      <c r="FGP226" s="15"/>
      <c r="FGQ226" s="15"/>
      <c r="FGR226" s="15"/>
      <c r="FGS226" s="15"/>
      <c r="FGT226" s="15"/>
      <c r="FGU226" s="15"/>
      <c r="FGV226" s="15"/>
      <c r="FGW226" s="10"/>
      <c r="FGX226" s="10"/>
      <c r="FGY226" s="21"/>
      <c r="FGZ226" s="21"/>
      <c r="FHC226" s="21"/>
      <c r="FHD226" s="15"/>
      <c r="FHE226" s="15"/>
      <c r="FHF226" s="15"/>
      <c r="FHG226" s="15"/>
      <c r="FHH226" s="15"/>
      <c r="FHI226" s="15"/>
      <c r="FHJ226" s="15"/>
      <c r="FHK226" s="15"/>
      <c r="FHL226" s="15"/>
      <c r="FHM226" s="15"/>
      <c r="FHN226" s="10"/>
      <c r="FHO226" s="10"/>
      <c r="FHP226" s="21"/>
      <c r="FHQ226" s="21"/>
      <c r="FHT226" s="21"/>
      <c r="FHU226" s="15"/>
      <c r="FHV226" s="15"/>
      <c r="FHW226" s="15"/>
      <c r="FHX226" s="15"/>
      <c r="FHY226" s="15"/>
      <c r="FHZ226" s="15"/>
      <c r="FIA226" s="15"/>
      <c r="FIB226" s="15"/>
      <c r="FIC226" s="15"/>
      <c r="FID226" s="15"/>
      <c r="FIE226" s="10"/>
      <c r="FIF226" s="10"/>
      <c r="FIG226" s="21"/>
      <c r="FIH226" s="21"/>
      <c r="FIK226" s="21"/>
      <c r="FIL226" s="15"/>
      <c r="FIM226" s="15"/>
      <c r="FIN226" s="15"/>
      <c r="FIO226" s="15"/>
      <c r="FIP226" s="15"/>
      <c r="FIQ226" s="15"/>
      <c r="FIR226" s="15"/>
      <c r="FIS226" s="15"/>
      <c r="FIT226" s="15"/>
      <c r="FIU226" s="15"/>
      <c r="FIV226" s="10"/>
      <c r="FIW226" s="10"/>
      <c r="FIX226" s="21"/>
      <c r="FIY226" s="21"/>
      <c r="FJB226" s="21"/>
      <c r="FJC226" s="15"/>
      <c r="FJD226" s="15"/>
      <c r="FJE226" s="15"/>
      <c r="FJF226" s="15"/>
      <c r="FJG226" s="15"/>
      <c r="FJH226" s="15"/>
      <c r="FJI226" s="15"/>
      <c r="FJJ226" s="15"/>
      <c r="FJK226" s="15"/>
      <c r="FJL226" s="15"/>
      <c r="FJM226" s="10"/>
      <c r="FJN226" s="10"/>
      <c r="FJO226" s="21"/>
      <c r="FJP226" s="21"/>
      <c r="FJS226" s="21"/>
      <c r="FJT226" s="15"/>
      <c r="FJU226" s="15"/>
      <c r="FJV226" s="15"/>
      <c r="FJW226" s="15"/>
      <c r="FJX226" s="15"/>
      <c r="FJY226" s="15"/>
      <c r="FJZ226" s="15"/>
      <c r="FKA226" s="15"/>
      <c r="FKB226" s="15"/>
      <c r="FKC226" s="15"/>
      <c r="FKD226" s="10"/>
      <c r="FKE226" s="10"/>
      <c r="FKF226" s="21"/>
      <c r="FKG226" s="21"/>
      <c r="FKJ226" s="21"/>
      <c r="FKK226" s="15"/>
      <c r="FKL226" s="15"/>
      <c r="FKM226" s="15"/>
      <c r="FKN226" s="15"/>
      <c r="FKO226" s="15"/>
      <c r="FKP226" s="15"/>
      <c r="FKQ226" s="15"/>
      <c r="FKR226" s="15"/>
      <c r="FKS226" s="15"/>
      <c r="FKT226" s="15"/>
      <c r="FKU226" s="10"/>
      <c r="FKV226" s="10"/>
      <c r="FKW226" s="21"/>
      <c r="FKX226" s="21"/>
      <c r="FLA226" s="21"/>
      <c r="FLB226" s="15"/>
      <c r="FLC226" s="15"/>
      <c r="FLD226" s="15"/>
      <c r="FLE226" s="15"/>
      <c r="FLF226" s="15"/>
      <c r="FLG226" s="15"/>
      <c r="FLH226" s="15"/>
      <c r="FLI226" s="15"/>
      <c r="FLJ226" s="15"/>
      <c r="FLK226" s="15"/>
      <c r="FLL226" s="10"/>
      <c r="FLM226" s="10"/>
      <c r="FLN226" s="21"/>
      <c r="FLO226" s="21"/>
      <c r="FLR226" s="21"/>
      <c r="FLS226" s="15"/>
      <c r="FLT226" s="15"/>
      <c r="FLU226" s="15"/>
      <c r="FLV226" s="15"/>
      <c r="FLW226" s="15"/>
      <c r="FLX226" s="15"/>
      <c r="FLY226" s="15"/>
      <c r="FLZ226" s="15"/>
      <c r="FMA226" s="15"/>
      <c r="FMB226" s="15"/>
      <c r="FMC226" s="10"/>
      <c r="FMD226" s="10"/>
      <c r="FME226" s="21"/>
      <c r="FMF226" s="21"/>
      <c r="FMI226" s="21"/>
      <c r="FMJ226" s="15"/>
      <c r="FMK226" s="15"/>
      <c r="FML226" s="15"/>
      <c r="FMM226" s="15"/>
      <c r="FMN226" s="15"/>
      <c r="FMO226" s="15"/>
      <c r="FMP226" s="15"/>
      <c r="FMQ226" s="15"/>
      <c r="FMR226" s="15"/>
      <c r="FMS226" s="15"/>
      <c r="FMT226" s="10"/>
      <c r="FMU226" s="10"/>
      <c r="FMV226" s="21"/>
      <c r="FMW226" s="21"/>
      <c r="FMZ226" s="21"/>
      <c r="FNA226" s="15"/>
      <c r="FNB226" s="15"/>
      <c r="FNC226" s="15"/>
      <c r="FND226" s="15"/>
      <c r="FNE226" s="15"/>
      <c r="FNF226" s="15"/>
      <c r="FNG226" s="15"/>
      <c r="FNH226" s="15"/>
      <c r="FNI226" s="15"/>
      <c r="FNJ226" s="15"/>
      <c r="FNK226" s="10"/>
      <c r="FNL226" s="10"/>
      <c r="FNM226" s="21"/>
      <c r="FNN226" s="21"/>
      <c r="FNQ226" s="21"/>
      <c r="FNR226" s="15"/>
      <c r="FNS226" s="15"/>
      <c r="FNT226" s="15"/>
      <c r="FNU226" s="15"/>
      <c r="FNV226" s="15"/>
      <c r="FNW226" s="15"/>
      <c r="FNX226" s="15"/>
      <c r="FNY226" s="15"/>
      <c r="FNZ226" s="15"/>
      <c r="FOA226" s="15"/>
      <c r="FOB226" s="10"/>
      <c r="FOC226" s="10"/>
      <c r="FOD226" s="21"/>
      <c r="FOE226" s="21"/>
      <c r="FOH226" s="21"/>
      <c r="FOI226" s="15"/>
      <c r="FOJ226" s="15"/>
      <c r="FOK226" s="15"/>
      <c r="FOL226" s="15"/>
      <c r="FOM226" s="15"/>
      <c r="FON226" s="15"/>
      <c r="FOO226" s="15"/>
      <c r="FOP226" s="15"/>
      <c r="FOQ226" s="15"/>
      <c r="FOR226" s="15"/>
      <c r="FOS226" s="10"/>
      <c r="FOT226" s="10"/>
      <c r="FOU226" s="21"/>
      <c r="FOV226" s="21"/>
      <c r="FOY226" s="21"/>
      <c r="FOZ226" s="15"/>
      <c r="FPA226" s="15"/>
      <c r="FPB226" s="15"/>
      <c r="FPC226" s="15"/>
      <c r="FPD226" s="15"/>
      <c r="FPE226" s="15"/>
      <c r="FPF226" s="15"/>
      <c r="FPG226" s="15"/>
      <c r="FPH226" s="15"/>
      <c r="FPI226" s="15"/>
      <c r="FPJ226" s="10"/>
      <c r="FPK226" s="10"/>
      <c r="FPL226" s="21"/>
      <c r="FPM226" s="21"/>
      <c r="FPP226" s="21"/>
      <c r="FPQ226" s="15"/>
      <c r="FPR226" s="15"/>
      <c r="FPS226" s="15"/>
      <c r="FPT226" s="15"/>
      <c r="FPU226" s="15"/>
      <c r="FPV226" s="15"/>
      <c r="FPW226" s="15"/>
      <c r="FPX226" s="15"/>
      <c r="FPY226" s="15"/>
      <c r="FPZ226" s="15"/>
      <c r="FQA226" s="10"/>
      <c r="FQB226" s="10"/>
      <c r="FQC226" s="21"/>
      <c r="FQD226" s="21"/>
      <c r="FQG226" s="21"/>
      <c r="FQH226" s="15"/>
      <c r="FQI226" s="15"/>
      <c r="FQJ226" s="15"/>
      <c r="FQK226" s="15"/>
      <c r="FQL226" s="15"/>
      <c r="FQM226" s="15"/>
      <c r="FQN226" s="15"/>
      <c r="FQO226" s="15"/>
      <c r="FQP226" s="15"/>
      <c r="FQQ226" s="15"/>
      <c r="FQR226" s="10"/>
      <c r="FQS226" s="10"/>
      <c r="FQT226" s="21"/>
      <c r="FQU226" s="21"/>
      <c r="FQX226" s="21"/>
      <c r="FQY226" s="15"/>
      <c r="FQZ226" s="15"/>
      <c r="FRA226" s="15"/>
      <c r="FRB226" s="15"/>
      <c r="FRC226" s="15"/>
      <c r="FRD226" s="15"/>
      <c r="FRE226" s="15"/>
      <c r="FRF226" s="15"/>
      <c r="FRG226" s="15"/>
      <c r="FRH226" s="15"/>
      <c r="FRI226" s="10"/>
      <c r="FRJ226" s="10"/>
      <c r="FRK226" s="21"/>
      <c r="FRL226" s="21"/>
      <c r="FRO226" s="21"/>
      <c r="FRP226" s="15"/>
      <c r="FRQ226" s="15"/>
      <c r="FRR226" s="15"/>
      <c r="FRS226" s="15"/>
      <c r="FRT226" s="15"/>
      <c r="FRU226" s="15"/>
      <c r="FRV226" s="15"/>
      <c r="FRW226" s="15"/>
      <c r="FRX226" s="15"/>
      <c r="FRY226" s="15"/>
      <c r="FRZ226" s="10"/>
      <c r="FSA226" s="10"/>
      <c r="FSB226" s="21"/>
      <c r="FSC226" s="21"/>
      <c r="FSF226" s="21"/>
      <c r="FSG226" s="15"/>
      <c r="FSH226" s="15"/>
      <c r="FSI226" s="15"/>
      <c r="FSJ226" s="15"/>
      <c r="FSK226" s="15"/>
      <c r="FSL226" s="15"/>
      <c r="FSM226" s="15"/>
      <c r="FSN226" s="15"/>
      <c r="FSO226" s="15"/>
      <c r="FSP226" s="15"/>
      <c r="FSQ226" s="10"/>
      <c r="FSR226" s="10"/>
      <c r="FSS226" s="21"/>
      <c r="FST226" s="21"/>
      <c r="FSW226" s="21"/>
      <c r="FSX226" s="15"/>
      <c r="FSY226" s="15"/>
      <c r="FSZ226" s="15"/>
      <c r="FTA226" s="15"/>
      <c r="FTB226" s="15"/>
      <c r="FTC226" s="15"/>
      <c r="FTD226" s="15"/>
      <c r="FTE226" s="15"/>
      <c r="FTF226" s="15"/>
      <c r="FTG226" s="15"/>
      <c r="FTH226" s="10"/>
      <c r="FTI226" s="10"/>
      <c r="FTJ226" s="21"/>
      <c r="FTK226" s="21"/>
      <c r="FTN226" s="21"/>
      <c r="FTO226" s="15"/>
      <c r="FTP226" s="15"/>
      <c r="FTQ226" s="15"/>
      <c r="FTR226" s="15"/>
      <c r="FTS226" s="15"/>
      <c r="FTT226" s="15"/>
      <c r="FTU226" s="15"/>
      <c r="FTV226" s="15"/>
      <c r="FTW226" s="15"/>
      <c r="FTX226" s="15"/>
      <c r="FTY226" s="10"/>
      <c r="FTZ226" s="10"/>
      <c r="FUA226" s="21"/>
      <c r="FUB226" s="21"/>
      <c r="FUE226" s="21"/>
      <c r="FUF226" s="15"/>
      <c r="FUG226" s="15"/>
      <c r="FUH226" s="15"/>
      <c r="FUI226" s="15"/>
      <c r="FUJ226" s="15"/>
      <c r="FUK226" s="15"/>
      <c r="FUL226" s="15"/>
      <c r="FUM226" s="15"/>
      <c r="FUN226" s="15"/>
      <c r="FUO226" s="15"/>
      <c r="FUP226" s="10"/>
      <c r="FUQ226" s="10"/>
      <c r="FUR226" s="21"/>
      <c r="FUS226" s="21"/>
      <c r="FUV226" s="21"/>
      <c r="FUW226" s="15"/>
      <c r="FUX226" s="15"/>
      <c r="FUY226" s="15"/>
      <c r="FUZ226" s="15"/>
      <c r="FVA226" s="15"/>
      <c r="FVB226" s="15"/>
      <c r="FVC226" s="15"/>
      <c r="FVD226" s="15"/>
      <c r="FVE226" s="15"/>
      <c r="FVF226" s="15"/>
      <c r="FVG226" s="10"/>
      <c r="FVH226" s="10"/>
      <c r="FVI226" s="21"/>
      <c r="FVJ226" s="21"/>
      <c r="FVM226" s="21"/>
      <c r="FVN226" s="15"/>
      <c r="FVO226" s="15"/>
      <c r="FVP226" s="15"/>
      <c r="FVQ226" s="15"/>
      <c r="FVR226" s="15"/>
      <c r="FVS226" s="15"/>
      <c r="FVT226" s="15"/>
      <c r="FVU226" s="15"/>
      <c r="FVV226" s="15"/>
      <c r="FVW226" s="15"/>
      <c r="FVX226" s="10"/>
      <c r="FVY226" s="10"/>
      <c r="FVZ226" s="21"/>
      <c r="FWA226" s="21"/>
      <c r="FWD226" s="21"/>
      <c r="FWE226" s="15"/>
      <c r="FWF226" s="15"/>
      <c r="FWG226" s="15"/>
      <c r="FWH226" s="15"/>
      <c r="FWI226" s="15"/>
      <c r="FWJ226" s="15"/>
      <c r="FWK226" s="15"/>
      <c r="FWL226" s="15"/>
      <c r="FWM226" s="15"/>
      <c r="FWN226" s="15"/>
      <c r="FWO226" s="10"/>
      <c r="FWP226" s="10"/>
      <c r="FWQ226" s="21"/>
      <c r="FWR226" s="21"/>
      <c r="FWU226" s="21"/>
      <c r="FWV226" s="15"/>
      <c r="FWW226" s="15"/>
      <c r="FWX226" s="15"/>
      <c r="FWY226" s="15"/>
      <c r="FWZ226" s="15"/>
      <c r="FXA226" s="15"/>
      <c r="FXB226" s="15"/>
      <c r="FXC226" s="15"/>
      <c r="FXD226" s="15"/>
      <c r="FXE226" s="15"/>
      <c r="FXF226" s="10"/>
      <c r="FXG226" s="10"/>
      <c r="FXH226" s="21"/>
      <c r="FXI226" s="21"/>
      <c r="FXL226" s="21"/>
      <c r="FXM226" s="15"/>
      <c r="FXN226" s="15"/>
      <c r="FXO226" s="15"/>
      <c r="FXP226" s="15"/>
      <c r="FXQ226" s="15"/>
      <c r="FXR226" s="15"/>
      <c r="FXS226" s="15"/>
      <c r="FXT226" s="15"/>
      <c r="FXU226" s="15"/>
      <c r="FXV226" s="15"/>
      <c r="FXW226" s="10"/>
      <c r="FXX226" s="10"/>
      <c r="FXY226" s="21"/>
      <c r="FXZ226" s="21"/>
      <c r="FYC226" s="21"/>
      <c r="FYD226" s="15"/>
      <c r="FYE226" s="15"/>
      <c r="FYF226" s="15"/>
      <c r="FYG226" s="15"/>
      <c r="FYH226" s="15"/>
      <c r="FYI226" s="15"/>
      <c r="FYJ226" s="15"/>
      <c r="FYK226" s="15"/>
      <c r="FYL226" s="15"/>
      <c r="FYM226" s="15"/>
      <c r="FYN226" s="10"/>
      <c r="FYO226" s="10"/>
      <c r="FYP226" s="21"/>
      <c r="FYQ226" s="21"/>
      <c r="FYT226" s="21"/>
      <c r="FYU226" s="15"/>
      <c r="FYV226" s="15"/>
      <c r="FYW226" s="15"/>
      <c r="FYX226" s="15"/>
      <c r="FYY226" s="15"/>
      <c r="FYZ226" s="15"/>
      <c r="FZA226" s="15"/>
      <c r="FZB226" s="15"/>
      <c r="FZC226" s="15"/>
      <c r="FZD226" s="15"/>
      <c r="FZE226" s="10"/>
      <c r="FZF226" s="10"/>
      <c r="FZG226" s="21"/>
      <c r="FZH226" s="21"/>
      <c r="FZK226" s="21"/>
      <c r="FZL226" s="15"/>
      <c r="FZM226" s="15"/>
      <c r="FZN226" s="15"/>
      <c r="FZO226" s="15"/>
      <c r="FZP226" s="15"/>
      <c r="FZQ226" s="15"/>
      <c r="FZR226" s="15"/>
      <c r="FZS226" s="15"/>
      <c r="FZT226" s="15"/>
      <c r="FZU226" s="15"/>
      <c r="FZV226" s="10"/>
      <c r="FZW226" s="10"/>
      <c r="FZX226" s="21"/>
      <c r="FZY226" s="21"/>
      <c r="GAB226" s="21"/>
      <c r="GAC226" s="15"/>
      <c r="GAD226" s="15"/>
      <c r="GAE226" s="15"/>
      <c r="GAF226" s="15"/>
      <c r="GAG226" s="15"/>
      <c r="GAH226" s="15"/>
      <c r="GAI226" s="15"/>
      <c r="GAJ226" s="15"/>
      <c r="GAK226" s="15"/>
      <c r="GAL226" s="15"/>
      <c r="GAM226" s="10"/>
      <c r="GAN226" s="10"/>
      <c r="GAO226" s="21"/>
      <c r="GAP226" s="21"/>
      <c r="GAS226" s="21"/>
      <c r="GAT226" s="15"/>
      <c r="GAU226" s="15"/>
      <c r="GAV226" s="15"/>
      <c r="GAW226" s="15"/>
      <c r="GAX226" s="15"/>
      <c r="GAY226" s="15"/>
      <c r="GAZ226" s="15"/>
      <c r="GBA226" s="15"/>
      <c r="GBB226" s="15"/>
      <c r="GBC226" s="15"/>
      <c r="GBD226" s="10"/>
      <c r="GBE226" s="10"/>
      <c r="GBF226" s="21"/>
      <c r="GBG226" s="21"/>
      <c r="GBJ226" s="21"/>
      <c r="GBK226" s="15"/>
      <c r="GBL226" s="15"/>
      <c r="GBM226" s="15"/>
      <c r="GBN226" s="15"/>
      <c r="GBO226" s="15"/>
      <c r="GBP226" s="15"/>
      <c r="GBQ226" s="15"/>
      <c r="GBR226" s="15"/>
      <c r="GBS226" s="15"/>
      <c r="GBT226" s="15"/>
      <c r="GBU226" s="10"/>
      <c r="GBV226" s="10"/>
      <c r="GBW226" s="21"/>
      <c r="GBX226" s="21"/>
      <c r="GCA226" s="21"/>
      <c r="GCB226" s="15"/>
      <c r="GCC226" s="15"/>
      <c r="GCD226" s="15"/>
      <c r="GCE226" s="15"/>
      <c r="GCF226" s="15"/>
      <c r="GCG226" s="15"/>
      <c r="GCH226" s="15"/>
      <c r="GCI226" s="15"/>
      <c r="GCJ226" s="15"/>
      <c r="GCK226" s="15"/>
      <c r="GCL226" s="10"/>
      <c r="GCM226" s="10"/>
      <c r="GCN226" s="21"/>
      <c r="GCO226" s="21"/>
      <c r="GCR226" s="21"/>
      <c r="GCS226" s="15"/>
      <c r="GCT226" s="15"/>
      <c r="GCU226" s="15"/>
      <c r="GCV226" s="15"/>
      <c r="GCW226" s="15"/>
      <c r="GCX226" s="15"/>
      <c r="GCY226" s="15"/>
      <c r="GCZ226" s="15"/>
      <c r="GDA226" s="15"/>
      <c r="GDB226" s="15"/>
      <c r="GDC226" s="10"/>
      <c r="GDD226" s="10"/>
      <c r="GDE226" s="21"/>
      <c r="GDF226" s="21"/>
      <c r="GDI226" s="21"/>
      <c r="GDJ226" s="15"/>
      <c r="GDK226" s="15"/>
      <c r="GDL226" s="15"/>
      <c r="GDM226" s="15"/>
      <c r="GDN226" s="15"/>
      <c r="GDO226" s="15"/>
      <c r="GDP226" s="15"/>
      <c r="GDQ226" s="15"/>
      <c r="GDR226" s="15"/>
      <c r="GDS226" s="15"/>
      <c r="GDT226" s="10"/>
      <c r="GDU226" s="10"/>
      <c r="GDV226" s="21"/>
      <c r="GDW226" s="21"/>
      <c r="GDZ226" s="21"/>
      <c r="GEA226" s="15"/>
      <c r="GEB226" s="15"/>
      <c r="GEC226" s="15"/>
      <c r="GED226" s="15"/>
      <c r="GEE226" s="15"/>
      <c r="GEF226" s="15"/>
      <c r="GEG226" s="15"/>
      <c r="GEH226" s="15"/>
      <c r="GEI226" s="15"/>
      <c r="GEJ226" s="15"/>
      <c r="GEK226" s="10"/>
      <c r="GEL226" s="10"/>
      <c r="GEM226" s="21"/>
      <c r="GEN226" s="21"/>
      <c r="GEQ226" s="21"/>
      <c r="GER226" s="15"/>
      <c r="GES226" s="15"/>
      <c r="GET226" s="15"/>
      <c r="GEU226" s="15"/>
      <c r="GEV226" s="15"/>
      <c r="GEW226" s="15"/>
      <c r="GEX226" s="15"/>
      <c r="GEY226" s="15"/>
      <c r="GEZ226" s="15"/>
      <c r="GFA226" s="15"/>
      <c r="GFB226" s="10"/>
      <c r="GFC226" s="10"/>
      <c r="GFD226" s="21"/>
      <c r="GFE226" s="21"/>
      <c r="GFH226" s="21"/>
      <c r="GFI226" s="15"/>
      <c r="GFJ226" s="15"/>
      <c r="GFK226" s="15"/>
      <c r="GFL226" s="15"/>
      <c r="GFM226" s="15"/>
      <c r="GFN226" s="15"/>
      <c r="GFO226" s="15"/>
      <c r="GFP226" s="15"/>
      <c r="GFQ226" s="15"/>
      <c r="GFR226" s="15"/>
      <c r="GFS226" s="10"/>
      <c r="GFT226" s="10"/>
      <c r="GFU226" s="21"/>
      <c r="GFV226" s="21"/>
      <c r="GFY226" s="21"/>
      <c r="GFZ226" s="15"/>
      <c r="GGA226" s="15"/>
      <c r="GGB226" s="15"/>
      <c r="GGC226" s="15"/>
      <c r="GGD226" s="15"/>
      <c r="GGE226" s="15"/>
      <c r="GGF226" s="15"/>
      <c r="GGG226" s="15"/>
      <c r="GGH226" s="15"/>
      <c r="GGI226" s="15"/>
      <c r="GGJ226" s="10"/>
      <c r="GGK226" s="10"/>
      <c r="GGL226" s="21"/>
      <c r="GGM226" s="21"/>
      <c r="GGP226" s="21"/>
      <c r="GGQ226" s="15"/>
      <c r="GGR226" s="15"/>
      <c r="GGS226" s="15"/>
      <c r="GGT226" s="15"/>
      <c r="GGU226" s="15"/>
      <c r="GGV226" s="15"/>
      <c r="GGW226" s="15"/>
      <c r="GGX226" s="15"/>
      <c r="GGY226" s="15"/>
      <c r="GGZ226" s="15"/>
      <c r="GHA226" s="10"/>
      <c r="GHB226" s="10"/>
      <c r="GHC226" s="21"/>
      <c r="GHD226" s="21"/>
      <c r="GHG226" s="21"/>
      <c r="GHH226" s="15"/>
      <c r="GHI226" s="15"/>
      <c r="GHJ226" s="15"/>
      <c r="GHK226" s="15"/>
      <c r="GHL226" s="15"/>
      <c r="GHM226" s="15"/>
      <c r="GHN226" s="15"/>
      <c r="GHO226" s="15"/>
      <c r="GHP226" s="15"/>
      <c r="GHQ226" s="15"/>
      <c r="GHR226" s="10"/>
      <c r="GHS226" s="10"/>
      <c r="GHT226" s="21"/>
      <c r="GHU226" s="21"/>
      <c r="GHX226" s="21"/>
      <c r="GHY226" s="15"/>
      <c r="GHZ226" s="15"/>
      <c r="GIA226" s="15"/>
      <c r="GIB226" s="15"/>
      <c r="GIC226" s="15"/>
      <c r="GID226" s="15"/>
      <c r="GIE226" s="15"/>
      <c r="GIF226" s="15"/>
      <c r="GIG226" s="15"/>
      <c r="GIH226" s="15"/>
      <c r="GII226" s="10"/>
      <c r="GIJ226" s="10"/>
      <c r="GIK226" s="21"/>
      <c r="GIL226" s="21"/>
      <c r="GIO226" s="21"/>
      <c r="GIP226" s="15"/>
      <c r="GIQ226" s="15"/>
      <c r="GIR226" s="15"/>
      <c r="GIS226" s="15"/>
      <c r="GIT226" s="15"/>
      <c r="GIU226" s="15"/>
      <c r="GIV226" s="15"/>
      <c r="GIW226" s="15"/>
      <c r="GIX226" s="15"/>
      <c r="GIY226" s="15"/>
      <c r="GIZ226" s="10"/>
      <c r="GJA226" s="10"/>
      <c r="GJB226" s="21"/>
      <c r="GJC226" s="21"/>
      <c r="GJF226" s="21"/>
      <c r="GJG226" s="15"/>
      <c r="GJH226" s="15"/>
      <c r="GJI226" s="15"/>
      <c r="GJJ226" s="15"/>
      <c r="GJK226" s="15"/>
      <c r="GJL226" s="15"/>
      <c r="GJM226" s="15"/>
      <c r="GJN226" s="15"/>
      <c r="GJO226" s="15"/>
      <c r="GJP226" s="15"/>
      <c r="GJQ226" s="10"/>
      <c r="GJR226" s="10"/>
      <c r="GJS226" s="21"/>
      <c r="GJT226" s="21"/>
      <c r="GJW226" s="21"/>
      <c r="GJX226" s="15"/>
      <c r="GJY226" s="15"/>
      <c r="GJZ226" s="15"/>
      <c r="GKA226" s="15"/>
      <c r="GKB226" s="15"/>
      <c r="GKC226" s="15"/>
      <c r="GKD226" s="15"/>
      <c r="GKE226" s="15"/>
      <c r="GKF226" s="15"/>
      <c r="GKG226" s="15"/>
      <c r="GKH226" s="10"/>
      <c r="GKI226" s="10"/>
      <c r="GKJ226" s="21"/>
      <c r="GKK226" s="21"/>
      <c r="GKN226" s="21"/>
      <c r="GKO226" s="15"/>
      <c r="GKP226" s="15"/>
      <c r="GKQ226" s="15"/>
      <c r="GKR226" s="15"/>
      <c r="GKS226" s="15"/>
      <c r="GKT226" s="15"/>
      <c r="GKU226" s="15"/>
      <c r="GKV226" s="15"/>
      <c r="GKW226" s="15"/>
      <c r="GKX226" s="15"/>
      <c r="GKY226" s="10"/>
      <c r="GKZ226" s="10"/>
      <c r="GLA226" s="21"/>
      <c r="GLB226" s="21"/>
      <c r="GLE226" s="21"/>
      <c r="GLF226" s="15"/>
      <c r="GLG226" s="15"/>
      <c r="GLH226" s="15"/>
      <c r="GLI226" s="15"/>
      <c r="GLJ226" s="15"/>
      <c r="GLK226" s="15"/>
      <c r="GLL226" s="15"/>
      <c r="GLM226" s="15"/>
      <c r="GLN226" s="15"/>
      <c r="GLO226" s="15"/>
      <c r="GLP226" s="10"/>
      <c r="GLQ226" s="10"/>
      <c r="GLR226" s="21"/>
      <c r="GLS226" s="21"/>
      <c r="GLV226" s="21"/>
      <c r="GLW226" s="15"/>
      <c r="GLX226" s="15"/>
      <c r="GLY226" s="15"/>
      <c r="GLZ226" s="15"/>
      <c r="GMA226" s="15"/>
      <c r="GMB226" s="15"/>
      <c r="GMC226" s="15"/>
      <c r="GMD226" s="15"/>
      <c r="GME226" s="15"/>
      <c r="GMF226" s="15"/>
      <c r="GMG226" s="10"/>
      <c r="GMH226" s="10"/>
      <c r="GMI226" s="21"/>
      <c r="GMJ226" s="21"/>
      <c r="GMM226" s="21"/>
      <c r="GMN226" s="15"/>
      <c r="GMO226" s="15"/>
      <c r="GMP226" s="15"/>
      <c r="GMQ226" s="15"/>
      <c r="GMR226" s="15"/>
      <c r="GMS226" s="15"/>
      <c r="GMT226" s="15"/>
      <c r="GMU226" s="15"/>
      <c r="GMV226" s="15"/>
      <c r="GMW226" s="15"/>
      <c r="GMX226" s="10"/>
      <c r="GMY226" s="10"/>
      <c r="GMZ226" s="21"/>
      <c r="GNA226" s="21"/>
      <c r="GND226" s="21"/>
      <c r="GNE226" s="15"/>
      <c r="GNF226" s="15"/>
      <c r="GNG226" s="15"/>
      <c r="GNH226" s="15"/>
      <c r="GNI226" s="15"/>
      <c r="GNJ226" s="15"/>
      <c r="GNK226" s="15"/>
      <c r="GNL226" s="15"/>
      <c r="GNM226" s="15"/>
      <c r="GNN226" s="15"/>
      <c r="GNO226" s="10"/>
      <c r="GNP226" s="10"/>
      <c r="GNQ226" s="21"/>
      <c r="GNR226" s="21"/>
      <c r="GNU226" s="21"/>
      <c r="GNV226" s="15"/>
      <c r="GNW226" s="15"/>
      <c r="GNX226" s="15"/>
      <c r="GNY226" s="15"/>
      <c r="GNZ226" s="15"/>
      <c r="GOA226" s="15"/>
      <c r="GOB226" s="15"/>
      <c r="GOC226" s="15"/>
      <c r="GOD226" s="15"/>
      <c r="GOE226" s="15"/>
      <c r="GOF226" s="10"/>
      <c r="GOG226" s="10"/>
      <c r="GOH226" s="21"/>
      <c r="GOI226" s="21"/>
      <c r="GOL226" s="21"/>
      <c r="GOM226" s="15"/>
      <c r="GON226" s="15"/>
      <c r="GOO226" s="15"/>
      <c r="GOP226" s="15"/>
      <c r="GOQ226" s="15"/>
      <c r="GOR226" s="15"/>
      <c r="GOS226" s="15"/>
      <c r="GOT226" s="15"/>
      <c r="GOU226" s="15"/>
      <c r="GOV226" s="15"/>
      <c r="GOW226" s="10"/>
      <c r="GOX226" s="10"/>
      <c r="GOY226" s="21"/>
      <c r="GOZ226" s="21"/>
      <c r="GPC226" s="21"/>
      <c r="GPD226" s="15"/>
      <c r="GPE226" s="15"/>
      <c r="GPF226" s="15"/>
      <c r="GPG226" s="15"/>
      <c r="GPH226" s="15"/>
      <c r="GPI226" s="15"/>
      <c r="GPJ226" s="15"/>
      <c r="GPK226" s="15"/>
      <c r="GPL226" s="15"/>
      <c r="GPM226" s="15"/>
      <c r="GPN226" s="10"/>
      <c r="GPO226" s="10"/>
      <c r="GPP226" s="21"/>
      <c r="GPQ226" s="21"/>
      <c r="GPT226" s="21"/>
      <c r="GPU226" s="15"/>
      <c r="GPV226" s="15"/>
      <c r="GPW226" s="15"/>
      <c r="GPX226" s="15"/>
      <c r="GPY226" s="15"/>
      <c r="GPZ226" s="15"/>
      <c r="GQA226" s="15"/>
      <c r="GQB226" s="15"/>
      <c r="GQC226" s="15"/>
      <c r="GQD226" s="15"/>
      <c r="GQE226" s="10"/>
      <c r="GQF226" s="10"/>
      <c r="GQG226" s="21"/>
      <c r="GQH226" s="21"/>
      <c r="GQK226" s="21"/>
      <c r="GQL226" s="15"/>
      <c r="GQM226" s="15"/>
      <c r="GQN226" s="15"/>
      <c r="GQO226" s="15"/>
      <c r="GQP226" s="15"/>
      <c r="GQQ226" s="15"/>
      <c r="GQR226" s="15"/>
      <c r="GQS226" s="15"/>
      <c r="GQT226" s="15"/>
      <c r="GQU226" s="15"/>
      <c r="GQV226" s="10"/>
      <c r="GQW226" s="10"/>
      <c r="GQX226" s="21"/>
      <c r="GQY226" s="21"/>
      <c r="GRB226" s="21"/>
      <c r="GRC226" s="15"/>
      <c r="GRD226" s="15"/>
      <c r="GRE226" s="15"/>
      <c r="GRF226" s="15"/>
      <c r="GRG226" s="15"/>
      <c r="GRH226" s="15"/>
      <c r="GRI226" s="15"/>
      <c r="GRJ226" s="15"/>
      <c r="GRK226" s="15"/>
      <c r="GRL226" s="15"/>
      <c r="GRM226" s="10"/>
      <c r="GRN226" s="10"/>
      <c r="GRO226" s="21"/>
      <c r="GRP226" s="21"/>
      <c r="GRS226" s="21"/>
      <c r="GRT226" s="15"/>
      <c r="GRU226" s="15"/>
      <c r="GRV226" s="15"/>
      <c r="GRW226" s="15"/>
      <c r="GRX226" s="15"/>
      <c r="GRY226" s="15"/>
      <c r="GRZ226" s="15"/>
      <c r="GSA226" s="15"/>
      <c r="GSB226" s="15"/>
      <c r="GSC226" s="15"/>
      <c r="GSD226" s="10"/>
      <c r="GSE226" s="10"/>
      <c r="GSF226" s="21"/>
      <c r="GSG226" s="21"/>
      <c r="GSJ226" s="21"/>
      <c r="GSK226" s="15"/>
      <c r="GSL226" s="15"/>
      <c r="GSM226" s="15"/>
      <c r="GSN226" s="15"/>
      <c r="GSO226" s="15"/>
      <c r="GSP226" s="15"/>
      <c r="GSQ226" s="15"/>
      <c r="GSR226" s="15"/>
      <c r="GSS226" s="15"/>
      <c r="GST226" s="15"/>
      <c r="GSU226" s="10"/>
      <c r="GSV226" s="10"/>
      <c r="GSW226" s="21"/>
      <c r="GSX226" s="21"/>
      <c r="GTA226" s="21"/>
      <c r="GTB226" s="15"/>
      <c r="GTC226" s="15"/>
      <c r="GTD226" s="15"/>
      <c r="GTE226" s="15"/>
      <c r="GTF226" s="15"/>
      <c r="GTG226" s="15"/>
      <c r="GTH226" s="15"/>
      <c r="GTI226" s="15"/>
      <c r="GTJ226" s="15"/>
      <c r="GTK226" s="15"/>
      <c r="GTL226" s="10"/>
      <c r="GTM226" s="10"/>
      <c r="GTN226" s="21"/>
      <c r="GTO226" s="21"/>
      <c r="GTR226" s="21"/>
      <c r="GTS226" s="15"/>
      <c r="GTT226" s="15"/>
      <c r="GTU226" s="15"/>
      <c r="GTV226" s="15"/>
      <c r="GTW226" s="15"/>
      <c r="GTX226" s="15"/>
      <c r="GTY226" s="15"/>
      <c r="GTZ226" s="15"/>
      <c r="GUA226" s="15"/>
      <c r="GUB226" s="15"/>
      <c r="GUC226" s="10"/>
      <c r="GUD226" s="10"/>
      <c r="GUE226" s="21"/>
      <c r="GUF226" s="21"/>
      <c r="GUI226" s="21"/>
      <c r="GUJ226" s="15"/>
      <c r="GUK226" s="15"/>
      <c r="GUL226" s="15"/>
      <c r="GUM226" s="15"/>
      <c r="GUN226" s="15"/>
      <c r="GUO226" s="15"/>
      <c r="GUP226" s="15"/>
      <c r="GUQ226" s="15"/>
      <c r="GUR226" s="15"/>
      <c r="GUS226" s="15"/>
      <c r="GUT226" s="10"/>
      <c r="GUU226" s="10"/>
      <c r="GUV226" s="21"/>
      <c r="GUW226" s="21"/>
      <c r="GUZ226" s="21"/>
      <c r="GVA226" s="15"/>
      <c r="GVB226" s="15"/>
      <c r="GVC226" s="15"/>
      <c r="GVD226" s="15"/>
      <c r="GVE226" s="15"/>
      <c r="GVF226" s="15"/>
      <c r="GVG226" s="15"/>
      <c r="GVH226" s="15"/>
      <c r="GVI226" s="15"/>
      <c r="GVJ226" s="15"/>
      <c r="GVK226" s="10"/>
      <c r="GVL226" s="10"/>
      <c r="GVM226" s="21"/>
      <c r="GVN226" s="21"/>
      <c r="GVQ226" s="21"/>
      <c r="GVR226" s="15"/>
      <c r="GVS226" s="15"/>
      <c r="GVT226" s="15"/>
      <c r="GVU226" s="15"/>
      <c r="GVV226" s="15"/>
      <c r="GVW226" s="15"/>
      <c r="GVX226" s="15"/>
      <c r="GVY226" s="15"/>
      <c r="GVZ226" s="15"/>
      <c r="GWA226" s="15"/>
      <c r="GWB226" s="10"/>
      <c r="GWC226" s="10"/>
      <c r="GWD226" s="21"/>
      <c r="GWE226" s="21"/>
      <c r="GWH226" s="21"/>
      <c r="GWI226" s="15"/>
      <c r="GWJ226" s="15"/>
      <c r="GWK226" s="15"/>
      <c r="GWL226" s="15"/>
      <c r="GWM226" s="15"/>
      <c r="GWN226" s="15"/>
      <c r="GWO226" s="15"/>
      <c r="GWP226" s="15"/>
      <c r="GWQ226" s="15"/>
      <c r="GWR226" s="15"/>
      <c r="GWS226" s="10"/>
      <c r="GWT226" s="10"/>
      <c r="GWU226" s="21"/>
      <c r="GWV226" s="21"/>
      <c r="GWY226" s="21"/>
      <c r="GWZ226" s="15"/>
      <c r="GXA226" s="15"/>
      <c r="GXB226" s="15"/>
      <c r="GXC226" s="15"/>
      <c r="GXD226" s="15"/>
      <c r="GXE226" s="15"/>
      <c r="GXF226" s="15"/>
      <c r="GXG226" s="15"/>
      <c r="GXH226" s="15"/>
      <c r="GXI226" s="15"/>
      <c r="GXJ226" s="10"/>
      <c r="GXK226" s="10"/>
      <c r="GXL226" s="21"/>
      <c r="GXM226" s="21"/>
      <c r="GXP226" s="21"/>
      <c r="GXQ226" s="15"/>
      <c r="GXR226" s="15"/>
      <c r="GXS226" s="15"/>
      <c r="GXT226" s="15"/>
      <c r="GXU226" s="15"/>
      <c r="GXV226" s="15"/>
      <c r="GXW226" s="15"/>
      <c r="GXX226" s="15"/>
      <c r="GXY226" s="15"/>
      <c r="GXZ226" s="15"/>
      <c r="GYA226" s="10"/>
      <c r="GYB226" s="10"/>
      <c r="GYC226" s="21"/>
      <c r="GYD226" s="21"/>
      <c r="GYG226" s="21"/>
      <c r="GYH226" s="15"/>
      <c r="GYI226" s="15"/>
      <c r="GYJ226" s="15"/>
      <c r="GYK226" s="15"/>
      <c r="GYL226" s="15"/>
      <c r="GYM226" s="15"/>
      <c r="GYN226" s="15"/>
      <c r="GYO226" s="15"/>
      <c r="GYP226" s="15"/>
      <c r="GYQ226" s="15"/>
      <c r="GYR226" s="10"/>
      <c r="GYS226" s="10"/>
      <c r="GYT226" s="21"/>
      <c r="GYU226" s="21"/>
      <c r="GYX226" s="21"/>
      <c r="GYY226" s="15"/>
      <c r="GYZ226" s="15"/>
      <c r="GZA226" s="15"/>
      <c r="GZB226" s="15"/>
      <c r="GZC226" s="15"/>
      <c r="GZD226" s="15"/>
      <c r="GZE226" s="15"/>
      <c r="GZF226" s="15"/>
      <c r="GZG226" s="15"/>
      <c r="GZH226" s="15"/>
      <c r="GZI226" s="10"/>
      <c r="GZJ226" s="10"/>
      <c r="GZK226" s="21"/>
      <c r="GZL226" s="21"/>
      <c r="GZO226" s="21"/>
      <c r="GZP226" s="15"/>
      <c r="GZQ226" s="15"/>
      <c r="GZR226" s="15"/>
      <c r="GZS226" s="15"/>
      <c r="GZT226" s="15"/>
      <c r="GZU226" s="15"/>
      <c r="GZV226" s="15"/>
      <c r="GZW226" s="15"/>
      <c r="GZX226" s="15"/>
      <c r="GZY226" s="15"/>
      <c r="GZZ226" s="10"/>
      <c r="HAA226" s="10"/>
      <c r="HAB226" s="21"/>
      <c r="HAC226" s="21"/>
      <c r="HAF226" s="21"/>
      <c r="HAG226" s="15"/>
      <c r="HAH226" s="15"/>
      <c r="HAI226" s="15"/>
      <c r="HAJ226" s="15"/>
      <c r="HAK226" s="15"/>
      <c r="HAL226" s="15"/>
      <c r="HAM226" s="15"/>
      <c r="HAN226" s="15"/>
      <c r="HAO226" s="15"/>
      <c r="HAP226" s="15"/>
      <c r="HAQ226" s="10"/>
      <c r="HAR226" s="10"/>
      <c r="HAS226" s="21"/>
      <c r="HAT226" s="21"/>
      <c r="HAW226" s="21"/>
      <c r="HAX226" s="15"/>
      <c r="HAY226" s="15"/>
      <c r="HAZ226" s="15"/>
      <c r="HBA226" s="15"/>
      <c r="HBB226" s="15"/>
      <c r="HBC226" s="15"/>
      <c r="HBD226" s="15"/>
      <c r="HBE226" s="15"/>
      <c r="HBF226" s="15"/>
      <c r="HBG226" s="15"/>
      <c r="HBH226" s="10"/>
      <c r="HBI226" s="10"/>
      <c r="HBJ226" s="21"/>
      <c r="HBK226" s="21"/>
      <c r="HBN226" s="21"/>
      <c r="HBO226" s="15"/>
      <c r="HBP226" s="15"/>
      <c r="HBQ226" s="15"/>
      <c r="HBR226" s="15"/>
      <c r="HBS226" s="15"/>
      <c r="HBT226" s="15"/>
      <c r="HBU226" s="15"/>
      <c r="HBV226" s="15"/>
      <c r="HBW226" s="15"/>
      <c r="HBX226" s="15"/>
      <c r="HBY226" s="10"/>
      <c r="HBZ226" s="10"/>
      <c r="HCA226" s="21"/>
      <c r="HCB226" s="21"/>
      <c r="HCE226" s="21"/>
      <c r="HCF226" s="15"/>
      <c r="HCG226" s="15"/>
      <c r="HCH226" s="15"/>
      <c r="HCI226" s="15"/>
      <c r="HCJ226" s="15"/>
      <c r="HCK226" s="15"/>
      <c r="HCL226" s="15"/>
      <c r="HCM226" s="15"/>
      <c r="HCN226" s="15"/>
      <c r="HCO226" s="15"/>
      <c r="HCP226" s="10"/>
      <c r="HCQ226" s="10"/>
      <c r="HCR226" s="21"/>
      <c r="HCS226" s="21"/>
      <c r="HCV226" s="21"/>
      <c r="HCW226" s="15"/>
      <c r="HCX226" s="15"/>
      <c r="HCY226" s="15"/>
      <c r="HCZ226" s="15"/>
      <c r="HDA226" s="15"/>
      <c r="HDB226" s="15"/>
      <c r="HDC226" s="15"/>
      <c r="HDD226" s="15"/>
      <c r="HDE226" s="15"/>
      <c r="HDF226" s="15"/>
      <c r="HDG226" s="10"/>
      <c r="HDH226" s="10"/>
      <c r="HDI226" s="21"/>
      <c r="HDJ226" s="21"/>
      <c r="HDM226" s="21"/>
      <c r="HDN226" s="15"/>
      <c r="HDO226" s="15"/>
      <c r="HDP226" s="15"/>
      <c r="HDQ226" s="15"/>
      <c r="HDR226" s="15"/>
      <c r="HDS226" s="15"/>
      <c r="HDT226" s="15"/>
      <c r="HDU226" s="15"/>
      <c r="HDV226" s="15"/>
      <c r="HDW226" s="15"/>
      <c r="HDX226" s="10"/>
      <c r="HDY226" s="10"/>
      <c r="HDZ226" s="21"/>
      <c r="HEA226" s="21"/>
      <c r="HED226" s="21"/>
      <c r="HEE226" s="15"/>
      <c r="HEF226" s="15"/>
      <c r="HEG226" s="15"/>
      <c r="HEH226" s="15"/>
      <c r="HEI226" s="15"/>
      <c r="HEJ226" s="15"/>
      <c r="HEK226" s="15"/>
      <c r="HEL226" s="15"/>
      <c r="HEM226" s="15"/>
      <c r="HEN226" s="15"/>
      <c r="HEO226" s="10"/>
      <c r="HEP226" s="10"/>
      <c r="HEQ226" s="21"/>
      <c r="HER226" s="21"/>
      <c r="HEU226" s="21"/>
      <c r="HEV226" s="15"/>
      <c r="HEW226" s="15"/>
      <c r="HEX226" s="15"/>
      <c r="HEY226" s="15"/>
      <c r="HEZ226" s="15"/>
      <c r="HFA226" s="15"/>
      <c r="HFB226" s="15"/>
      <c r="HFC226" s="15"/>
      <c r="HFD226" s="15"/>
      <c r="HFE226" s="15"/>
      <c r="HFF226" s="10"/>
      <c r="HFG226" s="10"/>
      <c r="HFH226" s="21"/>
      <c r="HFI226" s="21"/>
      <c r="HFL226" s="21"/>
      <c r="HFM226" s="15"/>
      <c r="HFN226" s="15"/>
      <c r="HFO226" s="15"/>
      <c r="HFP226" s="15"/>
      <c r="HFQ226" s="15"/>
      <c r="HFR226" s="15"/>
      <c r="HFS226" s="15"/>
      <c r="HFT226" s="15"/>
      <c r="HFU226" s="15"/>
      <c r="HFV226" s="15"/>
      <c r="HFW226" s="10"/>
      <c r="HFX226" s="10"/>
      <c r="HFY226" s="21"/>
      <c r="HFZ226" s="21"/>
      <c r="HGC226" s="21"/>
      <c r="HGD226" s="15"/>
      <c r="HGE226" s="15"/>
      <c r="HGF226" s="15"/>
      <c r="HGG226" s="15"/>
      <c r="HGH226" s="15"/>
      <c r="HGI226" s="15"/>
      <c r="HGJ226" s="15"/>
      <c r="HGK226" s="15"/>
      <c r="HGL226" s="15"/>
      <c r="HGM226" s="15"/>
      <c r="HGN226" s="10"/>
      <c r="HGO226" s="10"/>
      <c r="HGP226" s="21"/>
      <c r="HGQ226" s="21"/>
      <c r="HGT226" s="21"/>
      <c r="HGU226" s="15"/>
      <c r="HGV226" s="15"/>
      <c r="HGW226" s="15"/>
      <c r="HGX226" s="15"/>
      <c r="HGY226" s="15"/>
      <c r="HGZ226" s="15"/>
      <c r="HHA226" s="15"/>
      <c r="HHB226" s="15"/>
      <c r="HHC226" s="15"/>
      <c r="HHD226" s="15"/>
      <c r="HHE226" s="10"/>
      <c r="HHF226" s="10"/>
      <c r="HHG226" s="21"/>
      <c r="HHH226" s="21"/>
      <c r="HHK226" s="21"/>
      <c r="HHL226" s="15"/>
      <c r="HHM226" s="15"/>
      <c r="HHN226" s="15"/>
      <c r="HHO226" s="15"/>
      <c r="HHP226" s="15"/>
      <c r="HHQ226" s="15"/>
      <c r="HHR226" s="15"/>
      <c r="HHS226" s="15"/>
      <c r="HHT226" s="15"/>
      <c r="HHU226" s="15"/>
      <c r="HHV226" s="10"/>
      <c r="HHW226" s="10"/>
      <c r="HHX226" s="21"/>
      <c r="HHY226" s="21"/>
      <c r="HIB226" s="21"/>
      <c r="HIC226" s="15"/>
      <c r="HID226" s="15"/>
      <c r="HIE226" s="15"/>
      <c r="HIF226" s="15"/>
      <c r="HIG226" s="15"/>
      <c r="HIH226" s="15"/>
      <c r="HII226" s="15"/>
      <c r="HIJ226" s="15"/>
      <c r="HIK226" s="15"/>
      <c r="HIL226" s="15"/>
      <c r="HIM226" s="10"/>
      <c r="HIN226" s="10"/>
      <c r="HIO226" s="21"/>
      <c r="HIP226" s="21"/>
      <c r="HIS226" s="21"/>
      <c r="HIT226" s="15"/>
      <c r="HIU226" s="15"/>
      <c r="HIV226" s="15"/>
      <c r="HIW226" s="15"/>
      <c r="HIX226" s="15"/>
      <c r="HIY226" s="15"/>
      <c r="HIZ226" s="15"/>
      <c r="HJA226" s="15"/>
      <c r="HJB226" s="15"/>
      <c r="HJC226" s="15"/>
      <c r="HJD226" s="10"/>
      <c r="HJE226" s="10"/>
      <c r="HJF226" s="21"/>
      <c r="HJG226" s="21"/>
      <c r="HJJ226" s="21"/>
      <c r="HJK226" s="15"/>
      <c r="HJL226" s="15"/>
      <c r="HJM226" s="15"/>
      <c r="HJN226" s="15"/>
      <c r="HJO226" s="15"/>
      <c r="HJP226" s="15"/>
      <c r="HJQ226" s="15"/>
      <c r="HJR226" s="15"/>
      <c r="HJS226" s="15"/>
      <c r="HJT226" s="15"/>
      <c r="HJU226" s="10"/>
      <c r="HJV226" s="10"/>
      <c r="HJW226" s="21"/>
      <c r="HJX226" s="21"/>
      <c r="HKA226" s="21"/>
      <c r="HKB226" s="15"/>
      <c r="HKC226" s="15"/>
      <c r="HKD226" s="15"/>
      <c r="HKE226" s="15"/>
      <c r="HKF226" s="15"/>
      <c r="HKG226" s="15"/>
      <c r="HKH226" s="15"/>
      <c r="HKI226" s="15"/>
      <c r="HKJ226" s="15"/>
      <c r="HKK226" s="15"/>
      <c r="HKL226" s="10"/>
      <c r="HKM226" s="10"/>
      <c r="HKN226" s="21"/>
      <c r="HKO226" s="21"/>
      <c r="HKR226" s="21"/>
      <c r="HKS226" s="15"/>
      <c r="HKT226" s="15"/>
      <c r="HKU226" s="15"/>
      <c r="HKV226" s="15"/>
      <c r="HKW226" s="15"/>
      <c r="HKX226" s="15"/>
      <c r="HKY226" s="15"/>
      <c r="HKZ226" s="15"/>
      <c r="HLA226" s="15"/>
      <c r="HLB226" s="15"/>
      <c r="HLC226" s="10"/>
      <c r="HLD226" s="10"/>
      <c r="HLE226" s="21"/>
      <c r="HLF226" s="21"/>
      <c r="HLI226" s="21"/>
      <c r="HLJ226" s="15"/>
      <c r="HLK226" s="15"/>
      <c r="HLL226" s="15"/>
      <c r="HLM226" s="15"/>
      <c r="HLN226" s="15"/>
      <c r="HLO226" s="15"/>
      <c r="HLP226" s="15"/>
      <c r="HLQ226" s="15"/>
      <c r="HLR226" s="15"/>
      <c r="HLS226" s="15"/>
      <c r="HLT226" s="10"/>
      <c r="HLU226" s="10"/>
      <c r="HLV226" s="21"/>
      <c r="HLW226" s="21"/>
      <c r="HLZ226" s="21"/>
      <c r="HMA226" s="15"/>
      <c r="HMB226" s="15"/>
      <c r="HMC226" s="15"/>
      <c r="HMD226" s="15"/>
      <c r="HME226" s="15"/>
      <c r="HMF226" s="15"/>
      <c r="HMG226" s="15"/>
      <c r="HMH226" s="15"/>
      <c r="HMI226" s="15"/>
      <c r="HMJ226" s="15"/>
      <c r="HMK226" s="10"/>
      <c r="HML226" s="10"/>
      <c r="HMM226" s="21"/>
      <c r="HMN226" s="21"/>
      <c r="HMQ226" s="21"/>
      <c r="HMR226" s="15"/>
      <c r="HMS226" s="15"/>
      <c r="HMT226" s="15"/>
      <c r="HMU226" s="15"/>
      <c r="HMV226" s="15"/>
      <c r="HMW226" s="15"/>
      <c r="HMX226" s="15"/>
      <c r="HMY226" s="15"/>
      <c r="HMZ226" s="15"/>
      <c r="HNA226" s="15"/>
      <c r="HNB226" s="10"/>
      <c r="HNC226" s="10"/>
      <c r="HND226" s="21"/>
      <c r="HNE226" s="21"/>
      <c r="HNH226" s="21"/>
      <c r="HNI226" s="15"/>
      <c r="HNJ226" s="15"/>
      <c r="HNK226" s="15"/>
      <c r="HNL226" s="15"/>
      <c r="HNM226" s="15"/>
      <c r="HNN226" s="15"/>
      <c r="HNO226" s="15"/>
      <c r="HNP226" s="15"/>
      <c r="HNQ226" s="15"/>
      <c r="HNR226" s="15"/>
      <c r="HNS226" s="10"/>
      <c r="HNT226" s="10"/>
      <c r="HNU226" s="21"/>
      <c r="HNV226" s="21"/>
      <c r="HNY226" s="21"/>
      <c r="HNZ226" s="15"/>
      <c r="HOA226" s="15"/>
      <c r="HOB226" s="15"/>
      <c r="HOC226" s="15"/>
      <c r="HOD226" s="15"/>
      <c r="HOE226" s="15"/>
      <c r="HOF226" s="15"/>
      <c r="HOG226" s="15"/>
      <c r="HOH226" s="15"/>
      <c r="HOI226" s="15"/>
      <c r="HOJ226" s="10"/>
      <c r="HOK226" s="10"/>
      <c r="HOL226" s="21"/>
      <c r="HOM226" s="21"/>
      <c r="HOP226" s="21"/>
      <c r="HOQ226" s="15"/>
      <c r="HOR226" s="15"/>
      <c r="HOS226" s="15"/>
      <c r="HOT226" s="15"/>
      <c r="HOU226" s="15"/>
      <c r="HOV226" s="15"/>
      <c r="HOW226" s="15"/>
      <c r="HOX226" s="15"/>
      <c r="HOY226" s="15"/>
      <c r="HOZ226" s="15"/>
      <c r="HPA226" s="10"/>
      <c r="HPB226" s="10"/>
      <c r="HPC226" s="21"/>
      <c r="HPD226" s="21"/>
      <c r="HPG226" s="21"/>
      <c r="HPH226" s="15"/>
      <c r="HPI226" s="15"/>
      <c r="HPJ226" s="15"/>
      <c r="HPK226" s="15"/>
      <c r="HPL226" s="15"/>
      <c r="HPM226" s="15"/>
      <c r="HPN226" s="15"/>
      <c r="HPO226" s="15"/>
      <c r="HPP226" s="15"/>
      <c r="HPQ226" s="15"/>
      <c r="HPR226" s="10"/>
      <c r="HPS226" s="10"/>
      <c r="HPT226" s="21"/>
      <c r="HPU226" s="21"/>
      <c r="HPX226" s="21"/>
      <c r="HPY226" s="15"/>
      <c r="HPZ226" s="15"/>
      <c r="HQA226" s="15"/>
      <c r="HQB226" s="15"/>
      <c r="HQC226" s="15"/>
      <c r="HQD226" s="15"/>
      <c r="HQE226" s="15"/>
      <c r="HQF226" s="15"/>
      <c r="HQG226" s="15"/>
      <c r="HQH226" s="15"/>
      <c r="HQI226" s="10"/>
      <c r="HQJ226" s="10"/>
      <c r="HQK226" s="21"/>
      <c r="HQL226" s="21"/>
      <c r="HQO226" s="21"/>
      <c r="HQP226" s="15"/>
      <c r="HQQ226" s="15"/>
      <c r="HQR226" s="15"/>
      <c r="HQS226" s="15"/>
      <c r="HQT226" s="15"/>
      <c r="HQU226" s="15"/>
      <c r="HQV226" s="15"/>
      <c r="HQW226" s="15"/>
      <c r="HQX226" s="15"/>
      <c r="HQY226" s="15"/>
      <c r="HQZ226" s="10"/>
      <c r="HRA226" s="10"/>
      <c r="HRB226" s="21"/>
      <c r="HRC226" s="21"/>
      <c r="HRF226" s="21"/>
      <c r="HRG226" s="15"/>
      <c r="HRH226" s="15"/>
      <c r="HRI226" s="15"/>
      <c r="HRJ226" s="15"/>
      <c r="HRK226" s="15"/>
      <c r="HRL226" s="15"/>
      <c r="HRM226" s="15"/>
      <c r="HRN226" s="15"/>
      <c r="HRO226" s="15"/>
      <c r="HRP226" s="15"/>
      <c r="HRQ226" s="10"/>
      <c r="HRR226" s="10"/>
      <c r="HRS226" s="21"/>
      <c r="HRT226" s="21"/>
      <c r="HRW226" s="21"/>
      <c r="HRX226" s="15"/>
      <c r="HRY226" s="15"/>
      <c r="HRZ226" s="15"/>
      <c r="HSA226" s="15"/>
      <c r="HSB226" s="15"/>
      <c r="HSC226" s="15"/>
      <c r="HSD226" s="15"/>
      <c r="HSE226" s="15"/>
      <c r="HSF226" s="15"/>
      <c r="HSG226" s="15"/>
      <c r="HSH226" s="10"/>
      <c r="HSI226" s="10"/>
      <c r="HSJ226" s="21"/>
      <c r="HSK226" s="21"/>
      <c r="HSN226" s="21"/>
      <c r="HSO226" s="15"/>
      <c r="HSP226" s="15"/>
      <c r="HSQ226" s="15"/>
      <c r="HSR226" s="15"/>
      <c r="HSS226" s="15"/>
      <c r="HST226" s="15"/>
      <c r="HSU226" s="15"/>
      <c r="HSV226" s="15"/>
      <c r="HSW226" s="15"/>
      <c r="HSX226" s="15"/>
      <c r="HSY226" s="10"/>
      <c r="HSZ226" s="10"/>
      <c r="HTA226" s="21"/>
      <c r="HTB226" s="21"/>
      <c r="HTE226" s="21"/>
      <c r="HTF226" s="15"/>
      <c r="HTG226" s="15"/>
      <c r="HTH226" s="15"/>
      <c r="HTI226" s="15"/>
      <c r="HTJ226" s="15"/>
      <c r="HTK226" s="15"/>
      <c r="HTL226" s="15"/>
      <c r="HTM226" s="15"/>
      <c r="HTN226" s="15"/>
      <c r="HTO226" s="15"/>
      <c r="HTP226" s="10"/>
      <c r="HTQ226" s="10"/>
      <c r="HTR226" s="21"/>
      <c r="HTS226" s="21"/>
      <c r="HTV226" s="21"/>
      <c r="HTW226" s="15"/>
      <c r="HTX226" s="15"/>
      <c r="HTY226" s="15"/>
      <c r="HTZ226" s="15"/>
      <c r="HUA226" s="15"/>
      <c r="HUB226" s="15"/>
      <c r="HUC226" s="15"/>
      <c r="HUD226" s="15"/>
      <c r="HUE226" s="15"/>
      <c r="HUF226" s="15"/>
      <c r="HUG226" s="10"/>
      <c r="HUH226" s="10"/>
      <c r="HUI226" s="21"/>
      <c r="HUJ226" s="21"/>
      <c r="HUM226" s="21"/>
      <c r="HUN226" s="15"/>
      <c r="HUO226" s="15"/>
      <c r="HUP226" s="15"/>
      <c r="HUQ226" s="15"/>
      <c r="HUR226" s="15"/>
      <c r="HUS226" s="15"/>
      <c r="HUT226" s="15"/>
      <c r="HUU226" s="15"/>
      <c r="HUV226" s="15"/>
      <c r="HUW226" s="15"/>
      <c r="HUX226" s="10"/>
      <c r="HUY226" s="10"/>
      <c r="HUZ226" s="21"/>
      <c r="HVA226" s="21"/>
      <c r="HVD226" s="21"/>
      <c r="HVE226" s="15"/>
      <c r="HVF226" s="15"/>
      <c r="HVG226" s="15"/>
      <c r="HVH226" s="15"/>
      <c r="HVI226" s="15"/>
      <c r="HVJ226" s="15"/>
      <c r="HVK226" s="15"/>
      <c r="HVL226" s="15"/>
      <c r="HVM226" s="15"/>
      <c r="HVN226" s="15"/>
      <c r="HVO226" s="10"/>
      <c r="HVP226" s="10"/>
      <c r="HVQ226" s="21"/>
      <c r="HVR226" s="21"/>
      <c r="HVU226" s="21"/>
      <c r="HVV226" s="15"/>
      <c r="HVW226" s="15"/>
      <c r="HVX226" s="15"/>
      <c r="HVY226" s="15"/>
      <c r="HVZ226" s="15"/>
      <c r="HWA226" s="15"/>
      <c r="HWB226" s="15"/>
      <c r="HWC226" s="15"/>
      <c r="HWD226" s="15"/>
      <c r="HWE226" s="15"/>
      <c r="HWF226" s="10"/>
      <c r="HWG226" s="10"/>
      <c r="HWH226" s="21"/>
      <c r="HWI226" s="21"/>
      <c r="HWL226" s="21"/>
      <c r="HWM226" s="15"/>
      <c r="HWN226" s="15"/>
      <c r="HWO226" s="15"/>
      <c r="HWP226" s="15"/>
      <c r="HWQ226" s="15"/>
      <c r="HWR226" s="15"/>
      <c r="HWS226" s="15"/>
      <c r="HWT226" s="15"/>
      <c r="HWU226" s="15"/>
      <c r="HWV226" s="15"/>
      <c r="HWW226" s="10"/>
      <c r="HWX226" s="10"/>
      <c r="HWY226" s="21"/>
      <c r="HWZ226" s="21"/>
      <c r="HXC226" s="21"/>
      <c r="HXD226" s="15"/>
      <c r="HXE226" s="15"/>
      <c r="HXF226" s="15"/>
      <c r="HXG226" s="15"/>
      <c r="HXH226" s="15"/>
      <c r="HXI226" s="15"/>
      <c r="HXJ226" s="15"/>
      <c r="HXK226" s="15"/>
      <c r="HXL226" s="15"/>
      <c r="HXM226" s="15"/>
      <c r="HXN226" s="10"/>
      <c r="HXO226" s="10"/>
      <c r="HXP226" s="21"/>
      <c r="HXQ226" s="21"/>
      <c r="HXT226" s="21"/>
      <c r="HXU226" s="15"/>
      <c r="HXV226" s="15"/>
      <c r="HXW226" s="15"/>
      <c r="HXX226" s="15"/>
      <c r="HXY226" s="15"/>
      <c r="HXZ226" s="15"/>
      <c r="HYA226" s="15"/>
      <c r="HYB226" s="15"/>
      <c r="HYC226" s="15"/>
      <c r="HYD226" s="15"/>
      <c r="HYE226" s="10"/>
      <c r="HYF226" s="10"/>
      <c r="HYG226" s="21"/>
      <c r="HYH226" s="21"/>
      <c r="HYK226" s="21"/>
      <c r="HYL226" s="15"/>
      <c r="HYM226" s="15"/>
      <c r="HYN226" s="15"/>
      <c r="HYO226" s="15"/>
      <c r="HYP226" s="15"/>
      <c r="HYQ226" s="15"/>
      <c r="HYR226" s="15"/>
      <c r="HYS226" s="15"/>
      <c r="HYT226" s="15"/>
      <c r="HYU226" s="15"/>
      <c r="HYV226" s="10"/>
      <c r="HYW226" s="10"/>
      <c r="HYX226" s="21"/>
      <c r="HYY226" s="21"/>
      <c r="HZB226" s="21"/>
      <c r="HZC226" s="15"/>
      <c r="HZD226" s="15"/>
      <c r="HZE226" s="15"/>
      <c r="HZF226" s="15"/>
      <c r="HZG226" s="15"/>
      <c r="HZH226" s="15"/>
      <c r="HZI226" s="15"/>
      <c r="HZJ226" s="15"/>
      <c r="HZK226" s="15"/>
      <c r="HZL226" s="15"/>
      <c r="HZM226" s="10"/>
      <c r="HZN226" s="10"/>
      <c r="HZO226" s="21"/>
      <c r="HZP226" s="21"/>
      <c r="HZS226" s="21"/>
      <c r="HZT226" s="15"/>
      <c r="HZU226" s="15"/>
      <c r="HZV226" s="15"/>
      <c r="HZW226" s="15"/>
      <c r="HZX226" s="15"/>
      <c r="HZY226" s="15"/>
      <c r="HZZ226" s="15"/>
      <c r="IAA226" s="15"/>
      <c r="IAB226" s="15"/>
      <c r="IAC226" s="15"/>
      <c r="IAD226" s="10"/>
      <c r="IAE226" s="10"/>
      <c r="IAF226" s="21"/>
      <c r="IAG226" s="21"/>
      <c r="IAJ226" s="21"/>
      <c r="IAK226" s="15"/>
      <c r="IAL226" s="15"/>
      <c r="IAM226" s="15"/>
      <c r="IAN226" s="15"/>
      <c r="IAO226" s="15"/>
      <c r="IAP226" s="15"/>
      <c r="IAQ226" s="15"/>
      <c r="IAR226" s="15"/>
      <c r="IAS226" s="15"/>
      <c r="IAT226" s="15"/>
      <c r="IAU226" s="10"/>
      <c r="IAV226" s="10"/>
      <c r="IAW226" s="21"/>
      <c r="IAX226" s="21"/>
      <c r="IBA226" s="21"/>
      <c r="IBB226" s="15"/>
      <c r="IBC226" s="15"/>
      <c r="IBD226" s="15"/>
      <c r="IBE226" s="15"/>
      <c r="IBF226" s="15"/>
      <c r="IBG226" s="15"/>
      <c r="IBH226" s="15"/>
      <c r="IBI226" s="15"/>
      <c r="IBJ226" s="15"/>
      <c r="IBK226" s="15"/>
      <c r="IBL226" s="10"/>
      <c r="IBM226" s="10"/>
      <c r="IBN226" s="21"/>
      <c r="IBO226" s="21"/>
      <c r="IBR226" s="21"/>
      <c r="IBS226" s="15"/>
      <c r="IBT226" s="15"/>
      <c r="IBU226" s="15"/>
      <c r="IBV226" s="15"/>
      <c r="IBW226" s="15"/>
      <c r="IBX226" s="15"/>
      <c r="IBY226" s="15"/>
      <c r="IBZ226" s="15"/>
      <c r="ICA226" s="15"/>
      <c r="ICB226" s="15"/>
      <c r="ICC226" s="10"/>
      <c r="ICD226" s="10"/>
      <c r="ICE226" s="21"/>
      <c r="ICF226" s="21"/>
      <c r="ICI226" s="21"/>
      <c r="ICJ226" s="15"/>
      <c r="ICK226" s="15"/>
      <c r="ICL226" s="15"/>
      <c r="ICM226" s="15"/>
      <c r="ICN226" s="15"/>
      <c r="ICO226" s="15"/>
      <c r="ICP226" s="15"/>
      <c r="ICQ226" s="15"/>
      <c r="ICR226" s="15"/>
      <c r="ICS226" s="15"/>
      <c r="ICT226" s="10"/>
      <c r="ICU226" s="10"/>
      <c r="ICV226" s="21"/>
      <c r="ICW226" s="21"/>
      <c r="ICZ226" s="21"/>
      <c r="IDA226" s="15"/>
      <c r="IDB226" s="15"/>
      <c r="IDC226" s="15"/>
      <c r="IDD226" s="15"/>
      <c r="IDE226" s="15"/>
      <c r="IDF226" s="15"/>
      <c r="IDG226" s="15"/>
      <c r="IDH226" s="15"/>
      <c r="IDI226" s="15"/>
      <c r="IDJ226" s="15"/>
      <c r="IDK226" s="10"/>
      <c r="IDL226" s="10"/>
      <c r="IDM226" s="21"/>
      <c r="IDN226" s="21"/>
      <c r="IDQ226" s="21"/>
      <c r="IDR226" s="15"/>
      <c r="IDS226" s="15"/>
      <c r="IDT226" s="15"/>
      <c r="IDU226" s="15"/>
      <c r="IDV226" s="15"/>
      <c r="IDW226" s="15"/>
      <c r="IDX226" s="15"/>
      <c r="IDY226" s="15"/>
      <c r="IDZ226" s="15"/>
      <c r="IEA226" s="15"/>
      <c r="IEB226" s="10"/>
      <c r="IEC226" s="10"/>
      <c r="IED226" s="21"/>
      <c r="IEE226" s="21"/>
      <c r="IEH226" s="21"/>
      <c r="IEI226" s="15"/>
      <c r="IEJ226" s="15"/>
      <c r="IEK226" s="15"/>
      <c r="IEL226" s="15"/>
      <c r="IEM226" s="15"/>
      <c r="IEN226" s="15"/>
      <c r="IEO226" s="15"/>
      <c r="IEP226" s="15"/>
      <c r="IEQ226" s="15"/>
      <c r="IER226" s="15"/>
      <c r="IES226" s="10"/>
      <c r="IET226" s="10"/>
      <c r="IEU226" s="21"/>
      <c r="IEV226" s="21"/>
      <c r="IEY226" s="21"/>
      <c r="IEZ226" s="15"/>
      <c r="IFA226" s="15"/>
      <c r="IFB226" s="15"/>
      <c r="IFC226" s="15"/>
      <c r="IFD226" s="15"/>
      <c r="IFE226" s="15"/>
      <c r="IFF226" s="15"/>
      <c r="IFG226" s="15"/>
      <c r="IFH226" s="15"/>
      <c r="IFI226" s="15"/>
      <c r="IFJ226" s="10"/>
      <c r="IFK226" s="10"/>
      <c r="IFL226" s="21"/>
      <c r="IFM226" s="21"/>
      <c r="IFP226" s="21"/>
      <c r="IFQ226" s="15"/>
      <c r="IFR226" s="15"/>
      <c r="IFS226" s="15"/>
      <c r="IFT226" s="15"/>
      <c r="IFU226" s="15"/>
      <c r="IFV226" s="15"/>
      <c r="IFW226" s="15"/>
      <c r="IFX226" s="15"/>
      <c r="IFY226" s="15"/>
      <c r="IFZ226" s="15"/>
      <c r="IGA226" s="10"/>
      <c r="IGB226" s="10"/>
      <c r="IGC226" s="21"/>
      <c r="IGD226" s="21"/>
      <c r="IGG226" s="21"/>
      <c r="IGH226" s="15"/>
      <c r="IGI226" s="15"/>
      <c r="IGJ226" s="15"/>
      <c r="IGK226" s="15"/>
      <c r="IGL226" s="15"/>
      <c r="IGM226" s="15"/>
      <c r="IGN226" s="15"/>
      <c r="IGO226" s="15"/>
      <c r="IGP226" s="15"/>
      <c r="IGQ226" s="15"/>
      <c r="IGR226" s="10"/>
      <c r="IGS226" s="10"/>
      <c r="IGT226" s="21"/>
      <c r="IGU226" s="21"/>
      <c r="IGX226" s="21"/>
      <c r="IGY226" s="15"/>
      <c r="IGZ226" s="15"/>
      <c r="IHA226" s="15"/>
      <c r="IHB226" s="15"/>
      <c r="IHC226" s="15"/>
      <c r="IHD226" s="15"/>
      <c r="IHE226" s="15"/>
      <c r="IHF226" s="15"/>
      <c r="IHG226" s="15"/>
      <c r="IHH226" s="15"/>
      <c r="IHI226" s="10"/>
      <c r="IHJ226" s="10"/>
      <c r="IHK226" s="21"/>
      <c r="IHL226" s="21"/>
      <c r="IHO226" s="21"/>
      <c r="IHP226" s="15"/>
      <c r="IHQ226" s="15"/>
      <c r="IHR226" s="15"/>
      <c r="IHS226" s="15"/>
      <c r="IHT226" s="15"/>
      <c r="IHU226" s="15"/>
      <c r="IHV226" s="15"/>
      <c r="IHW226" s="15"/>
      <c r="IHX226" s="15"/>
      <c r="IHY226" s="15"/>
      <c r="IHZ226" s="10"/>
      <c r="IIA226" s="10"/>
      <c r="IIB226" s="21"/>
      <c r="IIC226" s="21"/>
      <c r="IIF226" s="21"/>
      <c r="IIG226" s="15"/>
      <c r="IIH226" s="15"/>
      <c r="III226" s="15"/>
      <c r="IIJ226" s="15"/>
      <c r="IIK226" s="15"/>
      <c r="IIL226" s="15"/>
      <c r="IIM226" s="15"/>
      <c r="IIN226" s="15"/>
      <c r="IIO226" s="15"/>
      <c r="IIP226" s="15"/>
      <c r="IIQ226" s="10"/>
      <c r="IIR226" s="10"/>
      <c r="IIS226" s="21"/>
      <c r="IIT226" s="21"/>
      <c r="IIW226" s="21"/>
      <c r="IIX226" s="15"/>
      <c r="IIY226" s="15"/>
      <c r="IIZ226" s="15"/>
      <c r="IJA226" s="15"/>
      <c r="IJB226" s="15"/>
      <c r="IJC226" s="15"/>
      <c r="IJD226" s="15"/>
      <c r="IJE226" s="15"/>
      <c r="IJF226" s="15"/>
      <c r="IJG226" s="15"/>
      <c r="IJH226" s="10"/>
      <c r="IJI226" s="10"/>
      <c r="IJJ226" s="21"/>
      <c r="IJK226" s="21"/>
      <c r="IJN226" s="21"/>
      <c r="IJO226" s="15"/>
      <c r="IJP226" s="15"/>
      <c r="IJQ226" s="15"/>
      <c r="IJR226" s="15"/>
      <c r="IJS226" s="15"/>
      <c r="IJT226" s="15"/>
      <c r="IJU226" s="15"/>
      <c r="IJV226" s="15"/>
      <c r="IJW226" s="15"/>
      <c r="IJX226" s="15"/>
      <c r="IJY226" s="10"/>
      <c r="IJZ226" s="10"/>
      <c r="IKA226" s="21"/>
      <c r="IKB226" s="21"/>
      <c r="IKE226" s="21"/>
      <c r="IKF226" s="15"/>
      <c r="IKG226" s="15"/>
      <c r="IKH226" s="15"/>
      <c r="IKI226" s="15"/>
      <c r="IKJ226" s="15"/>
      <c r="IKK226" s="15"/>
      <c r="IKL226" s="15"/>
      <c r="IKM226" s="15"/>
      <c r="IKN226" s="15"/>
      <c r="IKO226" s="15"/>
      <c r="IKP226" s="10"/>
      <c r="IKQ226" s="10"/>
      <c r="IKR226" s="21"/>
      <c r="IKS226" s="21"/>
      <c r="IKV226" s="21"/>
      <c r="IKW226" s="15"/>
      <c r="IKX226" s="15"/>
      <c r="IKY226" s="15"/>
      <c r="IKZ226" s="15"/>
      <c r="ILA226" s="15"/>
      <c r="ILB226" s="15"/>
      <c r="ILC226" s="15"/>
      <c r="ILD226" s="15"/>
      <c r="ILE226" s="15"/>
      <c r="ILF226" s="15"/>
      <c r="ILG226" s="10"/>
      <c r="ILH226" s="10"/>
      <c r="ILI226" s="21"/>
      <c r="ILJ226" s="21"/>
      <c r="ILM226" s="21"/>
      <c r="ILN226" s="15"/>
      <c r="ILO226" s="15"/>
      <c r="ILP226" s="15"/>
      <c r="ILQ226" s="15"/>
      <c r="ILR226" s="15"/>
      <c r="ILS226" s="15"/>
      <c r="ILT226" s="15"/>
      <c r="ILU226" s="15"/>
      <c r="ILV226" s="15"/>
      <c r="ILW226" s="15"/>
      <c r="ILX226" s="10"/>
      <c r="ILY226" s="10"/>
      <c r="ILZ226" s="21"/>
      <c r="IMA226" s="21"/>
      <c r="IMD226" s="21"/>
      <c r="IME226" s="15"/>
      <c r="IMF226" s="15"/>
      <c r="IMG226" s="15"/>
      <c r="IMH226" s="15"/>
      <c r="IMI226" s="15"/>
      <c r="IMJ226" s="15"/>
      <c r="IMK226" s="15"/>
      <c r="IML226" s="15"/>
      <c r="IMM226" s="15"/>
      <c r="IMN226" s="15"/>
      <c r="IMO226" s="10"/>
      <c r="IMP226" s="10"/>
      <c r="IMQ226" s="21"/>
      <c r="IMR226" s="21"/>
      <c r="IMU226" s="21"/>
      <c r="IMV226" s="15"/>
      <c r="IMW226" s="15"/>
      <c r="IMX226" s="15"/>
      <c r="IMY226" s="15"/>
      <c r="IMZ226" s="15"/>
      <c r="INA226" s="15"/>
      <c r="INB226" s="15"/>
      <c r="INC226" s="15"/>
      <c r="IND226" s="15"/>
      <c r="INE226" s="15"/>
      <c r="INF226" s="10"/>
      <c r="ING226" s="10"/>
      <c r="INH226" s="21"/>
      <c r="INI226" s="21"/>
      <c r="INL226" s="21"/>
      <c r="INM226" s="15"/>
      <c r="INN226" s="15"/>
      <c r="INO226" s="15"/>
      <c r="INP226" s="15"/>
      <c r="INQ226" s="15"/>
      <c r="INR226" s="15"/>
      <c r="INS226" s="15"/>
      <c r="INT226" s="15"/>
      <c r="INU226" s="15"/>
      <c r="INV226" s="15"/>
      <c r="INW226" s="10"/>
      <c r="INX226" s="10"/>
      <c r="INY226" s="21"/>
      <c r="INZ226" s="21"/>
      <c r="IOC226" s="21"/>
      <c r="IOD226" s="15"/>
      <c r="IOE226" s="15"/>
      <c r="IOF226" s="15"/>
      <c r="IOG226" s="15"/>
      <c r="IOH226" s="15"/>
      <c r="IOI226" s="15"/>
      <c r="IOJ226" s="15"/>
      <c r="IOK226" s="15"/>
      <c r="IOL226" s="15"/>
      <c r="IOM226" s="15"/>
      <c r="ION226" s="10"/>
      <c r="IOO226" s="10"/>
      <c r="IOP226" s="21"/>
      <c r="IOQ226" s="21"/>
      <c r="IOT226" s="21"/>
      <c r="IOU226" s="15"/>
      <c r="IOV226" s="15"/>
      <c r="IOW226" s="15"/>
      <c r="IOX226" s="15"/>
      <c r="IOY226" s="15"/>
      <c r="IOZ226" s="15"/>
      <c r="IPA226" s="15"/>
      <c r="IPB226" s="15"/>
      <c r="IPC226" s="15"/>
      <c r="IPD226" s="15"/>
      <c r="IPE226" s="10"/>
      <c r="IPF226" s="10"/>
      <c r="IPG226" s="21"/>
      <c r="IPH226" s="21"/>
      <c r="IPK226" s="21"/>
      <c r="IPL226" s="15"/>
      <c r="IPM226" s="15"/>
      <c r="IPN226" s="15"/>
      <c r="IPO226" s="15"/>
      <c r="IPP226" s="15"/>
      <c r="IPQ226" s="15"/>
      <c r="IPR226" s="15"/>
      <c r="IPS226" s="15"/>
      <c r="IPT226" s="15"/>
      <c r="IPU226" s="15"/>
      <c r="IPV226" s="10"/>
      <c r="IPW226" s="10"/>
      <c r="IPX226" s="21"/>
      <c r="IPY226" s="21"/>
      <c r="IQB226" s="21"/>
      <c r="IQC226" s="15"/>
      <c r="IQD226" s="15"/>
      <c r="IQE226" s="15"/>
      <c r="IQF226" s="15"/>
      <c r="IQG226" s="15"/>
      <c r="IQH226" s="15"/>
      <c r="IQI226" s="15"/>
      <c r="IQJ226" s="15"/>
      <c r="IQK226" s="15"/>
      <c r="IQL226" s="15"/>
      <c r="IQM226" s="10"/>
      <c r="IQN226" s="10"/>
      <c r="IQO226" s="21"/>
      <c r="IQP226" s="21"/>
      <c r="IQS226" s="21"/>
      <c r="IQT226" s="15"/>
      <c r="IQU226" s="15"/>
      <c r="IQV226" s="15"/>
      <c r="IQW226" s="15"/>
      <c r="IQX226" s="15"/>
      <c r="IQY226" s="15"/>
      <c r="IQZ226" s="15"/>
      <c r="IRA226" s="15"/>
      <c r="IRB226" s="15"/>
      <c r="IRC226" s="15"/>
      <c r="IRD226" s="10"/>
      <c r="IRE226" s="10"/>
      <c r="IRF226" s="21"/>
      <c r="IRG226" s="21"/>
      <c r="IRJ226" s="21"/>
      <c r="IRK226" s="15"/>
      <c r="IRL226" s="15"/>
      <c r="IRM226" s="15"/>
      <c r="IRN226" s="15"/>
      <c r="IRO226" s="15"/>
      <c r="IRP226" s="15"/>
      <c r="IRQ226" s="15"/>
      <c r="IRR226" s="15"/>
      <c r="IRS226" s="15"/>
      <c r="IRT226" s="15"/>
      <c r="IRU226" s="10"/>
      <c r="IRV226" s="10"/>
      <c r="IRW226" s="21"/>
      <c r="IRX226" s="21"/>
      <c r="ISA226" s="21"/>
      <c r="ISB226" s="15"/>
      <c r="ISC226" s="15"/>
      <c r="ISD226" s="15"/>
      <c r="ISE226" s="15"/>
      <c r="ISF226" s="15"/>
      <c r="ISG226" s="15"/>
      <c r="ISH226" s="15"/>
      <c r="ISI226" s="15"/>
      <c r="ISJ226" s="15"/>
      <c r="ISK226" s="15"/>
      <c r="ISL226" s="10"/>
      <c r="ISM226" s="10"/>
      <c r="ISN226" s="21"/>
      <c r="ISO226" s="21"/>
      <c r="ISR226" s="21"/>
      <c r="ISS226" s="15"/>
      <c r="IST226" s="15"/>
      <c r="ISU226" s="15"/>
      <c r="ISV226" s="15"/>
      <c r="ISW226" s="15"/>
      <c r="ISX226" s="15"/>
      <c r="ISY226" s="15"/>
      <c r="ISZ226" s="15"/>
      <c r="ITA226" s="15"/>
      <c r="ITB226" s="15"/>
      <c r="ITC226" s="10"/>
      <c r="ITD226" s="10"/>
      <c r="ITE226" s="21"/>
      <c r="ITF226" s="21"/>
      <c r="ITI226" s="21"/>
      <c r="ITJ226" s="15"/>
      <c r="ITK226" s="15"/>
      <c r="ITL226" s="15"/>
      <c r="ITM226" s="15"/>
      <c r="ITN226" s="15"/>
      <c r="ITO226" s="15"/>
      <c r="ITP226" s="15"/>
      <c r="ITQ226" s="15"/>
      <c r="ITR226" s="15"/>
      <c r="ITS226" s="15"/>
      <c r="ITT226" s="10"/>
      <c r="ITU226" s="10"/>
      <c r="ITV226" s="21"/>
      <c r="ITW226" s="21"/>
      <c r="ITZ226" s="21"/>
      <c r="IUA226" s="15"/>
      <c r="IUB226" s="15"/>
      <c r="IUC226" s="15"/>
      <c r="IUD226" s="15"/>
      <c r="IUE226" s="15"/>
      <c r="IUF226" s="15"/>
      <c r="IUG226" s="15"/>
      <c r="IUH226" s="15"/>
      <c r="IUI226" s="15"/>
      <c r="IUJ226" s="15"/>
      <c r="IUK226" s="10"/>
      <c r="IUL226" s="10"/>
      <c r="IUM226" s="21"/>
      <c r="IUN226" s="21"/>
      <c r="IUQ226" s="21"/>
      <c r="IUR226" s="15"/>
      <c r="IUS226" s="15"/>
      <c r="IUT226" s="15"/>
      <c r="IUU226" s="15"/>
      <c r="IUV226" s="15"/>
      <c r="IUW226" s="15"/>
      <c r="IUX226" s="15"/>
      <c r="IUY226" s="15"/>
      <c r="IUZ226" s="15"/>
      <c r="IVA226" s="15"/>
      <c r="IVB226" s="10"/>
      <c r="IVC226" s="10"/>
      <c r="IVD226" s="21"/>
      <c r="IVE226" s="21"/>
      <c r="IVH226" s="21"/>
      <c r="IVI226" s="15"/>
      <c r="IVJ226" s="15"/>
      <c r="IVK226" s="15"/>
      <c r="IVL226" s="15"/>
      <c r="IVM226" s="15"/>
      <c r="IVN226" s="15"/>
      <c r="IVO226" s="15"/>
      <c r="IVP226" s="15"/>
      <c r="IVQ226" s="15"/>
      <c r="IVR226" s="15"/>
      <c r="IVS226" s="10"/>
      <c r="IVT226" s="10"/>
      <c r="IVU226" s="21"/>
      <c r="IVV226" s="21"/>
      <c r="IVY226" s="21"/>
      <c r="IVZ226" s="15"/>
      <c r="IWA226" s="15"/>
      <c r="IWB226" s="15"/>
      <c r="IWC226" s="15"/>
      <c r="IWD226" s="15"/>
      <c r="IWE226" s="15"/>
      <c r="IWF226" s="15"/>
      <c r="IWG226" s="15"/>
      <c r="IWH226" s="15"/>
      <c r="IWI226" s="15"/>
      <c r="IWJ226" s="10"/>
      <c r="IWK226" s="10"/>
      <c r="IWL226" s="21"/>
      <c r="IWM226" s="21"/>
      <c r="IWP226" s="21"/>
      <c r="IWQ226" s="15"/>
      <c r="IWR226" s="15"/>
      <c r="IWS226" s="15"/>
      <c r="IWT226" s="15"/>
      <c r="IWU226" s="15"/>
      <c r="IWV226" s="15"/>
      <c r="IWW226" s="15"/>
      <c r="IWX226" s="15"/>
      <c r="IWY226" s="15"/>
      <c r="IWZ226" s="15"/>
      <c r="IXA226" s="10"/>
      <c r="IXB226" s="10"/>
      <c r="IXC226" s="21"/>
      <c r="IXD226" s="21"/>
      <c r="IXG226" s="21"/>
      <c r="IXH226" s="15"/>
      <c r="IXI226" s="15"/>
      <c r="IXJ226" s="15"/>
      <c r="IXK226" s="15"/>
      <c r="IXL226" s="15"/>
      <c r="IXM226" s="15"/>
      <c r="IXN226" s="15"/>
      <c r="IXO226" s="15"/>
      <c r="IXP226" s="15"/>
      <c r="IXQ226" s="15"/>
      <c r="IXR226" s="10"/>
      <c r="IXS226" s="10"/>
      <c r="IXT226" s="21"/>
      <c r="IXU226" s="21"/>
      <c r="IXX226" s="21"/>
      <c r="IXY226" s="15"/>
      <c r="IXZ226" s="15"/>
      <c r="IYA226" s="15"/>
      <c r="IYB226" s="15"/>
      <c r="IYC226" s="15"/>
      <c r="IYD226" s="15"/>
      <c r="IYE226" s="15"/>
      <c r="IYF226" s="15"/>
      <c r="IYG226" s="15"/>
      <c r="IYH226" s="15"/>
      <c r="IYI226" s="10"/>
      <c r="IYJ226" s="10"/>
      <c r="IYK226" s="21"/>
      <c r="IYL226" s="21"/>
      <c r="IYO226" s="21"/>
      <c r="IYP226" s="15"/>
      <c r="IYQ226" s="15"/>
      <c r="IYR226" s="15"/>
      <c r="IYS226" s="15"/>
      <c r="IYT226" s="15"/>
      <c r="IYU226" s="15"/>
      <c r="IYV226" s="15"/>
      <c r="IYW226" s="15"/>
      <c r="IYX226" s="15"/>
      <c r="IYY226" s="15"/>
      <c r="IYZ226" s="10"/>
      <c r="IZA226" s="10"/>
      <c r="IZB226" s="21"/>
      <c r="IZC226" s="21"/>
      <c r="IZF226" s="21"/>
      <c r="IZG226" s="15"/>
      <c r="IZH226" s="15"/>
      <c r="IZI226" s="15"/>
      <c r="IZJ226" s="15"/>
      <c r="IZK226" s="15"/>
      <c r="IZL226" s="15"/>
      <c r="IZM226" s="15"/>
      <c r="IZN226" s="15"/>
      <c r="IZO226" s="15"/>
      <c r="IZP226" s="15"/>
      <c r="IZQ226" s="10"/>
      <c r="IZR226" s="10"/>
      <c r="IZS226" s="21"/>
      <c r="IZT226" s="21"/>
      <c r="IZW226" s="21"/>
      <c r="IZX226" s="15"/>
      <c r="IZY226" s="15"/>
      <c r="IZZ226" s="15"/>
      <c r="JAA226" s="15"/>
      <c r="JAB226" s="15"/>
      <c r="JAC226" s="15"/>
      <c r="JAD226" s="15"/>
      <c r="JAE226" s="15"/>
      <c r="JAF226" s="15"/>
      <c r="JAG226" s="15"/>
      <c r="JAH226" s="10"/>
      <c r="JAI226" s="10"/>
      <c r="JAJ226" s="21"/>
      <c r="JAK226" s="21"/>
      <c r="JAN226" s="21"/>
      <c r="JAO226" s="15"/>
      <c r="JAP226" s="15"/>
      <c r="JAQ226" s="15"/>
      <c r="JAR226" s="15"/>
      <c r="JAS226" s="15"/>
      <c r="JAT226" s="15"/>
      <c r="JAU226" s="15"/>
      <c r="JAV226" s="15"/>
      <c r="JAW226" s="15"/>
      <c r="JAX226" s="15"/>
      <c r="JAY226" s="10"/>
      <c r="JAZ226" s="10"/>
      <c r="JBA226" s="21"/>
      <c r="JBB226" s="21"/>
      <c r="JBE226" s="21"/>
      <c r="JBF226" s="15"/>
      <c r="JBG226" s="15"/>
      <c r="JBH226" s="15"/>
      <c r="JBI226" s="15"/>
      <c r="JBJ226" s="15"/>
      <c r="JBK226" s="15"/>
      <c r="JBL226" s="15"/>
      <c r="JBM226" s="15"/>
      <c r="JBN226" s="15"/>
      <c r="JBO226" s="15"/>
      <c r="JBP226" s="10"/>
      <c r="JBQ226" s="10"/>
      <c r="JBR226" s="21"/>
      <c r="JBS226" s="21"/>
      <c r="JBV226" s="21"/>
      <c r="JBW226" s="15"/>
      <c r="JBX226" s="15"/>
      <c r="JBY226" s="15"/>
      <c r="JBZ226" s="15"/>
      <c r="JCA226" s="15"/>
      <c r="JCB226" s="15"/>
      <c r="JCC226" s="15"/>
      <c r="JCD226" s="15"/>
      <c r="JCE226" s="15"/>
      <c r="JCF226" s="15"/>
      <c r="JCG226" s="10"/>
      <c r="JCH226" s="10"/>
      <c r="JCI226" s="21"/>
      <c r="JCJ226" s="21"/>
      <c r="JCM226" s="21"/>
      <c r="JCN226" s="15"/>
      <c r="JCO226" s="15"/>
      <c r="JCP226" s="15"/>
      <c r="JCQ226" s="15"/>
      <c r="JCR226" s="15"/>
      <c r="JCS226" s="15"/>
      <c r="JCT226" s="15"/>
      <c r="JCU226" s="15"/>
      <c r="JCV226" s="15"/>
      <c r="JCW226" s="15"/>
      <c r="JCX226" s="10"/>
      <c r="JCY226" s="10"/>
      <c r="JCZ226" s="21"/>
      <c r="JDA226" s="21"/>
      <c r="JDD226" s="21"/>
      <c r="JDE226" s="15"/>
      <c r="JDF226" s="15"/>
      <c r="JDG226" s="15"/>
      <c r="JDH226" s="15"/>
      <c r="JDI226" s="15"/>
      <c r="JDJ226" s="15"/>
      <c r="JDK226" s="15"/>
      <c r="JDL226" s="15"/>
      <c r="JDM226" s="15"/>
      <c r="JDN226" s="15"/>
      <c r="JDO226" s="10"/>
      <c r="JDP226" s="10"/>
      <c r="JDQ226" s="21"/>
      <c r="JDR226" s="21"/>
      <c r="JDU226" s="21"/>
      <c r="JDV226" s="15"/>
      <c r="JDW226" s="15"/>
      <c r="JDX226" s="15"/>
      <c r="JDY226" s="15"/>
      <c r="JDZ226" s="15"/>
      <c r="JEA226" s="15"/>
      <c r="JEB226" s="15"/>
      <c r="JEC226" s="15"/>
      <c r="JED226" s="15"/>
      <c r="JEE226" s="15"/>
      <c r="JEF226" s="10"/>
      <c r="JEG226" s="10"/>
      <c r="JEH226" s="21"/>
      <c r="JEI226" s="21"/>
      <c r="JEL226" s="21"/>
      <c r="JEM226" s="15"/>
      <c r="JEN226" s="15"/>
      <c r="JEO226" s="15"/>
      <c r="JEP226" s="15"/>
      <c r="JEQ226" s="15"/>
      <c r="JER226" s="15"/>
      <c r="JES226" s="15"/>
      <c r="JET226" s="15"/>
      <c r="JEU226" s="15"/>
      <c r="JEV226" s="15"/>
      <c r="JEW226" s="10"/>
      <c r="JEX226" s="10"/>
      <c r="JEY226" s="21"/>
      <c r="JEZ226" s="21"/>
      <c r="JFC226" s="21"/>
      <c r="JFD226" s="15"/>
      <c r="JFE226" s="15"/>
      <c r="JFF226" s="15"/>
      <c r="JFG226" s="15"/>
      <c r="JFH226" s="15"/>
      <c r="JFI226" s="15"/>
      <c r="JFJ226" s="15"/>
      <c r="JFK226" s="15"/>
      <c r="JFL226" s="15"/>
      <c r="JFM226" s="15"/>
      <c r="JFN226" s="10"/>
      <c r="JFO226" s="10"/>
      <c r="JFP226" s="21"/>
      <c r="JFQ226" s="21"/>
      <c r="JFT226" s="21"/>
      <c r="JFU226" s="15"/>
      <c r="JFV226" s="15"/>
      <c r="JFW226" s="15"/>
      <c r="JFX226" s="15"/>
      <c r="JFY226" s="15"/>
      <c r="JFZ226" s="15"/>
      <c r="JGA226" s="15"/>
      <c r="JGB226" s="15"/>
      <c r="JGC226" s="15"/>
      <c r="JGD226" s="15"/>
      <c r="JGE226" s="10"/>
      <c r="JGF226" s="10"/>
      <c r="JGG226" s="21"/>
      <c r="JGH226" s="21"/>
      <c r="JGK226" s="21"/>
      <c r="JGL226" s="15"/>
      <c r="JGM226" s="15"/>
      <c r="JGN226" s="15"/>
      <c r="JGO226" s="15"/>
      <c r="JGP226" s="15"/>
      <c r="JGQ226" s="15"/>
      <c r="JGR226" s="15"/>
      <c r="JGS226" s="15"/>
      <c r="JGT226" s="15"/>
      <c r="JGU226" s="15"/>
      <c r="JGV226" s="10"/>
      <c r="JGW226" s="10"/>
      <c r="JGX226" s="21"/>
      <c r="JGY226" s="21"/>
      <c r="JHB226" s="21"/>
      <c r="JHC226" s="15"/>
      <c r="JHD226" s="15"/>
      <c r="JHE226" s="15"/>
      <c r="JHF226" s="15"/>
      <c r="JHG226" s="15"/>
      <c r="JHH226" s="15"/>
      <c r="JHI226" s="15"/>
      <c r="JHJ226" s="15"/>
      <c r="JHK226" s="15"/>
      <c r="JHL226" s="15"/>
      <c r="JHM226" s="10"/>
      <c r="JHN226" s="10"/>
      <c r="JHO226" s="21"/>
      <c r="JHP226" s="21"/>
      <c r="JHS226" s="21"/>
      <c r="JHT226" s="15"/>
      <c r="JHU226" s="15"/>
      <c r="JHV226" s="15"/>
      <c r="JHW226" s="15"/>
      <c r="JHX226" s="15"/>
      <c r="JHY226" s="15"/>
      <c r="JHZ226" s="15"/>
      <c r="JIA226" s="15"/>
      <c r="JIB226" s="15"/>
      <c r="JIC226" s="15"/>
      <c r="JID226" s="10"/>
      <c r="JIE226" s="10"/>
      <c r="JIF226" s="21"/>
      <c r="JIG226" s="21"/>
      <c r="JIJ226" s="21"/>
      <c r="JIK226" s="15"/>
      <c r="JIL226" s="15"/>
      <c r="JIM226" s="15"/>
      <c r="JIN226" s="15"/>
      <c r="JIO226" s="15"/>
      <c r="JIP226" s="15"/>
      <c r="JIQ226" s="15"/>
      <c r="JIR226" s="15"/>
      <c r="JIS226" s="15"/>
      <c r="JIT226" s="15"/>
      <c r="JIU226" s="10"/>
      <c r="JIV226" s="10"/>
      <c r="JIW226" s="21"/>
      <c r="JIX226" s="21"/>
      <c r="JJA226" s="21"/>
      <c r="JJB226" s="15"/>
      <c r="JJC226" s="15"/>
      <c r="JJD226" s="15"/>
      <c r="JJE226" s="15"/>
      <c r="JJF226" s="15"/>
      <c r="JJG226" s="15"/>
      <c r="JJH226" s="15"/>
      <c r="JJI226" s="15"/>
      <c r="JJJ226" s="15"/>
      <c r="JJK226" s="15"/>
      <c r="JJL226" s="10"/>
      <c r="JJM226" s="10"/>
      <c r="JJN226" s="21"/>
      <c r="JJO226" s="21"/>
      <c r="JJR226" s="21"/>
      <c r="JJS226" s="15"/>
      <c r="JJT226" s="15"/>
      <c r="JJU226" s="15"/>
      <c r="JJV226" s="15"/>
      <c r="JJW226" s="15"/>
      <c r="JJX226" s="15"/>
      <c r="JJY226" s="15"/>
      <c r="JJZ226" s="15"/>
      <c r="JKA226" s="15"/>
      <c r="JKB226" s="15"/>
      <c r="JKC226" s="10"/>
      <c r="JKD226" s="10"/>
      <c r="JKE226" s="21"/>
      <c r="JKF226" s="21"/>
      <c r="JKI226" s="21"/>
      <c r="JKJ226" s="15"/>
      <c r="JKK226" s="15"/>
      <c r="JKL226" s="15"/>
      <c r="JKM226" s="15"/>
      <c r="JKN226" s="15"/>
      <c r="JKO226" s="15"/>
      <c r="JKP226" s="15"/>
      <c r="JKQ226" s="15"/>
      <c r="JKR226" s="15"/>
      <c r="JKS226" s="15"/>
      <c r="JKT226" s="10"/>
      <c r="JKU226" s="10"/>
      <c r="JKV226" s="21"/>
      <c r="JKW226" s="21"/>
      <c r="JKZ226" s="21"/>
      <c r="JLA226" s="15"/>
      <c r="JLB226" s="15"/>
      <c r="JLC226" s="15"/>
      <c r="JLD226" s="15"/>
      <c r="JLE226" s="15"/>
      <c r="JLF226" s="15"/>
      <c r="JLG226" s="15"/>
      <c r="JLH226" s="15"/>
      <c r="JLI226" s="15"/>
      <c r="JLJ226" s="15"/>
      <c r="JLK226" s="10"/>
      <c r="JLL226" s="10"/>
      <c r="JLM226" s="21"/>
      <c r="JLN226" s="21"/>
      <c r="JLQ226" s="21"/>
      <c r="JLR226" s="15"/>
      <c r="JLS226" s="15"/>
      <c r="JLT226" s="15"/>
      <c r="JLU226" s="15"/>
      <c r="JLV226" s="15"/>
      <c r="JLW226" s="15"/>
      <c r="JLX226" s="15"/>
      <c r="JLY226" s="15"/>
      <c r="JLZ226" s="15"/>
      <c r="JMA226" s="15"/>
      <c r="JMB226" s="10"/>
      <c r="JMC226" s="10"/>
      <c r="JMD226" s="21"/>
      <c r="JME226" s="21"/>
      <c r="JMH226" s="21"/>
      <c r="JMI226" s="15"/>
      <c r="JMJ226" s="15"/>
      <c r="JMK226" s="15"/>
      <c r="JML226" s="15"/>
      <c r="JMM226" s="15"/>
      <c r="JMN226" s="15"/>
      <c r="JMO226" s="15"/>
      <c r="JMP226" s="15"/>
      <c r="JMQ226" s="15"/>
      <c r="JMR226" s="15"/>
      <c r="JMS226" s="10"/>
      <c r="JMT226" s="10"/>
      <c r="JMU226" s="21"/>
      <c r="JMV226" s="21"/>
      <c r="JMY226" s="21"/>
      <c r="JMZ226" s="15"/>
      <c r="JNA226" s="15"/>
      <c r="JNB226" s="15"/>
      <c r="JNC226" s="15"/>
      <c r="JND226" s="15"/>
      <c r="JNE226" s="15"/>
      <c r="JNF226" s="15"/>
      <c r="JNG226" s="15"/>
      <c r="JNH226" s="15"/>
      <c r="JNI226" s="15"/>
      <c r="JNJ226" s="10"/>
      <c r="JNK226" s="10"/>
      <c r="JNL226" s="21"/>
      <c r="JNM226" s="21"/>
      <c r="JNP226" s="21"/>
      <c r="JNQ226" s="15"/>
      <c r="JNR226" s="15"/>
      <c r="JNS226" s="15"/>
      <c r="JNT226" s="15"/>
      <c r="JNU226" s="15"/>
      <c r="JNV226" s="15"/>
      <c r="JNW226" s="15"/>
      <c r="JNX226" s="15"/>
      <c r="JNY226" s="15"/>
      <c r="JNZ226" s="15"/>
      <c r="JOA226" s="10"/>
      <c r="JOB226" s="10"/>
      <c r="JOC226" s="21"/>
      <c r="JOD226" s="21"/>
      <c r="JOG226" s="21"/>
      <c r="JOH226" s="15"/>
      <c r="JOI226" s="15"/>
      <c r="JOJ226" s="15"/>
      <c r="JOK226" s="15"/>
      <c r="JOL226" s="15"/>
      <c r="JOM226" s="15"/>
      <c r="JON226" s="15"/>
      <c r="JOO226" s="15"/>
      <c r="JOP226" s="15"/>
      <c r="JOQ226" s="15"/>
      <c r="JOR226" s="10"/>
      <c r="JOS226" s="10"/>
      <c r="JOT226" s="21"/>
      <c r="JOU226" s="21"/>
      <c r="JOX226" s="21"/>
      <c r="JOY226" s="15"/>
      <c r="JOZ226" s="15"/>
      <c r="JPA226" s="15"/>
      <c r="JPB226" s="15"/>
      <c r="JPC226" s="15"/>
      <c r="JPD226" s="15"/>
      <c r="JPE226" s="15"/>
      <c r="JPF226" s="15"/>
      <c r="JPG226" s="15"/>
      <c r="JPH226" s="15"/>
      <c r="JPI226" s="10"/>
      <c r="JPJ226" s="10"/>
      <c r="JPK226" s="21"/>
      <c r="JPL226" s="21"/>
      <c r="JPO226" s="21"/>
      <c r="JPP226" s="15"/>
      <c r="JPQ226" s="15"/>
      <c r="JPR226" s="15"/>
      <c r="JPS226" s="15"/>
      <c r="JPT226" s="15"/>
      <c r="JPU226" s="15"/>
      <c r="JPV226" s="15"/>
      <c r="JPW226" s="15"/>
      <c r="JPX226" s="15"/>
      <c r="JPY226" s="15"/>
      <c r="JPZ226" s="10"/>
      <c r="JQA226" s="10"/>
      <c r="JQB226" s="21"/>
      <c r="JQC226" s="21"/>
      <c r="JQF226" s="21"/>
      <c r="JQG226" s="15"/>
      <c r="JQH226" s="15"/>
      <c r="JQI226" s="15"/>
      <c r="JQJ226" s="15"/>
      <c r="JQK226" s="15"/>
      <c r="JQL226" s="15"/>
      <c r="JQM226" s="15"/>
      <c r="JQN226" s="15"/>
      <c r="JQO226" s="15"/>
      <c r="JQP226" s="15"/>
      <c r="JQQ226" s="10"/>
      <c r="JQR226" s="10"/>
      <c r="JQS226" s="21"/>
      <c r="JQT226" s="21"/>
      <c r="JQW226" s="21"/>
      <c r="JQX226" s="15"/>
      <c r="JQY226" s="15"/>
      <c r="JQZ226" s="15"/>
      <c r="JRA226" s="15"/>
      <c r="JRB226" s="15"/>
      <c r="JRC226" s="15"/>
      <c r="JRD226" s="15"/>
      <c r="JRE226" s="15"/>
      <c r="JRF226" s="15"/>
      <c r="JRG226" s="15"/>
      <c r="JRH226" s="10"/>
      <c r="JRI226" s="10"/>
      <c r="JRJ226" s="21"/>
      <c r="JRK226" s="21"/>
      <c r="JRN226" s="21"/>
      <c r="JRO226" s="15"/>
      <c r="JRP226" s="15"/>
      <c r="JRQ226" s="15"/>
      <c r="JRR226" s="15"/>
      <c r="JRS226" s="15"/>
      <c r="JRT226" s="15"/>
      <c r="JRU226" s="15"/>
      <c r="JRV226" s="15"/>
      <c r="JRW226" s="15"/>
      <c r="JRX226" s="15"/>
      <c r="JRY226" s="10"/>
      <c r="JRZ226" s="10"/>
      <c r="JSA226" s="21"/>
      <c r="JSB226" s="21"/>
      <c r="JSE226" s="21"/>
      <c r="JSF226" s="15"/>
      <c r="JSG226" s="15"/>
      <c r="JSH226" s="15"/>
      <c r="JSI226" s="15"/>
      <c r="JSJ226" s="15"/>
      <c r="JSK226" s="15"/>
      <c r="JSL226" s="15"/>
      <c r="JSM226" s="15"/>
      <c r="JSN226" s="15"/>
      <c r="JSO226" s="15"/>
      <c r="JSP226" s="10"/>
      <c r="JSQ226" s="10"/>
      <c r="JSR226" s="21"/>
      <c r="JSS226" s="21"/>
      <c r="JSV226" s="21"/>
      <c r="JSW226" s="15"/>
      <c r="JSX226" s="15"/>
      <c r="JSY226" s="15"/>
      <c r="JSZ226" s="15"/>
      <c r="JTA226" s="15"/>
      <c r="JTB226" s="15"/>
      <c r="JTC226" s="15"/>
      <c r="JTD226" s="15"/>
      <c r="JTE226" s="15"/>
      <c r="JTF226" s="15"/>
      <c r="JTG226" s="10"/>
      <c r="JTH226" s="10"/>
      <c r="JTI226" s="21"/>
      <c r="JTJ226" s="21"/>
      <c r="JTM226" s="21"/>
      <c r="JTN226" s="15"/>
      <c r="JTO226" s="15"/>
      <c r="JTP226" s="15"/>
      <c r="JTQ226" s="15"/>
      <c r="JTR226" s="15"/>
      <c r="JTS226" s="15"/>
      <c r="JTT226" s="15"/>
      <c r="JTU226" s="15"/>
      <c r="JTV226" s="15"/>
      <c r="JTW226" s="15"/>
      <c r="JTX226" s="10"/>
      <c r="JTY226" s="10"/>
      <c r="JTZ226" s="21"/>
      <c r="JUA226" s="21"/>
      <c r="JUD226" s="21"/>
      <c r="JUE226" s="15"/>
      <c r="JUF226" s="15"/>
      <c r="JUG226" s="15"/>
      <c r="JUH226" s="15"/>
      <c r="JUI226" s="15"/>
      <c r="JUJ226" s="15"/>
      <c r="JUK226" s="15"/>
      <c r="JUL226" s="15"/>
      <c r="JUM226" s="15"/>
      <c r="JUN226" s="15"/>
      <c r="JUO226" s="10"/>
      <c r="JUP226" s="10"/>
      <c r="JUQ226" s="21"/>
      <c r="JUR226" s="21"/>
      <c r="JUU226" s="21"/>
      <c r="JUV226" s="15"/>
      <c r="JUW226" s="15"/>
      <c r="JUX226" s="15"/>
      <c r="JUY226" s="15"/>
      <c r="JUZ226" s="15"/>
      <c r="JVA226" s="15"/>
      <c r="JVB226" s="15"/>
      <c r="JVC226" s="15"/>
      <c r="JVD226" s="15"/>
      <c r="JVE226" s="15"/>
      <c r="JVF226" s="10"/>
      <c r="JVG226" s="10"/>
      <c r="JVH226" s="21"/>
      <c r="JVI226" s="21"/>
      <c r="JVL226" s="21"/>
      <c r="JVM226" s="15"/>
      <c r="JVN226" s="15"/>
      <c r="JVO226" s="15"/>
      <c r="JVP226" s="15"/>
      <c r="JVQ226" s="15"/>
      <c r="JVR226" s="15"/>
      <c r="JVS226" s="15"/>
      <c r="JVT226" s="15"/>
      <c r="JVU226" s="15"/>
      <c r="JVV226" s="15"/>
      <c r="JVW226" s="10"/>
      <c r="JVX226" s="10"/>
      <c r="JVY226" s="21"/>
      <c r="JVZ226" s="21"/>
      <c r="JWC226" s="21"/>
      <c r="JWD226" s="15"/>
      <c r="JWE226" s="15"/>
      <c r="JWF226" s="15"/>
      <c r="JWG226" s="15"/>
      <c r="JWH226" s="15"/>
      <c r="JWI226" s="15"/>
      <c r="JWJ226" s="15"/>
      <c r="JWK226" s="15"/>
      <c r="JWL226" s="15"/>
      <c r="JWM226" s="15"/>
      <c r="JWN226" s="10"/>
      <c r="JWO226" s="10"/>
      <c r="JWP226" s="21"/>
      <c r="JWQ226" s="21"/>
      <c r="JWT226" s="21"/>
      <c r="JWU226" s="15"/>
      <c r="JWV226" s="15"/>
      <c r="JWW226" s="15"/>
      <c r="JWX226" s="15"/>
      <c r="JWY226" s="15"/>
      <c r="JWZ226" s="15"/>
      <c r="JXA226" s="15"/>
      <c r="JXB226" s="15"/>
      <c r="JXC226" s="15"/>
      <c r="JXD226" s="15"/>
      <c r="JXE226" s="10"/>
      <c r="JXF226" s="10"/>
      <c r="JXG226" s="21"/>
      <c r="JXH226" s="21"/>
      <c r="JXK226" s="21"/>
      <c r="JXL226" s="15"/>
      <c r="JXM226" s="15"/>
      <c r="JXN226" s="15"/>
      <c r="JXO226" s="15"/>
      <c r="JXP226" s="15"/>
      <c r="JXQ226" s="15"/>
      <c r="JXR226" s="15"/>
      <c r="JXS226" s="15"/>
      <c r="JXT226" s="15"/>
      <c r="JXU226" s="15"/>
      <c r="JXV226" s="10"/>
      <c r="JXW226" s="10"/>
      <c r="JXX226" s="21"/>
      <c r="JXY226" s="21"/>
      <c r="JYB226" s="21"/>
      <c r="JYC226" s="15"/>
      <c r="JYD226" s="15"/>
      <c r="JYE226" s="15"/>
      <c r="JYF226" s="15"/>
      <c r="JYG226" s="15"/>
      <c r="JYH226" s="15"/>
      <c r="JYI226" s="15"/>
      <c r="JYJ226" s="15"/>
      <c r="JYK226" s="15"/>
      <c r="JYL226" s="15"/>
      <c r="JYM226" s="10"/>
      <c r="JYN226" s="10"/>
      <c r="JYO226" s="21"/>
      <c r="JYP226" s="21"/>
      <c r="JYS226" s="21"/>
      <c r="JYT226" s="15"/>
      <c r="JYU226" s="15"/>
      <c r="JYV226" s="15"/>
      <c r="JYW226" s="15"/>
      <c r="JYX226" s="15"/>
      <c r="JYY226" s="15"/>
      <c r="JYZ226" s="15"/>
      <c r="JZA226" s="15"/>
      <c r="JZB226" s="15"/>
      <c r="JZC226" s="15"/>
      <c r="JZD226" s="10"/>
      <c r="JZE226" s="10"/>
      <c r="JZF226" s="21"/>
      <c r="JZG226" s="21"/>
      <c r="JZJ226" s="21"/>
      <c r="JZK226" s="15"/>
      <c r="JZL226" s="15"/>
      <c r="JZM226" s="15"/>
      <c r="JZN226" s="15"/>
      <c r="JZO226" s="15"/>
      <c r="JZP226" s="15"/>
      <c r="JZQ226" s="15"/>
      <c r="JZR226" s="15"/>
      <c r="JZS226" s="15"/>
      <c r="JZT226" s="15"/>
      <c r="JZU226" s="10"/>
      <c r="JZV226" s="10"/>
      <c r="JZW226" s="21"/>
      <c r="JZX226" s="21"/>
      <c r="KAA226" s="21"/>
      <c r="KAB226" s="15"/>
      <c r="KAC226" s="15"/>
      <c r="KAD226" s="15"/>
      <c r="KAE226" s="15"/>
      <c r="KAF226" s="15"/>
      <c r="KAG226" s="15"/>
      <c r="KAH226" s="15"/>
      <c r="KAI226" s="15"/>
      <c r="KAJ226" s="15"/>
      <c r="KAK226" s="15"/>
      <c r="KAL226" s="10"/>
      <c r="KAM226" s="10"/>
      <c r="KAN226" s="21"/>
      <c r="KAO226" s="21"/>
      <c r="KAR226" s="21"/>
      <c r="KAS226" s="15"/>
      <c r="KAT226" s="15"/>
      <c r="KAU226" s="15"/>
      <c r="KAV226" s="15"/>
      <c r="KAW226" s="15"/>
      <c r="KAX226" s="15"/>
      <c r="KAY226" s="15"/>
      <c r="KAZ226" s="15"/>
      <c r="KBA226" s="15"/>
      <c r="KBB226" s="15"/>
      <c r="KBC226" s="10"/>
      <c r="KBD226" s="10"/>
      <c r="KBE226" s="21"/>
      <c r="KBF226" s="21"/>
      <c r="KBI226" s="21"/>
      <c r="KBJ226" s="15"/>
      <c r="KBK226" s="15"/>
      <c r="KBL226" s="15"/>
      <c r="KBM226" s="15"/>
      <c r="KBN226" s="15"/>
      <c r="KBO226" s="15"/>
      <c r="KBP226" s="15"/>
      <c r="KBQ226" s="15"/>
      <c r="KBR226" s="15"/>
      <c r="KBS226" s="15"/>
      <c r="KBT226" s="10"/>
      <c r="KBU226" s="10"/>
      <c r="KBV226" s="21"/>
      <c r="KBW226" s="21"/>
      <c r="KBZ226" s="21"/>
      <c r="KCA226" s="15"/>
      <c r="KCB226" s="15"/>
      <c r="KCC226" s="15"/>
      <c r="KCD226" s="15"/>
      <c r="KCE226" s="15"/>
      <c r="KCF226" s="15"/>
      <c r="KCG226" s="15"/>
      <c r="KCH226" s="15"/>
      <c r="KCI226" s="15"/>
      <c r="KCJ226" s="15"/>
      <c r="KCK226" s="10"/>
      <c r="KCL226" s="10"/>
      <c r="KCM226" s="21"/>
      <c r="KCN226" s="21"/>
      <c r="KCQ226" s="21"/>
      <c r="KCR226" s="15"/>
      <c r="KCS226" s="15"/>
      <c r="KCT226" s="15"/>
      <c r="KCU226" s="15"/>
      <c r="KCV226" s="15"/>
      <c r="KCW226" s="15"/>
      <c r="KCX226" s="15"/>
      <c r="KCY226" s="15"/>
      <c r="KCZ226" s="15"/>
      <c r="KDA226" s="15"/>
      <c r="KDB226" s="10"/>
      <c r="KDC226" s="10"/>
      <c r="KDD226" s="21"/>
      <c r="KDE226" s="21"/>
      <c r="KDH226" s="21"/>
      <c r="KDI226" s="15"/>
      <c r="KDJ226" s="15"/>
      <c r="KDK226" s="15"/>
      <c r="KDL226" s="15"/>
      <c r="KDM226" s="15"/>
      <c r="KDN226" s="15"/>
      <c r="KDO226" s="15"/>
      <c r="KDP226" s="15"/>
      <c r="KDQ226" s="15"/>
      <c r="KDR226" s="15"/>
      <c r="KDS226" s="10"/>
      <c r="KDT226" s="10"/>
      <c r="KDU226" s="21"/>
      <c r="KDV226" s="21"/>
      <c r="KDY226" s="21"/>
      <c r="KDZ226" s="15"/>
      <c r="KEA226" s="15"/>
      <c r="KEB226" s="15"/>
      <c r="KEC226" s="15"/>
      <c r="KED226" s="15"/>
      <c r="KEE226" s="15"/>
      <c r="KEF226" s="15"/>
      <c r="KEG226" s="15"/>
      <c r="KEH226" s="15"/>
      <c r="KEI226" s="15"/>
      <c r="KEJ226" s="10"/>
      <c r="KEK226" s="10"/>
      <c r="KEL226" s="21"/>
      <c r="KEM226" s="21"/>
      <c r="KEP226" s="21"/>
      <c r="KEQ226" s="15"/>
      <c r="KER226" s="15"/>
      <c r="KES226" s="15"/>
      <c r="KET226" s="15"/>
      <c r="KEU226" s="15"/>
      <c r="KEV226" s="15"/>
      <c r="KEW226" s="15"/>
      <c r="KEX226" s="15"/>
      <c r="KEY226" s="15"/>
      <c r="KEZ226" s="15"/>
      <c r="KFA226" s="10"/>
      <c r="KFB226" s="10"/>
      <c r="KFC226" s="21"/>
      <c r="KFD226" s="21"/>
      <c r="KFG226" s="21"/>
      <c r="KFH226" s="15"/>
      <c r="KFI226" s="15"/>
      <c r="KFJ226" s="15"/>
      <c r="KFK226" s="15"/>
      <c r="KFL226" s="15"/>
      <c r="KFM226" s="15"/>
      <c r="KFN226" s="15"/>
      <c r="KFO226" s="15"/>
      <c r="KFP226" s="15"/>
      <c r="KFQ226" s="15"/>
      <c r="KFR226" s="10"/>
      <c r="KFS226" s="10"/>
      <c r="KFT226" s="21"/>
      <c r="KFU226" s="21"/>
      <c r="KFX226" s="21"/>
      <c r="KFY226" s="15"/>
      <c r="KFZ226" s="15"/>
      <c r="KGA226" s="15"/>
      <c r="KGB226" s="15"/>
      <c r="KGC226" s="15"/>
      <c r="KGD226" s="15"/>
      <c r="KGE226" s="15"/>
      <c r="KGF226" s="15"/>
      <c r="KGG226" s="15"/>
      <c r="KGH226" s="15"/>
      <c r="KGI226" s="10"/>
      <c r="KGJ226" s="10"/>
      <c r="KGK226" s="21"/>
      <c r="KGL226" s="21"/>
      <c r="KGO226" s="21"/>
      <c r="KGP226" s="15"/>
      <c r="KGQ226" s="15"/>
      <c r="KGR226" s="15"/>
      <c r="KGS226" s="15"/>
      <c r="KGT226" s="15"/>
      <c r="KGU226" s="15"/>
      <c r="KGV226" s="15"/>
      <c r="KGW226" s="15"/>
      <c r="KGX226" s="15"/>
      <c r="KGY226" s="15"/>
      <c r="KGZ226" s="10"/>
      <c r="KHA226" s="10"/>
      <c r="KHB226" s="21"/>
      <c r="KHC226" s="21"/>
      <c r="KHF226" s="21"/>
      <c r="KHG226" s="15"/>
      <c r="KHH226" s="15"/>
      <c r="KHI226" s="15"/>
      <c r="KHJ226" s="15"/>
      <c r="KHK226" s="15"/>
      <c r="KHL226" s="15"/>
      <c r="KHM226" s="15"/>
      <c r="KHN226" s="15"/>
      <c r="KHO226" s="15"/>
      <c r="KHP226" s="15"/>
      <c r="KHQ226" s="10"/>
      <c r="KHR226" s="10"/>
      <c r="KHS226" s="21"/>
      <c r="KHT226" s="21"/>
      <c r="KHW226" s="21"/>
      <c r="KHX226" s="15"/>
      <c r="KHY226" s="15"/>
      <c r="KHZ226" s="15"/>
      <c r="KIA226" s="15"/>
      <c r="KIB226" s="15"/>
      <c r="KIC226" s="15"/>
      <c r="KID226" s="15"/>
      <c r="KIE226" s="15"/>
      <c r="KIF226" s="15"/>
      <c r="KIG226" s="15"/>
      <c r="KIH226" s="10"/>
      <c r="KII226" s="10"/>
      <c r="KIJ226" s="21"/>
      <c r="KIK226" s="21"/>
      <c r="KIN226" s="21"/>
      <c r="KIO226" s="15"/>
      <c r="KIP226" s="15"/>
      <c r="KIQ226" s="15"/>
      <c r="KIR226" s="15"/>
      <c r="KIS226" s="15"/>
      <c r="KIT226" s="15"/>
      <c r="KIU226" s="15"/>
      <c r="KIV226" s="15"/>
      <c r="KIW226" s="15"/>
      <c r="KIX226" s="15"/>
      <c r="KIY226" s="10"/>
      <c r="KIZ226" s="10"/>
      <c r="KJA226" s="21"/>
      <c r="KJB226" s="21"/>
      <c r="KJE226" s="21"/>
      <c r="KJF226" s="15"/>
      <c r="KJG226" s="15"/>
      <c r="KJH226" s="15"/>
      <c r="KJI226" s="15"/>
      <c r="KJJ226" s="15"/>
      <c r="KJK226" s="15"/>
      <c r="KJL226" s="15"/>
      <c r="KJM226" s="15"/>
      <c r="KJN226" s="15"/>
      <c r="KJO226" s="15"/>
      <c r="KJP226" s="10"/>
      <c r="KJQ226" s="10"/>
      <c r="KJR226" s="21"/>
      <c r="KJS226" s="21"/>
      <c r="KJV226" s="21"/>
      <c r="KJW226" s="15"/>
      <c r="KJX226" s="15"/>
      <c r="KJY226" s="15"/>
      <c r="KJZ226" s="15"/>
      <c r="KKA226" s="15"/>
      <c r="KKB226" s="15"/>
      <c r="KKC226" s="15"/>
      <c r="KKD226" s="15"/>
      <c r="KKE226" s="15"/>
      <c r="KKF226" s="15"/>
      <c r="KKG226" s="10"/>
      <c r="KKH226" s="10"/>
      <c r="KKI226" s="21"/>
      <c r="KKJ226" s="21"/>
      <c r="KKM226" s="21"/>
      <c r="KKN226" s="15"/>
      <c r="KKO226" s="15"/>
      <c r="KKP226" s="15"/>
      <c r="KKQ226" s="15"/>
      <c r="KKR226" s="15"/>
      <c r="KKS226" s="15"/>
      <c r="KKT226" s="15"/>
      <c r="KKU226" s="15"/>
      <c r="KKV226" s="15"/>
      <c r="KKW226" s="15"/>
      <c r="KKX226" s="10"/>
      <c r="KKY226" s="10"/>
      <c r="KKZ226" s="21"/>
      <c r="KLA226" s="21"/>
      <c r="KLD226" s="21"/>
      <c r="KLE226" s="15"/>
      <c r="KLF226" s="15"/>
      <c r="KLG226" s="15"/>
      <c r="KLH226" s="15"/>
      <c r="KLI226" s="15"/>
      <c r="KLJ226" s="15"/>
      <c r="KLK226" s="15"/>
      <c r="KLL226" s="15"/>
      <c r="KLM226" s="15"/>
      <c r="KLN226" s="15"/>
      <c r="KLO226" s="10"/>
      <c r="KLP226" s="10"/>
      <c r="KLQ226" s="21"/>
      <c r="KLR226" s="21"/>
      <c r="KLU226" s="21"/>
      <c r="KLV226" s="15"/>
      <c r="KLW226" s="15"/>
      <c r="KLX226" s="15"/>
      <c r="KLY226" s="15"/>
      <c r="KLZ226" s="15"/>
      <c r="KMA226" s="15"/>
      <c r="KMB226" s="15"/>
      <c r="KMC226" s="15"/>
      <c r="KMD226" s="15"/>
      <c r="KME226" s="15"/>
      <c r="KMF226" s="10"/>
      <c r="KMG226" s="10"/>
      <c r="KMH226" s="21"/>
      <c r="KMI226" s="21"/>
      <c r="KML226" s="21"/>
      <c r="KMM226" s="15"/>
      <c r="KMN226" s="15"/>
      <c r="KMO226" s="15"/>
      <c r="KMP226" s="15"/>
      <c r="KMQ226" s="15"/>
      <c r="KMR226" s="15"/>
      <c r="KMS226" s="15"/>
      <c r="KMT226" s="15"/>
      <c r="KMU226" s="15"/>
      <c r="KMV226" s="15"/>
      <c r="KMW226" s="10"/>
      <c r="KMX226" s="10"/>
      <c r="KMY226" s="21"/>
      <c r="KMZ226" s="21"/>
      <c r="KNC226" s="21"/>
      <c r="KND226" s="15"/>
      <c r="KNE226" s="15"/>
      <c r="KNF226" s="15"/>
      <c r="KNG226" s="15"/>
      <c r="KNH226" s="15"/>
      <c r="KNI226" s="15"/>
      <c r="KNJ226" s="15"/>
      <c r="KNK226" s="15"/>
      <c r="KNL226" s="15"/>
      <c r="KNM226" s="15"/>
      <c r="KNN226" s="10"/>
      <c r="KNO226" s="10"/>
      <c r="KNP226" s="21"/>
      <c r="KNQ226" s="21"/>
      <c r="KNT226" s="21"/>
      <c r="KNU226" s="15"/>
      <c r="KNV226" s="15"/>
      <c r="KNW226" s="15"/>
      <c r="KNX226" s="15"/>
      <c r="KNY226" s="15"/>
      <c r="KNZ226" s="15"/>
      <c r="KOA226" s="15"/>
      <c r="KOB226" s="15"/>
      <c r="KOC226" s="15"/>
      <c r="KOD226" s="15"/>
      <c r="KOE226" s="10"/>
      <c r="KOF226" s="10"/>
      <c r="KOG226" s="21"/>
      <c r="KOH226" s="21"/>
      <c r="KOK226" s="21"/>
      <c r="KOL226" s="15"/>
      <c r="KOM226" s="15"/>
      <c r="KON226" s="15"/>
      <c r="KOO226" s="15"/>
      <c r="KOP226" s="15"/>
      <c r="KOQ226" s="15"/>
      <c r="KOR226" s="15"/>
      <c r="KOS226" s="15"/>
      <c r="KOT226" s="15"/>
      <c r="KOU226" s="15"/>
      <c r="KOV226" s="10"/>
      <c r="KOW226" s="10"/>
      <c r="KOX226" s="21"/>
      <c r="KOY226" s="21"/>
      <c r="KPB226" s="21"/>
      <c r="KPC226" s="15"/>
      <c r="KPD226" s="15"/>
      <c r="KPE226" s="15"/>
      <c r="KPF226" s="15"/>
      <c r="KPG226" s="15"/>
      <c r="KPH226" s="15"/>
      <c r="KPI226" s="15"/>
      <c r="KPJ226" s="15"/>
      <c r="KPK226" s="15"/>
      <c r="KPL226" s="15"/>
      <c r="KPM226" s="10"/>
      <c r="KPN226" s="10"/>
      <c r="KPO226" s="21"/>
      <c r="KPP226" s="21"/>
      <c r="KPS226" s="21"/>
      <c r="KPT226" s="15"/>
      <c r="KPU226" s="15"/>
      <c r="KPV226" s="15"/>
      <c r="KPW226" s="15"/>
      <c r="KPX226" s="15"/>
      <c r="KPY226" s="15"/>
      <c r="KPZ226" s="15"/>
      <c r="KQA226" s="15"/>
      <c r="KQB226" s="15"/>
      <c r="KQC226" s="15"/>
      <c r="KQD226" s="10"/>
      <c r="KQE226" s="10"/>
      <c r="KQF226" s="21"/>
      <c r="KQG226" s="21"/>
      <c r="KQJ226" s="21"/>
      <c r="KQK226" s="15"/>
      <c r="KQL226" s="15"/>
      <c r="KQM226" s="15"/>
      <c r="KQN226" s="15"/>
      <c r="KQO226" s="15"/>
      <c r="KQP226" s="15"/>
      <c r="KQQ226" s="15"/>
      <c r="KQR226" s="15"/>
      <c r="KQS226" s="15"/>
      <c r="KQT226" s="15"/>
      <c r="KQU226" s="10"/>
      <c r="KQV226" s="10"/>
      <c r="KQW226" s="21"/>
      <c r="KQX226" s="21"/>
      <c r="KRA226" s="21"/>
      <c r="KRB226" s="15"/>
      <c r="KRC226" s="15"/>
      <c r="KRD226" s="15"/>
      <c r="KRE226" s="15"/>
      <c r="KRF226" s="15"/>
      <c r="KRG226" s="15"/>
      <c r="KRH226" s="15"/>
      <c r="KRI226" s="15"/>
      <c r="KRJ226" s="15"/>
      <c r="KRK226" s="15"/>
      <c r="KRL226" s="10"/>
      <c r="KRM226" s="10"/>
      <c r="KRN226" s="21"/>
      <c r="KRO226" s="21"/>
      <c r="KRR226" s="21"/>
      <c r="KRS226" s="15"/>
      <c r="KRT226" s="15"/>
      <c r="KRU226" s="15"/>
      <c r="KRV226" s="15"/>
      <c r="KRW226" s="15"/>
      <c r="KRX226" s="15"/>
      <c r="KRY226" s="15"/>
      <c r="KRZ226" s="15"/>
      <c r="KSA226" s="15"/>
      <c r="KSB226" s="15"/>
      <c r="KSC226" s="10"/>
      <c r="KSD226" s="10"/>
      <c r="KSE226" s="21"/>
      <c r="KSF226" s="21"/>
      <c r="KSI226" s="21"/>
      <c r="KSJ226" s="15"/>
      <c r="KSK226" s="15"/>
      <c r="KSL226" s="15"/>
      <c r="KSM226" s="15"/>
      <c r="KSN226" s="15"/>
      <c r="KSO226" s="15"/>
      <c r="KSP226" s="15"/>
      <c r="KSQ226" s="15"/>
      <c r="KSR226" s="15"/>
      <c r="KSS226" s="15"/>
      <c r="KST226" s="10"/>
      <c r="KSU226" s="10"/>
      <c r="KSV226" s="21"/>
      <c r="KSW226" s="21"/>
      <c r="KSZ226" s="21"/>
      <c r="KTA226" s="15"/>
      <c r="KTB226" s="15"/>
      <c r="KTC226" s="15"/>
      <c r="KTD226" s="15"/>
      <c r="KTE226" s="15"/>
      <c r="KTF226" s="15"/>
      <c r="KTG226" s="15"/>
      <c r="KTH226" s="15"/>
      <c r="KTI226" s="15"/>
      <c r="KTJ226" s="15"/>
      <c r="KTK226" s="10"/>
      <c r="KTL226" s="10"/>
      <c r="KTM226" s="21"/>
      <c r="KTN226" s="21"/>
      <c r="KTQ226" s="21"/>
      <c r="KTR226" s="15"/>
      <c r="KTS226" s="15"/>
      <c r="KTT226" s="15"/>
      <c r="KTU226" s="15"/>
      <c r="KTV226" s="15"/>
      <c r="KTW226" s="15"/>
      <c r="KTX226" s="15"/>
      <c r="KTY226" s="15"/>
      <c r="KTZ226" s="15"/>
      <c r="KUA226" s="15"/>
      <c r="KUB226" s="10"/>
      <c r="KUC226" s="10"/>
      <c r="KUD226" s="21"/>
      <c r="KUE226" s="21"/>
      <c r="KUH226" s="21"/>
      <c r="KUI226" s="15"/>
      <c r="KUJ226" s="15"/>
      <c r="KUK226" s="15"/>
      <c r="KUL226" s="15"/>
      <c r="KUM226" s="15"/>
      <c r="KUN226" s="15"/>
      <c r="KUO226" s="15"/>
      <c r="KUP226" s="15"/>
      <c r="KUQ226" s="15"/>
      <c r="KUR226" s="15"/>
      <c r="KUS226" s="10"/>
      <c r="KUT226" s="10"/>
      <c r="KUU226" s="21"/>
      <c r="KUV226" s="21"/>
      <c r="KUY226" s="21"/>
      <c r="KUZ226" s="15"/>
      <c r="KVA226" s="15"/>
      <c r="KVB226" s="15"/>
      <c r="KVC226" s="15"/>
      <c r="KVD226" s="15"/>
      <c r="KVE226" s="15"/>
      <c r="KVF226" s="15"/>
      <c r="KVG226" s="15"/>
      <c r="KVH226" s="15"/>
      <c r="KVI226" s="15"/>
      <c r="KVJ226" s="10"/>
      <c r="KVK226" s="10"/>
      <c r="KVL226" s="21"/>
      <c r="KVM226" s="21"/>
      <c r="KVP226" s="21"/>
      <c r="KVQ226" s="15"/>
      <c r="KVR226" s="15"/>
      <c r="KVS226" s="15"/>
      <c r="KVT226" s="15"/>
      <c r="KVU226" s="15"/>
      <c r="KVV226" s="15"/>
      <c r="KVW226" s="15"/>
      <c r="KVX226" s="15"/>
      <c r="KVY226" s="15"/>
      <c r="KVZ226" s="15"/>
      <c r="KWA226" s="10"/>
      <c r="KWB226" s="10"/>
      <c r="KWC226" s="21"/>
      <c r="KWD226" s="21"/>
      <c r="KWG226" s="21"/>
      <c r="KWH226" s="15"/>
      <c r="KWI226" s="15"/>
      <c r="KWJ226" s="15"/>
      <c r="KWK226" s="15"/>
      <c r="KWL226" s="15"/>
      <c r="KWM226" s="15"/>
      <c r="KWN226" s="15"/>
      <c r="KWO226" s="15"/>
      <c r="KWP226" s="15"/>
      <c r="KWQ226" s="15"/>
      <c r="KWR226" s="10"/>
      <c r="KWS226" s="10"/>
      <c r="KWT226" s="21"/>
      <c r="KWU226" s="21"/>
      <c r="KWX226" s="21"/>
      <c r="KWY226" s="15"/>
      <c r="KWZ226" s="15"/>
      <c r="KXA226" s="15"/>
      <c r="KXB226" s="15"/>
      <c r="KXC226" s="15"/>
      <c r="KXD226" s="15"/>
      <c r="KXE226" s="15"/>
      <c r="KXF226" s="15"/>
      <c r="KXG226" s="15"/>
      <c r="KXH226" s="15"/>
      <c r="KXI226" s="10"/>
      <c r="KXJ226" s="10"/>
      <c r="KXK226" s="21"/>
      <c r="KXL226" s="21"/>
      <c r="KXO226" s="21"/>
      <c r="KXP226" s="15"/>
      <c r="KXQ226" s="15"/>
      <c r="KXR226" s="15"/>
      <c r="KXS226" s="15"/>
      <c r="KXT226" s="15"/>
      <c r="KXU226" s="15"/>
      <c r="KXV226" s="15"/>
      <c r="KXW226" s="15"/>
      <c r="KXX226" s="15"/>
      <c r="KXY226" s="15"/>
      <c r="KXZ226" s="10"/>
      <c r="KYA226" s="10"/>
      <c r="KYB226" s="21"/>
      <c r="KYC226" s="21"/>
      <c r="KYF226" s="21"/>
      <c r="KYG226" s="15"/>
      <c r="KYH226" s="15"/>
      <c r="KYI226" s="15"/>
      <c r="KYJ226" s="15"/>
      <c r="KYK226" s="15"/>
      <c r="KYL226" s="15"/>
      <c r="KYM226" s="15"/>
      <c r="KYN226" s="15"/>
      <c r="KYO226" s="15"/>
      <c r="KYP226" s="15"/>
      <c r="KYQ226" s="10"/>
      <c r="KYR226" s="10"/>
      <c r="KYS226" s="21"/>
      <c r="KYT226" s="21"/>
      <c r="KYW226" s="21"/>
      <c r="KYX226" s="15"/>
      <c r="KYY226" s="15"/>
      <c r="KYZ226" s="15"/>
      <c r="KZA226" s="15"/>
      <c r="KZB226" s="15"/>
      <c r="KZC226" s="15"/>
      <c r="KZD226" s="15"/>
      <c r="KZE226" s="15"/>
      <c r="KZF226" s="15"/>
      <c r="KZG226" s="15"/>
      <c r="KZH226" s="10"/>
      <c r="KZI226" s="10"/>
      <c r="KZJ226" s="21"/>
      <c r="KZK226" s="21"/>
      <c r="KZN226" s="21"/>
      <c r="KZO226" s="15"/>
      <c r="KZP226" s="15"/>
      <c r="KZQ226" s="15"/>
      <c r="KZR226" s="15"/>
      <c r="KZS226" s="15"/>
      <c r="KZT226" s="15"/>
      <c r="KZU226" s="15"/>
      <c r="KZV226" s="15"/>
      <c r="KZW226" s="15"/>
      <c r="KZX226" s="15"/>
      <c r="KZY226" s="10"/>
      <c r="KZZ226" s="10"/>
      <c r="LAA226" s="21"/>
      <c r="LAB226" s="21"/>
      <c r="LAE226" s="21"/>
      <c r="LAF226" s="15"/>
      <c r="LAG226" s="15"/>
      <c r="LAH226" s="15"/>
      <c r="LAI226" s="15"/>
      <c r="LAJ226" s="15"/>
      <c r="LAK226" s="15"/>
      <c r="LAL226" s="15"/>
      <c r="LAM226" s="15"/>
      <c r="LAN226" s="15"/>
      <c r="LAO226" s="15"/>
      <c r="LAP226" s="10"/>
      <c r="LAQ226" s="10"/>
      <c r="LAR226" s="21"/>
      <c r="LAS226" s="21"/>
      <c r="LAV226" s="21"/>
      <c r="LAW226" s="15"/>
      <c r="LAX226" s="15"/>
      <c r="LAY226" s="15"/>
      <c r="LAZ226" s="15"/>
      <c r="LBA226" s="15"/>
      <c r="LBB226" s="15"/>
      <c r="LBC226" s="15"/>
      <c r="LBD226" s="15"/>
      <c r="LBE226" s="15"/>
      <c r="LBF226" s="15"/>
      <c r="LBG226" s="10"/>
      <c r="LBH226" s="10"/>
      <c r="LBI226" s="21"/>
      <c r="LBJ226" s="21"/>
      <c r="LBM226" s="21"/>
      <c r="LBN226" s="15"/>
      <c r="LBO226" s="15"/>
      <c r="LBP226" s="15"/>
      <c r="LBQ226" s="15"/>
      <c r="LBR226" s="15"/>
      <c r="LBS226" s="15"/>
      <c r="LBT226" s="15"/>
      <c r="LBU226" s="15"/>
      <c r="LBV226" s="15"/>
      <c r="LBW226" s="15"/>
      <c r="LBX226" s="10"/>
      <c r="LBY226" s="10"/>
      <c r="LBZ226" s="21"/>
      <c r="LCA226" s="21"/>
      <c r="LCD226" s="21"/>
      <c r="LCE226" s="15"/>
      <c r="LCF226" s="15"/>
      <c r="LCG226" s="15"/>
      <c r="LCH226" s="15"/>
      <c r="LCI226" s="15"/>
      <c r="LCJ226" s="15"/>
      <c r="LCK226" s="15"/>
      <c r="LCL226" s="15"/>
      <c r="LCM226" s="15"/>
      <c r="LCN226" s="15"/>
      <c r="LCO226" s="10"/>
      <c r="LCP226" s="10"/>
      <c r="LCQ226" s="21"/>
      <c r="LCR226" s="21"/>
      <c r="LCU226" s="21"/>
      <c r="LCV226" s="15"/>
      <c r="LCW226" s="15"/>
      <c r="LCX226" s="15"/>
      <c r="LCY226" s="15"/>
      <c r="LCZ226" s="15"/>
      <c r="LDA226" s="15"/>
      <c r="LDB226" s="15"/>
      <c r="LDC226" s="15"/>
      <c r="LDD226" s="15"/>
      <c r="LDE226" s="15"/>
      <c r="LDF226" s="10"/>
      <c r="LDG226" s="10"/>
      <c r="LDH226" s="21"/>
      <c r="LDI226" s="21"/>
      <c r="LDL226" s="21"/>
      <c r="LDM226" s="15"/>
      <c r="LDN226" s="15"/>
      <c r="LDO226" s="15"/>
      <c r="LDP226" s="15"/>
      <c r="LDQ226" s="15"/>
      <c r="LDR226" s="15"/>
      <c r="LDS226" s="15"/>
      <c r="LDT226" s="15"/>
      <c r="LDU226" s="15"/>
      <c r="LDV226" s="15"/>
      <c r="LDW226" s="10"/>
      <c r="LDX226" s="10"/>
      <c r="LDY226" s="21"/>
      <c r="LDZ226" s="21"/>
      <c r="LEC226" s="21"/>
      <c r="LED226" s="15"/>
      <c r="LEE226" s="15"/>
      <c r="LEF226" s="15"/>
      <c r="LEG226" s="15"/>
      <c r="LEH226" s="15"/>
      <c r="LEI226" s="15"/>
      <c r="LEJ226" s="15"/>
      <c r="LEK226" s="15"/>
      <c r="LEL226" s="15"/>
      <c r="LEM226" s="15"/>
      <c r="LEN226" s="10"/>
      <c r="LEO226" s="10"/>
      <c r="LEP226" s="21"/>
      <c r="LEQ226" s="21"/>
      <c r="LET226" s="21"/>
      <c r="LEU226" s="15"/>
      <c r="LEV226" s="15"/>
      <c r="LEW226" s="15"/>
      <c r="LEX226" s="15"/>
      <c r="LEY226" s="15"/>
      <c r="LEZ226" s="15"/>
      <c r="LFA226" s="15"/>
      <c r="LFB226" s="15"/>
      <c r="LFC226" s="15"/>
      <c r="LFD226" s="15"/>
      <c r="LFE226" s="10"/>
      <c r="LFF226" s="10"/>
      <c r="LFG226" s="21"/>
      <c r="LFH226" s="21"/>
      <c r="LFK226" s="21"/>
      <c r="LFL226" s="15"/>
      <c r="LFM226" s="15"/>
      <c r="LFN226" s="15"/>
      <c r="LFO226" s="15"/>
      <c r="LFP226" s="15"/>
      <c r="LFQ226" s="15"/>
      <c r="LFR226" s="15"/>
      <c r="LFS226" s="15"/>
      <c r="LFT226" s="15"/>
      <c r="LFU226" s="15"/>
      <c r="LFV226" s="10"/>
      <c r="LFW226" s="10"/>
      <c r="LFX226" s="21"/>
      <c r="LFY226" s="21"/>
      <c r="LGB226" s="21"/>
      <c r="LGC226" s="15"/>
      <c r="LGD226" s="15"/>
      <c r="LGE226" s="15"/>
      <c r="LGF226" s="15"/>
      <c r="LGG226" s="15"/>
      <c r="LGH226" s="15"/>
      <c r="LGI226" s="15"/>
      <c r="LGJ226" s="15"/>
      <c r="LGK226" s="15"/>
      <c r="LGL226" s="15"/>
      <c r="LGM226" s="10"/>
      <c r="LGN226" s="10"/>
      <c r="LGO226" s="21"/>
      <c r="LGP226" s="21"/>
      <c r="LGS226" s="21"/>
      <c r="LGT226" s="15"/>
      <c r="LGU226" s="15"/>
      <c r="LGV226" s="15"/>
      <c r="LGW226" s="15"/>
      <c r="LGX226" s="15"/>
      <c r="LGY226" s="15"/>
      <c r="LGZ226" s="15"/>
      <c r="LHA226" s="15"/>
      <c r="LHB226" s="15"/>
      <c r="LHC226" s="15"/>
      <c r="LHD226" s="10"/>
      <c r="LHE226" s="10"/>
      <c r="LHF226" s="21"/>
      <c r="LHG226" s="21"/>
      <c r="LHJ226" s="21"/>
      <c r="LHK226" s="15"/>
      <c r="LHL226" s="15"/>
      <c r="LHM226" s="15"/>
      <c r="LHN226" s="15"/>
      <c r="LHO226" s="15"/>
      <c r="LHP226" s="15"/>
      <c r="LHQ226" s="15"/>
      <c r="LHR226" s="15"/>
      <c r="LHS226" s="15"/>
      <c r="LHT226" s="15"/>
      <c r="LHU226" s="10"/>
      <c r="LHV226" s="10"/>
      <c r="LHW226" s="21"/>
      <c r="LHX226" s="21"/>
      <c r="LIA226" s="21"/>
      <c r="LIB226" s="15"/>
      <c r="LIC226" s="15"/>
      <c r="LID226" s="15"/>
      <c r="LIE226" s="15"/>
      <c r="LIF226" s="15"/>
      <c r="LIG226" s="15"/>
      <c r="LIH226" s="15"/>
      <c r="LII226" s="15"/>
      <c r="LIJ226" s="15"/>
      <c r="LIK226" s="15"/>
      <c r="LIL226" s="10"/>
      <c r="LIM226" s="10"/>
      <c r="LIN226" s="21"/>
      <c r="LIO226" s="21"/>
      <c r="LIR226" s="21"/>
      <c r="LIS226" s="15"/>
      <c r="LIT226" s="15"/>
      <c r="LIU226" s="15"/>
      <c r="LIV226" s="15"/>
      <c r="LIW226" s="15"/>
      <c r="LIX226" s="15"/>
      <c r="LIY226" s="15"/>
      <c r="LIZ226" s="15"/>
      <c r="LJA226" s="15"/>
      <c r="LJB226" s="15"/>
      <c r="LJC226" s="10"/>
      <c r="LJD226" s="10"/>
      <c r="LJE226" s="21"/>
      <c r="LJF226" s="21"/>
      <c r="LJI226" s="21"/>
      <c r="LJJ226" s="15"/>
      <c r="LJK226" s="15"/>
      <c r="LJL226" s="15"/>
      <c r="LJM226" s="15"/>
      <c r="LJN226" s="15"/>
      <c r="LJO226" s="15"/>
      <c r="LJP226" s="15"/>
      <c r="LJQ226" s="15"/>
      <c r="LJR226" s="15"/>
      <c r="LJS226" s="15"/>
      <c r="LJT226" s="10"/>
      <c r="LJU226" s="10"/>
      <c r="LJV226" s="21"/>
      <c r="LJW226" s="21"/>
      <c r="LJZ226" s="21"/>
      <c r="LKA226" s="15"/>
      <c r="LKB226" s="15"/>
      <c r="LKC226" s="15"/>
      <c r="LKD226" s="15"/>
      <c r="LKE226" s="15"/>
      <c r="LKF226" s="15"/>
      <c r="LKG226" s="15"/>
      <c r="LKH226" s="15"/>
      <c r="LKI226" s="15"/>
      <c r="LKJ226" s="15"/>
      <c r="LKK226" s="10"/>
      <c r="LKL226" s="10"/>
      <c r="LKM226" s="21"/>
      <c r="LKN226" s="21"/>
      <c r="LKQ226" s="21"/>
      <c r="LKR226" s="15"/>
      <c r="LKS226" s="15"/>
      <c r="LKT226" s="15"/>
      <c r="LKU226" s="15"/>
      <c r="LKV226" s="15"/>
      <c r="LKW226" s="15"/>
      <c r="LKX226" s="15"/>
      <c r="LKY226" s="15"/>
      <c r="LKZ226" s="15"/>
      <c r="LLA226" s="15"/>
      <c r="LLB226" s="10"/>
      <c r="LLC226" s="10"/>
      <c r="LLD226" s="21"/>
      <c r="LLE226" s="21"/>
      <c r="LLH226" s="21"/>
      <c r="LLI226" s="15"/>
      <c r="LLJ226" s="15"/>
      <c r="LLK226" s="15"/>
      <c r="LLL226" s="15"/>
      <c r="LLM226" s="15"/>
      <c r="LLN226" s="15"/>
      <c r="LLO226" s="15"/>
      <c r="LLP226" s="15"/>
      <c r="LLQ226" s="15"/>
      <c r="LLR226" s="15"/>
      <c r="LLS226" s="10"/>
      <c r="LLT226" s="10"/>
      <c r="LLU226" s="21"/>
      <c r="LLV226" s="21"/>
      <c r="LLY226" s="21"/>
      <c r="LLZ226" s="15"/>
      <c r="LMA226" s="15"/>
      <c r="LMB226" s="15"/>
      <c r="LMC226" s="15"/>
      <c r="LMD226" s="15"/>
      <c r="LME226" s="15"/>
      <c r="LMF226" s="15"/>
      <c r="LMG226" s="15"/>
      <c r="LMH226" s="15"/>
      <c r="LMI226" s="15"/>
      <c r="LMJ226" s="10"/>
      <c r="LMK226" s="10"/>
      <c r="LML226" s="21"/>
      <c r="LMM226" s="21"/>
      <c r="LMP226" s="21"/>
      <c r="LMQ226" s="15"/>
      <c r="LMR226" s="15"/>
      <c r="LMS226" s="15"/>
      <c r="LMT226" s="15"/>
      <c r="LMU226" s="15"/>
      <c r="LMV226" s="15"/>
      <c r="LMW226" s="15"/>
      <c r="LMX226" s="15"/>
      <c r="LMY226" s="15"/>
      <c r="LMZ226" s="15"/>
      <c r="LNA226" s="10"/>
      <c r="LNB226" s="10"/>
      <c r="LNC226" s="21"/>
      <c r="LND226" s="21"/>
      <c r="LNG226" s="21"/>
      <c r="LNH226" s="15"/>
      <c r="LNI226" s="15"/>
      <c r="LNJ226" s="15"/>
      <c r="LNK226" s="15"/>
      <c r="LNL226" s="15"/>
      <c r="LNM226" s="15"/>
      <c r="LNN226" s="15"/>
      <c r="LNO226" s="15"/>
      <c r="LNP226" s="15"/>
      <c r="LNQ226" s="15"/>
      <c r="LNR226" s="10"/>
      <c r="LNS226" s="10"/>
      <c r="LNT226" s="21"/>
      <c r="LNU226" s="21"/>
      <c r="LNX226" s="21"/>
      <c r="LNY226" s="15"/>
      <c r="LNZ226" s="15"/>
      <c r="LOA226" s="15"/>
      <c r="LOB226" s="15"/>
      <c r="LOC226" s="15"/>
      <c r="LOD226" s="15"/>
      <c r="LOE226" s="15"/>
      <c r="LOF226" s="15"/>
      <c r="LOG226" s="15"/>
      <c r="LOH226" s="15"/>
      <c r="LOI226" s="10"/>
      <c r="LOJ226" s="10"/>
      <c r="LOK226" s="21"/>
      <c r="LOL226" s="21"/>
      <c r="LOO226" s="21"/>
      <c r="LOP226" s="15"/>
      <c r="LOQ226" s="15"/>
      <c r="LOR226" s="15"/>
      <c r="LOS226" s="15"/>
      <c r="LOT226" s="15"/>
      <c r="LOU226" s="15"/>
      <c r="LOV226" s="15"/>
      <c r="LOW226" s="15"/>
      <c r="LOX226" s="15"/>
      <c r="LOY226" s="15"/>
      <c r="LOZ226" s="10"/>
      <c r="LPA226" s="10"/>
      <c r="LPB226" s="21"/>
      <c r="LPC226" s="21"/>
      <c r="LPF226" s="21"/>
      <c r="LPG226" s="15"/>
      <c r="LPH226" s="15"/>
      <c r="LPI226" s="15"/>
      <c r="LPJ226" s="15"/>
      <c r="LPK226" s="15"/>
      <c r="LPL226" s="15"/>
      <c r="LPM226" s="15"/>
      <c r="LPN226" s="15"/>
      <c r="LPO226" s="15"/>
      <c r="LPP226" s="15"/>
      <c r="LPQ226" s="10"/>
      <c r="LPR226" s="10"/>
      <c r="LPS226" s="21"/>
      <c r="LPT226" s="21"/>
      <c r="LPW226" s="21"/>
      <c r="LPX226" s="15"/>
      <c r="LPY226" s="15"/>
      <c r="LPZ226" s="15"/>
      <c r="LQA226" s="15"/>
      <c r="LQB226" s="15"/>
      <c r="LQC226" s="15"/>
      <c r="LQD226" s="15"/>
      <c r="LQE226" s="15"/>
      <c r="LQF226" s="15"/>
      <c r="LQG226" s="15"/>
      <c r="LQH226" s="10"/>
      <c r="LQI226" s="10"/>
      <c r="LQJ226" s="21"/>
      <c r="LQK226" s="21"/>
      <c r="LQN226" s="21"/>
      <c r="LQO226" s="15"/>
      <c r="LQP226" s="15"/>
      <c r="LQQ226" s="15"/>
      <c r="LQR226" s="15"/>
      <c r="LQS226" s="15"/>
      <c r="LQT226" s="15"/>
      <c r="LQU226" s="15"/>
      <c r="LQV226" s="15"/>
      <c r="LQW226" s="15"/>
      <c r="LQX226" s="15"/>
      <c r="LQY226" s="10"/>
      <c r="LQZ226" s="10"/>
      <c r="LRA226" s="21"/>
      <c r="LRB226" s="21"/>
      <c r="LRE226" s="21"/>
      <c r="LRF226" s="15"/>
      <c r="LRG226" s="15"/>
      <c r="LRH226" s="15"/>
      <c r="LRI226" s="15"/>
      <c r="LRJ226" s="15"/>
      <c r="LRK226" s="15"/>
      <c r="LRL226" s="15"/>
      <c r="LRM226" s="15"/>
      <c r="LRN226" s="15"/>
      <c r="LRO226" s="15"/>
      <c r="LRP226" s="10"/>
      <c r="LRQ226" s="10"/>
      <c r="LRR226" s="21"/>
      <c r="LRS226" s="21"/>
      <c r="LRV226" s="21"/>
      <c r="LRW226" s="15"/>
      <c r="LRX226" s="15"/>
      <c r="LRY226" s="15"/>
      <c r="LRZ226" s="15"/>
      <c r="LSA226" s="15"/>
      <c r="LSB226" s="15"/>
      <c r="LSC226" s="15"/>
      <c r="LSD226" s="15"/>
      <c r="LSE226" s="15"/>
      <c r="LSF226" s="15"/>
      <c r="LSG226" s="10"/>
      <c r="LSH226" s="10"/>
      <c r="LSI226" s="21"/>
      <c r="LSJ226" s="21"/>
      <c r="LSM226" s="21"/>
      <c r="LSN226" s="15"/>
      <c r="LSO226" s="15"/>
      <c r="LSP226" s="15"/>
      <c r="LSQ226" s="15"/>
      <c r="LSR226" s="15"/>
      <c r="LSS226" s="15"/>
      <c r="LST226" s="15"/>
      <c r="LSU226" s="15"/>
      <c r="LSV226" s="15"/>
      <c r="LSW226" s="15"/>
      <c r="LSX226" s="10"/>
      <c r="LSY226" s="10"/>
      <c r="LSZ226" s="21"/>
      <c r="LTA226" s="21"/>
      <c r="LTD226" s="21"/>
      <c r="LTE226" s="15"/>
      <c r="LTF226" s="15"/>
      <c r="LTG226" s="15"/>
      <c r="LTH226" s="15"/>
      <c r="LTI226" s="15"/>
      <c r="LTJ226" s="15"/>
      <c r="LTK226" s="15"/>
      <c r="LTL226" s="15"/>
      <c r="LTM226" s="15"/>
      <c r="LTN226" s="15"/>
      <c r="LTO226" s="10"/>
      <c r="LTP226" s="10"/>
      <c r="LTQ226" s="21"/>
      <c r="LTR226" s="21"/>
      <c r="LTU226" s="21"/>
      <c r="LTV226" s="15"/>
      <c r="LTW226" s="15"/>
      <c r="LTX226" s="15"/>
      <c r="LTY226" s="15"/>
      <c r="LTZ226" s="15"/>
      <c r="LUA226" s="15"/>
      <c r="LUB226" s="15"/>
      <c r="LUC226" s="15"/>
      <c r="LUD226" s="15"/>
      <c r="LUE226" s="15"/>
      <c r="LUF226" s="10"/>
      <c r="LUG226" s="10"/>
      <c r="LUH226" s="21"/>
      <c r="LUI226" s="21"/>
      <c r="LUL226" s="21"/>
      <c r="LUM226" s="15"/>
      <c r="LUN226" s="15"/>
      <c r="LUO226" s="15"/>
      <c r="LUP226" s="15"/>
      <c r="LUQ226" s="15"/>
      <c r="LUR226" s="15"/>
      <c r="LUS226" s="15"/>
      <c r="LUT226" s="15"/>
      <c r="LUU226" s="15"/>
      <c r="LUV226" s="15"/>
      <c r="LUW226" s="10"/>
      <c r="LUX226" s="10"/>
      <c r="LUY226" s="21"/>
      <c r="LUZ226" s="21"/>
      <c r="LVC226" s="21"/>
      <c r="LVD226" s="15"/>
      <c r="LVE226" s="15"/>
      <c r="LVF226" s="15"/>
      <c r="LVG226" s="15"/>
      <c r="LVH226" s="15"/>
      <c r="LVI226" s="15"/>
      <c r="LVJ226" s="15"/>
      <c r="LVK226" s="15"/>
      <c r="LVL226" s="15"/>
      <c r="LVM226" s="15"/>
      <c r="LVN226" s="10"/>
      <c r="LVO226" s="10"/>
      <c r="LVP226" s="21"/>
      <c r="LVQ226" s="21"/>
      <c r="LVT226" s="21"/>
      <c r="LVU226" s="15"/>
      <c r="LVV226" s="15"/>
      <c r="LVW226" s="15"/>
      <c r="LVX226" s="15"/>
      <c r="LVY226" s="15"/>
      <c r="LVZ226" s="15"/>
      <c r="LWA226" s="15"/>
      <c r="LWB226" s="15"/>
      <c r="LWC226" s="15"/>
      <c r="LWD226" s="15"/>
      <c r="LWE226" s="10"/>
      <c r="LWF226" s="10"/>
      <c r="LWG226" s="21"/>
      <c r="LWH226" s="21"/>
      <c r="LWK226" s="21"/>
      <c r="LWL226" s="15"/>
      <c r="LWM226" s="15"/>
      <c r="LWN226" s="15"/>
      <c r="LWO226" s="15"/>
      <c r="LWP226" s="15"/>
      <c r="LWQ226" s="15"/>
      <c r="LWR226" s="15"/>
      <c r="LWS226" s="15"/>
      <c r="LWT226" s="15"/>
      <c r="LWU226" s="15"/>
      <c r="LWV226" s="10"/>
      <c r="LWW226" s="10"/>
      <c r="LWX226" s="21"/>
      <c r="LWY226" s="21"/>
      <c r="LXB226" s="21"/>
      <c r="LXC226" s="15"/>
      <c r="LXD226" s="15"/>
      <c r="LXE226" s="15"/>
      <c r="LXF226" s="15"/>
      <c r="LXG226" s="15"/>
      <c r="LXH226" s="15"/>
      <c r="LXI226" s="15"/>
      <c r="LXJ226" s="15"/>
      <c r="LXK226" s="15"/>
      <c r="LXL226" s="15"/>
      <c r="LXM226" s="10"/>
      <c r="LXN226" s="10"/>
      <c r="LXO226" s="21"/>
      <c r="LXP226" s="21"/>
      <c r="LXS226" s="21"/>
      <c r="LXT226" s="15"/>
      <c r="LXU226" s="15"/>
      <c r="LXV226" s="15"/>
      <c r="LXW226" s="15"/>
      <c r="LXX226" s="15"/>
      <c r="LXY226" s="15"/>
      <c r="LXZ226" s="15"/>
      <c r="LYA226" s="15"/>
      <c r="LYB226" s="15"/>
      <c r="LYC226" s="15"/>
      <c r="LYD226" s="10"/>
      <c r="LYE226" s="10"/>
      <c r="LYF226" s="21"/>
      <c r="LYG226" s="21"/>
      <c r="LYJ226" s="21"/>
      <c r="LYK226" s="15"/>
      <c r="LYL226" s="15"/>
      <c r="LYM226" s="15"/>
      <c r="LYN226" s="15"/>
      <c r="LYO226" s="15"/>
      <c r="LYP226" s="15"/>
      <c r="LYQ226" s="15"/>
      <c r="LYR226" s="15"/>
      <c r="LYS226" s="15"/>
      <c r="LYT226" s="15"/>
      <c r="LYU226" s="10"/>
      <c r="LYV226" s="10"/>
      <c r="LYW226" s="21"/>
      <c r="LYX226" s="21"/>
      <c r="LZA226" s="21"/>
      <c r="LZB226" s="15"/>
      <c r="LZC226" s="15"/>
      <c r="LZD226" s="15"/>
      <c r="LZE226" s="15"/>
      <c r="LZF226" s="15"/>
      <c r="LZG226" s="15"/>
      <c r="LZH226" s="15"/>
      <c r="LZI226" s="15"/>
      <c r="LZJ226" s="15"/>
      <c r="LZK226" s="15"/>
      <c r="LZL226" s="10"/>
      <c r="LZM226" s="10"/>
      <c r="LZN226" s="21"/>
      <c r="LZO226" s="21"/>
      <c r="LZR226" s="21"/>
      <c r="LZS226" s="15"/>
      <c r="LZT226" s="15"/>
      <c r="LZU226" s="15"/>
      <c r="LZV226" s="15"/>
      <c r="LZW226" s="15"/>
      <c r="LZX226" s="15"/>
      <c r="LZY226" s="15"/>
      <c r="LZZ226" s="15"/>
      <c r="MAA226" s="15"/>
      <c r="MAB226" s="15"/>
      <c r="MAC226" s="10"/>
      <c r="MAD226" s="10"/>
      <c r="MAE226" s="21"/>
      <c r="MAF226" s="21"/>
      <c r="MAI226" s="21"/>
      <c r="MAJ226" s="15"/>
      <c r="MAK226" s="15"/>
      <c r="MAL226" s="15"/>
      <c r="MAM226" s="15"/>
      <c r="MAN226" s="15"/>
      <c r="MAO226" s="15"/>
      <c r="MAP226" s="15"/>
      <c r="MAQ226" s="15"/>
      <c r="MAR226" s="15"/>
      <c r="MAS226" s="15"/>
      <c r="MAT226" s="10"/>
      <c r="MAU226" s="10"/>
      <c r="MAV226" s="21"/>
      <c r="MAW226" s="21"/>
      <c r="MAZ226" s="21"/>
      <c r="MBA226" s="15"/>
      <c r="MBB226" s="15"/>
      <c r="MBC226" s="15"/>
      <c r="MBD226" s="15"/>
      <c r="MBE226" s="15"/>
      <c r="MBF226" s="15"/>
      <c r="MBG226" s="15"/>
      <c r="MBH226" s="15"/>
      <c r="MBI226" s="15"/>
      <c r="MBJ226" s="15"/>
      <c r="MBK226" s="10"/>
      <c r="MBL226" s="10"/>
      <c r="MBM226" s="21"/>
      <c r="MBN226" s="21"/>
      <c r="MBQ226" s="21"/>
      <c r="MBR226" s="15"/>
      <c r="MBS226" s="15"/>
      <c r="MBT226" s="15"/>
      <c r="MBU226" s="15"/>
      <c r="MBV226" s="15"/>
      <c r="MBW226" s="15"/>
      <c r="MBX226" s="15"/>
      <c r="MBY226" s="15"/>
      <c r="MBZ226" s="15"/>
      <c r="MCA226" s="15"/>
      <c r="MCB226" s="10"/>
      <c r="MCC226" s="10"/>
      <c r="MCD226" s="21"/>
      <c r="MCE226" s="21"/>
      <c r="MCH226" s="21"/>
      <c r="MCI226" s="15"/>
      <c r="MCJ226" s="15"/>
      <c r="MCK226" s="15"/>
      <c r="MCL226" s="15"/>
      <c r="MCM226" s="15"/>
      <c r="MCN226" s="15"/>
      <c r="MCO226" s="15"/>
      <c r="MCP226" s="15"/>
      <c r="MCQ226" s="15"/>
      <c r="MCR226" s="15"/>
      <c r="MCS226" s="10"/>
      <c r="MCT226" s="10"/>
      <c r="MCU226" s="21"/>
      <c r="MCV226" s="21"/>
      <c r="MCY226" s="21"/>
      <c r="MCZ226" s="15"/>
      <c r="MDA226" s="15"/>
      <c r="MDB226" s="15"/>
      <c r="MDC226" s="15"/>
      <c r="MDD226" s="15"/>
      <c r="MDE226" s="15"/>
      <c r="MDF226" s="15"/>
      <c r="MDG226" s="15"/>
      <c r="MDH226" s="15"/>
      <c r="MDI226" s="15"/>
      <c r="MDJ226" s="10"/>
      <c r="MDK226" s="10"/>
      <c r="MDL226" s="21"/>
      <c r="MDM226" s="21"/>
      <c r="MDP226" s="21"/>
      <c r="MDQ226" s="15"/>
      <c r="MDR226" s="15"/>
      <c r="MDS226" s="15"/>
      <c r="MDT226" s="15"/>
      <c r="MDU226" s="15"/>
      <c r="MDV226" s="15"/>
      <c r="MDW226" s="15"/>
      <c r="MDX226" s="15"/>
      <c r="MDY226" s="15"/>
      <c r="MDZ226" s="15"/>
      <c r="MEA226" s="10"/>
      <c r="MEB226" s="10"/>
      <c r="MEC226" s="21"/>
      <c r="MED226" s="21"/>
      <c r="MEG226" s="21"/>
      <c r="MEH226" s="15"/>
      <c r="MEI226" s="15"/>
      <c r="MEJ226" s="15"/>
      <c r="MEK226" s="15"/>
      <c r="MEL226" s="15"/>
      <c r="MEM226" s="15"/>
      <c r="MEN226" s="15"/>
      <c r="MEO226" s="15"/>
      <c r="MEP226" s="15"/>
      <c r="MEQ226" s="15"/>
      <c r="MER226" s="10"/>
      <c r="MES226" s="10"/>
      <c r="MET226" s="21"/>
      <c r="MEU226" s="21"/>
      <c r="MEX226" s="21"/>
      <c r="MEY226" s="15"/>
      <c r="MEZ226" s="15"/>
      <c r="MFA226" s="15"/>
      <c r="MFB226" s="15"/>
      <c r="MFC226" s="15"/>
      <c r="MFD226" s="15"/>
      <c r="MFE226" s="15"/>
      <c r="MFF226" s="15"/>
      <c r="MFG226" s="15"/>
      <c r="MFH226" s="15"/>
      <c r="MFI226" s="10"/>
      <c r="MFJ226" s="10"/>
      <c r="MFK226" s="21"/>
      <c r="MFL226" s="21"/>
      <c r="MFO226" s="21"/>
      <c r="MFP226" s="15"/>
      <c r="MFQ226" s="15"/>
      <c r="MFR226" s="15"/>
      <c r="MFS226" s="15"/>
      <c r="MFT226" s="15"/>
      <c r="MFU226" s="15"/>
      <c r="MFV226" s="15"/>
      <c r="MFW226" s="15"/>
      <c r="MFX226" s="15"/>
      <c r="MFY226" s="15"/>
      <c r="MFZ226" s="10"/>
      <c r="MGA226" s="10"/>
      <c r="MGB226" s="21"/>
      <c r="MGC226" s="21"/>
      <c r="MGF226" s="21"/>
      <c r="MGG226" s="15"/>
      <c r="MGH226" s="15"/>
      <c r="MGI226" s="15"/>
      <c r="MGJ226" s="15"/>
      <c r="MGK226" s="15"/>
      <c r="MGL226" s="15"/>
      <c r="MGM226" s="15"/>
      <c r="MGN226" s="15"/>
      <c r="MGO226" s="15"/>
      <c r="MGP226" s="15"/>
      <c r="MGQ226" s="10"/>
      <c r="MGR226" s="10"/>
      <c r="MGS226" s="21"/>
      <c r="MGT226" s="21"/>
      <c r="MGW226" s="21"/>
      <c r="MGX226" s="15"/>
      <c r="MGY226" s="15"/>
      <c r="MGZ226" s="15"/>
      <c r="MHA226" s="15"/>
      <c r="MHB226" s="15"/>
      <c r="MHC226" s="15"/>
      <c r="MHD226" s="15"/>
      <c r="MHE226" s="15"/>
      <c r="MHF226" s="15"/>
      <c r="MHG226" s="15"/>
      <c r="MHH226" s="10"/>
      <c r="MHI226" s="10"/>
      <c r="MHJ226" s="21"/>
      <c r="MHK226" s="21"/>
      <c r="MHN226" s="21"/>
      <c r="MHO226" s="15"/>
      <c r="MHP226" s="15"/>
      <c r="MHQ226" s="15"/>
      <c r="MHR226" s="15"/>
      <c r="MHS226" s="15"/>
      <c r="MHT226" s="15"/>
      <c r="MHU226" s="15"/>
      <c r="MHV226" s="15"/>
      <c r="MHW226" s="15"/>
      <c r="MHX226" s="15"/>
      <c r="MHY226" s="10"/>
      <c r="MHZ226" s="10"/>
      <c r="MIA226" s="21"/>
      <c r="MIB226" s="21"/>
      <c r="MIE226" s="21"/>
      <c r="MIF226" s="15"/>
      <c r="MIG226" s="15"/>
      <c r="MIH226" s="15"/>
      <c r="MII226" s="15"/>
      <c r="MIJ226" s="15"/>
      <c r="MIK226" s="15"/>
      <c r="MIL226" s="15"/>
      <c r="MIM226" s="15"/>
      <c r="MIN226" s="15"/>
      <c r="MIO226" s="15"/>
      <c r="MIP226" s="10"/>
      <c r="MIQ226" s="10"/>
      <c r="MIR226" s="21"/>
      <c r="MIS226" s="21"/>
      <c r="MIV226" s="21"/>
      <c r="MIW226" s="15"/>
      <c r="MIX226" s="15"/>
      <c r="MIY226" s="15"/>
      <c r="MIZ226" s="15"/>
      <c r="MJA226" s="15"/>
      <c r="MJB226" s="15"/>
      <c r="MJC226" s="15"/>
      <c r="MJD226" s="15"/>
      <c r="MJE226" s="15"/>
      <c r="MJF226" s="15"/>
      <c r="MJG226" s="10"/>
      <c r="MJH226" s="10"/>
      <c r="MJI226" s="21"/>
      <c r="MJJ226" s="21"/>
      <c r="MJM226" s="21"/>
      <c r="MJN226" s="15"/>
      <c r="MJO226" s="15"/>
      <c r="MJP226" s="15"/>
      <c r="MJQ226" s="15"/>
      <c r="MJR226" s="15"/>
      <c r="MJS226" s="15"/>
      <c r="MJT226" s="15"/>
      <c r="MJU226" s="15"/>
      <c r="MJV226" s="15"/>
      <c r="MJW226" s="15"/>
      <c r="MJX226" s="10"/>
      <c r="MJY226" s="10"/>
      <c r="MJZ226" s="21"/>
      <c r="MKA226" s="21"/>
      <c r="MKD226" s="21"/>
      <c r="MKE226" s="15"/>
      <c r="MKF226" s="15"/>
      <c r="MKG226" s="15"/>
      <c r="MKH226" s="15"/>
      <c r="MKI226" s="15"/>
      <c r="MKJ226" s="15"/>
      <c r="MKK226" s="15"/>
      <c r="MKL226" s="15"/>
      <c r="MKM226" s="15"/>
      <c r="MKN226" s="15"/>
      <c r="MKO226" s="10"/>
      <c r="MKP226" s="10"/>
      <c r="MKQ226" s="21"/>
      <c r="MKR226" s="21"/>
      <c r="MKU226" s="21"/>
      <c r="MKV226" s="15"/>
      <c r="MKW226" s="15"/>
      <c r="MKX226" s="15"/>
      <c r="MKY226" s="15"/>
      <c r="MKZ226" s="15"/>
      <c r="MLA226" s="15"/>
      <c r="MLB226" s="15"/>
      <c r="MLC226" s="15"/>
      <c r="MLD226" s="15"/>
      <c r="MLE226" s="15"/>
      <c r="MLF226" s="10"/>
      <c r="MLG226" s="10"/>
      <c r="MLH226" s="21"/>
      <c r="MLI226" s="21"/>
      <c r="MLL226" s="21"/>
      <c r="MLM226" s="15"/>
      <c r="MLN226" s="15"/>
      <c r="MLO226" s="15"/>
      <c r="MLP226" s="15"/>
      <c r="MLQ226" s="15"/>
      <c r="MLR226" s="15"/>
      <c r="MLS226" s="15"/>
      <c r="MLT226" s="15"/>
      <c r="MLU226" s="15"/>
      <c r="MLV226" s="15"/>
      <c r="MLW226" s="10"/>
      <c r="MLX226" s="10"/>
      <c r="MLY226" s="21"/>
      <c r="MLZ226" s="21"/>
      <c r="MMC226" s="21"/>
      <c r="MMD226" s="15"/>
      <c r="MME226" s="15"/>
      <c r="MMF226" s="15"/>
      <c r="MMG226" s="15"/>
      <c r="MMH226" s="15"/>
      <c r="MMI226" s="15"/>
      <c r="MMJ226" s="15"/>
      <c r="MMK226" s="15"/>
      <c r="MML226" s="15"/>
      <c r="MMM226" s="15"/>
      <c r="MMN226" s="10"/>
      <c r="MMO226" s="10"/>
      <c r="MMP226" s="21"/>
      <c r="MMQ226" s="21"/>
      <c r="MMT226" s="21"/>
      <c r="MMU226" s="15"/>
      <c r="MMV226" s="15"/>
      <c r="MMW226" s="15"/>
      <c r="MMX226" s="15"/>
      <c r="MMY226" s="15"/>
      <c r="MMZ226" s="15"/>
      <c r="MNA226" s="15"/>
      <c r="MNB226" s="15"/>
      <c r="MNC226" s="15"/>
      <c r="MND226" s="15"/>
      <c r="MNE226" s="10"/>
      <c r="MNF226" s="10"/>
      <c r="MNG226" s="21"/>
      <c r="MNH226" s="21"/>
      <c r="MNK226" s="21"/>
      <c r="MNL226" s="15"/>
      <c r="MNM226" s="15"/>
      <c r="MNN226" s="15"/>
      <c r="MNO226" s="15"/>
      <c r="MNP226" s="15"/>
      <c r="MNQ226" s="15"/>
      <c r="MNR226" s="15"/>
      <c r="MNS226" s="15"/>
      <c r="MNT226" s="15"/>
      <c r="MNU226" s="15"/>
      <c r="MNV226" s="10"/>
      <c r="MNW226" s="10"/>
      <c r="MNX226" s="21"/>
      <c r="MNY226" s="21"/>
      <c r="MOB226" s="21"/>
      <c r="MOC226" s="15"/>
      <c r="MOD226" s="15"/>
      <c r="MOE226" s="15"/>
      <c r="MOF226" s="15"/>
      <c r="MOG226" s="15"/>
      <c r="MOH226" s="15"/>
      <c r="MOI226" s="15"/>
      <c r="MOJ226" s="15"/>
      <c r="MOK226" s="15"/>
      <c r="MOL226" s="15"/>
      <c r="MOM226" s="10"/>
      <c r="MON226" s="10"/>
      <c r="MOO226" s="21"/>
      <c r="MOP226" s="21"/>
      <c r="MOS226" s="21"/>
      <c r="MOT226" s="15"/>
      <c r="MOU226" s="15"/>
      <c r="MOV226" s="15"/>
      <c r="MOW226" s="15"/>
      <c r="MOX226" s="15"/>
      <c r="MOY226" s="15"/>
      <c r="MOZ226" s="15"/>
      <c r="MPA226" s="15"/>
      <c r="MPB226" s="15"/>
      <c r="MPC226" s="15"/>
      <c r="MPD226" s="10"/>
      <c r="MPE226" s="10"/>
      <c r="MPF226" s="21"/>
      <c r="MPG226" s="21"/>
      <c r="MPJ226" s="21"/>
      <c r="MPK226" s="15"/>
      <c r="MPL226" s="15"/>
      <c r="MPM226" s="15"/>
      <c r="MPN226" s="15"/>
      <c r="MPO226" s="15"/>
      <c r="MPP226" s="15"/>
      <c r="MPQ226" s="15"/>
      <c r="MPR226" s="15"/>
      <c r="MPS226" s="15"/>
      <c r="MPT226" s="15"/>
      <c r="MPU226" s="10"/>
      <c r="MPV226" s="10"/>
      <c r="MPW226" s="21"/>
      <c r="MPX226" s="21"/>
      <c r="MQA226" s="21"/>
      <c r="MQB226" s="15"/>
      <c r="MQC226" s="15"/>
      <c r="MQD226" s="15"/>
      <c r="MQE226" s="15"/>
      <c r="MQF226" s="15"/>
      <c r="MQG226" s="15"/>
      <c r="MQH226" s="15"/>
      <c r="MQI226" s="15"/>
      <c r="MQJ226" s="15"/>
      <c r="MQK226" s="15"/>
      <c r="MQL226" s="10"/>
      <c r="MQM226" s="10"/>
      <c r="MQN226" s="21"/>
      <c r="MQO226" s="21"/>
      <c r="MQR226" s="21"/>
      <c r="MQS226" s="15"/>
      <c r="MQT226" s="15"/>
      <c r="MQU226" s="15"/>
      <c r="MQV226" s="15"/>
      <c r="MQW226" s="15"/>
      <c r="MQX226" s="15"/>
      <c r="MQY226" s="15"/>
      <c r="MQZ226" s="15"/>
      <c r="MRA226" s="15"/>
      <c r="MRB226" s="15"/>
      <c r="MRC226" s="10"/>
      <c r="MRD226" s="10"/>
      <c r="MRE226" s="21"/>
      <c r="MRF226" s="21"/>
      <c r="MRI226" s="21"/>
      <c r="MRJ226" s="15"/>
      <c r="MRK226" s="15"/>
      <c r="MRL226" s="15"/>
      <c r="MRM226" s="15"/>
      <c r="MRN226" s="15"/>
      <c r="MRO226" s="15"/>
      <c r="MRP226" s="15"/>
      <c r="MRQ226" s="15"/>
      <c r="MRR226" s="15"/>
      <c r="MRS226" s="15"/>
      <c r="MRT226" s="10"/>
      <c r="MRU226" s="10"/>
      <c r="MRV226" s="21"/>
      <c r="MRW226" s="21"/>
      <c r="MRZ226" s="21"/>
      <c r="MSA226" s="15"/>
      <c r="MSB226" s="15"/>
      <c r="MSC226" s="15"/>
      <c r="MSD226" s="15"/>
      <c r="MSE226" s="15"/>
      <c r="MSF226" s="15"/>
      <c r="MSG226" s="15"/>
      <c r="MSH226" s="15"/>
      <c r="MSI226" s="15"/>
      <c r="MSJ226" s="15"/>
      <c r="MSK226" s="10"/>
      <c r="MSL226" s="10"/>
      <c r="MSM226" s="21"/>
      <c r="MSN226" s="21"/>
      <c r="MSQ226" s="21"/>
      <c r="MSR226" s="15"/>
      <c r="MSS226" s="15"/>
      <c r="MST226" s="15"/>
      <c r="MSU226" s="15"/>
      <c r="MSV226" s="15"/>
      <c r="MSW226" s="15"/>
      <c r="MSX226" s="15"/>
      <c r="MSY226" s="15"/>
      <c r="MSZ226" s="15"/>
      <c r="MTA226" s="15"/>
      <c r="MTB226" s="10"/>
      <c r="MTC226" s="10"/>
      <c r="MTD226" s="21"/>
      <c r="MTE226" s="21"/>
      <c r="MTH226" s="21"/>
      <c r="MTI226" s="15"/>
      <c r="MTJ226" s="15"/>
      <c r="MTK226" s="15"/>
      <c r="MTL226" s="15"/>
      <c r="MTM226" s="15"/>
      <c r="MTN226" s="15"/>
      <c r="MTO226" s="15"/>
      <c r="MTP226" s="15"/>
      <c r="MTQ226" s="15"/>
      <c r="MTR226" s="15"/>
      <c r="MTS226" s="10"/>
      <c r="MTT226" s="10"/>
      <c r="MTU226" s="21"/>
      <c r="MTV226" s="21"/>
      <c r="MTY226" s="21"/>
      <c r="MTZ226" s="15"/>
      <c r="MUA226" s="15"/>
      <c r="MUB226" s="15"/>
      <c r="MUC226" s="15"/>
      <c r="MUD226" s="15"/>
      <c r="MUE226" s="15"/>
      <c r="MUF226" s="15"/>
      <c r="MUG226" s="15"/>
      <c r="MUH226" s="15"/>
      <c r="MUI226" s="15"/>
      <c r="MUJ226" s="10"/>
      <c r="MUK226" s="10"/>
      <c r="MUL226" s="21"/>
      <c r="MUM226" s="21"/>
      <c r="MUP226" s="21"/>
      <c r="MUQ226" s="15"/>
      <c r="MUR226" s="15"/>
      <c r="MUS226" s="15"/>
      <c r="MUT226" s="15"/>
      <c r="MUU226" s="15"/>
      <c r="MUV226" s="15"/>
      <c r="MUW226" s="15"/>
      <c r="MUX226" s="15"/>
      <c r="MUY226" s="15"/>
      <c r="MUZ226" s="15"/>
      <c r="MVA226" s="10"/>
      <c r="MVB226" s="10"/>
      <c r="MVC226" s="21"/>
      <c r="MVD226" s="21"/>
      <c r="MVG226" s="21"/>
      <c r="MVH226" s="15"/>
      <c r="MVI226" s="15"/>
      <c r="MVJ226" s="15"/>
      <c r="MVK226" s="15"/>
      <c r="MVL226" s="15"/>
      <c r="MVM226" s="15"/>
      <c r="MVN226" s="15"/>
      <c r="MVO226" s="15"/>
      <c r="MVP226" s="15"/>
      <c r="MVQ226" s="15"/>
      <c r="MVR226" s="10"/>
      <c r="MVS226" s="10"/>
      <c r="MVT226" s="21"/>
      <c r="MVU226" s="21"/>
      <c r="MVX226" s="21"/>
      <c r="MVY226" s="15"/>
      <c r="MVZ226" s="15"/>
      <c r="MWA226" s="15"/>
      <c r="MWB226" s="15"/>
      <c r="MWC226" s="15"/>
      <c r="MWD226" s="15"/>
      <c r="MWE226" s="15"/>
      <c r="MWF226" s="15"/>
      <c r="MWG226" s="15"/>
      <c r="MWH226" s="15"/>
      <c r="MWI226" s="10"/>
      <c r="MWJ226" s="10"/>
      <c r="MWK226" s="21"/>
      <c r="MWL226" s="21"/>
      <c r="MWO226" s="21"/>
      <c r="MWP226" s="15"/>
      <c r="MWQ226" s="15"/>
      <c r="MWR226" s="15"/>
      <c r="MWS226" s="15"/>
      <c r="MWT226" s="15"/>
      <c r="MWU226" s="15"/>
      <c r="MWV226" s="15"/>
      <c r="MWW226" s="15"/>
      <c r="MWX226" s="15"/>
      <c r="MWY226" s="15"/>
      <c r="MWZ226" s="10"/>
      <c r="MXA226" s="10"/>
      <c r="MXB226" s="21"/>
      <c r="MXC226" s="21"/>
      <c r="MXF226" s="21"/>
      <c r="MXG226" s="15"/>
      <c r="MXH226" s="15"/>
      <c r="MXI226" s="15"/>
      <c r="MXJ226" s="15"/>
      <c r="MXK226" s="15"/>
      <c r="MXL226" s="15"/>
      <c r="MXM226" s="15"/>
      <c r="MXN226" s="15"/>
      <c r="MXO226" s="15"/>
      <c r="MXP226" s="15"/>
      <c r="MXQ226" s="10"/>
      <c r="MXR226" s="10"/>
      <c r="MXS226" s="21"/>
      <c r="MXT226" s="21"/>
      <c r="MXW226" s="21"/>
      <c r="MXX226" s="15"/>
      <c r="MXY226" s="15"/>
      <c r="MXZ226" s="15"/>
      <c r="MYA226" s="15"/>
      <c r="MYB226" s="15"/>
      <c r="MYC226" s="15"/>
      <c r="MYD226" s="15"/>
      <c r="MYE226" s="15"/>
      <c r="MYF226" s="15"/>
      <c r="MYG226" s="15"/>
      <c r="MYH226" s="10"/>
      <c r="MYI226" s="10"/>
      <c r="MYJ226" s="21"/>
      <c r="MYK226" s="21"/>
      <c r="MYN226" s="21"/>
      <c r="MYO226" s="15"/>
      <c r="MYP226" s="15"/>
      <c r="MYQ226" s="15"/>
      <c r="MYR226" s="15"/>
      <c r="MYS226" s="15"/>
      <c r="MYT226" s="15"/>
      <c r="MYU226" s="15"/>
      <c r="MYV226" s="15"/>
      <c r="MYW226" s="15"/>
      <c r="MYX226" s="15"/>
      <c r="MYY226" s="10"/>
      <c r="MYZ226" s="10"/>
      <c r="MZA226" s="21"/>
      <c r="MZB226" s="21"/>
      <c r="MZE226" s="21"/>
      <c r="MZF226" s="15"/>
      <c r="MZG226" s="15"/>
      <c r="MZH226" s="15"/>
      <c r="MZI226" s="15"/>
      <c r="MZJ226" s="15"/>
      <c r="MZK226" s="15"/>
      <c r="MZL226" s="15"/>
      <c r="MZM226" s="15"/>
      <c r="MZN226" s="15"/>
      <c r="MZO226" s="15"/>
      <c r="MZP226" s="10"/>
      <c r="MZQ226" s="10"/>
      <c r="MZR226" s="21"/>
      <c r="MZS226" s="21"/>
      <c r="MZV226" s="21"/>
      <c r="MZW226" s="15"/>
      <c r="MZX226" s="15"/>
      <c r="MZY226" s="15"/>
      <c r="MZZ226" s="15"/>
      <c r="NAA226" s="15"/>
      <c r="NAB226" s="15"/>
      <c r="NAC226" s="15"/>
      <c r="NAD226" s="15"/>
      <c r="NAE226" s="15"/>
      <c r="NAF226" s="15"/>
      <c r="NAG226" s="10"/>
      <c r="NAH226" s="10"/>
      <c r="NAI226" s="21"/>
      <c r="NAJ226" s="21"/>
      <c r="NAM226" s="21"/>
      <c r="NAN226" s="15"/>
      <c r="NAO226" s="15"/>
      <c r="NAP226" s="15"/>
      <c r="NAQ226" s="15"/>
      <c r="NAR226" s="15"/>
      <c r="NAS226" s="15"/>
      <c r="NAT226" s="15"/>
      <c r="NAU226" s="15"/>
      <c r="NAV226" s="15"/>
      <c r="NAW226" s="15"/>
      <c r="NAX226" s="10"/>
      <c r="NAY226" s="10"/>
      <c r="NAZ226" s="21"/>
      <c r="NBA226" s="21"/>
      <c r="NBD226" s="21"/>
      <c r="NBE226" s="15"/>
      <c r="NBF226" s="15"/>
      <c r="NBG226" s="15"/>
      <c r="NBH226" s="15"/>
      <c r="NBI226" s="15"/>
      <c r="NBJ226" s="15"/>
      <c r="NBK226" s="15"/>
      <c r="NBL226" s="15"/>
      <c r="NBM226" s="15"/>
      <c r="NBN226" s="15"/>
      <c r="NBO226" s="10"/>
      <c r="NBP226" s="10"/>
      <c r="NBQ226" s="21"/>
      <c r="NBR226" s="21"/>
      <c r="NBU226" s="21"/>
      <c r="NBV226" s="15"/>
      <c r="NBW226" s="15"/>
      <c r="NBX226" s="15"/>
      <c r="NBY226" s="15"/>
      <c r="NBZ226" s="15"/>
      <c r="NCA226" s="15"/>
      <c r="NCB226" s="15"/>
      <c r="NCC226" s="15"/>
      <c r="NCD226" s="15"/>
      <c r="NCE226" s="15"/>
      <c r="NCF226" s="10"/>
      <c r="NCG226" s="10"/>
      <c r="NCH226" s="21"/>
      <c r="NCI226" s="21"/>
      <c r="NCL226" s="21"/>
      <c r="NCM226" s="15"/>
      <c r="NCN226" s="15"/>
      <c r="NCO226" s="15"/>
      <c r="NCP226" s="15"/>
      <c r="NCQ226" s="15"/>
      <c r="NCR226" s="15"/>
      <c r="NCS226" s="15"/>
      <c r="NCT226" s="15"/>
      <c r="NCU226" s="15"/>
      <c r="NCV226" s="15"/>
      <c r="NCW226" s="10"/>
      <c r="NCX226" s="10"/>
      <c r="NCY226" s="21"/>
      <c r="NCZ226" s="21"/>
      <c r="NDC226" s="21"/>
      <c r="NDD226" s="15"/>
      <c r="NDE226" s="15"/>
      <c r="NDF226" s="15"/>
      <c r="NDG226" s="15"/>
      <c r="NDH226" s="15"/>
      <c r="NDI226" s="15"/>
      <c r="NDJ226" s="15"/>
      <c r="NDK226" s="15"/>
      <c r="NDL226" s="15"/>
      <c r="NDM226" s="15"/>
      <c r="NDN226" s="10"/>
      <c r="NDO226" s="10"/>
      <c r="NDP226" s="21"/>
      <c r="NDQ226" s="21"/>
      <c r="NDT226" s="21"/>
      <c r="NDU226" s="15"/>
      <c r="NDV226" s="15"/>
      <c r="NDW226" s="15"/>
      <c r="NDX226" s="15"/>
      <c r="NDY226" s="15"/>
      <c r="NDZ226" s="15"/>
      <c r="NEA226" s="15"/>
      <c r="NEB226" s="15"/>
      <c r="NEC226" s="15"/>
      <c r="NED226" s="15"/>
      <c r="NEE226" s="10"/>
      <c r="NEF226" s="10"/>
      <c r="NEG226" s="21"/>
      <c r="NEH226" s="21"/>
      <c r="NEK226" s="21"/>
      <c r="NEL226" s="15"/>
      <c r="NEM226" s="15"/>
      <c r="NEN226" s="15"/>
      <c r="NEO226" s="15"/>
      <c r="NEP226" s="15"/>
      <c r="NEQ226" s="15"/>
      <c r="NER226" s="15"/>
      <c r="NES226" s="15"/>
      <c r="NET226" s="15"/>
      <c r="NEU226" s="15"/>
      <c r="NEV226" s="10"/>
      <c r="NEW226" s="10"/>
      <c r="NEX226" s="21"/>
      <c r="NEY226" s="21"/>
      <c r="NFB226" s="21"/>
      <c r="NFC226" s="15"/>
      <c r="NFD226" s="15"/>
      <c r="NFE226" s="15"/>
      <c r="NFF226" s="15"/>
      <c r="NFG226" s="15"/>
      <c r="NFH226" s="15"/>
      <c r="NFI226" s="15"/>
      <c r="NFJ226" s="15"/>
      <c r="NFK226" s="15"/>
      <c r="NFL226" s="15"/>
      <c r="NFM226" s="10"/>
      <c r="NFN226" s="10"/>
      <c r="NFO226" s="21"/>
      <c r="NFP226" s="21"/>
      <c r="NFS226" s="21"/>
      <c r="NFT226" s="15"/>
      <c r="NFU226" s="15"/>
      <c r="NFV226" s="15"/>
      <c r="NFW226" s="15"/>
      <c r="NFX226" s="15"/>
      <c r="NFY226" s="15"/>
      <c r="NFZ226" s="15"/>
      <c r="NGA226" s="15"/>
      <c r="NGB226" s="15"/>
      <c r="NGC226" s="15"/>
      <c r="NGD226" s="10"/>
      <c r="NGE226" s="10"/>
      <c r="NGF226" s="21"/>
      <c r="NGG226" s="21"/>
      <c r="NGJ226" s="21"/>
      <c r="NGK226" s="15"/>
      <c r="NGL226" s="15"/>
      <c r="NGM226" s="15"/>
      <c r="NGN226" s="15"/>
      <c r="NGO226" s="15"/>
      <c r="NGP226" s="15"/>
      <c r="NGQ226" s="15"/>
      <c r="NGR226" s="15"/>
      <c r="NGS226" s="15"/>
      <c r="NGT226" s="15"/>
      <c r="NGU226" s="10"/>
      <c r="NGV226" s="10"/>
      <c r="NGW226" s="21"/>
      <c r="NGX226" s="21"/>
      <c r="NHA226" s="21"/>
      <c r="NHB226" s="15"/>
      <c r="NHC226" s="15"/>
      <c r="NHD226" s="15"/>
      <c r="NHE226" s="15"/>
      <c r="NHF226" s="15"/>
      <c r="NHG226" s="15"/>
      <c r="NHH226" s="15"/>
      <c r="NHI226" s="15"/>
      <c r="NHJ226" s="15"/>
      <c r="NHK226" s="15"/>
      <c r="NHL226" s="10"/>
      <c r="NHM226" s="10"/>
      <c r="NHN226" s="21"/>
      <c r="NHO226" s="21"/>
      <c r="NHR226" s="21"/>
      <c r="NHS226" s="15"/>
      <c r="NHT226" s="15"/>
      <c r="NHU226" s="15"/>
      <c r="NHV226" s="15"/>
      <c r="NHW226" s="15"/>
      <c r="NHX226" s="15"/>
      <c r="NHY226" s="15"/>
      <c r="NHZ226" s="15"/>
      <c r="NIA226" s="15"/>
      <c r="NIB226" s="15"/>
      <c r="NIC226" s="10"/>
      <c r="NID226" s="10"/>
      <c r="NIE226" s="21"/>
      <c r="NIF226" s="21"/>
      <c r="NII226" s="21"/>
      <c r="NIJ226" s="15"/>
      <c r="NIK226" s="15"/>
      <c r="NIL226" s="15"/>
      <c r="NIM226" s="15"/>
      <c r="NIN226" s="15"/>
      <c r="NIO226" s="15"/>
      <c r="NIP226" s="15"/>
      <c r="NIQ226" s="15"/>
      <c r="NIR226" s="15"/>
      <c r="NIS226" s="15"/>
      <c r="NIT226" s="10"/>
      <c r="NIU226" s="10"/>
      <c r="NIV226" s="21"/>
      <c r="NIW226" s="21"/>
      <c r="NIZ226" s="21"/>
      <c r="NJA226" s="15"/>
      <c r="NJB226" s="15"/>
      <c r="NJC226" s="15"/>
      <c r="NJD226" s="15"/>
      <c r="NJE226" s="15"/>
      <c r="NJF226" s="15"/>
      <c r="NJG226" s="15"/>
      <c r="NJH226" s="15"/>
      <c r="NJI226" s="15"/>
      <c r="NJJ226" s="15"/>
      <c r="NJK226" s="10"/>
      <c r="NJL226" s="10"/>
      <c r="NJM226" s="21"/>
      <c r="NJN226" s="21"/>
      <c r="NJQ226" s="21"/>
      <c r="NJR226" s="15"/>
      <c r="NJS226" s="15"/>
      <c r="NJT226" s="15"/>
      <c r="NJU226" s="15"/>
      <c r="NJV226" s="15"/>
      <c r="NJW226" s="15"/>
      <c r="NJX226" s="15"/>
      <c r="NJY226" s="15"/>
      <c r="NJZ226" s="15"/>
      <c r="NKA226" s="15"/>
      <c r="NKB226" s="10"/>
      <c r="NKC226" s="10"/>
      <c r="NKD226" s="21"/>
      <c r="NKE226" s="21"/>
      <c r="NKH226" s="21"/>
      <c r="NKI226" s="15"/>
      <c r="NKJ226" s="15"/>
      <c r="NKK226" s="15"/>
      <c r="NKL226" s="15"/>
      <c r="NKM226" s="15"/>
      <c r="NKN226" s="15"/>
      <c r="NKO226" s="15"/>
      <c r="NKP226" s="15"/>
      <c r="NKQ226" s="15"/>
      <c r="NKR226" s="15"/>
      <c r="NKS226" s="10"/>
      <c r="NKT226" s="10"/>
      <c r="NKU226" s="21"/>
      <c r="NKV226" s="21"/>
      <c r="NKY226" s="21"/>
      <c r="NKZ226" s="15"/>
      <c r="NLA226" s="15"/>
      <c r="NLB226" s="15"/>
      <c r="NLC226" s="15"/>
      <c r="NLD226" s="15"/>
      <c r="NLE226" s="15"/>
      <c r="NLF226" s="15"/>
      <c r="NLG226" s="15"/>
      <c r="NLH226" s="15"/>
      <c r="NLI226" s="15"/>
      <c r="NLJ226" s="10"/>
      <c r="NLK226" s="10"/>
      <c r="NLL226" s="21"/>
      <c r="NLM226" s="21"/>
      <c r="NLP226" s="21"/>
      <c r="NLQ226" s="15"/>
      <c r="NLR226" s="15"/>
      <c r="NLS226" s="15"/>
      <c r="NLT226" s="15"/>
      <c r="NLU226" s="15"/>
      <c r="NLV226" s="15"/>
      <c r="NLW226" s="15"/>
      <c r="NLX226" s="15"/>
      <c r="NLY226" s="15"/>
      <c r="NLZ226" s="15"/>
      <c r="NMA226" s="10"/>
      <c r="NMB226" s="10"/>
      <c r="NMC226" s="21"/>
      <c r="NMD226" s="21"/>
      <c r="NMG226" s="21"/>
      <c r="NMH226" s="15"/>
      <c r="NMI226" s="15"/>
      <c r="NMJ226" s="15"/>
      <c r="NMK226" s="15"/>
      <c r="NML226" s="15"/>
      <c r="NMM226" s="15"/>
      <c r="NMN226" s="15"/>
      <c r="NMO226" s="15"/>
      <c r="NMP226" s="15"/>
      <c r="NMQ226" s="15"/>
      <c r="NMR226" s="10"/>
      <c r="NMS226" s="10"/>
      <c r="NMT226" s="21"/>
      <c r="NMU226" s="21"/>
      <c r="NMX226" s="21"/>
      <c r="NMY226" s="15"/>
      <c r="NMZ226" s="15"/>
      <c r="NNA226" s="15"/>
      <c r="NNB226" s="15"/>
      <c r="NNC226" s="15"/>
      <c r="NND226" s="15"/>
      <c r="NNE226" s="15"/>
      <c r="NNF226" s="15"/>
      <c r="NNG226" s="15"/>
      <c r="NNH226" s="15"/>
      <c r="NNI226" s="10"/>
      <c r="NNJ226" s="10"/>
      <c r="NNK226" s="21"/>
      <c r="NNL226" s="21"/>
      <c r="NNO226" s="21"/>
      <c r="NNP226" s="15"/>
      <c r="NNQ226" s="15"/>
      <c r="NNR226" s="15"/>
      <c r="NNS226" s="15"/>
      <c r="NNT226" s="15"/>
      <c r="NNU226" s="15"/>
      <c r="NNV226" s="15"/>
      <c r="NNW226" s="15"/>
      <c r="NNX226" s="15"/>
      <c r="NNY226" s="15"/>
      <c r="NNZ226" s="10"/>
      <c r="NOA226" s="10"/>
      <c r="NOB226" s="21"/>
      <c r="NOC226" s="21"/>
      <c r="NOF226" s="21"/>
      <c r="NOG226" s="15"/>
      <c r="NOH226" s="15"/>
      <c r="NOI226" s="15"/>
      <c r="NOJ226" s="15"/>
      <c r="NOK226" s="15"/>
      <c r="NOL226" s="15"/>
      <c r="NOM226" s="15"/>
      <c r="NON226" s="15"/>
      <c r="NOO226" s="15"/>
      <c r="NOP226" s="15"/>
      <c r="NOQ226" s="10"/>
      <c r="NOR226" s="10"/>
      <c r="NOS226" s="21"/>
      <c r="NOT226" s="21"/>
      <c r="NOW226" s="21"/>
      <c r="NOX226" s="15"/>
      <c r="NOY226" s="15"/>
      <c r="NOZ226" s="15"/>
      <c r="NPA226" s="15"/>
      <c r="NPB226" s="15"/>
      <c r="NPC226" s="15"/>
      <c r="NPD226" s="15"/>
      <c r="NPE226" s="15"/>
      <c r="NPF226" s="15"/>
      <c r="NPG226" s="15"/>
      <c r="NPH226" s="10"/>
      <c r="NPI226" s="10"/>
      <c r="NPJ226" s="21"/>
      <c r="NPK226" s="21"/>
      <c r="NPN226" s="21"/>
      <c r="NPO226" s="15"/>
      <c r="NPP226" s="15"/>
      <c r="NPQ226" s="15"/>
      <c r="NPR226" s="15"/>
      <c r="NPS226" s="15"/>
      <c r="NPT226" s="15"/>
      <c r="NPU226" s="15"/>
      <c r="NPV226" s="15"/>
      <c r="NPW226" s="15"/>
      <c r="NPX226" s="15"/>
      <c r="NPY226" s="10"/>
      <c r="NPZ226" s="10"/>
      <c r="NQA226" s="21"/>
      <c r="NQB226" s="21"/>
      <c r="NQE226" s="21"/>
      <c r="NQF226" s="15"/>
      <c r="NQG226" s="15"/>
      <c r="NQH226" s="15"/>
      <c r="NQI226" s="15"/>
      <c r="NQJ226" s="15"/>
      <c r="NQK226" s="15"/>
      <c r="NQL226" s="15"/>
      <c r="NQM226" s="15"/>
      <c r="NQN226" s="15"/>
      <c r="NQO226" s="15"/>
      <c r="NQP226" s="10"/>
      <c r="NQQ226" s="10"/>
      <c r="NQR226" s="21"/>
      <c r="NQS226" s="21"/>
      <c r="NQV226" s="21"/>
      <c r="NQW226" s="15"/>
      <c r="NQX226" s="15"/>
      <c r="NQY226" s="15"/>
      <c r="NQZ226" s="15"/>
      <c r="NRA226" s="15"/>
      <c r="NRB226" s="15"/>
      <c r="NRC226" s="15"/>
      <c r="NRD226" s="15"/>
      <c r="NRE226" s="15"/>
      <c r="NRF226" s="15"/>
      <c r="NRG226" s="10"/>
      <c r="NRH226" s="10"/>
      <c r="NRI226" s="21"/>
      <c r="NRJ226" s="21"/>
      <c r="NRM226" s="21"/>
      <c r="NRN226" s="15"/>
      <c r="NRO226" s="15"/>
      <c r="NRP226" s="15"/>
      <c r="NRQ226" s="15"/>
      <c r="NRR226" s="15"/>
      <c r="NRS226" s="15"/>
      <c r="NRT226" s="15"/>
      <c r="NRU226" s="15"/>
      <c r="NRV226" s="15"/>
      <c r="NRW226" s="15"/>
      <c r="NRX226" s="10"/>
      <c r="NRY226" s="10"/>
      <c r="NRZ226" s="21"/>
      <c r="NSA226" s="21"/>
      <c r="NSD226" s="21"/>
      <c r="NSE226" s="15"/>
      <c r="NSF226" s="15"/>
      <c r="NSG226" s="15"/>
      <c r="NSH226" s="15"/>
      <c r="NSI226" s="15"/>
      <c r="NSJ226" s="15"/>
      <c r="NSK226" s="15"/>
      <c r="NSL226" s="15"/>
      <c r="NSM226" s="15"/>
      <c r="NSN226" s="15"/>
      <c r="NSO226" s="10"/>
      <c r="NSP226" s="10"/>
      <c r="NSQ226" s="21"/>
      <c r="NSR226" s="21"/>
      <c r="NSU226" s="21"/>
      <c r="NSV226" s="15"/>
      <c r="NSW226" s="15"/>
      <c r="NSX226" s="15"/>
      <c r="NSY226" s="15"/>
      <c r="NSZ226" s="15"/>
      <c r="NTA226" s="15"/>
      <c r="NTB226" s="15"/>
      <c r="NTC226" s="15"/>
      <c r="NTD226" s="15"/>
      <c r="NTE226" s="15"/>
      <c r="NTF226" s="10"/>
      <c r="NTG226" s="10"/>
      <c r="NTH226" s="21"/>
      <c r="NTI226" s="21"/>
      <c r="NTL226" s="21"/>
      <c r="NTM226" s="15"/>
      <c r="NTN226" s="15"/>
      <c r="NTO226" s="15"/>
      <c r="NTP226" s="15"/>
      <c r="NTQ226" s="15"/>
      <c r="NTR226" s="15"/>
      <c r="NTS226" s="15"/>
      <c r="NTT226" s="15"/>
      <c r="NTU226" s="15"/>
      <c r="NTV226" s="15"/>
      <c r="NTW226" s="10"/>
      <c r="NTX226" s="10"/>
      <c r="NTY226" s="21"/>
      <c r="NTZ226" s="21"/>
      <c r="NUC226" s="21"/>
      <c r="NUD226" s="15"/>
      <c r="NUE226" s="15"/>
      <c r="NUF226" s="15"/>
      <c r="NUG226" s="15"/>
      <c r="NUH226" s="15"/>
      <c r="NUI226" s="15"/>
      <c r="NUJ226" s="15"/>
      <c r="NUK226" s="15"/>
      <c r="NUL226" s="15"/>
      <c r="NUM226" s="15"/>
      <c r="NUN226" s="10"/>
      <c r="NUO226" s="10"/>
      <c r="NUP226" s="21"/>
      <c r="NUQ226" s="21"/>
      <c r="NUT226" s="21"/>
      <c r="NUU226" s="15"/>
      <c r="NUV226" s="15"/>
      <c r="NUW226" s="15"/>
      <c r="NUX226" s="15"/>
      <c r="NUY226" s="15"/>
      <c r="NUZ226" s="15"/>
      <c r="NVA226" s="15"/>
      <c r="NVB226" s="15"/>
      <c r="NVC226" s="15"/>
      <c r="NVD226" s="15"/>
      <c r="NVE226" s="10"/>
      <c r="NVF226" s="10"/>
      <c r="NVG226" s="21"/>
      <c r="NVH226" s="21"/>
      <c r="NVK226" s="21"/>
      <c r="NVL226" s="15"/>
      <c r="NVM226" s="15"/>
      <c r="NVN226" s="15"/>
      <c r="NVO226" s="15"/>
      <c r="NVP226" s="15"/>
      <c r="NVQ226" s="15"/>
      <c r="NVR226" s="15"/>
      <c r="NVS226" s="15"/>
      <c r="NVT226" s="15"/>
      <c r="NVU226" s="15"/>
      <c r="NVV226" s="10"/>
      <c r="NVW226" s="10"/>
      <c r="NVX226" s="21"/>
      <c r="NVY226" s="21"/>
      <c r="NWB226" s="21"/>
      <c r="NWC226" s="15"/>
      <c r="NWD226" s="15"/>
      <c r="NWE226" s="15"/>
      <c r="NWF226" s="15"/>
      <c r="NWG226" s="15"/>
      <c r="NWH226" s="15"/>
      <c r="NWI226" s="15"/>
      <c r="NWJ226" s="15"/>
      <c r="NWK226" s="15"/>
      <c r="NWL226" s="15"/>
      <c r="NWM226" s="10"/>
      <c r="NWN226" s="10"/>
      <c r="NWO226" s="21"/>
      <c r="NWP226" s="21"/>
      <c r="NWS226" s="21"/>
      <c r="NWT226" s="15"/>
      <c r="NWU226" s="15"/>
      <c r="NWV226" s="15"/>
      <c r="NWW226" s="15"/>
      <c r="NWX226" s="15"/>
      <c r="NWY226" s="15"/>
      <c r="NWZ226" s="15"/>
      <c r="NXA226" s="15"/>
      <c r="NXB226" s="15"/>
      <c r="NXC226" s="15"/>
      <c r="NXD226" s="10"/>
      <c r="NXE226" s="10"/>
      <c r="NXF226" s="21"/>
      <c r="NXG226" s="21"/>
      <c r="NXJ226" s="21"/>
      <c r="NXK226" s="15"/>
      <c r="NXL226" s="15"/>
      <c r="NXM226" s="15"/>
      <c r="NXN226" s="15"/>
      <c r="NXO226" s="15"/>
      <c r="NXP226" s="15"/>
      <c r="NXQ226" s="15"/>
      <c r="NXR226" s="15"/>
      <c r="NXS226" s="15"/>
      <c r="NXT226" s="15"/>
      <c r="NXU226" s="10"/>
      <c r="NXV226" s="10"/>
      <c r="NXW226" s="21"/>
      <c r="NXX226" s="21"/>
      <c r="NYA226" s="21"/>
      <c r="NYB226" s="15"/>
      <c r="NYC226" s="15"/>
      <c r="NYD226" s="15"/>
      <c r="NYE226" s="15"/>
      <c r="NYF226" s="15"/>
      <c r="NYG226" s="15"/>
      <c r="NYH226" s="15"/>
      <c r="NYI226" s="15"/>
      <c r="NYJ226" s="15"/>
      <c r="NYK226" s="15"/>
      <c r="NYL226" s="10"/>
      <c r="NYM226" s="10"/>
      <c r="NYN226" s="21"/>
      <c r="NYO226" s="21"/>
      <c r="NYR226" s="21"/>
      <c r="NYS226" s="15"/>
      <c r="NYT226" s="15"/>
      <c r="NYU226" s="15"/>
      <c r="NYV226" s="15"/>
      <c r="NYW226" s="15"/>
      <c r="NYX226" s="15"/>
      <c r="NYY226" s="15"/>
      <c r="NYZ226" s="15"/>
      <c r="NZA226" s="15"/>
      <c r="NZB226" s="15"/>
      <c r="NZC226" s="10"/>
      <c r="NZD226" s="10"/>
      <c r="NZE226" s="21"/>
      <c r="NZF226" s="21"/>
      <c r="NZI226" s="21"/>
      <c r="NZJ226" s="15"/>
      <c r="NZK226" s="15"/>
      <c r="NZL226" s="15"/>
      <c r="NZM226" s="15"/>
      <c r="NZN226" s="15"/>
      <c r="NZO226" s="15"/>
      <c r="NZP226" s="15"/>
      <c r="NZQ226" s="15"/>
      <c r="NZR226" s="15"/>
      <c r="NZS226" s="15"/>
      <c r="NZT226" s="10"/>
      <c r="NZU226" s="10"/>
      <c r="NZV226" s="21"/>
      <c r="NZW226" s="21"/>
      <c r="NZZ226" s="21"/>
      <c r="OAA226" s="15"/>
      <c r="OAB226" s="15"/>
      <c r="OAC226" s="15"/>
      <c r="OAD226" s="15"/>
      <c r="OAE226" s="15"/>
      <c r="OAF226" s="15"/>
      <c r="OAG226" s="15"/>
      <c r="OAH226" s="15"/>
      <c r="OAI226" s="15"/>
      <c r="OAJ226" s="15"/>
      <c r="OAK226" s="10"/>
      <c r="OAL226" s="10"/>
      <c r="OAM226" s="21"/>
      <c r="OAN226" s="21"/>
      <c r="OAQ226" s="21"/>
      <c r="OAR226" s="15"/>
      <c r="OAS226" s="15"/>
      <c r="OAT226" s="15"/>
      <c r="OAU226" s="15"/>
      <c r="OAV226" s="15"/>
      <c r="OAW226" s="15"/>
      <c r="OAX226" s="15"/>
      <c r="OAY226" s="15"/>
      <c r="OAZ226" s="15"/>
      <c r="OBA226" s="15"/>
      <c r="OBB226" s="10"/>
      <c r="OBC226" s="10"/>
      <c r="OBD226" s="21"/>
      <c r="OBE226" s="21"/>
      <c r="OBH226" s="21"/>
      <c r="OBI226" s="15"/>
      <c r="OBJ226" s="15"/>
      <c r="OBK226" s="15"/>
      <c r="OBL226" s="15"/>
      <c r="OBM226" s="15"/>
      <c r="OBN226" s="15"/>
      <c r="OBO226" s="15"/>
      <c r="OBP226" s="15"/>
      <c r="OBQ226" s="15"/>
      <c r="OBR226" s="15"/>
      <c r="OBS226" s="10"/>
      <c r="OBT226" s="10"/>
      <c r="OBU226" s="21"/>
      <c r="OBV226" s="21"/>
      <c r="OBY226" s="21"/>
      <c r="OBZ226" s="15"/>
      <c r="OCA226" s="15"/>
      <c r="OCB226" s="15"/>
      <c r="OCC226" s="15"/>
      <c r="OCD226" s="15"/>
      <c r="OCE226" s="15"/>
      <c r="OCF226" s="15"/>
      <c r="OCG226" s="15"/>
      <c r="OCH226" s="15"/>
      <c r="OCI226" s="15"/>
      <c r="OCJ226" s="10"/>
      <c r="OCK226" s="10"/>
      <c r="OCL226" s="21"/>
      <c r="OCM226" s="21"/>
      <c r="OCP226" s="21"/>
      <c r="OCQ226" s="15"/>
      <c r="OCR226" s="15"/>
      <c r="OCS226" s="15"/>
      <c r="OCT226" s="15"/>
      <c r="OCU226" s="15"/>
      <c r="OCV226" s="15"/>
      <c r="OCW226" s="15"/>
      <c r="OCX226" s="15"/>
      <c r="OCY226" s="15"/>
      <c r="OCZ226" s="15"/>
      <c r="ODA226" s="10"/>
      <c r="ODB226" s="10"/>
      <c r="ODC226" s="21"/>
      <c r="ODD226" s="21"/>
      <c r="ODG226" s="21"/>
      <c r="ODH226" s="15"/>
      <c r="ODI226" s="15"/>
      <c r="ODJ226" s="15"/>
      <c r="ODK226" s="15"/>
      <c r="ODL226" s="15"/>
      <c r="ODM226" s="15"/>
      <c r="ODN226" s="15"/>
      <c r="ODO226" s="15"/>
      <c r="ODP226" s="15"/>
      <c r="ODQ226" s="15"/>
      <c r="ODR226" s="10"/>
      <c r="ODS226" s="10"/>
      <c r="ODT226" s="21"/>
      <c r="ODU226" s="21"/>
      <c r="ODX226" s="21"/>
      <c r="ODY226" s="15"/>
      <c r="ODZ226" s="15"/>
      <c r="OEA226" s="15"/>
      <c r="OEB226" s="15"/>
      <c r="OEC226" s="15"/>
      <c r="OED226" s="15"/>
      <c r="OEE226" s="15"/>
      <c r="OEF226" s="15"/>
      <c r="OEG226" s="15"/>
      <c r="OEH226" s="15"/>
      <c r="OEI226" s="10"/>
      <c r="OEJ226" s="10"/>
      <c r="OEK226" s="21"/>
      <c r="OEL226" s="21"/>
      <c r="OEO226" s="21"/>
      <c r="OEP226" s="15"/>
      <c r="OEQ226" s="15"/>
      <c r="OER226" s="15"/>
      <c r="OES226" s="15"/>
      <c r="OET226" s="15"/>
      <c r="OEU226" s="15"/>
      <c r="OEV226" s="15"/>
      <c r="OEW226" s="15"/>
      <c r="OEX226" s="15"/>
      <c r="OEY226" s="15"/>
      <c r="OEZ226" s="10"/>
      <c r="OFA226" s="10"/>
      <c r="OFB226" s="21"/>
      <c r="OFC226" s="21"/>
      <c r="OFF226" s="21"/>
      <c r="OFG226" s="15"/>
      <c r="OFH226" s="15"/>
      <c r="OFI226" s="15"/>
      <c r="OFJ226" s="15"/>
      <c r="OFK226" s="15"/>
      <c r="OFL226" s="15"/>
      <c r="OFM226" s="15"/>
      <c r="OFN226" s="15"/>
      <c r="OFO226" s="15"/>
      <c r="OFP226" s="15"/>
      <c r="OFQ226" s="10"/>
      <c r="OFR226" s="10"/>
      <c r="OFS226" s="21"/>
      <c r="OFT226" s="21"/>
      <c r="OFW226" s="21"/>
      <c r="OFX226" s="15"/>
      <c r="OFY226" s="15"/>
      <c r="OFZ226" s="15"/>
      <c r="OGA226" s="15"/>
      <c r="OGB226" s="15"/>
      <c r="OGC226" s="15"/>
      <c r="OGD226" s="15"/>
      <c r="OGE226" s="15"/>
      <c r="OGF226" s="15"/>
      <c r="OGG226" s="15"/>
      <c r="OGH226" s="10"/>
      <c r="OGI226" s="10"/>
      <c r="OGJ226" s="21"/>
      <c r="OGK226" s="21"/>
      <c r="OGN226" s="21"/>
      <c r="OGO226" s="15"/>
      <c r="OGP226" s="15"/>
      <c r="OGQ226" s="15"/>
      <c r="OGR226" s="15"/>
      <c r="OGS226" s="15"/>
      <c r="OGT226" s="15"/>
      <c r="OGU226" s="15"/>
      <c r="OGV226" s="15"/>
      <c r="OGW226" s="15"/>
      <c r="OGX226" s="15"/>
      <c r="OGY226" s="10"/>
      <c r="OGZ226" s="10"/>
      <c r="OHA226" s="21"/>
      <c r="OHB226" s="21"/>
      <c r="OHE226" s="21"/>
      <c r="OHF226" s="15"/>
      <c r="OHG226" s="15"/>
      <c r="OHH226" s="15"/>
      <c r="OHI226" s="15"/>
      <c r="OHJ226" s="15"/>
      <c r="OHK226" s="15"/>
      <c r="OHL226" s="15"/>
      <c r="OHM226" s="15"/>
      <c r="OHN226" s="15"/>
      <c r="OHO226" s="15"/>
      <c r="OHP226" s="10"/>
      <c r="OHQ226" s="10"/>
      <c r="OHR226" s="21"/>
      <c r="OHS226" s="21"/>
      <c r="OHV226" s="21"/>
      <c r="OHW226" s="15"/>
      <c r="OHX226" s="15"/>
      <c r="OHY226" s="15"/>
      <c r="OHZ226" s="15"/>
      <c r="OIA226" s="15"/>
      <c r="OIB226" s="15"/>
      <c r="OIC226" s="15"/>
      <c r="OID226" s="15"/>
      <c r="OIE226" s="15"/>
      <c r="OIF226" s="15"/>
      <c r="OIG226" s="10"/>
      <c r="OIH226" s="10"/>
      <c r="OII226" s="21"/>
      <c r="OIJ226" s="21"/>
      <c r="OIM226" s="21"/>
      <c r="OIN226" s="15"/>
      <c r="OIO226" s="15"/>
      <c r="OIP226" s="15"/>
      <c r="OIQ226" s="15"/>
      <c r="OIR226" s="15"/>
      <c r="OIS226" s="15"/>
      <c r="OIT226" s="15"/>
      <c r="OIU226" s="15"/>
      <c r="OIV226" s="15"/>
      <c r="OIW226" s="15"/>
      <c r="OIX226" s="10"/>
      <c r="OIY226" s="10"/>
      <c r="OIZ226" s="21"/>
      <c r="OJA226" s="21"/>
      <c r="OJD226" s="21"/>
      <c r="OJE226" s="15"/>
      <c r="OJF226" s="15"/>
      <c r="OJG226" s="15"/>
      <c r="OJH226" s="15"/>
      <c r="OJI226" s="15"/>
      <c r="OJJ226" s="15"/>
      <c r="OJK226" s="15"/>
      <c r="OJL226" s="15"/>
      <c r="OJM226" s="15"/>
      <c r="OJN226" s="15"/>
      <c r="OJO226" s="10"/>
      <c r="OJP226" s="10"/>
      <c r="OJQ226" s="21"/>
      <c r="OJR226" s="21"/>
      <c r="OJU226" s="21"/>
      <c r="OJV226" s="15"/>
      <c r="OJW226" s="15"/>
      <c r="OJX226" s="15"/>
      <c r="OJY226" s="15"/>
      <c r="OJZ226" s="15"/>
      <c r="OKA226" s="15"/>
      <c r="OKB226" s="15"/>
      <c r="OKC226" s="15"/>
      <c r="OKD226" s="15"/>
      <c r="OKE226" s="15"/>
      <c r="OKF226" s="10"/>
      <c r="OKG226" s="10"/>
      <c r="OKH226" s="21"/>
      <c r="OKI226" s="21"/>
      <c r="OKL226" s="21"/>
      <c r="OKM226" s="15"/>
      <c r="OKN226" s="15"/>
      <c r="OKO226" s="15"/>
      <c r="OKP226" s="15"/>
      <c r="OKQ226" s="15"/>
      <c r="OKR226" s="15"/>
      <c r="OKS226" s="15"/>
      <c r="OKT226" s="15"/>
      <c r="OKU226" s="15"/>
      <c r="OKV226" s="15"/>
      <c r="OKW226" s="10"/>
      <c r="OKX226" s="10"/>
      <c r="OKY226" s="21"/>
      <c r="OKZ226" s="21"/>
      <c r="OLC226" s="21"/>
      <c r="OLD226" s="15"/>
      <c r="OLE226" s="15"/>
      <c r="OLF226" s="15"/>
      <c r="OLG226" s="15"/>
      <c r="OLH226" s="15"/>
      <c r="OLI226" s="15"/>
      <c r="OLJ226" s="15"/>
      <c r="OLK226" s="15"/>
      <c r="OLL226" s="15"/>
      <c r="OLM226" s="15"/>
      <c r="OLN226" s="10"/>
      <c r="OLO226" s="10"/>
      <c r="OLP226" s="21"/>
      <c r="OLQ226" s="21"/>
      <c r="OLT226" s="21"/>
      <c r="OLU226" s="15"/>
      <c r="OLV226" s="15"/>
      <c r="OLW226" s="15"/>
      <c r="OLX226" s="15"/>
      <c r="OLY226" s="15"/>
      <c r="OLZ226" s="15"/>
      <c r="OMA226" s="15"/>
      <c r="OMB226" s="15"/>
      <c r="OMC226" s="15"/>
      <c r="OMD226" s="15"/>
      <c r="OME226" s="10"/>
      <c r="OMF226" s="10"/>
      <c r="OMG226" s="21"/>
      <c r="OMH226" s="21"/>
      <c r="OMK226" s="21"/>
      <c r="OML226" s="15"/>
      <c r="OMM226" s="15"/>
      <c r="OMN226" s="15"/>
      <c r="OMO226" s="15"/>
      <c r="OMP226" s="15"/>
      <c r="OMQ226" s="15"/>
      <c r="OMR226" s="15"/>
      <c r="OMS226" s="15"/>
      <c r="OMT226" s="15"/>
      <c r="OMU226" s="15"/>
      <c r="OMV226" s="10"/>
      <c r="OMW226" s="10"/>
      <c r="OMX226" s="21"/>
      <c r="OMY226" s="21"/>
      <c r="ONB226" s="21"/>
      <c r="ONC226" s="15"/>
      <c r="OND226" s="15"/>
      <c r="ONE226" s="15"/>
      <c r="ONF226" s="15"/>
      <c r="ONG226" s="15"/>
      <c r="ONH226" s="15"/>
      <c r="ONI226" s="15"/>
      <c r="ONJ226" s="15"/>
      <c r="ONK226" s="15"/>
      <c r="ONL226" s="15"/>
      <c r="ONM226" s="10"/>
      <c r="ONN226" s="10"/>
      <c r="ONO226" s="21"/>
      <c r="ONP226" s="21"/>
      <c r="ONS226" s="21"/>
      <c r="ONT226" s="15"/>
      <c r="ONU226" s="15"/>
      <c r="ONV226" s="15"/>
      <c r="ONW226" s="15"/>
      <c r="ONX226" s="15"/>
      <c r="ONY226" s="15"/>
      <c r="ONZ226" s="15"/>
      <c r="OOA226" s="15"/>
      <c r="OOB226" s="15"/>
      <c r="OOC226" s="15"/>
      <c r="OOD226" s="10"/>
      <c r="OOE226" s="10"/>
      <c r="OOF226" s="21"/>
      <c r="OOG226" s="21"/>
      <c r="OOJ226" s="21"/>
      <c r="OOK226" s="15"/>
      <c r="OOL226" s="15"/>
      <c r="OOM226" s="15"/>
      <c r="OON226" s="15"/>
      <c r="OOO226" s="15"/>
      <c r="OOP226" s="15"/>
      <c r="OOQ226" s="15"/>
      <c r="OOR226" s="15"/>
      <c r="OOS226" s="15"/>
      <c r="OOT226" s="15"/>
      <c r="OOU226" s="10"/>
      <c r="OOV226" s="10"/>
      <c r="OOW226" s="21"/>
      <c r="OOX226" s="21"/>
      <c r="OPA226" s="21"/>
      <c r="OPB226" s="15"/>
      <c r="OPC226" s="15"/>
      <c r="OPD226" s="15"/>
      <c r="OPE226" s="15"/>
      <c r="OPF226" s="15"/>
      <c r="OPG226" s="15"/>
      <c r="OPH226" s="15"/>
      <c r="OPI226" s="15"/>
      <c r="OPJ226" s="15"/>
      <c r="OPK226" s="15"/>
      <c r="OPL226" s="10"/>
      <c r="OPM226" s="10"/>
      <c r="OPN226" s="21"/>
      <c r="OPO226" s="21"/>
      <c r="OPR226" s="21"/>
      <c r="OPS226" s="15"/>
      <c r="OPT226" s="15"/>
      <c r="OPU226" s="15"/>
      <c r="OPV226" s="15"/>
      <c r="OPW226" s="15"/>
      <c r="OPX226" s="15"/>
      <c r="OPY226" s="15"/>
      <c r="OPZ226" s="15"/>
      <c r="OQA226" s="15"/>
      <c r="OQB226" s="15"/>
      <c r="OQC226" s="10"/>
      <c r="OQD226" s="10"/>
      <c r="OQE226" s="21"/>
      <c r="OQF226" s="21"/>
      <c r="OQI226" s="21"/>
      <c r="OQJ226" s="15"/>
      <c r="OQK226" s="15"/>
      <c r="OQL226" s="15"/>
      <c r="OQM226" s="15"/>
      <c r="OQN226" s="15"/>
      <c r="OQO226" s="15"/>
      <c r="OQP226" s="15"/>
      <c r="OQQ226" s="15"/>
      <c r="OQR226" s="15"/>
      <c r="OQS226" s="15"/>
      <c r="OQT226" s="10"/>
      <c r="OQU226" s="10"/>
      <c r="OQV226" s="21"/>
      <c r="OQW226" s="21"/>
      <c r="OQZ226" s="21"/>
      <c r="ORA226" s="15"/>
      <c r="ORB226" s="15"/>
      <c r="ORC226" s="15"/>
      <c r="ORD226" s="15"/>
      <c r="ORE226" s="15"/>
      <c r="ORF226" s="15"/>
      <c r="ORG226" s="15"/>
      <c r="ORH226" s="15"/>
      <c r="ORI226" s="15"/>
      <c r="ORJ226" s="15"/>
      <c r="ORK226" s="10"/>
      <c r="ORL226" s="10"/>
      <c r="ORM226" s="21"/>
      <c r="ORN226" s="21"/>
      <c r="ORQ226" s="21"/>
      <c r="ORR226" s="15"/>
      <c r="ORS226" s="15"/>
      <c r="ORT226" s="15"/>
      <c r="ORU226" s="15"/>
      <c r="ORV226" s="15"/>
      <c r="ORW226" s="15"/>
      <c r="ORX226" s="15"/>
      <c r="ORY226" s="15"/>
      <c r="ORZ226" s="15"/>
      <c r="OSA226" s="15"/>
      <c r="OSB226" s="10"/>
      <c r="OSC226" s="10"/>
      <c r="OSD226" s="21"/>
      <c r="OSE226" s="21"/>
      <c r="OSH226" s="21"/>
      <c r="OSI226" s="15"/>
      <c r="OSJ226" s="15"/>
      <c r="OSK226" s="15"/>
      <c r="OSL226" s="15"/>
      <c r="OSM226" s="15"/>
      <c r="OSN226" s="15"/>
      <c r="OSO226" s="15"/>
      <c r="OSP226" s="15"/>
      <c r="OSQ226" s="15"/>
      <c r="OSR226" s="15"/>
      <c r="OSS226" s="10"/>
      <c r="OST226" s="10"/>
      <c r="OSU226" s="21"/>
      <c r="OSV226" s="21"/>
      <c r="OSY226" s="21"/>
      <c r="OSZ226" s="15"/>
      <c r="OTA226" s="15"/>
      <c r="OTB226" s="15"/>
      <c r="OTC226" s="15"/>
      <c r="OTD226" s="15"/>
      <c r="OTE226" s="15"/>
      <c r="OTF226" s="15"/>
      <c r="OTG226" s="15"/>
      <c r="OTH226" s="15"/>
      <c r="OTI226" s="15"/>
      <c r="OTJ226" s="10"/>
      <c r="OTK226" s="10"/>
      <c r="OTL226" s="21"/>
      <c r="OTM226" s="21"/>
      <c r="OTP226" s="21"/>
      <c r="OTQ226" s="15"/>
      <c r="OTR226" s="15"/>
      <c r="OTS226" s="15"/>
      <c r="OTT226" s="15"/>
      <c r="OTU226" s="15"/>
      <c r="OTV226" s="15"/>
      <c r="OTW226" s="15"/>
      <c r="OTX226" s="15"/>
      <c r="OTY226" s="15"/>
      <c r="OTZ226" s="15"/>
      <c r="OUA226" s="10"/>
      <c r="OUB226" s="10"/>
      <c r="OUC226" s="21"/>
      <c r="OUD226" s="21"/>
      <c r="OUG226" s="21"/>
      <c r="OUH226" s="15"/>
      <c r="OUI226" s="15"/>
      <c r="OUJ226" s="15"/>
      <c r="OUK226" s="15"/>
      <c r="OUL226" s="15"/>
      <c r="OUM226" s="15"/>
      <c r="OUN226" s="15"/>
      <c r="OUO226" s="15"/>
      <c r="OUP226" s="15"/>
      <c r="OUQ226" s="15"/>
      <c r="OUR226" s="10"/>
      <c r="OUS226" s="10"/>
      <c r="OUT226" s="21"/>
      <c r="OUU226" s="21"/>
      <c r="OUX226" s="21"/>
      <c r="OUY226" s="15"/>
      <c r="OUZ226" s="15"/>
      <c r="OVA226" s="15"/>
      <c r="OVB226" s="15"/>
      <c r="OVC226" s="15"/>
      <c r="OVD226" s="15"/>
      <c r="OVE226" s="15"/>
      <c r="OVF226" s="15"/>
      <c r="OVG226" s="15"/>
      <c r="OVH226" s="15"/>
      <c r="OVI226" s="10"/>
      <c r="OVJ226" s="10"/>
      <c r="OVK226" s="21"/>
      <c r="OVL226" s="21"/>
      <c r="OVO226" s="21"/>
      <c r="OVP226" s="15"/>
      <c r="OVQ226" s="15"/>
      <c r="OVR226" s="15"/>
      <c r="OVS226" s="15"/>
      <c r="OVT226" s="15"/>
      <c r="OVU226" s="15"/>
      <c r="OVV226" s="15"/>
      <c r="OVW226" s="15"/>
      <c r="OVX226" s="15"/>
      <c r="OVY226" s="15"/>
      <c r="OVZ226" s="10"/>
      <c r="OWA226" s="10"/>
      <c r="OWB226" s="21"/>
      <c r="OWC226" s="21"/>
      <c r="OWF226" s="21"/>
      <c r="OWG226" s="15"/>
      <c r="OWH226" s="15"/>
      <c r="OWI226" s="15"/>
      <c r="OWJ226" s="15"/>
      <c r="OWK226" s="15"/>
      <c r="OWL226" s="15"/>
      <c r="OWM226" s="15"/>
      <c r="OWN226" s="15"/>
      <c r="OWO226" s="15"/>
      <c r="OWP226" s="15"/>
      <c r="OWQ226" s="10"/>
      <c r="OWR226" s="10"/>
      <c r="OWS226" s="21"/>
      <c r="OWT226" s="21"/>
      <c r="OWW226" s="21"/>
      <c r="OWX226" s="15"/>
      <c r="OWY226" s="15"/>
      <c r="OWZ226" s="15"/>
      <c r="OXA226" s="15"/>
      <c r="OXB226" s="15"/>
      <c r="OXC226" s="15"/>
      <c r="OXD226" s="15"/>
      <c r="OXE226" s="15"/>
      <c r="OXF226" s="15"/>
      <c r="OXG226" s="15"/>
      <c r="OXH226" s="10"/>
      <c r="OXI226" s="10"/>
      <c r="OXJ226" s="21"/>
      <c r="OXK226" s="21"/>
      <c r="OXN226" s="21"/>
      <c r="OXO226" s="15"/>
      <c r="OXP226" s="15"/>
      <c r="OXQ226" s="15"/>
      <c r="OXR226" s="15"/>
      <c r="OXS226" s="15"/>
      <c r="OXT226" s="15"/>
      <c r="OXU226" s="15"/>
      <c r="OXV226" s="15"/>
      <c r="OXW226" s="15"/>
      <c r="OXX226" s="15"/>
      <c r="OXY226" s="10"/>
      <c r="OXZ226" s="10"/>
      <c r="OYA226" s="21"/>
      <c r="OYB226" s="21"/>
      <c r="OYE226" s="21"/>
      <c r="OYF226" s="15"/>
      <c r="OYG226" s="15"/>
      <c r="OYH226" s="15"/>
      <c r="OYI226" s="15"/>
      <c r="OYJ226" s="15"/>
      <c r="OYK226" s="15"/>
      <c r="OYL226" s="15"/>
      <c r="OYM226" s="15"/>
      <c r="OYN226" s="15"/>
      <c r="OYO226" s="15"/>
      <c r="OYP226" s="10"/>
      <c r="OYQ226" s="10"/>
      <c r="OYR226" s="21"/>
      <c r="OYS226" s="21"/>
      <c r="OYV226" s="21"/>
      <c r="OYW226" s="15"/>
      <c r="OYX226" s="15"/>
      <c r="OYY226" s="15"/>
      <c r="OYZ226" s="15"/>
      <c r="OZA226" s="15"/>
      <c r="OZB226" s="15"/>
      <c r="OZC226" s="15"/>
      <c r="OZD226" s="15"/>
      <c r="OZE226" s="15"/>
      <c r="OZF226" s="15"/>
      <c r="OZG226" s="10"/>
      <c r="OZH226" s="10"/>
      <c r="OZI226" s="21"/>
      <c r="OZJ226" s="21"/>
      <c r="OZM226" s="21"/>
      <c r="OZN226" s="15"/>
      <c r="OZO226" s="15"/>
      <c r="OZP226" s="15"/>
      <c r="OZQ226" s="15"/>
      <c r="OZR226" s="15"/>
      <c r="OZS226" s="15"/>
      <c r="OZT226" s="15"/>
      <c r="OZU226" s="15"/>
      <c r="OZV226" s="15"/>
      <c r="OZW226" s="15"/>
      <c r="OZX226" s="10"/>
      <c r="OZY226" s="10"/>
      <c r="OZZ226" s="21"/>
      <c r="PAA226" s="21"/>
      <c r="PAD226" s="21"/>
      <c r="PAE226" s="15"/>
      <c r="PAF226" s="15"/>
      <c r="PAG226" s="15"/>
      <c r="PAH226" s="15"/>
      <c r="PAI226" s="15"/>
      <c r="PAJ226" s="15"/>
      <c r="PAK226" s="15"/>
      <c r="PAL226" s="15"/>
      <c r="PAM226" s="15"/>
      <c r="PAN226" s="15"/>
      <c r="PAO226" s="10"/>
      <c r="PAP226" s="10"/>
      <c r="PAQ226" s="21"/>
      <c r="PAR226" s="21"/>
      <c r="PAU226" s="21"/>
      <c r="PAV226" s="15"/>
      <c r="PAW226" s="15"/>
      <c r="PAX226" s="15"/>
      <c r="PAY226" s="15"/>
      <c r="PAZ226" s="15"/>
      <c r="PBA226" s="15"/>
      <c r="PBB226" s="15"/>
      <c r="PBC226" s="15"/>
      <c r="PBD226" s="15"/>
      <c r="PBE226" s="15"/>
      <c r="PBF226" s="10"/>
      <c r="PBG226" s="10"/>
      <c r="PBH226" s="21"/>
      <c r="PBI226" s="21"/>
      <c r="PBL226" s="21"/>
      <c r="PBM226" s="15"/>
      <c r="PBN226" s="15"/>
      <c r="PBO226" s="15"/>
      <c r="PBP226" s="15"/>
      <c r="PBQ226" s="15"/>
      <c r="PBR226" s="15"/>
      <c r="PBS226" s="15"/>
      <c r="PBT226" s="15"/>
      <c r="PBU226" s="15"/>
      <c r="PBV226" s="15"/>
      <c r="PBW226" s="10"/>
      <c r="PBX226" s="10"/>
      <c r="PBY226" s="21"/>
      <c r="PBZ226" s="21"/>
      <c r="PCC226" s="21"/>
      <c r="PCD226" s="15"/>
      <c r="PCE226" s="15"/>
      <c r="PCF226" s="15"/>
      <c r="PCG226" s="15"/>
      <c r="PCH226" s="15"/>
      <c r="PCI226" s="15"/>
      <c r="PCJ226" s="15"/>
      <c r="PCK226" s="15"/>
      <c r="PCL226" s="15"/>
      <c r="PCM226" s="15"/>
      <c r="PCN226" s="10"/>
      <c r="PCO226" s="10"/>
      <c r="PCP226" s="21"/>
      <c r="PCQ226" s="21"/>
      <c r="PCT226" s="21"/>
      <c r="PCU226" s="15"/>
      <c r="PCV226" s="15"/>
      <c r="PCW226" s="15"/>
      <c r="PCX226" s="15"/>
      <c r="PCY226" s="15"/>
      <c r="PCZ226" s="15"/>
      <c r="PDA226" s="15"/>
      <c r="PDB226" s="15"/>
      <c r="PDC226" s="15"/>
      <c r="PDD226" s="15"/>
      <c r="PDE226" s="10"/>
      <c r="PDF226" s="10"/>
      <c r="PDG226" s="21"/>
      <c r="PDH226" s="21"/>
      <c r="PDK226" s="21"/>
      <c r="PDL226" s="15"/>
      <c r="PDM226" s="15"/>
      <c r="PDN226" s="15"/>
      <c r="PDO226" s="15"/>
      <c r="PDP226" s="15"/>
      <c r="PDQ226" s="15"/>
      <c r="PDR226" s="15"/>
      <c r="PDS226" s="15"/>
      <c r="PDT226" s="15"/>
      <c r="PDU226" s="15"/>
      <c r="PDV226" s="10"/>
      <c r="PDW226" s="10"/>
      <c r="PDX226" s="21"/>
      <c r="PDY226" s="21"/>
      <c r="PEB226" s="21"/>
      <c r="PEC226" s="15"/>
      <c r="PED226" s="15"/>
      <c r="PEE226" s="15"/>
      <c r="PEF226" s="15"/>
      <c r="PEG226" s="15"/>
      <c r="PEH226" s="15"/>
      <c r="PEI226" s="15"/>
      <c r="PEJ226" s="15"/>
      <c r="PEK226" s="15"/>
      <c r="PEL226" s="15"/>
      <c r="PEM226" s="10"/>
      <c r="PEN226" s="10"/>
      <c r="PEO226" s="21"/>
      <c r="PEP226" s="21"/>
      <c r="PES226" s="21"/>
      <c r="PET226" s="15"/>
      <c r="PEU226" s="15"/>
      <c r="PEV226" s="15"/>
      <c r="PEW226" s="15"/>
      <c r="PEX226" s="15"/>
      <c r="PEY226" s="15"/>
      <c r="PEZ226" s="15"/>
      <c r="PFA226" s="15"/>
      <c r="PFB226" s="15"/>
      <c r="PFC226" s="15"/>
      <c r="PFD226" s="10"/>
      <c r="PFE226" s="10"/>
      <c r="PFF226" s="21"/>
      <c r="PFG226" s="21"/>
      <c r="PFJ226" s="21"/>
      <c r="PFK226" s="15"/>
      <c r="PFL226" s="15"/>
      <c r="PFM226" s="15"/>
      <c r="PFN226" s="15"/>
      <c r="PFO226" s="15"/>
      <c r="PFP226" s="15"/>
      <c r="PFQ226" s="15"/>
      <c r="PFR226" s="15"/>
      <c r="PFS226" s="15"/>
      <c r="PFT226" s="15"/>
      <c r="PFU226" s="10"/>
      <c r="PFV226" s="10"/>
      <c r="PFW226" s="21"/>
      <c r="PFX226" s="21"/>
      <c r="PGA226" s="21"/>
      <c r="PGB226" s="15"/>
      <c r="PGC226" s="15"/>
      <c r="PGD226" s="15"/>
      <c r="PGE226" s="15"/>
      <c r="PGF226" s="15"/>
      <c r="PGG226" s="15"/>
      <c r="PGH226" s="15"/>
      <c r="PGI226" s="15"/>
      <c r="PGJ226" s="15"/>
      <c r="PGK226" s="15"/>
      <c r="PGL226" s="10"/>
      <c r="PGM226" s="10"/>
      <c r="PGN226" s="21"/>
      <c r="PGO226" s="21"/>
      <c r="PGR226" s="21"/>
      <c r="PGS226" s="15"/>
      <c r="PGT226" s="15"/>
      <c r="PGU226" s="15"/>
      <c r="PGV226" s="15"/>
      <c r="PGW226" s="15"/>
      <c r="PGX226" s="15"/>
      <c r="PGY226" s="15"/>
      <c r="PGZ226" s="15"/>
      <c r="PHA226" s="15"/>
      <c r="PHB226" s="15"/>
      <c r="PHC226" s="10"/>
      <c r="PHD226" s="10"/>
      <c r="PHE226" s="21"/>
      <c r="PHF226" s="21"/>
      <c r="PHI226" s="21"/>
      <c r="PHJ226" s="15"/>
      <c r="PHK226" s="15"/>
      <c r="PHL226" s="15"/>
      <c r="PHM226" s="15"/>
      <c r="PHN226" s="15"/>
      <c r="PHO226" s="15"/>
      <c r="PHP226" s="15"/>
      <c r="PHQ226" s="15"/>
      <c r="PHR226" s="15"/>
      <c r="PHS226" s="15"/>
      <c r="PHT226" s="10"/>
      <c r="PHU226" s="10"/>
      <c r="PHV226" s="21"/>
      <c r="PHW226" s="21"/>
      <c r="PHZ226" s="21"/>
      <c r="PIA226" s="15"/>
      <c r="PIB226" s="15"/>
      <c r="PIC226" s="15"/>
      <c r="PID226" s="15"/>
      <c r="PIE226" s="15"/>
      <c r="PIF226" s="15"/>
      <c r="PIG226" s="15"/>
      <c r="PIH226" s="15"/>
      <c r="PII226" s="15"/>
      <c r="PIJ226" s="15"/>
      <c r="PIK226" s="10"/>
      <c r="PIL226" s="10"/>
      <c r="PIM226" s="21"/>
      <c r="PIN226" s="21"/>
      <c r="PIQ226" s="21"/>
      <c r="PIR226" s="15"/>
      <c r="PIS226" s="15"/>
      <c r="PIT226" s="15"/>
      <c r="PIU226" s="15"/>
      <c r="PIV226" s="15"/>
      <c r="PIW226" s="15"/>
      <c r="PIX226" s="15"/>
      <c r="PIY226" s="15"/>
      <c r="PIZ226" s="15"/>
      <c r="PJA226" s="15"/>
      <c r="PJB226" s="10"/>
      <c r="PJC226" s="10"/>
      <c r="PJD226" s="21"/>
      <c r="PJE226" s="21"/>
      <c r="PJH226" s="21"/>
      <c r="PJI226" s="15"/>
      <c r="PJJ226" s="15"/>
      <c r="PJK226" s="15"/>
      <c r="PJL226" s="15"/>
      <c r="PJM226" s="15"/>
      <c r="PJN226" s="15"/>
      <c r="PJO226" s="15"/>
      <c r="PJP226" s="15"/>
      <c r="PJQ226" s="15"/>
      <c r="PJR226" s="15"/>
      <c r="PJS226" s="10"/>
      <c r="PJT226" s="10"/>
      <c r="PJU226" s="21"/>
      <c r="PJV226" s="21"/>
      <c r="PJY226" s="21"/>
      <c r="PJZ226" s="15"/>
      <c r="PKA226" s="15"/>
      <c r="PKB226" s="15"/>
      <c r="PKC226" s="15"/>
      <c r="PKD226" s="15"/>
      <c r="PKE226" s="15"/>
      <c r="PKF226" s="15"/>
      <c r="PKG226" s="15"/>
      <c r="PKH226" s="15"/>
      <c r="PKI226" s="15"/>
      <c r="PKJ226" s="10"/>
      <c r="PKK226" s="10"/>
      <c r="PKL226" s="21"/>
      <c r="PKM226" s="21"/>
      <c r="PKP226" s="21"/>
      <c r="PKQ226" s="15"/>
      <c r="PKR226" s="15"/>
      <c r="PKS226" s="15"/>
      <c r="PKT226" s="15"/>
      <c r="PKU226" s="15"/>
      <c r="PKV226" s="15"/>
      <c r="PKW226" s="15"/>
      <c r="PKX226" s="15"/>
      <c r="PKY226" s="15"/>
      <c r="PKZ226" s="15"/>
      <c r="PLA226" s="10"/>
      <c r="PLB226" s="10"/>
      <c r="PLC226" s="21"/>
      <c r="PLD226" s="21"/>
      <c r="PLG226" s="21"/>
      <c r="PLH226" s="15"/>
      <c r="PLI226" s="15"/>
      <c r="PLJ226" s="15"/>
      <c r="PLK226" s="15"/>
      <c r="PLL226" s="15"/>
      <c r="PLM226" s="15"/>
      <c r="PLN226" s="15"/>
      <c r="PLO226" s="15"/>
      <c r="PLP226" s="15"/>
      <c r="PLQ226" s="15"/>
      <c r="PLR226" s="10"/>
      <c r="PLS226" s="10"/>
      <c r="PLT226" s="21"/>
      <c r="PLU226" s="21"/>
      <c r="PLX226" s="21"/>
      <c r="PLY226" s="15"/>
      <c r="PLZ226" s="15"/>
      <c r="PMA226" s="15"/>
      <c r="PMB226" s="15"/>
      <c r="PMC226" s="15"/>
      <c r="PMD226" s="15"/>
      <c r="PME226" s="15"/>
      <c r="PMF226" s="15"/>
      <c r="PMG226" s="15"/>
      <c r="PMH226" s="15"/>
      <c r="PMI226" s="10"/>
      <c r="PMJ226" s="10"/>
      <c r="PMK226" s="21"/>
      <c r="PML226" s="21"/>
      <c r="PMO226" s="21"/>
      <c r="PMP226" s="15"/>
      <c r="PMQ226" s="15"/>
      <c r="PMR226" s="15"/>
      <c r="PMS226" s="15"/>
      <c r="PMT226" s="15"/>
      <c r="PMU226" s="15"/>
      <c r="PMV226" s="15"/>
      <c r="PMW226" s="15"/>
      <c r="PMX226" s="15"/>
      <c r="PMY226" s="15"/>
      <c r="PMZ226" s="10"/>
      <c r="PNA226" s="10"/>
      <c r="PNB226" s="21"/>
      <c r="PNC226" s="21"/>
      <c r="PNF226" s="21"/>
      <c r="PNG226" s="15"/>
      <c r="PNH226" s="15"/>
      <c r="PNI226" s="15"/>
      <c r="PNJ226" s="15"/>
      <c r="PNK226" s="15"/>
      <c r="PNL226" s="15"/>
      <c r="PNM226" s="15"/>
      <c r="PNN226" s="15"/>
      <c r="PNO226" s="15"/>
      <c r="PNP226" s="15"/>
      <c r="PNQ226" s="10"/>
      <c r="PNR226" s="10"/>
      <c r="PNS226" s="21"/>
      <c r="PNT226" s="21"/>
      <c r="PNW226" s="21"/>
      <c r="PNX226" s="15"/>
      <c r="PNY226" s="15"/>
      <c r="PNZ226" s="15"/>
      <c r="POA226" s="15"/>
      <c r="POB226" s="15"/>
      <c r="POC226" s="15"/>
      <c r="POD226" s="15"/>
      <c r="POE226" s="15"/>
      <c r="POF226" s="15"/>
      <c r="POG226" s="15"/>
      <c r="POH226" s="10"/>
      <c r="POI226" s="10"/>
      <c r="POJ226" s="21"/>
      <c r="POK226" s="21"/>
      <c r="PON226" s="21"/>
      <c r="POO226" s="15"/>
      <c r="POP226" s="15"/>
      <c r="POQ226" s="15"/>
      <c r="POR226" s="15"/>
      <c r="POS226" s="15"/>
      <c r="POT226" s="15"/>
      <c r="POU226" s="15"/>
      <c r="POV226" s="15"/>
      <c r="POW226" s="15"/>
      <c r="POX226" s="15"/>
      <c r="POY226" s="10"/>
      <c r="POZ226" s="10"/>
      <c r="PPA226" s="21"/>
      <c r="PPB226" s="21"/>
      <c r="PPE226" s="21"/>
      <c r="PPF226" s="15"/>
      <c r="PPG226" s="15"/>
      <c r="PPH226" s="15"/>
      <c r="PPI226" s="15"/>
      <c r="PPJ226" s="15"/>
      <c r="PPK226" s="15"/>
      <c r="PPL226" s="15"/>
      <c r="PPM226" s="15"/>
      <c r="PPN226" s="15"/>
      <c r="PPO226" s="15"/>
      <c r="PPP226" s="10"/>
      <c r="PPQ226" s="10"/>
      <c r="PPR226" s="21"/>
      <c r="PPS226" s="21"/>
      <c r="PPV226" s="21"/>
      <c r="PPW226" s="15"/>
      <c r="PPX226" s="15"/>
      <c r="PPY226" s="15"/>
      <c r="PPZ226" s="15"/>
      <c r="PQA226" s="15"/>
      <c r="PQB226" s="15"/>
      <c r="PQC226" s="15"/>
      <c r="PQD226" s="15"/>
      <c r="PQE226" s="15"/>
      <c r="PQF226" s="15"/>
      <c r="PQG226" s="10"/>
      <c r="PQH226" s="10"/>
      <c r="PQI226" s="21"/>
      <c r="PQJ226" s="21"/>
      <c r="PQM226" s="21"/>
      <c r="PQN226" s="15"/>
      <c r="PQO226" s="15"/>
      <c r="PQP226" s="15"/>
      <c r="PQQ226" s="15"/>
      <c r="PQR226" s="15"/>
      <c r="PQS226" s="15"/>
      <c r="PQT226" s="15"/>
      <c r="PQU226" s="15"/>
      <c r="PQV226" s="15"/>
      <c r="PQW226" s="15"/>
      <c r="PQX226" s="10"/>
      <c r="PQY226" s="10"/>
      <c r="PQZ226" s="21"/>
      <c r="PRA226" s="21"/>
      <c r="PRD226" s="21"/>
      <c r="PRE226" s="15"/>
      <c r="PRF226" s="15"/>
      <c r="PRG226" s="15"/>
      <c r="PRH226" s="15"/>
      <c r="PRI226" s="15"/>
      <c r="PRJ226" s="15"/>
      <c r="PRK226" s="15"/>
      <c r="PRL226" s="15"/>
      <c r="PRM226" s="15"/>
      <c r="PRN226" s="15"/>
      <c r="PRO226" s="10"/>
      <c r="PRP226" s="10"/>
      <c r="PRQ226" s="21"/>
      <c r="PRR226" s="21"/>
      <c r="PRU226" s="21"/>
      <c r="PRV226" s="15"/>
      <c r="PRW226" s="15"/>
      <c r="PRX226" s="15"/>
      <c r="PRY226" s="15"/>
      <c r="PRZ226" s="15"/>
      <c r="PSA226" s="15"/>
      <c r="PSB226" s="15"/>
      <c r="PSC226" s="15"/>
      <c r="PSD226" s="15"/>
      <c r="PSE226" s="15"/>
      <c r="PSF226" s="10"/>
      <c r="PSG226" s="10"/>
      <c r="PSH226" s="21"/>
      <c r="PSI226" s="21"/>
      <c r="PSL226" s="21"/>
      <c r="PSM226" s="15"/>
      <c r="PSN226" s="15"/>
      <c r="PSO226" s="15"/>
      <c r="PSP226" s="15"/>
      <c r="PSQ226" s="15"/>
      <c r="PSR226" s="15"/>
      <c r="PSS226" s="15"/>
      <c r="PST226" s="15"/>
      <c r="PSU226" s="15"/>
      <c r="PSV226" s="15"/>
      <c r="PSW226" s="10"/>
      <c r="PSX226" s="10"/>
      <c r="PSY226" s="21"/>
      <c r="PSZ226" s="21"/>
      <c r="PTC226" s="21"/>
      <c r="PTD226" s="15"/>
      <c r="PTE226" s="15"/>
      <c r="PTF226" s="15"/>
      <c r="PTG226" s="15"/>
      <c r="PTH226" s="15"/>
      <c r="PTI226" s="15"/>
      <c r="PTJ226" s="15"/>
      <c r="PTK226" s="15"/>
      <c r="PTL226" s="15"/>
      <c r="PTM226" s="15"/>
      <c r="PTN226" s="10"/>
      <c r="PTO226" s="10"/>
      <c r="PTP226" s="21"/>
      <c r="PTQ226" s="21"/>
      <c r="PTT226" s="21"/>
      <c r="PTU226" s="15"/>
      <c r="PTV226" s="15"/>
      <c r="PTW226" s="15"/>
      <c r="PTX226" s="15"/>
      <c r="PTY226" s="15"/>
      <c r="PTZ226" s="15"/>
      <c r="PUA226" s="15"/>
      <c r="PUB226" s="15"/>
      <c r="PUC226" s="15"/>
      <c r="PUD226" s="15"/>
      <c r="PUE226" s="10"/>
      <c r="PUF226" s="10"/>
      <c r="PUG226" s="21"/>
      <c r="PUH226" s="21"/>
      <c r="PUK226" s="21"/>
      <c r="PUL226" s="15"/>
      <c r="PUM226" s="15"/>
      <c r="PUN226" s="15"/>
      <c r="PUO226" s="15"/>
      <c r="PUP226" s="15"/>
      <c r="PUQ226" s="15"/>
      <c r="PUR226" s="15"/>
      <c r="PUS226" s="15"/>
      <c r="PUT226" s="15"/>
      <c r="PUU226" s="15"/>
      <c r="PUV226" s="10"/>
      <c r="PUW226" s="10"/>
      <c r="PUX226" s="21"/>
      <c r="PUY226" s="21"/>
      <c r="PVB226" s="21"/>
      <c r="PVC226" s="15"/>
      <c r="PVD226" s="15"/>
      <c r="PVE226" s="15"/>
      <c r="PVF226" s="15"/>
      <c r="PVG226" s="15"/>
      <c r="PVH226" s="15"/>
      <c r="PVI226" s="15"/>
      <c r="PVJ226" s="15"/>
      <c r="PVK226" s="15"/>
      <c r="PVL226" s="15"/>
      <c r="PVM226" s="10"/>
      <c r="PVN226" s="10"/>
      <c r="PVO226" s="21"/>
      <c r="PVP226" s="21"/>
      <c r="PVS226" s="21"/>
      <c r="PVT226" s="15"/>
      <c r="PVU226" s="15"/>
      <c r="PVV226" s="15"/>
      <c r="PVW226" s="15"/>
      <c r="PVX226" s="15"/>
      <c r="PVY226" s="15"/>
      <c r="PVZ226" s="15"/>
      <c r="PWA226" s="15"/>
      <c r="PWB226" s="15"/>
      <c r="PWC226" s="15"/>
      <c r="PWD226" s="10"/>
      <c r="PWE226" s="10"/>
      <c r="PWF226" s="21"/>
      <c r="PWG226" s="21"/>
      <c r="PWJ226" s="21"/>
      <c r="PWK226" s="15"/>
      <c r="PWL226" s="15"/>
      <c r="PWM226" s="15"/>
      <c r="PWN226" s="15"/>
      <c r="PWO226" s="15"/>
      <c r="PWP226" s="15"/>
      <c r="PWQ226" s="15"/>
      <c r="PWR226" s="15"/>
      <c r="PWS226" s="15"/>
      <c r="PWT226" s="15"/>
      <c r="PWU226" s="10"/>
      <c r="PWV226" s="10"/>
      <c r="PWW226" s="21"/>
      <c r="PWX226" s="21"/>
      <c r="PXA226" s="21"/>
      <c r="PXB226" s="15"/>
      <c r="PXC226" s="15"/>
      <c r="PXD226" s="15"/>
      <c r="PXE226" s="15"/>
      <c r="PXF226" s="15"/>
      <c r="PXG226" s="15"/>
      <c r="PXH226" s="15"/>
      <c r="PXI226" s="15"/>
      <c r="PXJ226" s="15"/>
      <c r="PXK226" s="15"/>
      <c r="PXL226" s="10"/>
      <c r="PXM226" s="10"/>
      <c r="PXN226" s="21"/>
      <c r="PXO226" s="21"/>
      <c r="PXR226" s="21"/>
      <c r="PXS226" s="15"/>
      <c r="PXT226" s="15"/>
      <c r="PXU226" s="15"/>
      <c r="PXV226" s="15"/>
      <c r="PXW226" s="15"/>
      <c r="PXX226" s="15"/>
      <c r="PXY226" s="15"/>
      <c r="PXZ226" s="15"/>
      <c r="PYA226" s="15"/>
      <c r="PYB226" s="15"/>
      <c r="PYC226" s="10"/>
      <c r="PYD226" s="10"/>
      <c r="PYE226" s="21"/>
      <c r="PYF226" s="21"/>
      <c r="PYI226" s="21"/>
      <c r="PYJ226" s="15"/>
      <c r="PYK226" s="15"/>
      <c r="PYL226" s="15"/>
      <c r="PYM226" s="15"/>
      <c r="PYN226" s="15"/>
      <c r="PYO226" s="15"/>
      <c r="PYP226" s="15"/>
      <c r="PYQ226" s="15"/>
      <c r="PYR226" s="15"/>
      <c r="PYS226" s="15"/>
      <c r="PYT226" s="10"/>
      <c r="PYU226" s="10"/>
      <c r="PYV226" s="21"/>
      <c r="PYW226" s="21"/>
      <c r="PYZ226" s="21"/>
      <c r="PZA226" s="15"/>
      <c r="PZB226" s="15"/>
      <c r="PZC226" s="15"/>
      <c r="PZD226" s="15"/>
      <c r="PZE226" s="15"/>
      <c r="PZF226" s="15"/>
      <c r="PZG226" s="15"/>
      <c r="PZH226" s="15"/>
      <c r="PZI226" s="15"/>
      <c r="PZJ226" s="15"/>
      <c r="PZK226" s="10"/>
      <c r="PZL226" s="10"/>
      <c r="PZM226" s="21"/>
      <c r="PZN226" s="21"/>
      <c r="PZQ226" s="21"/>
      <c r="PZR226" s="15"/>
      <c r="PZS226" s="15"/>
      <c r="PZT226" s="15"/>
      <c r="PZU226" s="15"/>
      <c r="PZV226" s="15"/>
      <c r="PZW226" s="15"/>
      <c r="PZX226" s="15"/>
      <c r="PZY226" s="15"/>
      <c r="PZZ226" s="15"/>
      <c r="QAA226" s="15"/>
      <c r="QAB226" s="10"/>
      <c r="QAC226" s="10"/>
      <c r="QAD226" s="21"/>
      <c r="QAE226" s="21"/>
      <c r="QAH226" s="21"/>
      <c r="QAI226" s="15"/>
      <c r="QAJ226" s="15"/>
      <c r="QAK226" s="15"/>
      <c r="QAL226" s="15"/>
      <c r="QAM226" s="15"/>
      <c r="QAN226" s="15"/>
      <c r="QAO226" s="15"/>
      <c r="QAP226" s="15"/>
      <c r="QAQ226" s="15"/>
      <c r="QAR226" s="15"/>
      <c r="QAS226" s="10"/>
      <c r="QAT226" s="10"/>
      <c r="QAU226" s="21"/>
      <c r="QAV226" s="21"/>
      <c r="QAY226" s="21"/>
      <c r="QAZ226" s="15"/>
      <c r="QBA226" s="15"/>
      <c r="QBB226" s="15"/>
      <c r="QBC226" s="15"/>
      <c r="QBD226" s="15"/>
      <c r="QBE226" s="15"/>
      <c r="QBF226" s="15"/>
      <c r="QBG226" s="15"/>
      <c r="QBH226" s="15"/>
      <c r="QBI226" s="15"/>
      <c r="QBJ226" s="10"/>
      <c r="QBK226" s="10"/>
      <c r="QBL226" s="21"/>
      <c r="QBM226" s="21"/>
      <c r="QBP226" s="21"/>
      <c r="QBQ226" s="15"/>
      <c r="QBR226" s="15"/>
      <c r="QBS226" s="15"/>
      <c r="QBT226" s="15"/>
      <c r="QBU226" s="15"/>
      <c r="QBV226" s="15"/>
      <c r="QBW226" s="15"/>
      <c r="QBX226" s="15"/>
      <c r="QBY226" s="15"/>
      <c r="QBZ226" s="15"/>
      <c r="QCA226" s="10"/>
      <c r="QCB226" s="10"/>
      <c r="QCC226" s="21"/>
      <c r="QCD226" s="21"/>
      <c r="QCG226" s="21"/>
      <c r="QCH226" s="15"/>
      <c r="QCI226" s="15"/>
      <c r="QCJ226" s="15"/>
      <c r="QCK226" s="15"/>
      <c r="QCL226" s="15"/>
      <c r="QCM226" s="15"/>
      <c r="QCN226" s="15"/>
      <c r="QCO226" s="15"/>
      <c r="QCP226" s="15"/>
      <c r="QCQ226" s="15"/>
      <c r="QCR226" s="10"/>
      <c r="QCS226" s="10"/>
      <c r="QCT226" s="21"/>
      <c r="QCU226" s="21"/>
      <c r="QCX226" s="21"/>
      <c r="QCY226" s="15"/>
      <c r="QCZ226" s="15"/>
      <c r="QDA226" s="15"/>
      <c r="QDB226" s="15"/>
      <c r="QDC226" s="15"/>
      <c r="QDD226" s="15"/>
      <c r="QDE226" s="15"/>
      <c r="QDF226" s="15"/>
      <c r="QDG226" s="15"/>
      <c r="QDH226" s="15"/>
      <c r="QDI226" s="10"/>
      <c r="QDJ226" s="10"/>
      <c r="QDK226" s="21"/>
      <c r="QDL226" s="21"/>
      <c r="QDO226" s="21"/>
      <c r="QDP226" s="15"/>
      <c r="QDQ226" s="15"/>
      <c r="QDR226" s="15"/>
      <c r="QDS226" s="15"/>
      <c r="QDT226" s="15"/>
      <c r="QDU226" s="15"/>
      <c r="QDV226" s="15"/>
      <c r="QDW226" s="15"/>
      <c r="QDX226" s="15"/>
      <c r="QDY226" s="15"/>
      <c r="QDZ226" s="10"/>
      <c r="QEA226" s="10"/>
      <c r="QEB226" s="21"/>
      <c r="QEC226" s="21"/>
      <c r="QEF226" s="21"/>
      <c r="QEG226" s="15"/>
      <c r="QEH226" s="15"/>
      <c r="QEI226" s="15"/>
      <c r="QEJ226" s="15"/>
      <c r="QEK226" s="15"/>
      <c r="QEL226" s="15"/>
      <c r="QEM226" s="15"/>
      <c r="QEN226" s="15"/>
      <c r="QEO226" s="15"/>
      <c r="QEP226" s="15"/>
      <c r="QEQ226" s="10"/>
      <c r="QER226" s="10"/>
      <c r="QES226" s="21"/>
      <c r="QET226" s="21"/>
      <c r="QEW226" s="21"/>
      <c r="QEX226" s="15"/>
      <c r="QEY226" s="15"/>
      <c r="QEZ226" s="15"/>
      <c r="QFA226" s="15"/>
      <c r="QFB226" s="15"/>
      <c r="QFC226" s="15"/>
      <c r="QFD226" s="15"/>
      <c r="QFE226" s="15"/>
      <c r="QFF226" s="15"/>
      <c r="QFG226" s="15"/>
      <c r="QFH226" s="10"/>
      <c r="QFI226" s="10"/>
      <c r="QFJ226" s="21"/>
      <c r="QFK226" s="21"/>
      <c r="QFN226" s="21"/>
      <c r="QFO226" s="15"/>
      <c r="QFP226" s="15"/>
      <c r="QFQ226" s="15"/>
      <c r="QFR226" s="15"/>
      <c r="QFS226" s="15"/>
      <c r="QFT226" s="15"/>
      <c r="QFU226" s="15"/>
      <c r="QFV226" s="15"/>
      <c r="QFW226" s="15"/>
      <c r="QFX226" s="15"/>
      <c r="QFY226" s="10"/>
      <c r="QFZ226" s="10"/>
      <c r="QGA226" s="21"/>
      <c r="QGB226" s="21"/>
      <c r="QGE226" s="21"/>
      <c r="QGF226" s="15"/>
      <c r="QGG226" s="15"/>
      <c r="QGH226" s="15"/>
      <c r="QGI226" s="15"/>
      <c r="QGJ226" s="15"/>
      <c r="QGK226" s="15"/>
      <c r="QGL226" s="15"/>
      <c r="QGM226" s="15"/>
      <c r="QGN226" s="15"/>
      <c r="QGO226" s="15"/>
      <c r="QGP226" s="10"/>
      <c r="QGQ226" s="10"/>
      <c r="QGR226" s="21"/>
      <c r="QGS226" s="21"/>
      <c r="QGV226" s="21"/>
      <c r="QGW226" s="15"/>
      <c r="QGX226" s="15"/>
      <c r="QGY226" s="15"/>
      <c r="QGZ226" s="15"/>
      <c r="QHA226" s="15"/>
      <c r="QHB226" s="15"/>
      <c r="QHC226" s="15"/>
      <c r="QHD226" s="15"/>
      <c r="QHE226" s="15"/>
      <c r="QHF226" s="15"/>
      <c r="QHG226" s="10"/>
      <c r="QHH226" s="10"/>
      <c r="QHI226" s="21"/>
      <c r="QHJ226" s="21"/>
      <c r="QHM226" s="21"/>
      <c r="QHN226" s="15"/>
      <c r="QHO226" s="15"/>
      <c r="QHP226" s="15"/>
      <c r="QHQ226" s="15"/>
      <c r="QHR226" s="15"/>
      <c r="QHS226" s="15"/>
      <c r="QHT226" s="15"/>
      <c r="QHU226" s="15"/>
      <c r="QHV226" s="15"/>
      <c r="QHW226" s="15"/>
      <c r="QHX226" s="10"/>
      <c r="QHY226" s="10"/>
      <c r="QHZ226" s="21"/>
      <c r="QIA226" s="21"/>
      <c r="QID226" s="21"/>
      <c r="QIE226" s="15"/>
      <c r="QIF226" s="15"/>
      <c r="QIG226" s="15"/>
      <c r="QIH226" s="15"/>
      <c r="QII226" s="15"/>
      <c r="QIJ226" s="15"/>
      <c r="QIK226" s="15"/>
      <c r="QIL226" s="15"/>
      <c r="QIM226" s="15"/>
      <c r="QIN226" s="15"/>
      <c r="QIO226" s="10"/>
      <c r="QIP226" s="10"/>
      <c r="QIQ226" s="21"/>
      <c r="QIR226" s="21"/>
      <c r="QIU226" s="21"/>
      <c r="QIV226" s="15"/>
      <c r="QIW226" s="15"/>
      <c r="QIX226" s="15"/>
      <c r="QIY226" s="15"/>
      <c r="QIZ226" s="15"/>
      <c r="QJA226" s="15"/>
      <c r="QJB226" s="15"/>
      <c r="QJC226" s="15"/>
      <c r="QJD226" s="15"/>
      <c r="QJE226" s="15"/>
      <c r="QJF226" s="10"/>
      <c r="QJG226" s="10"/>
      <c r="QJH226" s="21"/>
      <c r="QJI226" s="21"/>
      <c r="QJL226" s="21"/>
      <c r="QJM226" s="15"/>
      <c r="QJN226" s="15"/>
      <c r="QJO226" s="15"/>
      <c r="QJP226" s="15"/>
      <c r="QJQ226" s="15"/>
      <c r="QJR226" s="15"/>
      <c r="QJS226" s="15"/>
      <c r="QJT226" s="15"/>
      <c r="QJU226" s="15"/>
      <c r="QJV226" s="15"/>
      <c r="QJW226" s="10"/>
      <c r="QJX226" s="10"/>
      <c r="QJY226" s="21"/>
      <c r="QJZ226" s="21"/>
      <c r="QKC226" s="21"/>
      <c r="QKD226" s="15"/>
      <c r="QKE226" s="15"/>
      <c r="QKF226" s="15"/>
      <c r="QKG226" s="15"/>
      <c r="QKH226" s="15"/>
      <c r="QKI226" s="15"/>
      <c r="QKJ226" s="15"/>
      <c r="QKK226" s="15"/>
      <c r="QKL226" s="15"/>
      <c r="QKM226" s="15"/>
      <c r="QKN226" s="10"/>
      <c r="QKO226" s="10"/>
      <c r="QKP226" s="21"/>
      <c r="QKQ226" s="21"/>
      <c r="QKT226" s="21"/>
      <c r="QKU226" s="15"/>
      <c r="QKV226" s="15"/>
      <c r="QKW226" s="15"/>
      <c r="QKX226" s="15"/>
      <c r="QKY226" s="15"/>
      <c r="QKZ226" s="15"/>
      <c r="QLA226" s="15"/>
      <c r="QLB226" s="15"/>
      <c r="QLC226" s="15"/>
      <c r="QLD226" s="15"/>
      <c r="QLE226" s="10"/>
      <c r="QLF226" s="10"/>
      <c r="QLG226" s="21"/>
      <c r="QLH226" s="21"/>
      <c r="QLK226" s="21"/>
      <c r="QLL226" s="15"/>
      <c r="QLM226" s="15"/>
      <c r="QLN226" s="15"/>
      <c r="QLO226" s="15"/>
      <c r="QLP226" s="15"/>
      <c r="QLQ226" s="15"/>
      <c r="QLR226" s="15"/>
      <c r="QLS226" s="15"/>
      <c r="QLT226" s="15"/>
      <c r="QLU226" s="15"/>
      <c r="QLV226" s="10"/>
      <c r="QLW226" s="10"/>
      <c r="QLX226" s="21"/>
      <c r="QLY226" s="21"/>
      <c r="QMB226" s="21"/>
      <c r="QMC226" s="15"/>
      <c r="QMD226" s="15"/>
      <c r="QME226" s="15"/>
      <c r="QMF226" s="15"/>
      <c r="QMG226" s="15"/>
      <c r="QMH226" s="15"/>
      <c r="QMI226" s="15"/>
      <c r="QMJ226" s="15"/>
      <c r="QMK226" s="15"/>
      <c r="QML226" s="15"/>
      <c r="QMM226" s="10"/>
      <c r="QMN226" s="10"/>
      <c r="QMO226" s="21"/>
      <c r="QMP226" s="21"/>
      <c r="QMS226" s="21"/>
      <c r="QMT226" s="15"/>
      <c r="QMU226" s="15"/>
      <c r="QMV226" s="15"/>
      <c r="QMW226" s="15"/>
      <c r="QMX226" s="15"/>
      <c r="QMY226" s="15"/>
      <c r="QMZ226" s="15"/>
      <c r="QNA226" s="15"/>
      <c r="QNB226" s="15"/>
      <c r="QNC226" s="15"/>
      <c r="QND226" s="10"/>
      <c r="QNE226" s="10"/>
      <c r="QNF226" s="21"/>
      <c r="QNG226" s="21"/>
      <c r="QNJ226" s="21"/>
      <c r="QNK226" s="15"/>
      <c r="QNL226" s="15"/>
      <c r="QNM226" s="15"/>
      <c r="QNN226" s="15"/>
      <c r="QNO226" s="15"/>
      <c r="QNP226" s="15"/>
      <c r="QNQ226" s="15"/>
      <c r="QNR226" s="15"/>
      <c r="QNS226" s="15"/>
      <c r="QNT226" s="15"/>
      <c r="QNU226" s="10"/>
      <c r="QNV226" s="10"/>
      <c r="QNW226" s="21"/>
      <c r="QNX226" s="21"/>
      <c r="QOA226" s="21"/>
      <c r="QOB226" s="15"/>
      <c r="QOC226" s="15"/>
      <c r="QOD226" s="15"/>
      <c r="QOE226" s="15"/>
      <c r="QOF226" s="15"/>
      <c r="QOG226" s="15"/>
      <c r="QOH226" s="15"/>
      <c r="QOI226" s="15"/>
      <c r="QOJ226" s="15"/>
      <c r="QOK226" s="15"/>
      <c r="QOL226" s="10"/>
      <c r="QOM226" s="10"/>
      <c r="QON226" s="21"/>
      <c r="QOO226" s="21"/>
      <c r="QOR226" s="21"/>
      <c r="QOS226" s="15"/>
      <c r="QOT226" s="15"/>
      <c r="QOU226" s="15"/>
      <c r="QOV226" s="15"/>
      <c r="QOW226" s="15"/>
      <c r="QOX226" s="15"/>
      <c r="QOY226" s="15"/>
      <c r="QOZ226" s="15"/>
      <c r="QPA226" s="15"/>
      <c r="QPB226" s="15"/>
      <c r="QPC226" s="10"/>
      <c r="QPD226" s="10"/>
      <c r="QPE226" s="21"/>
      <c r="QPF226" s="21"/>
      <c r="QPI226" s="21"/>
      <c r="QPJ226" s="15"/>
      <c r="QPK226" s="15"/>
      <c r="QPL226" s="15"/>
      <c r="QPM226" s="15"/>
      <c r="QPN226" s="15"/>
      <c r="QPO226" s="15"/>
      <c r="QPP226" s="15"/>
      <c r="QPQ226" s="15"/>
      <c r="QPR226" s="15"/>
      <c r="QPS226" s="15"/>
      <c r="QPT226" s="10"/>
      <c r="QPU226" s="10"/>
      <c r="QPV226" s="21"/>
      <c r="QPW226" s="21"/>
      <c r="QPZ226" s="21"/>
      <c r="QQA226" s="15"/>
      <c r="QQB226" s="15"/>
      <c r="QQC226" s="15"/>
      <c r="QQD226" s="15"/>
      <c r="QQE226" s="15"/>
      <c r="QQF226" s="15"/>
      <c r="QQG226" s="15"/>
      <c r="QQH226" s="15"/>
      <c r="QQI226" s="15"/>
      <c r="QQJ226" s="15"/>
      <c r="QQK226" s="10"/>
      <c r="QQL226" s="10"/>
      <c r="QQM226" s="21"/>
      <c r="QQN226" s="21"/>
      <c r="QQQ226" s="21"/>
      <c r="QQR226" s="15"/>
      <c r="QQS226" s="15"/>
      <c r="QQT226" s="15"/>
      <c r="QQU226" s="15"/>
      <c r="QQV226" s="15"/>
      <c r="QQW226" s="15"/>
      <c r="QQX226" s="15"/>
      <c r="QQY226" s="15"/>
      <c r="QQZ226" s="15"/>
      <c r="QRA226" s="15"/>
      <c r="QRB226" s="10"/>
      <c r="QRC226" s="10"/>
      <c r="QRD226" s="21"/>
      <c r="QRE226" s="21"/>
      <c r="QRH226" s="21"/>
      <c r="QRI226" s="15"/>
      <c r="QRJ226" s="15"/>
      <c r="QRK226" s="15"/>
      <c r="QRL226" s="15"/>
      <c r="QRM226" s="15"/>
      <c r="QRN226" s="15"/>
      <c r="QRO226" s="15"/>
      <c r="QRP226" s="15"/>
      <c r="QRQ226" s="15"/>
      <c r="QRR226" s="15"/>
      <c r="QRS226" s="10"/>
      <c r="QRT226" s="10"/>
      <c r="QRU226" s="21"/>
      <c r="QRV226" s="21"/>
      <c r="QRY226" s="21"/>
      <c r="QRZ226" s="15"/>
      <c r="QSA226" s="15"/>
      <c r="QSB226" s="15"/>
      <c r="QSC226" s="15"/>
      <c r="QSD226" s="15"/>
      <c r="QSE226" s="15"/>
      <c r="QSF226" s="15"/>
      <c r="QSG226" s="15"/>
      <c r="QSH226" s="15"/>
      <c r="QSI226" s="15"/>
      <c r="QSJ226" s="10"/>
      <c r="QSK226" s="10"/>
      <c r="QSL226" s="21"/>
      <c r="QSM226" s="21"/>
      <c r="QSP226" s="21"/>
      <c r="QSQ226" s="15"/>
      <c r="QSR226" s="15"/>
      <c r="QSS226" s="15"/>
      <c r="QST226" s="15"/>
      <c r="QSU226" s="15"/>
      <c r="QSV226" s="15"/>
      <c r="QSW226" s="15"/>
      <c r="QSX226" s="15"/>
      <c r="QSY226" s="15"/>
      <c r="QSZ226" s="15"/>
      <c r="QTA226" s="10"/>
      <c r="QTB226" s="10"/>
      <c r="QTC226" s="21"/>
      <c r="QTD226" s="21"/>
      <c r="QTG226" s="21"/>
      <c r="QTH226" s="15"/>
      <c r="QTI226" s="15"/>
      <c r="QTJ226" s="15"/>
      <c r="QTK226" s="15"/>
      <c r="QTL226" s="15"/>
      <c r="QTM226" s="15"/>
      <c r="QTN226" s="15"/>
      <c r="QTO226" s="15"/>
      <c r="QTP226" s="15"/>
      <c r="QTQ226" s="15"/>
      <c r="QTR226" s="10"/>
      <c r="QTS226" s="10"/>
      <c r="QTT226" s="21"/>
      <c r="QTU226" s="21"/>
      <c r="QTX226" s="21"/>
      <c r="QTY226" s="15"/>
      <c r="QTZ226" s="15"/>
      <c r="QUA226" s="15"/>
      <c r="QUB226" s="15"/>
      <c r="QUC226" s="15"/>
      <c r="QUD226" s="15"/>
      <c r="QUE226" s="15"/>
      <c r="QUF226" s="15"/>
      <c r="QUG226" s="15"/>
      <c r="QUH226" s="15"/>
      <c r="QUI226" s="10"/>
      <c r="QUJ226" s="10"/>
      <c r="QUK226" s="21"/>
      <c r="QUL226" s="21"/>
      <c r="QUO226" s="21"/>
      <c r="QUP226" s="15"/>
      <c r="QUQ226" s="15"/>
      <c r="QUR226" s="15"/>
      <c r="QUS226" s="15"/>
      <c r="QUT226" s="15"/>
      <c r="QUU226" s="15"/>
      <c r="QUV226" s="15"/>
      <c r="QUW226" s="15"/>
      <c r="QUX226" s="15"/>
      <c r="QUY226" s="15"/>
      <c r="QUZ226" s="10"/>
      <c r="QVA226" s="10"/>
      <c r="QVB226" s="21"/>
      <c r="QVC226" s="21"/>
      <c r="QVF226" s="21"/>
      <c r="QVG226" s="15"/>
      <c r="QVH226" s="15"/>
      <c r="QVI226" s="15"/>
      <c r="QVJ226" s="15"/>
      <c r="QVK226" s="15"/>
      <c r="QVL226" s="15"/>
      <c r="QVM226" s="15"/>
      <c r="QVN226" s="15"/>
      <c r="QVO226" s="15"/>
      <c r="QVP226" s="15"/>
      <c r="QVQ226" s="10"/>
      <c r="QVR226" s="10"/>
      <c r="QVS226" s="21"/>
      <c r="QVT226" s="21"/>
      <c r="QVW226" s="21"/>
      <c r="QVX226" s="15"/>
      <c r="QVY226" s="15"/>
      <c r="QVZ226" s="15"/>
      <c r="QWA226" s="15"/>
      <c r="QWB226" s="15"/>
      <c r="QWC226" s="15"/>
      <c r="QWD226" s="15"/>
      <c r="QWE226" s="15"/>
      <c r="QWF226" s="15"/>
      <c r="QWG226" s="15"/>
      <c r="QWH226" s="10"/>
      <c r="QWI226" s="10"/>
      <c r="QWJ226" s="21"/>
      <c r="QWK226" s="21"/>
      <c r="QWN226" s="21"/>
      <c r="QWO226" s="15"/>
      <c r="QWP226" s="15"/>
      <c r="QWQ226" s="15"/>
      <c r="QWR226" s="15"/>
      <c r="QWS226" s="15"/>
      <c r="QWT226" s="15"/>
      <c r="QWU226" s="15"/>
      <c r="QWV226" s="15"/>
      <c r="QWW226" s="15"/>
      <c r="QWX226" s="15"/>
      <c r="QWY226" s="10"/>
      <c r="QWZ226" s="10"/>
      <c r="QXA226" s="21"/>
      <c r="QXB226" s="21"/>
      <c r="QXE226" s="21"/>
      <c r="QXF226" s="15"/>
      <c r="QXG226" s="15"/>
      <c r="QXH226" s="15"/>
      <c r="QXI226" s="15"/>
      <c r="QXJ226" s="15"/>
      <c r="QXK226" s="15"/>
      <c r="QXL226" s="15"/>
      <c r="QXM226" s="15"/>
      <c r="QXN226" s="15"/>
      <c r="QXO226" s="15"/>
      <c r="QXP226" s="10"/>
      <c r="QXQ226" s="10"/>
      <c r="QXR226" s="21"/>
      <c r="QXS226" s="21"/>
      <c r="QXV226" s="21"/>
      <c r="QXW226" s="15"/>
      <c r="QXX226" s="15"/>
      <c r="QXY226" s="15"/>
      <c r="QXZ226" s="15"/>
      <c r="QYA226" s="15"/>
      <c r="QYB226" s="15"/>
      <c r="QYC226" s="15"/>
      <c r="QYD226" s="15"/>
      <c r="QYE226" s="15"/>
      <c r="QYF226" s="15"/>
      <c r="QYG226" s="10"/>
      <c r="QYH226" s="10"/>
      <c r="QYI226" s="21"/>
      <c r="QYJ226" s="21"/>
      <c r="QYM226" s="21"/>
      <c r="QYN226" s="15"/>
      <c r="QYO226" s="15"/>
      <c r="QYP226" s="15"/>
      <c r="QYQ226" s="15"/>
      <c r="QYR226" s="15"/>
      <c r="QYS226" s="15"/>
      <c r="QYT226" s="15"/>
      <c r="QYU226" s="15"/>
      <c r="QYV226" s="15"/>
      <c r="QYW226" s="15"/>
      <c r="QYX226" s="10"/>
      <c r="QYY226" s="10"/>
      <c r="QYZ226" s="21"/>
      <c r="QZA226" s="21"/>
      <c r="QZD226" s="21"/>
      <c r="QZE226" s="15"/>
      <c r="QZF226" s="15"/>
      <c r="QZG226" s="15"/>
      <c r="QZH226" s="15"/>
      <c r="QZI226" s="15"/>
      <c r="QZJ226" s="15"/>
      <c r="QZK226" s="15"/>
      <c r="QZL226" s="15"/>
      <c r="QZM226" s="15"/>
      <c r="QZN226" s="15"/>
      <c r="QZO226" s="10"/>
      <c r="QZP226" s="10"/>
      <c r="QZQ226" s="21"/>
      <c r="QZR226" s="21"/>
      <c r="QZU226" s="21"/>
      <c r="QZV226" s="15"/>
      <c r="QZW226" s="15"/>
      <c r="QZX226" s="15"/>
      <c r="QZY226" s="15"/>
      <c r="QZZ226" s="15"/>
      <c r="RAA226" s="15"/>
      <c r="RAB226" s="15"/>
      <c r="RAC226" s="15"/>
      <c r="RAD226" s="15"/>
      <c r="RAE226" s="15"/>
      <c r="RAF226" s="10"/>
      <c r="RAG226" s="10"/>
      <c r="RAH226" s="21"/>
      <c r="RAI226" s="21"/>
      <c r="RAL226" s="21"/>
      <c r="RAM226" s="15"/>
      <c r="RAN226" s="15"/>
      <c r="RAO226" s="15"/>
      <c r="RAP226" s="15"/>
      <c r="RAQ226" s="15"/>
      <c r="RAR226" s="15"/>
      <c r="RAS226" s="15"/>
      <c r="RAT226" s="15"/>
      <c r="RAU226" s="15"/>
      <c r="RAV226" s="15"/>
      <c r="RAW226" s="10"/>
      <c r="RAX226" s="10"/>
      <c r="RAY226" s="21"/>
      <c r="RAZ226" s="21"/>
      <c r="RBC226" s="21"/>
      <c r="RBD226" s="15"/>
      <c r="RBE226" s="15"/>
      <c r="RBF226" s="15"/>
      <c r="RBG226" s="15"/>
      <c r="RBH226" s="15"/>
      <c r="RBI226" s="15"/>
      <c r="RBJ226" s="15"/>
      <c r="RBK226" s="15"/>
      <c r="RBL226" s="15"/>
      <c r="RBM226" s="15"/>
      <c r="RBN226" s="10"/>
      <c r="RBO226" s="10"/>
      <c r="RBP226" s="21"/>
      <c r="RBQ226" s="21"/>
      <c r="RBT226" s="21"/>
      <c r="RBU226" s="15"/>
      <c r="RBV226" s="15"/>
      <c r="RBW226" s="15"/>
      <c r="RBX226" s="15"/>
      <c r="RBY226" s="15"/>
      <c r="RBZ226" s="15"/>
      <c r="RCA226" s="15"/>
      <c r="RCB226" s="15"/>
      <c r="RCC226" s="15"/>
      <c r="RCD226" s="15"/>
      <c r="RCE226" s="10"/>
      <c r="RCF226" s="10"/>
      <c r="RCG226" s="21"/>
      <c r="RCH226" s="21"/>
      <c r="RCK226" s="21"/>
      <c r="RCL226" s="15"/>
      <c r="RCM226" s="15"/>
      <c r="RCN226" s="15"/>
      <c r="RCO226" s="15"/>
      <c r="RCP226" s="15"/>
      <c r="RCQ226" s="15"/>
      <c r="RCR226" s="15"/>
      <c r="RCS226" s="15"/>
      <c r="RCT226" s="15"/>
      <c r="RCU226" s="15"/>
      <c r="RCV226" s="10"/>
      <c r="RCW226" s="10"/>
      <c r="RCX226" s="21"/>
      <c r="RCY226" s="21"/>
      <c r="RDB226" s="21"/>
      <c r="RDC226" s="15"/>
      <c r="RDD226" s="15"/>
      <c r="RDE226" s="15"/>
      <c r="RDF226" s="15"/>
      <c r="RDG226" s="15"/>
      <c r="RDH226" s="15"/>
      <c r="RDI226" s="15"/>
      <c r="RDJ226" s="15"/>
      <c r="RDK226" s="15"/>
      <c r="RDL226" s="15"/>
      <c r="RDM226" s="10"/>
      <c r="RDN226" s="10"/>
      <c r="RDO226" s="21"/>
      <c r="RDP226" s="21"/>
      <c r="RDS226" s="21"/>
      <c r="RDT226" s="15"/>
      <c r="RDU226" s="15"/>
      <c r="RDV226" s="15"/>
      <c r="RDW226" s="15"/>
      <c r="RDX226" s="15"/>
      <c r="RDY226" s="15"/>
      <c r="RDZ226" s="15"/>
      <c r="REA226" s="15"/>
      <c r="REB226" s="15"/>
      <c r="REC226" s="15"/>
      <c r="RED226" s="10"/>
      <c r="REE226" s="10"/>
      <c r="REF226" s="21"/>
      <c r="REG226" s="21"/>
      <c r="REJ226" s="21"/>
      <c r="REK226" s="15"/>
      <c r="REL226" s="15"/>
      <c r="REM226" s="15"/>
      <c r="REN226" s="15"/>
      <c r="REO226" s="15"/>
      <c r="REP226" s="15"/>
      <c r="REQ226" s="15"/>
      <c r="RER226" s="15"/>
      <c r="RES226" s="15"/>
      <c r="RET226" s="15"/>
      <c r="REU226" s="10"/>
      <c r="REV226" s="10"/>
      <c r="REW226" s="21"/>
      <c r="REX226" s="21"/>
      <c r="RFA226" s="21"/>
      <c r="RFB226" s="15"/>
      <c r="RFC226" s="15"/>
      <c r="RFD226" s="15"/>
      <c r="RFE226" s="15"/>
      <c r="RFF226" s="15"/>
      <c r="RFG226" s="15"/>
      <c r="RFH226" s="15"/>
      <c r="RFI226" s="15"/>
      <c r="RFJ226" s="15"/>
      <c r="RFK226" s="15"/>
      <c r="RFL226" s="10"/>
      <c r="RFM226" s="10"/>
      <c r="RFN226" s="21"/>
      <c r="RFO226" s="21"/>
      <c r="RFR226" s="21"/>
      <c r="RFS226" s="15"/>
      <c r="RFT226" s="15"/>
      <c r="RFU226" s="15"/>
      <c r="RFV226" s="15"/>
      <c r="RFW226" s="15"/>
      <c r="RFX226" s="15"/>
      <c r="RFY226" s="15"/>
      <c r="RFZ226" s="15"/>
      <c r="RGA226" s="15"/>
      <c r="RGB226" s="15"/>
      <c r="RGC226" s="10"/>
      <c r="RGD226" s="10"/>
      <c r="RGE226" s="21"/>
      <c r="RGF226" s="21"/>
      <c r="RGI226" s="21"/>
      <c r="RGJ226" s="15"/>
      <c r="RGK226" s="15"/>
      <c r="RGL226" s="15"/>
      <c r="RGM226" s="15"/>
      <c r="RGN226" s="15"/>
      <c r="RGO226" s="15"/>
      <c r="RGP226" s="15"/>
      <c r="RGQ226" s="15"/>
      <c r="RGR226" s="15"/>
      <c r="RGS226" s="15"/>
      <c r="RGT226" s="10"/>
      <c r="RGU226" s="10"/>
      <c r="RGV226" s="21"/>
      <c r="RGW226" s="21"/>
      <c r="RGZ226" s="21"/>
      <c r="RHA226" s="15"/>
      <c r="RHB226" s="15"/>
      <c r="RHC226" s="15"/>
      <c r="RHD226" s="15"/>
      <c r="RHE226" s="15"/>
      <c r="RHF226" s="15"/>
      <c r="RHG226" s="15"/>
      <c r="RHH226" s="15"/>
      <c r="RHI226" s="15"/>
      <c r="RHJ226" s="15"/>
      <c r="RHK226" s="10"/>
      <c r="RHL226" s="10"/>
      <c r="RHM226" s="21"/>
      <c r="RHN226" s="21"/>
      <c r="RHQ226" s="21"/>
      <c r="RHR226" s="15"/>
      <c r="RHS226" s="15"/>
      <c r="RHT226" s="15"/>
      <c r="RHU226" s="15"/>
      <c r="RHV226" s="15"/>
      <c r="RHW226" s="15"/>
      <c r="RHX226" s="15"/>
      <c r="RHY226" s="15"/>
      <c r="RHZ226" s="15"/>
      <c r="RIA226" s="15"/>
      <c r="RIB226" s="10"/>
      <c r="RIC226" s="10"/>
      <c r="RID226" s="21"/>
      <c r="RIE226" s="21"/>
      <c r="RIH226" s="21"/>
      <c r="RII226" s="15"/>
      <c r="RIJ226" s="15"/>
      <c r="RIK226" s="15"/>
      <c r="RIL226" s="15"/>
      <c r="RIM226" s="15"/>
      <c r="RIN226" s="15"/>
      <c r="RIO226" s="15"/>
      <c r="RIP226" s="15"/>
      <c r="RIQ226" s="15"/>
      <c r="RIR226" s="15"/>
      <c r="RIS226" s="10"/>
      <c r="RIT226" s="10"/>
      <c r="RIU226" s="21"/>
      <c r="RIV226" s="21"/>
      <c r="RIY226" s="21"/>
      <c r="RIZ226" s="15"/>
      <c r="RJA226" s="15"/>
      <c r="RJB226" s="15"/>
      <c r="RJC226" s="15"/>
      <c r="RJD226" s="15"/>
      <c r="RJE226" s="15"/>
      <c r="RJF226" s="15"/>
      <c r="RJG226" s="15"/>
      <c r="RJH226" s="15"/>
      <c r="RJI226" s="15"/>
      <c r="RJJ226" s="10"/>
      <c r="RJK226" s="10"/>
      <c r="RJL226" s="21"/>
      <c r="RJM226" s="21"/>
      <c r="RJP226" s="21"/>
      <c r="RJQ226" s="15"/>
      <c r="RJR226" s="15"/>
      <c r="RJS226" s="15"/>
      <c r="RJT226" s="15"/>
      <c r="RJU226" s="15"/>
      <c r="RJV226" s="15"/>
      <c r="RJW226" s="15"/>
      <c r="RJX226" s="15"/>
      <c r="RJY226" s="15"/>
      <c r="RJZ226" s="15"/>
      <c r="RKA226" s="10"/>
      <c r="RKB226" s="10"/>
      <c r="RKC226" s="21"/>
      <c r="RKD226" s="21"/>
      <c r="RKG226" s="21"/>
      <c r="RKH226" s="15"/>
      <c r="RKI226" s="15"/>
      <c r="RKJ226" s="15"/>
      <c r="RKK226" s="15"/>
      <c r="RKL226" s="15"/>
      <c r="RKM226" s="15"/>
      <c r="RKN226" s="15"/>
      <c r="RKO226" s="15"/>
      <c r="RKP226" s="15"/>
      <c r="RKQ226" s="15"/>
      <c r="RKR226" s="10"/>
      <c r="RKS226" s="10"/>
      <c r="RKT226" s="21"/>
      <c r="RKU226" s="21"/>
      <c r="RKX226" s="21"/>
      <c r="RKY226" s="15"/>
      <c r="RKZ226" s="15"/>
      <c r="RLA226" s="15"/>
      <c r="RLB226" s="15"/>
      <c r="RLC226" s="15"/>
      <c r="RLD226" s="15"/>
      <c r="RLE226" s="15"/>
      <c r="RLF226" s="15"/>
      <c r="RLG226" s="15"/>
      <c r="RLH226" s="15"/>
      <c r="RLI226" s="10"/>
      <c r="RLJ226" s="10"/>
      <c r="RLK226" s="21"/>
      <c r="RLL226" s="21"/>
      <c r="RLO226" s="21"/>
      <c r="RLP226" s="15"/>
      <c r="RLQ226" s="15"/>
      <c r="RLR226" s="15"/>
      <c r="RLS226" s="15"/>
      <c r="RLT226" s="15"/>
      <c r="RLU226" s="15"/>
      <c r="RLV226" s="15"/>
      <c r="RLW226" s="15"/>
      <c r="RLX226" s="15"/>
      <c r="RLY226" s="15"/>
      <c r="RLZ226" s="10"/>
      <c r="RMA226" s="10"/>
      <c r="RMB226" s="21"/>
      <c r="RMC226" s="21"/>
      <c r="RMF226" s="21"/>
      <c r="RMG226" s="15"/>
      <c r="RMH226" s="15"/>
      <c r="RMI226" s="15"/>
      <c r="RMJ226" s="15"/>
      <c r="RMK226" s="15"/>
      <c r="RML226" s="15"/>
      <c r="RMM226" s="15"/>
      <c r="RMN226" s="15"/>
      <c r="RMO226" s="15"/>
      <c r="RMP226" s="15"/>
      <c r="RMQ226" s="10"/>
      <c r="RMR226" s="10"/>
      <c r="RMS226" s="21"/>
      <c r="RMT226" s="21"/>
      <c r="RMW226" s="21"/>
      <c r="RMX226" s="15"/>
      <c r="RMY226" s="15"/>
      <c r="RMZ226" s="15"/>
      <c r="RNA226" s="15"/>
      <c r="RNB226" s="15"/>
      <c r="RNC226" s="15"/>
      <c r="RND226" s="15"/>
      <c r="RNE226" s="15"/>
      <c r="RNF226" s="15"/>
      <c r="RNG226" s="15"/>
      <c r="RNH226" s="10"/>
      <c r="RNI226" s="10"/>
      <c r="RNJ226" s="21"/>
      <c r="RNK226" s="21"/>
      <c r="RNN226" s="21"/>
      <c r="RNO226" s="15"/>
      <c r="RNP226" s="15"/>
      <c r="RNQ226" s="15"/>
      <c r="RNR226" s="15"/>
      <c r="RNS226" s="15"/>
      <c r="RNT226" s="15"/>
      <c r="RNU226" s="15"/>
      <c r="RNV226" s="15"/>
      <c r="RNW226" s="15"/>
      <c r="RNX226" s="15"/>
      <c r="RNY226" s="10"/>
      <c r="RNZ226" s="10"/>
      <c r="ROA226" s="21"/>
      <c r="ROB226" s="21"/>
      <c r="ROE226" s="21"/>
      <c r="ROF226" s="15"/>
      <c r="ROG226" s="15"/>
      <c r="ROH226" s="15"/>
      <c r="ROI226" s="15"/>
      <c r="ROJ226" s="15"/>
      <c r="ROK226" s="15"/>
      <c r="ROL226" s="15"/>
      <c r="ROM226" s="15"/>
      <c r="RON226" s="15"/>
      <c r="ROO226" s="15"/>
      <c r="ROP226" s="10"/>
      <c r="ROQ226" s="10"/>
      <c r="ROR226" s="21"/>
      <c r="ROS226" s="21"/>
      <c r="ROV226" s="21"/>
      <c r="ROW226" s="15"/>
      <c r="ROX226" s="15"/>
      <c r="ROY226" s="15"/>
      <c r="ROZ226" s="15"/>
      <c r="RPA226" s="15"/>
      <c r="RPB226" s="15"/>
      <c r="RPC226" s="15"/>
      <c r="RPD226" s="15"/>
      <c r="RPE226" s="15"/>
      <c r="RPF226" s="15"/>
      <c r="RPG226" s="10"/>
      <c r="RPH226" s="10"/>
      <c r="RPI226" s="21"/>
      <c r="RPJ226" s="21"/>
      <c r="RPM226" s="21"/>
      <c r="RPN226" s="15"/>
      <c r="RPO226" s="15"/>
      <c r="RPP226" s="15"/>
      <c r="RPQ226" s="15"/>
      <c r="RPR226" s="15"/>
      <c r="RPS226" s="15"/>
      <c r="RPT226" s="15"/>
      <c r="RPU226" s="15"/>
      <c r="RPV226" s="15"/>
      <c r="RPW226" s="15"/>
      <c r="RPX226" s="10"/>
      <c r="RPY226" s="10"/>
      <c r="RPZ226" s="21"/>
      <c r="RQA226" s="21"/>
      <c r="RQD226" s="21"/>
      <c r="RQE226" s="15"/>
      <c r="RQF226" s="15"/>
      <c r="RQG226" s="15"/>
      <c r="RQH226" s="15"/>
      <c r="RQI226" s="15"/>
      <c r="RQJ226" s="15"/>
      <c r="RQK226" s="15"/>
      <c r="RQL226" s="15"/>
      <c r="RQM226" s="15"/>
      <c r="RQN226" s="15"/>
      <c r="RQO226" s="10"/>
      <c r="RQP226" s="10"/>
      <c r="RQQ226" s="21"/>
      <c r="RQR226" s="21"/>
      <c r="RQU226" s="21"/>
      <c r="RQV226" s="15"/>
      <c r="RQW226" s="15"/>
      <c r="RQX226" s="15"/>
      <c r="RQY226" s="15"/>
      <c r="RQZ226" s="15"/>
      <c r="RRA226" s="15"/>
      <c r="RRB226" s="15"/>
      <c r="RRC226" s="15"/>
      <c r="RRD226" s="15"/>
      <c r="RRE226" s="15"/>
      <c r="RRF226" s="10"/>
      <c r="RRG226" s="10"/>
      <c r="RRH226" s="21"/>
      <c r="RRI226" s="21"/>
      <c r="RRL226" s="21"/>
      <c r="RRM226" s="15"/>
      <c r="RRN226" s="15"/>
      <c r="RRO226" s="15"/>
      <c r="RRP226" s="15"/>
      <c r="RRQ226" s="15"/>
      <c r="RRR226" s="15"/>
      <c r="RRS226" s="15"/>
      <c r="RRT226" s="15"/>
      <c r="RRU226" s="15"/>
      <c r="RRV226" s="15"/>
      <c r="RRW226" s="10"/>
      <c r="RRX226" s="10"/>
      <c r="RRY226" s="21"/>
      <c r="RRZ226" s="21"/>
      <c r="RSC226" s="21"/>
      <c r="RSD226" s="15"/>
      <c r="RSE226" s="15"/>
      <c r="RSF226" s="15"/>
      <c r="RSG226" s="15"/>
      <c r="RSH226" s="15"/>
      <c r="RSI226" s="15"/>
      <c r="RSJ226" s="15"/>
      <c r="RSK226" s="15"/>
      <c r="RSL226" s="15"/>
      <c r="RSM226" s="15"/>
      <c r="RSN226" s="10"/>
      <c r="RSO226" s="10"/>
      <c r="RSP226" s="21"/>
      <c r="RSQ226" s="21"/>
      <c r="RST226" s="21"/>
      <c r="RSU226" s="15"/>
      <c r="RSV226" s="15"/>
      <c r="RSW226" s="15"/>
      <c r="RSX226" s="15"/>
      <c r="RSY226" s="15"/>
      <c r="RSZ226" s="15"/>
      <c r="RTA226" s="15"/>
      <c r="RTB226" s="15"/>
      <c r="RTC226" s="15"/>
      <c r="RTD226" s="15"/>
      <c r="RTE226" s="10"/>
      <c r="RTF226" s="10"/>
      <c r="RTG226" s="21"/>
      <c r="RTH226" s="21"/>
      <c r="RTK226" s="21"/>
      <c r="RTL226" s="15"/>
      <c r="RTM226" s="15"/>
      <c r="RTN226" s="15"/>
      <c r="RTO226" s="15"/>
      <c r="RTP226" s="15"/>
      <c r="RTQ226" s="15"/>
      <c r="RTR226" s="15"/>
      <c r="RTS226" s="15"/>
      <c r="RTT226" s="15"/>
      <c r="RTU226" s="15"/>
      <c r="RTV226" s="10"/>
      <c r="RTW226" s="10"/>
      <c r="RTX226" s="21"/>
      <c r="RTY226" s="21"/>
      <c r="RUB226" s="21"/>
      <c r="RUC226" s="15"/>
      <c r="RUD226" s="15"/>
      <c r="RUE226" s="15"/>
      <c r="RUF226" s="15"/>
      <c r="RUG226" s="15"/>
      <c r="RUH226" s="15"/>
      <c r="RUI226" s="15"/>
      <c r="RUJ226" s="15"/>
      <c r="RUK226" s="15"/>
      <c r="RUL226" s="15"/>
      <c r="RUM226" s="10"/>
      <c r="RUN226" s="10"/>
      <c r="RUO226" s="21"/>
      <c r="RUP226" s="21"/>
      <c r="RUS226" s="21"/>
      <c r="RUT226" s="15"/>
      <c r="RUU226" s="15"/>
      <c r="RUV226" s="15"/>
      <c r="RUW226" s="15"/>
      <c r="RUX226" s="15"/>
      <c r="RUY226" s="15"/>
      <c r="RUZ226" s="15"/>
      <c r="RVA226" s="15"/>
      <c r="RVB226" s="15"/>
      <c r="RVC226" s="15"/>
      <c r="RVD226" s="10"/>
      <c r="RVE226" s="10"/>
      <c r="RVF226" s="21"/>
      <c r="RVG226" s="21"/>
      <c r="RVJ226" s="21"/>
      <c r="RVK226" s="15"/>
      <c r="RVL226" s="15"/>
      <c r="RVM226" s="15"/>
      <c r="RVN226" s="15"/>
      <c r="RVO226" s="15"/>
      <c r="RVP226" s="15"/>
      <c r="RVQ226" s="15"/>
      <c r="RVR226" s="15"/>
      <c r="RVS226" s="15"/>
      <c r="RVT226" s="15"/>
      <c r="RVU226" s="10"/>
      <c r="RVV226" s="10"/>
      <c r="RVW226" s="21"/>
      <c r="RVX226" s="21"/>
      <c r="RWA226" s="21"/>
      <c r="RWB226" s="15"/>
      <c r="RWC226" s="15"/>
      <c r="RWD226" s="15"/>
      <c r="RWE226" s="15"/>
      <c r="RWF226" s="15"/>
      <c r="RWG226" s="15"/>
      <c r="RWH226" s="15"/>
      <c r="RWI226" s="15"/>
      <c r="RWJ226" s="15"/>
      <c r="RWK226" s="15"/>
      <c r="RWL226" s="10"/>
      <c r="RWM226" s="10"/>
      <c r="RWN226" s="21"/>
      <c r="RWO226" s="21"/>
      <c r="RWR226" s="21"/>
      <c r="RWS226" s="15"/>
      <c r="RWT226" s="15"/>
      <c r="RWU226" s="15"/>
      <c r="RWV226" s="15"/>
      <c r="RWW226" s="15"/>
      <c r="RWX226" s="15"/>
      <c r="RWY226" s="15"/>
      <c r="RWZ226" s="15"/>
      <c r="RXA226" s="15"/>
      <c r="RXB226" s="15"/>
      <c r="RXC226" s="10"/>
      <c r="RXD226" s="10"/>
      <c r="RXE226" s="21"/>
      <c r="RXF226" s="21"/>
      <c r="RXI226" s="21"/>
      <c r="RXJ226" s="15"/>
      <c r="RXK226" s="15"/>
      <c r="RXL226" s="15"/>
      <c r="RXM226" s="15"/>
      <c r="RXN226" s="15"/>
      <c r="RXO226" s="15"/>
      <c r="RXP226" s="15"/>
      <c r="RXQ226" s="15"/>
      <c r="RXR226" s="15"/>
      <c r="RXS226" s="15"/>
      <c r="RXT226" s="10"/>
      <c r="RXU226" s="10"/>
      <c r="RXV226" s="21"/>
      <c r="RXW226" s="21"/>
      <c r="RXZ226" s="21"/>
      <c r="RYA226" s="15"/>
      <c r="RYB226" s="15"/>
      <c r="RYC226" s="15"/>
      <c r="RYD226" s="15"/>
      <c r="RYE226" s="15"/>
      <c r="RYF226" s="15"/>
      <c r="RYG226" s="15"/>
      <c r="RYH226" s="15"/>
      <c r="RYI226" s="15"/>
      <c r="RYJ226" s="15"/>
      <c r="RYK226" s="10"/>
      <c r="RYL226" s="10"/>
      <c r="RYM226" s="21"/>
      <c r="RYN226" s="21"/>
      <c r="RYQ226" s="21"/>
      <c r="RYR226" s="15"/>
      <c r="RYS226" s="15"/>
      <c r="RYT226" s="15"/>
      <c r="RYU226" s="15"/>
      <c r="RYV226" s="15"/>
      <c r="RYW226" s="15"/>
      <c r="RYX226" s="15"/>
      <c r="RYY226" s="15"/>
      <c r="RYZ226" s="15"/>
      <c r="RZA226" s="15"/>
      <c r="RZB226" s="10"/>
      <c r="RZC226" s="10"/>
      <c r="RZD226" s="21"/>
      <c r="RZE226" s="21"/>
      <c r="RZH226" s="21"/>
      <c r="RZI226" s="15"/>
      <c r="RZJ226" s="15"/>
      <c r="RZK226" s="15"/>
      <c r="RZL226" s="15"/>
      <c r="RZM226" s="15"/>
      <c r="RZN226" s="15"/>
      <c r="RZO226" s="15"/>
      <c r="RZP226" s="15"/>
      <c r="RZQ226" s="15"/>
      <c r="RZR226" s="15"/>
      <c r="RZS226" s="10"/>
      <c r="RZT226" s="10"/>
      <c r="RZU226" s="21"/>
      <c r="RZV226" s="21"/>
      <c r="RZY226" s="21"/>
      <c r="RZZ226" s="15"/>
      <c r="SAA226" s="15"/>
      <c r="SAB226" s="15"/>
      <c r="SAC226" s="15"/>
      <c r="SAD226" s="15"/>
      <c r="SAE226" s="15"/>
      <c r="SAF226" s="15"/>
      <c r="SAG226" s="15"/>
      <c r="SAH226" s="15"/>
      <c r="SAI226" s="15"/>
      <c r="SAJ226" s="10"/>
      <c r="SAK226" s="10"/>
      <c r="SAL226" s="21"/>
      <c r="SAM226" s="21"/>
      <c r="SAP226" s="21"/>
      <c r="SAQ226" s="15"/>
      <c r="SAR226" s="15"/>
      <c r="SAS226" s="15"/>
      <c r="SAT226" s="15"/>
      <c r="SAU226" s="15"/>
      <c r="SAV226" s="15"/>
      <c r="SAW226" s="15"/>
      <c r="SAX226" s="15"/>
      <c r="SAY226" s="15"/>
      <c r="SAZ226" s="15"/>
      <c r="SBA226" s="10"/>
      <c r="SBB226" s="10"/>
      <c r="SBC226" s="21"/>
      <c r="SBD226" s="21"/>
      <c r="SBG226" s="21"/>
      <c r="SBH226" s="15"/>
      <c r="SBI226" s="15"/>
      <c r="SBJ226" s="15"/>
      <c r="SBK226" s="15"/>
      <c r="SBL226" s="15"/>
      <c r="SBM226" s="15"/>
      <c r="SBN226" s="15"/>
      <c r="SBO226" s="15"/>
      <c r="SBP226" s="15"/>
      <c r="SBQ226" s="15"/>
      <c r="SBR226" s="10"/>
      <c r="SBS226" s="10"/>
      <c r="SBT226" s="21"/>
      <c r="SBU226" s="21"/>
      <c r="SBX226" s="21"/>
      <c r="SBY226" s="15"/>
      <c r="SBZ226" s="15"/>
      <c r="SCA226" s="15"/>
      <c r="SCB226" s="15"/>
      <c r="SCC226" s="15"/>
      <c r="SCD226" s="15"/>
      <c r="SCE226" s="15"/>
      <c r="SCF226" s="15"/>
      <c r="SCG226" s="15"/>
      <c r="SCH226" s="15"/>
      <c r="SCI226" s="10"/>
      <c r="SCJ226" s="10"/>
      <c r="SCK226" s="21"/>
      <c r="SCL226" s="21"/>
      <c r="SCO226" s="21"/>
      <c r="SCP226" s="15"/>
      <c r="SCQ226" s="15"/>
      <c r="SCR226" s="15"/>
      <c r="SCS226" s="15"/>
      <c r="SCT226" s="15"/>
      <c r="SCU226" s="15"/>
      <c r="SCV226" s="15"/>
      <c r="SCW226" s="15"/>
      <c r="SCX226" s="15"/>
      <c r="SCY226" s="15"/>
      <c r="SCZ226" s="10"/>
      <c r="SDA226" s="10"/>
      <c r="SDB226" s="21"/>
      <c r="SDC226" s="21"/>
      <c r="SDF226" s="21"/>
      <c r="SDG226" s="15"/>
      <c r="SDH226" s="15"/>
      <c r="SDI226" s="15"/>
      <c r="SDJ226" s="15"/>
      <c r="SDK226" s="15"/>
      <c r="SDL226" s="15"/>
      <c r="SDM226" s="15"/>
      <c r="SDN226" s="15"/>
      <c r="SDO226" s="15"/>
      <c r="SDP226" s="15"/>
      <c r="SDQ226" s="10"/>
      <c r="SDR226" s="10"/>
      <c r="SDS226" s="21"/>
      <c r="SDT226" s="21"/>
      <c r="SDW226" s="21"/>
      <c r="SDX226" s="15"/>
      <c r="SDY226" s="15"/>
      <c r="SDZ226" s="15"/>
      <c r="SEA226" s="15"/>
      <c r="SEB226" s="15"/>
      <c r="SEC226" s="15"/>
      <c r="SED226" s="15"/>
      <c r="SEE226" s="15"/>
      <c r="SEF226" s="15"/>
      <c r="SEG226" s="15"/>
      <c r="SEH226" s="10"/>
      <c r="SEI226" s="10"/>
      <c r="SEJ226" s="21"/>
      <c r="SEK226" s="21"/>
      <c r="SEN226" s="21"/>
      <c r="SEO226" s="15"/>
      <c r="SEP226" s="15"/>
      <c r="SEQ226" s="15"/>
      <c r="SER226" s="15"/>
      <c r="SES226" s="15"/>
      <c r="SET226" s="15"/>
      <c r="SEU226" s="15"/>
      <c r="SEV226" s="15"/>
      <c r="SEW226" s="15"/>
      <c r="SEX226" s="15"/>
      <c r="SEY226" s="10"/>
      <c r="SEZ226" s="10"/>
      <c r="SFA226" s="21"/>
      <c r="SFB226" s="21"/>
      <c r="SFE226" s="21"/>
      <c r="SFF226" s="15"/>
      <c r="SFG226" s="15"/>
      <c r="SFH226" s="15"/>
      <c r="SFI226" s="15"/>
      <c r="SFJ226" s="15"/>
      <c r="SFK226" s="15"/>
      <c r="SFL226" s="15"/>
      <c r="SFM226" s="15"/>
      <c r="SFN226" s="15"/>
      <c r="SFO226" s="15"/>
      <c r="SFP226" s="10"/>
      <c r="SFQ226" s="10"/>
      <c r="SFR226" s="21"/>
      <c r="SFS226" s="21"/>
      <c r="SFV226" s="21"/>
      <c r="SFW226" s="15"/>
      <c r="SFX226" s="15"/>
      <c r="SFY226" s="15"/>
      <c r="SFZ226" s="15"/>
      <c r="SGA226" s="15"/>
      <c r="SGB226" s="15"/>
      <c r="SGC226" s="15"/>
      <c r="SGD226" s="15"/>
      <c r="SGE226" s="15"/>
      <c r="SGF226" s="15"/>
      <c r="SGG226" s="10"/>
      <c r="SGH226" s="10"/>
      <c r="SGI226" s="21"/>
      <c r="SGJ226" s="21"/>
      <c r="SGM226" s="21"/>
      <c r="SGN226" s="15"/>
      <c r="SGO226" s="15"/>
      <c r="SGP226" s="15"/>
      <c r="SGQ226" s="15"/>
      <c r="SGR226" s="15"/>
      <c r="SGS226" s="15"/>
      <c r="SGT226" s="15"/>
      <c r="SGU226" s="15"/>
      <c r="SGV226" s="15"/>
      <c r="SGW226" s="15"/>
      <c r="SGX226" s="10"/>
      <c r="SGY226" s="10"/>
      <c r="SGZ226" s="21"/>
      <c r="SHA226" s="21"/>
      <c r="SHD226" s="21"/>
      <c r="SHE226" s="15"/>
      <c r="SHF226" s="15"/>
      <c r="SHG226" s="15"/>
      <c r="SHH226" s="15"/>
      <c r="SHI226" s="15"/>
      <c r="SHJ226" s="15"/>
      <c r="SHK226" s="15"/>
      <c r="SHL226" s="15"/>
      <c r="SHM226" s="15"/>
      <c r="SHN226" s="15"/>
      <c r="SHO226" s="10"/>
      <c r="SHP226" s="10"/>
      <c r="SHQ226" s="21"/>
      <c r="SHR226" s="21"/>
      <c r="SHU226" s="21"/>
      <c r="SHV226" s="15"/>
      <c r="SHW226" s="15"/>
      <c r="SHX226" s="15"/>
      <c r="SHY226" s="15"/>
      <c r="SHZ226" s="15"/>
      <c r="SIA226" s="15"/>
      <c r="SIB226" s="15"/>
      <c r="SIC226" s="15"/>
      <c r="SID226" s="15"/>
      <c r="SIE226" s="15"/>
      <c r="SIF226" s="10"/>
      <c r="SIG226" s="10"/>
      <c r="SIH226" s="21"/>
      <c r="SII226" s="21"/>
      <c r="SIL226" s="21"/>
      <c r="SIM226" s="15"/>
      <c r="SIN226" s="15"/>
      <c r="SIO226" s="15"/>
      <c r="SIP226" s="15"/>
      <c r="SIQ226" s="15"/>
      <c r="SIR226" s="15"/>
      <c r="SIS226" s="15"/>
      <c r="SIT226" s="15"/>
      <c r="SIU226" s="15"/>
      <c r="SIV226" s="15"/>
      <c r="SIW226" s="10"/>
      <c r="SIX226" s="10"/>
      <c r="SIY226" s="21"/>
      <c r="SIZ226" s="21"/>
      <c r="SJC226" s="21"/>
      <c r="SJD226" s="15"/>
      <c r="SJE226" s="15"/>
      <c r="SJF226" s="15"/>
      <c r="SJG226" s="15"/>
      <c r="SJH226" s="15"/>
      <c r="SJI226" s="15"/>
      <c r="SJJ226" s="15"/>
      <c r="SJK226" s="15"/>
      <c r="SJL226" s="15"/>
      <c r="SJM226" s="15"/>
      <c r="SJN226" s="10"/>
      <c r="SJO226" s="10"/>
      <c r="SJP226" s="21"/>
      <c r="SJQ226" s="21"/>
      <c r="SJT226" s="21"/>
      <c r="SJU226" s="15"/>
      <c r="SJV226" s="15"/>
      <c r="SJW226" s="15"/>
      <c r="SJX226" s="15"/>
      <c r="SJY226" s="15"/>
      <c r="SJZ226" s="15"/>
      <c r="SKA226" s="15"/>
      <c r="SKB226" s="15"/>
      <c r="SKC226" s="15"/>
      <c r="SKD226" s="15"/>
      <c r="SKE226" s="10"/>
      <c r="SKF226" s="10"/>
      <c r="SKG226" s="21"/>
      <c r="SKH226" s="21"/>
      <c r="SKK226" s="21"/>
      <c r="SKL226" s="15"/>
      <c r="SKM226" s="15"/>
      <c r="SKN226" s="15"/>
      <c r="SKO226" s="15"/>
      <c r="SKP226" s="15"/>
      <c r="SKQ226" s="15"/>
      <c r="SKR226" s="15"/>
      <c r="SKS226" s="15"/>
      <c r="SKT226" s="15"/>
      <c r="SKU226" s="15"/>
      <c r="SKV226" s="10"/>
      <c r="SKW226" s="10"/>
      <c r="SKX226" s="21"/>
      <c r="SKY226" s="21"/>
      <c r="SLB226" s="21"/>
      <c r="SLC226" s="15"/>
      <c r="SLD226" s="15"/>
      <c r="SLE226" s="15"/>
      <c r="SLF226" s="15"/>
      <c r="SLG226" s="15"/>
      <c r="SLH226" s="15"/>
      <c r="SLI226" s="15"/>
      <c r="SLJ226" s="15"/>
      <c r="SLK226" s="15"/>
      <c r="SLL226" s="15"/>
      <c r="SLM226" s="10"/>
      <c r="SLN226" s="10"/>
      <c r="SLO226" s="21"/>
      <c r="SLP226" s="21"/>
      <c r="SLS226" s="21"/>
      <c r="SLT226" s="15"/>
      <c r="SLU226" s="15"/>
      <c r="SLV226" s="15"/>
      <c r="SLW226" s="15"/>
      <c r="SLX226" s="15"/>
      <c r="SLY226" s="15"/>
      <c r="SLZ226" s="15"/>
      <c r="SMA226" s="15"/>
      <c r="SMB226" s="15"/>
      <c r="SMC226" s="15"/>
      <c r="SMD226" s="10"/>
      <c r="SME226" s="10"/>
      <c r="SMF226" s="21"/>
      <c r="SMG226" s="21"/>
      <c r="SMJ226" s="21"/>
      <c r="SMK226" s="15"/>
      <c r="SML226" s="15"/>
      <c r="SMM226" s="15"/>
      <c r="SMN226" s="15"/>
      <c r="SMO226" s="15"/>
      <c r="SMP226" s="15"/>
      <c r="SMQ226" s="15"/>
      <c r="SMR226" s="15"/>
      <c r="SMS226" s="15"/>
      <c r="SMT226" s="15"/>
      <c r="SMU226" s="10"/>
      <c r="SMV226" s="10"/>
      <c r="SMW226" s="21"/>
      <c r="SMX226" s="21"/>
      <c r="SNA226" s="21"/>
      <c r="SNB226" s="15"/>
      <c r="SNC226" s="15"/>
      <c r="SND226" s="15"/>
      <c r="SNE226" s="15"/>
      <c r="SNF226" s="15"/>
      <c r="SNG226" s="15"/>
      <c r="SNH226" s="15"/>
      <c r="SNI226" s="15"/>
      <c r="SNJ226" s="15"/>
      <c r="SNK226" s="15"/>
      <c r="SNL226" s="10"/>
      <c r="SNM226" s="10"/>
      <c r="SNN226" s="21"/>
      <c r="SNO226" s="21"/>
      <c r="SNR226" s="21"/>
      <c r="SNS226" s="15"/>
      <c r="SNT226" s="15"/>
      <c r="SNU226" s="15"/>
      <c r="SNV226" s="15"/>
      <c r="SNW226" s="15"/>
      <c r="SNX226" s="15"/>
      <c r="SNY226" s="15"/>
      <c r="SNZ226" s="15"/>
      <c r="SOA226" s="15"/>
      <c r="SOB226" s="15"/>
      <c r="SOC226" s="10"/>
      <c r="SOD226" s="10"/>
      <c r="SOE226" s="21"/>
      <c r="SOF226" s="21"/>
      <c r="SOI226" s="21"/>
      <c r="SOJ226" s="15"/>
      <c r="SOK226" s="15"/>
      <c r="SOL226" s="15"/>
      <c r="SOM226" s="15"/>
      <c r="SON226" s="15"/>
      <c r="SOO226" s="15"/>
      <c r="SOP226" s="15"/>
      <c r="SOQ226" s="15"/>
      <c r="SOR226" s="15"/>
      <c r="SOS226" s="15"/>
      <c r="SOT226" s="10"/>
      <c r="SOU226" s="10"/>
      <c r="SOV226" s="21"/>
      <c r="SOW226" s="21"/>
      <c r="SOZ226" s="21"/>
      <c r="SPA226" s="15"/>
      <c r="SPB226" s="15"/>
      <c r="SPC226" s="15"/>
      <c r="SPD226" s="15"/>
      <c r="SPE226" s="15"/>
      <c r="SPF226" s="15"/>
      <c r="SPG226" s="15"/>
      <c r="SPH226" s="15"/>
      <c r="SPI226" s="15"/>
      <c r="SPJ226" s="15"/>
      <c r="SPK226" s="10"/>
      <c r="SPL226" s="10"/>
      <c r="SPM226" s="21"/>
      <c r="SPN226" s="21"/>
      <c r="SPQ226" s="21"/>
      <c r="SPR226" s="15"/>
      <c r="SPS226" s="15"/>
      <c r="SPT226" s="15"/>
      <c r="SPU226" s="15"/>
      <c r="SPV226" s="15"/>
      <c r="SPW226" s="15"/>
      <c r="SPX226" s="15"/>
      <c r="SPY226" s="15"/>
      <c r="SPZ226" s="15"/>
      <c r="SQA226" s="15"/>
      <c r="SQB226" s="10"/>
      <c r="SQC226" s="10"/>
      <c r="SQD226" s="21"/>
      <c r="SQE226" s="21"/>
      <c r="SQH226" s="21"/>
      <c r="SQI226" s="15"/>
      <c r="SQJ226" s="15"/>
      <c r="SQK226" s="15"/>
      <c r="SQL226" s="15"/>
      <c r="SQM226" s="15"/>
      <c r="SQN226" s="15"/>
      <c r="SQO226" s="15"/>
      <c r="SQP226" s="15"/>
      <c r="SQQ226" s="15"/>
      <c r="SQR226" s="15"/>
      <c r="SQS226" s="10"/>
      <c r="SQT226" s="10"/>
      <c r="SQU226" s="21"/>
      <c r="SQV226" s="21"/>
      <c r="SQY226" s="21"/>
      <c r="SQZ226" s="15"/>
      <c r="SRA226" s="15"/>
      <c r="SRB226" s="15"/>
      <c r="SRC226" s="15"/>
      <c r="SRD226" s="15"/>
      <c r="SRE226" s="15"/>
      <c r="SRF226" s="15"/>
      <c r="SRG226" s="15"/>
      <c r="SRH226" s="15"/>
      <c r="SRI226" s="15"/>
      <c r="SRJ226" s="10"/>
      <c r="SRK226" s="10"/>
      <c r="SRL226" s="21"/>
      <c r="SRM226" s="21"/>
      <c r="SRP226" s="21"/>
      <c r="SRQ226" s="15"/>
      <c r="SRR226" s="15"/>
      <c r="SRS226" s="15"/>
      <c r="SRT226" s="15"/>
      <c r="SRU226" s="15"/>
      <c r="SRV226" s="15"/>
      <c r="SRW226" s="15"/>
      <c r="SRX226" s="15"/>
      <c r="SRY226" s="15"/>
      <c r="SRZ226" s="15"/>
      <c r="SSA226" s="10"/>
      <c r="SSB226" s="10"/>
      <c r="SSC226" s="21"/>
      <c r="SSD226" s="21"/>
      <c r="SSG226" s="21"/>
      <c r="SSH226" s="15"/>
      <c r="SSI226" s="15"/>
      <c r="SSJ226" s="15"/>
      <c r="SSK226" s="15"/>
      <c r="SSL226" s="15"/>
      <c r="SSM226" s="15"/>
      <c r="SSN226" s="15"/>
      <c r="SSO226" s="15"/>
      <c r="SSP226" s="15"/>
      <c r="SSQ226" s="15"/>
      <c r="SSR226" s="10"/>
      <c r="SSS226" s="10"/>
      <c r="SST226" s="21"/>
      <c r="SSU226" s="21"/>
      <c r="SSX226" s="21"/>
      <c r="SSY226" s="15"/>
      <c r="SSZ226" s="15"/>
      <c r="STA226" s="15"/>
      <c r="STB226" s="15"/>
      <c r="STC226" s="15"/>
      <c r="STD226" s="15"/>
      <c r="STE226" s="15"/>
      <c r="STF226" s="15"/>
      <c r="STG226" s="15"/>
      <c r="STH226" s="15"/>
      <c r="STI226" s="10"/>
      <c r="STJ226" s="10"/>
      <c r="STK226" s="21"/>
      <c r="STL226" s="21"/>
      <c r="STO226" s="21"/>
      <c r="STP226" s="15"/>
      <c r="STQ226" s="15"/>
      <c r="STR226" s="15"/>
      <c r="STS226" s="15"/>
      <c r="STT226" s="15"/>
      <c r="STU226" s="15"/>
      <c r="STV226" s="15"/>
      <c r="STW226" s="15"/>
      <c r="STX226" s="15"/>
      <c r="STY226" s="15"/>
      <c r="STZ226" s="10"/>
      <c r="SUA226" s="10"/>
      <c r="SUB226" s="21"/>
      <c r="SUC226" s="21"/>
      <c r="SUF226" s="21"/>
      <c r="SUG226" s="15"/>
      <c r="SUH226" s="15"/>
      <c r="SUI226" s="15"/>
      <c r="SUJ226" s="15"/>
      <c r="SUK226" s="15"/>
      <c r="SUL226" s="15"/>
      <c r="SUM226" s="15"/>
      <c r="SUN226" s="15"/>
      <c r="SUO226" s="15"/>
      <c r="SUP226" s="15"/>
      <c r="SUQ226" s="10"/>
      <c r="SUR226" s="10"/>
      <c r="SUS226" s="21"/>
      <c r="SUT226" s="21"/>
      <c r="SUW226" s="21"/>
      <c r="SUX226" s="15"/>
      <c r="SUY226" s="15"/>
      <c r="SUZ226" s="15"/>
      <c r="SVA226" s="15"/>
      <c r="SVB226" s="15"/>
      <c r="SVC226" s="15"/>
      <c r="SVD226" s="15"/>
      <c r="SVE226" s="15"/>
      <c r="SVF226" s="15"/>
      <c r="SVG226" s="15"/>
      <c r="SVH226" s="10"/>
      <c r="SVI226" s="10"/>
      <c r="SVJ226" s="21"/>
      <c r="SVK226" s="21"/>
      <c r="SVN226" s="21"/>
      <c r="SVO226" s="15"/>
      <c r="SVP226" s="15"/>
      <c r="SVQ226" s="15"/>
      <c r="SVR226" s="15"/>
      <c r="SVS226" s="15"/>
      <c r="SVT226" s="15"/>
      <c r="SVU226" s="15"/>
      <c r="SVV226" s="15"/>
      <c r="SVW226" s="15"/>
      <c r="SVX226" s="15"/>
      <c r="SVY226" s="10"/>
      <c r="SVZ226" s="10"/>
      <c r="SWA226" s="21"/>
      <c r="SWB226" s="21"/>
      <c r="SWE226" s="21"/>
      <c r="SWF226" s="15"/>
      <c r="SWG226" s="15"/>
      <c r="SWH226" s="15"/>
      <c r="SWI226" s="15"/>
      <c r="SWJ226" s="15"/>
      <c r="SWK226" s="15"/>
      <c r="SWL226" s="15"/>
      <c r="SWM226" s="15"/>
      <c r="SWN226" s="15"/>
      <c r="SWO226" s="15"/>
      <c r="SWP226" s="10"/>
      <c r="SWQ226" s="10"/>
      <c r="SWR226" s="21"/>
      <c r="SWS226" s="21"/>
      <c r="SWV226" s="21"/>
      <c r="SWW226" s="15"/>
      <c r="SWX226" s="15"/>
      <c r="SWY226" s="15"/>
      <c r="SWZ226" s="15"/>
      <c r="SXA226" s="15"/>
      <c r="SXB226" s="15"/>
      <c r="SXC226" s="15"/>
      <c r="SXD226" s="15"/>
      <c r="SXE226" s="15"/>
      <c r="SXF226" s="15"/>
      <c r="SXG226" s="10"/>
      <c r="SXH226" s="10"/>
      <c r="SXI226" s="21"/>
      <c r="SXJ226" s="21"/>
      <c r="SXM226" s="21"/>
      <c r="SXN226" s="15"/>
      <c r="SXO226" s="15"/>
      <c r="SXP226" s="15"/>
      <c r="SXQ226" s="15"/>
      <c r="SXR226" s="15"/>
      <c r="SXS226" s="15"/>
      <c r="SXT226" s="15"/>
      <c r="SXU226" s="15"/>
      <c r="SXV226" s="15"/>
      <c r="SXW226" s="15"/>
      <c r="SXX226" s="10"/>
      <c r="SXY226" s="10"/>
      <c r="SXZ226" s="21"/>
      <c r="SYA226" s="21"/>
      <c r="SYD226" s="21"/>
      <c r="SYE226" s="15"/>
      <c r="SYF226" s="15"/>
      <c r="SYG226" s="15"/>
      <c r="SYH226" s="15"/>
      <c r="SYI226" s="15"/>
      <c r="SYJ226" s="15"/>
      <c r="SYK226" s="15"/>
      <c r="SYL226" s="15"/>
      <c r="SYM226" s="15"/>
      <c r="SYN226" s="15"/>
      <c r="SYO226" s="10"/>
      <c r="SYP226" s="10"/>
      <c r="SYQ226" s="21"/>
      <c r="SYR226" s="21"/>
      <c r="SYU226" s="21"/>
      <c r="SYV226" s="15"/>
      <c r="SYW226" s="15"/>
      <c r="SYX226" s="15"/>
      <c r="SYY226" s="15"/>
      <c r="SYZ226" s="15"/>
      <c r="SZA226" s="15"/>
      <c r="SZB226" s="15"/>
      <c r="SZC226" s="15"/>
      <c r="SZD226" s="15"/>
      <c r="SZE226" s="15"/>
      <c r="SZF226" s="10"/>
      <c r="SZG226" s="10"/>
      <c r="SZH226" s="21"/>
      <c r="SZI226" s="21"/>
      <c r="SZL226" s="21"/>
      <c r="SZM226" s="15"/>
      <c r="SZN226" s="15"/>
      <c r="SZO226" s="15"/>
      <c r="SZP226" s="15"/>
      <c r="SZQ226" s="15"/>
      <c r="SZR226" s="15"/>
      <c r="SZS226" s="15"/>
      <c r="SZT226" s="15"/>
      <c r="SZU226" s="15"/>
      <c r="SZV226" s="15"/>
      <c r="SZW226" s="10"/>
      <c r="SZX226" s="10"/>
      <c r="SZY226" s="21"/>
      <c r="SZZ226" s="21"/>
      <c r="TAC226" s="21"/>
      <c r="TAD226" s="15"/>
      <c r="TAE226" s="15"/>
      <c r="TAF226" s="15"/>
      <c r="TAG226" s="15"/>
      <c r="TAH226" s="15"/>
      <c r="TAI226" s="15"/>
      <c r="TAJ226" s="15"/>
      <c r="TAK226" s="15"/>
      <c r="TAL226" s="15"/>
      <c r="TAM226" s="15"/>
      <c r="TAN226" s="10"/>
      <c r="TAO226" s="10"/>
      <c r="TAP226" s="21"/>
      <c r="TAQ226" s="21"/>
      <c r="TAT226" s="21"/>
      <c r="TAU226" s="15"/>
      <c r="TAV226" s="15"/>
      <c r="TAW226" s="15"/>
      <c r="TAX226" s="15"/>
      <c r="TAY226" s="15"/>
      <c r="TAZ226" s="15"/>
      <c r="TBA226" s="15"/>
      <c r="TBB226" s="15"/>
      <c r="TBC226" s="15"/>
      <c r="TBD226" s="15"/>
      <c r="TBE226" s="10"/>
      <c r="TBF226" s="10"/>
      <c r="TBG226" s="21"/>
      <c r="TBH226" s="21"/>
      <c r="TBK226" s="21"/>
      <c r="TBL226" s="15"/>
      <c r="TBM226" s="15"/>
      <c r="TBN226" s="15"/>
      <c r="TBO226" s="15"/>
      <c r="TBP226" s="15"/>
      <c r="TBQ226" s="15"/>
      <c r="TBR226" s="15"/>
      <c r="TBS226" s="15"/>
      <c r="TBT226" s="15"/>
      <c r="TBU226" s="15"/>
      <c r="TBV226" s="10"/>
      <c r="TBW226" s="10"/>
      <c r="TBX226" s="21"/>
      <c r="TBY226" s="21"/>
      <c r="TCB226" s="21"/>
      <c r="TCC226" s="15"/>
      <c r="TCD226" s="15"/>
      <c r="TCE226" s="15"/>
      <c r="TCF226" s="15"/>
      <c r="TCG226" s="15"/>
      <c r="TCH226" s="15"/>
      <c r="TCI226" s="15"/>
      <c r="TCJ226" s="15"/>
      <c r="TCK226" s="15"/>
      <c r="TCL226" s="15"/>
      <c r="TCM226" s="10"/>
      <c r="TCN226" s="10"/>
      <c r="TCO226" s="21"/>
      <c r="TCP226" s="21"/>
      <c r="TCS226" s="21"/>
      <c r="TCT226" s="15"/>
      <c r="TCU226" s="15"/>
      <c r="TCV226" s="15"/>
      <c r="TCW226" s="15"/>
      <c r="TCX226" s="15"/>
      <c r="TCY226" s="15"/>
      <c r="TCZ226" s="15"/>
      <c r="TDA226" s="15"/>
      <c r="TDB226" s="15"/>
      <c r="TDC226" s="15"/>
      <c r="TDD226" s="10"/>
      <c r="TDE226" s="10"/>
      <c r="TDF226" s="21"/>
      <c r="TDG226" s="21"/>
      <c r="TDJ226" s="21"/>
      <c r="TDK226" s="15"/>
      <c r="TDL226" s="15"/>
      <c r="TDM226" s="15"/>
      <c r="TDN226" s="15"/>
      <c r="TDO226" s="15"/>
      <c r="TDP226" s="15"/>
      <c r="TDQ226" s="15"/>
      <c r="TDR226" s="15"/>
      <c r="TDS226" s="15"/>
      <c r="TDT226" s="15"/>
      <c r="TDU226" s="10"/>
      <c r="TDV226" s="10"/>
      <c r="TDW226" s="21"/>
      <c r="TDX226" s="21"/>
      <c r="TEA226" s="21"/>
      <c r="TEB226" s="15"/>
      <c r="TEC226" s="15"/>
      <c r="TED226" s="15"/>
      <c r="TEE226" s="15"/>
      <c r="TEF226" s="15"/>
      <c r="TEG226" s="15"/>
      <c r="TEH226" s="15"/>
      <c r="TEI226" s="15"/>
      <c r="TEJ226" s="15"/>
      <c r="TEK226" s="15"/>
      <c r="TEL226" s="10"/>
      <c r="TEM226" s="10"/>
      <c r="TEN226" s="21"/>
      <c r="TEO226" s="21"/>
      <c r="TER226" s="21"/>
      <c r="TES226" s="15"/>
      <c r="TET226" s="15"/>
      <c r="TEU226" s="15"/>
      <c r="TEV226" s="15"/>
      <c r="TEW226" s="15"/>
      <c r="TEX226" s="15"/>
      <c r="TEY226" s="15"/>
      <c r="TEZ226" s="15"/>
      <c r="TFA226" s="15"/>
      <c r="TFB226" s="15"/>
      <c r="TFC226" s="10"/>
      <c r="TFD226" s="10"/>
      <c r="TFE226" s="21"/>
      <c r="TFF226" s="21"/>
      <c r="TFI226" s="21"/>
      <c r="TFJ226" s="15"/>
      <c r="TFK226" s="15"/>
      <c r="TFL226" s="15"/>
      <c r="TFM226" s="15"/>
      <c r="TFN226" s="15"/>
      <c r="TFO226" s="15"/>
      <c r="TFP226" s="15"/>
      <c r="TFQ226" s="15"/>
      <c r="TFR226" s="15"/>
      <c r="TFS226" s="15"/>
      <c r="TFT226" s="10"/>
      <c r="TFU226" s="10"/>
      <c r="TFV226" s="21"/>
      <c r="TFW226" s="21"/>
      <c r="TFZ226" s="21"/>
      <c r="TGA226" s="15"/>
      <c r="TGB226" s="15"/>
      <c r="TGC226" s="15"/>
      <c r="TGD226" s="15"/>
      <c r="TGE226" s="15"/>
      <c r="TGF226" s="15"/>
      <c r="TGG226" s="15"/>
      <c r="TGH226" s="15"/>
      <c r="TGI226" s="15"/>
      <c r="TGJ226" s="15"/>
      <c r="TGK226" s="10"/>
      <c r="TGL226" s="10"/>
      <c r="TGM226" s="21"/>
      <c r="TGN226" s="21"/>
      <c r="TGQ226" s="21"/>
      <c r="TGR226" s="15"/>
      <c r="TGS226" s="15"/>
      <c r="TGT226" s="15"/>
      <c r="TGU226" s="15"/>
      <c r="TGV226" s="15"/>
      <c r="TGW226" s="15"/>
      <c r="TGX226" s="15"/>
      <c r="TGY226" s="15"/>
      <c r="TGZ226" s="15"/>
      <c r="THA226" s="15"/>
      <c r="THB226" s="10"/>
      <c r="THC226" s="10"/>
      <c r="THD226" s="21"/>
      <c r="THE226" s="21"/>
      <c r="THH226" s="21"/>
      <c r="THI226" s="15"/>
      <c r="THJ226" s="15"/>
      <c r="THK226" s="15"/>
      <c r="THL226" s="15"/>
      <c r="THM226" s="15"/>
      <c r="THN226" s="15"/>
      <c r="THO226" s="15"/>
      <c r="THP226" s="15"/>
      <c r="THQ226" s="15"/>
      <c r="THR226" s="15"/>
      <c r="THS226" s="10"/>
      <c r="THT226" s="10"/>
      <c r="THU226" s="21"/>
      <c r="THV226" s="21"/>
      <c r="THY226" s="21"/>
      <c r="THZ226" s="15"/>
      <c r="TIA226" s="15"/>
      <c r="TIB226" s="15"/>
      <c r="TIC226" s="15"/>
      <c r="TID226" s="15"/>
      <c r="TIE226" s="15"/>
      <c r="TIF226" s="15"/>
      <c r="TIG226" s="15"/>
      <c r="TIH226" s="15"/>
      <c r="TII226" s="15"/>
      <c r="TIJ226" s="10"/>
      <c r="TIK226" s="10"/>
      <c r="TIL226" s="21"/>
      <c r="TIM226" s="21"/>
      <c r="TIP226" s="21"/>
      <c r="TIQ226" s="15"/>
      <c r="TIR226" s="15"/>
      <c r="TIS226" s="15"/>
      <c r="TIT226" s="15"/>
      <c r="TIU226" s="15"/>
      <c r="TIV226" s="15"/>
      <c r="TIW226" s="15"/>
      <c r="TIX226" s="15"/>
      <c r="TIY226" s="15"/>
      <c r="TIZ226" s="15"/>
      <c r="TJA226" s="10"/>
      <c r="TJB226" s="10"/>
      <c r="TJC226" s="21"/>
      <c r="TJD226" s="21"/>
      <c r="TJG226" s="21"/>
      <c r="TJH226" s="15"/>
      <c r="TJI226" s="15"/>
      <c r="TJJ226" s="15"/>
      <c r="TJK226" s="15"/>
      <c r="TJL226" s="15"/>
      <c r="TJM226" s="15"/>
      <c r="TJN226" s="15"/>
      <c r="TJO226" s="15"/>
      <c r="TJP226" s="15"/>
      <c r="TJQ226" s="15"/>
      <c r="TJR226" s="10"/>
      <c r="TJS226" s="10"/>
      <c r="TJT226" s="21"/>
      <c r="TJU226" s="21"/>
      <c r="TJX226" s="21"/>
      <c r="TJY226" s="15"/>
      <c r="TJZ226" s="15"/>
      <c r="TKA226" s="15"/>
      <c r="TKB226" s="15"/>
      <c r="TKC226" s="15"/>
      <c r="TKD226" s="15"/>
      <c r="TKE226" s="15"/>
      <c r="TKF226" s="15"/>
      <c r="TKG226" s="15"/>
      <c r="TKH226" s="15"/>
      <c r="TKI226" s="10"/>
      <c r="TKJ226" s="10"/>
      <c r="TKK226" s="21"/>
      <c r="TKL226" s="21"/>
      <c r="TKO226" s="21"/>
      <c r="TKP226" s="15"/>
      <c r="TKQ226" s="15"/>
      <c r="TKR226" s="15"/>
      <c r="TKS226" s="15"/>
      <c r="TKT226" s="15"/>
      <c r="TKU226" s="15"/>
      <c r="TKV226" s="15"/>
      <c r="TKW226" s="15"/>
      <c r="TKX226" s="15"/>
      <c r="TKY226" s="15"/>
      <c r="TKZ226" s="10"/>
      <c r="TLA226" s="10"/>
      <c r="TLB226" s="21"/>
      <c r="TLC226" s="21"/>
      <c r="TLF226" s="21"/>
      <c r="TLG226" s="15"/>
      <c r="TLH226" s="15"/>
      <c r="TLI226" s="15"/>
      <c r="TLJ226" s="15"/>
      <c r="TLK226" s="15"/>
      <c r="TLL226" s="15"/>
      <c r="TLM226" s="15"/>
      <c r="TLN226" s="15"/>
      <c r="TLO226" s="15"/>
      <c r="TLP226" s="15"/>
      <c r="TLQ226" s="10"/>
      <c r="TLR226" s="10"/>
      <c r="TLS226" s="21"/>
      <c r="TLT226" s="21"/>
      <c r="TLW226" s="21"/>
      <c r="TLX226" s="15"/>
      <c r="TLY226" s="15"/>
      <c r="TLZ226" s="15"/>
      <c r="TMA226" s="15"/>
      <c r="TMB226" s="15"/>
      <c r="TMC226" s="15"/>
      <c r="TMD226" s="15"/>
      <c r="TME226" s="15"/>
      <c r="TMF226" s="15"/>
      <c r="TMG226" s="15"/>
      <c r="TMH226" s="10"/>
      <c r="TMI226" s="10"/>
      <c r="TMJ226" s="21"/>
      <c r="TMK226" s="21"/>
      <c r="TMN226" s="21"/>
      <c r="TMO226" s="15"/>
      <c r="TMP226" s="15"/>
      <c r="TMQ226" s="15"/>
      <c r="TMR226" s="15"/>
      <c r="TMS226" s="15"/>
      <c r="TMT226" s="15"/>
      <c r="TMU226" s="15"/>
      <c r="TMV226" s="15"/>
      <c r="TMW226" s="15"/>
      <c r="TMX226" s="15"/>
      <c r="TMY226" s="10"/>
      <c r="TMZ226" s="10"/>
      <c r="TNA226" s="21"/>
      <c r="TNB226" s="21"/>
      <c r="TNE226" s="21"/>
      <c r="TNF226" s="15"/>
      <c r="TNG226" s="15"/>
      <c r="TNH226" s="15"/>
      <c r="TNI226" s="15"/>
      <c r="TNJ226" s="15"/>
      <c r="TNK226" s="15"/>
      <c r="TNL226" s="15"/>
      <c r="TNM226" s="15"/>
      <c r="TNN226" s="15"/>
      <c r="TNO226" s="15"/>
      <c r="TNP226" s="10"/>
      <c r="TNQ226" s="10"/>
      <c r="TNR226" s="21"/>
      <c r="TNS226" s="21"/>
      <c r="TNV226" s="21"/>
      <c r="TNW226" s="15"/>
      <c r="TNX226" s="15"/>
      <c r="TNY226" s="15"/>
      <c r="TNZ226" s="15"/>
      <c r="TOA226" s="15"/>
      <c r="TOB226" s="15"/>
      <c r="TOC226" s="15"/>
      <c r="TOD226" s="15"/>
      <c r="TOE226" s="15"/>
      <c r="TOF226" s="15"/>
      <c r="TOG226" s="10"/>
      <c r="TOH226" s="10"/>
      <c r="TOI226" s="21"/>
      <c r="TOJ226" s="21"/>
      <c r="TOM226" s="21"/>
      <c r="TON226" s="15"/>
      <c r="TOO226" s="15"/>
      <c r="TOP226" s="15"/>
      <c r="TOQ226" s="15"/>
      <c r="TOR226" s="15"/>
      <c r="TOS226" s="15"/>
      <c r="TOT226" s="15"/>
      <c r="TOU226" s="15"/>
      <c r="TOV226" s="15"/>
      <c r="TOW226" s="15"/>
      <c r="TOX226" s="10"/>
      <c r="TOY226" s="10"/>
      <c r="TOZ226" s="21"/>
      <c r="TPA226" s="21"/>
      <c r="TPD226" s="21"/>
      <c r="TPE226" s="15"/>
      <c r="TPF226" s="15"/>
      <c r="TPG226" s="15"/>
      <c r="TPH226" s="15"/>
      <c r="TPI226" s="15"/>
      <c r="TPJ226" s="15"/>
      <c r="TPK226" s="15"/>
      <c r="TPL226" s="15"/>
      <c r="TPM226" s="15"/>
      <c r="TPN226" s="15"/>
      <c r="TPO226" s="10"/>
      <c r="TPP226" s="10"/>
      <c r="TPQ226" s="21"/>
      <c r="TPR226" s="21"/>
      <c r="TPU226" s="21"/>
      <c r="TPV226" s="15"/>
      <c r="TPW226" s="15"/>
      <c r="TPX226" s="15"/>
      <c r="TPY226" s="15"/>
      <c r="TPZ226" s="15"/>
      <c r="TQA226" s="15"/>
      <c r="TQB226" s="15"/>
      <c r="TQC226" s="15"/>
      <c r="TQD226" s="15"/>
      <c r="TQE226" s="15"/>
      <c r="TQF226" s="10"/>
      <c r="TQG226" s="10"/>
      <c r="TQH226" s="21"/>
      <c r="TQI226" s="21"/>
      <c r="TQL226" s="21"/>
      <c r="TQM226" s="15"/>
      <c r="TQN226" s="15"/>
      <c r="TQO226" s="15"/>
      <c r="TQP226" s="15"/>
      <c r="TQQ226" s="15"/>
      <c r="TQR226" s="15"/>
      <c r="TQS226" s="15"/>
      <c r="TQT226" s="15"/>
      <c r="TQU226" s="15"/>
      <c r="TQV226" s="15"/>
      <c r="TQW226" s="10"/>
      <c r="TQX226" s="10"/>
      <c r="TQY226" s="21"/>
      <c r="TQZ226" s="21"/>
      <c r="TRC226" s="21"/>
      <c r="TRD226" s="15"/>
      <c r="TRE226" s="15"/>
      <c r="TRF226" s="15"/>
      <c r="TRG226" s="15"/>
      <c r="TRH226" s="15"/>
      <c r="TRI226" s="15"/>
      <c r="TRJ226" s="15"/>
      <c r="TRK226" s="15"/>
      <c r="TRL226" s="15"/>
      <c r="TRM226" s="15"/>
      <c r="TRN226" s="10"/>
      <c r="TRO226" s="10"/>
      <c r="TRP226" s="21"/>
      <c r="TRQ226" s="21"/>
      <c r="TRT226" s="21"/>
      <c r="TRU226" s="15"/>
      <c r="TRV226" s="15"/>
      <c r="TRW226" s="15"/>
      <c r="TRX226" s="15"/>
      <c r="TRY226" s="15"/>
      <c r="TRZ226" s="15"/>
      <c r="TSA226" s="15"/>
      <c r="TSB226" s="15"/>
      <c r="TSC226" s="15"/>
      <c r="TSD226" s="15"/>
      <c r="TSE226" s="10"/>
      <c r="TSF226" s="10"/>
      <c r="TSG226" s="21"/>
      <c r="TSH226" s="21"/>
      <c r="TSK226" s="21"/>
      <c r="TSL226" s="15"/>
      <c r="TSM226" s="15"/>
      <c r="TSN226" s="15"/>
      <c r="TSO226" s="15"/>
      <c r="TSP226" s="15"/>
      <c r="TSQ226" s="15"/>
      <c r="TSR226" s="15"/>
      <c r="TSS226" s="15"/>
      <c r="TST226" s="15"/>
      <c r="TSU226" s="15"/>
      <c r="TSV226" s="10"/>
      <c r="TSW226" s="10"/>
      <c r="TSX226" s="21"/>
      <c r="TSY226" s="21"/>
      <c r="TTB226" s="21"/>
      <c r="TTC226" s="15"/>
      <c r="TTD226" s="15"/>
      <c r="TTE226" s="15"/>
      <c r="TTF226" s="15"/>
      <c r="TTG226" s="15"/>
      <c r="TTH226" s="15"/>
      <c r="TTI226" s="15"/>
      <c r="TTJ226" s="15"/>
      <c r="TTK226" s="15"/>
      <c r="TTL226" s="15"/>
      <c r="TTM226" s="10"/>
      <c r="TTN226" s="10"/>
      <c r="TTO226" s="21"/>
      <c r="TTP226" s="21"/>
      <c r="TTS226" s="21"/>
      <c r="TTT226" s="15"/>
      <c r="TTU226" s="15"/>
      <c r="TTV226" s="15"/>
      <c r="TTW226" s="15"/>
      <c r="TTX226" s="15"/>
      <c r="TTY226" s="15"/>
      <c r="TTZ226" s="15"/>
      <c r="TUA226" s="15"/>
      <c r="TUB226" s="15"/>
      <c r="TUC226" s="15"/>
      <c r="TUD226" s="10"/>
      <c r="TUE226" s="10"/>
      <c r="TUF226" s="21"/>
      <c r="TUG226" s="21"/>
      <c r="TUJ226" s="21"/>
      <c r="TUK226" s="15"/>
      <c r="TUL226" s="15"/>
      <c r="TUM226" s="15"/>
      <c r="TUN226" s="15"/>
      <c r="TUO226" s="15"/>
      <c r="TUP226" s="15"/>
      <c r="TUQ226" s="15"/>
      <c r="TUR226" s="15"/>
      <c r="TUS226" s="15"/>
      <c r="TUT226" s="15"/>
      <c r="TUU226" s="10"/>
      <c r="TUV226" s="10"/>
      <c r="TUW226" s="21"/>
      <c r="TUX226" s="21"/>
      <c r="TVA226" s="21"/>
      <c r="TVB226" s="15"/>
      <c r="TVC226" s="15"/>
      <c r="TVD226" s="15"/>
      <c r="TVE226" s="15"/>
      <c r="TVF226" s="15"/>
      <c r="TVG226" s="15"/>
      <c r="TVH226" s="15"/>
      <c r="TVI226" s="15"/>
      <c r="TVJ226" s="15"/>
      <c r="TVK226" s="15"/>
      <c r="TVL226" s="10"/>
      <c r="TVM226" s="10"/>
      <c r="TVN226" s="21"/>
      <c r="TVO226" s="21"/>
      <c r="TVR226" s="21"/>
      <c r="TVS226" s="15"/>
      <c r="TVT226" s="15"/>
      <c r="TVU226" s="15"/>
      <c r="TVV226" s="15"/>
      <c r="TVW226" s="15"/>
      <c r="TVX226" s="15"/>
      <c r="TVY226" s="15"/>
      <c r="TVZ226" s="15"/>
      <c r="TWA226" s="15"/>
      <c r="TWB226" s="15"/>
      <c r="TWC226" s="10"/>
      <c r="TWD226" s="10"/>
      <c r="TWE226" s="21"/>
      <c r="TWF226" s="21"/>
      <c r="TWI226" s="21"/>
      <c r="TWJ226" s="15"/>
      <c r="TWK226" s="15"/>
      <c r="TWL226" s="15"/>
      <c r="TWM226" s="15"/>
      <c r="TWN226" s="15"/>
      <c r="TWO226" s="15"/>
      <c r="TWP226" s="15"/>
      <c r="TWQ226" s="15"/>
      <c r="TWR226" s="15"/>
      <c r="TWS226" s="15"/>
      <c r="TWT226" s="10"/>
      <c r="TWU226" s="10"/>
      <c r="TWV226" s="21"/>
      <c r="TWW226" s="21"/>
      <c r="TWZ226" s="21"/>
      <c r="TXA226" s="15"/>
      <c r="TXB226" s="15"/>
      <c r="TXC226" s="15"/>
      <c r="TXD226" s="15"/>
      <c r="TXE226" s="15"/>
      <c r="TXF226" s="15"/>
      <c r="TXG226" s="15"/>
      <c r="TXH226" s="15"/>
      <c r="TXI226" s="15"/>
      <c r="TXJ226" s="15"/>
      <c r="TXK226" s="10"/>
      <c r="TXL226" s="10"/>
      <c r="TXM226" s="21"/>
      <c r="TXN226" s="21"/>
      <c r="TXQ226" s="21"/>
      <c r="TXR226" s="15"/>
      <c r="TXS226" s="15"/>
      <c r="TXT226" s="15"/>
      <c r="TXU226" s="15"/>
      <c r="TXV226" s="15"/>
      <c r="TXW226" s="15"/>
      <c r="TXX226" s="15"/>
      <c r="TXY226" s="15"/>
      <c r="TXZ226" s="15"/>
      <c r="TYA226" s="15"/>
      <c r="TYB226" s="10"/>
      <c r="TYC226" s="10"/>
      <c r="TYD226" s="21"/>
      <c r="TYE226" s="21"/>
      <c r="TYH226" s="21"/>
      <c r="TYI226" s="15"/>
      <c r="TYJ226" s="15"/>
      <c r="TYK226" s="15"/>
      <c r="TYL226" s="15"/>
      <c r="TYM226" s="15"/>
      <c r="TYN226" s="15"/>
      <c r="TYO226" s="15"/>
      <c r="TYP226" s="15"/>
      <c r="TYQ226" s="15"/>
      <c r="TYR226" s="15"/>
      <c r="TYS226" s="10"/>
      <c r="TYT226" s="10"/>
      <c r="TYU226" s="21"/>
      <c r="TYV226" s="21"/>
      <c r="TYY226" s="21"/>
      <c r="TYZ226" s="15"/>
      <c r="TZA226" s="15"/>
      <c r="TZB226" s="15"/>
      <c r="TZC226" s="15"/>
      <c r="TZD226" s="15"/>
      <c r="TZE226" s="15"/>
      <c r="TZF226" s="15"/>
      <c r="TZG226" s="15"/>
      <c r="TZH226" s="15"/>
      <c r="TZI226" s="15"/>
      <c r="TZJ226" s="10"/>
      <c r="TZK226" s="10"/>
      <c r="TZL226" s="21"/>
      <c r="TZM226" s="21"/>
      <c r="TZP226" s="21"/>
      <c r="TZQ226" s="15"/>
      <c r="TZR226" s="15"/>
      <c r="TZS226" s="15"/>
      <c r="TZT226" s="15"/>
      <c r="TZU226" s="15"/>
      <c r="TZV226" s="15"/>
      <c r="TZW226" s="15"/>
      <c r="TZX226" s="15"/>
      <c r="TZY226" s="15"/>
      <c r="TZZ226" s="15"/>
      <c r="UAA226" s="10"/>
      <c r="UAB226" s="10"/>
      <c r="UAC226" s="21"/>
      <c r="UAD226" s="21"/>
      <c r="UAG226" s="21"/>
      <c r="UAH226" s="15"/>
      <c r="UAI226" s="15"/>
      <c r="UAJ226" s="15"/>
      <c r="UAK226" s="15"/>
      <c r="UAL226" s="15"/>
      <c r="UAM226" s="15"/>
      <c r="UAN226" s="15"/>
      <c r="UAO226" s="15"/>
      <c r="UAP226" s="15"/>
      <c r="UAQ226" s="15"/>
      <c r="UAR226" s="10"/>
      <c r="UAS226" s="10"/>
      <c r="UAT226" s="21"/>
      <c r="UAU226" s="21"/>
      <c r="UAX226" s="21"/>
      <c r="UAY226" s="15"/>
      <c r="UAZ226" s="15"/>
      <c r="UBA226" s="15"/>
      <c r="UBB226" s="15"/>
      <c r="UBC226" s="15"/>
      <c r="UBD226" s="15"/>
      <c r="UBE226" s="15"/>
      <c r="UBF226" s="15"/>
      <c r="UBG226" s="15"/>
      <c r="UBH226" s="15"/>
      <c r="UBI226" s="10"/>
      <c r="UBJ226" s="10"/>
      <c r="UBK226" s="21"/>
      <c r="UBL226" s="21"/>
      <c r="UBO226" s="21"/>
      <c r="UBP226" s="15"/>
      <c r="UBQ226" s="15"/>
      <c r="UBR226" s="15"/>
      <c r="UBS226" s="15"/>
      <c r="UBT226" s="15"/>
      <c r="UBU226" s="15"/>
      <c r="UBV226" s="15"/>
      <c r="UBW226" s="15"/>
      <c r="UBX226" s="15"/>
      <c r="UBY226" s="15"/>
      <c r="UBZ226" s="10"/>
      <c r="UCA226" s="10"/>
      <c r="UCB226" s="21"/>
      <c r="UCC226" s="21"/>
      <c r="UCF226" s="21"/>
      <c r="UCG226" s="15"/>
      <c r="UCH226" s="15"/>
      <c r="UCI226" s="15"/>
      <c r="UCJ226" s="15"/>
      <c r="UCK226" s="15"/>
      <c r="UCL226" s="15"/>
      <c r="UCM226" s="15"/>
      <c r="UCN226" s="15"/>
      <c r="UCO226" s="15"/>
      <c r="UCP226" s="15"/>
      <c r="UCQ226" s="10"/>
      <c r="UCR226" s="10"/>
      <c r="UCS226" s="21"/>
      <c r="UCT226" s="21"/>
      <c r="UCW226" s="21"/>
      <c r="UCX226" s="15"/>
      <c r="UCY226" s="15"/>
      <c r="UCZ226" s="15"/>
      <c r="UDA226" s="15"/>
      <c r="UDB226" s="15"/>
      <c r="UDC226" s="15"/>
      <c r="UDD226" s="15"/>
      <c r="UDE226" s="15"/>
      <c r="UDF226" s="15"/>
      <c r="UDG226" s="15"/>
      <c r="UDH226" s="10"/>
      <c r="UDI226" s="10"/>
      <c r="UDJ226" s="21"/>
      <c r="UDK226" s="21"/>
      <c r="UDN226" s="21"/>
      <c r="UDO226" s="15"/>
      <c r="UDP226" s="15"/>
      <c r="UDQ226" s="15"/>
      <c r="UDR226" s="15"/>
      <c r="UDS226" s="15"/>
      <c r="UDT226" s="15"/>
      <c r="UDU226" s="15"/>
      <c r="UDV226" s="15"/>
      <c r="UDW226" s="15"/>
      <c r="UDX226" s="15"/>
      <c r="UDY226" s="10"/>
      <c r="UDZ226" s="10"/>
      <c r="UEA226" s="21"/>
      <c r="UEB226" s="21"/>
      <c r="UEE226" s="21"/>
      <c r="UEF226" s="15"/>
      <c r="UEG226" s="15"/>
      <c r="UEH226" s="15"/>
      <c r="UEI226" s="15"/>
      <c r="UEJ226" s="15"/>
      <c r="UEK226" s="15"/>
      <c r="UEL226" s="15"/>
      <c r="UEM226" s="15"/>
      <c r="UEN226" s="15"/>
      <c r="UEO226" s="15"/>
      <c r="UEP226" s="10"/>
      <c r="UEQ226" s="10"/>
      <c r="UER226" s="21"/>
      <c r="UES226" s="21"/>
      <c r="UEV226" s="21"/>
      <c r="UEW226" s="15"/>
      <c r="UEX226" s="15"/>
      <c r="UEY226" s="15"/>
      <c r="UEZ226" s="15"/>
      <c r="UFA226" s="15"/>
      <c r="UFB226" s="15"/>
      <c r="UFC226" s="15"/>
      <c r="UFD226" s="15"/>
      <c r="UFE226" s="15"/>
      <c r="UFF226" s="15"/>
      <c r="UFG226" s="10"/>
      <c r="UFH226" s="10"/>
      <c r="UFI226" s="21"/>
      <c r="UFJ226" s="21"/>
      <c r="UFM226" s="21"/>
      <c r="UFN226" s="15"/>
      <c r="UFO226" s="15"/>
      <c r="UFP226" s="15"/>
      <c r="UFQ226" s="15"/>
      <c r="UFR226" s="15"/>
      <c r="UFS226" s="15"/>
      <c r="UFT226" s="15"/>
      <c r="UFU226" s="15"/>
      <c r="UFV226" s="15"/>
      <c r="UFW226" s="15"/>
      <c r="UFX226" s="10"/>
      <c r="UFY226" s="10"/>
      <c r="UFZ226" s="21"/>
      <c r="UGA226" s="21"/>
      <c r="UGD226" s="21"/>
      <c r="UGE226" s="15"/>
      <c r="UGF226" s="15"/>
      <c r="UGG226" s="15"/>
      <c r="UGH226" s="15"/>
      <c r="UGI226" s="15"/>
      <c r="UGJ226" s="15"/>
      <c r="UGK226" s="15"/>
      <c r="UGL226" s="15"/>
      <c r="UGM226" s="15"/>
      <c r="UGN226" s="15"/>
      <c r="UGO226" s="10"/>
      <c r="UGP226" s="10"/>
      <c r="UGQ226" s="21"/>
      <c r="UGR226" s="21"/>
      <c r="UGU226" s="21"/>
      <c r="UGV226" s="15"/>
      <c r="UGW226" s="15"/>
      <c r="UGX226" s="15"/>
      <c r="UGY226" s="15"/>
      <c r="UGZ226" s="15"/>
      <c r="UHA226" s="15"/>
      <c r="UHB226" s="15"/>
      <c r="UHC226" s="15"/>
      <c r="UHD226" s="15"/>
      <c r="UHE226" s="15"/>
      <c r="UHF226" s="10"/>
      <c r="UHG226" s="10"/>
      <c r="UHH226" s="21"/>
      <c r="UHI226" s="21"/>
      <c r="UHL226" s="21"/>
      <c r="UHM226" s="15"/>
      <c r="UHN226" s="15"/>
      <c r="UHO226" s="15"/>
      <c r="UHP226" s="15"/>
      <c r="UHQ226" s="15"/>
      <c r="UHR226" s="15"/>
      <c r="UHS226" s="15"/>
      <c r="UHT226" s="15"/>
      <c r="UHU226" s="15"/>
      <c r="UHV226" s="15"/>
      <c r="UHW226" s="10"/>
      <c r="UHX226" s="10"/>
      <c r="UHY226" s="21"/>
      <c r="UHZ226" s="21"/>
      <c r="UIC226" s="21"/>
      <c r="UID226" s="15"/>
      <c r="UIE226" s="15"/>
      <c r="UIF226" s="15"/>
      <c r="UIG226" s="15"/>
      <c r="UIH226" s="15"/>
      <c r="UII226" s="15"/>
      <c r="UIJ226" s="15"/>
      <c r="UIK226" s="15"/>
      <c r="UIL226" s="15"/>
      <c r="UIM226" s="15"/>
      <c r="UIN226" s="10"/>
      <c r="UIO226" s="10"/>
      <c r="UIP226" s="21"/>
      <c r="UIQ226" s="21"/>
      <c r="UIT226" s="21"/>
      <c r="UIU226" s="15"/>
      <c r="UIV226" s="15"/>
      <c r="UIW226" s="15"/>
      <c r="UIX226" s="15"/>
      <c r="UIY226" s="15"/>
      <c r="UIZ226" s="15"/>
      <c r="UJA226" s="15"/>
      <c r="UJB226" s="15"/>
      <c r="UJC226" s="15"/>
      <c r="UJD226" s="15"/>
      <c r="UJE226" s="10"/>
      <c r="UJF226" s="10"/>
      <c r="UJG226" s="21"/>
      <c r="UJH226" s="21"/>
      <c r="UJK226" s="21"/>
      <c r="UJL226" s="15"/>
      <c r="UJM226" s="15"/>
      <c r="UJN226" s="15"/>
      <c r="UJO226" s="15"/>
      <c r="UJP226" s="15"/>
      <c r="UJQ226" s="15"/>
      <c r="UJR226" s="15"/>
      <c r="UJS226" s="15"/>
      <c r="UJT226" s="15"/>
      <c r="UJU226" s="15"/>
      <c r="UJV226" s="10"/>
      <c r="UJW226" s="10"/>
      <c r="UJX226" s="21"/>
      <c r="UJY226" s="21"/>
      <c r="UKB226" s="21"/>
      <c r="UKC226" s="15"/>
      <c r="UKD226" s="15"/>
      <c r="UKE226" s="15"/>
      <c r="UKF226" s="15"/>
      <c r="UKG226" s="15"/>
      <c r="UKH226" s="15"/>
      <c r="UKI226" s="15"/>
      <c r="UKJ226" s="15"/>
      <c r="UKK226" s="15"/>
      <c r="UKL226" s="15"/>
      <c r="UKM226" s="10"/>
      <c r="UKN226" s="10"/>
      <c r="UKO226" s="21"/>
      <c r="UKP226" s="21"/>
      <c r="UKS226" s="21"/>
      <c r="UKT226" s="15"/>
      <c r="UKU226" s="15"/>
      <c r="UKV226" s="15"/>
      <c r="UKW226" s="15"/>
      <c r="UKX226" s="15"/>
      <c r="UKY226" s="15"/>
      <c r="UKZ226" s="15"/>
      <c r="ULA226" s="15"/>
      <c r="ULB226" s="15"/>
      <c r="ULC226" s="15"/>
      <c r="ULD226" s="10"/>
      <c r="ULE226" s="10"/>
      <c r="ULF226" s="21"/>
      <c r="ULG226" s="21"/>
      <c r="ULJ226" s="21"/>
      <c r="ULK226" s="15"/>
      <c r="ULL226" s="15"/>
      <c r="ULM226" s="15"/>
      <c r="ULN226" s="15"/>
      <c r="ULO226" s="15"/>
      <c r="ULP226" s="15"/>
      <c r="ULQ226" s="15"/>
      <c r="ULR226" s="15"/>
      <c r="ULS226" s="15"/>
      <c r="ULT226" s="15"/>
      <c r="ULU226" s="10"/>
      <c r="ULV226" s="10"/>
      <c r="ULW226" s="21"/>
      <c r="ULX226" s="21"/>
      <c r="UMA226" s="21"/>
      <c r="UMB226" s="15"/>
      <c r="UMC226" s="15"/>
      <c r="UMD226" s="15"/>
      <c r="UME226" s="15"/>
      <c r="UMF226" s="15"/>
      <c r="UMG226" s="15"/>
      <c r="UMH226" s="15"/>
      <c r="UMI226" s="15"/>
      <c r="UMJ226" s="15"/>
      <c r="UMK226" s="15"/>
      <c r="UML226" s="10"/>
      <c r="UMM226" s="10"/>
      <c r="UMN226" s="21"/>
      <c r="UMO226" s="21"/>
      <c r="UMR226" s="21"/>
      <c r="UMS226" s="15"/>
      <c r="UMT226" s="15"/>
      <c r="UMU226" s="15"/>
      <c r="UMV226" s="15"/>
      <c r="UMW226" s="15"/>
      <c r="UMX226" s="15"/>
      <c r="UMY226" s="15"/>
      <c r="UMZ226" s="15"/>
      <c r="UNA226" s="15"/>
      <c r="UNB226" s="15"/>
      <c r="UNC226" s="10"/>
      <c r="UND226" s="10"/>
      <c r="UNE226" s="21"/>
      <c r="UNF226" s="21"/>
      <c r="UNI226" s="21"/>
      <c r="UNJ226" s="15"/>
      <c r="UNK226" s="15"/>
      <c r="UNL226" s="15"/>
      <c r="UNM226" s="15"/>
      <c r="UNN226" s="15"/>
      <c r="UNO226" s="15"/>
      <c r="UNP226" s="15"/>
      <c r="UNQ226" s="15"/>
      <c r="UNR226" s="15"/>
      <c r="UNS226" s="15"/>
      <c r="UNT226" s="10"/>
      <c r="UNU226" s="10"/>
      <c r="UNV226" s="21"/>
      <c r="UNW226" s="21"/>
      <c r="UNZ226" s="21"/>
      <c r="UOA226" s="15"/>
      <c r="UOB226" s="15"/>
      <c r="UOC226" s="15"/>
      <c r="UOD226" s="15"/>
      <c r="UOE226" s="15"/>
      <c r="UOF226" s="15"/>
      <c r="UOG226" s="15"/>
      <c r="UOH226" s="15"/>
      <c r="UOI226" s="15"/>
      <c r="UOJ226" s="15"/>
      <c r="UOK226" s="10"/>
      <c r="UOL226" s="10"/>
      <c r="UOM226" s="21"/>
      <c r="UON226" s="21"/>
      <c r="UOQ226" s="21"/>
      <c r="UOR226" s="15"/>
      <c r="UOS226" s="15"/>
      <c r="UOT226" s="15"/>
      <c r="UOU226" s="15"/>
      <c r="UOV226" s="15"/>
      <c r="UOW226" s="15"/>
      <c r="UOX226" s="15"/>
      <c r="UOY226" s="15"/>
      <c r="UOZ226" s="15"/>
      <c r="UPA226" s="15"/>
      <c r="UPB226" s="10"/>
      <c r="UPC226" s="10"/>
      <c r="UPD226" s="21"/>
      <c r="UPE226" s="21"/>
      <c r="UPH226" s="21"/>
      <c r="UPI226" s="15"/>
      <c r="UPJ226" s="15"/>
      <c r="UPK226" s="15"/>
      <c r="UPL226" s="15"/>
      <c r="UPM226" s="15"/>
      <c r="UPN226" s="15"/>
      <c r="UPO226" s="15"/>
      <c r="UPP226" s="15"/>
      <c r="UPQ226" s="15"/>
      <c r="UPR226" s="15"/>
      <c r="UPS226" s="10"/>
      <c r="UPT226" s="10"/>
      <c r="UPU226" s="21"/>
      <c r="UPV226" s="21"/>
      <c r="UPY226" s="21"/>
      <c r="UPZ226" s="15"/>
      <c r="UQA226" s="15"/>
      <c r="UQB226" s="15"/>
      <c r="UQC226" s="15"/>
      <c r="UQD226" s="15"/>
      <c r="UQE226" s="15"/>
      <c r="UQF226" s="15"/>
      <c r="UQG226" s="15"/>
      <c r="UQH226" s="15"/>
      <c r="UQI226" s="15"/>
      <c r="UQJ226" s="10"/>
      <c r="UQK226" s="10"/>
      <c r="UQL226" s="21"/>
      <c r="UQM226" s="21"/>
      <c r="UQP226" s="21"/>
      <c r="UQQ226" s="15"/>
      <c r="UQR226" s="15"/>
      <c r="UQS226" s="15"/>
      <c r="UQT226" s="15"/>
      <c r="UQU226" s="15"/>
      <c r="UQV226" s="15"/>
      <c r="UQW226" s="15"/>
      <c r="UQX226" s="15"/>
      <c r="UQY226" s="15"/>
      <c r="UQZ226" s="15"/>
      <c r="URA226" s="10"/>
      <c r="URB226" s="10"/>
      <c r="URC226" s="21"/>
      <c r="URD226" s="21"/>
      <c r="URG226" s="21"/>
      <c r="URH226" s="15"/>
      <c r="URI226" s="15"/>
      <c r="URJ226" s="15"/>
      <c r="URK226" s="15"/>
      <c r="URL226" s="15"/>
      <c r="URM226" s="15"/>
      <c r="URN226" s="15"/>
      <c r="URO226" s="15"/>
      <c r="URP226" s="15"/>
      <c r="URQ226" s="15"/>
      <c r="URR226" s="10"/>
      <c r="URS226" s="10"/>
      <c r="URT226" s="21"/>
      <c r="URU226" s="21"/>
      <c r="URX226" s="21"/>
      <c r="URY226" s="15"/>
      <c r="URZ226" s="15"/>
      <c r="USA226" s="15"/>
      <c r="USB226" s="15"/>
      <c r="USC226" s="15"/>
      <c r="USD226" s="15"/>
      <c r="USE226" s="15"/>
      <c r="USF226" s="15"/>
      <c r="USG226" s="15"/>
      <c r="USH226" s="15"/>
      <c r="USI226" s="10"/>
      <c r="USJ226" s="10"/>
      <c r="USK226" s="21"/>
      <c r="USL226" s="21"/>
      <c r="USO226" s="21"/>
      <c r="USP226" s="15"/>
      <c r="USQ226" s="15"/>
      <c r="USR226" s="15"/>
      <c r="USS226" s="15"/>
      <c r="UST226" s="15"/>
      <c r="USU226" s="15"/>
      <c r="USV226" s="15"/>
      <c r="USW226" s="15"/>
      <c r="USX226" s="15"/>
      <c r="USY226" s="15"/>
      <c r="USZ226" s="10"/>
      <c r="UTA226" s="10"/>
      <c r="UTB226" s="21"/>
      <c r="UTC226" s="21"/>
      <c r="UTF226" s="21"/>
      <c r="UTG226" s="15"/>
      <c r="UTH226" s="15"/>
      <c r="UTI226" s="15"/>
      <c r="UTJ226" s="15"/>
      <c r="UTK226" s="15"/>
      <c r="UTL226" s="15"/>
      <c r="UTM226" s="15"/>
      <c r="UTN226" s="15"/>
      <c r="UTO226" s="15"/>
      <c r="UTP226" s="15"/>
      <c r="UTQ226" s="10"/>
      <c r="UTR226" s="10"/>
      <c r="UTS226" s="21"/>
      <c r="UTT226" s="21"/>
      <c r="UTW226" s="21"/>
      <c r="UTX226" s="15"/>
      <c r="UTY226" s="15"/>
      <c r="UTZ226" s="15"/>
      <c r="UUA226" s="15"/>
      <c r="UUB226" s="15"/>
      <c r="UUC226" s="15"/>
      <c r="UUD226" s="15"/>
      <c r="UUE226" s="15"/>
      <c r="UUF226" s="15"/>
      <c r="UUG226" s="15"/>
      <c r="UUH226" s="10"/>
      <c r="UUI226" s="10"/>
      <c r="UUJ226" s="21"/>
      <c r="UUK226" s="21"/>
      <c r="UUN226" s="21"/>
      <c r="UUO226" s="15"/>
      <c r="UUP226" s="15"/>
      <c r="UUQ226" s="15"/>
      <c r="UUR226" s="15"/>
      <c r="UUS226" s="15"/>
      <c r="UUT226" s="15"/>
      <c r="UUU226" s="15"/>
      <c r="UUV226" s="15"/>
      <c r="UUW226" s="15"/>
      <c r="UUX226" s="15"/>
      <c r="UUY226" s="10"/>
      <c r="UUZ226" s="10"/>
      <c r="UVA226" s="21"/>
      <c r="UVB226" s="21"/>
      <c r="UVE226" s="21"/>
      <c r="UVF226" s="15"/>
      <c r="UVG226" s="15"/>
      <c r="UVH226" s="15"/>
      <c r="UVI226" s="15"/>
      <c r="UVJ226" s="15"/>
      <c r="UVK226" s="15"/>
      <c r="UVL226" s="15"/>
      <c r="UVM226" s="15"/>
      <c r="UVN226" s="15"/>
      <c r="UVO226" s="15"/>
      <c r="UVP226" s="10"/>
      <c r="UVQ226" s="10"/>
      <c r="UVR226" s="21"/>
      <c r="UVS226" s="21"/>
      <c r="UVV226" s="21"/>
      <c r="UVW226" s="15"/>
      <c r="UVX226" s="15"/>
      <c r="UVY226" s="15"/>
      <c r="UVZ226" s="15"/>
      <c r="UWA226" s="15"/>
      <c r="UWB226" s="15"/>
      <c r="UWC226" s="15"/>
      <c r="UWD226" s="15"/>
      <c r="UWE226" s="15"/>
      <c r="UWF226" s="15"/>
      <c r="UWG226" s="10"/>
      <c r="UWH226" s="10"/>
      <c r="UWI226" s="21"/>
      <c r="UWJ226" s="21"/>
      <c r="UWM226" s="21"/>
      <c r="UWN226" s="15"/>
      <c r="UWO226" s="15"/>
      <c r="UWP226" s="15"/>
      <c r="UWQ226" s="15"/>
      <c r="UWR226" s="15"/>
      <c r="UWS226" s="15"/>
      <c r="UWT226" s="15"/>
      <c r="UWU226" s="15"/>
      <c r="UWV226" s="15"/>
      <c r="UWW226" s="15"/>
      <c r="UWX226" s="10"/>
      <c r="UWY226" s="10"/>
      <c r="UWZ226" s="21"/>
      <c r="UXA226" s="21"/>
      <c r="UXD226" s="21"/>
      <c r="UXE226" s="15"/>
      <c r="UXF226" s="15"/>
      <c r="UXG226" s="15"/>
      <c r="UXH226" s="15"/>
      <c r="UXI226" s="15"/>
      <c r="UXJ226" s="15"/>
      <c r="UXK226" s="15"/>
      <c r="UXL226" s="15"/>
      <c r="UXM226" s="15"/>
      <c r="UXN226" s="15"/>
      <c r="UXO226" s="10"/>
      <c r="UXP226" s="10"/>
      <c r="UXQ226" s="21"/>
      <c r="UXR226" s="21"/>
      <c r="UXU226" s="21"/>
      <c r="UXV226" s="15"/>
      <c r="UXW226" s="15"/>
      <c r="UXX226" s="15"/>
      <c r="UXY226" s="15"/>
      <c r="UXZ226" s="15"/>
      <c r="UYA226" s="15"/>
      <c r="UYB226" s="15"/>
      <c r="UYC226" s="15"/>
      <c r="UYD226" s="15"/>
      <c r="UYE226" s="15"/>
      <c r="UYF226" s="10"/>
      <c r="UYG226" s="10"/>
      <c r="UYH226" s="21"/>
      <c r="UYI226" s="21"/>
      <c r="UYL226" s="21"/>
      <c r="UYM226" s="15"/>
      <c r="UYN226" s="15"/>
      <c r="UYO226" s="15"/>
      <c r="UYP226" s="15"/>
      <c r="UYQ226" s="15"/>
      <c r="UYR226" s="15"/>
      <c r="UYS226" s="15"/>
      <c r="UYT226" s="15"/>
      <c r="UYU226" s="15"/>
      <c r="UYV226" s="15"/>
      <c r="UYW226" s="10"/>
      <c r="UYX226" s="10"/>
      <c r="UYY226" s="21"/>
      <c r="UYZ226" s="21"/>
      <c r="UZC226" s="21"/>
      <c r="UZD226" s="15"/>
      <c r="UZE226" s="15"/>
      <c r="UZF226" s="15"/>
      <c r="UZG226" s="15"/>
      <c r="UZH226" s="15"/>
      <c r="UZI226" s="15"/>
      <c r="UZJ226" s="15"/>
      <c r="UZK226" s="15"/>
      <c r="UZL226" s="15"/>
      <c r="UZM226" s="15"/>
      <c r="UZN226" s="10"/>
      <c r="UZO226" s="10"/>
      <c r="UZP226" s="21"/>
      <c r="UZQ226" s="21"/>
      <c r="UZT226" s="21"/>
      <c r="UZU226" s="15"/>
      <c r="UZV226" s="15"/>
      <c r="UZW226" s="15"/>
      <c r="UZX226" s="15"/>
      <c r="UZY226" s="15"/>
      <c r="UZZ226" s="15"/>
      <c r="VAA226" s="15"/>
      <c r="VAB226" s="15"/>
      <c r="VAC226" s="15"/>
      <c r="VAD226" s="15"/>
      <c r="VAE226" s="10"/>
      <c r="VAF226" s="10"/>
      <c r="VAG226" s="21"/>
      <c r="VAH226" s="21"/>
      <c r="VAK226" s="21"/>
      <c r="VAL226" s="15"/>
      <c r="VAM226" s="15"/>
      <c r="VAN226" s="15"/>
      <c r="VAO226" s="15"/>
      <c r="VAP226" s="15"/>
      <c r="VAQ226" s="15"/>
      <c r="VAR226" s="15"/>
      <c r="VAS226" s="15"/>
      <c r="VAT226" s="15"/>
      <c r="VAU226" s="15"/>
      <c r="VAV226" s="10"/>
      <c r="VAW226" s="10"/>
      <c r="VAX226" s="21"/>
      <c r="VAY226" s="21"/>
      <c r="VBB226" s="21"/>
      <c r="VBC226" s="15"/>
      <c r="VBD226" s="15"/>
      <c r="VBE226" s="15"/>
      <c r="VBF226" s="15"/>
      <c r="VBG226" s="15"/>
      <c r="VBH226" s="15"/>
      <c r="VBI226" s="15"/>
      <c r="VBJ226" s="15"/>
      <c r="VBK226" s="15"/>
      <c r="VBL226" s="15"/>
      <c r="VBM226" s="10"/>
      <c r="VBN226" s="10"/>
      <c r="VBO226" s="21"/>
      <c r="VBP226" s="21"/>
      <c r="VBS226" s="21"/>
      <c r="VBT226" s="15"/>
      <c r="VBU226" s="15"/>
      <c r="VBV226" s="15"/>
      <c r="VBW226" s="15"/>
      <c r="VBX226" s="15"/>
      <c r="VBY226" s="15"/>
      <c r="VBZ226" s="15"/>
      <c r="VCA226" s="15"/>
      <c r="VCB226" s="15"/>
      <c r="VCC226" s="15"/>
      <c r="VCD226" s="10"/>
      <c r="VCE226" s="10"/>
      <c r="VCF226" s="21"/>
      <c r="VCG226" s="21"/>
      <c r="VCJ226" s="21"/>
      <c r="VCK226" s="15"/>
      <c r="VCL226" s="15"/>
      <c r="VCM226" s="15"/>
      <c r="VCN226" s="15"/>
      <c r="VCO226" s="15"/>
      <c r="VCP226" s="15"/>
      <c r="VCQ226" s="15"/>
      <c r="VCR226" s="15"/>
      <c r="VCS226" s="15"/>
      <c r="VCT226" s="15"/>
      <c r="VCU226" s="10"/>
      <c r="VCV226" s="10"/>
      <c r="VCW226" s="21"/>
      <c r="VCX226" s="21"/>
      <c r="VDA226" s="21"/>
      <c r="VDB226" s="15"/>
      <c r="VDC226" s="15"/>
      <c r="VDD226" s="15"/>
      <c r="VDE226" s="15"/>
      <c r="VDF226" s="15"/>
      <c r="VDG226" s="15"/>
      <c r="VDH226" s="15"/>
      <c r="VDI226" s="15"/>
      <c r="VDJ226" s="15"/>
      <c r="VDK226" s="15"/>
      <c r="VDL226" s="10"/>
      <c r="VDM226" s="10"/>
      <c r="VDN226" s="21"/>
      <c r="VDO226" s="21"/>
      <c r="VDR226" s="21"/>
      <c r="VDS226" s="15"/>
      <c r="VDT226" s="15"/>
      <c r="VDU226" s="15"/>
      <c r="VDV226" s="15"/>
      <c r="VDW226" s="15"/>
      <c r="VDX226" s="15"/>
      <c r="VDY226" s="15"/>
      <c r="VDZ226" s="15"/>
      <c r="VEA226" s="15"/>
      <c r="VEB226" s="15"/>
      <c r="VEC226" s="10"/>
      <c r="VED226" s="10"/>
      <c r="VEE226" s="21"/>
      <c r="VEF226" s="21"/>
      <c r="VEI226" s="21"/>
      <c r="VEJ226" s="15"/>
      <c r="VEK226" s="15"/>
      <c r="VEL226" s="15"/>
      <c r="VEM226" s="15"/>
      <c r="VEN226" s="15"/>
      <c r="VEO226" s="15"/>
      <c r="VEP226" s="15"/>
      <c r="VEQ226" s="15"/>
      <c r="VER226" s="15"/>
      <c r="VES226" s="15"/>
      <c r="VET226" s="10"/>
      <c r="VEU226" s="10"/>
      <c r="VEV226" s="21"/>
      <c r="VEW226" s="21"/>
      <c r="VEZ226" s="21"/>
      <c r="VFA226" s="15"/>
      <c r="VFB226" s="15"/>
      <c r="VFC226" s="15"/>
      <c r="VFD226" s="15"/>
      <c r="VFE226" s="15"/>
      <c r="VFF226" s="15"/>
      <c r="VFG226" s="15"/>
      <c r="VFH226" s="15"/>
      <c r="VFI226" s="15"/>
      <c r="VFJ226" s="15"/>
      <c r="VFK226" s="10"/>
      <c r="VFL226" s="10"/>
      <c r="VFM226" s="21"/>
      <c r="VFN226" s="21"/>
      <c r="VFQ226" s="21"/>
      <c r="VFR226" s="15"/>
      <c r="VFS226" s="15"/>
      <c r="VFT226" s="15"/>
      <c r="VFU226" s="15"/>
      <c r="VFV226" s="15"/>
      <c r="VFW226" s="15"/>
      <c r="VFX226" s="15"/>
      <c r="VFY226" s="15"/>
      <c r="VFZ226" s="15"/>
      <c r="VGA226" s="15"/>
      <c r="VGB226" s="10"/>
      <c r="VGC226" s="10"/>
      <c r="VGD226" s="21"/>
      <c r="VGE226" s="21"/>
      <c r="VGH226" s="21"/>
      <c r="VGI226" s="15"/>
      <c r="VGJ226" s="15"/>
      <c r="VGK226" s="15"/>
      <c r="VGL226" s="15"/>
      <c r="VGM226" s="15"/>
      <c r="VGN226" s="15"/>
      <c r="VGO226" s="15"/>
      <c r="VGP226" s="15"/>
      <c r="VGQ226" s="15"/>
      <c r="VGR226" s="15"/>
      <c r="VGS226" s="10"/>
      <c r="VGT226" s="10"/>
      <c r="VGU226" s="21"/>
      <c r="VGV226" s="21"/>
      <c r="VGY226" s="21"/>
      <c r="VGZ226" s="15"/>
      <c r="VHA226" s="15"/>
      <c r="VHB226" s="15"/>
      <c r="VHC226" s="15"/>
      <c r="VHD226" s="15"/>
      <c r="VHE226" s="15"/>
      <c r="VHF226" s="15"/>
      <c r="VHG226" s="15"/>
      <c r="VHH226" s="15"/>
      <c r="VHI226" s="15"/>
      <c r="VHJ226" s="10"/>
      <c r="VHK226" s="10"/>
      <c r="VHL226" s="21"/>
      <c r="VHM226" s="21"/>
      <c r="VHP226" s="21"/>
      <c r="VHQ226" s="15"/>
      <c r="VHR226" s="15"/>
      <c r="VHS226" s="15"/>
      <c r="VHT226" s="15"/>
      <c r="VHU226" s="15"/>
      <c r="VHV226" s="15"/>
      <c r="VHW226" s="15"/>
      <c r="VHX226" s="15"/>
      <c r="VHY226" s="15"/>
      <c r="VHZ226" s="15"/>
      <c r="VIA226" s="10"/>
      <c r="VIB226" s="10"/>
      <c r="VIC226" s="21"/>
      <c r="VID226" s="21"/>
      <c r="VIG226" s="21"/>
      <c r="VIH226" s="15"/>
      <c r="VII226" s="15"/>
      <c r="VIJ226" s="15"/>
      <c r="VIK226" s="15"/>
      <c r="VIL226" s="15"/>
      <c r="VIM226" s="15"/>
      <c r="VIN226" s="15"/>
      <c r="VIO226" s="15"/>
      <c r="VIP226" s="15"/>
      <c r="VIQ226" s="15"/>
      <c r="VIR226" s="10"/>
      <c r="VIS226" s="10"/>
      <c r="VIT226" s="21"/>
      <c r="VIU226" s="21"/>
      <c r="VIX226" s="21"/>
      <c r="VIY226" s="15"/>
      <c r="VIZ226" s="15"/>
      <c r="VJA226" s="15"/>
      <c r="VJB226" s="15"/>
      <c r="VJC226" s="15"/>
      <c r="VJD226" s="15"/>
      <c r="VJE226" s="15"/>
      <c r="VJF226" s="15"/>
      <c r="VJG226" s="15"/>
      <c r="VJH226" s="15"/>
      <c r="VJI226" s="10"/>
      <c r="VJJ226" s="10"/>
      <c r="VJK226" s="21"/>
      <c r="VJL226" s="21"/>
      <c r="VJO226" s="21"/>
      <c r="VJP226" s="15"/>
      <c r="VJQ226" s="15"/>
      <c r="VJR226" s="15"/>
      <c r="VJS226" s="15"/>
      <c r="VJT226" s="15"/>
      <c r="VJU226" s="15"/>
      <c r="VJV226" s="15"/>
      <c r="VJW226" s="15"/>
      <c r="VJX226" s="15"/>
      <c r="VJY226" s="15"/>
      <c r="VJZ226" s="10"/>
      <c r="VKA226" s="10"/>
      <c r="VKB226" s="21"/>
      <c r="VKC226" s="21"/>
      <c r="VKF226" s="21"/>
      <c r="VKG226" s="15"/>
      <c r="VKH226" s="15"/>
      <c r="VKI226" s="15"/>
      <c r="VKJ226" s="15"/>
      <c r="VKK226" s="15"/>
      <c r="VKL226" s="15"/>
      <c r="VKM226" s="15"/>
      <c r="VKN226" s="15"/>
      <c r="VKO226" s="15"/>
      <c r="VKP226" s="15"/>
      <c r="VKQ226" s="10"/>
      <c r="VKR226" s="10"/>
      <c r="VKS226" s="21"/>
      <c r="VKT226" s="21"/>
      <c r="VKW226" s="21"/>
      <c r="VKX226" s="15"/>
      <c r="VKY226" s="15"/>
      <c r="VKZ226" s="15"/>
      <c r="VLA226" s="15"/>
      <c r="VLB226" s="15"/>
      <c r="VLC226" s="15"/>
      <c r="VLD226" s="15"/>
      <c r="VLE226" s="15"/>
      <c r="VLF226" s="15"/>
      <c r="VLG226" s="15"/>
      <c r="VLH226" s="10"/>
      <c r="VLI226" s="10"/>
      <c r="VLJ226" s="21"/>
      <c r="VLK226" s="21"/>
      <c r="VLN226" s="21"/>
      <c r="VLO226" s="15"/>
      <c r="VLP226" s="15"/>
      <c r="VLQ226" s="15"/>
      <c r="VLR226" s="15"/>
      <c r="VLS226" s="15"/>
      <c r="VLT226" s="15"/>
      <c r="VLU226" s="15"/>
      <c r="VLV226" s="15"/>
      <c r="VLW226" s="15"/>
      <c r="VLX226" s="15"/>
      <c r="VLY226" s="10"/>
      <c r="VLZ226" s="10"/>
      <c r="VMA226" s="21"/>
      <c r="VMB226" s="21"/>
      <c r="VME226" s="21"/>
      <c r="VMF226" s="15"/>
      <c r="VMG226" s="15"/>
      <c r="VMH226" s="15"/>
      <c r="VMI226" s="15"/>
      <c r="VMJ226" s="15"/>
      <c r="VMK226" s="15"/>
      <c r="VML226" s="15"/>
      <c r="VMM226" s="15"/>
      <c r="VMN226" s="15"/>
      <c r="VMO226" s="15"/>
      <c r="VMP226" s="10"/>
      <c r="VMQ226" s="10"/>
      <c r="VMR226" s="21"/>
      <c r="VMS226" s="21"/>
      <c r="VMV226" s="21"/>
      <c r="VMW226" s="15"/>
      <c r="VMX226" s="15"/>
      <c r="VMY226" s="15"/>
      <c r="VMZ226" s="15"/>
      <c r="VNA226" s="15"/>
      <c r="VNB226" s="15"/>
      <c r="VNC226" s="15"/>
      <c r="VND226" s="15"/>
      <c r="VNE226" s="15"/>
      <c r="VNF226" s="15"/>
      <c r="VNG226" s="10"/>
      <c r="VNH226" s="10"/>
      <c r="VNI226" s="21"/>
      <c r="VNJ226" s="21"/>
      <c r="VNM226" s="21"/>
      <c r="VNN226" s="15"/>
      <c r="VNO226" s="15"/>
      <c r="VNP226" s="15"/>
      <c r="VNQ226" s="15"/>
      <c r="VNR226" s="15"/>
      <c r="VNS226" s="15"/>
      <c r="VNT226" s="15"/>
      <c r="VNU226" s="15"/>
      <c r="VNV226" s="15"/>
      <c r="VNW226" s="15"/>
      <c r="VNX226" s="10"/>
      <c r="VNY226" s="10"/>
      <c r="VNZ226" s="21"/>
      <c r="VOA226" s="21"/>
      <c r="VOD226" s="21"/>
      <c r="VOE226" s="15"/>
      <c r="VOF226" s="15"/>
      <c r="VOG226" s="15"/>
      <c r="VOH226" s="15"/>
      <c r="VOI226" s="15"/>
      <c r="VOJ226" s="15"/>
      <c r="VOK226" s="15"/>
      <c r="VOL226" s="15"/>
      <c r="VOM226" s="15"/>
      <c r="VON226" s="15"/>
      <c r="VOO226" s="10"/>
      <c r="VOP226" s="10"/>
      <c r="VOQ226" s="21"/>
      <c r="VOR226" s="21"/>
      <c r="VOU226" s="21"/>
      <c r="VOV226" s="15"/>
      <c r="VOW226" s="15"/>
      <c r="VOX226" s="15"/>
      <c r="VOY226" s="15"/>
      <c r="VOZ226" s="15"/>
      <c r="VPA226" s="15"/>
      <c r="VPB226" s="15"/>
      <c r="VPC226" s="15"/>
      <c r="VPD226" s="15"/>
      <c r="VPE226" s="15"/>
      <c r="VPF226" s="10"/>
      <c r="VPG226" s="10"/>
      <c r="VPH226" s="21"/>
      <c r="VPI226" s="21"/>
      <c r="VPL226" s="21"/>
      <c r="VPM226" s="15"/>
      <c r="VPN226" s="15"/>
      <c r="VPO226" s="15"/>
      <c r="VPP226" s="15"/>
      <c r="VPQ226" s="15"/>
      <c r="VPR226" s="15"/>
      <c r="VPS226" s="15"/>
      <c r="VPT226" s="15"/>
      <c r="VPU226" s="15"/>
      <c r="VPV226" s="15"/>
      <c r="VPW226" s="10"/>
      <c r="VPX226" s="10"/>
      <c r="VPY226" s="21"/>
      <c r="VPZ226" s="21"/>
      <c r="VQC226" s="21"/>
      <c r="VQD226" s="15"/>
      <c r="VQE226" s="15"/>
      <c r="VQF226" s="15"/>
      <c r="VQG226" s="15"/>
      <c r="VQH226" s="15"/>
      <c r="VQI226" s="15"/>
      <c r="VQJ226" s="15"/>
      <c r="VQK226" s="15"/>
      <c r="VQL226" s="15"/>
      <c r="VQM226" s="15"/>
      <c r="VQN226" s="10"/>
      <c r="VQO226" s="10"/>
      <c r="VQP226" s="21"/>
      <c r="VQQ226" s="21"/>
      <c r="VQT226" s="21"/>
      <c r="VQU226" s="15"/>
      <c r="VQV226" s="15"/>
      <c r="VQW226" s="15"/>
      <c r="VQX226" s="15"/>
      <c r="VQY226" s="15"/>
      <c r="VQZ226" s="15"/>
      <c r="VRA226" s="15"/>
      <c r="VRB226" s="15"/>
      <c r="VRC226" s="15"/>
      <c r="VRD226" s="15"/>
      <c r="VRE226" s="10"/>
      <c r="VRF226" s="10"/>
      <c r="VRG226" s="21"/>
      <c r="VRH226" s="21"/>
      <c r="VRK226" s="21"/>
      <c r="VRL226" s="15"/>
      <c r="VRM226" s="15"/>
      <c r="VRN226" s="15"/>
      <c r="VRO226" s="15"/>
      <c r="VRP226" s="15"/>
      <c r="VRQ226" s="15"/>
      <c r="VRR226" s="15"/>
      <c r="VRS226" s="15"/>
      <c r="VRT226" s="15"/>
      <c r="VRU226" s="15"/>
      <c r="VRV226" s="10"/>
      <c r="VRW226" s="10"/>
      <c r="VRX226" s="21"/>
      <c r="VRY226" s="21"/>
      <c r="VSB226" s="21"/>
      <c r="VSC226" s="15"/>
      <c r="VSD226" s="15"/>
      <c r="VSE226" s="15"/>
      <c r="VSF226" s="15"/>
      <c r="VSG226" s="15"/>
      <c r="VSH226" s="15"/>
      <c r="VSI226" s="15"/>
      <c r="VSJ226" s="15"/>
      <c r="VSK226" s="15"/>
      <c r="VSL226" s="15"/>
      <c r="VSM226" s="10"/>
      <c r="VSN226" s="10"/>
      <c r="VSO226" s="21"/>
      <c r="VSP226" s="21"/>
      <c r="VSS226" s="21"/>
      <c r="VST226" s="15"/>
      <c r="VSU226" s="15"/>
      <c r="VSV226" s="15"/>
      <c r="VSW226" s="15"/>
      <c r="VSX226" s="15"/>
      <c r="VSY226" s="15"/>
      <c r="VSZ226" s="15"/>
      <c r="VTA226" s="15"/>
      <c r="VTB226" s="15"/>
      <c r="VTC226" s="15"/>
      <c r="VTD226" s="10"/>
      <c r="VTE226" s="10"/>
      <c r="VTF226" s="21"/>
      <c r="VTG226" s="21"/>
      <c r="VTJ226" s="21"/>
      <c r="VTK226" s="15"/>
      <c r="VTL226" s="15"/>
      <c r="VTM226" s="15"/>
      <c r="VTN226" s="15"/>
      <c r="VTO226" s="15"/>
      <c r="VTP226" s="15"/>
      <c r="VTQ226" s="15"/>
      <c r="VTR226" s="15"/>
      <c r="VTS226" s="15"/>
      <c r="VTT226" s="15"/>
      <c r="VTU226" s="10"/>
      <c r="VTV226" s="10"/>
      <c r="VTW226" s="21"/>
      <c r="VTX226" s="21"/>
      <c r="VUA226" s="21"/>
      <c r="VUB226" s="15"/>
      <c r="VUC226" s="15"/>
      <c r="VUD226" s="15"/>
      <c r="VUE226" s="15"/>
      <c r="VUF226" s="15"/>
      <c r="VUG226" s="15"/>
      <c r="VUH226" s="15"/>
      <c r="VUI226" s="15"/>
      <c r="VUJ226" s="15"/>
      <c r="VUK226" s="15"/>
      <c r="VUL226" s="10"/>
      <c r="VUM226" s="10"/>
      <c r="VUN226" s="21"/>
      <c r="VUO226" s="21"/>
      <c r="VUR226" s="21"/>
      <c r="VUS226" s="15"/>
      <c r="VUT226" s="15"/>
      <c r="VUU226" s="15"/>
      <c r="VUV226" s="15"/>
      <c r="VUW226" s="15"/>
      <c r="VUX226" s="15"/>
      <c r="VUY226" s="15"/>
      <c r="VUZ226" s="15"/>
      <c r="VVA226" s="15"/>
      <c r="VVB226" s="15"/>
      <c r="VVC226" s="10"/>
      <c r="VVD226" s="10"/>
      <c r="VVE226" s="21"/>
      <c r="VVF226" s="21"/>
      <c r="VVI226" s="21"/>
      <c r="VVJ226" s="15"/>
      <c r="VVK226" s="15"/>
      <c r="VVL226" s="15"/>
      <c r="VVM226" s="15"/>
      <c r="VVN226" s="15"/>
      <c r="VVO226" s="15"/>
      <c r="VVP226" s="15"/>
      <c r="VVQ226" s="15"/>
      <c r="VVR226" s="15"/>
      <c r="VVS226" s="15"/>
      <c r="VVT226" s="10"/>
      <c r="VVU226" s="10"/>
      <c r="VVV226" s="21"/>
      <c r="VVW226" s="21"/>
      <c r="VVZ226" s="21"/>
      <c r="VWA226" s="15"/>
      <c r="VWB226" s="15"/>
      <c r="VWC226" s="15"/>
      <c r="VWD226" s="15"/>
      <c r="VWE226" s="15"/>
      <c r="VWF226" s="15"/>
      <c r="VWG226" s="15"/>
      <c r="VWH226" s="15"/>
      <c r="VWI226" s="15"/>
      <c r="VWJ226" s="15"/>
      <c r="VWK226" s="10"/>
      <c r="VWL226" s="10"/>
      <c r="VWM226" s="21"/>
      <c r="VWN226" s="21"/>
      <c r="VWQ226" s="21"/>
      <c r="VWR226" s="15"/>
      <c r="VWS226" s="15"/>
      <c r="VWT226" s="15"/>
      <c r="VWU226" s="15"/>
      <c r="VWV226" s="15"/>
      <c r="VWW226" s="15"/>
      <c r="VWX226" s="15"/>
      <c r="VWY226" s="15"/>
      <c r="VWZ226" s="15"/>
      <c r="VXA226" s="15"/>
      <c r="VXB226" s="10"/>
      <c r="VXC226" s="10"/>
      <c r="VXD226" s="21"/>
      <c r="VXE226" s="21"/>
      <c r="VXH226" s="21"/>
      <c r="VXI226" s="15"/>
      <c r="VXJ226" s="15"/>
      <c r="VXK226" s="15"/>
      <c r="VXL226" s="15"/>
      <c r="VXM226" s="15"/>
      <c r="VXN226" s="15"/>
      <c r="VXO226" s="15"/>
      <c r="VXP226" s="15"/>
      <c r="VXQ226" s="15"/>
      <c r="VXR226" s="15"/>
      <c r="VXS226" s="10"/>
      <c r="VXT226" s="10"/>
      <c r="VXU226" s="21"/>
      <c r="VXV226" s="21"/>
      <c r="VXY226" s="21"/>
      <c r="VXZ226" s="15"/>
      <c r="VYA226" s="15"/>
      <c r="VYB226" s="15"/>
      <c r="VYC226" s="15"/>
      <c r="VYD226" s="15"/>
      <c r="VYE226" s="15"/>
      <c r="VYF226" s="15"/>
      <c r="VYG226" s="15"/>
      <c r="VYH226" s="15"/>
      <c r="VYI226" s="15"/>
      <c r="VYJ226" s="10"/>
      <c r="VYK226" s="10"/>
      <c r="VYL226" s="21"/>
      <c r="VYM226" s="21"/>
      <c r="VYP226" s="21"/>
      <c r="VYQ226" s="15"/>
      <c r="VYR226" s="15"/>
      <c r="VYS226" s="15"/>
      <c r="VYT226" s="15"/>
      <c r="VYU226" s="15"/>
      <c r="VYV226" s="15"/>
      <c r="VYW226" s="15"/>
      <c r="VYX226" s="15"/>
      <c r="VYY226" s="15"/>
      <c r="VYZ226" s="15"/>
      <c r="VZA226" s="10"/>
      <c r="VZB226" s="10"/>
      <c r="VZC226" s="21"/>
      <c r="VZD226" s="21"/>
      <c r="VZG226" s="21"/>
      <c r="VZH226" s="15"/>
      <c r="VZI226" s="15"/>
      <c r="VZJ226" s="15"/>
      <c r="VZK226" s="15"/>
      <c r="VZL226" s="15"/>
      <c r="VZM226" s="15"/>
      <c r="VZN226" s="15"/>
      <c r="VZO226" s="15"/>
      <c r="VZP226" s="15"/>
      <c r="VZQ226" s="15"/>
      <c r="VZR226" s="10"/>
      <c r="VZS226" s="10"/>
      <c r="VZT226" s="21"/>
      <c r="VZU226" s="21"/>
      <c r="VZX226" s="21"/>
      <c r="VZY226" s="15"/>
      <c r="VZZ226" s="15"/>
      <c r="WAA226" s="15"/>
      <c r="WAB226" s="15"/>
      <c r="WAC226" s="15"/>
      <c r="WAD226" s="15"/>
      <c r="WAE226" s="15"/>
      <c r="WAF226" s="15"/>
      <c r="WAG226" s="15"/>
      <c r="WAH226" s="15"/>
      <c r="WAI226" s="10"/>
      <c r="WAJ226" s="10"/>
      <c r="WAK226" s="21"/>
      <c r="WAL226" s="21"/>
      <c r="WAO226" s="21"/>
      <c r="WAP226" s="15"/>
      <c r="WAQ226" s="15"/>
      <c r="WAR226" s="15"/>
      <c r="WAS226" s="15"/>
      <c r="WAT226" s="15"/>
      <c r="WAU226" s="15"/>
      <c r="WAV226" s="15"/>
      <c r="WAW226" s="15"/>
      <c r="WAX226" s="15"/>
      <c r="WAY226" s="15"/>
      <c r="WAZ226" s="10"/>
      <c r="WBA226" s="10"/>
      <c r="WBB226" s="21"/>
      <c r="WBC226" s="21"/>
      <c r="WBF226" s="21"/>
      <c r="WBG226" s="15"/>
      <c r="WBH226" s="15"/>
      <c r="WBI226" s="15"/>
      <c r="WBJ226" s="15"/>
      <c r="WBK226" s="15"/>
      <c r="WBL226" s="15"/>
      <c r="WBM226" s="15"/>
      <c r="WBN226" s="15"/>
      <c r="WBO226" s="15"/>
      <c r="WBP226" s="15"/>
      <c r="WBQ226" s="10"/>
      <c r="WBR226" s="10"/>
      <c r="WBS226" s="21"/>
      <c r="WBT226" s="21"/>
      <c r="WBW226" s="21"/>
      <c r="WBX226" s="15"/>
      <c r="WBY226" s="15"/>
      <c r="WBZ226" s="15"/>
      <c r="WCA226" s="15"/>
      <c r="WCB226" s="15"/>
      <c r="WCC226" s="15"/>
      <c r="WCD226" s="15"/>
      <c r="WCE226" s="15"/>
      <c r="WCF226" s="15"/>
      <c r="WCG226" s="15"/>
      <c r="WCH226" s="10"/>
      <c r="WCI226" s="10"/>
      <c r="WCJ226" s="21"/>
      <c r="WCK226" s="21"/>
      <c r="WCN226" s="21"/>
      <c r="WCO226" s="15"/>
      <c r="WCP226" s="15"/>
      <c r="WCQ226" s="15"/>
      <c r="WCR226" s="15"/>
      <c r="WCS226" s="15"/>
      <c r="WCT226" s="15"/>
      <c r="WCU226" s="15"/>
      <c r="WCV226" s="15"/>
      <c r="WCW226" s="15"/>
      <c r="WCX226" s="15"/>
      <c r="WCY226" s="10"/>
      <c r="WCZ226" s="10"/>
      <c r="WDA226" s="21"/>
      <c r="WDB226" s="21"/>
      <c r="WDE226" s="21"/>
      <c r="WDF226" s="15"/>
      <c r="WDG226" s="15"/>
      <c r="WDH226" s="15"/>
      <c r="WDI226" s="15"/>
      <c r="WDJ226" s="15"/>
      <c r="WDK226" s="15"/>
      <c r="WDL226" s="15"/>
      <c r="WDM226" s="15"/>
      <c r="WDN226" s="15"/>
      <c r="WDO226" s="15"/>
      <c r="WDP226" s="10"/>
      <c r="WDQ226" s="10"/>
      <c r="WDR226" s="21"/>
      <c r="WDS226" s="21"/>
      <c r="WDV226" s="21"/>
      <c r="WDW226" s="15"/>
      <c r="WDX226" s="15"/>
      <c r="WDY226" s="15"/>
      <c r="WDZ226" s="15"/>
      <c r="WEA226" s="15"/>
      <c r="WEB226" s="15"/>
      <c r="WEC226" s="15"/>
      <c r="WED226" s="15"/>
      <c r="WEE226" s="15"/>
      <c r="WEF226" s="15"/>
      <c r="WEG226" s="10"/>
      <c r="WEH226" s="10"/>
      <c r="WEI226" s="21"/>
      <c r="WEJ226" s="21"/>
      <c r="WEM226" s="21"/>
      <c r="WEN226" s="15"/>
      <c r="WEO226" s="15"/>
      <c r="WEP226" s="15"/>
      <c r="WEQ226" s="15"/>
      <c r="WER226" s="15"/>
      <c r="WES226" s="15"/>
      <c r="WET226" s="15"/>
      <c r="WEU226" s="15"/>
      <c r="WEV226" s="15"/>
      <c r="WEW226" s="15"/>
      <c r="WEX226" s="10"/>
      <c r="WEY226" s="10"/>
      <c r="WEZ226" s="21"/>
      <c r="WFA226" s="21"/>
      <c r="WFD226" s="21"/>
      <c r="WFE226" s="15"/>
      <c r="WFF226" s="15"/>
      <c r="WFG226" s="15"/>
      <c r="WFH226" s="15"/>
      <c r="WFI226" s="15"/>
      <c r="WFJ226" s="15"/>
      <c r="WFK226" s="15"/>
      <c r="WFL226" s="15"/>
      <c r="WFM226" s="15"/>
      <c r="WFN226" s="15"/>
      <c r="WFO226" s="10"/>
      <c r="WFP226" s="10"/>
      <c r="WFQ226" s="21"/>
      <c r="WFR226" s="21"/>
      <c r="WFU226" s="21"/>
      <c r="WFV226" s="15"/>
      <c r="WFW226" s="15"/>
      <c r="WFX226" s="15"/>
      <c r="WFY226" s="15"/>
      <c r="WFZ226" s="15"/>
      <c r="WGA226" s="15"/>
      <c r="WGB226" s="15"/>
      <c r="WGC226" s="15"/>
      <c r="WGD226" s="15"/>
      <c r="WGE226" s="15"/>
      <c r="WGF226" s="10"/>
      <c r="WGG226" s="10"/>
      <c r="WGH226" s="21"/>
      <c r="WGI226" s="21"/>
      <c r="WGL226" s="21"/>
      <c r="WGM226" s="15"/>
      <c r="WGN226" s="15"/>
      <c r="WGO226" s="15"/>
      <c r="WGP226" s="15"/>
      <c r="WGQ226" s="15"/>
      <c r="WGR226" s="15"/>
      <c r="WGS226" s="15"/>
      <c r="WGT226" s="15"/>
      <c r="WGU226" s="15"/>
      <c r="WGV226" s="15"/>
      <c r="WGW226" s="10"/>
      <c r="WGX226" s="10"/>
      <c r="WGY226" s="21"/>
      <c r="WGZ226" s="21"/>
      <c r="WHC226" s="21"/>
      <c r="WHD226" s="15"/>
      <c r="WHE226" s="15"/>
      <c r="WHF226" s="15"/>
      <c r="WHG226" s="15"/>
      <c r="WHH226" s="15"/>
      <c r="WHI226" s="15"/>
      <c r="WHJ226" s="15"/>
      <c r="WHK226" s="15"/>
      <c r="WHL226" s="15"/>
      <c r="WHM226" s="15"/>
      <c r="WHN226" s="10"/>
      <c r="WHO226" s="10"/>
      <c r="WHP226" s="21"/>
      <c r="WHQ226" s="21"/>
      <c r="WHT226" s="21"/>
      <c r="WHU226" s="15"/>
      <c r="WHV226" s="15"/>
      <c r="WHW226" s="15"/>
      <c r="WHX226" s="15"/>
      <c r="WHY226" s="15"/>
      <c r="WHZ226" s="15"/>
      <c r="WIA226" s="15"/>
      <c r="WIB226" s="15"/>
      <c r="WIC226" s="15"/>
      <c r="WID226" s="15"/>
      <c r="WIE226" s="10"/>
      <c r="WIF226" s="10"/>
      <c r="WIG226" s="21"/>
      <c r="WIH226" s="21"/>
      <c r="WIK226" s="21"/>
      <c r="WIL226" s="15"/>
      <c r="WIM226" s="15"/>
      <c r="WIN226" s="15"/>
      <c r="WIO226" s="15"/>
      <c r="WIP226" s="15"/>
      <c r="WIQ226" s="15"/>
      <c r="WIR226" s="15"/>
      <c r="WIS226" s="15"/>
      <c r="WIT226" s="15"/>
      <c r="WIU226" s="15"/>
      <c r="WIV226" s="10"/>
      <c r="WIW226" s="10"/>
      <c r="WIX226" s="21"/>
      <c r="WIY226" s="21"/>
      <c r="WJB226" s="21"/>
      <c r="WJC226" s="15"/>
      <c r="WJD226" s="15"/>
      <c r="WJE226" s="15"/>
      <c r="WJF226" s="15"/>
      <c r="WJG226" s="15"/>
      <c r="WJH226" s="15"/>
      <c r="WJI226" s="15"/>
      <c r="WJJ226" s="15"/>
      <c r="WJK226" s="15"/>
      <c r="WJL226" s="15"/>
      <c r="WJM226" s="10"/>
      <c r="WJN226" s="10"/>
      <c r="WJO226" s="21"/>
      <c r="WJP226" s="21"/>
      <c r="WJS226" s="21"/>
      <c r="WJT226" s="15"/>
      <c r="WJU226" s="15"/>
      <c r="WJV226" s="15"/>
      <c r="WJW226" s="15"/>
      <c r="WJX226" s="15"/>
      <c r="WJY226" s="15"/>
      <c r="WJZ226" s="15"/>
      <c r="WKA226" s="15"/>
      <c r="WKB226" s="15"/>
      <c r="WKC226" s="15"/>
      <c r="WKD226" s="10"/>
      <c r="WKE226" s="10"/>
      <c r="WKF226" s="21"/>
      <c r="WKG226" s="21"/>
      <c r="WKJ226" s="21"/>
      <c r="WKK226" s="15"/>
      <c r="WKL226" s="15"/>
      <c r="WKM226" s="15"/>
      <c r="WKN226" s="15"/>
      <c r="WKO226" s="15"/>
      <c r="WKP226" s="15"/>
      <c r="WKQ226" s="15"/>
      <c r="WKR226" s="15"/>
      <c r="WKS226" s="15"/>
      <c r="WKT226" s="15"/>
      <c r="WKU226" s="10"/>
      <c r="WKV226" s="10"/>
      <c r="WKW226" s="21"/>
      <c r="WKX226" s="21"/>
      <c r="WLA226" s="21"/>
      <c r="WLB226" s="15"/>
      <c r="WLC226" s="15"/>
      <c r="WLD226" s="15"/>
      <c r="WLE226" s="15"/>
      <c r="WLF226" s="15"/>
      <c r="WLG226" s="15"/>
      <c r="WLH226" s="15"/>
      <c r="WLI226" s="15"/>
      <c r="WLJ226" s="15"/>
      <c r="WLK226" s="15"/>
      <c r="WLL226" s="10"/>
      <c r="WLM226" s="10"/>
      <c r="WLN226" s="21"/>
      <c r="WLO226" s="21"/>
      <c r="WLR226" s="21"/>
      <c r="WLS226" s="15"/>
      <c r="WLT226" s="15"/>
      <c r="WLU226" s="15"/>
      <c r="WLV226" s="15"/>
      <c r="WLW226" s="15"/>
      <c r="WLX226" s="15"/>
      <c r="WLY226" s="15"/>
      <c r="WLZ226" s="15"/>
      <c r="WMA226" s="15"/>
      <c r="WMB226" s="15"/>
      <c r="WMC226" s="10"/>
      <c r="WMD226" s="10"/>
      <c r="WME226" s="21"/>
      <c r="WMF226" s="21"/>
      <c r="WMI226" s="21"/>
      <c r="WMJ226" s="15"/>
      <c r="WMK226" s="15"/>
      <c r="WML226" s="15"/>
      <c r="WMM226" s="15"/>
      <c r="WMN226" s="15"/>
      <c r="WMO226" s="15"/>
      <c r="WMP226" s="15"/>
      <c r="WMQ226" s="15"/>
      <c r="WMR226" s="15"/>
      <c r="WMS226" s="15"/>
      <c r="WMT226" s="10"/>
      <c r="WMU226" s="10"/>
      <c r="WMV226" s="21"/>
      <c r="WMW226" s="21"/>
      <c r="WMZ226" s="21"/>
      <c r="WNA226" s="15"/>
      <c r="WNB226" s="15"/>
      <c r="WNC226" s="15"/>
      <c r="WND226" s="15"/>
      <c r="WNE226" s="15"/>
      <c r="WNF226" s="15"/>
      <c r="WNG226" s="15"/>
      <c r="WNH226" s="15"/>
      <c r="WNI226" s="15"/>
      <c r="WNJ226" s="15"/>
      <c r="WNK226" s="10"/>
      <c r="WNL226" s="10"/>
      <c r="WNM226" s="21"/>
      <c r="WNN226" s="21"/>
      <c r="WNQ226" s="21"/>
      <c r="WNR226" s="15"/>
      <c r="WNS226" s="15"/>
      <c r="WNT226" s="15"/>
      <c r="WNU226" s="15"/>
      <c r="WNV226" s="15"/>
      <c r="WNW226" s="15"/>
      <c r="WNX226" s="15"/>
      <c r="WNY226" s="15"/>
      <c r="WNZ226" s="15"/>
      <c r="WOA226" s="15"/>
      <c r="WOB226" s="10"/>
      <c r="WOC226" s="10"/>
      <c r="WOD226" s="21"/>
      <c r="WOE226" s="21"/>
      <c r="WOH226" s="21"/>
      <c r="WOI226" s="15"/>
      <c r="WOJ226" s="15"/>
      <c r="WOK226" s="15"/>
      <c r="WOL226" s="15"/>
      <c r="WOM226" s="15"/>
      <c r="WON226" s="15"/>
      <c r="WOO226" s="15"/>
      <c r="WOP226" s="15"/>
      <c r="WOQ226" s="15"/>
      <c r="WOR226" s="15"/>
      <c r="WOS226" s="10"/>
      <c r="WOT226" s="10"/>
      <c r="WOU226" s="21"/>
      <c r="WOV226" s="21"/>
      <c r="WOY226" s="21"/>
      <c r="WOZ226" s="15"/>
      <c r="WPA226" s="15"/>
      <c r="WPB226" s="15"/>
      <c r="WPC226" s="15"/>
      <c r="WPD226" s="15"/>
      <c r="WPE226" s="15"/>
      <c r="WPF226" s="15"/>
      <c r="WPG226" s="15"/>
      <c r="WPH226" s="15"/>
      <c r="WPI226" s="15"/>
      <c r="WPJ226" s="10"/>
      <c r="WPK226" s="10"/>
      <c r="WPL226" s="21"/>
      <c r="WPM226" s="21"/>
      <c r="WPP226" s="21"/>
      <c r="WPQ226" s="15"/>
      <c r="WPR226" s="15"/>
      <c r="WPS226" s="15"/>
      <c r="WPT226" s="15"/>
      <c r="WPU226" s="15"/>
      <c r="WPV226" s="15"/>
      <c r="WPW226" s="15"/>
      <c r="WPX226" s="15"/>
      <c r="WPY226" s="15"/>
      <c r="WPZ226" s="15"/>
      <c r="WQA226" s="10"/>
      <c r="WQB226" s="10"/>
      <c r="WQC226" s="21"/>
      <c r="WQD226" s="21"/>
      <c r="WQG226" s="21"/>
      <c r="WQH226" s="15"/>
      <c r="WQI226" s="15"/>
      <c r="WQJ226" s="15"/>
      <c r="WQK226" s="15"/>
      <c r="WQL226" s="15"/>
      <c r="WQM226" s="15"/>
      <c r="WQN226" s="15"/>
      <c r="WQO226" s="15"/>
      <c r="WQP226" s="15"/>
      <c r="WQQ226" s="15"/>
      <c r="WQR226" s="10"/>
      <c r="WQS226" s="10"/>
      <c r="WQT226" s="21"/>
      <c r="WQU226" s="21"/>
      <c r="WQX226" s="21"/>
      <c r="WQY226" s="15"/>
      <c r="WQZ226" s="15"/>
      <c r="WRA226" s="15"/>
      <c r="WRB226" s="15"/>
      <c r="WRC226" s="15"/>
      <c r="WRD226" s="15"/>
      <c r="WRE226" s="15"/>
      <c r="WRF226" s="15"/>
      <c r="WRG226" s="15"/>
      <c r="WRH226" s="15"/>
      <c r="WRI226" s="10"/>
      <c r="WRJ226" s="10"/>
      <c r="WRK226" s="21"/>
      <c r="WRL226" s="21"/>
      <c r="WRO226" s="21"/>
      <c r="WRP226" s="15"/>
      <c r="WRQ226" s="15"/>
      <c r="WRR226" s="15"/>
      <c r="WRS226" s="15"/>
      <c r="WRT226" s="15"/>
      <c r="WRU226" s="15"/>
      <c r="WRV226" s="15"/>
      <c r="WRW226" s="15"/>
      <c r="WRX226" s="15"/>
      <c r="WRY226" s="15"/>
      <c r="WRZ226" s="10"/>
      <c r="WSA226" s="10"/>
      <c r="WSB226" s="21"/>
      <c r="WSC226" s="21"/>
      <c r="WSF226" s="21"/>
      <c r="WSG226" s="15"/>
      <c r="WSH226" s="15"/>
      <c r="WSI226" s="15"/>
      <c r="WSJ226" s="15"/>
      <c r="WSK226" s="15"/>
      <c r="WSL226" s="15"/>
      <c r="WSM226" s="15"/>
      <c r="WSN226" s="15"/>
      <c r="WSO226" s="15"/>
      <c r="WSP226" s="15"/>
      <c r="WSQ226" s="10"/>
      <c r="WSR226" s="10"/>
      <c r="WSS226" s="21"/>
      <c r="WST226" s="21"/>
      <c r="WSW226" s="21"/>
      <c r="WSX226" s="15"/>
      <c r="WSY226" s="15"/>
      <c r="WSZ226" s="15"/>
      <c r="WTA226" s="15"/>
      <c r="WTB226" s="15"/>
      <c r="WTC226" s="15"/>
      <c r="WTD226" s="15"/>
      <c r="WTE226" s="15"/>
      <c r="WTF226" s="15"/>
      <c r="WTG226" s="15"/>
      <c r="WTH226" s="10"/>
      <c r="WTI226" s="10"/>
      <c r="WTJ226" s="21"/>
      <c r="WTK226" s="21"/>
      <c r="WTN226" s="21"/>
      <c r="WTO226" s="15"/>
      <c r="WTP226" s="15"/>
      <c r="WTQ226" s="15"/>
      <c r="WTR226" s="15"/>
      <c r="WTS226" s="15"/>
      <c r="WTT226" s="15"/>
      <c r="WTU226" s="15"/>
      <c r="WTV226" s="15"/>
      <c r="WTW226" s="15"/>
      <c r="WTX226" s="15"/>
      <c r="WTY226" s="10"/>
      <c r="WTZ226" s="10"/>
      <c r="WUA226" s="21"/>
      <c r="WUB226" s="21"/>
      <c r="WUE226" s="21"/>
      <c r="WUF226" s="15"/>
      <c r="WUG226" s="15"/>
      <c r="WUH226" s="15"/>
      <c r="WUI226" s="15"/>
      <c r="WUJ226" s="15"/>
      <c r="WUK226" s="15"/>
      <c r="WUL226" s="15"/>
      <c r="WUM226" s="15"/>
      <c r="WUN226" s="15"/>
      <c r="WUO226" s="15"/>
      <c r="WUP226" s="10"/>
      <c r="WUQ226" s="10"/>
      <c r="WUR226" s="21"/>
      <c r="WUS226" s="21"/>
      <c r="WUV226" s="21"/>
      <c r="WUW226" s="15"/>
      <c r="WUX226" s="15"/>
      <c r="WUY226" s="15"/>
      <c r="WUZ226" s="15"/>
      <c r="WVA226" s="15"/>
      <c r="WVB226" s="15"/>
      <c r="WVC226" s="15"/>
      <c r="WVD226" s="15"/>
      <c r="WVE226" s="15"/>
      <c r="WVF226" s="15"/>
      <c r="WVG226" s="10"/>
      <c r="WVH226" s="10"/>
      <c r="WVI226" s="21"/>
      <c r="WVJ226" s="21"/>
      <c r="WVM226" s="21"/>
      <c r="WVN226" s="15"/>
      <c r="WVO226" s="15"/>
      <c r="WVP226" s="15"/>
      <c r="WVQ226" s="15"/>
      <c r="WVR226" s="15"/>
      <c r="WVS226" s="15"/>
      <c r="WVT226" s="15"/>
      <c r="WVU226" s="15"/>
      <c r="WVV226" s="15"/>
      <c r="WVW226" s="15"/>
      <c r="WVX226" s="10"/>
      <c r="WVY226" s="10"/>
      <c r="WVZ226" s="21"/>
      <c r="WWA226" s="21"/>
      <c r="WWD226" s="21"/>
      <c r="WWE226" s="15"/>
      <c r="WWF226" s="15"/>
      <c r="WWG226" s="15"/>
      <c r="WWH226" s="15"/>
      <c r="WWI226" s="15"/>
      <c r="WWJ226" s="15"/>
      <c r="WWK226" s="15"/>
      <c r="WWL226" s="15"/>
      <c r="WWM226" s="15"/>
      <c r="WWN226" s="15"/>
      <c r="WWO226" s="10"/>
      <c r="WWP226" s="10"/>
      <c r="WWQ226" s="21"/>
      <c r="WWR226" s="21"/>
      <c r="WWU226" s="21"/>
      <c r="WWV226" s="15"/>
      <c r="WWW226" s="15"/>
      <c r="WWX226" s="15"/>
      <c r="WWY226" s="15"/>
      <c r="WWZ226" s="15"/>
      <c r="WXA226" s="15"/>
      <c r="WXB226" s="15"/>
      <c r="WXC226" s="15"/>
      <c r="WXD226" s="15"/>
      <c r="WXE226" s="15"/>
      <c r="WXF226" s="10"/>
      <c r="WXG226" s="10"/>
      <c r="WXH226" s="21"/>
      <c r="WXI226" s="21"/>
      <c r="WXL226" s="21"/>
      <c r="WXM226" s="15"/>
      <c r="WXN226" s="15"/>
      <c r="WXO226" s="15"/>
      <c r="WXP226" s="15"/>
      <c r="WXQ226" s="15"/>
      <c r="WXR226" s="15"/>
      <c r="WXS226" s="15"/>
      <c r="WXT226" s="15"/>
      <c r="WXU226" s="15"/>
      <c r="WXV226" s="15"/>
      <c r="WXW226" s="10"/>
      <c r="WXX226" s="10"/>
      <c r="WXY226" s="21"/>
      <c r="WXZ226" s="21"/>
      <c r="WYC226" s="21"/>
      <c r="WYD226" s="15"/>
      <c r="WYE226" s="15"/>
      <c r="WYF226" s="15"/>
      <c r="WYG226" s="15"/>
      <c r="WYH226" s="15"/>
      <c r="WYI226" s="15"/>
      <c r="WYJ226" s="15"/>
      <c r="WYK226" s="15"/>
      <c r="WYL226" s="15"/>
      <c r="WYM226" s="15"/>
      <c r="WYN226" s="10"/>
      <c r="WYO226" s="10"/>
      <c r="WYP226" s="21"/>
      <c r="WYQ226" s="21"/>
      <c r="WYT226" s="21"/>
      <c r="WYU226" s="15"/>
      <c r="WYV226" s="15"/>
      <c r="WYW226" s="15"/>
      <c r="WYX226" s="15"/>
      <c r="WYY226" s="15"/>
      <c r="WYZ226" s="15"/>
      <c r="WZA226" s="15"/>
      <c r="WZB226" s="15"/>
      <c r="WZC226" s="15"/>
      <c r="WZD226" s="15"/>
      <c r="WZE226" s="10"/>
      <c r="WZF226" s="10"/>
      <c r="WZG226" s="21"/>
      <c r="WZH226" s="21"/>
      <c r="WZK226" s="21"/>
      <c r="WZL226" s="15"/>
      <c r="WZM226" s="15"/>
      <c r="WZN226" s="15"/>
      <c r="WZO226" s="15"/>
      <c r="WZP226" s="15"/>
      <c r="WZQ226" s="15"/>
      <c r="WZR226" s="15"/>
      <c r="WZS226" s="15"/>
      <c r="WZT226" s="15"/>
      <c r="WZU226" s="15"/>
      <c r="WZV226" s="10"/>
      <c r="WZW226" s="10"/>
      <c r="WZX226" s="21"/>
      <c r="WZY226" s="21"/>
      <c r="XAB226" s="21"/>
      <c r="XAC226" s="15"/>
      <c r="XAD226" s="15"/>
      <c r="XAE226" s="15"/>
      <c r="XAF226" s="15"/>
      <c r="XAG226" s="15"/>
      <c r="XAH226" s="15"/>
      <c r="XAI226" s="15"/>
      <c r="XAJ226" s="15"/>
      <c r="XAK226" s="15"/>
      <c r="XAL226" s="15"/>
      <c r="XAM226" s="10"/>
      <c r="XAN226" s="10"/>
      <c r="XAO226" s="21"/>
      <c r="XAP226" s="21"/>
      <c r="XAS226" s="21"/>
      <c r="XAT226" s="15"/>
      <c r="XAU226" s="15"/>
      <c r="XAV226" s="15"/>
      <c r="XAW226" s="15"/>
      <c r="XAX226" s="15"/>
      <c r="XAY226" s="15"/>
      <c r="XAZ226" s="15"/>
      <c r="XBA226" s="15"/>
      <c r="XBB226" s="15"/>
      <c r="XBC226" s="15"/>
      <c r="XBD226" s="10"/>
      <c r="XBE226" s="10"/>
      <c r="XBF226" s="21"/>
      <c r="XBG226" s="21"/>
      <c r="XBJ226" s="21"/>
      <c r="XBK226" s="15"/>
      <c r="XBL226" s="15"/>
      <c r="XBM226" s="15"/>
      <c r="XBN226" s="15"/>
      <c r="XBO226" s="15"/>
      <c r="XBP226" s="15"/>
      <c r="XBQ226" s="15"/>
      <c r="XBR226" s="15"/>
      <c r="XBS226" s="15"/>
      <c r="XBT226" s="15"/>
      <c r="XBU226" s="10"/>
      <c r="XBV226" s="10"/>
      <c r="XBW226" s="21"/>
      <c r="XBX226" s="21"/>
      <c r="XCA226" s="21"/>
      <c r="XCB226" s="15"/>
      <c r="XCC226" s="15"/>
      <c r="XCD226" s="15"/>
      <c r="XCE226" s="15"/>
      <c r="XCF226" s="15"/>
      <c r="XCG226" s="15"/>
      <c r="XCH226" s="15"/>
      <c r="XCI226" s="15"/>
      <c r="XCJ226" s="15"/>
      <c r="XCK226" s="15"/>
      <c r="XCL226" s="10"/>
      <c r="XCM226" s="10"/>
      <c r="XCN226" s="21"/>
      <c r="XCO226" s="21"/>
      <c r="XCR226" s="21"/>
      <c r="XCS226" s="15"/>
      <c r="XCT226" s="15"/>
      <c r="XCU226" s="15"/>
      <c r="XCV226" s="15"/>
      <c r="XCW226" s="15"/>
      <c r="XCX226" s="15"/>
      <c r="XCY226" s="15"/>
      <c r="XCZ226" s="15"/>
      <c r="XDA226" s="15"/>
      <c r="XDB226" s="15"/>
      <c r="XDC226" s="10"/>
      <c r="XDD226" s="10"/>
      <c r="XDE226" s="21"/>
      <c r="XDF226" s="21"/>
      <c r="XDI226" s="21"/>
      <c r="XDJ226" s="15"/>
      <c r="XDK226" s="15"/>
      <c r="XDL226" s="15"/>
      <c r="XDM226" s="15"/>
      <c r="XDN226" s="15"/>
      <c r="XDO226" s="15"/>
      <c r="XDP226" s="15"/>
      <c r="XDQ226" s="15"/>
      <c r="XDR226" s="15"/>
      <c r="XDS226" s="15"/>
      <c r="XDT226" s="10"/>
      <c r="XDU226" s="10"/>
      <c r="XDV226" s="21"/>
      <c r="XDW226" s="21"/>
      <c r="XDZ226" s="21"/>
      <c r="XEA226" s="15"/>
      <c r="XEB226" s="15"/>
      <c r="XEC226" s="15"/>
      <c r="XED226" s="15"/>
      <c r="XEE226" s="15"/>
      <c r="XEF226" s="15"/>
      <c r="XEG226" s="15"/>
      <c r="XEH226" s="15"/>
      <c r="XEI226" s="15"/>
      <c r="XEJ226" s="15"/>
      <c r="XEK226" s="10"/>
      <c r="XEL226" s="10"/>
      <c r="XEM226" s="21"/>
      <c r="XEN226" s="21"/>
      <c r="XEQ226" s="21"/>
      <c r="XER226" s="15"/>
      <c r="XES226" s="15"/>
      <c r="XET226" s="15"/>
      <c r="XEU226" s="15"/>
      <c r="XEV226" s="15"/>
      <c r="XEW226" s="15"/>
      <c r="XEX226" s="15"/>
      <c r="XEY226" s="15"/>
      <c r="XEZ226" s="15"/>
      <c r="XFA226" s="15"/>
      <c r="XFB226" s="10"/>
      <c r="XFC226" s="10"/>
      <c r="XFD226" s="21"/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978</v>
      </c>
      <c r="E227" s="32" t="s">
        <v>165</v>
      </c>
      <c r="F227" s="32" t="s">
        <v>976</v>
      </c>
      <c r="G227" s="32" t="s">
        <v>1105</v>
      </c>
      <c r="H227" s="32" t="s">
        <v>354</v>
      </c>
      <c r="I227" s="31" t="s">
        <v>977</v>
      </c>
      <c r="J227" s="31">
        <v>1</v>
      </c>
      <c r="K227" s="33" t="s">
        <v>956</v>
      </c>
      <c r="L227" s="33" t="s">
        <v>689</v>
      </c>
      <c r="M227" s="34" t="s">
        <v>1402</v>
      </c>
      <c r="N227" s="34" t="s">
        <v>1748</v>
      </c>
      <c r="O227" s="35">
        <v>1</v>
      </c>
      <c r="P227" s="35"/>
      <c r="Q227" s="32"/>
      <c r="S227" s="1">
        <f t="shared" si="123"/>
        <v>1</v>
      </c>
      <c r="T227" s="1">
        <f t="shared" si="124"/>
        <v>0</v>
      </c>
      <c r="U227" s="1">
        <f t="shared" si="125"/>
        <v>0</v>
      </c>
      <c r="V227" s="1">
        <f t="shared" si="126"/>
        <v>0</v>
      </c>
      <c r="W227" s="1">
        <f t="shared" si="127"/>
        <v>0</v>
      </c>
      <c r="X227" s="1">
        <f t="shared" si="128"/>
        <v>0</v>
      </c>
      <c r="Y227" s="1">
        <f t="shared" si="129"/>
        <v>0</v>
      </c>
      <c r="Z227" s="1">
        <f t="shared" si="130"/>
        <v>0</v>
      </c>
      <c r="AA227" s="1">
        <f t="shared" si="131"/>
        <v>0</v>
      </c>
      <c r="AB227" s="1">
        <f t="shared" si="132"/>
        <v>0</v>
      </c>
      <c r="AD227" s="1">
        <f t="shared" si="133"/>
        <v>0</v>
      </c>
      <c r="AE227" s="1">
        <f t="shared" si="134"/>
        <v>1</v>
      </c>
      <c r="AF227" s="1">
        <f t="shared" si="119"/>
        <v>0</v>
      </c>
      <c r="AG227" s="1">
        <f t="shared" si="120"/>
        <v>1</v>
      </c>
      <c r="AH227" s="1">
        <f t="shared" si="121"/>
        <v>0</v>
      </c>
      <c r="AI227" s="1">
        <f t="shared" si="122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521</v>
      </c>
      <c r="E228" s="32" t="s">
        <v>167</v>
      </c>
      <c r="F228" s="32" t="s">
        <v>522</v>
      </c>
      <c r="G228" s="32" t="s">
        <v>523</v>
      </c>
      <c r="H228" s="32" t="s">
        <v>354</v>
      </c>
      <c r="I228" s="31" t="s">
        <v>524</v>
      </c>
      <c r="J228" s="31">
        <v>99</v>
      </c>
      <c r="K228" s="33" t="s">
        <v>702</v>
      </c>
      <c r="L228" s="33">
        <v>40</v>
      </c>
      <c r="M228" s="34" t="s">
        <v>972</v>
      </c>
      <c r="N228" s="34" t="s">
        <v>1849</v>
      </c>
      <c r="O228" s="35">
        <v>1</v>
      </c>
      <c r="P228" s="35"/>
      <c r="Q228" s="32"/>
      <c r="S228" s="1">
        <f t="shared" si="123"/>
        <v>0</v>
      </c>
      <c r="T228" s="1">
        <f t="shared" si="124"/>
        <v>0</v>
      </c>
      <c r="U228" s="1">
        <f t="shared" si="125"/>
        <v>0</v>
      </c>
      <c r="V228" s="1">
        <f t="shared" si="126"/>
        <v>0</v>
      </c>
      <c r="W228" s="1">
        <f t="shared" si="127"/>
        <v>0</v>
      </c>
      <c r="X228" s="1">
        <f t="shared" si="128"/>
        <v>0</v>
      </c>
      <c r="Y228" s="1">
        <f t="shared" si="129"/>
        <v>0</v>
      </c>
      <c r="Z228" s="1">
        <f t="shared" si="130"/>
        <v>0</v>
      </c>
      <c r="AA228" s="1">
        <f t="shared" si="131"/>
        <v>0</v>
      </c>
      <c r="AB228" s="1">
        <f t="shared" si="132"/>
        <v>0</v>
      </c>
      <c r="AD228" s="1">
        <f t="shared" si="133"/>
        <v>0</v>
      </c>
      <c r="AE228" s="1">
        <f t="shared" si="134"/>
        <v>1</v>
      </c>
      <c r="AF228" s="1">
        <f t="shared" si="119"/>
        <v>0</v>
      </c>
      <c r="AG228" s="1">
        <f t="shared" si="120"/>
        <v>1</v>
      </c>
      <c r="AH228" s="1">
        <f t="shared" si="121"/>
        <v>0</v>
      </c>
      <c r="AI228" s="1">
        <f t="shared" si="122"/>
        <v>1</v>
      </c>
    </row>
    <row r="229" spans="1:4094 4097:8191 8194:12288 12291:16384" ht="14.25" customHeight="1" x14ac:dyDescent="0.25">
      <c r="A229" s="38">
        <v>0</v>
      </c>
      <c r="B229" s="38">
        <v>1</v>
      </c>
      <c r="C229" s="38">
        <v>6</v>
      </c>
      <c r="D229" s="39" t="s">
        <v>1837</v>
      </c>
      <c r="E229" s="39" t="s">
        <v>1838</v>
      </c>
      <c r="F229" s="39" t="s">
        <v>1839</v>
      </c>
      <c r="G229" s="39"/>
      <c r="H229" s="39" t="s">
        <v>354</v>
      </c>
      <c r="I229" s="38" t="s">
        <v>1840</v>
      </c>
      <c r="J229" s="38"/>
      <c r="K229" s="40" t="s">
        <v>703</v>
      </c>
      <c r="L229" s="40"/>
      <c r="M229" s="41"/>
      <c r="N229" s="42"/>
      <c r="O229" s="43"/>
      <c r="P229" s="43">
        <v>1</v>
      </c>
      <c r="Q229" s="39"/>
      <c r="S229" s="1">
        <f t="shared" si="123"/>
        <v>0</v>
      </c>
      <c r="T229" s="1">
        <f t="shared" si="124"/>
        <v>0</v>
      </c>
      <c r="U229" s="1">
        <f t="shared" si="125"/>
        <v>0</v>
      </c>
      <c r="V229" s="1">
        <f t="shared" si="126"/>
        <v>0</v>
      </c>
      <c r="W229" s="1">
        <f t="shared" si="127"/>
        <v>0</v>
      </c>
      <c r="X229" s="1">
        <f t="shared" si="128"/>
        <v>0</v>
      </c>
      <c r="Y229" s="1">
        <f t="shared" si="129"/>
        <v>0</v>
      </c>
      <c r="Z229" s="1">
        <f t="shared" si="130"/>
        <v>0</v>
      </c>
      <c r="AA229" s="1">
        <f t="shared" si="131"/>
        <v>0</v>
      </c>
      <c r="AB229" s="1">
        <f t="shared" si="132"/>
        <v>0</v>
      </c>
      <c r="AD229" s="1">
        <f t="shared" si="133"/>
        <v>0</v>
      </c>
      <c r="AE229" s="1">
        <f t="shared" si="134"/>
        <v>0</v>
      </c>
      <c r="AF229" s="1">
        <f t="shared" si="119"/>
        <v>0</v>
      </c>
      <c r="AG229" s="1">
        <f t="shared" si="120"/>
        <v>0</v>
      </c>
      <c r="AH229" s="1">
        <f t="shared" si="121"/>
        <v>1</v>
      </c>
      <c r="AI229" s="1">
        <f t="shared" si="122"/>
        <v>0</v>
      </c>
    </row>
    <row r="230" spans="1:4094 4097:8191 8194:12288 12291:16384" ht="14.25" customHeight="1" x14ac:dyDescent="0.25">
      <c r="A230" s="44">
        <v>0</v>
      </c>
      <c r="B230" s="44">
        <v>1</v>
      </c>
      <c r="C230" s="44">
        <v>6</v>
      </c>
      <c r="D230" s="45" t="s">
        <v>1480</v>
      </c>
      <c r="E230" s="45" t="s">
        <v>167</v>
      </c>
      <c r="F230" s="45" t="s">
        <v>1482</v>
      </c>
      <c r="G230" s="45" t="s">
        <v>1483</v>
      </c>
      <c r="H230" s="45" t="s">
        <v>354</v>
      </c>
      <c r="I230" s="44" t="s">
        <v>1481</v>
      </c>
      <c r="J230" s="44">
        <v>99</v>
      </c>
      <c r="K230" s="46" t="s">
        <v>703</v>
      </c>
      <c r="L230" s="46">
        <v>62</v>
      </c>
      <c r="M230" s="47"/>
      <c r="N230" s="47" t="s">
        <v>1734</v>
      </c>
      <c r="O230" s="48"/>
      <c r="P230" s="48"/>
      <c r="Q230" s="45"/>
      <c r="S230" s="1">
        <f t="shared" si="123"/>
        <v>0</v>
      </c>
      <c r="T230" s="1">
        <f t="shared" si="124"/>
        <v>0</v>
      </c>
      <c r="U230" s="1">
        <f t="shared" si="125"/>
        <v>0</v>
      </c>
      <c r="V230" s="1">
        <f t="shared" si="126"/>
        <v>0</v>
      </c>
      <c r="W230" s="1">
        <f t="shared" si="127"/>
        <v>0</v>
      </c>
      <c r="X230" s="1">
        <f t="shared" si="128"/>
        <v>0</v>
      </c>
      <c r="Y230" s="1">
        <f t="shared" si="129"/>
        <v>0</v>
      </c>
      <c r="Z230" s="1">
        <f t="shared" si="130"/>
        <v>0</v>
      </c>
      <c r="AA230" s="1">
        <f t="shared" si="131"/>
        <v>0</v>
      </c>
      <c r="AB230" s="1">
        <f t="shared" si="132"/>
        <v>0</v>
      </c>
      <c r="AD230" s="1">
        <f t="shared" si="133"/>
        <v>0</v>
      </c>
      <c r="AE230" s="1">
        <f t="shared" si="134"/>
        <v>0</v>
      </c>
      <c r="AF230" s="1">
        <f t="shared" si="119"/>
        <v>0</v>
      </c>
      <c r="AG230" s="1">
        <f t="shared" si="120"/>
        <v>0</v>
      </c>
      <c r="AH230" s="1">
        <f t="shared" si="121"/>
        <v>0</v>
      </c>
      <c r="AI230" s="1">
        <f t="shared" si="122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1196</v>
      </c>
      <c r="E231" s="32" t="s">
        <v>165</v>
      </c>
      <c r="F231" s="32" t="s">
        <v>1670</v>
      </c>
      <c r="G231" s="32" t="s">
        <v>213</v>
      </c>
      <c r="H231" s="32" t="s">
        <v>354</v>
      </c>
      <c r="I231" s="31" t="s">
        <v>1197</v>
      </c>
      <c r="J231" s="31">
        <v>1</v>
      </c>
      <c r="K231" s="33" t="s">
        <v>962</v>
      </c>
      <c r="L231" s="33" t="s">
        <v>687</v>
      </c>
      <c r="M231" s="34" t="s">
        <v>1572</v>
      </c>
      <c r="N231" s="34" t="s">
        <v>1755</v>
      </c>
      <c r="O231" s="35">
        <v>1</v>
      </c>
      <c r="P231" s="35"/>
      <c r="Q231" s="32"/>
      <c r="S231" s="1">
        <f t="shared" si="123"/>
        <v>1</v>
      </c>
      <c r="T231" s="1">
        <f t="shared" si="124"/>
        <v>0</v>
      </c>
      <c r="U231" s="1">
        <f t="shared" si="125"/>
        <v>0</v>
      </c>
      <c r="V231" s="1">
        <f t="shared" si="126"/>
        <v>0</v>
      </c>
      <c r="W231" s="1">
        <f t="shared" si="127"/>
        <v>0</v>
      </c>
      <c r="X231" s="1">
        <f t="shared" si="128"/>
        <v>0</v>
      </c>
      <c r="Y231" s="1">
        <f t="shared" si="129"/>
        <v>0</v>
      </c>
      <c r="Z231" s="1">
        <f t="shared" si="130"/>
        <v>0</v>
      </c>
      <c r="AA231" s="1">
        <f t="shared" si="131"/>
        <v>0</v>
      </c>
      <c r="AB231" s="1">
        <f t="shared" si="132"/>
        <v>0</v>
      </c>
      <c r="AD231" s="1">
        <f t="shared" si="133"/>
        <v>0</v>
      </c>
      <c r="AE231" s="1">
        <f t="shared" si="134"/>
        <v>1</v>
      </c>
      <c r="AF231" s="1">
        <f t="shared" si="119"/>
        <v>0</v>
      </c>
      <c r="AG231" s="1">
        <f t="shared" si="120"/>
        <v>1</v>
      </c>
      <c r="AH231" s="1">
        <f t="shared" si="121"/>
        <v>0</v>
      </c>
      <c r="AI231" s="1">
        <f t="shared" si="122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98</v>
      </c>
      <c r="E232" s="32" t="s">
        <v>167</v>
      </c>
      <c r="F232" s="32" t="s">
        <v>296</v>
      </c>
      <c r="G232" s="32" t="s">
        <v>285</v>
      </c>
      <c r="H232" s="32" t="s">
        <v>354</v>
      </c>
      <c r="I232" s="31" t="s">
        <v>1118</v>
      </c>
      <c r="J232" s="31">
        <v>10</v>
      </c>
      <c r="K232" s="33" t="s">
        <v>956</v>
      </c>
      <c r="L232" s="33" t="s">
        <v>694</v>
      </c>
      <c r="M232" s="34" t="s">
        <v>705</v>
      </c>
      <c r="N232" s="34" t="s">
        <v>1749</v>
      </c>
      <c r="O232" s="35">
        <v>1</v>
      </c>
      <c r="P232" s="35"/>
      <c r="Q232" s="32"/>
      <c r="S232" s="1">
        <f t="shared" si="123"/>
        <v>0</v>
      </c>
      <c r="T232" s="1">
        <f t="shared" si="124"/>
        <v>0</v>
      </c>
      <c r="U232" s="1">
        <f t="shared" si="125"/>
        <v>0</v>
      </c>
      <c r="V232" s="1">
        <f t="shared" si="126"/>
        <v>0</v>
      </c>
      <c r="W232" s="1">
        <f t="shared" si="127"/>
        <v>0</v>
      </c>
      <c r="X232" s="1">
        <f t="shared" si="128"/>
        <v>0</v>
      </c>
      <c r="Y232" s="1">
        <f t="shared" si="129"/>
        <v>0</v>
      </c>
      <c r="Z232" s="1">
        <f t="shared" si="130"/>
        <v>0</v>
      </c>
      <c r="AA232" s="1">
        <f t="shared" si="131"/>
        <v>0</v>
      </c>
      <c r="AB232" s="1">
        <f t="shared" si="132"/>
        <v>1</v>
      </c>
      <c r="AD232" s="1">
        <f t="shared" si="133"/>
        <v>0</v>
      </c>
      <c r="AE232" s="1">
        <f t="shared" si="134"/>
        <v>1</v>
      </c>
      <c r="AF232" s="1">
        <f t="shared" si="119"/>
        <v>0</v>
      </c>
      <c r="AG232" s="1">
        <f t="shared" si="120"/>
        <v>1</v>
      </c>
      <c r="AH232" s="1">
        <f t="shared" si="121"/>
        <v>0</v>
      </c>
      <c r="AI232" s="1">
        <f t="shared" si="122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603</v>
      </c>
      <c r="E233" s="32" t="s">
        <v>165</v>
      </c>
      <c r="F233" s="32" t="s">
        <v>605</v>
      </c>
      <c r="G233" s="32" t="s">
        <v>39</v>
      </c>
      <c r="H233" s="32" t="s">
        <v>354</v>
      </c>
      <c r="I233" s="31" t="s">
        <v>604</v>
      </c>
      <c r="J233" s="31">
        <v>99</v>
      </c>
      <c r="K233" s="33" t="s">
        <v>956</v>
      </c>
      <c r="L233" s="33" t="s">
        <v>693</v>
      </c>
      <c r="M233" s="34" t="s">
        <v>970</v>
      </c>
      <c r="N233" s="34" t="s">
        <v>1749</v>
      </c>
      <c r="O233" s="35">
        <v>1</v>
      </c>
      <c r="P233" s="35"/>
      <c r="Q233" s="32"/>
      <c r="S233" s="1">
        <f t="shared" si="123"/>
        <v>0</v>
      </c>
      <c r="T233" s="1">
        <f t="shared" si="124"/>
        <v>0</v>
      </c>
      <c r="U233" s="1">
        <f t="shared" si="125"/>
        <v>0</v>
      </c>
      <c r="V233" s="1">
        <f t="shared" si="126"/>
        <v>0</v>
      </c>
      <c r="W233" s="1">
        <f t="shared" si="127"/>
        <v>0</v>
      </c>
      <c r="X233" s="1">
        <f t="shared" si="128"/>
        <v>0</v>
      </c>
      <c r="Y233" s="1">
        <f t="shared" si="129"/>
        <v>0</v>
      </c>
      <c r="Z233" s="1">
        <f t="shared" si="130"/>
        <v>0</v>
      </c>
      <c r="AA233" s="1">
        <f t="shared" si="131"/>
        <v>0</v>
      </c>
      <c r="AB233" s="1">
        <f t="shared" si="132"/>
        <v>0</v>
      </c>
      <c r="AD233" s="1">
        <f t="shared" si="133"/>
        <v>0</v>
      </c>
      <c r="AE233" s="1">
        <f t="shared" si="134"/>
        <v>1</v>
      </c>
      <c r="AF233" s="1">
        <f t="shared" si="119"/>
        <v>0</v>
      </c>
      <c r="AG233" s="1">
        <f t="shared" si="120"/>
        <v>1</v>
      </c>
      <c r="AH233" s="1">
        <f t="shared" si="121"/>
        <v>0</v>
      </c>
      <c r="AI233" s="1">
        <f t="shared" si="122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1162</v>
      </c>
      <c r="E234" s="32" t="s">
        <v>165</v>
      </c>
      <c r="F234" s="32" t="s">
        <v>1164</v>
      </c>
      <c r="G234" s="32" t="s">
        <v>220</v>
      </c>
      <c r="H234" s="32" t="s">
        <v>354</v>
      </c>
      <c r="I234" s="31" t="s">
        <v>1163</v>
      </c>
      <c r="J234" s="31">
        <v>8</v>
      </c>
      <c r="K234" s="33" t="s">
        <v>702</v>
      </c>
      <c r="L234" s="33" t="s">
        <v>1713</v>
      </c>
      <c r="M234" s="34" t="s">
        <v>1403</v>
      </c>
      <c r="N234" s="34" t="s">
        <v>1748</v>
      </c>
      <c r="O234" s="35">
        <v>1</v>
      </c>
      <c r="P234" s="35"/>
      <c r="Q234" s="32"/>
      <c r="S234" s="1">
        <f t="shared" si="123"/>
        <v>0</v>
      </c>
      <c r="T234" s="1">
        <f t="shared" si="124"/>
        <v>0</v>
      </c>
      <c r="U234" s="1">
        <f t="shared" si="125"/>
        <v>0</v>
      </c>
      <c r="V234" s="1">
        <f t="shared" si="126"/>
        <v>0</v>
      </c>
      <c r="W234" s="1">
        <f t="shared" si="127"/>
        <v>0</v>
      </c>
      <c r="X234" s="1">
        <f t="shared" si="128"/>
        <v>0</v>
      </c>
      <c r="Y234" s="1">
        <f t="shared" si="129"/>
        <v>0</v>
      </c>
      <c r="Z234" s="1">
        <f t="shared" si="130"/>
        <v>1</v>
      </c>
      <c r="AA234" s="1">
        <f t="shared" si="131"/>
        <v>0</v>
      </c>
      <c r="AB234" s="1">
        <f t="shared" si="132"/>
        <v>0</v>
      </c>
      <c r="AD234" s="1">
        <f t="shared" si="133"/>
        <v>0</v>
      </c>
      <c r="AE234" s="1">
        <f t="shared" si="134"/>
        <v>1</v>
      </c>
      <c r="AF234" s="1">
        <f t="shared" si="119"/>
        <v>0</v>
      </c>
      <c r="AG234" s="1">
        <f t="shared" si="120"/>
        <v>1</v>
      </c>
      <c r="AH234" s="1">
        <f t="shared" si="121"/>
        <v>0</v>
      </c>
      <c r="AI234" s="1">
        <f t="shared" si="122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564</v>
      </c>
      <c r="E235" s="32" t="s">
        <v>167</v>
      </c>
      <c r="F235" s="32" t="s">
        <v>661</v>
      </c>
      <c r="G235" s="32" t="s">
        <v>202</v>
      </c>
      <c r="H235" s="32" t="s">
        <v>354</v>
      </c>
      <c r="I235" s="31" t="s">
        <v>583</v>
      </c>
      <c r="J235" s="31">
        <v>10</v>
      </c>
      <c r="K235" s="33" t="s">
        <v>962</v>
      </c>
      <c r="L235" s="33" t="s">
        <v>693</v>
      </c>
      <c r="M235" s="34" t="s">
        <v>705</v>
      </c>
      <c r="N235" s="34" t="s">
        <v>1748</v>
      </c>
      <c r="O235" s="35">
        <v>1</v>
      </c>
      <c r="P235" s="35"/>
      <c r="Q235" s="36"/>
      <c r="S235" s="1">
        <f t="shared" si="123"/>
        <v>0</v>
      </c>
      <c r="T235" s="1">
        <f t="shared" si="124"/>
        <v>0</v>
      </c>
      <c r="U235" s="1">
        <f t="shared" si="125"/>
        <v>0</v>
      </c>
      <c r="V235" s="1">
        <f t="shared" si="126"/>
        <v>0</v>
      </c>
      <c r="W235" s="1">
        <f t="shared" si="127"/>
        <v>0</v>
      </c>
      <c r="X235" s="1">
        <f t="shared" si="128"/>
        <v>0</v>
      </c>
      <c r="Y235" s="1">
        <f t="shared" si="129"/>
        <v>0</v>
      </c>
      <c r="Z235" s="1">
        <f t="shared" si="130"/>
        <v>0</v>
      </c>
      <c r="AA235" s="1">
        <f t="shared" si="131"/>
        <v>0</v>
      </c>
      <c r="AB235" s="1">
        <f t="shared" si="132"/>
        <v>1</v>
      </c>
      <c r="AD235" s="1">
        <f t="shared" si="133"/>
        <v>0</v>
      </c>
      <c r="AE235" s="1">
        <f t="shared" si="134"/>
        <v>1</v>
      </c>
      <c r="AF235" s="1">
        <f t="shared" si="119"/>
        <v>0</v>
      </c>
      <c r="AG235" s="1">
        <f t="shared" si="120"/>
        <v>1</v>
      </c>
      <c r="AH235" s="1">
        <f t="shared" si="121"/>
        <v>0</v>
      </c>
      <c r="AI235" s="1">
        <f t="shared" si="122"/>
        <v>1</v>
      </c>
    </row>
    <row r="236" spans="1:4094 4097:8191 8194:12288 12291:16384" ht="14.25" customHeight="1" x14ac:dyDescent="0.25">
      <c r="A236" s="44">
        <v>0</v>
      </c>
      <c r="B236" s="44">
        <v>1</v>
      </c>
      <c r="C236" s="44">
        <v>6</v>
      </c>
      <c r="D236" s="45" t="s">
        <v>897</v>
      </c>
      <c r="E236" s="45" t="s">
        <v>167</v>
      </c>
      <c r="F236" s="45" t="s">
        <v>938</v>
      </c>
      <c r="G236" s="45" t="s">
        <v>939</v>
      </c>
      <c r="H236" s="45" t="s">
        <v>354</v>
      </c>
      <c r="I236" s="44" t="s">
        <v>953</v>
      </c>
      <c r="J236" s="44">
        <v>99</v>
      </c>
      <c r="K236" s="46" t="s">
        <v>702</v>
      </c>
      <c r="L236" s="46" t="s">
        <v>689</v>
      </c>
      <c r="M236" s="47" t="s">
        <v>1404</v>
      </c>
      <c r="N236" s="47" t="s">
        <v>1738</v>
      </c>
      <c r="O236" s="48"/>
      <c r="P236" s="48"/>
      <c r="Q236" s="45"/>
      <c r="S236" s="1">
        <f t="shared" si="123"/>
        <v>0</v>
      </c>
      <c r="T236" s="1">
        <f t="shared" si="124"/>
        <v>0</v>
      </c>
      <c r="U236" s="1">
        <f t="shared" si="125"/>
        <v>0</v>
      </c>
      <c r="V236" s="1">
        <f t="shared" si="126"/>
        <v>0</v>
      </c>
      <c r="W236" s="1">
        <f t="shared" si="127"/>
        <v>0</v>
      </c>
      <c r="X236" s="1">
        <f t="shared" si="128"/>
        <v>0</v>
      </c>
      <c r="Y236" s="1">
        <f t="shared" si="129"/>
        <v>0</v>
      </c>
      <c r="Z236" s="1">
        <f t="shared" si="130"/>
        <v>0</v>
      </c>
      <c r="AA236" s="1">
        <f t="shared" si="131"/>
        <v>0</v>
      </c>
      <c r="AB236" s="1">
        <f t="shared" si="132"/>
        <v>0</v>
      </c>
      <c r="AD236" s="1">
        <f t="shared" si="133"/>
        <v>0</v>
      </c>
      <c r="AE236" s="1">
        <f t="shared" si="134"/>
        <v>0</v>
      </c>
      <c r="AF236" s="1">
        <f t="shared" si="119"/>
        <v>0</v>
      </c>
      <c r="AG236" s="1">
        <f t="shared" si="120"/>
        <v>0</v>
      </c>
      <c r="AH236" s="1">
        <f t="shared" si="121"/>
        <v>0</v>
      </c>
      <c r="AI236" s="1">
        <f t="shared" si="122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100</v>
      </c>
      <c r="E237" s="32" t="s">
        <v>167</v>
      </c>
      <c r="F237" s="32" t="s">
        <v>662</v>
      </c>
      <c r="G237" s="32" t="s">
        <v>664</v>
      </c>
      <c r="H237" s="32" t="s">
        <v>354</v>
      </c>
      <c r="I237" s="31" t="s">
        <v>447</v>
      </c>
      <c r="J237" s="31">
        <v>99</v>
      </c>
      <c r="K237" s="33" t="s">
        <v>722</v>
      </c>
      <c r="L237" s="33" t="s">
        <v>696</v>
      </c>
      <c r="M237" s="34" t="s">
        <v>707</v>
      </c>
      <c r="N237" s="34" t="s">
        <v>1749</v>
      </c>
      <c r="O237" s="35">
        <v>1</v>
      </c>
      <c r="P237" s="35"/>
      <c r="Q237" s="32"/>
      <c r="S237" s="1">
        <f t="shared" si="123"/>
        <v>0</v>
      </c>
      <c r="T237" s="1">
        <f t="shared" si="124"/>
        <v>0</v>
      </c>
      <c r="U237" s="1">
        <f t="shared" si="125"/>
        <v>0</v>
      </c>
      <c r="V237" s="1">
        <f t="shared" si="126"/>
        <v>0</v>
      </c>
      <c r="W237" s="1">
        <f t="shared" si="127"/>
        <v>0</v>
      </c>
      <c r="X237" s="1">
        <f t="shared" si="128"/>
        <v>0</v>
      </c>
      <c r="Y237" s="1">
        <f t="shared" si="129"/>
        <v>0</v>
      </c>
      <c r="Z237" s="1">
        <f t="shared" si="130"/>
        <v>0</v>
      </c>
      <c r="AA237" s="1">
        <f t="shared" si="131"/>
        <v>0</v>
      </c>
      <c r="AB237" s="1">
        <f t="shared" si="132"/>
        <v>0</v>
      </c>
      <c r="AD237" s="1">
        <f t="shared" si="133"/>
        <v>0</v>
      </c>
      <c r="AE237" s="1">
        <f t="shared" si="134"/>
        <v>1</v>
      </c>
      <c r="AF237" s="1">
        <f t="shared" si="119"/>
        <v>0</v>
      </c>
      <c r="AG237" s="1">
        <f t="shared" si="120"/>
        <v>1</v>
      </c>
      <c r="AH237" s="1">
        <f t="shared" si="121"/>
        <v>0</v>
      </c>
      <c r="AI237" s="1">
        <f t="shared" si="122"/>
        <v>1</v>
      </c>
    </row>
    <row r="238" spans="1:4094 4097:8191 8194:12288 12291:16384" ht="14.25" customHeight="1" x14ac:dyDescent="0.25">
      <c r="A238" s="38">
        <v>0</v>
      </c>
      <c r="B238" s="38">
        <v>1</v>
      </c>
      <c r="C238" s="38">
        <v>7</v>
      </c>
      <c r="D238" s="39" t="s">
        <v>86</v>
      </c>
      <c r="E238" s="39" t="s">
        <v>29</v>
      </c>
      <c r="F238" s="39" t="s">
        <v>663</v>
      </c>
      <c r="G238" s="39" t="s">
        <v>664</v>
      </c>
      <c r="H238" s="39" t="s">
        <v>354</v>
      </c>
      <c r="I238" s="38" t="s">
        <v>631</v>
      </c>
      <c r="J238" s="38">
        <v>99</v>
      </c>
      <c r="K238" s="40" t="s">
        <v>954</v>
      </c>
      <c r="L238" s="40" t="s">
        <v>693</v>
      </c>
      <c r="M238" s="41" t="s">
        <v>1405</v>
      </c>
      <c r="N238" s="42"/>
      <c r="O238" s="43"/>
      <c r="P238" s="43">
        <v>1</v>
      </c>
      <c r="Q238" s="39"/>
      <c r="S238" s="1">
        <f t="shared" si="123"/>
        <v>0</v>
      </c>
      <c r="T238" s="1">
        <f t="shared" si="124"/>
        <v>0</v>
      </c>
      <c r="U238" s="1">
        <f t="shared" si="125"/>
        <v>0</v>
      </c>
      <c r="V238" s="1">
        <f t="shared" si="126"/>
        <v>0</v>
      </c>
      <c r="W238" s="1">
        <f t="shared" si="127"/>
        <v>0</v>
      </c>
      <c r="X238" s="1">
        <f t="shared" si="128"/>
        <v>0</v>
      </c>
      <c r="Y238" s="1">
        <f t="shared" si="129"/>
        <v>0</v>
      </c>
      <c r="Z238" s="1">
        <f t="shared" si="130"/>
        <v>0</v>
      </c>
      <c r="AA238" s="1">
        <f t="shared" si="131"/>
        <v>0</v>
      </c>
      <c r="AB238" s="1">
        <f t="shared" si="132"/>
        <v>0</v>
      </c>
      <c r="AD238" s="1">
        <f t="shared" si="133"/>
        <v>0</v>
      </c>
      <c r="AE238" s="1">
        <f t="shared" si="134"/>
        <v>0</v>
      </c>
      <c r="AF238" s="1">
        <f t="shared" si="119"/>
        <v>0</v>
      </c>
      <c r="AG238" s="1">
        <f t="shared" si="120"/>
        <v>0</v>
      </c>
      <c r="AH238" s="1">
        <f t="shared" si="121"/>
        <v>1</v>
      </c>
      <c r="AI238" s="1">
        <f t="shared" si="122"/>
        <v>0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7</v>
      </c>
      <c r="D239" s="32" t="s">
        <v>650</v>
      </c>
      <c r="E239" s="32" t="s">
        <v>29</v>
      </c>
      <c r="F239" s="32" t="s">
        <v>626</v>
      </c>
      <c r="G239" s="32" t="s">
        <v>232</v>
      </c>
      <c r="H239" s="32" t="s">
        <v>354</v>
      </c>
      <c r="I239" s="31" t="s">
        <v>627</v>
      </c>
      <c r="J239" s="31">
        <v>99</v>
      </c>
      <c r="K239" s="33" t="s">
        <v>713</v>
      </c>
      <c r="L239" s="33" t="s">
        <v>696</v>
      </c>
      <c r="M239" s="34" t="s">
        <v>973</v>
      </c>
      <c r="N239" s="34" t="s">
        <v>1849</v>
      </c>
      <c r="O239" s="35">
        <v>1</v>
      </c>
      <c r="P239" s="35"/>
      <c r="Q239" s="32"/>
      <c r="S239" s="1">
        <f t="shared" si="123"/>
        <v>0</v>
      </c>
      <c r="T239" s="1">
        <f t="shared" si="124"/>
        <v>0</v>
      </c>
      <c r="U239" s="1">
        <f t="shared" si="125"/>
        <v>0</v>
      </c>
      <c r="V239" s="1">
        <f t="shared" si="126"/>
        <v>0</v>
      </c>
      <c r="W239" s="1">
        <f t="shared" si="127"/>
        <v>0</v>
      </c>
      <c r="X239" s="1">
        <f t="shared" si="128"/>
        <v>0</v>
      </c>
      <c r="Y239" s="1">
        <f t="shared" si="129"/>
        <v>0</v>
      </c>
      <c r="Z239" s="1">
        <f t="shared" si="130"/>
        <v>0</v>
      </c>
      <c r="AA239" s="1">
        <f t="shared" si="131"/>
        <v>0</v>
      </c>
      <c r="AB239" s="1">
        <f t="shared" si="132"/>
        <v>0</v>
      </c>
      <c r="AD239" s="1">
        <f t="shared" si="133"/>
        <v>0</v>
      </c>
      <c r="AE239" s="1">
        <f t="shared" si="134"/>
        <v>1</v>
      </c>
      <c r="AF239" s="1">
        <f t="shared" si="119"/>
        <v>0</v>
      </c>
      <c r="AG239" s="1">
        <f t="shared" si="120"/>
        <v>1</v>
      </c>
      <c r="AH239" s="1">
        <f t="shared" si="121"/>
        <v>0</v>
      </c>
      <c r="AI239" s="1">
        <f t="shared" si="122"/>
        <v>1</v>
      </c>
    </row>
    <row r="240" spans="1:4094 4097:8191 8194:12288 12291:16384" ht="14.25" customHeight="1" x14ac:dyDescent="0.25">
      <c r="A240" s="15">
        <v>0</v>
      </c>
      <c r="B240" s="15">
        <v>1</v>
      </c>
      <c r="C240" s="15">
        <v>7</v>
      </c>
      <c r="D240" s="16" t="s">
        <v>983</v>
      </c>
      <c r="E240" s="16" t="s">
        <v>29</v>
      </c>
      <c r="F240" s="16" t="s">
        <v>984</v>
      </c>
      <c r="G240" s="16" t="s">
        <v>985</v>
      </c>
      <c r="H240" s="16" t="s">
        <v>354</v>
      </c>
      <c r="I240" s="15" t="s">
        <v>982</v>
      </c>
      <c r="J240" s="15">
        <v>99</v>
      </c>
      <c r="K240" s="10" t="s">
        <v>703</v>
      </c>
      <c r="L240" s="10">
        <v>20</v>
      </c>
      <c r="M240" s="19" t="s">
        <v>973</v>
      </c>
      <c r="N240" s="19"/>
      <c r="Q240" s="16"/>
      <c r="S240" s="1">
        <f t="shared" si="123"/>
        <v>0</v>
      </c>
      <c r="T240" s="1">
        <f t="shared" si="124"/>
        <v>0</v>
      </c>
      <c r="U240" s="1">
        <f t="shared" si="125"/>
        <v>0</v>
      </c>
      <c r="V240" s="1">
        <f t="shared" si="126"/>
        <v>0</v>
      </c>
      <c r="W240" s="1">
        <f t="shared" si="127"/>
        <v>0</v>
      </c>
      <c r="X240" s="1">
        <f t="shared" si="128"/>
        <v>0</v>
      </c>
      <c r="Y240" s="1">
        <f t="shared" si="129"/>
        <v>0</v>
      </c>
      <c r="Z240" s="1">
        <f t="shared" si="130"/>
        <v>0</v>
      </c>
      <c r="AA240" s="1">
        <f t="shared" si="131"/>
        <v>0</v>
      </c>
      <c r="AB240" s="1">
        <f t="shared" si="132"/>
        <v>0</v>
      </c>
      <c r="AD240" s="1">
        <f t="shared" si="133"/>
        <v>0</v>
      </c>
      <c r="AE240" s="1">
        <f t="shared" si="134"/>
        <v>0</v>
      </c>
      <c r="AF240" s="1">
        <f t="shared" si="119"/>
        <v>0</v>
      </c>
      <c r="AG240" s="1">
        <f t="shared" si="120"/>
        <v>0</v>
      </c>
      <c r="AH240" s="1">
        <f t="shared" si="121"/>
        <v>0</v>
      </c>
      <c r="AI240" s="1">
        <f t="shared" si="122"/>
        <v>1</v>
      </c>
    </row>
    <row r="241" spans="1:35" ht="14.25" customHeight="1" x14ac:dyDescent="0.25">
      <c r="A241" s="38">
        <v>0</v>
      </c>
      <c r="B241" s="38">
        <v>1</v>
      </c>
      <c r="C241" s="38">
        <v>7</v>
      </c>
      <c r="D241" s="39" t="s">
        <v>591</v>
      </c>
      <c r="E241" s="39" t="s">
        <v>29</v>
      </c>
      <c r="F241" s="39" t="s">
        <v>592</v>
      </c>
      <c r="G241" s="39" t="s">
        <v>1073</v>
      </c>
      <c r="H241" s="39" t="s">
        <v>354</v>
      </c>
      <c r="I241" s="38" t="s">
        <v>593</v>
      </c>
      <c r="J241" s="38">
        <v>99</v>
      </c>
      <c r="K241" s="40" t="s">
        <v>703</v>
      </c>
      <c r="L241" s="40">
        <v>35</v>
      </c>
      <c r="M241" s="41" t="s">
        <v>1405</v>
      </c>
      <c r="N241" s="41"/>
      <c r="O241" s="43"/>
      <c r="P241" s="43">
        <v>1</v>
      </c>
      <c r="Q241" s="39"/>
      <c r="S241" s="1">
        <f t="shared" si="123"/>
        <v>0</v>
      </c>
      <c r="T241" s="1">
        <f t="shared" si="124"/>
        <v>0</v>
      </c>
      <c r="U241" s="1">
        <f t="shared" si="125"/>
        <v>0</v>
      </c>
      <c r="V241" s="1">
        <f t="shared" si="126"/>
        <v>0</v>
      </c>
      <c r="W241" s="1">
        <f t="shared" si="127"/>
        <v>0</v>
      </c>
      <c r="X241" s="1">
        <f t="shared" si="128"/>
        <v>0</v>
      </c>
      <c r="Y241" s="1">
        <f t="shared" si="129"/>
        <v>0</v>
      </c>
      <c r="Z241" s="1">
        <f t="shared" si="130"/>
        <v>0</v>
      </c>
      <c r="AA241" s="1">
        <f t="shared" si="131"/>
        <v>0</v>
      </c>
      <c r="AB241" s="1">
        <f t="shared" si="132"/>
        <v>0</v>
      </c>
      <c r="AD241" s="1">
        <f t="shared" si="133"/>
        <v>0</v>
      </c>
      <c r="AE241" s="1">
        <f t="shared" si="134"/>
        <v>0</v>
      </c>
      <c r="AF241" s="1">
        <f t="shared" si="119"/>
        <v>0</v>
      </c>
      <c r="AG241" s="1">
        <f t="shared" si="120"/>
        <v>0</v>
      </c>
      <c r="AH241" s="1">
        <f t="shared" si="121"/>
        <v>1</v>
      </c>
      <c r="AI241" s="1">
        <f t="shared" si="122"/>
        <v>0</v>
      </c>
    </row>
    <row r="242" spans="1:35" ht="14.25" customHeight="1" x14ac:dyDescent="0.25">
      <c r="A242" s="31">
        <v>0</v>
      </c>
      <c r="B242" s="31">
        <v>1</v>
      </c>
      <c r="C242" s="31">
        <v>7</v>
      </c>
      <c r="D242" s="32" t="s">
        <v>1627</v>
      </c>
      <c r="E242" s="32" t="s">
        <v>29</v>
      </c>
      <c r="F242" s="32" t="s">
        <v>1682</v>
      </c>
      <c r="G242" s="32" t="s">
        <v>312</v>
      </c>
      <c r="H242" s="32" t="s">
        <v>354</v>
      </c>
      <c r="I242" s="31" t="s">
        <v>1628</v>
      </c>
      <c r="J242" s="31"/>
      <c r="K242" s="33" t="s">
        <v>713</v>
      </c>
      <c r="L242" s="33">
        <v>45</v>
      </c>
      <c r="M242" s="34" t="s">
        <v>1800</v>
      </c>
      <c r="N242" s="34" t="s">
        <v>1733</v>
      </c>
      <c r="O242" s="35">
        <v>1</v>
      </c>
      <c r="P242" s="35">
        <v>1</v>
      </c>
      <c r="Q242" s="32"/>
      <c r="S242" s="1">
        <f t="shared" si="123"/>
        <v>0</v>
      </c>
      <c r="T242" s="1">
        <f t="shared" si="124"/>
        <v>0</v>
      </c>
      <c r="U242" s="1">
        <f t="shared" si="125"/>
        <v>0</v>
      </c>
      <c r="V242" s="1">
        <f t="shared" si="126"/>
        <v>0</v>
      </c>
      <c r="W242" s="1">
        <f t="shared" si="127"/>
        <v>0</v>
      </c>
      <c r="X242" s="1">
        <f t="shared" si="128"/>
        <v>0</v>
      </c>
      <c r="Y242" s="1">
        <f t="shared" si="129"/>
        <v>0</v>
      </c>
      <c r="Z242" s="1">
        <f t="shared" si="130"/>
        <v>0</v>
      </c>
      <c r="AA242" s="1">
        <f t="shared" si="131"/>
        <v>0</v>
      </c>
      <c r="AB242" s="1">
        <f t="shared" si="132"/>
        <v>0</v>
      </c>
      <c r="AD242" s="1">
        <f t="shared" si="133"/>
        <v>1</v>
      </c>
      <c r="AE242" s="1">
        <f t="shared" si="134"/>
        <v>0</v>
      </c>
      <c r="AF242" s="1">
        <f t="shared" si="119"/>
        <v>1</v>
      </c>
      <c r="AG242" s="1">
        <f t="shared" si="120"/>
        <v>0</v>
      </c>
      <c r="AH242" s="1">
        <f t="shared" si="121"/>
        <v>1</v>
      </c>
      <c r="AI242" s="1">
        <f t="shared" si="122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859</v>
      </c>
      <c r="E243" s="32" t="s">
        <v>29</v>
      </c>
      <c r="F243" s="32" t="s">
        <v>860</v>
      </c>
      <c r="G243" s="32" t="s">
        <v>202</v>
      </c>
      <c r="H243" s="32" t="s">
        <v>354</v>
      </c>
      <c r="I243" s="31" t="s">
        <v>861</v>
      </c>
      <c r="J243" s="31">
        <v>10</v>
      </c>
      <c r="K243" s="33" t="s">
        <v>713</v>
      </c>
      <c r="L243" s="33" t="s">
        <v>693</v>
      </c>
      <c r="M243" s="34" t="s">
        <v>1405</v>
      </c>
      <c r="N243" s="34" t="s">
        <v>1755</v>
      </c>
      <c r="O243" s="35">
        <v>1</v>
      </c>
      <c r="P243" s="35"/>
      <c r="Q243" s="32"/>
      <c r="S243" s="1">
        <f t="shared" si="123"/>
        <v>0</v>
      </c>
      <c r="T243" s="1">
        <f t="shared" si="124"/>
        <v>0</v>
      </c>
      <c r="U243" s="1">
        <f t="shared" si="125"/>
        <v>0</v>
      </c>
      <c r="V243" s="1">
        <f t="shared" si="126"/>
        <v>0</v>
      </c>
      <c r="W243" s="1">
        <f t="shared" si="127"/>
        <v>0</v>
      </c>
      <c r="X243" s="1">
        <f t="shared" si="128"/>
        <v>0</v>
      </c>
      <c r="Y243" s="1">
        <f t="shared" si="129"/>
        <v>0</v>
      </c>
      <c r="Z243" s="1">
        <f t="shared" si="130"/>
        <v>0</v>
      </c>
      <c r="AA243" s="1">
        <f t="shared" si="131"/>
        <v>0</v>
      </c>
      <c r="AB243" s="1">
        <f t="shared" si="132"/>
        <v>1</v>
      </c>
      <c r="AD243" s="1">
        <f t="shared" si="133"/>
        <v>0</v>
      </c>
      <c r="AE243" s="1">
        <f t="shared" si="134"/>
        <v>1</v>
      </c>
      <c r="AF243" s="1">
        <f t="shared" si="119"/>
        <v>0</v>
      </c>
      <c r="AG243" s="1">
        <f t="shared" si="120"/>
        <v>1</v>
      </c>
      <c r="AH243" s="1">
        <f t="shared" si="121"/>
        <v>0</v>
      </c>
      <c r="AI243" s="1">
        <f t="shared" si="122"/>
        <v>1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40</v>
      </c>
      <c r="E244" s="32" t="s">
        <v>29</v>
      </c>
      <c r="F244" s="32" t="s">
        <v>280</v>
      </c>
      <c r="G244" s="32" t="s">
        <v>230</v>
      </c>
      <c r="H244" s="32" t="s">
        <v>354</v>
      </c>
      <c r="I244" s="31" t="s">
        <v>435</v>
      </c>
      <c r="J244" s="31">
        <v>7</v>
      </c>
      <c r="K244" s="33" t="s">
        <v>713</v>
      </c>
      <c r="L244" s="33" t="s">
        <v>696</v>
      </c>
      <c r="M244" s="34" t="s">
        <v>973</v>
      </c>
      <c r="N244" s="34" t="s">
        <v>1727</v>
      </c>
      <c r="O244" s="35">
        <v>1</v>
      </c>
      <c r="P244" s="35">
        <v>1</v>
      </c>
      <c r="Q244" s="32"/>
      <c r="S244" s="1">
        <f t="shared" si="123"/>
        <v>0</v>
      </c>
      <c r="T244" s="1">
        <f t="shared" si="124"/>
        <v>0</v>
      </c>
      <c r="U244" s="1">
        <f t="shared" si="125"/>
        <v>0</v>
      </c>
      <c r="V244" s="1">
        <f t="shared" si="126"/>
        <v>0</v>
      </c>
      <c r="W244" s="1">
        <f t="shared" si="127"/>
        <v>0</v>
      </c>
      <c r="X244" s="1">
        <f t="shared" si="128"/>
        <v>0</v>
      </c>
      <c r="Y244" s="1">
        <f t="shared" si="129"/>
        <v>1</v>
      </c>
      <c r="Z244" s="1">
        <f t="shared" si="130"/>
        <v>0</v>
      </c>
      <c r="AA244" s="1">
        <f t="shared" si="131"/>
        <v>0</v>
      </c>
      <c r="AB244" s="1">
        <f t="shared" si="132"/>
        <v>0</v>
      </c>
      <c r="AD244" s="1">
        <f t="shared" si="133"/>
        <v>1</v>
      </c>
      <c r="AE244" s="1">
        <f t="shared" si="134"/>
        <v>0</v>
      </c>
      <c r="AF244" s="1">
        <f t="shared" si="119"/>
        <v>1</v>
      </c>
      <c r="AG244" s="1">
        <f t="shared" si="120"/>
        <v>0</v>
      </c>
      <c r="AH244" s="1">
        <f t="shared" si="121"/>
        <v>1</v>
      </c>
      <c r="AI244" s="1">
        <f t="shared" si="122"/>
        <v>0</v>
      </c>
    </row>
    <row r="245" spans="1:35" ht="14.25" customHeight="1" x14ac:dyDescent="0.25">
      <c r="A245" s="31">
        <v>1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1601</v>
      </c>
      <c r="G245" s="32" t="s">
        <v>39</v>
      </c>
      <c r="H245" s="32" t="s">
        <v>354</v>
      </c>
      <c r="I245" s="31" t="s">
        <v>1602</v>
      </c>
      <c r="J245" s="31">
        <v>99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23"/>
        <v>0</v>
      </c>
      <c r="T245" s="1">
        <f t="shared" si="124"/>
        <v>0</v>
      </c>
      <c r="U245" s="1">
        <f t="shared" si="125"/>
        <v>0</v>
      </c>
      <c r="V245" s="1">
        <f t="shared" si="126"/>
        <v>0</v>
      </c>
      <c r="W245" s="1">
        <f t="shared" si="127"/>
        <v>0</v>
      </c>
      <c r="X245" s="1">
        <f t="shared" si="128"/>
        <v>0</v>
      </c>
      <c r="Y245" s="1">
        <f t="shared" si="129"/>
        <v>0</v>
      </c>
      <c r="Z245" s="1">
        <f t="shared" si="130"/>
        <v>0</v>
      </c>
      <c r="AA245" s="1">
        <f t="shared" si="131"/>
        <v>0</v>
      </c>
      <c r="AB245" s="1">
        <f t="shared" si="132"/>
        <v>0</v>
      </c>
      <c r="AD245" s="1">
        <f t="shared" si="133"/>
        <v>1</v>
      </c>
      <c r="AE245" s="1">
        <f t="shared" si="134"/>
        <v>0</v>
      </c>
      <c r="AF245" s="1">
        <f t="shared" si="119"/>
        <v>0</v>
      </c>
      <c r="AG245" s="1">
        <f t="shared" si="120"/>
        <v>0</v>
      </c>
      <c r="AH245" s="1">
        <f t="shared" si="121"/>
        <v>0</v>
      </c>
      <c r="AI245" s="1">
        <f t="shared" si="122"/>
        <v>0</v>
      </c>
    </row>
    <row r="246" spans="1:35" ht="14.25" customHeight="1" x14ac:dyDescent="0.25">
      <c r="A246" s="49">
        <v>0</v>
      </c>
      <c r="B246" s="49">
        <v>1</v>
      </c>
      <c r="C246" s="49">
        <v>7</v>
      </c>
      <c r="D246" s="55" t="s">
        <v>1484</v>
      </c>
      <c r="E246" s="50" t="s">
        <v>29</v>
      </c>
      <c r="F246" s="55" t="s">
        <v>1004</v>
      </c>
      <c r="G246" s="55" t="s">
        <v>1102</v>
      </c>
      <c r="H246" s="55" t="s">
        <v>354</v>
      </c>
      <c r="I246" s="63" t="s">
        <v>1110</v>
      </c>
      <c r="J246" s="49">
        <v>10</v>
      </c>
      <c r="K246" s="51" t="s">
        <v>713</v>
      </c>
      <c r="L246" s="51" t="s">
        <v>694</v>
      </c>
      <c r="M246" s="52" t="s">
        <v>973</v>
      </c>
      <c r="N246" s="52" t="s">
        <v>1743</v>
      </c>
      <c r="O246" s="53">
        <v>1</v>
      </c>
      <c r="P246" s="53"/>
      <c r="Q246" s="55"/>
      <c r="S246" s="1">
        <f t="shared" si="123"/>
        <v>0</v>
      </c>
      <c r="T246" s="1">
        <f t="shared" si="124"/>
        <v>0</v>
      </c>
      <c r="U246" s="1">
        <f t="shared" si="125"/>
        <v>0</v>
      </c>
      <c r="V246" s="1">
        <f t="shared" si="126"/>
        <v>0</v>
      </c>
      <c r="W246" s="1">
        <f t="shared" si="127"/>
        <v>0</v>
      </c>
      <c r="X246" s="1">
        <f t="shared" si="128"/>
        <v>0</v>
      </c>
      <c r="Y246" s="1">
        <f t="shared" si="129"/>
        <v>0</v>
      </c>
      <c r="Z246" s="1">
        <f t="shared" si="130"/>
        <v>0</v>
      </c>
      <c r="AA246" s="1">
        <f t="shared" si="131"/>
        <v>0</v>
      </c>
      <c r="AB246" s="1">
        <f t="shared" si="132"/>
        <v>1</v>
      </c>
      <c r="AD246" s="1">
        <f t="shared" si="133"/>
        <v>0</v>
      </c>
      <c r="AE246" s="1">
        <f t="shared" si="134"/>
        <v>1</v>
      </c>
      <c r="AF246" s="1">
        <f t="shared" si="119"/>
        <v>0</v>
      </c>
      <c r="AG246" s="1">
        <f t="shared" si="120"/>
        <v>1</v>
      </c>
      <c r="AH246" s="1">
        <f t="shared" si="121"/>
        <v>0</v>
      </c>
      <c r="AI246" s="1">
        <f t="shared" si="122"/>
        <v>1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6" t="s">
        <v>1485</v>
      </c>
      <c r="E247" s="32" t="s">
        <v>29</v>
      </c>
      <c r="F247" s="36" t="s">
        <v>1002</v>
      </c>
      <c r="G247" s="36" t="s">
        <v>240</v>
      </c>
      <c r="H247" s="36" t="s">
        <v>354</v>
      </c>
      <c r="I247" s="37" t="s">
        <v>1003</v>
      </c>
      <c r="J247" s="31">
        <v>1</v>
      </c>
      <c r="K247" s="33" t="s">
        <v>961</v>
      </c>
      <c r="L247" s="33" t="s">
        <v>694</v>
      </c>
      <c r="M247" s="34" t="s">
        <v>973</v>
      </c>
      <c r="N247" s="34" t="s">
        <v>1801</v>
      </c>
      <c r="O247" s="35">
        <v>1</v>
      </c>
      <c r="P247" s="35"/>
      <c r="Q247" s="36"/>
      <c r="S247" s="1">
        <f t="shared" si="123"/>
        <v>1</v>
      </c>
      <c r="T247" s="1">
        <f t="shared" si="124"/>
        <v>0</v>
      </c>
      <c r="U247" s="1">
        <f t="shared" si="125"/>
        <v>0</v>
      </c>
      <c r="V247" s="1">
        <f t="shared" si="126"/>
        <v>0</v>
      </c>
      <c r="W247" s="1">
        <f t="shared" si="127"/>
        <v>0</v>
      </c>
      <c r="X247" s="1">
        <f t="shared" si="128"/>
        <v>0</v>
      </c>
      <c r="Y247" s="1">
        <f t="shared" si="129"/>
        <v>0</v>
      </c>
      <c r="Z247" s="1">
        <f t="shared" si="130"/>
        <v>0</v>
      </c>
      <c r="AA247" s="1">
        <f t="shared" si="131"/>
        <v>0</v>
      </c>
      <c r="AB247" s="1">
        <f t="shared" si="132"/>
        <v>0</v>
      </c>
      <c r="AD247" s="1">
        <f t="shared" si="133"/>
        <v>0</v>
      </c>
      <c r="AE247" s="1">
        <f t="shared" si="134"/>
        <v>1</v>
      </c>
      <c r="AF247" s="1">
        <f t="shared" si="119"/>
        <v>0</v>
      </c>
      <c r="AG247" s="1">
        <f t="shared" si="120"/>
        <v>1</v>
      </c>
      <c r="AH247" s="1">
        <f t="shared" si="121"/>
        <v>0</v>
      </c>
      <c r="AI247" s="1">
        <f t="shared" si="122"/>
        <v>1</v>
      </c>
    </row>
    <row r="248" spans="1:35" ht="14.25" customHeight="1" x14ac:dyDescent="0.25">
      <c r="A248" s="44">
        <v>0</v>
      </c>
      <c r="B248" s="44">
        <v>1</v>
      </c>
      <c r="C248" s="44">
        <v>7</v>
      </c>
      <c r="D248" s="45" t="s">
        <v>898</v>
      </c>
      <c r="E248" s="45" t="s">
        <v>29</v>
      </c>
      <c r="F248" s="45" t="s">
        <v>899</v>
      </c>
      <c r="G248" s="45" t="s">
        <v>39</v>
      </c>
      <c r="H248" s="45" t="s">
        <v>355</v>
      </c>
      <c r="I248" s="44" t="s">
        <v>900</v>
      </c>
      <c r="J248" s="44">
        <v>11</v>
      </c>
      <c r="K248" s="46" t="s">
        <v>703</v>
      </c>
      <c r="L248" s="46">
        <v>35</v>
      </c>
      <c r="M248" s="47" t="s">
        <v>1405</v>
      </c>
      <c r="N248" s="47" t="s">
        <v>1747</v>
      </c>
      <c r="O248" s="48"/>
      <c r="P248" s="48"/>
      <c r="Q248" s="65" t="s">
        <v>1903</v>
      </c>
      <c r="S248" s="1">
        <f t="shared" si="123"/>
        <v>0</v>
      </c>
      <c r="T248" s="1">
        <f t="shared" si="124"/>
        <v>0</v>
      </c>
      <c r="U248" s="1">
        <f t="shared" si="125"/>
        <v>0</v>
      </c>
      <c r="V248" s="1">
        <f t="shared" si="126"/>
        <v>0</v>
      </c>
      <c r="W248" s="1">
        <f t="shared" si="127"/>
        <v>0</v>
      </c>
      <c r="X248" s="1">
        <f t="shared" si="128"/>
        <v>0</v>
      </c>
      <c r="Y248" s="1">
        <f t="shared" si="129"/>
        <v>0</v>
      </c>
      <c r="Z248" s="1">
        <f t="shared" si="130"/>
        <v>0</v>
      </c>
      <c r="AA248" s="1">
        <f t="shared" si="131"/>
        <v>0</v>
      </c>
      <c r="AB248" s="1">
        <f t="shared" si="132"/>
        <v>0</v>
      </c>
      <c r="AD248" s="1">
        <f t="shared" si="133"/>
        <v>0</v>
      </c>
      <c r="AE248" s="1">
        <f t="shared" si="134"/>
        <v>0</v>
      </c>
      <c r="AF248" s="1">
        <f t="shared" si="119"/>
        <v>0</v>
      </c>
      <c r="AG248" s="1">
        <f t="shared" si="120"/>
        <v>0</v>
      </c>
      <c r="AH248" s="1">
        <f t="shared" si="121"/>
        <v>0</v>
      </c>
      <c r="AI248" s="1">
        <f t="shared" si="122"/>
        <v>1</v>
      </c>
    </row>
    <row r="249" spans="1:35" ht="14.25" customHeight="1" x14ac:dyDescent="0.25">
      <c r="A249" s="31">
        <v>0</v>
      </c>
      <c r="B249" s="31">
        <v>1</v>
      </c>
      <c r="C249" s="31">
        <v>7</v>
      </c>
      <c r="D249" s="36" t="s">
        <v>1084</v>
      </c>
      <c r="E249" s="32" t="s">
        <v>29</v>
      </c>
      <c r="F249" s="36" t="s">
        <v>986</v>
      </c>
      <c r="G249" s="36" t="s">
        <v>203</v>
      </c>
      <c r="H249" s="36" t="s">
        <v>354</v>
      </c>
      <c r="I249" s="37" t="s">
        <v>987</v>
      </c>
      <c r="J249" s="31">
        <v>99</v>
      </c>
      <c r="K249" s="33" t="s">
        <v>713</v>
      </c>
      <c r="L249" s="33" t="s">
        <v>694</v>
      </c>
      <c r="M249" s="34" t="s">
        <v>1442</v>
      </c>
      <c r="N249" s="34" t="s">
        <v>1727</v>
      </c>
      <c r="O249" s="35">
        <v>1</v>
      </c>
      <c r="P249" s="35">
        <v>1</v>
      </c>
      <c r="Q249" s="36"/>
      <c r="S249" s="1">
        <f t="shared" si="123"/>
        <v>0</v>
      </c>
      <c r="T249" s="1">
        <f t="shared" si="124"/>
        <v>0</v>
      </c>
      <c r="U249" s="1">
        <f t="shared" si="125"/>
        <v>0</v>
      </c>
      <c r="V249" s="1">
        <f t="shared" si="126"/>
        <v>0</v>
      </c>
      <c r="W249" s="1">
        <f t="shared" si="127"/>
        <v>0</v>
      </c>
      <c r="X249" s="1">
        <f t="shared" si="128"/>
        <v>0</v>
      </c>
      <c r="Y249" s="1">
        <f t="shared" si="129"/>
        <v>0</v>
      </c>
      <c r="Z249" s="1">
        <f t="shared" si="130"/>
        <v>0</v>
      </c>
      <c r="AA249" s="1">
        <f t="shared" si="131"/>
        <v>0</v>
      </c>
      <c r="AB249" s="1">
        <f t="shared" si="132"/>
        <v>0</v>
      </c>
      <c r="AD249" s="1">
        <f t="shared" si="133"/>
        <v>1</v>
      </c>
      <c r="AE249" s="1">
        <f t="shared" si="134"/>
        <v>0</v>
      </c>
      <c r="AF249" s="1">
        <f t="shared" si="119"/>
        <v>1</v>
      </c>
      <c r="AG249" s="1">
        <f t="shared" si="120"/>
        <v>0</v>
      </c>
      <c r="AH249" s="1">
        <f t="shared" si="121"/>
        <v>1</v>
      </c>
      <c r="AI249" s="1">
        <f t="shared" si="122"/>
        <v>0</v>
      </c>
    </row>
    <row r="250" spans="1:35" ht="14.25" customHeight="1" x14ac:dyDescent="0.25">
      <c r="A250" s="15">
        <v>0</v>
      </c>
      <c r="B250" s="15">
        <v>1</v>
      </c>
      <c r="C250" s="15">
        <v>7</v>
      </c>
      <c r="D250" s="16" t="s">
        <v>751</v>
      </c>
      <c r="E250" s="16" t="s">
        <v>29</v>
      </c>
      <c r="F250" s="16" t="s">
        <v>752</v>
      </c>
      <c r="G250" s="16" t="s">
        <v>753</v>
      </c>
      <c r="H250" s="16" t="s">
        <v>354</v>
      </c>
      <c r="I250" s="15" t="s">
        <v>754</v>
      </c>
      <c r="J250" s="15">
        <v>99</v>
      </c>
      <c r="K250" s="10" t="s">
        <v>703</v>
      </c>
      <c r="L250" s="10">
        <v>20</v>
      </c>
      <c r="M250" s="19" t="s">
        <v>1120</v>
      </c>
      <c r="N250" s="17"/>
      <c r="Q250" s="16"/>
      <c r="S250" s="1">
        <f t="shared" si="123"/>
        <v>0</v>
      </c>
      <c r="T250" s="1">
        <f t="shared" si="124"/>
        <v>0</v>
      </c>
      <c r="U250" s="1">
        <f t="shared" si="125"/>
        <v>0</v>
      </c>
      <c r="V250" s="1">
        <f t="shared" si="126"/>
        <v>0</v>
      </c>
      <c r="W250" s="1">
        <f t="shared" si="127"/>
        <v>0</v>
      </c>
      <c r="X250" s="1">
        <f t="shared" si="128"/>
        <v>0</v>
      </c>
      <c r="Y250" s="1">
        <f t="shared" si="129"/>
        <v>0</v>
      </c>
      <c r="Z250" s="1">
        <f t="shared" si="130"/>
        <v>0</v>
      </c>
      <c r="AA250" s="1">
        <f t="shared" si="131"/>
        <v>0</v>
      </c>
      <c r="AB250" s="1">
        <f t="shared" si="132"/>
        <v>0</v>
      </c>
      <c r="AD250" s="1">
        <f t="shared" si="133"/>
        <v>0</v>
      </c>
      <c r="AE250" s="1">
        <f t="shared" si="134"/>
        <v>0</v>
      </c>
      <c r="AF250" s="1">
        <f t="shared" si="119"/>
        <v>0</v>
      </c>
      <c r="AG250" s="1">
        <f t="shared" si="120"/>
        <v>0</v>
      </c>
      <c r="AH250" s="1">
        <f t="shared" si="121"/>
        <v>0</v>
      </c>
      <c r="AI250" s="1">
        <f t="shared" si="122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6" t="s">
        <v>828</v>
      </c>
      <c r="E251" s="32" t="s">
        <v>29</v>
      </c>
      <c r="F251" s="36" t="s">
        <v>829</v>
      </c>
      <c r="G251" s="36" t="s">
        <v>928</v>
      </c>
      <c r="H251" s="36" t="s">
        <v>354</v>
      </c>
      <c r="I251" s="37" t="s">
        <v>830</v>
      </c>
      <c r="J251" s="31">
        <v>99</v>
      </c>
      <c r="K251" s="33" t="s">
        <v>955</v>
      </c>
      <c r="L251" s="33" t="s">
        <v>694</v>
      </c>
      <c r="M251" s="34" t="s">
        <v>973</v>
      </c>
      <c r="N251" s="34" t="s">
        <v>1825</v>
      </c>
      <c r="O251" s="35">
        <v>1</v>
      </c>
      <c r="P251" s="35"/>
      <c r="Q251" s="36"/>
      <c r="S251" s="1">
        <f t="shared" si="123"/>
        <v>0</v>
      </c>
      <c r="T251" s="1">
        <f t="shared" si="124"/>
        <v>0</v>
      </c>
      <c r="U251" s="1">
        <f t="shared" si="125"/>
        <v>0</v>
      </c>
      <c r="V251" s="1">
        <f t="shared" si="126"/>
        <v>0</v>
      </c>
      <c r="W251" s="1">
        <f t="shared" si="127"/>
        <v>0</v>
      </c>
      <c r="X251" s="1">
        <f t="shared" si="128"/>
        <v>0</v>
      </c>
      <c r="Y251" s="1">
        <f t="shared" si="129"/>
        <v>0</v>
      </c>
      <c r="Z251" s="1">
        <f t="shared" si="130"/>
        <v>0</v>
      </c>
      <c r="AA251" s="1">
        <f t="shared" si="131"/>
        <v>0</v>
      </c>
      <c r="AB251" s="1">
        <f t="shared" si="132"/>
        <v>0</v>
      </c>
      <c r="AD251" s="1">
        <f t="shared" si="133"/>
        <v>0</v>
      </c>
      <c r="AE251" s="1">
        <f t="shared" si="134"/>
        <v>1</v>
      </c>
      <c r="AF251" s="1">
        <f t="shared" si="119"/>
        <v>0</v>
      </c>
      <c r="AG251" s="1">
        <f t="shared" si="120"/>
        <v>1</v>
      </c>
      <c r="AH251" s="1">
        <f t="shared" si="121"/>
        <v>0</v>
      </c>
      <c r="AI251" s="1">
        <f t="shared" si="122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1720</v>
      </c>
      <c r="E252" s="32" t="s">
        <v>29</v>
      </c>
      <c r="F252" s="36" t="s">
        <v>1721</v>
      </c>
      <c r="G252" s="36" t="s">
        <v>249</v>
      </c>
      <c r="H252" s="36" t="s">
        <v>354</v>
      </c>
      <c r="I252" s="37" t="s">
        <v>1722</v>
      </c>
      <c r="J252" s="31"/>
      <c r="K252" s="33" t="s">
        <v>703</v>
      </c>
      <c r="L252" s="33"/>
      <c r="M252" s="34"/>
      <c r="N252" s="34" t="s">
        <v>1727</v>
      </c>
      <c r="O252" s="35">
        <v>1</v>
      </c>
      <c r="P252" s="35">
        <v>1</v>
      </c>
      <c r="Q252" s="36"/>
      <c r="S252" s="1">
        <f t="shared" si="123"/>
        <v>0</v>
      </c>
      <c r="T252" s="1">
        <f t="shared" si="124"/>
        <v>0</v>
      </c>
      <c r="U252" s="1">
        <f t="shared" si="125"/>
        <v>0</v>
      </c>
      <c r="V252" s="1">
        <f t="shared" si="126"/>
        <v>0</v>
      </c>
      <c r="W252" s="1">
        <f t="shared" si="127"/>
        <v>0</v>
      </c>
      <c r="X252" s="1">
        <f t="shared" si="128"/>
        <v>0</v>
      </c>
      <c r="Y252" s="1">
        <f t="shared" si="129"/>
        <v>0</v>
      </c>
      <c r="Z252" s="1">
        <f t="shared" si="130"/>
        <v>0</v>
      </c>
      <c r="AA252" s="1">
        <f t="shared" si="131"/>
        <v>0</v>
      </c>
      <c r="AB252" s="1">
        <f t="shared" si="132"/>
        <v>0</v>
      </c>
      <c r="AD252" s="1">
        <f t="shared" si="133"/>
        <v>1</v>
      </c>
      <c r="AE252" s="1">
        <f t="shared" si="134"/>
        <v>0</v>
      </c>
      <c r="AF252" s="1">
        <f t="shared" si="119"/>
        <v>1</v>
      </c>
      <c r="AG252" s="1">
        <f t="shared" si="120"/>
        <v>0</v>
      </c>
      <c r="AH252" s="1">
        <f t="shared" si="121"/>
        <v>1</v>
      </c>
      <c r="AI252" s="1">
        <f t="shared" si="122"/>
        <v>0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2" t="s">
        <v>901</v>
      </c>
      <c r="E253" s="32" t="s">
        <v>29</v>
      </c>
      <c r="F253" s="32" t="s">
        <v>902</v>
      </c>
      <c r="G253" s="32" t="s">
        <v>228</v>
      </c>
      <c r="H253" s="32" t="s">
        <v>354</v>
      </c>
      <c r="I253" s="31" t="s">
        <v>903</v>
      </c>
      <c r="J253" s="31">
        <v>99</v>
      </c>
      <c r="K253" s="33" t="s">
        <v>713</v>
      </c>
      <c r="L253" s="33" t="s">
        <v>694</v>
      </c>
      <c r="M253" s="34" t="s">
        <v>1406</v>
      </c>
      <c r="N253" s="34" t="s">
        <v>1748</v>
      </c>
      <c r="O253" s="35">
        <v>1</v>
      </c>
      <c r="P253" s="35"/>
      <c r="Q253" s="32"/>
      <c r="S253" s="1">
        <f t="shared" si="123"/>
        <v>0</v>
      </c>
      <c r="T253" s="1">
        <f t="shared" si="124"/>
        <v>0</v>
      </c>
      <c r="U253" s="1">
        <f t="shared" si="125"/>
        <v>0</v>
      </c>
      <c r="V253" s="1">
        <f t="shared" si="126"/>
        <v>0</v>
      </c>
      <c r="W253" s="1">
        <f t="shared" si="127"/>
        <v>0</v>
      </c>
      <c r="X253" s="1">
        <f t="shared" si="128"/>
        <v>0</v>
      </c>
      <c r="Y253" s="1">
        <f t="shared" si="129"/>
        <v>0</v>
      </c>
      <c r="Z253" s="1">
        <f t="shared" si="130"/>
        <v>0</v>
      </c>
      <c r="AA253" s="1">
        <f t="shared" si="131"/>
        <v>0</v>
      </c>
      <c r="AB253" s="1">
        <f t="shared" si="132"/>
        <v>0</v>
      </c>
      <c r="AD253" s="1">
        <f t="shared" si="133"/>
        <v>0</v>
      </c>
      <c r="AE253" s="1">
        <f t="shared" si="134"/>
        <v>1</v>
      </c>
      <c r="AF253" s="1">
        <f t="shared" si="119"/>
        <v>0</v>
      </c>
      <c r="AG253" s="1">
        <f t="shared" si="120"/>
        <v>1</v>
      </c>
      <c r="AH253" s="1">
        <f t="shared" si="121"/>
        <v>0</v>
      </c>
      <c r="AI253" s="1">
        <f t="shared" si="122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88</v>
      </c>
      <c r="E254" s="32" t="s">
        <v>29</v>
      </c>
      <c r="F254" s="32" t="s">
        <v>281</v>
      </c>
      <c r="G254" s="32" t="s">
        <v>238</v>
      </c>
      <c r="H254" s="32" t="s">
        <v>354</v>
      </c>
      <c r="I254" s="31" t="s">
        <v>437</v>
      </c>
      <c r="J254" s="31">
        <v>4</v>
      </c>
      <c r="K254" s="33" t="s">
        <v>954</v>
      </c>
      <c r="L254" s="33" t="s">
        <v>39</v>
      </c>
      <c r="M254" s="34" t="s">
        <v>39</v>
      </c>
      <c r="N254" s="34" t="s">
        <v>1727</v>
      </c>
      <c r="O254" s="35">
        <v>1</v>
      </c>
      <c r="P254" s="35">
        <v>1</v>
      </c>
      <c r="Q254" s="32"/>
      <c r="S254" s="1">
        <f t="shared" si="123"/>
        <v>0</v>
      </c>
      <c r="T254" s="1">
        <f t="shared" si="124"/>
        <v>0</v>
      </c>
      <c r="U254" s="1">
        <f t="shared" si="125"/>
        <v>0</v>
      </c>
      <c r="V254" s="1">
        <f t="shared" si="126"/>
        <v>1</v>
      </c>
      <c r="W254" s="1">
        <f t="shared" si="127"/>
        <v>0</v>
      </c>
      <c r="X254" s="1">
        <f t="shared" si="128"/>
        <v>0</v>
      </c>
      <c r="Y254" s="1">
        <f t="shared" si="129"/>
        <v>0</v>
      </c>
      <c r="Z254" s="1">
        <f t="shared" si="130"/>
        <v>0</v>
      </c>
      <c r="AA254" s="1">
        <f t="shared" si="131"/>
        <v>0</v>
      </c>
      <c r="AB254" s="1">
        <f t="shared" si="132"/>
        <v>0</v>
      </c>
      <c r="AD254" s="1">
        <f t="shared" si="133"/>
        <v>1</v>
      </c>
      <c r="AE254" s="1">
        <f t="shared" si="134"/>
        <v>0</v>
      </c>
      <c r="AF254" s="1">
        <f t="shared" si="119"/>
        <v>1</v>
      </c>
      <c r="AG254" s="1">
        <f t="shared" si="120"/>
        <v>0</v>
      </c>
      <c r="AH254" s="1">
        <f t="shared" si="121"/>
        <v>1</v>
      </c>
      <c r="AI254" s="1">
        <f t="shared" si="122"/>
        <v>0</v>
      </c>
    </row>
    <row r="255" spans="1:35" ht="14.25" customHeight="1" x14ac:dyDescent="0.25">
      <c r="A255" s="44">
        <v>0</v>
      </c>
      <c r="B255" s="44">
        <v>1</v>
      </c>
      <c r="C255" s="44">
        <v>7</v>
      </c>
      <c r="D255" s="45" t="s">
        <v>89</v>
      </c>
      <c r="E255" s="45" t="s">
        <v>29</v>
      </c>
      <c r="F255" s="45" t="s">
        <v>282</v>
      </c>
      <c r="G255" s="45" t="s">
        <v>283</v>
      </c>
      <c r="H255" s="45" t="s">
        <v>354</v>
      </c>
      <c r="I255" s="44" t="s">
        <v>943</v>
      </c>
      <c r="J255" s="44">
        <v>99</v>
      </c>
      <c r="K255" s="46" t="s">
        <v>955</v>
      </c>
      <c r="L255" s="46" t="s">
        <v>694</v>
      </c>
      <c r="M255" s="47" t="s">
        <v>973</v>
      </c>
      <c r="N255" s="47" t="s">
        <v>1809</v>
      </c>
      <c r="O255" s="48"/>
      <c r="P255" s="48"/>
      <c r="Q255" s="45"/>
      <c r="S255" s="1">
        <f t="shared" si="123"/>
        <v>0</v>
      </c>
      <c r="T255" s="1">
        <f t="shared" si="124"/>
        <v>0</v>
      </c>
      <c r="U255" s="1">
        <f t="shared" si="125"/>
        <v>0</v>
      </c>
      <c r="V255" s="1">
        <f t="shared" si="126"/>
        <v>0</v>
      </c>
      <c r="W255" s="1">
        <f t="shared" si="127"/>
        <v>0</v>
      </c>
      <c r="X255" s="1">
        <f t="shared" si="128"/>
        <v>0</v>
      </c>
      <c r="Y255" s="1">
        <f t="shared" si="129"/>
        <v>0</v>
      </c>
      <c r="Z255" s="1">
        <f t="shared" si="130"/>
        <v>0</v>
      </c>
      <c r="AA255" s="1">
        <f t="shared" si="131"/>
        <v>0</v>
      </c>
      <c r="AB255" s="1">
        <f t="shared" si="132"/>
        <v>0</v>
      </c>
      <c r="AD255" s="1">
        <f t="shared" si="133"/>
        <v>0</v>
      </c>
      <c r="AE255" s="1">
        <f t="shared" si="134"/>
        <v>0</v>
      </c>
      <c r="AF255" s="1">
        <f t="shared" si="119"/>
        <v>0</v>
      </c>
      <c r="AG255" s="1">
        <f t="shared" si="120"/>
        <v>0</v>
      </c>
      <c r="AH255" s="1">
        <f t="shared" si="121"/>
        <v>0</v>
      </c>
      <c r="AI255" s="1">
        <f t="shared" si="122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1636</v>
      </c>
      <c r="E256" s="32" t="s">
        <v>29</v>
      </c>
      <c r="F256" s="36" t="s">
        <v>1535</v>
      </c>
      <c r="G256" s="36" t="s">
        <v>39</v>
      </c>
      <c r="H256" s="36" t="s">
        <v>886</v>
      </c>
      <c r="I256" s="37" t="s">
        <v>1536</v>
      </c>
      <c r="J256" s="31">
        <v>17</v>
      </c>
      <c r="K256" s="33" t="s">
        <v>713</v>
      </c>
      <c r="L256" s="33" t="s">
        <v>697</v>
      </c>
      <c r="M256" s="34" t="s">
        <v>1457</v>
      </c>
      <c r="N256" s="34" t="s">
        <v>1727</v>
      </c>
      <c r="O256" s="35">
        <v>1</v>
      </c>
      <c r="P256" s="35">
        <v>1</v>
      </c>
      <c r="Q256" s="36"/>
      <c r="S256" s="1">
        <f t="shared" si="123"/>
        <v>0</v>
      </c>
      <c r="T256" s="1">
        <f t="shared" si="124"/>
        <v>0</v>
      </c>
      <c r="U256" s="1">
        <f t="shared" si="125"/>
        <v>0</v>
      </c>
      <c r="V256" s="1">
        <f t="shared" si="126"/>
        <v>0</v>
      </c>
      <c r="W256" s="1">
        <f t="shared" si="127"/>
        <v>0</v>
      </c>
      <c r="X256" s="1">
        <f t="shared" si="128"/>
        <v>0</v>
      </c>
      <c r="Y256" s="1">
        <f t="shared" si="129"/>
        <v>0</v>
      </c>
      <c r="Z256" s="1">
        <f t="shared" si="130"/>
        <v>0</v>
      </c>
      <c r="AA256" s="1">
        <f t="shared" si="131"/>
        <v>0</v>
      </c>
      <c r="AB256" s="1">
        <f t="shared" si="132"/>
        <v>0</v>
      </c>
      <c r="AD256" s="1">
        <f t="shared" si="133"/>
        <v>1</v>
      </c>
      <c r="AE256" s="1">
        <f t="shared" si="134"/>
        <v>0</v>
      </c>
      <c r="AF256" s="1">
        <f t="shared" si="119"/>
        <v>1</v>
      </c>
      <c r="AG256" s="1">
        <f t="shared" si="120"/>
        <v>0</v>
      </c>
      <c r="AH256" s="1">
        <f t="shared" si="121"/>
        <v>1</v>
      </c>
      <c r="AI256" s="1">
        <f t="shared" si="122"/>
        <v>0</v>
      </c>
    </row>
    <row r="257" spans="1:35" ht="14.25" customHeight="1" x14ac:dyDescent="0.25">
      <c r="A257" s="44">
        <v>0</v>
      </c>
      <c r="B257" s="44">
        <v>1</v>
      </c>
      <c r="C257" s="44">
        <v>7</v>
      </c>
      <c r="D257" s="45" t="s">
        <v>1454</v>
      </c>
      <c r="E257" s="45" t="s">
        <v>29</v>
      </c>
      <c r="F257" s="45" t="s">
        <v>1455</v>
      </c>
      <c r="G257" s="45" t="s">
        <v>321</v>
      </c>
      <c r="H257" s="45" t="s">
        <v>354</v>
      </c>
      <c r="I257" s="44" t="s">
        <v>1456</v>
      </c>
      <c r="J257" s="44">
        <v>99</v>
      </c>
      <c r="K257" s="46" t="s">
        <v>703</v>
      </c>
      <c r="L257" s="46">
        <v>30</v>
      </c>
      <c r="M257" s="47" t="s">
        <v>1457</v>
      </c>
      <c r="N257" s="47" t="s">
        <v>1802</v>
      </c>
      <c r="O257" s="48"/>
      <c r="P257" s="48"/>
      <c r="Q257" s="45"/>
      <c r="S257" s="1">
        <f t="shared" si="123"/>
        <v>0</v>
      </c>
      <c r="T257" s="1">
        <f t="shared" si="124"/>
        <v>0</v>
      </c>
      <c r="U257" s="1">
        <f t="shared" si="125"/>
        <v>0</v>
      </c>
      <c r="V257" s="1">
        <f t="shared" si="126"/>
        <v>0</v>
      </c>
      <c r="W257" s="1">
        <f t="shared" si="127"/>
        <v>0</v>
      </c>
      <c r="X257" s="1">
        <f t="shared" si="128"/>
        <v>0</v>
      </c>
      <c r="Y257" s="1">
        <f t="shared" si="129"/>
        <v>0</v>
      </c>
      <c r="Z257" s="1">
        <f t="shared" si="130"/>
        <v>0</v>
      </c>
      <c r="AA257" s="1">
        <f t="shared" si="131"/>
        <v>0</v>
      </c>
      <c r="AB257" s="1">
        <f t="shared" si="132"/>
        <v>0</v>
      </c>
      <c r="AD257" s="1">
        <f t="shared" si="133"/>
        <v>0</v>
      </c>
      <c r="AE257" s="1">
        <f t="shared" si="134"/>
        <v>0</v>
      </c>
      <c r="AF257" s="1">
        <f t="shared" si="119"/>
        <v>0</v>
      </c>
      <c r="AG257" s="1">
        <f t="shared" si="120"/>
        <v>0</v>
      </c>
      <c r="AH257" s="1">
        <f t="shared" si="121"/>
        <v>0</v>
      </c>
      <c r="AI257" s="1">
        <f t="shared" si="122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6" t="s">
        <v>846</v>
      </c>
      <c r="E258" s="32" t="s">
        <v>29</v>
      </c>
      <c r="F258" s="36" t="s">
        <v>847</v>
      </c>
      <c r="G258" s="36" t="s">
        <v>222</v>
      </c>
      <c r="H258" s="36" t="s">
        <v>354</v>
      </c>
      <c r="I258" s="37" t="s">
        <v>848</v>
      </c>
      <c r="J258" s="31">
        <v>99</v>
      </c>
      <c r="K258" s="33" t="s">
        <v>955</v>
      </c>
      <c r="L258" s="33" t="s">
        <v>694</v>
      </c>
      <c r="M258" s="34" t="s">
        <v>973</v>
      </c>
      <c r="N258" s="34" t="s">
        <v>1849</v>
      </c>
      <c r="O258" s="35">
        <v>1</v>
      </c>
      <c r="P258" s="35"/>
      <c r="Q258" s="36"/>
      <c r="S258" s="1">
        <f t="shared" si="123"/>
        <v>0</v>
      </c>
      <c r="T258" s="1">
        <f t="shared" si="124"/>
        <v>0</v>
      </c>
      <c r="U258" s="1">
        <f t="shared" si="125"/>
        <v>0</v>
      </c>
      <c r="V258" s="1">
        <f t="shared" si="126"/>
        <v>0</v>
      </c>
      <c r="W258" s="1">
        <f t="shared" si="127"/>
        <v>0</v>
      </c>
      <c r="X258" s="1">
        <f t="shared" si="128"/>
        <v>0</v>
      </c>
      <c r="Y258" s="1">
        <f t="shared" si="129"/>
        <v>0</v>
      </c>
      <c r="Z258" s="1">
        <f t="shared" si="130"/>
        <v>0</v>
      </c>
      <c r="AA258" s="1">
        <f t="shared" si="131"/>
        <v>0</v>
      </c>
      <c r="AB258" s="1">
        <f t="shared" si="132"/>
        <v>0</v>
      </c>
      <c r="AD258" s="1">
        <f t="shared" si="133"/>
        <v>0</v>
      </c>
      <c r="AE258" s="1">
        <f t="shared" si="134"/>
        <v>1</v>
      </c>
      <c r="AF258" s="1">
        <f t="shared" si="119"/>
        <v>0</v>
      </c>
      <c r="AG258" s="1">
        <f t="shared" si="120"/>
        <v>1</v>
      </c>
      <c r="AH258" s="1">
        <f t="shared" si="121"/>
        <v>0</v>
      </c>
      <c r="AI258" s="1">
        <f t="shared" si="122"/>
        <v>1</v>
      </c>
    </row>
    <row r="259" spans="1:35" ht="14.25" customHeight="1" x14ac:dyDescent="0.25">
      <c r="A259" s="31">
        <v>1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930</v>
      </c>
      <c r="G259" s="36" t="s">
        <v>279</v>
      </c>
      <c r="H259" s="36" t="s">
        <v>354</v>
      </c>
      <c r="I259" s="37" t="s">
        <v>849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23"/>
        <v>0</v>
      </c>
      <c r="T259" s="1">
        <f t="shared" si="124"/>
        <v>0</v>
      </c>
      <c r="U259" s="1">
        <f t="shared" si="125"/>
        <v>0</v>
      </c>
      <c r="V259" s="1">
        <f t="shared" si="126"/>
        <v>0</v>
      </c>
      <c r="W259" s="1">
        <f t="shared" si="127"/>
        <v>0</v>
      </c>
      <c r="X259" s="1">
        <f t="shared" si="128"/>
        <v>0</v>
      </c>
      <c r="Y259" s="1">
        <f t="shared" si="129"/>
        <v>0</v>
      </c>
      <c r="Z259" s="1">
        <f t="shared" si="130"/>
        <v>0</v>
      </c>
      <c r="AA259" s="1">
        <f t="shared" si="131"/>
        <v>0</v>
      </c>
      <c r="AB259" s="1">
        <f t="shared" si="132"/>
        <v>0</v>
      </c>
      <c r="AD259" s="1">
        <f t="shared" si="133"/>
        <v>0</v>
      </c>
      <c r="AE259" s="1">
        <f t="shared" si="134"/>
        <v>1</v>
      </c>
      <c r="AF259" s="1">
        <f t="shared" si="119"/>
        <v>0</v>
      </c>
      <c r="AG259" s="1">
        <f t="shared" si="120"/>
        <v>0</v>
      </c>
      <c r="AH259" s="1">
        <f t="shared" si="121"/>
        <v>0</v>
      </c>
      <c r="AI259" s="1">
        <f t="shared" si="122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1216</v>
      </c>
      <c r="E260" s="32" t="s">
        <v>29</v>
      </c>
      <c r="F260" s="32" t="s">
        <v>1217</v>
      </c>
      <c r="G260" s="32" t="s">
        <v>238</v>
      </c>
      <c r="H260" s="32" t="s">
        <v>354</v>
      </c>
      <c r="I260" s="31" t="s">
        <v>1361</v>
      </c>
      <c r="J260" s="31">
        <v>99</v>
      </c>
      <c r="K260" s="33" t="s">
        <v>713</v>
      </c>
      <c r="L260" s="33" t="s">
        <v>694</v>
      </c>
      <c r="M260" s="34" t="s">
        <v>1407</v>
      </c>
      <c r="N260" s="34" t="s">
        <v>1755</v>
      </c>
      <c r="O260" s="35">
        <v>1</v>
      </c>
      <c r="P260" s="35"/>
      <c r="Q260" s="32"/>
      <c r="S260" s="1">
        <f t="shared" si="123"/>
        <v>0</v>
      </c>
      <c r="T260" s="1">
        <f t="shared" si="124"/>
        <v>0</v>
      </c>
      <c r="U260" s="1">
        <f t="shared" si="125"/>
        <v>0</v>
      </c>
      <c r="V260" s="1">
        <f t="shared" si="126"/>
        <v>0</v>
      </c>
      <c r="W260" s="1">
        <f t="shared" si="127"/>
        <v>0</v>
      </c>
      <c r="X260" s="1">
        <f t="shared" si="128"/>
        <v>0</v>
      </c>
      <c r="Y260" s="1">
        <f t="shared" si="129"/>
        <v>0</v>
      </c>
      <c r="Z260" s="1">
        <f t="shared" si="130"/>
        <v>0</v>
      </c>
      <c r="AA260" s="1">
        <f t="shared" si="131"/>
        <v>0</v>
      </c>
      <c r="AB260" s="1">
        <f t="shared" si="132"/>
        <v>0</v>
      </c>
      <c r="AD260" s="1">
        <f t="shared" ref="AD260:AD261" si="135">+O260*P260</f>
        <v>0</v>
      </c>
      <c r="AE260" s="1">
        <f t="shared" ref="AE260:AE261" si="136">O260*(1-P260)</f>
        <v>1</v>
      </c>
      <c r="AF260" s="1">
        <f t="shared" ref="AF260:AF261" si="137">+O260*P260*(1-A260)</f>
        <v>0</v>
      </c>
      <c r="AG260" s="1">
        <f t="shared" ref="AG260:AG261" si="138">O260*(1-P260)*(1-A260)</f>
        <v>1</v>
      </c>
      <c r="AH260" s="1">
        <f t="shared" ref="AH260:AH261" si="139">+P260*(1-A260)</f>
        <v>0</v>
      </c>
      <c r="AI260" s="1">
        <f t="shared" ref="AI260:AI261" si="140">+(1-A260)*(1-P260)</f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1233</v>
      </c>
      <c r="E261" s="32" t="s">
        <v>29</v>
      </c>
      <c r="F261" s="36" t="s">
        <v>1234</v>
      </c>
      <c r="G261" s="36" t="s">
        <v>238</v>
      </c>
      <c r="H261" s="36" t="s">
        <v>354</v>
      </c>
      <c r="I261" s="37" t="s">
        <v>1235</v>
      </c>
      <c r="J261" s="31">
        <v>99</v>
      </c>
      <c r="K261" s="33" t="s">
        <v>713</v>
      </c>
      <c r="L261" s="33" t="s">
        <v>693</v>
      </c>
      <c r="M261" s="34" t="s">
        <v>1407</v>
      </c>
      <c r="N261" s="34" t="s">
        <v>1825</v>
      </c>
      <c r="O261" s="35">
        <v>1</v>
      </c>
      <c r="P261" s="35"/>
      <c r="Q261" s="36"/>
      <c r="S261" s="1">
        <f t="shared" si="123"/>
        <v>0</v>
      </c>
      <c r="T261" s="1">
        <f t="shared" si="124"/>
        <v>0</v>
      </c>
      <c r="U261" s="1">
        <f t="shared" si="125"/>
        <v>0</v>
      </c>
      <c r="V261" s="1">
        <f t="shared" si="126"/>
        <v>0</v>
      </c>
      <c r="W261" s="1">
        <f t="shared" si="127"/>
        <v>0</v>
      </c>
      <c r="X261" s="1">
        <f t="shared" si="128"/>
        <v>0</v>
      </c>
      <c r="Y261" s="1">
        <f t="shared" si="129"/>
        <v>0</v>
      </c>
      <c r="Z261" s="1">
        <f t="shared" si="130"/>
        <v>0</v>
      </c>
      <c r="AA261" s="1">
        <f t="shared" si="131"/>
        <v>0</v>
      </c>
      <c r="AB261" s="1">
        <f t="shared" si="132"/>
        <v>0</v>
      </c>
      <c r="AD261" s="1">
        <f t="shared" si="135"/>
        <v>0</v>
      </c>
      <c r="AE261" s="1">
        <f t="shared" si="136"/>
        <v>1</v>
      </c>
      <c r="AF261" s="1">
        <f t="shared" si="137"/>
        <v>0</v>
      </c>
      <c r="AG261" s="1">
        <f t="shared" si="138"/>
        <v>1</v>
      </c>
      <c r="AH261" s="1">
        <f t="shared" si="139"/>
        <v>0</v>
      </c>
      <c r="AI261" s="1">
        <f t="shared" si="14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93</v>
      </c>
      <c r="E262" s="32" t="s">
        <v>29</v>
      </c>
      <c r="F262" s="36" t="s">
        <v>288</v>
      </c>
      <c r="G262" s="36" t="s">
        <v>190</v>
      </c>
      <c r="H262" s="36" t="s">
        <v>354</v>
      </c>
      <c r="I262" s="37" t="s">
        <v>441</v>
      </c>
      <c r="J262" s="31">
        <v>99</v>
      </c>
      <c r="K262" s="33" t="s">
        <v>713</v>
      </c>
      <c r="L262" s="33" t="s">
        <v>694</v>
      </c>
      <c r="M262" s="34" t="s">
        <v>1408</v>
      </c>
      <c r="N262" s="34" t="s">
        <v>1750</v>
      </c>
      <c r="O262" s="35">
        <v>1</v>
      </c>
      <c r="P262" s="35"/>
      <c r="Q262" s="36"/>
      <c r="S262" s="1">
        <f t="shared" si="123"/>
        <v>0</v>
      </c>
      <c r="T262" s="1">
        <f t="shared" si="124"/>
        <v>0</v>
      </c>
      <c r="U262" s="1">
        <f t="shared" si="125"/>
        <v>0</v>
      </c>
      <c r="V262" s="1">
        <f t="shared" si="126"/>
        <v>0</v>
      </c>
      <c r="W262" s="1">
        <f t="shared" si="127"/>
        <v>0</v>
      </c>
      <c r="X262" s="1">
        <f t="shared" si="128"/>
        <v>0</v>
      </c>
      <c r="Y262" s="1">
        <f t="shared" si="129"/>
        <v>0</v>
      </c>
      <c r="Z262" s="1">
        <f t="shared" si="130"/>
        <v>0</v>
      </c>
      <c r="AA262" s="1">
        <f t="shared" si="131"/>
        <v>0</v>
      </c>
      <c r="AB262" s="1">
        <f t="shared" si="132"/>
        <v>0</v>
      </c>
      <c r="AD262" s="1">
        <f t="shared" si="133"/>
        <v>0</v>
      </c>
      <c r="AE262" s="1">
        <f t="shared" si="134"/>
        <v>1</v>
      </c>
      <c r="AF262" s="1">
        <f t="shared" si="119"/>
        <v>0</v>
      </c>
      <c r="AG262" s="1">
        <f t="shared" si="120"/>
        <v>1</v>
      </c>
      <c r="AH262" s="1">
        <f t="shared" si="121"/>
        <v>0</v>
      </c>
      <c r="AI262" s="1">
        <f t="shared" si="122"/>
        <v>1</v>
      </c>
    </row>
    <row r="263" spans="1:35" ht="14.25" customHeight="1" x14ac:dyDescent="0.25">
      <c r="A263" s="44">
        <v>0</v>
      </c>
      <c r="B263" s="44">
        <v>1</v>
      </c>
      <c r="C263" s="44">
        <v>7</v>
      </c>
      <c r="D263" s="45" t="s">
        <v>870</v>
      </c>
      <c r="E263" s="45" t="s">
        <v>29</v>
      </c>
      <c r="F263" s="45" t="s">
        <v>871</v>
      </c>
      <c r="G263" s="45" t="s">
        <v>194</v>
      </c>
      <c r="H263" s="45" t="s">
        <v>354</v>
      </c>
      <c r="I263" s="44" t="s">
        <v>872</v>
      </c>
      <c r="J263" s="44">
        <v>9</v>
      </c>
      <c r="K263" s="46" t="s">
        <v>713</v>
      </c>
      <c r="L263" s="46" t="s">
        <v>696</v>
      </c>
      <c r="M263" s="47" t="s">
        <v>708</v>
      </c>
      <c r="N263" s="47" t="s">
        <v>1735</v>
      </c>
      <c r="O263" s="48"/>
      <c r="P263" s="48"/>
      <c r="Q263" s="45"/>
      <c r="S263" s="1">
        <f t="shared" si="123"/>
        <v>0</v>
      </c>
      <c r="T263" s="1">
        <f t="shared" si="124"/>
        <v>0</v>
      </c>
      <c r="U263" s="1">
        <f t="shared" si="125"/>
        <v>0</v>
      </c>
      <c r="V263" s="1">
        <f t="shared" si="126"/>
        <v>0</v>
      </c>
      <c r="W263" s="1">
        <f t="shared" si="127"/>
        <v>0</v>
      </c>
      <c r="X263" s="1">
        <f t="shared" si="128"/>
        <v>0</v>
      </c>
      <c r="Y263" s="1">
        <f t="shared" si="129"/>
        <v>0</v>
      </c>
      <c r="Z263" s="1">
        <f t="shared" si="130"/>
        <v>0</v>
      </c>
      <c r="AA263" s="1">
        <f t="shared" si="131"/>
        <v>1</v>
      </c>
      <c r="AB263" s="1">
        <f t="shared" si="132"/>
        <v>0</v>
      </c>
      <c r="AD263" s="1">
        <f t="shared" si="133"/>
        <v>0</v>
      </c>
      <c r="AE263" s="1">
        <f t="shared" si="134"/>
        <v>0</v>
      </c>
      <c r="AF263" s="1">
        <f t="shared" si="119"/>
        <v>0</v>
      </c>
      <c r="AG263" s="1">
        <f t="shared" si="120"/>
        <v>0</v>
      </c>
      <c r="AH263" s="1">
        <f t="shared" si="121"/>
        <v>0</v>
      </c>
      <c r="AI263" s="1">
        <f t="shared" si="122"/>
        <v>1</v>
      </c>
    </row>
    <row r="264" spans="1:35" ht="14.25" customHeight="1" x14ac:dyDescent="0.25">
      <c r="A264" s="44">
        <v>1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1068</v>
      </c>
      <c r="G264" s="45" t="s">
        <v>321</v>
      </c>
      <c r="H264" s="45" t="s">
        <v>354</v>
      </c>
      <c r="I264" s="44" t="s">
        <v>1069</v>
      </c>
      <c r="J264" s="44">
        <v>99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23"/>
        <v>0</v>
      </c>
      <c r="T264" s="1">
        <f t="shared" si="124"/>
        <v>0</v>
      </c>
      <c r="U264" s="1">
        <f t="shared" si="125"/>
        <v>0</v>
      </c>
      <c r="V264" s="1">
        <f t="shared" si="126"/>
        <v>0</v>
      </c>
      <c r="W264" s="1">
        <f t="shared" si="127"/>
        <v>0</v>
      </c>
      <c r="X264" s="1">
        <f t="shared" si="128"/>
        <v>0</v>
      </c>
      <c r="Y264" s="1">
        <f t="shared" si="129"/>
        <v>0</v>
      </c>
      <c r="Z264" s="1">
        <f t="shared" si="130"/>
        <v>0</v>
      </c>
      <c r="AA264" s="1">
        <f t="shared" si="131"/>
        <v>0</v>
      </c>
      <c r="AB264" s="1">
        <f t="shared" si="132"/>
        <v>0</v>
      </c>
      <c r="AD264" s="1">
        <f t="shared" si="133"/>
        <v>0</v>
      </c>
      <c r="AE264" s="1">
        <f t="shared" si="134"/>
        <v>0</v>
      </c>
      <c r="AF264" s="1">
        <f t="shared" si="119"/>
        <v>0</v>
      </c>
      <c r="AG264" s="1">
        <f t="shared" si="120"/>
        <v>0</v>
      </c>
      <c r="AH264" s="1">
        <f t="shared" si="121"/>
        <v>0</v>
      </c>
      <c r="AI264" s="1">
        <f t="shared" si="122"/>
        <v>0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65" t="s">
        <v>2026</v>
      </c>
      <c r="G265" s="65" t="s">
        <v>194</v>
      </c>
      <c r="H265" s="45" t="s">
        <v>354</v>
      </c>
      <c r="I265" s="64" t="s">
        <v>872</v>
      </c>
      <c r="J265" s="44">
        <v>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ref="S265:S266" si="141">IF(J265=$S$7,1,0)</f>
        <v>0</v>
      </c>
      <c r="T265" s="1">
        <f t="shared" ref="T265:T266" si="142">IF(J265=$T$7,1,0)</f>
        <v>0</v>
      </c>
      <c r="U265" s="1">
        <f t="shared" ref="U265:U266" si="143">IF(J265=$U$7,1,0)</f>
        <v>0</v>
      </c>
      <c r="V265" s="1">
        <f t="shared" ref="V265:V266" si="144">IF(J265=$V$7,1,0)</f>
        <v>0</v>
      </c>
      <c r="W265" s="1">
        <f t="shared" ref="W265:W266" si="145">IF(J265=$W$7,1,0)</f>
        <v>0</v>
      </c>
      <c r="X265" s="1">
        <f t="shared" ref="X265:X266" si="146">IF(J265=$X$7,1,0)</f>
        <v>0</v>
      </c>
      <c r="Y265" s="1">
        <f t="shared" ref="Y265:Y266" si="147">IF(J265=$Y$7,1,0)</f>
        <v>0</v>
      </c>
      <c r="Z265" s="1">
        <f t="shared" ref="Z265:Z266" si="148">IF(J265=$Z$7,1,0)</f>
        <v>0</v>
      </c>
      <c r="AA265" s="1">
        <f t="shared" ref="AA265:AA266" si="149">IF(J265=$AA$7,1,0)</f>
        <v>1</v>
      </c>
      <c r="AB265" s="1">
        <f t="shared" ref="AB265:AB266" si="150">IF(J265=$AB$7,1,0)</f>
        <v>0</v>
      </c>
      <c r="AD265" s="1">
        <f t="shared" ref="AD265:AD266" si="151">+O265*P265</f>
        <v>0</v>
      </c>
      <c r="AE265" s="1">
        <f t="shared" ref="AE265:AE266" si="152">O265*(1-P265)</f>
        <v>0</v>
      </c>
      <c r="AF265" s="1">
        <f t="shared" ref="AF265:AF266" si="153">+O265*P265*(1-A265)</f>
        <v>0</v>
      </c>
      <c r="AG265" s="1">
        <f t="shared" ref="AG265:AG266" si="154">O265*(1-P265)*(1-A265)</f>
        <v>0</v>
      </c>
      <c r="AH265" s="1">
        <f t="shared" ref="AH265:AH266" si="155">+P265*(1-A265)</f>
        <v>0</v>
      </c>
      <c r="AI265" s="1">
        <f t="shared" ref="AI265:AI266" si="156">+(1-A265)*(1-P265)</f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2028</v>
      </c>
      <c r="G266" s="65" t="s">
        <v>209</v>
      </c>
      <c r="H266" s="45" t="s">
        <v>354</v>
      </c>
      <c r="I266" s="64" t="s">
        <v>2027</v>
      </c>
      <c r="J266" s="44">
        <v>99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si="141"/>
        <v>0</v>
      </c>
      <c r="T266" s="1">
        <f t="shared" si="142"/>
        <v>0</v>
      </c>
      <c r="U266" s="1">
        <f t="shared" si="143"/>
        <v>0</v>
      </c>
      <c r="V266" s="1">
        <f t="shared" si="144"/>
        <v>0</v>
      </c>
      <c r="W266" s="1">
        <f t="shared" si="145"/>
        <v>0</v>
      </c>
      <c r="X266" s="1">
        <f t="shared" si="146"/>
        <v>0</v>
      </c>
      <c r="Y266" s="1">
        <f t="shared" si="147"/>
        <v>0</v>
      </c>
      <c r="Z266" s="1">
        <f t="shared" si="148"/>
        <v>0</v>
      </c>
      <c r="AA266" s="1">
        <f t="shared" si="149"/>
        <v>0</v>
      </c>
      <c r="AB266" s="1">
        <f t="shared" si="150"/>
        <v>0</v>
      </c>
      <c r="AD266" s="1">
        <f t="shared" si="151"/>
        <v>0</v>
      </c>
      <c r="AE266" s="1">
        <f t="shared" si="152"/>
        <v>0</v>
      </c>
      <c r="AF266" s="1">
        <f t="shared" si="153"/>
        <v>0</v>
      </c>
      <c r="AG266" s="1">
        <f t="shared" si="154"/>
        <v>0</v>
      </c>
      <c r="AH266" s="1">
        <f t="shared" si="155"/>
        <v>0</v>
      </c>
      <c r="AI266" s="1">
        <f t="shared" si="156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96</v>
      </c>
      <c r="E267" s="32" t="s">
        <v>29</v>
      </c>
      <c r="F267" s="36" t="s">
        <v>292</v>
      </c>
      <c r="G267" s="36" t="s">
        <v>293</v>
      </c>
      <c r="H267" s="36" t="s">
        <v>354</v>
      </c>
      <c r="I267" s="37" t="s">
        <v>1117</v>
      </c>
      <c r="J267" s="31">
        <v>99</v>
      </c>
      <c r="K267" s="33" t="s">
        <v>713</v>
      </c>
      <c r="L267" s="33" t="s">
        <v>696</v>
      </c>
      <c r="M267" s="34" t="s">
        <v>708</v>
      </c>
      <c r="N267" s="34" t="s">
        <v>1748</v>
      </c>
      <c r="O267" s="35">
        <v>1</v>
      </c>
      <c r="P267" s="35"/>
      <c r="Q267" s="36"/>
      <c r="S267" s="1">
        <f t="shared" si="123"/>
        <v>0</v>
      </c>
      <c r="T267" s="1">
        <f t="shared" si="124"/>
        <v>0</v>
      </c>
      <c r="U267" s="1">
        <f t="shared" si="125"/>
        <v>0</v>
      </c>
      <c r="V267" s="1">
        <f t="shared" si="126"/>
        <v>0</v>
      </c>
      <c r="W267" s="1">
        <f t="shared" si="127"/>
        <v>0</v>
      </c>
      <c r="X267" s="1">
        <f t="shared" si="128"/>
        <v>0</v>
      </c>
      <c r="Y267" s="1">
        <f t="shared" si="129"/>
        <v>0</v>
      </c>
      <c r="Z267" s="1">
        <f t="shared" si="130"/>
        <v>0</v>
      </c>
      <c r="AA267" s="1">
        <f t="shared" si="131"/>
        <v>0</v>
      </c>
      <c r="AB267" s="1">
        <f t="shared" si="132"/>
        <v>0</v>
      </c>
      <c r="AD267" s="1">
        <f t="shared" si="133"/>
        <v>0</v>
      </c>
      <c r="AE267" s="1">
        <f t="shared" si="134"/>
        <v>1</v>
      </c>
      <c r="AF267" s="1">
        <f t="shared" si="119"/>
        <v>0</v>
      </c>
      <c r="AG267" s="1">
        <f t="shared" si="120"/>
        <v>1</v>
      </c>
      <c r="AH267" s="1">
        <f t="shared" si="121"/>
        <v>0</v>
      </c>
      <c r="AI267" s="1">
        <f t="shared" si="122"/>
        <v>1</v>
      </c>
    </row>
    <row r="268" spans="1:35" ht="14.25" customHeight="1" x14ac:dyDescent="0.25">
      <c r="A268" s="44">
        <v>0</v>
      </c>
      <c r="B268" s="44">
        <v>1</v>
      </c>
      <c r="C268" s="44">
        <v>7</v>
      </c>
      <c r="D268" s="45" t="s">
        <v>532</v>
      </c>
      <c r="E268" s="45" t="s">
        <v>29</v>
      </c>
      <c r="F268" s="45" t="s">
        <v>665</v>
      </c>
      <c r="G268" s="45" t="s">
        <v>39</v>
      </c>
      <c r="H268" s="45" t="s">
        <v>533</v>
      </c>
      <c r="I268" s="44" t="s">
        <v>1690</v>
      </c>
      <c r="J268" s="44">
        <v>14</v>
      </c>
      <c r="K268" s="46" t="s">
        <v>954</v>
      </c>
      <c r="L268" s="46">
        <v>40</v>
      </c>
      <c r="M268" s="47" t="s">
        <v>708</v>
      </c>
      <c r="N268" s="47" t="s">
        <v>1735</v>
      </c>
      <c r="O268" s="48"/>
      <c r="P268" s="48"/>
      <c r="Q268" s="45"/>
      <c r="S268" s="1">
        <f t="shared" si="123"/>
        <v>0</v>
      </c>
      <c r="T268" s="1">
        <f t="shared" si="124"/>
        <v>0</v>
      </c>
      <c r="U268" s="1">
        <f t="shared" si="125"/>
        <v>0</v>
      </c>
      <c r="V268" s="1">
        <f t="shared" si="126"/>
        <v>0</v>
      </c>
      <c r="W268" s="1">
        <f t="shared" si="127"/>
        <v>0</v>
      </c>
      <c r="X268" s="1">
        <f t="shared" si="128"/>
        <v>0</v>
      </c>
      <c r="Y268" s="1">
        <f t="shared" si="129"/>
        <v>0</v>
      </c>
      <c r="Z268" s="1">
        <f t="shared" si="130"/>
        <v>0</v>
      </c>
      <c r="AA268" s="1">
        <f t="shared" si="131"/>
        <v>0</v>
      </c>
      <c r="AB268" s="1">
        <f t="shared" si="132"/>
        <v>0</v>
      </c>
      <c r="AD268" s="1">
        <f t="shared" si="133"/>
        <v>0</v>
      </c>
      <c r="AE268" s="1">
        <f t="shared" si="134"/>
        <v>0</v>
      </c>
      <c r="AF268" s="1">
        <f t="shared" si="119"/>
        <v>0</v>
      </c>
      <c r="AG268" s="1">
        <f t="shared" si="120"/>
        <v>0</v>
      </c>
      <c r="AH268" s="1">
        <f t="shared" si="121"/>
        <v>0</v>
      </c>
      <c r="AI268" s="1">
        <f t="shared" si="122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1321</v>
      </c>
      <c r="E269" s="32" t="s">
        <v>29</v>
      </c>
      <c r="F269" s="36" t="s">
        <v>1345</v>
      </c>
      <c r="G269" s="36" t="s">
        <v>39</v>
      </c>
      <c r="H269" s="36" t="s">
        <v>354</v>
      </c>
      <c r="I269" s="37" t="s">
        <v>1150</v>
      </c>
      <c r="J269" s="31">
        <v>99</v>
      </c>
      <c r="K269" s="33" t="s">
        <v>713</v>
      </c>
      <c r="L269" s="33" t="s">
        <v>693</v>
      </c>
      <c r="M269" s="34" t="s">
        <v>1409</v>
      </c>
      <c r="N269" s="34" t="s">
        <v>1733</v>
      </c>
      <c r="O269" s="35">
        <v>1</v>
      </c>
      <c r="P269" s="35">
        <v>1</v>
      </c>
      <c r="Q269" s="36"/>
      <c r="S269" s="1">
        <f t="shared" si="123"/>
        <v>0</v>
      </c>
      <c r="T269" s="1">
        <f t="shared" si="124"/>
        <v>0</v>
      </c>
      <c r="U269" s="1">
        <f t="shared" si="125"/>
        <v>0</v>
      </c>
      <c r="V269" s="1">
        <f t="shared" si="126"/>
        <v>0</v>
      </c>
      <c r="W269" s="1">
        <f t="shared" si="127"/>
        <v>0</v>
      </c>
      <c r="X269" s="1">
        <f t="shared" si="128"/>
        <v>0</v>
      </c>
      <c r="Y269" s="1">
        <f t="shared" si="129"/>
        <v>0</v>
      </c>
      <c r="Z269" s="1">
        <f t="shared" si="130"/>
        <v>0</v>
      </c>
      <c r="AA269" s="1">
        <f t="shared" si="131"/>
        <v>0</v>
      </c>
      <c r="AB269" s="1">
        <f t="shared" si="132"/>
        <v>0</v>
      </c>
      <c r="AD269" s="1">
        <f t="shared" si="133"/>
        <v>1</v>
      </c>
      <c r="AE269" s="1">
        <f t="shared" si="134"/>
        <v>0</v>
      </c>
      <c r="AF269" s="1">
        <f t="shared" si="119"/>
        <v>1</v>
      </c>
      <c r="AG269" s="1">
        <f t="shared" si="120"/>
        <v>0</v>
      </c>
      <c r="AH269" s="1">
        <f t="shared" si="121"/>
        <v>1</v>
      </c>
      <c r="AI269" s="1">
        <f t="shared" si="122"/>
        <v>0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97</v>
      </c>
      <c r="E270" s="45" t="s">
        <v>29</v>
      </c>
      <c r="F270" s="45" t="s">
        <v>295</v>
      </c>
      <c r="G270" s="45" t="s">
        <v>263</v>
      </c>
      <c r="H270" s="45" t="s">
        <v>354</v>
      </c>
      <c r="I270" s="44" t="s">
        <v>445</v>
      </c>
      <c r="J270" s="44">
        <v>1</v>
      </c>
      <c r="K270" s="46" t="s">
        <v>713</v>
      </c>
      <c r="L270" s="46" t="s">
        <v>694</v>
      </c>
      <c r="M270" s="47" t="s">
        <v>708</v>
      </c>
      <c r="N270" s="47" t="s">
        <v>1735</v>
      </c>
      <c r="O270" s="48"/>
      <c r="P270" s="48"/>
      <c r="Q270" s="45"/>
      <c r="S270" s="1">
        <f t="shared" si="123"/>
        <v>1</v>
      </c>
      <c r="T270" s="1">
        <f t="shared" si="124"/>
        <v>0</v>
      </c>
      <c r="U270" s="1">
        <f t="shared" si="125"/>
        <v>0</v>
      </c>
      <c r="V270" s="1">
        <f t="shared" si="126"/>
        <v>0</v>
      </c>
      <c r="W270" s="1">
        <f t="shared" si="127"/>
        <v>0</v>
      </c>
      <c r="X270" s="1">
        <f t="shared" si="128"/>
        <v>0</v>
      </c>
      <c r="Y270" s="1">
        <f t="shared" si="129"/>
        <v>0</v>
      </c>
      <c r="Z270" s="1">
        <f t="shared" si="130"/>
        <v>0</v>
      </c>
      <c r="AA270" s="1">
        <f t="shared" si="131"/>
        <v>0</v>
      </c>
      <c r="AB270" s="1">
        <f t="shared" si="132"/>
        <v>0</v>
      </c>
      <c r="AD270" s="1">
        <f t="shared" si="133"/>
        <v>0</v>
      </c>
      <c r="AE270" s="1">
        <f t="shared" si="134"/>
        <v>0</v>
      </c>
      <c r="AF270" s="1">
        <f t="shared" ref="AF270:AF334" si="157">+O270*P270*(1-A270)</f>
        <v>0</v>
      </c>
      <c r="AG270" s="1">
        <f t="shared" ref="AG270:AG334" si="158">O270*(1-P270)*(1-A270)</f>
        <v>0</v>
      </c>
      <c r="AH270" s="1">
        <f t="shared" ref="AH270:AH334" si="159">+P270*(1-A270)</f>
        <v>0</v>
      </c>
      <c r="AI270" s="1">
        <f t="shared" ref="AI270:AI334" si="160">+(1-A270)*(1-P270)</f>
        <v>1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755</v>
      </c>
      <c r="E271" s="16" t="s">
        <v>29</v>
      </c>
      <c r="F271" s="16" t="s">
        <v>756</v>
      </c>
      <c r="G271" s="16" t="s">
        <v>39</v>
      </c>
      <c r="H271" s="16" t="s">
        <v>757</v>
      </c>
      <c r="I271" s="15" t="s">
        <v>758</v>
      </c>
      <c r="J271" s="15">
        <v>18</v>
      </c>
      <c r="K271" s="10" t="s">
        <v>703</v>
      </c>
      <c r="L271" s="10" t="s">
        <v>697</v>
      </c>
      <c r="M271" s="19" t="s">
        <v>708</v>
      </c>
      <c r="N271" s="17"/>
      <c r="Q271" s="16"/>
      <c r="S271" s="1">
        <f t="shared" si="123"/>
        <v>0</v>
      </c>
      <c r="T271" s="1">
        <f t="shared" si="124"/>
        <v>0</v>
      </c>
      <c r="U271" s="1">
        <f t="shared" si="125"/>
        <v>0</v>
      </c>
      <c r="V271" s="1">
        <f t="shared" si="126"/>
        <v>0</v>
      </c>
      <c r="W271" s="1">
        <f t="shared" si="127"/>
        <v>0</v>
      </c>
      <c r="X271" s="1">
        <f t="shared" si="128"/>
        <v>0</v>
      </c>
      <c r="Y271" s="1">
        <f t="shared" si="129"/>
        <v>0</v>
      </c>
      <c r="Z271" s="1">
        <f t="shared" si="130"/>
        <v>0</v>
      </c>
      <c r="AA271" s="1">
        <f t="shared" si="131"/>
        <v>0</v>
      </c>
      <c r="AB271" s="1">
        <f t="shared" si="132"/>
        <v>0</v>
      </c>
      <c r="AD271" s="1">
        <f t="shared" si="133"/>
        <v>0</v>
      </c>
      <c r="AE271" s="1">
        <f t="shared" si="134"/>
        <v>0</v>
      </c>
      <c r="AF271" s="1">
        <f t="shared" si="157"/>
        <v>0</v>
      </c>
      <c r="AG271" s="1">
        <f t="shared" si="158"/>
        <v>0</v>
      </c>
      <c r="AH271" s="1">
        <f t="shared" si="159"/>
        <v>0</v>
      </c>
      <c r="AI271" s="1">
        <f t="shared" si="160"/>
        <v>1</v>
      </c>
    </row>
    <row r="272" spans="1:35" ht="14.25" customHeight="1" x14ac:dyDescent="0.25">
      <c r="A272" s="15">
        <v>1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759</v>
      </c>
      <c r="G272" s="16" t="s">
        <v>39</v>
      </c>
      <c r="H272" s="16" t="s">
        <v>745</v>
      </c>
      <c r="I272" s="15" t="s">
        <v>760</v>
      </c>
      <c r="J272" s="15">
        <v>17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23"/>
        <v>0</v>
      </c>
      <c r="T272" s="1">
        <f t="shared" si="124"/>
        <v>0</v>
      </c>
      <c r="U272" s="1">
        <f t="shared" si="125"/>
        <v>0</v>
      </c>
      <c r="V272" s="1">
        <f t="shared" si="126"/>
        <v>0</v>
      </c>
      <c r="W272" s="1">
        <f t="shared" si="127"/>
        <v>0</v>
      </c>
      <c r="X272" s="1">
        <f t="shared" si="128"/>
        <v>0</v>
      </c>
      <c r="Y272" s="1">
        <f t="shared" si="129"/>
        <v>0</v>
      </c>
      <c r="Z272" s="1">
        <f t="shared" si="130"/>
        <v>0</v>
      </c>
      <c r="AA272" s="1">
        <f t="shared" si="131"/>
        <v>0</v>
      </c>
      <c r="AB272" s="1">
        <f t="shared" si="132"/>
        <v>0</v>
      </c>
      <c r="AD272" s="1">
        <f t="shared" si="133"/>
        <v>0</v>
      </c>
      <c r="AE272" s="1">
        <f t="shared" si="134"/>
        <v>0</v>
      </c>
      <c r="AF272" s="1">
        <f t="shared" si="157"/>
        <v>0</v>
      </c>
      <c r="AG272" s="1">
        <f t="shared" si="158"/>
        <v>0</v>
      </c>
      <c r="AH272" s="1">
        <f t="shared" si="159"/>
        <v>0</v>
      </c>
      <c r="AI272" s="1">
        <f t="shared" si="16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1518</v>
      </c>
      <c r="E273" s="32" t="s">
        <v>29</v>
      </c>
      <c r="F273" s="36" t="s">
        <v>1671</v>
      </c>
      <c r="G273" s="36" t="s">
        <v>1672</v>
      </c>
      <c r="H273" s="36" t="s">
        <v>354</v>
      </c>
      <c r="I273" s="37" t="s">
        <v>1519</v>
      </c>
      <c r="J273" s="31">
        <v>99</v>
      </c>
      <c r="K273" s="33" t="s">
        <v>713</v>
      </c>
      <c r="L273" s="33" t="s">
        <v>39</v>
      </c>
      <c r="M273" s="34" t="s">
        <v>39</v>
      </c>
      <c r="N273" s="34" t="s">
        <v>1727</v>
      </c>
      <c r="O273" s="35">
        <v>1</v>
      </c>
      <c r="P273" s="35">
        <v>1</v>
      </c>
      <c r="Q273" s="36"/>
      <c r="S273" s="1">
        <f t="shared" si="123"/>
        <v>0</v>
      </c>
      <c r="T273" s="1">
        <f t="shared" si="124"/>
        <v>0</v>
      </c>
      <c r="U273" s="1">
        <f t="shared" si="125"/>
        <v>0</v>
      </c>
      <c r="V273" s="1">
        <f t="shared" si="126"/>
        <v>0</v>
      </c>
      <c r="W273" s="1">
        <f t="shared" si="127"/>
        <v>0</v>
      </c>
      <c r="X273" s="1">
        <f t="shared" si="128"/>
        <v>0</v>
      </c>
      <c r="Y273" s="1">
        <f t="shared" si="129"/>
        <v>0</v>
      </c>
      <c r="Z273" s="1">
        <f t="shared" si="130"/>
        <v>0</v>
      </c>
      <c r="AA273" s="1">
        <f t="shared" si="131"/>
        <v>0</v>
      </c>
      <c r="AB273" s="1">
        <f t="shared" si="132"/>
        <v>0</v>
      </c>
      <c r="AD273" s="1">
        <f t="shared" si="133"/>
        <v>1</v>
      </c>
      <c r="AE273" s="1">
        <f t="shared" si="134"/>
        <v>0</v>
      </c>
      <c r="AF273" s="1">
        <f t="shared" si="157"/>
        <v>1</v>
      </c>
      <c r="AG273" s="1">
        <f t="shared" si="158"/>
        <v>0</v>
      </c>
      <c r="AH273" s="1">
        <f t="shared" si="159"/>
        <v>1</v>
      </c>
      <c r="AI273" s="1">
        <f t="shared" si="160"/>
        <v>0</v>
      </c>
    </row>
    <row r="274" spans="1:35" ht="14.25" customHeight="1" x14ac:dyDescent="0.25">
      <c r="A274" s="15">
        <v>0</v>
      </c>
      <c r="B274" s="15">
        <v>1</v>
      </c>
      <c r="C274" s="15">
        <v>7</v>
      </c>
      <c r="D274" s="16" t="s">
        <v>1144</v>
      </c>
      <c r="E274" s="16" t="s">
        <v>29</v>
      </c>
      <c r="F274" s="16" t="s">
        <v>1145</v>
      </c>
      <c r="G274" s="16" t="s">
        <v>1147</v>
      </c>
      <c r="H274" s="16" t="s">
        <v>354</v>
      </c>
      <c r="I274" s="15" t="s">
        <v>1146</v>
      </c>
      <c r="J274" s="15">
        <v>99</v>
      </c>
      <c r="K274" s="10" t="s">
        <v>703</v>
      </c>
      <c r="L274" s="10">
        <v>30</v>
      </c>
      <c r="M274" s="19" t="s">
        <v>1410</v>
      </c>
      <c r="N274" s="19"/>
      <c r="Q274" s="16"/>
      <c r="S274" s="1">
        <f t="shared" ref="S274:S338" si="161">IF(J274=$S$7,1,0)</f>
        <v>0</v>
      </c>
      <c r="T274" s="1">
        <f t="shared" ref="T274:T338" si="162">IF(J274=$T$7,1,0)</f>
        <v>0</v>
      </c>
      <c r="U274" s="1">
        <f t="shared" ref="U274:U338" si="163">IF(J274=$U$7,1,0)</f>
        <v>0</v>
      </c>
      <c r="V274" s="1">
        <f t="shared" ref="V274:V338" si="164">IF(J274=$V$7,1,0)</f>
        <v>0</v>
      </c>
      <c r="W274" s="1">
        <f t="shared" ref="W274:W338" si="165">IF(J274=$W$7,1,0)</f>
        <v>0</v>
      </c>
      <c r="X274" s="1">
        <f t="shared" ref="X274:X338" si="166">IF(J274=$X$7,1,0)</f>
        <v>0</v>
      </c>
      <c r="Y274" s="1">
        <f t="shared" ref="Y274:Y338" si="167">IF(J274=$Y$7,1,0)</f>
        <v>0</v>
      </c>
      <c r="Z274" s="1">
        <f t="shared" ref="Z274:Z338" si="168">IF(J274=$Z$7,1,0)</f>
        <v>0</v>
      </c>
      <c r="AA274" s="1">
        <f t="shared" ref="AA274:AA338" si="169">IF(J274=$AA$7,1,0)</f>
        <v>0</v>
      </c>
      <c r="AB274" s="1">
        <f t="shared" ref="AB274:AB338" si="170">IF(J274=$AB$7,1,0)</f>
        <v>0</v>
      </c>
      <c r="AD274" s="1">
        <f t="shared" ref="AD274:AD338" si="171">+O274*P274</f>
        <v>0</v>
      </c>
      <c r="AE274" s="1">
        <f t="shared" ref="AE274:AE338" si="172">O274*(1-P274)</f>
        <v>0</v>
      </c>
      <c r="AF274" s="1">
        <f t="shared" si="157"/>
        <v>0</v>
      </c>
      <c r="AG274" s="1">
        <f t="shared" si="158"/>
        <v>0</v>
      </c>
      <c r="AH274" s="1">
        <f t="shared" si="159"/>
        <v>0</v>
      </c>
      <c r="AI274" s="1">
        <f t="shared" si="160"/>
        <v>1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99</v>
      </c>
      <c r="E275" s="45" t="s">
        <v>29</v>
      </c>
      <c r="F275" s="45" t="s">
        <v>297</v>
      </c>
      <c r="G275" s="45" t="s">
        <v>197</v>
      </c>
      <c r="H275" s="45" t="s">
        <v>354</v>
      </c>
      <c r="I275" s="44" t="s">
        <v>446</v>
      </c>
      <c r="J275" s="44">
        <v>9</v>
      </c>
      <c r="K275" s="46" t="s">
        <v>703</v>
      </c>
      <c r="L275" s="46">
        <v>30</v>
      </c>
      <c r="M275" s="47" t="s">
        <v>708</v>
      </c>
      <c r="N275" s="47" t="s">
        <v>1735</v>
      </c>
      <c r="O275" s="48"/>
      <c r="P275" s="48"/>
      <c r="Q275" s="45"/>
      <c r="S275" s="1">
        <f t="shared" si="161"/>
        <v>0</v>
      </c>
      <c r="T275" s="1">
        <f t="shared" si="162"/>
        <v>0</v>
      </c>
      <c r="U275" s="1">
        <f t="shared" si="163"/>
        <v>0</v>
      </c>
      <c r="V275" s="1">
        <f t="shared" si="164"/>
        <v>0</v>
      </c>
      <c r="W275" s="1">
        <f t="shared" si="165"/>
        <v>0</v>
      </c>
      <c r="X275" s="1">
        <f t="shared" si="166"/>
        <v>0</v>
      </c>
      <c r="Y275" s="1">
        <f t="shared" si="167"/>
        <v>0</v>
      </c>
      <c r="Z275" s="1">
        <f t="shared" si="168"/>
        <v>0</v>
      </c>
      <c r="AA275" s="1">
        <f t="shared" si="169"/>
        <v>1</v>
      </c>
      <c r="AB275" s="1">
        <f t="shared" si="170"/>
        <v>0</v>
      </c>
      <c r="AD275" s="1">
        <f t="shared" si="171"/>
        <v>0</v>
      </c>
      <c r="AE275" s="1">
        <f t="shared" si="172"/>
        <v>0</v>
      </c>
      <c r="AF275" s="1">
        <f t="shared" si="157"/>
        <v>0</v>
      </c>
      <c r="AG275" s="1">
        <f t="shared" si="158"/>
        <v>0</v>
      </c>
      <c r="AH275" s="1">
        <f t="shared" si="159"/>
        <v>0</v>
      </c>
      <c r="AI275" s="1">
        <f t="shared" si="160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803</v>
      </c>
      <c r="E276" s="45" t="s">
        <v>29</v>
      </c>
      <c r="F276" s="45" t="s">
        <v>782</v>
      </c>
      <c r="G276" s="45" t="s">
        <v>804</v>
      </c>
      <c r="H276" s="45" t="s">
        <v>354</v>
      </c>
      <c r="I276" s="44" t="s">
        <v>952</v>
      </c>
      <c r="J276" s="44">
        <v>99</v>
      </c>
      <c r="K276" s="46" t="s">
        <v>713</v>
      </c>
      <c r="L276" s="46" t="s">
        <v>694</v>
      </c>
      <c r="M276" s="47" t="s">
        <v>708</v>
      </c>
      <c r="N276" s="47" t="s">
        <v>1802</v>
      </c>
      <c r="O276" s="48"/>
      <c r="P276" s="48"/>
      <c r="Q276" s="45"/>
      <c r="S276" s="1">
        <f t="shared" si="161"/>
        <v>0</v>
      </c>
      <c r="T276" s="1">
        <f t="shared" si="162"/>
        <v>0</v>
      </c>
      <c r="U276" s="1">
        <f t="shared" si="163"/>
        <v>0</v>
      </c>
      <c r="V276" s="1">
        <f t="shared" si="164"/>
        <v>0</v>
      </c>
      <c r="W276" s="1">
        <f t="shared" si="165"/>
        <v>0</v>
      </c>
      <c r="X276" s="1">
        <f t="shared" si="166"/>
        <v>0</v>
      </c>
      <c r="Y276" s="1">
        <f t="shared" si="167"/>
        <v>0</v>
      </c>
      <c r="Z276" s="1">
        <f t="shared" si="168"/>
        <v>0</v>
      </c>
      <c r="AA276" s="1">
        <f t="shared" si="169"/>
        <v>0</v>
      </c>
      <c r="AB276" s="1">
        <f t="shared" si="170"/>
        <v>0</v>
      </c>
      <c r="AD276" s="1">
        <f t="shared" si="171"/>
        <v>0</v>
      </c>
      <c r="AE276" s="1">
        <f t="shared" si="172"/>
        <v>0</v>
      </c>
      <c r="AF276" s="1">
        <f t="shared" si="157"/>
        <v>0</v>
      </c>
      <c r="AG276" s="1">
        <f t="shared" si="158"/>
        <v>0</v>
      </c>
      <c r="AH276" s="1">
        <f t="shared" si="159"/>
        <v>0</v>
      </c>
      <c r="AI276" s="1">
        <f t="shared" si="160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1324</v>
      </c>
      <c r="E277" s="45" t="s">
        <v>29</v>
      </c>
      <c r="F277" s="45" t="s">
        <v>1347</v>
      </c>
      <c r="G277" s="45" t="s">
        <v>1181</v>
      </c>
      <c r="H277" s="45" t="s">
        <v>354</v>
      </c>
      <c r="I277" s="44" t="s">
        <v>1692</v>
      </c>
      <c r="J277" s="44">
        <v>99</v>
      </c>
      <c r="K277" s="46" t="s">
        <v>713</v>
      </c>
      <c r="L277" s="46" t="s">
        <v>694</v>
      </c>
      <c r="M277" s="47" t="s">
        <v>1411</v>
      </c>
      <c r="N277" s="47" t="s">
        <v>1738</v>
      </c>
      <c r="O277" s="48"/>
      <c r="P277" s="48"/>
      <c r="Q277" s="45"/>
      <c r="S277" s="1">
        <f t="shared" si="161"/>
        <v>0</v>
      </c>
      <c r="T277" s="1">
        <f t="shared" si="162"/>
        <v>0</v>
      </c>
      <c r="U277" s="1">
        <f t="shared" si="163"/>
        <v>0</v>
      </c>
      <c r="V277" s="1">
        <f t="shared" si="164"/>
        <v>0</v>
      </c>
      <c r="W277" s="1">
        <f t="shared" si="165"/>
        <v>0</v>
      </c>
      <c r="X277" s="1">
        <f t="shared" si="166"/>
        <v>0</v>
      </c>
      <c r="Y277" s="1">
        <f t="shared" si="167"/>
        <v>0</v>
      </c>
      <c r="Z277" s="1">
        <f t="shared" si="168"/>
        <v>0</v>
      </c>
      <c r="AA277" s="1">
        <f t="shared" si="169"/>
        <v>0</v>
      </c>
      <c r="AB277" s="1">
        <f t="shared" si="170"/>
        <v>0</v>
      </c>
      <c r="AD277" s="1">
        <f t="shared" si="171"/>
        <v>0</v>
      </c>
      <c r="AE277" s="1">
        <f t="shared" si="172"/>
        <v>0</v>
      </c>
      <c r="AF277" s="1">
        <f t="shared" si="157"/>
        <v>0</v>
      </c>
      <c r="AG277" s="1">
        <f t="shared" si="158"/>
        <v>0</v>
      </c>
      <c r="AH277" s="1">
        <f t="shared" si="159"/>
        <v>0</v>
      </c>
      <c r="AI277" s="1">
        <f t="shared" si="160"/>
        <v>1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1279</v>
      </c>
      <c r="E278" s="16" t="s">
        <v>29</v>
      </c>
      <c r="F278" s="16" t="s">
        <v>1280</v>
      </c>
      <c r="G278" s="16" t="s">
        <v>1281</v>
      </c>
      <c r="H278" s="16" t="s">
        <v>354</v>
      </c>
      <c r="I278" s="15" t="s">
        <v>1282</v>
      </c>
      <c r="J278" s="15">
        <v>99</v>
      </c>
      <c r="K278" s="10" t="s">
        <v>713</v>
      </c>
      <c r="L278" s="10" t="s">
        <v>694</v>
      </c>
      <c r="M278" s="19" t="s">
        <v>708</v>
      </c>
      <c r="N278" s="17"/>
      <c r="Q278" s="16"/>
      <c r="S278" s="1">
        <f t="shared" si="161"/>
        <v>0</v>
      </c>
      <c r="T278" s="1">
        <f t="shared" si="162"/>
        <v>0</v>
      </c>
      <c r="U278" s="1">
        <f t="shared" si="163"/>
        <v>0</v>
      </c>
      <c r="V278" s="1">
        <f t="shared" si="164"/>
        <v>0</v>
      </c>
      <c r="W278" s="1">
        <f t="shared" si="165"/>
        <v>0</v>
      </c>
      <c r="X278" s="1">
        <f t="shared" si="166"/>
        <v>0</v>
      </c>
      <c r="Y278" s="1">
        <f t="shared" si="167"/>
        <v>0</v>
      </c>
      <c r="Z278" s="1">
        <f t="shared" si="168"/>
        <v>0</v>
      </c>
      <c r="AA278" s="1">
        <f t="shared" si="169"/>
        <v>0</v>
      </c>
      <c r="AB278" s="1">
        <f t="shared" si="170"/>
        <v>0</v>
      </c>
      <c r="AD278" s="1">
        <f t="shared" si="171"/>
        <v>0</v>
      </c>
      <c r="AE278" s="1">
        <f t="shared" si="172"/>
        <v>0</v>
      </c>
      <c r="AF278" s="1">
        <f t="shared" si="157"/>
        <v>0</v>
      </c>
      <c r="AG278" s="1">
        <f t="shared" si="158"/>
        <v>0</v>
      </c>
      <c r="AH278" s="1">
        <f t="shared" si="159"/>
        <v>0</v>
      </c>
      <c r="AI278" s="1">
        <f t="shared" si="160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2" t="s">
        <v>709</v>
      </c>
      <c r="E279" s="32" t="s">
        <v>29</v>
      </c>
      <c r="F279" s="32" t="s">
        <v>710</v>
      </c>
      <c r="G279" s="32" t="s">
        <v>184</v>
      </c>
      <c r="H279" s="32" t="s">
        <v>354</v>
      </c>
      <c r="I279" s="31" t="s">
        <v>711</v>
      </c>
      <c r="J279" s="31">
        <v>99</v>
      </c>
      <c r="K279" s="33" t="s">
        <v>955</v>
      </c>
      <c r="L279" s="33" t="s">
        <v>39</v>
      </c>
      <c r="M279" s="34" t="s">
        <v>39</v>
      </c>
      <c r="N279" s="34" t="s">
        <v>1733</v>
      </c>
      <c r="O279" s="35">
        <v>1</v>
      </c>
      <c r="P279" s="35">
        <v>1</v>
      </c>
      <c r="Q279" s="32"/>
      <c r="S279" s="1">
        <f t="shared" si="161"/>
        <v>0</v>
      </c>
      <c r="T279" s="1">
        <f t="shared" si="162"/>
        <v>0</v>
      </c>
      <c r="U279" s="1">
        <f t="shared" si="163"/>
        <v>0</v>
      </c>
      <c r="V279" s="1">
        <f t="shared" si="164"/>
        <v>0</v>
      </c>
      <c r="W279" s="1">
        <f t="shared" si="165"/>
        <v>0</v>
      </c>
      <c r="X279" s="1">
        <f t="shared" si="166"/>
        <v>0</v>
      </c>
      <c r="Y279" s="1">
        <f t="shared" si="167"/>
        <v>0</v>
      </c>
      <c r="Z279" s="1">
        <f t="shared" si="168"/>
        <v>0</v>
      </c>
      <c r="AA279" s="1">
        <f t="shared" si="169"/>
        <v>0</v>
      </c>
      <c r="AB279" s="1">
        <f t="shared" si="170"/>
        <v>0</v>
      </c>
      <c r="AD279" s="1">
        <f t="shared" si="171"/>
        <v>1</v>
      </c>
      <c r="AE279" s="1">
        <f t="shared" si="172"/>
        <v>0</v>
      </c>
      <c r="AF279" s="1">
        <f t="shared" si="157"/>
        <v>1</v>
      </c>
      <c r="AG279" s="1">
        <f t="shared" si="158"/>
        <v>0</v>
      </c>
      <c r="AH279" s="1">
        <f t="shared" si="159"/>
        <v>1</v>
      </c>
      <c r="AI279" s="1">
        <f t="shared" si="160"/>
        <v>0</v>
      </c>
    </row>
    <row r="280" spans="1:35" ht="14.25" customHeight="1" x14ac:dyDescent="0.25">
      <c r="A280" s="31">
        <v>0</v>
      </c>
      <c r="B280" s="31">
        <v>2</v>
      </c>
      <c r="C280" s="31">
        <v>1</v>
      </c>
      <c r="D280" s="32" t="s">
        <v>536</v>
      </c>
      <c r="E280" s="32" t="s">
        <v>34</v>
      </c>
      <c r="F280" s="32" t="s">
        <v>537</v>
      </c>
      <c r="G280" s="32" t="s">
        <v>220</v>
      </c>
      <c r="H280" s="32" t="s">
        <v>354</v>
      </c>
      <c r="I280" s="31" t="s">
        <v>538</v>
      </c>
      <c r="J280" s="31">
        <v>8</v>
      </c>
      <c r="K280" s="33" t="s">
        <v>713</v>
      </c>
      <c r="L280" s="33" t="s">
        <v>713</v>
      </c>
      <c r="M280" s="34" t="s">
        <v>714</v>
      </c>
      <c r="N280" s="34" t="s">
        <v>1748</v>
      </c>
      <c r="O280" s="35">
        <v>1</v>
      </c>
      <c r="P280" s="35"/>
      <c r="Q280" s="32"/>
      <c r="S280" s="1">
        <f t="shared" si="161"/>
        <v>0</v>
      </c>
      <c r="T280" s="1">
        <f t="shared" si="162"/>
        <v>0</v>
      </c>
      <c r="U280" s="1">
        <f t="shared" si="163"/>
        <v>0</v>
      </c>
      <c r="V280" s="1">
        <f t="shared" si="164"/>
        <v>0</v>
      </c>
      <c r="W280" s="1">
        <f t="shared" si="165"/>
        <v>0</v>
      </c>
      <c r="X280" s="1">
        <f t="shared" si="166"/>
        <v>0</v>
      </c>
      <c r="Y280" s="1">
        <f t="shared" si="167"/>
        <v>0</v>
      </c>
      <c r="Z280" s="1">
        <f t="shared" si="168"/>
        <v>1</v>
      </c>
      <c r="AA280" s="1">
        <f t="shared" si="169"/>
        <v>0</v>
      </c>
      <c r="AB280" s="1">
        <f t="shared" si="170"/>
        <v>0</v>
      </c>
      <c r="AD280" s="1">
        <f t="shared" si="171"/>
        <v>0</v>
      </c>
      <c r="AE280" s="1">
        <f t="shared" si="172"/>
        <v>1</v>
      </c>
      <c r="AF280" s="1">
        <f t="shared" si="157"/>
        <v>0</v>
      </c>
      <c r="AG280" s="1">
        <f t="shared" si="158"/>
        <v>1</v>
      </c>
      <c r="AH280" s="1">
        <f t="shared" si="159"/>
        <v>0</v>
      </c>
      <c r="AI280" s="1">
        <f t="shared" si="160"/>
        <v>1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1290</v>
      </c>
      <c r="E281" s="32" t="s">
        <v>561</v>
      </c>
      <c r="F281" s="32" t="s">
        <v>1291</v>
      </c>
      <c r="G281" s="32" t="s">
        <v>230</v>
      </c>
      <c r="H281" s="32" t="s">
        <v>354</v>
      </c>
      <c r="I281" s="31" t="s">
        <v>1292</v>
      </c>
      <c r="J281" s="31">
        <v>7</v>
      </c>
      <c r="K281" s="33" t="s">
        <v>713</v>
      </c>
      <c r="L281" s="33" t="s">
        <v>713</v>
      </c>
      <c r="M281" s="34" t="s">
        <v>714</v>
      </c>
      <c r="N281" s="34" t="s">
        <v>1756</v>
      </c>
      <c r="O281" s="35">
        <v>1</v>
      </c>
      <c r="P281" s="35"/>
      <c r="Q281" s="32"/>
      <c r="S281" s="1">
        <f t="shared" si="161"/>
        <v>0</v>
      </c>
      <c r="T281" s="1">
        <f t="shared" si="162"/>
        <v>0</v>
      </c>
      <c r="U281" s="1">
        <f t="shared" si="163"/>
        <v>0</v>
      </c>
      <c r="V281" s="1">
        <f t="shared" si="164"/>
        <v>0</v>
      </c>
      <c r="W281" s="1">
        <f t="shared" si="165"/>
        <v>0</v>
      </c>
      <c r="X281" s="1">
        <f t="shared" si="166"/>
        <v>0</v>
      </c>
      <c r="Y281" s="1">
        <f t="shared" si="167"/>
        <v>1</v>
      </c>
      <c r="Z281" s="1">
        <f t="shared" si="168"/>
        <v>0</v>
      </c>
      <c r="AA281" s="1">
        <f t="shared" si="169"/>
        <v>0</v>
      </c>
      <c r="AB281" s="1">
        <f t="shared" si="170"/>
        <v>0</v>
      </c>
      <c r="AD281" s="1">
        <f t="shared" si="171"/>
        <v>0</v>
      </c>
      <c r="AE281" s="1">
        <f t="shared" si="172"/>
        <v>1</v>
      </c>
      <c r="AF281" s="1">
        <f t="shared" si="157"/>
        <v>0</v>
      </c>
      <c r="AG281" s="1">
        <f t="shared" si="158"/>
        <v>1</v>
      </c>
      <c r="AH281" s="1">
        <f t="shared" si="159"/>
        <v>0</v>
      </c>
      <c r="AI281" s="1">
        <f t="shared" si="160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1326</v>
      </c>
      <c r="E282" s="32" t="s">
        <v>561</v>
      </c>
      <c r="F282" s="32" t="s">
        <v>1988</v>
      </c>
      <c r="G282" s="32" t="s">
        <v>213</v>
      </c>
      <c r="H282" s="32" t="s">
        <v>354</v>
      </c>
      <c r="I282" s="31" t="s">
        <v>1156</v>
      </c>
      <c r="J282" s="31">
        <v>1</v>
      </c>
      <c r="K282" s="33" t="s">
        <v>954</v>
      </c>
      <c r="L282" s="33" t="s">
        <v>713</v>
      </c>
      <c r="M282" s="34" t="s">
        <v>714</v>
      </c>
      <c r="N282" s="34" t="s">
        <v>1761</v>
      </c>
      <c r="O282" s="35">
        <v>1</v>
      </c>
      <c r="P282" s="35"/>
      <c r="Q282" s="32"/>
      <c r="S282" s="1">
        <f t="shared" si="161"/>
        <v>1</v>
      </c>
      <c r="T282" s="1">
        <f t="shared" si="162"/>
        <v>0</v>
      </c>
      <c r="U282" s="1">
        <f t="shared" si="163"/>
        <v>0</v>
      </c>
      <c r="V282" s="1">
        <f t="shared" si="164"/>
        <v>0</v>
      </c>
      <c r="W282" s="1">
        <f t="shared" si="165"/>
        <v>0</v>
      </c>
      <c r="X282" s="1">
        <f t="shared" si="166"/>
        <v>0</v>
      </c>
      <c r="Y282" s="1">
        <f t="shared" si="167"/>
        <v>0</v>
      </c>
      <c r="Z282" s="1">
        <f t="shared" si="168"/>
        <v>0</v>
      </c>
      <c r="AA282" s="1">
        <f t="shared" si="169"/>
        <v>0</v>
      </c>
      <c r="AB282" s="1">
        <f t="shared" si="170"/>
        <v>0</v>
      </c>
      <c r="AD282" s="1">
        <f t="shared" si="171"/>
        <v>0</v>
      </c>
      <c r="AE282" s="1">
        <f t="shared" si="172"/>
        <v>1</v>
      </c>
      <c r="AF282" s="1">
        <f t="shared" si="157"/>
        <v>0</v>
      </c>
      <c r="AG282" s="1">
        <f t="shared" si="158"/>
        <v>1</v>
      </c>
      <c r="AH282" s="1">
        <f t="shared" si="159"/>
        <v>0</v>
      </c>
      <c r="AI282" s="1">
        <f t="shared" si="160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1327</v>
      </c>
      <c r="E283" s="32" t="s">
        <v>561</v>
      </c>
      <c r="F283" s="32" t="s">
        <v>1151</v>
      </c>
      <c r="G283" s="32" t="s">
        <v>285</v>
      </c>
      <c r="H283" s="32" t="s">
        <v>354</v>
      </c>
      <c r="I283" s="31" t="s">
        <v>1152</v>
      </c>
      <c r="J283" s="31">
        <v>10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61"/>
        <v>0</v>
      </c>
      <c r="T283" s="1">
        <f t="shared" si="162"/>
        <v>0</v>
      </c>
      <c r="U283" s="1">
        <f t="shared" si="163"/>
        <v>0</v>
      </c>
      <c r="V283" s="1">
        <f t="shared" si="164"/>
        <v>0</v>
      </c>
      <c r="W283" s="1">
        <f t="shared" si="165"/>
        <v>0</v>
      </c>
      <c r="X283" s="1">
        <f t="shared" si="166"/>
        <v>0</v>
      </c>
      <c r="Y283" s="1">
        <f t="shared" si="167"/>
        <v>0</v>
      </c>
      <c r="Z283" s="1">
        <f t="shared" si="168"/>
        <v>0</v>
      </c>
      <c r="AA283" s="1">
        <f t="shared" si="169"/>
        <v>0</v>
      </c>
      <c r="AB283" s="1">
        <f t="shared" si="170"/>
        <v>1</v>
      </c>
      <c r="AD283" s="1">
        <f t="shared" si="171"/>
        <v>0</v>
      </c>
      <c r="AE283" s="1">
        <f t="shared" si="172"/>
        <v>1</v>
      </c>
      <c r="AF283" s="1">
        <f t="shared" si="157"/>
        <v>0</v>
      </c>
      <c r="AG283" s="1">
        <f t="shared" si="158"/>
        <v>1</v>
      </c>
      <c r="AH283" s="1">
        <f t="shared" si="159"/>
        <v>0</v>
      </c>
      <c r="AI283" s="1">
        <f t="shared" si="160"/>
        <v>1</v>
      </c>
    </row>
    <row r="284" spans="1:35" ht="14.25" customHeight="1" x14ac:dyDescent="0.25">
      <c r="A284" s="15">
        <v>0</v>
      </c>
      <c r="B284" s="15">
        <v>2</v>
      </c>
      <c r="C284" s="15">
        <v>1</v>
      </c>
      <c r="D284" s="16" t="s">
        <v>512</v>
      </c>
      <c r="E284" s="16" t="s">
        <v>34</v>
      </c>
      <c r="F284" s="16" t="s">
        <v>511</v>
      </c>
      <c r="G284" s="16" t="s">
        <v>546</v>
      </c>
      <c r="H284" s="16" t="s">
        <v>354</v>
      </c>
      <c r="I284" s="15" t="s">
        <v>1364</v>
      </c>
      <c r="J284" s="15">
        <v>99</v>
      </c>
      <c r="K284" s="10" t="s">
        <v>955</v>
      </c>
      <c r="L284" s="10" t="s">
        <v>713</v>
      </c>
      <c r="M284" s="19" t="s">
        <v>714</v>
      </c>
      <c r="N284" s="19"/>
      <c r="Q284" s="20" t="s">
        <v>2013</v>
      </c>
      <c r="S284" s="1">
        <f t="shared" si="161"/>
        <v>0</v>
      </c>
      <c r="T284" s="1">
        <f t="shared" si="162"/>
        <v>0</v>
      </c>
      <c r="U284" s="1">
        <f t="shared" si="163"/>
        <v>0</v>
      </c>
      <c r="V284" s="1">
        <f t="shared" si="164"/>
        <v>0</v>
      </c>
      <c r="W284" s="1">
        <f t="shared" si="165"/>
        <v>0</v>
      </c>
      <c r="X284" s="1">
        <f t="shared" si="166"/>
        <v>0</v>
      </c>
      <c r="Y284" s="1">
        <f t="shared" si="167"/>
        <v>0</v>
      </c>
      <c r="Z284" s="1">
        <f t="shared" si="168"/>
        <v>0</v>
      </c>
      <c r="AA284" s="1">
        <f t="shared" si="169"/>
        <v>0</v>
      </c>
      <c r="AB284" s="1">
        <f t="shared" si="170"/>
        <v>0</v>
      </c>
      <c r="AD284" s="1">
        <f t="shared" si="171"/>
        <v>0</v>
      </c>
      <c r="AE284" s="1">
        <f t="shared" si="172"/>
        <v>0</v>
      </c>
      <c r="AF284" s="1">
        <f t="shared" si="157"/>
        <v>0</v>
      </c>
      <c r="AG284" s="1">
        <f t="shared" si="158"/>
        <v>0</v>
      </c>
      <c r="AH284" s="1">
        <f t="shared" si="159"/>
        <v>0</v>
      </c>
      <c r="AI284" s="1">
        <f t="shared" si="160"/>
        <v>1</v>
      </c>
    </row>
    <row r="285" spans="1:35" ht="14.25" customHeight="1" x14ac:dyDescent="0.25">
      <c r="A285" s="38">
        <v>0</v>
      </c>
      <c r="B285" s="38">
        <v>2</v>
      </c>
      <c r="C285" s="38">
        <v>1</v>
      </c>
      <c r="D285" s="39" t="s">
        <v>1042</v>
      </c>
      <c r="E285" s="39" t="s">
        <v>36</v>
      </c>
      <c r="F285" s="39" t="s">
        <v>1659</v>
      </c>
      <c r="G285" s="39" t="s">
        <v>628</v>
      </c>
      <c r="H285" s="39" t="s">
        <v>354</v>
      </c>
      <c r="I285" s="38" t="s">
        <v>1043</v>
      </c>
      <c r="J285" s="38">
        <v>99</v>
      </c>
      <c r="K285" s="40" t="s">
        <v>959</v>
      </c>
      <c r="L285" s="40" t="s">
        <v>713</v>
      </c>
      <c r="M285" s="41" t="s">
        <v>714</v>
      </c>
      <c r="N285" s="42"/>
      <c r="O285" s="43"/>
      <c r="P285" s="43">
        <v>1</v>
      </c>
      <c r="Q285" s="54" t="s">
        <v>1899</v>
      </c>
      <c r="S285" s="1">
        <f t="shared" si="161"/>
        <v>0</v>
      </c>
      <c r="T285" s="1">
        <f t="shared" si="162"/>
        <v>0</v>
      </c>
      <c r="U285" s="1">
        <f t="shared" si="163"/>
        <v>0</v>
      </c>
      <c r="V285" s="1">
        <f t="shared" si="164"/>
        <v>0</v>
      </c>
      <c r="W285" s="1">
        <f t="shared" si="165"/>
        <v>0</v>
      </c>
      <c r="X285" s="1">
        <f t="shared" si="166"/>
        <v>0</v>
      </c>
      <c r="Y285" s="1">
        <f t="shared" si="167"/>
        <v>0</v>
      </c>
      <c r="Z285" s="1">
        <f t="shared" si="168"/>
        <v>0</v>
      </c>
      <c r="AA285" s="1">
        <f t="shared" si="169"/>
        <v>0</v>
      </c>
      <c r="AB285" s="1">
        <f t="shared" si="170"/>
        <v>0</v>
      </c>
      <c r="AD285" s="1">
        <f t="shared" si="171"/>
        <v>0</v>
      </c>
      <c r="AE285" s="1">
        <f t="shared" si="172"/>
        <v>0</v>
      </c>
      <c r="AF285" s="1">
        <f t="shared" si="157"/>
        <v>0</v>
      </c>
      <c r="AG285" s="1">
        <f t="shared" si="158"/>
        <v>0</v>
      </c>
      <c r="AH285" s="1">
        <f t="shared" si="159"/>
        <v>1</v>
      </c>
      <c r="AI285" s="1">
        <f t="shared" si="160"/>
        <v>0</v>
      </c>
    </row>
    <row r="286" spans="1:35" ht="14.25" customHeight="1" x14ac:dyDescent="0.25">
      <c r="A286" s="31">
        <v>1</v>
      </c>
      <c r="B286" s="31">
        <v>2</v>
      </c>
      <c r="C286" s="31">
        <v>1</v>
      </c>
      <c r="D286" s="32" t="s">
        <v>49</v>
      </c>
      <c r="E286" s="32" t="s">
        <v>1314</v>
      </c>
      <c r="F286" s="32" t="s">
        <v>191</v>
      </c>
      <c r="G286" s="32" t="s">
        <v>192</v>
      </c>
      <c r="H286" s="32" t="s">
        <v>354</v>
      </c>
      <c r="I286" s="31" t="s">
        <v>386</v>
      </c>
      <c r="J286" s="31">
        <v>99</v>
      </c>
      <c r="K286" s="33" t="s">
        <v>712</v>
      </c>
      <c r="L286" s="33" t="s">
        <v>713</v>
      </c>
      <c r="M286" s="34" t="s">
        <v>714</v>
      </c>
      <c r="N286" s="34" t="s">
        <v>1756</v>
      </c>
      <c r="O286" s="35">
        <v>1</v>
      </c>
      <c r="P286" s="35"/>
      <c r="Q286" s="32"/>
      <c r="S286" s="1">
        <f t="shared" si="161"/>
        <v>0</v>
      </c>
      <c r="T286" s="1">
        <f t="shared" si="162"/>
        <v>0</v>
      </c>
      <c r="U286" s="1">
        <f t="shared" si="163"/>
        <v>0</v>
      </c>
      <c r="V286" s="1">
        <f t="shared" si="164"/>
        <v>0</v>
      </c>
      <c r="W286" s="1">
        <f t="shared" si="165"/>
        <v>0</v>
      </c>
      <c r="X286" s="1">
        <f t="shared" si="166"/>
        <v>0</v>
      </c>
      <c r="Y286" s="1">
        <f t="shared" si="167"/>
        <v>0</v>
      </c>
      <c r="Z286" s="1">
        <f t="shared" si="168"/>
        <v>0</v>
      </c>
      <c r="AA286" s="1">
        <f t="shared" si="169"/>
        <v>0</v>
      </c>
      <c r="AB286" s="1">
        <f t="shared" si="170"/>
        <v>0</v>
      </c>
      <c r="AD286" s="1">
        <f t="shared" si="171"/>
        <v>0</v>
      </c>
      <c r="AE286" s="1">
        <f t="shared" si="172"/>
        <v>1</v>
      </c>
      <c r="AF286" s="1">
        <f t="shared" si="157"/>
        <v>0</v>
      </c>
      <c r="AG286" s="1">
        <f t="shared" si="158"/>
        <v>0</v>
      </c>
      <c r="AH286" s="1">
        <f t="shared" si="159"/>
        <v>0</v>
      </c>
      <c r="AI286" s="1">
        <f t="shared" si="160"/>
        <v>0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1074</v>
      </c>
      <c r="E287" s="32" t="s">
        <v>1314</v>
      </c>
      <c r="F287" s="32" t="s">
        <v>1089</v>
      </c>
      <c r="G287" s="32" t="s">
        <v>202</v>
      </c>
      <c r="H287" s="32" t="s">
        <v>354</v>
      </c>
      <c r="I287" s="31" t="s">
        <v>386</v>
      </c>
      <c r="J287" s="31">
        <v>10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61"/>
        <v>0</v>
      </c>
      <c r="T287" s="1">
        <f t="shared" si="162"/>
        <v>0</v>
      </c>
      <c r="U287" s="1">
        <f t="shared" si="163"/>
        <v>0</v>
      </c>
      <c r="V287" s="1">
        <f t="shared" si="164"/>
        <v>0</v>
      </c>
      <c r="W287" s="1">
        <f t="shared" si="165"/>
        <v>0</v>
      </c>
      <c r="X287" s="1">
        <f t="shared" si="166"/>
        <v>0</v>
      </c>
      <c r="Y287" s="1">
        <f t="shared" si="167"/>
        <v>0</v>
      </c>
      <c r="Z287" s="1">
        <f t="shared" si="168"/>
        <v>0</v>
      </c>
      <c r="AA287" s="1">
        <f t="shared" si="169"/>
        <v>0</v>
      </c>
      <c r="AB287" s="1">
        <f t="shared" si="170"/>
        <v>1</v>
      </c>
      <c r="AD287" s="1">
        <f t="shared" si="171"/>
        <v>0</v>
      </c>
      <c r="AE287" s="1">
        <f t="shared" si="172"/>
        <v>1</v>
      </c>
      <c r="AF287" s="1">
        <f t="shared" si="157"/>
        <v>0</v>
      </c>
      <c r="AG287" s="1">
        <f t="shared" si="158"/>
        <v>1</v>
      </c>
      <c r="AH287" s="1">
        <f t="shared" si="159"/>
        <v>0</v>
      </c>
      <c r="AI287" s="1">
        <f t="shared" si="160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1273</v>
      </c>
      <c r="E288" s="32" t="s">
        <v>561</v>
      </c>
      <c r="F288" s="32" t="s">
        <v>1274</v>
      </c>
      <c r="G288" s="32" t="s">
        <v>258</v>
      </c>
      <c r="H288" s="32" t="s">
        <v>354</v>
      </c>
      <c r="I288" s="31" t="s">
        <v>1275</v>
      </c>
      <c r="J288" s="31">
        <v>8</v>
      </c>
      <c r="K288" s="33" t="s">
        <v>954</v>
      </c>
      <c r="L288" s="33" t="s">
        <v>713</v>
      </c>
      <c r="M288" s="34" t="s">
        <v>714</v>
      </c>
      <c r="N288" s="34" t="s">
        <v>1748</v>
      </c>
      <c r="O288" s="35">
        <v>1</v>
      </c>
      <c r="P288" s="35"/>
      <c r="Q288" s="32"/>
      <c r="S288" s="1">
        <f t="shared" si="161"/>
        <v>0</v>
      </c>
      <c r="T288" s="1">
        <f t="shared" si="162"/>
        <v>0</v>
      </c>
      <c r="U288" s="1">
        <f t="shared" si="163"/>
        <v>0</v>
      </c>
      <c r="V288" s="1">
        <f t="shared" si="164"/>
        <v>0</v>
      </c>
      <c r="W288" s="1">
        <f t="shared" si="165"/>
        <v>0</v>
      </c>
      <c r="X288" s="1">
        <f t="shared" si="166"/>
        <v>0</v>
      </c>
      <c r="Y288" s="1">
        <f t="shared" si="167"/>
        <v>0</v>
      </c>
      <c r="Z288" s="1">
        <f t="shared" si="168"/>
        <v>1</v>
      </c>
      <c r="AA288" s="1">
        <f t="shared" si="169"/>
        <v>0</v>
      </c>
      <c r="AB288" s="1">
        <f t="shared" si="170"/>
        <v>0</v>
      </c>
      <c r="AD288" s="1">
        <f t="shared" si="171"/>
        <v>0</v>
      </c>
      <c r="AE288" s="1">
        <f t="shared" si="172"/>
        <v>1</v>
      </c>
      <c r="AF288" s="1">
        <f t="shared" si="157"/>
        <v>0</v>
      </c>
      <c r="AG288" s="1">
        <f t="shared" si="158"/>
        <v>1</v>
      </c>
      <c r="AH288" s="1">
        <f t="shared" si="159"/>
        <v>0</v>
      </c>
      <c r="AI288" s="1">
        <f t="shared" si="160"/>
        <v>1</v>
      </c>
    </row>
    <row r="289" spans="1:35" ht="14.25" customHeight="1" x14ac:dyDescent="0.25">
      <c r="A289" s="44">
        <v>0</v>
      </c>
      <c r="B289" s="44">
        <v>2</v>
      </c>
      <c r="C289" s="44">
        <v>1</v>
      </c>
      <c r="D289" s="45" t="s">
        <v>48</v>
      </c>
      <c r="E289" s="45" t="s">
        <v>578</v>
      </c>
      <c r="F289" s="45" t="s">
        <v>189</v>
      </c>
      <c r="G289" s="45" t="s">
        <v>300</v>
      </c>
      <c r="H289" s="45" t="s">
        <v>354</v>
      </c>
      <c r="I289" s="44" t="s">
        <v>385</v>
      </c>
      <c r="J289" s="44">
        <v>99</v>
      </c>
      <c r="K289" s="46" t="s">
        <v>713</v>
      </c>
      <c r="L289" s="46" t="s">
        <v>713</v>
      </c>
      <c r="M289" s="47" t="s">
        <v>714</v>
      </c>
      <c r="N289" s="47" t="s">
        <v>1747</v>
      </c>
      <c r="O289" s="48"/>
      <c r="P289" s="48"/>
      <c r="Q289" s="45"/>
      <c r="S289" s="1">
        <f t="shared" si="161"/>
        <v>0</v>
      </c>
      <c r="T289" s="1">
        <f t="shared" si="162"/>
        <v>0</v>
      </c>
      <c r="U289" s="1">
        <f t="shared" si="163"/>
        <v>0</v>
      </c>
      <c r="V289" s="1">
        <f t="shared" si="164"/>
        <v>0</v>
      </c>
      <c r="W289" s="1">
        <f t="shared" si="165"/>
        <v>0</v>
      </c>
      <c r="X289" s="1">
        <f t="shared" si="166"/>
        <v>0</v>
      </c>
      <c r="Y289" s="1">
        <f t="shared" si="167"/>
        <v>0</v>
      </c>
      <c r="Z289" s="1">
        <f t="shared" si="168"/>
        <v>0</v>
      </c>
      <c r="AA289" s="1">
        <f t="shared" si="169"/>
        <v>0</v>
      </c>
      <c r="AB289" s="1">
        <f t="shared" si="170"/>
        <v>0</v>
      </c>
      <c r="AD289" s="1">
        <f t="shared" si="171"/>
        <v>0</v>
      </c>
      <c r="AE289" s="1">
        <f t="shared" si="172"/>
        <v>0</v>
      </c>
      <c r="AF289" s="1">
        <f t="shared" si="157"/>
        <v>0</v>
      </c>
      <c r="AG289" s="1">
        <f t="shared" si="158"/>
        <v>0</v>
      </c>
      <c r="AH289" s="1">
        <f t="shared" si="159"/>
        <v>0</v>
      </c>
      <c r="AI289" s="1">
        <f t="shared" si="160"/>
        <v>1</v>
      </c>
    </row>
    <row r="290" spans="1:35" ht="14.25" customHeight="1" x14ac:dyDescent="0.25">
      <c r="A290" s="15">
        <v>0</v>
      </c>
      <c r="B290" s="15">
        <v>2</v>
      </c>
      <c r="C290" s="15">
        <v>1</v>
      </c>
      <c r="D290" s="16" t="s">
        <v>57</v>
      </c>
      <c r="E290" s="16" t="s">
        <v>162</v>
      </c>
      <c r="F290" s="16" t="s">
        <v>666</v>
      </c>
      <c r="G290" s="16" t="s">
        <v>221</v>
      </c>
      <c r="H290" s="16" t="s">
        <v>354</v>
      </c>
      <c r="I290" s="15" t="s">
        <v>396</v>
      </c>
      <c r="J290" s="15">
        <v>99</v>
      </c>
      <c r="K290" s="10" t="s">
        <v>961</v>
      </c>
      <c r="L290" s="10" t="s">
        <v>713</v>
      </c>
      <c r="M290" s="19" t="s">
        <v>714</v>
      </c>
      <c r="N290" s="19"/>
      <c r="Q290" s="16"/>
      <c r="S290" s="1">
        <f t="shared" si="161"/>
        <v>0</v>
      </c>
      <c r="T290" s="1">
        <f t="shared" si="162"/>
        <v>0</v>
      </c>
      <c r="U290" s="1">
        <f t="shared" si="163"/>
        <v>0</v>
      </c>
      <c r="V290" s="1">
        <f t="shared" si="164"/>
        <v>0</v>
      </c>
      <c r="W290" s="1">
        <f t="shared" si="165"/>
        <v>0</v>
      </c>
      <c r="X290" s="1">
        <f t="shared" si="166"/>
        <v>0</v>
      </c>
      <c r="Y290" s="1">
        <f t="shared" si="167"/>
        <v>0</v>
      </c>
      <c r="Z290" s="1">
        <f t="shared" si="168"/>
        <v>0</v>
      </c>
      <c r="AA290" s="1">
        <f t="shared" si="169"/>
        <v>0</v>
      </c>
      <c r="AB290" s="1">
        <f t="shared" si="170"/>
        <v>0</v>
      </c>
      <c r="AD290" s="1">
        <f t="shared" si="171"/>
        <v>0</v>
      </c>
      <c r="AE290" s="1">
        <f t="shared" si="172"/>
        <v>0</v>
      </c>
      <c r="AF290" s="1">
        <f t="shared" si="157"/>
        <v>0</v>
      </c>
      <c r="AG290" s="1">
        <f t="shared" si="158"/>
        <v>0</v>
      </c>
      <c r="AH290" s="1">
        <f t="shared" si="159"/>
        <v>0</v>
      </c>
      <c r="AI290" s="1">
        <f t="shared" si="160"/>
        <v>1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515</v>
      </c>
      <c r="E291" s="32" t="s">
        <v>561</v>
      </c>
      <c r="F291" s="32" t="s">
        <v>229</v>
      </c>
      <c r="G291" s="32" t="s">
        <v>230</v>
      </c>
      <c r="H291" s="32" t="s">
        <v>354</v>
      </c>
      <c r="I291" s="31" t="s">
        <v>400</v>
      </c>
      <c r="J291" s="31">
        <v>7</v>
      </c>
      <c r="K291" s="33" t="s">
        <v>954</v>
      </c>
      <c r="L291" s="33" t="s">
        <v>713</v>
      </c>
      <c r="M291" s="34" t="s">
        <v>714</v>
      </c>
      <c r="N291" s="34" t="s">
        <v>1749</v>
      </c>
      <c r="O291" s="35">
        <v>1</v>
      </c>
      <c r="P291" s="35"/>
      <c r="Q291" s="32"/>
      <c r="S291" s="1">
        <f t="shared" si="161"/>
        <v>0</v>
      </c>
      <c r="T291" s="1">
        <f t="shared" si="162"/>
        <v>0</v>
      </c>
      <c r="U291" s="1">
        <f t="shared" si="163"/>
        <v>0</v>
      </c>
      <c r="V291" s="1">
        <f t="shared" si="164"/>
        <v>0</v>
      </c>
      <c r="W291" s="1">
        <f t="shared" si="165"/>
        <v>0</v>
      </c>
      <c r="X291" s="1">
        <f t="shared" si="166"/>
        <v>0</v>
      </c>
      <c r="Y291" s="1">
        <f t="shared" si="167"/>
        <v>1</v>
      </c>
      <c r="Z291" s="1">
        <f t="shared" si="168"/>
        <v>0</v>
      </c>
      <c r="AA291" s="1">
        <f t="shared" si="169"/>
        <v>0</v>
      </c>
      <c r="AB291" s="1">
        <f t="shared" si="170"/>
        <v>0</v>
      </c>
      <c r="AD291" s="1">
        <f t="shared" si="171"/>
        <v>0</v>
      </c>
      <c r="AE291" s="1">
        <f t="shared" si="172"/>
        <v>1</v>
      </c>
      <c r="AF291" s="1">
        <f t="shared" si="157"/>
        <v>0</v>
      </c>
      <c r="AG291" s="1">
        <f t="shared" si="158"/>
        <v>1</v>
      </c>
      <c r="AH291" s="1">
        <f t="shared" si="159"/>
        <v>0</v>
      </c>
      <c r="AI291" s="1">
        <f t="shared" si="160"/>
        <v>1</v>
      </c>
    </row>
    <row r="292" spans="1:35" ht="14.25" customHeight="1" x14ac:dyDescent="0.25">
      <c r="A292" s="44">
        <v>0</v>
      </c>
      <c r="B292" s="44">
        <v>2</v>
      </c>
      <c r="C292" s="44">
        <v>1</v>
      </c>
      <c r="D292" s="45" t="s">
        <v>560</v>
      </c>
      <c r="E292" s="45" t="s">
        <v>561</v>
      </c>
      <c r="F292" s="45" t="s">
        <v>562</v>
      </c>
      <c r="G292" s="45" t="s">
        <v>208</v>
      </c>
      <c r="H292" s="45" t="s">
        <v>354</v>
      </c>
      <c r="I292" s="44" t="s">
        <v>563</v>
      </c>
      <c r="J292" s="44">
        <v>3</v>
      </c>
      <c r="K292" s="46" t="s">
        <v>712</v>
      </c>
      <c r="L292" s="46" t="s">
        <v>713</v>
      </c>
      <c r="M292" s="47" t="s">
        <v>714</v>
      </c>
      <c r="N292" s="47" t="s">
        <v>1747</v>
      </c>
      <c r="O292" s="48"/>
      <c r="P292" s="48"/>
      <c r="Q292" s="45"/>
      <c r="S292" s="1">
        <f t="shared" si="161"/>
        <v>0</v>
      </c>
      <c r="T292" s="1">
        <f t="shared" si="162"/>
        <v>0</v>
      </c>
      <c r="U292" s="1">
        <f t="shared" si="163"/>
        <v>1</v>
      </c>
      <c r="V292" s="1">
        <f t="shared" si="164"/>
        <v>0</v>
      </c>
      <c r="W292" s="1">
        <f t="shared" si="165"/>
        <v>0</v>
      </c>
      <c r="X292" s="1">
        <f t="shared" si="166"/>
        <v>0</v>
      </c>
      <c r="Y292" s="1">
        <f t="shared" si="167"/>
        <v>0</v>
      </c>
      <c r="Z292" s="1">
        <f t="shared" si="168"/>
        <v>0</v>
      </c>
      <c r="AA292" s="1">
        <f t="shared" si="169"/>
        <v>0</v>
      </c>
      <c r="AB292" s="1">
        <f t="shared" si="170"/>
        <v>0</v>
      </c>
      <c r="AD292" s="1">
        <f t="shared" si="171"/>
        <v>0</v>
      </c>
      <c r="AE292" s="1">
        <f t="shared" si="172"/>
        <v>0</v>
      </c>
      <c r="AF292" s="1">
        <f t="shared" si="157"/>
        <v>0</v>
      </c>
      <c r="AG292" s="1">
        <f t="shared" si="158"/>
        <v>0</v>
      </c>
      <c r="AH292" s="1">
        <f t="shared" si="159"/>
        <v>0</v>
      </c>
      <c r="AI292" s="1">
        <f t="shared" si="160"/>
        <v>1</v>
      </c>
    </row>
    <row r="293" spans="1:35" ht="14.25" customHeight="1" x14ac:dyDescent="0.25">
      <c r="A293" s="37">
        <v>0</v>
      </c>
      <c r="B293" s="37">
        <v>2</v>
      </c>
      <c r="C293" s="37">
        <v>1</v>
      </c>
      <c r="D293" s="36" t="s">
        <v>1053</v>
      </c>
      <c r="E293" s="36" t="s">
        <v>32</v>
      </c>
      <c r="F293" s="36" t="s">
        <v>1277</v>
      </c>
      <c r="G293" s="36" t="s">
        <v>535</v>
      </c>
      <c r="H293" s="36" t="s">
        <v>354</v>
      </c>
      <c r="I293" s="37" t="s">
        <v>1278</v>
      </c>
      <c r="J293" s="37">
        <v>6</v>
      </c>
      <c r="K293" s="56" t="s">
        <v>713</v>
      </c>
      <c r="L293" s="33" t="s">
        <v>713</v>
      </c>
      <c r="M293" s="34" t="s">
        <v>714</v>
      </c>
      <c r="N293" s="34" t="s">
        <v>1748</v>
      </c>
      <c r="O293" s="35">
        <v>1</v>
      </c>
      <c r="P293" s="35"/>
      <c r="Q293" s="36"/>
      <c r="S293" s="1">
        <f t="shared" si="161"/>
        <v>0</v>
      </c>
      <c r="T293" s="1">
        <f t="shared" si="162"/>
        <v>0</v>
      </c>
      <c r="U293" s="1">
        <f t="shared" si="163"/>
        <v>0</v>
      </c>
      <c r="V293" s="1">
        <f t="shared" si="164"/>
        <v>0</v>
      </c>
      <c r="W293" s="1">
        <f t="shared" si="165"/>
        <v>0</v>
      </c>
      <c r="X293" s="1">
        <f t="shared" si="166"/>
        <v>1</v>
      </c>
      <c r="Y293" s="1">
        <f t="shared" si="167"/>
        <v>0</v>
      </c>
      <c r="Z293" s="1">
        <f t="shared" si="168"/>
        <v>0</v>
      </c>
      <c r="AA293" s="1">
        <f t="shared" si="169"/>
        <v>0</v>
      </c>
      <c r="AB293" s="1">
        <f t="shared" si="170"/>
        <v>0</v>
      </c>
      <c r="AD293" s="1">
        <f t="shared" si="171"/>
        <v>0</v>
      </c>
      <c r="AE293" s="1">
        <f t="shared" si="172"/>
        <v>1</v>
      </c>
      <c r="AF293" s="1">
        <f t="shared" si="157"/>
        <v>0</v>
      </c>
      <c r="AG293" s="1">
        <f t="shared" si="158"/>
        <v>1</v>
      </c>
      <c r="AH293" s="1">
        <f t="shared" si="159"/>
        <v>0</v>
      </c>
      <c r="AI293" s="1">
        <f t="shared" si="160"/>
        <v>1</v>
      </c>
    </row>
    <row r="294" spans="1:35" ht="14.25" customHeight="1" x14ac:dyDescent="0.25">
      <c r="A294" s="44">
        <v>0</v>
      </c>
      <c r="B294" s="44">
        <v>2</v>
      </c>
      <c r="C294" s="44">
        <v>1</v>
      </c>
      <c r="D294" s="45" t="s">
        <v>917</v>
      </c>
      <c r="E294" s="45" t="s">
        <v>1333</v>
      </c>
      <c r="F294" s="45" t="s">
        <v>789</v>
      </c>
      <c r="G294" s="45" t="s">
        <v>257</v>
      </c>
      <c r="H294" s="45" t="s">
        <v>354</v>
      </c>
      <c r="I294" s="44" t="s">
        <v>944</v>
      </c>
      <c r="J294" s="44">
        <v>99</v>
      </c>
      <c r="K294" s="46" t="s">
        <v>712</v>
      </c>
      <c r="L294" s="46" t="s">
        <v>713</v>
      </c>
      <c r="M294" s="47" t="s">
        <v>714</v>
      </c>
      <c r="N294" s="47" t="s">
        <v>1734</v>
      </c>
      <c r="O294" s="48"/>
      <c r="P294" s="48"/>
      <c r="Q294" s="45"/>
      <c r="S294" s="1">
        <f t="shared" si="161"/>
        <v>0</v>
      </c>
      <c r="T294" s="1">
        <f t="shared" si="162"/>
        <v>0</v>
      </c>
      <c r="U294" s="1">
        <f t="shared" si="163"/>
        <v>0</v>
      </c>
      <c r="V294" s="1">
        <f t="shared" si="164"/>
        <v>0</v>
      </c>
      <c r="W294" s="1">
        <f t="shared" si="165"/>
        <v>0</v>
      </c>
      <c r="X294" s="1">
        <f t="shared" si="166"/>
        <v>0</v>
      </c>
      <c r="Y294" s="1">
        <f t="shared" si="167"/>
        <v>0</v>
      </c>
      <c r="Z294" s="1">
        <f t="shared" si="168"/>
        <v>0</v>
      </c>
      <c r="AA294" s="1">
        <f t="shared" si="169"/>
        <v>0</v>
      </c>
      <c r="AB294" s="1">
        <f t="shared" si="170"/>
        <v>0</v>
      </c>
      <c r="AD294" s="1">
        <f t="shared" si="171"/>
        <v>0</v>
      </c>
      <c r="AE294" s="1">
        <f t="shared" si="172"/>
        <v>0</v>
      </c>
      <c r="AF294" s="1">
        <f t="shared" si="157"/>
        <v>0</v>
      </c>
      <c r="AG294" s="1">
        <f t="shared" si="158"/>
        <v>0</v>
      </c>
      <c r="AH294" s="1">
        <f t="shared" si="159"/>
        <v>0</v>
      </c>
      <c r="AI294" s="1">
        <f t="shared" si="160"/>
        <v>1</v>
      </c>
    </row>
    <row r="295" spans="1:35" ht="14.25" customHeight="1" x14ac:dyDescent="0.25">
      <c r="A295" s="37">
        <v>0</v>
      </c>
      <c r="B295" s="37">
        <v>2</v>
      </c>
      <c r="C295" s="37">
        <v>1</v>
      </c>
      <c r="D295" s="36" t="s">
        <v>1771</v>
      </c>
      <c r="E295" s="36" t="s">
        <v>1772</v>
      </c>
      <c r="F295" s="36" t="s">
        <v>1773</v>
      </c>
      <c r="G295" s="36" t="s">
        <v>180</v>
      </c>
      <c r="H295" s="36" t="s">
        <v>354</v>
      </c>
      <c r="I295" s="37" t="s">
        <v>1774</v>
      </c>
      <c r="J295" s="37"/>
      <c r="K295" s="56" t="s">
        <v>703</v>
      </c>
      <c r="L295" s="33">
        <v>4</v>
      </c>
      <c r="M295" s="34" t="s">
        <v>714</v>
      </c>
      <c r="N295" s="34" t="s">
        <v>1743</v>
      </c>
      <c r="O295" s="35">
        <v>1</v>
      </c>
      <c r="P295" s="35"/>
      <c r="Q295" s="36"/>
      <c r="S295" s="1">
        <f t="shared" si="161"/>
        <v>0</v>
      </c>
      <c r="T295" s="1">
        <f t="shared" si="162"/>
        <v>0</v>
      </c>
      <c r="U295" s="1">
        <f t="shared" si="163"/>
        <v>0</v>
      </c>
      <c r="V295" s="1">
        <f t="shared" si="164"/>
        <v>0</v>
      </c>
      <c r="W295" s="1">
        <f t="shared" si="165"/>
        <v>0</v>
      </c>
      <c r="X295" s="1">
        <f t="shared" si="166"/>
        <v>0</v>
      </c>
      <c r="Y295" s="1">
        <f t="shared" si="167"/>
        <v>0</v>
      </c>
      <c r="Z295" s="1">
        <f t="shared" si="168"/>
        <v>0</v>
      </c>
      <c r="AA295" s="1">
        <f t="shared" si="169"/>
        <v>0</v>
      </c>
      <c r="AB295" s="1">
        <f t="shared" si="170"/>
        <v>0</v>
      </c>
      <c r="AD295" s="1">
        <f t="shared" si="171"/>
        <v>0</v>
      </c>
      <c r="AE295" s="1">
        <f t="shared" si="172"/>
        <v>1</v>
      </c>
      <c r="AF295" s="1">
        <f t="shared" si="157"/>
        <v>0</v>
      </c>
      <c r="AG295" s="1">
        <f t="shared" si="158"/>
        <v>1</v>
      </c>
      <c r="AH295" s="1">
        <f t="shared" si="159"/>
        <v>0</v>
      </c>
      <c r="AI295" s="1">
        <f t="shared" si="160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619</v>
      </c>
      <c r="E296" s="32" t="s">
        <v>620</v>
      </c>
      <c r="F296" s="32" t="s">
        <v>621</v>
      </c>
      <c r="G296" s="32" t="s">
        <v>622</v>
      </c>
      <c r="H296" s="32" t="s">
        <v>354</v>
      </c>
      <c r="I296" s="31" t="s">
        <v>623</v>
      </c>
      <c r="J296" s="31">
        <v>99</v>
      </c>
      <c r="K296" s="33" t="s">
        <v>712</v>
      </c>
      <c r="L296" s="33" t="s">
        <v>713</v>
      </c>
      <c r="M296" s="34" t="s">
        <v>714</v>
      </c>
      <c r="N296" s="34" t="s">
        <v>1756</v>
      </c>
      <c r="O296" s="35">
        <v>1</v>
      </c>
      <c r="P296" s="35"/>
      <c r="Q296" s="32"/>
      <c r="S296" s="1">
        <f t="shared" si="161"/>
        <v>0</v>
      </c>
      <c r="T296" s="1">
        <f t="shared" si="162"/>
        <v>0</v>
      </c>
      <c r="U296" s="1">
        <f t="shared" si="163"/>
        <v>0</v>
      </c>
      <c r="V296" s="1">
        <f t="shared" si="164"/>
        <v>0</v>
      </c>
      <c r="W296" s="1">
        <f t="shared" si="165"/>
        <v>0</v>
      </c>
      <c r="X296" s="1">
        <f t="shared" si="166"/>
        <v>0</v>
      </c>
      <c r="Y296" s="1">
        <f t="shared" si="167"/>
        <v>0</v>
      </c>
      <c r="Z296" s="1">
        <f t="shared" si="168"/>
        <v>0</v>
      </c>
      <c r="AA296" s="1">
        <f t="shared" si="169"/>
        <v>0</v>
      </c>
      <c r="AB296" s="1">
        <f t="shared" si="170"/>
        <v>0</v>
      </c>
      <c r="AD296" s="1">
        <f t="shared" si="171"/>
        <v>0</v>
      </c>
      <c r="AE296" s="1">
        <f t="shared" si="172"/>
        <v>1</v>
      </c>
      <c r="AF296" s="1">
        <f t="shared" si="157"/>
        <v>0</v>
      </c>
      <c r="AG296" s="1">
        <f t="shared" si="158"/>
        <v>1</v>
      </c>
      <c r="AH296" s="1">
        <f t="shared" si="159"/>
        <v>0</v>
      </c>
      <c r="AI296" s="1">
        <f t="shared" si="160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1080</v>
      </c>
      <c r="E297" s="45" t="s">
        <v>1334</v>
      </c>
      <c r="F297" s="45" t="s">
        <v>1663</v>
      </c>
      <c r="G297" s="45" t="s">
        <v>190</v>
      </c>
      <c r="H297" s="45" t="s">
        <v>354</v>
      </c>
      <c r="I297" s="64" t="s">
        <v>1861</v>
      </c>
      <c r="J297" s="44">
        <v>99</v>
      </c>
      <c r="K297" s="46" t="s">
        <v>712</v>
      </c>
      <c r="L297" s="46" t="s">
        <v>713</v>
      </c>
      <c r="M297" s="47" t="s">
        <v>714</v>
      </c>
      <c r="N297" s="47" t="s">
        <v>1735</v>
      </c>
      <c r="O297" s="48"/>
      <c r="P297" s="48"/>
      <c r="Q297" s="45"/>
      <c r="S297" s="1">
        <f t="shared" si="161"/>
        <v>0</v>
      </c>
      <c r="T297" s="1">
        <f t="shared" si="162"/>
        <v>0</v>
      </c>
      <c r="U297" s="1">
        <f t="shared" si="163"/>
        <v>0</v>
      </c>
      <c r="V297" s="1">
        <f t="shared" si="164"/>
        <v>0</v>
      </c>
      <c r="W297" s="1">
        <f t="shared" si="165"/>
        <v>0</v>
      </c>
      <c r="X297" s="1">
        <f t="shared" si="166"/>
        <v>0</v>
      </c>
      <c r="Y297" s="1">
        <f t="shared" si="167"/>
        <v>0</v>
      </c>
      <c r="Z297" s="1">
        <f t="shared" si="168"/>
        <v>0</v>
      </c>
      <c r="AA297" s="1">
        <f t="shared" si="169"/>
        <v>0</v>
      </c>
      <c r="AB297" s="1">
        <f t="shared" si="170"/>
        <v>0</v>
      </c>
      <c r="AD297" s="1">
        <f t="shared" si="171"/>
        <v>0</v>
      </c>
      <c r="AE297" s="1">
        <f t="shared" si="172"/>
        <v>0</v>
      </c>
      <c r="AF297" s="1">
        <f t="shared" si="157"/>
        <v>0</v>
      </c>
      <c r="AG297" s="1">
        <f t="shared" si="158"/>
        <v>0</v>
      </c>
      <c r="AH297" s="1">
        <f t="shared" si="159"/>
        <v>0</v>
      </c>
      <c r="AI297" s="1">
        <f t="shared" si="160"/>
        <v>1</v>
      </c>
    </row>
    <row r="298" spans="1:35" ht="14.25" customHeight="1" x14ac:dyDescent="0.25">
      <c r="A298" s="15">
        <v>0</v>
      </c>
      <c r="B298" s="15">
        <v>2</v>
      </c>
      <c r="C298" s="15">
        <v>1</v>
      </c>
      <c r="D298" s="16" t="s">
        <v>651</v>
      </c>
      <c r="E298" s="16" t="s">
        <v>36</v>
      </c>
      <c r="F298" s="16" t="s">
        <v>667</v>
      </c>
      <c r="G298" s="16" t="s">
        <v>201</v>
      </c>
      <c r="H298" s="16" t="s">
        <v>354</v>
      </c>
      <c r="I298" s="15" t="s">
        <v>1005</v>
      </c>
      <c r="J298" s="15">
        <v>99</v>
      </c>
      <c r="K298" s="10" t="s">
        <v>703</v>
      </c>
      <c r="L298" s="10">
        <v>4</v>
      </c>
      <c r="M298" s="19" t="s">
        <v>714</v>
      </c>
      <c r="N298" s="17"/>
      <c r="Q298" s="16"/>
      <c r="S298" s="1">
        <f t="shared" si="161"/>
        <v>0</v>
      </c>
      <c r="T298" s="1">
        <f t="shared" si="162"/>
        <v>0</v>
      </c>
      <c r="U298" s="1">
        <f t="shared" si="163"/>
        <v>0</v>
      </c>
      <c r="V298" s="1">
        <f t="shared" si="164"/>
        <v>0</v>
      </c>
      <c r="W298" s="1">
        <f t="shared" si="165"/>
        <v>0</v>
      </c>
      <c r="X298" s="1">
        <f t="shared" si="166"/>
        <v>0</v>
      </c>
      <c r="Y298" s="1">
        <f t="shared" si="167"/>
        <v>0</v>
      </c>
      <c r="Z298" s="1">
        <f t="shared" si="168"/>
        <v>0</v>
      </c>
      <c r="AA298" s="1">
        <f t="shared" si="169"/>
        <v>0</v>
      </c>
      <c r="AB298" s="1">
        <f t="shared" si="170"/>
        <v>0</v>
      </c>
      <c r="AD298" s="1">
        <f t="shared" si="171"/>
        <v>0</v>
      </c>
      <c r="AE298" s="1">
        <f t="shared" si="172"/>
        <v>0</v>
      </c>
      <c r="AF298" s="1">
        <f t="shared" si="157"/>
        <v>0</v>
      </c>
      <c r="AG298" s="1">
        <f t="shared" si="158"/>
        <v>0</v>
      </c>
      <c r="AH298" s="1">
        <f t="shared" si="159"/>
        <v>0</v>
      </c>
      <c r="AI298" s="1">
        <f t="shared" si="160"/>
        <v>1</v>
      </c>
    </row>
    <row r="299" spans="1:35" ht="14.25" customHeight="1" x14ac:dyDescent="0.25">
      <c r="A299" s="44">
        <v>0</v>
      </c>
      <c r="B299" s="44">
        <v>2</v>
      </c>
      <c r="C299" s="44">
        <v>1</v>
      </c>
      <c r="D299" s="45" t="s">
        <v>1264</v>
      </c>
      <c r="E299" s="45" t="s">
        <v>1265</v>
      </c>
      <c r="F299" s="45" t="s">
        <v>1266</v>
      </c>
      <c r="G299" s="45" t="s">
        <v>1165</v>
      </c>
      <c r="H299" s="45" t="s">
        <v>354</v>
      </c>
      <c r="I299" s="44" t="s">
        <v>1267</v>
      </c>
      <c r="J299" s="44">
        <v>11</v>
      </c>
      <c r="K299" s="46" t="s">
        <v>703</v>
      </c>
      <c r="L299" s="46">
        <v>6</v>
      </c>
      <c r="M299" s="47" t="s">
        <v>1728</v>
      </c>
      <c r="N299" s="47" t="s">
        <v>1809</v>
      </c>
      <c r="O299" s="48"/>
      <c r="P299" s="48"/>
      <c r="Q299" s="45"/>
      <c r="S299" s="1">
        <f t="shared" si="161"/>
        <v>0</v>
      </c>
      <c r="T299" s="1">
        <f t="shared" si="162"/>
        <v>0</v>
      </c>
      <c r="U299" s="1">
        <f t="shared" si="163"/>
        <v>0</v>
      </c>
      <c r="V299" s="1">
        <f t="shared" si="164"/>
        <v>0</v>
      </c>
      <c r="W299" s="1">
        <f t="shared" si="165"/>
        <v>0</v>
      </c>
      <c r="X299" s="1">
        <f t="shared" si="166"/>
        <v>0</v>
      </c>
      <c r="Y299" s="1">
        <f t="shared" si="167"/>
        <v>0</v>
      </c>
      <c r="Z299" s="1">
        <f t="shared" si="168"/>
        <v>0</v>
      </c>
      <c r="AA299" s="1">
        <f t="shared" si="169"/>
        <v>0</v>
      </c>
      <c r="AB299" s="1">
        <f t="shared" si="170"/>
        <v>0</v>
      </c>
      <c r="AD299" s="1">
        <f t="shared" si="171"/>
        <v>0</v>
      </c>
      <c r="AE299" s="1">
        <f t="shared" si="172"/>
        <v>0</v>
      </c>
      <c r="AF299" s="1">
        <f t="shared" si="157"/>
        <v>0</v>
      </c>
      <c r="AG299" s="1">
        <f t="shared" si="158"/>
        <v>0</v>
      </c>
      <c r="AH299" s="1">
        <f t="shared" si="159"/>
        <v>0</v>
      </c>
      <c r="AI299" s="1">
        <f t="shared" si="160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1123</v>
      </c>
      <c r="E300" s="32" t="s">
        <v>1314</v>
      </c>
      <c r="F300" s="32" t="s">
        <v>1121</v>
      </c>
      <c r="G300" s="32" t="s">
        <v>230</v>
      </c>
      <c r="H300" s="32" t="s">
        <v>354</v>
      </c>
      <c r="I300" s="31" t="s">
        <v>1122</v>
      </c>
      <c r="J300" s="31">
        <v>7</v>
      </c>
      <c r="K300" s="33" t="s">
        <v>713</v>
      </c>
      <c r="L300" s="33" t="s">
        <v>1709</v>
      </c>
      <c r="M300" s="34" t="s">
        <v>714</v>
      </c>
      <c r="N300" s="34" t="s">
        <v>1756</v>
      </c>
      <c r="O300" s="35">
        <v>1</v>
      </c>
      <c r="P300" s="35"/>
      <c r="Q300" s="32"/>
      <c r="S300" s="1">
        <f t="shared" si="161"/>
        <v>0</v>
      </c>
      <c r="T300" s="1">
        <f t="shared" si="162"/>
        <v>0</v>
      </c>
      <c r="U300" s="1">
        <f t="shared" si="163"/>
        <v>0</v>
      </c>
      <c r="V300" s="1">
        <f t="shared" si="164"/>
        <v>0</v>
      </c>
      <c r="W300" s="1">
        <f t="shared" si="165"/>
        <v>0</v>
      </c>
      <c r="X300" s="1">
        <f t="shared" si="166"/>
        <v>0</v>
      </c>
      <c r="Y300" s="1">
        <f t="shared" si="167"/>
        <v>1</v>
      </c>
      <c r="Z300" s="1">
        <f t="shared" si="168"/>
        <v>0</v>
      </c>
      <c r="AA300" s="1">
        <f t="shared" si="169"/>
        <v>0</v>
      </c>
      <c r="AB300" s="1">
        <f t="shared" si="170"/>
        <v>0</v>
      </c>
      <c r="AD300" s="1">
        <f t="shared" si="171"/>
        <v>0</v>
      </c>
      <c r="AE300" s="1">
        <f t="shared" si="172"/>
        <v>1</v>
      </c>
      <c r="AF300" s="1">
        <f t="shared" si="157"/>
        <v>0</v>
      </c>
      <c r="AG300" s="1">
        <f t="shared" si="158"/>
        <v>1</v>
      </c>
      <c r="AH300" s="1">
        <f t="shared" si="159"/>
        <v>0</v>
      </c>
      <c r="AI300" s="1">
        <f t="shared" si="16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1008</v>
      </c>
      <c r="E301" s="32" t="s">
        <v>1336</v>
      </c>
      <c r="F301" s="32" t="s">
        <v>1009</v>
      </c>
      <c r="G301" s="32" t="s">
        <v>1100</v>
      </c>
      <c r="H301" s="32" t="s">
        <v>354</v>
      </c>
      <c r="I301" s="31" t="s">
        <v>408</v>
      </c>
      <c r="J301" s="31">
        <v>99</v>
      </c>
      <c r="K301" s="33" t="s">
        <v>713</v>
      </c>
      <c r="L301" s="33" t="s">
        <v>713</v>
      </c>
      <c r="M301" s="34" t="s">
        <v>714</v>
      </c>
      <c r="N301" s="34" t="s">
        <v>1743</v>
      </c>
      <c r="O301" s="35">
        <v>1</v>
      </c>
      <c r="P301" s="35"/>
      <c r="Q301" s="32"/>
      <c r="S301" s="1">
        <f t="shared" si="161"/>
        <v>0</v>
      </c>
      <c r="T301" s="1">
        <f t="shared" si="162"/>
        <v>0</v>
      </c>
      <c r="U301" s="1">
        <f t="shared" si="163"/>
        <v>0</v>
      </c>
      <c r="V301" s="1">
        <f t="shared" si="164"/>
        <v>0</v>
      </c>
      <c r="W301" s="1">
        <f t="shared" si="165"/>
        <v>0</v>
      </c>
      <c r="X301" s="1">
        <f t="shared" si="166"/>
        <v>0</v>
      </c>
      <c r="Y301" s="1">
        <f t="shared" si="167"/>
        <v>0</v>
      </c>
      <c r="Z301" s="1">
        <f t="shared" si="168"/>
        <v>0</v>
      </c>
      <c r="AA301" s="1">
        <f t="shared" si="169"/>
        <v>0</v>
      </c>
      <c r="AB301" s="1">
        <f t="shared" si="170"/>
        <v>0</v>
      </c>
      <c r="AD301" s="1">
        <f t="shared" si="171"/>
        <v>0</v>
      </c>
      <c r="AE301" s="1">
        <f t="shared" si="172"/>
        <v>1</v>
      </c>
      <c r="AF301" s="1">
        <f t="shared" si="157"/>
        <v>0</v>
      </c>
      <c r="AG301" s="1">
        <f t="shared" si="158"/>
        <v>1</v>
      </c>
      <c r="AH301" s="1">
        <f t="shared" si="159"/>
        <v>0</v>
      </c>
      <c r="AI301" s="1">
        <f t="shared" si="160"/>
        <v>1</v>
      </c>
    </row>
    <row r="302" spans="1:35" ht="14.25" customHeight="1" x14ac:dyDescent="0.25">
      <c r="A302" s="49">
        <v>0</v>
      </c>
      <c r="B302" s="49">
        <v>2</v>
      </c>
      <c r="C302" s="49">
        <v>1</v>
      </c>
      <c r="D302" s="50" t="s">
        <v>1130</v>
      </c>
      <c r="E302" s="50" t="s">
        <v>561</v>
      </c>
      <c r="F302" s="50" t="s">
        <v>1354</v>
      </c>
      <c r="G302" s="50" t="s">
        <v>265</v>
      </c>
      <c r="H302" s="50" t="s">
        <v>354</v>
      </c>
      <c r="I302" s="49" t="s">
        <v>1131</v>
      </c>
      <c r="J302" s="49">
        <v>8</v>
      </c>
      <c r="K302" s="51" t="s">
        <v>712</v>
      </c>
      <c r="L302" s="51" t="s">
        <v>1709</v>
      </c>
      <c r="M302" s="52" t="s">
        <v>714</v>
      </c>
      <c r="N302" s="52" t="s">
        <v>1748</v>
      </c>
      <c r="O302" s="53">
        <v>1</v>
      </c>
      <c r="P302" s="53"/>
      <c r="Q302" s="50"/>
      <c r="S302" s="1">
        <f t="shared" si="161"/>
        <v>0</v>
      </c>
      <c r="T302" s="1">
        <f t="shared" si="162"/>
        <v>0</v>
      </c>
      <c r="U302" s="1">
        <f t="shared" si="163"/>
        <v>0</v>
      </c>
      <c r="V302" s="1">
        <f t="shared" si="164"/>
        <v>0</v>
      </c>
      <c r="W302" s="1">
        <f t="shared" si="165"/>
        <v>0</v>
      </c>
      <c r="X302" s="1">
        <f t="shared" si="166"/>
        <v>0</v>
      </c>
      <c r="Y302" s="1">
        <f t="shared" si="167"/>
        <v>0</v>
      </c>
      <c r="Z302" s="1">
        <f t="shared" si="168"/>
        <v>1</v>
      </c>
      <c r="AA302" s="1">
        <f t="shared" si="169"/>
        <v>0</v>
      </c>
      <c r="AB302" s="1">
        <f t="shared" si="170"/>
        <v>0</v>
      </c>
      <c r="AD302" s="1">
        <f t="shared" si="171"/>
        <v>0</v>
      </c>
      <c r="AE302" s="1">
        <f t="shared" si="172"/>
        <v>1</v>
      </c>
      <c r="AF302" s="1">
        <f t="shared" si="157"/>
        <v>0</v>
      </c>
      <c r="AG302" s="1">
        <f t="shared" si="158"/>
        <v>1</v>
      </c>
      <c r="AH302" s="1">
        <f t="shared" si="159"/>
        <v>0</v>
      </c>
      <c r="AI302" s="1">
        <f t="shared" si="16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1286</v>
      </c>
      <c r="E303" s="32" t="s">
        <v>1334</v>
      </c>
      <c r="F303" s="32" t="s">
        <v>1283</v>
      </c>
      <c r="G303" s="32" t="s">
        <v>1284</v>
      </c>
      <c r="H303" s="32" t="s">
        <v>354</v>
      </c>
      <c r="I303" s="31" t="s">
        <v>1285</v>
      </c>
      <c r="J303" s="31">
        <v>1</v>
      </c>
      <c r="K303" s="33" t="s">
        <v>712</v>
      </c>
      <c r="L303" s="33" t="s">
        <v>713</v>
      </c>
      <c r="M303" s="34" t="s">
        <v>714</v>
      </c>
      <c r="N303" s="34" t="s">
        <v>1761</v>
      </c>
      <c r="O303" s="35">
        <v>1</v>
      </c>
      <c r="P303" s="35"/>
      <c r="Q303" s="32" t="s">
        <v>1902</v>
      </c>
      <c r="S303" s="1">
        <f t="shared" si="161"/>
        <v>1</v>
      </c>
      <c r="T303" s="1">
        <f t="shared" si="162"/>
        <v>0</v>
      </c>
      <c r="U303" s="1">
        <f t="shared" si="163"/>
        <v>0</v>
      </c>
      <c r="V303" s="1">
        <f t="shared" si="164"/>
        <v>0</v>
      </c>
      <c r="W303" s="1">
        <f t="shared" si="165"/>
        <v>0</v>
      </c>
      <c r="X303" s="1">
        <f t="shared" si="166"/>
        <v>0</v>
      </c>
      <c r="Y303" s="1">
        <f t="shared" si="167"/>
        <v>0</v>
      </c>
      <c r="Z303" s="1">
        <f t="shared" si="168"/>
        <v>0</v>
      </c>
      <c r="AA303" s="1">
        <f t="shared" si="169"/>
        <v>0</v>
      </c>
      <c r="AB303" s="1">
        <f t="shared" si="170"/>
        <v>0</v>
      </c>
      <c r="AD303" s="1">
        <f t="shared" si="171"/>
        <v>0</v>
      </c>
      <c r="AE303" s="1">
        <f t="shared" si="172"/>
        <v>1</v>
      </c>
      <c r="AF303" s="1">
        <f t="shared" si="157"/>
        <v>0</v>
      </c>
      <c r="AG303" s="1">
        <f t="shared" si="158"/>
        <v>1</v>
      </c>
      <c r="AH303" s="1">
        <f t="shared" si="159"/>
        <v>0</v>
      </c>
      <c r="AI303" s="1">
        <f t="shared" si="160"/>
        <v>1</v>
      </c>
    </row>
    <row r="304" spans="1:35" ht="14.25" customHeight="1" x14ac:dyDescent="0.25">
      <c r="A304" s="44">
        <v>0</v>
      </c>
      <c r="B304" s="44">
        <v>2</v>
      </c>
      <c r="C304" s="44">
        <v>1</v>
      </c>
      <c r="D304" s="45" t="s">
        <v>52</v>
      </c>
      <c r="E304" s="45" t="s">
        <v>32</v>
      </c>
      <c r="F304" s="45" t="s">
        <v>206</v>
      </c>
      <c r="G304" s="45" t="s">
        <v>207</v>
      </c>
      <c r="H304" s="45" t="s">
        <v>354</v>
      </c>
      <c r="I304" s="44" t="s">
        <v>391</v>
      </c>
      <c r="J304" s="44">
        <v>99</v>
      </c>
      <c r="K304" s="46" t="s">
        <v>712</v>
      </c>
      <c r="L304" s="46" t="s">
        <v>713</v>
      </c>
      <c r="M304" s="47" t="s">
        <v>714</v>
      </c>
      <c r="N304" s="47" t="s">
        <v>1747</v>
      </c>
      <c r="O304" s="48"/>
      <c r="P304" s="48"/>
      <c r="Q304" s="45"/>
      <c r="S304" s="1">
        <f t="shared" si="161"/>
        <v>0</v>
      </c>
      <c r="T304" s="1">
        <f t="shared" si="162"/>
        <v>0</v>
      </c>
      <c r="U304" s="1">
        <f t="shared" si="163"/>
        <v>0</v>
      </c>
      <c r="V304" s="1">
        <f t="shared" si="164"/>
        <v>0</v>
      </c>
      <c r="W304" s="1">
        <f t="shared" si="165"/>
        <v>0</v>
      </c>
      <c r="X304" s="1">
        <f t="shared" si="166"/>
        <v>0</v>
      </c>
      <c r="Y304" s="1">
        <f t="shared" si="167"/>
        <v>0</v>
      </c>
      <c r="Z304" s="1">
        <f t="shared" si="168"/>
        <v>0</v>
      </c>
      <c r="AA304" s="1">
        <f t="shared" si="169"/>
        <v>0</v>
      </c>
      <c r="AB304" s="1">
        <f t="shared" si="170"/>
        <v>0</v>
      </c>
      <c r="AD304" s="1">
        <f t="shared" si="171"/>
        <v>0</v>
      </c>
      <c r="AE304" s="1">
        <f t="shared" si="172"/>
        <v>0</v>
      </c>
      <c r="AF304" s="1">
        <f t="shared" si="157"/>
        <v>0</v>
      </c>
      <c r="AG304" s="1">
        <f t="shared" si="158"/>
        <v>0</v>
      </c>
      <c r="AH304" s="1">
        <f t="shared" si="159"/>
        <v>0</v>
      </c>
      <c r="AI304" s="1">
        <f t="shared" si="16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73</v>
      </c>
      <c r="E305" s="45" t="s">
        <v>561</v>
      </c>
      <c r="F305" s="45" t="s">
        <v>1050</v>
      </c>
      <c r="G305" s="45" t="s">
        <v>190</v>
      </c>
      <c r="H305" s="45" t="s">
        <v>354</v>
      </c>
      <c r="I305" s="44" t="s">
        <v>421</v>
      </c>
      <c r="J305" s="44">
        <v>99</v>
      </c>
      <c r="K305" s="46" t="s">
        <v>954</v>
      </c>
      <c r="L305" s="46" t="s">
        <v>713</v>
      </c>
      <c r="M305" s="47" t="s">
        <v>714</v>
      </c>
      <c r="N305" s="47" t="s">
        <v>1735</v>
      </c>
      <c r="O305" s="48"/>
      <c r="P305" s="48"/>
      <c r="Q305" s="45"/>
      <c r="S305" s="1">
        <f t="shared" si="161"/>
        <v>0</v>
      </c>
      <c r="T305" s="1">
        <f t="shared" si="162"/>
        <v>0</v>
      </c>
      <c r="U305" s="1">
        <f t="shared" si="163"/>
        <v>0</v>
      </c>
      <c r="V305" s="1">
        <f t="shared" si="164"/>
        <v>0</v>
      </c>
      <c r="W305" s="1">
        <f t="shared" si="165"/>
        <v>0</v>
      </c>
      <c r="X305" s="1">
        <f t="shared" si="166"/>
        <v>0</v>
      </c>
      <c r="Y305" s="1">
        <f t="shared" si="167"/>
        <v>0</v>
      </c>
      <c r="Z305" s="1">
        <f t="shared" si="168"/>
        <v>0</v>
      </c>
      <c r="AA305" s="1">
        <f t="shared" si="169"/>
        <v>0</v>
      </c>
      <c r="AB305" s="1">
        <f t="shared" si="170"/>
        <v>0</v>
      </c>
      <c r="AD305" s="1">
        <f t="shared" si="171"/>
        <v>0</v>
      </c>
      <c r="AE305" s="1">
        <f t="shared" si="172"/>
        <v>0</v>
      </c>
      <c r="AF305" s="1">
        <f t="shared" si="157"/>
        <v>0</v>
      </c>
      <c r="AG305" s="1">
        <f t="shared" si="158"/>
        <v>0</v>
      </c>
      <c r="AH305" s="1">
        <f t="shared" si="159"/>
        <v>0</v>
      </c>
      <c r="AI305" s="1">
        <f t="shared" si="160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47</v>
      </c>
      <c r="E306" s="32" t="s">
        <v>32</v>
      </c>
      <c r="F306" s="32" t="s">
        <v>187</v>
      </c>
      <c r="G306" s="32" t="s">
        <v>180</v>
      </c>
      <c r="H306" s="32" t="s">
        <v>354</v>
      </c>
      <c r="I306" s="31" t="s">
        <v>383</v>
      </c>
      <c r="J306" s="31">
        <v>10</v>
      </c>
      <c r="K306" s="33" t="s">
        <v>955</v>
      </c>
      <c r="L306" s="33" t="s">
        <v>713</v>
      </c>
      <c r="M306" s="34" t="s">
        <v>714</v>
      </c>
      <c r="N306" s="34" t="s">
        <v>1743</v>
      </c>
      <c r="O306" s="35">
        <v>1</v>
      </c>
      <c r="P306" s="35"/>
      <c r="Q306" s="32"/>
      <c r="S306" s="1">
        <f t="shared" si="161"/>
        <v>0</v>
      </c>
      <c r="T306" s="1">
        <f t="shared" si="162"/>
        <v>0</v>
      </c>
      <c r="U306" s="1">
        <f t="shared" si="163"/>
        <v>0</v>
      </c>
      <c r="V306" s="1">
        <f t="shared" si="164"/>
        <v>0</v>
      </c>
      <c r="W306" s="1">
        <f t="shared" si="165"/>
        <v>0</v>
      </c>
      <c r="X306" s="1">
        <f t="shared" si="166"/>
        <v>0</v>
      </c>
      <c r="Y306" s="1">
        <f t="shared" si="167"/>
        <v>0</v>
      </c>
      <c r="Z306" s="1">
        <f t="shared" si="168"/>
        <v>0</v>
      </c>
      <c r="AA306" s="1">
        <f t="shared" si="169"/>
        <v>0</v>
      </c>
      <c r="AB306" s="1">
        <f t="shared" si="170"/>
        <v>1</v>
      </c>
      <c r="AD306" s="1">
        <f t="shared" si="171"/>
        <v>0</v>
      </c>
      <c r="AE306" s="1">
        <f t="shared" si="172"/>
        <v>1</v>
      </c>
      <c r="AF306" s="1">
        <f t="shared" si="157"/>
        <v>0</v>
      </c>
      <c r="AG306" s="1">
        <f t="shared" si="158"/>
        <v>1</v>
      </c>
      <c r="AH306" s="1">
        <f t="shared" si="159"/>
        <v>0</v>
      </c>
      <c r="AI306" s="1">
        <f t="shared" si="16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652</v>
      </c>
      <c r="E307" s="45" t="s">
        <v>160</v>
      </c>
      <c r="F307" s="45" t="s">
        <v>188</v>
      </c>
      <c r="G307" s="45" t="s">
        <v>668</v>
      </c>
      <c r="H307" s="45" t="s">
        <v>354</v>
      </c>
      <c r="I307" s="44" t="s">
        <v>384</v>
      </c>
      <c r="J307" s="44">
        <v>99</v>
      </c>
      <c r="K307" s="46" t="s">
        <v>712</v>
      </c>
      <c r="L307" s="46" t="s">
        <v>713</v>
      </c>
      <c r="M307" s="47" t="s">
        <v>714</v>
      </c>
      <c r="N307" s="47" t="s">
        <v>1737</v>
      </c>
      <c r="O307" s="48"/>
      <c r="P307" s="48"/>
      <c r="Q307" s="45"/>
      <c r="S307" s="1">
        <f t="shared" si="161"/>
        <v>0</v>
      </c>
      <c r="T307" s="1">
        <f t="shared" si="162"/>
        <v>0</v>
      </c>
      <c r="U307" s="1">
        <f t="shared" si="163"/>
        <v>0</v>
      </c>
      <c r="V307" s="1">
        <f t="shared" si="164"/>
        <v>0</v>
      </c>
      <c r="W307" s="1">
        <f t="shared" si="165"/>
        <v>0</v>
      </c>
      <c r="X307" s="1">
        <f t="shared" si="166"/>
        <v>0</v>
      </c>
      <c r="Y307" s="1">
        <f t="shared" si="167"/>
        <v>0</v>
      </c>
      <c r="Z307" s="1">
        <f t="shared" si="168"/>
        <v>0</v>
      </c>
      <c r="AA307" s="1">
        <f t="shared" si="169"/>
        <v>0</v>
      </c>
      <c r="AB307" s="1">
        <f t="shared" si="170"/>
        <v>0</v>
      </c>
      <c r="AD307" s="1">
        <f t="shared" si="171"/>
        <v>0</v>
      </c>
      <c r="AE307" s="1">
        <f t="shared" si="172"/>
        <v>0</v>
      </c>
      <c r="AF307" s="1">
        <f t="shared" si="157"/>
        <v>0</v>
      </c>
      <c r="AG307" s="1">
        <f t="shared" si="158"/>
        <v>0</v>
      </c>
      <c r="AH307" s="1">
        <f t="shared" si="159"/>
        <v>0</v>
      </c>
      <c r="AI307" s="1">
        <f t="shared" si="160"/>
        <v>1</v>
      </c>
    </row>
    <row r="308" spans="1:35" ht="14.25" customHeight="1" x14ac:dyDescent="0.25">
      <c r="A308" s="38">
        <v>0</v>
      </c>
      <c r="B308" s="38">
        <v>2</v>
      </c>
      <c r="C308" s="38">
        <v>1</v>
      </c>
      <c r="D308" s="39" t="s">
        <v>1304</v>
      </c>
      <c r="E308" s="39" t="s">
        <v>36</v>
      </c>
      <c r="F308" s="39" t="s">
        <v>1305</v>
      </c>
      <c r="G308" s="39" t="s">
        <v>258</v>
      </c>
      <c r="H308" s="39" t="s">
        <v>354</v>
      </c>
      <c r="I308" s="38" t="s">
        <v>1306</v>
      </c>
      <c r="J308" s="38">
        <v>8</v>
      </c>
      <c r="K308" s="40" t="s">
        <v>959</v>
      </c>
      <c r="L308" s="40" t="s">
        <v>713</v>
      </c>
      <c r="M308" s="41" t="s">
        <v>714</v>
      </c>
      <c r="N308" s="42"/>
      <c r="O308" s="43"/>
      <c r="P308" s="43">
        <v>1</v>
      </c>
      <c r="Q308" s="39"/>
      <c r="S308" s="1">
        <f t="shared" si="161"/>
        <v>0</v>
      </c>
      <c r="T308" s="1">
        <f t="shared" si="162"/>
        <v>0</v>
      </c>
      <c r="U308" s="1">
        <f t="shared" si="163"/>
        <v>0</v>
      </c>
      <c r="V308" s="1">
        <f t="shared" si="164"/>
        <v>0</v>
      </c>
      <c r="W308" s="1">
        <f t="shared" si="165"/>
        <v>0</v>
      </c>
      <c r="X308" s="1">
        <f t="shared" si="166"/>
        <v>0</v>
      </c>
      <c r="Y308" s="1">
        <f t="shared" si="167"/>
        <v>0</v>
      </c>
      <c r="Z308" s="1">
        <f t="shared" si="168"/>
        <v>1</v>
      </c>
      <c r="AA308" s="1">
        <f t="shared" si="169"/>
        <v>0</v>
      </c>
      <c r="AB308" s="1">
        <f t="shared" si="170"/>
        <v>0</v>
      </c>
      <c r="AD308" s="1">
        <f t="shared" si="171"/>
        <v>0</v>
      </c>
      <c r="AE308" s="1">
        <f t="shared" si="172"/>
        <v>0</v>
      </c>
      <c r="AF308" s="1">
        <f t="shared" si="157"/>
        <v>0</v>
      </c>
      <c r="AG308" s="1">
        <f t="shared" si="158"/>
        <v>0</v>
      </c>
      <c r="AH308" s="1">
        <f t="shared" si="159"/>
        <v>1</v>
      </c>
      <c r="AI308" s="1">
        <f t="shared" si="160"/>
        <v>0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54</v>
      </c>
      <c r="E309" s="32" t="s">
        <v>561</v>
      </c>
      <c r="F309" s="32" t="s">
        <v>212</v>
      </c>
      <c r="G309" s="32" t="s">
        <v>213</v>
      </c>
      <c r="H309" s="32" t="s">
        <v>354</v>
      </c>
      <c r="I309" s="31" t="s">
        <v>393</v>
      </c>
      <c r="J309" s="31">
        <v>1</v>
      </c>
      <c r="K309" s="33" t="s">
        <v>955</v>
      </c>
      <c r="L309" s="33" t="s">
        <v>713</v>
      </c>
      <c r="M309" s="34" t="s">
        <v>39</v>
      </c>
      <c r="N309" s="34" t="s">
        <v>1743</v>
      </c>
      <c r="O309" s="35">
        <v>1</v>
      </c>
      <c r="P309" s="35"/>
      <c r="Q309" s="32"/>
      <c r="S309" s="1">
        <f t="shared" si="161"/>
        <v>1</v>
      </c>
      <c r="T309" s="1">
        <f t="shared" si="162"/>
        <v>0</v>
      </c>
      <c r="U309" s="1">
        <f t="shared" si="163"/>
        <v>0</v>
      </c>
      <c r="V309" s="1">
        <f t="shared" si="164"/>
        <v>0</v>
      </c>
      <c r="W309" s="1">
        <f t="shared" si="165"/>
        <v>0</v>
      </c>
      <c r="X309" s="1">
        <f t="shared" si="166"/>
        <v>0</v>
      </c>
      <c r="Y309" s="1">
        <f t="shared" si="167"/>
        <v>0</v>
      </c>
      <c r="Z309" s="1">
        <f t="shared" si="168"/>
        <v>0</v>
      </c>
      <c r="AA309" s="1">
        <f t="shared" si="169"/>
        <v>0</v>
      </c>
      <c r="AB309" s="1">
        <f t="shared" si="170"/>
        <v>0</v>
      </c>
      <c r="AD309" s="1">
        <f t="shared" si="171"/>
        <v>0</v>
      </c>
      <c r="AE309" s="1">
        <f t="shared" si="172"/>
        <v>1</v>
      </c>
      <c r="AF309" s="1">
        <f t="shared" si="157"/>
        <v>0</v>
      </c>
      <c r="AG309" s="1">
        <f t="shared" si="158"/>
        <v>1</v>
      </c>
      <c r="AH309" s="1">
        <f t="shared" si="159"/>
        <v>0</v>
      </c>
      <c r="AI309" s="1">
        <f t="shared" si="160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45" t="s">
        <v>61</v>
      </c>
      <c r="E310" s="45" t="s">
        <v>543</v>
      </c>
      <c r="F310" s="45" t="s">
        <v>233</v>
      </c>
      <c r="G310" s="45" t="s">
        <v>204</v>
      </c>
      <c r="H310" s="45" t="s">
        <v>354</v>
      </c>
      <c r="I310" s="44" t="s">
        <v>401</v>
      </c>
      <c r="J310" s="44">
        <v>7</v>
      </c>
      <c r="K310" s="46" t="s">
        <v>712</v>
      </c>
      <c r="L310" s="46" t="s">
        <v>713</v>
      </c>
      <c r="M310" s="47" t="s">
        <v>714</v>
      </c>
      <c r="N310" s="47" t="s">
        <v>1738</v>
      </c>
      <c r="O310" s="48"/>
      <c r="P310" s="48"/>
      <c r="Q310" s="45"/>
      <c r="S310" s="1">
        <f t="shared" si="161"/>
        <v>0</v>
      </c>
      <c r="T310" s="1">
        <f t="shared" si="162"/>
        <v>0</v>
      </c>
      <c r="U310" s="1">
        <f t="shared" si="163"/>
        <v>0</v>
      </c>
      <c r="V310" s="1">
        <f t="shared" si="164"/>
        <v>0</v>
      </c>
      <c r="W310" s="1">
        <f t="shared" si="165"/>
        <v>0</v>
      </c>
      <c r="X310" s="1">
        <f t="shared" si="166"/>
        <v>0</v>
      </c>
      <c r="Y310" s="1">
        <f t="shared" si="167"/>
        <v>1</v>
      </c>
      <c r="Z310" s="1">
        <f t="shared" si="168"/>
        <v>0</v>
      </c>
      <c r="AA310" s="1">
        <f t="shared" si="169"/>
        <v>0</v>
      </c>
      <c r="AB310" s="1">
        <f t="shared" si="170"/>
        <v>0</v>
      </c>
      <c r="AD310" s="1">
        <f t="shared" si="171"/>
        <v>0</v>
      </c>
      <c r="AE310" s="1">
        <f t="shared" si="172"/>
        <v>0</v>
      </c>
      <c r="AF310" s="1">
        <f t="shared" si="157"/>
        <v>0</v>
      </c>
      <c r="AG310" s="1">
        <f t="shared" si="158"/>
        <v>0</v>
      </c>
      <c r="AH310" s="1">
        <f t="shared" si="159"/>
        <v>0</v>
      </c>
      <c r="AI310" s="1">
        <f t="shared" si="160"/>
        <v>1</v>
      </c>
    </row>
    <row r="311" spans="1:35" ht="14.25" customHeight="1" x14ac:dyDescent="0.25">
      <c r="A311" s="49">
        <v>0</v>
      </c>
      <c r="B311" s="49">
        <v>2</v>
      </c>
      <c r="C311" s="49">
        <v>1</v>
      </c>
      <c r="D311" s="50" t="s">
        <v>1647</v>
      </c>
      <c r="E311" s="50" t="s">
        <v>561</v>
      </c>
      <c r="F311" s="50" t="s">
        <v>1358</v>
      </c>
      <c r="G311" s="50" t="s">
        <v>1284</v>
      </c>
      <c r="H311" s="50" t="s">
        <v>354</v>
      </c>
      <c r="I311" s="49" t="s">
        <v>1167</v>
      </c>
      <c r="J311" s="49">
        <v>99</v>
      </c>
      <c r="K311" s="51" t="s">
        <v>712</v>
      </c>
      <c r="L311" s="51" t="s">
        <v>713</v>
      </c>
      <c r="M311" s="52" t="s">
        <v>714</v>
      </c>
      <c r="N311" s="52" t="s">
        <v>1748</v>
      </c>
      <c r="O311" s="53">
        <v>1</v>
      </c>
      <c r="P311" s="53"/>
      <c r="Q311" s="55" t="s">
        <v>1901</v>
      </c>
      <c r="S311" s="1">
        <f t="shared" si="161"/>
        <v>0</v>
      </c>
      <c r="T311" s="1">
        <f t="shared" si="162"/>
        <v>0</v>
      </c>
      <c r="U311" s="1">
        <f t="shared" si="163"/>
        <v>0</v>
      </c>
      <c r="V311" s="1">
        <f t="shared" si="164"/>
        <v>0</v>
      </c>
      <c r="W311" s="1">
        <f t="shared" si="165"/>
        <v>0</v>
      </c>
      <c r="X311" s="1">
        <f t="shared" si="166"/>
        <v>0</v>
      </c>
      <c r="Y311" s="1">
        <f t="shared" si="167"/>
        <v>0</v>
      </c>
      <c r="Z311" s="1">
        <f t="shared" si="168"/>
        <v>0</v>
      </c>
      <c r="AA311" s="1">
        <f t="shared" si="169"/>
        <v>0</v>
      </c>
      <c r="AB311" s="1">
        <f t="shared" si="170"/>
        <v>0</v>
      </c>
      <c r="AD311" s="1">
        <f t="shared" si="171"/>
        <v>0</v>
      </c>
      <c r="AE311" s="1">
        <f t="shared" si="172"/>
        <v>1</v>
      </c>
      <c r="AF311" s="1">
        <f t="shared" si="157"/>
        <v>0</v>
      </c>
      <c r="AG311" s="1">
        <f t="shared" si="158"/>
        <v>1</v>
      </c>
      <c r="AH311" s="1">
        <f t="shared" si="159"/>
        <v>0</v>
      </c>
      <c r="AI311" s="1">
        <f t="shared" si="160"/>
        <v>1</v>
      </c>
    </row>
    <row r="312" spans="1:35" ht="14.25" customHeight="1" x14ac:dyDescent="0.25">
      <c r="A312" s="49">
        <v>0</v>
      </c>
      <c r="B312" s="49">
        <v>2</v>
      </c>
      <c r="C312" s="49">
        <v>1</v>
      </c>
      <c r="D312" s="50" t="s">
        <v>1782</v>
      </c>
      <c r="E312" s="50" t="s">
        <v>1783</v>
      </c>
      <c r="F312" s="50" t="s">
        <v>1784</v>
      </c>
      <c r="G312" s="50" t="s">
        <v>1785</v>
      </c>
      <c r="H312" s="50" t="s">
        <v>354</v>
      </c>
      <c r="I312" s="49"/>
      <c r="J312" s="49">
        <v>1</v>
      </c>
      <c r="K312" s="51" t="s">
        <v>703</v>
      </c>
      <c r="L312" s="51"/>
      <c r="M312" s="52"/>
      <c r="N312" s="52" t="s">
        <v>1743</v>
      </c>
      <c r="O312" s="53">
        <v>1</v>
      </c>
      <c r="P312" s="53"/>
      <c r="Q312" s="55" t="s">
        <v>1909</v>
      </c>
      <c r="S312" s="1">
        <f t="shared" si="161"/>
        <v>1</v>
      </c>
      <c r="T312" s="1">
        <f t="shared" si="162"/>
        <v>0</v>
      </c>
      <c r="U312" s="1">
        <f t="shared" si="163"/>
        <v>0</v>
      </c>
      <c r="V312" s="1">
        <f t="shared" si="164"/>
        <v>0</v>
      </c>
      <c r="W312" s="1">
        <f t="shared" si="165"/>
        <v>0</v>
      </c>
      <c r="X312" s="1">
        <f t="shared" si="166"/>
        <v>0</v>
      </c>
      <c r="Y312" s="1">
        <f t="shared" si="167"/>
        <v>0</v>
      </c>
      <c r="Z312" s="1">
        <f t="shared" si="168"/>
        <v>0</v>
      </c>
      <c r="AA312" s="1">
        <f t="shared" si="169"/>
        <v>0</v>
      </c>
      <c r="AB312" s="1">
        <f t="shared" si="170"/>
        <v>0</v>
      </c>
      <c r="AD312" s="1">
        <f t="shared" si="171"/>
        <v>0</v>
      </c>
      <c r="AE312" s="1">
        <f t="shared" si="172"/>
        <v>1</v>
      </c>
      <c r="AF312" s="1">
        <f t="shared" si="157"/>
        <v>0</v>
      </c>
      <c r="AG312" s="1">
        <f t="shared" si="158"/>
        <v>1</v>
      </c>
      <c r="AH312" s="1">
        <f t="shared" si="159"/>
        <v>0</v>
      </c>
      <c r="AI312" s="1">
        <f t="shared" si="16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1318</v>
      </c>
      <c r="E313" s="32" t="s">
        <v>1338</v>
      </c>
      <c r="F313" s="32" t="s">
        <v>1301</v>
      </c>
      <c r="G313" s="32" t="s">
        <v>1302</v>
      </c>
      <c r="H313" s="32" t="s">
        <v>354</v>
      </c>
      <c r="I313" s="31" t="s">
        <v>1303</v>
      </c>
      <c r="J313" s="31">
        <v>99</v>
      </c>
      <c r="K313" s="33" t="s">
        <v>955</v>
      </c>
      <c r="L313" s="33" t="s">
        <v>713</v>
      </c>
      <c r="M313" s="34" t="s">
        <v>714</v>
      </c>
      <c r="N313" s="34" t="s">
        <v>1919</v>
      </c>
      <c r="O313" s="35">
        <v>1</v>
      </c>
      <c r="P313" s="35"/>
      <c r="Q313" s="32"/>
      <c r="S313" s="1">
        <f t="shared" si="161"/>
        <v>0</v>
      </c>
      <c r="T313" s="1">
        <f t="shared" si="162"/>
        <v>0</v>
      </c>
      <c r="U313" s="1">
        <f t="shared" si="163"/>
        <v>0</v>
      </c>
      <c r="V313" s="1">
        <f t="shared" si="164"/>
        <v>0</v>
      </c>
      <c r="W313" s="1">
        <f t="shared" si="165"/>
        <v>0</v>
      </c>
      <c r="X313" s="1">
        <f t="shared" si="166"/>
        <v>0</v>
      </c>
      <c r="Y313" s="1">
        <f t="shared" si="167"/>
        <v>0</v>
      </c>
      <c r="Z313" s="1">
        <f t="shared" si="168"/>
        <v>0</v>
      </c>
      <c r="AA313" s="1">
        <f t="shared" si="169"/>
        <v>0</v>
      </c>
      <c r="AB313" s="1">
        <f t="shared" si="170"/>
        <v>0</v>
      </c>
      <c r="AD313" s="1">
        <f t="shared" si="171"/>
        <v>0</v>
      </c>
      <c r="AE313" s="1">
        <f t="shared" si="172"/>
        <v>1</v>
      </c>
      <c r="AF313" s="1">
        <f t="shared" si="157"/>
        <v>0</v>
      </c>
      <c r="AG313" s="1">
        <f t="shared" si="158"/>
        <v>1</v>
      </c>
      <c r="AH313" s="1">
        <f t="shared" si="159"/>
        <v>0</v>
      </c>
      <c r="AI313" s="1">
        <f t="shared" si="160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45" t="s">
        <v>1313</v>
      </c>
      <c r="E314" s="45" t="s">
        <v>160</v>
      </c>
      <c r="F314" s="45" t="s">
        <v>1315</v>
      </c>
      <c r="G314" s="45" t="s">
        <v>1316</v>
      </c>
      <c r="H314" s="45" t="s">
        <v>354</v>
      </c>
      <c r="I314" s="44" t="s">
        <v>1317</v>
      </c>
      <c r="J314" s="44">
        <v>8</v>
      </c>
      <c r="K314" s="46" t="s">
        <v>713</v>
      </c>
      <c r="L314" s="46" t="s">
        <v>713</v>
      </c>
      <c r="M314" s="47" t="s">
        <v>714</v>
      </c>
      <c r="N314" s="47" t="s">
        <v>1747</v>
      </c>
      <c r="O314" s="48"/>
      <c r="P314" s="48"/>
      <c r="Q314" s="45"/>
      <c r="S314" s="1">
        <f t="shared" si="161"/>
        <v>0</v>
      </c>
      <c r="T314" s="1">
        <f t="shared" si="162"/>
        <v>0</v>
      </c>
      <c r="U314" s="1">
        <f t="shared" si="163"/>
        <v>0</v>
      </c>
      <c r="V314" s="1">
        <f t="shared" si="164"/>
        <v>0</v>
      </c>
      <c r="W314" s="1">
        <f t="shared" si="165"/>
        <v>0</v>
      </c>
      <c r="X314" s="1">
        <f t="shared" si="166"/>
        <v>0</v>
      </c>
      <c r="Y314" s="1">
        <f t="shared" si="167"/>
        <v>0</v>
      </c>
      <c r="Z314" s="1">
        <f t="shared" si="168"/>
        <v>1</v>
      </c>
      <c r="AA314" s="1">
        <f t="shared" si="169"/>
        <v>0</v>
      </c>
      <c r="AB314" s="1">
        <f t="shared" si="170"/>
        <v>0</v>
      </c>
      <c r="AD314" s="1">
        <f t="shared" si="171"/>
        <v>0</v>
      </c>
      <c r="AE314" s="1">
        <f t="shared" si="172"/>
        <v>0</v>
      </c>
      <c r="AF314" s="1">
        <f t="shared" si="157"/>
        <v>0</v>
      </c>
      <c r="AG314" s="1">
        <f t="shared" si="158"/>
        <v>0</v>
      </c>
      <c r="AH314" s="1">
        <f t="shared" si="159"/>
        <v>0</v>
      </c>
      <c r="AI314" s="1">
        <f t="shared" si="160"/>
        <v>1</v>
      </c>
    </row>
    <row r="315" spans="1:35" ht="14.25" customHeight="1" x14ac:dyDescent="0.25">
      <c r="A315" s="44">
        <v>0</v>
      </c>
      <c r="B315" s="44">
        <v>2</v>
      </c>
      <c r="C315" s="44">
        <v>2</v>
      </c>
      <c r="D315" s="45" t="s">
        <v>1646</v>
      </c>
      <c r="E315" s="45" t="s">
        <v>1168</v>
      </c>
      <c r="F315" s="45" t="s">
        <v>1680</v>
      </c>
      <c r="G315" s="45" t="s">
        <v>190</v>
      </c>
      <c r="H315" s="45" t="s">
        <v>354</v>
      </c>
      <c r="I315" s="44" t="s">
        <v>1607</v>
      </c>
      <c r="J315" s="44">
        <v>99</v>
      </c>
      <c r="K315" s="46" t="s">
        <v>713</v>
      </c>
      <c r="L315" s="46" t="s">
        <v>696</v>
      </c>
      <c r="M315" s="47" t="s">
        <v>1608</v>
      </c>
      <c r="N315" s="47" t="s">
        <v>1738</v>
      </c>
      <c r="O315" s="48"/>
      <c r="P315" s="48"/>
      <c r="Q315" s="45"/>
      <c r="S315" s="1">
        <f t="shared" si="161"/>
        <v>0</v>
      </c>
      <c r="T315" s="1">
        <f t="shared" si="162"/>
        <v>0</v>
      </c>
      <c r="U315" s="1">
        <f t="shared" si="163"/>
        <v>0</v>
      </c>
      <c r="V315" s="1">
        <f t="shared" si="164"/>
        <v>0</v>
      </c>
      <c r="W315" s="1">
        <f t="shared" si="165"/>
        <v>0</v>
      </c>
      <c r="X315" s="1">
        <f t="shared" si="166"/>
        <v>0</v>
      </c>
      <c r="Y315" s="1">
        <f t="shared" si="167"/>
        <v>0</v>
      </c>
      <c r="Z315" s="1">
        <f t="shared" si="168"/>
        <v>0</v>
      </c>
      <c r="AA315" s="1">
        <f t="shared" si="169"/>
        <v>0</v>
      </c>
      <c r="AB315" s="1">
        <f t="shared" si="170"/>
        <v>0</v>
      </c>
      <c r="AD315" s="1">
        <f t="shared" si="171"/>
        <v>0</v>
      </c>
      <c r="AE315" s="1">
        <f t="shared" si="172"/>
        <v>0</v>
      </c>
      <c r="AF315" s="1">
        <f t="shared" si="157"/>
        <v>0</v>
      </c>
      <c r="AG315" s="1">
        <f t="shared" si="158"/>
        <v>0</v>
      </c>
      <c r="AH315" s="1">
        <f t="shared" si="159"/>
        <v>0</v>
      </c>
      <c r="AI315" s="1">
        <f t="shared" si="160"/>
        <v>1</v>
      </c>
    </row>
    <row r="316" spans="1:35" ht="14.25" customHeight="1" x14ac:dyDescent="0.25">
      <c r="A316" s="49">
        <v>0</v>
      </c>
      <c r="B316" s="49">
        <v>2</v>
      </c>
      <c r="C316" s="49">
        <v>2</v>
      </c>
      <c r="D316" s="50" t="s">
        <v>65</v>
      </c>
      <c r="E316" s="50" t="s">
        <v>164</v>
      </c>
      <c r="F316" s="50" t="s">
        <v>243</v>
      </c>
      <c r="G316" s="50" t="s">
        <v>200</v>
      </c>
      <c r="H316" s="50" t="s">
        <v>354</v>
      </c>
      <c r="I316" s="49" t="s">
        <v>407</v>
      </c>
      <c r="J316" s="49">
        <v>2</v>
      </c>
      <c r="K316" s="51" t="s">
        <v>955</v>
      </c>
      <c r="L316" s="51" t="s">
        <v>696</v>
      </c>
      <c r="M316" s="52" t="s">
        <v>715</v>
      </c>
      <c r="N316" s="52" t="s">
        <v>1743</v>
      </c>
      <c r="O316" s="53">
        <v>1</v>
      </c>
      <c r="P316" s="53"/>
      <c r="Q316" s="50"/>
      <c r="S316" s="1">
        <f t="shared" si="161"/>
        <v>0</v>
      </c>
      <c r="T316" s="1">
        <f t="shared" si="162"/>
        <v>1</v>
      </c>
      <c r="U316" s="1">
        <f t="shared" si="163"/>
        <v>0</v>
      </c>
      <c r="V316" s="1">
        <f t="shared" si="164"/>
        <v>0</v>
      </c>
      <c r="W316" s="1">
        <f t="shared" si="165"/>
        <v>0</v>
      </c>
      <c r="X316" s="1">
        <f t="shared" si="166"/>
        <v>0</v>
      </c>
      <c r="Y316" s="1">
        <f t="shared" si="167"/>
        <v>0</v>
      </c>
      <c r="Z316" s="1">
        <f t="shared" si="168"/>
        <v>0</v>
      </c>
      <c r="AA316" s="1">
        <f t="shared" si="169"/>
        <v>0</v>
      </c>
      <c r="AB316" s="1">
        <f t="shared" si="170"/>
        <v>0</v>
      </c>
      <c r="AD316" s="1">
        <f t="shared" si="171"/>
        <v>0</v>
      </c>
      <c r="AE316" s="1">
        <f t="shared" si="172"/>
        <v>1</v>
      </c>
      <c r="AF316" s="1">
        <f t="shared" si="157"/>
        <v>0</v>
      </c>
      <c r="AG316" s="1">
        <f t="shared" si="158"/>
        <v>1</v>
      </c>
      <c r="AH316" s="1">
        <f t="shared" si="159"/>
        <v>0</v>
      </c>
      <c r="AI316" s="1">
        <f t="shared" si="160"/>
        <v>1</v>
      </c>
    </row>
    <row r="317" spans="1:35" ht="14.25" customHeight="1" x14ac:dyDescent="0.25">
      <c r="A317" s="44">
        <v>0</v>
      </c>
      <c r="B317" s="44">
        <v>2</v>
      </c>
      <c r="C317" s="44">
        <v>2</v>
      </c>
      <c r="D317" s="45" t="s">
        <v>1182</v>
      </c>
      <c r="E317" s="45" t="s">
        <v>1183</v>
      </c>
      <c r="F317" s="45" t="s">
        <v>1348</v>
      </c>
      <c r="G317" s="45" t="s">
        <v>1056</v>
      </c>
      <c r="H317" s="45" t="s">
        <v>354</v>
      </c>
      <c r="I317" s="44" t="s">
        <v>1184</v>
      </c>
      <c r="J317" s="44">
        <v>1</v>
      </c>
      <c r="K317" s="46" t="s">
        <v>712</v>
      </c>
      <c r="L317" s="46" t="s">
        <v>704</v>
      </c>
      <c r="M317" s="47" t="s">
        <v>1412</v>
      </c>
      <c r="N317" s="47" t="s">
        <v>1735</v>
      </c>
      <c r="O317" s="48"/>
      <c r="P317" s="48"/>
      <c r="Q317" s="45"/>
      <c r="S317" s="1">
        <f t="shared" si="161"/>
        <v>1</v>
      </c>
      <c r="T317" s="1">
        <f t="shared" si="162"/>
        <v>0</v>
      </c>
      <c r="U317" s="1">
        <f t="shared" si="163"/>
        <v>0</v>
      </c>
      <c r="V317" s="1">
        <f t="shared" si="164"/>
        <v>0</v>
      </c>
      <c r="W317" s="1">
        <f t="shared" si="165"/>
        <v>0</v>
      </c>
      <c r="X317" s="1">
        <f t="shared" si="166"/>
        <v>0</v>
      </c>
      <c r="Y317" s="1">
        <f t="shared" si="167"/>
        <v>0</v>
      </c>
      <c r="Z317" s="1">
        <f t="shared" si="168"/>
        <v>0</v>
      </c>
      <c r="AA317" s="1">
        <f t="shared" si="169"/>
        <v>0</v>
      </c>
      <c r="AB317" s="1">
        <f t="shared" si="170"/>
        <v>0</v>
      </c>
      <c r="AD317" s="1">
        <f t="shared" si="171"/>
        <v>0</v>
      </c>
      <c r="AE317" s="1">
        <f t="shared" si="172"/>
        <v>0</v>
      </c>
      <c r="AF317" s="1">
        <f t="shared" si="157"/>
        <v>0</v>
      </c>
      <c r="AG317" s="1">
        <f t="shared" si="158"/>
        <v>0</v>
      </c>
      <c r="AH317" s="1">
        <f t="shared" si="159"/>
        <v>0</v>
      </c>
      <c r="AI317" s="1">
        <f t="shared" si="160"/>
        <v>1</v>
      </c>
    </row>
    <row r="318" spans="1:35" ht="14.25" customHeight="1" x14ac:dyDescent="0.25">
      <c r="A318" s="31">
        <v>0</v>
      </c>
      <c r="B318" s="31">
        <v>2</v>
      </c>
      <c r="C318" s="31">
        <v>2</v>
      </c>
      <c r="D318" s="32" t="s">
        <v>1828</v>
      </c>
      <c r="E318" s="32" t="s">
        <v>1829</v>
      </c>
      <c r="F318" s="32" t="s">
        <v>1830</v>
      </c>
      <c r="G318" s="32" t="s">
        <v>196</v>
      </c>
      <c r="H318" s="32" t="s">
        <v>354</v>
      </c>
      <c r="I318" s="31" t="s">
        <v>1831</v>
      </c>
      <c r="J318" s="31"/>
      <c r="K318" s="33" t="s">
        <v>703</v>
      </c>
      <c r="L318" s="33">
        <v>20</v>
      </c>
      <c r="M318" s="34" t="s">
        <v>1832</v>
      </c>
      <c r="N318" s="34" t="s">
        <v>1748</v>
      </c>
      <c r="O318" s="35">
        <v>1</v>
      </c>
      <c r="P318" s="35"/>
      <c r="Q318" s="32"/>
      <c r="S318" s="1">
        <f t="shared" si="161"/>
        <v>0</v>
      </c>
      <c r="T318" s="1">
        <f t="shared" si="162"/>
        <v>0</v>
      </c>
      <c r="U318" s="1">
        <f t="shared" si="163"/>
        <v>0</v>
      </c>
      <c r="V318" s="1">
        <f t="shared" si="164"/>
        <v>0</v>
      </c>
      <c r="W318" s="1">
        <f t="shared" si="165"/>
        <v>0</v>
      </c>
      <c r="X318" s="1">
        <f t="shared" si="166"/>
        <v>0</v>
      </c>
      <c r="Y318" s="1">
        <f t="shared" si="167"/>
        <v>0</v>
      </c>
      <c r="Z318" s="1">
        <f t="shared" si="168"/>
        <v>0</v>
      </c>
      <c r="AA318" s="1">
        <f t="shared" si="169"/>
        <v>0</v>
      </c>
      <c r="AB318" s="1">
        <f t="shared" si="170"/>
        <v>0</v>
      </c>
      <c r="AD318" s="1">
        <f t="shared" si="171"/>
        <v>0</v>
      </c>
      <c r="AE318" s="1">
        <f t="shared" si="172"/>
        <v>1</v>
      </c>
      <c r="AF318" s="1">
        <f t="shared" si="157"/>
        <v>0</v>
      </c>
      <c r="AG318" s="1">
        <f t="shared" si="158"/>
        <v>1</v>
      </c>
      <c r="AH318" s="1">
        <f t="shared" si="159"/>
        <v>0</v>
      </c>
      <c r="AI318" s="1">
        <f t="shared" si="160"/>
        <v>1</v>
      </c>
    </row>
    <row r="319" spans="1:35" ht="14.25" customHeight="1" x14ac:dyDescent="0.25">
      <c r="A319" s="15">
        <v>0</v>
      </c>
      <c r="B319" s="15">
        <v>2</v>
      </c>
      <c r="C319" s="15">
        <v>2</v>
      </c>
      <c r="D319" s="16" t="s">
        <v>1576</v>
      </c>
      <c r="E319" s="16" t="s">
        <v>1577</v>
      </c>
      <c r="F319" s="16" t="s">
        <v>1579</v>
      </c>
      <c r="G319" s="16" t="s">
        <v>1580</v>
      </c>
      <c r="H319" s="16" t="s">
        <v>354</v>
      </c>
      <c r="I319" s="15" t="s">
        <v>1578</v>
      </c>
      <c r="J319" s="15">
        <v>99</v>
      </c>
      <c r="K319" s="10" t="s">
        <v>703</v>
      </c>
      <c r="L319" s="10">
        <v>18</v>
      </c>
      <c r="M319" s="19" t="s">
        <v>1581</v>
      </c>
      <c r="N319" s="17"/>
      <c r="Q319" s="16"/>
      <c r="S319" s="1">
        <f t="shared" si="161"/>
        <v>0</v>
      </c>
      <c r="T319" s="1">
        <f t="shared" si="162"/>
        <v>0</v>
      </c>
      <c r="U319" s="1">
        <f t="shared" si="163"/>
        <v>0</v>
      </c>
      <c r="V319" s="1">
        <f t="shared" si="164"/>
        <v>0</v>
      </c>
      <c r="W319" s="1">
        <f t="shared" si="165"/>
        <v>0</v>
      </c>
      <c r="X319" s="1">
        <f t="shared" si="166"/>
        <v>0</v>
      </c>
      <c r="Y319" s="1">
        <f t="shared" si="167"/>
        <v>0</v>
      </c>
      <c r="Z319" s="1">
        <f t="shared" si="168"/>
        <v>0</v>
      </c>
      <c r="AA319" s="1">
        <f t="shared" si="169"/>
        <v>0</v>
      </c>
      <c r="AB319" s="1">
        <f t="shared" si="170"/>
        <v>0</v>
      </c>
      <c r="AD319" s="1">
        <f t="shared" si="171"/>
        <v>0</v>
      </c>
      <c r="AE319" s="1">
        <f t="shared" si="172"/>
        <v>0</v>
      </c>
      <c r="AF319" s="1">
        <f t="shared" si="157"/>
        <v>0</v>
      </c>
      <c r="AG319" s="1">
        <f t="shared" si="158"/>
        <v>0</v>
      </c>
      <c r="AH319" s="1">
        <f t="shared" si="159"/>
        <v>0</v>
      </c>
      <c r="AI319" s="1">
        <f t="shared" si="160"/>
        <v>1</v>
      </c>
    </row>
    <row r="320" spans="1:35" ht="14.25" customHeight="1" x14ac:dyDescent="0.25">
      <c r="A320" s="49">
        <v>0</v>
      </c>
      <c r="B320" s="49">
        <v>2</v>
      </c>
      <c r="C320" s="49">
        <v>2</v>
      </c>
      <c r="D320" s="50" t="s">
        <v>64</v>
      </c>
      <c r="E320" s="50" t="s">
        <v>33</v>
      </c>
      <c r="F320" s="50" t="s">
        <v>241</v>
      </c>
      <c r="G320" s="50" t="s">
        <v>242</v>
      </c>
      <c r="H320" s="50" t="s">
        <v>354</v>
      </c>
      <c r="I320" s="49" t="s">
        <v>406</v>
      </c>
      <c r="J320" s="49">
        <v>1</v>
      </c>
      <c r="K320" s="51" t="s">
        <v>961</v>
      </c>
      <c r="L320" s="51" t="s">
        <v>716</v>
      </c>
      <c r="M320" s="52" t="s">
        <v>717</v>
      </c>
      <c r="N320" s="52" t="s">
        <v>1743</v>
      </c>
      <c r="O320" s="53">
        <v>1</v>
      </c>
      <c r="P320" s="53"/>
      <c r="Q320" s="50"/>
      <c r="S320" s="1">
        <f t="shared" si="161"/>
        <v>1</v>
      </c>
      <c r="T320" s="1">
        <f t="shared" si="162"/>
        <v>0</v>
      </c>
      <c r="U320" s="1">
        <f t="shared" si="163"/>
        <v>0</v>
      </c>
      <c r="V320" s="1">
        <f t="shared" si="164"/>
        <v>0</v>
      </c>
      <c r="W320" s="1">
        <f t="shared" si="165"/>
        <v>0</v>
      </c>
      <c r="X320" s="1">
        <f t="shared" si="166"/>
        <v>0</v>
      </c>
      <c r="Y320" s="1">
        <f t="shared" si="167"/>
        <v>0</v>
      </c>
      <c r="Z320" s="1">
        <f t="shared" si="168"/>
        <v>0</v>
      </c>
      <c r="AA320" s="1">
        <f t="shared" si="169"/>
        <v>0</v>
      </c>
      <c r="AB320" s="1">
        <f t="shared" si="170"/>
        <v>0</v>
      </c>
      <c r="AD320" s="1">
        <f t="shared" si="171"/>
        <v>0</v>
      </c>
      <c r="AE320" s="1">
        <f t="shared" si="172"/>
        <v>1</v>
      </c>
      <c r="AF320" s="1">
        <f t="shared" si="157"/>
        <v>0</v>
      </c>
      <c r="AG320" s="1">
        <f t="shared" si="158"/>
        <v>1</v>
      </c>
      <c r="AH320" s="1">
        <f t="shared" si="159"/>
        <v>0</v>
      </c>
      <c r="AI320" s="1">
        <f t="shared" si="160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62</v>
      </c>
      <c r="E321" s="50" t="s">
        <v>1086</v>
      </c>
      <c r="F321" s="50" t="s">
        <v>234</v>
      </c>
      <c r="G321" s="50" t="s">
        <v>235</v>
      </c>
      <c r="H321" s="50" t="s">
        <v>354</v>
      </c>
      <c r="I321" s="49" t="s">
        <v>1365</v>
      </c>
      <c r="J321" s="49">
        <v>99</v>
      </c>
      <c r="K321" s="51" t="s">
        <v>955</v>
      </c>
      <c r="L321" s="51" t="s">
        <v>716</v>
      </c>
      <c r="M321" s="52" t="s">
        <v>718</v>
      </c>
      <c r="N321" s="52" t="s">
        <v>1743</v>
      </c>
      <c r="O321" s="53">
        <v>1</v>
      </c>
      <c r="P321" s="53"/>
      <c r="Q321" s="50"/>
      <c r="S321" s="1">
        <f t="shared" si="161"/>
        <v>0</v>
      </c>
      <c r="T321" s="1">
        <f t="shared" si="162"/>
        <v>0</v>
      </c>
      <c r="U321" s="1">
        <f t="shared" si="163"/>
        <v>0</v>
      </c>
      <c r="V321" s="1">
        <f t="shared" si="164"/>
        <v>0</v>
      </c>
      <c r="W321" s="1">
        <f t="shared" si="165"/>
        <v>0</v>
      </c>
      <c r="X321" s="1">
        <f t="shared" si="166"/>
        <v>0</v>
      </c>
      <c r="Y321" s="1">
        <f t="shared" si="167"/>
        <v>0</v>
      </c>
      <c r="Z321" s="1">
        <f t="shared" si="168"/>
        <v>0</v>
      </c>
      <c r="AA321" s="1">
        <f t="shared" si="169"/>
        <v>0</v>
      </c>
      <c r="AB321" s="1">
        <f t="shared" si="170"/>
        <v>0</v>
      </c>
      <c r="AD321" s="1">
        <f t="shared" si="171"/>
        <v>0</v>
      </c>
      <c r="AE321" s="1">
        <f t="shared" si="172"/>
        <v>1</v>
      </c>
      <c r="AF321" s="1">
        <f t="shared" si="157"/>
        <v>0</v>
      </c>
      <c r="AG321" s="1">
        <f t="shared" si="158"/>
        <v>1</v>
      </c>
      <c r="AH321" s="1">
        <f t="shared" si="159"/>
        <v>0</v>
      </c>
      <c r="AI321" s="1">
        <f t="shared" si="160"/>
        <v>1</v>
      </c>
    </row>
    <row r="322" spans="1:35" ht="14.25" customHeight="1" x14ac:dyDescent="0.25">
      <c r="A322" s="31">
        <v>0</v>
      </c>
      <c r="B322" s="31">
        <v>2</v>
      </c>
      <c r="C322" s="31">
        <v>2</v>
      </c>
      <c r="D322" s="32" t="s">
        <v>1716</v>
      </c>
      <c r="E322" s="32" t="s">
        <v>1718</v>
      </c>
      <c r="F322" s="32" t="s">
        <v>1717</v>
      </c>
      <c r="G322" s="32"/>
      <c r="H322" s="32" t="s">
        <v>354</v>
      </c>
      <c r="I322" s="31" t="s">
        <v>1719</v>
      </c>
      <c r="J322" s="31"/>
      <c r="K322" s="33" t="s">
        <v>703</v>
      </c>
      <c r="L322" s="33"/>
      <c r="M322" s="34"/>
      <c r="N322" s="34" t="s">
        <v>1727</v>
      </c>
      <c r="O322" s="35">
        <v>1</v>
      </c>
      <c r="P322" s="35">
        <v>1</v>
      </c>
      <c r="Q322" s="32"/>
      <c r="S322" s="1">
        <f t="shared" si="161"/>
        <v>0</v>
      </c>
      <c r="T322" s="1">
        <f t="shared" si="162"/>
        <v>0</v>
      </c>
      <c r="U322" s="1">
        <f t="shared" si="163"/>
        <v>0</v>
      </c>
      <c r="V322" s="1">
        <f t="shared" si="164"/>
        <v>0</v>
      </c>
      <c r="W322" s="1">
        <f t="shared" si="165"/>
        <v>0</v>
      </c>
      <c r="X322" s="1">
        <f t="shared" si="166"/>
        <v>0</v>
      </c>
      <c r="Y322" s="1">
        <f t="shared" si="167"/>
        <v>0</v>
      </c>
      <c r="Z322" s="1">
        <f t="shared" si="168"/>
        <v>0</v>
      </c>
      <c r="AA322" s="1">
        <f t="shared" si="169"/>
        <v>0</v>
      </c>
      <c r="AB322" s="1">
        <f t="shared" si="170"/>
        <v>0</v>
      </c>
      <c r="AD322" s="1">
        <f t="shared" si="171"/>
        <v>1</v>
      </c>
      <c r="AE322" s="1">
        <f t="shared" si="172"/>
        <v>0</v>
      </c>
      <c r="AF322" s="1">
        <f t="shared" si="157"/>
        <v>1</v>
      </c>
      <c r="AG322" s="1">
        <f t="shared" si="158"/>
        <v>0</v>
      </c>
      <c r="AH322" s="1">
        <f t="shared" si="159"/>
        <v>1</v>
      </c>
      <c r="AI322" s="1">
        <f t="shared" si="160"/>
        <v>0</v>
      </c>
    </row>
    <row r="323" spans="1:35" ht="14.25" customHeight="1" x14ac:dyDescent="0.25">
      <c r="A323" s="44">
        <v>0</v>
      </c>
      <c r="B323" s="44">
        <v>2</v>
      </c>
      <c r="C323" s="44">
        <v>2</v>
      </c>
      <c r="D323" s="45" t="s">
        <v>787</v>
      </c>
      <c r="E323" s="45" t="s">
        <v>909</v>
      </c>
      <c r="F323" s="45" t="s">
        <v>1571</v>
      </c>
      <c r="G323" s="45" t="s">
        <v>230</v>
      </c>
      <c r="H323" s="45" t="s">
        <v>354</v>
      </c>
      <c r="I323" s="44" t="s">
        <v>1694</v>
      </c>
      <c r="J323" s="44">
        <v>7</v>
      </c>
      <c r="K323" s="46" t="s">
        <v>713</v>
      </c>
      <c r="L323" s="46">
        <v>20</v>
      </c>
      <c r="M323" s="47" t="s">
        <v>39</v>
      </c>
      <c r="N323" s="47" t="s">
        <v>1734</v>
      </c>
      <c r="O323" s="48"/>
      <c r="P323" s="48"/>
      <c r="Q323" s="45"/>
      <c r="S323" s="1">
        <f t="shared" si="161"/>
        <v>0</v>
      </c>
      <c r="T323" s="1">
        <f t="shared" si="162"/>
        <v>0</v>
      </c>
      <c r="U323" s="1">
        <f t="shared" si="163"/>
        <v>0</v>
      </c>
      <c r="V323" s="1">
        <f t="shared" si="164"/>
        <v>0</v>
      </c>
      <c r="W323" s="1">
        <f t="shared" si="165"/>
        <v>0</v>
      </c>
      <c r="X323" s="1">
        <f t="shared" si="166"/>
        <v>0</v>
      </c>
      <c r="Y323" s="1">
        <f t="shared" si="167"/>
        <v>1</v>
      </c>
      <c r="Z323" s="1">
        <f t="shared" si="168"/>
        <v>0</v>
      </c>
      <c r="AA323" s="1">
        <f t="shared" si="169"/>
        <v>0</v>
      </c>
      <c r="AB323" s="1">
        <f t="shared" si="170"/>
        <v>0</v>
      </c>
      <c r="AD323" s="1">
        <f t="shared" si="171"/>
        <v>0</v>
      </c>
      <c r="AE323" s="1">
        <f t="shared" si="172"/>
        <v>0</v>
      </c>
      <c r="AF323" s="1">
        <f t="shared" si="157"/>
        <v>0</v>
      </c>
      <c r="AG323" s="1">
        <f t="shared" si="158"/>
        <v>0</v>
      </c>
      <c r="AH323" s="1">
        <f t="shared" si="159"/>
        <v>0</v>
      </c>
      <c r="AI323" s="1">
        <f t="shared" si="160"/>
        <v>1</v>
      </c>
    </row>
    <row r="324" spans="1:35" ht="14.25" customHeight="1" x14ac:dyDescent="0.25">
      <c r="A324" s="31">
        <v>0</v>
      </c>
      <c r="B324" s="31">
        <v>2</v>
      </c>
      <c r="C324" s="31">
        <v>2</v>
      </c>
      <c r="D324" s="32" t="s">
        <v>852</v>
      </c>
      <c r="E324" s="32" t="s">
        <v>541</v>
      </c>
      <c r="F324" s="32" t="s">
        <v>854</v>
      </c>
      <c r="G324" s="32" t="s">
        <v>220</v>
      </c>
      <c r="H324" s="32" t="s">
        <v>354</v>
      </c>
      <c r="I324" s="31" t="s">
        <v>855</v>
      </c>
      <c r="J324" s="31">
        <v>8</v>
      </c>
      <c r="K324" s="33" t="s">
        <v>713</v>
      </c>
      <c r="L324" s="33" t="s">
        <v>716</v>
      </c>
      <c r="M324" s="34" t="s">
        <v>1413</v>
      </c>
      <c r="N324" s="34" t="s">
        <v>1743</v>
      </c>
      <c r="O324" s="35">
        <v>1</v>
      </c>
      <c r="P324" s="35"/>
      <c r="Q324" s="32"/>
      <c r="S324" s="1">
        <f t="shared" si="161"/>
        <v>0</v>
      </c>
      <c r="T324" s="1">
        <f t="shared" si="162"/>
        <v>0</v>
      </c>
      <c r="U324" s="1">
        <f t="shared" si="163"/>
        <v>0</v>
      </c>
      <c r="V324" s="1">
        <f t="shared" si="164"/>
        <v>0</v>
      </c>
      <c r="W324" s="1">
        <f t="shared" si="165"/>
        <v>0</v>
      </c>
      <c r="X324" s="1">
        <f t="shared" si="166"/>
        <v>0</v>
      </c>
      <c r="Y324" s="1">
        <f t="shared" si="167"/>
        <v>0</v>
      </c>
      <c r="Z324" s="1">
        <f t="shared" si="168"/>
        <v>1</v>
      </c>
      <c r="AA324" s="1">
        <f t="shared" si="169"/>
        <v>0</v>
      </c>
      <c r="AB324" s="1">
        <f t="shared" si="170"/>
        <v>0</v>
      </c>
      <c r="AD324" s="1">
        <f t="shared" si="171"/>
        <v>0</v>
      </c>
      <c r="AE324" s="1">
        <f t="shared" si="172"/>
        <v>1</v>
      </c>
      <c r="AF324" s="1">
        <f t="shared" si="157"/>
        <v>0</v>
      </c>
      <c r="AG324" s="1">
        <f t="shared" si="158"/>
        <v>1</v>
      </c>
      <c r="AH324" s="1">
        <f t="shared" si="159"/>
        <v>0</v>
      </c>
      <c r="AI324" s="1">
        <f t="shared" si="160"/>
        <v>1</v>
      </c>
    </row>
    <row r="325" spans="1:35" ht="14.25" customHeight="1" x14ac:dyDescent="0.25">
      <c r="A325" s="31">
        <v>1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1353</v>
      </c>
      <c r="G325" s="32" t="s">
        <v>194</v>
      </c>
      <c r="H325" s="32" t="s">
        <v>354</v>
      </c>
      <c r="I325" s="31" t="s">
        <v>853</v>
      </c>
      <c r="J325" s="31">
        <v>9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61"/>
        <v>0</v>
      </c>
      <c r="T325" s="1">
        <f t="shared" si="162"/>
        <v>0</v>
      </c>
      <c r="U325" s="1">
        <f t="shared" si="163"/>
        <v>0</v>
      </c>
      <c r="V325" s="1">
        <f t="shared" si="164"/>
        <v>0</v>
      </c>
      <c r="W325" s="1">
        <f t="shared" si="165"/>
        <v>0</v>
      </c>
      <c r="X325" s="1">
        <f t="shared" si="166"/>
        <v>0</v>
      </c>
      <c r="Y325" s="1">
        <f t="shared" si="167"/>
        <v>0</v>
      </c>
      <c r="Z325" s="1">
        <f t="shared" si="168"/>
        <v>0</v>
      </c>
      <c r="AA325" s="1">
        <f t="shared" si="169"/>
        <v>1</v>
      </c>
      <c r="AB325" s="1">
        <f t="shared" si="170"/>
        <v>0</v>
      </c>
      <c r="AD325" s="1">
        <f t="shared" si="171"/>
        <v>0</v>
      </c>
      <c r="AE325" s="1">
        <f t="shared" si="172"/>
        <v>1</v>
      </c>
      <c r="AF325" s="1">
        <f t="shared" si="157"/>
        <v>0</v>
      </c>
      <c r="AG325" s="1">
        <f t="shared" si="158"/>
        <v>0</v>
      </c>
      <c r="AH325" s="1">
        <f t="shared" si="159"/>
        <v>0</v>
      </c>
      <c r="AI325" s="1">
        <f t="shared" si="160"/>
        <v>0</v>
      </c>
    </row>
    <row r="326" spans="1:35" ht="14.25" customHeight="1" x14ac:dyDescent="0.25">
      <c r="A326" s="44">
        <v>0</v>
      </c>
      <c r="B326" s="44">
        <v>2</v>
      </c>
      <c r="C326" s="44">
        <v>2</v>
      </c>
      <c r="D326" s="45" t="s">
        <v>918</v>
      </c>
      <c r="E326" s="45" t="s">
        <v>785</v>
      </c>
      <c r="F326" s="45" t="s">
        <v>786</v>
      </c>
      <c r="G326" s="45" t="s">
        <v>230</v>
      </c>
      <c r="H326" s="45" t="s">
        <v>354</v>
      </c>
      <c r="I326" s="44" t="s">
        <v>788</v>
      </c>
      <c r="J326" s="44">
        <v>7</v>
      </c>
      <c r="K326" s="46" t="s">
        <v>712</v>
      </c>
      <c r="L326" s="46">
        <v>15</v>
      </c>
      <c r="M326" s="47" t="s">
        <v>39</v>
      </c>
      <c r="N326" s="47" t="s">
        <v>1735</v>
      </c>
      <c r="O326" s="48"/>
      <c r="P326" s="48"/>
      <c r="Q326" s="45"/>
      <c r="S326" s="1">
        <f t="shared" si="161"/>
        <v>0</v>
      </c>
      <c r="T326" s="1">
        <f t="shared" si="162"/>
        <v>0</v>
      </c>
      <c r="U326" s="1">
        <f t="shared" si="163"/>
        <v>0</v>
      </c>
      <c r="V326" s="1">
        <f t="shared" si="164"/>
        <v>0</v>
      </c>
      <c r="W326" s="1">
        <f t="shared" si="165"/>
        <v>0</v>
      </c>
      <c r="X326" s="1">
        <f t="shared" si="166"/>
        <v>0</v>
      </c>
      <c r="Y326" s="1">
        <f t="shared" si="167"/>
        <v>1</v>
      </c>
      <c r="Z326" s="1">
        <f t="shared" si="168"/>
        <v>0</v>
      </c>
      <c r="AA326" s="1">
        <f t="shared" si="169"/>
        <v>0</v>
      </c>
      <c r="AB326" s="1">
        <f t="shared" si="170"/>
        <v>0</v>
      </c>
      <c r="AD326" s="1">
        <f t="shared" si="171"/>
        <v>0</v>
      </c>
      <c r="AE326" s="1">
        <f t="shared" si="172"/>
        <v>0</v>
      </c>
      <c r="AF326" s="1">
        <f t="shared" si="157"/>
        <v>0</v>
      </c>
      <c r="AG326" s="1">
        <f t="shared" si="158"/>
        <v>0</v>
      </c>
      <c r="AH326" s="1">
        <f t="shared" si="159"/>
        <v>0</v>
      </c>
      <c r="AI326" s="1">
        <f t="shared" si="160"/>
        <v>1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83</v>
      </c>
      <c r="E327" s="45" t="s">
        <v>157</v>
      </c>
      <c r="F327" s="65" t="s">
        <v>1872</v>
      </c>
      <c r="G327" s="45" t="s">
        <v>209</v>
      </c>
      <c r="H327" s="45" t="s">
        <v>354</v>
      </c>
      <c r="I327" s="44" t="s">
        <v>432</v>
      </c>
      <c r="J327" s="44">
        <v>99</v>
      </c>
      <c r="K327" s="46" t="s">
        <v>954</v>
      </c>
      <c r="L327" s="46" t="s">
        <v>704</v>
      </c>
      <c r="M327" s="47" t="s">
        <v>719</v>
      </c>
      <c r="N327" s="47" t="s">
        <v>1735</v>
      </c>
      <c r="O327" s="48"/>
      <c r="P327" s="48"/>
      <c r="Q327" s="45"/>
      <c r="S327" s="1">
        <f t="shared" si="161"/>
        <v>0</v>
      </c>
      <c r="T327" s="1">
        <f t="shared" si="162"/>
        <v>0</v>
      </c>
      <c r="U327" s="1">
        <f t="shared" si="163"/>
        <v>0</v>
      </c>
      <c r="V327" s="1">
        <f t="shared" si="164"/>
        <v>0</v>
      </c>
      <c r="W327" s="1">
        <f t="shared" si="165"/>
        <v>0</v>
      </c>
      <c r="X327" s="1">
        <f t="shared" si="166"/>
        <v>0</v>
      </c>
      <c r="Y327" s="1">
        <f t="shared" si="167"/>
        <v>0</v>
      </c>
      <c r="Z327" s="1">
        <f t="shared" si="168"/>
        <v>0</v>
      </c>
      <c r="AA327" s="1">
        <f t="shared" si="169"/>
        <v>0</v>
      </c>
      <c r="AB327" s="1">
        <f t="shared" si="170"/>
        <v>0</v>
      </c>
      <c r="AD327" s="1">
        <f t="shared" si="171"/>
        <v>0</v>
      </c>
      <c r="AE327" s="1">
        <f t="shared" si="172"/>
        <v>0</v>
      </c>
      <c r="AF327" s="1">
        <f t="shared" si="157"/>
        <v>0</v>
      </c>
      <c r="AG327" s="1">
        <f t="shared" si="158"/>
        <v>0</v>
      </c>
      <c r="AH327" s="1">
        <f t="shared" si="159"/>
        <v>0</v>
      </c>
      <c r="AI327" s="1">
        <f t="shared" si="160"/>
        <v>1</v>
      </c>
    </row>
    <row r="328" spans="1:35" ht="14.25" customHeight="1" x14ac:dyDescent="0.25">
      <c r="A328" s="31">
        <v>0</v>
      </c>
      <c r="B328" s="31">
        <v>2</v>
      </c>
      <c r="C328" s="31">
        <v>2</v>
      </c>
      <c r="D328" s="32" t="s">
        <v>1564</v>
      </c>
      <c r="E328" s="32" t="s">
        <v>1334</v>
      </c>
      <c r="F328" s="32" t="s">
        <v>1565</v>
      </c>
      <c r="G328" s="32" t="s">
        <v>1166</v>
      </c>
      <c r="H328" s="32" t="s">
        <v>354</v>
      </c>
      <c r="I328" s="31" t="s">
        <v>1566</v>
      </c>
      <c r="J328" s="31">
        <v>1</v>
      </c>
      <c r="K328" s="33" t="s">
        <v>713</v>
      </c>
      <c r="L328" s="33" t="s">
        <v>39</v>
      </c>
      <c r="M328" s="34" t="s">
        <v>39</v>
      </c>
      <c r="N328" s="34" t="s">
        <v>1727</v>
      </c>
      <c r="O328" s="35">
        <v>1</v>
      </c>
      <c r="P328" s="35">
        <v>1</v>
      </c>
      <c r="Q328" s="32"/>
      <c r="S328" s="1">
        <f t="shared" si="161"/>
        <v>1</v>
      </c>
      <c r="T328" s="1">
        <f t="shared" si="162"/>
        <v>0</v>
      </c>
      <c r="U328" s="1">
        <f t="shared" si="163"/>
        <v>0</v>
      </c>
      <c r="V328" s="1">
        <f t="shared" si="164"/>
        <v>0</v>
      </c>
      <c r="W328" s="1">
        <f t="shared" si="165"/>
        <v>0</v>
      </c>
      <c r="X328" s="1">
        <f t="shared" si="166"/>
        <v>0</v>
      </c>
      <c r="Y328" s="1">
        <f t="shared" si="167"/>
        <v>0</v>
      </c>
      <c r="Z328" s="1">
        <f t="shared" si="168"/>
        <v>0</v>
      </c>
      <c r="AA328" s="1">
        <f t="shared" si="169"/>
        <v>0</v>
      </c>
      <c r="AB328" s="1">
        <f t="shared" si="170"/>
        <v>0</v>
      </c>
      <c r="AD328" s="1">
        <f t="shared" si="171"/>
        <v>1</v>
      </c>
      <c r="AE328" s="1">
        <f t="shared" si="172"/>
        <v>0</v>
      </c>
      <c r="AF328" s="1">
        <f t="shared" si="157"/>
        <v>1</v>
      </c>
      <c r="AG328" s="1">
        <f t="shared" si="158"/>
        <v>0</v>
      </c>
      <c r="AH328" s="1">
        <f t="shared" si="159"/>
        <v>1</v>
      </c>
      <c r="AI328" s="1">
        <f t="shared" si="160"/>
        <v>0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1744</v>
      </c>
      <c r="E329" s="32" t="s">
        <v>27</v>
      </c>
      <c r="F329" s="32" t="s">
        <v>1044</v>
      </c>
      <c r="G329" s="32" t="s">
        <v>220</v>
      </c>
      <c r="H329" s="32" t="s">
        <v>354</v>
      </c>
      <c r="I329" s="31" t="s">
        <v>1045</v>
      </c>
      <c r="J329" s="31">
        <v>8</v>
      </c>
      <c r="K329" s="33" t="s">
        <v>713</v>
      </c>
      <c r="L329" s="33">
        <v>25</v>
      </c>
      <c r="M329" s="34" t="s">
        <v>1745</v>
      </c>
      <c r="N329" s="34" t="s">
        <v>1727</v>
      </c>
      <c r="O329" s="35">
        <v>1</v>
      </c>
      <c r="P329" s="35">
        <v>1</v>
      </c>
      <c r="Q329" s="32"/>
      <c r="S329" s="1">
        <f t="shared" si="161"/>
        <v>0</v>
      </c>
      <c r="T329" s="1">
        <f t="shared" si="162"/>
        <v>0</v>
      </c>
      <c r="U329" s="1">
        <f t="shared" si="163"/>
        <v>0</v>
      </c>
      <c r="V329" s="1">
        <f t="shared" si="164"/>
        <v>0</v>
      </c>
      <c r="W329" s="1">
        <f t="shared" si="165"/>
        <v>0</v>
      </c>
      <c r="X329" s="1">
        <f t="shared" si="166"/>
        <v>0</v>
      </c>
      <c r="Y329" s="1">
        <f t="shared" si="167"/>
        <v>0</v>
      </c>
      <c r="Z329" s="1">
        <f t="shared" si="168"/>
        <v>1</v>
      </c>
      <c r="AA329" s="1">
        <f t="shared" si="169"/>
        <v>0</v>
      </c>
      <c r="AB329" s="1">
        <f t="shared" si="170"/>
        <v>0</v>
      </c>
      <c r="AD329" s="1">
        <f t="shared" si="171"/>
        <v>1</v>
      </c>
      <c r="AE329" s="1">
        <f t="shared" si="172"/>
        <v>0</v>
      </c>
      <c r="AF329" s="1">
        <f t="shared" si="157"/>
        <v>1</v>
      </c>
      <c r="AG329" s="1">
        <f t="shared" si="158"/>
        <v>0</v>
      </c>
      <c r="AH329" s="1">
        <f t="shared" si="159"/>
        <v>1</v>
      </c>
      <c r="AI329" s="1">
        <f t="shared" si="160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45</v>
      </c>
      <c r="E330" s="32" t="s">
        <v>44</v>
      </c>
      <c r="F330" s="32" t="s">
        <v>669</v>
      </c>
      <c r="G330" s="32" t="s">
        <v>180</v>
      </c>
      <c r="H330" s="32" t="s">
        <v>354</v>
      </c>
      <c r="I330" s="31" t="s">
        <v>949</v>
      </c>
      <c r="J330" s="31">
        <v>10</v>
      </c>
      <c r="K330" s="33" t="s">
        <v>713</v>
      </c>
      <c r="L330" s="33" t="s">
        <v>720</v>
      </c>
      <c r="M330" s="34" t="s">
        <v>721</v>
      </c>
      <c r="N330" s="34" t="s">
        <v>1727</v>
      </c>
      <c r="O330" s="35">
        <v>1</v>
      </c>
      <c r="P330" s="35">
        <v>1</v>
      </c>
      <c r="Q330" s="32"/>
      <c r="S330" s="1">
        <f t="shared" si="161"/>
        <v>0</v>
      </c>
      <c r="T330" s="1">
        <f t="shared" si="162"/>
        <v>0</v>
      </c>
      <c r="U330" s="1">
        <f t="shared" si="163"/>
        <v>0</v>
      </c>
      <c r="V330" s="1">
        <f t="shared" si="164"/>
        <v>0</v>
      </c>
      <c r="W330" s="1">
        <f t="shared" si="165"/>
        <v>0</v>
      </c>
      <c r="X330" s="1">
        <f t="shared" si="166"/>
        <v>0</v>
      </c>
      <c r="Y330" s="1">
        <f t="shared" si="167"/>
        <v>0</v>
      </c>
      <c r="Z330" s="1">
        <f t="shared" si="168"/>
        <v>0</v>
      </c>
      <c r="AA330" s="1">
        <f t="shared" si="169"/>
        <v>0</v>
      </c>
      <c r="AB330" s="1">
        <f t="shared" si="170"/>
        <v>1</v>
      </c>
      <c r="AD330" s="1">
        <f t="shared" si="171"/>
        <v>1</v>
      </c>
      <c r="AE330" s="1">
        <f t="shared" si="172"/>
        <v>0</v>
      </c>
      <c r="AF330" s="1">
        <f t="shared" si="157"/>
        <v>1</v>
      </c>
      <c r="AG330" s="1">
        <f t="shared" si="158"/>
        <v>0</v>
      </c>
      <c r="AH330" s="1">
        <f t="shared" si="159"/>
        <v>1</v>
      </c>
      <c r="AI330" s="1">
        <f t="shared" si="160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1448</v>
      </c>
      <c r="E331" s="32" t="s">
        <v>1653</v>
      </c>
      <c r="F331" s="32" t="s">
        <v>1668</v>
      </c>
      <c r="G331" s="32" t="s">
        <v>230</v>
      </c>
      <c r="H331" s="32" t="s">
        <v>354</v>
      </c>
      <c r="I331" s="31" t="s">
        <v>1449</v>
      </c>
      <c r="J331" s="31">
        <v>99</v>
      </c>
      <c r="K331" s="33" t="s">
        <v>955</v>
      </c>
      <c r="L331" s="33">
        <v>20</v>
      </c>
      <c r="M331" s="34" t="s">
        <v>39</v>
      </c>
      <c r="N331" s="34" t="s">
        <v>1727</v>
      </c>
      <c r="O331" s="35">
        <v>1</v>
      </c>
      <c r="P331" s="35">
        <v>1</v>
      </c>
      <c r="Q331" s="32"/>
      <c r="S331" s="1">
        <f t="shared" si="161"/>
        <v>0</v>
      </c>
      <c r="T331" s="1">
        <f t="shared" si="162"/>
        <v>0</v>
      </c>
      <c r="U331" s="1">
        <f t="shared" si="163"/>
        <v>0</v>
      </c>
      <c r="V331" s="1">
        <f t="shared" si="164"/>
        <v>0</v>
      </c>
      <c r="W331" s="1">
        <f t="shared" si="165"/>
        <v>0</v>
      </c>
      <c r="X331" s="1">
        <f t="shared" si="166"/>
        <v>0</v>
      </c>
      <c r="Y331" s="1">
        <f t="shared" si="167"/>
        <v>0</v>
      </c>
      <c r="Z331" s="1">
        <f t="shared" si="168"/>
        <v>0</v>
      </c>
      <c r="AA331" s="1">
        <f t="shared" si="169"/>
        <v>0</v>
      </c>
      <c r="AB331" s="1">
        <f t="shared" si="170"/>
        <v>0</v>
      </c>
      <c r="AD331" s="1">
        <f t="shared" si="171"/>
        <v>1</v>
      </c>
      <c r="AE331" s="1">
        <f t="shared" si="172"/>
        <v>0</v>
      </c>
      <c r="AF331" s="1">
        <f t="shared" si="157"/>
        <v>1</v>
      </c>
      <c r="AG331" s="1">
        <f t="shared" si="158"/>
        <v>0</v>
      </c>
      <c r="AH331" s="1">
        <f t="shared" si="159"/>
        <v>1</v>
      </c>
      <c r="AI331" s="1">
        <f t="shared" si="160"/>
        <v>0</v>
      </c>
    </row>
    <row r="332" spans="1:35" ht="14.25" customHeight="1" x14ac:dyDescent="0.25">
      <c r="A332" s="67">
        <v>0</v>
      </c>
      <c r="B332" s="67">
        <v>2</v>
      </c>
      <c r="C332" s="67">
        <v>2</v>
      </c>
      <c r="D332" s="54" t="s">
        <v>1993</v>
      </c>
      <c r="E332" s="54" t="s">
        <v>1994</v>
      </c>
      <c r="F332" s="54" t="s">
        <v>1995</v>
      </c>
      <c r="G332" s="54" t="s">
        <v>179</v>
      </c>
      <c r="H332" s="54" t="s">
        <v>354</v>
      </c>
      <c r="I332" s="67" t="s">
        <v>1996</v>
      </c>
      <c r="J332" s="67"/>
      <c r="K332" s="67" t="s">
        <v>703</v>
      </c>
      <c r="L332" s="67"/>
      <c r="M332" s="54"/>
      <c r="N332" s="54"/>
      <c r="O332" s="68"/>
      <c r="P332" s="68">
        <v>1</v>
      </c>
      <c r="Q332" s="54"/>
      <c r="S332" s="1">
        <f t="shared" si="161"/>
        <v>0</v>
      </c>
      <c r="T332" s="1">
        <f t="shared" si="162"/>
        <v>0</v>
      </c>
      <c r="U332" s="1">
        <f t="shared" si="163"/>
        <v>0</v>
      </c>
      <c r="V332" s="1">
        <f t="shared" si="164"/>
        <v>0</v>
      </c>
      <c r="W332" s="1">
        <f t="shared" si="165"/>
        <v>0</v>
      </c>
      <c r="X332" s="1">
        <f t="shared" si="166"/>
        <v>0</v>
      </c>
      <c r="Y332" s="1">
        <f t="shared" si="167"/>
        <v>0</v>
      </c>
      <c r="Z332" s="1">
        <f t="shared" si="168"/>
        <v>0</v>
      </c>
      <c r="AA332" s="1">
        <f t="shared" si="169"/>
        <v>0</v>
      </c>
      <c r="AB332" s="1">
        <f t="shared" si="170"/>
        <v>0</v>
      </c>
      <c r="AD332" s="1">
        <f t="shared" si="171"/>
        <v>0</v>
      </c>
      <c r="AE332" s="1">
        <f t="shared" si="172"/>
        <v>0</v>
      </c>
      <c r="AF332" s="1">
        <f t="shared" si="157"/>
        <v>0</v>
      </c>
      <c r="AG332" s="1">
        <f t="shared" si="158"/>
        <v>0</v>
      </c>
      <c r="AH332" s="1">
        <f t="shared" si="159"/>
        <v>1</v>
      </c>
      <c r="AI332" s="1">
        <f t="shared" si="160"/>
        <v>0</v>
      </c>
    </row>
    <row r="333" spans="1:35" ht="14.25" customHeight="1" x14ac:dyDescent="0.25">
      <c r="A333" s="49">
        <v>0</v>
      </c>
      <c r="B333" s="49">
        <v>2</v>
      </c>
      <c r="C333" s="49">
        <v>2</v>
      </c>
      <c r="D333" s="50" t="s">
        <v>606</v>
      </c>
      <c r="E333" s="50" t="s">
        <v>607</v>
      </c>
      <c r="F333" s="50" t="s">
        <v>608</v>
      </c>
      <c r="G333" s="50" t="s">
        <v>257</v>
      </c>
      <c r="H333" s="50" t="s">
        <v>354</v>
      </c>
      <c r="I333" s="49" t="s">
        <v>609</v>
      </c>
      <c r="J333" s="49">
        <v>99</v>
      </c>
      <c r="K333" s="51" t="s">
        <v>955</v>
      </c>
      <c r="L333" s="51" t="s">
        <v>704</v>
      </c>
      <c r="M333" s="52" t="s">
        <v>1414</v>
      </c>
      <c r="N333" s="52" t="s">
        <v>1743</v>
      </c>
      <c r="O333" s="53">
        <v>1</v>
      </c>
      <c r="P333" s="53"/>
      <c r="Q333" s="50"/>
      <c r="S333" s="1">
        <f t="shared" si="161"/>
        <v>0</v>
      </c>
      <c r="T333" s="1">
        <f t="shared" si="162"/>
        <v>0</v>
      </c>
      <c r="U333" s="1">
        <f t="shared" si="163"/>
        <v>0</v>
      </c>
      <c r="V333" s="1">
        <f t="shared" si="164"/>
        <v>0</v>
      </c>
      <c r="W333" s="1">
        <f t="shared" si="165"/>
        <v>0</v>
      </c>
      <c r="X333" s="1">
        <f t="shared" si="166"/>
        <v>0</v>
      </c>
      <c r="Y333" s="1">
        <f t="shared" si="167"/>
        <v>0</v>
      </c>
      <c r="Z333" s="1">
        <f t="shared" si="168"/>
        <v>0</v>
      </c>
      <c r="AA333" s="1">
        <f t="shared" si="169"/>
        <v>0</v>
      </c>
      <c r="AB333" s="1">
        <f t="shared" si="170"/>
        <v>0</v>
      </c>
      <c r="AD333" s="1">
        <f t="shared" si="171"/>
        <v>0</v>
      </c>
      <c r="AE333" s="1">
        <f t="shared" si="172"/>
        <v>1</v>
      </c>
      <c r="AF333" s="1">
        <f t="shared" si="157"/>
        <v>0</v>
      </c>
      <c r="AG333" s="1">
        <f t="shared" si="158"/>
        <v>1</v>
      </c>
      <c r="AH333" s="1">
        <f t="shared" si="159"/>
        <v>0</v>
      </c>
      <c r="AI333" s="1">
        <f t="shared" si="16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1925</v>
      </c>
      <c r="E334" s="32" t="s">
        <v>1926</v>
      </c>
      <c r="F334" s="32" t="s">
        <v>1927</v>
      </c>
      <c r="G334" s="32" t="s">
        <v>184</v>
      </c>
      <c r="H334" s="32" t="s">
        <v>354</v>
      </c>
      <c r="I334" s="31" t="s">
        <v>1929</v>
      </c>
      <c r="J334" s="31">
        <v>99</v>
      </c>
      <c r="K334" s="33" t="s">
        <v>703</v>
      </c>
      <c r="L334" s="33"/>
      <c r="M334" s="34"/>
      <c r="N334" s="34" t="s">
        <v>1727</v>
      </c>
      <c r="O334" s="35">
        <v>1</v>
      </c>
      <c r="P334" s="35">
        <v>1</v>
      </c>
      <c r="Q334" s="32" t="s">
        <v>1928</v>
      </c>
      <c r="S334" s="1">
        <f t="shared" si="161"/>
        <v>0</v>
      </c>
      <c r="T334" s="1">
        <f t="shared" si="162"/>
        <v>0</v>
      </c>
      <c r="U334" s="1">
        <f t="shared" si="163"/>
        <v>0</v>
      </c>
      <c r="V334" s="1">
        <f t="shared" si="164"/>
        <v>0</v>
      </c>
      <c r="W334" s="1">
        <f t="shared" si="165"/>
        <v>0</v>
      </c>
      <c r="X334" s="1">
        <f t="shared" si="166"/>
        <v>0</v>
      </c>
      <c r="Y334" s="1">
        <f t="shared" si="167"/>
        <v>0</v>
      </c>
      <c r="Z334" s="1">
        <f t="shared" si="168"/>
        <v>0</v>
      </c>
      <c r="AA334" s="1">
        <f t="shared" si="169"/>
        <v>0</v>
      </c>
      <c r="AB334" s="1">
        <f t="shared" si="170"/>
        <v>0</v>
      </c>
      <c r="AD334" s="1">
        <f t="shared" si="171"/>
        <v>1</v>
      </c>
      <c r="AE334" s="1">
        <f t="shared" si="172"/>
        <v>0</v>
      </c>
      <c r="AF334" s="1">
        <f t="shared" si="157"/>
        <v>1</v>
      </c>
      <c r="AG334" s="1">
        <f t="shared" si="158"/>
        <v>0</v>
      </c>
      <c r="AH334" s="1">
        <f t="shared" si="159"/>
        <v>1</v>
      </c>
      <c r="AI334" s="1">
        <f t="shared" si="160"/>
        <v>0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1643</v>
      </c>
      <c r="E335" s="45" t="s">
        <v>1168</v>
      </c>
      <c r="F335" s="45" t="s">
        <v>1674</v>
      </c>
      <c r="G335" s="45" t="s">
        <v>180</v>
      </c>
      <c r="H335" s="45" t="s">
        <v>354</v>
      </c>
      <c r="I335" s="44" t="s">
        <v>1494</v>
      </c>
      <c r="J335" s="44">
        <v>10</v>
      </c>
      <c r="K335" s="46" t="s">
        <v>712</v>
      </c>
      <c r="L335" s="46">
        <v>15</v>
      </c>
      <c r="M335" s="47" t="s">
        <v>39</v>
      </c>
      <c r="N335" s="47" t="s">
        <v>1740</v>
      </c>
      <c r="O335" s="48"/>
      <c r="P335" s="48"/>
      <c r="Q335" s="45"/>
      <c r="S335" s="1">
        <f t="shared" si="161"/>
        <v>0</v>
      </c>
      <c r="T335" s="1">
        <f t="shared" si="162"/>
        <v>0</v>
      </c>
      <c r="U335" s="1">
        <f t="shared" si="163"/>
        <v>0</v>
      </c>
      <c r="V335" s="1">
        <f t="shared" si="164"/>
        <v>0</v>
      </c>
      <c r="W335" s="1">
        <f t="shared" si="165"/>
        <v>0</v>
      </c>
      <c r="X335" s="1">
        <f t="shared" si="166"/>
        <v>0</v>
      </c>
      <c r="Y335" s="1">
        <f t="shared" si="167"/>
        <v>0</v>
      </c>
      <c r="Z335" s="1">
        <f t="shared" si="168"/>
        <v>0</v>
      </c>
      <c r="AA335" s="1">
        <f t="shared" si="169"/>
        <v>0</v>
      </c>
      <c r="AB335" s="1">
        <f t="shared" si="170"/>
        <v>1</v>
      </c>
      <c r="AD335" s="1">
        <f t="shared" si="171"/>
        <v>0</v>
      </c>
      <c r="AE335" s="1">
        <f t="shared" si="172"/>
        <v>0</v>
      </c>
      <c r="AF335" s="1">
        <f t="shared" ref="AF335:AF398" si="173">+O335*P335*(1-A335)</f>
        <v>0</v>
      </c>
      <c r="AG335" s="1">
        <f t="shared" ref="AG335:AG398" si="174">O335*(1-P335)*(1-A335)</f>
        <v>0</v>
      </c>
      <c r="AH335" s="1">
        <f t="shared" ref="AH335:AH398" si="175">+P335*(1-A335)</f>
        <v>0</v>
      </c>
      <c r="AI335" s="1">
        <f t="shared" ref="AI335:AI398" si="176">+(1-A335)*(1-P335)</f>
        <v>1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862</v>
      </c>
      <c r="E336" s="45" t="s">
        <v>544</v>
      </c>
      <c r="F336" s="45" t="s">
        <v>863</v>
      </c>
      <c r="G336" s="45" t="s">
        <v>314</v>
      </c>
      <c r="H336" s="45" t="s">
        <v>354</v>
      </c>
      <c r="I336" s="44" t="s">
        <v>864</v>
      </c>
      <c r="J336" s="44">
        <v>1</v>
      </c>
      <c r="K336" s="46" t="s">
        <v>712</v>
      </c>
      <c r="L336" s="46">
        <v>25</v>
      </c>
      <c r="M336" s="47" t="s">
        <v>39</v>
      </c>
      <c r="N336" s="47" t="s">
        <v>1735</v>
      </c>
      <c r="O336" s="48"/>
      <c r="P336" s="48"/>
      <c r="Q336" s="45"/>
      <c r="S336" s="1">
        <f t="shared" si="161"/>
        <v>1</v>
      </c>
      <c r="T336" s="1">
        <f t="shared" si="162"/>
        <v>0</v>
      </c>
      <c r="U336" s="1">
        <f t="shared" si="163"/>
        <v>0</v>
      </c>
      <c r="V336" s="1">
        <f t="shared" si="164"/>
        <v>0</v>
      </c>
      <c r="W336" s="1">
        <f t="shared" si="165"/>
        <v>0</v>
      </c>
      <c r="X336" s="1">
        <f t="shared" si="166"/>
        <v>0</v>
      </c>
      <c r="Y336" s="1">
        <f t="shared" si="167"/>
        <v>0</v>
      </c>
      <c r="Z336" s="1">
        <f t="shared" si="168"/>
        <v>0</v>
      </c>
      <c r="AA336" s="1">
        <f t="shared" si="169"/>
        <v>0</v>
      </c>
      <c r="AB336" s="1">
        <f t="shared" si="170"/>
        <v>0</v>
      </c>
      <c r="AD336" s="1">
        <f t="shared" si="171"/>
        <v>0</v>
      </c>
      <c r="AE336" s="1">
        <f t="shared" si="172"/>
        <v>0</v>
      </c>
      <c r="AF336" s="1">
        <f t="shared" si="173"/>
        <v>0</v>
      </c>
      <c r="AG336" s="1">
        <f t="shared" si="174"/>
        <v>0</v>
      </c>
      <c r="AH336" s="1">
        <f t="shared" si="175"/>
        <v>0</v>
      </c>
      <c r="AI336" s="1">
        <f t="shared" si="176"/>
        <v>1</v>
      </c>
    </row>
    <row r="337" spans="1:35" ht="14.25" customHeight="1" x14ac:dyDescent="0.25">
      <c r="A337" s="31">
        <v>0</v>
      </c>
      <c r="B337" s="31">
        <v>2</v>
      </c>
      <c r="C337" s="31">
        <v>3</v>
      </c>
      <c r="D337" s="32" t="s">
        <v>568</v>
      </c>
      <c r="E337" s="32" t="s">
        <v>38</v>
      </c>
      <c r="F337" s="32" t="s">
        <v>237</v>
      </c>
      <c r="G337" s="32" t="s">
        <v>539</v>
      </c>
      <c r="H337" s="32" t="s">
        <v>354</v>
      </c>
      <c r="I337" s="31" t="s">
        <v>403</v>
      </c>
      <c r="J337" s="31">
        <v>1</v>
      </c>
      <c r="K337" s="33" t="s">
        <v>712</v>
      </c>
      <c r="L337" s="33" t="s">
        <v>724</v>
      </c>
      <c r="M337" s="34" t="s">
        <v>725</v>
      </c>
      <c r="N337" s="34" t="s">
        <v>1727</v>
      </c>
      <c r="O337" s="35">
        <v>1</v>
      </c>
      <c r="P337" s="35">
        <v>1</v>
      </c>
      <c r="Q337" s="32"/>
      <c r="S337" s="1">
        <f t="shared" si="161"/>
        <v>1</v>
      </c>
      <c r="T337" s="1">
        <f t="shared" si="162"/>
        <v>0</v>
      </c>
      <c r="U337" s="1">
        <f t="shared" si="163"/>
        <v>0</v>
      </c>
      <c r="V337" s="1">
        <f t="shared" si="164"/>
        <v>0</v>
      </c>
      <c r="W337" s="1">
        <f t="shared" si="165"/>
        <v>0</v>
      </c>
      <c r="X337" s="1">
        <f t="shared" si="166"/>
        <v>0</v>
      </c>
      <c r="Y337" s="1">
        <f t="shared" si="167"/>
        <v>0</v>
      </c>
      <c r="Z337" s="1">
        <f t="shared" si="168"/>
        <v>0</v>
      </c>
      <c r="AA337" s="1">
        <f t="shared" si="169"/>
        <v>0</v>
      </c>
      <c r="AB337" s="1">
        <f t="shared" si="170"/>
        <v>0</v>
      </c>
      <c r="AD337" s="1">
        <f t="shared" si="171"/>
        <v>1</v>
      </c>
      <c r="AE337" s="1">
        <f t="shared" si="172"/>
        <v>0</v>
      </c>
      <c r="AF337" s="1">
        <f t="shared" si="173"/>
        <v>1</v>
      </c>
      <c r="AG337" s="1">
        <f t="shared" si="174"/>
        <v>0</v>
      </c>
      <c r="AH337" s="1">
        <f t="shared" si="175"/>
        <v>1</v>
      </c>
      <c r="AI337" s="1">
        <f t="shared" si="176"/>
        <v>0</v>
      </c>
    </row>
    <row r="338" spans="1:35" ht="14.25" customHeight="1" x14ac:dyDescent="0.25">
      <c r="A338" s="44">
        <v>0</v>
      </c>
      <c r="B338" s="44">
        <v>2</v>
      </c>
      <c r="C338" s="44">
        <v>3</v>
      </c>
      <c r="D338" s="45" t="s">
        <v>850</v>
      </c>
      <c r="E338" s="45" t="s">
        <v>34</v>
      </c>
      <c r="F338" s="45" t="s">
        <v>926</v>
      </c>
      <c r="G338" s="45" t="s">
        <v>638</v>
      </c>
      <c r="H338" s="45" t="s">
        <v>354</v>
      </c>
      <c r="I338" s="44" t="s">
        <v>851</v>
      </c>
      <c r="J338" s="44">
        <v>1</v>
      </c>
      <c r="K338" s="46" t="s">
        <v>954</v>
      </c>
      <c r="L338" s="46" t="s">
        <v>729</v>
      </c>
      <c r="M338" s="47" t="s">
        <v>723</v>
      </c>
      <c r="N338" s="47" t="s">
        <v>1735</v>
      </c>
      <c r="O338" s="48"/>
      <c r="P338" s="48"/>
      <c r="Q338" s="45"/>
      <c r="S338" s="1">
        <f t="shared" si="161"/>
        <v>1</v>
      </c>
      <c r="T338" s="1">
        <f t="shared" si="162"/>
        <v>0</v>
      </c>
      <c r="U338" s="1">
        <f t="shared" si="163"/>
        <v>0</v>
      </c>
      <c r="V338" s="1">
        <f t="shared" si="164"/>
        <v>0</v>
      </c>
      <c r="W338" s="1">
        <f t="shared" si="165"/>
        <v>0</v>
      </c>
      <c r="X338" s="1">
        <f t="shared" si="166"/>
        <v>0</v>
      </c>
      <c r="Y338" s="1">
        <f t="shared" si="167"/>
        <v>0</v>
      </c>
      <c r="Z338" s="1">
        <f t="shared" si="168"/>
        <v>0</v>
      </c>
      <c r="AA338" s="1">
        <f t="shared" si="169"/>
        <v>0</v>
      </c>
      <c r="AB338" s="1">
        <f t="shared" si="170"/>
        <v>0</v>
      </c>
      <c r="AD338" s="1">
        <f t="shared" si="171"/>
        <v>0</v>
      </c>
      <c r="AE338" s="1">
        <f t="shared" si="172"/>
        <v>0</v>
      </c>
      <c r="AF338" s="1">
        <f t="shared" si="173"/>
        <v>0</v>
      </c>
      <c r="AG338" s="1">
        <f t="shared" si="174"/>
        <v>0</v>
      </c>
      <c r="AH338" s="1">
        <f t="shared" si="175"/>
        <v>0</v>
      </c>
      <c r="AI338" s="1">
        <f t="shared" si="176"/>
        <v>1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793</v>
      </c>
      <c r="E339" s="45" t="s">
        <v>32</v>
      </c>
      <c r="F339" s="45" t="s">
        <v>794</v>
      </c>
      <c r="G339" s="45" t="s">
        <v>251</v>
      </c>
      <c r="H339" s="45" t="s">
        <v>354</v>
      </c>
      <c r="I339" s="44" t="s">
        <v>795</v>
      </c>
      <c r="J339" s="44">
        <v>99</v>
      </c>
      <c r="K339" s="46" t="s">
        <v>713</v>
      </c>
      <c r="L339" s="46" t="s">
        <v>722</v>
      </c>
      <c r="M339" s="47" t="s">
        <v>723</v>
      </c>
      <c r="N339" s="47" t="s">
        <v>1737</v>
      </c>
      <c r="O339" s="48"/>
      <c r="P339" s="48"/>
      <c r="Q339" s="45"/>
      <c r="S339" s="1">
        <f t="shared" ref="S339:S401" si="177">IF(J339=$S$7,1,0)</f>
        <v>0</v>
      </c>
      <c r="T339" s="1">
        <f t="shared" ref="T339:T401" si="178">IF(J339=$T$7,1,0)</f>
        <v>0</v>
      </c>
      <c r="U339" s="1">
        <f t="shared" ref="U339:U401" si="179">IF(J339=$U$7,1,0)</f>
        <v>0</v>
      </c>
      <c r="V339" s="1">
        <f t="shared" ref="V339:V401" si="180">IF(J339=$V$7,1,0)</f>
        <v>0</v>
      </c>
      <c r="W339" s="1">
        <f t="shared" ref="W339:W401" si="181">IF(J339=$W$7,1,0)</f>
        <v>0</v>
      </c>
      <c r="X339" s="1">
        <f t="shared" ref="X339:X401" si="182">IF(J339=$X$7,1,0)</f>
        <v>0</v>
      </c>
      <c r="Y339" s="1">
        <f t="shared" ref="Y339:Y401" si="183">IF(J339=$Y$7,1,0)</f>
        <v>0</v>
      </c>
      <c r="Z339" s="1">
        <f t="shared" ref="Z339:Z401" si="184">IF(J339=$Z$7,1,0)</f>
        <v>0</v>
      </c>
      <c r="AA339" s="1">
        <f t="shared" ref="AA339:AA401" si="185">IF(J339=$AA$7,1,0)</f>
        <v>0</v>
      </c>
      <c r="AB339" s="1">
        <f t="shared" ref="AB339:AB401" si="186">IF(J339=$AB$7,1,0)</f>
        <v>0</v>
      </c>
      <c r="AD339" s="1">
        <f t="shared" ref="AD339:AD401" si="187">+O339*P339</f>
        <v>0</v>
      </c>
      <c r="AE339" s="1">
        <f t="shared" ref="AE339:AE401" si="188">O339*(1-P339)</f>
        <v>0</v>
      </c>
      <c r="AF339" s="1">
        <f t="shared" si="173"/>
        <v>0</v>
      </c>
      <c r="AG339" s="1">
        <f t="shared" si="174"/>
        <v>0</v>
      </c>
      <c r="AH339" s="1">
        <f t="shared" si="175"/>
        <v>0</v>
      </c>
      <c r="AI339" s="1">
        <f t="shared" si="176"/>
        <v>1</v>
      </c>
    </row>
    <row r="340" spans="1:35" ht="14.25" customHeight="1" x14ac:dyDescent="0.25">
      <c r="A340" s="44">
        <v>0</v>
      </c>
      <c r="B340" s="44">
        <v>2</v>
      </c>
      <c r="C340" s="44">
        <v>3</v>
      </c>
      <c r="D340" s="45" t="s">
        <v>56</v>
      </c>
      <c r="E340" s="45" t="s">
        <v>161</v>
      </c>
      <c r="F340" s="45" t="s">
        <v>219</v>
      </c>
      <c r="G340" s="45" t="s">
        <v>196</v>
      </c>
      <c r="H340" s="45" t="s">
        <v>354</v>
      </c>
      <c r="I340" s="44" t="s">
        <v>551</v>
      </c>
      <c r="J340" s="44">
        <v>99</v>
      </c>
      <c r="K340" s="46" t="s">
        <v>713</v>
      </c>
      <c r="L340" s="46" t="s">
        <v>722</v>
      </c>
      <c r="M340" s="47" t="s">
        <v>723</v>
      </c>
      <c r="N340" s="47" t="s">
        <v>1802</v>
      </c>
      <c r="O340" s="48"/>
      <c r="P340" s="48"/>
      <c r="Q340" s="45"/>
      <c r="S340" s="1">
        <f t="shared" si="177"/>
        <v>0</v>
      </c>
      <c r="T340" s="1">
        <f t="shared" si="178"/>
        <v>0</v>
      </c>
      <c r="U340" s="1">
        <f t="shared" si="179"/>
        <v>0</v>
      </c>
      <c r="V340" s="1">
        <f t="shared" si="180"/>
        <v>0</v>
      </c>
      <c r="W340" s="1">
        <f t="shared" si="181"/>
        <v>0</v>
      </c>
      <c r="X340" s="1">
        <f t="shared" si="182"/>
        <v>0</v>
      </c>
      <c r="Y340" s="1">
        <f t="shared" si="183"/>
        <v>0</v>
      </c>
      <c r="Z340" s="1">
        <f t="shared" si="184"/>
        <v>0</v>
      </c>
      <c r="AA340" s="1">
        <f t="shared" si="185"/>
        <v>0</v>
      </c>
      <c r="AB340" s="1">
        <f t="shared" si="186"/>
        <v>0</v>
      </c>
      <c r="AD340" s="1">
        <f t="shared" si="187"/>
        <v>0</v>
      </c>
      <c r="AE340" s="1">
        <f t="shared" si="188"/>
        <v>0</v>
      </c>
      <c r="AF340" s="1">
        <f t="shared" si="173"/>
        <v>0</v>
      </c>
      <c r="AG340" s="1">
        <f t="shared" si="174"/>
        <v>0</v>
      </c>
      <c r="AH340" s="1">
        <f t="shared" si="175"/>
        <v>0</v>
      </c>
      <c r="AI340" s="1">
        <f t="shared" si="176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1175</v>
      </c>
      <c r="E341" s="45" t="s">
        <v>1335</v>
      </c>
      <c r="F341" s="45" t="s">
        <v>1176</v>
      </c>
      <c r="G341" s="45" t="s">
        <v>302</v>
      </c>
      <c r="H341" s="45" t="s">
        <v>354</v>
      </c>
      <c r="I341" s="44" t="s">
        <v>1177</v>
      </c>
      <c r="J341" s="44">
        <v>1</v>
      </c>
      <c r="K341" s="46" t="s">
        <v>955</v>
      </c>
      <c r="L341" s="46" t="s">
        <v>693</v>
      </c>
      <c r="M341" s="47" t="s">
        <v>1415</v>
      </c>
      <c r="N341" s="47" t="s">
        <v>1735</v>
      </c>
      <c r="O341" s="48"/>
      <c r="P341" s="48"/>
      <c r="Q341" s="45"/>
      <c r="S341" s="1">
        <f t="shared" si="177"/>
        <v>1</v>
      </c>
      <c r="T341" s="1">
        <f t="shared" si="178"/>
        <v>0</v>
      </c>
      <c r="U341" s="1">
        <f t="shared" si="179"/>
        <v>0</v>
      </c>
      <c r="V341" s="1">
        <f t="shared" si="180"/>
        <v>0</v>
      </c>
      <c r="W341" s="1">
        <f t="shared" si="181"/>
        <v>0</v>
      </c>
      <c r="X341" s="1">
        <f t="shared" si="182"/>
        <v>0</v>
      </c>
      <c r="Y341" s="1">
        <f t="shared" si="183"/>
        <v>0</v>
      </c>
      <c r="Z341" s="1">
        <f t="shared" si="184"/>
        <v>0</v>
      </c>
      <c r="AA341" s="1">
        <f t="shared" si="185"/>
        <v>0</v>
      </c>
      <c r="AB341" s="1">
        <f t="shared" si="186"/>
        <v>0</v>
      </c>
      <c r="AD341" s="1">
        <f t="shared" si="187"/>
        <v>0</v>
      </c>
      <c r="AE341" s="1">
        <f t="shared" si="188"/>
        <v>0</v>
      </c>
      <c r="AF341" s="1">
        <f t="shared" si="173"/>
        <v>0</v>
      </c>
      <c r="AG341" s="1">
        <f t="shared" si="174"/>
        <v>0</v>
      </c>
      <c r="AH341" s="1">
        <f t="shared" si="175"/>
        <v>0</v>
      </c>
      <c r="AI341" s="1">
        <f t="shared" si="176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1172</v>
      </c>
      <c r="E342" s="45" t="s">
        <v>1335</v>
      </c>
      <c r="F342" s="45" t="s">
        <v>1173</v>
      </c>
      <c r="G342" s="45" t="s">
        <v>1056</v>
      </c>
      <c r="H342" s="45" t="s">
        <v>354</v>
      </c>
      <c r="I342" s="44" t="s">
        <v>1174</v>
      </c>
      <c r="J342" s="44">
        <v>1</v>
      </c>
      <c r="K342" s="46" t="s">
        <v>713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77"/>
        <v>1</v>
      </c>
      <c r="T342" s="1">
        <f t="shared" si="178"/>
        <v>0</v>
      </c>
      <c r="U342" s="1">
        <f t="shared" si="179"/>
        <v>0</v>
      </c>
      <c r="V342" s="1">
        <f t="shared" si="180"/>
        <v>0</v>
      </c>
      <c r="W342" s="1">
        <f t="shared" si="181"/>
        <v>0</v>
      </c>
      <c r="X342" s="1">
        <f t="shared" si="182"/>
        <v>0</v>
      </c>
      <c r="Y342" s="1">
        <f t="shared" si="183"/>
        <v>0</v>
      </c>
      <c r="Z342" s="1">
        <f t="shared" si="184"/>
        <v>0</v>
      </c>
      <c r="AA342" s="1">
        <f t="shared" si="185"/>
        <v>0</v>
      </c>
      <c r="AB342" s="1">
        <f t="shared" si="186"/>
        <v>0</v>
      </c>
      <c r="AD342" s="1">
        <f t="shared" si="187"/>
        <v>0</v>
      </c>
      <c r="AE342" s="1">
        <f t="shared" si="188"/>
        <v>0</v>
      </c>
      <c r="AF342" s="1">
        <f t="shared" si="173"/>
        <v>0</v>
      </c>
      <c r="AG342" s="1">
        <f t="shared" si="174"/>
        <v>0</v>
      </c>
      <c r="AH342" s="1">
        <f t="shared" si="175"/>
        <v>0</v>
      </c>
      <c r="AI342" s="1">
        <f t="shared" si="176"/>
        <v>1</v>
      </c>
    </row>
    <row r="343" spans="1:35" ht="14.25" customHeight="1" x14ac:dyDescent="0.25">
      <c r="A343" s="31">
        <v>0</v>
      </c>
      <c r="B343" s="31">
        <v>2</v>
      </c>
      <c r="C343" s="31">
        <v>3</v>
      </c>
      <c r="D343" s="32" t="s">
        <v>1294</v>
      </c>
      <c r="E343" s="32" t="s">
        <v>32</v>
      </c>
      <c r="F343" s="32" t="s">
        <v>1295</v>
      </c>
      <c r="G343" s="32" t="s">
        <v>222</v>
      </c>
      <c r="H343" s="32" t="s">
        <v>354</v>
      </c>
      <c r="I343" s="31" t="s">
        <v>1689</v>
      </c>
      <c r="J343" s="31">
        <v>99</v>
      </c>
      <c r="K343" s="33" t="s">
        <v>713</v>
      </c>
      <c r="L343" s="33" t="s">
        <v>716</v>
      </c>
      <c r="M343" s="34" t="s">
        <v>1296</v>
      </c>
      <c r="N343" s="34" t="s">
        <v>1727</v>
      </c>
      <c r="O343" s="35">
        <v>1</v>
      </c>
      <c r="P343" s="35">
        <v>1</v>
      </c>
      <c r="Q343" s="32"/>
      <c r="S343" s="1">
        <f t="shared" si="177"/>
        <v>0</v>
      </c>
      <c r="T343" s="1">
        <f t="shared" si="178"/>
        <v>0</v>
      </c>
      <c r="U343" s="1">
        <f t="shared" si="179"/>
        <v>0</v>
      </c>
      <c r="V343" s="1">
        <f t="shared" si="180"/>
        <v>0</v>
      </c>
      <c r="W343" s="1">
        <f t="shared" si="181"/>
        <v>0</v>
      </c>
      <c r="X343" s="1">
        <f t="shared" si="182"/>
        <v>0</v>
      </c>
      <c r="Y343" s="1">
        <f t="shared" si="183"/>
        <v>0</v>
      </c>
      <c r="Z343" s="1">
        <f t="shared" si="184"/>
        <v>0</v>
      </c>
      <c r="AA343" s="1">
        <f t="shared" si="185"/>
        <v>0</v>
      </c>
      <c r="AB343" s="1">
        <f t="shared" si="186"/>
        <v>0</v>
      </c>
      <c r="AD343" s="1">
        <f t="shared" si="187"/>
        <v>1</v>
      </c>
      <c r="AE343" s="1">
        <f t="shared" si="188"/>
        <v>0</v>
      </c>
      <c r="AF343" s="1">
        <f t="shared" si="173"/>
        <v>1</v>
      </c>
      <c r="AG343" s="1">
        <f t="shared" si="174"/>
        <v>0</v>
      </c>
      <c r="AH343" s="1">
        <f t="shared" si="175"/>
        <v>1</v>
      </c>
      <c r="AI343" s="1">
        <f t="shared" si="176"/>
        <v>0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761</v>
      </c>
      <c r="E344" s="32" t="s">
        <v>913</v>
      </c>
      <c r="F344" s="32" t="s">
        <v>762</v>
      </c>
      <c r="G344" s="32" t="s">
        <v>220</v>
      </c>
      <c r="H344" s="32" t="s">
        <v>354</v>
      </c>
      <c r="I344" s="31" t="s">
        <v>763</v>
      </c>
      <c r="J344" s="31">
        <v>8</v>
      </c>
      <c r="K344" s="33" t="s">
        <v>955</v>
      </c>
      <c r="L344" s="33" t="s">
        <v>729</v>
      </c>
      <c r="M344" s="34" t="s">
        <v>723</v>
      </c>
      <c r="N344" s="34" t="s">
        <v>1748</v>
      </c>
      <c r="O344" s="35">
        <v>1</v>
      </c>
      <c r="P344" s="35"/>
      <c r="Q344" s="32"/>
      <c r="S344" s="1">
        <f t="shared" si="177"/>
        <v>0</v>
      </c>
      <c r="T344" s="1">
        <f t="shared" si="178"/>
        <v>0</v>
      </c>
      <c r="U344" s="1">
        <f t="shared" si="179"/>
        <v>0</v>
      </c>
      <c r="V344" s="1">
        <f t="shared" si="180"/>
        <v>0</v>
      </c>
      <c r="W344" s="1">
        <f t="shared" si="181"/>
        <v>0</v>
      </c>
      <c r="X344" s="1">
        <f t="shared" si="182"/>
        <v>0</v>
      </c>
      <c r="Y344" s="1">
        <f t="shared" si="183"/>
        <v>0</v>
      </c>
      <c r="Z344" s="1">
        <f t="shared" si="184"/>
        <v>1</v>
      </c>
      <c r="AA344" s="1">
        <f t="shared" si="185"/>
        <v>0</v>
      </c>
      <c r="AB344" s="1">
        <f t="shared" si="186"/>
        <v>0</v>
      </c>
      <c r="AD344" s="1">
        <f t="shared" si="187"/>
        <v>0</v>
      </c>
      <c r="AE344" s="1">
        <f t="shared" si="188"/>
        <v>1</v>
      </c>
      <c r="AF344" s="1">
        <f t="shared" si="173"/>
        <v>0</v>
      </c>
      <c r="AG344" s="1">
        <f t="shared" si="174"/>
        <v>1</v>
      </c>
      <c r="AH344" s="1">
        <f t="shared" si="175"/>
        <v>0</v>
      </c>
      <c r="AI344" s="1">
        <f t="shared" si="176"/>
        <v>1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1495</v>
      </c>
      <c r="E345" s="45" t="s">
        <v>1496</v>
      </c>
      <c r="F345" s="45" t="s">
        <v>1497</v>
      </c>
      <c r="G345" s="45" t="s">
        <v>238</v>
      </c>
      <c r="H345" s="45" t="s">
        <v>354</v>
      </c>
      <c r="I345" s="44" t="s">
        <v>1498</v>
      </c>
      <c r="J345" s="44">
        <v>4</v>
      </c>
      <c r="K345" s="46" t="s">
        <v>712</v>
      </c>
      <c r="L345" s="46">
        <v>15</v>
      </c>
      <c r="M345" s="47" t="s">
        <v>39</v>
      </c>
      <c r="N345" s="47" t="s">
        <v>1802</v>
      </c>
      <c r="O345" s="48"/>
      <c r="P345" s="48"/>
      <c r="Q345" s="45"/>
      <c r="S345" s="1">
        <f t="shared" si="177"/>
        <v>0</v>
      </c>
      <c r="T345" s="1">
        <f t="shared" si="178"/>
        <v>0</v>
      </c>
      <c r="U345" s="1">
        <f t="shared" si="179"/>
        <v>0</v>
      </c>
      <c r="V345" s="1">
        <f t="shared" si="180"/>
        <v>1</v>
      </c>
      <c r="W345" s="1">
        <f t="shared" si="181"/>
        <v>0</v>
      </c>
      <c r="X345" s="1">
        <f t="shared" si="182"/>
        <v>0</v>
      </c>
      <c r="Y345" s="1">
        <f t="shared" si="183"/>
        <v>0</v>
      </c>
      <c r="Z345" s="1">
        <f t="shared" si="184"/>
        <v>0</v>
      </c>
      <c r="AA345" s="1">
        <f t="shared" si="185"/>
        <v>0</v>
      </c>
      <c r="AB345" s="1">
        <f t="shared" si="186"/>
        <v>0</v>
      </c>
      <c r="AD345" s="1">
        <f t="shared" si="187"/>
        <v>0</v>
      </c>
      <c r="AE345" s="1">
        <f t="shared" si="188"/>
        <v>0</v>
      </c>
      <c r="AF345" s="1">
        <f t="shared" si="173"/>
        <v>0</v>
      </c>
      <c r="AG345" s="1">
        <f t="shared" si="174"/>
        <v>0</v>
      </c>
      <c r="AH345" s="1">
        <f t="shared" si="175"/>
        <v>0</v>
      </c>
      <c r="AI345" s="1">
        <f t="shared" si="176"/>
        <v>1</v>
      </c>
    </row>
    <row r="346" spans="1:35" ht="14.25" customHeight="1" x14ac:dyDescent="0.25">
      <c r="A346" s="31">
        <v>0</v>
      </c>
      <c r="B346" s="31">
        <v>2</v>
      </c>
      <c r="C346" s="31">
        <v>3</v>
      </c>
      <c r="D346" s="32" t="s">
        <v>1553</v>
      </c>
      <c r="E346" s="32" t="s">
        <v>1554</v>
      </c>
      <c r="F346" s="32" t="s">
        <v>1555</v>
      </c>
      <c r="G346" s="32" t="s">
        <v>1556</v>
      </c>
      <c r="H346" s="32" t="s">
        <v>354</v>
      </c>
      <c r="I346" s="31" t="s">
        <v>1557</v>
      </c>
      <c r="J346" s="31">
        <v>7</v>
      </c>
      <c r="K346" s="33" t="s">
        <v>955</v>
      </c>
      <c r="L346" s="33">
        <v>10</v>
      </c>
      <c r="M346" s="34" t="s">
        <v>39</v>
      </c>
      <c r="N346" s="34" t="s">
        <v>1743</v>
      </c>
      <c r="O346" s="35">
        <v>1</v>
      </c>
      <c r="P346" s="35"/>
      <c r="Q346" s="32"/>
      <c r="S346" s="1">
        <f t="shared" si="177"/>
        <v>0</v>
      </c>
      <c r="T346" s="1">
        <f t="shared" si="178"/>
        <v>0</v>
      </c>
      <c r="U346" s="1">
        <f t="shared" si="179"/>
        <v>0</v>
      </c>
      <c r="V346" s="1">
        <f t="shared" si="180"/>
        <v>0</v>
      </c>
      <c r="W346" s="1">
        <f t="shared" si="181"/>
        <v>0</v>
      </c>
      <c r="X346" s="1">
        <f t="shared" si="182"/>
        <v>0</v>
      </c>
      <c r="Y346" s="1">
        <f t="shared" si="183"/>
        <v>1</v>
      </c>
      <c r="Z346" s="1">
        <f t="shared" si="184"/>
        <v>0</v>
      </c>
      <c r="AA346" s="1">
        <f t="shared" si="185"/>
        <v>0</v>
      </c>
      <c r="AB346" s="1">
        <f t="shared" si="186"/>
        <v>0</v>
      </c>
      <c r="AD346" s="1">
        <f t="shared" si="187"/>
        <v>0</v>
      </c>
      <c r="AE346" s="1">
        <f t="shared" si="188"/>
        <v>1</v>
      </c>
      <c r="AF346" s="1">
        <f t="shared" si="173"/>
        <v>0</v>
      </c>
      <c r="AG346" s="1">
        <f t="shared" si="174"/>
        <v>1</v>
      </c>
      <c r="AH346" s="1">
        <f t="shared" si="175"/>
        <v>0</v>
      </c>
      <c r="AI346" s="1">
        <f t="shared" si="176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841</v>
      </c>
      <c r="E347" s="45" t="s">
        <v>32</v>
      </c>
      <c r="F347" s="45" t="s">
        <v>843</v>
      </c>
      <c r="G347" s="45" t="s">
        <v>39</v>
      </c>
      <c r="H347" s="45" t="s">
        <v>354</v>
      </c>
      <c r="I347" s="44" t="s">
        <v>842</v>
      </c>
      <c r="J347" s="44">
        <v>1</v>
      </c>
      <c r="K347" s="46" t="s">
        <v>713</v>
      </c>
      <c r="L347" s="46" t="s">
        <v>694</v>
      </c>
      <c r="M347" s="47" t="s">
        <v>1415</v>
      </c>
      <c r="N347" s="47" t="s">
        <v>1735</v>
      </c>
      <c r="O347" s="48"/>
      <c r="P347" s="48"/>
      <c r="Q347" s="45"/>
      <c r="S347" s="1">
        <f t="shared" si="177"/>
        <v>1</v>
      </c>
      <c r="T347" s="1">
        <f t="shared" si="178"/>
        <v>0</v>
      </c>
      <c r="U347" s="1">
        <f t="shared" si="179"/>
        <v>0</v>
      </c>
      <c r="V347" s="1">
        <f t="shared" si="180"/>
        <v>0</v>
      </c>
      <c r="W347" s="1">
        <f t="shared" si="181"/>
        <v>0</v>
      </c>
      <c r="X347" s="1">
        <f t="shared" si="182"/>
        <v>0</v>
      </c>
      <c r="Y347" s="1">
        <f t="shared" si="183"/>
        <v>0</v>
      </c>
      <c r="Z347" s="1">
        <f t="shared" si="184"/>
        <v>0</v>
      </c>
      <c r="AA347" s="1">
        <f t="shared" si="185"/>
        <v>0</v>
      </c>
      <c r="AB347" s="1">
        <f t="shared" si="186"/>
        <v>0</v>
      </c>
      <c r="AD347" s="1">
        <f t="shared" si="187"/>
        <v>0</v>
      </c>
      <c r="AE347" s="1">
        <f t="shared" si="188"/>
        <v>0</v>
      </c>
      <c r="AF347" s="1">
        <f t="shared" si="173"/>
        <v>0</v>
      </c>
      <c r="AG347" s="1">
        <f t="shared" si="174"/>
        <v>0</v>
      </c>
      <c r="AH347" s="1">
        <f t="shared" si="175"/>
        <v>0</v>
      </c>
      <c r="AI347" s="1">
        <f t="shared" si="176"/>
        <v>1</v>
      </c>
    </row>
    <row r="348" spans="1:35" ht="14.25" customHeight="1" x14ac:dyDescent="0.25">
      <c r="A348" s="15">
        <v>0</v>
      </c>
      <c r="B348" s="15">
        <v>2</v>
      </c>
      <c r="C348" s="15">
        <v>4</v>
      </c>
      <c r="D348" s="16" t="s">
        <v>764</v>
      </c>
      <c r="E348" s="16" t="s">
        <v>765</v>
      </c>
      <c r="F348" s="16" t="s">
        <v>766</v>
      </c>
      <c r="G348" s="16" t="s">
        <v>767</v>
      </c>
      <c r="H348" s="16" t="s">
        <v>354</v>
      </c>
      <c r="I348" s="15" t="s">
        <v>768</v>
      </c>
      <c r="J348" s="15">
        <v>99</v>
      </c>
      <c r="K348" s="10" t="s">
        <v>703</v>
      </c>
      <c r="L348" s="10">
        <v>15</v>
      </c>
      <c r="M348" s="19" t="s">
        <v>769</v>
      </c>
      <c r="N348" s="19"/>
      <c r="Q348" s="16"/>
      <c r="S348" s="1">
        <f t="shared" si="177"/>
        <v>0</v>
      </c>
      <c r="T348" s="1">
        <f t="shared" si="178"/>
        <v>0</v>
      </c>
      <c r="U348" s="1">
        <f t="shared" si="179"/>
        <v>0</v>
      </c>
      <c r="V348" s="1">
        <f t="shared" si="180"/>
        <v>0</v>
      </c>
      <c r="W348" s="1">
        <f t="shared" si="181"/>
        <v>0</v>
      </c>
      <c r="X348" s="1">
        <f t="shared" si="182"/>
        <v>0</v>
      </c>
      <c r="Y348" s="1">
        <f t="shared" si="183"/>
        <v>0</v>
      </c>
      <c r="Z348" s="1">
        <f t="shared" si="184"/>
        <v>0</v>
      </c>
      <c r="AA348" s="1">
        <f t="shared" si="185"/>
        <v>0</v>
      </c>
      <c r="AB348" s="1">
        <f t="shared" si="186"/>
        <v>0</v>
      </c>
      <c r="AD348" s="1">
        <f t="shared" si="187"/>
        <v>0</v>
      </c>
      <c r="AE348" s="1">
        <f t="shared" si="188"/>
        <v>0</v>
      </c>
      <c r="AF348" s="1">
        <f t="shared" si="173"/>
        <v>0</v>
      </c>
      <c r="AG348" s="1">
        <f t="shared" si="174"/>
        <v>0</v>
      </c>
      <c r="AH348" s="1">
        <f t="shared" si="175"/>
        <v>0</v>
      </c>
      <c r="AI348" s="1">
        <f t="shared" si="176"/>
        <v>1</v>
      </c>
    </row>
    <row r="349" spans="1:35" ht="14.25" customHeight="1" x14ac:dyDescent="0.25">
      <c r="A349" s="44">
        <v>0</v>
      </c>
      <c r="B349" s="44">
        <v>2</v>
      </c>
      <c r="C349" s="44">
        <v>4</v>
      </c>
      <c r="D349" s="45" t="s">
        <v>798</v>
      </c>
      <c r="E349" s="45" t="s">
        <v>908</v>
      </c>
      <c r="F349" s="45" t="s">
        <v>925</v>
      </c>
      <c r="G349" s="45" t="s">
        <v>208</v>
      </c>
      <c r="H349" s="45" t="s">
        <v>354</v>
      </c>
      <c r="I349" s="44" t="s">
        <v>1363</v>
      </c>
      <c r="J349" s="44">
        <v>3</v>
      </c>
      <c r="K349" s="46" t="s">
        <v>703</v>
      </c>
      <c r="L349" s="46">
        <v>20</v>
      </c>
      <c r="M349" s="47" t="s">
        <v>1417</v>
      </c>
      <c r="N349" s="47" t="s">
        <v>1802</v>
      </c>
      <c r="O349" s="48"/>
      <c r="P349" s="48"/>
      <c r="Q349" s="45"/>
      <c r="S349" s="1">
        <f t="shared" si="177"/>
        <v>0</v>
      </c>
      <c r="T349" s="1">
        <f t="shared" si="178"/>
        <v>0</v>
      </c>
      <c r="U349" s="1">
        <f t="shared" si="179"/>
        <v>1</v>
      </c>
      <c r="V349" s="1">
        <f t="shared" si="180"/>
        <v>0</v>
      </c>
      <c r="W349" s="1">
        <f t="shared" si="181"/>
        <v>0</v>
      </c>
      <c r="X349" s="1">
        <f t="shared" si="182"/>
        <v>0</v>
      </c>
      <c r="Y349" s="1">
        <f t="shared" si="183"/>
        <v>0</v>
      </c>
      <c r="Z349" s="1">
        <f t="shared" si="184"/>
        <v>0</v>
      </c>
      <c r="AA349" s="1">
        <f t="shared" si="185"/>
        <v>0</v>
      </c>
      <c r="AB349" s="1">
        <f t="shared" si="186"/>
        <v>0</v>
      </c>
      <c r="AD349" s="1">
        <f t="shared" si="187"/>
        <v>0</v>
      </c>
      <c r="AE349" s="1">
        <f t="shared" si="188"/>
        <v>0</v>
      </c>
      <c r="AF349" s="1">
        <f t="shared" si="173"/>
        <v>0</v>
      </c>
      <c r="AG349" s="1">
        <f t="shared" si="174"/>
        <v>0</v>
      </c>
      <c r="AH349" s="1">
        <f t="shared" si="175"/>
        <v>0</v>
      </c>
      <c r="AI349" s="1">
        <f t="shared" si="176"/>
        <v>1</v>
      </c>
    </row>
    <row r="350" spans="1:35" ht="14.25" customHeight="1" x14ac:dyDescent="0.25">
      <c r="A350" s="57">
        <v>0</v>
      </c>
      <c r="B350" s="57">
        <v>2</v>
      </c>
      <c r="C350" s="57">
        <v>4</v>
      </c>
      <c r="D350" s="58" t="s">
        <v>567</v>
      </c>
      <c r="E350" s="58" t="s">
        <v>37</v>
      </c>
      <c r="F350" s="58" t="s">
        <v>205</v>
      </c>
      <c r="G350" s="58" t="s">
        <v>39</v>
      </c>
      <c r="H350" s="58" t="s">
        <v>354</v>
      </c>
      <c r="I350" s="57" t="s">
        <v>389</v>
      </c>
      <c r="J350" s="57">
        <v>6</v>
      </c>
      <c r="K350" s="59" t="s">
        <v>703</v>
      </c>
      <c r="L350" s="59" t="s">
        <v>39</v>
      </c>
      <c r="M350" s="60" t="s">
        <v>39</v>
      </c>
      <c r="N350" s="61"/>
      <c r="O350" s="62"/>
      <c r="P350" s="62"/>
      <c r="Q350" s="58"/>
      <c r="S350" s="1">
        <f t="shared" si="177"/>
        <v>0</v>
      </c>
      <c r="T350" s="1">
        <f t="shared" si="178"/>
        <v>0</v>
      </c>
      <c r="U350" s="1">
        <f t="shared" si="179"/>
        <v>0</v>
      </c>
      <c r="V350" s="1">
        <f t="shared" si="180"/>
        <v>0</v>
      </c>
      <c r="W350" s="1">
        <f t="shared" si="181"/>
        <v>0</v>
      </c>
      <c r="X350" s="1">
        <f t="shared" si="182"/>
        <v>1</v>
      </c>
      <c r="Y350" s="1">
        <f t="shared" si="183"/>
        <v>0</v>
      </c>
      <c r="Z350" s="1">
        <f t="shared" si="184"/>
        <v>0</v>
      </c>
      <c r="AA350" s="1">
        <f t="shared" si="185"/>
        <v>0</v>
      </c>
      <c r="AB350" s="1">
        <f t="shared" si="186"/>
        <v>0</v>
      </c>
      <c r="AD350" s="1">
        <f t="shared" si="187"/>
        <v>0</v>
      </c>
      <c r="AE350" s="1">
        <f t="shared" si="188"/>
        <v>0</v>
      </c>
      <c r="AF350" s="1">
        <f t="shared" si="173"/>
        <v>0</v>
      </c>
      <c r="AG350" s="1">
        <f t="shared" si="174"/>
        <v>0</v>
      </c>
      <c r="AH350" s="1">
        <f t="shared" si="175"/>
        <v>0</v>
      </c>
      <c r="AI350" s="1">
        <f t="shared" si="176"/>
        <v>1</v>
      </c>
    </row>
    <row r="351" spans="1:35" ht="14.25" customHeight="1" x14ac:dyDescent="0.25">
      <c r="A351" s="44">
        <v>0</v>
      </c>
      <c r="B351" s="44">
        <v>2</v>
      </c>
      <c r="C351" s="44">
        <v>4</v>
      </c>
      <c r="D351" s="45" t="s">
        <v>653</v>
      </c>
      <c r="E351" s="45" t="s">
        <v>910</v>
      </c>
      <c r="F351" s="45" t="s">
        <v>624</v>
      </c>
      <c r="G351" s="45" t="s">
        <v>341</v>
      </c>
      <c r="H351" s="45" t="s">
        <v>354</v>
      </c>
      <c r="I351" s="44" t="s">
        <v>625</v>
      </c>
      <c r="J351" s="44">
        <v>10</v>
      </c>
      <c r="K351" s="46" t="s">
        <v>954</v>
      </c>
      <c r="L351" s="46" t="s">
        <v>704</v>
      </c>
      <c r="M351" s="47" t="s">
        <v>1418</v>
      </c>
      <c r="N351" s="47" t="s">
        <v>1734</v>
      </c>
      <c r="O351" s="48"/>
      <c r="P351" s="48"/>
      <c r="Q351" s="45"/>
      <c r="S351" s="1">
        <f t="shared" si="177"/>
        <v>0</v>
      </c>
      <c r="T351" s="1">
        <f t="shared" si="178"/>
        <v>0</v>
      </c>
      <c r="U351" s="1">
        <f t="shared" si="179"/>
        <v>0</v>
      </c>
      <c r="V351" s="1">
        <f t="shared" si="180"/>
        <v>0</v>
      </c>
      <c r="W351" s="1">
        <f t="shared" si="181"/>
        <v>0</v>
      </c>
      <c r="X351" s="1">
        <f t="shared" si="182"/>
        <v>0</v>
      </c>
      <c r="Y351" s="1">
        <f t="shared" si="183"/>
        <v>0</v>
      </c>
      <c r="Z351" s="1">
        <f t="shared" si="184"/>
        <v>0</v>
      </c>
      <c r="AA351" s="1">
        <f t="shared" si="185"/>
        <v>0</v>
      </c>
      <c r="AB351" s="1">
        <f t="shared" si="186"/>
        <v>1</v>
      </c>
      <c r="AD351" s="1">
        <f t="shared" si="187"/>
        <v>0</v>
      </c>
      <c r="AE351" s="1">
        <f t="shared" si="188"/>
        <v>0</v>
      </c>
      <c r="AF351" s="1">
        <f t="shared" si="173"/>
        <v>0</v>
      </c>
      <c r="AG351" s="1">
        <f t="shared" si="174"/>
        <v>0</v>
      </c>
      <c r="AH351" s="1">
        <f t="shared" si="175"/>
        <v>0</v>
      </c>
      <c r="AI351" s="1">
        <f t="shared" si="176"/>
        <v>1</v>
      </c>
    </row>
    <row r="352" spans="1:35" ht="14.25" customHeight="1" x14ac:dyDescent="0.25">
      <c r="A352" s="31">
        <v>0</v>
      </c>
      <c r="B352" s="31">
        <v>2</v>
      </c>
      <c r="C352" s="31">
        <v>4</v>
      </c>
      <c r="D352" s="32" t="s">
        <v>75</v>
      </c>
      <c r="E352" s="32" t="s">
        <v>35</v>
      </c>
      <c r="F352" s="32" t="s">
        <v>266</v>
      </c>
      <c r="G352" s="32" t="s">
        <v>213</v>
      </c>
      <c r="H352" s="32" t="s">
        <v>354</v>
      </c>
      <c r="I352" s="31" t="s">
        <v>945</v>
      </c>
      <c r="J352" s="31">
        <v>1</v>
      </c>
      <c r="K352" s="33" t="s">
        <v>713</v>
      </c>
      <c r="L352" s="33" t="s">
        <v>704</v>
      </c>
      <c r="M352" s="34" t="s">
        <v>1419</v>
      </c>
      <c r="N352" s="34" t="s">
        <v>1743</v>
      </c>
      <c r="O352" s="35">
        <v>1</v>
      </c>
      <c r="P352" s="35"/>
      <c r="Q352" s="32"/>
      <c r="S352" s="1">
        <f t="shared" si="177"/>
        <v>1</v>
      </c>
      <c r="T352" s="1">
        <f t="shared" si="178"/>
        <v>0</v>
      </c>
      <c r="U352" s="1">
        <f t="shared" si="179"/>
        <v>0</v>
      </c>
      <c r="V352" s="1">
        <f t="shared" si="180"/>
        <v>0</v>
      </c>
      <c r="W352" s="1">
        <f t="shared" si="181"/>
        <v>0</v>
      </c>
      <c r="X352" s="1">
        <f t="shared" si="182"/>
        <v>0</v>
      </c>
      <c r="Y352" s="1">
        <f t="shared" si="183"/>
        <v>0</v>
      </c>
      <c r="Z352" s="1">
        <f t="shared" si="184"/>
        <v>0</v>
      </c>
      <c r="AA352" s="1">
        <f t="shared" si="185"/>
        <v>0</v>
      </c>
      <c r="AB352" s="1">
        <f t="shared" si="186"/>
        <v>0</v>
      </c>
      <c r="AD352" s="1">
        <f t="shared" si="187"/>
        <v>0</v>
      </c>
      <c r="AE352" s="1">
        <f t="shared" si="188"/>
        <v>1</v>
      </c>
      <c r="AF352" s="1">
        <f t="shared" si="173"/>
        <v>0</v>
      </c>
      <c r="AG352" s="1">
        <f t="shared" si="174"/>
        <v>1</v>
      </c>
      <c r="AH352" s="1">
        <f t="shared" si="175"/>
        <v>0</v>
      </c>
      <c r="AI352" s="1">
        <f t="shared" si="176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919</v>
      </c>
      <c r="E353" s="32" t="s">
        <v>912</v>
      </c>
      <c r="F353" s="32" t="s">
        <v>782</v>
      </c>
      <c r="G353" s="32" t="s">
        <v>285</v>
      </c>
      <c r="H353" s="32" t="s">
        <v>354</v>
      </c>
      <c r="I353" s="31" t="s">
        <v>946</v>
      </c>
      <c r="J353" s="31">
        <v>4</v>
      </c>
      <c r="K353" s="33" t="s">
        <v>713</v>
      </c>
      <c r="L353" s="33" t="s">
        <v>696</v>
      </c>
      <c r="M353" s="34" t="s">
        <v>1420</v>
      </c>
      <c r="N353" s="34" t="s">
        <v>1749</v>
      </c>
      <c r="O353" s="35">
        <v>1</v>
      </c>
      <c r="P353" s="35"/>
      <c r="Q353" s="32"/>
      <c r="S353" s="1">
        <f t="shared" si="177"/>
        <v>0</v>
      </c>
      <c r="T353" s="1">
        <f t="shared" si="178"/>
        <v>0</v>
      </c>
      <c r="U353" s="1">
        <f t="shared" si="179"/>
        <v>0</v>
      </c>
      <c r="V353" s="1">
        <f t="shared" si="180"/>
        <v>1</v>
      </c>
      <c r="W353" s="1">
        <f t="shared" si="181"/>
        <v>0</v>
      </c>
      <c r="X353" s="1">
        <f t="shared" si="182"/>
        <v>0</v>
      </c>
      <c r="Y353" s="1">
        <f t="shared" si="183"/>
        <v>0</v>
      </c>
      <c r="Z353" s="1">
        <f t="shared" si="184"/>
        <v>0</v>
      </c>
      <c r="AA353" s="1">
        <f t="shared" si="185"/>
        <v>0</v>
      </c>
      <c r="AB353" s="1">
        <f t="shared" si="186"/>
        <v>0</v>
      </c>
      <c r="AD353" s="1">
        <f t="shared" si="187"/>
        <v>0</v>
      </c>
      <c r="AE353" s="1">
        <f t="shared" si="188"/>
        <v>1</v>
      </c>
      <c r="AF353" s="1">
        <f t="shared" si="173"/>
        <v>0</v>
      </c>
      <c r="AG353" s="1">
        <f t="shared" si="174"/>
        <v>1</v>
      </c>
      <c r="AH353" s="1">
        <f t="shared" si="175"/>
        <v>0</v>
      </c>
      <c r="AI353" s="1">
        <f t="shared" si="176"/>
        <v>1</v>
      </c>
    </row>
    <row r="354" spans="1:35" ht="14.25" customHeight="1" x14ac:dyDescent="0.25">
      <c r="A354" s="15">
        <v>0</v>
      </c>
      <c r="B354" s="15">
        <v>2</v>
      </c>
      <c r="C354" s="15">
        <v>4</v>
      </c>
      <c r="D354" s="16" t="s">
        <v>629</v>
      </c>
      <c r="E354" s="16" t="s">
        <v>685</v>
      </c>
      <c r="F354" s="16" t="s">
        <v>670</v>
      </c>
      <c r="G354" s="16" t="s">
        <v>628</v>
      </c>
      <c r="H354" s="16" t="s">
        <v>354</v>
      </c>
      <c r="I354" s="15" t="s">
        <v>630</v>
      </c>
      <c r="J354" s="15">
        <v>99</v>
      </c>
      <c r="K354" s="10" t="s">
        <v>955</v>
      </c>
      <c r="L354" s="10" t="s">
        <v>39</v>
      </c>
      <c r="M354" s="19" t="s">
        <v>39</v>
      </c>
      <c r="N354" s="17"/>
      <c r="Q354" s="20" t="s">
        <v>1897</v>
      </c>
      <c r="S354" s="1">
        <f t="shared" si="177"/>
        <v>0</v>
      </c>
      <c r="T354" s="1">
        <f t="shared" si="178"/>
        <v>0</v>
      </c>
      <c r="U354" s="1">
        <f t="shared" si="179"/>
        <v>0</v>
      </c>
      <c r="V354" s="1">
        <f t="shared" si="180"/>
        <v>0</v>
      </c>
      <c r="W354" s="1">
        <f t="shared" si="181"/>
        <v>0</v>
      </c>
      <c r="X354" s="1">
        <f t="shared" si="182"/>
        <v>0</v>
      </c>
      <c r="Y354" s="1">
        <f t="shared" si="183"/>
        <v>0</v>
      </c>
      <c r="Z354" s="1">
        <f t="shared" si="184"/>
        <v>0</v>
      </c>
      <c r="AA354" s="1">
        <f t="shared" si="185"/>
        <v>0</v>
      </c>
      <c r="AB354" s="1">
        <f t="shared" si="186"/>
        <v>0</v>
      </c>
      <c r="AD354" s="1">
        <f t="shared" si="187"/>
        <v>0</v>
      </c>
      <c r="AE354" s="1">
        <f t="shared" si="188"/>
        <v>0</v>
      </c>
      <c r="AF354" s="1">
        <f t="shared" si="173"/>
        <v>0</v>
      </c>
      <c r="AG354" s="1">
        <f t="shared" si="174"/>
        <v>0</v>
      </c>
      <c r="AH354" s="1">
        <f t="shared" si="175"/>
        <v>0</v>
      </c>
      <c r="AI354" s="1">
        <f t="shared" si="176"/>
        <v>1</v>
      </c>
    </row>
    <row r="355" spans="1:35" ht="14.25" customHeight="1" x14ac:dyDescent="0.25">
      <c r="A355" s="31">
        <v>0</v>
      </c>
      <c r="B355" s="31">
        <v>2</v>
      </c>
      <c r="C355" s="31">
        <v>4</v>
      </c>
      <c r="D355" s="32" t="s">
        <v>84</v>
      </c>
      <c r="E355" s="32" t="s">
        <v>35</v>
      </c>
      <c r="F355" s="32" t="s">
        <v>277</v>
      </c>
      <c r="G355" s="32" t="s">
        <v>224</v>
      </c>
      <c r="H355" s="32" t="s">
        <v>354</v>
      </c>
      <c r="I355" s="31" t="s">
        <v>433</v>
      </c>
      <c r="J355" s="31">
        <v>99</v>
      </c>
      <c r="K355" s="33" t="s">
        <v>954</v>
      </c>
      <c r="L355" s="33" t="s">
        <v>704</v>
      </c>
      <c r="M355" s="34" t="s">
        <v>726</v>
      </c>
      <c r="N355" s="34" t="s">
        <v>1761</v>
      </c>
      <c r="O355" s="35">
        <v>1</v>
      </c>
      <c r="P355" s="35"/>
      <c r="Q355" s="32"/>
      <c r="S355" s="1">
        <f t="shared" si="177"/>
        <v>0</v>
      </c>
      <c r="T355" s="1">
        <f t="shared" si="178"/>
        <v>0</v>
      </c>
      <c r="U355" s="1">
        <f t="shared" si="179"/>
        <v>0</v>
      </c>
      <c r="V355" s="1">
        <f t="shared" si="180"/>
        <v>0</v>
      </c>
      <c r="W355" s="1">
        <f t="shared" si="181"/>
        <v>0</v>
      </c>
      <c r="X355" s="1">
        <f t="shared" si="182"/>
        <v>0</v>
      </c>
      <c r="Y355" s="1">
        <f t="shared" si="183"/>
        <v>0</v>
      </c>
      <c r="Z355" s="1">
        <f t="shared" si="184"/>
        <v>0</v>
      </c>
      <c r="AA355" s="1">
        <f t="shared" si="185"/>
        <v>0</v>
      </c>
      <c r="AB355" s="1">
        <f t="shared" si="186"/>
        <v>0</v>
      </c>
      <c r="AD355" s="1">
        <f t="shared" si="187"/>
        <v>0</v>
      </c>
      <c r="AE355" s="1">
        <f t="shared" si="188"/>
        <v>1</v>
      </c>
      <c r="AF355" s="1">
        <f t="shared" si="173"/>
        <v>0</v>
      </c>
      <c r="AG355" s="1">
        <f t="shared" si="174"/>
        <v>1</v>
      </c>
      <c r="AH355" s="1">
        <f t="shared" si="175"/>
        <v>0</v>
      </c>
      <c r="AI355" s="1">
        <f t="shared" si="176"/>
        <v>1</v>
      </c>
    </row>
    <row r="356" spans="1:35" ht="14.25" customHeight="1" x14ac:dyDescent="0.25">
      <c r="A356" s="15">
        <v>0</v>
      </c>
      <c r="B356" s="15">
        <v>2</v>
      </c>
      <c r="C356" s="15">
        <v>4</v>
      </c>
      <c r="D356" s="16" t="s">
        <v>879</v>
      </c>
      <c r="E356" s="16" t="s">
        <v>772</v>
      </c>
      <c r="F356" s="16" t="s">
        <v>877</v>
      </c>
      <c r="G356" s="16" t="s">
        <v>279</v>
      </c>
      <c r="H356" s="16" t="s">
        <v>354</v>
      </c>
      <c r="I356" s="15" t="s">
        <v>878</v>
      </c>
      <c r="J356" s="15">
        <v>99</v>
      </c>
      <c r="K356" s="10" t="s">
        <v>703</v>
      </c>
      <c r="L356" s="10">
        <v>25</v>
      </c>
      <c r="M356" s="19" t="s">
        <v>1421</v>
      </c>
      <c r="N356" s="19"/>
      <c r="Q356" s="16"/>
      <c r="S356" s="1">
        <f t="shared" si="177"/>
        <v>0</v>
      </c>
      <c r="T356" s="1">
        <f t="shared" si="178"/>
        <v>0</v>
      </c>
      <c r="U356" s="1">
        <f t="shared" si="179"/>
        <v>0</v>
      </c>
      <c r="V356" s="1">
        <f t="shared" si="180"/>
        <v>0</v>
      </c>
      <c r="W356" s="1">
        <f t="shared" si="181"/>
        <v>0</v>
      </c>
      <c r="X356" s="1">
        <f t="shared" si="182"/>
        <v>0</v>
      </c>
      <c r="Y356" s="1">
        <f t="shared" si="183"/>
        <v>0</v>
      </c>
      <c r="Z356" s="1">
        <f t="shared" si="184"/>
        <v>0</v>
      </c>
      <c r="AA356" s="1">
        <f t="shared" si="185"/>
        <v>0</v>
      </c>
      <c r="AB356" s="1">
        <f t="shared" si="186"/>
        <v>0</v>
      </c>
      <c r="AD356" s="1">
        <f t="shared" si="187"/>
        <v>0</v>
      </c>
      <c r="AE356" s="1">
        <f t="shared" si="188"/>
        <v>0</v>
      </c>
      <c r="AF356" s="1">
        <f t="shared" si="173"/>
        <v>0</v>
      </c>
      <c r="AG356" s="1">
        <f t="shared" si="174"/>
        <v>0</v>
      </c>
      <c r="AH356" s="1">
        <f t="shared" si="175"/>
        <v>0</v>
      </c>
      <c r="AI356" s="1">
        <f t="shared" si="176"/>
        <v>1</v>
      </c>
    </row>
    <row r="357" spans="1:35" ht="14.25" customHeight="1" x14ac:dyDescent="0.25">
      <c r="A357" s="31">
        <v>0</v>
      </c>
      <c r="B357" s="31">
        <v>2</v>
      </c>
      <c r="C357" s="31">
        <v>4</v>
      </c>
      <c r="D357" s="32" t="s">
        <v>922</v>
      </c>
      <c r="E357" s="32" t="s">
        <v>772</v>
      </c>
      <c r="F357" s="32" t="s">
        <v>844</v>
      </c>
      <c r="G357" s="32" t="s">
        <v>209</v>
      </c>
      <c r="H357" s="32" t="s">
        <v>354</v>
      </c>
      <c r="I357" s="31" t="s">
        <v>845</v>
      </c>
      <c r="J357" s="31">
        <v>99</v>
      </c>
      <c r="K357" s="33" t="s">
        <v>712</v>
      </c>
      <c r="L357" s="33" t="s">
        <v>704</v>
      </c>
      <c r="M357" s="34" t="s">
        <v>726</v>
      </c>
      <c r="N357" s="34" t="s">
        <v>1756</v>
      </c>
      <c r="O357" s="35">
        <v>1</v>
      </c>
      <c r="P357" s="35"/>
      <c r="Q357" s="32"/>
      <c r="S357" s="1">
        <f t="shared" si="177"/>
        <v>0</v>
      </c>
      <c r="T357" s="1">
        <f t="shared" si="178"/>
        <v>0</v>
      </c>
      <c r="U357" s="1">
        <f t="shared" si="179"/>
        <v>0</v>
      </c>
      <c r="V357" s="1">
        <f t="shared" si="180"/>
        <v>0</v>
      </c>
      <c r="W357" s="1">
        <f t="shared" si="181"/>
        <v>0</v>
      </c>
      <c r="X357" s="1">
        <f t="shared" si="182"/>
        <v>0</v>
      </c>
      <c r="Y357" s="1">
        <f t="shared" si="183"/>
        <v>0</v>
      </c>
      <c r="Z357" s="1">
        <f t="shared" si="184"/>
        <v>0</v>
      </c>
      <c r="AA357" s="1">
        <f t="shared" si="185"/>
        <v>0</v>
      </c>
      <c r="AB357" s="1">
        <f t="shared" si="186"/>
        <v>0</v>
      </c>
      <c r="AD357" s="1">
        <f t="shared" ref="AD357:AD359" si="189">+O357*P357</f>
        <v>0</v>
      </c>
      <c r="AE357" s="1">
        <f t="shared" ref="AE357:AE359" si="190">O357*(1-P357)</f>
        <v>1</v>
      </c>
      <c r="AF357" s="1">
        <f t="shared" ref="AF357:AF359" si="191">+O357*P357*(1-A357)</f>
        <v>0</v>
      </c>
      <c r="AG357" s="1">
        <f t="shared" ref="AG357:AG359" si="192">O357*(1-P357)*(1-A357)</f>
        <v>1</v>
      </c>
      <c r="AH357" s="1">
        <f t="shared" ref="AH357:AH359" si="193">+P357*(1-A357)</f>
        <v>0</v>
      </c>
      <c r="AI357" s="1">
        <f t="shared" ref="AI357:AI359" si="194">+(1-A357)*(1-P357)</f>
        <v>1</v>
      </c>
    </row>
    <row r="358" spans="1:35" ht="14.25" customHeight="1" x14ac:dyDescent="0.25">
      <c r="A358" s="15">
        <v>0</v>
      </c>
      <c r="B358" s="15">
        <v>2</v>
      </c>
      <c r="C358" s="15">
        <v>4</v>
      </c>
      <c r="D358" s="16" t="s">
        <v>2029</v>
      </c>
      <c r="E358" s="16" t="s">
        <v>35</v>
      </c>
      <c r="F358" s="16" t="s">
        <v>2030</v>
      </c>
      <c r="G358" s="20" t="s">
        <v>209</v>
      </c>
      <c r="H358" s="20" t="s">
        <v>354</v>
      </c>
      <c r="I358" s="21" t="s">
        <v>2031</v>
      </c>
      <c r="J358" s="15">
        <v>99</v>
      </c>
      <c r="K358" s="10" t="s">
        <v>703</v>
      </c>
      <c r="L358" s="10">
        <v>25</v>
      </c>
      <c r="M358" s="19" t="s">
        <v>2033</v>
      </c>
      <c r="N358" s="19"/>
      <c r="Q358" s="16" t="s">
        <v>2032</v>
      </c>
      <c r="S358" s="1">
        <f t="shared" si="177"/>
        <v>0</v>
      </c>
      <c r="T358" s="1">
        <f t="shared" si="178"/>
        <v>0</v>
      </c>
      <c r="U358" s="1">
        <f t="shared" si="179"/>
        <v>0</v>
      </c>
      <c r="V358" s="1">
        <f t="shared" si="180"/>
        <v>0</v>
      </c>
      <c r="W358" s="1">
        <f t="shared" si="181"/>
        <v>0</v>
      </c>
      <c r="X358" s="1">
        <f t="shared" si="182"/>
        <v>0</v>
      </c>
      <c r="Y358" s="1">
        <f t="shared" si="183"/>
        <v>0</v>
      </c>
      <c r="Z358" s="1">
        <f t="shared" si="184"/>
        <v>0</v>
      </c>
      <c r="AA358" s="1">
        <f t="shared" si="185"/>
        <v>0</v>
      </c>
      <c r="AB358" s="1">
        <f t="shared" si="186"/>
        <v>0</v>
      </c>
      <c r="AD358" s="1">
        <f t="shared" si="189"/>
        <v>0</v>
      </c>
      <c r="AE358" s="1">
        <f t="shared" si="190"/>
        <v>0</v>
      </c>
      <c r="AF358" s="1">
        <f t="shared" si="191"/>
        <v>0</v>
      </c>
      <c r="AG358" s="1">
        <f t="shared" si="192"/>
        <v>0</v>
      </c>
      <c r="AH358" s="1">
        <f t="shared" si="193"/>
        <v>0</v>
      </c>
      <c r="AI358" s="1">
        <f t="shared" si="194"/>
        <v>1</v>
      </c>
    </row>
    <row r="359" spans="1:35" ht="14.25" customHeight="1" x14ac:dyDescent="0.25">
      <c r="A359" s="44">
        <v>0</v>
      </c>
      <c r="B359" s="44">
        <v>2</v>
      </c>
      <c r="C359" s="44">
        <v>4</v>
      </c>
      <c r="D359" s="45" t="s">
        <v>1223</v>
      </c>
      <c r="E359" s="45" t="s">
        <v>1222</v>
      </c>
      <c r="F359" s="45" t="s">
        <v>1224</v>
      </c>
      <c r="G359" s="45" t="s">
        <v>535</v>
      </c>
      <c r="H359" s="45" t="s">
        <v>354</v>
      </c>
      <c r="I359" s="44" t="s">
        <v>1225</v>
      </c>
      <c r="J359" s="44">
        <v>99</v>
      </c>
      <c r="K359" s="46" t="s">
        <v>713</v>
      </c>
      <c r="L359" s="46" t="s">
        <v>694</v>
      </c>
      <c r="M359" s="47" t="s">
        <v>1422</v>
      </c>
      <c r="N359" s="47" t="s">
        <v>1747</v>
      </c>
      <c r="O359" s="48"/>
      <c r="P359" s="48"/>
      <c r="Q359" s="45"/>
      <c r="S359" s="1">
        <f t="shared" si="177"/>
        <v>0</v>
      </c>
      <c r="T359" s="1">
        <f t="shared" si="178"/>
        <v>0</v>
      </c>
      <c r="U359" s="1">
        <f t="shared" si="179"/>
        <v>0</v>
      </c>
      <c r="V359" s="1">
        <f t="shared" si="180"/>
        <v>0</v>
      </c>
      <c r="W359" s="1">
        <f t="shared" si="181"/>
        <v>0</v>
      </c>
      <c r="X359" s="1">
        <f t="shared" si="182"/>
        <v>0</v>
      </c>
      <c r="Y359" s="1">
        <f t="shared" si="183"/>
        <v>0</v>
      </c>
      <c r="Z359" s="1">
        <f t="shared" si="184"/>
        <v>0</v>
      </c>
      <c r="AA359" s="1">
        <f t="shared" si="185"/>
        <v>0</v>
      </c>
      <c r="AB359" s="1">
        <f t="shared" si="186"/>
        <v>0</v>
      </c>
      <c r="AD359" s="1">
        <f t="shared" si="189"/>
        <v>0</v>
      </c>
      <c r="AE359" s="1">
        <f t="shared" si="190"/>
        <v>0</v>
      </c>
      <c r="AF359" s="1">
        <f t="shared" si="191"/>
        <v>0</v>
      </c>
      <c r="AG359" s="1">
        <f t="shared" si="192"/>
        <v>0</v>
      </c>
      <c r="AH359" s="1">
        <f t="shared" si="193"/>
        <v>0</v>
      </c>
      <c r="AI359" s="1">
        <f t="shared" si="194"/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823</v>
      </c>
      <c r="E360" s="32" t="s">
        <v>590</v>
      </c>
      <c r="F360" s="32" t="s">
        <v>824</v>
      </c>
      <c r="G360" s="32" t="s">
        <v>937</v>
      </c>
      <c r="H360" s="32" t="s">
        <v>354</v>
      </c>
      <c r="I360" s="31" t="s">
        <v>951</v>
      </c>
      <c r="J360" s="31">
        <v>7</v>
      </c>
      <c r="K360" s="33" t="s">
        <v>712</v>
      </c>
      <c r="L360" s="33" t="s">
        <v>39</v>
      </c>
      <c r="M360" s="34" t="s">
        <v>39</v>
      </c>
      <c r="N360" s="34" t="s">
        <v>1727</v>
      </c>
      <c r="O360" s="35">
        <v>1</v>
      </c>
      <c r="P360" s="35">
        <v>1</v>
      </c>
      <c r="Q360" s="32"/>
      <c r="S360" s="1">
        <f t="shared" si="177"/>
        <v>0</v>
      </c>
      <c r="T360" s="1">
        <f t="shared" si="178"/>
        <v>0</v>
      </c>
      <c r="U360" s="1">
        <f t="shared" si="179"/>
        <v>0</v>
      </c>
      <c r="V360" s="1">
        <f t="shared" si="180"/>
        <v>0</v>
      </c>
      <c r="W360" s="1">
        <f t="shared" si="181"/>
        <v>0</v>
      </c>
      <c r="X360" s="1">
        <f t="shared" si="182"/>
        <v>0</v>
      </c>
      <c r="Y360" s="1">
        <f t="shared" si="183"/>
        <v>1</v>
      </c>
      <c r="Z360" s="1">
        <f t="shared" si="184"/>
        <v>0</v>
      </c>
      <c r="AA360" s="1">
        <f t="shared" si="185"/>
        <v>0</v>
      </c>
      <c r="AB360" s="1">
        <f t="shared" si="186"/>
        <v>0</v>
      </c>
      <c r="AD360" s="1">
        <f t="shared" si="187"/>
        <v>1</v>
      </c>
      <c r="AE360" s="1">
        <f t="shared" si="188"/>
        <v>0</v>
      </c>
      <c r="AF360" s="1">
        <f t="shared" si="173"/>
        <v>1</v>
      </c>
      <c r="AG360" s="1">
        <f t="shared" si="174"/>
        <v>0</v>
      </c>
      <c r="AH360" s="1">
        <f t="shared" si="175"/>
        <v>1</v>
      </c>
      <c r="AI360" s="1">
        <f t="shared" si="176"/>
        <v>0</v>
      </c>
    </row>
    <row r="361" spans="1:35" ht="14.25" customHeight="1" x14ac:dyDescent="0.25">
      <c r="A361" s="44">
        <v>0</v>
      </c>
      <c r="B361" s="44">
        <v>2</v>
      </c>
      <c r="C361" s="44">
        <v>4</v>
      </c>
      <c r="D361" s="45" t="s">
        <v>1605</v>
      </c>
      <c r="E361" s="45" t="s">
        <v>1655</v>
      </c>
      <c r="F361" s="45" t="s">
        <v>1606</v>
      </c>
      <c r="G361" s="45" t="s">
        <v>333</v>
      </c>
      <c r="H361" s="45" t="s">
        <v>354</v>
      </c>
      <c r="I361" s="44" t="s">
        <v>30</v>
      </c>
      <c r="J361" s="44">
        <v>99</v>
      </c>
      <c r="K361" s="46" t="s">
        <v>713</v>
      </c>
      <c r="L361" s="46">
        <v>20</v>
      </c>
      <c r="M361" s="47" t="s">
        <v>39</v>
      </c>
      <c r="N361" s="47" t="s">
        <v>1741</v>
      </c>
      <c r="O361" s="48"/>
      <c r="P361" s="48"/>
      <c r="Q361" s="45"/>
      <c r="S361" s="1">
        <f t="shared" si="177"/>
        <v>0</v>
      </c>
      <c r="T361" s="1">
        <f t="shared" si="178"/>
        <v>0</v>
      </c>
      <c r="U361" s="1">
        <f t="shared" si="179"/>
        <v>0</v>
      </c>
      <c r="V361" s="1">
        <f t="shared" si="180"/>
        <v>0</v>
      </c>
      <c r="W361" s="1">
        <f t="shared" si="181"/>
        <v>0</v>
      </c>
      <c r="X361" s="1">
        <f t="shared" si="182"/>
        <v>0</v>
      </c>
      <c r="Y361" s="1">
        <f t="shared" si="183"/>
        <v>0</v>
      </c>
      <c r="Z361" s="1">
        <f t="shared" si="184"/>
        <v>0</v>
      </c>
      <c r="AA361" s="1">
        <f t="shared" si="185"/>
        <v>0</v>
      </c>
      <c r="AB361" s="1">
        <f t="shared" si="186"/>
        <v>0</v>
      </c>
      <c r="AD361" s="1">
        <f t="shared" ref="AD361:AD364" si="195">+O361*P361</f>
        <v>0</v>
      </c>
      <c r="AE361" s="1">
        <f t="shared" ref="AE361:AE364" si="196">O361*(1-P361)</f>
        <v>0</v>
      </c>
      <c r="AF361" s="1">
        <f t="shared" ref="AF361:AF364" si="197">+O361*P361*(1-A361)</f>
        <v>0</v>
      </c>
      <c r="AG361" s="1">
        <f t="shared" ref="AG361:AG364" si="198">O361*(1-P361)*(1-A361)</f>
        <v>0</v>
      </c>
      <c r="AH361" s="1">
        <f t="shared" ref="AH361:AH364" si="199">+P361*(1-A361)</f>
        <v>0</v>
      </c>
      <c r="AI361" s="1">
        <f t="shared" ref="AI361:AI364" si="200">+(1-A361)*(1-P361)</f>
        <v>1</v>
      </c>
    </row>
    <row r="362" spans="1:35" ht="14.25" customHeight="1" x14ac:dyDescent="0.25">
      <c r="A362" s="31">
        <v>0</v>
      </c>
      <c r="B362" s="31">
        <v>2</v>
      </c>
      <c r="C362" s="31">
        <v>5</v>
      </c>
      <c r="D362" s="32" t="s">
        <v>58</v>
      </c>
      <c r="E362" s="32" t="s">
        <v>44</v>
      </c>
      <c r="F362" s="32" t="s">
        <v>671</v>
      </c>
      <c r="G362" s="32" t="s">
        <v>223</v>
      </c>
      <c r="H362" s="32" t="s">
        <v>354</v>
      </c>
      <c r="I362" s="31" t="s">
        <v>397</v>
      </c>
      <c r="J362" s="31">
        <v>8</v>
      </c>
      <c r="K362" s="33" t="s">
        <v>713</v>
      </c>
      <c r="L362" s="33" t="s">
        <v>716</v>
      </c>
      <c r="M362" s="34" t="s">
        <v>1423</v>
      </c>
      <c r="N362" s="34" t="s">
        <v>1748</v>
      </c>
      <c r="O362" s="35">
        <v>1</v>
      </c>
      <c r="P362" s="35"/>
      <c r="Q362" s="32"/>
      <c r="S362" s="1">
        <f t="shared" si="177"/>
        <v>0</v>
      </c>
      <c r="T362" s="1">
        <f t="shared" si="178"/>
        <v>0</v>
      </c>
      <c r="U362" s="1">
        <f t="shared" si="179"/>
        <v>0</v>
      </c>
      <c r="V362" s="1">
        <f t="shared" si="180"/>
        <v>0</v>
      </c>
      <c r="W362" s="1">
        <f t="shared" si="181"/>
        <v>0</v>
      </c>
      <c r="X362" s="1">
        <f t="shared" si="182"/>
        <v>0</v>
      </c>
      <c r="Y362" s="1">
        <f t="shared" si="183"/>
        <v>0</v>
      </c>
      <c r="Z362" s="1">
        <f t="shared" si="184"/>
        <v>1</v>
      </c>
      <c r="AA362" s="1">
        <f t="shared" si="185"/>
        <v>0</v>
      </c>
      <c r="AB362" s="1">
        <f t="shared" si="186"/>
        <v>0</v>
      </c>
      <c r="AD362" s="1">
        <f t="shared" si="195"/>
        <v>0</v>
      </c>
      <c r="AE362" s="1">
        <f t="shared" si="196"/>
        <v>1</v>
      </c>
      <c r="AF362" s="1">
        <f t="shared" si="197"/>
        <v>0</v>
      </c>
      <c r="AG362" s="1">
        <f t="shared" si="198"/>
        <v>1</v>
      </c>
      <c r="AH362" s="1">
        <f t="shared" si="199"/>
        <v>0</v>
      </c>
      <c r="AI362" s="1">
        <f t="shared" si="200"/>
        <v>1</v>
      </c>
    </row>
    <row r="363" spans="1:35" ht="14.25" customHeight="1" x14ac:dyDescent="0.25">
      <c r="A363" s="44">
        <v>0</v>
      </c>
      <c r="B363" s="44">
        <v>2</v>
      </c>
      <c r="C363" s="44">
        <v>5</v>
      </c>
      <c r="D363" s="45" t="s">
        <v>832</v>
      </c>
      <c r="E363" s="45" t="s">
        <v>831</v>
      </c>
      <c r="F363" s="45" t="s">
        <v>924</v>
      </c>
      <c r="G363" s="45" t="s">
        <v>213</v>
      </c>
      <c r="H363" s="45" t="s">
        <v>354</v>
      </c>
      <c r="I363" s="44" t="s">
        <v>833</v>
      </c>
      <c r="J363" s="44">
        <v>1</v>
      </c>
      <c r="K363" s="46" t="s">
        <v>712</v>
      </c>
      <c r="L363" s="46" t="s">
        <v>693</v>
      </c>
      <c r="M363" s="47" t="s">
        <v>1424</v>
      </c>
      <c r="N363" s="47" t="s">
        <v>1735</v>
      </c>
      <c r="O363" s="48"/>
      <c r="P363" s="48"/>
      <c r="Q363" s="45"/>
      <c r="S363" s="1">
        <f t="shared" si="177"/>
        <v>1</v>
      </c>
      <c r="T363" s="1">
        <f t="shared" si="178"/>
        <v>0</v>
      </c>
      <c r="U363" s="1">
        <f t="shared" si="179"/>
        <v>0</v>
      </c>
      <c r="V363" s="1">
        <f t="shared" si="180"/>
        <v>0</v>
      </c>
      <c r="W363" s="1">
        <f t="shared" si="181"/>
        <v>0</v>
      </c>
      <c r="X363" s="1">
        <f t="shared" si="182"/>
        <v>0</v>
      </c>
      <c r="Y363" s="1">
        <f t="shared" si="183"/>
        <v>0</v>
      </c>
      <c r="Z363" s="1">
        <f t="shared" si="184"/>
        <v>0</v>
      </c>
      <c r="AA363" s="1">
        <f t="shared" si="185"/>
        <v>0</v>
      </c>
      <c r="AB363" s="1">
        <f t="shared" si="186"/>
        <v>0</v>
      </c>
      <c r="AD363" s="1">
        <f t="shared" si="195"/>
        <v>0</v>
      </c>
      <c r="AE363" s="1">
        <f t="shared" si="196"/>
        <v>0</v>
      </c>
      <c r="AF363" s="1">
        <f t="shared" si="197"/>
        <v>0</v>
      </c>
      <c r="AG363" s="1">
        <f t="shared" si="198"/>
        <v>0</v>
      </c>
      <c r="AH363" s="1">
        <f t="shared" si="199"/>
        <v>0</v>
      </c>
      <c r="AI363" s="1">
        <f t="shared" si="200"/>
        <v>1</v>
      </c>
    </row>
    <row r="364" spans="1:35" ht="14.25" customHeight="1" x14ac:dyDescent="0.25">
      <c r="A364" s="31">
        <v>0</v>
      </c>
      <c r="B364" s="31">
        <v>2</v>
      </c>
      <c r="C364" s="31">
        <v>5</v>
      </c>
      <c r="D364" s="32" t="s">
        <v>65</v>
      </c>
      <c r="E364" s="32" t="s">
        <v>164</v>
      </c>
      <c r="F364" s="32" t="s">
        <v>547</v>
      </c>
      <c r="G364" s="32" t="s">
        <v>194</v>
      </c>
      <c r="H364" s="32" t="s">
        <v>354</v>
      </c>
      <c r="I364" s="31" t="s">
        <v>552</v>
      </c>
      <c r="J364" s="31">
        <v>9</v>
      </c>
      <c r="K364" s="33" t="s">
        <v>713</v>
      </c>
      <c r="L364" s="33" t="s">
        <v>687</v>
      </c>
      <c r="M364" s="34" t="s">
        <v>1443</v>
      </c>
      <c r="N364" s="34" t="s">
        <v>1761</v>
      </c>
      <c r="O364" s="35">
        <v>1</v>
      </c>
      <c r="P364" s="35"/>
      <c r="Q364" s="32"/>
      <c r="S364" s="1">
        <f t="shared" si="177"/>
        <v>0</v>
      </c>
      <c r="T364" s="1">
        <f t="shared" si="178"/>
        <v>0</v>
      </c>
      <c r="U364" s="1">
        <f t="shared" si="179"/>
        <v>0</v>
      </c>
      <c r="V364" s="1">
        <f t="shared" si="180"/>
        <v>0</v>
      </c>
      <c r="W364" s="1">
        <f t="shared" si="181"/>
        <v>0</v>
      </c>
      <c r="X364" s="1">
        <f t="shared" si="182"/>
        <v>0</v>
      </c>
      <c r="Y364" s="1">
        <f t="shared" si="183"/>
        <v>0</v>
      </c>
      <c r="Z364" s="1">
        <f t="shared" si="184"/>
        <v>0</v>
      </c>
      <c r="AA364" s="1">
        <f t="shared" si="185"/>
        <v>1</v>
      </c>
      <c r="AB364" s="1">
        <f t="shared" si="186"/>
        <v>0</v>
      </c>
      <c r="AD364" s="1">
        <f t="shared" si="195"/>
        <v>0</v>
      </c>
      <c r="AE364" s="1">
        <f t="shared" si="196"/>
        <v>1</v>
      </c>
      <c r="AF364" s="1">
        <f t="shared" si="197"/>
        <v>0</v>
      </c>
      <c r="AG364" s="1">
        <f t="shared" si="198"/>
        <v>1</v>
      </c>
      <c r="AH364" s="1">
        <f t="shared" si="199"/>
        <v>0</v>
      </c>
      <c r="AI364" s="1">
        <f t="shared" si="200"/>
        <v>1</v>
      </c>
    </row>
    <row r="365" spans="1:35" ht="14.25" customHeight="1" x14ac:dyDescent="0.25">
      <c r="A365" s="44">
        <v>0</v>
      </c>
      <c r="B365" s="44">
        <v>2</v>
      </c>
      <c r="C365" s="44">
        <v>5</v>
      </c>
      <c r="D365" s="45" t="s">
        <v>1486</v>
      </c>
      <c r="E365" s="45" t="s">
        <v>35</v>
      </c>
      <c r="F365" s="65" t="s">
        <v>1873</v>
      </c>
      <c r="G365" s="45" t="s">
        <v>222</v>
      </c>
      <c r="H365" s="45" t="s">
        <v>354</v>
      </c>
      <c r="I365" s="44" t="s">
        <v>1686</v>
      </c>
      <c r="J365" s="44">
        <v>99</v>
      </c>
      <c r="K365" s="46" t="s">
        <v>713</v>
      </c>
      <c r="L365" s="46">
        <v>25</v>
      </c>
      <c r="M365" s="47" t="s">
        <v>39</v>
      </c>
      <c r="N365" s="47" t="s">
        <v>1737</v>
      </c>
      <c r="O365" s="48"/>
      <c r="P365" s="48"/>
      <c r="Q365" s="45"/>
      <c r="S365" s="1">
        <f t="shared" si="177"/>
        <v>0</v>
      </c>
      <c r="T365" s="1">
        <f t="shared" si="178"/>
        <v>0</v>
      </c>
      <c r="U365" s="1">
        <f t="shared" si="179"/>
        <v>0</v>
      </c>
      <c r="V365" s="1">
        <f t="shared" si="180"/>
        <v>0</v>
      </c>
      <c r="W365" s="1">
        <f t="shared" si="181"/>
        <v>0</v>
      </c>
      <c r="X365" s="1">
        <f t="shared" si="182"/>
        <v>0</v>
      </c>
      <c r="Y365" s="1">
        <f t="shared" si="183"/>
        <v>0</v>
      </c>
      <c r="Z365" s="1">
        <f t="shared" si="184"/>
        <v>0</v>
      </c>
      <c r="AA365" s="1">
        <f t="shared" si="185"/>
        <v>0</v>
      </c>
      <c r="AB365" s="1">
        <f t="shared" si="186"/>
        <v>0</v>
      </c>
      <c r="AD365" s="1">
        <f t="shared" si="187"/>
        <v>0</v>
      </c>
      <c r="AE365" s="1">
        <f t="shared" si="188"/>
        <v>0</v>
      </c>
      <c r="AF365" s="1">
        <f t="shared" si="173"/>
        <v>0</v>
      </c>
      <c r="AG365" s="1">
        <f t="shared" si="174"/>
        <v>0</v>
      </c>
      <c r="AH365" s="1">
        <f t="shared" si="175"/>
        <v>0</v>
      </c>
      <c r="AI365" s="1">
        <f t="shared" si="17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1819</v>
      </c>
      <c r="E366" s="45" t="s">
        <v>772</v>
      </c>
      <c r="F366" s="45" t="s">
        <v>1820</v>
      </c>
      <c r="G366" s="45" t="s">
        <v>224</v>
      </c>
      <c r="H366" s="45" t="s">
        <v>354</v>
      </c>
      <c r="I366" s="44" t="s">
        <v>1821</v>
      </c>
      <c r="J366" s="44">
        <v>99</v>
      </c>
      <c r="K366" s="46" t="s">
        <v>1822</v>
      </c>
      <c r="L366" s="46">
        <v>40</v>
      </c>
      <c r="M366" s="47" t="s">
        <v>1823</v>
      </c>
      <c r="N366" s="47" t="s">
        <v>1809</v>
      </c>
      <c r="O366" s="48"/>
      <c r="P366" s="48"/>
      <c r="Q366" s="45"/>
      <c r="S366" s="1">
        <f t="shared" si="177"/>
        <v>0</v>
      </c>
      <c r="T366" s="1">
        <f t="shared" si="178"/>
        <v>0</v>
      </c>
      <c r="U366" s="1">
        <f t="shared" si="179"/>
        <v>0</v>
      </c>
      <c r="V366" s="1">
        <f t="shared" si="180"/>
        <v>0</v>
      </c>
      <c r="W366" s="1">
        <f t="shared" si="181"/>
        <v>0</v>
      </c>
      <c r="X366" s="1">
        <f t="shared" si="182"/>
        <v>0</v>
      </c>
      <c r="Y366" s="1">
        <f t="shared" si="183"/>
        <v>0</v>
      </c>
      <c r="Z366" s="1">
        <f t="shared" si="184"/>
        <v>0</v>
      </c>
      <c r="AA366" s="1">
        <f t="shared" si="185"/>
        <v>0</v>
      </c>
      <c r="AB366" s="1">
        <f t="shared" si="186"/>
        <v>0</v>
      </c>
      <c r="AD366" s="1">
        <f t="shared" si="187"/>
        <v>0</v>
      </c>
      <c r="AE366" s="1">
        <f t="shared" si="188"/>
        <v>0</v>
      </c>
      <c r="AF366" s="1">
        <f t="shared" si="173"/>
        <v>0</v>
      </c>
      <c r="AG366" s="1">
        <f t="shared" si="174"/>
        <v>0</v>
      </c>
      <c r="AH366" s="1">
        <f t="shared" si="175"/>
        <v>0</v>
      </c>
      <c r="AI366" s="1">
        <f t="shared" si="176"/>
        <v>1</v>
      </c>
    </row>
    <row r="367" spans="1:35" ht="14.25" customHeight="1" x14ac:dyDescent="0.25">
      <c r="A367" s="31">
        <v>0</v>
      </c>
      <c r="B367" s="31">
        <v>2</v>
      </c>
      <c r="C367" s="31">
        <v>5</v>
      </c>
      <c r="D367" s="32" t="s">
        <v>616</v>
      </c>
      <c r="E367" s="32" t="s">
        <v>686</v>
      </c>
      <c r="F367" s="32" t="s">
        <v>617</v>
      </c>
      <c r="G367" s="32" t="s">
        <v>287</v>
      </c>
      <c r="H367" s="32" t="s">
        <v>354</v>
      </c>
      <c r="I367" s="31" t="s">
        <v>618</v>
      </c>
      <c r="J367" s="31">
        <v>99</v>
      </c>
      <c r="K367" s="33" t="s">
        <v>712</v>
      </c>
      <c r="L367" s="33" t="s">
        <v>704</v>
      </c>
      <c r="M367" s="34" t="s">
        <v>1425</v>
      </c>
      <c r="N367" s="34" t="s">
        <v>1743</v>
      </c>
      <c r="O367" s="35">
        <v>1</v>
      </c>
      <c r="P367" s="35"/>
      <c r="Q367" s="32"/>
      <c r="S367" s="1">
        <f t="shared" si="177"/>
        <v>0</v>
      </c>
      <c r="T367" s="1">
        <f t="shared" si="178"/>
        <v>0</v>
      </c>
      <c r="U367" s="1">
        <f t="shared" si="179"/>
        <v>0</v>
      </c>
      <c r="V367" s="1">
        <f t="shared" si="180"/>
        <v>0</v>
      </c>
      <c r="W367" s="1">
        <f t="shared" si="181"/>
        <v>0</v>
      </c>
      <c r="X367" s="1">
        <f t="shared" si="182"/>
        <v>0</v>
      </c>
      <c r="Y367" s="1">
        <f t="shared" si="183"/>
        <v>0</v>
      </c>
      <c r="Z367" s="1">
        <f t="shared" si="184"/>
        <v>0</v>
      </c>
      <c r="AA367" s="1">
        <f t="shared" si="185"/>
        <v>0</v>
      </c>
      <c r="AB367" s="1">
        <f t="shared" si="186"/>
        <v>0</v>
      </c>
      <c r="AD367" s="1">
        <f t="shared" si="187"/>
        <v>0</v>
      </c>
      <c r="AE367" s="1">
        <f t="shared" si="188"/>
        <v>1</v>
      </c>
      <c r="AF367" s="1">
        <f t="shared" si="173"/>
        <v>0</v>
      </c>
      <c r="AG367" s="1">
        <f t="shared" si="174"/>
        <v>1</v>
      </c>
      <c r="AH367" s="1">
        <f t="shared" si="175"/>
        <v>0</v>
      </c>
      <c r="AI367" s="1">
        <f t="shared" si="176"/>
        <v>1</v>
      </c>
    </row>
    <row r="368" spans="1:35" ht="14.25" customHeight="1" x14ac:dyDescent="0.25">
      <c r="A368" s="44">
        <v>0</v>
      </c>
      <c r="B368" s="44">
        <v>2</v>
      </c>
      <c r="C368" s="44">
        <v>5</v>
      </c>
      <c r="D368" s="45" t="s">
        <v>1488</v>
      </c>
      <c r="E368" s="45" t="s">
        <v>772</v>
      </c>
      <c r="F368" s="45" t="s">
        <v>1489</v>
      </c>
      <c r="G368" s="45" t="s">
        <v>196</v>
      </c>
      <c r="H368" s="45" t="s">
        <v>354</v>
      </c>
      <c r="I368" s="44" t="s">
        <v>1490</v>
      </c>
      <c r="J368" s="44">
        <v>99</v>
      </c>
      <c r="K368" s="46" t="s">
        <v>954</v>
      </c>
      <c r="L368" s="46" t="s">
        <v>693</v>
      </c>
      <c r="M368" s="47" t="s">
        <v>1416</v>
      </c>
      <c r="N368" s="47" t="s">
        <v>1735</v>
      </c>
      <c r="O368" s="48"/>
      <c r="P368" s="48"/>
      <c r="Q368" s="45"/>
      <c r="S368" s="1">
        <f t="shared" si="177"/>
        <v>0</v>
      </c>
      <c r="T368" s="1">
        <f t="shared" si="178"/>
        <v>0</v>
      </c>
      <c r="U368" s="1">
        <f t="shared" si="179"/>
        <v>0</v>
      </c>
      <c r="V368" s="1">
        <f t="shared" si="180"/>
        <v>0</v>
      </c>
      <c r="W368" s="1">
        <f t="shared" si="181"/>
        <v>0</v>
      </c>
      <c r="X368" s="1">
        <f t="shared" si="182"/>
        <v>0</v>
      </c>
      <c r="Y368" s="1">
        <f t="shared" si="183"/>
        <v>0</v>
      </c>
      <c r="Z368" s="1">
        <f t="shared" si="184"/>
        <v>0</v>
      </c>
      <c r="AA368" s="1">
        <f t="shared" si="185"/>
        <v>0</v>
      </c>
      <c r="AB368" s="1">
        <f t="shared" si="186"/>
        <v>0</v>
      </c>
      <c r="AD368" s="1">
        <f t="shared" si="187"/>
        <v>0</v>
      </c>
      <c r="AE368" s="1">
        <f t="shared" si="188"/>
        <v>0</v>
      </c>
      <c r="AF368" s="1">
        <f t="shared" si="173"/>
        <v>0</v>
      </c>
      <c r="AG368" s="1">
        <f t="shared" si="174"/>
        <v>0</v>
      </c>
      <c r="AH368" s="1">
        <f t="shared" si="175"/>
        <v>0</v>
      </c>
      <c r="AI368" s="1">
        <f t="shared" si="176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775</v>
      </c>
      <c r="E369" s="45" t="s">
        <v>772</v>
      </c>
      <c r="F369" s="45" t="s">
        <v>777</v>
      </c>
      <c r="G369" s="45" t="s">
        <v>207</v>
      </c>
      <c r="H369" s="45" t="s">
        <v>354</v>
      </c>
      <c r="I369" s="44" t="s">
        <v>776</v>
      </c>
      <c r="J369" s="44">
        <v>99</v>
      </c>
      <c r="K369" s="46" t="s">
        <v>712</v>
      </c>
      <c r="L369" s="46" t="s">
        <v>694</v>
      </c>
      <c r="M369" s="47" t="s">
        <v>1426</v>
      </c>
      <c r="N369" s="47" t="s">
        <v>1735</v>
      </c>
      <c r="O369" s="48"/>
      <c r="P369" s="48"/>
      <c r="Q369" s="45"/>
      <c r="R369" s="15"/>
      <c r="S369" s="15">
        <f t="shared" si="177"/>
        <v>0</v>
      </c>
      <c r="T369" s="15">
        <f t="shared" si="178"/>
        <v>0</v>
      </c>
      <c r="U369" s="15">
        <f t="shared" si="179"/>
        <v>0</v>
      </c>
      <c r="V369" s="15">
        <f t="shared" si="180"/>
        <v>0</v>
      </c>
      <c r="W369" s="15">
        <f t="shared" si="181"/>
        <v>0</v>
      </c>
      <c r="X369" s="15">
        <f t="shared" si="182"/>
        <v>0</v>
      </c>
      <c r="Y369" s="15">
        <f t="shared" si="183"/>
        <v>0</v>
      </c>
      <c r="Z369" s="15">
        <f t="shared" si="184"/>
        <v>0</v>
      </c>
      <c r="AA369" s="15">
        <f t="shared" si="185"/>
        <v>0</v>
      </c>
      <c r="AB369" s="10">
        <f t="shared" si="186"/>
        <v>0</v>
      </c>
      <c r="AC369" s="10"/>
      <c r="AD369" s="21">
        <f t="shared" si="187"/>
        <v>0</v>
      </c>
      <c r="AE369" s="21">
        <f t="shared" si="188"/>
        <v>0</v>
      </c>
      <c r="AF369" s="1">
        <f t="shared" si="173"/>
        <v>0</v>
      </c>
      <c r="AG369" s="1">
        <f t="shared" si="174"/>
        <v>0</v>
      </c>
      <c r="AH369" s="21">
        <f t="shared" si="175"/>
        <v>0</v>
      </c>
      <c r="AI369" s="15">
        <f t="shared" si="176"/>
        <v>1</v>
      </c>
      <c r="AJ369" s="15"/>
      <c r="AK369" s="15"/>
      <c r="AL369" s="15"/>
      <c r="AM369" s="15"/>
      <c r="AN369" s="15"/>
      <c r="AO369" s="15"/>
      <c r="AP369" s="15"/>
      <c r="AQ369" s="15"/>
      <c r="AR369" s="15"/>
      <c r="AS369" s="10"/>
      <c r="AT369" s="10"/>
      <c r="AU369" s="21"/>
      <c r="AV369" s="21"/>
      <c r="AY369" s="21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0"/>
      <c r="BK369" s="10"/>
      <c r="BL369" s="21"/>
      <c r="BM369" s="21"/>
      <c r="BP369" s="21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0"/>
      <c r="CB369" s="10"/>
      <c r="CC369" s="21"/>
      <c r="CD369" s="21"/>
      <c r="CG369" s="21"/>
      <c r="CH369" s="15"/>
      <c r="CI369" s="15"/>
      <c r="CJ369" s="15"/>
      <c r="CK369" s="15"/>
      <c r="CL369" s="15"/>
      <c r="CM369" s="15"/>
      <c r="CN369" s="15"/>
      <c r="CO369" s="15"/>
      <c r="CP369" s="15"/>
      <c r="CQ369" s="15"/>
      <c r="CR369" s="10"/>
      <c r="CS369" s="10"/>
      <c r="CT369" s="21"/>
      <c r="CU369" s="21"/>
      <c r="CX369" s="21"/>
      <c r="CY369" s="15"/>
      <c r="CZ369" s="15"/>
      <c r="DA369" s="15"/>
      <c r="DB369" s="15"/>
      <c r="DC369" s="15"/>
      <c r="DD369" s="15"/>
      <c r="DE369" s="15"/>
      <c r="DF369" s="15"/>
      <c r="DG369" s="15"/>
      <c r="DH369" s="15"/>
      <c r="DI369" s="10"/>
      <c r="DJ369" s="10"/>
      <c r="DK369" s="21"/>
      <c r="DL369" s="21"/>
      <c r="DO369" s="21"/>
      <c r="DP369" s="15"/>
      <c r="DQ369" s="15"/>
      <c r="DR369" s="15"/>
      <c r="DS369" s="15"/>
      <c r="DT369" s="15"/>
      <c r="DU369" s="15"/>
      <c r="DV369" s="15"/>
      <c r="DW369" s="15"/>
      <c r="DX369" s="15"/>
      <c r="DY369" s="15"/>
      <c r="DZ369" s="10"/>
      <c r="EA369" s="10"/>
      <c r="EB369" s="21"/>
      <c r="EC369" s="21"/>
      <c r="EF369" s="21"/>
      <c r="EG369" s="15"/>
      <c r="EH369" s="15"/>
      <c r="EI369" s="15"/>
      <c r="EJ369" s="15"/>
      <c r="EK369" s="15"/>
      <c r="EL369" s="15"/>
      <c r="EM369" s="15"/>
      <c r="EN369" s="15"/>
      <c r="EO369" s="15"/>
      <c r="EP369" s="15"/>
      <c r="EQ369" s="10"/>
      <c r="ER369" s="10"/>
      <c r="ES369" s="21"/>
      <c r="ET369" s="21"/>
      <c r="EW369" s="21"/>
      <c r="EX369" s="15"/>
      <c r="EY369" s="15"/>
      <c r="EZ369" s="15"/>
      <c r="FA369" s="15"/>
      <c r="FB369" s="15"/>
      <c r="FC369" s="15"/>
      <c r="FD369" s="15"/>
      <c r="FE369" s="15"/>
      <c r="FF369" s="15"/>
      <c r="FG369" s="15"/>
      <c r="FH369" s="10"/>
      <c r="FI369" s="10"/>
      <c r="FJ369" s="21"/>
      <c r="FK369" s="21"/>
      <c r="FN369" s="21"/>
      <c r="FO369" s="15"/>
      <c r="FP369" s="15"/>
      <c r="FQ369" s="15"/>
      <c r="FR369" s="15"/>
      <c r="FS369" s="15"/>
      <c r="FT369" s="15"/>
      <c r="FU369" s="15"/>
      <c r="FV369" s="15"/>
      <c r="FW369" s="15"/>
      <c r="FX369" s="15"/>
      <c r="FY369" s="10"/>
      <c r="FZ369" s="10"/>
      <c r="GA369" s="21"/>
      <c r="GB369" s="21"/>
      <c r="GE369" s="21"/>
      <c r="GF369" s="15"/>
      <c r="GG369" s="15"/>
      <c r="GH369" s="15"/>
      <c r="GI369" s="15"/>
      <c r="GJ369" s="15"/>
      <c r="GK369" s="15"/>
      <c r="GL369" s="15"/>
      <c r="GM369" s="15"/>
      <c r="GN369" s="15"/>
      <c r="GO369" s="15"/>
      <c r="GP369" s="10"/>
      <c r="GQ369" s="10"/>
      <c r="GR369" s="21"/>
      <c r="GS369" s="21"/>
      <c r="GV369" s="21"/>
      <c r="GW369" s="15"/>
      <c r="GX369" s="15"/>
      <c r="GY369" s="15"/>
      <c r="GZ369" s="15"/>
      <c r="HA369" s="15"/>
      <c r="HB369" s="15"/>
      <c r="HC369" s="15"/>
      <c r="HD369" s="15"/>
      <c r="HE369" s="15"/>
      <c r="HF369" s="15"/>
      <c r="HG369" s="10"/>
      <c r="HH369" s="10"/>
      <c r="HI369" s="21"/>
      <c r="HJ369" s="21"/>
      <c r="HM369" s="21"/>
      <c r="HN369" s="15"/>
      <c r="HO369" s="15"/>
      <c r="HP369" s="15"/>
      <c r="HQ369" s="15"/>
      <c r="HR369" s="15"/>
      <c r="HS369" s="15"/>
      <c r="HT369" s="15"/>
      <c r="HU369" s="15"/>
      <c r="HV369" s="15"/>
      <c r="HW369" s="15"/>
      <c r="HX369" s="10"/>
      <c r="HY369" s="10"/>
      <c r="HZ369" s="21"/>
      <c r="IA369" s="21"/>
      <c r="ID369" s="21"/>
      <c r="IE369" s="15"/>
      <c r="IF369" s="15"/>
      <c r="IG369" s="15"/>
      <c r="IH369" s="15"/>
      <c r="II369" s="15"/>
      <c r="IJ369" s="15"/>
      <c r="IK369" s="15"/>
      <c r="IL369" s="15"/>
      <c r="IM369" s="15"/>
      <c r="IN369" s="15"/>
      <c r="IO369" s="10"/>
      <c r="IP369" s="10"/>
      <c r="IQ369" s="21"/>
      <c r="IR369" s="21"/>
      <c r="IU369" s="21"/>
      <c r="IV369" s="15"/>
      <c r="IW369" s="15"/>
      <c r="IX369" s="15"/>
      <c r="IY369" s="15"/>
      <c r="IZ369" s="15"/>
      <c r="JA369" s="15"/>
      <c r="JB369" s="15"/>
      <c r="JC369" s="15"/>
      <c r="JD369" s="15"/>
      <c r="JE369" s="15"/>
      <c r="JF369" s="10"/>
      <c r="JG369" s="10"/>
      <c r="JH369" s="21"/>
      <c r="JI369" s="21"/>
      <c r="JL369" s="21"/>
      <c r="JM369" s="15"/>
      <c r="JN369" s="15"/>
      <c r="JO369" s="15"/>
      <c r="JP369" s="15"/>
      <c r="JQ369" s="15"/>
      <c r="JR369" s="15"/>
      <c r="JS369" s="15"/>
      <c r="JT369" s="15"/>
      <c r="JU369" s="15"/>
      <c r="JV369" s="15"/>
      <c r="JW369" s="10"/>
      <c r="JX369" s="10"/>
      <c r="JY369" s="21"/>
      <c r="JZ369" s="21"/>
      <c r="KC369" s="21"/>
      <c r="KD369" s="15"/>
      <c r="KE369" s="15"/>
      <c r="KF369" s="15"/>
      <c r="KG369" s="15"/>
      <c r="KH369" s="15"/>
      <c r="KI369" s="15"/>
      <c r="KJ369" s="15"/>
      <c r="KK369" s="15"/>
      <c r="KL369" s="15"/>
      <c r="KM369" s="15"/>
      <c r="KN369" s="10"/>
      <c r="KO369" s="10"/>
      <c r="KP369" s="21"/>
      <c r="KQ369" s="21"/>
      <c r="KT369" s="21"/>
      <c r="KU369" s="15"/>
      <c r="KV369" s="15"/>
      <c r="KW369" s="15"/>
      <c r="KX369" s="15"/>
      <c r="KY369" s="15"/>
      <c r="KZ369" s="15"/>
      <c r="LA369" s="15"/>
      <c r="LB369" s="15"/>
      <c r="LC369" s="15"/>
      <c r="LD369" s="15"/>
      <c r="LE369" s="10"/>
      <c r="LF369" s="10"/>
      <c r="LG369" s="21"/>
      <c r="LH369" s="21"/>
      <c r="LK369" s="21"/>
      <c r="LL369" s="15"/>
      <c r="LM369" s="15"/>
      <c r="LN369" s="15"/>
      <c r="LO369" s="15"/>
      <c r="LP369" s="15"/>
      <c r="LQ369" s="15"/>
      <c r="LR369" s="15"/>
      <c r="LS369" s="15"/>
      <c r="LT369" s="15"/>
      <c r="LU369" s="15"/>
      <c r="LV369" s="10"/>
      <c r="LW369" s="10"/>
      <c r="LX369" s="21"/>
      <c r="LY369" s="21"/>
      <c r="MB369" s="21"/>
      <c r="MC369" s="15"/>
      <c r="MD369" s="15"/>
      <c r="ME369" s="15"/>
      <c r="MF369" s="15"/>
      <c r="MG369" s="15"/>
      <c r="MH369" s="15"/>
      <c r="MI369" s="15"/>
      <c r="MJ369" s="15"/>
      <c r="MK369" s="15"/>
      <c r="ML369" s="15"/>
      <c r="MM369" s="10"/>
      <c r="MN369" s="10"/>
      <c r="MO369" s="21"/>
      <c r="MP369" s="21"/>
      <c r="MS369" s="21"/>
      <c r="MT369" s="15"/>
      <c r="MU369" s="15"/>
      <c r="MV369" s="15"/>
      <c r="MW369" s="15"/>
      <c r="MX369" s="15"/>
      <c r="MY369" s="15"/>
      <c r="MZ369" s="15"/>
      <c r="NA369" s="15"/>
      <c r="NB369" s="15"/>
      <c r="NC369" s="15"/>
      <c r="ND369" s="10"/>
      <c r="NE369" s="10"/>
      <c r="NF369" s="21"/>
      <c r="NG369" s="21"/>
      <c r="NJ369" s="21"/>
      <c r="NK369" s="15"/>
      <c r="NL369" s="15"/>
      <c r="NM369" s="15"/>
      <c r="NN369" s="15"/>
      <c r="NO369" s="15"/>
      <c r="NP369" s="15"/>
      <c r="NQ369" s="15"/>
      <c r="NR369" s="15"/>
      <c r="NS369" s="15"/>
      <c r="NT369" s="15"/>
      <c r="NU369" s="10"/>
      <c r="NV369" s="10"/>
      <c r="NW369" s="21"/>
      <c r="NX369" s="21"/>
      <c r="OA369" s="21"/>
      <c r="OB369" s="15"/>
      <c r="OC369" s="15"/>
      <c r="OD369" s="15"/>
      <c r="OE369" s="15"/>
      <c r="OF369" s="15"/>
      <c r="OG369" s="15"/>
      <c r="OH369" s="15"/>
      <c r="OI369" s="15"/>
      <c r="OJ369" s="15"/>
      <c r="OK369" s="15"/>
      <c r="OL369" s="10"/>
      <c r="OM369" s="10"/>
      <c r="ON369" s="21"/>
      <c r="OO369" s="21"/>
      <c r="OR369" s="21"/>
      <c r="OS369" s="15"/>
      <c r="OT369" s="15"/>
      <c r="OU369" s="15"/>
      <c r="OV369" s="15"/>
      <c r="OW369" s="15"/>
      <c r="OX369" s="15"/>
      <c r="OY369" s="15"/>
      <c r="OZ369" s="15"/>
      <c r="PA369" s="15"/>
      <c r="PB369" s="15"/>
      <c r="PC369" s="10"/>
      <c r="PD369" s="10"/>
      <c r="PE369" s="21"/>
      <c r="PF369" s="21"/>
      <c r="PI369" s="21"/>
      <c r="PJ369" s="15"/>
      <c r="PK369" s="15"/>
      <c r="PL369" s="15"/>
      <c r="PM369" s="15"/>
      <c r="PN369" s="15"/>
      <c r="PO369" s="15"/>
      <c r="PP369" s="15"/>
      <c r="PQ369" s="15"/>
      <c r="PR369" s="15"/>
      <c r="PS369" s="15"/>
      <c r="PT369" s="10"/>
      <c r="PU369" s="10"/>
      <c r="PV369" s="21"/>
      <c r="PW369" s="21"/>
      <c r="PZ369" s="21"/>
      <c r="QA369" s="15"/>
      <c r="QB369" s="15"/>
      <c r="QC369" s="15"/>
      <c r="QD369" s="15"/>
      <c r="QE369" s="15"/>
      <c r="QF369" s="15"/>
      <c r="QG369" s="15"/>
      <c r="QH369" s="15"/>
      <c r="QI369" s="15"/>
      <c r="QJ369" s="15"/>
      <c r="QK369" s="10"/>
      <c r="QL369" s="10"/>
      <c r="QM369" s="21"/>
      <c r="QN369" s="21"/>
      <c r="QQ369" s="21"/>
      <c r="QR369" s="15"/>
      <c r="QS369" s="15"/>
      <c r="QT369" s="15"/>
      <c r="QU369" s="15"/>
      <c r="QV369" s="15"/>
      <c r="QW369" s="15"/>
      <c r="QX369" s="15"/>
      <c r="QY369" s="15"/>
      <c r="QZ369" s="15"/>
      <c r="RA369" s="15"/>
      <c r="RB369" s="10"/>
      <c r="RC369" s="10"/>
      <c r="RD369" s="21"/>
      <c r="RE369" s="21"/>
      <c r="RH369" s="21"/>
      <c r="RI369" s="15"/>
      <c r="RJ369" s="15"/>
      <c r="RK369" s="15"/>
      <c r="RL369" s="15"/>
      <c r="RM369" s="15"/>
      <c r="RN369" s="15"/>
      <c r="RO369" s="15"/>
      <c r="RP369" s="15"/>
      <c r="RQ369" s="15"/>
      <c r="RR369" s="15"/>
      <c r="RS369" s="10"/>
      <c r="RT369" s="10"/>
      <c r="RU369" s="21"/>
      <c r="RV369" s="21"/>
      <c r="RY369" s="21"/>
      <c r="RZ369" s="15"/>
      <c r="SA369" s="15"/>
      <c r="SB369" s="15"/>
      <c r="SC369" s="15"/>
      <c r="SD369" s="15"/>
      <c r="SE369" s="15"/>
      <c r="SF369" s="15"/>
      <c r="SG369" s="15"/>
      <c r="SH369" s="15"/>
      <c r="SI369" s="15"/>
      <c r="SJ369" s="10"/>
      <c r="SK369" s="10"/>
      <c r="SL369" s="21"/>
      <c r="SM369" s="21"/>
      <c r="SP369" s="21"/>
      <c r="SQ369" s="15"/>
      <c r="SR369" s="15"/>
      <c r="SS369" s="15"/>
      <c r="ST369" s="15"/>
      <c r="SU369" s="15"/>
      <c r="SV369" s="15"/>
      <c r="SW369" s="15"/>
      <c r="SX369" s="15"/>
      <c r="SY369" s="15"/>
      <c r="SZ369" s="15"/>
      <c r="TA369" s="10"/>
      <c r="TB369" s="10"/>
      <c r="TC369" s="21"/>
      <c r="TD369" s="21"/>
      <c r="TG369" s="21"/>
      <c r="TH369" s="15"/>
      <c r="TI369" s="15"/>
      <c r="TJ369" s="15"/>
      <c r="TK369" s="15"/>
      <c r="TL369" s="15"/>
      <c r="TM369" s="15"/>
      <c r="TN369" s="15"/>
      <c r="TO369" s="15"/>
      <c r="TP369" s="15"/>
      <c r="TQ369" s="15"/>
      <c r="TR369" s="10"/>
      <c r="TS369" s="10"/>
      <c r="TT369" s="21"/>
      <c r="TU369" s="21"/>
      <c r="TX369" s="21"/>
      <c r="TY369" s="15"/>
      <c r="TZ369" s="15"/>
      <c r="UA369" s="15"/>
      <c r="UB369" s="15"/>
      <c r="UC369" s="15"/>
      <c r="UD369" s="15"/>
      <c r="UE369" s="15"/>
      <c r="UF369" s="15"/>
      <c r="UG369" s="15"/>
      <c r="UH369" s="15"/>
      <c r="UI369" s="10"/>
      <c r="UJ369" s="10"/>
      <c r="UK369" s="21"/>
      <c r="UL369" s="21"/>
      <c r="UO369" s="21"/>
      <c r="UP369" s="15"/>
      <c r="UQ369" s="15"/>
      <c r="UR369" s="15"/>
      <c r="US369" s="15"/>
      <c r="UT369" s="15"/>
      <c r="UU369" s="15"/>
      <c r="UV369" s="15"/>
      <c r="UW369" s="15"/>
      <c r="UX369" s="15"/>
      <c r="UY369" s="15"/>
      <c r="UZ369" s="10"/>
      <c r="VA369" s="10"/>
      <c r="VB369" s="21"/>
      <c r="VC369" s="21"/>
      <c r="VF369" s="21"/>
      <c r="VG369" s="15"/>
      <c r="VH369" s="15"/>
      <c r="VI369" s="15"/>
      <c r="VJ369" s="15"/>
      <c r="VK369" s="15"/>
      <c r="VL369" s="15"/>
      <c r="VM369" s="15"/>
      <c r="VN369" s="15"/>
      <c r="VO369" s="15"/>
      <c r="VP369" s="15"/>
      <c r="VQ369" s="10"/>
      <c r="VR369" s="10"/>
      <c r="VS369" s="21"/>
      <c r="VT369" s="21"/>
      <c r="VW369" s="21"/>
      <c r="VX369" s="15"/>
      <c r="VY369" s="15"/>
      <c r="VZ369" s="15"/>
      <c r="WA369" s="15"/>
      <c r="WB369" s="15"/>
      <c r="WC369" s="15"/>
      <c r="WD369" s="15"/>
      <c r="WE369" s="15"/>
      <c r="WF369" s="15"/>
      <c r="WG369" s="15"/>
      <c r="WH369" s="10"/>
      <c r="WI369" s="10"/>
      <c r="WJ369" s="21"/>
      <c r="WK369" s="21"/>
      <c r="WN369" s="21"/>
      <c r="WO369" s="15"/>
      <c r="WP369" s="15"/>
      <c r="WQ369" s="15"/>
      <c r="WR369" s="15"/>
      <c r="WS369" s="15"/>
      <c r="WT369" s="15"/>
      <c r="WU369" s="15"/>
      <c r="WV369" s="15"/>
      <c r="WW369" s="15"/>
      <c r="WX369" s="15"/>
      <c r="WY369" s="10"/>
      <c r="WZ369" s="10"/>
      <c r="XA369" s="21"/>
      <c r="XB369" s="21"/>
      <c r="XE369" s="21"/>
      <c r="XF369" s="15"/>
      <c r="XG369" s="15"/>
      <c r="XH369" s="15"/>
      <c r="XI369" s="15"/>
      <c r="XJ369" s="15"/>
      <c r="XK369" s="15"/>
      <c r="XL369" s="15"/>
      <c r="XM369" s="15"/>
      <c r="XN369" s="15"/>
      <c r="XO369" s="15"/>
      <c r="XP369" s="10"/>
      <c r="XQ369" s="10"/>
      <c r="XR369" s="21"/>
      <c r="XS369" s="21"/>
      <c r="XV369" s="21"/>
      <c r="XW369" s="15"/>
      <c r="XX369" s="15"/>
      <c r="XY369" s="15"/>
      <c r="XZ369" s="15"/>
      <c r="YA369" s="15"/>
      <c r="YB369" s="15"/>
      <c r="YC369" s="15"/>
      <c r="YD369" s="15"/>
      <c r="YE369" s="15"/>
      <c r="YF369" s="15"/>
      <c r="YG369" s="10"/>
      <c r="YH369" s="10"/>
      <c r="YI369" s="21"/>
      <c r="YJ369" s="21"/>
      <c r="YM369" s="21"/>
      <c r="YN369" s="15"/>
      <c r="YO369" s="15"/>
      <c r="YP369" s="15"/>
      <c r="YQ369" s="15"/>
      <c r="YR369" s="15"/>
      <c r="YS369" s="15"/>
      <c r="YT369" s="15"/>
      <c r="YU369" s="15"/>
      <c r="YV369" s="15"/>
      <c r="YW369" s="15"/>
      <c r="YX369" s="10"/>
      <c r="YY369" s="10"/>
      <c r="YZ369" s="21"/>
      <c r="ZA369" s="21"/>
      <c r="ZD369" s="21"/>
      <c r="ZE369" s="15"/>
      <c r="ZF369" s="15"/>
      <c r="ZG369" s="15"/>
      <c r="ZH369" s="15"/>
      <c r="ZI369" s="15"/>
      <c r="ZJ369" s="15"/>
      <c r="ZK369" s="15"/>
      <c r="ZL369" s="15"/>
      <c r="ZM369" s="15"/>
      <c r="ZN369" s="15"/>
      <c r="ZO369" s="10"/>
      <c r="ZP369" s="10"/>
      <c r="ZQ369" s="21"/>
      <c r="ZR369" s="21"/>
      <c r="ZU369" s="21"/>
      <c r="ZV369" s="15"/>
      <c r="ZW369" s="15"/>
      <c r="ZX369" s="15"/>
      <c r="ZY369" s="15"/>
      <c r="ZZ369" s="15"/>
      <c r="AAA369" s="15"/>
      <c r="AAB369" s="15"/>
      <c r="AAC369" s="15"/>
      <c r="AAD369" s="15"/>
      <c r="AAE369" s="15"/>
      <c r="AAF369" s="10"/>
      <c r="AAG369" s="10"/>
      <c r="AAH369" s="21"/>
      <c r="AAI369" s="21"/>
      <c r="AAL369" s="21"/>
      <c r="AAM369" s="15"/>
      <c r="AAN369" s="15"/>
      <c r="AAO369" s="15"/>
      <c r="AAP369" s="15"/>
      <c r="AAQ369" s="15"/>
      <c r="AAR369" s="15"/>
      <c r="AAS369" s="15"/>
      <c r="AAT369" s="15"/>
      <c r="AAU369" s="15"/>
      <c r="AAV369" s="15"/>
      <c r="AAW369" s="10"/>
      <c r="AAX369" s="10"/>
      <c r="AAY369" s="21"/>
      <c r="AAZ369" s="21"/>
      <c r="ABC369" s="21"/>
      <c r="ABD369" s="15"/>
      <c r="ABE369" s="15"/>
      <c r="ABF369" s="15"/>
      <c r="ABG369" s="15"/>
      <c r="ABH369" s="15"/>
      <c r="ABI369" s="15"/>
      <c r="ABJ369" s="15"/>
      <c r="ABK369" s="15"/>
      <c r="ABL369" s="15"/>
      <c r="ABM369" s="15"/>
      <c r="ABN369" s="10"/>
      <c r="ABO369" s="10"/>
      <c r="ABP369" s="21"/>
      <c r="ABQ369" s="21"/>
      <c r="ABT369" s="21"/>
      <c r="ABU369" s="15"/>
      <c r="ABV369" s="15"/>
      <c r="ABW369" s="15"/>
      <c r="ABX369" s="15"/>
      <c r="ABY369" s="15"/>
      <c r="ABZ369" s="15"/>
      <c r="ACA369" s="15"/>
      <c r="ACB369" s="15"/>
      <c r="ACC369" s="15"/>
      <c r="ACD369" s="15"/>
      <c r="ACE369" s="10"/>
      <c r="ACF369" s="10"/>
      <c r="ACG369" s="21"/>
      <c r="ACH369" s="21"/>
      <c r="ACK369" s="21"/>
      <c r="ACL369" s="15"/>
      <c r="ACM369" s="15"/>
      <c r="ACN369" s="15"/>
      <c r="ACO369" s="15"/>
      <c r="ACP369" s="15"/>
      <c r="ACQ369" s="15"/>
      <c r="ACR369" s="15"/>
      <c r="ACS369" s="15"/>
      <c r="ACT369" s="15"/>
      <c r="ACU369" s="15"/>
      <c r="ACV369" s="10"/>
      <c r="ACW369" s="10"/>
      <c r="ACX369" s="21"/>
      <c r="ACY369" s="21"/>
      <c r="ADB369" s="21"/>
      <c r="ADC369" s="15"/>
      <c r="ADD369" s="15"/>
      <c r="ADE369" s="15"/>
      <c r="ADF369" s="15"/>
      <c r="ADG369" s="15"/>
      <c r="ADH369" s="15"/>
      <c r="ADI369" s="15"/>
      <c r="ADJ369" s="15"/>
      <c r="ADK369" s="15"/>
      <c r="ADL369" s="15"/>
      <c r="ADM369" s="10"/>
      <c r="ADN369" s="10"/>
      <c r="ADO369" s="21"/>
      <c r="ADP369" s="21"/>
      <c r="ADS369" s="21"/>
      <c r="ADT369" s="15"/>
      <c r="ADU369" s="15"/>
      <c r="ADV369" s="15"/>
      <c r="ADW369" s="15"/>
      <c r="ADX369" s="15"/>
      <c r="ADY369" s="15"/>
      <c r="ADZ369" s="15"/>
      <c r="AEA369" s="15"/>
      <c r="AEB369" s="15"/>
      <c r="AEC369" s="15"/>
      <c r="AED369" s="10"/>
      <c r="AEE369" s="10"/>
      <c r="AEF369" s="21"/>
      <c r="AEG369" s="21"/>
      <c r="AEJ369" s="21"/>
      <c r="AEK369" s="15"/>
      <c r="AEL369" s="15"/>
      <c r="AEM369" s="15"/>
      <c r="AEN369" s="15"/>
      <c r="AEO369" s="15"/>
      <c r="AEP369" s="15"/>
      <c r="AEQ369" s="15"/>
      <c r="AER369" s="15"/>
      <c r="AES369" s="15"/>
      <c r="AET369" s="15"/>
      <c r="AEU369" s="10"/>
      <c r="AEV369" s="10"/>
      <c r="AEW369" s="21"/>
      <c r="AEX369" s="21"/>
      <c r="AFA369" s="21"/>
      <c r="AFB369" s="15"/>
      <c r="AFC369" s="15"/>
      <c r="AFD369" s="15"/>
      <c r="AFE369" s="15"/>
      <c r="AFF369" s="15"/>
      <c r="AFG369" s="15"/>
      <c r="AFH369" s="15"/>
      <c r="AFI369" s="15"/>
      <c r="AFJ369" s="15"/>
      <c r="AFK369" s="15"/>
      <c r="AFL369" s="10"/>
      <c r="AFM369" s="10"/>
      <c r="AFN369" s="21"/>
      <c r="AFO369" s="21"/>
      <c r="AFR369" s="21"/>
      <c r="AFS369" s="15"/>
      <c r="AFT369" s="15"/>
      <c r="AFU369" s="15"/>
      <c r="AFV369" s="15"/>
      <c r="AFW369" s="15"/>
      <c r="AFX369" s="15"/>
      <c r="AFY369" s="15"/>
      <c r="AFZ369" s="15"/>
      <c r="AGA369" s="15"/>
      <c r="AGB369" s="15"/>
      <c r="AGC369" s="10"/>
      <c r="AGD369" s="10"/>
      <c r="AGE369" s="21"/>
      <c r="AGF369" s="21"/>
      <c r="AGI369" s="21"/>
      <c r="AGJ369" s="15"/>
      <c r="AGK369" s="15"/>
      <c r="AGL369" s="15"/>
      <c r="AGM369" s="15"/>
      <c r="AGN369" s="15"/>
      <c r="AGO369" s="15"/>
      <c r="AGP369" s="15"/>
      <c r="AGQ369" s="15"/>
      <c r="AGR369" s="15"/>
      <c r="AGS369" s="15"/>
      <c r="AGT369" s="10"/>
      <c r="AGU369" s="10"/>
      <c r="AGV369" s="21"/>
      <c r="AGW369" s="21"/>
      <c r="AGZ369" s="21"/>
      <c r="AHA369" s="15"/>
      <c r="AHB369" s="15"/>
      <c r="AHC369" s="15"/>
      <c r="AHD369" s="15"/>
      <c r="AHE369" s="15"/>
      <c r="AHF369" s="15"/>
      <c r="AHG369" s="15"/>
      <c r="AHH369" s="15"/>
      <c r="AHI369" s="15"/>
      <c r="AHJ369" s="15"/>
      <c r="AHK369" s="10"/>
      <c r="AHL369" s="10"/>
      <c r="AHM369" s="21"/>
      <c r="AHN369" s="21"/>
      <c r="AHQ369" s="21"/>
      <c r="AHR369" s="15"/>
      <c r="AHS369" s="15"/>
      <c r="AHT369" s="15"/>
      <c r="AHU369" s="15"/>
      <c r="AHV369" s="15"/>
      <c r="AHW369" s="15"/>
      <c r="AHX369" s="15"/>
      <c r="AHY369" s="15"/>
      <c r="AHZ369" s="15"/>
      <c r="AIA369" s="15"/>
      <c r="AIB369" s="10"/>
      <c r="AIC369" s="10"/>
      <c r="AID369" s="21"/>
      <c r="AIE369" s="21"/>
      <c r="AIH369" s="21"/>
      <c r="AII369" s="15"/>
      <c r="AIJ369" s="15"/>
      <c r="AIK369" s="15"/>
      <c r="AIL369" s="15"/>
      <c r="AIM369" s="15"/>
      <c r="AIN369" s="15"/>
      <c r="AIO369" s="15"/>
      <c r="AIP369" s="15"/>
      <c r="AIQ369" s="15"/>
      <c r="AIR369" s="15"/>
      <c r="AIS369" s="10"/>
      <c r="AIT369" s="10"/>
      <c r="AIU369" s="21"/>
      <c r="AIV369" s="21"/>
      <c r="AIY369" s="21"/>
      <c r="AIZ369" s="15"/>
      <c r="AJA369" s="15"/>
      <c r="AJB369" s="15"/>
      <c r="AJC369" s="15"/>
      <c r="AJD369" s="15"/>
      <c r="AJE369" s="15"/>
      <c r="AJF369" s="15"/>
      <c r="AJG369" s="15"/>
      <c r="AJH369" s="15"/>
      <c r="AJI369" s="15"/>
      <c r="AJJ369" s="10"/>
      <c r="AJK369" s="10"/>
      <c r="AJL369" s="21"/>
      <c r="AJM369" s="21"/>
      <c r="AJP369" s="21"/>
      <c r="AJQ369" s="15"/>
      <c r="AJR369" s="15"/>
      <c r="AJS369" s="15"/>
      <c r="AJT369" s="15"/>
      <c r="AJU369" s="15"/>
      <c r="AJV369" s="15"/>
      <c r="AJW369" s="15"/>
      <c r="AJX369" s="15"/>
      <c r="AJY369" s="15"/>
      <c r="AJZ369" s="15"/>
      <c r="AKA369" s="10"/>
      <c r="AKB369" s="10"/>
      <c r="AKC369" s="21"/>
      <c r="AKD369" s="21"/>
      <c r="AKG369" s="21"/>
      <c r="AKH369" s="15"/>
      <c r="AKI369" s="15"/>
      <c r="AKJ369" s="15"/>
      <c r="AKK369" s="15"/>
      <c r="AKL369" s="15"/>
      <c r="AKM369" s="15"/>
      <c r="AKN369" s="15"/>
      <c r="AKO369" s="15"/>
      <c r="AKP369" s="15"/>
      <c r="AKQ369" s="15"/>
      <c r="AKR369" s="10"/>
      <c r="AKS369" s="10"/>
      <c r="AKT369" s="21"/>
      <c r="AKU369" s="21"/>
      <c r="AKX369" s="21"/>
      <c r="AKY369" s="15"/>
      <c r="AKZ369" s="15"/>
      <c r="ALA369" s="15"/>
      <c r="ALB369" s="15"/>
      <c r="ALC369" s="15"/>
      <c r="ALD369" s="15"/>
      <c r="ALE369" s="15"/>
      <c r="ALF369" s="15"/>
      <c r="ALG369" s="15"/>
      <c r="ALH369" s="15"/>
      <c r="ALI369" s="10"/>
      <c r="ALJ369" s="10"/>
      <c r="ALK369" s="21"/>
      <c r="ALL369" s="21"/>
      <c r="ALO369" s="21"/>
      <c r="ALP369" s="15"/>
      <c r="ALQ369" s="15"/>
      <c r="ALR369" s="15"/>
      <c r="ALS369" s="15"/>
      <c r="ALT369" s="15"/>
      <c r="ALU369" s="15"/>
      <c r="ALV369" s="15"/>
      <c r="ALW369" s="15"/>
      <c r="ALX369" s="15"/>
      <c r="ALY369" s="15"/>
      <c r="ALZ369" s="10"/>
      <c r="AMA369" s="10"/>
      <c r="AMB369" s="21"/>
      <c r="AMC369" s="21"/>
      <c r="AMF369" s="21"/>
      <c r="AMG369" s="15"/>
      <c r="AMH369" s="15"/>
      <c r="AMI369" s="15"/>
      <c r="AMJ369" s="15"/>
      <c r="AMK369" s="15"/>
      <c r="AML369" s="15"/>
      <c r="AMM369" s="15"/>
      <c r="AMN369" s="15"/>
      <c r="AMO369" s="15"/>
      <c r="AMP369" s="15"/>
      <c r="AMQ369" s="10"/>
      <c r="AMR369" s="10"/>
      <c r="AMS369" s="21"/>
      <c r="AMT369" s="21"/>
      <c r="AMW369" s="21"/>
      <c r="AMX369" s="15"/>
      <c r="AMY369" s="15"/>
      <c r="AMZ369" s="15"/>
      <c r="ANA369" s="15"/>
      <c r="ANB369" s="15"/>
      <c r="ANC369" s="15"/>
      <c r="AND369" s="15"/>
      <c r="ANE369" s="15"/>
      <c r="ANF369" s="15"/>
      <c r="ANG369" s="15"/>
      <c r="ANH369" s="10"/>
      <c r="ANI369" s="10"/>
      <c r="ANJ369" s="21"/>
      <c r="ANK369" s="21"/>
      <c r="ANN369" s="21"/>
      <c r="ANO369" s="15"/>
      <c r="ANP369" s="15"/>
      <c r="ANQ369" s="15"/>
      <c r="ANR369" s="15"/>
      <c r="ANS369" s="15"/>
      <c r="ANT369" s="15"/>
      <c r="ANU369" s="15"/>
      <c r="ANV369" s="15"/>
      <c r="ANW369" s="15"/>
      <c r="ANX369" s="15"/>
      <c r="ANY369" s="10"/>
      <c r="ANZ369" s="10"/>
      <c r="AOA369" s="21"/>
      <c r="AOB369" s="21"/>
      <c r="AOE369" s="21"/>
      <c r="AOF369" s="15"/>
      <c r="AOG369" s="15"/>
      <c r="AOH369" s="15"/>
      <c r="AOI369" s="15"/>
      <c r="AOJ369" s="15"/>
      <c r="AOK369" s="15"/>
      <c r="AOL369" s="15"/>
      <c r="AOM369" s="15"/>
      <c r="AON369" s="15"/>
      <c r="AOO369" s="15"/>
      <c r="AOP369" s="10"/>
      <c r="AOQ369" s="10"/>
      <c r="AOR369" s="21"/>
      <c r="AOS369" s="21"/>
      <c r="AOV369" s="21"/>
      <c r="AOW369" s="15"/>
      <c r="AOX369" s="15"/>
      <c r="AOY369" s="15"/>
      <c r="AOZ369" s="15"/>
      <c r="APA369" s="15"/>
      <c r="APB369" s="15"/>
      <c r="APC369" s="15"/>
      <c r="APD369" s="15"/>
      <c r="APE369" s="15"/>
      <c r="APF369" s="15"/>
      <c r="APG369" s="10"/>
      <c r="APH369" s="10"/>
      <c r="API369" s="21"/>
      <c r="APJ369" s="21"/>
      <c r="APM369" s="21"/>
      <c r="APN369" s="15"/>
      <c r="APO369" s="15"/>
      <c r="APP369" s="15"/>
      <c r="APQ369" s="15"/>
      <c r="APR369" s="15"/>
      <c r="APS369" s="15"/>
      <c r="APT369" s="15"/>
      <c r="APU369" s="15"/>
      <c r="APV369" s="15"/>
      <c r="APW369" s="15"/>
      <c r="APX369" s="10"/>
      <c r="APY369" s="10"/>
      <c r="APZ369" s="21"/>
      <c r="AQA369" s="21"/>
      <c r="AQD369" s="21"/>
      <c r="AQE369" s="15"/>
      <c r="AQF369" s="15"/>
      <c r="AQG369" s="15"/>
      <c r="AQH369" s="15"/>
      <c r="AQI369" s="15"/>
      <c r="AQJ369" s="15"/>
      <c r="AQK369" s="15"/>
      <c r="AQL369" s="15"/>
      <c r="AQM369" s="15"/>
      <c r="AQN369" s="15"/>
      <c r="AQO369" s="10"/>
      <c r="AQP369" s="10"/>
      <c r="AQQ369" s="21"/>
      <c r="AQR369" s="21"/>
      <c r="AQU369" s="21"/>
      <c r="AQV369" s="15"/>
      <c r="AQW369" s="15"/>
      <c r="AQX369" s="15"/>
      <c r="AQY369" s="15"/>
      <c r="AQZ369" s="15"/>
      <c r="ARA369" s="15"/>
      <c r="ARB369" s="15"/>
      <c r="ARC369" s="15"/>
      <c r="ARD369" s="15"/>
      <c r="ARE369" s="15"/>
      <c r="ARF369" s="10"/>
      <c r="ARG369" s="10"/>
      <c r="ARH369" s="21"/>
      <c r="ARI369" s="21"/>
      <c r="ARL369" s="21"/>
      <c r="ARM369" s="15"/>
      <c r="ARN369" s="15"/>
      <c r="ARO369" s="15"/>
      <c r="ARP369" s="15"/>
      <c r="ARQ369" s="15"/>
      <c r="ARR369" s="15"/>
      <c r="ARS369" s="15"/>
      <c r="ART369" s="15"/>
      <c r="ARU369" s="15"/>
      <c r="ARV369" s="15"/>
      <c r="ARW369" s="10"/>
      <c r="ARX369" s="10"/>
      <c r="ARY369" s="21"/>
      <c r="ARZ369" s="21"/>
      <c r="ASC369" s="21"/>
      <c r="ASD369" s="15"/>
      <c r="ASE369" s="15"/>
      <c r="ASF369" s="15"/>
      <c r="ASG369" s="15"/>
      <c r="ASH369" s="15"/>
      <c r="ASI369" s="15"/>
      <c r="ASJ369" s="15"/>
      <c r="ASK369" s="15"/>
      <c r="ASL369" s="15"/>
      <c r="ASM369" s="15"/>
      <c r="ASN369" s="10"/>
      <c r="ASO369" s="10"/>
      <c r="ASP369" s="21"/>
      <c r="ASQ369" s="21"/>
      <c r="AST369" s="21"/>
      <c r="ASU369" s="15"/>
      <c r="ASV369" s="15"/>
      <c r="ASW369" s="15"/>
      <c r="ASX369" s="15"/>
      <c r="ASY369" s="15"/>
      <c r="ASZ369" s="15"/>
      <c r="ATA369" s="15"/>
      <c r="ATB369" s="15"/>
      <c r="ATC369" s="15"/>
      <c r="ATD369" s="15"/>
      <c r="ATE369" s="10"/>
      <c r="ATF369" s="10"/>
      <c r="ATG369" s="21"/>
      <c r="ATH369" s="21"/>
      <c r="ATK369" s="21"/>
      <c r="ATL369" s="15"/>
      <c r="ATM369" s="15"/>
      <c r="ATN369" s="15"/>
      <c r="ATO369" s="15"/>
      <c r="ATP369" s="15"/>
      <c r="ATQ369" s="15"/>
      <c r="ATR369" s="15"/>
      <c r="ATS369" s="15"/>
      <c r="ATT369" s="15"/>
      <c r="ATU369" s="15"/>
      <c r="ATV369" s="10"/>
      <c r="ATW369" s="10"/>
      <c r="ATX369" s="21"/>
      <c r="ATY369" s="21"/>
      <c r="AUB369" s="21"/>
      <c r="AUC369" s="15"/>
      <c r="AUD369" s="15"/>
      <c r="AUE369" s="15"/>
      <c r="AUF369" s="15"/>
      <c r="AUG369" s="15"/>
      <c r="AUH369" s="15"/>
      <c r="AUI369" s="15"/>
      <c r="AUJ369" s="15"/>
      <c r="AUK369" s="15"/>
      <c r="AUL369" s="15"/>
      <c r="AUM369" s="10"/>
      <c r="AUN369" s="10"/>
      <c r="AUO369" s="21"/>
      <c r="AUP369" s="21"/>
      <c r="AUS369" s="21"/>
      <c r="AUT369" s="15"/>
      <c r="AUU369" s="15"/>
      <c r="AUV369" s="15"/>
      <c r="AUW369" s="15"/>
      <c r="AUX369" s="15"/>
      <c r="AUY369" s="15"/>
      <c r="AUZ369" s="15"/>
      <c r="AVA369" s="15"/>
      <c r="AVB369" s="15"/>
      <c r="AVC369" s="15"/>
      <c r="AVD369" s="10"/>
      <c r="AVE369" s="10"/>
      <c r="AVF369" s="21"/>
      <c r="AVG369" s="21"/>
      <c r="AVJ369" s="21"/>
      <c r="AVK369" s="15"/>
      <c r="AVL369" s="15"/>
      <c r="AVM369" s="15"/>
      <c r="AVN369" s="15"/>
      <c r="AVO369" s="15"/>
      <c r="AVP369" s="15"/>
      <c r="AVQ369" s="15"/>
      <c r="AVR369" s="15"/>
      <c r="AVS369" s="15"/>
      <c r="AVT369" s="15"/>
      <c r="AVU369" s="10"/>
      <c r="AVV369" s="10"/>
      <c r="AVW369" s="21"/>
      <c r="AVX369" s="21"/>
      <c r="AWA369" s="21"/>
      <c r="AWB369" s="15"/>
      <c r="AWC369" s="15"/>
      <c r="AWD369" s="15"/>
      <c r="AWE369" s="15"/>
      <c r="AWF369" s="15"/>
      <c r="AWG369" s="15"/>
      <c r="AWH369" s="15"/>
      <c r="AWI369" s="15"/>
      <c r="AWJ369" s="15"/>
      <c r="AWK369" s="15"/>
      <c r="AWL369" s="10"/>
      <c r="AWM369" s="10"/>
      <c r="AWN369" s="21"/>
      <c r="AWO369" s="21"/>
      <c r="AWR369" s="21"/>
      <c r="AWS369" s="15"/>
      <c r="AWT369" s="15"/>
      <c r="AWU369" s="15"/>
      <c r="AWV369" s="15"/>
      <c r="AWW369" s="15"/>
      <c r="AWX369" s="15"/>
      <c r="AWY369" s="15"/>
      <c r="AWZ369" s="15"/>
      <c r="AXA369" s="15"/>
      <c r="AXB369" s="15"/>
      <c r="AXC369" s="10"/>
      <c r="AXD369" s="10"/>
      <c r="AXE369" s="21"/>
      <c r="AXF369" s="21"/>
      <c r="AXI369" s="21"/>
      <c r="AXJ369" s="15"/>
      <c r="AXK369" s="15"/>
      <c r="AXL369" s="15"/>
      <c r="AXM369" s="15"/>
      <c r="AXN369" s="15"/>
      <c r="AXO369" s="15"/>
      <c r="AXP369" s="15"/>
      <c r="AXQ369" s="15"/>
      <c r="AXR369" s="15"/>
      <c r="AXS369" s="15"/>
      <c r="AXT369" s="10"/>
      <c r="AXU369" s="10"/>
      <c r="AXV369" s="21"/>
      <c r="AXW369" s="21"/>
      <c r="AXZ369" s="21"/>
      <c r="AYA369" s="15"/>
      <c r="AYB369" s="15"/>
      <c r="AYC369" s="15"/>
      <c r="AYD369" s="15"/>
      <c r="AYE369" s="15"/>
      <c r="AYF369" s="15"/>
      <c r="AYG369" s="15"/>
      <c r="AYH369" s="15"/>
      <c r="AYI369" s="15"/>
      <c r="AYJ369" s="15"/>
      <c r="AYK369" s="10"/>
      <c r="AYL369" s="10"/>
      <c r="AYM369" s="21"/>
      <c r="AYN369" s="21"/>
      <c r="AYQ369" s="21"/>
      <c r="AYR369" s="15"/>
      <c r="AYS369" s="15"/>
      <c r="AYT369" s="15"/>
      <c r="AYU369" s="15"/>
      <c r="AYV369" s="15"/>
      <c r="AYW369" s="15"/>
      <c r="AYX369" s="15"/>
      <c r="AYY369" s="15"/>
      <c r="AYZ369" s="15"/>
      <c r="AZA369" s="15"/>
      <c r="AZB369" s="10"/>
      <c r="AZC369" s="10"/>
      <c r="AZD369" s="21"/>
      <c r="AZE369" s="21"/>
      <c r="AZH369" s="21"/>
      <c r="AZI369" s="15"/>
      <c r="AZJ369" s="15"/>
      <c r="AZK369" s="15"/>
      <c r="AZL369" s="15"/>
      <c r="AZM369" s="15"/>
      <c r="AZN369" s="15"/>
      <c r="AZO369" s="15"/>
      <c r="AZP369" s="15"/>
      <c r="AZQ369" s="15"/>
      <c r="AZR369" s="15"/>
      <c r="AZS369" s="10"/>
      <c r="AZT369" s="10"/>
      <c r="AZU369" s="21"/>
      <c r="AZV369" s="21"/>
      <c r="AZY369" s="21"/>
      <c r="AZZ369" s="15"/>
      <c r="BAA369" s="15"/>
      <c r="BAB369" s="15"/>
      <c r="BAC369" s="15"/>
      <c r="BAD369" s="15"/>
      <c r="BAE369" s="15"/>
      <c r="BAF369" s="15"/>
      <c r="BAG369" s="15"/>
      <c r="BAH369" s="15"/>
      <c r="BAI369" s="15"/>
      <c r="BAJ369" s="10"/>
      <c r="BAK369" s="10"/>
      <c r="BAL369" s="21"/>
      <c r="BAM369" s="21"/>
      <c r="BAP369" s="21"/>
      <c r="BAQ369" s="15"/>
      <c r="BAR369" s="15"/>
      <c r="BAS369" s="15"/>
      <c r="BAT369" s="15"/>
      <c r="BAU369" s="15"/>
      <c r="BAV369" s="15"/>
      <c r="BAW369" s="15"/>
      <c r="BAX369" s="15"/>
      <c r="BAY369" s="15"/>
      <c r="BAZ369" s="15"/>
      <c r="BBA369" s="10"/>
      <c r="BBB369" s="10"/>
      <c r="BBC369" s="21"/>
      <c r="BBD369" s="21"/>
      <c r="BBG369" s="21"/>
      <c r="BBH369" s="15"/>
      <c r="BBI369" s="15"/>
      <c r="BBJ369" s="15"/>
      <c r="BBK369" s="15"/>
      <c r="BBL369" s="15"/>
      <c r="BBM369" s="15"/>
      <c r="BBN369" s="15"/>
      <c r="BBO369" s="15"/>
      <c r="BBP369" s="15"/>
      <c r="BBQ369" s="15"/>
      <c r="BBR369" s="10"/>
      <c r="BBS369" s="10"/>
      <c r="BBT369" s="21"/>
      <c r="BBU369" s="21"/>
      <c r="BBX369" s="21"/>
      <c r="BBY369" s="15"/>
      <c r="BBZ369" s="15"/>
      <c r="BCA369" s="15"/>
      <c r="BCB369" s="15"/>
      <c r="BCC369" s="15"/>
      <c r="BCD369" s="15"/>
      <c r="BCE369" s="15"/>
      <c r="BCF369" s="15"/>
      <c r="BCG369" s="15"/>
      <c r="BCH369" s="15"/>
      <c r="BCI369" s="10"/>
      <c r="BCJ369" s="10"/>
      <c r="BCK369" s="21"/>
      <c r="BCL369" s="21"/>
      <c r="BCO369" s="21"/>
      <c r="BCP369" s="15"/>
      <c r="BCQ369" s="15"/>
      <c r="BCR369" s="15"/>
      <c r="BCS369" s="15"/>
      <c r="BCT369" s="15"/>
      <c r="BCU369" s="15"/>
      <c r="BCV369" s="15"/>
      <c r="BCW369" s="15"/>
      <c r="BCX369" s="15"/>
      <c r="BCY369" s="15"/>
      <c r="BCZ369" s="10"/>
      <c r="BDA369" s="10"/>
      <c r="BDB369" s="21"/>
      <c r="BDC369" s="21"/>
      <c r="BDF369" s="21"/>
      <c r="BDG369" s="15"/>
      <c r="BDH369" s="15"/>
      <c r="BDI369" s="15"/>
      <c r="BDJ369" s="15"/>
      <c r="BDK369" s="15"/>
      <c r="BDL369" s="15"/>
      <c r="BDM369" s="15"/>
      <c r="BDN369" s="15"/>
      <c r="BDO369" s="15"/>
      <c r="BDP369" s="15"/>
      <c r="BDQ369" s="10"/>
      <c r="BDR369" s="10"/>
      <c r="BDS369" s="21"/>
      <c r="BDT369" s="21"/>
      <c r="BDW369" s="21"/>
      <c r="BDX369" s="15"/>
      <c r="BDY369" s="15"/>
      <c r="BDZ369" s="15"/>
      <c r="BEA369" s="15"/>
      <c r="BEB369" s="15"/>
      <c r="BEC369" s="15"/>
      <c r="BED369" s="15"/>
      <c r="BEE369" s="15"/>
      <c r="BEF369" s="15"/>
      <c r="BEG369" s="15"/>
      <c r="BEH369" s="10"/>
      <c r="BEI369" s="10"/>
      <c r="BEJ369" s="21"/>
      <c r="BEK369" s="21"/>
      <c r="BEN369" s="21"/>
      <c r="BEO369" s="15"/>
      <c r="BEP369" s="15"/>
      <c r="BEQ369" s="15"/>
      <c r="BER369" s="15"/>
      <c r="BES369" s="15"/>
      <c r="BET369" s="15"/>
      <c r="BEU369" s="15"/>
      <c r="BEV369" s="15"/>
      <c r="BEW369" s="15"/>
      <c r="BEX369" s="15"/>
      <c r="BEY369" s="10"/>
      <c r="BEZ369" s="10"/>
      <c r="BFA369" s="21"/>
      <c r="BFB369" s="21"/>
      <c r="BFE369" s="21"/>
      <c r="BFF369" s="15"/>
      <c r="BFG369" s="15"/>
      <c r="BFH369" s="15"/>
      <c r="BFI369" s="15"/>
      <c r="BFJ369" s="15"/>
      <c r="BFK369" s="15"/>
      <c r="BFL369" s="15"/>
      <c r="BFM369" s="15"/>
      <c r="BFN369" s="15"/>
      <c r="BFO369" s="15"/>
      <c r="BFP369" s="10"/>
      <c r="BFQ369" s="10"/>
      <c r="BFR369" s="21"/>
      <c r="BFS369" s="21"/>
      <c r="BFV369" s="21"/>
      <c r="BFW369" s="15"/>
      <c r="BFX369" s="15"/>
      <c r="BFY369" s="15"/>
      <c r="BFZ369" s="15"/>
      <c r="BGA369" s="15"/>
      <c r="BGB369" s="15"/>
      <c r="BGC369" s="15"/>
      <c r="BGD369" s="15"/>
      <c r="BGE369" s="15"/>
      <c r="BGF369" s="15"/>
      <c r="BGG369" s="10"/>
      <c r="BGH369" s="10"/>
      <c r="BGI369" s="21"/>
      <c r="BGJ369" s="21"/>
      <c r="BGM369" s="21"/>
      <c r="BGN369" s="15"/>
      <c r="BGO369" s="15"/>
      <c r="BGP369" s="15"/>
      <c r="BGQ369" s="15"/>
      <c r="BGR369" s="15"/>
      <c r="BGS369" s="15"/>
      <c r="BGT369" s="15"/>
      <c r="BGU369" s="15"/>
      <c r="BGV369" s="15"/>
      <c r="BGW369" s="15"/>
      <c r="BGX369" s="10"/>
      <c r="BGY369" s="10"/>
      <c r="BGZ369" s="21"/>
      <c r="BHA369" s="21"/>
      <c r="BHD369" s="21"/>
      <c r="BHE369" s="15"/>
      <c r="BHF369" s="15"/>
      <c r="BHG369" s="15"/>
      <c r="BHH369" s="15"/>
      <c r="BHI369" s="15"/>
      <c r="BHJ369" s="15"/>
      <c r="BHK369" s="15"/>
      <c r="BHL369" s="15"/>
      <c r="BHM369" s="15"/>
      <c r="BHN369" s="15"/>
      <c r="BHO369" s="10"/>
      <c r="BHP369" s="10"/>
      <c r="BHQ369" s="21"/>
      <c r="BHR369" s="21"/>
      <c r="BHU369" s="21"/>
      <c r="BHV369" s="15"/>
      <c r="BHW369" s="15"/>
      <c r="BHX369" s="15"/>
      <c r="BHY369" s="15"/>
      <c r="BHZ369" s="15"/>
      <c r="BIA369" s="15"/>
      <c r="BIB369" s="15"/>
      <c r="BIC369" s="15"/>
      <c r="BID369" s="15"/>
      <c r="BIE369" s="15"/>
      <c r="BIF369" s="10"/>
      <c r="BIG369" s="10"/>
      <c r="BIH369" s="21"/>
      <c r="BII369" s="21"/>
      <c r="BIL369" s="21"/>
      <c r="BIM369" s="15"/>
      <c r="BIN369" s="15"/>
      <c r="BIO369" s="15"/>
      <c r="BIP369" s="15"/>
      <c r="BIQ369" s="15"/>
      <c r="BIR369" s="15"/>
      <c r="BIS369" s="15"/>
      <c r="BIT369" s="15"/>
      <c r="BIU369" s="15"/>
      <c r="BIV369" s="15"/>
      <c r="BIW369" s="10"/>
      <c r="BIX369" s="10"/>
      <c r="BIY369" s="21"/>
      <c r="BIZ369" s="21"/>
      <c r="BJC369" s="21"/>
      <c r="BJD369" s="15"/>
      <c r="BJE369" s="15"/>
      <c r="BJF369" s="15"/>
      <c r="BJG369" s="15"/>
      <c r="BJH369" s="15"/>
      <c r="BJI369" s="15"/>
      <c r="BJJ369" s="15"/>
      <c r="BJK369" s="15"/>
      <c r="BJL369" s="15"/>
      <c r="BJM369" s="15"/>
      <c r="BJN369" s="10"/>
      <c r="BJO369" s="10"/>
      <c r="BJP369" s="21"/>
      <c r="BJQ369" s="21"/>
      <c r="BJT369" s="21"/>
      <c r="BJU369" s="15"/>
      <c r="BJV369" s="15"/>
      <c r="BJW369" s="15"/>
      <c r="BJX369" s="15"/>
      <c r="BJY369" s="15"/>
      <c r="BJZ369" s="15"/>
      <c r="BKA369" s="15"/>
      <c r="BKB369" s="15"/>
      <c r="BKC369" s="15"/>
      <c r="BKD369" s="15"/>
      <c r="BKE369" s="10"/>
      <c r="BKF369" s="10"/>
      <c r="BKG369" s="21"/>
      <c r="BKH369" s="21"/>
      <c r="BKK369" s="21"/>
      <c r="BKL369" s="15"/>
      <c r="BKM369" s="15"/>
      <c r="BKN369" s="15"/>
      <c r="BKO369" s="15"/>
      <c r="BKP369" s="15"/>
      <c r="BKQ369" s="15"/>
      <c r="BKR369" s="15"/>
      <c r="BKS369" s="15"/>
      <c r="BKT369" s="15"/>
      <c r="BKU369" s="15"/>
      <c r="BKV369" s="10"/>
      <c r="BKW369" s="10"/>
      <c r="BKX369" s="21"/>
      <c r="BKY369" s="21"/>
      <c r="BLB369" s="21"/>
      <c r="BLC369" s="15"/>
      <c r="BLD369" s="15"/>
      <c r="BLE369" s="15"/>
      <c r="BLF369" s="15"/>
      <c r="BLG369" s="15"/>
      <c r="BLH369" s="15"/>
      <c r="BLI369" s="15"/>
      <c r="BLJ369" s="15"/>
      <c r="BLK369" s="15"/>
      <c r="BLL369" s="15"/>
      <c r="BLM369" s="10"/>
      <c r="BLN369" s="10"/>
      <c r="BLO369" s="21"/>
      <c r="BLP369" s="21"/>
      <c r="BLS369" s="21"/>
      <c r="BLT369" s="15"/>
      <c r="BLU369" s="15"/>
      <c r="BLV369" s="15"/>
      <c r="BLW369" s="15"/>
      <c r="BLX369" s="15"/>
      <c r="BLY369" s="15"/>
      <c r="BLZ369" s="15"/>
      <c r="BMA369" s="15"/>
      <c r="BMB369" s="15"/>
      <c r="BMC369" s="15"/>
      <c r="BMD369" s="10"/>
      <c r="BME369" s="10"/>
      <c r="BMF369" s="21"/>
      <c r="BMG369" s="21"/>
      <c r="BMJ369" s="21"/>
      <c r="BMK369" s="15"/>
      <c r="BML369" s="15"/>
      <c r="BMM369" s="15"/>
      <c r="BMN369" s="15"/>
      <c r="BMO369" s="15"/>
      <c r="BMP369" s="15"/>
      <c r="BMQ369" s="15"/>
      <c r="BMR369" s="15"/>
      <c r="BMS369" s="15"/>
      <c r="BMT369" s="15"/>
      <c r="BMU369" s="10"/>
      <c r="BMV369" s="10"/>
      <c r="BMW369" s="21"/>
      <c r="BMX369" s="21"/>
      <c r="BNA369" s="21"/>
      <c r="BNB369" s="15"/>
      <c r="BNC369" s="15"/>
      <c r="BND369" s="15"/>
      <c r="BNE369" s="15"/>
      <c r="BNF369" s="15"/>
      <c r="BNG369" s="15"/>
      <c r="BNH369" s="15"/>
      <c r="BNI369" s="15"/>
      <c r="BNJ369" s="15"/>
      <c r="BNK369" s="15"/>
      <c r="BNL369" s="10"/>
      <c r="BNM369" s="10"/>
      <c r="BNN369" s="21"/>
      <c r="BNO369" s="21"/>
      <c r="BNR369" s="21"/>
      <c r="BNS369" s="15"/>
      <c r="BNT369" s="15"/>
      <c r="BNU369" s="15"/>
      <c r="BNV369" s="15"/>
      <c r="BNW369" s="15"/>
      <c r="BNX369" s="15"/>
      <c r="BNY369" s="15"/>
      <c r="BNZ369" s="15"/>
      <c r="BOA369" s="15"/>
      <c r="BOB369" s="15"/>
      <c r="BOC369" s="10"/>
      <c r="BOD369" s="10"/>
      <c r="BOE369" s="21"/>
      <c r="BOF369" s="21"/>
      <c r="BOI369" s="21"/>
      <c r="BOJ369" s="15"/>
      <c r="BOK369" s="15"/>
      <c r="BOL369" s="15"/>
      <c r="BOM369" s="15"/>
      <c r="BON369" s="15"/>
      <c r="BOO369" s="15"/>
      <c r="BOP369" s="15"/>
      <c r="BOQ369" s="15"/>
      <c r="BOR369" s="15"/>
      <c r="BOS369" s="15"/>
      <c r="BOT369" s="10"/>
      <c r="BOU369" s="10"/>
      <c r="BOV369" s="21"/>
      <c r="BOW369" s="21"/>
      <c r="BOZ369" s="21"/>
      <c r="BPA369" s="15"/>
      <c r="BPB369" s="15"/>
      <c r="BPC369" s="15"/>
      <c r="BPD369" s="15"/>
      <c r="BPE369" s="15"/>
      <c r="BPF369" s="15"/>
      <c r="BPG369" s="15"/>
      <c r="BPH369" s="15"/>
      <c r="BPI369" s="15"/>
      <c r="BPJ369" s="15"/>
      <c r="BPK369" s="10"/>
      <c r="BPL369" s="10"/>
      <c r="BPM369" s="21"/>
      <c r="BPN369" s="21"/>
      <c r="BPQ369" s="21"/>
      <c r="BPR369" s="15"/>
      <c r="BPS369" s="15"/>
      <c r="BPT369" s="15"/>
      <c r="BPU369" s="15"/>
      <c r="BPV369" s="15"/>
      <c r="BPW369" s="15"/>
      <c r="BPX369" s="15"/>
      <c r="BPY369" s="15"/>
      <c r="BPZ369" s="15"/>
      <c r="BQA369" s="15"/>
      <c r="BQB369" s="10"/>
      <c r="BQC369" s="10"/>
      <c r="BQD369" s="21"/>
      <c r="BQE369" s="21"/>
      <c r="BQH369" s="21"/>
      <c r="BQI369" s="15"/>
      <c r="BQJ369" s="15"/>
      <c r="BQK369" s="15"/>
      <c r="BQL369" s="15"/>
      <c r="BQM369" s="15"/>
      <c r="BQN369" s="15"/>
      <c r="BQO369" s="15"/>
      <c r="BQP369" s="15"/>
      <c r="BQQ369" s="15"/>
      <c r="BQR369" s="15"/>
      <c r="BQS369" s="10"/>
      <c r="BQT369" s="10"/>
      <c r="BQU369" s="21"/>
      <c r="BQV369" s="21"/>
      <c r="BQY369" s="21"/>
      <c r="BQZ369" s="15"/>
      <c r="BRA369" s="15"/>
      <c r="BRB369" s="15"/>
      <c r="BRC369" s="15"/>
      <c r="BRD369" s="15"/>
      <c r="BRE369" s="15"/>
      <c r="BRF369" s="15"/>
      <c r="BRG369" s="15"/>
      <c r="BRH369" s="15"/>
      <c r="BRI369" s="15"/>
      <c r="BRJ369" s="10"/>
      <c r="BRK369" s="10"/>
      <c r="BRL369" s="21"/>
      <c r="BRM369" s="21"/>
      <c r="BRP369" s="21"/>
      <c r="BRQ369" s="15"/>
      <c r="BRR369" s="15"/>
      <c r="BRS369" s="15"/>
      <c r="BRT369" s="15"/>
      <c r="BRU369" s="15"/>
      <c r="BRV369" s="15"/>
      <c r="BRW369" s="15"/>
      <c r="BRX369" s="15"/>
      <c r="BRY369" s="15"/>
      <c r="BRZ369" s="15"/>
      <c r="BSA369" s="10"/>
      <c r="BSB369" s="10"/>
      <c r="BSC369" s="21"/>
      <c r="BSD369" s="21"/>
      <c r="BSG369" s="21"/>
      <c r="BSH369" s="15"/>
      <c r="BSI369" s="15"/>
      <c r="BSJ369" s="15"/>
      <c r="BSK369" s="15"/>
      <c r="BSL369" s="15"/>
      <c r="BSM369" s="15"/>
      <c r="BSN369" s="15"/>
      <c r="BSO369" s="15"/>
      <c r="BSP369" s="15"/>
      <c r="BSQ369" s="15"/>
      <c r="BSR369" s="10"/>
      <c r="BSS369" s="10"/>
      <c r="BST369" s="21"/>
      <c r="BSU369" s="21"/>
      <c r="BSX369" s="21"/>
      <c r="BSY369" s="15"/>
      <c r="BSZ369" s="15"/>
      <c r="BTA369" s="15"/>
      <c r="BTB369" s="15"/>
      <c r="BTC369" s="15"/>
      <c r="BTD369" s="15"/>
      <c r="BTE369" s="15"/>
      <c r="BTF369" s="15"/>
      <c r="BTG369" s="15"/>
      <c r="BTH369" s="15"/>
      <c r="BTI369" s="10"/>
      <c r="BTJ369" s="10"/>
      <c r="BTK369" s="21"/>
      <c r="BTL369" s="21"/>
      <c r="BTO369" s="21"/>
      <c r="BTP369" s="15"/>
      <c r="BTQ369" s="15"/>
      <c r="BTR369" s="15"/>
      <c r="BTS369" s="15"/>
      <c r="BTT369" s="15"/>
      <c r="BTU369" s="15"/>
      <c r="BTV369" s="15"/>
      <c r="BTW369" s="15"/>
      <c r="BTX369" s="15"/>
      <c r="BTY369" s="15"/>
      <c r="BTZ369" s="10"/>
      <c r="BUA369" s="10"/>
      <c r="BUB369" s="21"/>
      <c r="BUC369" s="21"/>
      <c r="BUF369" s="21"/>
      <c r="BUG369" s="15"/>
      <c r="BUH369" s="15"/>
      <c r="BUI369" s="15"/>
      <c r="BUJ369" s="15"/>
      <c r="BUK369" s="15"/>
      <c r="BUL369" s="15"/>
      <c r="BUM369" s="15"/>
      <c r="BUN369" s="15"/>
      <c r="BUO369" s="15"/>
      <c r="BUP369" s="15"/>
      <c r="BUQ369" s="10"/>
      <c r="BUR369" s="10"/>
      <c r="BUS369" s="21"/>
      <c r="BUT369" s="21"/>
      <c r="BUW369" s="21"/>
      <c r="BUX369" s="15"/>
      <c r="BUY369" s="15"/>
      <c r="BUZ369" s="15"/>
      <c r="BVA369" s="15"/>
      <c r="BVB369" s="15"/>
      <c r="BVC369" s="15"/>
      <c r="BVD369" s="15"/>
      <c r="BVE369" s="15"/>
      <c r="BVF369" s="15"/>
      <c r="BVG369" s="15"/>
      <c r="BVH369" s="10"/>
      <c r="BVI369" s="10"/>
      <c r="BVJ369" s="21"/>
      <c r="BVK369" s="21"/>
      <c r="BVN369" s="21"/>
      <c r="BVO369" s="15"/>
      <c r="BVP369" s="15"/>
      <c r="BVQ369" s="15"/>
      <c r="BVR369" s="15"/>
      <c r="BVS369" s="15"/>
      <c r="BVT369" s="15"/>
      <c r="BVU369" s="15"/>
      <c r="BVV369" s="15"/>
      <c r="BVW369" s="15"/>
      <c r="BVX369" s="15"/>
      <c r="BVY369" s="10"/>
      <c r="BVZ369" s="10"/>
      <c r="BWA369" s="21"/>
      <c r="BWB369" s="21"/>
      <c r="BWE369" s="21"/>
      <c r="BWF369" s="15"/>
      <c r="BWG369" s="15"/>
      <c r="BWH369" s="15"/>
      <c r="BWI369" s="15"/>
      <c r="BWJ369" s="15"/>
      <c r="BWK369" s="15"/>
      <c r="BWL369" s="15"/>
      <c r="BWM369" s="15"/>
      <c r="BWN369" s="15"/>
      <c r="BWO369" s="15"/>
      <c r="BWP369" s="10"/>
      <c r="BWQ369" s="10"/>
      <c r="BWR369" s="21"/>
      <c r="BWS369" s="21"/>
      <c r="BWV369" s="21"/>
      <c r="BWW369" s="15"/>
      <c r="BWX369" s="15"/>
      <c r="BWY369" s="15"/>
      <c r="BWZ369" s="15"/>
      <c r="BXA369" s="15"/>
      <c r="BXB369" s="15"/>
      <c r="BXC369" s="15"/>
      <c r="BXD369" s="15"/>
      <c r="BXE369" s="15"/>
      <c r="BXF369" s="15"/>
      <c r="BXG369" s="10"/>
      <c r="BXH369" s="10"/>
      <c r="BXI369" s="21"/>
      <c r="BXJ369" s="21"/>
      <c r="BXM369" s="21"/>
      <c r="BXN369" s="15"/>
      <c r="BXO369" s="15"/>
      <c r="BXP369" s="15"/>
      <c r="BXQ369" s="15"/>
      <c r="BXR369" s="15"/>
      <c r="BXS369" s="15"/>
      <c r="BXT369" s="15"/>
      <c r="BXU369" s="15"/>
      <c r="BXV369" s="15"/>
      <c r="BXW369" s="15"/>
      <c r="BXX369" s="10"/>
      <c r="BXY369" s="10"/>
      <c r="BXZ369" s="21"/>
      <c r="BYA369" s="21"/>
      <c r="BYD369" s="21"/>
      <c r="BYE369" s="15"/>
      <c r="BYF369" s="15"/>
      <c r="BYG369" s="15"/>
      <c r="BYH369" s="15"/>
      <c r="BYI369" s="15"/>
      <c r="BYJ369" s="15"/>
      <c r="BYK369" s="15"/>
      <c r="BYL369" s="15"/>
      <c r="BYM369" s="15"/>
      <c r="BYN369" s="15"/>
      <c r="BYO369" s="10"/>
      <c r="BYP369" s="10"/>
      <c r="BYQ369" s="21"/>
      <c r="BYR369" s="21"/>
      <c r="BYU369" s="21"/>
      <c r="BYV369" s="15"/>
      <c r="BYW369" s="15"/>
      <c r="BYX369" s="15"/>
      <c r="BYY369" s="15"/>
      <c r="BYZ369" s="15"/>
      <c r="BZA369" s="15"/>
      <c r="BZB369" s="15"/>
      <c r="BZC369" s="15"/>
      <c r="BZD369" s="15"/>
      <c r="BZE369" s="15"/>
      <c r="BZF369" s="10"/>
      <c r="BZG369" s="10"/>
      <c r="BZH369" s="21"/>
      <c r="BZI369" s="21"/>
      <c r="BZL369" s="21"/>
      <c r="BZM369" s="15"/>
      <c r="BZN369" s="15"/>
      <c r="BZO369" s="15"/>
      <c r="BZP369" s="15"/>
      <c r="BZQ369" s="15"/>
      <c r="BZR369" s="15"/>
      <c r="BZS369" s="15"/>
      <c r="BZT369" s="15"/>
      <c r="BZU369" s="15"/>
      <c r="BZV369" s="15"/>
      <c r="BZW369" s="10"/>
      <c r="BZX369" s="10"/>
      <c r="BZY369" s="21"/>
      <c r="BZZ369" s="21"/>
      <c r="CAC369" s="21"/>
      <c r="CAD369" s="15"/>
      <c r="CAE369" s="15"/>
      <c r="CAF369" s="15"/>
      <c r="CAG369" s="15"/>
      <c r="CAH369" s="15"/>
      <c r="CAI369" s="15"/>
      <c r="CAJ369" s="15"/>
      <c r="CAK369" s="15"/>
      <c r="CAL369" s="15"/>
      <c r="CAM369" s="15"/>
      <c r="CAN369" s="10"/>
      <c r="CAO369" s="10"/>
      <c r="CAP369" s="21"/>
      <c r="CAQ369" s="21"/>
      <c r="CAT369" s="21"/>
      <c r="CAU369" s="15"/>
      <c r="CAV369" s="15"/>
      <c r="CAW369" s="15"/>
      <c r="CAX369" s="15"/>
      <c r="CAY369" s="15"/>
      <c r="CAZ369" s="15"/>
      <c r="CBA369" s="15"/>
      <c r="CBB369" s="15"/>
      <c r="CBC369" s="15"/>
      <c r="CBD369" s="15"/>
      <c r="CBE369" s="10"/>
      <c r="CBF369" s="10"/>
      <c r="CBG369" s="21"/>
      <c r="CBH369" s="21"/>
      <c r="CBK369" s="21"/>
      <c r="CBL369" s="15"/>
      <c r="CBM369" s="15"/>
      <c r="CBN369" s="15"/>
      <c r="CBO369" s="15"/>
      <c r="CBP369" s="15"/>
      <c r="CBQ369" s="15"/>
      <c r="CBR369" s="15"/>
      <c r="CBS369" s="15"/>
      <c r="CBT369" s="15"/>
      <c r="CBU369" s="15"/>
      <c r="CBV369" s="10"/>
      <c r="CBW369" s="10"/>
      <c r="CBX369" s="21"/>
      <c r="CBY369" s="21"/>
      <c r="CCB369" s="21"/>
      <c r="CCC369" s="15"/>
      <c r="CCD369" s="15"/>
      <c r="CCE369" s="15"/>
      <c r="CCF369" s="15"/>
      <c r="CCG369" s="15"/>
      <c r="CCH369" s="15"/>
      <c r="CCI369" s="15"/>
      <c r="CCJ369" s="15"/>
      <c r="CCK369" s="15"/>
      <c r="CCL369" s="15"/>
      <c r="CCM369" s="10"/>
      <c r="CCN369" s="10"/>
      <c r="CCO369" s="21"/>
      <c r="CCP369" s="21"/>
      <c r="CCS369" s="21"/>
      <c r="CCT369" s="15"/>
      <c r="CCU369" s="15"/>
      <c r="CCV369" s="15"/>
      <c r="CCW369" s="15"/>
      <c r="CCX369" s="15"/>
      <c r="CCY369" s="15"/>
      <c r="CCZ369" s="15"/>
      <c r="CDA369" s="15"/>
      <c r="CDB369" s="15"/>
      <c r="CDC369" s="15"/>
      <c r="CDD369" s="10"/>
      <c r="CDE369" s="10"/>
      <c r="CDF369" s="21"/>
      <c r="CDG369" s="21"/>
      <c r="CDJ369" s="21"/>
      <c r="CDK369" s="15"/>
      <c r="CDL369" s="15"/>
      <c r="CDM369" s="15"/>
      <c r="CDN369" s="15"/>
      <c r="CDO369" s="15"/>
      <c r="CDP369" s="15"/>
      <c r="CDQ369" s="15"/>
      <c r="CDR369" s="15"/>
      <c r="CDS369" s="15"/>
      <c r="CDT369" s="15"/>
      <c r="CDU369" s="10"/>
      <c r="CDV369" s="10"/>
      <c r="CDW369" s="21"/>
      <c r="CDX369" s="21"/>
      <c r="CEA369" s="21"/>
      <c r="CEB369" s="15"/>
      <c r="CEC369" s="15"/>
      <c r="CED369" s="15"/>
      <c r="CEE369" s="15"/>
      <c r="CEF369" s="15"/>
      <c r="CEG369" s="15"/>
      <c r="CEH369" s="15"/>
      <c r="CEI369" s="15"/>
      <c r="CEJ369" s="15"/>
      <c r="CEK369" s="15"/>
      <c r="CEL369" s="10"/>
      <c r="CEM369" s="10"/>
      <c r="CEN369" s="21"/>
      <c r="CEO369" s="21"/>
      <c r="CER369" s="21"/>
      <c r="CES369" s="15"/>
      <c r="CET369" s="15"/>
      <c r="CEU369" s="15"/>
      <c r="CEV369" s="15"/>
      <c r="CEW369" s="15"/>
      <c r="CEX369" s="15"/>
      <c r="CEY369" s="15"/>
      <c r="CEZ369" s="15"/>
      <c r="CFA369" s="15"/>
      <c r="CFB369" s="15"/>
      <c r="CFC369" s="10"/>
      <c r="CFD369" s="10"/>
      <c r="CFE369" s="21"/>
      <c r="CFF369" s="21"/>
      <c r="CFI369" s="21"/>
      <c r="CFJ369" s="15"/>
      <c r="CFK369" s="15"/>
      <c r="CFL369" s="15"/>
      <c r="CFM369" s="15"/>
      <c r="CFN369" s="15"/>
      <c r="CFO369" s="15"/>
      <c r="CFP369" s="15"/>
      <c r="CFQ369" s="15"/>
      <c r="CFR369" s="15"/>
      <c r="CFS369" s="15"/>
      <c r="CFT369" s="10"/>
      <c r="CFU369" s="10"/>
      <c r="CFV369" s="21"/>
      <c r="CFW369" s="21"/>
      <c r="CFZ369" s="21"/>
      <c r="CGA369" s="15"/>
      <c r="CGB369" s="15"/>
      <c r="CGC369" s="15"/>
      <c r="CGD369" s="15"/>
      <c r="CGE369" s="15"/>
      <c r="CGF369" s="15"/>
      <c r="CGG369" s="15"/>
      <c r="CGH369" s="15"/>
      <c r="CGI369" s="15"/>
      <c r="CGJ369" s="15"/>
      <c r="CGK369" s="10"/>
      <c r="CGL369" s="10"/>
      <c r="CGM369" s="21"/>
      <c r="CGN369" s="21"/>
      <c r="CGQ369" s="21"/>
      <c r="CGR369" s="15"/>
      <c r="CGS369" s="15"/>
      <c r="CGT369" s="15"/>
      <c r="CGU369" s="15"/>
      <c r="CGV369" s="15"/>
      <c r="CGW369" s="15"/>
      <c r="CGX369" s="15"/>
      <c r="CGY369" s="15"/>
      <c r="CGZ369" s="15"/>
      <c r="CHA369" s="15"/>
      <c r="CHB369" s="10"/>
      <c r="CHC369" s="10"/>
      <c r="CHD369" s="21"/>
      <c r="CHE369" s="21"/>
      <c r="CHH369" s="21"/>
      <c r="CHI369" s="15"/>
      <c r="CHJ369" s="15"/>
      <c r="CHK369" s="15"/>
      <c r="CHL369" s="15"/>
      <c r="CHM369" s="15"/>
      <c r="CHN369" s="15"/>
      <c r="CHO369" s="15"/>
      <c r="CHP369" s="15"/>
      <c r="CHQ369" s="15"/>
      <c r="CHR369" s="15"/>
      <c r="CHS369" s="10"/>
      <c r="CHT369" s="10"/>
      <c r="CHU369" s="21"/>
      <c r="CHV369" s="21"/>
      <c r="CHY369" s="21"/>
      <c r="CHZ369" s="15"/>
      <c r="CIA369" s="15"/>
      <c r="CIB369" s="15"/>
      <c r="CIC369" s="15"/>
      <c r="CID369" s="15"/>
      <c r="CIE369" s="15"/>
      <c r="CIF369" s="15"/>
      <c r="CIG369" s="15"/>
      <c r="CIH369" s="15"/>
      <c r="CII369" s="15"/>
      <c r="CIJ369" s="10"/>
      <c r="CIK369" s="10"/>
      <c r="CIL369" s="21"/>
      <c r="CIM369" s="21"/>
      <c r="CIP369" s="21"/>
      <c r="CIQ369" s="15"/>
      <c r="CIR369" s="15"/>
      <c r="CIS369" s="15"/>
      <c r="CIT369" s="15"/>
      <c r="CIU369" s="15"/>
      <c r="CIV369" s="15"/>
      <c r="CIW369" s="15"/>
      <c r="CIX369" s="15"/>
      <c r="CIY369" s="15"/>
      <c r="CIZ369" s="15"/>
      <c r="CJA369" s="10"/>
      <c r="CJB369" s="10"/>
      <c r="CJC369" s="21"/>
      <c r="CJD369" s="21"/>
      <c r="CJG369" s="21"/>
      <c r="CJH369" s="15"/>
      <c r="CJI369" s="15"/>
      <c r="CJJ369" s="15"/>
      <c r="CJK369" s="15"/>
      <c r="CJL369" s="15"/>
      <c r="CJM369" s="15"/>
      <c r="CJN369" s="15"/>
      <c r="CJO369" s="15"/>
      <c r="CJP369" s="15"/>
      <c r="CJQ369" s="15"/>
      <c r="CJR369" s="10"/>
      <c r="CJS369" s="10"/>
      <c r="CJT369" s="21"/>
      <c r="CJU369" s="21"/>
      <c r="CJX369" s="21"/>
      <c r="CJY369" s="15"/>
      <c r="CJZ369" s="15"/>
      <c r="CKA369" s="15"/>
      <c r="CKB369" s="15"/>
      <c r="CKC369" s="15"/>
      <c r="CKD369" s="15"/>
      <c r="CKE369" s="15"/>
      <c r="CKF369" s="15"/>
      <c r="CKG369" s="15"/>
      <c r="CKH369" s="15"/>
      <c r="CKI369" s="10"/>
      <c r="CKJ369" s="10"/>
      <c r="CKK369" s="21"/>
      <c r="CKL369" s="21"/>
      <c r="CKO369" s="21"/>
      <c r="CKP369" s="15"/>
      <c r="CKQ369" s="15"/>
      <c r="CKR369" s="15"/>
      <c r="CKS369" s="15"/>
      <c r="CKT369" s="15"/>
      <c r="CKU369" s="15"/>
      <c r="CKV369" s="15"/>
      <c r="CKW369" s="15"/>
      <c r="CKX369" s="15"/>
      <c r="CKY369" s="15"/>
      <c r="CKZ369" s="10"/>
      <c r="CLA369" s="10"/>
      <c r="CLB369" s="21"/>
      <c r="CLC369" s="21"/>
      <c r="CLF369" s="21"/>
      <c r="CLG369" s="15"/>
      <c r="CLH369" s="15"/>
      <c r="CLI369" s="15"/>
      <c r="CLJ369" s="15"/>
      <c r="CLK369" s="15"/>
      <c r="CLL369" s="15"/>
      <c r="CLM369" s="15"/>
      <c r="CLN369" s="15"/>
      <c r="CLO369" s="15"/>
      <c r="CLP369" s="15"/>
      <c r="CLQ369" s="10"/>
      <c r="CLR369" s="10"/>
      <c r="CLS369" s="21"/>
      <c r="CLT369" s="21"/>
      <c r="CLW369" s="21"/>
      <c r="CLX369" s="15"/>
      <c r="CLY369" s="15"/>
      <c r="CLZ369" s="15"/>
      <c r="CMA369" s="15"/>
      <c r="CMB369" s="15"/>
      <c r="CMC369" s="15"/>
      <c r="CMD369" s="15"/>
      <c r="CME369" s="15"/>
      <c r="CMF369" s="15"/>
      <c r="CMG369" s="15"/>
      <c r="CMH369" s="10"/>
      <c r="CMI369" s="10"/>
      <c r="CMJ369" s="21"/>
      <c r="CMK369" s="21"/>
      <c r="CMN369" s="21"/>
      <c r="CMO369" s="15"/>
      <c r="CMP369" s="15"/>
      <c r="CMQ369" s="15"/>
      <c r="CMR369" s="15"/>
      <c r="CMS369" s="15"/>
      <c r="CMT369" s="15"/>
      <c r="CMU369" s="15"/>
      <c r="CMV369" s="15"/>
      <c r="CMW369" s="15"/>
      <c r="CMX369" s="15"/>
      <c r="CMY369" s="10"/>
      <c r="CMZ369" s="10"/>
      <c r="CNA369" s="21"/>
      <c r="CNB369" s="21"/>
      <c r="CNE369" s="21"/>
      <c r="CNF369" s="15"/>
      <c r="CNG369" s="15"/>
      <c r="CNH369" s="15"/>
      <c r="CNI369" s="15"/>
      <c r="CNJ369" s="15"/>
      <c r="CNK369" s="15"/>
      <c r="CNL369" s="15"/>
      <c r="CNM369" s="15"/>
      <c r="CNN369" s="15"/>
      <c r="CNO369" s="15"/>
      <c r="CNP369" s="10"/>
      <c r="CNQ369" s="10"/>
      <c r="CNR369" s="21"/>
      <c r="CNS369" s="21"/>
      <c r="CNV369" s="21"/>
      <c r="CNW369" s="15"/>
      <c r="CNX369" s="15"/>
      <c r="CNY369" s="15"/>
      <c r="CNZ369" s="15"/>
      <c r="COA369" s="15"/>
      <c r="COB369" s="15"/>
      <c r="COC369" s="15"/>
      <c r="COD369" s="15"/>
      <c r="COE369" s="15"/>
      <c r="COF369" s="15"/>
      <c r="COG369" s="10"/>
      <c r="COH369" s="10"/>
      <c r="COI369" s="21"/>
      <c r="COJ369" s="21"/>
      <c r="COM369" s="21"/>
      <c r="CON369" s="15"/>
      <c r="COO369" s="15"/>
      <c r="COP369" s="15"/>
      <c r="COQ369" s="15"/>
      <c r="COR369" s="15"/>
      <c r="COS369" s="15"/>
      <c r="COT369" s="15"/>
      <c r="COU369" s="15"/>
      <c r="COV369" s="15"/>
      <c r="COW369" s="15"/>
      <c r="COX369" s="10"/>
      <c r="COY369" s="10"/>
      <c r="COZ369" s="21"/>
      <c r="CPA369" s="21"/>
      <c r="CPD369" s="21"/>
      <c r="CPE369" s="15"/>
      <c r="CPF369" s="15"/>
      <c r="CPG369" s="15"/>
      <c r="CPH369" s="15"/>
      <c r="CPI369" s="15"/>
      <c r="CPJ369" s="15"/>
      <c r="CPK369" s="15"/>
      <c r="CPL369" s="15"/>
      <c r="CPM369" s="15"/>
      <c r="CPN369" s="15"/>
      <c r="CPO369" s="10"/>
      <c r="CPP369" s="10"/>
      <c r="CPQ369" s="21"/>
      <c r="CPR369" s="21"/>
      <c r="CPU369" s="21"/>
      <c r="CPV369" s="15"/>
      <c r="CPW369" s="15"/>
      <c r="CPX369" s="15"/>
      <c r="CPY369" s="15"/>
      <c r="CPZ369" s="15"/>
      <c r="CQA369" s="15"/>
      <c r="CQB369" s="15"/>
      <c r="CQC369" s="15"/>
      <c r="CQD369" s="15"/>
      <c r="CQE369" s="15"/>
      <c r="CQF369" s="10"/>
      <c r="CQG369" s="10"/>
      <c r="CQH369" s="21"/>
      <c r="CQI369" s="21"/>
      <c r="CQL369" s="21"/>
      <c r="CQM369" s="15"/>
      <c r="CQN369" s="15"/>
      <c r="CQO369" s="15"/>
      <c r="CQP369" s="15"/>
      <c r="CQQ369" s="15"/>
      <c r="CQR369" s="15"/>
      <c r="CQS369" s="15"/>
      <c r="CQT369" s="15"/>
      <c r="CQU369" s="15"/>
      <c r="CQV369" s="15"/>
      <c r="CQW369" s="10"/>
      <c r="CQX369" s="10"/>
      <c r="CQY369" s="21"/>
      <c r="CQZ369" s="21"/>
      <c r="CRC369" s="21"/>
      <c r="CRD369" s="15"/>
      <c r="CRE369" s="15"/>
      <c r="CRF369" s="15"/>
      <c r="CRG369" s="15"/>
      <c r="CRH369" s="15"/>
      <c r="CRI369" s="15"/>
      <c r="CRJ369" s="15"/>
      <c r="CRK369" s="15"/>
      <c r="CRL369" s="15"/>
      <c r="CRM369" s="15"/>
      <c r="CRN369" s="10"/>
      <c r="CRO369" s="10"/>
      <c r="CRP369" s="21"/>
      <c r="CRQ369" s="21"/>
      <c r="CRT369" s="21"/>
      <c r="CRU369" s="15"/>
      <c r="CRV369" s="15"/>
      <c r="CRW369" s="15"/>
      <c r="CRX369" s="15"/>
      <c r="CRY369" s="15"/>
      <c r="CRZ369" s="15"/>
      <c r="CSA369" s="15"/>
      <c r="CSB369" s="15"/>
      <c r="CSC369" s="15"/>
      <c r="CSD369" s="15"/>
      <c r="CSE369" s="10"/>
      <c r="CSF369" s="10"/>
      <c r="CSG369" s="21"/>
      <c r="CSH369" s="21"/>
      <c r="CSK369" s="21"/>
      <c r="CSL369" s="15"/>
      <c r="CSM369" s="15"/>
      <c r="CSN369" s="15"/>
      <c r="CSO369" s="15"/>
      <c r="CSP369" s="15"/>
      <c r="CSQ369" s="15"/>
      <c r="CSR369" s="15"/>
      <c r="CSS369" s="15"/>
      <c r="CST369" s="15"/>
      <c r="CSU369" s="15"/>
      <c r="CSV369" s="10"/>
      <c r="CSW369" s="10"/>
      <c r="CSX369" s="21"/>
      <c r="CSY369" s="21"/>
      <c r="CTB369" s="21"/>
      <c r="CTC369" s="15"/>
      <c r="CTD369" s="15"/>
      <c r="CTE369" s="15"/>
      <c r="CTF369" s="15"/>
      <c r="CTG369" s="15"/>
      <c r="CTH369" s="15"/>
      <c r="CTI369" s="15"/>
      <c r="CTJ369" s="15"/>
      <c r="CTK369" s="15"/>
      <c r="CTL369" s="15"/>
      <c r="CTM369" s="10"/>
      <c r="CTN369" s="10"/>
      <c r="CTO369" s="21"/>
      <c r="CTP369" s="21"/>
      <c r="CTS369" s="21"/>
      <c r="CTT369" s="15"/>
      <c r="CTU369" s="15"/>
      <c r="CTV369" s="15"/>
      <c r="CTW369" s="15"/>
      <c r="CTX369" s="15"/>
      <c r="CTY369" s="15"/>
      <c r="CTZ369" s="15"/>
      <c r="CUA369" s="15"/>
      <c r="CUB369" s="15"/>
      <c r="CUC369" s="15"/>
      <c r="CUD369" s="10"/>
      <c r="CUE369" s="10"/>
      <c r="CUF369" s="21"/>
      <c r="CUG369" s="21"/>
      <c r="CUJ369" s="21"/>
      <c r="CUK369" s="15"/>
      <c r="CUL369" s="15"/>
      <c r="CUM369" s="15"/>
      <c r="CUN369" s="15"/>
      <c r="CUO369" s="15"/>
      <c r="CUP369" s="15"/>
      <c r="CUQ369" s="15"/>
      <c r="CUR369" s="15"/>
      <c r="CUS369" s="15"/>
      <c r="CUT369" s="15"/>
      <c r="CUU369" s="10"/>
      <c r="CUV369" s="10"/>
      <c r="CUW369" s="21"/>
      <c r="CUX369" s="21"/>
      <c r="CVA369" s="21"/>
      <c r="CVB369" s="15"/>
      <c r="CVC369" s="15"/>
      <c r="CVD369" s="15"/>
      <c r="CVE369" s="15"/>
      <c r="CVF369" s="15"/>
      <c r="CVG369" s="15"/>
      <c r="CVH369" s="15"/>
      <c r="CVI369" s="15"/>
      <c r="CVJ369" s="15"/>
      <c r="CVK369" s="15"/>
      <c r="CVL369" s="10"/>
      <c r="CVM369" s="10"/>
      <c r="CVN369" s="21"/>
      <c r="CVO369" s="21"/>
      <c r="CVR369" s="21"/>
      <c r="CVS369" s="15"/>
      <c r="CVT369" s="15"/>
      <c r="CVU369" s="15"/>
      <c r="CVV369" s="15"/>
      <c r="CVW369" s="15"/>
      <c r="CVX369" s="15"/>
      <c r="CVY369" s="15"/>
      <c r="CVZ369" s="15"/>
      <c r="CWA369" s="15"/>
      <c r="CWB369" s="15"/>
      <c r="CWC369" s="10"/>
      <c r="CWD369" s="10"/>
      <c r="CWE369" s="21"/>
      <c r="CWF369" s="21"/>
      <c r="CWI369" s="21"/>
      <c r="CWJ369" s="15"/>
      <c r="CWK369" s="15"/>
      <c r="CWL369" s="15"/>
      <c r="CWM369" s="15"/>
      <c r="CWN369" s="15"/>
      <c r="CWO369" s="15"/>
      <c r="CWP369" s="15"/>
      <c r="CWQ369" s="15"/>
      <c r="CWR369" s="15"/>
      <c r="CWS369" s="15"/>
      <c r="CWT369" s="10"/>
      <c r="CWU369" s="10"/>
      <c r="CWV369" s="21"/>
      <c r="CWW369" s="21"/>
      <c r="CWZ369" s="21"/>
      <c r="CXA369" s="15"/>
      <c r="CXB369" s="15"/>
      <c r="CXC369" s="15"/>
      <c r="CXD369" s="15"/>
      <c r="CXE369" s="15"/>
      <c r="CXF369" s="15"/>
      <c r="CXG369" s="15"/>
      <c r="CXH369" s="15"/>
      <c r="CXI369" s="15"/>
      <c r="CXJ369" s="15"/>
      <c r="CXK369" s="10"/>
      <c r="CXL369" s="10"/>
      <c r="CXM369" s="21"/>
      <c r="CXN369" s="21"/>
      <c r="CXQ369" s="21"/>
      <c r="CXR369" s="15"/>
      <c r="CXS369" s="15"/>
      <c r="CXT369" s="15"/>
      <c r="CXU369" s="15"/>
      <c r="CXV369" s="15"/>
      <c r="CXW369" s="15"/>
      <c r="CXX369" s="15"/>
      <c r="CXY369" s="15"/>
      <c r="CXZ369" s="15"/>
      <c r="CYA369" s="15"/>
      <c r="CYB369" s="10"/>
      <c r="CYC369" s="10"/>
      <c r="CYD369" s="21"/>
      <c r="CYE369" s="21"/>
      <c r="CYH369" s="21"/>
      <c r="CYI369" s="15"/>
      <c r="CYJ369" s="15"/>
      <c r="CYK369" s="15"/>
      <c r="CYL369" s="15"/>
      <c r="CYM369" s="15"/>
      <c r="CYN369" s="15"/>
      <c r="CYO369" s="15"/>
      <c r="CYP369" s="15"/>
      <c r="CYQ369" s="15"/>
      <c r="CYR369" s="15"/>
      <c r="CYS369" s="10"/>
      <c r="CYT369" s="10"/>
      <c r="CYU369" s="21"/>
      <c r="CYV369" s="21"/>
      <c r="CYY369" s="21"/>
      <c r="CYZ369" s="15"/>
      <c r="CZA369" s="15"/>
      <c r="CZB369" s="15"/>
      <c r="CZC369" s="15"/>
      <c r="CZD369" s="15"/>
      <c r="CZE369" s="15"/>
      <c r="CZF369" s="15"/>
      <c r="CZG369" s="15"/>
      <c r="CZH369" s="15"/>
      <c r="CZI369" s="15"/>
      <c r="CZJ369" s="10"/>
      <c r="CZK369" s="10"/>
      <c r="CZL369" s="21"/>
      <c r="CZM369" s="21"/>
      <c r="CZP369" s="21"/>
      <c r="CZQ369" s="15"/>
      <c r="CZR369" s="15"/>
      <c r="CZS369" s="15"/>
      <c r="CZT369" s="15"/>
      <c r="CZU369" s="15"/>
      <c r="CZV369" s="15"/>
      <c r="CZW369" s="15"/>
      <c r="CZX369" s="15"/>
      <c r="CZY369" s="15"/>
      <c r="CZZ369" s="15"/>
      <c r="DAA369" s="10"/>
      <c r="DAB369" s="10"/>
      <c r="DAC369" s="21"/>
      <c r="DAD369" s="21"/>
      <c r="DAG369" s="21"/>
      <c r="DAH369" s="15"/>
      <c r="DAI369" s="15"/>
      <c r="DAJ369" s="15"/>
      <c r="DAK369" s="15"/>
      <c r="DAL369" s="15"/>
      <c r="DAM369" s="15"/>
      <c r="DAN369" s="15"/>
      <c r="DAO369" s="15"/>
      <c r="DAP369" s="15"/>
      <c r="DAQ369" s="15"/>
      <c r="DAR369" s="10"/>
      <c r="DAS369" s="10"/>
      <c r="DAT369" s="21"/>
      <c r="DAU369" s="21"/>
      <c r="DAX369" s="21"/>
      <c r="DAY369" s="15"/>
      <c r="DAZ369" s="15"/>
      <c r="DBA369" s="15"/>
      <c r="DBB369" s="15"/>
      <c r="DBC369" s="15"/>
      <c r="DBD369" s="15"/>
      <c r="DBE369" s="15"/>
      <c r="DBF369" s="15"/>
      <c r="DBG369" s="15"/>
      <c r="DBH369" s="15"/>
      <c r="DBI369" s="10"/>
      <c r="DBJ369" s="10"/>
      <c r="DBK369" s="21"/>
      <c r="DBL369" s="21"/>
      <c r="DBO369" s="21"/>
      <c r="DBP369" s="15"/>
      <c r="DBQ369" s="15"/>
      <c r="DBR369" s="15"/>
      <c r="DBS369" s="15"/>
      <c r="DBT369" s="15"/>
      <c r="DBU369" s="15"/>
      <c r="DBV369" s="15"/>
      <c r="DBW369" s="15"/>
      <c r="DBX369" s="15"/>
      <c r="DBY369" s="15"/>
      <c r="DBZ369" s="10"/>
      <c r="DCA369" s="10"/>
      <c r="DCB369" s="21"/>
      <c r="DCC369" s="21"/>
      <c r="DCF369" s="21"/>
      <c r="DCG369" s="15"/>
      <c r="DCH369" s="15"/>
      <c r="DCI369" s="15"/>
      <c r="DCJ369" s="15"/>
      <c r="DCK369" s="15"/>
      <c r="DCL369" s="15"/>
      <c r="DCM369" s="15"/>
      <c r="DCN369" s="15"/>
      <c r="DCO369" s="15"/>
      <c r="DCP369" s="15"/>
      <c r="DCQ369" s="10"/>
      <c r="DCR369" s="10"/>
      <c r="DCS369" s="21"/>
      <c r="DCT369" s="21"/>
      <c r="DCW369" s="21"/>
      <c r="DCX369" s="15"/>
      <c r="DCY369" s="15"/>
      <c r="DCZ369" s="15"/>
      <c r="DDA369" s="15"/>
      <c r="DDB369" s="15"/>
      <c r="DDC369" s="15"/>
      <c r="DDD369" s="15"/>
      <c r="DDE369" s="15"/>
      <c r="DDF369" s="15"/>
      <c r="DDG369" s="15"/>
      <c r="DDH369" s="10"/>
      <c r="DDI369" s="10"/>
      <c r="DDJ369" s="21"/>
      <c r="DDK369" s="21"/>
      <c r="DDN369" s="21"/>
      <c r="DDO369" s="15"/>
      <c r="DDP369" s="15"/>
      <c r="DDQ369" s="15"/>
      <c r="DDR369" s="15"/>
      <c r="DDS369" s="15"/>
      <c r="DDT369" s="15"/>
      <c r="DDU369" s="15"/>
      <c r="DDV369" s="15"/>
      <c r="DDW369" s="15"/>
      <c r="DDX369" s="15"/>
      <c r="DDY369" s="10"/>
      <c r="DDZ369" s="10"/>
      <c r="DEA369" s="21"/>
      <c r="DEB369" s="21"/>
      <c r="DEE369" s="21"/>
      <c r="DEF369" s="15"/>
      <c r="DEG369" s="15"/>
      <c r="DEH369" s="15"/>
      <c r="DEI369" s="15"/>
      <c r="DEJ369" s="15"/>
      <c r="DEK369" s="15"/>
      <c r="DEL369" s="15"/>
      <c r="DEM369" s="15"/>
      <c r="DEN369" s="15"/>
      <c r="DEO369" s="15"/>
      <c r="DEP369" s="10"/>
      <c r="DEQ369" s="10"/>
      <c r="DER369" s="21"/>
      <c r="DES369" s="21"/>
      <c r="DEV369" s="21"/>
      <c r="DEW369" s="15"/>
      <c r="DEX369" s="15"/>
      <c r="DEY369" s="15"/>
      <c r="DEZ369" s="15"/>
      <c r="DFA369" s="15"/>
      <c r="DFB369" s="15"/>
      <c r="DFC369" s="15"/>
      <c r="DFD369" s="15"/>
      <c r="DFE369" s="15"/>
      <c r="DFF369" s="15"/>
      <c r="DFG369" s="10"/>
      <c r="DFH369" s="10"/>
      <c r="DFI369" s="21"/>
      <c r="DFJ369" s="21"/>
      <c r="DFM369" s="21"/>
      <c r="DFN369" s="15"/>
      <c r="DFO369" s="15"/>
      <c r="DFP369" s="15"/>
      <c r="DFQ369" s="15"/>
      <c r="DFR369" s="15"/>
      <c r="DFS369" s="15"/>
      <c r="DFT369" s="15"/>
      <c r="DFU369" s="15"/>
      <c r="DFV369" s="15"/>
      <c r="DFW369" s="15"/>
      <c r="DFX369" s="10"/>
      <c r="DFY369" s="10"/>
      <c r="DFZ369" s="21"/>
      <c r="DGA369" s="21"/>
      <c r="DGD369" s="21"/>
      <c r="DGE369" s="15"/>
      <c r="DGF369" s="15"/>
      <c r="DGG369" s="15"/>
      <c r="DGH369" s="15"/>
      <c r="DGI369" s="15"/>
      <c r="DGJ369" s="15"/>
      <c r="DGK369" s="15"/>
      <c r="DGL369" s="15"/>
      <c r="DGM369" s="15"/>
      <c r="DGN369" s="15"/>
      <c r="DGO369" s="10"/>
      <c r="DGP369" s="10"/>
      <c r="DGQ369" s="21"/>
      <c r="DGR369" s="21"/>
      <c r="DGU369" s="21"/>
      <c r="DGV369" s="15"/>
      <c r="DGW369" s="15"/>
      <c r="DGX369" s="15"/>
      <c r="DGY369" s="15"/>
      <c r="DGZ369" s="15"/>
      <c r="DHA369" s="15"/>
      <c r="DHB369" s="15"/>
      <c r="DHC369" s="15"/>
      <c r="DHD369" s="15"/>
      <c r="DHE369" s="15"/>
      <c r="DHF369" s="10"/>
      <c r="DHG369" s="10"/>
      <c r="DHH369" s="21"/>
      <c r="DHI369" s="21"/>
      <c r="DHL369" s="21"/>
      <c r="DHM369" s="15"/>
      <c r="DHN369" s="15"/>
      <c r="DHO369" s="15"/>
      <c r="DHP369" s="15"/>
      <c r="DHQ369" s="15"/>
      <c r="DHR369" s="15"/>
      <c r="DHS369" s="15"/>
      <c r="DHT369" s="15"/>
      <c r="DHU369" s="15"/>
      <c r="DHV369" s="15"/>
      <c r="DHW369" s="10"/>
      <c r="DHX369" s="10"/>
      <c r="DHY369" s="21"/>
      <c r="DHZ369" s="21"/>
      <c r="DIC369" s="21"/>
      <c r="DID369" s="15"/>
      <c r="DIE369" s="15"/>
      <c r="DIF369" s="15"/>
      <c r="DIG369" s="15"/>
      <c r="DIH369" s="15"/>
      <c r="DII369" s="15"/>
      <c r="DIJ369" s="15"/>
      <c r="DIK369" s="15"/>
      <c r="DIL369" s="15"/>
      <c r="DIM369" s="15"/>
      <c r="DIN369" s="10"/>
      <c r="DIO369" s="10"/>
      <c r="DIP369" s="21"/>
      <c r="DIQ369" s="21"/>
      <c r="DIT369" s="21"/>
      <c r="DIU369" s="15"/>
      <c r="DIV369" s="15"/>
      <c r="DIW369" s="15"/>
      <c r="DIX369" s="15"/>
      <c r="DIY369" s="15"/>
      <c r="DIZ369" s="15"/>
      <c r="DJA369" s="15"/>
      <c r="DJB369" s="15"/>
      <c r="DJC369" s="15"/>
      <c r="DJD369" s="15"/>
      <c r="DJE369" s="10"/>
      <c r="DJF369" s="10"/>
      <c r="DJG369" s="21"/>
      <c r="DJH369" s="21"/>
      <c r="DJK369" s="21"/>
      <c r="DJL369" s="15"/>
      <c r="DJM369" s="15"/>
      <c r="DJN369" s="15"/>
      <c r="DJO369" s="15"/>
      <c r="DJP369" s="15"/>
      <c r="DJQ369" s="15"/>
      <c r="DJR369" s="15"/>
      <c r="DJS369" s="15"/>
      <c r="DJT369" s="15"/>
      <c r="DJU369" s="15"/>
      <c r="DJV369" s="10"/>
      <c r="DJW369" s="10"/>
      <c r="DJX369" s="21"/>
      <c r="DJY369" s="21"/>
      <c r="DKB369" s="21"/>
      <c r="DKC369" s="15"/>
      <c r="DKD369" s="15"/>
      <c r="DKE369" s="15"/>
      <c r="DKF369" s="15"/>
      <c r="DKG369" s="15"/>
      <c r="DKH369" s="15"/>
      <c r="DKI369" s="15"/>
      <c r="DKJ369" s="15"/>
      <c r="DKK369" s="15"/>
      <c r="DKL369" s="15"/>
      <c r="DKM369" s="10"/>
      <c r="DKN369" s="10"/>
      <c r="DKO369" s="21"/>
      <c r="DKP369" s="21"/>
      <c r="DKS369" s="21"/>
      <c r="DKT369" s="15"/>
      <c r="DKU369" s="15"/>
      <c r="DKV369" s="15"/>
      <c r="DKW369" s="15"/>
      <c r="DKX369" s="15"/>
      <c r="DKY369" s="15"/>
      <c r="DKZ369" s="15"/>
      <c r="DLA369" s="15"/>
      <c r="DLB369" s="15"/>
      <c r="DLC369" s="15"/>
      <c r="DLD369" s="10"/>
      <c r="DLE369" s="10"/>
      <c r="DLF369" s="21"/>
      <c r="DLG369" s="21"/>
      <c r="DLJ369" s="21"/>
      <c r="DLK369" s="15"/>
      <c r="DLL369" s="15"/>
      <c r="DLM369" s="15"/>
      <c r="DLN369" s="15"/>
      <c r="DLO369" s="15"/>
      <c r="DLP369" s="15"/>
      <c r="DLQ369" s="15"/>
      <c r="DLR369" s="15"/>
      <c r="DLS369" s="15"/>
      <c r="DLT369" s="15"/>
      <c r="DLU369" s="10"/>
      <c r="DLV369" s="10"/>
      <c r="DLW369" s="21"/>
      <c r="DLX369" s="21"/>
      <c r="DMA369" s="21"/>
      <c r="DMB369" s="15"/>
      <c r="DMC369" s="15"/>
      <c r="DMD369" s="15"/>
      <c r="DME369" s="15"/>
      <c r="DMF369" s="15"/>
      <c r="DMG369" s="15"/>
      <c r="DMH369" s="15"/>
      <c r="DMI369" s="15"/>
      <c r="DMJ369" s="15"/>
      <c r="DMK369" s="15"/>
      <c r="DML369" s="10"/>
      <c r="DMM369" s="10"/>
      <c r="DMN369" s="21"/>
      <c r="DMO369" s="21"/>
      <c r="DMR369" s="21"/>
      <c r="DMS369" s="15"/>
      <c r="DMT369" s="15"/>
      <c r="DMU369" s="15"/>
      <c r="DMV369" s="15"/>
      <c r="DMW369" s="15"/>
      <c r="DMX369" s="15"/>
      <c r="DMY369" s="15"/>
      <c r="DMZ369" s="15"/>
      <c r="DNA369" s="15"/>
      <c r="DNB369" s="15"/>
      <c r="DNC369" s="10"/>
      <c r="DND369" s="10"/>
      <c r="DNE369" s="21"/>
      <c r="DNF369" s="21"/>
      <c r="DNI369" s="21"/>
      <c r="DNJ369" s="15"/>
      <c r="DNK369" s="15"/>
      <c r="DNL369" s="15"/>
      <c r="DNM369" s="15"/>
      <c r="DNN369" s="15"/>
      <c r="DNO369" s="15"/>
      <c r="DNP369" s="15"/>
      <c r="DNQ369" s="15"/>
      <c r="DNR369" s="15"/>
      <c r="DNS369" s="15"/>
      <c r="DNT369" s="10"/>
      <c r="DNU369" s="10"/>
      <c r="DNV369" s="21"/>
      <c r="DNW369" s="21"/>
      <c r="DNZ369" s="21"/>
      <c r="DOA369" s="15"/>
      <c r="DOB369" s="15"/>
      <c r="DOC369" s="15"/>
      <c r="DOD369" s="15"/>
      <c r="DOE369" s="15"/>
      <c r="DOF369" s="15"/>
      <c r="DOG369" s="15"/>
      <c r="DOH369" s="15"/>
      <c r="DOI369" s="15"/>
      <c r="DOJ369" s="15"/>
      <c r="DOK369" s="10"/>
      <c r="DOL369" s="10"/>
      <c r="DOM369" s="21"/>
      <c r="DON369" s="21"/>
      <c r="DOQ369" s="21"/>
      <c r="DOR369" s="15"/>
      <c r="DOS369" s="15"/>
      <c r="DOT369" s="15"/>
      <c r="DOU369" s="15"/>
      <c r="DOV369" s="15"/>
      <c r="DOW369" s="15"/>
      <c r="DOX369" s="15"/>
      <c r="DOY369" s="15"/>
      <c r="DOZ369" s="15"/>
      <c r="DPA369" s="15"/>
      <c r="DPB369" s="10"/>
      <c r="DPC369" s="10"/>
      <c r="DPD369" s="21"/>
      <c r="DPE369" s="21"/>
      <c r="DPH369" s="21"/>
      <c r="DPI369" s="15"/>
      <c r="DPJ369" s="15"/>
      <c r="DPK369" s="15"/>
      <c r="DPL369" s="15"/>
      <c r="DPM369" s="15"/>
      <c r="DPN369" s="15"/>
      <c r="DPO369" s="15"/>
      <c r="DPP369" s="15"/>
      <c r="DPQ369" s="15"/>
      <c r="DPR369" s="15"/>
      <c r="DPS369" s="10"/>
      <c r="DPT369" s="10"/>
      <c r="DPU369" s="21"/>
      <c r="DPV369" s="21"/>
      <c r="DPY369" s="21"/>
      <c r="DPZ369" s="15"/>
      <c r="DQA369" s="15"/>
      <c r="DQB369" s="15"/>
      <c r="DQC369" s="15"/>
      <c r="DQD369" s="15"/>
      <c r="DQE369" s="15"/>
      <c r="DQF369" s="15"/>
      <c r="DQG369" s="15"/>
      <c r="DQH369" s="15"/>
      <c r="DQI369" s="15"/>
      <c r="DQJ369" s="10"/>
      <c r="DQK369" s="10"/>
      <c r="DQL369" s="21"/>
      <c r="DQM369" s="21"/>
      <c r="DQP369" s="21"/>
      <c r="DQQ369" s="15"/>
      <c r="DQR369" s="15"/>
      <c r="DQS369" s="15"/>
      <c r="DQT369" s="15"/>
      <c r="DQU369" s="15"/>
      <c r="DQV369" s="15"/>
      <c r="DQW369" s="15"/>
      <c r="DQX369" s="15"/>
      <c r="DQY369" s="15"/>
      <c r="DQZ369" s="15"/>
      <c r="DRA369" s="10"/>
      <c r="DRB369" s="10"/>
      <c r="DRC369" s="21"/>
      <c r="DRD369" s="21"/>
      <c r="DRG369" s="21"/>
      <c r="DRH369" s="15"/>
      <c r="DRI369" s="15"/>
      <c r="DRJ369" s="15"/>
      <c r="DRK369" s="15"/>
      <c r="DRL369" s="15"/>
      <c r="DRM369" s="15"/>
      <c r="DRN369" s="15"/>
      <c r="DRO369" s="15"/>
      <c r="DRP369" s="15"/>
      <c r="DRQ369" s="15"/>
      <c r="DRR369" s="10"/>
      <c r="DRS369" s="10"/>
      <c r="DRT369" s="21"/>
      <c r="DRU369" s="21"/>
      <c r="DRX369" s="21"/>
      <c r="DRY369" s="15"/>
      <c r="DRZ369" s="15"/>
      <c r="DSA369" s="15"/>
      <c r="DSB369" s="15"/>
      <c r="DSC369" s="15"/>
      <c r="DSD369" s="15"/>
      <c r="DSE369" s="15"/>
      <c r="DSF369" s="15"/>
      <c r="DSG369" s="15"/>
      <c r="DSH369" s="15"/>
      <c r="DSI369" s="10"/>
      <c r="DSJ369" s="10"/>
      <c r="DSK369" s="21"/>
      <c r="DSL369" s="21"/>
      <c r="DSO369" s="21"/>
      <c r="DSP369" s="15"/>
      <c r="DSQ369" s="15"/>
      <c r="DSR369" s="15"/>
      <c r="DSS369" s="15"/>
      <c r="DST369" s="15"/>
      <c r="DSU369" s="15"/>
      <c r="DSV369" s="15"/>
      <c r="DSW369" s="15"/>
      <c r="DSX369" s="15"/>
      <c r="DSY369" s="15"/>
      <c r="DSZ369" s="10"/>
      <c r="DTA369" s="10"/>
      <c r="DTB369" s="21"/>
      <c r="DTC369" s="21"/>
      <c r="DTF369" s="21"/>
      <c r="DTG369" s="15"/>
      <c r="DTH369" s="15"/>
      <c r="DTI369" s="15"/>
      <c r="DTJ369" s="15"/>
      <c r="DTK369" s="15"/>
      <c r="DTL369" s="15"/>
      <c r="DTM369" s="15"/>
      <c r="DTN369" s="15"/>
      <c r="DTO369" s="15"/>
      <c r="DTP369" s="15"/>
      <c r="DTQ369" s="10"/>
      <c r="DTR369" s="10"/>
      <c r="DTS369" s="21"/>
      <c r="DTT369" s="21"/>
      <c r="DTW369" s="21"/>
      <c r="DTX369" s="15"/>
      <c r="DTY369" s="15"/>
      <c r="DTZ369" s="15"/>
      <c r="DUA369" s="15"/>
      <c r="DUB369" s="15"/>
      <c r="DUC369" s="15"/>
      <c r="DUD369" s="15"/>
      <c r="DUE369" s="15"/>
      <c r="DUF369" s="15"/>
      <c r="DUG369" s="15"/>
      <c r="DUH369" s="10"/>
      <c r="DUI369" s="10"/>
      <c r="DUJ369" s="21"/>
      <c r="DUK369" s="21"/>
      <c r="DUN369" s="21"/>
      <c r="DUO369" s="15"/>
      <c r="DUP369" s="15"/>
      <c r="DUQ369" s="15"/>
      <c r="DUR369" s="15"/>
      <c r="DUS369" s="15"/>
      <c r="DUT369" s="15"/>
      <c r="DUU369" s="15"/>
      <c r="DUV369" s="15"/>
      <c r="DUW369" s="15"/>
      <c r="DUX369" s="15"/>
      <c r="DUY369" s="10"/>
      <c r="DUZ369" s="10"/>
      <c r="DVA369" s="21"/>
      <c r="DVB369" s="21"/>
      <c r="DVE369" s="21"/>
      <c r="DVF369" s="15"/>
      <c r="DVG369" s="15"/>
      <c r="DVH369" s="15"/>
      <c r="DVI369" s="15"/>
      <c r="DVJ369" s="15"/>
      <c r="DVK369" s="15"/>
      <c r="DVL369" s="15"/>
      <c r="DVM369" s="15"/>
      <c r="DVN369" s="15"/>
      <c r="DVO369" s="15"/>
      <c r="DVP369" s="10"/>
      <c r="DVQ369" s="10"/>
      <c r="DVR369" s="21"/>
      <c r="DVS369" s="21"/>
      <c r="DVV369" s="21"/>
      <c r="DVW369" s="15"/>
      <c r="DVX369" s="15"/>
      <c r="DVY369" s="15"/>
      <c r="DVZ369" s="15"/>
      <c r="DWA369" s="15"/>
      <c r="DWB369" s="15"/>
      <c r="DWC369" s="15"/>
      <c r="DWD369" s="15"/>
      <c r="DWE369" s="15"/>
      <c r="DWF369" s="15"/>
      <c r="DWG369" s="10"/>
      <c r="DWH369" s="10"/>
      <c r="DWI369" s="21"/>
      <c r="DWJ369" s="21"/>
      <c r="DWM369" s="21"/>
      <c r="DWN369" s="15"/>
      <c r="DWO369" s="15"/>
      <c r="DWP369" s="15"/>
      <c r="DWQ369" s="15"/>
      <c r="DWR369" s="15"/>
      <c r="DWS369" s="15"/>
      <c r="DWT369" s="15"/>
      <c r="DWU369" s="15"/>
      <c r="DWV369" s="15"/>
      <c r="DWW369" s="15"/>
      <c r="DWX369" s="10"/>
      <c r="DWY369" s="10"/>
      <c r="DWZ369" s="21"/>
      <c r="DXA369" s="21"/>
      <c r="DXD369" s="21"/>
      <c r="DXE369" s="15"/>
      <c r="DXF369" s="15"/>
      <c r="DXG369" s="15"/>
      <c r="DXH369" s="15"/>
      <c r="DXI369" s="15"/>
      <c r="DXJ369" s="15"/>
      <c r="DXK369" s="15"/>
      <c r="DXL369" s="15"/>
      <c r="DXM369" s="15"/>
      <c r="DXN369" s="15"/>
      <c r="DXO369" s="10"/>
      <c r="DXP369" s="10"/>
      <c r="DXQ369" s="21"/>
      <c r="DXR369" s="21"/>
      <c r="DXU369" s="21"/>
      <c r="DXV369" s="15"/>
      <c r="DXW369" s="15"/>
      <c r="DXX369" s="15"/>
      <c r="DXY369" s="15"/>
      <c r="DXZ369" s="15"/>
      <c r="DYA369" s="15"/>
      <c r="DYB369" s="15"/>
      <c r="DYC369" s="15"/>
      <c r="DYD369" s="15"/>
      <c r="DYE369" s="15"/>
      <c r="DYF369" s="10"/>
      <c r="DYG369" s="10"/>
      <c r="DYH369" s="21"/>
      <c r="DYI369" s="21"/>
      <c r="DYL369" s="21"/>
      <c r="DYM369" s="15"/>
      <c r="DYN369" s="15"/>
      <c r="DYO369" s="15"/>
      <c r="DYP369" s="15"/>
      <c r="DYQ369" s="15"/>
      <c r="DYR369" s="15"/>
      <c r="DYS369" s="15"/>
      <c r="DYT369" s="15"/>
      <c r="DYU369" s="15"/>
      <c r="DYV369" s="15"/>
      <c r="DYW369" s="10"/>
      <c r="DYX369" s="10"/>
      <c r="DYY369" s="21"/>
      <c r="DYZ369" s="21"/>
      <c r="DZC369" s="21"/>
      <c r="DZD369" s="15"/>
      <c r="DZE369" s="15"/>
      <c r="DZF369" s="15"/>
      <c r="DZG369" s="15"/>
      <c r="DZH369" s="15"/>
      <c r="DZI369" s="15"/>
      <c r="DZJ369" s="15"/>
      <c r="DZK369" s="15"/>
      <c r="DZL369" s="15"/>
      <c r="DZM369" s="15"/>
      <c r="DZN369" s="10"/>
      <c r="DZO369" s="10"/>
      <c r="DZP369" s="21"/>
      <c r="DZQ369" s="21"/>
      <c r="DZT369" s="21"/>
      <c r="DZU369" s="15"/>
      <c r="DZV369" s="15"/>
      <c r="DZW369" s="15"/>
      <c r="DZX369" s="15"/>
      <c r="DZY369" s="15"/>
      <c r="DZZ369" s="15"/>
      <c r="EAA369" s="15"/>
      <c r="EAB369" s="15"/>
      <c r="EAC369" s="15"/>
      <c r="EAD369" s="15"/>
      <c r="EAE369" s="10"/>
      <c r="EAF369" s="10"/>
      <c r="EAG369" s="21"/>
      <c r="EAH369" s="21"/>
      <c r="EAK369" s="21"/>
      <c r="EAL369" s="15"/>
      <c r="EAM369" s="15"/>
      <c r="EAN369" s="15"/>
      <c r="EAO369" s="15"/>
      <c r="EAP369" s="15"/>
      <c r="EAQ369" s="15"/>
      <c r="EAR369" s="15"/>
      <c r="EAS369" s="15"/>
      <c r="EAT369" s="15"/>
      <c r="EAU369" s="15"/>
      <c r="EAV369" s="10"/>
      <c r="EAW369" s="10"/>
      <c r="EAX369" s="21"/>
      <c r="EAY369" s="21"/>
      <c r="EBB369" s="21"/>
      <c r="EBC369" s="15"/>
      <c r="EBD369" s="15"/>
      <c r="EBE369" s="15"/>
      <c r="EBF369" s="15"/>
      <c r="EBG369" s="15"/>
      <c r="EBH369" s="15"/>
      <c r="EBI369" s="15"/>
      <c r="EBJ369" s="15"/>
      <c r="EBK369" s="15"/>
      <c r="EBL369" s="15"/>
      <c r="EBM369" s="10"/>
      <c r="EBN369" s="10"/>
      <c r="EBO369" s="21"/>
      <c r="EBP369" s="21"/>
      <c r="EBS369" s="21"/>
      <c r="EBT369" s="15"/>
      <c r="EBU369" s="15"/>
      <c r="EBV369" s="15"/>
      <c r="EBW369" s="15"/>
      <c r="EBX369" s="15"/>
      <c r="EBY369" s="15"/>
      <c r="EBZ369" s="15"/>
      <c r="ECA369" s="15"/>
      <c r="ECB369" s="15"/>
      <c r="ECC369" s="15"/>
      <c r="ECD369" s="10"/>
      <c r="ECE369" s="10"/>
      <c r="ECF369" s="21"/>
      <c r="ECG369" s="21"/>
      <c r="ECJ369" s="21"/>
      <c r="ECK369" s="15"/>
      <c r="ECL369" s="15"/>
      <c r="ECM369" s="15"/>
      <c r="ECN369" s="15"/>
      <c r="ECO369" s="15"/>
      <c r="ECP369" s="15"/>
      <c r="ECQ369" s="15"/>
      <c r="ECR369" s="15"/>
      <c r="ECS369" s="15"/>
      <c r="ECT369" s="15"/>
      <c r="ECU369" s="10"/>
      <c r="ECV369" s="10"/>
      <c r="ECW369" s="21"/>
      <c r="ECX369" s="21"/>
      <c r="EDA369" s="21"/>
      <c r="EDB369" s="15"/>
      <c r="EDC369" s="15"/>
      <c r="EDD369" s="15"/>
      <c r="EDE369" s="15"/>
      <c r="EDF369" s="15"/>
      <c r="EDG369" s="15"/>
      <c r="EDH369" s="15"/>
      <c r="EDI369" s="15"/>
      <c r="EDJ369" s="15"/>
      <c r="EDK369" s="15"/>
      <c r="EDL369" s="10"/>
      <c r="EDM369" s="10"/>
      <c r="EDN369" s="21"/>
      <c r="EDO369" s="21"/>
      <c r="EDR369" s="21"/>
      <c r="EDS369" s="15"/>
      <c r="EDT369" s="15"/>
      <c r="EDU369" s="15"/>
      <c r="EDV369" s="15"/>
      <c r="EDW369" s="15"/>
      <c r="EDX369" s="15"/>
      <c r="EDY369" s="15"/>
      <c r="EDZ369" s="15"/>
      <c r="EEA369" s="15"/>
      <c r="EEB369" s="15"/>
      <c r="EEC369" s="10"/>
      <c r="EED369" s="10"/>
      <c r="EEE369" s="21"/>
      <c r="EEF369" s="21"/>
      <c r="EEI369" s="21"/>
      <c r="EEJ369" s="15"/>
      <c r="EEK369" s="15"/>
      <c r="EEL369" s="15"/>
      <c r="EEM369" s="15"/>
      <c r="EEN369" s="15"/>
      <c r="EEO369" s="15"/>
      <c r="EEP369" s="15"/>
      <c r="EEQ369" s="15"/>
      <c r="EER369" s="15"/>
      <c r="EES369" s="15"/>
      <c r="EET369" s="10"/>
      <c r="EEU369" s="10"/>
      <c r="EEV369" s="21"/>
      <c r="EEW369" s="21"/>
      <c r="EEZ369" s="21"/>
      <c r="EFA369" s="15"/>
      <c r="EFB369" s="15"/>
      <c r="EFC369" s="15"/>
      <c r="EFD369" s="15"/>
      <c r="EFE369" s="15"/>
      <c r="EFF369" s="15"/>
      <c r="EFG369" s="15"/>
      <c r="EFH369" s="15"/>
      <c r="EFI369" s="15"/>
      <c r="EFJ369" s="15"/>
      <c r="EFK369" s="10"/>
      <c r="EFL369" s="10"/>
      <c r="EFM369" s="21"/>
      <c r="EFN369" s="21"/>
      <c r="EFQ369" s="21"/>
      <c r="EFR369" s="15"/>
      <c r="EFS369" s="15"/>
      <c r="EFT369" s="15"/>
      <c r="EFU369" s="15"/>
      <c r="EFV369" s="15"/>
      <c r="EFW369" s="15"/>
      <c r="EFX369" s="15"/>
      <c r="EFY369" s="15"/>
      <c r="EFZ369" s="15"/>
      <c r="EGA369" s="15"/>
      <c r="EGB369" s="10"/>
      <c r="EGC369" s="10"/>
      <c r="EGD369" s="21"/>
      <c r="EGE369" s="21"/>
      <c r="EGH369" s="21"/>
      <c r="EGI369" s="15"/>
      <c r="EGJ369" s="15"/>
      <c r="EGK369" s="15"/>
      <c r="EGL369" s="15"/>
      <c r="EGM369" s="15"/>
      <c r="EGN369" s="15"/>
      <c r="EGO369" s="15"/>
      <c r="EGP369" s="15"/>
      <c r="EGQ369" s="15"/>
      <c r="EGR369" s="15"/>
      <c r="EGS369" s="10"/>
      <c r="EGT369" s="10"/>
      <c r="EGU369" s="21"/>
      <c r="EGV369" s="21"/>
      <c r="EGY369" s="21"/>
      <c r="EGZ369" s="15"/>
      <c r="EHA369" s="15"/>
      <c r="EHB369" s="15"/>
      <c r="EHC369" s="15"/>
      <c r="EHD369" s="15"/>
      <c r="EHE369" s="15"/>
      <c r="EHF369" s="15"/>
      <c r="EHG369" s="15"/>
      <c r="EHH369" s="15"/>
      <c r="EHI369" s="15"/>
      <c r="EHJ369" s="10"/>
      <c r="EHK369" s="10"/>
      <c r="EHL369" s="21"/>
      <c r="EHM369" s="21"/>
      <c r="EHP369" s="21"/>
      <c r="EHQ369" s="15"/>
      <c r="EHR369" s="15"/>
      <c r="EHS369" s="15"/>
      <c r="EHT369" s="15"/>
      <c r="EHU369" s="15"/>
      <c r="EHV369" s="15"/>
      <c r="EHW369" s="15"/>
      <c r="EHX369" s="15"/>
      <c r="EHY369" s="15"/>
      <c r="EHZ369" s="15"/>
      <c r="EIA369" s="10"/>
      <c r="EIB369" s="10"/>
      <c r="EIC369" s="21"/>
      <c r="EID369" s="21"/>
      <c r="EIG369" s="21"/>
      <c r="EIH369" s="15"/>
      <c r="EII369" s="15"/>
      <c r="EIJ369" s="15"/>
      <c r="EIK369" s="15"/>
      <c r="EIL369" s="15"/>
      <c r="EIM369" s="15"/>
      <c r="EIN369" s="15"/>
      <c r="EIO369" s="15"/>
      <c r="EIP369" s="15"/>
      <c r="EIQ369" s="15"/>
      <c r="EIR369" s="10"/>
      <c r="EIS369" s="10"/>
      <c r="EIT369" s="21"/>
      <c r="EIU369" s="21"/>
      <c r="EIX369" s="21"/>
      <c r="EIY369" s="15"/>
      <c r="EIZ369" s="15"/>
      <c r="EJA369" s="15"/>
      <c r="EJB369" s="15"/>
      <c r="EJC369" s="15"/>
      <c r="EJD369" s="15"/>
      <c r="EJE369" s="15"/>
      <c r="EJF369" s="15"/>
      <c r="EJG369" s="15"/>
      <c r="EJH369" s="15"/>
      <c r="EJI369" s="10"/>
      <c r="EJJ369" s="10"/>
      <c r="EJK369" s="21"/>
      <c r="EJL369" s="21"/>
      <c r="EJO369" s="21"/>
      <c r="EJP369" s="15"/>
      <c r="EJQ369" s="15"/>
      <c r="EJR369" s="15"/>
      <c r="EJS369" s="15"/>
      <c r="EJT369" s="15"/>
      <c r="EJU369" s="15"/>
      <c r="EJV369" s="15"/>
      <c r="EJW369" s="15"/>
      <c r="EJX369" s="15"/>
      <c r="EJY369" s="15"/>
      <c r="EJZ369" s="10"/>
      <c r="EKA369" s="10"/>
      <c r="EKB369" s="21"/>
      <c r="EKC369" s="21"/>
      <c r="EKF369" s="21"/>
      <c r="EKG369" s="15"/>
      <c r="EKH369" s="15"/>
      <c r="EKI369" s="15"/>
      <c r="EKJ369" s="15"/>
      <c r="EKK369" s="15"/>
      <c r="EKL369" s="15"/>
      <c r="EKM369" s="15"/>
      <c r="EKN369" s="15"/>
      <c r="EKO369" s="15"/>
      <c r="EKP369" s="15"/>
      <c r="EKQ369" s="10"/>
      <c r="EKR369" s="10"/>
      <c r="EKS369" s="21"/>
      <c r="EKT369" s="21"/>
      <c r="EKW369" s="21"/>
      <c r="EKX369" s="15"/>
      <c r="EKY369" s="15"/>
      <c r="EKZ369" s="15"/>
      <c r="ELA369" s="15"/>
      <c r="ELB369" s="15"/>
      <c r="ELC369" s="15"/>
      <c r="ELD369" s="15"/>
      <c r="ELE369" s="15"/>
      <c r="ELF369" s="15"/>
      <c r="ELG369" s="15"/>
      <c r="ELH369" s="10"/>
      <c r="ELI369" s="10"/>
      <c r="ELJ369" s="21"/>
      <c r="ELK369" s="21"/>
      <c r="ELN369" s="21"/>
      <c r="ELO369" s="15"/>
      <c r="ELP369" s="15"/>
      <c r="ELQ369" s="15"/>
      <c r="ELR369" s="15"/>
      <c r="ELS369" s="15"/>
      <c r="ELT369" s="15"/>
      <c r="ELU369" s="15"/>
      <c r="ELV369" s="15"/>
      <c r="ELW369" s="15"/>
      <c r="ELX369" s="15"/>
      <c r="ELY369" s="10"/>
      <c r="ELZ369" s="10"/>
      <c r="EMA369" s="21"/>
      <c r="EMB369" s="21"/>
      <c r="EME369" s="21"/>
      <c r="EMF369" s="15"/>
      <c r="EMG369" s="15"/>
      <c r="EMH369" s="15"/>
      <c r="EMI369" s="15"/>
      <c r="EMJ369" s="15"/>
      <c r="EMK369" s="15"/>
      <c r="EML369" s="15"/>
      <c r="EMM369" s="15"/>
      <c r="EMN369" s="15"/>
      <c r="EMO369" s="15"/>
      <c r="EMP369" s="10"/>
      <c r="EMQ369" s="10"/>
      <c r="EMR369" s="21"/>
      <c r="EMS369" s="21"/>
      <c r="EMV369" s="21"/>
      <c r="EMW369" s="15"/>
      <c r="EMX369" s="15"/>
      <c r="EMY369" s="15"/>
      <c r="EMZ369" s="15"/>
      <c r="ENA369" s="15"/>
      <c r="ENB369" s="15"/>
      <c r="ENC369" s="15"/>
      <c r="END369" s="15"/>
      <c r="ENE369" s="15"/>
      <c r="ENF369" s="15"/>
      <c r="ENG369" s="10"/>
      <c r="ENH369" s="10"/>
      <c r="ENI369" s="21"/>
      <c r="ENJ369" s="21"/>
      <c r="ENM369" s="21"/>
      <c r="ENN369" s="15"/>
      <c r="ENO369" s="15"/>
      <c r="ENP369" s="15"/>
      <c r="ENQ369" s="15"/>
      <c r="ENR369" s="15"/>
      <c r="ENS369" s="15"/>
      <c r="ENT369" s="15"/>
      <c r="ENU369" s="15"/>
      <c r="ENV369" s="15"/>
      <c r="ENW369" s="15"/>
      <c r="ENX369" s="10"/>
      <c r="ENY369" s="10"/>
      <c r="ENZ369" s="21"/>
      <c r="EOA369" s="21"/>
      <c r="EOD369" s="21"/>
      <c r="EOE369" s="15"/>
      <c r="EOF369" s="15"/>
      <c r="EOG369" s="15"/>
      <c r="EOH369" s="15"/>
      <c r="EOI369" s="15"/>
      <c r="EOJ369" s="15"/>
      <c r="EOK369" s="15"/>
      <c r="EOL369" s="15"/>
      <c r="EOM369" s="15"/>
      <c r="EON369" s="15"/>
      <c r="EOO369" s="10"/>
      <c r="EOP369" s="10"/>
      <c r="EOQ369" s="21"/>
      <c r="EOR369" s="21"/>
      <c r="EOU369" s="21"/>
      <c r="EOV369" s="15"/>
      <c r="EOW369" s="15"/>
      <c r="EOX369" s="15"/>
      <c r="EOY369" s="15"/>
      <c r="EOZ369" s="15"/>
      <c r="EPA369" s="15"/>
      <c r="EPB369" s="15"/>
      <c r="EPC369" s="15"/>
      <c r="EPD369" s="15"/>
      <c r="EPE369" s="15"/>
      <c r="EPF369" s="10"/>
      <c r="EPG369" s="10"/>
      <c r="EPH369" s="21"/>
      <c r="EPI369" s="21"/>
      <c r="EPL369" s="21"/>
      <c r="EPM369" s="15"/>
      <c r="EPN369" s="15"/>
      <c r="EPO369" s="15"/>
      <c r="EPP369" s="15"/>
      <c r="EPQ369" s="15"/>
      <c r="EPR369" s="15"/>
      <c r="EPS369" s="15"/>
      <c r="EPT369" s="15"/>
      <c r="EPU369" s="15"/>
      <c r="EPV369" s="15"/>
      <c r="EPW369" s="10"/>
      <c r="EPX369" s="10"/>
      <c r="EPY369" s="21"/>
      <c r="EPZ369" s="21"/>
      <c r="EQC369" s="21"/>
      <c r="EQD369" s="15"/>
      <c r="EQE369" s="15"/>
      <c r="EQF369" s="15"/>
      <c r="EQG369" s="15"/>
      <c r="EQH369" s="15"/>
      <c r="EQI369" s="15"/>
      <c r="EQJ369" s="15"/>
      <c r="EQK369" s="15"/>
      <c r="EQL369" s="15"/>
      <c r="EQM369" s="15"/>
      <c r="EQN369" s="10"/>
      <c r="EQO369" s="10"/>
      <c r="EQP369" s="21"/>
      <c r="EQQ369" s="21"/>
      <c r="EQT369" s="21"/>
      <c r="EQU369" s="15"/>
      <c r="EQV369" s="15"/>
      <c r="EQW369" s="15"/>
      <c r="EQX369" s="15"/>
      <c r="EQY369" s="15"/>
      <c r="EQZ369" s="15"/>
      <c r="ERA369" s="15"/>
      <c r="ERB369" s="15"/>
      <c r="ERC369" s="15"/>
      <c r="ERD369" s="15"/>
      <c r="ERE369" s="10"/>
      <c r="ERF369" s="10"/>
      <c r="ERG369" s="21"/>
      <c r="ERH369" s="21"/>
      <c r="ERK369" s="21"/>
      <c r="ERL369" s="15"/>
      <c r="ERM369" s="15"/>
      <c r="ERN369" s="15"/>
      <c r="ERO369" s="15"/>
      <c r="ERP369" s="15"/>
      <c r="ERQ369" s="15"/>
      <c r="ERR369" s="15"/>
      <c r="ERS369" s="15"/>
      <c r="ERT369" s="15"/>
      <c r="ERU369" s="15"/>
      <c r="ERV369" s="10"/>
      <c r="ERW369" s="10"/>
      <c r="ERX369" s="21"/>
      <c r="ERY369" s="21"/>
      <c r="ESB369" s="21"/>
      <c r="ESC369" s="15"/>
      <c r="ESD369" s="15"/>
      <c r="ESE369" s="15"/>
      <c r="ESF369" s="15"/>
      <c r="ESG369" s="15"/>
      <c r="ESH369" s="15"/>
      <c r="ESI369" s="15"/>
      <c r="ESJ369" s="15"/>
      <c r="ESK369" s="15"/>
      <c r="ESL369" s="15"/>
      <c r="ESM369" s="10"/>
      <c r="ESN369" s="10"/>
      <c r="ESO369" s="21"/>
      <c r="ESP369" s="21"/>
      <c r="ESS369" s="21"/>
      <c r="EST369" s="15"/>
      <c r="ESU369" s="15"/>
      <c r="ESV369" s="15"/>
      <c r="ESW369" s="15"/>
      <c r="ESX369" s="15"/>
      <c r="ESY369" s="15"/>
      <c r="ESZ369" s="15"/>
      <c r="ETA369" s="15"/>
      <c r="ETB369" s="15"/>
      <c r="ETC369" s="15"/>
      <c r="ETD369" s="10"/>
      <c r="ETE369" s="10"/>
      <c r="ETF369" s="21"/>
      <c r="ETG369" s="21"/>
      <c r="ETJ369" s="21"/>
      <c r="ETK369" s="15"/>
      <c r="ETL369" s="15"/>
      <c r="ETM369" s="15"/>
      <c r="ETN369" s="15"/>
      <c r="ETO369" s="15"/>
      <c r="ETP369" s="15"/>
      <c r="ETQ369" s="15"/>
      <c r="ETR369" s="15"/>
      <c r="ETS369" s="15"/>
      <c r="ETT369" s="15"/>
      <c r="ETU369" s="10"/>
      <c r="ETV369" s="10"/>
      <c r="ETW369" s="21"/>
      <c r="ETX369" s="21"/>
      <c r="EUA369" s="21"/>
      <c r="EUB369" s="15"/>
      <c r="EUC369" s="15"/>
      <c r="EUD369" s="15"/>
      <c r="EUE369" s="15"/>
      <c r="EUF369" s="15"/>
      <c r="EUG369" s="15"/>
      <c r="EUH369" s="15"/>
      <c r="EUI369" s="15"/>
      <c r="EUJ369" s="15"/>
      <c r="EUK369" s="15"/>
      <c r="EUL369" s="10"/>
      <c r="EUM369" s="10"/>
      <c r="EUN369" s="21"/>
      <c r="EUO369" s="21"/>
      <c r="EUR369" s="21"/>
      <c r="EUS369" s="15"/>
      <c r="EUT369" s="15"/>
      <c r="EUU369" s="15"/>
      <c r="EUV369" s="15"/>
      <c r="EUW369" s="15"/>
      <c r="EUX369" s="15"/>
      <c r="EUY369" s="15"/>
      <c r="EUZ369" s="15"/>
      <c r="EVA369" s="15"/>
      <c r="EVB369" s="15"/>
      <c r="EVC369" s="10"/>
      <c r="EVD369" s="10"/>
      <c r="EVE369" s="21"/>
      <c r="EVF369" s="21"/>
      <c r="EVI369" s="21"/>
      <c r="EVJ369" s="15"/>
      <c r="EVK369" s="15"/>
      <c r="EVL369" s="15"/>
      <c r="EVM369" s="15"/>
      <c r="EVN369" s="15"/>
      <c r="EVO369" s="15"/>
      <c r="EVP369" s="15"/>
      <c r="EVQ369" s="15"/>
      <c r="EVR369" s="15"/>
      <c r="EVS369" s="15"/>
      <c r="EVT369" s="10"/>
      <c r="EVU369" s="10"/>
      <c r="EVV369" s="21"/>
      <c r="EVW369" s="21"/>
      <c r="EVZ369" s="21"/>
      <c r="EWA369" s="15"/>
      <c r="EWB369" s="15"/>
      <c r="EWC369" s="15"/>
      <c r="EWD369" s="15"/>
      <c r="EWE369" s="15"/>
      <c r="EWF369" s="15"/>
      <c r="EWG369" s="15"/>
      <c r="EWH369" s="15"/>
      <c r="EWI369" s="15"/>
      <c r="EWJ369" s="15"/>
      <c r="EWK369" s="10"/>
      <c r="EWL369" s="10"/>
      <c r="EWM369" s="21"/>
      <c r="EWN369" s="21"/>
      <c r="EWQ369" s="21"/>
      <c r="EWR369" s="15"/>
      <c r="EWS369" s="15"/>
      <c r="EWT369" s="15"/>
      <c r="EWU369" s="15"/>
      <c r="EWV369" s="15"/>
      <c r="EWW369" s="15"/>
      <c r="EWX369" s="15"/>
      <c r="EWY369" s="15"/>
      <c r="EWZ369" s="15"/>
      <c r="EXA369" s="15"/>
      <c r="EXB369" s="10"/>
      <c r="EXC369" s="10"/>
      <c r="EXD369" s="21"/>
      <c r="EXE369" s="21"/>
      <c r="EXH369" s="21"/>
      <c r="EXI369" s="15"/>
      <c r="EXJ369" s="15"/>
      <c r="EXK369" s="15"/>
      <c r="EXL369" s="15"/>
      <c r="EXM369" s="15"/>
      <c r="EXN369" s="15"/>
      <c r="EXO369" s="15"/>
      <c r="EXP369" s="15"/>
      <c r="EXQ369" s="15"/>
      <c r="EXR369" s="15"/>
      <c r="EXS369" s="10"/>
      <c r="EXT369" s="10"/>
      <c r="EXU369" s="21"/>
      <c r="EXV369" s="21"/>
      <c r="EXY369" s="21"/>
      <c r="EXZ369" s="15"/>
      <c r="EYA369" s="15"/>
      <c r="EYB369" s="15"/>
      <c r="EYC369" s="15"/>
      <c r="EYD369" s="15"/>
      <c r="EYE369" s="15"/>
      <c r="EYF369" s="15"/>
      <c r="EYG369" s="15"/>
      <c r="EYH369" s="15"/>
      <c r="EYI369" s="15"/>
      <c r="EYJ369" s="10"/>
      <c r="EYK369" s="10"/>
      <c r="EYL369" s="21"/>
      <c r="EYM369" s="21"/>
      <c r="EYP369" s="21"/>
      <c r="EYQ369" s="15"/>
      <c r="EYR369" s="15"/>
      <c r="EYS369" s="15"/>
      <c r="EYT369" s="15"/>
      <c r="EYU369" s="15"/>
      <c r="EYV369" s="15"/>
      <c r="EYW369" s="15"/>
      <c r="EYX369" s="15"/>
      <c r="EYY369" s="15"/>
      <c r="EYZ369" s="15"/>
      <c r="EZA369" s="10"/>
      <c r="EZB369" s="10"/>
      <c r="EZC369" s="21"/>
      <c r="EZD369" s="21"/>
      <c r="EZG369" s="21"/>
      <c r="EZH369" s="15"/>
      <c r="EZI369" s="15"/>
      <c r="EZJ369" s="15"/>
      <c r="EZK369" s="15"/>
      <c r="EZL369" s="15"/>
      <c r="EZM369" s="15"/>
      <c r="EZN369" s="15"/>
      <c r="EZO369" s="15"/>
      <c r="EZP369" s="15"/>
      <c r="EZQ369" s="15"/>
      <c r="EZR369" s="10"/>
      <c r="EZS369" s="10"/>
      <c r="EZT369" s="21"/>
      <c r="EZU369" s="21"/>
      <c r="EZX369" s="21"/>
      <c r="EZY369" s="15"/>
      <c r="EZZ369" s="15"/>
      <c r="FAA369" s="15"/>
      <c r="FAB369" s="15"/>
      <c r="FAC369" s="15"/>
      <c r="FAD369" s="15"/>
      <c r="FAE369" s="15"/>
      <c r="FAF369" s="15"/>
      <c r="FAG369" s="15"/>
      <c r="FAH369" s="15"/>
      <c r="FAI369" s="10"/>
      <c r="FAJ369" s="10"/>
      <c r="FAK369" s="21"/>
      <c r="FAL369" s="21"/>
      <c r="FAO369" s="21"/>
      <c r="FAP369" s="15"/>
      <c r="FAQ369" s="15"/>
      <c r="FAR369" s="15"/>
      <c r="FAS369" s="15"/>
      <c r="FAT369" s="15"/>
      <c r="FAU369" s="15"/>
      <c r="FAV369" s="15"/>
      <c r="FAW369" s="15"/>
      <c r="FAX369" s="15"/>
      <c r="FAY369" s="15"/>
      <c r="FAZ369" s="10"/>
      <c r="FBA369" s="10"/>
      <c r="FBB369" s="21"/>
      <c r="FBC369" s="21"/>
      <c r="FBF369" s="21"/>
      <c r="FBG369" s="15"/>
      <c r="FBH369" s="15"/>
      <c r="FBI369" s="15"/>
      <c r="FBJ369" s="15"/>
      <c r="FBK369" s="15"/>
      <c r="FBL369" s="15"/>
      <c r="FBM369" s="15"/>
      <c r="FBN369" s="15"/>
      <c r="FBO369" s="15"/>
      <c r="FBP369" s="15"/>
      <c r="FBQ369" s="10"/>
      <c r="FBR369" s="10"/>
      <c r="FBS369" s="21"/>
      <c r="FBT369" s="21"/>
      <c r="FBW369" s="21"/>
      <c r="FBX369" s="15"/>
      <c r="FBY369" s="15"/>
      <c r="FBZ369" s="15"/>
      <c r="FCA369" s="15"/>
      <c r="FCB369" s="15"/>
      <c r="FCC369" s="15"/>
      <c r="FCD369" s="15"/>
      <c r="FCE369" s="15"/>
      <c r="FCF369" s="15"/>
      <c r="FCG369" s="15"/>
      <c r="FCH369" s="10"/>
      <c r="FCI369" s="10"/>
      <c r="FCJ369" s="21"/>
      <c r="FCK369" s="21"/>
      <c r="FCN369" s="21"/>
      <c r="FCO369" s="15"/>
      <c r="FCP369" s="15"/>
      <c r="FCQ369" s="15"/>
      <c r="FCR369" s="15"/>
      <c r="FCS369" s="15"/>
      <c r="FCT369" s="15"/>
      <c r="FCU369" s="15"/>
      <c r="FCV369" s="15"/>
      <c r="FCW369" s="15"/>
      <c r="FCX369" s="15"/>
      <c r="FCY369" s="10"/>
      <c r="FCZ369" s="10"/>
      <c r="FDA369" s="21"/>
      <c r="FDB369" s="21"/>
      <c r="FDE369" s="21"/>
      <c r="FDF369" s="15"/>
      <c r="FDG369" s="15"/>
      <c r="FDH369" s="15"/>
      <c r="FDI369" s="15"/>
      <c r="FDJ369" s="15"/>
      <c r="FDK369" s="15"/>
      <c r="FDL369" s="15"/>
      <c r="FDM369" s="15"/>
      <c r="FDN369" s="15"/>
      <c r="FDO369" s="15"/>
      <c r="FDP369" s="10"/>
      <c r="FDQ369" s="10"/>
      <c r="FDR369" s="21"/>
      <c r="FDS369" s="21"/>
      <c r="FDV369" s="21"/>
      <c r="FDW369" s="15"/>
      <c r="FDX369" s="15"/>
      <c r="FDY369" s="15"/>
      <c r="FDZ369" s="15"/>
      <c r="FEA369" s="15"/>
      <c r="FEB369" s="15"/>
      <c r="FEC369" s="15"/>
      <c r="FED369" s="15"/>
      <c r="FEE369" s="15"/>
      <c r="FEF369" s="15"/>
      <c r="FEG369" s="10"/>
      <c r="FEH369" s="10"/>
      <c r="FEI369" s="21"/>
      <c r="FEJ369" s="21"/>
      <c r="FEM369" s="21"/>
      <c r="FEN369" s="15"/>
      <c r="FEO369" s="15"/>
      <c r="FEP369" s="15"/>
      <c r="FEQ369" s="15"/>
      <c r="FER369" s="15"/>
      <c r="FES369" s="15"/>
      <c r="FET369" s="15"/>
      <c r="FEU369" s="15"/>
      <c r="FEV369" s="15"/>
      <c r="FEW369" s="15"/>
      <c r="FEX369" s="10"/>
      <c r="FEY369" s="10"/>
      <c r="FEZ369" s="21"/>
      <c r="FFA369" s="21"/>
      <c r="FFD369" s="21"/>
      <c r="FFE369" s="15"/>
      <c r="FFF369" s="15"/>
      <c r="FFG369" s="15"/>
      <c r="FFH369" s="15"/>
      <c r="FFI369" s="15"/>
      <c r="FFJ369" s="15"/>
      <c r="FFK369" s="15"/>
      <c r="FFL369" s="15"/>
      <c r="FFM369" s="15"/>
      <c r="FFN369" s="15"/>
      <c r="FFO369" s="10"/>
      <c r="FFP369" s="10"/>
      <c r="FFQ369" s="21"/>
      <c r="FFR369" s="21"/>
      <c r="FFU369" s="21"/>
      <c r="FFV369" s="15"/>
      <c r="FFW369" s="15"/>
      <c r="FFX369" s="15"/>
      <c r="FFY369" s="15"/>
      <c r="FFZ369" s="15"/>
      <c r="FGA369" s="15"/>
      <c r="FGB369" s="15"/>
      <c r="FGC369" s="15"/>
      <c r="FGD369" s="15"/>
      <c r="FGE369" s="15"/>
      <c r="FGF369" s="10"/>
      <c r="FGG369" s="10"/>
      <c r="FGH369" s="21"/>
      <c r="FGI369" s="21"/>
      <c r="FGL369" s="21"/>
      <c r="FGM369" s="15"/>
      <c r="FGN369" s="15"/>
      <c r="FGO369" s="15"/>
      <c r="FGP369" s="15"/>
      <c r="FGQ369" s="15"/>
      <c r="FGR369" s="15"/>
      <c r="FGS369" s="15"/>
      <c r="FGT369" s="15"/>
      <c r="FGU369" s="15"/>
      <c r="FGV369" s="15"/>
      <c r="FGW369" s="10"/>
      <c r="FGX369" s="10"/>
      <c r="FGY369" s="21"/>
      <c r="FGZ369" s="21"/>
      <c r="FHC369" s="21"/>
      <c r="FHD369" s="15"/>
      <c r="FHE369" s="15"/>
      <c r="FHF369" s="15"/>
      <c r="FHG369" s="15"/>
      <c r="FHH369" s="15"/>
      <c r="FHI369" s="15"/>
      <c r="FHJ369" s="15"/>
      <c r="FHK369" s="15"/>
      <c r="FHL369" s="15"/>
      <c r="FHM369" s="15"/>
      <c r="FHN369" s="10"/>
      <c r="FHO369" s="10"/>
      <c r="FHP369" s="21"/>
      <c r="FHQ369" s="21"/>
      <c r="FHT369" s="21"/>
      <c r="FHU369" s="15"/>
      <c r="FHV369" s="15"/>
      <c r="FHW369" s="15"/>
      <c r="FHX369" s="15"/>
      <c r="FHY369" s="15"/>
      <c r="FHZ369" s="15"/>
      <c r="FIA369" s="15"/>
      <c r="FIB369" s="15"/>
      <c r="FIC369" s="15"/>
      <c r="FID369" s="15"/>
      <c r="FIE369" s="10"/>
      <c r="FIF369" s="10"/>
      <c r="FIG369" s="21"/>
      <c r="FIH369" s="21"/>
      <c r="FIK369" s="21"/>
      <c r="FIL369" s="15"/>
      <c r="FIM369" s="15"/>
      <c r="FIN369" s="15"/>
      <c r="FIO369" s="15"/>
      <c r="FIP369" s="15"/>
      <c r="FIQ369" s="15"/>
      <c r="FIR369" s="15"/>
      <c r="FIS369" s="15"/>
      <c r="FIT369" s="15"/>
      <c r="FIU369" s="15"/>
      <c r="FIV369" s="10"/>
      <c r="FIW369" s="10"/>
      <c r="FIX369" s="21"/>
      <c r="FIY369" s="21"/>
      <c r="FJB369" s="21"/>
      <c r="FJC369" s="15"/>
      <c r="FJD369" s="15"/>
      <c r="FJE369" s="15"/>
      <c r="FJF369" s="15"/>
      <c r="FJG369" s="15"/>
      <c r="FJH369" s="15"/>
      <c r="FJI369" s="15"/>
      <c r="FJJ369" s="15"/>
      <c r="FJK369" s="15"/>
      <c r="FJL369" s="15"/>
      <c r="FJM369" s="10"/>
      <c r="FJN369" s="10"/>
      <c r="FJO369" s="21"/>
      <c r="FJP369" s="21"/>
      <c r="FJS369" s="21"/>
      <c r="FJT369" s="15"/>
      <c r="FJU369" s="15"/>
      <c r="FJV369" s="15"/>
      <c r="FJW369" s="15"/>
      <c r="FJX369" s="15"/>
      <c r="FJY369" s="15"/>
      <c r="FJZ369" s="15"/>
      <c r="FKA369" s="15"/>
      <c r="FKB369" s="15"/>
      <c r="FKC369" s="15"/>
      <c r="FKD369" s="10"/>
      <c r="FKE369" s="10"/>
      <c r="FKF369" s="21"/>
      <c r="FKG369" s="21"/>
      <c r="FKJ369" s="21"/>
      <c r="FKK369" s="15"/>
      <c r="FKL369" s="15"/>
      <c r="FKM369" s="15"/>
      <c r="FKN369" s="15"/>
      <c r="FKO369" s="15"/>
      <c r="FKP369" s="15"/>
      <c r="FKQ369" s="15"/>
      <c r="FKR369" s="15"/>
      <c r="FKS369" s="15"/>
      <c r="FKT369" s="15"/>
      <c r="FKU369" s="10"/>
      <c r="FKV369" s="10"/>
      <c r="FKW369" s="21"/>
      <c r="FKX369" s="21"/>
      <c r="FLA369" s="21"/>
      <c r="FLB369" s="15"/>
      <c r="FLC369" s="15"/>
      <c r="FLD369" s="15"/>
      <c r="FLE369" s="15"/>
      <c r="FLF369" s="15"/>
      <c r="FLG369" s="15"/>
      <c r="FLH369" s="15"/>
      <c r="FLI369" s="15"/>
      <c r="FLJ369" s="15"/>
      <c r="FLK369" s="15"/>
      <c r="FLL369" s="10"/>
      <c r="FLM369" s="10"/>
      <c r="FLN369" s="21"/>
      <c r="FLO369" s="21"/>
      <c r="FLR369" s="21"/>
      <c r="FLS369" s="15"/>
      <c r="FLT369" s="15"/>
      <c r="FLU369" s="15"/>
      <c r="FLV369" s="15"/>
      <c r="FLW369" s="15"/>
      <c r="FLX369" s="15"/>
      <c r="FLY369" s="15"/>
      <c r="FLZ369" s="15"/>
      <c r="FMA369" s="15"/>
      <c r="FMB369" s="15"/>
      <c r="FMC369" s="10"/>
      <c r="FMD369" s="10"/>
      <c r="FME369" s="21"/>
      <c r="FMF369" s="21"/>
      <c r="FMI369" s="21"/>
      <c r="FMJ369" s="15"/>
      <c r="FMK369" s="15"/>
      <c r="FML369" s="15"/>
      <c r="FMM369" s="15"/>
      <c r="FMN369" s="15"/>
      <c r="FMO369" s="15"/>
      <c r="FMP369" s="15"/>
      <c r="FMQ369" s="15"/>
      <c r="FMR369" s="15"/>
      <c r="FMS369" s="15"/>
      <c r="FMT369" s="10"/>
      <c r="FMU369" s="10"/>
      <c r="FMV369" s="21"/>
      <c r="FMW369" s="21"/>
      <c r="FMZ369" s="21"/>
      <c r="FNA369" s="15"/>
      <c r="FNB369" s="15"/>
      <c r="FNC369" s="15"/>
      <c r="FND369" s="15"/>
      <c r="FNE369" s="15"/>
      <c r="FNF369" s="15"/>
      <c r="FNG369" s="15"/>
      <c r="FNH369" s="15"/>
      <c r="FNI369" s="15"/>
      <c r="FNJ369" s="15"/>
      <c r="FNK369" s="10"/>
      <c r="FNL369" s="10"/>
      <c r="FNM369" s="21"/>
      <c r="FNN369" s="21"/>
      <c r="FNQ369" s="21"/>
      <c r="FNR369" s="15"/>
      <c r="FNS369" s="15"/>
      <c r="FNT369" s="15"/>
      <c r="FNU369" s="15"/>
      <c r="FNV369" s="15"/>
      <c r="FNW369" s="15"/>
      <c r="FNX369" s="15"/>
      <c r="FNY369" s="15"/>
      <c r="FNZ369" s="15"/>
      <c r="FOA369" s="15"/>
      <c r="FOB369" s="10"/>
      <c r="FOC369" s="10"/>
      <c r="FOD369" s="21"/>
      <c r="FOE369" s="21"/>
      <c r="FOH369" s="21"/>
      <c r="FOI369" s="15"/>
      <c r="FOJ369" s="15"/>
      <c r="FOK369" s="15"/>
      <c r="FOL369" s="15"/>
      <c r="FOM369" s="15"/>
      <c r="FON369" s="15"/>
      <c r="FOO369" s="15"/>
      <c r="FOP369" s="15"/>
      <c r="FOQ369" s="15"/>
      <c r="FOR369" s="15"/>
      <c r="FOS369" s="10"/>
      <c r="FOT369" s="10"/>
      <c r="FOU369" s="21"/>
      <c r="FOV369" s="21"/>
      <c r="FOY369" s="21"/>
      <c r="FOZ369" s="15"/>
      <c r="FPA369" s="15"/>
      <c r="FPB369" s="15"/>
      <c r="FPC369" s="15"/>
      <c r="FPD369" s="15"/>
      <c r="FPE369" s="15"/>
      <c r="FPF369" s="15"/>
      <c r="FPG369" s="15"/>
      <c r="FPH369" s="15"/>
      <c r="FPI369" s="15"/>
      <c r="FPJ369" s="10"/>
      <c r="FPK369" s="10"/>
      <c r="FPL369" s="21"/>
      <c r="FPM369" s="21"/>
      <c r="FPP369" s="21"/>
      <c r="FPQ369" s="15"/>
      <c r="FPR369" s="15"/>
      <c r="FPS369" s="15"/>
      <c r="FPT369" s="15"/>
      <c r="FPU369" s="15"/>
      <c r="FPV369" s="15"/>
      <c r="FPW369" s="15"/>
      <c r="FPX369" s="15"/>
      <c r="FPY369" s="15"/>
      <c r="FPZ369" s="15"/>
      <c r="FQA369" s="10"/>
      <c r="FQB369" s="10"/>
      <c r="FQC369" s="21"/>
      <c r="FQD369" s="21"/>
      <c r="FQG369" s="21"/>
      <c r="FQH369" s="15"/>
      <c r="FQI369" s="15"/>
      <c r="FQJ369" s="15"/>
      <c r="FQK369" s="15"/>
      <c r="FQL369" s="15"/>
      <c r="FQM369" s="15"/>
      <c r="FQN369" s="15"/>
      <c r="FQO369" s="15"/>
      <c r="FQP369" s="15"/>
      <c r="FQQ369" s="15"/>
      <c r="FQR369" s="10"/>
      <c r="FQS369" s="10"/>
      <c r="FQT369" s="21"/>
      <c r="FQU369" s="21"/>
      <c r="FQX369" s="21"/>
      <c r="FQY369" s="15"/>
      <c r="FQZ369" s="15"/>
      <c r="FRA369" s="15"/>
      <c r="FRB369" s="15"/>
      <c r="FRC369" s="15"/>
      <c r="FRD369" s="15"/>
      <c r="FRE369" s="15"/>
      <c r="FRF369" s="15"/>
      <c r="FRG369" s="15"/>
      <c r="FRH369" s="15"/>
      <c r="FRI369" s="10"/>
      <c r="FRJ369" s="10"/>
      <c r="FRK369" s="21"/>
      <c r="FRL369" s="21"/>
      <c r="FRO369" s="21"/>
      <c r="FRP369" s="15"/>
      <c r="FRQ369" s="15"/>
      <c r="FRR369" s="15"/>
      <c r="FRS369" s="15"/>
      <c r="FRT369" s="15"/>
      <c r="FRU369" s="15"/>
      <c r="FRV369" s="15"/>
      <c r="FRW369" s="15"/>
      <c r="FRX369" s="15"/>
      <c r="FRY369" s="15"/>
      <c r="FRZ369" s="10"/>
      <c r="FSA369" s="10"/>
      <c r="FSB369" s="21"/>
      <c r="FSC369" s="21"/>
      <c r="FSF369" s="21"/>
      <c r="FSG369" s="15"/>
      <c r="FSH369" s="15"/>
      <c r="FSI369" s="15"/>
      <c r="FSJ369" s="15"/>
      <c r="FSK369" s="15"/>
      <c r="FSL369" s="15"/>
      <c r="FSM369" s="15"/>
      <c r="FSN369" s="15"/>
      <c r="FSO369" s="15"/>
      <c r="FSP369" s="15"/>
      <c r="FSQ369" s="10"/>
      <c r="FSR369" s="10"/>
      <c r="FSS369" s="21"/>
      <c r="FST369" s="21"/>
      <c r="FSW369" s="21"/>
      <c r="FSX369" s="15"/>
      <c r="FSY369" s="15"/>
      <c r="FSZ369" s="15"/>
      <c r="FTA369" s="15"/>
      <c r="FTB369" s="15"/>
      <c r="FTC369" s="15"/>
      <c r="FTD369" s="15"/>
      <c r="FTE369" s="15"/>
      <c r="FTF369" s="15"/>
      <c r="FTG369" s="15"/>
      <c r="FTH369" s="10"/>
      <c r="FTI369" s="10"/>
      <c r="FTJ369" s="21"/>
      <c r="FTK369" s="21"/>
      <c r="FTN369" s="21"/>
      <c r="FTO369" s="15"/>
      <c r="FTP369" s="15"/>
      <c r="FTQ369" s="15"/>
      <c r="FTR369" s="15"/>
      <c r="FTS369" s="15"/>
      <c r="FTT369" s="15"/>
      <c r="FTU369" s="15"/>
      <c r="FTV369" s="15"/>
      <c r="FTW369" s="15"/>
      <c r="FTX369" s="15"/>
      <c r="FTY369" s="10"/>
      <c r="FTZ369" s="10"/>
      <c r="FUA369" s="21"/>
      <c r="FUB369" s="21"/>
      <c r="FUE369" s="21"/>
      <c r="FUF369" s="15"/>
      <c r="FUG369" s="15"/>
      <c r="FUH369" s="15"/>
      <c r="FUI369" s="15"/>
      <c r="FUJ369" s="15"/>
      <c r="FUK369" s="15"/>
      <c r="FUL369" s="15"/>
      <c r="FUM369" s="15"/>
      <c r="FUN369" s="15"/>
      <c r="FUO369" s="15"/>
      <c r="FUP369" s="10"/>
      <c r="FUQ369" s="10"/>
      <c r="FUR369" s="21"/>
      <c r="FUS369" s="21"/>
      <c r="FUV369" s="21"/>
      <c r="FUW369" s="15"/>
      <c r="FUX369" s="15"/>
      <c r="FUY369" s="15"/>
      <c r="FUZ369" s="15"/>
      <c r="FVA369" s="15"/>
      <c r="FVB369" s="15"/>
      <c r="FVC369" s="15"/>
      <c r="FVD369" s="15"/>
      <c r="FVE369" s="15"/>
      <c r="FVF369" s="15"/>
      <c r="FVG369" s="10"/>
      <c r="FVH369" s="10"/>
      <c r="FVI369" s="21"/>
      <c r="FVJ369" s="21"/>
      <c r="FVM369" s="21"/>
      <c r="FVN369" s="15"/>
      <c r="FVO369" s="15"/>
      <c r="FVP369" s="15"/>
      <c r="FVQ369" s="15"/>
      <c r="FVR369" s="15"/>
      <c r="FVS369" s="15"/>
      <c r="FVT369" s="15"/>
      <c r="FVU369" s="15"/>
      <c r="FVV369" s="15"/>
      <c r="FVW369" s="15"/>
      <c r="FVX369" s="10"/>
      <c r="FVY369" s="10"/>
      <c r="FVZ369" s="21"/>
      <c r="FWA369" s="21"/>
      <c r="FWD369" s="21"/>
      <c r="FWE369" s="15"/>
      <c r="FWF369" s="15"/>
      <c r="FWG369" s="15"/>
      <c r="FWH369" s="15"/>
      <c r="FWI369" s="15"/>
      <c r="FWJ369" s="15"/>
      <c r="FWK369" s="15"/>
      <c r="FWL369" s="15"/>
      <c r="FWM369" s="15"/>
      <c r="FWN369" s="15"/>
      <c r="FWO369" s="10"/>
      <c r="FWP369" s="10"/>
      <c r="FWQ369" s="21"/>
      <c r="FWR369" s="21"/>
      <c r="FWU369" s="21"/>
      <c r="FWV369" s="15"/>
      <c r="FWW369" s="15"/>
      <c r="FWX369" s="15"/>
      <c r="FWY369" s="15"/>
      <c r="FWZ369" s="15"/>
      <c r="FXA369" s="15"/>
      <c r="FXB369" s="15"/>
      <c r="FXC369" s="15"/>
      <c r="FXD369" s="15"/>
      <c r="FXE369" s="15"/>
      <c r="FXF369" s="10"/>
      <c r="FXG369" s="10"/>
      <c r="FXH369" s="21"/>
      <c r="FXI369" s="21"/>
      <c r="FXL369" s="21"/>
      <c r="FXM369" s="15"/>
      <c r="FXN369" s="15"/>
      <c r="FXO369" s="15"/>
      <c r="FXP369" s="15"/>
      <c r="FXQ369" s="15"/>
      <c r="FXR369" s="15"/>
      <c r="FXS369" s="15"/>
      <c r="FXT369" s="15"/>
      <c r="FXU369" s="15"/>
      <c r="FXV369" s="15"/>
      <c r="FXW369" s="10"/>
      <c r="FXX369" s="10"/>
      <c r="FXY369" s="21"/>
      <c r="FXZ369" s="21"/>
      <c r="FYC369" s="21"/>
      <c r="FYD369" s="15"/>
      <c r="FYE369" s="15"/>
      <c r="FYF369" s="15"/>
      <c r="FYG369" s="15"/>
      <c r="FYH369" s="15"/>
      <c r="FYI369" s="15"/>
      <c r="FYJ369" s="15"/>
      <c r="FYK369" s="15"/>
      <c r="FYL369" s="15"/>
      <c r="FYM369" s="15"/>
      <c r="FYN369" s="10"/>
      <c r="FYO369" s="10"/>
      <c r="FYP369" s="21"/>
      <c r="FYQ369" s="21"/>
      <c r="FYT369" s="21"/>
      <c r="FYU369" s="15"/>
      <c r="FYV369" s="15"/>
      <c r="FYW369" s="15"/>
      <c r="FYX369" s="15"/>
      <c r="FYY369" s="15"/>
      <c r="FYZ369" s="15"/>
      <c r="FZA369" s="15"/>
      <c r="FZB369" s="15"/>
      <c r="FZC369" s="15"/>
      <c r="FZD369" s="15"/>
      <c r="FZE369" s="10"/>
      <c r="FZF369" s="10"/>
      <c r="FZG369" s="21"/>
      <c r="FZH369" s="21"/>
      <c r="FZK369" s="21"/>
      <c r="FZL369" s="15"/>
      <c r="FZM369" s="15"/>
      <c r="FZN369" s="15"/>
      <c r="FZO369" s="15"/>
      <c r="FZP369" s="15"/>
      <c r="FZQ369" s="15"/>
      <c r="FZR369" s="15"/>
      <c r="FZS369" s="15"/>
      <c r="FZT369" s="15"/>
      <c r="FZU369" s="15"/>
      <c r="FZV369" s="10"/>
      <c r="FZW369" s="10"/>
      <c r="FZX369" s="21"/>
      <c r="FZY369" s="21"/>
      <c r="GAB369" s="21"/>
      <c r="GAC369" s="15"/>
      <c r="GAD369" s="15"/>
      <c r="GAE369" s="15"/>
      <c r="GAF369" s="15"/>
      <c r="GAG369" s="15"/>
      <c r="GAH369" s="15"/>
      <c r="GAI369" s="15"/>
      <c r="GAJ369" s="15"/>
      <c r="GAK369" s="15"/>
      <c r="GAL369" s="15"/>
      <c r="GAM369" s="10"/>
      <c r="GAN369" s="10"/>
      <c r="GAO369" s="21"/>
      <c r="GAP369" s="21"/>
      <c r="GAS369" s="21"/>
      <c r="GAT369" s="15"/>
      <c r="GAU369" s="15"/>
      <c r="GAV369" s="15"/>
      <c r="GAW369" s="15"/>
      <c r="GAX369" s="15"/>
      <c r="GAY369" s="15"/>
      <c r="GAZ369" s="15"/>
      <c r="GBA369" s="15"/>
      <c r="GBB369" s="15"/>
      <c r="GBC369" s="15"/>
      <c r="GBD369" s="10"/>
      <c r="GBE369" s="10"/>
      <c r="GBF369" s="21"/>
      <c r="GBG369" s="21"/>
      <c r="GBJ369" s="21"/>
      <c r="GBK369" s="15"/>
      <c r="GBL369" s="15"/>
      <c r="GBM369" s="15"/>
      <c r="GBN369" s="15"/>
      <c r="GBO369" s="15"/>
      <c r="GBP369" s="15"/>
      <c r="GBQ369" s="15"/>
      <c r="GBR369" s="15"/>
      <c r="GBS369" s="15"/>
      <c r="GBT369" s="15"/>
      <c r="GBU369" s="10"/>
      <c r="GBV369" s="10"/>
      <c r="GBW369" s="21"/>
      <c r="GBX369" s="21"/>
      <c r="GCA369" s="21"/>
      <c r="GCB369" s="15"/>
      <c r="GCC369" s="15"/>
      <c r="GCD369" s="15"/>
      <c r="GCE369" s="15"/>
      <c r="GCF369" s="15"/>
      <c r="GCG369" s="15"/>
      <c r="GCH369" s="15"/>
      <c r="GCI369" s="15"/>
      <c r="GCJ369" s="15"/>
      <c r="GCK369" s="15"/>
      <c r="GCL369" s="10"/>
      <c r="GCM369" s="10"/>
      <c r="GCN369" s="21"/>
      <c r="GCO369" s="21"/>
      <c r="GCR369" s="21"/>
      <c r="GCS369" s="15"/>
      <c r="GCT369" s="15"/>
      <c r="GCU369" s="15"/>
      <c r="GCV369" s="15"/>
      <c r="GCW369" s="15"/>
      <c r="GCX369" s="15"/>
      <c r="GCY369" s="15"/>
      <c r="GCZ369" s="15"/>
      <c r="GDA369" s="15"/>
      <c r="GDB369" s="15"/>
      <c r="GDC369" s="10"/>
      <c r="GDD369" s="10"/>
      <c r="GDE369" s="21"/>
      <c r="GDF369" s="21"/>
      <c r="GDI369" s="21"/>
      <c r="GDJ369" s="15"/>
      <c r="GDK369" s="15"/>
      <c r="GDL369" s="15"/>
      <c r="GDM369" s="15"/>
      <c r="GDN369" s="15"/>
      <c r="GDO369" s="15"/>
      <c r="GDP369" s="15"/>
      <c r="GDQ369" s="15"/>
      <c r="GDR369" s="15"/>
      <c r="GDS369" s="15"/>
      <c r="GDT369" s="10"/>
      <c r="GDU369" s="10"/>
      <c r="GDV369" s="21"/>
      <c r="GDW369" s="21"/>
      <c r="GDZ369" s="21"/>
      <c r="GEA369" s="15"/>
      <c r="GEB369" s="15"/>
      <c r="GEC369" s="15"/>
      <c r="GED369" s="15"/>
      <c r="GEE369" s="15"/>
      <c r="GEF369" s="15"/>
      <c r="GEG369" s="15"/>
      <c r="GEH369" s="15"/>
      <c r="GEI369" s="15"/>
      <c r="GEJ369" s="15"/>
      <c r="GEK369" s="10"/>
      <c r="GEL369" s="10"/>
      <c r="GEM369" s="21"/>
      <c r="GEN369" s="21"/>
      <c r="GEQ369" s="21"/>
      <c r="GER369" s="15"/>
      <c r="GES369" s="15"/>
      <c r="GET369" s="15"/>
      <c r="GEU369" s="15"/>
      <c r="GEV369" s="15"/>
      <c r="GEW369" s="15"/>
      <c r="GEX369" s="15"/>
      <c r="GEY369" s="15"/>
      <c r="GEZ369" s="15"/>
      <c r="GFA369" s="15"/>
      <c r="GFB369" s="10"/>
      <c r="GFC369" s="10"/>
      <c r="GFD369" s="21"/>
      <c r="GFE369" s="21"/>
      <c r="GFH369" s="21"/>
      <c r="GFI369" s="15"/>
      <c r="GFJ369" s="15"/>
      <c r="GFK369" s="15"/>
      <c r="GFL369" s="15"/>
      <c r="GFM369" s="15"/>
      <c r="GFN369" s="15"/>
      <c r="GFO369" s="15"/>
      <c r="GFP369" s="15"/>
      <c r="GFQ369" s="15"/>
      <c r="GFR369" s="15"/>
      <c r="GFS369" s="10"/>
      <c r="GFT369" s="10"/>
      <c r="GFU369" s="21"/>
      <c r="GFV369" s="21"/>
      <c r="GFY369" s="21"/>
      <c r="GFZ369" s="15"/>
      <c r="GGA369" s="15"/>
      <c r="GGB369" s="15"/>
      <c r="GGC369" s="15"/>
      <c r="GGD369" s="15"/>
      <c r="GGE369" s="15"/>
      <c r="GGF369" s="15"/>
      <c r="GGG369" s="15"/>
      <c r="GGH369" s="15"/>
      <c r="GGI369" s="15"/>
      <c r="GGJ369" s="10"/>
      <c r="GGK369" s="10"/>
      <c r="GGL369" s="21"/>
      <c r="GGM369" s="21"/>
      <c r="GGP369" s="21"/>
      <c r="GGQ369" s="15"/>
      <c r="GGR369" s="15"/>
      <c r="GGS369" s="15"/>
      <c r="GGT369" s="15"/>
      <c r="GGU369" s="15"/>
      <c r="GGV369" s="15"/>
      <c r="GGW369" s="15"/>
      <c r="GGX369" s="15"/>
      <c r="GGY369" s="15"/>
      <c r="GGZ369" s="15"/>
      <c r="GHA369" s="10"/>
      <c r="GHB369" s="10"/>
      <c r="GHC369" s="21"/>
      <c r="GHD369" s="21"/>
      <c r="GHG369" s="21"/>
      <c r="GHH369" s="15"/>
      <c r="GHI369" s="15"/>
      <c r="GHJ369" s="15"/>
      <c r="GHK369" s="15"/>
      <c r="GHL369" s="15"/>
      <c r="GHM369" s="15"/>
      <c r="GHN369" s="15"/>
      <c r="GHO369" s="15"/>
      <c r="GHP369" s="15"/>
      <c r="GHQ369" s="15"/>
      <c r="GHR369" s="10"/>
      <c r="GHS369" s="10"/>
      <c r="GHT369" s="21"/>
      <c r="GHU369" s="21"/>
      <c r="GHX369" s="21"/>
      <c r="GHY369" s="15"/>
      <c r="GHZ369" s="15"/>
      <c r="GIA369" s="15"/>
      <c r="GIB369" s="15"/>
      <c r="GIC369" s="15"/>
      <c r="GID369" s="15"/>
      <c r="GIE369" s="15"/>
      <c r="GIF369" s="15"/>
      <c r="GIG369" s="15"/>
      <c r="GIH369" s="15"/>
      <c r="GII369" s="10"/>
      <c r="GIJ369" s="10"/>
      <c r="GIK369" s="21"/>
      <c r="GIL369" s="21"/>
      <c r="GIO369" s="21"/>
      <c r="GIP369" s="15"/>
      <c r="GIQ369" s="15"/>
      <c r="GIR369" s="15"/>
      <c r="GIS369" s="15"/>
      <c r="GIT369" s="15"/>
      <c r="GIU369" s="15"/>
      <c r="GIV369" s="15"/>
      <c r="GIW369" s="15"/>
      <c r="GIX369" s="15"/>
      <c r="GIY369" s="15"/>
      <c r="GIZ369" s="10"/>
      <c r="GJA369" s="10"/>
      <c r="GJB369" s="21"/>
      <c r="GJC369" s="21"/>
      <c r="GJF369" s="21"/>
      <c r="GJG369" s="15"/>
      <c r="GJH369" s="15"/>
      <c r="GJI369" s="15"/>
      <c r="GJJ369" s="15"/>
      <c r="GJK369" s="15"/>
      <c r="GJL369" s="15"/>
      <c r="GJM369" s="15"/>
      <c r="GJN369" s="15"/>
      <c r="GJO369" s="15"/>
      <c r="GJP369" s="15"/>
      <c r="GJQ369" s="10"/>
      <c r="GJR369" s="10"/>
      <c r="GJS369" s="21"/>
      <c r="GJT369" s="21"/>
      <c r="GJW369" s="21"/>
      <c r="GJX369" s="15"/>
      <c r="GJY369" s="15"/>
      <c r="GJZ369" s="15"/>
      <c r="GKA369" s="15"/>
      <c r="GKB369" s="15"/>
      <c r="GKC369" s="15"/>
      <c r="GKD369" s="15"/>
      <c r="GKE369" s="15"/>
      <c r="GKF369" s="15"/>
      <c r="GKG369" s="15"/>
      <c r="GKH369" s="10"/>
      <c r="GKI369" s="10"/>
      <c r="GKJ369" s="21"/>
      <c r="GKK369" s="21"/>
      <c r="GKN369" s="21"/>
      <c r="GKO369" s="15"/>
      <c r="GKP369" s="15"/>
      <c r="GKQ369" s="15"/>
      <c r="GKR369" s="15"/>
      <c r="GKS369" s="15"/>
      <c r="GKT369" s="15"/>
      <c r="GKU369" s="15"/>
      <c r="GKV369" s="15"/>
      <c r="GKW369" s="15"/>
      <c r="GKX369" s="15"/>
      <c r="GKY369" s="10"/>
      <c r="GKZ369" s="10"/>
      <c r="GLA369" s="21"/>
      <c r="GLB369" s="21"/>
      <c r="GLE369" s="21"/>
      <c r="GLF369" s="15"/>
      <c r="GLG369" s="15"/>
      <c r="GLH369" s="15"/>
      <c r="GLI369" s="15"/>
      <c r="GLJ369" s="15"/>
      <c r="GLK369" s="15"/>
      <c r="GLL369" s="15"/>
      <c r="GLM369" s="15"/>
      <c r="GLN369" s="15"/>
      <c r="GLO369" s="15"/>
      <c r="GLP369" s="10"/>
      <c r="GLQ369" s="10"/>
      <c r="GLR369" s="21"/>
      <c r="GLS369" s="21"/>
      <c r="GLV369" s="21"/>
      <c r="GLW369" s="15"/>
      <c r="GLX369" s="15"/>
      <c r="GLY369" s="15"/>
      <c r="GLZ369" s="15"/>
      <c r="GMA369" s="15"/>
      <c r="GMB369" s="15"/>
      <c r="GMC369" s="15"/>
      <c r="GMD369" s="15"/>
      <c r="GME369" s="15"/>
      <c r="GMF369" s="15"/>
      <c r="GMG369" s="10"/>
      <c r="GMH369" s="10"/>
      <c r="GMI369" s="21"/>
      <c r="GMJ369" s="21"/>
      <c r="GMM369" s="21"/>
      <c r="GMN369" s="15"/>
      <c r="GMO369" s="15"/>
      <c r="GMP369" s="15"/>
      <c r="GMQ369" s="15"/>
      <c r="GMR369" s="15"/>
      <c r="GMS369" s="15"/>
      <c r="GMT369" s="15"/>
      <c r="GMU369" s="15"/>
      <c r="GMV369" s="15"/>
      <c r="GMW369" s="15"/>
      <c r="GMX369" s="10"/>
      <c r="GMY369" s="10"/>
      <c r="GMZ369" s="21"/>
      <c r="GNA369" s="21"/>
      <c r="GND369" s="21"/>
      <c r="GNE369" s="15"/>
      <c r="GNF369" s="15"/>
      <c r="GNG369" s="15"/>
      <c r="GNH369" s="15"/>
      <c r="GNI369" s="15"/>
      <c r="GNJ369" s="15"/>
      <c r="GNK369" s="15"/>
      <c r="GNL369" s="15"/>
      <c r="GNM369" s="15"/>
      <c r="GNN369" s="15"/>
      <c r="GNO369" s="10"/>
      <c r="GNP369" s="10"/>
      <c r="GNQ369" s="21"/>
      <c r="GNR369" s="21"/>
      <c r="GNU369" s="21"/>
      <c r="GNV369" s="15"/>
      <c r="GNW369" s="15"/>
      <c r="GNX369" s="15"/>
      <c r="GNY369" s="15"/>
      <c r="GNZ369" s="15"/>
      <c r="GOA369" s="15"/>
      <c r="GOB369" s="15"/>
      <c r="GOC369" s="15"/>
      <c r="GOD369" s="15"/>
      <c r="GOE369" s="15"/>
      <c r="GOF369" s="10"/>
      <c r="GOG369" s="10"/>
      <c r="GOH369" s="21"/>
      <c r="GOI369" s="21"/>
      <c r="GOL369" s="21"/>
      <c r="GOM369" s="15"/>
      <c r="GON369" s="15"/>
      <c r="GOO369" s="15"/>
      <c r="GOP369" s="15"/>
      <c r="GOQ369" s="15"/>
      <c r="GOR369" s="15"/>
      <c r="GOS369" s="15"/>
      <c r="GOT369" s="15"/>
      <c r="GOU369" s="15"/>
      <c r="GOV369" s="15"/>
      <c r="GOW369" s="10"/>
      <c r="GOX369" s="10"/>
      <c r="GOY369" s="21"/>
      <c r="GOZ369" s="21"/>
      <c r="GPC369" s="21"/>
      <c r="GPD369" s="15"/>
      <c r="GPE369" s="15"/>
      <c r="GPF369" s="15"/>
      <c r="GPG369" s="15"/>
      <c r="GPH369" s="15"/>
      <c r="GPI369" s="15"/>
      <c r="GPJ369" s="15"/>
      <c r="GPK369" s="15"/>
      <c r="GPL369" s="15"/>
      <c r="GPM369" s="15"/>
      <c r="GPN369" s="10"/>
      <c r="GPO369" s="10"/>
      <c r="GPP369" s="21"/>
      <c r="GPQ369" s="21"/>
      <c r="GPT369" s="21"/>
      <c r="GPU369" s="15"/>
      <c r="GPV369" s="15"/>
      <c r="GPW369" s="15"/>
      <c r="GPX369" s="15"/>
      <c r="GPY369" s="15"/>
      <c r="GPZ369" s="15"/>
      <c r="GQA369" s="15"/>
      <c r="GQB369" s="15"/>
      <c r="GQC369" s="15"/>
      <c r="GQD369" s="15"/>
      <c r="GQE369" s="10"/>
      <c r="GQF369" s="10"/>
      <c r="GQG369" s="21"/>
      <c r="GQH369" s="21"/>
      <c r="GQK369" s="21"/>
      <c r="GQL369" s="15"/>
      <c r="GQM369" s="15"/>
      <c r="GQN369" s="15"/>
      <c r="GQO369" s="15"/>
      <c r="GQP369" s="15"/>
      <c r="GQQ369" s="15"/>
      <c r="GQR369" s="15"/>
      <c r="GQS369" s="15"/>
      <c r="GQT369" s="15"/>
      <c r="GQU369" s="15"/>
      <c r="GQV369" s="10"/>
      <c r="GQW369" s="10"/>
      <c r="GQX369" s="21"/>
      <c r="GQY369" s="21"/>
      <c r="GRB369" s="21"/>
      <c r="GRC369" s="15"/>
      <c r="GRD369" s="15"/>
      <c r="GRE369" s="15"/>
      <c r="GRF369" s="15"/>
      <c r="GRG369" s="15"/>
      <c r="GRH369" s="15"/>
      <c r="GRI369" s="15"/>
      <c r="GRJ369" s="15"/>
      <c r="GRK369" s="15"/>
      <c r="GRL369" s="15"/>
      <c r="GRM369" s="10"/>
      <c r="GRN369" s="10"/>
      <c r="GRO369" s="21"/>
      <c r="GRP369" s="21"/>
      <c r="GRS369" s="21"/>
      <c r="GRT369" s="15"/>
      <c r="GRU369" s="15"/>
      <c r="GRV369" s="15"/>
      <c r="GRW369" s="15"/>
      <c r="GRX369" s="15"/>
      <c r="GRY369" s="15"/>
      <c r="GRZ369" s="15"/>
      <c r="GSA369" s="15"/>
      <c r="GSB369" s="15"/>
      <c r="GSC369" s="15"/>
      <c r="GSD369" s="10"/>
      <c r="GSE369" s="10"/>
      <c r="GSF369" s="21"/>
      <c r="GSG369" s="21"/>
      <c r="GSJ369" s="21"/>
      <c r="GSK369" s="15"/>
      <c r="GSL369" s="15"/>
      <c r="GSM369" s="15"/>
      <c r="GSN369" s="15"/>
      <c r="GSO369" s="15"/>
      <c r="GSP369" s="15"/>
      <c r="GSQ369" s="15"/>
      <c r="GSR369" s="15"/>
      <c r="GSS369" s="15"/>
      <c r="GST369" s="15"/>
      <c r="GSU369" s="10"/>
      <c r="GSV369" s="10"/>
      <c r="GSW369" s="21"/>
      <c r="GSX369" s="21"/>
      <c r="GTA369" s="21"/>
      <c r="GTB369" s="15"/>
      <c r="GTC369" s="15"/>
      <c r="GTD369" s="15"/>
      <c r="GTE369" s="15"/>
      <c r="GTF369" s="15"/>
      <c r="GTG369" s="15"/>
      <c r="GTH369" s="15"/>
      <c r="GTI369" s="15"/>
      <c r="GTJ369" s="15"/>
      <c r="GTK369" s="15"/>
      <c r="GTL369" s="10"/>
      <c r="GTM369" s="10"/>
      <c r="GTN369" s="21"/>
      <c r="GTO369" s="21"/>
      <c r="GTR369" s="21"/>
      <c r="GTS369" s="15"/>
      <c r="GTT369" s="15"/>
      <c r="GTU369" s="15"/>
      <c r="GTV369" s="15"/>
      <c r="GTW369" s="15"/>
      <c r="GTX369" s="15"/>
      <c r="GTY369" s="15"/>
      <c r="GTZ369" s="15"/>
      <c r="GUA369" s="15"/>
      <c r="GUB369" s="15"/>
      <c r="GUC369" s="10"/>
      <c r="GUD369" s="10"/>
      <c r="GUE369" s="21"/>
      <c r="GUF369" s="21"/>
      <c r="GUI369" s="21"/>
      <c r="GUJ369" s="15"/>
      <c r="GUK369" s="15"/>
      <c r="GUL369" s="15"/>
      <c r="GUM369" s="15"/>
      <c r="GUN369" s="15"/>
      <c r="GUO369" s="15"/>
      <c r="GUP369" s="15"/>
      <c r="GUQ369" s="15"/>
      <c r="GUR369" s="15"/>
      <c r="GUS369" s="15"/>
      <c r="GUT369" s="10"/>
      <c r="GUU369" s="10"/>
      <c r="GUV369" s="21"/>
      <c r="GUW369" s="21"/>
      <c r="GUZ369" s="21"/>
      <c r="GVA369" s="15"/>
      <c r="GVB369" s="15"/>
      <c r="GVC369" s="15"/>
      <c r="GVD369" s="15"/>
      <c r="GVE369" s="15"/>
      <c r="GVF369" s="15"/>
      <c r="GVG369" s="15"/>
      <c r="GVH369" s="15"/>
      <c r="GVI369" s="15"/>
      <c r="GVJ369" s="15"/>
      <c r="GVK369" s="10"/>
      <c r="GVL369" s="10"/>
      <c r="GVM369" s="21"/>
      <c r="GVN369" s="21"/>
      <c r="GVQ369" s="21"/>
      <c r="GVR369" s="15"/>
      <c r="GVS369" s="15"/>
      <c r="GVT369" s="15"/>
      <c r="GVU369" s="15"/>
      <c r="GVV369" s="15"/>
      <c r="GVW369" s="15"/>
      <c r="GVX369" s="15"/>
      <c r="GVY369" s="15"/>
      <c r="GVZ369" s="15"/>
      <c r="GWA369" s="15"/>
      <c r="GWB369" s="10"/>
      <c r="GWC369" s="10"/>
      <c r="GWD369" s="21"/>
      <c r="GWE369" s="21"/>
      <c r="GWH369" s="21"/>
      <c r="GWI369" s="15"/>
      <c r="GWJ369" s="15"/>
      <c r="GWK369" s="15"/>
      <c r="GWL369" s="15"/>
      <c r="GWM369" s="15"/>
      <c r="GWN369" s="15"/>
      <c r="GWO369" s="15"/>
      <c r="GWP369" s="15"/>
      <c r="GWQ369" s="15"/>
      <c r="GWR369" s="15"/>
      <c r="GWS369" s="10"/>
      <c r="GWT369" s="10"/>
      <c r="GWU369" s="21"/>
      <c r="GWV369" s="21"/>
      <c r="GWY369" s="21"/>
      <c r="GWZ369" s="15"/>
      <c r="GXA369" s="15"/>
      <c r="GXB369" s="15"/>
      <c r="GXC369" s="15"/>
      <c r="GXD369" s="15"/>
      <c r="GXE369" s="15"/>
      <c r="GXF369" s="15"/>
      <c r="GXG369" s="15"/>
      <c r="GXH369" s="15"/>
      <c r="GXI369" s="15"/>
      <c r="GXJ369" s="10"/>
      <c r="GXK369" s="10"/>
      <c r="GXL369" s="21"/>
      <c r="GXM369" s="21"/>
      <c r="GXP369" s="21"/>
      <c r="GXQ369" s="15"/>
      <c r="GXR369" s="15"/>
      <c r="GXS369" s="15"/>
      <c r="GXT369" s="15"/>
      <c r="GXU369" s="15"/>
      <c r="GXV369" s="15"/>
      <c r="GXW369" s="15"/>
      <c r="GXX369" s="15"/>
      <c r="GXY369" s="15"/>
      <c r="GXZ369" s="15"/>
      <c r="GYA369" s="10"/>
      <c r="GYB369" s="10"/>
      <c r="GYC369" s="21"/>
      <c r="GYD369" s="21"/>
      <c r="GYG369" s="21"/>
      <c r="GYH369" s="15"/>
      <c r="GYI369" s="15"/>
      <c r="GYJ369" s="15"/>
      <c r="GYK369" s="15"/>
      <c r="GYL369" s="15"/>
      <c r="GYM369" s="15"/>
      <c r="GYN369" s="15"/>
      <c r="GYO369" s="15"/>
      <c r="GYP369" s="15"/>
      <c r="GYQ369" s="15"/>
      <c r="GYR369" s="10"/>
      <c r="GYS369" s="10"/>
      <c r="GYT369" s="21"/>
      <c r="GYU369" s="21"/>
      <c r="GYX369" s="21"/>
      <c r="GYY369" s="15"/>
      <c r="GYZ369" s="15"/>
      <c r="GZA369" s="15"/>
      <c r="GZB369" s="15"/>
      <c r="GZC369" s="15"/>
      <c r="GZD369" s="15"/>
      <c r="GZE369" s="15"/>
      <c r="GZF369" s="15"/>
      <c r="GZG369" s="15"/>
      <c r="GZH369" s="15"/>
      <c r="GZI369" s="10"/>
      <c r="GZJ369" s="10"/>
      <c r="GZK369" s="21"/>
      <c r="GZL369" s="21"/>
      <c r="GZO369" s="21"/>
      <c r="GZP369" s="15"/>
      <c r="GZQ369" s="15"/>
      <c r="GZR369" s="15"/>
      <c r="GZS369" s="15"/>
      <c r="GZT369" s="15"/>
      <c r="GZU369" s="15"/>
      <c r="GZV369" s="15"/>
      <c r="GZW369" s="15"/>
      <c r="GZX369" s="15"/>
      <c r="GZY369" s="15"/>
      <c r="GZZ369" s="10"/>
      <c r="HAA369" s="10"/>
      <c r="HAB369" s="21"/>
      <c r="HAC369" s="21"/>
      <c r="HAF369" s="21"/>
      <c r="HAG369" s="15"/>
      <c r="HAH369" s="15"/>
      <c r="HAI369" s="15"/>
      <c r="HAJ369" s="15"/>
      <c r="HAK369" s="15"/>
      <c r="HAL369" s="15"/>
      <c r="HAM369" s="15"/>
      <c r="HAN369" s="15"/>
      <c r="HAO369" s="15"/>
      <c r="HAP369" s="15"/>
      <c r="HAQ369" s="10"/>
      <c r="HAR369" s="10"/>
      <c r="HAS369" s="21"/>
      <c r="HAT369" s="21"/>
      <c r="HAW369" s="21"/>
      <c r="HAX369" s="15"/>
      <c r="HAY369" s="15"/>
      <c r="HAZ369" s="15"/>
      <c r="HBA369" s="15"/>
      <c r="HBB369" s="15"/>
      <c r="HBC369" s="15"/>
      <c r="HBD369" s="15"/>
      <c r="HBE369" s="15"/>
      <c r="HBF369" s="15"/>
      <c r="HBG369" s="15"/>
      <c r="HBH369" s="10"/>
      <c r="HBI369" s="10"/>
      <c r="HBJ369" s="21"/>
      <c r="HBK369" s="21"/>
      <c r="HBN369" s="21"/>
      <c r="HBO369" s="15"/>
      <c r="HBP369" s="15"/>
      <c r="HBQ369" s="15"/>
      <c r="HBR369" s="15"/>
      <c r="HBS369" s="15"/>
      <c r="HBT369" s="15"/>
      <c r="HBU369" s="15"/>
      <c r="HBV369" s="15"/>
      <c r="HBW369" s="15"/>
      <c r="HBX369" s="15"/>
      <c r="HBY369" s="10"/>
      <c r="HBZ369" s="10"/>
      <c r="HCA369" s="21"/>
      <c r="HCB369" s="21"/>
      <c r="HCE369" s="21"/>
      <c r="HCF369" s="15"/>
      <c r="HCG369" s="15"/>
      <c r="HCH369" s="15"/>
      <c r="HCI369" s="15"/>
      <c r="HCJ369" s="15"/>
      <c r="HCK369" s="15"/>
      <c r="HCL369" s="15"/>
      <c r="HCM369" s="15"/>
      <c r="HCN369" s="15"/>
      <c r="HCO369" s="15"/>
      <c r="HCP369" s="10"/>
      <c r="HCQ369" s="10"/>
      <c r="HCR369" s="21"/>
      <c r="HCS369" s="21"/>
      <c r="HCV369" s="21"/>
      <c r="HCW369" s="15"/>
      <c r="HCX369" s="15"/>
      <c r="HCY369" s="15"/>
      <c r="HCZ369" s="15"/>
      <c r="HDA369" s="15"/>
      <c r="HDB369" s="15"/>
      <c r="HDC369" s="15"/>
      <c r="HDD369" s="15"/>
      <c r="HDE369" s="15"/>
      <c r="HDF369" s="15"/>
      <c r="HDG369" s="10"/>
      <c r="HDH369" s="10"/>
      <c r="HDI369" s="21"/>
      <c r="HDJ369" s="21"/>
      <c r="HDM369" s="21"/>
      <c r="HDN369" s="15"/>
      <c r="HDO369" s="15"/>
      <c r="HDP369" s="15"/>
      <c r="HDQ369" s="15"/>
      <c r="HDR369" s="15"/>
      <c r="HDS369" s="15"/>
      <c r="HDT369" s="15"/>
      <c r="HDU369" s="15"/>
      <c r="HDV369" s="15"/>
      <c r="HDW369" s="15"/>
      <c r="HDX369" s="10"/>
      <c r="HDY369" s="10"/>
      <c r="HDZ369" s="21"/>
      <c r="HEA369" s="21"/>
      <c r="HED369" s="21"/>
      <c r="HEE369" s="15"/>
      <c r="HEF369" s="15"/>
      <c r="HEG369" s="15"/>
      <c r="HEH369" s="15"/>
      <c r="HEI369" s="15"/>
      <c r="HEJ369" s="15"/>
      <c r="HEK369" s="15"/>
      <c r="HEL369" s="15"/>
      <c r="HEM369" s="15"/>
      <c r="HEN369" s="15"/>
      <c r="HEO369" s="10"/>
      <c r="HEP369" s="10"/>
      <c r="HEQ369" s="21"/>
      <c r="HER369" s="21"/>
      <c r="HEU369" s="21"/>
      <c r="HEV369" s="15"/>
      <c r="HEW369" s="15"/>
      <c r="HEX369" s="15"/>
      <c r="HEY369" s="15"/>
      <c r="HEZ369" s="15"/>
      <c r="HFA369" s="15"/>
      <c r="HFB369" s="15"/>
      <c r="HFC369" s="15"/>
      <c r="HFD369" s="15"/>
      <c r="HFE369" s="15"/>
      <c r="HFF369" s="10"/>
      <c r="HFG369" s="10"/>
      <c r="HFH369" s="21"/>
      <c r="HFI369" s="21"/>
      <c r="HFL369" s="21"/>
      <c r="HFM369" s="15"/>
      <c r="HFN369" s="15"/>
      <c r="HFO369" s="15"/>
      <c r="HFP369" s="15"/>
      <c r="HFQ369" s="15"/>
      <c r="HFR369" s="15"/>
      <c r="HFS369" s="15"/>
      <c r="HFT369" s="15"/>
      <c r="HFU369" s="15"/>
      <c r="HFV369" s="15"/>
      <c r="HFW369" s="10"/>
      <c r="HFX369" s="10"/>
      <c r="HFY369" s="21"/>
      <c r="HFZ369" s="21"/>
      <c r="HGC369" s="21"/>
      <c r="HGD369" s="15"/>
      <c r="HGE369" s="15"/>
      <c r="HGF369" s="15"/>
      <c r="HGG369" s="15"/>
      <c r="HGH369" s="15"/>
      <c r="HGI369" s="15"/>
      <c r="HGJ369" s="15"/>
      <c r="HGK369" s="15"/>
      <c r="HGL369" s="15"/>
      <c r="HGM369" s="15"/>
      <c r="HGN369" s="10"/>
      <c r="HGO369" s="10"/>
      <c r="HGP369" s="21"/>
      <c r="HGQ369" s="21"/>
      <c r="HGT369" s="21"/>
      <c r="HGU369" s="15"/>
      <c r="HGV369" s="15"/>
      <c r="HGW369" s="15"/>
      <c r="HGX369" s="15"/>
      <c r="HGY369" s="15"/>
      <c r="HGZ369" s="15"/>
      <c r="HHA369" s="15"/>
      <c r="HHB369" s="15"/>
      <c r="HHC369" s="15"/>
      <c r="HHD369" s="15"/>
      <c r="HHE369" s="10"/>
      <c r="HHF369" s="10"/>
      <c r="HHG369" s="21"/>
      <c r="HHH369" s="21"/>
      <c r="HHK369" s="21"/>
      <c r="HHL369" s="15"/>
      <c r="HHM369" s="15"/>
      <c r="HHN369" s="15"/>
      <c r="HHO369" s="15"/>
      <c r="HHP369" s="15"/>
      <c r="HHQ369" s="15"/>
      <c r="HHR369" s="15"/>
      <c r="HHS369" s="15"/>
      <c r="HHT369" s="15"/>
      <c r="HHU369" s="15"/>
      <c r="HHV369" s="10"/>
      <c r="HHW369" s="10"/>
      <c r="HHX369" s="21"/>
      <c r="HHY369" s="21"/>
      <c r="HIB369" s="21"/>
      <c r="HIC369" s="15"/>
      <c r="HID369" s="15"/>
      <c r="HIE369" s="15"/>
      <c r="HIF369" s="15"/>
      <c r="HIG369" s="15"/>
      <c r="HIH369" s="15"/>
      <c r="HII369" s="15"/>
      <c r="HIJ369" s="15"/>
      <c r="HIK369" s="15"/>
      <c r="HIL369" s="15"/>
      <c r="HIM369" s="10"/>
      <c r="HIN369" s="10"/>
      <c r="HIO369" s="21"/>
      <c r="HIP369" s="21"/>
      <c r="HIS369" s="21"/>
      <c r="HIT369" s="15"/>
      <c r="HIU369" s="15"/>
      <c r="HIV369" s="15"/>
      <c r="HIW369" s="15"/>
      <c r="HIX369" s="15"/>
      <c r="HIY369" s="15"/>
      <c r="HIZ369" s="15"/>
      <c r="HJA369" s="15"/>
      <c r="HJB369" s="15"/>
      <c r="HJC369" s="15"/>
      <c r="HJD369" s="10"/>
      <c r="HJE369" s="10"/>
      <c r="HJF369" s="21"/>
      <c r="HJG369" s="21"/>
      <c r="HJJ369" s="21"/>
      <c r="HJK369" s="15"/>
      <c r="HJL369" s="15"/>
      <c r="HJM369" s="15"/>
      <c r="HJN369" s="15"/>
      <c r="HJO369" s="15"/>
      <c r="HJP369" s="15"/>
      <c r="HJQ369" s="15"/>
      <c r="HJR369" s="15"/>
      <c r="HJS369" s="15"/>
      <c r="HJT369" s="15"/>
      <c r="HJU369" s="10"/>
      <c r="HJV369" s="10"/>
      <c r="HJW369" s="21"/>
      <c r="HJX369" s="21"/>
      <c r="HKA369" s="21"/>
      <c r="HKB369" s="15"/>
      <c r="HKC369" s="15"/>
      <c r="HKD369" s="15"/>
      <c r="HKE369" s="15"/>
      <c r="HKF369" s="15"/>
      <c r="HKG369" s="15"/>
      <c r="HKH369" s="15"/>
      <c r="HKI369" s="15"/>
      <c r="HKJ369" s="15"/>
      <c r="HKK369" s="15"/>
      <c r="HKL369" s="10"/>
      <c r="HKM369" s="10"/>
      <c r="HKN369" s="21"/>
      <c r="HKO369" s="21"/>
      <c r="HKR369" s="21"/>
      <c r="HKS369" s="15"/>
      <c r="HKT369" s="15"/>
      <c r="HKU369" s="15"/>
      <c r="HKV369" s="15"/>
      <c r="HKW369" s="15"/>
      <c r="HKX369" s="15"/>
      <c r="HKY369" s="15"/>
      <c r="HKZ369" s="15"/>
      <c r="HLA369" s="15"/>
      <c r="HLB369" s="15"/>
      <c r="HLC369" s="10"/>
      <c r="HLD369" s="10"/>
      <c r="HLE369" s="21"/>
      <c r="HLF369" s="21"/>
      <c r="HLI369" s="21"/>
      <c r="HLJ369" s="15"/>
      <c r="HLK369" s="15"/>
      <c r="HLL369" s="15"/>
      <c r="HLM369" s="15"/>
      <c r="HLN369" s="15"/>
      <c r="HLO369" s="15"/>
      <c r="HLP369" s="15"/>
      <c r="HLQ369" s="15"/>
      <c r="HLR369" s="15"/>
      <c r="HLS369" s="15"/>
      <c r="HLT369" s="10"/>
      <c r="HLU369" s="10"/>
      <c r="HLV369" s="21"/>
      <c r="HLW369" s="21"/>
      <c r="HLZ369" s="21"/>
      <c r="HMA369" s="15"/>
      <c r="HMB369" s="15"/>
      <c r="HMC369" s="15"/>
      <c r="HMD369" s="15"/>
      <c r="HME369" s="15"/>
      <c r="HMF369" s="15"/>
      <c r="HMG369" s="15"/>
      <c r="HMH369" s="15"/>
      <c r="HMI369" s="15"/>
      <c r="HMJ369" s="15"/>
      <c r="HMK369" s="10"/>
      <c r="HML369" s="10"/>
      <c r="HMM369" s="21"/>
      <c r="HMN369" s="21"/>
      <c r="HMQ369" s="21"/>
      <c r="HMR369" s="15"/>
      <c r="HMS369" s="15"/>
      <c r="HMT369" s="15"/>
      <c r="HMU369" s="15"/>
      <c r="HMV369" s="15"/>
      <c r="HMW369" s="15"/>
      <c r="HMX369" s="15"/>
      <c r="HMY369" s="15"/>
      <c r="HMZ369" s="15"/>
      <c r="HNA369" s="15"/>
      <c r="HNB369" s="10"/>
      <c r="HNC369" s="10"/>
      <c r="HND369" s="21"/>
      <c r="HNE369" s="21"/>
      <c r="HNH369" s="21"/>
      <c r="HNI369" s="15"/>
      <c r="HNJ369" s="15"/>
      <c r="HNK369" s="15"/>
      <c r="HNL369" s="15"/>
      <c r="HNM369" s="15"/>
      <c r="HNN369" s="15"/>
      <c r="HNO369" s="15"/>
      <c r="HNP369" s="15"/>
      <c r="HNQ369" s="15"/>
      <c r="HNR369" s="15"/>
      <c r="HNS369" s="10"/>
      <c r="HNT369" s="10"/>
      <c r="HNU369" s="21"/>
      <c r="HNV369" s="21"/>
      <c r="HNY369" s="21"/>
      <c r="HNZ369" s="15"/>
      <c r="HOA369" s="15"/>
      <c r="HOB369" s="15"/>
      <c r="HOC369" s="15"/>
      <c r="HOD369" s="15"/>
      <c r="HOE369" s="15"/>
      <c r="HOF369" s="15"/>
      <c r="HOG369" s="15"/>
      <c r="HOH369" s="15"/>
      <c r="HOI369" s="15"/>
      <c r="HOJ369" s="10"/>
      <c r="HOK369" s="10"/>
      <c r="HOL369" s="21"/>
      <c r="HOM369" s="21"/>
      <c r="HOP369" s="21"/>
      <c r="HOQ369" s="15"/>
      <c r="HOR369" s="15"/>
      <c r="HOS369" s="15"/>
      <c r="HOT369" s="15"/>
      <c r="HOU369" s="15"/>
      <c r="HOV369" s="15"/>
      <c r="HOW369" s="15"/>
      <c r="HOX369" s="15"/>
      <c r="HOY369" s="15"/>
      <c r="HOZ369" s="15"/>
      <c r="HPA369" s="10"/>
      <c r="HPB369" s="10"/>
      <c r="HPC369" s="21"/>
      <c r="HPD369" s="21"/>
      <c r="HPG369" s="21"/>
      <c r="HPH369" s="15"/>
      <c r="HPI369" s="15"/>
      <c r="HPJ369" s="15"/>
      <c r="HPK369" s="15"/>
      <c r="HPL369" s="15"/>
      <c r="HPM369" s="15"/>
      <c r="HPN369" s="15"/>
      <c r="HPO369" s="15"/>
      <c r="HPP369" s="15"/>
      <c r="HPQ369" s="15"/>
      <c r="HPR369" s="10"/>
      <c r="HPS369" s="10"/>
      <c r="HPT369" s="21"/>
      <c r="HPU369" s="21"/>
      <c r="HPX369" s="21"/>
      <c r="HPY369" s="15"/>
      <c r="HPZ369" s="15"/>
      <c r="HQA369" s="15"/>
      <c r="HQB369" s="15"/>
      <c r="HQC369" s="15"/>
      <c r="HQD369" s="15"/>
      <c r="HQE369" s="15"/>
      <c r="HQF369" s="15"/>
      <c r="HQG369" s="15"/>
      <c r="HQH369" s="15"/>
      <c r="HQI369" s="10"/>
      <c r="HQJ369" s="10"/>
      <c r="HQK369" s="21"/>
      <c r="HQL369" s="21"/>
      <c r="HQO369" s="21"/>
      <c r="HQP369" s="15"/>
      <c r="HQQ369" s="15"/>
      <c r="HQR369" s="15"/>
      <c r="HQS369" s="15"/>
      <c r="HQT369" s="15"/>
      <c r="HQU369" s="15"/>
      <c r="HQV369" s="15"/>
      <c r="HQW369" s="15"/>
      <c r="HQX369" s="15"/>
      <c r="HQY369" s="15"/>
      <c r="HQZ369" s="10"/>
      <c r="HRA369" s="10"/>
      <c r="HRB369" s="21"/>
      <c r="HRC369" s="21"/>
      <c r="HRF369" s="21"/>
      <c r="HRG369" s="15"/>
      <c r="HRH369" s="15"/>
      <c r="HRI369" s="15"/>
      <c r="HRJ369" s="15"/>
      <c r="HRK369" s="15"/>
      <c r="HRL369" s="15"/>
      <c r="HRM369" s="15"/>
      <c r="HRN369" s="15"/>
      <c r="HRO369" s="15"/>
      <c r="HRP369" s="15"/>
      <c r="HRQ369" s="10"/>
      <c r="HRR369" s="10"/>
      <c r="HRS369" s="21"/>
      <c r="HRT369" s="21"/>
      <c r="HRW369" s="21"/>
      <c r="HRX369" s="15"/>
      <c r="HRY369" s="15"/>
      <c r="HRZ369" s="15"/>
      <c r="HSA369" s="15"/>
      <c r="HSB369" s="15"/>
      <c r="HSC369" s="15"/>
      <c r="HSD369" s="15"/>
      <c r="HSE369" s="15"/>
      <c r="HSF369" s="15"/>
      <c r="HSG369" s="15"/>
      <c r="HSH369" s="10"/>
      <c r="HSI369" s="10"/>
      <c r="HSJ369" s="21"/>
      <c r="HSK369" s="21"/>
      <c r="HSN369" s="21"/>
      <c r="HSO369" s="15"/>
      <c r="HSP369" s="15"/>
      <c r="HSQ369" s="15"/>
      <c r="HSR369" s="15"/>
      <c r="HSS369" s="15"/>
      <c r="HST369" s="15"/>
      <c r="HSU369" s="15"/>
      <c r="HSV369" s="15"/>
      <c r="HSW369" s="15"/>
      <c r="HSX369" s="15"/>
      <c r="HSY369" s="10"/>
      <c r="HSZ369" s="10"/>
      <c r="HTA369" s="21"/>
      <c r="HTB369" s="21"/>
      <c r="HTE369" s="21"/>
      <c r="HTF369" s="15"/>
      <c r="HTG369" s="15"/>
      <c r="HTH369" s="15"/>
      <c r="HTI369" s="15"/>
      <c r="HTJ369" s="15"/>
      <c r="HTK369" s="15"/>
      <c r="HTL369" s="15"/>
      <c r="HTM369" s="15"/>
      <c r="HTN369" s="15"/>
      <c r="HTO369" s="15"/>
      <c r="HTP369" s="10"/>
      <c r="HTQ369" s="10"/>
      <c r="HTR369" s="21"/>
      <c r="HTS369" s="21"/>
      <c r="HTV369" s="21"/>
      <c r="HTW369" s="15"/>
      <c r="HTX369" s="15"/>
      <c r="HTY369" s="15"/>
      <c r="HTZ369" s="15"/>
      <c r="HUA369" s="15"/>
      <c r="HUB369" s="15"/>
      <c r="HUC369" s="15"/>
      <c r="HUD369" s="15"/>
      <c r="HUE369" s="15"/>
      <c r="HUF369" s="15"/>
      <c r="HUG369" s="10"/>
      <c r="HUH369" s="10"/>
      <c r="HUI369" s="21"/>
      <c r="HUJ369" s="21"/>
      <c r="HUM369" s="21"/>
      <c r="HUN369" s="15"/>
      <c r="HUO369" s="15"/>
      <c r="HUP369" s="15"/>
      <c r="HUQ369" s="15"/>
      <c r="HUR369" s="15"/>
      <c r="HUS369" s="15"/>
      <c r="HUT369" s="15"/>
      <c r="HUU369" s="15"/>
      <c r="HUV369" s="15"/>
      <c r="HUW369" s="15"/>
      <c r="HUX369" s="10"/>
      <c r="HUY369" s="10"/>
      <c r="HUZ369" s="21"/>
      <c r="HVA369" s="21"/>
      <c r="HVD369" s="21"/>
      <c r="HVE369" s="15"/>
      <c r="HVF369" s="15"/>
      <c r="HVG369" s="15"/>
      <c r="HVH369" s="15"/>
      <c r="HVI369" s="15"/>
      <c r="HVJ369" s="15"/>
      <c r="HVK369" s="15"/>
      <c r="HVL369" s="15"/>
      <c r="HVM369" s="15"/>
      <c r="HVN369" s="15"/>
      <c r="HVO369" s="10"/>
      <c r="HVP369" s="10"/>
      <c r="HVQ369" s="21"/>
      <c r="HVR369" s="21"/>
      <c r="HVU369" s="21"/>
      <c r="HVV369" s="15"/>
      <c r="HVW369" s="15"/>
      <c r="HVX369" s="15"/>
      <c r="HVY369" s="15"/>
      <c r="HVZ369" s="15"/>
      <c r="HWA369" s="15"/>
      <c r="HWB369" s="15"/>
      <c r="HWC369" s="15"/>
      <c r="HWD369" s="15"/>
      <c r="HWE369" s="15"/>
      <c r="HWF369" s="10"/>
      <c r="HWG369" s="10"/>
      <c r="HWH369" s="21"/>
      <c r="HWI369" s="21"/>
      <c r="HWL369" s="21"/>
      <c r="HWM369" s="15"/>
      <c r="HWN369" s="15"/>
      <c r="HWO369" s="15"/>
      <c r="HWP369" s="15"/>
      <c r="HWQ369" s="15"/>
      <c r="HWR369" s="15"/>
      <c r="HWS369" s="15"/>
      <c r="HWT369" s="15"/>
      <c r="HWU369" s="15"/>
      <c r="HWV369" s="15"/>
      <c r="HWW369" s="10"/>
      <c r="HWX369" s="10"/>
      <c r="HWY369" s="21"/>
      <c r="HWZ369" s="21"/>
      <c r="HXC369" s="21"/>
      <c r="HXD369" s="15"/>
      <c r="HXE369" s="15"/>
      <c r="HXF369" s="15"/>
      <c r="HXG369" s="15"/>
      <c r="HXH369" s="15"/>
      <c r="HXI369" s="15"/>
      <c r="HXJ369" s="15"/>
      <c r="HXK369" s="15"/>
      <c r="HXL369" s="15"/>
      <c r="HXM369" s="15"/>
      <c r="HXN369" s="10"/>
      <c r="HXO369" s="10"/>
      <c r="HXP369" s="21"/>
      <c r="HXQ369" s="21"/>
      <c r="HXT369" s="21"/>
      <c r="HXU369" s="15"/>
      <c r="HXV369" s="15"/>
      <c r="HXW369" s="15"/>
      <c r="HXX369" s="15"/>
      <c r="HXY369" s="15"/>
      <c r="HXZ369" s="15"/>
      <c r="HYA369" s="15"/>
      <c r="HYB369" s="15"/>
      <c r="HYC369" s="15"/>
      <c r="HYD369" s="15"/>
      <c r="HYE369" s="10"/>
      <c r="HYF369" s="10"/>
      <c r="HYG369" s="21"/>
      <c r="HYH369" s="21"/>
      <c r="HYK369" s="21"/>
      <c r="HYL369" s="15"/>
      <c r="HYM369" s="15"/>
      <c r="HYN369" s="15"/>
      <c r="HYO369" s="15"/>
      <c r="HYP369" s="15"/>
      <c r="HYQ369" s="15"/>
      <c r="HYR369" s="15"/>
      <c r="HYS369" s="15"/>
      <c r="HYT369" s="15"/>
      <c r="HYU369" s="15"/>
      <c r="HYV369" s="10"/>
      <c r="HYW369" s="10"/>
      <c r="HYX369" s="21"/>
      <c r="HYY369" s="21"/>
      <c r="HZB369" s="21"/>
      <c r="HZC369" s="15"/>
      <c r="HZD369" s="15"/>
      <c r="HZE369" s="15"/>
      <c r="HZF369" s="15"/>
      <c r="HZG369" s="15"/>
      <c r="HZH369" s="15"/>
      <c r="HZI369" s="15"/>
      <c r="HZJ369" s="15"/>
      <c r="HZK369" s="15"/>
      <c r="HZL369" s="15"/>
      <c r="HZM369" s="10"/>
      <c r="HZN369" s="10"/>
      <c r="HZO369" s="21"/>
      <c r="HZP369" s="21"/>
      <c r="HZS369" s="21"/>
      <c r="HZT369" s="15"/>
      <c r="HZU369" s="15"/>
      <c r="HZV369" s="15"/>
      <c r="HZW369" s="15"/>
      <c r="HZX369" s="15"/>
      <c r="HZY369" s="15"/>
      <c r="HZZ369" s="15"/>
      <c r="IAA369" s="15"/>
      <c r="IAB369" s="15"/>
      <c r="IAC369" s="15"/>
      <c r="IAD369" s="10"/>
      <c r="IAE369" s="10"/>
      <c r="IAF369" s="21"/>
      <c r="IAG369" s="21"/>
      <c r="IAJ369" s="21"/>
      <c r="IAK369" s="15"/>
      <c r="IAL369" s="15"/>
      <c r="IAM369" s="15"/>
      <c r="IAN369" s="15"/>
      <c r="IAO369" s="15"/>
      <c r="IAP369" s="15"/>
      <c r="IAQ369" s="15"/>
      <c r="IAR369" s="15"/>
      <c r="IAS369" s="15"/>
      <c r="IAT369" s="15"/>
      <c r="IAU369" s="10"/>
      <c r="IAV369" s="10"/>
      <c r="IAW369" s="21"/>
      <c r="IAX369" s="21"/>
      <c r="IBA369" s="21"/>
      <c r="IBB369" s="15"/>
      <c r="IBC369" s="15"/>
      <c r="IBD369" s="15"/>
      <c r="IBE369" s="15"/>
      <c r="IBF369" s="15"/>
      <c r="IBG369" s="15"/>
      <c r="IBH369" s="15"/>
      <c r="IBI369" s="15"/>
      <c r="IBJ369" s="15"/>
      <c r="IBK369" s="15"/>
      <c r="IBL369" s="10"/>
      <c r="IBM369" s="10"/>
      <c r="IBN369" s="21"/>
      <c r="IBO369" s="21"/>
      <c r="IBR369" s="21"/>
      <c r="IBS369" s="15"/>
      <c r="IBT369" s="15"/>
      <c r="IBU369" s="15"/>
      <c r="IBV369" s="15"/>
      <c r="IBW369" s="15"/>
      <c r="IBX369" s="15"/>
      <c r="IBY369" s="15"/>
      <c r="IBZ369" s="15"/>
      <c r="ICA369" s="15"/>
      <c r="ICB369" s="15"/>
      <c r="ICC369" s="10"/>
      <c r="ICD369" s="10"/>
      <c r="ICE369" s="21"/>
      <c r="ICF369" s="21"/>
      <c r="ICI369" s="21"/>
      <c r="ICJ369" s="15"/>
      <c r="ICK369" s="15"/>
      <c r="ICL369" s="15"/>
      <c r="ICM369" s="15"/>
      <c r="ICN369" s="15"/>
      <c r="ICO369" s="15"/>
      <c r="ICP369" s="15"/>
      <c r="ICQ369" s="15"/>
      <c r="ICR369" s="15"/>
      <c r="ICS369" s="15"/>
      <c r="ICT369" s="10"/>
      <c r="ICU369" s="10"/>
      <c r="ICV369" s="21"/>
      <c r="ICW369" s="21"/>
      <c r="ICZ369" s="21"/>
      <c r="IDA369" s="15"/>
      <c r="IDB369" s="15"/>
      <c r="IDC369" s="15"/>
      <c r="IDD369" s="15"/>
      <c r="IDE369" s="15"/>
      <c r="IDF369" s="15"/>
      <c r="IDG369" s="15"/>
      <c r="IDH369" s="15"/>
      <c r="IDI369" s="15"/>
      <c r="IDJ369" s="15"/>
      <c r="IDK369" s="10"/>
      <c r="IDL369" s="10"/>
      <c r="IDM369" s="21"/>
      <c r="IDN369" s="21"/>
      <c r="IDQ369" s="21"/>
      <c r="IDR369" s="15"/>
      <c r="IDS369" s="15"/>
      <c r="IDT369" s="15"/>
      <c r="IDU369" s="15"/>
      <c r="IDV369" s="15"/>
      <c r="IDW369" s="15"/>
      <c r="IDX369" s="15"/>
      <c r="IDY369" s="15"/>
      <c r="IDZ369" s="15"/>
      <c r="IEA369" s="15"/>
      <c r="IEB369" s="10"/>
      <c r="IEC369" s="10"/>
      <c r="IED369" s="21"/>
      <c r="IEE369" s="21"/>
      <c r="IEH369" s="21"/>
      <c r="IEI369" s="15"/>
      <c r="IEJ369" s="15"/>
      <c r="IEK369" s="15"/>
      <c r="IEL369" s="15"/>
      <c r="IEM369" s="15"/>
      <c r="IEN369" s="15"/>
      <c r="IEO369" s="15"/>
      <c r="IEP369" s="15"/>
      <c r="IEQ369" s="15"/>
      <c r="IER369" s="15"/>
      <c r="IES369" s="10"/>
      <c r="IET369" s="10"/>
      <c r="IEU369" s="21"/>
      <c r="IEV369" s="21"/>
      <c r="IEY369" s="21"/>
      <c r="IEZ369" s="15"/>
      <c r="IFA369" s="15"/>
      <c r="IFB369" s="15"/>
      <c r="IFC369" s="15"/>
      <c r="IFD369" s="15"/>
      <c r="IFE369" s="15"/>
      <c r="IFF369" s="15"/>
      <c r="IFG369" s="15"/>
      <c r="IFH369" s="15"/>
      <c r="IFI369" s="15"/>
      <c r="IFJ369" s="10"/>
      <c r="IFK369" s="10"/>
      <c r="IFL369" s="21"/>
      <c r="IFM369" s="21"/>
      <c r="IFP369" s="21"/>
      <c r="IFQ369" s="15"/>
      <c r="IFR369" s="15"/>
      <c r="IFS369" s="15"/>
      <c r="IFT369" s="15"/>
      <c r="IFU369" s="15"/>
      <c r="IFV369" s="15"/>
      <c r="IFW369" s="15"/>
      <c r="IFX369" s="15"/>
      <c r="IFY369" s="15"/>
      <c r="IFZ369" s="15"/>
      <c r="IGA369" s="10"/>
      <c r="IGB369" s="10"/>
      <c r="IGC369" s="21"/>
      <c r="IGD369" s="21"/>
      <c r="IGG369" s="21"/>
      <c r="IGH369" s="15"/>
      <c r="IGI369" s="15"/>
      <c r="IGJ369" s="15"/>
      <c r="IGK369" s="15"/>
      <c r="IGL369" s="15"/>
      <c r="IGM369" s="15"/>
      <c r="IGN369" s="15"/>
      <c r="IGO369" s="15"/>
      <c r="IGP369" s="15"/>
      <c r="IGQ369" s="15"/>
      <c r="IGR369" s="10"/>
      <c r="IGS369" s="10"/>
      <c r="IGT369" s="21"/>
      <c r="IGU369" s="21"/>
      <c r="IGX369" s="21"/>
      <c r="IGY369" s="15"/>
      <c r="IGZ369" s="15"/>
      <c r="IHA369" s="15"/>
      <c r="IHB369" s="15"/>
      <c r="IHC369" s="15"/>
      <c r="IHD369" s="15"/>
      <c r="IHE369" s="15"/>
      <c r="IHF369" s="15"/>
      <c r="IHG369" s="15"/>
      <c r="IHH369" s="15"/>
      <c r="IHI369" s="10"/>
      <c r="IHJ369" s="10"/>
      <c r="IHK369" s="21"/>
      <c r="IHL369" s="21"/>
      <c r="IHO369" s="21"/>
      <c r="IHP369" s="15"/>
      <c r="IHQ369" s="15"/>
      <c r="IHR369" s="15"/>
      <c r="IHS369" s="15"/>
      <c r="IHT369" s="15"/>
      <c r="IHU369" s="15"/>
      <c r="IHV369" s="15"/>
      <c r="IHW369" s="15"/>
      <c r="IHX369" s="15"/>
      <c r="IHY369" s="15"/>
      <c r="IHZ369" s="10"/>
      <c r="IIA369" s="10"/>
      <c r="IIB369" s="21"/>
      <c r="IIC369" s="21"/>
      <c r="IIF369" s="21"/>
      <c r="IIG369" s="15"/>
      <c r="IIH369" s="15"/>
      <c r="III369" s="15"/>
      <c r="IIJ369" s="15"/>
      <c r="IIK369" s="15"/>
      <c r="IIL369" s="15"/>
      <c r="IIM369" s="15"/>
      <c r="IIN369" s="15"/>
      <c r="IIO369" s="15"/>
      <c r="IIP369" s="15"/>
      <c r="IIQ369" s="10"/>
      <c r="IIR369" s="10"/>
      <c r="IIS369" s="21"/>
      <c r="IIT369" s="21"/>
      <c r="IIW369" s="21"/>
      <c r="IIX369" s="15"/>
      <c r="IIY369" s="15"/>
      <c r="IIZ369" s="15"/>
      <c r="IJA369" s="15"/>
      <c r="IJB369" s="15"/>
      <c r="IJC369" s="15"/>
      <c r="IJD369" s="15"/>
      <c r="IJE369" s="15"/>
      <c r="IJF369" s="15"/>
      <c r="IJG369" s="15"/>
      <c r="IJH369" s="10"/>
      <c r="IJI369" s="10"/>
      <c r="IJJ369" s="21"/>
      <c r="IJK369" s="21"/>
      <c r="IJN369" s="21"/>
      <c r="IJO369" s="15"/>
      <c r="IJP369" s="15"/>
      <c r="IJQ369" s="15"/>
      <c r="IJR369" s="15"/>
      <c r="IJS369" s="15"/>
      <c r="IJT369" s="15"/>
      <c r="IJU369" s="15"/>
      <c r="IJV369" s="15"/>
      <c r="IJW369" s="15"/>
      <c r="IJX369" s="15"/>
      <c r="IJY369" s="10"/>
      <c r="IJZ369" s="10"/>
      <c r="IKA369" s="21"/>
      <c r="IKB369" s="21"/>
      <c r="IKE369" s="21"/>
      <c r="IKF369" s="15"/>
      <c r="IKG369" s="15"/>
      <c r="IKH369" s="15"/>
      <c r="IKI369" s="15"/>
      <c r="IKJ369" s="15"/>
      <c r="IKK369" s="15"/>
      <c r="IKL369" s="15"/>
      <c r="IKM369" s="15"/>
      <c r="IKN369" s="15"/>
      <c r="IKO369" s="15"/>
      <c r="IKP369" s="10"/>
      <c r="IKQ369" s="10"/>
      <c r="IKR369" s="21"/>
      <c r="IKS369" s="21"/>
      <c r="IKV369" s="21"/>
      <c r="IKW369" s="15"/>
      <c r="IKX369" s="15"/>
      <c r="IKY369" s="15"/>
      <c r="IKZ369" s="15"/>
      <c r="ILA369" s="15"/>
      <c r="ILB369" s="15"/>
      <c r="ILC369" s="15"/>
      <c r="ILD369" s="15"/>
      <c r="ILE369" s="15"/>
      <c r="ILF369" s="15"/>
      <c r="ILG369" s="10"/>
      <c r="ILH369" s="10"/>
      <c r="ILI369" s="21"/>
      <c r="ILJ369" s="21"/>
      <c r="ILM369" s="21"/>
      <c r="ILN369" s="15"/>
      <c r="ILO369" s="15"/>
      <c r="ILP369" s="15"/>
      <c r="ILQ369" s="15"/>
      <c r="ILR369" s="15"/>
      <c r="ILS369" s="15"/>
      <c r="ILT369" s="15"/>
      <c r="ILU369" s="15"/>
      <c r="ILV369" s="15"/>
      <c r="ILW369" s="15"/>
      <c r="ILX369" s="10"/>
      <c r="ILY369" s="10"/>
      <c r="ILZ369" s="21"/>
      <c r="IMA369" s="21"/>
      <c r="IMD369" s="21"/>
      <c r="IME369" s="15"/>
      <c r="IMF369" s="15"/>
      <c r="IMG369" s="15"/>
      <c r="IMH369" s="15"/>
      <c r="IMI369" s="15"/>
      <c r="IMJ369" s="15"/>
      <c r="IMK369" s="15"/>
      <c r="IML369" s="15"/>
      <c r="IMM369" s="15"/>
      <c r="IMN369" s="15"/>
      <c r="IMO369" s="10"/>
      <c r="IMP369" s="10"/>
      <c r="IMQ369" s="21"/>
      <c r="IMR369" s="21"/>
      <c r="IMU369" s="21"/>
      <c r="IMV369" s="15"/>
      <c r="IMW369" s="15"/>
      <c r="IMX369" s="15"/>
      <c r="IMY369" s="15"/>
      <c r="IMZ369" s="15"/>
      <c r="INA369" s="15"/>
      <c r="INB369" s="15"/>
      <c r="INC369" s="15"/>
      <c r="IND369" s="15"/>
      <c r="INE369" s="15"/>
      <c r="INF369" s="10"/>
      <c r="ING369" s="10"/>
      <c r="INH369" s="21"/>
      <c r="INI369" s="21"/>
      <c r="INL369" s="21"/>
      <c r="INM369" s="15"/>
      <c r="INN369" s="15"/>
      <c r="INO369" s="15"/>
      <c r="INP369" s="15"/>
      <c r="INQ369" s="15"/>
      <c r="INR369" s="15"/>
      <c r="INS369" s="15"/>
      <c r="INT369" s="15"/>
      <c r="INU369" s="15"/>
      <c r="INV369" s="15"/>
      <c r="INW369" s="10"/>
      <c r="INX369" s="10"/>
      <c r="INY369" s="21"/>
      <c r="INZ369" s="21"/>
      <c r="IOC369" s="21"/>
      <c r="IOD369" s="15"/>
      <c r="IOE369" s="15"/>
      <c r="IOF369" s="15"/>
      <c r="IOG369" s="15"/>
      <c r="IOH369" s="15"/>
      <c r="IOI369" s="15"/>
      <c r="IOJ369" s="15"/>
      <c r="IOK369" s="15"/>
      <c r="IOL369" s="15"/>
      <c r="IOM369" s="15"/>
      <c r="ION369" s="10"/>
      <c r="IOO369" s="10"/>
      <c r="IOP369" s="21"/>
      <c r="IOQ369" s="21"/>
      <c r="IOT369" s="21"/>
      <c r="IOU369" s="15"/>
      <c r="IOV369" s="15"/>
      <c r="IOW369" s="15"/>
      <c r="IOX369" s="15"/>
      <c r="IOY369" s="15"/>
      <c r="IOZ369" s="15"/>
      <c r="IPA369" s="15"/>
      <c r="IPB369" s="15"/>
      <c r="IPC369" s="15"/>
      <c r="IPD369" s="15"/>
      <c r="IPE369" s="10"/>
      <c r="IPF369" s="10"/>
      <c r="IPG369" s="21"/>
      <c r="IPH369" s="21"/>
      <c r="IPK369" s="21"/>
      <c r="IPL369" s="15"/>
      <c r="IPM369" s="15"/>
      <c r="IPN369" s="15"/>
      <c r="IPO369" s="15"/>
      <c r="IPP369" s="15"/>
      <c r="IPQ369" s="15"/>
      <c r="IPR369" s="15"/>
      <c r="IPS369" s="15"/>
      <c r="IPT369" s="15"/>
      <c r="IPU369" s="15"/>
      <c r="IPV369" s="10"/>
      <c r="IPW369" s="10"/>
      <c r="IPX369" s="21"/>
      <c r="IPY369" s="21"/>
      <c r="IQB369" s="21"/>
      <c r="IQC369" s="15"/>
      <c r="IQD369" s="15"/>
      <c r="IQE369" s="15"/>
      <c r="IQF369" s="15"/>
      <c r="IQG369" s="15"/>
      <c r="IQH369" s="15"/>
      <c r="IQI369" s="15"/>
      <c r="IQJ369" s="15"/>
      <c r="IQK369" s="15"/>
      <c r="IQL369" s="15"/>
      <c r="IQM369" s="10"/>
      <c r="IQN369" s="10"/>
      <c r="IQO369" s="21"/>
      <c r="IQP369" s="21"/>
      <c r="IQS369" s="21"/>
      <c r="IQT369" s="15"/>
      <c r="IQU369" s="15"/>
      <c r="IQV369" s="15"/>
      <c r="IQW369" s="15"/>
      <c r="IQX369" s="15"/>
      <c r="IQY369" s="15"/>
      <c r="IQZ369" s="15"/>
      <c r="IRA369" s="15"/>
      <c r="IRB369" s="15"/>
      <c r="IRC369" s="15"/>
      <c r="IRD369" s="10"/>
      <c r="IRE369" s="10"/>
      <c r="IRF369" s="21"/>
      <c r="IRG369" s="21"/>
      <c r="IRJ369" s="21"/>
      <c r="IRK369" s="15"/>
      <c r="IRL369" s="15"/>
      <c r="IRM369" s="15"/>
      <c r="IRN369" s="15"/>
      <c r="IRO369" s="15"/>
      <c r="IRP369" s="15"/>
      <c r="IRQ369" s="15"/>
      <c r="IRR369" s="15"/>
      <c r="IRS369" s="15"/>
      <c r="IRT369" s="15"/>
      <c r="IRU369" s="10"/>
      <c r="IRV369" s="10"/>
      <c r="IRW369" s="21"/>
      <c r="IRX369" s="21"/>
      <c r="ISA369" s="21"/>
      <c r="ISB369" s="15"/>
      <c r="ISC369" s="15"/>
      <c r="ISD369" s="15"/>
      <c r="ISE369" s="15"/>
      <c r="ISF369" s="15"/>
      <c r="ISG369" s="15"/>
      <c r="ISH369" s="15"/>
      <c r="ISI369" s="15"/>
      <c r="ISJ369" s="15"/>
      <c r="ISK369" s="15"/>
      <c r="ISL369" s="10"/>
      <c r="ISM369" s="10"/>
      <c r="ISN369" s="21"/>
      <c r="ISO369" s="21"/>
      <c r="ISR369" s="21"/>
      <c r="ISS369" s="15"/>
      <c r="IST369" s="15"/>
      <c r="ISU369" s="15"/>
      <c r="ISV369" s="15"/>
      <c r="ISW369" s="15"/>
      <c r="ISX369" s="15"/>
      <c r="ISY369" s="15"/>
      <c r="ISZ369" s="15"/>
      <c r="ITA369" s="15"/>
      <c r="ITB369" s="15"/>
      <c r="ITC369" s="10"/>
      <c r="ITD369" s="10"/>
      <c r="ITE369" s="21"/>
      <c r="ITF369" s="21"/>
      <c r="ITI369" s="21"/>
      <c r="ITJ369" s="15"/>
      <c r="ITK369" s="15"/>
      <c r="ITL369" s="15"/>
      <c r="ITM369" s="15"/>
      <c r="ITN369" s="15"/>
      <c r="ITO369" s="15"/>
      <c r="ITP369" s="15"/>
      <c r="ITQ369" s="15"/>
      <c r="ITR369" s="15"/>
      <c r="ITS369" s="15"/>
      <c r="ITT369" s="10"/>
      <c r="ITU369" s="10"/>
      <c r="ITV369" s="21"/>
      <c r="ITW369" s="21"/>
      <c r="ITZ369" s="21"/>
      <c r="IUA369" s="15"/>
      <c r="IUB369" s="15"/>
      <c r="IUC369" s="15"/>
      <c r="IUD369" s="15"/>
      <c r="IUE369" s="15"/>
      <c r="IUF369" s="15"/>
      <c r="IUG369" s="15"/>
      <c r="IUH369" s="15"/>
      <c r="IUI369" s="15"/>
      <c r="IUJ369" s="15"/>
      <c r="IUK369" s="10"/>
      <c r="IUL369" s="10"/>
      <c r="IUM369" s="21"/>
      <c r="IUN369" s="21"/>
      <c r="IUQ369" s="21"/>
      <c r="IUR369" s="15"/>
      <c r="IUS369" s="15"/>
      <c r="IUT369" s="15"/>
      <c r="IUU369" s="15"/>
      <c r="IUV369" s="15"/>
      <c r="IUW369" s="15"/>
      <c r="IUX369" s="15"/>
      <c r="IUY369" s="15"/>
      <c r="IUZ369" s="15"/>
      <c r="IVA369" s="15"/>
      <c r="IVB369" s="10"/>
      <c r="IVC369" s="10"/>
      <c r="IVD369" s="21"/>
      <c r="IVE369" s="21"/>
      <c r="IVH369" s="21"/>
      <c r="IVI369" s="15"/>
      <c r="IVJ369" s="15"/>
      <c r="IVK369" s="15"/>
      <c r="IVL369" s="15"/>
      <c r="IVM369" s="15"/>
      <c r="IVN369" s="15"/>
      <c r="IVO369" s="15"/>
      <c r="IVP369" s="15"/>
      <c r="IVQ369" s="15"/>
      <c r="IVR369" s="15"/>
      <c r="IVS369" s="10"/>
      <c r="IVT369" s="10"/>
      <c r="IVU369" s="21"/>
      <c r="IVV369" s="21"/>
      <c r="IVY369" s="21"/>
      <c r="IVZ369" s="15"/>
      <c r="IWA369" s="15"/>
      <c r="IWB369" s="15"/>
      <c r="IWC369" s="15"/>
      <c r="IWD369" s="15"/>
      <c r="IWE369" s="15"/>
      <c r="IWF369" s="15"/>
      <c r="IWG369" s="15"/>
      <c r="IWH369" s="15"/>
      <c r="IWI369" s="15"/>
      <c r="IWJ369" s="10"/>
      <c r="IWK369" s="10"/>
      <c r="IWL369" s="21"/>
      <c r="IWM369" s="21"/>
      <c r="IWP369" s="21"/>
      <c r="IWQ369" s="15"/>
      <c r="IWR369" s="15"/>
      <c r="IWS369" s="15"/>
      <c r="IWT369" s="15"/>
      <c r="IWU369" s="15"/>
      <c r="IWV369" s="15"/>
      <c r="IWW369" s="15"/>
      <c r="IWX369" s="15"/>
      <c r="IWY369" s="15"/>
      <c r="IWZ369" s="15"/>
      <c r="IXA369" s="10"/>
      <c r="IXB369" s="10"/>
      <c r="IXC369" s="21"/>
      <c r="IXD369" s="21"/>
      <c r="IXG369" s="21"/>
      <c r="IXH369" s="15"/>
      <c r="IXI369" s="15"/>
      <c r="IXJ369" s="15"/>
      <c r="IXK369" s="15"/>
      <c r="IXL369" s="15"/>
      <c r="IXM369" s="15"/>
      <c r="IXN369" s="15"/>
      <c r="IXO369" s="15"/>
      <c r="IXP369" s="15"/>
      <c r="IXQ369" s="15"/>
      <c r="IXR369" s="10"/>
      <c r="IXS369" s="10"/>
      <c r="IXT369" s="21"/>
      <c r="IXU369" s="21"/>
      <c r="IXX369" s="21"/>
      <c r="IXY369" s="15"/>
      <c r="IXZ369" s="15"/>
      <c r="IYA369" s="15"/>
      <c r="IYB369" s="15"/>
      <c r="IYC369" s="15"/>
      <c r="IYD369" s="15"/>
      <c r="IYE369" s="15"/>
      <c r="IYF369" s="15"/>
      <c r="IYG369" s="15"/>
      <c r="IYH369" s="15"/>
      <c r="IYI369" s="10"/>
      <c r="IYJ369" s="10"/>
      <c r="IYK369" s="21"/>
      <c r="IYL369" s="21"/>
      <c r="IYO369" s="21"/>
      <c r="IYP369" s="15"/>
      <c r="IYQ369" s="15"/>
      <c r="IYR369" s="15"/>
      <c r="IYS369" s="15"/>
      <c r="IYT369" s="15"/>
      <c r="IYU369" s="15"/>
      <c r="IYV369" s="15"/>
      <c r="IYW369" s="15"/>
      <c r="IYX369" s="15"/>
      <c r="IYY369" s="15"/>
      <c r="IYZ369" s="10"/>
      <c r="IZA369" s="10"/>
      <c r="IZB369" s="21"/>
      <c r="IZC369" s="21"/>
      <c r="IZF369" s="21"/>
      <c r="IZG369" s="15"/>
      <c r="IZH369" s="15"/>
      <c r="IZI369" s="15"/>
      <c r="IZJ369" s="15"/>
      <c r="IZK369" s="15"/>
      <c r="IZL369" s="15"/>
      <c r="IZM369" s="15"/>
      <c r="IZN369" s="15"/>
      <c r="IZO369" s="15"/>
      <c r="IZP369" s="15"/>
      <c r="IZQ369" s="10"/>
      <c r="IZR369" s="10"/>
      <c r="IZS369" s="21"/>
      <c r="IZT369" s="21"/>
      <c r="IZW369" s="21"/>
      <c r="IZX369" s="15"/>
      <c r="IZY369" s="15"/>
      <c r="IZZ369" s="15"/>
      <c r="JAA369" s="15"/>
      <c r="JAB369" s="15"/>
      <c r="JAC369" s="15"/>
      <c r="JAD369" s="15"/>
      <c r="JAE369" s="15"/>
      <c r="JAF369" s="15"/>
      <c r="JAG369" s="15"/>
      <c r="JAH369" s="10"/>
      <c r="JAI369" s="10"/>
      <c r="JAJ369" s="21"/>
      <c r="JAK369" s="21"/>
      <c r="JAN369" s="21"/>
      <c r="JAO369" s="15"/>
      <c r="JAP369" s="15"/>
      <c r="JAQ369" s="15"/>
      <c r="JAR369" s="15"/>
      <c r="JAS369" s="15"/>
      <c r="JAT369" s="15"/>
      <c r="JAU369" s="15"/>
      <c r="JAV369" s="15"/>
      <c r="JAW369" s="15"/>
      <c r="JAX369" s="15"/>
      <c r="JAY369" s="10"/>
      <c r="JAZ369" s="10"/>
      <c r="JBA369" s="21"/>
      <c r="JBB369" s="21"/>
      <c r="JBE369" s="21"/>
      <c r="JBF369" s="15"/>
      <c r="JBG369" s="15"/>
      <c r="JBH369" s="15"/>
      <c r="JBI369" s="15"/>
      <c r="JBJ369" s="15"/>
      <c r="JBK369" s="15"/>
      <c r="JBL369" s="15"/>
      <c r="JBM369" s="15"/>
      <c r="JBN369" s="15"/>
      <c r="JBO369" s="15"/>
      <c r="JBP369" s="10"/>
      <c r="JBQ369" s="10"/>
      <c r="JBR369" s="21"/>
      <c r="JBS369" s="21"/>
      <c r="JBV369" s="21"/>
      <c r="JBW369" s="15"/>
      <c r="JBX369" s="15"/>
      <c r="JBY369" s="15"/>
      <c r="JBZ369" s="15"/>
      <c r="JCA369" s="15"/>
      <c r="JCB369" s="15"/>
      <c r="JCC369" s="15"/>
      <c r="JCD369" s="15"/>
      <c r="JCE369" s="15"/>
      <c r="JCF369" s="15"/>
      <c r="JCG369" s="10"/>
      <c r="JCH369" s="10"/>
      <c r="JCI369" s="21"/>
      <c r="JCJ369" s="21"/>
      <c r="JCM369" s="21"/>
      <c r="JCN369" s="15"/>
      <c r="JCO369" s="15"/>
      <c r="JCP369" s="15"/>
      <c r="JCQ369" s="15"/>
      <c r="JCR369" s="15"/>
      <c r="JCS369" s="15"/>
      <c r="JCT369" s="15"/>
      <c r="JCU369" s="15"/>
      <c r="JCV369" s="15"/>
      <c r="JCW369" s="15"/>
      <c r="JCX369" s="10"/>
      <c r="JCY369" s="10"/>
      <c r="JCZ369" s="21"/>
      <c r="JDA369" s="21"/>
      <c r="JDD369" s="21"/>
      <c r="JDE369" s="15"/>
      <c r="JDF369" s="15"/>
      <c r="JDG369" s="15"/>
      <c r="JDH369" s="15"/>
      <c r="JDI369" s="15"/>
      <c r="JDJ369" s="15"/>
      <c r="JDK369" s="15"/>
      <c r="JDL369" s="15"/>
      <c r="JDM369" s="15"/>
      <c r="JDN369" s="15"/>
      <c r="JDO369" s="10"/>
      <c r="JDP369" s="10"/>
      <c r="JDQ369" s="21"/>
      <c r="JDR369" s="21"/>
      <c r="JDU369" s="21"/>
      <c r="JDV369" s="15"/>
      <c r="JDW369" s="15"/>
      <c r="JDX369" s="15"/>
      <c r="JDY369" s="15"/>
      <c r="JDZ369" s="15"/>
      <c r="JEA369" s="15"/>
      <c r="JEB369" s="15"/>
      <c r="JEC369" s="15"/>
      <c r="JED369" s="15"/>
      <c r="JEE369" s="15"/>
      <c r="JEF369" s="10"/>
      <c r="JEG369" s="10"/>
      <c r="JEH369" s="21"/>
      <c r="JEI369" s="21"/>
      <c r="JEL369" s="21"/>
      <c r="JEM369" s="15"/>
      <c r="JEN369" s="15"/>
      <c r="JEO369" s="15"/>
      <c r="JEP369" s="15"/>
      <c r="JEQ369" s="15"/>
      <c r="JER369" s="15"/>
      <c r="JES369" s="15"/>
      <c r="JET369" s="15"/>
      <c r="JEU369" s="15"/>
      <c r="JEV369" s="15"/>
      <c r="JEW369" s="10"/>
      <c r="JEX369" s="10"/>
      <c r="JEY369" s="21"/>
      <c r="JEZ369" s="21"/>
      <c r="JFC369" s="21"/>
      <c r="JFD369" s="15"/>
      <c r="JFE369" s="15"/>
      <c r="JFF369" s="15"/>
      <c r="JFG369" s="15"/>
      <c r="JFH369" s="15"/>
      <c r="JFI369" s="15"/>
      <c r="JFJ369" s="15"/>
      <c r="JFK369" s="15"/>
      <c r="JFL369" s="15"/>
      <c r="JFM369" s="15"/>
      <c r="JFN369" s="10"/>
      <c r="JFO369" s="10"/>
      <c r="JFP369" s="21"/>
      <c r="JFQ369" s="21"/>
      <c r="JFT369" s="21"/>
      <c r="JFU369" s="15"/>
      <c r="JFV369" s="15"/>
      <c r="JFW369" s="15"/>
      <c r="JFX369" s="15"/>
      <c r="JFY369" s="15"/>
      <c r="JFZ369" s="15"/>
      <c r="JGA369" s="15"/>
      <c r="JGB369" s="15"/>
      <c r="JGC369" s="15"/>
      <c r="JGD369" s="15"/>
      <c r="JGE369" s="10"/>
      <c r="JGF369" s="10"/>
      <c r="JGG369" s="21"/>
      <c r="JGH369" s="21"/>
      <c r="JGK369" s="21"/>
      <c r="JGL369" s="15"/>
      <c r="JGM369" s="15"/>
      <c r="JGN369" s="15"/>
      <c r="JGO369" s="15"/>
      <c r="JGP369" s="15"/>
      <c r="JGQ369" s="15"/>
      <c r="JGR369" s="15"/>
      <c r="JGS369" s="15"/>
      <c r="JGT369" s="15"/>
      <c r="JGU369" s="15"/>
      <c r="JGV369" s="10"/>
      <c r="JGW369" s="10"/>
      <c r="JGX369" s="21"/>
      <c r="JGY369" s="21"/>
      <c r="JHB369" s="21"/>
      <c r="JHC369" s="15"/>
      <c r="JHD369" s="15"/>
      <c r="JHE369" s="15"/>
      <c r="JHF369" s="15"/>
      <c r="JHG369" s="15"/>
      <c r="JHH369" s="15"/>
      <c r="JHI369" s="15"/>
      <c r="JHJ369" s="15"/>
      <c r="JHK369" s="15"/>
      <c r="JHL369" s="15"/>
      <c r="JHM369" s="10"/>
      <c r="JHN369" s="10"/>
      <c r="JHO369" s="21"/>
      <c r="JHP369" s="21"/>
      <c r="JHS369" s="21"/>
      <c r="JHT369" s="15"/>
      <c r="JHU369" s="15"/>
      <c r="JHV369" s="15"/>
      <c r="JHW369" s="15"/>
      <c r="JHX369" s="15"/>
      <c r="JHY369" s="15"/>
      <c r="JHZ369" s="15"/>
      <c r="JIA369" s="15"/>
      <c r="JIB369" s="15"/>
      <c r="JIC369" s="15"/>
      <c r="JID369" s="10"/>
      <c r="JIE369" s="10"/>
      <c r="JIF369" s="21"/>
      <c r="JIG369" s="21"/>
      <c r="JIJ369" s="21"/>
      <c r="JIK369" s="15"/>
      <c r="JIL369" s="15"/>
      <c r="JIM369" s="15"/>
      <c r="JIN369" s="15"/>
      <c r="JIO369" s="15"/>
      <c r="JIP369" s="15"/>
      <c r="JIQ369" s="15"/>
      <c r="JIR369" s="15"/>
      <c r="JIS369" s="15"/>
      <c r="JIT369" s="15"/>
      <c r="JIU369" s="10"/>
      <c r="JIV369" s="10"/>
      <c r="JIW369" s="21"/>
      <c r="JIX369" s="21"/>
      <c r="JJA369" s="21"/>
      <c r="JJB369" s="15"/>
      <c r="JJC369" s="15"/>
      <c r="JJD369" s="15"/>
      <c r="JJE369" s="15"/>
      <c r="JJF369" s="15"/>
      <c r="JJG369" s="15"/>
      <c r="JJH369" s="15"/>
      <c r="JJI369" s="15"/>
      <c r="JJJ369" s="15"/>
      <c r="JJK369" s="15"/>
      <c r="JJL369" s="10"/>
      <c r="JJM369" s="10"/>
      <c r="JJN369" s="21"/>
      <c r="JJO369" s="21"/>
      <c r="JJR369" s="21"/>
      <c r="JJS369" s="15"/>
      <c r="JJT369" s="15"/>
      <c r="JJU369" s="15"/>
      <c r="JJV369" s="15"/>
      <c r="JJW369" s="15"/>
      <c r="JJX369" s="15"/>
      <c r="JJY369" s="15"/>
      <c r="JJZ369" s="15"/>
      <c r="JKA369" s="15"/>
      <c r="JKB369" s="15"/>
      <c r="JKC369" s="10"/>
      <c r="JKD369" s="10"/>
      <c r="JKE369" s="21"/>
      <c r="JKF369" s="21"/>
      <c r="JKI369" s="21"/>
      <c r="JKJ369" s="15"/>
      <c r="JKK369" s="15"/>
      <c r="JKL369" s="15"/>
      <c r="JKM369" s="15"/>
      <c r="JKN369" s="15"/>
      <c r="JKO369" s="15"/>
      <c r="JKP369" s="15"/>
      <c r="JKQ369" s="15"/>
      <c r="JKR369" s="15"/>
      <c r="JKS369" s="15"/>
      <c r="JKT369" s="10"/>
      <c r="JKU369" s="10"/>
      <c r="JKV369" s="21"/>
      <c r="JKW369" s="21"/>
      <c r="JKZ369" s="21"/>
      <c r="JLA369" s="15"/>
      <c r="JLB369" s="15"/>
      <c r="JLC369" s="15"/>
      <c r="JLD369" s="15"/>
      <c r="JLE369" s="15"/>
      <c r="JLF369" s="15"/>
      <c r="JLG369" s="15"/>
      <c r="JLH369" s="15"/>
      <c r="JLI369" s="15"/>
      <c r="JLJ369" s="15"/>
      <c r="JLK369" s="10"/>
      <c r="JLL369" s="10"/>
      <c r="JLM369" s="21"/>
      <c r="JLN369" s="21"/>
      <c r="JLQ369" s="21"/>
      <c r="JLR369" s="15"/>
      <c r="JLS369" s="15"/>
      <c r="JLT369" s="15"/>
      <c r="JLU369" s="15"/>
      <c r="JLV369" s="15"/>
      <c r="JLW369" s="15"/>
      <c r="JLX369" s="15"/>
      <c r="JLY369" s="15"/>
      <c r="JLZ369" s="15"/>
      <c r="JMA369" s="15"/>
      <c r="JMB369" s="10"/>
      <c r="JMC369" s="10"/>
      <c r="JMD369" s="21"/>
      <c r="JME369" s="21"/>
      <c r="JMH369" s="21"/>
      <c r="JMI369" s="15"/>
      <c r="JMJ369" s="15"/>
      <c r="JMK369" s="15"/>
      <c r="JML369" s="15"/>
      <c r="JMM369" s="15"/>
      <c r="JMN369" s="15"/>
      <c r="JMO369" s="15"/>
      <c r="JMP369" s="15"/>
      <c r="JMQ369" s="15"/>
      <c r="JMR369" s="15"/>
      <c r="JMS369" s="10"/>
      <c r="JMT369" s="10"/>
      <c r="JMU369" s="21"/>
      <c r="JMV369" s="21"/>
      <c r="JMY369" s="21"/>
      <c r="JMZ369" s="15"/>
      <c r="JNA369" s="15"/>
      <c r="JNB369" s="15"/>
      <c r="JNC369" s="15"/>
      <c r="JND369" s="15"/>
      <c r="JNE369" s="15"/>
      <c r="JNF369" s="15"/>
      <c r="JNG369" s="15"/>
      <c r="JNH369" s="15"/>
      <c r="JNI369" s="15"/>
      <c r="JNJ369" s="10"/>
      <c r="JNK369" s="10"/>
      <c r="JNL369" s="21"/>
      <c r="JNM369" s="21"/>
      <c r="JNP369" s="21"/>
      <c r="JNQ369" s="15"/>
      <c r="JNR369" s="15"/>
      <c r="JNS369" s="15"/>
      <c r="JNT369" s="15"/>
      <c r="JNU369" s="15"/>
      <c r="JNV369" s="15"/>
      <c r="JNW369" s="15"/>
      <c r="JNX369" s="15"/>
      <c r="JNY369" s="15"/>
      <c r="JNZ369" s="15"/>
      <c r="JOA369" s="10"/>
      <c r="JOB369" s="10"/>
      <c r="JOC369" s="21"/>
      <c r="JOD369" s="21"/>
      <c r="JOG369" s="21"/>
      <c r="JOH369" s="15"/>
      <c r="JOI369" s="15"/>
      <c r="JOJ369" s="15"/>
      <c r="JOK369" s="15"/>
      <c r="JOL369" s="15"/>
      <c r="JOM369" s="15"/>
      <c r="JON369" s="15"/>
      <c r="JOO369" s="15"/>
      <c r="JOP369" s="15"/>
      <c r="JOQ369" s="15"/>
      <c r="JOR369" s="10"/>
      <c r="JOS369" s="10"/>
      <c r="JOT369" s="21"/>
      <c r="JOU369" s="21"/>
      <c r="JOX369" s="21"/>
      <c r="JOY369" s="15"/>
      <c r="JOZ369" s="15"/>
      <c r="JPA369" s="15"/>
      <c r="JPB369" s="15"/>
      <c r="JPC369" s="15"/>
      <c r="JPD369" s="15"/>
      <c r="JPE369" s="15"/>
      <c r="JPF369" s="15"/>
      <c r="JPG369" s="15"/>
      <c r="JPH369" s="15"/>
      <c r="JPI369" s="10"/>
      <c r="JPJ369" s="10"/>
      <c r="JPK369" s="21"/>
      <c r="JPL369" s="21"/>
      <c r="JPO369" s="21"/>
      <c r="JPP369" s="15"/>
      <c r="JPQ369" s="15"/>
      <c r="JPR369" s="15"/>
      <c r="JPS369" s="15"/>
      <c r="JPT369" s="15"/>
      <c r="JPU369" s="15"/>
      <c r="JPV369" s="15"/>
      <c r="JPW369" s="15"/>
      <c r="JPX369" s="15"/>
      <c r="JPY369" s="15"/>
      <c r="JPZ369" s="10"/>
      <c r="JQA369" s="10"/>
      <c r="JQB369" s="21"/>
      <c r="JQC369" s="21"/>
      <c r="JQF369" s="21"/>
      <c r="JQG369" s="15"/>
      <c r="JQH369" s="15"/>
      <c r="JQI369" s="15"/>
      <c r="JQJ369" s="15"/>
      <c r="JQK369" s="15"/>
      <c r="JQL369" s="15"/>
      <c r="JQM369" s="15"/>
      <c r="JQN369" s="15"/>
      <c r="JQO369" s="15"/>
      <c r="JQP369" s="15"/>
      <c r="JQQ369" s="10"/>
      <c r="JQR369" s="10"/>
      <c r="JQS369" s="21"/>
      <c r="JQT369" s="21"/>
      <c r="JQW369" s="21"/>
      <c r="JQX369" s="15"/>
      <c r="JQY369" s="15"/>
      <c r="JQZ369" s="15"/>
      <c r="JRA369" s="15"/>
      <c r="JRB369" s="15"/>
      <c r="JRC369" s="15"/>
      <c r="JRD369" s="15"/>
      <c r="JRE369" s="15"/>
      <c r="JRF369" s="15"/>
      <c r="JRG369" s="15"/>
      <c r="JRH369" s="10"/>
      <c r="JRI369" s="10"/>
      <c r="JRJ369" s="21"/>
      <c r="JRK369" s="21"/>
      <c r="JRN369" s="21"/>
      <c r="JRO369" s="15"/>
      <c r="JRP369" s="15"/>
      <c r="JRQ369" s="15"/>
      <c r="JRR369" s="15"/>
      <c r="JRS369" s="15"/>
      <c r="JRT369" s="15"/>
      <c r="JRU369" s="15"/>
      <c r="JRV369" s="15"/>
      <c r="JRW369" s="15"/>
      <c r="JRX369" s="15"/>
      <c r="JRY369" s="10"/>
      <c r="JRZ369" s="10"/>
      <c r="JSA369" s="21"/>
      <c r="JSB369" s="21"/>
      <c r="JSE369" s="21"/>
      <c r="JSF369" s="15"/>
      <c r="JSG369" s="15"/>
      <c r="JSH369" s="15"/>
      <c r="JSI369" s="15"/>
      <c r="JSJ369" s="15"/>
      <c r="JSK369" s="15"/>
      <c r="JSL369" s="15"/>
      <c r="JSM369" s="15"/>
      <c r="JSN369" s="15"/>
      <c r="JSO369" s="15"/>
      <c r="JSP369" s="10"/>
      <c r="JSQ369" s="10"/>
      <c r="JSR369" s="21"/>
      <c r="JSS369" s="21"/>
      <c r="JSV369" s="21"/>
      <c r="JSW369" s="15"/>
      <c r="JSX369" s="15"/>
      <c r="JSY369" s="15"/>
      <c r="JSZ369" s="15"/>
      <c r="JTA369" s="15"/>
      <c r="JTB369" s="15"/>
      <c r="JTC369" s="15"/>
      <c r="JTD369" s="15"/>
      <c r="JTE369" s="15"/>
      <c r="JTF369" s="15"/>
      <c r="JTG369" s="10"/>
      <c r="JTH369" s="10"/>
      <c r="JTI369" s="21"/>
      <c r="JTJ369" s="21"/>
      <c r="JTM369" s="21"/>
      <c r="JTN369" s="15"/>
      <c r="JTO369" s="15"/>
      <c r="JTP369" s="15"/>
      <c r="JTQ369" s="15"/>
      <c r="JTR369" s="15"/>
      <c r="JTS369" s="15"/>
      <c r="JTT369" s="15"/>
      <c r="JTU369" s="15"/>
      <c r="JTV369" s="15"/>
      <c r="JTW369" s="15"/>
      <c r="JTX369" s="10"/>
      <c r="JTY369" s="10"/>
      <c r="JTZ369" s="21"/>
      <c r="JUA369" s="21"/>
      <c r="JUD369" s="21"/>
      <c r="JUE369" s="15"/>
      <c r="JUF369" s="15"/>
      <c r="JUG369" s="15"/>
      <c r="JUH369" s="15"/>
      <c r="JUI369" s="15"/>
      <c r="JUJ369" s="15"/>
      <c r="JUK369" s="15"/>
      <c r="JUL369" s="15"/>
      <c r="JUM369" s="15"/>
      <c r="JUN369" s="15"/>
      <c r="JUO369" s="10"/>
      <c r="JUP369" s="10"/>
      <c r="JUQ369" s="21"/>
      <c r="JUR369" s="21"/>
      <c r="JUU369" s="21"/>
      <c r="JUV369" s="15"/>
      <c r="JUW369" s="15"/>
      <c r="JUX369" s="15"/>
      <c r="JUY369" s="15"/>
      <c r="JUZ369" s="15"/>
      <c r="JVA369" s="15"/>
      <c r="JVB369" s="15"/>
      <c r="JVC369" s="15"/>
      <c r="JVD369" s="15"/>
      <c r="JVE369" s="15"/>
      <c r="JVF369" s="10"/>
      <c r="JVG369" s="10"/>
      <c r="JVH369" s="21"/>
      <c r="JVI369" s="21"/>
      <c r="JVL369" s="21"/>
      <c r="JVM369" s="15"/>
      <c r="JVN369" s="15"/>
      <c r="JVO369" s="15"/>
      <c r="JVP369" s="15"/>
      <c r="JVQ369" s="15"/>
      <c r="JVR369" s="15"/>
      <c r="JVS369" s="15"/>
      <c r="JVT369" s="15"/>
      <c r="JVU369" s="15"/>
      <c r="JVV369" s="15"/>
      <c r="JVW369" s="10"/>
      <c r="JVX369" s="10"/>
      <c r="JVY369" s="21"/>
      <c r="JVZ369" s="21"/>
      <c r="JWC369" s="21"/>
      <c r="JWD369" s="15"/>
      <c r="JWE369" s="15"/>
      <c r="JWF369" s="15"/>
      <c r="JWG369" s="15"/>
      <c r="JWH369" s="15"/>
      <c r="JWI369" s="15"/>
      <c r="JWJ369" s="15"/>
      <c r="JWK369" s="15"/>
      <c r="JWL369" s="15"/>
      <c r="JWM369" s="15"/>
      <c r="JWN369" s="10"/>
      <c r="JWO369" s="10"/>
      <c r="JWP369" s="21"/>
      <c r="JWQ369" s="21"/>
      <c r="JWT369" s="21"/>
      <c r="JWU369" s="15"/>
      <c r="JWV369" s="15"/>
      <c r="JWW369" s="15"/>
      <c r="JWX369" s="15"/>
      <c r="JWY369" s="15"/>
      <c r="JWZ369" s="15"/>
      <c r="JXA369" s="15"/>
      <c r="JXB369" s="15"/>
      <c r="JXC369" s="15"/>
      <c r="JXD369" s="15"/>
      <c r="JXE369" s="10"/>
      <c r="JXF369" s="10"/>
      <c r="JXG369" s="21"/>
      <c r="JXH369" s="21"/>
      <c r="JXK369" s="21"/>
      <c r="JXL369" s="15"/>
      <c r="JXM369" s="15"/>
      <c r="JXN369" s="15"/>
      <c r="JXO369" s="15"/>
      <c r="JXP369" s="15"/>
      <c r="JXQ369" s="15"/>
      <c r="JXR369" s="15"/>
      <c r="JXS369" s="15"/>
      <c r="JXT369" s="15"/>
      <c r="JXU369" s="15"/>
      <c r="JXV369" s="10"/>
      <c r="JXW369" s="10"/>
      <c r="JXX369" s="21"/>
      <c r="JXY369" s="21"/>
      <c r="JYB369" s="21"/>
      <c r="JYC369" s="15"/>
      <c r="JYD369" s="15"/>
      <c r="JYE369" s="15"/>
      <c r="JYF369" s="15"/>
      <c r="JYG369" s="15"/>
      <c r="JYH369" s="15"/>
      <c r="JYI369" s="15"/>
      <c r="JYJ369" s="15"/>
      <c r="JYK369" s="15"/>
      <c r="JYL369" s="15"/>
      <c r="JYM369" s="10"/>
      <c r="JYN369" s="10"/>
      <c r="JYO369" s="21"/>
      <c r="JYP369" s="21"/>
      <c r="JYS369" s="21"/>
      <c r="JYT369" s="15"/>
      <c r="JYU369" s="15"/>
      <c r="JYV369" s="15"/>
      <c r="JYW369" s="15"/>
      <c r="JYX369" s="15"/>
      <c r="JYY369" s="15"/>
      <c r="JYZ369" s="15"/>
      <c r="JZA369" s="15"/>
      <c r="JZB369" s="15"/>
      <c r="JZC369" s="15"/>
      <c r="JZD369" s="10"/>
      <c r="JZE369" s="10"/>
      <c r="JZF369" s="21"/>
      <c r="JZG369" s="21"/>
      <c r="JZJ369" s="21"/>
      <c r="JZK369" s="15"/>
      <c r="JZL369" s="15"/>
      <c r="JZM369" s="15"/>
      <c r="JZN369" s="15"/>
      <c r="JZO369" s="15"/>
      <c r="JZP369" s="15"/>
      <c r="JZQ369" s="15"/>
      <c r="JZR369" s="15"/>
      <c r="JZS369" s="15"/>
      <c r="JZT369" s="15"/>
      <c r="JZU369" s="10"/>
      <c r="JZV369" s="10"/>
      <c r="JZW369" s="21"/>
      <c r="JZX369" s="21"/>
      <c r="KAA369" s="21"/>
      <c r="KAB369" s="15"/>
      <c r="KAC369" s="15"/>
      <c r="KAD369" s="15"/>
      <c r="KAE369" s="15"/>
      <c r="KAF369" s="15"/>
      <c r="KAG369" s="15"/>
      <c r="KAH369" s="15"/>
      <c r="KAI369" s="15"/>
      <c r="KAJ369" s="15"/>
      <c r="KAK369" s="15"/>
      <c r="KAL369" s="10"/>
      <c r="KAM369" s="10"/>
      <c r="KAN369" s="21"/>
      <c r="KAO369" s="21"/>
      <c r="KAR369" s="21"/>
      <c r="KAS369" s="15"/>
      <c r="KAT369" s="15"/>
      <c r="KAU369" s="15"/>
      <c r="KAV369" s="15"/>
      <c r="KAW369" s="15"/>
      <c r="KAX369" s="15"/>
      <c r="KAY369" s="15"/>
      <c r="KAZ369" s="15"/>
      <c r="KBA369" s="15"/>
      <c r="KBB369" s="15"/>
      <c r="KBC369" s="10"/>
      <c r="KBD369" s="10"/>
      <c r="KBE369" s="21"/>
      <c r="KBF369" s="21"/>
      <c r="KBI369" s="21"/>
      <c r="KBJ369" s="15"/>
      <c r="KBK369" s="15"/>
      <c r="KBL369" s="15"/>
      <c r="KBM369" s="15"/>
      <c r="KBN369" s="15"/>
      <c r="KBO369" s="15"/>
      <c r="KBP369" s="15"/>
      <c r="KBQ369" s="15"/>
      <c r="KBR369" s="15"/>
      <c r="KBS369" s="15"/>
      <c r="KBT369" s="10"/>
      <c r="KBU369" s="10"/>
      <c r="KBV369" s="21"/>
      <c r="KBW369" s="21"/>
      <c r="KBZ369" s="21"/>
      <c r="KCA369" s="15"/>
      <c r="KCB369" s="15"/>
      <c r="KCC369" s="15"/>
      <c r="KCD369" s="15"/>
      <c r="KCE369" s="15"/>
      <c r="KCF369" s="15"/>
      <c r="KCG369" s="15"/>
      <c r="KCH369" s="15"/>
      <c r="KCI369" s="15"/>
      <c r="KCJ369" s="15"/>
      <c r="KCK369" s="10"/>
      <c r="KCL369" s="10"/>
      <c r="KCM369" s="21"/>
      <c r="KCN369" s="21"/>
      <c r="KCQ369" s="21"/>
      <c r="KCR369" s="15"/>
      <c r="KCS369" s="15"/>
      <c r="KCT369" s="15"/>
      <c r="KCU369" s="15"/>
      <c r="KCV369" s="15"/>
      <c r="KCW369" s="15"/>
      <c r="KCX369" s="15"/>
      <c r="KCY369" s="15"/>
      <c r="KCZ369" s="15"/>
      <c r="KDA369" s="15"/>
      <c r="KDB369" s="10"/>
      <c r="KDC369" s="10"/>
      <c r="KDD369" s="21"/>
      <c r="KDE369" s="21"/>
      <c r="KDH369" s="21"/>
      <c r="KDI369" s="15"/>
      <c r="KDJ369" s="15"/>
      <c r="KDK369" s="15"/>
      <c r="KDL369" s="15"/>
      <c r="KDM369" s="15"/>
      <c r="KDN369" s="15"/>
      <c r="KDO369" s="15"/>
      <c r="KDP369" s="15"/>
      <c r="KDQ369" s="15"/>
      <c r="KDR369" s="15"/>
      <c r="KDS369" s="10"/>
      <c r="KDT369" s="10"/>
      <c r="KDU369" s="21"/>
      <c r="KDV369" s="21"/>
      <c r="KDY369" s="21"/>
      <c r="KDZ369" s="15"/>
      <c r="KEA369" s="15"/>
      <c r="KEB369" s="15"/>
      <c r="KEC369" s="15"/>
      <c r="KED369" s="15"/>
      <c r="KEE369" s="15"/>
      <c r="KEF369" s="15"/>
      <c r="KEG369" s="15"/>
      <c r="KEH369" s="15"/>
      <c r="KEI369" s="15"/>
      <c r="KEJ369" s="10"/>
      <c r="KEK369" s="10"/>
      <c r="KEL369" s="21"/>
      <c r="KEM369" s="21"/>
      <c r="KEP369" s="21"/>
      <c r="KEQ369" s="15"/>
      <c r="KER369" s="15"/>
      <c r="KES369" s="15"/>
      <c r="KET369" s="15"/>
      <c r="KEU369" s="15"/>
      <c r="KEV369" s="15"/>
      <c r="KEW369" s="15"/>
      <c r="KEX369" s="15"/>
      <c r="KEY369" s="15"/>
      <c r="KEZ369" s="15"/>
      <c r="KFA369" s="10"/>
      <c r="KFB369" s="10"/>
      <c r="KFC369" s="21"/>
      <c r="KFD369" s="21"/>
      <c r="KFG369" s="21"/>
      <c r="KFH369" s="15"/>
      <c r="KFI369" s="15"/>
      <c r="KFJ369" s="15"/>
      <c r="KFK369" s="15"/>
      <c r="KFL369" s="15"/>
      <c r="KFM369" s="15"/>
      <c r="KFN369" s="15"/>
      <c r="KFO369" s="15"/>
      <c r="KFP369" s="15"/>
      <c r="KFQ369" s="15"/>
      <c r="KFR369" s="10"/>
      <c r="KFS369" s="10"/>
      <c r="KFT369" s="21"/>
      <c r="KFU369" s="21"/>
      <c r="KFX369" s="21"/>
      <c r="KFY369" s="15"/>
      <c r="KFZ369" s="15"/>
      <c r="KGA369" s="15"/>
      <c r="KGB369" s="15"/>
      <c r="KGC369" s="15"/>
      <c r="KGD369" s="15"/>
      <c r="KGE369" s="15"/>
      <c r="KGF369" s="15"/>
      <c r="KGG369" s="15"/>
      <c r="KGH369" s="15"/>
      <c r="KGI369" s="10"/>
      <c r="KGJ369" s="10"/>
      <c r="KGK369" s="21"/>
      <c r="KGL369" s="21"/>
      <c r="KGO369" s="21"/>
      <c r="KGP369" s="15"/>
      <c r="KGQ369" s="15"/>
      <c r="KGR369" s="15"/>
      <c r="KGS369" s="15"/>
      <c r="KGT369" s="15"/>
      <c r="KGU369" s="15"/>
      <c r="KGV369" s="15"/>
      <c r="KGW369" s="15"/>
      <c r="KGX369" s="15"/>
      <c r="KGY369" s="15"/>
      <c r="KGZ369" s="10"/>
      <c r="KHA369" s="10"/>
      <c r="KHB369" s="21"/>
      <c r="KHC369" s="21"/>
      <c r="KHF369" s="21"/>
      <c r="KHG369" s="15"/>
      <c r="KHH369" s="15"/>
      <c r="KHI369" s="15"/>
      <c r="KHJ369" s="15"/>
      <c r="KHK369" s="15"/>
      <c r="KHL369" s="15"/>
      <c r="KHM369" s="15"/>
      <c r="KHN369" s="15"/>
      <c r="KHO369" s="15"/>
      <c r="KHP369" s="15"/>
      <c r="KHQ369" s="10"/>
      <c r="KHR369" s="10"/>
      <c r="KHS369" s="21"/>
      <c r="KHT369" s="21"/>
      <c r="KHW369" s="21"/>
      <c r="KHX369" s="15"/>
      <c r="KHY369" s="15"/>
      <c r="KHZ369" s="15"/>
      <c r="KIA369" s="15"/>
      <c r="KIB369" s="15"/>
      <c r="KIC369" s="15"/>
      <c r="KID369" s="15"/>
      <c r="KIE369" s="15"/>
      <c r="KIF369" s="15"/>
      <c r="KIG369" s="15"/>
      <c r="KIH369" s="10"/>
      <c r="KII369" s="10"/>
      <c r="KIJ369" s="21"/>
      <c r="KIK369" s="21"/>
      <c r="KIN369" s="21"/>
      <c r="KIO369" s="15"/>
      <c r="KIP369" s="15"/>
      <c r="KIQ369" s="15"/>
      <c r="KIR369" s="15"/>
      <c r="KIS369" s="15"/>
      <c r="KIT369" s="15"/>
      <c r="KIU369" s="15"/>
      <c r="KIV369" s="15"/>
      <c r="KIW369" s="15"/>
      <c r="KIX369" s="15"/>
      <c r="KIY369" s="10"/>
      <c r="KIZ369" s="10"/>
      <c r="KJA369" s="21"/>
      <c r="KJB369" s="21"/>
      <c r="KJE369" s="21"/>
      <c r="KJF369" s="15"/>
      <c r="KJG369" s="15"/>
      <c r="KJH369" s="15"/>
      <c r="KJI369" s="15"/>
      <c r="KJJ369" s="15"/>
      <c r="KJK369" s="15"/>
      <c r="KJL369" s="15"/>
      <c r="KJM369" s="15"/>
      <c r="KJN369" s="15"/>
      <c r="KJO369" s="15"/>
      <c r="KJP369" s="10"/>
      <c r="KJQ369" s="10"/>
      <c r="KJR369" s="21"/>
      <c r="KJS369" s="21"/>
      <c r="KJV369" s="21"/>
      <c r="KJW369" s="15"/>
      <c r="KJX369" s="15"/>
      <c r="KJY369" s="15"/>
      <c r="KJZ369" s="15"/>
      <c r="KKA369" s="15"/>
      <c r="KKB369" s="15"/>
      <c r="KKC369" s="15"/>
      <c r="KKD369" s="15"/>
      <c r="KKE369" s="15"/>
      <c r="KKF369" s="15"/>
      <c r="KKG369" s="10"/>
      <c r="KKH369" s="10"/>
      <c r="KKI369" s="21"/>
      <c r="KKJ369" s="21"/>
      <c r="KKM369" s="21"/>
      <c r="KKN369" s="15"/>
      <c r="KKO369" s="15"/>
      <c r="KKP369" s="15"/>
      <c r="KKQ369" s="15"/>
      <c r="KKR369" s="15"/>
      <c r="KKS369" s="15"/>
      <c r="KKT369" s="15"/>
      <c r="KKU369" s="15"/>
      <c r="KKV369" s="15"/>
      <c r="KKW369" s="15"/>
      <c r="KKX369" s="10"/>
      <c r="KKY369" s="10"/>
      <c r="KKZ369" s="21"/>
      <c r="KLA369" s="21"/>
      <c r="KLD369" s="21"/>
      <c r="KLE369" s="15"/>
      <c r="KLF369" s="15"/>
      <c r="KLG369" s="15"/>
      <c r="KLH369" s="15"/>
      <c r="KLI369" s="15"/>
      <c r="KLJ369" s="15"/>
      <c r="KLK369" s="15"/>
      <c r="KLL369" s="15"/>
      <c r="KLM369" s="15"/>
      <c r="KLN369" s="15"/>
      <c r="KLO369" s="10"/>
      <c r="KLP369" s="10"/>
      <c r="KLQ369" s="21"/>
      <c r="KLR369" s="21"/>
      <c r="KLU369" s="21"/>
      <c r="KLV369" s="15"/>
      <c r="KLW369" s="15"/>
      <c r="KLX369" s="15"/>
      <c r="KLY369" s="15"/>
      <c r="KLZ369" s="15"/>
      <c r="KMA369" s="15"/>
      <c r="KMB369" s="15"/>
      <c r="KMC369" s="15"/>
      <c r="KMD369" s="15"/>
      <c r="KME369" s="15"/>
      <c r="KMF369" s="10"/>
      <c r="KMG369" s="10"/>
      <c r="KMH369" s="21"/>
      <c r="KMI369" s="21"/>
      <c r="KML369" s="21"/>
      <c r="KMM369" s="15"/>
      <c r="KMN369" s="15"/>
      <c r="KMO369" s="15"/>
      <c r="KMP369" s="15"/>
      <c r="KMQ369" s="15"/>
      <c r="KMR369" s="15"/>
      <c r="KMS369" s="15"/>
      <c r="KMT369" s="15"/>
      <c r="KMU369" s="15"/>
      <c r="KMV369" s="15"/>
      <c r="KMW369" s="10"/>
      <c r="KMX369" s="10"/>
      <c r="KMY369" s="21"/>
      <c r="KMZ369" s="21"/>
      <c r="KNC369" s="21"/>
      <c r="KND369" s="15"/>
      <c r="KNE369" s="15"/>
      <c r="KNF369" s="15"/>
      <c r="KNG369" s="15"/>
      <c r="KNH369" s="15"/>
      <c r="KNI369" s="15"/>
      <c r="KNJ369" s="15"/>
      <c r="KNK369" s="15"/>
      <c r="KNL369" s="15"/>
      <c r="KNM369" s="15"/>
      <c r="KNN369" s="10"/>
      <c r="KNO369" s="10"/>
      <c r="KNP369" s="21"/>
      <c r="KNQ369" s="21"/>
      <c r="KNT369" s="21"/>
      <c r="KNU369" s="15"/>
      <c r="KNV369" s="15"/>
      <c r="KNW369" s="15"/>
      <c r="KNX369" s="15"/>
      <c r="KNY369" s="15"/>
      <c r="KNZ369" s="15"/>
      <c r="KOA369" s="15"/>
      <c r="KOB369" s="15"/>
      <c r="KOC369" s="15"/>
      <c r="KOD369" s="15"/>
      <c r="KOE369" s="10"/>
      <c r="KOF369" s="10"/>
      <c r="KOG369" s="21"/>
      <c r="KOH369" s="21"/>
      <c r="KOK369" s="21"/>
      <c r="KOL369" s="15"/>
      <c r="KOM369" s="15"/>
      <c r="KON369" s="15"/>
      <c r="KOO369" s="15"/>
      <c r="KOP369" s="15"/>
      <c r="KOQ369" s="15"/>
      <c r="KOR369" s="15"/>
      <c r="KOS369" s="15"/>
      <c r="KOT369" s="15"/>
      <c r="KOU369" s="15"/>
      <c r="KOV369" s="10"/>
      <c r="KOW369" s="10"/>
      <c r="KOX369" s="21"/>
      <c r="KOY369" s="21"/>
      <c r="KPB369" s="21"/>
      <c r="KPC369" s="15"/>
      <c r="KPD369" s="15"/>
      <c r="KPE369" s="15"/>
      <c r="KPF369" s="15"/>
      <c r="KPG369" s="15"/>
      <c r="KPH369" s="15"/>
      <c r="KPI369" s="15"/>
      <c r="KPJ369" s="15"/>
      <c r="KPK369" s="15"/>
      <c r="KPL369" s="15"/>
      <c r="KPM369" s="10"/>
      <c r="KPN369" s="10"/>
      <c r="KPO369" s="21"/>
      <c r="KPP369" s="21"/>
      <c r="KPS369" s="21"/>
      <c r="KPT369" s="15"/>
      <c r="KPU369" s="15"/>
      <c r="KPV369" s="15"/>
      <c r="KPW369" s="15"/>
      <c r="KPX369" s="15"/>
      <c r="KPY369" s="15"/>
      <c r="KPZ369" s="15"/>
      <c r="KQA369" s="15"/>
      <c r="KQB369" s="15"/>
      <c r="KQC369" s="15"/>
      <c r="KQD369" s="10"/>
      <c r="KQE369" s="10"/>
      <c r="KQF369" s="21"/>
      <c r="KQG369" s="21"/>
      <c r="KQJ369" s="21"/>
      <c r="KQK369" s="15"/>
      <c r="KQL369" s="15"/>
      <c r="KQM369" s="15"/>
      <c r="KQN369" s="15"/>
      <c r="KQO369" s="15"/>
      <c r="KQP369" s="15"/>
      <c r="KQQ369" s="15"/>
      <c r="KQR369" s="15"/>
      <c r="KQS369" s="15"/>
      <c r="KQT369" s="15"/>
      <c r="KQU369" s="10"/>
      <c r="KQV369" s="10"/>
      <c r="KQW369" s="21"/>
      <c r="KQX369" s="21"/>
      <c r="KRA369" s="21"/>
      <c r="KRB369" s="15"/>
      <c r="KRC369" s="15"/>
      <c r="KRD369" s="15"/>
      <c r="KRE369" s="15"/>
      <c r="KRF369" s="15"/>
      <c r="KRG369" s="15"/>
      <c r="KRH369" s="15"/>
      <c r="KRI369" s="15"/>
      <c r="KRJ369" s="15"/>
      <c r="KRK369" s="15"/>
      <c r="KRL369" s="10"/>
      <c r="KRM369" s="10"/>
      <c r="KRN369" s="21"/>
      <c r="KRO369" s="21"/>
      <c r="KRR369" s="21"/>
      <c r="KRS369" s="15"/>
      <c r="KRT369" s="15"/>
      <c r="KRU369" s="15"/>
      <c r="KRV369" s="15"/>
      <c r="KRW369" s="15"/>
      <c r="KRX369" s="15"/>
      <c r="KRY369" s="15"/>
      <c r="KRZ369" s="15"/>
      <c r="KSA369" s="15"/>
      <c r="KSB369" s="15"/>
      <c r="KSC369" s="10"/>
      <c r="KSD369" s="10"/>
      <c r="KSE369" s="21"/>
      <c r="KSF369" s="21"/>
      <c r="KSI369" s="21"/>
      <c r="KSJ369" s="15"/>
      <c r="KSK369" s="15"/>
      <c r="KSL369" s="15"/>
      <c r="KSM369" s="15"/>
      <c r="KSN369" s="15"/>
      <c r="KSO369" s="15"/>
      <c r="KSP369" s="15"/>
      <c r="KSQ369" s="15"/>
      <c r="KSR369" s="15"/>
      <c r="KSS369" s="15"/>
      <c r="KST369" s="10"/>
      <c r="KSU369" s="10"/>
      <c r="KSV369" s="21"/>
      <c r="KSW369" s="21"/>
      <c r="KSZ369" s="21"/>
      <c r="KTA369" s="15"/>
      <c r="KTB369" s="15"/>
      <c r="KTC369" s="15"/>
      <c r="KTD369" s="15"/>
      <c r="KTE369" s="15"/>
      <c r="KTF369" s="15"/>
      <c r="KTG369" s="15"/>
      <c r="KTH369" s="15"/>
      <c r="KTI369" s="15"/>
      <c r="KTJ369" s="15"/>
      <c r="KTK369" s="10"/>
      <c r="KTL369" s="10"/>
      <c r="KTM369" s="21"/>
      <c r="KTN369" s="21"/>
      <c r="KTQ369" s="21"/>
      <c r="KTR369" s="15"/>
      <c r="KTS369" s="15"/>
      <c r="KTT369" s="15"/>
      <c r="KTU369" s="15"/>
      <c r="KTV369" s="15"/>
      <c r="KTW369" s="15"/>
      <c r="KTX369" s="15"/>
      <c r="KTY369" s="15"/>
      <c r="KTZ369" s="15"/>
      <c r="KUA369" s="15"/>
      <c r="KUB369" s="10"/>
      <c r="KUC369" s="10"/>
      <c r="KUD369" s="21"/>
      <c r="KUE369" s="21"/>
      <c r="KUH369" s="21"/>
      <c r="KUI369" s="15"/>
      <c r="KUJ369" s="15"/>
      <c r="KUK369" s="15"/>
      <c r="KUL369" s="15"/>
      <c r="KUM369" s="15"/>
      <c r="KUN369" s="15"/>
      <c r="KUO369" s="15"/>
      <c r="KUP369" s="15"/>
      <c r="KUQ369" s="15"/>
      <c r="KUR369" s="15"/>
      <c r="KUS369" s="10"/>
      <c r="KUT369" s="10"/>
      <c r="KUU369" s="21"/>
      <c r="KUV369" s="21"/>
      <c r="KUY369" s="21"/>
      <c r="KUZ369" s="15"/>
      <c r="KVA369" s="15"/>
      <c r="KVB369" s="15"/>
      <c r="KVC369" s="15"/>
      <c r="KVD369" s="15"/>
      <c r="KVE369" s="15"/>
      <c r="KVF369" s="15"/>
      <c r="KVG369" s="15"/>
      <c r="KVH369" s="15"/>
      <c r="KVI369" s="15"/>
      <c r="KVJ369" s="10"/>
      <c r="KVK369" s="10"/>
      <c r="KVL369" s="21"/>
      <c r="KVM369" s="21"/>
      <c r="KVP369" s="21"/>
      <c r="KVQ369" s="15"/>
      <c r="KVR369" s="15"/>
      <c r="KVS369" s="15"/>
      <c r="KVT369" s="15"/>
      <c r="KVU369" s="15"/>
      <c r="KVV369" s="15"/>
      <c r="KVW369" s="15"/>
      <c r="KVX369" s="15"/>
      <c r="KVY369" s="15"/>
      <c r="KVZ369" s="15"/>
      <c r="KWA369" s="10"/>
      <c r="KWB369" s="10"/>
      <c r="KWC369" s="21"/>
      <c r="KWD369" s="21"/>
      <c r="KWG369" s="21"/>
      <c r="KWH369" s="15"/>
      <c r="KWI369" s="15"/>
      <c r="KWJ369" s="15"/>
      <c r="KWK369" s="15"/>
      <c r="KWL369" s="15"/>
      <c r="KWM369" s="15"/>
      <c r="KWN369" s="15"/>
      <c r="KWO369" s="15"/>
      <c r="KWP369" s="15"/>
      <c r="KWQ369" s="15"/>
      <c r="KWR369" s="10"/>
      <c r="KWS369" s="10"/>
      <c r="KWT369" s="21"/>
      <c r="KWU369" s="21"/>
      <c r="KWX369" s="21"/>
      <c r="KWY369" s="15"/>
      <c r="KWZ369" s="15"/>
      <c r="KXA369" s="15"/>
      <c r="KXB369" s="15"/>
      <c r="KXC369" s="15"/>
      <c r="KXD369" s="15"/>
      <c r="KXE369" s="15"/>
      <c r="KXF369" s="15"/>
      <c r="KXG369" s="15"/>
      <c r="KXH369" s="15"/>
      <c r="KXI369" s="10"/>
      <c r="KXJ369" s="10"/>
      <c r="KXK369" s="21"/>
      <c r="KXL369" s="21"/>
      <c r="KXO369" s="21"/>
      <c r="KXP369" s="15"/>
      <c r="KXQ369" s="15"/>
      <c r="KXR369" s="15"/>
      <c r="KXS369" s="15"/>
      <c r="KXT369" s="15"/>
      <c r="KXU369" s="15"/>
      <c r="KXV369" s="15"/>
      <c r="KXW369" s="15"/>
      <c r="KXX369" s="15"/>
      <c r="KXY369" s="15"/>
      <c r="KXZ369" s="10"/>
      <c r="KYA369" s="10"/>
      <c r="KYB369" s="21"/>
      <c r="KYC369" s="21"/>
      <c r="KYF369" s="21"/>
      <c r="KYG369" s="15"/>
      <c r="KYH369" s="15"/>
      <c r="KYI369" s="15"/>
      <c r="KYJ369" s="15"/>
      <c r="KYK369" s="15"/>
      <c r="KYL369" s="15"/>
      <c r="KYM369" s="15"/>
      <c r="KYN369" s="15"/>
      <c r="KYO369" s="15"/>
      <c r="KYP369" s="15"/>
      <c r="KYQ369" s="10"/>
      <c r="KYR369" s="10"/>
      <c r="KYS369" s="21"/>
      <c r="KYT369" s="21"/>
      <c r="KYW369" s="21"/>
      <c r="KYX369" s="15"/>
      <c r="KYY369" s="15"/>
      <c r="KYZ369" s="15"/>
      <c r="KZA369" s="15"/>
      <c r="KZB369" s="15"/>
      <c r="KZC369" s="15"/>
      <c r="KZD369" s="15"/>
      <c r="KZE369" s="15"/>
      <c r="KZF369" s="15"/>
      <c r="KZG369" s="15"/>
      <c r="KZH369" s="10"/>
      <c r="KZI369" s="10"/>
      <c r="KZJ369" s="21"/>
      <c r="KZK369" s="21"/>
      <c r="KZN369" s="21"/>
      <c r="KZO369" s="15"/>
      <c r="KZP369" s="15"/>
      <c r="KZQ369" s="15"/>
      <c r="KZR369" s="15"/>
      <c r="KZS369" s="15"/>
      <c r="KZT369" s="15"/>
      <c r="KZU369" s="15"/>
      <c r="KZV369" s="15"/>
      <c r="KZW369" s="15"/>
      <c r="KZX369" s="15"/>
      <c r="KZY369" s="10"/>
      <c r="KZZ369" s="10"/>
      <c r="LAA369" s="21"/>
      <c r="LAB369" s="21"/>
      <c r="LAE369" s="21"/>
      <c r="LAF369" s="15"/>
      <c r="LAG369" s="15"/>
      <c r="LAH369" s="15"/>
      <c r="LAI369" s="15"/>
      <c r="LAJ369" s="15"/>
      <c r="LAK369" s="15"/>
      <c r="LAL369" s="15"/>
      <c r="LAM369" s="15"/>
      <c r="LAN369" s="15"/>
      <c r="LAO369" s="15"/>
      <c r="LAP369" s="10"/>
      <c r="LAQ369" s="10"/>
      <c r="LAR369" s="21"/>
      <c r="LAS369" s="21"/>
      <c r="LAV369" s="21"/>
      <c r="LAW369" s="15"/>
      <c r="LAX369" s="15"/>
      <c r="LAY369" s="15"/>
      <c r="LAZ369" s="15"/>
      <c r="LBA369" s="15"/>
      <c r="LBB369" s="15"/>
      <c r="LBC369" s="15"/>
      <c r="LBD369" s="15"/>
      <c r="LBE369" s="15"/>
      <c r="LBF369" s="15"/>
      <c r="LBG369" s="10"/>
      <c r="LBH369" s="10"/>
      <c r="LBI369" s="21"/>
      <c r="LBJ369" s="21"/>
      <c r="LBM369" s="21"/>
      <c r="LBN369" s="15"/>
      <c r="LBO369" s="15"/>
      <c r="LBP369" s="15"/>
      <c r="LBQ369" s="15"/>
      <c r="LBR369" s="15"/>
      <c r="LBS369" s="15"/>
      <c r="LBT369" s="15"/>
      <c r="LBU369" s="15"/>
      <c r="LBV369" s="15"/>
      <c r="LBW369" s="15"/>
      <c r="LBX369" s="10"/>
      <c r="LBY369" s="10"/>
      <c r="LBZ369" s="21"/>
      <c r="LCA369" s="21"/>
      <c r="LCD369" s="21"/>
      <c r="LCE369" s="15"/>
      <c r="LCF369" s="15"/>
      <c r="LCG369" s="15"/>
      <c r="LCH369" s="15"/>
      <c r="LCI369" s="15"/>
      <c r="LCJ369" s="15"/>
      <c r="LCK369" s="15"/>
      <c r="LCL369" s="15"/>
      <c r="LCM369" s="15"/>
      <c r="LCN369" s="15"/>
      <c r="LCO369" s="10"/>
      <c r="LCP369" s="10"/>
      <c r="LCQ369" s="21"/>
      <c r="LCR369" s="21"/>
      <c r="LCU369" s="21"/>
      <c r="LCV369" s="15"/>
      <c r="LCW369" s="15"/>
      <c r="LCX369" s="15"/>
      <c r="LCY369" s="15"/>
      <c r="LCZ369" s="15"/>
      <c r="LDA369" s="15"/>
      <c r="LDB369" s="15"/>
      <c r="LDC369" s="15"/>
      <c r="LDD369" s="15"/>
      <c r="LDE369" s="15"/>
      <c r="LDF369" s="10"/>
      <c r="LDG369" s="10"/>
      <c r="LDH369" s="21"/>
      <c r="LDI369" s="21"/>
      <c r="LDL369" s="21"/>
      <c r="LDM369" s="15"/>
      <c r="LDN369" s="15"/>
      <c r="LDO369" s="15"/>
      <c r="LDP369" s="15"/>
      <c r="LDQ369" s="15"/>
      <c r="LDR369" s="15"/>
      <c r="LDS369" s="15"/>
      <c r="LDT369" s="15"/>
      <c r="LDU369" s="15"/>
      <c r="LDV369" s="15"/>
      <c r="LDW369" s="10"/>
      <c r="LDX369" s="10"/>
      <c r="LDY369" s="21"/>
      <c r="LDZ369" s="21"/>
      <c r="LEC369" s="21"/>
      <c r="LED369" s="15"/>
      <c r="LEE369" s="15"/>
      <c r="LEF369" s="15"/>
      <c r="LEG369" s="15"/>
      <c r="LEH369" s="15"/>
      <c r="LEI369" s="15"/>
      <c r="LEJ369" s="15"/>
      <c r="LEK369" s="15"/>
      <c r="LEL369" s="15"/>
      <c r="LEM369" s="15"/>
      <c r="LEN369" s="10"/>
      <c r="LEO369" s="10"/>
      <c r="LEP369" s="21"/>
      <c r="LEQ369" s="21"/>
      <c r="LET369" s="21"/>
      <c r="LEU369" s="15"/>
      <c r="LEV369" s="15"/>
      <c r="LEW369" s="15"/>
      <c r="LEX369" s="15"/>
      <c r="LEY369" s="15"/>
      <c r="LEZ369" s="15"/>
      <c r="LFA369" s="15"/>
      <c r="LFB369" s="15"/>
      <c r="LFC369" s="15"/>
      <c r="LFD369" s="15"/>
      <c r="LFE369" s="10"/>
      <c r="LFF369" s="10"/>
      <c r="LFG369" s="21"/>
      <c r="LFH369" s="21"/>
      <c r="LFK369" s="21"/>
      <c r="LFL369" s="15"/>
      <c r="LFM369" s="15"/>
      <c r="LFN369" s="15"/>
      <c r="LFO369" s="15"/>
      <c r="LFP369" s="15"/>
      <c r="LFQ369" s="15"/>
      <c r="LFR369" s="15"/>
      <c r="LFS369" s="15"/>
      <c r="LFT369" s="15"/>
      <c r="LFU369" s="15"/>
      <c r="LFV369" s="10"/>
      <c r="LFW369" s="10"/>
      <c r="LFX369" s="21"/>
      <c r="LFY369" s="21"/>
      <c r="LGB369" s="21"/>
      <c r="LGC369" s="15"/>
      <c r="LGD369" s="15"/>
      <c r="LGE369" s="15"/>
      <c r="LGF369" s="15"/>
      <c r="LGG369" s="15"/>
      <c r="LGH369" s="15"/>
      <c r="LGI369" s="15"/>
      <c r="LGJ369" s="15"/>
      <c r="LGK369" s="15"/>
      <c r="LGL369" s="15"/>
      <c r="LGM369" s="10"/>
      <c r="LGN369" s="10"/>
      <c r="LGO369" s="21"/>
      <c r="LGP369" s="21"/>
      <c r="LGS369" s="21"/>
      <c r="LGT369" s="15"/>
      <c r="LGU369" s="15"/>
      <c r="LGV369" s="15"/>
      <c r="LGW369" s="15"/>
      <c r="LGX369" s="15"/>
      <c r="LGY369" s="15"/>
      <c r="LGZ369" s="15"/>
      <c r="LHA369" s="15"/>
      <c r="LHB369" s="15"/>
      <c r="LHC369" s="15"/>
      <c r="LHD369" s="10"/>
      <c r="LHE369" s="10"/>
      <c r="LHF369" s="21"/>
      <c r="LHG369" s="21"/>
      <c r="LHJ369" s="21"/>
      <c r="LHK369" s="15"/>
      <c r="LHL369" s="15"/>
      <c r="LHM369" s="15"/>
      <c r="LHN369" s="15"/>
      <c r="LHO369" s="15"/>
      <c r="LHP369" s="15"/>
      <c r="LHQ369" s="15"/>
      <c r="LHR369" s="15"/>
      <c r="LHS369" s="15"/>
      <c r="LHT369" s="15"/>
      <c r="LHU369" s="10"/>
      <c r="LHV369" s="10"/>
      <c r="LHW369" s="21"/>
      <c r="LHX369" s="21"/>
      <c r="LIA369" s="21"/>
      <c r="LIB369" s="15"/>
      <c r="LIC369" s="15"/>
      <c r="LID369" s="15"/>
      <c r="LIE369" s="15"/>
      <c r="LIF369" s="15"/>
      <c r="LIG369" s="15"/>
      <c r="LIH369" s="15"/>
      <c r="LII369" s="15"/>
      <c r="LIJ369" s="15"/>
      <c r="LIK369" s="15"/>
      <c r="LIL369" s="10"/>
      <c r="LIM369" s="10"/>
      <c r="LIN369" s="21"/>
      <c r="LIO369" s="21"/>
      <c r="LIR369" s="21"/>
      <c r="LIS369" s="15"/>
      <c r="LIT369" s="15"/>
      <c r="LIU369" s="15"/>
      <c r="LIV369" s="15"/>
      <c r="LIW369" s="15"/>
      <c r="LIX369" s="15"/>
      <c r="LIY369" s="15"/>
      <c r="LIZ369" s="15"/>
      <c r="LJA369" s="15"/>
      <c r="LJB369" s="15"/>
      <c r="LJC369" s="10"/>
      <c r="LJD369" s="10"/>
      <c r="LJE369" s="21"/>
      <c r="LJF369" s="21"/>
      <c r="LJI369" s="21"/>
      <c r="LJJ369" s="15"/>
      <c r="LJK369" s="15"/>
      <c r="LJL369" s="15"/>
      <c r="LJM369" s="15"/>
      <c r="LJN369" s="15"/>
      <c r="LJO369" s="15"/>
      <c r="LJP369" s="15"/>
      <c r="LJQ369" s="15"/>
      <c r="LJR369" s="15"/>
      <c r="LJS369" s="15"/>
      <c r="LJT369" s="10"/>
      <c r="LJU369" s="10"/>
      <c r="LJV369" s="21"/>
      <c r="LJW369" s="21"/>
      <c r="LJZ369" s="21"/>
      <c r="LKA369" s="15"/>
      <c r="LKB369" s="15"/>
      <c r="LKC369" s="15"/>
      <c r="LKD369" s="15"/>
      <c r="LKE369" s="15"/>
      <c r="LKF369" s="15"/>
      <c r="LKG369" s="15"/>
      <c r="LKH369" s="15"/>
      <c r="LKI369" s="15"/>
      <c r="LKJ369" s="15"/>
      <c r="LKK369" s="10"/>
      <c r="LKL369" s="10"/>
      <c r="LKM369" s="21"/>
      <c r="LKN369" s="21"/>
      <c r="LKQ369" s="21"/>
      <c r="LKR369" s="15"/>
      <c r="LKS369" s="15"/>
      <c r="LKT369" s="15"/>
      <c r="LKU369" s="15"/>
      <c r="LKV369" s="15"/>
      <c r="LKW369" s="15"/>
      <c r="LKX369" s="15"/>
      <c r="LKY369" s="15"/>
      <c r="LKZ369" s="15"/>
      <c r="LLA369" s="15"/>
      <c r="LLB369" s="10"/>
      <c r="LLC369" s="10"/>
      <c r="LLD369" s="21"/>
      <c r="LLE369" s="21"/>
      <c r="LLH369" s="21"/>
      <c r="LLI369" s="15"/>
      <c r="LLJ369" s="15"/>
      <c r="LLK369" s="15"/>
      <c r="LLL369" s="15"/>
      <c r="LLM369" s="15"/>
      <c r="LLN369" s="15"/>
      <c r="LLO369" s="15"/>
      <c r="LLP369" s="15"/>
      <c r="LLQ369" s="15"/>
      <c r="LLR369" s="15"/>
      <c r="LLS369" s="10"/>
      <c r="LLT369" s="10"/>
      <c r="LLU369" s="21"/>
      <c r="LLV369" s="21"/>
      <c r="LLY369" s="21"/>
      <c r="LLZ369" s="15"/>
      <c r="LMA369" s="15"/>
      <c r="LMB369" s="15"/>
      <c r="LMC369" s="15"/>
      <c r="LMD369" s="15"/>
      <c r="LME369" s="15"/>
      <c r="LMF369" s="15"/>
      <c r="LMG369" s="15"/>
      <c r="LMH369" s="15"/>
      <c r="LMI369" s="15"/>
      <c r="LMJ369" s="10"/>
      <c r="LMK369" s="10"/>
      <c r="LML369" s="21"/>
      <c r="LMM369" s="21"/>
      <c r="LMP369" s="21"/>
      <c r="LMQ369" s="15"/>
      <c r="LMR369" s="15"/>
      <c r="LMS369" s="15"/>
      <c r="LMT369" s="15"/>
      <c r="LMU369" s="15"/>
      <c r="LMV369" s="15"/>
      <c r="LMW369" s="15"/>
      <c r="LMX369" s="15"/>
      <c r="LMY369" s="15"/>
      <c r="LMZ369" s="15"/>
      <c r="LNA369" s="10"/>
      <c r="LNB369" s="10"/>
      <c r="LNC369" s="21"/>
      <c r="LND369" s="21"/>
      <c r="LNG369" s="21"/>
      <c r="LNH369" s="15"/>
      <c r="LNI369" s="15"/>
      <c r="LNJ369" s="15"/>
      <c r="LNK369" s="15"/>
      <c r="LNL369" s="15"/>
      <c r="LNM369" s="15"/>
      <c r="LNN369" s="15"/>
      <c r="LNO369" s="15"/>
      <c r="LNP369" s="15"/>
      <c r="LNQ369" s="15"/>
      <c r="LNR369" s="10"/>
      <c r="LNS369" s="10"/>
      <c r="LNT369" s="21"/>
      <c r="LNU369" s="21"/>
      <c r="LNX369" s="21"/>
      <c r="LNY369" s="15"/>
      <c r="LNZ369" s="15"/>
      <c r="LOA369" s="15"/>
      <c r="LOB369" s="15"/>
      <c r="LOC369" s="15"/>
      <c r="LOD369" s="15"/>
      <c r="LOE369" s="15"/>
      <c r="LOF369" s="15"/>
      <c r="LOG369" s="15"/>
      <c r="LOH369" s="15"/>
      <c r="LOI369" s="10"/>
      <c r="LOJ369" s="10"/>
      <c r="LOK369" s="21"/>
      <c r="LOL369" s="21"/>
      <c r="LOO369" s="21"/>
      <c r="LOP369" s="15"/>
      <c r="LOQ369" s="15"/>
      <c r="LOR369" s="15"/>
      <c r="LOS369" s="15"/>
      <c r="LOT369" s="15"/>
      <c r="LOU369" s="15"/>
      <c r="LOV369" s="15"/>
      <c r="LOW369" s="15"/>
      <c r="LOX369" s="15"/>
      <c r="LOY369" s="15"/>
      <c r="LOZ369" s="10"/>
      <c r="LPA369" s="10"/>
      <c r="LPB369" s="21"/>
      <c r="LPC369" s="21"/>
      <c r="LPF369" s="21"/>
      <c r="LPG369" s="15"/>
      <c r="LPH369" s="15"/>
      <c r="LPI369" s="15"/>
      <c r="LPJ369" s="15"/>
      <c r="LPK369" s="15"/>
      <c r="LPL369" s="15"/>
      <c r="LPM369" s="15"/>
      <c r="LPN369" s="15"/>
      <c r="LPO369" s="15"/>
      <c r="LPP369" s="15"/>
      <c r="LPQ369" s="10"/>
      <c r="LPR369" s="10"/>
      <c r="LPS369" s="21"/>
      <c r="LPT369" s="21"/>
      <c r="LPW369" s="21"/>
      <c r="LPX369" s="15"/>
      <c r="LPY369" s="15"/>
      <c r="LPZ369" s="15"/>
      <c r="LQA369" s="15"/>
      <c r="LQB369" s="15"/>
      <c r="LQC369" s="15"/>
      <c r="LQD369" s="15"/>
      <c r="LQE369" s="15"/>
      <c r="LQF369" s="15"/>
      <c r="LQG369" s="15"/>
      <c r="LQH369" s="10"/>
      <c r="LQI369" s="10"/>
      <c r="LQJ369" s="21"/>
      <c r="LQK369" s="21"/>
      <c r="LQN369" s="21"/>
      <c r="LQO369" s="15"/>
      <c r="LQP369" s="15"/>
      <c r="LQQ369" s="15"/>
      <c r="LQR369" s="15"/>
      <c r="LQS369" s="15"/>
      <c r="LQT369" s="15"/>
      <c r="LQU369" s="15"/>
      <c r="LQV369" s="15"/>
      <c r="LQW369" s="15"/>
      <c r="LQX369" s="15"/>
      <c r="LQY369" s="10"/>
      <c r="LQZ369" s="10"/>
      <c r="LRA369" s="21"/>
      <c r="LRB369" s="21"/>
      <c r="LRE369" s="21"/>
      <c r="LRF369" s="15"/>
      <c r="LRG369" s="15"/>
      <c r="LRH369" s="15"/>
      <c r="LRI369" s="15"/>
      <c r="LRJ369" s="15"/>
      <c r="LRK369" s="15"/>
      <c r="LRL369" s="15"/>
      <c r="LRM369" s="15"/>
      <c r="LRN369" s="15"/>
      <c r="LRO369" s="15"/>
      <c r="LRP369" s="10"/>
      <c r="LRQ369" s="10"/>
      <c r="LRR369" s="21"/>
      <c r="LRS369" s="21"/>
      <c r="LRV369" s="21"/>
      <c r="LRW369" s="15"/>
      <c r="LRX369" s="15"/>
      <c r="LRY369" s="15"/>
      <c r="LRZ369" s="15"/>
      <c r="LSA369" s="15"/>
      <c r="LSB369" s="15"/>
      <c r="LSC369" s="15"/>
      <c r="LSD369" s="15"/>
      <c r="LSE369" s="15"/>
      <c r="LSF369" s="15"/>
      <c r="LSG369" s="10"/>
      <c r="LSH369" s="10"/>
      <c r="LSI369" s="21"/>
      <c r="LSJ369" s="21"/>
      <c r="LSM369" s="21"/>
      <c r="LSN369" s="15"/>
      <c r="LSO369" s="15"/>
      <c r="LSP369" s="15"/>
      <c r="LSQ369" s="15"/>
      <c r="LSR369" s="15"/>
      <c r="LSS369" s="15"/>
      <c r="LST369" s="15"/>
      <c r="LSU369" s="15"/>
      <c r="LSV369" s="15"/>
      <c r="LSW369" s="15"/>
      <c r="LSX369" s="10"/>
      <c r="LSY369" s="10"/>
      <c r="LSZ369" s="21"/>
      <c r="LTA369" s="21"/>
      <c r="LTD369" s="21"/>
      <c r="LTE369" s="15"/>
      <c r="LTF369" s="15"/>
      <c r="LTG369" s="15"/>
      <c r="LTH369" s="15"/>
      <c r="LTI369" s="15"/>
      <c r="LTJ369" s="15"/>
      <c r="LTK369" s="15"/>
      <c r="LTL369" s="15"/>
      <c r="LTM369" s="15"/>
      <c r="LTN369" s="15"/>
      <c r="LTO369" s="10"/>
      <c r="LTP369" s="10"/>
      <c r="LTQ369" s="21"/>
      <c r="LTR369" s="21"/>
      <c r="LTU369" s="21"/>
      <c r="LTV369" s="15"/>
      <c r="LTW369" s="15"/>
      <c r="LTX369" s="15"/>
      <c r="LTY369" s="15"/>
      <c r="LTZ369" s="15"/>
      <c r="LUA369" s="15"/>
      <c r="LUB369" s="15"/>
      <c r="LUC369" s="15"/>
      <c r="LUD369" s="15"/>
      <c r="LUE369" s="15"/>
      <c r="LUF369" s="10"/>
      <c r="LUG369" s="10"/>
      <c r="LUH369" s="21"/>
      <c r="LUI369" s="21"/>
      <c r="LUL369" s="21"/>
      <c r="LUM369" s="15"/>
      <c r="LUN369" s="15"/>
      <c r="LUO369" s="15"/>
      <c r="LUP369" s="15"/>
      <c r="LUQ369" s="15"/>
      <c r="LUR369" s="15"/>
      <c r="LUS369" s="15"/>
      <c r="LUT369" s="15"/>
      <c r="LUU369" s="15"/>
      <c r="LUV369" s="15"/>
      <c r="LUW369" s="10"/>
      <c r="LUX369" s="10"/>
      <c r="LUY369" s="21"/>
      <c r="LUZ369" s="21"/>
      <c r="LVC369" s="21"/>
      <c r="LVD369" s="15"/>
      <c r="LVE369" s="15"/>
      <c r="LVF369" s="15"/>
      <c r="LVG369" s="15"/>
      <c r="LVH369" s="15"/>
      <c r="LVI369" s="15"/>
      <c r="LVJ369" s="15"/>
      <c r="LVK369" s="15"/>
      <c r="LVL369" s="15"/>
      <c r="LVM369" s="15"/>
      <c r="LVN369" s="10"/>
      <c r="LVO369" s="10"/>
      <c r="LVP369" s="21"/>
      <c r="LVQ369" s="21"/>
      <c r="LVT369" s="21"/>
      <c r="LVU369" s="15"/>
      <c r="LVV369" s="15"/>
      <c r="LVW369" s="15"/>
      <c r="LVX369" s="15"/>
      <c r="LVY369" s="15"/>
      <c r="LVZ369" s="15"/>
      <c r="LWA369" s="15"/>
      <c r="LWB369" s="15"/>
      <c r="LWC369" s="15"/>
      <c r="LWD369" s="15"/>
      <c r="LWE369" s="10"/>
      <c r="LWF369" s="10"/>
      <c r="LWG369" s="21"/>
      <c r="LWH369" s="21"/>
      <c r="LWK369" s="21"/>
      <c r="LWL369" s="15"/>
      <c r="LWM369" s="15"/>
      <c r="LWN369" s="15"/>
      <c r="LWO369" s="15"/>
      <c r="LWP369" s="15"/>
      <c r="LWQ369" s="15"/>
      <c r="LWR369" s="15"/>
      <c r="LWS369" s="15"/>
      <c r="LWT369" s="15"/>
      <c r="LWU369" s="15"/>
      <c r="LWV369" s="10"/>
      <c r="LWW369" s="10"/>
      <c r="LWX369" s="21"/>
      <c r="LWY369" s="21"/>
      <c r="LXB369" s="21"/>
      <c r="LXC369" s="15"/>
      <c r="LXD369" s="15"/>
      <c r="LXE369" s="15"/>
      <c r="LXF369" s="15"/>
      <c r="LXG369" s="15"/>
      <c r="LXH369" s="15"/>
      <c r="LXI369" s="15"/>
      <c r="LXJ369" s="15"/>
      <c r="LXK369" s="15"/>
      <c r="LXL369" s="15"/>
      <c r="LXM369" s="10"/>
      <c r="LXN369" s="10"/>
      <c r="LXO369" s="21"/>
      <c r="LXP369" s="21"/>
      <c r="LXS369" s="21"/>
      <c r="LXT369" s="15"/>
      <c r="LXU369" s="15"/>
      <c r="LXV369" s="15"/>
      <c r="LXW369" s="15"/>
      <c r="LXX369" s="15"/>
      <c r="LXY369" s="15"/>
      <c r="LXZ369" s="15"/>
      <c r="LYA369" s="15"/>
      <c r="LYB369" s="15"/>
      <c r="LYC369" s="15"/>
      <c r="LYD369" s="10"/>
      <c r="LYE369" s="10"/>
      <c r="LYF369" s="21"/>
      <c r="LYG369" s="21"/>
      <c r="LYJ369" s="21"/>
      <c r="LYK369" s="15"/>
      <c r="LYL369" s="15"/>
      <c r="LYM369" s="15"/>
      <c r="LYN369" s="15"/>
      <c r="LYO369" s="15"/>
      <c r="LYP369" s="15"/>
      <c r="LYQ369" s="15"/>
      <c r="LYR369" s="15"/>
      <c r="LYS369" s="15"/>
      <c r="LYT369" s="15"/>
      <c r="LYU369" s="10"/>
      <c r="LYV369" s="10"/>
      <c r="LYW369" s="21"/>
      <c r="LYX369" s="21"/>
      <c r="LZA369" s="21"/>
      <c r="LZB369" s="15"/>
      <c r="LZC369" s="15"/>
      <c r="LZD369" s="15"/>
      <c r="LZE369" s="15"/>
      <c r="LZF369" s="15"/>
      <c r="LZG369" s="15"/>
      <c r="LZH369" s="15"/>
      <c r="LZI369" s="15"/>
      <c r="LZJ369" s="15"/>
      <c r="LZK369" s="15"/>
      <c r="LZL369" s="10"/>
      <c r="LZM369" s="10"/>
      <c r="LZN369" s="21"/>
      <c r="LZO369" s="21"/>
      <c r="LZR369" s="21"/>
      <c r="LZS369" s="15"/>
      <c r="LZT369" s="15"/>
      <c r="LZU369" s="15"/>
      <c r="LZV369" s="15"/>
      <c r="LZW369" s="15"/>
      <c r="LZX369" s="15"/>
      <c r="LZY369" s="15"/>
      <c r="LZZ369" s="15"/>
      <c r="MAA369" s="15"/>
      <c r="MAB369" s="15"/>
      <c r="MAC369" s="10"/>
      <c r="MAD369" s="10"/>
      <c r="MAE369" s="21"/>
      <c r="MAF369" s="21"/>
      <c r="MAI369" s="21"/>
      <c r="MAJ369" s="15"/>
      <c r="MAK369" s="15"/>
      <c r="MAL369" s="15"/>
      <c r="MAM369" s="15"/>
      <c r="MAN369" s="15"/>
      <c r="MAO369" s="15"/>
      <c r="MAP369" s="15"/>
      <c r="MAQ369" s="15"/>
      <c r="MAR369" s="15"/>
      <c r="MAS369" s="15"/>
      <c r="MAT369" s="10"/>
      <c r="MAU369" s="10"/>
      <c r="MAV369" s="21"/>
      <c r="MAW369" s="21"/>
      <c r="MAZ369" s="21"/>
      <c r="MBA369" s="15"/>
      <c r="MBB369" s="15"/>
      <c r="MBC369" s="15"/>
      <c r="MBD369" s="15"/>
      <c r="MBE369" s="15"/>
      <c r="MBF369" s="15"/>
      <c r="MBG369" s="15"/>
      <c r="MBH369" s="15"/>
      <c r="MBI369" s="15"/>
      <c r="MBJ369" s="15"/>
      <c r="MBK369" s="10"/>
      <c r="MBL369" s="10"/>
      <c r="MBM369" s="21"/>
      <c r="MBN369" s="21"/>
      <c r="MBQ369" s="21"/>
      <c r="MBR369" s="15"/>
      <c r="MBS369" s="15"/>
      <c r="MBT369" s="15"/>
      <c r="MBU369" s="15"/>
      <c r="MBV369" s="15"/>
      <c r="MBW369" s="15"/>
      <c r="MBX369" s="15"/>
      <c r="MBY369" s="15"/>
      <c r="MBZ369" s="15"/>
      <c r="MCA369" s="15"/>
      <c r="MCB369" s="10"/>
      <c r="MCC369" s="10"/>
      <c r="MCD369" s="21"/>
      <c r="MCE369" s="21"/>
      <c r="MCH369" s="21"/>
      <c r="MCI369" s="15"/>
      <c r="MCJ369" s="15"/>
      <c r="MCK369" s="15"/>
      <c r="MCL369" s="15"/>
      <c r="MCM369" s="15"/>
      <c r="MCN369" s="15"/>
      <c r="MCO369" s="15"/>
      <c r="MCP369" s="15"/>
      <c r="MCQ369" s="15"/>
      <c r="MCR369" s="15"/>
      <c r="MCS369" s="10"/>
      <c r="MCT369" s="10"/>
      <c r="MCU369" s="21"/>
      <c r="MCV369" s="21"/>
      <c r="MCY369" s="21"/>
      <c r="MCZ369" s="15"/>
      <c r="MDA369" s="15"/>
      <c r="MDB369" s="15"/>
      <c r="MDC369" s="15"/>
      <c r="MDD369" s="15"/>
      <c r="MDE369" s="15"/>
      <c r="MDF369" s="15"/>
      <c r="MDG369" s="15"/>
      <c r="MDH369" s="15"/>
      <c r="MDI369" s="15"/>
      <c r="MDJ369" s="10"/>
      <c r="MDK369" s="10"/>
      <c r="MDL369" s="21"/>
      <c r="MDM369" s="21"/>
      <c r="MDP369" s="21"/>
      <c r="MDQ369" s="15"/>
      <c r="MDR369" s="15"/>
      <c r="MDS369" s="15"/>
      <c r="MDT369" s="15"/>
      <c r="MDU369" s="15"/>
      <c r="MDV369" s="15"/>
      <c r="MDW369" s="15"/>
      <c r="MDX369" s="15"/>
      <c r="MDY369" s="15"/>
      <c r="MDZ369" s="15"/>
      <c r="MEA369" s="10"/>
      <c r="MEB369" s="10"/>
      <c r="MEC369" s="21"/>
      <c r="MED369" s="21"/>
      <c r="MEG369" s="21"/>
      <c r="MEH369" s="15"/>
      <c r="MEI369" s="15"/>
      <c r="MEJ369" s="15"/>
      <c r="MEK369" s="15"/>
      <c r="MEL369" s="15"/>
      <c r="MEM369" s="15"/>
      <c r="MEN369" s="15"/>
      <c r="MEO369" s="15"/>
      <c r="MEP369" s="15"/>
      <c r="MEQ369" s="15"/>
      <c r="MER369" s="10"/>
      <c r="MES369" s="10"/>
      <c r="MET369" s="21"/>
      <c r="MEU369" s="21"/>
      <c r="MEX369" s="21"/>
      <c r="MEY369" s="15"/>
      <c r="MEZ369" s="15"/>
      <c r="MFA369" s="15"/>
      <c r="MFB369" s="15"/>
      <c r="MFC369" s="15"/>
      <c r="MFD369" s="15"/>
      <c r="MFE369" s="15"/>
      <c r="MFF369" s="15"/>
      <c r="MFG369" s="15"/>
      <c r="MFH369" s="15"/>
      <c r="MFI369" s="10"/>
      <c r="MFJ369" s="10"/>
      <c r="MFK369" s="21"/>
      <c r="MFL369" s="21"/>
      <c r="MFO369" s="21"/>
      <c r="MFP369" s="15"/>
      <c r="MFQ369" s="15"/>
      <c r="MFR369" s="15"/>
      <c r="MFS369" s="15"/>
      <c r="MFT369" s="15"/>
      <c r="MFU369" s="15"/>
      <c r="MFV369" s="15"/>
      <c r="MFW369" s="15"/>
      <c r="MFX369" s="15"/>
      <c r="MFY369" s="15"/>
      <c r="MFZ369" s="10"/>
      <c r="MGA369" s="10"/>
      <c r="MGB369" s="21"/>
      <c r="MGC369" s="21"/>
      <c r="MGF369" s="21"/>
      <c r="MGG369" s="15"/>
      <c r="MGH369" s="15"/>
      <c r="MGI369" s="15"/>
      <c r="MGJ369" s="15"/>
      <c r="MGK369" s="15"/>
      <c r="MGL369" s="15"/>
      <c r="MGM369" s="15"/>
      <c r="MGN369" s="15"/>
      <c r="MGO369" s="15"/>
      <c r="MGP369" s="15"/>
      <c r="MGQ369" s="10"/>
      <c r="MGR369" s="10"/>
      <c r="MGS369" s="21"/>
      <c r="MGT369" s="21"/>
      <c r="MGW369" s="21"/>
      <c r="MGX369" s="15"/>
      <c r="MGY369" s="15"/>
      <c r="MGZ369" s="15"/>
      <c r="MHA369" s="15"/>
      <c r="MHB369" s="15"/>
      <c r="MHC369" s="15"/>
      <c r="MHD369" s="15"/>
      <c r="MHE369" s="15"/>
      <c r="MHF369" s="15"/>
      <c r="MHG369" s="15"/>
      <c r="MHH369" s="10"/>
      <c r="MHI369" s="10"/>
      <c r="MHJ369" s="21"/>
      <c r="MHK369" s="21"/>
      <c r="MHN369" s="21"/>
      <c r="MHO369" s="15"/>
      <c r="MHP369" s="15"/>
      <c r="MHQ369" s="15"/>
      <c r="MHR369" s="15"/>
      <c r="MHS369" s="15"/>
      <c r="MHT369" s="15"/>
      <c r="MHU369" s="15"/>
      <c r="MHV369" s="15"/>
      <c r="MHW369" s="15"/>
      <c r="MHX369" s="15"/>
      <c r="MHY369" s="10"/>
      <c r="MHZ369" s="10"/>
      <c r="MIA369" s="21"/>
      <c r="MIB369" s="21"/>
      <c r="MIE369" s="21"/>
      <c r="MIF369" s="15"/>
      <c r="MIG369" s="15"/>
      <c r="MIH369" s="15"/>
      <c r="MII369" s="15"/>
      <c r="MIJ369" s="15"/>
      <c r="MIK369" s="15"/>
      <c r="MIL369" s="15"/>
      <c r="MIM369" s="15"/>
      <c r="MIN369" s="15"/>
      <c r="MIO369" s="15"/>
      <c r="MIP369" s="10"/>
      <c r="MIQ369" s="10"/>
      <c r="MIR369" s="21"/>
      <c r="MIS369" s="21"/>
      <c r="MIV369" s="21"/>
      <c r="MIW369" s="15"/>
      <c r="MIX369" s="15"/>
      <c r="MIY369" s="15"/>
      <c r="MIZ369" s="15"/>
      <c r="MJA369" s="15"/>
      <c r="MJB369" s="15"/>
      <c r="MJC369" s="15"/>
      <c r="MJD369" s="15"/>
      <c r="MJE369" s="15"/>
      <c r="MJF369" s="15"/>
      <c r="MJG369" s="10"/>
      <c r="MJH369" s="10"/>
      <c r="MJI369" s="21"/>
      <c r="MJJ369" s="21"/>
      <c r="MJM369" s="21"/>
      <c r="MJN369" s="15"/>
      <c r="MJO369" s="15"/>
      <c r="MJP369" s="15"/>
      <c r="MJQ369" s="15"/>
      <c r="MJR369" s="15"/>
      <c r="MJS369" s="15"/>
      <c r="MJT369" s="15"/>
      <c r="MJU369" s="15"/>
      <c r="MJV369" s="15"/>
      <c r="MJW369" s="15"/>
      <c r="MJX369" s="10"/>
      <c r="MJY369" s="10"/>
      <c r="MJZ369" s="21"/>
      <c r="MKA369" s="21"/>
      <c r="MKD369" s="21"/>
      <c r="MKE369" s="15"/>
      <c r="MKF369" s="15"/>
      <c r="MKG369" s="15"/>
      <c r="MKH369" s="15"/>
      <c r="MKI369" s="15"/>
      <c r="MKJ369" s="15"/>
      <c r="MKK369" s="15"/>
      <c r="MKL369" s="15"/>
      <c r="MKM369" s="15"/>
      <c r="MKN369" s="15"/>
      <c r="MKO369" s="10"/>
      <c r="MKP369" s="10"/>
      <c r="MKQ369" s="21"/>
      <c r="MKR369" s="21"/>
      <c r="MKU369" s="21"/>
      <c r="MKV369" s="15"/>
      <c r="MKW369" s="15"/>
      <c r="MKX369" s="15"/>
      <c r="MKY369" s="15"/>
      <c r="MKZ369" s="15"/>
      <c r="MLA369" s="15"/>
      <c r="MLB369" s="15"/>
      <c r="MLC369" s="15"/>
      <c r="MLD369" s="15"/>
      <c r="MLE369" s="15"/>
      <c r="MLF369" s="10"/>
      <c r="MLG369" s="10"/>
      <c r="MLH369" s="21"/>
      <c r="MLI369" s="21"/>
      <c r="MLL369" s="21"/>
      <c r="MLM369" s="15"/>
      <c r="MLN369" s="15"/>
      <c r="MLO369" s="15"/>
      <c r="MLP369" s="15"/>
      <c r="MLQ369" s="15"/>
      <c r="MLR369" s="15"/>
      <c r="MLS369" s="15"/>
      <c r="MLT369" s="15"/>
      <c r="MLU369" s="15"/>
      <c r="MLV369" s="15"/>
      <c r="MLW369" s="10"/>
      <c r="MLX369" s="10"/>
      <c r="MLY369" s="21"/>
      <c r="MLZ369" s="21"/>
      <c r="MMC369" s="21"/>
      <c r="MMD369" s="15"/>
      <c r="MME369" s="15"/>
      <c r="MMF369" s="15"/>
      <c r="MMG369" s="15"/>
      <c r="MMH369" s="15"/>
      <c r="MMI369" s="15"/>
      <c r="MMJ369" s="15"/>
      <c r="MMK369" s="15"/>
      <c r="MML369" s="15"/>
      <c r="MMM369" s="15"/>
      <c r="MMN369" s="10"/>
      <c r="MMO369" s="10"/>
      <c r="MMP369" s="21"/>
      <c r="MMQ369" s="21"/>
      <c r="MMT369" s="21"/>
      <c r="MMU369" s="15"/>
      <c r="MMV369" s="15"/>
      <c r="MMW369" s="15"/>
      <c r="MMX369" s="15"/>
      <c r="MMY369" s="15"/>
      <c r="MMZ369" s="15"/>
      <c r="MNA369" s="15"/>
      <c r="MNB369" s="15"/>
      <c r="MNC369" s="15"/>
      <c r="MND369" s="15"/>
      <c r="MNE369" s="10"/>
      <c r="MNF369" s="10"/>
      <c r="MNG369" s="21"/>
      <c r="MNH369" s="21"/>
      <c r="MNK369" s="21"/>
      <c r="MNL369" s="15"/>
      <c r="MNM369" s="15"/>
      <c r="MNN369" s="15"/>
      <c r="MNO369" s="15"/>
      <c r="MNP369" s="15"/>
      <c r="MNQ369" s="15"/>
      <c r="MNR369" s="15"/>
      <c r="MNS369" s="15"/>
      <c r="MNT369" s="15"/>
      <c r="MNU369" s="15"/>
      <c r="MNV369" s="10"/>
      <c r="MNW369" s="10"/>
      <c r="MNX369" s="21"/>
      <c r="MNY369" s="21"/>
      <c r="MOB369" s="21"/>
      <c r="MOC369" s="15"/>
      <c r="MOD369" s="15"/>
      <c r="MOE369" s="15"/>
      <c r="MOF369" s="15"/>
      <c r="MOG369" s="15"/>
      <c r="MOH369" s="15"/>
      <c r="MOI369" s="15"/>
      <c r="MOJ369" s="15"/>
      <c r="MOK369" s="15"/>
      <c r="MOL369" s="15"/>
      <c r="MOM369" s="10"/>
      <c r="MON369" s="10"/>
      <c r="MOO369" s="21"/>
      <c r="MOP369" s="21"/>
      <c r="MOS369" s="21"/>
      <c r="MOT369" s="15"/>
      <c r="MOU369" s="15"/>
      <c r="MOV369" s="15"/>
      <c r="MOW369" s="15"/>
      <c r="MOX369" s="15"/>
      <c r="MOY369" s="15"/>
      <c r="MOZ369" s="15"/>
      <c r="MPA369" s="15"/>
      <c r="MPB369" s="15"/>
      <c r="MPC369" s="15"/>
      <c r="MPD369" s="10"/>
      <c r="MPE369" s="10"/>
      <c r="MPF369" s="21"/>
      <c r="MPG369" s="21"/>
      <c r="MPJ369" s="21"/>
      <c r="MPK369" s="15"/>
      <c r="MPL369" s="15"/>
      <c r="MPM369" s="15"/>
      <c r="MPN369" s="15"/>
      <c r="MPO369" s="15"/>
      <c r="MPP369" s="15"/>
      <c r="MPQ369" s="15"/>
      <c r="MPR369" s="15"/>
      <c r="MPS369" s="15"/>
      <c r="MPT369" s="15"/>
      <c r="MPU369" s="10"/>
      <c r="MPV369" s="10"/>
      <c r="MPW369" s="21"/>
      <c r="MPX369" s="21"/>
      <c r="MQA369" s="21"/>
      <c r="MQB369" s="15"/>
      <c r="MQC369" s="15"/>
      <c r="MQD369" s="15"/>
      <c r="MQE369" s="15"/>
      <c r="MQF369" s="15"/>
      <c r="MQG369" s="15"/>
      <c r="MQH369" s="15"/>
      <c r="MQI369" s="15"/>
      <c r="MQJ369" s="15"/>
      <c r="MQK369" s="15"/>
      <c r="MQL369" s="10"/>
      <c r="MQM369" s="10"/>
      <c r="MQN369" s="21"/>
      <c r="MQO369" s="21"/>
      <c r="MQR369" s="21"/>
      <c r="MQS369" s="15"/>
      <c r="MQT369" s="15"/>
      <c r="MQU369" s="15"/>
      <c r="MQV369" s="15"/>
      <c r="MQW369" s="15"/>
      <c r="MQX369" s="15"/>
      <c r="MQY369" s="15"/>
      <c r="MQZ369" s="15"/>
      <c r="MRA369" s="15"/>
      <c r="MRB369" s="15"/>
      <c r="MRC369" s="10"/>
      <c r="MRD369" s="10"/>
      <c r="MRE369" s="21"/>
      <c r="MRF369" s="21"/>
      <c r="MRI369" s="21"/>
      <c r="MRJ369" s="15"/>
      <c r="MRK369" s="15"/>
      <c r="MRL369" s="15"/>
      <c r="MRM369" s="15"/>
      <c r="MRN369" s="15"/>
      <c r="MRO369" s="15"/>
      <c r="MRP369" s="15"/>
      <c r="MRQ369" s="15"/>
      <c r="MRR369" s="15"/>
      <c r="MRS369" s="15"/>
      <c r="MRT369" s="10"/>
      <c r="MRU369" s="10"/>
      <c r="MRV369" s="21"/>
      <c r="MRW369" s="21"/>
      <c r="MRZ369" s="21"/>
      <c r="MSA369" s="15"/>
      <c r="MSB369" s="15"/>
      <c r="MSC369" s="15"/>
      <c r="MSD369" s="15"/>
      <c r="MSE369" s="15"/>
      <c r="MSF369" s="15"/>
      <c r="MSG369" s="15"/>
      <c r="MSH369" s="15"/>
      <c r="MSI369" s="15"/>
      <c r="MSJ369" s="15"/>
      <c r="MSK369" s="10"/>
      <c r="MSL369" s="10"/>
      <c r="MSM369" s="21"/>
      <c r="MSN369" s="21"/>
      <c r="MSQ369" s="21"/>
      <c r="MSR369" s="15"/>
      <c r="MSS369" s="15"/>
      <c r="MST369" s="15"/>
      <c r="MSU369" s="15"/>
      <c r="MSV369" s="15"/>
      <c r="MSW369" s="15"/>
      <c r="MSX369" s="15"/>
      <c r="MSY369" s="15"/>
      <c r="MSZ369" s="15"/>
      <c r="MTA369" s="15"/>
      <c r="MTB369" s="10"/>
      <c r="MTC369" s="10"/>
      <c r="MTD369" s="21"/>
      <c r="MTE369" s="21"/>
      <c r="MTH369" s="21"/>
      <c r="MTI369" s="15"/>
      <c r="MTJ369" s="15"/>
      <c r="MTK369" s="15"/>
      <c r="MTL369" s="15"/>
      <c r="MTM369" s="15"/>
      <c r="MTN369" s="15"/>
      <c r="MTO369" s="15"/>
      <c r="MTP369" s="15"/>
      <c r="MTQ369" s="15"/>
      <c r="MTR369" s="15"/>
      <c r="MTS369" s="10"/>
      <c r="MTT369" s="10"/>
      <c r="MTU369" s="21"/>
      <c r="MTV369" s="21"/>
      <c r="MTY369" s="21"/>
      <c r="MTZ369" s="15"/>
      <c r="MUA369" s="15"/>
      <c r="MUB369" s="15"/>
      <c r="MUC369" s="15"/>
      <c r="MUD369" s="15"/>
      <c r="MUE369" s="15"/>
      <c r="MUF369" s="15"/>
      <c r="MUG369" s="15"/>
      <c r="MUH369" s="15"/>
      <c r="MUI369" s="15"/>
      <c r="MUJ369" s="10"/>
      <c r="MUK369" s="10"/>
      <c r="MUL369" s="21"/>
      <c r="MUM369" s="21"/>
      <c r="MUP369" s="21"/>
      <c r="MUQ369" s="15"/>
      <c r="MUR369" s="15"/>
      <c r="MUS369" s="15"/>
      <c r="MUT369" s="15"/>
      <c r="MUU369" s="15"/>
      <c r="MUV369" s="15"/>
      <c r="MUW369" s="15"/>
      <c r="MUX369" s="15"/>
      <c r="MUY369" s="15"/>
      <c r="MUZ369" s="15"/>
      <c r="MVA369" s="10"/>
      <c r="MVB369" s="10"/>
      <c r="MVC369" s="21"/>
      <c r="MVD369" s="21"/>
      <c r="MVG369" s="21"/>
      <c r="MVH369" s="15"/>
      <c r="MVI369" s="15"/>
      <c r="MVJ369" s="15"/>
      <c r="MVK369" s="15"/>
      <c r="MVL369" s="15"/>
      <c r="MVM369" s="15"/>
      <c r="MVN369" s="15"/>
      <c r="MVO369" s="15"/>
      <c r="MVP369" s="15"/>
      <c r="MVQ369" s="15"/>
      <c r="MVR369" s="10"/>
      <c r="MVS369" s="10"/>
      <c r="MVT369" s="21"/>
      <c r="MVU369" s="21"/>
      <c r="MVX369" s="21"/>
      <c r="MVY369" s="15"/>
      <c r="MVZ369" s="15"/>
      <c r="MWA369" s="15"/>
      <c r="MWB369" s="15"/>
      <c r="MWC369" s="15"/>
      <c r="MWD369" s="15"/>
      <c r="MWE369" s="15"/>
      <c r="MWF369" s="15"/>
      <c r="MWG369" s="15"/>
      <c r="MWH369" s="15"/>
      <c r="MWI369" s="10"/>
      <c r="MWJ369" s="10"/>
      <c r="MWK369" s="21"/>
      <c r="MWL369" s="21"/>
      <c r="MWO369" s="21"/>
      <c r="MWP369" s="15"/>
      <c r="MWQ369" s="15"/>
      <c r="MWR369" s="15"/>
      <c r="MWS369" s="15"/>
      <c r="MWT369" s="15"/>
      <c r="MWU369" s="15"/>
      <c r="MWV369" s="15"/>
      <c r="MWW369" s="15"/>
      <c r="MWX369" s="15"/>
      <c r="MWY369" s="15"/>
      <c r="MWZ369" s="10"/>
      <c r="MXA369" s="10"/>
      <c r="MXB369" s="21"/>
      <c r="MXC369" s="21"/>
      <c r="MXF369" s="21"/>
      <c r="MXG369" s="15"/>
      <c r="MXH369" s="15"/>
      <c r="MXI369" s="15"/>
      <c r="MXJ369" s="15"/>
      <c r="MXK369" s="15"/>
      <c r="MXL369" s="15"/>
      <c r="MXM369" s="15"/>
      <c r="MXN369" s="15"/>
      <c r="MXO369" s="15"/>
      <c r="MXP369" s="15"/>
      <c r="MXQ369" s="10"/>
      <c r="MXR369" s="10"/>
      <c r="MXS369" s="21"/>
      <c r="MXT369" s="21"/>
      <c r="MXW369" s="21"/>
      <c r="MXX369" s="15"/>
      <c r="MXY369" s="15"/>
      <c r="MXZ369" s="15"/>
      <c r="MYA369" s="15"/>
      <c r="MYB369" s="15"/>
      <c r="MYC369" s="15"/>
      <c r="MYD369" s="15"/>
      <c r="MYE369" s="15"/>
      <c r="MYF369" s="15"/>
      <c r="MYG369" s="15"/>
      <c r="MYH369" s="10"/>
      <c r="MYI369" s="10"/>
      <c r="MYJ369" s="21"/>
      <c r="MYK369" s="21"/>
      <c r="MYN369" s="21"/>
      <c r="MYO369" s="15"/>
      <c r="MYP369" s="15"/>
      <c r="MYQ369" s="15"/>
      <c r="MYR369" s="15"/>
      <c r="MYS369" s="15"/>
      <c r="MYT369" s="15"/>
      <c r="MYU369" s="15"/>
      <c r="MYV369" s="15"/>
      <c r="MYW369" s="15"/>
      <c r="MYX369" s="15"/>
      <c r="MYY369" s="10"/>
      <c r="MYZ369" s="10"/>
      <c r="MZA369" s="21"/>
      <c r="MZB369" s="21"/>
      <c r="MZE369" s="21"/>
      <c r="MZF369" s="15"/>
      <c r="MZG369" s="15"/>
      <c r="MZH369" s="15"/>
      <c r="MZI369" s="15"/>
      <c r="MZJ369" s="15"/>
      <c r="MZK369" s="15"/>
      <c r="MZL369" s="15"/>
      <c r="MZM369" s="15"/>
      <c r="MZN369" s="15"/>
      <c r="MZO369" s="15"/>
      <c r="MZP369" s="10"/>
      <c r="MZQ369" s="10"/>
      <c r="MZR369" s="21"/>
      <c r="MZS369" s="21"/>
      <c r="MZV369" s="21"/>
      <c r="MZW369" s="15"/>
      <c r="MZX369" s="15"/>
      <c r="MZY369" s="15"/>
      <c r="MZZ369" s="15"/>
      <c r="NAA369" s="15"/>
      <c r="NAB369" s="15"/>
      <c r="NAC369" s="15"/>
      <c r="NAD369" s="15"/>
      <c r="NAE369" s="15"/>
      <c r="NAF369" s="15"/>
      <c r="NAG369" s="10"/>
      <c r="NAH369" s="10"/>
      <c r="NAI369" s="21"/>
      <c r="NAJ369" s="21"/>
      <c r="NAM369" s="21"/>
      <c r="NAN369" s="15"/>
      <c r="NAO369" s="15"/>
      <c r="NAP369" s="15"/>
      <c r="NAQ369" s="15"/>
      <c r="NAR369" s="15"/>
      <c r="NAS369" s="15"/>
      <c r="NAT369" s="15"/>
      <c r="NAU369" s="15"/>
      <c r="NAV369" s="15"/>
      <c r="NAW369" s="15"/>
      <c r="NAX369" s="10"/>
      <c r="NAY369" s="10"/>
      <c r="NAZ369" s="21"/>
      <c r="NBA369" s="21"/>
      <c r="NBD369" s="21"/>
      <c r="NBE369" s="15"/>
      <c r="NBF369" s="15"/>
      <c r="NBG369" s="15"/>
      <c r="NBH369" s="15"/>
      <c r="NBI369" s="15"/>
      <c r="NBJ369" s="15"/>
      <c r="NBK369" s="15"/>
      <c r="NBL369" s="15"/>
      <c r="NBM369" s="15"/>
      <c r="NBN369" s="15"/>
      <c r="NBO369" s="10"/>
      <c r="NBP369" s="10"/>
      <c r="NBQ369" s="21"/>
      <c r="NBR369" s="21"/>
      <c r="NBU369" s="21"/>
      <c r="NBV369" s="15"/>
      <c r="NBW369" s="15"/>
      <c r="NBX369" s="15"/>
      <c r="NBY369" s="15"/>
      <c r="NBZ369" s="15"/>
      <c r="NCA369" s="15"/>
      <c r="NCB369" s="15"/>
      <c r="NCC369" s="15"/>
      <c r="NCD369" s="15"/>
      <c r="NCE369" s="15"/>
      <c r="NCF369" s="10"/>
      <c r="NCG369" s="10"/>
      <c r="NCH369" s="21"/>
      <c r="NCI369" s="21"/>
      <c r="NCL369" s="21"/>
      <c r="NCM369" s="15"/>
      <c r="NCN369" s="15"/>
      <c r="NCO369" s="15"/>
      <c r="NCP369" s="15"/>
      <c r="NCQ369" s="15"/>
      <c r="NCR369" s="15"/>
      <c r="NCS369" s="15"/>
      <c r="NCT369" s="15"/>
      <c r="NCU369" s="15"/>
      <c r="NCV369" s="15"/>
      <c r="NCW369" s="10"/>
      <c r="NCX369" s="10"/>
      <c r="NCY369" s="21"/>
      <c r="NCZ369" s="21"/>
      <c r="NDC369" s="21"/>
      <c r="NDD369" s="15"/>
      <c r="NDE369" s="15"/>
      <c r="NDF369" s="15"/>
      <c r="NDG369" s="15"/>
      <c r="NDH369" s="15"/>
      <c r="NDI369" s="15"/>
      <c r="NDJ369" s="15"/>
      <c r="NDK369" s="15"/>
      <c r="NDL369" s="15"/>
      <c r="NDM369" s="15"/>
      <c r="NDN369" s="10"/>
      <c r="NDO369" s="10"/>
      <c r="NDP369" s="21"/>
      <c r="NDQ369" s="21"/>
      <c r="NDT369" s="21"/>
      <c r="NDU369" s="15"/>
      <c r="NDV369" s="15"/>
      <c r="NDW369" s="15"/>
      <c r="NDX369" s="15"/>
      <c r="NDY369" s="15"/>
      <c r="NDZ369" s="15"/>
      <c r="NEA369" s="15"/>
      <c r="NEB369" s="15"/>
      <c r="NEC369" s="15"/>
      <c r="NED369" s="15"/>
      <c r="NEE369" s="10"/>
      <c r="NEF369" s="10"/>
      <c r="NEG369" s="21"/>
      <c r="NEH369" s="21"/>
      <c r="NEK369" s="21"/>
      <c r="NEL369" s="15"/>
      <c r="NEM369" s="15"/>
      <c r="NEN369" s="15"/>
      <c r="NEO369" s="15"/>
      <c r="NEP369" s="15"/>
      <c r="NEQ369" s="15"/>
      <c r="NER369" s="15"/>
      <c r="NES369" s="15"/>
      <c r="NET369" s="15"/>
      <c r="NEU369" s="15"/>
      <c r="NEV369" s="10"/>
      <c r="NEW369" s="10"/>
      <c r="NEX369" s="21"/>
      <c r="NEY369" s="21"/>
      <c r="NFB369" s="21"/>
      <c r="NFC369" s="15"/>
      <c r="NFD369" s="15"/>
      <c r="NFE369" s="15"/>
      <c r="NFF369" s="15"/>
      <c r="NFG369" s="15"/>
      <c r="NFH369" s="15"/>
      <c r="NFI369" s="15"/>
      <c r="NFJ369" s="15"/>
      <c r="NFK369" s="15"/>
      <c r="NFL369" s="15"/>
      <c r="NFM369" s="10"/>
      <c r="NFN369" s="10"/>
      <c r="NFO369" s="21"/>
      <c r="NFP369" s="21"/>
      <c r="NFS369" s="21"/>
      <c r="NFT369" s="15"/>
      <c r="NFU369" s="15"/>
      <c r="NFV369" s="15"/>
      <c r="NFW369" s="15"/>
      <c r="NFX369" s="15"/>
      <c r="NFY369" s="15"/>
      <c r="NFZ369" s="15"/>
      <c r="NGA369" s="15"/>
      <c r="NGB369" s="15"/>
      <c r="NGC369" s="15"/>
      <c r="NGD369" s="10"/>
      <c r="NGE369" s="10"/>
      <c r="NGF369" s="21"/>
      <c r="NGG369" s="21"/>
      <c r="NGJ369" s="21"/>
      <c r="NGK369" s="15"/>
      <c r="NGL369" s="15"/>
      <c r="NGM369" s="15"/>
      <c r="NGN369" s="15"/>
      <c r="NGO369" s="15"/>
      <c r="NGP369" s="15"/>
      <c r="NGQ369" s="15"/>
      <c r="NGR369" s="15"/>
      <c r="NGS369" s="15"/>
      <c r="NGT369" s="15"/>
      <c r="NGU369" s="10"/>
      <c r="NGV369" s="10"/>
      <c r="NGW369" s="21"/>
      <c r="NGX369" s="21"/>
      <c r="NHA369" s="21"/>
      <c r="NHB369" s="15"/>
      <c r="NHC369" s="15"/>
      <c r="NHD369" s="15"/>
      <c r="NHE369" s="15"/>
      <c r="NHF369" s="15"/>
      <c r="NHG369" s="15"/>
      <c r="NHH369" s="15"/>
      <c r="NHI369" s="15"/>
      <c r="NHJ369" s="15"/>
      <c r="NHK369" s="15"/>
      <c r="NHL369" s="10"/>
      <c r="NHM369" s="10"/>
      <c r="NHN369" s="21"/>
      <c r="NHO369" s="21"/>
      <c r="NHR369" s="21"/>
      <c r="NHS369" s="15"/>
      <c r="NHT369" s="15"/>
      <c r="NHU369" s="15"/>
      <c r="NHV369" s="15"/>
      <c r="NHW369" s="15"/>
      <c r="NHX369" s="15"/>
      <c r="NHY369" s="15"/>
      <c r="NHZ369" s="15"/>
      <c r="NIA369" s="15"/>
      <c r="NIB369" s="15"/>
      <c r="NIC369" s="10"/>
      <c r="NID369" s="10"/>
      <c r="NIE369" s="21"/>
      <c r="NIF369" s="21"/>
      <c r="NII369" s="21"/>
      <c r="NIJ369" s="15"/>
      <c r="NIK369" s="15"/>
      <c r="NIL369" s="15"/>
      <c r="NIM369" s="15"/>
      <c r="NIN369" s="15"/>
      <c r="NIO369" s="15"/>
      <c r="NIP369" s="15"/>
      <c r="NIQ369" s="15"/>
      <c r="NIR369" s="15"/>
      <c r="NIS369" s="15"/>
      <c r="NIT369" s="10"/>
      <c r="NIU369" s="10"/>
      <c r="NIV369" s="21"/>
      <c r="NIW369" s="21"/>
      <c r="NIZ369" s="21"/>
      <c r="NJA369" s="15"/>
      <c r="NJB369" s="15"/>
      <c r="NJC369" s="15"/>
      <c r="NJD369" s="15"/>
      <c r="NJE369" s="15"/>
      <c r="NJF369" s="15"/>
      <c r="NJG369" s="15"/>
      <c r="NJH369" s="15"/>
      <c r="NJI369" s="15"/>
      <c r="NJJ369" s="15"/>
      <c r="NJK369" s="10"/>
      <c r="NJL369" s="10"/>
      <c r="NJM369" s="21"/>
      <c r="NJN369" s="21"/>
      <c r="NJQ369" s="21"/>
      <c r="NJR369" s="15"/>
      <c r="NJS369" s="15"/>
      <c r="NJT369" s="15"/>
      <c r="NJU369" s="15"/>
      <c r="NJV369" s="15"/>
      <c r="NJW369" s="15"/>
      <c r="NJX369" s="15"/>
      <c r="NJY369" s="15"/>
      <c r="NJZ369" s="15"/>
      <c r="NKA369" s="15"/>
      <c r="NKB369" s="10"/>
      <c r="NKC369" s="10"/>
      <c r="NKD369" s="21"/>
      <c r="NKE369" s="21"/>
      <c r="NKH369" s="21"/>
      <c r="NKI369" s="15"/>
      <c r="NKJ369" s="15"/>
      <c r="NKK369" s="15"/>
      <c r="NKL369" s="15"/>
      <c r="NKM369" s="15"/>
      <c r="NKN369" s="15"/>
      <c r="NKO369" s="15"/>
      <c r="NKP369" s="15"/>
      <c r="NKQ369" s="15"/>
      <c r="NKR369" s="15"/>
      <c r="NKS369" s="10"/>
      <c r="NKT369" s="10"/>
      <c r="NKU369" s="21"/>
      <c r="NKV369" s="21"/>
      <c r="NKY369" s="21"/>
      <c r="NKZ369" s="15"/>
      <c r="NLA369" s="15"/>
      <c r="NLB369" s="15"/>
      <c r="NLC369" s="15"/>
      <c r="NLD369" s="15"/>
      <c r="NLE369" s="15"/>
      <c r="NLF369" s="15"/>
      <c r="NLG369" s="15"/>
      <c r="NLH369" s="15"/>
      <c r="NLI369" s="15"/>
      <c r="NLJ369" s="10"/>
      <c r="NLK369" s="10"/>
      <c r="NLL369" s="21"/>
      <c r="NLM369" s="21"/>
      <c r="NLP369" s="21"/>
      <c r="NLQ369" s="15"/>
      <c r="NLR369" s="15"/>
      <c r="NLS369" s="15"/>
      <c r="NLT369" s="15"/>
      <c r="NLU369" s="15"/>
      <c r="NLV369" s="15"/>
      <c r="NLW369" s="15"/>
      <c r="NLX369" s="15"/>
      <c r="NLY369" s="15"/>
      <c r="NLZ369" s="15"/>
      <c r="NMA369" s="10"/>
      <c r="NMB369" s="10"/>
      <c r="NMC369" s="21"/>
      <c r="NMD369" s="21"/>
      <c r="NMG369" s="21"/>
      <c r="NMH369" s="15"/>
      <c r="NMI369" s="15"/>
      <c r="NMJ369" s="15"/>
      <c r="NMK369" s="15"/>
      <c r="NML369" s="15"/>
      <c r="NMM369" s="15"/>
      <c r="NMN369" s="15"/>
      <c r="NMO369" s="15"/>
      <c r="NMP369" s="15"/>
      <c r="NMQ369" s="15"/>
      <c r="NMR369" s="10"/>
      <c r="NMS369" s="10"/>
      <c r="NMT369" s="21"/>
      <c r="NMU369" s="21"/>
      <c r="NMX369" s="21"/>
      <c r="NMY369" s="15"/>
      <c r="NMZ369" s="15"/>
      <c r="NNA369" s="15"/>
      <c r="NNB369" s="15"/>
      <c r="NNC369" s="15"/>
      <c r="NND369" s="15"/>
      <c r="NNE369" s="15"/>
      <c r="NNF369" s="15"/>
      <c r="NNG369" s="15"/>
      <c r="NNH369" s="15"/>
      <c r="NNI369" s="10"/>
      <c r="NNJ369" s="10"/>
      <c r="NNK369" s="21"/>
      <c r="NNL369" s="21"/>
      <c r="NNO369" s="21"/>
      <c r="NNP369" s="15"/>
      <c r="NNQ369" s="15"/>
      <c r="NNR369" s="15"/>
      <c r="NNS369" s="15"/>
      <c r="NNT369" s="15"/>
      <c r="NNU369" s="15"/>
      <c r="NNV369" s="15"/>
      <c r="NNW369" s="15"/>
      <c r="NNX369" s="15"/>
      <c r="NNY369" s="15"/>
      <c r="NNZ369" s="10"/>
      <c r="NOA369" s="10"/>
      <c r="NOB369" s="21"/>
      <c r="NOC369" s="21"/>
      <c r="NOF369" s="21"/>
      <c r="NOG369" s="15"/>
      <c r="NOH369" s="15"/>
      <c r="NOI369" s="15"/>
      <c r="NOJ369" s="15"/>
      <c r="NOK369" s="15"/>
      <c r="NOL369" s="15"/>
      <c r="NOM369" s="15"/>
      <c r="NON369" s="15"/>
      <c r="NOO369" s="15"/>
      <c r="NOP369" s="15"/>
      <c r="NOQ369" s="10"/>
      <c r="NOR369" s="10"/>
      <c r="NOS369" s="21"/>
      <c r="NOT369" s="21"/>
      <c r="NOW369" s="21"/>
      <c r="NOX369" s="15"/>
      <c r="NOY369" s="15"/>
      <c r="NOZ369" s="15"/>
      <c r="NPA369" s="15"/>
      <c r="NPB369" s="15"/>
      <c r="NPC369" s="15"/>
      <c r="NPD369" s="15"/>
      <c r="NPE369" s="15"/>
      <c r="NPF369" s="15"/>
      <c r="NPG369" s="15"/>
      <c r="NPH369" s="10"/>
      <c r="NPI369" s="10"/>
      <c r="NPJ369" s="21"/>
      <c r="NPK369" s="21"/>
      <c r="NPN369" s="21"/>
      <c r="NPO369" s="15"/>
      <c r="NPP369" s="15"/>
      <c r="NPQ369" s="15"/>
      <c r="NPR369" s="15"/>
      <c r="NPS369" s="15"/>
      <c r="NPT369" s="15"/>
      <c r="NPU369" s="15"/>
      <c r="NPV369" s="15"/>
      <c r="NPW369" s="15"/>
      <c r="NPX369" s="15"/>
      <c r="NPY369" s="10"/>
      <c r="NPZ369" s="10"/>
      <c r="NQA369" s="21"/>
      <c r="NQB369" s="21"/>
      <c r="NQE369" s="21"/>
      <c r="NQF369" s="15"/>
      <c r="NQG369" s="15"/>
      <c r="NQH369" s="15"/>
      <c r="NQI369" s="15"/>
      <c r="NQJ369" s="15"/>
      <c r="NQK369" s="15"/>
      <c r="NQL369" s="15"/>
      <c r="NQM369" s="15"/>
      <c r="NQN369" s="15"/>
      <c r="NQO369" s="15"/>
      <c r="NQP369" s="10"/>
      <c r="NQQ369" s="10"/>
      <c r="NQR369" s="21"/>
      <c r="NQS369" s="21"/>
      <c r="NQV369" s="21"/>
      <c r="NQW369" s="15"/>
      <c r="NQX369" s="15"/>
      <c r="NQY369" s="15"/>
      <c r="NQZ369" s="15"/>
      <c r="NRA369" s="15"/>
      <c r="NRB369" s="15"/>
      <c r="NRC369" s="15"/>
      <c r="NRD369" s="15"/>
      <c r="NRE369" s="15"/>
      <c r="NRF369" s="15"/>
      <c r="NRG369" s="10"/>
      <c r="NRH369" s="10"/>
      <c r="NRI369" s="21"/>
      <c r="NRJ369" s="21"/>
      <c r="NRM369" s="21"/>
      <c r="NRN369" s="15"/>
      <c r="NRO369" s="15"/>
      <c r="NRP369" s="15"/>
      <c r="NRQ369" s="15"/>
      <c r="NRR369" s="15"/>
      <c r="NRS369" s="15"/>
      <c r="NRT369" s="15"/>
      <c r="NRU369" s="15"/>
      <c r="NRV369" s="15"/>
      <c r="NRW369" s="15"/>
      <c r="NRX369" s="10"/>
      <c r="NRY369" s="10"/>
      <c r="NRZ369" s="21"/>
      <c r="NSA369" s="21"/>
      <c r="NSD369" s="21"/>
      <c r="NSE369" s="15"/>
      <c r="NSF369" s="15"/>
      <c r="NSG369" s="15"/>
      <c r="NSH369" s="15"/>
      <c r="NSI369" s="15"/>
      <c r="NSJ369" s="15"/>
      <c r="NSK369" s="15"/>
      <c r="NSL369" s="15"/>
      <c r="NSM369" s="15"/>
      <c r="NSN369" s="15"/>
      <c r="NSO369" s="10"/>
      <c r="NSP369" s="10"/>
      <c r="NSQ369" s="21"/>
      <c r="NSR369" s="21"/>
      <c r="NSU369" s="21"/>
      <c r="NSV369" s="15"/>
      <c r="NSW369" s="15"/>
      <c r="NSX369" s="15"/>
      <c r="NSY369" s="15"/>
      <c r="NSZ369" s="15"/>
      <c r="NTA369" s="15"/>
      <c r="NTB369" s="15"/>
      <c r="NTC369" s="15"/>
      <c r="NTD369" s="15"/>
      <c r="NTE369" s="15"/>
      <c r="NTF369" s="10"/>
      <c r="NTG369" s="10"/>
      <c r="NTH369" s="21"/>
      <c r="NTI369" s="21"/>
      <c r="NTL369" s="21"/>
      <c r="NTM369" s="15"/>
      <c r="NTN369" s="15"/>
      <c r="NTO369" s="15"/>
      <c r="NTP369" s="15"/>
      <c r="NTQ369" s="15"/>
      <c r="NTR369" s="15"/>
      <c r="NTS369" s="15"/>
      <c r="NTT369" s="15"/>
      <c r="NTU369" s="15"/>
      <c r="NTV369" s="15"/>
      <c r="NTW369" s="10"/>
      <c r="NTX369" s="10"/>
      <c r="NTY369" s="21"/>
      <c r="NTZ369" s="21"/>
      <c r="NUC369" s="21"/>
      <c r="NUD369" s="15"/>
      <c r="NUE369" s="15"/>
      <c r="NUF369" s="15"/>
      <c r="NUG369" s="15"/>
      <c r="NUH369" s="15"/>
      <c r="NUI369" s="15"/>
      <c r="NUJ369" s="15"/>
      <c r="NUK369" s="15"/>
      <c r="NUL369" s="15"/>
      <c r="NUM369" s="15"/>
      <c r="NUN369" s="10"/>
      <c r="NUO369" s="10"/>
      <c r="NUP369" s="21"/>
      <c r="NUQ369" s="21"/>
      <c r="NUT369" s="21"/>
      <c r="NUU369" s="15"/>
      <c r="NUV369" s="15"/>
      <c r="NUW369" s="15"/>
      <c r="NUX369" s="15"/>
      <c r="NUY369" s="15"/>
      <c r="NUZ369" s="15"/>
      <c r="NVA369" s="15"/>
      <c r="NVB369" s="15"/>
      <c r="NVC369" s="15"/>
      <c r="NVD369" s="15"/>
      <c r="NVE369" s="10"/>
      <c r="NVF369" s="10"/>
      <c r="NVG369" s="21"/>
      <c r="NVH369" s="21"/>
      <c r="NVK369" s="21"/>
      <c r="NVL369" s="15"/>
      <c r="NVM369" s="15"/>
      <c r="NVN369" s="15"/>
      <c r="NVO369" s="15"/>
      <c r="NVP369" s="15"/>
      <c r="NVQ369" s="15"/>
      <c r="NVR369" s="15"/>
      <c r="NVS369" s="15"/>
      <c r="NVT369" s="15"/>
      <c r="NVU369" s="15"/>
      <c r="NVV369" s="10"/>
      <c r="NVW369" s="10"/>
      <c r="NVX369" s="21"/>
      <c r="NVY369" s="21"/>
      <c r="NWB369" s="21"/>
      <c r="NWC369" s="15"/>
      <c r="NWD369" s="15"/>
      <c r="NWE369" s="15"/>
      <c r="NWF369" s="15"/>
      <c r="NWG369" s="15"/>
      <c r="NWH369" s="15"/>
      <c r="NWI369" s="15"/>
      <c r="NWJ369" s="15"/>
      <c r="NWK369" s="15"/>
      <c r="NWL369" s="15"/>
      <c r="NWM369" s="10"/>
      <c r="NWN369" s="10"/>
      <c r="NWO369" s="21"/>
      <c r="NWP369" s="21"/>
      <c r="NWS369" s="21"/>
      <c r="NWT369" s="15"/>
      <c r="NWU369" s="15"/>
      <c r="NWV369" s="15"/>
      <c r="NWW369" s="15"/>
      <c r="NWX369" s="15"/>
      <c r="NWY369" s="15"/>
      <c r="NWZ369" s="15"/>
      <c r="NXA369" s="15"/>
      <c r="NXB369" s="15"/>
      <c r="NXC369" s="15"/>
      <c r="NXD369" s="10"/>
      <c r="NXE369" s="10"/>
      <c r="NXF369" s="21"/>
      <c r="NXG369" s="21"/>
      <c r="NXJ369" s="21"/>
      <c r="NXK369" s="15"/>
      <c r="NXL369" s="15"/>
      <c r="NXM369" s="15"/>
      <c r="NXN369" s="15"/>
      <c r="NXO369" s="15"/>
      <c r="NXP369" s="15"/>
      <c r="NXQ369" s="15"/>
      <c r="NXR369" s="15"/>
      <c r="NXS369" s="15"/>
      <c r="NXT369" s="15"/>
      <c r="NXU369" s="10"/>
      <c r="NXV369" s="10"/>
      <c r="NXW369" s="21"/>
      <c r="NXX369" s="21"/>
      <c r="NYA369" s="21"/>
      <c r="NYB369" s="15"/>
      <c r="NYC369" s="15"/>
      <c r="NYD369" s="15"/>
      <c r="NYE369" s="15"/>
      <c r="NYF369" s="15"/>
      <c r="NYG369" s="15"/>
      <c r="NYH369" s="15"/>
      <c r="NYI369" s="15"/>
      <c r="NYJ369" s="15"/>
      <c r="NYK369" s="15"/>
      <c r="NYL369" s="10"/>
      <c r="NYM369" s="10"/>
      <c r="NYN369" s="21"/>
      <c r="NYO369" s="21"/>
      <c r="NYR369" s="21"/>
      <c r="NYS369" s="15"/>
      <c r="NYT369" s="15"/>
      <c r="NYU369" s="15"/>
      <c r="NYV369" s="15"/>
      <c r="NYW369" s="15"/>
      <c r="NYX369" s="15"/>
      <c r="NYY369" s="15"/>
      <c r="NYZ369" s="15"/>
      <c r="NZA369" s="15"/>
      <c r="NZB369" s="15"/>
      <c r="NZC369" s="10"/>
      <c r="NZD369" s="10"/>
      <c r="NZE369" s="21"/>
      <c r="NZF369" s="21"/>
      <c r="NZI369" s="21"/>
      <c r="NZJ369" s="15"/>
      <c r="NZK369" s="15"/>
      <c r="NZL369" s="15"/>
      <c r="NZM369" s="15"/>
      <c r="NZN369" s="15"/>
      <c r="NZO369" s="15"/>
      <c r="NZP369" s="15"/>
      <c r="NZQ369" s="15"/>
      <c r="NZR369" s="15"/>
      <c r="NZS369" s="15"/>
      <c r="NZT369" s="10"/>
      <c r="NZU369" s="10"/>
      <c r="NZV369" s="21"/>
      <c r="NZW369" s="21"/>
      <c r="NZZ369" s="21"/>
      <c r="OAA369" s="15"/>
      <c r="OAB369" s="15"/>
      <c r="OAC369" s="15"/>
      <c r="OAD369" s="15"/>
      <c r="OAE369" s="15"/>
      <c r="OAF369" s="15"/>
      <c r="OAG369" s="15"/>
      <c r="OAH369" s="15"/>
      <c r="OAI369" s="15"/>
      <c r="OAJ369" s="15"/>
      <c r="OAK369" s="10"/>
      <c r="OAL369" s="10"/>
      <c r="OAM369" s="21"/>
      <c r="OAN369" s="21"/>
      <c r="OAQ369" s="21"/>
      <c r="OAR369" s="15"/>
      <c r="OAS369" s="15"/>
      <c r="OAT369" s="15"/>
      <c r="OAU369" s="15"/>
      <c r="OAV369" s="15"/>
      <c r="OAW369" s="15"/>
      <c r="OAX369" s="15"/>
      <c r="OAY369" s="15"/>
      <c r="OAZ369" s="15"/>
      <c r="OBA369" s="15"/>
      <c r="OBB369" s="10"/>
      <c r="OBC369" s="10"/>
      <c r="OBD369" s="21"/>
      <c r="OBE369" s="21"/>
      <c r="OBH369" s="21"/>
      <c r="OBI369" s="15"/>
      <c r="OBJ369" s="15"/>
      <c r="OBK369" s="15"/>
      <c r="OBL369" s="15"/>
      <c r="OBM369" s="15"/>
      <c r="OBN369" s="15"/>
      <c r="OBO369" s="15"/>
      <c r="OBP369" s="15"/>
      <c r="OBQ369" s="15"/>
      <c r="OBR369" s="15"/>
      <c r="OBS369" s="10"/>
      <c r="OBT369" s="10"/>
      <c r="OBU369" s="21"/>
      <c r="OBV369" s="21"/>
      <c r="OBY369" s="21"/>
      <c r="OBZ369" s="15"/>
      <c r="OCA369" s="15"/>
      <c r="OCB369" s="15"/>
      <c r="OCC369" s="15"/>
      <c r="OCD369" s="15"/>
      <c r="OCE369" s="15"/>
      <c r="OCF369" s="15"/>
      <c r="OCG369" s="15"/>
      <c r="OCH369" s="15"/>
      <c r="OCI369" s="15"/>
      <c r="OCJ369" s="10"/>
      <c r="OCK369" s="10"/>
      <c r="OCL369" s="21"/>
      <c r="OCM369" s="21"/>
      <c r="OCP369" s="21"/>
      <c r="OCQ369" s="15"/>
      <c r="OCR369" s="15"/>
      <c r="OCS369" s="15"/>
      <c r="OCT369" s="15"/>
      <c r="OCU369" s="15"/>
      <c r="OCV369" s="15"/>
      <c r="OCW369" s="15"/>
      <c r="OCX369" s="15"/>
      <c r="OCY369" s="15"/>
      <c r="OCZ369" s="15"/>
      <c r="ODA369" s="10"/>
      <c r="ODB369" s="10"/>
      <c r="ODC369" s="21"/>
      <c r="ODD369" s="21"/>
      <c r="ODG369" s="21"/>
      <c r="ODH369" s="15"/>
      <c r="ODI369" s="15"/>
      <c r="ODJ369" s="15"/>
      <c r="ODK369" s="15"/>
      <c r="ODL369" s="15"/>
      <c r="ODM369" s="15"/>
      <c r="ODN369" s="15"/>
      <c r="ODO369" s="15"/>
      <c r="ODP369" s="15"/>
      <c r="ODQ369" s="15"/>
      <c r="ODR369" s="10"/>
      <c r="ODS369" s="10"/>
      <c r="ODT369" s="21"/>
      <c r="ODU369" s="21"/>
      <c r="ODX369" s="21"/>
      <c r="ODY369" s="15"/>
      <c r="ODZ369" s="15"/>
      <c r="OEA369" s="15"/>
      <c r="OEB369" s="15"/>
      <c r="OEC369" s="15"/>
      <c r="OED369" s="15"/>
      <c r="OEE369" s="15"/>
      <c r="OEF369" s="15"/>
      <c r="OEG369" s="15"/>
      <c r="OEH369" s="15"/>
      <c r="OEI369" s="10"/>
      <c r="OEJ369" s="10"/>
      <c r="OEK369" s="21"/>
      <c r="OEL369" s="21"/>
      <c r="OEO369" s="21"/>
      <c r="OEP369" s="15"/>
      <c r="OEQ369" s="15"/>
      <c r="OER369" s="15"/>
      <c r="OES369" s="15"/>
      <c r="OET369" s="15"/>
      <c r="OEU369" s="15"/>
      <c r="OEV369" s="15"/>
      <c r="OEW369" s="15"/>
      <c r="OEX369" s="15"/>
      <c r="OEY369" s="15"/>
      <c r="OEZ369" s="10"/>
      <c r="OFA369" s="10"/>
      <c r="OFB369" s="21"/>
      <c r="OFC369" s="21"/>
      <c r="OFF369" s="21"/>
      <c r="OFG369" s="15"/>
      <c r="OFH369" s="15"/>
      <c r="OFI369" s="15"/>
      <c r="OFJ369" s="15"/>
      <c r="OFK369" s="15"/>
      <c r="OFL369" s="15"/>
      <c r="OFM369" s="15"/>
      <c r="OFN369" s="15"/>
      <c r="OFO369" s="15"/>
      <c r="OFP369" s="15"/>
      <c r="OFQ369" s="10"/>
      <c r="OFR369" s="10"/>
      <c r="OFS369" s="21"/>
      <c r="OFT369" s="21"/>
      <c r="OFW369" s="21"/>
      <c r="OFX369" s="15"/>
      <c r="OFY369" s="15"/>
      <c r="OFZ369" s="15"/>
      <c r="OGA369" s="15"/>
      <c r="OGB369" s="15"/>
      <c r="OGC369" s="15"/>
      <c r="OGD369" s="15"/>
      <c r="OGE369" s="15"/>
      <c r="OGF369" s="15"/>
      <c r="OGG369" s="15"/>
      <c r="OGH369" s="10"/>
      <c r="OGI369" s="10"/>
      <c r="OGJ369" s="21"/>
      <c r="OGK369" s="21"/>
      <c r="OGN369" s="21"/>
      <c r="OGO369" s="15"/>
      <c r="OGP369" s="15"/>
      <c r="OGQ369" s="15"/>
      <c r="OGR369" s="15"/>
      <c r="OGS369" s="15"/>
      <c r="OGT369" s="15"/>
      <c r="OGU369" s="15"/>
      <c r="OGV369" s="15"/>
      <c r="OGW369" s="15"/>
      <c r="OGX369" s="15"/>
      <c r="OGY369" s="10"/>
      <c r="OGZ369" s="10"/>
      <c r="OHA369" s="21"/>
      <c r="OHB369" s="21"/>
      <c r="OHE369" s="21"/>
      <c r="OHF369" s="15"/>
      <c r="OHG369" s="15"/>
      <c r="OHH369" s="15"/>
      <c r="OHI369" s="15"/>
      <c r="OHJ369" s="15"/>
      <c r="OHK369" s="15"/>
      <c r="OHL369" s="15"/>
      <c r="OHM369" s="15"/>
      <c r="OHN369" s="15"/>
      <c r="OHO369" s="15"/>
      <c r="OHP369" s="10"/>
      <c r="OHQ369" s="10"/>
      <c r="OHR369" s="21"/>
      <c r="OHS369" s="21"/>
      <c r="OHV369" s="21"/>
      <c r="OHW369" s="15"/>
      <c r="OHX369" s="15"/>
      <c r="OHY369" s="15"/>
      <c r="OHZ369" s="15"/>
      <c r="OIA369" s="15"/>
      <c r="OIB369" s="15"/>
      <c r="OIC369" s="15"/>
      <c r="OID369" s="15"/>
      <c r="OIE369" s="15"/>
      <c r="OIF369" s="15"/>
      <c r="OIG369" s="10"/>
      <c r="OIH369" s="10"/>
      <c r="OII369" s="21"/>
      <c r="OIJ369" s="21"/>
      <c r="OIM369" s="21"/>
      <c r="OIN369" s="15"/>
      <c r="OIO369" s="15"/>
      <c r="OIP369" s="15"/>
      <c r="OIQ369" s="15"/>
      <c r="OIR369" s="15"/>
      <c r="OIS369" s="15"/>
      <c r="OIT369" s="15"/>
      <c r="OIU369" s="15"/>
      <c r="OIV369" s="15"/>
      <c r="OIW369" s="15"/>
      <c r="OIX369" s="10"/>
      <c r="OIY369" s="10"/>
      <c r="OIZ369" s="21"/>
      <c r="OJA369" s="21"/>
      <c r="OJD369" s="21"/>
      <c r="OJE369" s="15"/>
      <c r="OJF369" s="15"/>
      <c r="OJG369" s="15"/>
      <c r="OJH369" s="15"/>
      <c r="OJI369" s="15"/>
      <c r="OJJ369" s="15"/>
      <c r="OJK369" s="15"/>
      <c r="OJL369" s="15"/>
      <c r="OJM369" s="15"/>
      <c r="OJN369" s="15"/>
      <c r="OJO369" s="10"/>
      <c r="OJP369" s="10"/>
      <c r="OJQ369" s="21"/>
      <c r="OJR369" s="21"/>
      <c r="OJU369" s="21"/>
      <c r="OJV369" s="15"/>
      <c r="OJW369" s="15"/>
      <c r="OJX369" s="15"/>
      <c r="OJY369" s="15"/>
      <c r="OJZ369" s="15"/>
      <c r="OKA369" s="15"/>
      <c r="OKB369" s="15"/>
      <c r="OKC369" s="15"/>
      <c r="OKD369" s="15"/>
      <c r="OKE369" s="15"/>
      <c r="OKF369" s="10"/>
      <c r="OKG369" s="10"/>
      <c r="OKH369" s="21"/>
      <c r="OKI369" s="21"/>
      <c r="OKL369" s="21"/>
      <c r="OKM369" s="15"/>
      <c r="OKN369" s="15"/>
      <c r="OKO369" s="15"/>
      <c r="OKP369" s="15"/>
      <c r="OKQ369" s="15"/>
      <c r="OKR369" s="15"/>
      <c r="OKS369" s="15"/>
      <c r="OKT369" s="15"/>
      <c r="OKU369" s="15"/>
      <c r="OKV369" s="15"/>
      <c r="OKW369" s="10"/>
      <c r="OKX369" s="10"/>
      <c r="OKY369" s="21"/>
      <c r="OKZ369" s="21"/>
      <c r="OLC369" s="21"/>
      <c r="OLD369" s="15"/>
      <c r="OLE369" s="15"/>
      <c r="OLF369" s="15"/>
      <c r="OLG369" s="15"/>
      <c r="OLH369" s="15"/>
      <c r="OLI369" s="15"/>
      <c r="OLJ369" s="15"/>
      <c r="OLK369" s="15"/>
      <c r="OLL369" s="15"/>
      <c r="OLM369" s="15"/>
      <c r="OLN369" s="10"/>
      <c r="OLO369" s="10"/>
      <c r="OLP369" s="21"/>
      <c r="OLQ369" s="21"/>
      <c r="OLT369" s="21"/>
      <c r="OLU369" s="15"/>
      <c r="OLV369" s="15"/>
      <c r="OLW369" s="15"/>
      <c r="OLX369" s="15"/>
      <c r="OLY369" s="15"/>
      <c r="OLZ369" s="15"/>
      <c r="OMA369" s="15"/>
      <c r="OMB369" s="15"/>
      <c r="OMC369" s="15"/>
      <c r="OMD369" s="15"/>
      <c r="OME369" s="10"/>
      <c r="OMF369" s="10"/>
      <c r="OMG369" s="21"/>
      <c r="OMH369" s="21"/>
      <c r="OMK369" s="21"/>
      <c r="OML369" s="15"/>
      <c r="OMM369" s="15"/>
      <c r="OMN369" s="15"/>
      <c r="OMO369" s="15"/>
      <c r="OMP369" s="15"/>
      <c r="OMQ369" s="15"/>
      <c r="OMR369" s="15"/>
      <c r="OMS369" s="15"/>
      <c r="OMT369" s="15"/>
      <c r="OMU369" s="15"/>
      <c r="OMV369" s="10"/>
      <c r="OMW369" s="10"/>
      <c r="OMX369" s="21"/>
      <c r="OMY369" s="21"/>
      <c r="ONB369" s="21"/>
      <c r="ONC369" s="15"/>
      <c r="OND369" s="15"/>
      <c r="ONE369" s="15"/>
      <c r="ONF369" s="15"/>
      <c r="ONG369" s="15"/>
      <c r="ONH369" s="15"/>
      <c r="ONI369" s="15"/>
      <c r="ONJ369" s="15"/>
      <c r="ONK369" s="15"/>
      <c r="ONL369" s="15"/>
      <c r="ONM369" s="10"/>
      <c r="ONN369" s="10"/>
      <c r="ONO369" s="21"/>
      <c r="ONP369" s="21"/>
      <c r="ONS369" s="21"/>
      <c r="ONT369" s="15"/>
      <c r="ONU369" s="15"/>
      <c r="ONV369" s="15"/>
      <c r="ONW369" s="15"/>
      <c r="ONX369" s="15"/>
      <c r="ONY369" s="15"/>
      <c r="ONZ369" s="15"/>
      <c r="OOA369" s="15"/>
      <c r="OOB369" s="15"/>
      <c r="OOC369" s="15"/>
      <c r="OOD369" s="10"/>
      <c r="OOE369" s="10"/>
      <c r="OOF369" s="21"/>
      <c r="OOG369" s="21"/>
      <c r="OOJ369" s="21"/>
      <c r="OOK369" s="15"/>
      <c r="OOL369" s="15"/>
      <c r="OOM369" s="15"/>
      <c r="OON369" s="15"/>
      <c r="OOO369" s="15"/>
      <c r="OOP369" s="15"/>
      <c r="OOQ369" s="15"/>
      <c r="OOR369" s="15"/>
      <c r="OOS369" s="15"/>
      <c r="OOT369" s="15"/>
      <c r="OOU369" s="10"/>
      <c r="OOV369" s="10"/>
      <c r="OOW369" s="21"/>
      <c r="OOX369" s="21"/>
      <c r="OPA369" s="21"/>
      <c r="OPB369" s="15"/>
      <c r="OPC369" s="15"/>
      <c r="OPD369" s="15"/>
      <c r="OPE369" s="15"/>
      <c r="OPF369" s="15"/>
      <c r="OPG369" s="15"/>
      <c r="OPH369" s="15"/>
      <c r="OPI369" s="15"/>
      <c r="OPJ369" s="15"/>
      <c r="OPK369" s="15"/>
      <c r="OPL369" s="10"/>
      <c r="OPM369" s="10"/>
      <c r="OPN369" s="21"/>
      <c r="OPO369" s="21"/>
      <c r="OPR369" s="21"/>
      <c r="OPS369" s="15"/>
      <c r="OPT369" s="15"/>
      <c r="OPU369" s="15"/>
      <c r="OPV369" s="15"/>
      <c r="OPW369" s="15"/>
      <c r="OPX369" s="15"/>
      <c r="OPY369" s="15"/>
      <c r="OPZ369" s="15"/>
      <c r="OQA369" s="15"/>
      <c r="OQB369" s="15"/>
      <c r="OQC369" s="10"/>
      <c r="OQD369" s="10"/>
      <c r="OQE369" s="21"/>
      <c r="OQF369" s="21"/>
      <c r="OQI369" s="21"/>
      <c r="OQJ369" s="15"/>
      <c r="OQK369" s="15"/>
      <c r="OQL369" s="15"/>
      <c r="OQM369" s="15"/>
      <c r="OQN369" s="15"/>
      <c r="OQO369" s="15"/>
      <c r="OQP369" s="15"/>
      <c r="OQQ369" s="15"/>
      <c r="OQR369" s="15"/>
      <c r="OQS369" s="15"/>
      <c r="OQT369" s="10"/>
      <c r="OQU369" s="10"/>
      <c r="OQV369" s="21"/>
      <c r="OQW369" s="21"/>
      <c r="OQZ369" s="21"/>
      <c r="ORA369" s="15"/>
      <c r="ORB369" s="15"/>
      <c r="ORC369" s="15"/>
      <c r="ORD369" s="15"/>
      <c r="ORE369" s="15"/>
      <c r="ORF369" s="15"/>
      <c r="ORG369" s="15"/>
      <c r="ORH369" s="15"/>
      <c r="ORI369" s="15"/>
      <c r="ORJ369" s="15"/>
      <c r="ORK369" s="10"/>
      <c r="ORL369" s="10"/>
      <c r="ORM369" s="21"/>
      <c r="ORN369" s="21"/>
      <c r="ORQ369" s="21"/>
      <c r="ORR369" s="15"/>
      <c r="ORS369" s="15"/>
      <c r="ORT369" s="15"/>
      <c r="ORU369" s="15"/>
      <c r="ORV369" s="15"/>
      <c r="ORW369" s="15"/>
      <c r="ORX369" s="15"/>
      <c r="ORY369" s="15"/>
      <c r="ORZ369" s="15"/>
      <c r="OSA369" s="15"/>
      <c r="OSB369" s="10"/>
      <c r="OSC369" s="10"/>
      <c r="OSD369" s="21"/>
      <c r="OSE369" s="21"/>
      <c r="OSH369" s="21"/>
      <c r="OSI369" s="15"/>
      <c r="OSJ369" s="15"/>
      <c r="OSK369" s="15"/>
      <c r="OSL369" s="15"/>
      <c r="OSM369" s="15"/>
      <c r="OSN369" s="15"/>
      <c r="OSO369" s="15"/>
      <c r="OSP369" s="15"/>
      <c r="OSQ369" s="15"/>
      <c r="OSR369" s="15"/>
      <c r="OSS369" s="10"/>
      <c r="OST369" s="10"/>
      <c r="OSU369" s="21"/>
      <c r="OSV369" s="21"/>
      <c r="OSY369" s="21"/>
      <c r="OSZ369" s="15"/>
      <c r="OTA369" s="15"/>
      <c r="OTB369" s="15"/>
      <c r="OTC369" s="15"/>
      <c r="OTD369" s="15"/>
      <c r="OTE369" s="15"/>
      <c r="OTF369" s="15"/>
      <c r="OTG369" s="15"/>
      <c r="OTH369" s="15"/>
      <c r="OTI369" s="15"/>
      <c r="OTJ369" s="10"/>
      <c r="OTK369" s="10"/>
      <c r="OTL369" s="21"/>
      <c r="OTM369" s="21"/>
      <c r="OTP369" s="21"/>
      <c r="OTQ369" s="15"/>
      <c r="OTR369" s="15"/>
      <c r="OTS369" s="15"/>
      <c r="OTT369" s="15"/>
      <c r="OTU369" s="15"/>
      <c r="OTV369" s="15"/>
      <c r="OTW369" s="15"/>
      <c r="OTX369" s="15"/>
      <c r="OTY369" s="15"/>
      <c r="OTZ369" s="15"/>
      <c r="OUA369" s="10"/>
      <c r="OUB369" s="10"/>
      <c r="OUC369" s="21"/>
      <c r="OUD369" s="21"/>
      <c r="OUG369" s="21"/>
      <c r="OUH369" s="15"/>
      <c r="OUI369" s="15"/>
      <c r="OUJ369" s="15"/>
      <c r="OUK369" s="15"/>
      <c r="OUL369" s="15"/>
      <c r="OUM369" s="15"/>
      <c r="OUN369" s="15"/>
      <c r="OUO369" s="15"/>
      <c r="OUP369" s="15"/>
      <c r="OUQ369" s="15"/>
      <c r="OUR369" s="10"/>
      <c r="OUS369" s="10"/>
      <c r="OUT369" s="21"/>
      <c r="OUU369" s="21"/>
      <c r="OUX369" s="21"/>
      <c r="OUY369" s="15"/>
      <c r="OUZ369" s="15"/>
      <c r="OVA369" s="15"/>
      <c r="OVB369" s="15"/>
      <c r="OVC369" s="15"/>
      <c r="OVD369" s="15"/>
      <c r="OVE369" s="15"/>
      <c r="OVF369" s="15"/>
      <c r="OVG369" s="15"/>
      <c r="OVH369" s="15"/>
      <c r="OVI369" s="10"/>
      <c r="OVJ369" s="10"/>
      <c r="OVK369" s="21"/>
      <c r="OVL369" s="21"/>
      <c r="OVO369" s="21"/>
      <c r="OVP369" s="15"/>
      <c r="OVQ369" s="15"/>
      <c r="OVR369" s="15"/>
      <c r="OVS369" s="15"/>
      <c r="OVT369" s="15"/>
      <c r="OVU369" s="15"/>
      <c r="OVV369" s="15"/>
      <c r="OVW369" s="15"/>
      <c r="OVX369" s="15"/>
      <c r="OVY369" s="15"/>
      <c r="OVZ369" s="10"/>
      <c r="OWA369" s="10"/>
      <c r="OWB369" s="21"/>
      <c r="OWC369" s="21"/>
      <c r="OWF369" s="21"/>
      <c r="OWG369" s="15"/>
      <c r="OWH369" s="15"/>
      <c r="OWI369" s="15"/>
      <c r="OWJ369" s="15"/>
      <c r="OWK369" s="15"/>
      <c r="OWL369" s="15"/>
      <c r="OWM369" s="15"/>
      <c r="OWN369" s="15"/>
      <c r="OWO369" s="15"/>
      <c r="OWP369" s="15"/>
      <c r="OWQ369" s="10"/>
      <c r="OWR369" s="10"/>
      <c r="OWS369" s="21"/>
      <c r="OWT369" s="21"/>
      <c r="OWW369" s="21"/>
      <c r="OWX369" s="15"/>
      <c r="OWY369" s="15"/>
      <c r="OWZ369" s="15"/>
      <c r="OXA369" s="15"/>
      <c r="OXB369" s="15"/>
      <c r="OXC369" s="15"/>
      <c r="OXD369" s="15"/>
      <c r="OXE369" s="15"/>
      <c r="OXF369" s="15"/>
      <c r="OXG369" s="15"/>
      <c r="OXH369" s="10"/>
      <c r="OXI369" s="10"/>
      <c r="OXJ369" s="21"/>
      <c r="OXK369" s="21"/>
      <c r="OXN369" s="21"/>
      <c r="OXO369" s="15"/>
      <c r="OXP369" s="15"/>
      <c r="OXQ369" s="15"/>
      <c r="OXR369" s="15"/>
      <c r="OXS369" s="15"/>
      <c r="OXT369" s="15"/>
      <c r="OXU369" s="15"/>
      <c r="OXV369" s="15"/>
      <c r="OXW369" s="15"/>
      <c r="OXX369" s="15"/>
      <c r="OXY369" s="10"/>
      <c r="OXZ369" s="10"/>
      <c r="OYA369" s="21"/>
      <c r="OYB369" s="21"/>
      <c r="OYE369" s="21"/>
      <c r="OYF369" s="15"/>
      <c r="OYG369" s="15"/>
      <c r="OYH369" s="15"/>
      <c r="OYI369" s="15"/>
      <c r="OYJ369" s="15"/>
      <c r="OYK369" s="15"/>
      <c r="OYL369" s="15"/>
      <c r="OYM369" s="15"/>
      <c r="OYN369" s="15"/>
      <c r="OYO369" s="15"/>
      <c r="OYP369" s="10"/>
      <c r="OYQ369" s="10"/>
      <c r="OYR369" s="21"/>
      <c r="OYS369" s="21"/>
      <c r="OYV369" s="21"/>
      <c r="OYW369" s="15"/>
      <c r="OYX369" s="15"/>
      <c r="OYY369" s="15"/>
      <c r="OYZ369" s="15"/>
      <c r="OZA369" s="15"/>
      <c r="OZB369" s="15"/>
      <c r="OZC369" s="15"/>
      <c r="OZD369" s="15"/>
      <c r="OZE369" s="15"/>
      <c r="OZF369" s="15"/>
      <c r="OZG369" s="10"/>
      <c r="OZH369" s="10"/>
      <c r="OZI369" s="21"/>
      <c r="OZJ369" s="21"/>
      <c r="OZM369" s="21"/>
      <c r="OZN369" s="15"/>
      <c r="OZO369" s="15"/>
      <c r="OZP369" s="15"/>
      <c r="OZQ369" s="15"/>
      <c r="OZR369" s="15"/>
      <c r="OZS369" s="15"/>
      <c r="OZT369" s="15"/>
      <c r="OZU369" s="15"/>
      <c r="OZV369" s="15"/>
      <c r="OZW369" s="15"/>
      <c r="OZX369" s="10"/>
      <c r="OZY369" s="10"/>
      <c r="OZZ369" s="21"/>
      <c r="PAA369" s="21"/>
      <c r="PAD369" s="21"/>
      <c r="PAE369" s="15"/>
      <c r="PAF369" s="15"/>
      <c r="PAG369" s="15"/>
      <c r="PAH369" s="15"/>
      <c r="PAI369" s="15"/>
      <c r="PAJ369" s="15"/>
      <c r="PAK369" s="15"/>
      <c r="PAL369" s="15"/>
      <c r="PAM369" s="15"/>
      <c r="PAN369" s="15"/>
      <c r="PAO369" s="10"/>
      <c r="PAP369" s="10"/>
      <c r="PAQ369" s="21"/>
      <c r="PAR369" s="21"/>
      <c r="PAU369" s="21"/>
      <c r="PAV369" s="15"/>
      <c r="PAW369" s="15"/>
      <c r="PAX369" s="15"/>
      <c r="PAY369" s="15"/>
      <c r="PAZ369" s="15"/>
      <c r="PBA369" s="15"/>
      <c r="PBB369" s="15"/>
      <c r="PBC369" s="15"/>
      <c r="PBD369" s="15"/>
      <c r="PBE369" s="15"/>
      <c r="PBF369" s="10"/>
      <c r="PBG369" s="10"/>
      <c r="PBH369" s="21"/>
      <c r="PBI369" s="21"/>
      <c r="PBL369" s="21"/>
      <c r="PBM369" s="15"/>
      <c r="PBN369" s="15"/>
      <c r="PBO369" s="15"/>
      <c r="PBP369" s="15"/>
      <c r="PBQ369" s="15"/>
      <c r="PBR369" s="15"/>
      <c r="PBS369" s="15"/>
      <c r="PBT369" s="15"/>
      <c r="PBU369" s="15"/>
      <c r="PBV369" s="15"/>
      <c r="PBW369" s="10"/>
      <c r="PBX369" s="10"/>
      <c r="PBY369" s="21"/>
      <c r="PBZ369" s="21"/>
      <c r="PCC369" s="21"/>
      <c r="PCD369" s="15"/>
      <c r="PCE369" s="15"/>
      <c r="PCF369" s="15"/>
      <c r="PCG369" s="15"/>
      <c r="PCH369" s="15"/>
      <c r="PCI369" s="15"/>
      <c r="PCJ369" s="15"/>
      <c r="PCK369" s="15"/>
      <c r="PCL369" s="15"/>
      <c r="PCM369" s="15"/>
      <c r="PCN369" s="10"/>
      <c r="PCO369" s="10"/>
      <c r="PCP369" s="21"/>
      <c r="PCQ369" s="21"/>
      <c r="PCT369" s="21"/>
      <c r="PCU369" s="15"/>
      <c r="PCV369" s="15"/>
      <c r="PCW369" s="15"/>
      <c r="PCX369" s="15"/>
      <c r="PCY369" s="15"/>
      <c r="PCZ369" s="15"/>
      <c r="PDA369" s="15"/>
      <c r="PDB369" s="15"/>
      <c r="PDC369" s="15"/>
      <c r="PDD369" s="15"/>
      <c r="PDE369" s="10"/>
      <c r="PDF369" s="10"/>
      <c r="PDG369" s="21"/>
      <c r="PDH369" s="21"/>
      <c r="PDK369" s="21"/>
      <c r="PDL369" s="15"/>
      <c r="PDM369" s="15"/>
      <c r="PDN369" s="15"/>
      <c r="PDO369" s="15"/>
      <c r="PDP369" s="15"/>
      <c r="PDQ369" s="15"/>
      <c r="PDR369" s="15"/>
      <c r="PDS369" s="15"/>
      <c r="PDT369" s="15"/>
      <c r="PDU369" s="15"/>
      <c r="PDV369" s="10"/>
      <c r="PDW369" s="10"/>
      <c r="PDX369" s="21"/>
      <c r="PDY369" s="21"/>
      <c r="PEB369" s="21"/>
      <c r="PEC369" s="15"/>
      <c r="PED369" s="15"/>
      <c r="PEE369" s="15"/>
      <c r="PEF369" s="15"/>
      <c r="PEG369" s="15"/>
      <c r="PEH369" s="15"/>
      <c r="PEI369" s="15"/>
      <c r="PEJ369" s="15"/>
      <c r="PEK369" s="15"/>
      <c r="PEL369" s="15"/>
      <c r="PEM369" s="10"/>
      <c r="PEN369" s="10"/>
      <c r="PEO369" s="21"/>
      <c r="PEP369" s="21"/>
      <c r="PES369" s="21"/>
      <c r="PET369" s="15"/>
      <c r="PEU369" s="15"/>
      <c r="PEV369" s="15"/>
      <c r="PEW369" s="15"/>
      <c r="PEX369" s="15"/>
      <c r="PEY369" s="15"/>
      <c r="PEZ369" s="15"/>
      <c r="PFA369" s="15"/>
      <c r="PFB369" s="15"/>
      <c r="PFC369" s="15"/>
      <c r="PFD369" s="10"/>
      <c r="PFE369" s="10"/>
      <c r="PFF369" s="21"/>
      <c r="PFG369" s="21"/>
      <c r="PFJ369" s="21"/>
      <c r="PFK369" s="15"/>
      <c r="PFL369" s="15"/>
      <c r="PFM369" s="15"/>
      <c r="PFN369" s="15"/>
      <c r="PFO369" s="15"/>
      <c r="PFP369" s="15"/>
      <c r="PFQ369" s="15"/>
      <c r="PFR369" s="15"/>
      <c r="PFS369" s="15"/>
      <c r="PFT369" s="15"/>
      <c r="PFU369" s="10"/>
      <c r="PFV369" s="10"/>
      <c r="PFW369" s="21"/>
      <c r="PFX369" s="21"/>
      <c r="PGA369" s="21"/>
      <c r="PGB369" s="15"/>
      <c r="PGC369" s="15"/>
      <c r="PGD369" s="15"/>
      <c r="PGE369" s="15"/>
      <c r="PGF369" s="15"/>
      <c r="PGG369" s="15"/>
      <c r="PGH369" s="15"/>
      <c r="PGI369" s="15"/>
      <c r="PGJ369" s="15"/>
      <c r="PGK369" s="15"/>
      <c r="PGL369" s="10"/>
      <c r="PGM369" s="10"/>
      <c r="PGN369" s="21"/>
      <c r="PGO369" s="21"/>
      <c r="PGR369" s="21"/>
      <c r="PGS369" s="15"/>
      <c r="PGT369" s="15"/>
      <c r="PGU369" s="15"/>
      <c r="PGV369" s="15"/>
      <c r="PGW369" s="15"/>
      <c r="PGX369" s="15"/>
      <c r="PGY369" s="15"/>
      <c r="PGZ369" s="15"/>
      <c r="PHA369" s="15"/>
      <c r="PHB369" s="15"/>
      <c r="PHC369" s="10"/>
      <c r="PHD369" s="10"/>
      <c r="PHE369" s="21"/>
      <c r="PHF369" s="21"/>
      <c r="PHI369" s="21"/>
      <c r="PHJ369" s="15"/>
      <c r="PHK369" s="15"/>
      <c r="PHL369" s="15"/>
      <c r="PHM369" s="15"/>
      <c r="PHN369" s="15"/>
      <c r="PHO369" s="15"/>
      <c r="PHP369" s="15"/>
      <c r="PHQ369" s="15"/>
      <c r="PHR369" s="15"/>
      <c r="PHS369" s="15"/>
      <c r="PHT369" s="10"/>
      <c r="PHU369" s="10"/>
      <c r="PHV369" s="21"/>
      <c r="PHW369" s="21"/>
      <c r="PHZ369" s="21"/>
      <c r="PIA369" s="15"/>
      <c r="PIB369" s="15"/>
      <c r="PIC369" s="15"/>
      <c r="PID369" s="15"/>
      <c r="PIE369" s="15"/>
      <c r="PIF369" s="15"/>
      <c r="PIG369" s="15"/>
      <c r="PIH369" s="15"/>
      <c r="PII369" s="15"/>
      <c r="PIJ369" s="15"/>
      <c r="PIK369" s="10"/>
      <c r="PIL369" s="10"/>
      <c r="PIM369" s="21"/>
      <c r="PIN369" s="21"/>
      <c r="PIQ369" s="21"/>
      <c r="PIR369" s="15"/>
      <c r="PIS369" s="15"/>
      <c r="PIT369" s="15"/>
      <c r="PIU369" s="15"/>
      <c r="PIV369" s="15"/>
      <c r="PIW369" s="15"/>
      <c r="PIX369" s="15"/>
      <c r="PIY369" s="15"/>
      <c r="PIZ369" s="15"/>
      <c r="PJA369" s="15"/>
      <c r="PJB369" s="10"/>
      <c r="PJC369" s="10"/>
      <c r="PJD369" s="21"/>
      <c r="PJE369" s="21"/>
      <c r="PJH369" s="21"/>
      <c r="PJI369" s="15"/>
      <c r="PJJ369" s="15"/>
      <c r="PJK369" s="15"/>
      <c r="PJL369" s="15"/>
      <c r="PJM369" s="15"/>
      <c r="PJN369" s="15"/>
      <c r="PJO369" s="15"/>
      <c r="PJP369" s="15"/>
      <c r="PJQ369" s="15"/>
      <c r="PJR369" s="15"/>
      <c r="PJS369" s="10"/>
      <c r="PJT369" s="10"/>
      <c r="PJU369" s="21"/>
      <c r="PJV369" s="21"/>
      <c r="PJY369" s="21"/>
      <c r="PJZ369" s="15"/>
      <c r="PKA369" s="15"/>
      <c r="PKB369" s="15"/>
      <c r="PKC369" s="15"/>
      <c r="PKD369" s="15"/>
      <c r="PKE369" s="15"/>
      <c r="PKF369" s="15"/>
      <c r="PKG369" s="15"/>
      <c r="PKH369" s="15"/>
      <c r="PKI369" s="15"/>
      <c r="PKJ369" s="10"/>
      <c r="PKK369" s="10"/>
      <c r="PKL369" s="21"/>
      <c r="PKM369" s="21"/>
      <c r="PKP369" s="21"/>
      <c r="PKQ369" s="15"/>
      <c r="PKR369" s="15"/>
      <c r="PKS369" s="15"/>
      <c r="PKT369" s="15"/>
      <c r="PKU369" s="15"/>
      <c r="PKV369" s="15"/>
      <c r="PKW369" s="15"/>
      <c r="PKX369" s="15"/>
      <c r="PKY369" s="15"/>
      <c r="PKZ369" s="15"/>
      <c r="PLA369" s="10"/>
      <c r="PLB369" s="10"/>
      <c r="PLC369" s="21"/>
      <c r="PLD369" s="21"/>
      <c r="PLG369" s="21"/>
      <c r="PLH369" s="15"/>
      <c r="PLI369" s="15"/>
      <c r="PLJ369" s="15"/>
      <c r="PLK369" s="15"/>
      <c r="PLL369" s="15"/>
      <c r="PLM369" s="15"/>
      <c r="PLN369" s="15"/>
      <c r="PLO369" s="15"/>
      <c r="PLP369" s="15"/>
      <c r="PLQ369" s="15"/>
      <c r="PLR369" s="10"/>
      <c r="PLS369" s="10"/>
      <c r="PLT369" s="21"/>
      <c r="PLU369" s="21"/>
      <c r="PLX369" s="21"/>
      <c r="PLY369" s="15"/>
      <c r="PLZ369" s="15"/>
      <c r="PMA369" s="15"/>
      <c r="PMB369" s="15"/>
      <c r="PMC369" s="15"/>
      <c r="PMD369" s="15"/>
      <c r="PME369" s="15"/>
      <c r="PMF369" s="15"/>
      <c r="PMG369" s="15"/>
      <c r="PMH369" s="15"/>
      <c r="PMI369" s="10"/>
      <c r="PMJ369" s="10"/>
      <c r="PMK369" s="21"/>
      <c r="PML369" s="21"/>
      <c r="PMO369" s="21"/>
      <c r="PMP369" s="15"/>
      <c r="PMQ369" s="15"/>
      <c r="PMR369" s="15"/>
      <c r="PMS369" s="15"/>
      <c r="PMT369" s="15"/>
      <c r="PMU369" s="15"/>
      <c r="PMV369" s="15"/>
      <c r="PMW369" s="15"/>
      <c r="PMX369" s="15"/>
      <c r="PMY369" s="15"/>
      <c r="PMZ369" s="10"/>
      <c r="PNA369" s="10"/>
      <c r="PNB369" s="21"/>
      <c r="PNC369" s="21"/>
      <c r="PNF369" s="21"/>
      <c r="PNG369" s="15"/>
      <c r="PNH369" s="15"/>
      <c r="PNI369" s="15"/>
      <c r="PNJ369" s="15"/>
      <c r="PNK369" s="15"/>
      <c r="PNL369" s="15"/>
      <c r="PNM369" s="15"/>
      <c r="PNN369" s="15"/>
      <c r="PNO369" s="15"/>
      <c r="PNP369" s="15"/>
      <c r="PNQ369" s="10"/>
      <c r="PNR369" s="10"/>
      <c r="PNS369" s="21"/>
      <c r="PNT369" s="21"/>
      <c r="PNW369" s="21"/>
      <c r="PNX369" s="15"/>
      <c r="PNY369" s="15"/>
      <c r="PNZ369" s="15"/>
      <c r="POA369" s="15"/>
      <c r="POB369" s="15"/>
      <c r="POC369" s="15"/>
      <c r="POD369" s="15"/>
      <c r="POE369" s="15"/>
      <c r="POF369" s="15"/>
      <c r="POG369" s="15"/>
      <c r="POH369" s="10"/>
      <c r="POI369" s="10"/>
      <c r="POJ369" s="21"/>
      <c r="POK369" s="21"/>
      <c r="PON369" s="21"/>
      <c r="POO369" s="15"/>
      <c r="POP369" s="15"/>
      <c r="POQ369" s="15"/>
      <c r="POR369" s="15"/>
      <c r="POS369" s="15"/>
      <c r="POT369" s="15"/>
      <c r="POU369" s="15"/>
      <c r="POV369" s="15"/>
      <c r="POW369" s="15"/>
      <c r="POX369" s="15"/>
      <c r="POY369" s="10"/>
      <c r="POZ369" s="10"/>
      <c r="PPA369" s="21"/>
      <c r="PPB369" s="21"/>
      <c r="PPE369" s="21"/>
      <c r="PPF369" s="15"/>
      <c r="PPG369" s="15"/>
      <c r="PPH369" s="15"/>
      <c r="PPI369" s="15"/>
      <c r="PPJ369" s="15"/>
      <c r="PPK369" s="15"/>
      <c r="PPL369" s="15"/>
      <c r="PPM369" s="15"/>
      <c r="PPN369" s="15"/>
      <c r="PPO369" s="15"/>
      <c r="PPP369" s="10"/>
      <c r="PPQ369" s="10"/>
      <c r="PPR369" s="21"/>
      <c r="PPS369" s="21"/>
      <c r="PPV369" s="21"/>
      <c r="PPW369" s="15"/>
      <c r="PPX369" s="15"/>
      <c r="PPY369" s="15"/>
      <c r="PPZ369" s="15"/>
      <c r="PQA369" s="15"/>
      <c r="PQB369" s="15"/>
      <c r="PQC369" s="15"/>
      <c r="PQD369" s="15"/>
      <c r="PQE369" s="15"/>
      <c r="PQF369" s="15"/>
      <c r="PQG369" s="10"/>
      <c r="PQH369" s="10"/>
      <c r="PQI369" s="21"/>
      <c r="PQJ369" s="21"/>
      <c r="PQM369" s="21"/>
      <c r="PQN369" s="15"/>
      <c r="PQO369" s="15"/>
      <c r="PQP369" s="15"/>
      <c r="PQQ369" s="15"/>
      <c r="PQR369" s="15"/>
      <c r="PQS369" s="15"/>
      <c r="PQT369" s="15"/>
      <c r="PQU369" s="15"/>
      <c r="PQV369" s="15"/>
      <c r="PQW369" s="15"/>
      <c r="PQX369" s="10"/>
      <c r="PQY369" s="10"/>
      <c r="PQZ369" s="21"/>
      <c r="PRA369" s="21"/>
      <c r="PRD369" s="21"/>
      <c r="PRE369" s="15"/>
      <c r="PRF369" s="15"/>
      <c r="PRG369" s="15"/>
      <c r="PRH369" s="15"/>
      <c r="PRI369" s="15"/>
      <c r="PRJ369" s="15"/>
      <c r="PRK369" s="15"/>
      <c r="PRL369" s="15"/>
      <c r="PRM369" s="15"/>
      <c r="PRN369" s="15"/>
      <c r="PRO369" s="10"/>
      <c r="PRP369" s="10"/>
      <c r="PRQ369" s="21"/>
      <c r="PRR369" s="21"/>
      <c r="PRU369" s="21"/>
      <c r="PRV369" s="15"/>
      <c r="PRW369" s="15"/>
      <c r="PRX369" s="15"/>
      <c r="PRY369" s="15"/>
      <c r="PRZ369" s="15"/>
      <c r="PSA369" s="15"/>
      <c r="PSB369" s="15"/>
      <c r="PSC369" s="15"/>
      <c r="PSD369" s="15"/>
      <c r="PSE369" s="15"/>
      <c r="PSF369" s="10"/>
      <c r="PSG369" s="10"/>
      <c r="PSH369" s="21"/>
      <c r="PSI369" s="21"/>
      <c r="PSL369" s="21"/>
      <c r="PSM369" s="15"/>
      <c r="PSN369" s="15"/>
      <c r="PSO369" s="15"/>
      <c r="PSP369" s="15"/>
      <c r="PSQ369" s="15"/>
      <c r="PSR369" s="15"/>
      <c r="PSS369" s="15"/>
      <c r="PST369" s="15"/>
      <c r="PSU369" s="15"/>
      <c r="PSV369" s="15"/>
      <c r="PSW369" s="10"/>
      <c r="PSX369" s="10"/>
      <c r="PSY369" s="21"/>
      <c r="PSZ369" s="21"/>
      <c r="PTC369" s="21"/>
      <c r="PTD369" s="15"/>
      <c r="PTE369" s="15"/>
      <c r="PTF369" s="15"/>
      <c r="PTG369" s="15"/>
      <c r="PTH369" s="15"/>
      <c r="PTI369" s="15"/>
      <c r="PTJ369" s="15"/>
      <c r="PTK369" s="15"/>
      <c r="PTL369" s="15"/>
      <c r="PTM369" s="15"/>
      <c r="PTN369" s="10"/>
      <c r="PTO369" s="10"/>
      <c r="PTP369" s="21"/>
      <c r="PTQ369" s="21"/>
      <c r="PTT369" s="21"/>
      <c r="PTU369" s="15"/>
      <c r="PTV369" s="15"/>
      <c r="PTW369" s="15"/>
      <c r="PTX369" s="15"/>
      <c r="PTY369" s="15"/>
      <c r="PTZ369" s="15"/>
      <c r="PUA369" s="15"/>
      <c r="PUB369" s="15"/>
      <c r="PUC369" s="15"/>
      <c r="PUD369" s="15"/>
      <c r="PUE369" s="10"/>
      <c r="PUF369" s="10"/>
      <c r="PUG369" s="21"/>
      <c r="PUH369" s="21"/>
      <c r="PUK369" s="21"/>
      <c r="PUL369" s="15"/>
      <c r="PUM369" s="15"/>
      <c r="PUN369" s="15"/>
      <c r="PUO369" s="15"/>
      <c r="PUP369" s="15"/>
      <c r="PUQ369" s="15"/>
      <c r="PUR369" s="15"/>
      <c r="PUS369" s="15"/>
      <c r="PUT369" s="15"/>
      <c r="PUU369" s="15"/>
      <c r="PUV369" s="10"/>
      <c r="PUW369" s="10"/>
      <c r="PUX369" s="21"/>
      <c r="PUY369" s="21"/>
      <c r="PVB369" s="21"/>
      <c r="PVC369" s="15"/>
      <c r="PVD369" s="15"/>
      <c r="PVE369" s="15"/>
      <c r="PVF369" s="15"/>
      <c r="PVG369" s="15"/>
      <c r="PVH369" s="15"/>
      <c r="PVI369" s="15"/>
      <c r="PVJ369" s="15"/>
      <c r="PVK369" s="15"/>
      <c r="PVL369" s="15"/>
      <c r="PVM369" s="10"/>
      <c r="PVN369" s="10"/>
      <c r="PVO369" s="21"/>
      <c r="PVP369" s="21"/>
      <c r="PVS369" s="21"/>
      <c r="PVT369" s="15"/>
      <c r="PVU369" s="15"/>
      <c r="PVV369" s="15"/>
      <c r="PVW369" s="15"/>
      <c r="PVX369" s="15"/>
      <c r="PVY369" s="15"/>
      <c r="PVZ369" s="15"/>
      <c r="PWA369" s="15"/>
      <c r="PWB369" s="15"/>
      <c r="PWC369" s="15"/>
      <c r="PWD369" s="10"/>
      <c r="PWE369" s="10"/>
      <c r="PWF369" s="21"/>
      <c r="PWG369" s="21"/>
      <c r="PWJ369" s="21"/>
      <c r="PWK369" s="15"/>
      <c r="PWL369" s="15"/>
      <c r="PWM369" s="15"/>
      <c r="PWN369" s="15"/>
      <c r="PWO369" s="15"/>
      <c r="PWP369" s="15"/>
      <c r="PWQ369" s="15"/>
      <c r="PWR369" s="15"/>
      <c r="PWS369" s="15"/>
      <c r="PWT369" s="15"/>
      <c r="PWU369" s="10"/>
      <c r="PWV369" s="10"/>
      <c r="PWW369" s="21"/>
      <c r="PWX369" s="21"/>
      <c r="PXA369" s="21"/>
      <c r="PXB369" s="15"/>
      <c r="PXC369" s="15"/>
      <c r="PXD369" s="15"/>
      <c r="PXE369" s="15"/>
      <c r="PXF369" s="15"/>
      <c r="PXG369" s="15"/>
      <c r="PXH369" s="15"/>
      <c r="PXI369" s="15"/>
      <c r="PXJ369" s="15"/>
      <c r="PXK369" s="15"/>
      <c r="PXL369" s="10"/>
      <c r="PXM369" s="10"/>
      <c r="PXN369" s="21"/>
      <c r="PXO369" s="21"/>
      <c r="PXR369" s="21"/>
      <c r="PXS369" s="15"/>
      <c r="PXT369" s="15"/>
      <c r="PXU369" s="15"/>
      <c r="PXV369" s="15"/>
      <c r="PXW369" s="15"/>
      <c r="PXX369" s="15"/>
      <c r="PXY369" s="15"/>
      <c r="PXZ369" s="15"/>
      <c r="PYA369" s="15"/>
      <c r="PYB369" s="15"/>
      <c r="PYC369" s="10"/>
      <c r="PYD369" s="10"/>
      <c r="PYE369" s="21"/>
      <c r="PYF369" s="21"/>
      <c r="PYI369" s="21"/>
      <c r="PYJ369" s="15"/>
      <c r="PYK369" s="15"/>
      <c r="PYL369" s="15"/>
      <c r="PYM369" s="15"/>
      <c r="PYN369" s="15"/>
      <c r="PYO369" s="15"/>
      <c r="PYP369" s="15"/>
      <c r="PYQ369" s="15"/>
      <c r="PYR369" s="15"/>
      <c r="PYS369" s="15"/>
      <c r="PYT369" s="10"/>
      <c r="PYU369" s="10"/>
      <c r="PYV369" s="21"/>
      <c r="PYW369" s="21"/>
      <c r="PYZ369" s="21"/>
      <c r="PZA369" s="15"/>
      <c r="PZB369" s="15"/>
      <c r="PZC369" s="15"/>
      <c r="PZD369" s="15"/>
      <c r="PZE369" s="15"/>
      <c r="PZF369" s="15"/>
      <c r="PZG369" s="15"/>
      <c r="PZH369" s="15"/>
      <c r="PZI369" s="15"/>
      <c r="PZJ369" s="15"/>
      <c r="PZK369" s="10"/>
      <c r="PZL369" s="10"/>
      <c r="PZM369" s="21"/>
      <c r="PZN369" s="21"/>
      <c r="PZQ369" s="21"/>
      <c r="PZR369" s="15"/>
      <c r="PZS369" s="15"/>
      <c r="PZT369" s="15"/>
      <c r="PZU369" s="15"/>
      <c r="PZV369" s="15"/>
      <c r="PZW369" s="15"/>
      <c r="PZX369" s="15"/>
      <c r="PZY369" s="15"/>
      <c r="PZZ369" s="15"/>
      <c r="QAA369" s="15"/>
      <c r="QAB369" s="10"/>
      <c r="QAC369" s="10"/>
      <c r="QAD369" s="21"/>
      <c r="QAE369" s="21"/>
      <c r="QAH369" s="21"/>
      <c r="QAI369" s="15"/>
      <c r="QAJ369" s="15"/>
      <c r="QAK369" s="15"/>
      <c r="QAL369" s="15"/>
      <c r="QAM369" s="15"/>
      <c r="QAN369" s="15"/>
      <c r="QAO369" s="15"/>
      <c r="QAP369" s="15"/>
      <c r="QAQ369" s="15"/>
      <c r="QAR369" s="15"/>
      <c r="QAS369" s="10"/>
      <c r="QAT369" s="10"/>
      <c r="QAU369" s="21"/>
      <c r="QAV369" s="21"/>
      <c r="QAY369" s="21"/>
      <c r="QAZ369" s="15"/>
      <c r="QBA369" s="15"/>
      <c r="QBB369" s="15"/>
      <c r="QBC369" s="15"/>
      <c r="QBD369" s="15"/>
      <c r="QBE369" s="15"/>
      <c r="QBF369" s="15"/>
      <c r="QBG369" s="15"/>
      <c r="QBH369" s="15"/>
      <c r="QBI369" s="15"/>
      <c r="QBJ369" s="10"/>
      <c r="QBK369" s="10"/>
      <c r="QBL369" s="21"/>
      <c r="QBM369" s="21"/>
      <c r="QBP369" s="21"/>
      <c r="QBQ369" s="15"/>
      <c r="QBR369" s="15"/>
      <c r="QBS369" s="15"/>
      <c r="QBT369" s="15"/>
      <c r="QBU369" s="15"/>
      <c r="QBV369" s="15"/>
      <c r="QBW369" s="15"/>
      <c r="QBX369" s="15"/>
      <c r="QBY369" s="15"/>
      <c r="QBZ369" s="15"/>
      <c r="QCA369" s="10"/>
      <c r="QCB369" s="10"/>
      <c r="QCC369" s="21"/>
      <c r="QCD369" s="21"/>
      <c r="QCG369" s="21"/>
      <c r="QCH369" s="15"/>
      <c r="QCI369" s="15"/>
      <c r="QCJ369" s="15"/>
      <c r="QCK369" s="15"/>
      <c r="QCL369" s="15"/>
      <c r="QCM369" s="15"/>
      <c r="QCN369" s="15"/>
      <c r="QCO369" s="15"/>
      <c r="QCP369" s="15"/>
      <c r="QCQ369" s="15"/>
      <c r="QCR369" s="10"/>
      <c r="QCS369" s="10"/>
      <c r="QCT369" s="21"/>
      <c r="QCU369" s="21"/>
      <c r="QCX369" s="21"/>
      <c r="QCY369" s="15"/>
      <c r="QCZ369" s="15"/>
      <c r="QDA369" s="15"/>
      <c r="QDB369" s="15"/>
      <c r="QDC369" s="15"/>
      <c r="QDD369" s="15"/>
      <c r="QDE369" s="15"/>
      <c r="QDF369" s="15"/>
      <c r="QDG369" s="15"/>
      <c r="QDH369" s="15"/>
      <c r="QDI369" s="10"/>
      <c r="QDJ369" s="10"/>
      <c r="QDK369" s="21"/>
      <c r="QDL369" s="21"/>
      <c r="QDO369" s="21"/>
      <c r="QDP369" s="15"/>
      <c r="QDQ369" s="15"/>
      <c r="QDR369" s="15"/>
      <c r="QDS369" s="15"/>
      <c r="QDT369" s="15"/>
      <c r="QDU369" s="15"/>
      <c r="QDV369" s="15"/>
      <c r="QDW369" s="15"/>
      <c r="QDX369" s="15"/>
      <c r="QDY369" s="15"/>
      <c r="QDZ369" s="10"/>
      <c r="QEA369" s="10"/>
      <c r="QEB369" s="21"/>
      <c r="QEC369" s="21"/>
      <c r="QEF369" s="21"/>
      <c r="QEG369" s="15"/>
      <c r="QEH369" s="15"/>
      <c r="QEI369" s="15"/>
      <c r="QEJ369" s="15"/>
      <c r="QEK369" s="15"/>
      <c r="QEL369" s="15"/>
      <c r="QEM369" s="15"/>
      <c r="QEN369" s="15"/>
      <c r="QEO369" s="15"/>
      <c r="QEP369" s="15"/>
      <c r="QEQ369" s="10"/>
      <c r="QER369" s="10"/>
      <c r="QES369" s="21"/>
      <c r="QET369" s="21"/>
      <c r="QEW369" s="21"/>
      <c r="QEX369" s="15"/>
      <c r="QEY369" s="15"/>
      <c r="QEZ369" s="15"/>
      <c r="QFA369" s="15"/>
      <c r="QFB369" s="15"/>
      <c r="QFC369" s="15"/>
      <c r="QFD369" s="15"/>
      <c r="QFE369" s="15"/>
      <c r="QFF369" s="15"/>
      <c r="QFG369" s="15"/>
      <c r="QFH369" s="10"/>
      <c r="QFI369" s="10"/>
      <c r="QFJ369" s="21"/>
      <c r="QFK369" s="21"/>
      <c r="QFN369" s="21"/>
      <c r="QFO369" s="15"/>
      <c r="QFP369" s="15"/>
      <c r="QFQ369" s="15"/>
      <c r="QFR369" s="15"/>
      <c r="QFS369" s="15"/>
      <c r="QFT369" s="15"/>
      <c r="QFU369" s="15"/>
      <c r="QFV369" s="15"/>
      <c r="QFW369" s="15"/>
      <c r="QFX369" s="15"/>
      <c r="QFY369" s="10"/>
      <c r="QFZ369" s="10"/>
      <c r="QGA369" s="21"/>
      <c r="QGB369" s="21"/>
      <c r="QGE369" s="21"/>
      <c r="QGF369" s="15"/>
      <c r="QGG369" s="15"/>
      <c r="QGH369" s="15"/>
      <c r="QGI369" s="15"/>
      <c r="QGJ369" s="15"/>
      <c r="QGK369" s="15"/>
      <c r="QGL369" s="15"/>
      <c r="QGM369" s="15"/>
      <c r="QGN369" s="15"/>
      <c r="QGO369" s="15"/>
      <c r="QGP369" s="10"/>
      <c r="QGQ369" s="10"/>
      <c r="QGR369" s="21"/>
      <c r="QGS369" s="21"/>
      <c r="QGV369" s="21"/>
      <c r="QGW369" s="15"/>
      <c r="QGX369" s="15"/>
      <c r="QGY369" s="15"/>
      <c r="QGZ369" s="15"/>
      <c r="QHA369" s="15"/>
      <c r="QHB369" s="15"/>
      <c r="QHC369" s="15"/>
      <c r="QHD369" s="15"/>
      <c r="QHE369" s="15"/>
      <c r="QHF369" s="15"/>
      <c r="QHG369" s="10"/>
      <c r="QHH369" s="10"/>
      <c r="QHI369" s="21"/>
      <c r="QHJ369" s="21"/>
      <c r="QHM369" s="21"/>
      <c r="QHN369" s="15"/>
      <c r="QHO369" s="15"/>
      <c r="QHP369" s="15"/>
      <c r="QHQ369" s="15"/>
      <c r="QHR369" s="15"/>
      <c r="QHS369" s="15"/>
      <c r="QHT369" s="15"/>
      <c r="QHU369" s="15"/>
      <c r="QHV369" s="15"/>
      <c r="QHW369" s="15"/>
      <c r="QHX369" s="10"/>
      <c r="QHY369" s="10"/>
      <c r="QHZ369" s="21"/>
      <c r="QIA369" s="21"/>
      <c r="QID369" s="21"/>
      <c r="QIE369" s="15"/>
      <c r="QIF369" s="15"/>
      <c r="QIG369" s="15"/>
      <c r="QIH369" s="15"/>
      <c r="QII369" s="15"/>
      <c r="QIJ369" s="15"/>
      <c r="QIK369" s="15"/>
      <c r="QIL369" s="15"/>
      <c r="QIM369" s="15"/>
      <c r="QIN369" s="15"/>
      <c r="QIO369" s="10"/>
      <c r="QIP369" s="10"/>
      <c r="QIQ369" s="21"/>
      <c r="QIR369" s="21"/>
      <c r="QIU369" s="21"/>
      <c r="QIV369" s="15"/>
      <c r="QIW369" s="15"/>
      <c r="QIX369" s="15"/>
      <c r="QIY369" s="15"/>
      <c r="QIZ369" s="15"/>
      <c r="QJA369" s="15"/>
      <c r="QJB369" s="15"/>
      <c r="QJC369" s="15"/>
      <c r="QJD369" s="15"/>
      <c r="QJE369" s="15"/>
      <c r="QJF369" s="10"/>
      <c r="QJG369" s="10"/>
      <c r="QJH369" s="21"/>
      <c r="QJI369" s="21"/>
      <c r="QJL369" s="21"/>
      <c r="QJM369" s="15"/>
      <c r="QJN369" s="15"/>
      <c r="QJO369" s="15"/>
      <c r="QJP369" s="15"/>
      <c r="QJQ369" s="15"/>
      <c r="QJR369" s="15"/>
      <c r="QJS369" s="15"/>
      <c r="QJT369" s="15"/>
      <c r="QJU369" s="15"/>
      <c r="QJV369" s="15"/>
      <c r="QJW369" s="10"/>
      <c r="QJX369" s="10"/>
      <c r="QJY369" s="21"/>
      <c r="QJZ369" s="21"/>
      <c r="QKC369" s="21"/>
      <c r="QKD369" s="15"/>
      <c r="QKE369" s="15"/>
      <c r="QKF369" s="15"/>
      <c r="QKG369" s="15"/>
      <c r="QKH369" s="15"/>
      <c r="QKI369" s="15"/>
      <c r="QKJ369" s="15"/>
      <c r="QKK369" s="15"/>
      <c r="QKL369" s="15"/>
      <c r="QKM369" s="15"/>
      <c r="QKN369" s="10"/>
      <c r="QKO369" s="10"/>
      <c r="QKP369" s="21"/>
      <c r="QKQ369" s="21"/>
      <c r="QKT369" s="21"/>
      <c r="QKU369" s="15"/>
      <c r="QKV369" s="15"/>
      <c r="QKW369" s="15"/>
      <c r="QKX369" s="15"/>
      <c r="QKY369" s="15"/>
      <c r="QKZ369" s="15"/>
      <c r="QLA369" s="15"/>
      <c r="QLB369" s="15"/>
      <c r="QLC369" s="15"/>
      <c r="QLD369" s="15"/>
      <c r="QLE369" s="10"/>
      <c r="QLF369" s="10"/>
      <c r="QLG369" s="21"/>
      <c r="QLH369" s="21"/>
      <c r="QLK369" s="21"/>
      <c r="QLL369" s="15"/>
      <c r="QLM369" s="15"/>
      <c r="QLN369" s="15"/>
      <c r="QLO369" s="15"/>
      <c r="QLP369" s="15"/>
      <c r="QLQ369" s="15"/>
      <c r="QLR369" s="15"/>
      <c r="QLS369" s="15"/>
      <c r="QLT369" s="15"/>
      <c r="QLU369" s="15"/>
      <c r="QLV369" s="10"/>
      <c r="QLW369" s="10"/>
      <c r="QLX369" s="21"/>
      <c r="QLY369" s="21"/>
      <c r="QMB369" s="21"/>
      <c r="QMC369" s="15"/>
      <c r="QMD369" s="15"/>
      <c r="QME369" s="15"/>
      <c r="QMF369" s="15"/>
      <c r="QMG369" s="15"/>
      <c r="QMH369" s="15"/>
      <c r="QMI369" s="15"/>
      <c r="QMJ369" s="15"/>
      <c r="QMK369" s="15"/>
      <c r="QML369" s="15"/>
      <c r="QMM369" s="10"/>
      <c r="QMN369" s="10"/>
      <c r="QMO369" s="21"/>
      <c r="QMP369" s="21"/>
      <c r="QMS369" s="21"/>
      <c r="QMT369" s="15"/>
      <c r="QMU369" s="15"/>
      <c r="QMV369" s="15"/>
      <c r="QMW369" s="15"/>
      <c r="QMX369" s="15"/>
      <c r="QMY369" s="15"/>
      <c r="QMZ369" s="15"/>
      <c r="QNA369" s="15"/>
      <c r="QNB369" s="15"/>
      <c r="QNC369" s="15"/>
      <c r="QND369" s="10"/>
      <c r="QNE369" s="10"/>
      <c r="QNF369" s="21"/>
      <c r="QNG369" s="21"/>
      <c r="QNJ369" s="21"/>
      <c r="QNK369" s="15"/>
      <c r="QNL369" s="15"/>
      <c r="QNM369" s="15"/>
      <c r="QNN369" s="15"/>
      <c r="QNO369" s="15"/>
      <c r="QNP369" s="15"/>
      <c r="QNQ369" s="15"/>
      <c r="QNR369" s="15"/>
      <c r="QNS369" s="15"/>
      <c r="QNT369" s="15"/>
      <c r="QNU369" s="10"/>
      <c r="QNV369" s="10"/>
      <c r="QNW369" s="21"/>
      <c r="QNX369" s="21"/>
      <c r="QOA369" s="21"/>
      <c r="QOB369" s="15"/>
      <c r="QOC369" s="15"/>
      <c r="QOD369" s="15"/>
      <c r="QOE369" s="15"/>
      <c r="QOF369" s="15"/>
      <c r="QOG369" s="15"/>
      <c r="QOH369" s="15"/>
      <c r="QOI369" s="15"/>
      <c r="QOJ369" s="15"/>
      <c r="QOK369" s="15"/>
      <c r="QOL369" s="10"/>
      <c r="QOM369" s="10"/>
      <c r="QON369" s="21"/>
      <c r="QOO369" s="21"/>
      <c r="QOR369" s="21"/>
      <c r="QOS369" s="15"/>
      <c r="QOT369" s="15"/>
      <c r="QOU369" s="15"/>
      <c r="QOV369" s="15"/>
      <c r="QOW369" s="15"/>
      <c r="QOX369" s="15"/>
      <c r="QOY369" s="15"/>
      <c r="QOZ369" s="15"/>
      <c r="QPA369" s="15"/>
      <c r="QPB369" s="15"/>
      <c r="QPC369" s="10"/>
      <c r="QPD369" s="10"/>
      <c r="QPE369" s="21"/>
      <c r="QPF369" s="21"/>
      <c r="QPI369" s="21"/>
      <c r="QPJ369" s="15"/>
      <c r="QPK369" s="15"/>
      <c r="QPL369" s="15"/>
      <c r="QPM369" s="15"/>
      <c r="QPN369" s="15"/>
      <c r="QPO369" s="15"/>
      <c r="QPP369" s="15"/>
      <c r="QPQ369" s="15"/>
      <c r="QPR369" s="15"/>
      <c r="QPS369" s="15"/>
      <c r="QPT369" s="10"/>
      <c r="QPU369" s="10"/>
      <c r="QPV369" s="21"/>
      <c r="QPW369" s="21"/>
      <c r="QPZ369" s="21"/>
      <c r="QQA369" s="15"/>
      <c r="QQB369" s="15"/>
      <c r="QQC369" s="15"/>
      <c r="QQD369" s="15"/>
      <c r="QQE369" s="15"/>
      <c r="QQF369" s="15"/>
      <c r="QQG369" s="15"/>
      <c r="QQH369" s="15"/>
      <c r="QQI369" s="15"/>
      <c r="QQJ369" s="15"/>
      <c r="QQK369" s="10"/>
      <c r="QQL369" s="10"/>
      <c r="QQM369" s="21"/>
      <c r="QQN369" s="21"/>
      <c r="QQQ369" s="21"/>
      <c r="QQR369" s="15"/>
      <c r="QQS369" s="15"/>
      <c r="QQT369" s="15"/>
      <c r="QQU369" s="15"/>
      <c r="QQV369" s="15"/>
      <c r="QQW369" s="15"/>
      <c r="QQX369" s="15"/>
      <c r="QQY369" s="15"/>
      <c r="QQZ369" s="15"/>
      <c r="QRA369" s="15"/>
      <c r="QRB369" s="10"/>
      <c r="QRC369" s="10"/>
      <c r="QRD369" s="21"/>
      <c r="QRE369" s="21"/>
      <c r="QRH369" s="21"/>
      <c r="QRI369" s="15"/>
      <c r="QRJ369" s="15"/>
      <c r="QRK369" s="15"/>
      <c r="QRL369" s="15"/>
      <c r="QRM369" s="15"/>
      <c r="QRN369" s="15"/>
      <c r="QRO369" s="15"/>
      <c r="QRP369" s="15"/>
      <c r="QRQ369" s="15"/>
      <c r="QRR369" s="15"/>
      <c r="QRS369" s="10"/>
      <c r="QRT369" s="10"/>
      <c r="QRU369" s="21"/>
      <c r="QRV369" s="21"/>
      <c r="QRY369" s="21"/>
      <c r="QRZ369" s="15"/>
      <c r="QSA369" s="15"/>
      <c r="QSB369" s="15"/>
      <c r="QSC369" s="15"/>
      <c r="QSD369" s="15"/>
      <c r="QSE369" s="15"/>
      <c r="QSF369" s="15"/>
      <c r="QSG369" s="15"/>
      <c r="QSH369" s="15"/>
      <c r="QSI369" s="15"/>
      <c r="QSJ369" s="10"/>
      <c r="QSK369" s="10"/>
      <c r="QSL369" s="21"/>
      <c r="QSM369" s="21"/>
      <c r="QSP369" s="21"/>
      <c r="QSQ369" s="15"/>
      <c r="QSR369" s="15"/>
      <c r="QSS369" s="15"/>
      <c r="QST369" s="15"/>
      <c r="QSU369" s="15"/>
      <c r="QSV369" s="15"/>
      <c r="QSW369" s="15"/>
      <c r="QSX369" s="15"/>
      <c r="QSY369" s="15"/>
      <c r="QSZ369" s="15"/>
      <c r="QTA369" s="10"/>
      <c r="QTB369" s="10"/>
      <c r="QTC369" s="21"/>
      <c r="QTD369" s="21"/>
      <c r="QTG369" s="21"/>
      <c r="QTH369" s="15"/>
      <c r="QTI369" s="15"/>
      <c r="QTJ369" s="15"/>
      <c r="QTK369" s="15"/>
      <c r="QTL369" s="15"/>
      <c r="QTM369" s="15"/>
      <c r="QTN369" s="15"/>
      <c r="QTO369" s="15"/>
      <c r="QTP369" s="15"/>
      <c r="QTQ369" s="15"/>
      <c r="QTR369" s="10"/>
      <c r="QTS369" s="10"/>
      <c r="QTT369" s="21"/>
      <c r="QTU369" s="21"/>
      <c r="QTX369" s="21"/>
      <c r="QTY369" s="15"/>
      <c r="QTZ369" s="15"/>
      <c r="QUA369" s="15"/>
      <c r="QUB369" s="15"/>
      <c r="QUC369" s="15"/>
      <c r="QUD369" s="15"/>
      <c r="QUE369" s="15"/>
      <c r="QUF369" s="15"/>
      <c r="QUG369" s="15"/>
      <c r="QUH369" s="15"/>
      <c r="QUI369" s="10"/>
      <c r="QUJ369" s="10"/>
      <c r="QUK369" s="21"/>
      <c r="QUL369" s="21"/>
      <c r="QUO369" s="21"/>
      <c r="QUP369" s="15"/>
      <c r="QUQ369" s="15"/>
      <c r="QUR369" s="15"/>
      <c r="QUS369" s="15"/>
      <c r="QUT369" s="15"/>
      <c r="QUU369" s="15"/>
      <c r="QUV369" s="15"/>
      <c r="QUW369" s="15"/>
      <c r="QUX369" s="15"/>
      <c r="QUY369" s="15"/>
      <c r="QUZ369" s="10"/>
      <c r="QVA369" s="10"/>
      <c r="QVB369" s="21"/>
      <c r="QVC369" s="21"/>
      <c r="QVF369" s="21"/>
      <c r="QVG369" s="15"/>
      <c r="QVH369" s="15"/>
      <c r="QVI369" s="15"/>
      <c r="QVJ369" s="15"/>
      <c r="QVK369" s="15"/>
      <c r="QVL369" s="15"/>
      <c r="QVM369" s="15"/>
      <c r="QVN369" s="15"/>
      <c r="QVO369" s="15"/>
      <c r="QVP369" s="15"/>
      <c r="QVQ369" s="10"/>
      <c r="QVR369" s="10"/>
      <c r="QVS369" s="21"/>
      <c r="QVT369" s="21"/>
      <c r="QVW369" s="21"/>
      <c r="QVX369" s="15"/>
      <c r="QVY369" s="15"/>
      <c r="QVZ369" s="15"/>
      <c r="QWA369" s="15"/>
      <c r="QWB369" s="15"/>
      <c r="QWC369" s="15"/>
      <c r="QWD369" s="15"/>
      <c r="QWE369" s="15"/>
      <c r="QWF369" s="15"/>
      <c r="QWG369" s="15"/>
      <c r="QWH369" s="10"/>
      <c r="QWI369" s="10"/>
      <c r="QWJ369" s="21"/>
      <c r="QWK369" s="21"/>
      <c r="QWN369" s="21"/>
      <c r="QWO369" s="15"/>
      <c r="QWP369" s="15"/>
      <c r="QWQ369" s="15"/>
      <c r="QWR369" s="15"/>
      <c r="QWS369" s="15"/>
      <c r="QWT369" s="15"/>
      <c r="QWU369" s="15"/>
      <c r="QWV369" s="15"/>
      <c r="QWW369" s="15"/>
      <c r="QWX369" s="15"/>
      <c r="QWY369" s="10"/>
      <c r="QWZ369" s="10"/>
      <c r="QXA369" s="21"/>
      <c r="QXB369" s="21"/>
      <c r="QXE369" s="21"/>
      <c r="QXF369" s="15"/>
      <c r="QXG369" s="15"/>
      <c r="QXH369" s="15"/>
      <c r="QXI369" s="15"/>
      <c r="QXJ369" s="15"/>
      <c r="QXK369" s="15"/>
      <c r="QXL369" s="15"/>
      <c r="QXM369" s="15"/>
      <c r="QXN369" s="15"/>
      <c r="QXO369" s="15"/>
      <c r="QXP369" s="10"/>
      <c r="QXQ369" s="10"/>
      <c r="QXR369" s="21"/>
      <c r="QXS369" s="21"/>
      <c r="QXV369" s="21"/>
      <c r="QXW369" s="15"/>
      <c r="QXX369" s="15"/>
      <c r="QXY369" s="15"/>
      <c r="QXZ369" s="15"/>
      <c r="QYA369" s="15"/>
      <c r="QYB369" s="15"/>
      <c r="QYC369" s="15"/>
      <c r="QYD369" s="15"/>
      <c r="QYE369" s="15"/>
      <c r="QYF369" s="15"/>
      <c r="QYG369" s="10"/>
      <c r="QYH369" s="10"/>
      <c r="QYI369" s="21"/>
      <c r="QYJ369" s="21"/>
      <c r="QYM369" s="21"/>
      <c r="QYN369" s="15"/>
      <c r="QYO369" s="15"/>
      <c r="QYP369" s="15"/>
      <c r="QYQ369" s="15"/>
      <c r="QYR369" s="15"/>
      <c r="QYS369" s="15"/>
      <c r="QYT369" s="15"/>
      <c r="QYU369" s="15"/>
      <c r="QYV369" s="15"/>
      <c r="QYW369" s="15"/>
      <c r="QYX369" s="10"/>
      <c r="QYY369" s="10"/>
      <c r="QYZ369" s="21"/>
      <c r="QZA369" s="21"/>
      <c r="QZD369" s="21"/>
      <c r="QZE369" s="15"/>
      <c r="QZF369" s="15"/>
      <c r="QZG369" s="15"/>
      <c r="QZH369" s="15"/>
      <c r="QZI369" s="15"/>
      <c r="QZJ369" s="15"/>
      <c r="QZK369" s="15"/>
      <c r="QZL369" s="15"/>
      <c r="QZM369" s="15"/>
      <c r="QZN369" s="15"/>
      <c r="QZO369" s="10"/>
      <c r="QZP369" s="10"/>
      <c r="QZQ369" s="21"/>
      <c r="QZR369" s="21"/>
      <c r="QZU369" s="21"/>
      <c r="QZV369" s="15"/>
      <c r="QZW369" s="15"/>
      <c r="QZX369" s="15"/>
      <c r="QZY369" s="15"/>
      <c r="QZZ369" s="15"/>
      <c r="RAA369" s="15"/>
      <c r="RAB369" s="15"/>
      <c r="RAC369" s="15"/>
      <c r="RAD369" s="15"/>
      <c r="RAE369" s="15"/>
      <c r="RAF369" s="10"/>
      <c r="RAG369" s="10"/>
      <c r="RAH369" s="21"/>
      <c r="RAI369" s="21"/>
      <c r="RAL369" s="21"/>
      <c r="RAM369" s="15"/>
      <c r="RAN369" s="15"/>
      <c r="RAO369" s="15"/>
      <c r="RAP369" s="15"/>
      <c r="RAQ369" s="15"/>
      <c r="RAR369" s="15"/>
      <c r="RAS369" s="15"/>
      <c r="RAT369" s="15"/>
      <c r="RAU369" s="15"/>
      <c r="RAV369" s="15"/>
      <c r="RAW369" s="10"/>
      <c r="RAX369" s="10"/>
      <c r="RAY369" s="21"/>
      <c r="RAZ369" s="21"/>
      <c r="RBC369" s="21"/>
      <c r="RBD369" s="15"/>
      <c r="RBE369" s="15"/>
      <c r="RBF369" s="15"/>
      <c r="RBG369" s="15"/>
      <c r="RBH369" s="15"/>
      <c r="RBI369" s="15"/>
      <c r="RBJ369" s="15"/>
      <c r="RBK369" s="15"/>
      <c r="RBL369" s="15"/>
      <c r="RBM369" s="15"/>
      <c r="RBN369" s="10"/>
      <c r="RBO369" s="10"/>
      <c r="RBP369" s="21"/>
      <c r="RBQ369" s="21"/>
      <c r="RBT369" s="21"/>
      <c r="RBU369" s="15"/>
      <c r="RBV369" s="15"/>
      <c r="RBW369" s="15"/>
      <c r="RBX369" s="15"/>
      <c r="RBY369" s="15"/>
      <c r="RBZ369" s="15"/>
      <c r="RCA369" s="15"/>
      <c r="RCB369" s="15"/>
      <c r="RCC369" s="15"/>
      <c r="RCD369" s="15"/>
      <c r="RCE369" s="10"/>
      <c r="RCF369" s="10"/>
      <c r="RCG369" s="21"/>
      <c r="RCH369" s="21"/>
      <c r="RCK369" s="21"/>
      <c r="RCL369" s="15"/>
      <c r="RCM369" s="15"/>
      <c r="RCN369" s="15"/>
      <c r="RCO369" s="15"/>
      <c r="RCP369" s="15"/>
      <c r="RCQ369" s="15"/>
      <c r="RCR369" s="15"/>
      <c r="RCS369" s="15"/>
      <c r="RCT369" s="15"/>
      <c r="RCU369" s="15"/>
      <c r="RCV369" s="10"/>
      <c r="RCW369" s="10"/>
      <c r="RCX369" s="21"/>
      <c r="RCY369" s="21"/>
      <c r="RDB369" s="21"/>
      <c r="RDC369" s="15"/>
      <c r="RDD369" s="15"/>
      <c r="RDE369" s="15"/>
      <c r="RDF369" s="15"/>
      <c r="RDG369" s="15"/>
      <c r="RDH369" s="15"/>
      <c r="RDI369" s="15"/>
      <c r="RDJ369" s="15"/>
      <c r="RDK369" s="15"/>
      <c r="RDL369" s="15"/>
      <c r="RDM369" s="10"/>
      <c r="RDN369" s="10"/>
      <c r="RDO369" s="21"/>
      <c r="RDP369" s="21"/>
      <c r="RDS369" s="21"/>
      <c r="RDT369" s="15"/>
      <c r="RDU369" s="15"/>
      <c r="RDV369" s="15"/>
      <c r="RDW369" s="15"/>
      <c r="RDX369" s="15"/>
      <c r="RDY369" s="15"/>
      <c r="RDZ369" s="15"/>
      <c r="REA369" s="15"/>
      <c r="REB369" s="15"/>
      <c r="REC369" s="15"/>
      <c r="RED369" s="10"/>
      <c r="REE369" s="10"/>
      <c r="REF369" s="21"/>
      <c r="REG369" s="21"/>
      <c r="REJ369" s="21"/>
      <c r="REK369" s="15"/>
      <c r="REL369" s="15"/>
      <c r="REM369" s="15"/>
      <c r="REN369" s="15"/>
      <c r="REO369" s="15"/>
      <c r="REP369" s="15"/>
      <c r="REQ369" s="15"/>
      <c r="RER369" s="15"/>
      <c r="RES369" s="15"/>
      <c r="RET369" s="15"/>
      <c r="REU369" s="10"/>
      <c r="REV369" s="10"/>
      <c r="REW369" s="21"/>
      <c r="REX369" s="21"/>
      <c r="RFA369" s="21"/>
      <c r="RFB369" s="15"/>
      <c r="RFC369" s="15"/>
      <c r="RFD369" s="15"/>
      <c r="RFE369" s="15"/>
      <c r="RFF369" s="15"/>
      <c r="RFG369" s="15"/>
      <c r="RFH369" s="15"/>
      <c r="RFI369" s="15"/>
      <c r="RFJ369" s="15"/>
      <c r="RFK369" s="15"/>
      <c r="RFL369" s="10"/>
      <c r="RFM369" s="10"/>
      <c r="RFN369" s="21"/>
      <c r="RFO369" s="21"/>
      <c r="RFR369" s="21"/>
      <c r="RFS369" s="15"/>
      <c r="RFT369" s="15"/>
      <c r="RFU369" s="15"/>
      <c r="RFV369" s="15"/>
      <c r="RFW369" s="15"/>
      <c r="RFX369" s="15"/>
      <c r="RFY369" s="15"/>
      <c r="RFZ369" s="15"/>
      <c r="RGA369" s="15"/>
      <c r="RGB369" s="15"/>
      <c r="RGC369" s="10"/>
      <c r="RGD369" s="10"/>
      <c r="RGE369" s="21"/>
      <c r="RGF369" s="21"/>
      <c r="RGI369" s="21"/>
      <c r="RGJ369" s="15"/>
      <c r="RGK369" s="15"/>
      <c r="RGL369" s="15"/>
      <c r="RGM369" s="15"/>
      <c r="RGN369" s="15"/>
      <c r="RGO369" s="15"/>
      <c r="RGP369" s="15"/>
      <c r="RGQ369" s="15"/>
      <c r="RGR369" s="15"/>
      <c r="RGS369" s="15"/>
      <c r="RGT369" s="10"/>
      <c r="RGU369" s="10"/>
      <c r="RGV369" s="21"/>
      <c r="RGW369" s="21"/>
      <c r="RGZ369" s="21"/>
      <c r="RHA369" s="15"/>
      <c r="RHB369" s="15"/>
      <c r="RHC369" s="15"/>
      <c r="RHD369" s="15"/>
      <c r="RHE369" s="15"/>
      <c r="RHF369" s="15"/>
      <c r="RHG369" s="15"/>
      <c r="RHH369" s="15"/>
      <c r="RHI369" s="15"/>
      <c r="RHJ369" s="15"/>
      <c r="RHK369" s="10"/>
      <c r="RHL369" s="10"/>
      <c r="RHM369" s="21"/>
      <c r="RHN369" s="21"/>
      <c r="RHQ369" s="21"/>
      <c r="RHR369" s="15"/>
      <c r="RHS369" s="15"/>
      <c r="RHT369" s="15"/>
      <c r="RHU369" s="15"/>
      <c r="RHV369" s="15"/>
      <c r="RHW369" s="15"/>
      <c r="RHX369" s="15"/>
      <c r="RHY369" s="15"/>
      <c r="RHZ369" s="15"/>
      <c r="RIA369" s="15"/>
      <c r="RIB369" s="10"/>
      <c r="RIC369" s="10"/>
      <c r="RID369" s="21"/>
      <c r="RIE369" s="21"/>
      <c r="RIH369" s="21"/>
      <c r="RII369" s="15"/>
      <c r="RIJ369" s="15"/>
      <c r="RIK369" s="15"/>
      <c r="RIL369" s="15"/>
      <c r="RIM369" s="15"/>
      <c r="RIN369" s="15"/>
      <c r="RIO369" s="15"/>
      <c r="RIP369" s="15"/>
      <c r="RIQ369" s="15"/>
      <c r="RIR369" s="15"/>
      <c r="RIS369" s="10"/>
      <c r="RIT369" s="10"/>
      <c r="RIU369" s="21"/>
      <c r="RIV369" s="21"/>
      <c r="RIY369" s="21"/>
      <c r="RIZ369" s="15"/>
      <c r="RJA369" s="15"/>
      <c r="RJB369" s="15"/>
      <c r="RJC369" s="15"/>
      <c r="RJD369" s="15"/>
      <c r="RJE369" s="15"/>
      <c r="RJF369" s="15"/>
      <c r="RJG369" s="15"/>
      <c r="RJH369" s="15"/>
      <c r="RJI369" s="15"/>
      <c r="RJJ369" s="10"/>
      <c r="RJK369" s="10"/>
      <c r="RJL369" s="21"/>
      <c r="RJM369" s="21"/>
      <c r="RJP369" s="21"/>
      <c r="RJQ369" s="15"/>
      <c r="RJR369" s="15"/>
      <c r="RJS369" s="15"/>
      <c r="RJT369" s="15"/>
      <c r="RJU369" s="15"/>
      <c r="RJV369" s="15"/>
      <c r="RJW369" s="15"/>
      <c r="RJX369" s="15"/>
      <c r="RJY369" s="15"/>
      <c r="RJZ369" s="15"/>
      <c r="RKA369" s="10"/>
      <c r="RKB369" s="10"/>
      <c r="RKC369" s="21"/>
      <c r="RKD369" s="21"/>
      <c r="RKG369" s="21"/>
      <c r="RKH369" s="15"/>
      <c r="RKI369" s="15"/>
      <c r="RKJ369" s="15"/>
      <c r="RKK369" s="15"/>
      <c r="RKL369" s="15"/>
      <c r="RKM369" s="15"/>
      <c r="RKN369" s="15"/>
      <c r="RKO369" s="15"/>
      <c r="RKP369" s="15"/>
      <c r="RKQ369" s="15"/>
      <c r="RKR369" s="10"/>
      <c r="RKS369" s="10"/>
      <c r="RKT369" s="21"/>
      <c r="RKU369" s="21"/>
      <c r="RKX369" s="21"/>
      <c r="RKY369" s="15"/>
      <c r="RKZ369" s="15"/>
      <c r="RLA369" s="15"/>
      <c r="RLB369" s="15"/>
      <c r="RLC369" s="15"/>
      <c r="RLD369" s="15"/>
      <c r="RLE369" s="15"/>
      <c r="RLF369" s="15"/>
      <c r="RLG369" s="15"/>
      <c r="RLH369" s="15"/>
      <c r="RLI369" s="10"/>
      <c r="RLJ369" s="10"/>
      <c r="RLK369" s="21"/>
      <c r="RLL369" s="21"/>
      <c r="RLO369" s="21"/>
      <c r="RLP369" s="15"/>
      <c r="RLQ369" s="15"/>
      <c r="RLR369" s="15"/>
      <c r="RLS369" s="15"/>
      <c r="RLT369" s="15"/>
      <c r="RLU369" s="15"/>
      <c r="RLV369" s="15"/>
      <c r="RLW369" s="15"/>
      <c r="RLX369" s="15"/>
      <c r="RLY369" s="15"/>
      <c r="RLZ369" s="10"/>
      <c r="RMA369" s="10"/>
      <c r="RMB369" s="21"/>
      <c r="RMC369" s="21"/>
      <c r="RMF369" s="21"/>
      <c r="RMG369" s="15"/>
      <c r="RMH369" s="15"/>
      <c r="RMI369" s="15"/>
      <c r="RMJ369" s="15"/>
      <c r="RMK369" s="15"/>
      <c r="RML369" s="15"/>
      <c r="RMM369" s="15"/>
      <c r="RMN369" s="15"/>
      <c r="RMO369" s="15"/>
      <c r="RMP369" s="15"/>
      <c r="RMQ369" s="10"/>
      <c r="RMR369" s="10"/>
      <c r="RMS369" s="21"/>
      <c r="RMT369" s="21"/>
      <c r="RMW369" s="21"/>
      <c r="RMX369" s="15"/>
      <c r="RMY369" s="15"/>
      <c r="RMZ369" s="15"/>
      <c r="RNA369" s="15"/>
      <c r="RNB369" s="15"/>
      <c r="RNC369" s="15"/>
      <c r="RND369" s="15"/>
      <c r="RNE369" s="15"/>
      <c r="RNF369" s="15"/>
      <c r="RNG369" s="15"/>
      <c r="RNH369" s="10"/>
      <c r="RNI369" s="10"/>
      <c r="RNJ369" s="21"/>
      <c r="RNK369" s="21"/>
      <c r="RNN369" s="21"/>
      <c r="RNO369" s="15"/>
      <c r="RNP369" s="15"/>
      <c r="RNQ369" s="15"/>
      <c r="RNR369" s="15"/>
      <c r="RNS369" s="15"/>
      <c r="RNT369" s="15"/>
      <c r="RNU369" s="15"/>
      <c r="RNV369" s="15"/>
      <c r="RNW369" s="15"/>
      <c r="RNX369" s="15"/>
      <c r="RNY369" s="10"/>
      <c r="RNZ369" s="10"/>
      <c r="ROA369" s="21"/>
      <c r="ROB369" s="21"/>
      <c r="ROE369" s="21"/>
      <c r="ROF369" s="15"/>
      <c r="ROG369" s="15"/>
      <c r="ROH369" s="15"/>
      <c r="ROI369" s="15"/>
      <c r="ROJ369" s="15"/>
      <c r="ROK369" s="15"/>
      <c r="ROL369" s="15"/>
      <c r="ROM369" s="15"/>
      <c r="RON369" s="15"/>
      <c r="ROO369" s="15"/>
      <c r="ROP369" s="10"/>
      <c r="ROQ369" s="10"/>
      <c r="ROR369" s="21"/>
      <c r="ROS369" s="21"/>
      <c r="ROV369" s="21"/>
      <c r="ROW369" s="15"/>
      <c r="ROX369" s="15"/>
      <c r="ROY369" s="15"/>
      <c r="ROZ369" s="15"/>
      <c r="RPA369" s="15"/>
      <c r="RPB369" s="15"/>
      <c r="RPC369" s="15"/>
      <c r="RPD369" s="15"/>
      <c r="RPE369" s="15"/>
      <c r="RPF369" s="15"/>
      <c r="RPG369" s="10"/>
      <c r="RPH369" s="10"/>
      <c r="RPI369" s="21"/>
      <c r="RPJ369" s="21"/>
      <c r="RPM369" s="21"/>
      <c r="RPN369" s="15"/>
      <c r="RPO369" s="15"/>
      <c r="RPP369" s="15"/>
      <c r="RPQ369" s="15"/>
      <c r="RPR369" s="15"/>
      <c r="RPS369" s="15"/>
      <c r="RPT369" s="15"/>
      <c r="RPU369" s="15"/>
      <c r="RPV369" s="15"/>
      <c r="RPW369" s="15"/>
      <c r="RPX369" s="10"/>
      <c r="RPY369" s="10"/>
      <c r="RPZ369" s="21"/>
      <c r="RQA369" s="21"/>
      <c r="RQD369" s="21"/>
      <c r="RQE369" s="15"/>
      <c r="RQF369" s="15"/>
      <c r="RQG369" s="15"/>
      <c r="RQH369" s="15"/>
      <c r="RQI369" s="15"/>
      <c r="RQJ369" s="15"/>
      <c r="RQK369" s="15"/>
      <c r="RQL369" s="15"/>
      <c r="RQM369" s="15"/>
      <c r="RQN369" s="15"/>
      <c r="RQO369" s="10"/>
      <c r="RQP369" s="10"/>
      <c r="RQQ369" s="21"/>
      <c r="RQR369" s="21"/>
      <c r="RQU369" s="21"/>
      <c r="RQV369" s="15"/>
      <c r="RQW369" s="15"/>
      <c r="RQX369" s="15"/>
      <c r="RQY369" s="15"/>
      <c r="RQZ369" s="15"/>
      <c r="RRA369" s="15"/>
      <c r="RRB369" s="15"/>
      <c r="RRC369" s="15"/>
      <c r="RRD369" s="15"/>
      <c r="RRE369" s="15"/>
      <c r="RRF369" s="10"/>
      <c r="RRG369" s="10"/>
      <c r="RRH369" s="21"/>
      <c r="RRI369" s="21"/>
      <c r="RRL369" s="21"/>
      <c r="RRM369" s="15"/>
      <c r="RRN369" s="15"/>
      <c r="RRO369" s="15"/>
      <c r="RRP369" s="15"/>
      <c r="RRQ369" s="15"/>
      <c r="RRR369" s="15"/>
      <c r="RRS369" s="15"/>
      <c r="RRT369" s="15"/>
      <c r="RRU369" s="15"/>
      <c r="RRV369" s="15"/>
      <c r="RRW369" s="10"/>
      <c r="RRX369" s="10"/>
      <c r="RRY369" s="21"/>
      <c r="RRZ369" s="21"/>
      <c r="RSC369" s="21"/>
      <c r="RSD369" s="15"/>
      <c r="RSE369" s="15"/>
      <c r="RSF369" s="15"/>
      <c r="RSG369" s="15"/>
      <c r="RSH369" s="15"/>
      <c r="RSI369" s="15"/>
      <c r="RSJ369" s="15"/>
      <c r="RSK369" s="15"/>
      <c r="RSL369" s="15"/>
      <c r="RSM369" s="15"/>
      <c r="RSN369" s="10"/>
      <c r="RSO369" s="10"/>
      <c r="RSP369" s="21"/>
      <c r="RSQ369" s="21"/>
      <c r="RST369" s="21"/>
      <c r="RSU369" s="15"/>
      <c r="RSV369" s="15"/>
      <c r="RSW369" s="15"/>
      <c r="RSX369" s="15"/>
      <c r="RSY369" s="15"/>
      <c r="RSZ369" s="15"/>
      <c r="RTA369" s="15"/>
      <c r="RTB369" s="15"/>
      <c r="RTC369" s="15"/>
      <c r="RTD369" s="15"/>
      <c r="RTE369" s="10"/>
      <c r="RTF369" s="10"/>
      <c r="RTG369" s="21"/>
      <c r="RTH369" s="21"/>
      <c r="RTK369" s="21"/>
      <c r="RTL369" s="15"/>
      <c r="RTM369" s="15"/>
      <c r="RTN369" s="15"/>
      <c r="RTO369" s="15"/>
      <c r="RTP369" s="15"/>
      <c r="RTQ369" s="15"/>
      <c r="RTR369" s="15"/>
      <c r="RTS369" s="15"/>
      <c r="RTT369" s="15"/>
      <c r="RTU369" s="15"/>
      <c r="RTV369" s="10"/>
      <c r="RTW369" s="10"/>
      <c r="RTX369" s="21"/>
      <c r="RTY369" s="21"/>
      <c r="RUB369" s="21"/>
      <c r="RUC369" s="15"/>
      <c r="RUD369" s="15"/>
      <c r="RUE369" s="15"/>
      <c r="RUF369" s="15"/>
      <c r="RUG369" s="15"/>
      <c r="RUH369" s="15"/>
      <c r="RUI369" s="15"/>
      <c r="RUJ369" s="15"/>
      <c r="RUK369" s="15"/>
      <c r="RUL369" s="15"/>
      <c r="RUM369" s="10"/>
      <c r="RUN369" s="10"/>
      <c r="RUO369" s="21"/>
      <c r="RUP369" s="21"/>
      <c r="RUS369" s="21"/>
      <c r="RUT369" s="15"/>
      <c r="RUU369" s="15"/>
      <c r="RUV369" s="15"/>
      <c r="RUW369" s="15"/>
      <c r="RUX369" s="15"/>
      <c r="RUY369" s="15"/>
      <c r="RUZ369" s="15"/>
      <c r="RVA369" s="15"/>
      <c r="RVB369" s="15"/>
      <c r="RVC369" s="15"/>
      <c r="RVD369" s="10"/>
      <c r="RVE369" s="10"/>
      <c r="RVF369" s="21"/>
      <c r="RVG369" s="21"/>
      <c r="RVJ369" s="21"/>
      <c r="RVK369" s="15"/>
      <c r="RVL369" s="15"/>
      <c r="RVM369" s="15"/>
      <c r="RVN369" s="15"/>
      <c r="RVO369" s="15"/>
      <c r="RVP369" s="15"/>
      <c r="RVQ369" s="15"/>
      <c r="RVR369" s="15"/>
      <c r="RVS369" s="15"/>
      <c r="RVT369" s="15"/>
      <c r="RVU369" s="10"/>
      <c r="RVV369" s="10"/>
      <c r="RVW369" s="21"/>
      <c r="RVX369" s="21"/>
      <c r="RWA369" s="21"/>
      <c r="RWB369" s="15"/>
      <c r="RWC369" s="15"/>
      <c r="RWD369" s="15"/>
      <c r="RWE369" s="15"/>
      <c r="RWF369" s="15"/>
      <c r="RWG369" s="15"/>
      <c r="RWH369" s="15"/>
      <c r="RWI369" s="15"/>
      <c r="RWJ369" s="15"/>
      <c r="RWK369" s="15"/>
      <c r="RWL369" s="10"/>
      <c r="RWM369" s="10"/>
      <c r="RWN369" s="21"/>
      <c r="RWO369" s="21"/>
      <c r="RWR369" s="21"/>
      <c r="RWS369" s="15"/>
      <c r="RWT369" s="15"/>
      <c r="RWU369" s="15"/>
      <c r="RWV369" s="15"/>
      <c r="RWW369" s="15"/>
      <c r="RWX369" s="15"/>
      <c r="RWY369" s="15"/>
      <c r="RWZ369" s="15"/>
      <c r="RXA369" s="15"/>
      <c r="RXB369" s="15"/>
      <c r="RXC369" s="10"/>
      <c r="RXD369" s="10"/>
      <c r="RXE369" s="21"/>
      <c r="RXF369" s="21"/>
      <c r="RXI369" s="21"/>
      <c r="RXJ369" s="15"/>
      <c r="RXK369" s="15"/>
      <c r="RXL369" s="15"/>
      <c r="RXM369" s="15"/>
      <c r="RXN369" s="15"/>
      <c r="RXO369" s="15"/>
      <c r="RXP369" s="15"/>
      <c r="RXQ369" s="15"/>
      <c r="RXR369" s="15"/>
      <c r="RXS369" s="15"/>
      <c r="RXT369" s="10"/>
      <c r="RXU369" s="10"/>
      <c r="RXV369" s="21"/>
      <c r="RXW369" s="21"/>
      <c r="RXZ369" s="21"/>
      <c r="RYA369" s="15"/>
      <c r="RYB369" s="15"/>
      <c r="RYC369" s="15"/>
      <c r="RYD369" s="15"/>
      <c r="RYE369" s="15"/>
      <c r="RYF369" s="15"/>
      <c r="RYG369" s="15"/>
      <c r="RYH369" s="15"/>
      <c r="RYI369" s="15"/>
      <c r="RYJ369" s="15"/>
      <c r="RYK369" s="10"/>
      <c r="RYL369" s="10"/>
      <c r="RYM369" s="21"/>
      <c r="RYN369" s="21"/>
      <c r="RYQ369" s="21"/>
      <c r="RYR369" s="15"/>
      <c r="RYS369" s="15"/>
      <c r="RYT369" s="15"/>
      <c r="RYU369" s="15"/>
      <c r="RYV369" s="15"/>
      <c r="RYW369" s="15"/>
      <c r="RYX369" s="15"/>
      <c r="RYY369" s="15"/>
      <c r="RYZ369" s="15"/>
      <c r="RZA369" s="15"/>
      <c r="RZB369" s="10"/>
      <c r="RZC369" s="10"/>
      <c r="RZD369" s="21"/>
      <c r="RZE369" s="21"/>
      <c r="RZH369" s="21"/>
      <c r="RZI369" s="15"/>
      <c r="RZJ369" s="15"/>
      <c r="RZK369" s="15"/>
      <c r="RZL369" s="15"/>
      <c r="RZM369" s="15"/>
      <c r="RZN369" s="15"/>
      <c r="RZO369" s="15"/>
      <c r="RZP369" s="15"/>
      <c r="RZQ369" s="15"/>
      <c r="RZR369" s="15"/>
      <c r="RZS369" s="10"/>
      <c r="RZT369" s="10"/>
      <c r="RZU369" s="21"/>
      <c r="RZV369" s="21"/>
      <c r="RZY369" s="21"/>
      <c r="RZZ369" s="15"/>
      <c r="SAA369" s="15"/>
      <c r="SAB369" s="15"/>
      <c r="SAC369" s="15"/>
      <c r="SAD369" s="15"/>
      <c r="SAE369" s="15"/>
      <c r="SAF369" s="15"/>
      <c r="SAG369" s="15"/>
      <c r="SAH369" s="15"/>
      <c r="SAI369" s="15"/>
      <c r="SAJ369" s="10"/>
      <c r="SAK369" s="10"/>
      <c r="SAL369" s="21"/>
      <c r="SAM369" s="21"/>
      <c r="SAP369" s="21"/>
      <c r="SAQ369" s="15"/>
      <c r="SAR369" s="15"/>
      <c r="SAS369" s="15"/>
      <c r="SAT369" s="15"/>
      <c r="SAU369" s="15"/>
      <c r="SAV369" s="15"/>
      <c r="SAW369" s="15"/>
      <c r="SAX369" s="15"/>
      <c r="SAY369" s="15"/>
      <c r="SAZ369" s="15"/>
      <c r="SBA369" s="10"/>
      <c r="SBB369" s="10"/>
      <c r="SBC369" s="21"/>
      <c r="SBD369" s="21"/>
      <c r="SBG369" s="21"/>
      <c r="SBH369" s="15"/>
      <c r="SBI369" s="15"/>
      <c r="SBJ369" s="15"/>
      <c r="SBK369" s="15"/>
      <c r="SBL369" s="15"/>
      <c r="SBM369" s="15"/>
      <c r="SBN369" s="15"/>
      <c r="SBO369" s="15"/>
      <c r="SBP369" s="15"/>
      <c r="SBQ369" s="15"/>
      <c r="SBR369" s="10"/>
      <c r="SBS369" s="10"/>
      <c r="SBT369" s="21"/>
      <c r="SBU369" s="21"/>
      <c r="SBX369" s="21"/>
      <c r="SBY369" s="15"/>
      <c r="SBZ369" s="15"/>
      <c r="SCA369" s="15"/>
      <c r="SCB369" s="15"/>
      <c r="SCC369" s="15"/>
      <c r="SCD369" s="15"/>
      <c r="SCE369" s="15"/>
      <c r="SCF369" s="15"/>
      <c r="SCG369" s="15"/>
      <c r="SCH369" s="15"/>
      <c r="SCI369" s="10"/>
      <c r="SCJ369" s="10"/>
      <c r="SCK369" s="21"/>
      <c r="SCL369" s="21"/>
      <c r="SCO369" s="21"/>
      <c r="SCP369" s="15"/>
      <c r="SCQ369" s="15"/>
      <c r="SCR369" s="15"/>
      <c r="SCS369" s="15"/>
      <c r="SCT369" s="15"/>
      <c r="SCU369" s="15"/>
      <c r="SCV369" s="15"/>
      <c r="SCW369" s="15"/>
      <c r="SCX369" s="15"/>
      <c r="SCY369" s="15"/>
      <c r="SCZ369" s="10"/>
      <c r="SDA369" s="10"/>
      <c r="SDB369" s="21"/>
      <c r="SDC369" s="21"/>
      <c r="SDF369" s="21"/>
      <c r="SDG369" s="15"/>
      <c r="SDH369" s="15"/>
      <c r="SDI369" s="15"/>
      <c r="SDJ369" s="15"/>
      <c r="SDK369" s="15"/>
      <c r="SDL369" s="15"/>
      <c r="SDM369" s="15"/>
      <c r="SDN369" s="15"/>
      <c r="SDO369" s="15"/>
      <c r="SDP369" s="15"/>
      <c r="SDQ369" s="10"/>
      <c r="SDR369" s="10"/>
      <c r="SDS369" s="21"/>
      <c r="SDT369" s="21"/>
      <c r="SDW369" s="21"/>
      <c r="SDX369" s="15"/>
      <c r="SDY369" s="15"/>
      <c r="SDZ369" s="15"/>
      <c r="SEA369" s="15"/>
      <c r="SEB369" s="15"/>
      <c r="SEC369" s="15"/>
      <c r="SED369" s="15"/>
      <c r="SEE369" s="15"/>
      <c r="SEF369" s="15"/>
      <c r="SEG369" s="15"/>
      <c r="SEH369" s="10"/>
      <c r="SEI369" s="10"/>
      <c r="SEJ369" s="21"/>
      <c r="SEK369" s="21"/>
      <c r="SEN369" s="21"/>
      <c r="SEO369" s="15"/>
      <c r="SEP369" s="15"/>
      <c r="SEQ369" s="15"/>
      <c r="SER369" s="15"/>
      <c r="SES369" s="15"/>
      <c r="SET369" s="15"/>
      <c r="SEU369" s="15"/>
      <c r="SEV369" s="15"/>
      <c r="SEW369" s="15"/>
      <c r="SEX369" s="15"/>
      <c r="SEY369" s="10"/>
      <c r="SEZ369" s="10"/>
      <c r="SFA369" s="21"/>
      <c r="SFB369" s="21"/>
      <c r="SFE369" s="21"/>
      <c r="SFF369" s="15"/>
      <c r="SFG369" s="15"/>
      <c r="SFH369" s="15"/>
      <c r="SFI369" s="15"/>
      <c r="SFJ369" s="15"/>
      <c r="SFK369" s="15"/>
      <c r="SFL369" s="15"/>
      <c r="SFM369" s="15"/>
      <c r="SFN369" s="15"/>
      <c r="SFO369" s="15"/>
      <c r="SFP369" s="10"/>
      <c r="SFQ369" s="10"/>
      <c r="SFR369" s="21"/>
      <c r="SFS369" s="21"/>
      <c r="SFV369" s="21"/>
      <c r="SFW369" s="15"/>
      <c r="SFX369" s="15"/>
      <c r="SFY369" s="15"/>
      <c r="SFZ369" s="15"/>
      <c r="SGA369" s="15"/>
      <c r="SGB369" s="15"/>
      <c r="SGC369" s="15"/>
      <c r="SGD369" s="15"/>
      <c r="SGE369" s="15"/>
      <c r="SGF369" s="15"/>
      <c r="SGG369" s="10"/>
      <c r="SGH369" s="10"/>
      <c r="SGI369" s="21"/>
      <c r="SGJ369" s="21"/>
      <c r="SGM369" s="21"/>
      <c r="SGN369" s="15"/>
      <c r="SGO369" s="15"/>
      <c r="SGP369" s="15"/>
      <c r="SGQ369" s="15"/>
      <c r="SGR369" s="15"/>
      <c r="SGS369" s="15"/>
      <c r="SGT369" s="15"/>
      <c r="SGU369" s="15"/>
      <c r="SGV369" s="15"/>
      <c r="SGW369" s="15"/>
      <c r="SGX369" s="10"/>
      <c r="SGY369" s="10"/>
      <c r="SGZ369" s="21"/>
      <c r="SHA369" s="21"/>
      <c r="SHD369" s="21"/>
      <c r="SHE369" s="15"/>
      <c r="SHF369" s="15"/>
      <c r="SHG369" s="15"/>
      <c r="SHH369" s="15"/>
      <c r="SHI369" s="15"/>
      <c r="SHJ369" s="15"/>
      <c r="SHK369" s="15"/>
      <c r="SHL369" s="15"/>
      <c r="SHM369" s="15"/>
      <c r="SHN369" s="15"/>
      <c r="SHO369" s="10"/>
      <c r="SHP369" s="10"/>
      <c r="SHQ369" s="21"/>
      <c r="SHR369" s="21"/>
      <c r="SHU369" s="21"/>
      <c r="SHV369" s="15"/>
      <c r="SHW369" s="15"/>
      <c r="SHX369" s="15"/>
      <c r="SHY369" s="15"/>
      <c r="SHZ369" s="15"/>
      <c r="SIA369" s="15"/>
      <c r="SIB369" s="15"/>
      <c r="SIC369" s="15"/>
      <c r="SID369" s="15"/>
      <c r="SIE369" s="15"/>
      <c r="SIF369" s="10"/>
      <c r="SIG369" s="10"/>
      <c r="SIH369" s="21"/>
      <c r="SII369" s="21"/>
      <c r="SIL369" s="21"/>
      <c r="SIM369" s="15"/>
      <c r="SIN369" s="15"/>
      <c r="SIO369" s="15"/>
      <c r="SIP369" s="15"/>
      <c r="SIQ369" s="15"/>
      <c r="SIR369" s="15"/>
      <c r="SIS369" s="15"/>
      <c r="SIT369" s="15"/>
      <c r="SIU369" s="15"/>
      <c r="SIV369" s="15"/>
      <c r="SIW369" s="10"/>
      <c r="SIX369" s="10"/>
      <c r="SIY369" s="21"/>
      <c r="SIZ369" s="21"/>
      <c r="SJC369" s="21"/>
      <c r="SJD369" s="15"/>
      <c r="SJE369" s="15"/>
      <c r="SJF369" s="15"/>
      <c r="SJG369" s="15"/>
      <c r="SJH369" s="15"/>
      <c r="SJI369" s="15"/>
      <c r="SJJ369" s="15"/>
      <c r="SJK369" s="15"/>
      <c r="SJL369" s="15"/>
      <c r="SJM369" s="15"/>
      <c r="SJN369" s="10"/>
      <c r="SJO369" s="10"/>
      <c r="SJP369" s="21"/>
      <c r="SJQ369" s="21"/>
      <c r="SJT369" s="21"/>
      <c r="SJU369" s="15"/>
      <c r="SJV369" s="15"/>
      <c r="SJW369" s="15"/>
      <c r="SJX369" s="15"/>
      <c r="SJY369" s="15"/>
      <c r="SJZ369" s="15"/>
      <c r="SKA369" s="15"/>
      <c r="SKB369" s="15"/>
      <c r="SKC369" s="15"/>
      <c r="SKD369" s="15"/>
      <c r="SKE369" s="10"/>
      <c r="SKF369" s="10"/>
      <c r="SKG369" s="21"/>
      <c r="SKH369" s="21"/>
      <c r="SKK369" s="21"/>
      <c r="SKL369" s="15"/>
      <c r="SKM369" s="15"/>
      <c r="SKN369" s="15"/>
      <c r="SKO369" s="15"/>
      <c r="SKP369" s="15"/>
      <c r="SKQ369" s="15"/>
      <c r="SKR369" s="15"/>
      <c r="SKS369" s="15"/>
      <c r="SKT369" s="15"/>
      <c r="SKU369" s="15"/>
      <c r="SKV369" s="10"/>
      <c r="SKW369" s="10"/>
      <c r="SKX369" s="21"/>
      <c r="SKY369" s="21"/>
      <c r="SLB369" s="21"/>
      <c r="SLC369" s="15"/>
      <c r="SLD369" s="15"/>
      <c r="SLE369" s="15"/>
      <c r="SLF369" s="15"/>
      <c r="SLG369" s="15"/>
      <c r="SLH369" s="15"/>
      <c r="SLI369" s="15"/>
      <c r="SLJ369" s="15"/>
      <c r="SLK369" s="15"/>
      <c r="SLL369" s="15"/>
      <c r="SLM369" s="10"/>
      <c r="SLN369" s="10"/>
      <c r="SLO369" s="21"/>
      <c r="SLP369" s="21"/>
      <c r="SLS369" s="21"/>
      <c r="SLT369" s="15"/>
      <c r="SLU369" s="15"/>
      <c r="SLV369" s="15"/>
      <c r="SLW369" s="15"/>
      <c r="SLX369" s="15"/>
      <c r="SLY369" s="15"/>
      <c r="SLZ369" s="15"/>
      <c r="SMA369" s="15"/>
      <c r="SMB369" s="15"/>
      <c r="SMC369" s="15"/>
      <c r="SMD369" s="10"/>
      <c r="SME369" s="10"/>
      <c r="SMF369" s="21"/>
      <c r="SMG369" s="21"/>
      <c r="SMJ369" s="21"/>
      <c r="SMK369" s="15"/>
      <c r="SML369" s="15"/>
      <c r="SMM369" s="15"/>
      <c r="SMN369" s="15"/>
      <c r="SMO369" s="15"/>
      <c r="SMP369" s="15"/>
      <c r="SMQ369" s="15"/>
      <c r="SMR369" s="15"/>
      <c r="SMS369" s="15"/>
      <c r="SMT369" s="15"/>
      <c r="SMU369" s="10"/>
      <c r="SMV369" s="10"/>
      <c r="SMW369" s="21"/>
      <c r="SMX369" s="21"/>
      <c r="SNA369" s="21"/>
      <c r="SNB369" s="15"/>
      <c r="SNC369" s="15"/>
      <c r="SND369" s="15"/>
      <c r="SNE369" s="15"/>
      <c r="SNF369" s="15"/>
      <c r="SNG369" s="15"/>
      <c r="SNH369" s="15"/>
      <c r="SNI369" s="15"/>
      <c r="SNJ369" s="15"/>
      <c r="SNK369" s="15"/>
      <c r="SNL369" s="10"/>
      <c r="SNM369" s="10"/>
      <c r="SNN369" s="21"/>
      <c r="SNO369" s="21"/>
      <c r="SNR369" s="21"/>
      <c r="SNS369" s="15"/>
      <c r="SNT369" s="15"/>
      <c r="SNU369" s="15"/>
      <c r="SNV369" s="15"/>
      <c r="SNW369" s="15"/>
      <c r="SNX369" s="15"/>
      <c r="SNY369" s="15"/>
      <c r="SNZ369" s="15"/>
      <c r="SOA369" s="15"/>
      <c r="SOB369" s="15"/>
      <c r="SOC369" s="10"/>
      <c r="SOD369" s="10"/>
      <c r="SOE369" s="21"/>
      <c r="SOF369" s="21"/>
      <c r="SOI369" s="21"/>
      <c r="SOJ369" s="15"/>
      <c r="SOK369" s="15"/>
      <c r="SOL369" s="15"/>
      <c r="SOM369" s="15"/>
      <c r="SON369" s="15"/>
      <c r="SOO369" s="15"/>
      <c r="SOP369" s="15"/>
      <c r="SOQ369" s="15"/>
      <c r="SOR369" s="15"/>
      <c r="SOS369" s="15"/>
      <c r="SOT369" s="10"/>
      <c r="SOU369" s="10"/>
      <c r="SOV369" s="21"/>
      <c r="SOW369" s="21"/>
      <c r="SOZ369" s="21"/>
      <c r="SPA369" s="15"/>
      <c r="SPB369" s="15"/>
      <c r="SPC369" s="15"/>
      <c r="SPD369" s="15"/>
      <c r="SPE369" s="15"/>
      <c r="SPF369" s="15"/>
      <c r="SPG369" s="15"/>
      <c r="SPH369" s="15"/>
      <c r="SPI369" s="15"/>
      <c r="SPJ369" s="15"/>
      <c r="SPK369" s="10"/>
      <c r="SPL369" s="10"/>
      <c r="SPM369" s="21"/>
      <c r="SPN369" s="21"/>
      <c r="SPQ369" s="21"/>
      <c r="SPR369" s="15"/>
      <c r="SPS369" s="15"/>
      <c r="SPT369" s="15"/>
      <c r="SPU369" s="15"/>
      <c r="SPV369" s="15"/>
      <c r="SPW369" s="15"/>
      <c r="SPX369" s="15"/>
      <c r="SPY369" s="15"/>
      <c r="SPZ369" s="15"/>
      <c r="SQA369" s="15"/>
      <c r="SQB369" s="10"/>
      <c r="SQC369" s="10"/>
      <c r="SQD369" s="21"/>
      <c r="SQE369" s="21"/>
      <c r="SQH369" s="21"/>
      <c r="SQI369" s="15"/>
      <c r="SQJ369" s="15"/>
      <c r="SQK369" s="15"/>
      <c r="SQL369" s="15"/>
      <c r="SQM369" s="15"/>
      <c r="SQN369" s="15"/>
      <c r="SQO369" s="15"/>
      <c r="SQP369" s="15"/>
      <c r="SQQ369" s="15"/>
      <c r="SQR369" s="15"/>
      <c r="SQS369" s="10"/>
      <c r="SQT369" s="10"/>
      <c r="SQU369" s="21"/>
      <c r="SQV369" s="21"/>
      <c r="SQY369" s="21"/>
      <c r="SQZ369" s="15"/>
      <c r="SRA369" s="15"/>
      <c r="SRB369" s="15"/>
      <c r="SRC369" s="15"/>
      <c r="SRD369" s="15"/>
      <c r="SRE369" s="15"/>
      <c r="SRF369" s="15"/>
      <c r="SRG369" s="15"/>
      <c r="SRH369" s="15"/>
      <c r="SRI369" s="15"/>
      <c r="SRJ369" s="10"/>
      <c r="SRK369" s="10"/>
      <c r="SRL369" s="21"/>
      <c r="SRM369" s="21"/>
      <c r="SRP369" s="21"/>
      <c r="SRQ369" s="15"/>
      <c r="SRR369" s="15"/>
      <c r="SRS369" s="15"/>
      <c r="SRT369" s="15"/>
      <c r="SRU369" s="15"/>
      <c r="SRV369" s="15"/>
      <c r="SRW369" s="15"/>
      <c r="SRX369" s="15"/>
      <c r="SRY369" s="15"/>
      <c r="SRZ369" s="15"/>
      <c r="SSA369" s="10"/>
      <c r="SSB369" s="10"/>
      <c r="SSC369" s="21"/>
      <c r="SSD369" s="21"/>
      <c r="SSG369" s="21"/>
      <c r="SSH369" s="15"/>
      <c r="SSI369" s="15"/>
      <c r="SSJ369" s="15"/>
      <c r="SSK369" s="15"/>
      <c r="SSL369" s="15"/>
      <c r="SSM369" s="15"/>
      <c r="SSN369" s="15"/>
      <c r="SSO369" s="15"/>
      <c r="SSP369" s="15"/>
      <c r="SSQ369" s="15"/>
      <c r="SSR369" s="10"/>
      <c r="SSS369" s="10"/>
      <c r="SST369" s="21"/>
      <c r="SSU369" s="21"/>
      <c r="SSX369" s="21"/>
      <c r="SSY369" s="15"/>
      <c r="SSZ369" s="15"/>
      <c r="STA369" s="15"/>
      <c r="STB369" s="15"/>
      <c r="STC369" s="15"/>
      <c r="STD369" s="15"/>
      <c r="STE369" s="15"/>
      <c r="STF369" s="15"/>
      <c r="STG369" s="15"/>
      <c r="STH369" s="15"/>
      <c r="STI369" s="10"/>
      <c r="STJ369" s="10"/>
      <c r="STK369" s="21"/>
      <c r="STL369" s="21"/>
      <c r="STO369" s="21"/>
      <c r="STP369" s="15"/>
      <c r="STQ369" s="15"/>
      <c r="STR369" s="15"/>
      <c r="STS369" s="15"/>
      <c r="STT369" s="15"/>
      <c r="STU369" s="15"/>
      <c r="STV369" s="15"/>
      <c r="STW369" s="15"/>
      <c r="STX369" s="15"/>
      <c r="STY369" s="15"/>
      <c r="STZ369" s="10"/>
      <c r="SUA369" s="10"/>
      <c r="SUB369" s="21"/>
      <c r="SUC369" s="21"/>
      <c r="SUF369" s="21"/>
      <c r="SUG369" s="15"/>
      <c r="SUH369" s="15"/>
      <c r="SUI369" s="15"/>
      <c r="SUJ369" s="15"/>
      <c r="SUK369" s="15"/>
      <c r="SUL369" s="15"/>
      <c r="SUM369" s="15"/>
      <c r="SUN369" s="15"/>
      <c r="SUO369" s="15"/>
      <c r="SUP369" s="15"/>
      <c r="SUQ369" s="10"/>
      <c r="SUR369" s="10"/>
      <c r="SUS369" s="21"/>
      <c r="SUT369" s="21"/>
      <c r="SUW369" s="21"/>
      <c r="SUX369" s="15"/>
      <c r="SUY369" s="15"/>
      <c r="SUZ369" s="15"/>
      <c r="SVA369" s="15"/>
      <c r="SVB369" s="15"/>
      <c r="SVC369" s="15"/>
      <c r="SVD369" s="15"/>
      <c r="SVE369" s="15"/>
      <c r="SVF369" s="15"/>
      <c r="SVG369" s="15"/>
      <c r="SVH369" s="10"/>
      <c r="SVI369" s="10"/>
      <c r="SVJ369" s="21"/>
      <c r="SVK369" s="21"/>
      <c r="SVN369" s="21"/>
      <c r="SVO369" s="15"/>
      <c r="SVP369" s="15"/>
      <c r="SVQ369" s="15"/>
      <c r="SVR369" s="15"/>
      <c r="SVS369" s="15"/>
      <c r="SVT369" s="15"/>
      <c r="SVU369" s="15"/>
      <c r="SVV369" s="15"/>
      <c r="SVW369" s="15"/>
      <c r="SVX369" s="15"/>
      <c r="SVY369" s="10"/>
      <c r="SVZ369" s="10"/>
      <c r="SWA369" s="21"/>
      <c r="SWB369" s="21"/>
      <c r="SWE369" s="21"/>
      <c r="SWF369" s="15"/>
      <c r="SWG369" s="15"/>
      <c r="SWH369" s="15"/>
      <c r="SWI369" s="15"/>
      <c r="SWJ369" s="15"/>
      <c r="SWK369" s="15"/>
      <c r="SWL369" s="15"/>
      <c r="SWM369" s="15"/>
      <c r="SWN369" s="15"/>
      <c r="SWO369" s="15"/>
      <c r="SWP369" s="10"/>
      <c r="SWQ369" s="10"/>
      <c r="SWR369" s="21"/>
      <c r="SWS369" s="21"/>
      <c r="SWV369" s="21"/>
      <c r="SWW369" s="15"/>
      <c r="SWX369" s="15"/>
      <c r="SWY369" s="15"/>
      <c r="SWZ369" s="15"/>
      <c r="SXA369" s="15"/>
      <c r="SXB369" s="15"/>
      <c r="SXC369" s="15"/>
      <c r="SXD369" s="15"/>
      <c r="SXE369" s="15"/>
      <c r="SXF369" s="15"/>
      <c r="SXG369" s="10"/>
      <c r="SXH369" s="10"/>
      <c r="SXI369" s="21"/>
      <c r="SXJ369" s="21"/>
      <c r="SXM369" s="21"/>
      <c r="SXN369" s="15"/>
      <c r="SXO369" s="15"/>
      <c r="SXP369" s="15"/>
      <c r="SXQ369" s="15"/>
      <c r="SXR369" s="15"/>
      <c r="SXS369" s="15"/>
      <c r="SXT369" s="15"/>
      <c r="SXU369" s="15"/>
      <c r="SXV369" s="15"/>
      <c r="SXW369" s="15"/>
      <c r="SXX369" s="10"/>
      <c r="SXY369" s="10"/>
      <c r="SXZ369" s="21"/>
      <c r="SYA369" s="21"/>
      <c r="SYD369" s="21"/>
      <c r="SYE369" s="15"/>
      <c r="SYF369" s="15"/>
      <c r="SYG369" s="15"/>
      <c r="SYH369" s="15"/>
      <c r="SYI369" s="15"/>
      <c r="SYJ369" s="15"/>
      <c r="SYK369" s="15"/>
      <c r="SYL369" s="15"/>
      <c r="SYM369" s="15"/>
      <c r="SYN369" s="15"/>
      <c r="SYO369" s="10"/>
      <c r="SYP369" s="10"/>
      <c r="SYQ369" s="21"/>
      <c r="SYR369" s="21"/>
      <c r="SYU369" s="21"/>
      <c r="SYV369" s="15"/>
      <c r="SYW369" s="15"/>
      <c r="SYX369" s="15"/>
      <c r="SYY369" s="15"/>
      <c r="SYZ369" s="15"/>
      <c r="SZA369" s="15"/>
      <c r="SZB369" s="15"/>
      <c r="SZC369" s="15"/>
      <c r="SZD369" s="15"/>
      <c r="SZE369" s="15"/>
      <c r="SZF369" s="10"/>
      <c r="SZG369" s="10"/>
      <c r="SZH369" s="21"/>
      <c r="SZI369" s="21"/>
      <c r="SZL369" s="21"/>
      <c r="SZM369" s="15"/>
      <c r="SZN369" s="15"/>
      <c r="SZO369" s="15"/>
      <c r="SZP369" s="15"/>
      <c r="SZQ369" s="15"/>
      <c r="SZR369" s="15"/>
      <c r="SZS369" s="15"/>
      <c r="SZT369" s="15"/>
      <c r="SZU369" s="15"/>
      <c r="SZV369" s="15"/>
      <c r="SZW369" s="10"/>
      <c r="SZX369" s="10"/>
      <c r="SZY369" s="21"/>
      <c r="SZZ369" s="21"/>
      <c r="TAC369" s="21"/>
      <c r="TAD369" s="15"/>
      <c r="TAE369" s="15"/>
      <c r="TAF369" s="15"/>
      <c r="TAG369" s="15"/>
      <c r="TAH369" s="15"/>
      <c r="TAI369" s="15"/>
      <c r="TAJ369" s="15"/>
      <c r="TAK369" s="15"/>
      <c r="TAL369" s="15"/>
      <c r="TAM369" s="15"/>
      <c r="TAN369" s="10"/>
      <c r="TAO369" s="10"/>
      <c r="TAP369" s="21"/>
      <c r="TAQ369" s="21"/>
      <c r="TAT369" s="21"/>
      <c r="TAU369" s="15"/>
      <c r="TAV369" s="15"/>
      <c r="TAW369" s="15"/>
      <c r="TAX369" s="15"/>
      <c r="TAY369" s="15"/>
      <c r="TAZ369" s="15"/>
      <c r="TBA369" s="15"/>
      <c r="TBB369" s="15"/>
      <c r="TBC369" s="15"/>
      <c r="TBD369" s="15"/>
      <c r="TBE369" s="10"/>
      <c r="TBF369" s="10"/>
      <c r="TBG369" s="21"/>
      <c r="TBH369" s="21"/>
      <c r="TBK369" s="21"/>
      <c r="TBL369" s="15"/>
      <c r="TBM369" s="15"/>
      <c r="TBN369" s="15"/>
      <c r="TBO369" s="15"/>
      <c r="TBP369" s="15"/>
      <c r="TBQ369" s="15"/>
      <c r="TBR369" s="15"/>
      <c r="TBS369" s="15"/>
      <c r="TBT369" s="15"/>
      <c r="TBU369" s="15"/>
      <c r="TBV369" s="10"/>
      <c r="TBW369" s="10"/>
      <c r="TBX369" s="21"/>
      <c r="TBY369" s="21"/>
      <c r="TCB369" s="21"/>
      <c r="TCC369" s="15"/>
      <c r="TCD369" s="15"/>
      <c r="TCE369" s="15"/>
      <c r="TCF369" s="15"/>
      <c r="TCG369" s="15"/>
      <c r="TCH369" s="15"/>
      <c r="TCI369" s="15"/>
      <c r="TCJ369" s="15"/>
      <c r="TCK369" s="15"/>
      <c r="TCL369" s="15"/>
      <c r="TCM369" s="10"/>
      <c r="TCN369" s="10"/>
      <c r="TCO369" s="21"/>
      <c r="TCP369" s="21"/>
      <c r="TCS369" s="21"/>
      <c r="TCT369" s="15"/>
      <c r="TCU369" s="15"/>
      <c r="TCV369" s="15"/>
      <c r="TCW369" s="15"/>
      <c r="TCX369" s="15"/>
      <c r="TCY369" s="15"/>
      <c r="TCZ369" s="15"/>
      <c r="TDA369" s="15"/>
      <c r="TDB369" s="15"/>
      <c r="TDC369" s="15"/>
      <c r="TDD369" s="10"/>
      <c r="TDE369" s="10"/>
      <c r="TDF369" s="21"/>
      <c r="TDG369" s="21"/>
      <c r="TDJ369" s="21"/>
      <c r="TDK369" s="15"/>
      <c r="TDL369" s="15"/>
      <c r="TDM369" s="15"/>
      <c r="TDN369" s="15"/>
      <c r="TDO369" s="15"/>
      <c r="TDP369" s="15"/>
      <c r="TDQ369" s="15"/>
      <c r="TDR369" s="15"/>
      <c r="TDS369" s="15"/>
      <c r="TDT369" s="15"/>
      <c r="TDU369" s="10"/>
      <c r="TDV369" s="10"/>
      <c r="TDW369" s="21"/>
      <c r="TDX369" s="21"/>
      <c r="TEA369" s="21"/>
      <c r="TEB369" s="15"/>
      <c r="TEC369" s="15"/>
      <c r="TED369" s="15"/>
      <c r="TEE369" s="15"/>
      <c r="TEF369" s="15"/>
      <c r="TEG369" s="15"/>
      <c r="TEH369" s="15"/>
      <c r="TEI369" s="15"/>
      <c r="TEJ369" s="15"/>
      <c r="TEK369" s="15"/>
      <c r="TEL369" s="10"/>
      <c r="TEM369" s="10"/>
      <c r="TEN369" s="21"/>
      <c r="TEO369" s="21"/>
      <c r="TER369" s="21"/>
      <c r="TES369" s="15"/>
      <c r="TET369" s="15"/>
      <c r="TEU369" s="15"/>
      <c r="TEV369" s="15"/>
      <c r="TEW369" s="15"/>
      <c r="TEX369" s="15"/>
      <c r="TEY369" s="15"/>
      <c r="TEZ369" s="15"/>
      <c r="TFA369" s="15"/>
      <c r="TFB369" s="15"/>
      <c r="TFC369" s="10"/>
      <c r="TFD369" s="10"/>
      <c r="TFE369" s="21"/>
      <c r="TFF369" s="21"/>
      <c r="TFI369" s="21"/>
      <c r="TFJ369" s="15"/>
      <c r="TFK369" s="15"/>
      <c r="TFL369" s="15"/>
      <c r="TFM369" s="15"/>
      <c r="TFN369" s="15"/>
      <c r="TFO369" s="15"/>
      <c r="TFP369" s="15"/>
      <c r="TFQ369" s="15"/>
      <c r="TFR369" s="15"/>
      <c r="TFS369" s="15"/>
      <c r="TFT369" s="10"/>
      <c r="TFU369" s="10"/>
      <c r="TFV369" s="21"/>
      <c r="TFW369" s="21"/>
      <c r="TFZ369" s="21"/>
      <c r="TGA369" s="15"/>
      <c r="TGB369" s="15"/>
      <c r="TGC369" s="15"/>
      <c r="TGD369" s="15"/>
      <c r="TGE369" s="15"/>
      <c r="TGF369" s="15"/>
      <c r="TGG369" s="15"/>
      <c r="TGH369" s="15"/>
      <c r="TGI369" s="15"/>
      <c r="TGJ369" s="15"/>
      <c r="TGK369" s="10"/>
      <c r="TGL369" s="10"/>
      <c r="TGM369" s="21"/>
      <c r="TGN369" s="21"/>
      <c r="TGQ369" s="21"/>
      <c r="TGR369" s="15"/>
      <c r="TGS369" s="15"/>
      <c r="TGT369" s="15"/>
      <c r="TGU369" s="15"/>
      <c r="TGV369" s="15"/>
      <c r="TGW369" s="15"/>
      <c r="TGX369" s="15"/>
      <c r="TGY369" s="15"/>
      <c r="TGZ369" s="15"/>
      <c r="THA369" s="15"/>
      <c r="THB369" s="10"/>
      <c r="THC369" s="10"/>
      <c r="THD369" s="21"/>
      <c r="THE369" s="21"/>
      <c r="THH369" s="21"/>
      <c r="THI369" s="15"/>
      <c r="THJ369" s="15"/>
      <c r="THK369" s="15"/>
      <c r="THL369" s="15"/>
      <c r="THM369" s="15"/>
      <c r="THN369" s="15"/>
      <c r="THO369" s="15"/>
      <c r="THP369" s="15"/>
      <c r="THQ369" s="15"/>
      <c r="THR369" s="15"/>
      <c r="THS369" s="10"/>
      <c r="THT369" s="10"/>
      <c r="THU369" s="21"/>
      <c r="THV369" s="21"/>
      <c r="THY369" s="21"/>
      <c r="THZ369" s="15"/>
      <c r="TIA369" s="15"/>
      <c r="TIB369" s="15"/>
      <c r="TIC369" s="15"/>
      <c r="TID369" s="15"/>
      <c r="TIE369" s="15"/>
      <c r="TIF369" s="15"/>
      <c r="TIG369" s="15"/>
      <c r="TIH369" s="15"/>
      <c r="TII369" s="15"/>
      <c r="TIJ369" s="10"/>
      <c r="TIK369" s="10"/>
      <c r="TIL369" s="21"/>
      <c r="TIM369" s="21"/>
      <c r="TIP369" s="21"/>
      <c r="TIQ369" s="15"/>
      <c r="TIR369" s="15"/>
      <c r="TIS369" s="15"/>
      <c r="TIT369" s="15"/>
      <c r="TIU369" s="15"/>
      <c r="TIV369" s="15"/>
      <c r="TIW369" s="15"/>
      <c r="TIX369" s="15"/>
      <c r="TIY369" s="15"/>
      <c r="TIZ369" s="15"/>
      <c r="TJA369" s="10"/>
      <c r="TJB369" s="10"/>
      <c r="TJC369" s="21"/>
      <c r="TJD369" s="21"/>
      <c r="TJG369" s="21"/>
      <c r="TJH369" s="15"/>
      <c r="TJI369" s="15"/>
      <c r="TJJ369" s="15"/>
      <c r="TJK369" s="15"/>
      <c r="TJL369" s="15"/>
      <c r="TJM369" s="15"/>
      <c r="TJN369" s="15"/>
      <c r="TJO369" s="15"/>
      <c r="TJP369" s="15"/>
      <c r="TJQ369" s="15"/>
      <c r="TJR369" s="10"/>
      <c r="TJS369" s="10"/>
      <c r="TJT369" s="21"/>
      <c r="TJU369" s="21"/>
      <c r="TJX369" s="21"/>
      <c r="TJY369" s="15"/>
      <c r="TJZ369" s="15"/>
      <c r="TKA369" s="15"/>
      <c r="TKB369" s="15"/>
      <c r="TKC369" s="15"/>
      <c r="TKD369" s="15"/>
      <c r="TKE369" s="15"/>
      <c r="TKF369" s="15"/>
      <c r="TKG369" s="15"/>
      <c r="TKH369" s="15"/>
      <c r="TKI369" s="10"/>
      <c r="TKJ369" s="10"/>
      <c r="TKK369" s="21"/>
      <c r="TKL369" s="21"/>
      <c r="TKO369" s="21"/>
      <c r="TKP369" s="15"/>
      <c r="TKQ369" s="15"/>
      <c r="TKR369" s="15"/>
      <c r="TKS369" s="15"/>
      <c r="TKT369" s="15"/>
      <c r="TKU369" s="15"/>
      <c r="TKV369" s="15"/>
      <c r="TKW369" s="15"/>
      <c r="TKX369" s="15"/>
      <c r="TKY369" s="15"/>
      <c r="TKZ369" s="10"/>
      <c r="TLA369" s="10"/>
      <c r="TLB369" s="21"/>
      <c r="TLC369" s="21"/>
      <c r="TLF369" s="21"/>
      <c r="TLG369" s="15"/>
      <c r="TLH369" s="15"/>
      <c r="TLI369" s="15"/>
      <c r="TLJ369" s="15"/>
      <c r="TLK369" s="15"/>
      <c r="TLL369" s="15"/>
      <c r="TLM369" s="15"/>
      <c r="TLN369" s="15"/>
      <c r="TLO369" s="15"/>
      <c r="TLP369" s="15"/>
      <c r="TLQ369" s="10"/>
      <c r="TLR369" s="10"/>
      <c r="TLS369" s="21"/>
      <c r="TLT369" s="21"/>
      <c r="TLW369" s="21"/>
      <c r="TLX369" s="15"/>
      <c r="TLY369" s="15"/>
      <c r="TLZ369" s="15"/>
      <c r="TMA369" s="15"/>
      <c r="TMB369" s="15"/>
      <c r="TMC369" s="15"/>
      <c r="TMD369" s="15"/>
      <c r="TME369" s="15"/>
      <c r="TMF369" s="15"/>
      <c r="TMG369" s="15"/>
      <c r="TMH369" s="10"/>
      <c r="TMI369" s="10"/>
      <c r="TMJ369" s="21"/>
      <c r="TMK369" s="21"/>
      <c r="TMN369" s="21"/>
      <c r="TMO369" s="15"/>
      <c r="TMP369" s="15"/>
      <c r="TMQ369" s="15"/>
      <c r="TMR369" s="15"/>
      <c r="TMS369" s="15"/>
      <c r="TMT369" s="15"/>
      <c r="TMU369" s="15"/>
      <c r="TMV369" s="15"/>
      <c r="TMW369" s="15"/>
      <c r="TMX369" s="15"/>
      <c r="TMY369" s="10"/>
      <c r="TMZ369" s="10"/>
      <c r="TNA369" s="21"/>
      <c r="TNB369" s="21"/>
      <c r="TNE369" s="21"/>
      <c r="TNF369" s="15"/>
      <c r="TNG369" s="15"/>
      <c r="TNH369" s="15"/>
      <c r="TNI369" s="15"/>
      <c r="TNJ369" s="15"/>
      <c r="TNK369" s="15"/>
      <c r="TNL369" s="15"/>
      <c r="TNM369" s="15"/>
      <c r="TNN369" s="15"/>
      <c r="TNO369" s="15"/>
      <c r="TNP369" s="10"/>
      <c r="TNQ369" s="10"/>
      <c r="TNR369" s="21"/>
      <c r="TNS369" s="21"/>
      <c r="TNV369" s="21"/>
      <c r="TNW369" s="15"/>
      <c r="TNX369" s="15"/>
      <c r="TNY369" s="15"/>
      <c r="TNZ369" s="15"/>
      <c r="TOA369" s="15"/>
      <c r="TOB369" s="15"/>
      <c r="TOC369" s="15"/>
      <c r="TOD369" s="15"/>
      <c r="TOE369" s="15"/>
      <c r="TOF369" s="15"/>
      <c r="TOG369" s="10"/>
      <c r="TOH369" s="10"/>
      <c r="TOI369" s="21"/>
      <c r="TOJ369" s="21"/>
      <c r="TOM369" s="21"/>
      <c r="TON369" s="15"/>
      <c r="TOO369" s="15"/>
      <c r="TOP369" s="15"/>
      <c r="TOQ369" s="15"/>
      <c r="TOR369" s="15"/>
      <c r="TOS369" s="15"/>
      <c r="TOT369" s="15"/>
      <c r="TOU369" s="15"/>
      <c r="TOV369" s="15"/>
      <c r="TOW369" s="15"/>
      <c r="TOX369" s="10"/>
      <c r="TOY369" s="10"/>
      <c r="TOZ369" s="21"/>
      <c r="TPA369" s="21"/>
      <c r="TPD369" s="21"/>
      <c r="TPE369" s="15"/>
      <c r="TPF369" s="15"/>
      <c r="TPG369" s="15"/>
      <c r="TPH369" s="15"/>
      <c r="TPI369" s="15"/>
      <c r="TPJ369" s="15"/>
      <c r="TPK369" s="15"/>
      <c r="TPL369" s="15"/>
      <c r="TPM369" s="15"/>
      <c r="TPN369" s="15"/>
      <c r="TPO369" s="10"/>
      <c r="TPP369" s="10"/>
      <c r="TPQ369" s="21"/>
      <c r="TPR369" s="21"/>
      <c r="TPU369" s="21"/>
      <c r="TPV369" s="15"/>
      <c r="TPW369" s="15"/>
      <c r="TPX369" s="15"/>
      <c r="TPY369" s="15"/>
      <c r="TPZ369" s="15"/>
      <c r="TQA369" s="15"/>
      <c r="TQB369" s="15"/>
      <c r="TQC369" s="15"/>
      <c r="TQD369" s="15"/>
      <c r="TQE369" s="15"/>
      <c r="TQF369" s="10"/>
      <c r="TQG369" s="10"/>
      <c r="TQH369" s="21"/>
      <c r="TQI369" s="21"/>
      <c r="TQL369" s="21"/>
      <c r="TQM369" s="15"/>
      <c r="TQN369" s="15"/>
      <c r="TQO369" s="15"/>
      <c r="TQP369" s="15"/>
      <c r="TQQ369" s="15"/>
      <c r="TQR369" s="15"/>
      <c r="TQS369" s="15"/>
      <c r="TQT369" s="15"/>
      <c r="TQU369" s="15"/>
      <c r="TQV369" s="15"/>
      <c r="TQW369" s="10"/>
      <c r="TQX369" s="10"/>
      <c r="TQY369" s="21"/>
      <c r="TQZ369" s="21"/>
      <c r="TRC369" s="21"/>
      <c r="TRD369" s="15"/>
      <c r="TRE369" s="15"/>
      <c r="TRF369" s="15"/>
      <c r="TRG369" s="15"/>
      <c r="TRH369" s="15"/>
      <c r="TRI369" s="15"/>
      <c r="TRJ369" s="15"/>
      <c r="TRK369" s="15"/>
      <c r="TRL369" s="15"/>
      <c r="TRM369" s="15"/>
      <c r="TRN369" s="10"/>
      <c r="TRO369" s="10"/>
      <c r="TRP369" s="21"/>
      <c r="TRQ369" s="21"/>
      <c r="TRT369" s="21"/>
      <c r="TRU369" s="15"/>
      <c r="TRV369" s="15"/>
      <c r="TRW369" s="15"/>
      <c r="TRX369" s="15"/>
      <c r="TRY369" s="15"/>
      <c r="TRZ369" s="15"/>
      <c r="TSA369" s="15"/>
      <c r="TSB369" s="15"/>
      <c r="TSC369" s="15"/>
      <c r="TSD369" s="15"/>
      <c r="TSE369" s="10"/>
      <c r="TSF369" s="10"/>
      <c r="TSG369" s="21"/>
      <c r="TSH369" s="21"/>
      <c r="TSK369" s="21"/>
      <c r="TSL369" s="15"/>
      <c r="TSM369" s="15"/>
      <c r="TSN369" s="15"/>
      <c r="TSO369" s="15"/>
      <c r="TSP369" s="15"/>
      <c r="TSQ369" s="15"/>
      <c r="TSR369" s="15"/>
      <c r="TSS369" s="15"/>
      <c r="TST369" s="15"/>
      <c r="TSU369" s="15"/>
      <c r="TSV369" s="10"/>
      <c r="TSW369" s="10"/>
      <c r="TSX369" s="21"/>
      <c r="TSY369" s="21"/>
      <c r="TTB369" s="21"/>
      <c r="TTC369" s="15"/>
      <c r="TTD369" s="15"/>
      <c r="TTE369" s="15"/>
      <c r="TTF369" s="15"/>
      <c r="TTG369" s="15"/>
      <c r="TTH369" s="15"/>
      <c r="TTI369" s="15"/>
      <c r="TTJ369" s="15"/>
      <c r="TTK369" s="15"/>
      <c r="TTL369" s="15"/>
      <c r="TTM369" s="10"/>
      <c r="TTN369" s="10"/>
      <c r="TTO369" s="21"/>
      <c r="TTP369" s="21"/>
      <c r="TTS369" s="21"/>
      <c r="TTT369" s="15"/>
      <c r="TTU369" s="15"/>
      <c r="TTV369" s="15"/>
      <c r="TTW369" s="15"/>
      <c r="TTX369" s="15"/>
      <c r="TTY369" s="15"/>
      <c r="TTZ369" s="15"/>
      <c r="TUA369" s="15"/>
      <c r="TUB369" s="15"/>
      <c r="TUC369" s="15"/>
      <c r="TUD369" s="10"/>
      <c r="TUE369" s="10"/>
      <c r="TUF369" s="21"/>
      <c r="TUG369" s="21"/>
      <c r="TUJ369" s="21"/>
      <c r="TUK369" s="15"/>
      <c r="TUL369" s="15"/>
      <c r="TUM369" s="15"/>
      <c r="TUN369" s="15"/>
      <c r="TUO369" s="15"/>
      <c r="TUP369" s="15"/>
      <c r="TUQ369" s="15"/>
      <c r="TUR369" s="15"/>
      <c r="TUS369" s="15"/>
      <c r="TUT369" s="15"/>
      <c r="TUU369" s="10"/>
      <c r="TUV369" s="10"/>
      <c r="TUW369" s="21"/>
      <c r="TUX369" s="21"/>
      <c r="TVA369" s="21"/>
      <c r="TVB369" s="15"/>
      <c r="TVC369" s="15"/>
      <c r="TVD369" s="15"/>
      <c r="TVE369" s="15"/>
      <c r="TVF369" s="15"/>
      <c r="TVG369" s="15"/>
      <c r="TVH369" s="15"/>
      <c r="TVI369" s="15"/>
      <c r="TVJ369" s="15"/>
      <c r="TVK369" s="15"/>
      <c r="TVL369" s="10"/>
      <c r="TVM369" s="10"/>
      <c r="TVN369" s="21"/>
      <c r="TVO369" s="21"/>
      <c r="TVR369" s="21"/>
      <c r="TVS369" s="15"/>
      <c r="TVT369" s="15"/>
      <c r="TVU369" s="15"/>
      <c r="TVV369" s="15"/>
      <c r="TVW369" s="15"/>
      <c r="TVX369" s="15"/>
      <c r="TVY369" s="15"/>
      <c r="TVZ369" s="15"/>
      <c r="TWA369" s="15"/>
      <c r="TWB369" s="15"/>
      <c r="TWC369" s="10"/>
      <c r="TWD369" s="10"/>
      <c r="TWE369" s="21"/>
      <c r="TWF369" s="21"/>
      <c r="TWI369" s="21"/>
      <c r="TWJ369" s="15"/>
      <c r="TWK369" s="15"/>
      <c r="TWL369" s="15"/>
      <c r="TWM369" s="15"/>
      <c r="TWN369" s="15"/>
      <c r="TWO369" s="15"/>
      <c r="TWP369" s="15"/>
      <c r="TWQ369" s="15"/>
      <c r="TWR369" s="15"/>
      <c r="TWS369" s="15"/>
      <c r="TWT369" s="10"/>
      <c r="TWU369" s="10"/>
      <c r="TWV369" s="21"/>
      <c r="TWW369" s="21"/>
      <c r="TWZ369" s="21"/>
      <c r="TXA369" s="15"/>
      <c r="TXB369" s="15"/>
      <c r="TXC369" s="15"/>
      <c r="TXD369" s="15"/>
      <c r="TXE369" s="15"/>
      <c r="TXF369" s="15"/>
      <c r="TXG369" s="15"/>
      <c r="TXH369" s="15"/>
      <c r="TXI369" s="15"/>
      <c r="TXJ369" s="15"/>
      <c r="TXK369" s="10"/>
      <c r="TXL369" s="10"/>
      <c r="TXM369" s="21"/>
      <c r="TXN369" s="21"/>
      <c r="TXQ369" s="21"/>
      <c r="TXR369" s="15"/>
      <c r="TXS369" s="15"/>
      <c r="TXT369" s="15"/>
      <c r="TXU369" s="15"/>
      <c r="TXV369" s="15"/>
      <c r="TXW369" s="15"/>
      <c r="TXX369" s="15"/>
      <c r="TXY369" s="15"/>
      <c r="TXZ369" s="15"/>
      <c r="TYA369" s="15"/>
      <c r="TYB369" s="10"/>
      <c r="TYC369" s="10"/>
      <c r="TYD369" s="21"/>
      <c r="TYE369" s="21"/>
      <c r="TYH369" s="21"/>
      <c r="TYI369" s="15"/>
      <c r="TYJ369" s="15"/>
      <c r="TYK369" s="15"/>
      <c r="TYL369" s="15"/>
      <c r="TYM369" s="15"/>
      <c r="TYN369" s="15"/>
      <c r="TYO369" s="15"/>
      <c r="TYP369" s="15"/>
      <c r="TYQ369" s="15"/>
      <c r="TYR369" s="15"/>
      <c r="TYS369" s="10"/>
      <c r="TYT369" s="10"/>
      <c r="TYU369" s="21"/>
      <c r="TYV369" s="21"/>
      <c r="TYY369" s="21"/>
      <c r="TYZ369" s="15"/>
      <c r="TZA369" s="15"/>
      <c r="TZB369" s="15"/>
      <c r="TZC369" s="15"/>
      <c r="TZD369" s="15"/>
      <c r="TZE369" s="15"/>
      <c r="TZF369" s="15"/>
      <c r="TZG369" s="15"/>
      <c r="TZH369" s="15"/>
      <c r="TZI369" s="15"/>
      <c r="TZJ369" s="10"/>
      <c r="TZK369" s="10"/>
      <c r="TZL369" s="21"/>
      <c r="TZM369" s="21"/>
      <c r="TZP369" s="21"/>
      <c r="TZQ369" s="15"/>
      <c r="TZR369" s="15"/>
      <c r="TZS369" s="15"/>
      <c r="TZT369" s="15"/>
      <c r="TZU369" s="15"/>
      <c r="TZV369" s="15"/>
      <c r="TZW369" s="15"/>
      <c r="TZX369" s="15"/>
      <c r="TZY369" s="15"/>
      <c r="TZZ369" s="15"/>
      <c r="UAA369" s="10"/>
      <c r="UAB369" s="10"/>
      <c r="UAC369" s="21"/>
      <c r="UAD369" s="21"/>
      <c r="UAG369" s="21"/>
      <c r="UAH369" s="15"/>
      <c r="UAI369" s="15"/>
      <c r="UAJ369" s="15"/>
      <c r="UAK369" s="15"/>
      <c r="UAL369" s="15"/>
      <c r="UAM369" s="15"/>
      <c r="UAN369" s="15"/>
      <c r="UAO369" s="15"/>
      <c r="UAP369" s="15"/>
      <c r="UAQ369" s="15"/>
      <c r="UAR369" s="10"/>
      <c r="UAS369" s="10"/>
      <c r="UAT369" s="21"/>
      <c r="UAU369" s="21"/>
      <c r="UAX369" s="21"/>
      <c r="UAY369" s="15"/>
      <c r="UAZ369" s="15"/>
      <c r="UBA369" s="15"/>
      <c r="UBB369" s="15"/>
      <c r="UBC369" s="15"/>
      <c r="UBD369" s="15"/>
      <c r="UBE369" s="15"/>
      <c r="UBF369" s="15"/>
      <c r="UBG369" s="15"/>
      <c r="UBH369" s="15"/>
      <c r="UBI369" s="10"/>
      <c r="UBJ369" s="10"/>
      <c r="UBK369" s="21"/>
      <c r="UBL369" s="21"/>
      <c r="UBO369" s="21"/>
      <c r="UBP369" s="15"/>
      <c r="UBQ369" s="15"/>
      <c r="UBR369" s="15"/>
      <c r="UBS369" s="15"/>
      <c r="UBT369" s="15"/>
      <c r="UBU369" s="15"/>
      <c r="UBV369" s="15"/>
      <c r="UBW369" s="15"/>
      <c r="UBX369" s="15"/>
      <c r="UBY369" s="15"/>
      <c r="UBZ369" s="10"/>
      <c r="UCA369" s="10"/>
      <c r="UCB369" s="21"/>
      <c r="UCC369" s="21"/>
      <c r="UCF369" s="21"/>
      <c r="UCG369" s="15"/>
      <c r="UCH369" s="15"/>
      <c r="UCI369" s="15"/>
      <c r="UCJ369" s="15"/>
      <c r="UCK369" s="15"/>
      <c r="UCL369" s="15"/>
      <c r="UCM369" s="15"/>
      <c r="UCN369" s="15"/>
      <c r="UCO369" s="15"/>
      <c r="UCP369" s="15"/>
      <c r="UCQ369" s="10"/>
      <c r="UCR369" s="10"/>
      <c r="UCS369" s="21"/>
      <c r="UCT369" s="21"/>
      <c r="UCW369" s="21"/>
      <c r="UCX369" s="15"/>
      <c r="UCY369" s="15"/>
      <c r="UCZ369" s="15"/>
      <c r="UDA369" s="15"/>
      <c r="UDB369" s="15"/>
      <c r="UDC369" s="15"/>
      <c r="UDD369" s="15"/>
      <c r="UDE369" s="15"/>
      <c r="UDF369" s="15"/>
      <c r="UDG369" s="15"/>
      <c r="UDH369" s="10"/>
      <c r="UDI369" s="10"/>
      <c r="UDJ369" s="21"/>
      <c r="UDK369" s="21"/>
      <c r="UDN369" s="21"/>
      <c r="UDO369" s="15"/>
      <c r="UDP369" s="15"/>
      <c r="UDQ369" s="15"/>
      <c r="UDR369" s="15"/>
      <c r="UDS369" s="15"/>
      <c r="UDT369" s="15"/>
      <c r="UDU369" s="15"/>
      <c r="UDV369" s="15"/>
      <c r="UDW369" s="15"/>
      <c r="UDX369" s="15"/>
      <c r="UDY369" s="10"/>
      <c r="UDZ369" s="10"/>
      <c r="UEA369" s="21"/>
      <c r="UEB369" s="21"/>
      <c r="UEE369" s="21"/>
      <c r="UEF369" s="15"/>
      <c r="UEG369" s="15"/>
      <c r="UEH369" s="15"/>
      <c r="UEI369" s="15"/>
      <c r="UEJ369" s="15"/>
      <c r="UEK369" s="15"/>
      <c r="UEL369" s="15"/>
      <c r="UEM369" s="15"/>
      <c r="UEN369" s="15"/>
      <c r="UEO369" s="15"/>
      <c r="UEP369" s="10"/>
      <c r="UEQ369" s="10"/>
      <c r="UER369" s="21"/>
      <c r="UES369" s="21"/>
      <c r="UEV369" s="21"/>
      <c r="UEW369" s="15"/>
      <c r="UEX369" s="15"/>
      <c r="UEY369" s="15"/>
      <c r="UEZ369" s="15"/>
      <c r="UFA369" s="15"/>
      <c r="UFB369" s="15"/>
      <c r="UFC369" s="15"/>
      <c r="UFD369" s="15"/>
      <c r="UFE369" s="15"/>
      <c r="UFF369" s="15"/>
      <c r="UFG369" s="10"/>
      <c r="UFH369" s="10"/>
      <c r="UFI369" s="21"/>
      <c r="UFJ369" s="21"/>
      <c r="UFM369" s="21"/>
      <c r="UFN369" s="15"/>
      <c r="UFO369" s="15"/>
      <c r="UFP369" s="15"/>
      <c r="UFQ369" s="15"/>
      <c r="UFR369" s="15"/>
      <c r="UFS369" s="15"/>
      <c r="UFT369" s="15"/>
      <c r="UFU369" s="15"/>
      <c r="UFV369" s="15"/>
      <c r="UFW369" s="15"/>
      <c r="UFX369" s="10"/>
      <c r="UFY369" s="10"/>
      <c r="UFZ369" s="21"/>
      <c r="UGA369" s="21"/>
      <c r="UGD369" s="21"/>
      <c r="UGE369" s="15"/>
      <c r="UGF369" s="15"/>
      <c r="UGG369" s="15"/>
      <c r="UGH369" s="15"/>
      <c r="UGI369" s="15"/>
      <c r="UGJ369" s="15"/>
      <c r="UGK369" s="15"/>
      <c r="UGL369" s="15"/>
      <c r="UGM369" s="15"/>
      <c r="UGN369" s="15"/>
      <c r="UGO369" s="10"/>
      <c r="UGP369" s="10"/>
      <c r="UGQ369" s="21"/>
      <c r="UGR369" s="21"/>
      <c r="UGU369" s="21"/>
      <c r="UGV369" s="15"/>
      <c r="UGW369" s="15"/>
      <c r="UGX369" s="15"/>
      <c r="UGY369" s="15"/>
      <c r="UGZ369" s="15"/>
      <c r="UHA369" s="15"/>
      <c r="UHB369" s="15"/>
      <c r="UHC369" s="15"/>
      <c r="UHD369" s="15"/>
      <c r="UHE369" s="15"/>
      <c r="UHF369" s="10"/>
      <c r="UHG369" s="10"/>
      <c r="UHH369" s="21"/>
      <c r="UHI369" s="21"/>
      <c r="UHL369" s="21"/>
      <c r="UHM369" s="15"/>
      <c r="UHN369" s="15"/>
      <c r="UHO369" s="15"/>
      <c r="UHP369" s="15"/>
      <c r="UHQ369" s="15"/>
      <c r="UHR369" s="15"/>
      <c r="UHS369" s="15"/>
      <c r="UHT369" s="15"/>
      <c r="UHU369" s="15"/>
      <c r="UHV369" s="15"/>
      <c r="UHW369" s="10"/>
      <c r="UHX369" s="10"/>
      <c r="UHY369" s="21"/>
      <c r="UHZ369" s="21"/>
      <c r="UIC369" s="21"/>
      <c r="UID369" s="15"/>
      <c r="UIE369" s="15"/>
      <c r="UIF369" s="15"/>
      <c r="UIG369" s="15"/>
      <c r="UIH369" s="15"/>
      <c r="UII369" s="15"/>
      <c r="UIJ369" s="15"/>
      <c r="UIK369" s="15"/>
      <c r="UIL369" s="15"/>
      <c r="UIM369" s="15"/>
      <c r="UIN369" s="10"/>
      <c r="UIO369" s="10"/>
      <c r="UIP369" s="21"/>
      <c r="UIQ369" s="21"/>
      <c r="UIT369" s="21"/>
      <c r="UIU369" s="15"/>
      <c r="UIV369" s="15"/>
      <c r="UIW369" s="15"/>
      <c r="UIX369" s="15"/>
      <c r="UIY369" s="15"/>
      <c r="UIZ369" s="15"/>
      <c r="UJA369" s="15"/>
      <c r="UJB369" s="15"/>
      <c r="UJC369" s="15"/>
      <c r="UJD369" s="15"/>
      <c r="UJE369" s="10"/>
      <c r="UJF369" s="10"/>
      <c r="UJG369" s="21"/>
      <c r="UJH369" s="21"/>
      <c r="UJK369" s="21"/>
      <c r="UJL369" s="15"/>
      <c r="UJM369" s="15"/>
      <c r="UJN369" s="15"/>
      <c r="UJO369" s="15"/>
      <c r="UJP369" s="15"/>
      <c r="UJQ369" s="15"/>
      <c r="UJR369" s="15"/>
      <c r="UJS369" s="15"/>
      <c r="UJT369" s="15"/>
      <c r="UJU369" s="15"/>
      <c r="UJV369" s="10"/>
      <c r="UJW369" s="10"/>
      <c r="UJX369" s="21"/>
      <c r="UJY369" s="21"/>
      <c r="UKB369" s="21"/>
      <c r="UKC369" s="15"/>
      <c r="UKD369" s="15"/>
      <c r="UKE369" s="15"/>
      <c r="UKF369" s="15"/>
      <c r="UKG369" s="15"/>
      <c r="UKH369" s="15"/>
      <c r="UKI369" s="15"/>
      <c r="UKJ369" s="15"/>
      <c r="UKK369" s="15"/>
      <c r="UKL369" s="15"/>
      <c r="UKM369" s="10"/>
      <c r="UKN369" s="10"/>
      <c r="UKO369" s="21"/>
      <c r="UKP369" s="21"/>
      <c r="UKS369" s="21"/>
      <c r="UKT369" s="15"/>
      <c r="UKU369" s="15"/>
      <c r="UKV369" s="15"/>
      <c r="UKW369" s="15"/>
      <c r="UKX369" s="15"/>
      <c r="UKY369" s="15"/>
      <c r="UKZ369" s="15"/>
      <c r="ULA369" s="15"/>
      <c r="ULB369" s="15"/>
      <c r="ULC369" s="15"/>
      <c r="ULD369" s="10"/>
      <c r="ULE369" s="10"/>
      <c r="ULF369" s="21"/>
      <c r="ULG369" s="21"/>
      <c r="ULJ369" s="21"/>
      <c r="ULK369" s="15"/>
      <c r="ULL369" s="15"/>
      <c r="ULM369" s="15"/>
      <c r="ULN369" s="15"/>
      <c r="ULO369" s="15"/>
      <c r="ULP369" s="15"/>
      <c r="ULQ369" s="15"/>
      <c r="ULR369" s="15"/>
      <c r="ULS369" s="15"/>
      <c r="ULT369" s="15"/>
      <c r="ULU369" s="10"/>
      <c r="ULV369" s="10"/>
      <c r="ULW369" s="21"/>
      <c r="ULX369" s="21"/>
      <c r="UMA369" s="21"/>
      <c r="UMB369" s="15"/>
      <c r="UMC369" s="15"/>
      <c r="UMD369" s="15"/>
      <c r="UME369" s="15"/>
      <c r="UMF369" s="15"/>
      <c r="UMG369" s="15"/>
      <c r="UMH369" s="15"/>
      <c r="UMI369" s="15"/>
      <c r="UMJ369" s="15"/>
      <c r="UMK369" s="15"/>
      <c r="UML369" s="10"/>
      <c r="UMM369" s="10"/>
      <c r="UMN369" s="21"/>
      <c r="UMO369" s="21"/>
      <c r="UMR369" s="21"/>
      <c r="UMS369" s="15"/>
      <c r="UMT369" s="15"/>
      <c r="UMU369" s="15"/>
      <c r="UMV369" s="15"/>
      <c r="UMW369" s="15"/>
      <c r="UMX369" s="15"/>
      <c r="UMY369" s="15"/>
      <c r="UMZ369" s="15"/>
      <c r="UNA369" s="15"/>
      <c r="UNB369" s="15"/>
      <c r="UNC369" s="10"/>
      <c r="UND369" s="10"/>
      <c r="UNE369" s="21"/>
      <c r="UNF369" s="21"/>
      <c r="UNI369" s="21"/>
      <c r="UNJ369" s="15"/>
      <c r="UNK369" s="15"/>
      <c r="UNL369" s="15"/>
      <c r="UNM369" s="15"/>
      <c r="UNN369" s="15"/>
      <c r="UNO369" s="15"/>
      <c r="UNP369" s="15"/>
      <c r="UNQ369" s="15"/>
      <c r="UNR369" s="15"/>
      <c r="UNS369" s="15"/>
      <c r="UNT369" s="10"/>
      <c r="UNU369" s="10"/>
      <c r="UNV369" s="21"/>
      <c r="UNW369" s="21"/>
      <c r="UNZ369" s="21"/>
      <c r="UOA369" s="15"/>
      <c r="UOB369" s="15"/>
      <c r="UOC369" s="15"/>
      <c r="UOD369" s="15"/>
      <c r="UOE369" s="15"/>
      <c r="UOF369" s="15"/>
      <c r="UOG369" s="15"/>
      <c r="UOH369" s="15"/>
      <c r="UOI369" s="15"/>
      <c r="UOJ369" s="15"/>
      <c r="UOK369" s="10"/>
      <c r="UOL369" s="10"/>
      <c r="UOM369" s="21"/>
      <c r="UON369" s="21"/>
      <c r="UOQ369" s="21"/>
      <c r="UOR369" s="15"/>
      <c r="UOS369" s="15"/>
      <c r="UOT369" s="15"/>
      <c r="UOU369" s="15"/>
      <c r="UOV369" s="15"/>
      <c r="UOW369" s="15"/>
      <c r="UOX369" s="15"/>
      <c r="UOY369" s="15"/>
      <c r="UOZ369" s="15"/>
      <c r="UPA369" s="15"/>
      <c r="UPB369" s="10"/>
      <c r="UPC369" s="10"/>
      <c r="UPD369" s="21"/>
      <c r="UPE369" s="21"/>
      <c r="UPH369" s="21"/>
      <c r="UPI369" s="15"/>
      <c r="UPJ369" s="15"/>
      <c r="UPK369" s="15"/>
      <c r="UPL369" s="15"/>
      <c r="UPM369" s="15"/>
      <c r="UPN369" s="15"/>
      <c r="UPO369" s="15"/>
      <c r="UPP369" s="15"/>
      <c r="UPQ369" s="15"/>
      <c r="UPR369" s="15"/>
      <c r="UPS369" s="10"/>
      <c r="UPT369" s="10"/>
      <c r="UPU369" s="21"/>
      <c r="UPV369" s="21"/>
      <c r="UPY369" s="21"/>
      <c r="UPZ369" s="15"/>
      <c r="UQA369" s="15"/>
      <c r="UQB369" s="15"/>
      <c r="UQC369" s="15"/>
      <c r="UQD369" s="15"/>
      <c r="UQE369" s="15"/>
      <c r="UQF369" s="15"/>
      <c r="UQG369" s="15"/>
      <c r="UQH369" s="15"/>
      <c r="UQI369" s="15"/>
      <c r="UQJ369" s="10"/>
      <c r="UQK369" s="10"/>
      <c r="UQL369" s="21"/>
      <c r="UQM369" s="21"/>
      <c r="UQP369" s="21"/>
      <c r="UQQ369" s="15"/>
      <c r="UQR369" s="15"/>
      <c r="UQS369" s="15"/>
      <c r="UQT369" s="15"/>
      <c r="UQU369" s="15"/>
      <c r="UQV369" s="15"/>
      <c r="UQW369" s="15"/>
      <c r="UQX369" s="15"/>
      <c r="UQY369" s="15"/>
      <c r="UQZ369" s="15"/>
      <c r="URA369" s="10"/>
      <c r="URB369" s="10"/>
      <c r="URC369" s="21"/>
      <c r="URD369" s="21"/>
      <c r="URG369" s="21"/>
      <c r="URH369" s="15"/>
      <c r="URI369" s="15"/>
      <c r="URJ369" s="15"/>
      <c r="URK369" s="15"/>
      <c r="URL369" s="15"/>
      <c r="URM369" s="15"/>
      <c r="URN369" s="15"/>
      <c r="URO369" s="15"/>
      <c r="URP369" s="15"/>
      <c r="URQ369" s="15"/>
      <c r="URR369" s="10"/>
      <c r="URS369" s="10"/>
      <c r="URT369" s="21"/>
      <c r="URU369" s="21"/>
      <c r="URX369" s="21"/>
      <c r="URY369" s="15"/>
      <c r="URZ369" s="15"/>
      <c r="USA369" s="15"/>
      <c r="USB369" s="15"/>
      <c r="USC369" s="15"/>
      <c r="USD369" s="15"/>
      <c r="USE369" s="15"/>
      <c r="USF369" s="15"/>
      <c r="USG369" s="15"/>
      <c r="USH369" s="15"/>
      <c r="USI369" s="10"/>
      <c r="USJ369" s="10"/>
      <c r="USK369" s="21"/>
      <c r="USL369" s="21"/>
      <c r="USO369" s="21"/>
      <c r="USP369" s="15"/>
      <c r="USQ369" s="15"/>
      <c r="USR369" s="15"/>
      <c r="USS369" s="15"/>
      <c r="UST369" s="15"/>
      <c r="USU369" s="15"/>
      <c r="USV369" s="15"/>
      <c r="USW369" s="15"/>
      <c r="USX369" s="15"/>
      <c r="USY369" s="15"/>
      <c r="USZ369" s="10"/>
      <c r="UTA369" s="10"/>
      <c r="UTB369" s="21"/>
      <c r="UTC369" s="21"/>
      <c r="UTF369" s="21"/>
      <c r="UTG369" s="15"/>
      <c r="UTH369" s="15"/>
      <c r="UTI369" s="15"/>
      <c r="UTJ369" s="15"/>
      <c r="UTK369" s="15"/>
      <c r="UTL369" s="15"/>
      <c r="UTM369" s="15"/>
      <c r="UTN369" s="15"/>
      <c r="UTO369" s="15"/>
      <c r="UTP369" s="15"/>
      <c r="UTQ369" s="10"/>
      <c r="UTR369" s="10"/>
      <c r="UTS369" s="21"/>
      <c r="UTT369" s="21"/>
      <c r="UTW369" s="21"/>
      <c r="UTX369" s="15"/>
      <c r="UTY369" s="15"/>
      <c r="UTZ369" s="15"/>
      <c r="UUA369" s="15"/>
      <c r="UUB369" s="15"/>
      <c r="UUC369" s="15"/>
      <c r="UUD369" s="15"/>
      <c r="UUE369" s="15"/>
      <c r="UUF369" s="15"/>
      <c r="UUG369" s="15"/>
      <c r="UUH369" s="10"/>
      <c r="UUI369" s="10"/>
      <c r="UUJ369" s="21"/>
      <c r="UUK369" s="21"/>
      <c r="UUN369" s="21"/>
      <c r="UUO369" s="15"/>
      <c r="UUP369" s="15"/>
      <c r="UUQ369" s="15"/>
      <c r="UUR369" s="15"/>
      <c r="UUS369" s="15"/>
      <c r="UUT369" s="15"/>
      <c r="UUU369" s="15"/>
      <c r="UUV369" s="15"/>
      <c r="UUW369" s="15"/>
      <c r="UUX369" s="15"/>
      <c r="UUY369" s="10"/>
      <c r="UUZ369" s="10"/>
      <c r="UVA369" s="21"/>
      <c r="UVB369" s="21"/>
      <c r="UVE369" s="21"/>
      <c r="UVF369" s="15"/>
      <c r="UVG369" s="15"/>
      <c r="UVH369" s="15"/>
      <c r="UVI369" s="15"/>
      <c r="UVJ369" s="15"/>
      <c r="UVK369" s="15"/>
      <c r="UVL369" s="15"/>
      <c r="UVM369" s="15"/>
      <c r="UVN369" s="15"/>
      <c r="UVO369" s="15"/>
      <c r="UVP369" s="10"/>
      <c r="UVQ369" s="10"/>
      <c r="UVR369" s="21"/>
      <c r="UVS369" s="21"/>
      <c r="UVV369" s="21"/>
      <c r="UVW369" s="15"/>
      <c r="UVX369" s="15"/>
      <c r="UVY369" s="15"/>
      <c r="UVZ369" s="15"/>
      <c r="UWA369" s="15"/>
      <c r="UWB369" s="15"/>
      <c r="UWC369" s="15"/>
      <c r="UWD369" s="15"/>
      <c r="UWE369" s="15"/>
      <c r="UWF369" s="15"/>
      <c r="UWG369" s="10"/>
      <c r="UWH369" s="10"/>
      <c r="UWI369" s="21"/>
      <c r="UWJ369" s="21"/>
      <c r="UWM369" s="21"/>
      <c r="UWN369" s="15"/>
      <c r="UWO369" s="15"/>
      <c r="UWP369" s="15"/>
      <c r="UWQ369" s="15"/>
      <c r="UWR369" s="15"/>
      <c r="UWS369" s="15"/>
      <c r="UWT369" s="15"/>
      <c r="UWU369" s="15"/>
      <c r="UWV369" s="15"/>
      <c r="UWW369" s="15"/>
      <c r="UWX369" s="10"/>
      <c r="UWY369" s="10"/>
      <c r="UWZ369" s="21"/>
      <c r="UXA369" s="21"/>
      <c r="UXD369" s="21"/>
      <c r="UXE369" s="15"/>
      <c r="UXF369" s="15"/>
      <c r="UXG369" s="15"/>
      <c r="UXH369" s="15"/>
      <c r="UXI369" s="15"/>
      <c r="UXJ369" s="15"/>
      <c r="UXK369" s="15"/>
      <c r="UXL369" s="15"/>
      <c r="UXM369" s="15"/>
      <c r="UXN369" s="15"/>
      <c r="UXO369" s="10"/>
      <c r="UXP369" s="10"/>
      <c r="UXQ369" s="21"/>
      <c r="UXR369" s="21"/>
      <c r="UXU369" s="21"/>
      <c r="UXV369" s="15"/>
      <c r="UXW369" s="15"/>
      <c r="UXX369" s="15"/>
      <c r="UXY369" s="15"/>
      <c r="UXZ369" s="15"/>
      <c r="UYA369" s="15"/>
      <c r="UYB369" s="15"/>
      <c r="UYC369" s="15"/>
      <c r="UYD369" s="15"/>
      <c r="UYE369" s="15"/>
      <c r="UYF369" s="10"/>
      <c r="UYG369" s="10"/>
      <c r="UYH369" s="21"/>
      <c r="UYI369" s="21"/>
      <c r="UYL369" s="21"/>
      <c r="UYM369" s="15"/>
      <c r="UYN369" s="15"/>
      <c r="UYO369" s="15"/>
      <c r="UYP369" s="15"/>
      <c r="UYQ369" s="15"/>
      <c r="UYR369" s="15"/>
      <c r="UYS369" s="15"/>
      <c r="UYT369" s="15"/>
      <c r="UYU369" s="15"/>
      <c r="UYV369" s="15"/>
      <c r="UYW369" s="10"/>
      <c r="UYX369" s="10"/>
      <c r="UYY369" s="21"/>
      <c r="UYZ369" s="21"/>
      <c r="UZC369" s="21"/>
      <c r="UZD369" s="15"/>
      <c r="UZE369" s="15"/>
      <c r="UZF369" s="15"/>
      <c r="UZG369" s="15"/>
      <c r="UZH369" s="15"/>
      <c r="UZI369" s="15"/>
      <c r="UZJ369" s="15"/>
      <c r="UZK369" s="15"/>
      <c r="UZL369" s="15"/>
      <c r="UZM369" s="15"/>
      <c r="UZN369" s="10"/>
      <c r="UZO369" s="10"/>
      <c r="UZP369" s="21"/>
      <c r="UZQ369" s="21"/>
      <c r="UZT369" s="21"/>
      <c r="UZU369" s="15"/>
      <c r="UZV369" s="15"/>
      <c r="UZW369" s="15"/>
      <c r="UZX369" s="15"/>
      <c r="UZY369" s="15"/>
      <c r="UZZ369" s="15"/>
      <c r="VAA369" s="15"/>
      <c r="VAB369" s="15"/>
      <c r="VAC369" s="15"/>
      <c r="VAD369" s="15"/>
      <c r="VAE369" s="10"/>
      <c r="VAF369" s="10"/>
      <c r="VAG369" s="21"/>
      <c r="VAH369" s="21"/>
      <c r="VAK369" s="21"/>
      <c r="VAL369" s="15"/>
      <c r="VAM369" s="15"/>
      <c r="VAN369" s="15"/>
      <c r="VAO369" s="15"/>
      <c r="VAP369" s="15"/>
      <c r="VAQ369" s="15"/>
      <c r="VAR369" s="15"/>
      <c r="VAS369" s="15"/>
      <c r="VAT369" s="15"/>
      <c r="VAU369" s="15"/>
      <c r="VAV369" s="10"/>
      <c r="VAW369" s="10"/>
      <c r="VAX369" s="21"/>
      <c r="VAY369" s="21"/>
      <c r="VBB369" s="21"/>
      <c r="VBC369" s="15"/>
      <c r="VBD369" s="15"/>
      <c r="VBE369" s="15"/>
      <c r="VBF369" s="15"/>
      <c r="VBG369" s="15"/>
      <c r="VBH369" s="15"/>
      <c r="VBI369" s="15"/>
      <c r="VBJ369" s="15"/>
      <c r="VBK369" s="15"/>
      <c r="VBL369" s="15"/>
      <c r="VBM369" s="10"/>
      <c r="VBN369" s="10"/>
      <c r="VBO369" s="21"/>
      <c r="VBP369" s="21"/>
      <c r="VBS369" s="21"/>
      <c r="VBT369" s="15"/>
      <c r="VBU369" s="15"/>
      <c r="VBV369" s="15"/>
      <c r="VBW369" s="15"/>
      <c r="VBX369" s="15"/>
      <c r="VBY369" s="15"/>
      <c r="VBZ369" s="15"/>
      <c r="VCA369" s="15"/>
      <c r="VCB369" s="15"/>
      <c r="VCC369" s="15"/>
      <c r="VCD369" s="10"/>
      <c r="VCE369" s="10"/>
      <c r="VCF369" s="21"/>
      <c r="VCG369" s="21"/>
      <c r="VCJ369" s="21"/>
      <c r="VCK369" s="15"/>
      <c r="VCL369" s="15"/>
      <c r="VCM369" s="15"/>
      <c r="VCN369" s="15"/>
      <c r="VCO369" s="15"/>
      <c r="VCP369" s="15"/>
      <c r="VCQ369" s="15"/>
      <c r="VCR369" s="15"/>
      <c r="VCS369" s="15"/>
      <c r="VCT369" s="15"/>
      <c r="VCU369" s="10"/>
      <c r="VCV369" s="10"/>
      <c r="VCW369" s="21"/>
      <c r="VCX369" s="21"/>
      <c r="VDA369" s="21"/>
      <c r="VDB369" s="15"/>
      <c r="VDC369" s="15"/>
      <c r="VDD369" s="15"/>
      <c r="VDE369" s="15"/>
      <c r="VDF369" s="15"/>
      <c r="VDG369" s="15"/>
      <c r="VDH369" s="15"/>
      <c r="VDI369" s="15"/>
      <c r="VDJ369" s="15"/>
      <c r="VDK369" s="15"/>
      <c r="VDL369" s="10"/>
      <c r="VDM369" s="10"/>
      <c r="VDN369" s="21"/>
      <c r="VDO369" s="21"/>
      <c r="VDR369" s="21"/>
      <c r="VDS369" s="15"/>
      <c r="VDT369" s="15"/>
      <c r="VDU369" s="15"/>
      <c r="VDV369" s="15"/>
      <c r="VDW369" s="15"/>
      <c r="VDX369" s="15"/>
      <c r="VDY369" s="15"/>
      <c r="VDZ369" s="15"/>
      <c r="VEA369" s="15"/>
      <c r="VEB369" s="15"/>
      <c r="VEC369" s="10"/>
      <c r="VED369" s="10"/>
      <c r="VEE369" s="21"/>
      <c r="VEF369" s="21"/>
      <c r="VEI369" s="21"/>
      <c r="VEJ369" s="15"/>
      <c r="VEK369" s="15"/>
      <c r="VEL369" s="15"/>
      <c r="VEM369" s="15"/>
      <c r="VEN369" s="15"/>
      <c r="VEO369" s="15"/>
      <c r="VEP369" s="15"/>
      <c r="VEQ369" s="15"/>
      <c r="VER369" s="15"/>
      <c r="VES369" s="15"/>
      <c r="VET369" s="10"/>
      <c r="VEU369" s="10"/>
      <c r="VEV369" s="21"/>
      <c r="VEW369" s="21"/>
      <c r="VEZ369" s="21"/>
      <c r="VFA369" s="15"/>
      <c r="VFB369" s="15"/>
      <c r="VFC369" s="15"/>
      <c r="VFD369" s="15"/>
      <c r="VFE369" s="15"/>
      <c r="VFF369" s="15"/>
      <c r="VFG369" s="15"/>
      <c r="VFH369" s="15"/>
      <c r="VFI369" s="15"/>
      <c r="VFJ369" s="15"/>
      <c r="VFK369" s="10"/>
      <c r="VFL369" s="10"/>
      <c r="VFM369" s="21"/>
      <c r="VFN369" s="21"/>
      <c r="VFQ369" s="21"/>
      <c r="VFR369" s="15"/>
      <c r="VFS369" s="15"/>
      <c r="VFT369" s="15"/>
      <c r="VFU369" s="15"/>
      <c r="VFV369" s="15"/>
      <c r="VFW369" s="15"/>
      <c r="VFX369" s="15"/>
      <c r="VFY369" s="15"/>
      <c r="VFZ369" s="15"/>
      <c r="VGA369" s="15"/>
      <c r="VGB369" s="10"/>
      <c r="VGC369" s="10"/>
      <c r="VGD369" s="21"/>
      <c r="VGE369" s="21"/>
      <c r="VGH369" s="21"/>
      <c r="VGI369" s="15"/>
      <c r="VGJ369" s="15"/>
      <c r="VGK369" s="15"/>
      <c r="VGL369" s="15"/>
      <c r="VGM369" s="15"/>
      <c r="VGN369" s="15"/>
      <c r="VGO369" s="15"/>
      <c r="VGP369" s="15"/>
      <c r="VGQ369" s="15"/>
      <c r="VGR369" s="15"/>
      <c r="VGS369" s="10"/>
      <c r="VGT369" s="10"/>
      <c r="VGU369" s="21"/>
      <c r="VGV369" s="21"/>
      <c r="VGY369" s="21"/>
      <c r="VGZ369" s="15"/>
      <c r="VHA369" s="15"/>
      <c r="VHB369" s="15"/>
      <c r="VHC369" s="15"/>
      <c r="VHD369" s="15"/>
      <c r="VHE369" s="15"/>
      <c r="VHF369" s="15"/>
      <c r="VHG369" s="15"/>
      <c r="VHH369" s="15"/>
      <c r="VHI369" s="15"/>
      <c r="VHJ369" s="10"/>
      <c r="VHK369" s="10"/>
      <c r="VHL369" s="21"/>
      <c r="VHM369" s="21"/>
      <c r="VHP369" s="21"/>
      <c r="VHQ369" s="15"/>
      <c r="VHR369" s="15"/>
      <c r="VHS369" s="15"/>
      <c r="VHT369" s="15"/>
      <c r="VHU369" s="15"/>
      <c r="VHV369" s="15"/>
      <c r="VHW369" s="15"/>
      <c r="VHX369" s="15"/>
      <c r="VHY369" s="15"/>
      <c r="VHZ369" s="15"/>
      <c r="VIA369" s="10"/>
      <c r="VIB369" s="10"/>
      <c r="VIC369" s="21"/>
      <c r="VID369" s="21"/>
      <c r="VIG369" s="21"/>
      <c r="VIH369" s="15"/>
      <c r="VII369" s="15"/>
      <c r="VIJ369" s="15"/>
      <c r="VIK369" s="15"/>
      <c r="VIL369" s="15"/>
      <c r="VIM369" s="15"/>
      <c r="VIN369" s="15"/>
      <c r="VIO369" s="15"/>
      <c r="VIP369" s="15"/>
      <c r="VIQ369" s="15"/>
      <c r="VIR369" s="10"/>
      <c r="VIS369" s="10"/>
      <c r="VIT369" s="21"/>
      <c r="VIU369" s="21"/>
      <c r="VIX369" s="21"/>
      <c r="VIY369" s="15"/>
      <c r="VIZ369" s="15"/>
      <c r="VJA369" s="15"/>
      <c r="VJB369" s="15"/>
      <c r="VJC369" s="15"/>
      <c r="VJD369" s="15"/>
      <c r="VJE369" s="15"/>
      <c r="VJF369" s="15"/>
      <c r="VJG369" s="15"/>
      <c r="VJH369" s="15"/>
      <c r="VJI369" s="10"/>
      <c r="VJJ369" s="10"/>
      <c r="VJK369" s="21"/>
      <c r="VJL369" s="21"/>
      <c r="VJO369" s="21"/>
      <c r="VJP369" s="15"/>
      <c r="VJQ369" s="15"/>
      <c r="VJR369" s="15"/>
      <c r="VJS369" s="15"/>
      <c r="VJT369" s="15"/>
      <c r="VJU369" s="15"/>
      <c r="VJV369" s="15"/>
      <c r="VJW369" s="15"/>
      <c r="VJX369" s="15"/>
      <c r="VJY369" s="15"/>
      <c r="VJZ369" s="10"/>
      <c r="VKA369" s="10"/>
      <c r="VKB369" s="21"/>
      <c r="VKC369" s="21"/>
      <c r="VKF369" s="21"/>
      <c r="VKG369" s="15"/>
      <c r="VKH369" s="15"/>
      <c r="VKI369" s="15"/>
      <c r="VKJ369" s="15"/>
      <c r="VKK369" s="15"/>
      <c r="VKL369" s="15"/>
      <c r="VKM369" s="15"/>
      <c r="VKN369" s="15"/>
      <c r="VKO369" s="15"/>
      <c r="VKP369" s="15"/>
      <c r="VKQ369" s="10"/>
      <c r="VKR369" s="10"/>
      <c r="VKS369" s="21"/>
      <c r="VKT369" s="21"/>
      <c r="VKW369" s="21"/>
      <c r="VKX369" s="15"/>
      <c r="VKY369" s="15"/>
      <c r="VKZ369" s="15"/>
      <c r="VLA369" s="15"/>
      <c r="VLB369" s="15"/>
      <c r="VLC369" s="15"/>
      <c r="VLD369" s="15"/>
      <c r="VLE369" s="15"/>
      <c r="VLF369" s="15"/>
      <c r="VLG369" s="15"/>
      <c r="VLH369" s="10"/>
      <c r="VLI369" s="10"/>
      <c r="VLJ369" s="21"/>
      <c r="VLK369" s="21"/>
      <c r="VLN369" s="21"/>
      <c r="VLO369" s="15"/>
      <c r="VLP369" s="15"/>
      <c r="VLQ369" s="15"/>
      <c r="VLR369" s="15"/>
      <c r="VLS369" s="15"/>
      <c r="VLT369" s="15"/>
      <c r="VLU369" s="15"/>
      <c r="VLV369" s="15"/>
      <c r="VLW369" s="15"/>
      <c r="VLX369" s="15"/>
      <c r="VLY369" s="10"/>
      <c r="VLZ369" s="10"/>
      <c r="VMA369" s="21"/>
      <c r="VMB369" s="21"/>
      <c r="VME369" s="21"/>
      <c r="VMF369" s="15"/>
      <c r="VMG369" s="15"/>
      <c r="VMH369" s="15"/>
      <c r="VMI369" s="15"/>
      <c r="VMJ369" s="15"/>
      <c r="VMK369" s="15"/>
      <c r="VML369" s="15"/>
      <c r="VMM369" s="15"/>
      <c r="VMN369" s="15"/>
      <c r="VMO369" s="15"/>
      <c r="VMP369" s="10"/>
      <c r="VMQ369" s="10"/>
      <c r="VMR369" s="21"/>
      <c r="VMS369" s="21"/>
      <c r="VMV369" s="21"/>
      <c r="VMW369" s="15"/>
      <c r="VMX369" s="15"/>
      <c r="VMY369" s="15"/>
      <c r="VMZ369" s="15"/>
      <c r="VNA369" s="15"/>
      <c r="VNB369" s="15"/>
      <c r="VNC369" s="15"/>
      <c r="VND369" s="15"/>
      <c r="VNE369" s="15"/>
      <c r="VNF369" s="15"/>
      <c r="VNG369" s="10"/>
      <c r="VNH369" s="10"/>
      <c r="VNI369" s="21"/>
      <c r="VNJ369" s="21"/>
      <c r="VNM369" s="21"/>
      <c r="VNN369" s="15"/>
      <c r="VNO369" s="15"/>
      <c r="VNP369" s="15"/>
      <c r="VNQ369" s="15"/>
      <c r="VNR369" s="15"/>
      <c r="VNS369" s="15"/>
      <c r="VNT369" s="15"/>
      <c r="VNU369" s="15"/>
      <c r="VNV369" s="15"/>
      <c r="VNW369" s="15"/>
      <c r="VNX369" s="10"/>
      <c r="VNY369" s="10"/>
      <c r="VNZ369" s="21"/>
      <c r="VOA369" s="21"/>
      <c r="VOD369" s="21"/>
      <c r="VOE369" s="15"/>
      <c r="VOF369" s="15"/>
      <c r="VOG369" s="15"/>
      <c r="VOH369" s="15"/>
      <c r="VOI369" s="15"/>
      <c r="VOJ369" s="15"/>
      <c r="VOK369" s="15"/>
      <c r="VOL369" s="15"/>
      <c r="VOM369" s="15"/>
      <c r="VON369" s="15"/>
      <c r="VOO369" s="10"/>
      <c r="VOP369" s="10"/>
      <c r="VOQ369" s="21"/>
      <c r="VOR369" s="21"/>
      <c r="VOU369" s="21"/>
      <c r="VOV369" s="15"/>
      <c r="VOW369" s="15"/>
      <c r="VOX369" s="15"/>
      <c r="VOY369" s="15"/>
      <c r="VOZ369" s="15"/>
      <c r="VPA369" s="15"/>
      <c r="VPB369" s="15"/>
      <c r="VPC369" s="15"/>
      <c r="VPD369" s="15"/>
      <c r="VPE369" s="15"/>
      <c r="VPF369" s="10"/>
      <c r="VPG369" s="10"/>
      <c r="VPH369" s="21"/>
      <c r="VPI369" s="21"/>
      <c r="VPL369" s="21"/>
      <c r="VPM369" s="15"/>
      <c r="VPN369" s="15"/>
      <c r="VPO369" s="15"/>
      <c r="VPP369" s="15"/>
      <c r="VPQ369" s="15"/>
      <c r="VPR369" s="15"/>
      <c r="VPS369" s="15"/>
      <c r="VPT369" s="15"/>
      <c r="VPU369" s="15"/>
      <c r="VPV369" s="15"/>
      <c r="VPW369" s="10"/>
      <c r="VPX369" s="10"/>
      <c r="VPY369" s="21"/>
      <c r="VPZ369" s="21"/>
      <c r="VQC369" s="21"/>
      <c r="VQD369" s="15"/>
      <c r="VQE369" s="15"/>
      <c r="VQF369" s="15"/>
      <c r="VQG369" s="15"/>
      <c r="VQH369" s="15"/>
      <c r="VQI369" s="15"/>
      <c r="VQJ369" s="15"/>
      <c r="VQK369" s="15"/>
      <c r="VQL369" s="15"/>
      <c r="VQM369" s="15"/>
      <c r="VQN369" s="10"/>
      <c r="VQO369" s="10"/>
      <c r="VQP369" s="21"/>
      <c r="VQQ369" s="21"/>
      <c r="VQT369" s="21"/>
      <c r="VQU369" s="15"/>
      <c r="VQV369" s="15"/>
      <c r="VQW369" s="15"/>
      <c r="VQX369" s="15"/>
      <c r="VQY369" s="15"/>
      <c r="VQZ369" s="15"/>
      <c r="VRA369" s="15"/>
      <c r="VRB369" s="15"/>
      <c r="VRC369" s="15"/>
      <c r="VRD369" s="15"/>
      <c r="VRE369" s="10"/>
      <c r="VRF369" s="10"/>
      <c r="VRG369" s="21"/>
      <c r="VRH369" s="21"/>
      <c r="VRK369" s="21"/>
      <c r="VRL369" s="15"/>
      <c r="VRM369" s="15"/>
      <c r="VRN369" s="15"/>
      <c r="VRO369" s="15"/>
      <c r="VRP369" s="15"/>
      <c r="VRQ369" s="15"/>
      <c r="VRR369" s="15"/>
      <c r="VRS369" s="15"/>
      <c r="VRT369" s="15"/>
      <c r="VRU369" s="15"/>
      <c r="VRV369" s="10"/>
      <c r="VRW369" s="10"/>
      <c r="VRX369" s="21"/>
      <c r="VRY369" s="21"/>
      <c r="VSB369" s="21"/>
      <c r="VSC369" s="15"/>
      <c r="VSD369" s="15"/>
      <c r="VSE369" s="15"/>
      <c r="VSF369" s="15"/>
      <c r="VSG369" s="15"/>
      <c r="VSH369" s="15"/>
      <c r="VSI369" s="15"/>
      <c r="VSJ369" s="15"/>
      <c r="VSK369" s="15"/>
      <c r="VSL369" s="15"/>
      <c r="VSM369" s="10"/>
      <c r="VSN369" s="10"/>
      <c r="VSO369" s="21"/>
      <c r="VSP369" s="21"/>
      <c r="VSS369" s="21"/>
      <c r="VST369" s="15"/>
      <c r="VSU369" s="15"/>
      <c r="VSV369" s="15"/>
      <c r="VSW369" s="15"/>
      <c r="VSX369" s="15"/>
      <c r="VSY369" s="15"/>
      <c r="VSZ369" s="15"/>
      <c r="VTA369" s="15"/>
      <c r="VTB369" s="15"/>
      <c r="VTC369" s="15"/>
      <c r="VTD369" s="10"/>
      <c r="VTE369" s="10"/>
      <c r="VTF369" s="21"/>
      <c r="VTG369" s="21"/>
      <c r="VTJ369" s="21"/>
      <c r="VTK369" s="15"/>
      <c r="VTL369" s="15"/>
      <c r="VTM369" s="15"/>
      <c r="VTN369" s="15"/>
      <c r="VTO369" s="15"/>
      <c r="VTP369" s="15"/>
      <c r="VTQ369" s="15"/>
      <c r="VTR369" s="15"/>
      <c r="VTS369" s="15"/>
      <c r="VTT369" s="15"/>
      <c r="VTU369" s="10"/>
      <c r="VTV369" s="10"/>
      <c r="VTW369" s="21"/>
      <c r="VTX369" s="21"/>
      <c r="VUA369" s="21"/>
      <c r="VUB369" s="15"/>
      <c r="VUC369" s="15"/>
      <c r="VUD369" s="15"/>
      <c r="VUE369" s="15"/>
      <c r="VUF369" s="15"/>
      <c r="VUG369" s="15"/>
      <c r="VUH369" s="15"/>
      <c r="VUI369" s="15"/>
      <c r="VUJ369" s="15"/>
      <c r="VUK369" s="15"/>
      <c r="VUL369" s="10"/>
      <c r="VUM369" s="10"/>
      <c r="VUN369" s="21"/>
      <c r="VUO369" s="21"/>
      <c r="VUR369" s="21"/>
      <c r="VUS369" s="15"/>
      <c r="VUT369" s="15"/>
      <c r="VUU369" s="15"/>
      <c r="VUV369" s="15"/>
      <c r="VUW369" s="15"/>
      <c r="VUX369" s="15"/>
      <c r="VUY369" s="15"/>
      <c r="VUZ369" s="15"/>
      <c r="VVA369" s="15"/>
      <c r="VVB369" s="15"/>
      <c r="VVC369" s="10"/>
      <c r="VVD369" s="10"/>
      <c r="VVE369" s="21"/>
      <c r="VVF369" s="21"/>
      <c r="VVI369" s="21"/>
      <c r="VVJ369" s="15"/>
      <c r="VVK369" s="15"/>
      <c r="VVL369" s="15"/>
      <c r="VVM369" s="15"/>
      <c r="VVN369" s="15"/>
      <c r="VVO369" s="15"/>
      <c r="VVP369" s="15"/>
      <c r="VVQ369" s="15"/>
      <c r="VVR369" s="15"/>
      <c r="VVS369" s="15"/>
      <c r="VVT369" s="10"/>
      <c r="VVU369" s="10"/>
      <c r="VVV369" s="21"/>
      <c r="VVW369" s="21"/>
      <c r="VVZ369" s="21"/>
      <c r="VWA369" s="15"/>
      <c r="VWB369" s="15"/>
      <c r="VWC369" s="15"/>
      <c r="VWD369" s="15"/>
      <c r="VWE369" s="15"/>
      <c r="VWF369" s="15"/>
      <c r="VWG369" s="15"/>
      <c r="VWH369" s="15"/>
      <c r="VWI369" s="15"/>
      <c r="VWJ369" s="15"/>
      <c r="VWK369" s="10"/>
      <c r="VWL369" s="10"/>
      <c r="VWM369" s="21"/>
      <c r="VWN369" s="21"/>
      <c r="VWQ369" s="21"/>
      <c r="VWR369" s="15"/>
      <c r="VWS369" s="15"/>
      <c r="VWT369" s="15"/>
      <c r="VWU369" s="15"/>
      <c r="VWV369" s="15"/>
      <c r="VWW369" s="15"/>
      <c r="VWX369" s="15"/>
      <c r="VWY369" s="15"/>
      <c r="VWZ369" s="15"/>
      <c r="VXA369" s="15"/>
      <c r="VXB369" s="10"/>
      <c r="VXC369" s="10"/>
      <c r="VXD369" s="21"/>
      <c r="VXE369" s="21"/>
      <c r="VXH369" s="21"/>
      <c r="VXI369" s="15"/>
      <c r="VXJ369" s="15"/>
      <c r="VXK369" s="15"/>
      <c r="VXL369" s="15"/>
      <c r="VXM369" s="15"/>
      <c r="VXN369" s="15"/>
      <c r="VXO369" s="15"/>
      <c r="VXP369" s="15"/>
      <c r="VXQ369" s="15"/>
      <c r="VXR369" s="15"/>
      <c r="VXS369" s="10"/>
      <c r="VXT369" s="10"/>
      <c r="VXU369" s="21"/>
      <c r="VXV369" s="21"/>
      <c r="VXY369" s="21"/>
      <c r="VXZ369" s="15"/>
      <c r="VYA369" s="15"/>
      <c r="VYB369" s="15"/>
      <c r="VYC369" s="15"/>
      <c r="VYD369" s="15"/>
      <c r="VYE369" s="15"/>
      <c r="VYF369" s="15"/>
      <c r="VYG369" s="15"/>
      <c r="VYH369" s="15"/>
      <c r="VYI369" s="15"/>
      <c r="VYJ369" s="10"/>
      <c r="VYK369" s="10"/>
      <c r="VYL369" s="21"/>
      <c r="VYM369" s="21"/>
      <c r="VYP369" s="21"/>
      <c r="VYQ369" s="15"/>
      <c r="VYR369" s="15"/>
      <c r="VYS369" s="15"/>
      <c r="VYT369" s="15"/>
      <c r="VYU369" s="15"/>
      <c r="VYV369" s="15"/>
      <c r="VYW369" s="15"/>
      <c r="VYX369" s="15"/>
      <c r="VYY369" s="15"/>
      <c r="VYZ369" s="15"/>
      <c r="VZA369" s="10"/>
      <c r="VZB369" s="10"/>
      <c r="VZC369" s="21"/>
      <c r="VZD369" s="21"/>
      <c r="VZG369" s="21"/>
      <c r="VZH369" s="15"/>
      <c r="VZI369" s="15"/>
      <c r="VZJ369" s="15"/>
      <c r="VZK369" s="15"/>
      <c r="VZL369" s="15"/>
      <c r="VZM369" s="15"/>
      <c r="VZN369" s="15"/>
      <c r="VZO369" s="15"/>
      <c r="VZP369" s="15"/>
      <c r="VZQ369" s="15"/>
      <c r="VZR369" s="10"/>
      <c r="VZS369" s="10"/>
      <c r="VZT369" s="21"/>
      <c r="VZU369" s="21"/>
      <c r="VZX369" s="21"/>
      <c r="VZY369" s="15"/>
      <c r="VZZ369" s="15"/>
      <c r="WAA369" s="15"/>
      <c r="WAB369" s="15"/>
      <c r="WAC369" s="15"/>
      <c r="WAD369" s="15"/>
      <c r="WAE369" s="15"/>
      <c r="WAF369" s="15"/>
      <c r="WAG369" s="15"/>
      <c r="WAH369" s="15"/>
      <c r="WAI369" s="10"/>
      <c r="WAJ369" s="10"/>
      <c r="WAK369" s="21"/>
      <c r="WAL369" s="21"/>
      <c r="WAO369" s="21"/>
      <c r="WAP369" s="15"/>
      <c r="WAQ369" s="15"/>
      <c r="WAR369" s="15"/>
      <c r="WAS369" s="15"/>
      <c r="WAT369" s="15"/>
      <c r="WAU369" s="15"/>
      <c r="WAV369" s="15"/>
      <c r="WAW369" s="15"/>
      <c r="WAX369" s="15"/>
      <c r="WAY369" s="15"/>
      <c r="WAZ369" s="10"/>
      <c r="WBA369" s="10"/>
      <c r="WBB369" s="21"/>
      <c r="WBC369" s="21"/>
      <c r="WBF369" s="21"/>
      <c r="WBG369" s="15"/>
      <c r="WBH369" s="15"/>
      <c r="WBI369" s="15"/>
      <c r="WBJ369" s="15"/>
      <c r="WBK369" s="15"/>
      <c r="WBL369" s="15"/>
      <c r="WBM369" s="15"/>
      <c r="WBN369" s="15"/>
      <c r="WBO369" s="15"/>
      <c r="WBP369" s="15"/>
      <c r="WBQ369" s="10"/>
      <c r="WBR369" s="10"/>
      <c r="WBS369" s="21"/>
      <c r="WBT369" s="21"/>
      <c r="WBW369" s="21"/>
      <c r="WBX369" s="15"/>
      <c r="WBY369" s="15"/>
      <c r="WBZ369" s="15"/>
      <c r="WCA369" s="15"/>
      <c r="WCB369" s="15"/>
      <c r="WCC369" s="15"/>
      <c r="WCD369" s="15"/>
      <c r="WCE369" s="15"/>
      <c r="WCF369" s="15"/>
      <c r="WCG369" s="15"/>
      <c r="WCH369" s="10"/>
      <c r="WCI369" s="10"/>
      <c r="WCJ369" s="21"/>
      <c r="WCK369" s="21"/>
      <c r="WCN369" s="21"/>
      <c r="WCO369" s="15"/>
      <c r="WCP369" s="15"/>
      <c r="WCQ369" s="15"/>
      <c r="WCR369" s="15"/>
      <c r="WCS369" s="15"/>
      <c r="WCT369" s="15"/>
      <c r="WCU369" s="15"/>
      <c r="WCV369" s="15"/>
      <c r="WCW369" s="15"/>
      <c r="WCX369" s="15"/>
      <c r="WCY369" s="10"/>
      <c r="WCZ369" s="10"/>
      <c r="WDA369" s="21"/>
      <c r="WDB369" s="21"/>
      <c r="WDE369" s="21"/>
      <c r="WDF369" s="15"/>
      <c r="WDG369" s="15"/>
      <c r="WDH369" s="15"/>
      <c r="WDI369" s="15"/>
      <c r="WDJ369" s="15"/>
      <c r="WDK369" s="15"/>
      <c r="WDL369" s="15"/>
      <c r="WDM369" s="15"/>
      <c r="WDN369" s="15"/>
      <c r="WDO369" s="15"/>
      <c r="WDP369" s="10"/>
      <c r="WDQ369" s="10"/>
      <c r="WDR369" s="21"/>
      <c r="WDS369" s="21"/>
      <c r="WDV369" s="21"/>
      <c r="WDW369" s="15"/>
      <c r="WDX369" s="15"/>
      <c r="WDY369" s="15"/>
      <c r="WDZ369" s="15"/>
      <c r="WEA369" s="15"/>
      <c r="WEB369" s="15"/>
      <c r="WEC369" s="15"/>
      <c r="WED369" s="15"/>
      <c r="WEE369" s="15"/>
      <c r="WEF369" s="15"/>
      <c r="WEG369" s="10"/>
      <c r="WEH369" s="10"/>
      <c r="WEI369" s="21"/>
      <c r="WEJ369" s="21"/>
      <c r="WEM369" s="21"/>
      <c r="WEN369" s="15"/>
      <c r="WEO369" s="15"/>
      <c r="WEP369" s="15"/>
      <c r="WEQ369" s="15"/>
      <c r="WER369" s="15"/>
      <c r="WES369" s="15"/>
      <c r="WET369" s="15"/>
      <c r="WEU369" s="15"/>
      <c r="WEV369" s="15"/>
      <c r="WEW369" s="15"/>
      <c r="WEX369" s="10"/>
      <c r="WEY369" s="10"/>
      <c r="WEZ369" s="21"/>
      <c r="WFA369" s="21"/>
      <c r="WFD369" s="21"/>
      <c r="WFE369" s="15"/>
      <c r="WFF369" s="15"/>
      <c r="WFG369" s="15"/>
      <c r="WFH369" s="15"/>
      <c r="WFI369" s="15"/>
      <c r="WFJ369" s="15"/>
      <c r="WFK369" s="15"/>
      <c r="WFL369" s="15"/>
      <c r="WFM369" s="15"/>
      <c r="WFN369" s="15"/>
      <c r="WFO369" s="10"/>
      <c r="WFP369" s="10"/>
      <c r="WFQ369" s="21"/>
      <c r="WFR369" s="21"/>
      <c r="WFU369" s="21"/>
      <c r="WFV369" s="15"/>
      <c r="WFW369" s="15"/>
      <c r="WFX369" s="15"/>
      <c r="WFY369" s="15"/>
      <c r="WFZ369" s="15"/>
      <c r="WGA369" s="15"/>
      <c r="WGB369" s="15"/>
      <c r="WGC369" s="15"/>
      <c r="WGD369" s="15"/>
      <c r="WGE369" s="15"/>
      <c r="WGF369" s="10"/>
      <c r="WGG369" s="10"/>
      <c r="WGH369" s="21"/>
      <c r="WGI369" s="21"/>
      <c r="WGL369" s="21"/>
      <c r="WGM369" s="15"/>
      <c r="WGN369" s="15"/>
      <c r="WGO369" s="15"/>
      <c r="WGP369" s="15"/>
      <c r="WGQ369" s="15"/>
      <c r="WGR369" s="15"/>
      <c r="WGS369" s="15"/>
      <c r="WGT369" s="15"/>
      <c r="WGU369" s="15"/>
      <c r="WGV369" s="15"/>
      <c r="WGW369" s="10"/>
      <c r="WGX369" s="10"/>
      <c r="WGY369" s="21"/>
      <c r="WGZ369" s="21"/>
      <c r="WHC369" s="21"/>
      <c r="WHD369" s="15"/>
      <c r="WHE369" s="15"/>
      <c r="WHF369" s="15"/>
      <c r="WHG369" s="15"/>
      <c r="WHH369" s="15"/>
      <c r="WHI369" s="15"/>
      <c r="WHJ369" s="15"/>
      <c r="WHK369" s="15"/>
      <c r="WHL369" s="15"/>
      <c r="WHM369" s="15"/>
      <c r="WHN369" s="10"/>
      <c r="WHO369" s="10"/>
      <c r="WHP369" s="21"/>
      <c r="WHQ369" s="21"/>
      <c r="WHT369" s="21"/>
      <c r="WHU369" s="15"/>
      <c r="WHV369" s="15"/>
      <c r="WHW369" s="15"/>
      <c r="WHX369" s="15"/>
      <c r="WHY369" s="15"/>
      <c r="WHZ369" s="15"/>
      <c r="WIA369" s="15"/>
      <c r="WIB369" s="15"/>
      <c r="WIC369" s="15"/>
      <c r="WID369" s="15"/>
      <c r="WIE369" s="10"/>
      <c r="WIF369" s="10"/>
      <c r="WIG369" s="21"/>
      <c r="WIH369" s="21"/>
      <c r="WIK369" s="21"/>
      <c r="WIL369" s="15"/>
      <c r="WIM369" s="15"/>
      <c r="WIN369" s="15"/>
      <c r="WIO369" s="15"/>
      <c r="WIP369" s="15"/>
      <c r="WIQ369" s="15"/>
      <c r="WIR369" s="15"/>
      <c r="WIS369" s="15"/>
      <c r="WIT369" s="15"/>
      <c r="WIU369" s="15"/>
      <c r="WIV369" s="10"/>
      <c r="WIW369" s="10"/>
      <c r="WIX369" s="21"/>
      <c r="WIY369" s="21"/>
      <c r="WJB369" s="21"/>
      <c r="WJC369" s="15"/>
      <c r="WJD369" s="15"/>
      <c r="WJE369" s="15"/>
      <c r="WJF369" s="15"/>
      <c r="WJG369" s="15"/>
      <c r="WJH369" s="15"/>
      <c r="WJI369" s="15"/>
      <c r="WJJ369" s="15"/>
      <c r="WJK369" s="15"/>
      <c r="WJL369" s="15"/>
      <c r="WJM369" s="10"/>
      <c r="WJN369" s="10"/>
      <c r="WJO369" s="21"/>
      <c r="WJP369" s="21"/>
      <c r="WJS369" s="21"/>
      <c r="WJT369" s="15"/>
      <c r="WJU369" s="15"/>
      <c r="WJV369" s="15"/>
      <c r="WJW369" s="15"/>
      <c r="WJX369" s="15"/>
      <c r="WJY369" s="15"/>
      <c r="WJZ369" s="15"/>
      <c r="WKA369" s="15"/>
      <c r="WKB369" s="15"/>
      <c r="WKC369" s="15"/>
      <c r="WKD369" s="10"/>
      <c r="WKE369" s="10"/>
      <c r="WKF369" s="21"/>
      <c r="WKG369" s="21"/>
      <c r="WKJ369" s="21"/>
      <c r="WKK369" s="15"/>
      <c r="WKL369" s="15"/>
      <c r="WKM369" s="15"/>
      <c r="WKN369" s="15"/>
      <c r="WKO369" s="15"/>
      <c r="WKP369" s="15"/>
      <c r="WKQ369" s="15"/>
      <c r="WKR369" s="15"/>
      <c r="WKS369" s="15"/>
      <c r="WKT369" s="15"/>
      <c r="WKU369" s="10"/>
      <c r="WKV369" s="10"/>
      <c r="WKW369" s="21"/>
      <c r="WKX369" s="21"/>
      <c r="WLA369" s="21"/>
      <c r="WLB369" s="15"/>
      <c r="WLC369" s="15"/>
      <c r="WLD369" s="15"/>
      <c r="WLE369" s="15"/>
      <c r="WLF369" s="15"/>
      <c r="WLG369" s="15"/>
      <c r="WLH369" s="15"/>
      <c r="WLI369" s="15"/>
      <c r="WLJ369" s="15"/>
      <c r="WLK369" s="15"/>
      <c r="WLL369" s="10"/>
      <c r="WLM369" s="10"/>
      <c r="WLN369" s="21"/>
      <c r="WLO369" s="21"/>
      <c r="WLR369" s="21"/>
      <c r="WLS369" s="15"/>
      <c r="WLT369" s="15"/>
      <c r="WLU369" s="15"/>
      <c r="WLV369" s="15"/>
      <c r="WLW369" s="15"/>
      <c r="WLX369" s="15"/>
      <c r="WLY369" s="15"/>
      <c r="WLZ369" s="15"/>
      <c r="WMA369" s="15"/>
      <c r="WMB369" s="15"/>
      <c r="WMC369" s="10"/>
      <c r="WMD369" s="10"/>
      <c r="WME369" s="21"/>
      <c r="WMF369" s="21"/>
      <c r="WMI369" s="21"/>
      <c r="WMJ369" s="15"/>
      <c r="WMK369" s="15"/>
      <c r="WML369" s="15"/>
      <c r="WMM369" s="15"/>
      <c r="WMN369" s="15"/>
      <c r="WMO369" s="15"/>
      <c r="WMP369" s="15"/>
      <c r="WMQ369" s="15"/>
      <c r="WMR369" s="15"/>
      <c r="WMS369" s="15"/>
      <c r="WMT369" s="10"/>
      <c r="WMU369" s="10"/>
      <c r="WMV369" s="21"/>
      <c r="WMW369" s="21"/>
      <c r="WMZ369" s="21"/>
      <c r="WNA369" s="15"/>
      <c r="WNB369" s="15"/>
      <c r="WNC369" s="15"/>
      <c r="WND369" s="15"/>
      <c r="WNE369" s="15"/>
      <c r="WNF369" s="15"/>
      <c r="WNG369" s="15"/>
      <c r="WNH369" s="15"/>
      <c r="WNI369" s="15"/>
      <c r="WNJ369" s="15"/>
      <c r="WNK369" s="10"/>
      <c r="WNL369" s="10"/>
      <c r="WNM369" s="21"/>
      <c r="WNN369" s="21"/>
      <c r="WNQ369" s="21"/>
      <c r="WNR369" s="15"/>
      <c r="WNS369" s="15"/>
      <c r="WNT369" s="15"/>
      <c r="WNU369" s="15"/>
      <c r="WNV369" s="15"/>
      <c r="WNW369" s="15"/>
      <c r="WNX369" s="15"/>
      <c r="WNY369" s="15"/>
      <c r="WNZ369" s="15"/>
      <c r="WOA369" s="15"/>
      <c r="WOB369" s="10"/>
      <c r="WOC369" s="10"/>
      <c r="WOD369" s="21"/>
      <c r="WOE369" s="21"/>
      <c r="WOH369" s="21"/>
      <c r="WOI369" s="15"/>
      <c r="WOJ369" s="15"/>
      <c r="WOK369" s="15"/>
      <c r="WOL369" s="15"/>
      <c r="WOM369" s="15"/>
      <c r="WON369" s="15"/>
      <c r="WOO369" s="15"/>
      <c r="WOP369" s="15"/>
      <c r="WOQ369" s="15"/>
      <c r="WOR369" s="15"/>
      <c r="WOS369" s="10"/>
      <c r="WOT369" s="10"/>
      <c r="WOU369" s="21"/>
      <c r="WOV369" s="21"/>
      <c r="WOY369" s="21"/>
      <c r="WOZ369" s="15"/>
      <c r="WPA369" s="15"/>
      <c r="WPB369" s="15"/>
      <c r="WPC369" s="15"/>
      <c r="WPD369" s="15"/>
      <c r="WPE369" s="15"/>
      <c r="WPF369" s="15"/>
      <c r="WPG369" s="15"/>
      <c r="WPH369" s="15"/>
      <c r="WPI369" s="15"/>
      <c r="WPJ369" s="10"/>
      <c r="WPK369" s="10"/>
      <c r="WPL369" s="21"/>
      <c r="WPM369" s="21"/>
      <c r="WPP369" s="21"/>
      <c r="WPQ369" s="15"/>
      <c r="WPR369" s="15"/>
      <c r="WPS369" s="15"/>
      <c r="WPT369" s="15"/>
      <c r="WPU369" s="15"/>
      <c r="WPV369" s="15"/>
      <c r="WPW369" s="15"/>
      <c r="WPX369" s="15"/>
      <c r="WPY369" s="15"/>
      <c r="WPZ369" s="15"/>
      <c r="WQA369" s="10"/>
      <c r="WQB369" s="10"/>
      <c r="WQC369" s="21"/>
      <c r="WQD369" s="21"/>
      <c r="WQG369" s="21"/>
      <c r="WQH369" s="15"/>
      <c r="WQI369" s="15"/>
      <c r="WQJ369" s="15"/>
      <c r="WQK369" s="15"/>
      <c r="WQL369" s="15"/>
      <c r="WQM369" s="15"/>
      <c r="WQN369" s="15"/>
      <c r="WQO369" s="15"/>
      <c r="WQP369" s="15"/>
      <c r="WQQ369" s="15"/>
      <c r="WQR369" s="10"/>
      <c r="WQS369" s="10"/>
      <c r="WQT369" s="21"/>
      <c r="WQU369" s="21"/>
      <c r="WQX369" s="21"/>
      <c r="WQY369" s="15"/>
      <c r="WQZ369" s="15"/>
      <c r="WRA369" s="15"/>
      <c r="WRB369" s="15"/>
      <c r="WRC369" s="15"/>
      <c r="WRD369" s="15"/>
      <c r="WRE369" s="15"/>
      <c r="WRF369" s="15"/>
      <c r="WRG369" s="15"/>
      <c r="WRH369" s="15"/>
      <c r="WRI369" s="10"/>
      <c r="WRJ369" s="10"/>
      <c r="WRK369" s="21"/>
      <c r="WRL369" s="21"/>
      <c r="WRO369" s="21"/>
      <c r="WRP369" s="15"/>
      <c r="WRQ369" s="15"/>
      <c r="WRR369" s="15"/>
      <c r="WRS369" s="15"/>
      <c r="WRT369" s="15"/>
      <c r="WRU369" s="15"/>
      <c r="WRV369" s="15"/>
      <c r="WRW369" s="15"/>
      <c r="WRX369" s="15"/>
      <c r="WRY369" s="15"/>
      <c r="WRZ369" s="10"/>
      <c r="WSA369" s="10"/>
      <c r="WSB369" s="21"/>
      <c r="WSC369" s="21"/>
      <c r="WSF369" s="21"/>
      <c r="WSG369" s="15"/>
      <c r="WSH369" s="15"/>
      <c r="WSI369" s="15"/>
      <c r="WSJ369" s="15"/>
      <c r="WSK369" s="15"/>
      <c r="WSL369" s="15"/>
      <c r="WSM369" s="15"/>
      <c r="WSN369" s="15"/>
      <c r="WSO369" s="15"/>
      <c r="WSP369" s="15"/>
      <c r="WSQ369" s="10"/>
      <c r="WSR369" s="10"/>
      <c r="WSS369" s="21"/>
      <c r="WST369" s="21"/>
      <c r="WSW369" s="21"/>
      <c r="WSX369" s="15"/>
      <c r="WSY369" s="15"/>
      <c r="WSZ369" s="15"/>
      <c r="WTA369" s="15"/>
      <c r="WTB369" s="15"/>
      <c r="WTC369" s="15"/>
      <c r="WTD369" s="15"/>
      <c r="WTE369" s="15"/>
      <c r="WTF369" s="15"/>
      <c r="WTG369" s="15"/>
      <c r="WTH369" s="10"/>
      <c r="WTI369" s="10"/>
      <c r="WTJ369" s="21"/>
      <c r="WTK369" s="21"/>
      <c r="WTN369" s="21"/>
      <c r="WTO369" s="15"/>
      <c r="WTP369" s="15"/>
      <c r="WTQ369" s="15"/>
      <c r="WTR369" s="15"/>
      <c r="WTS369" s="15"/>
      <c r="WTT369" s="15"/>
      <c r="WTU369" s="15"/>
      <c r="WTV369" s="15"/>
      <c r="WTW369" s="15"/>
      <c r="WTX369" s="15"/>
      <c r="WTY369" s="10"/>
      <c r="WTZ369" s="10"/>
      <c r="WUA369" s="21"/>
      <c r="WUB369" s="21"/>
      <c r="WUE369" s="21"/>
      <c r="WUF369" s="15"/>
      <c r="WUG369" s="15"/>
      <c r="WUH369" s="15"/>
      <c r="WUI369" s="15"/>
      <c r="WUJ369" s="15"/>
      <c r="WUK369" s="15"/>
      <c r="WUL369" s="15"/>
      <c r="WUM369" s="15"/>
      <c r="WUN369" s="15"/>
      <c r="WUO369" s="15"/>
      <c r="WUP369" s="10"/>
      <c r="WUQ369" s="10"/>
      <c r="WUR369" s="21"/>
      <c r="WUS369" s="21"/>
      <c r="WUV369" s="21"/>
      <c r="WUW369" s="15"/>
      <c r="WUX369" s="15"/>
      <c r="WUY369" s="15"/>
      <c r="WUZ369" s="15"/>
      <c r="WVA369" s="15"/>
      <c r="WVB369" s="15"/>
      <c r="WVC369" s="15"/>
      <c r="WVD369" s="15"/>
      <c r="WVE369" s="15"/>
      <c r="WVF369" s="15"/>
      <c r="WVG369" s="10"/>
      <c r="WVH369" s="10"/>
      <c r="WVI369" s="21"/>
      <c r="WVJ369" s="21"/>
      <c r="WVM369" s="21"/>
      <c r="WVN369" s="15"/>
      <c r="WVO369" s="15"/>
      <c r="WVP369" s="15"/>
      <c r="WVQ369" s="15"/>
      <c r="WVR369" s="15"/>
      <c r="WVS369" s="15"/>
      <c r="WVT369" s="15"/>
      <c r="WVU369" s="15"/>
      <c r="WVV369" s="15"/>
      <c r="WVW369" s="15"/>
      <c r="WVX369" s="10"/>
      <c r="WVY369" s="10"/>
      <c r="WVZ369" s="21"/>
      <c r="WWA369" s="21"/>
      <c r="WWD369" s="21"/>
      <c r="WWE369" s="15"/>
      <c r="WWF369" s="15"/>
      <c r="WWG369" s="15"/>
      <c r="WWH369" s="15"/>
      <c r="WWI369" s="15"/>
      <c r="WWJ369" s="15"/>
      <c r="WWK369" s="15"/>
      <c r="WWL369" s="15"/>
      <c r="WWM369" s="15"/>
      <c r="WWN369" s="15"/>
      <c r="WWO369" s="10"/>
      <c r="WWP369" s="10"/>
      <c r="WWQ369" s="21"/>
      <c r="WWR369" s="21"/>
      <c r="WWU369" s="21"/>
      <c r="WWV369" s="15"/>
      <c r="WWW369" s="15"/>
      <c r="WWX369" s="15"/>
      <c r="WWY369" s="15"/>
      <c r="WWZ369" s="15"/>
      <c r="WXA369" s="15"/>
      <c r="WXB369" s="15"/>
      <c r="WXC369" s="15"/>
      <c r="WXD369" s="15"/>
      <c r="WXE369" s="15"/>
      <c r="WXF369" s="10"/>
      <c r="WXG369" s="10"/>
      <c r="WXH369" s="21"/>
      <c r="WXI369" s="21"/>
      <c r="WXL369" s="21"/>
      <c r="WXM369" s="15"/>
      <c r="WXN369" s="15"/>
      <c r="WXO369" s="15"/>
      <c r="WXP369" s="15"/>
      <c r="WXQ369" s="15"/>
      <c r="WXR369" s="15"/>
      <c r="WXS369" s="15"/>
      <c r="WXT369" s="15"/>
      <c r="WXU369" s="15"/>
      <c r="WXV369" s="15"/>
      <c r="WXW369" s="10"/>
      <c r="WXX369" s="10"/>
      <c r="WXY369" s="21"/>
      <c r="WXZ369" s="21"/>
      <c r="WYC369" s="21"/>
      <c r="WYD369" s="15"/>
      <c r="WYE369" s="15"/>
      <c r="WYF369" s="15"/>
      <c r="WYG369" s="15"/>
      <c r="WYH369" s="15"/>
      <c r="WYI369" s="15"/>
      <c r="WYJ369" s="15"/>
      <c r="WYK369" s="15"/>
      <c r="WYL369" s="15"/>
      <c r="WYM369" s="15"/>
      <c r="WYN369" s="10"/>
      <c r="WYO369" s="10"/>
      <c r="WYP369" s="21"/>
      <c r="WYQ369" s="21"/>
      <c r="WYT369" s="21"/>
      <c r="WYU369" s="15"/>
      <c r="WYV369" s="15"/>
      <c r="WYW369" s="15"/>
      <c r="WYX369" s="15"/>
      <c r="WYY369" s="15"/>
      <c r="WYZ369" s="15"/>
      <c r="WZA369" s="15"/>
      <c r="WZB369" s="15"/>
      <c r="WZC369" s="15"/>
      <c r="WZD369" s="15"/>
      <c r="WZE369" s="10"/>
      <c r="WZF369" s="10"/>
      <c r="WZG369" s="21"/>
      <c r="WZH369" s="21"/>
      <c r="WZK369" s="21"/>
      <c r="WZL369" s="15"/>
      <c r="WZM369" s="15"/>
      <c r="WZN369" s="15"/>
      <c r="WZO369" s="15"/>
      <c r="WZP369" s="15"/>
      <c r="WZQ369" s="15"/>
      <c r="WZR369" s="15"/>
      <c r="WZS369" s="15"/>
      <c r="WZT369" s="15"/>
      <c r="WZU369" s="15"/>
      <c r="WZV369" s="10"/>
      <c r="WZW369" s="10"/>
      <c r="WZX369" s="21"/>
      <c r="WZY369" s="21"/>
      <c r="XAB369" s="21"/>
      <c r="XAC369" s="15"/>
      <c r="XAD369" s="15"/>
      <c r="XAE369" s="15"/>
      <c r="XAF369" s="15"/>
      <c r="XAG369" s="15"/>
      <c r="XAH369" s="15"/>
      <c r="XAI369" s="15"/>
      <c r="XAJ369" s="15"/>
      <c r="XAK369" s="15"/>
      <c r="XAL369" s="15"/>
      <c r="XAM369" s="10"/>
      <c r="XAN369" s="10"/>
      <c r="XAO369" s="21"/>
      <c r="XAP369" s="21"/>
      <c r="XAS369" s="21"/>
      <c r="XAT369" s="15"/>
      <c r="XAU369" s="15"/>
      <c r="XAV369" s="15"/>
      <c r="XAW369" s="15"/>
      <c r="XAX369" s="15"/>
      <c r="XAY369" s="15"/>
      <c r="XAZ369" s="15"/>
      <c r="XBA369" s="15"/>
      <c r="XBB369" s="15"/>
      <c r="XBC369" s="15"/>
      <c r="XBD369" s="10"/>
      <c r="XBE369" s="10"/>
      <c r="XBF369" s="21"/>
      <c r="XBG369" s="21"/>
      <c r="XBJ369" s="21"/>
      <c r="XBK369" s="15"/>
      <c r="XBL369" s="15"/>
      <c r="XBM369" s="15"/>
      <c r="XBN369" s="15"/>
      <c r="XBO369" s="15"/>
      <c r="XBP369" s="15"/>
      <c r="XBQ369" s="15"/>
      <c r="XBR369" s="15"/>
      <c r="XBS369" s="15"/>
      <c r="XBT369" s="15"/>
      <c r="XBU369" s="10"/>
      <c r="XBV369" s="10"/>
      <c r="XBW369" s="21"/>
      <c r="XBX369" s="21"/>
      <c r="XCA369" s="21"/>
      <c r="XCB369" s="15"/>
      <c r="XCC369" s="15"/>
      <c r="XCD369" s="15"/>
      <c r="XCE369" s="15"/>
      <c r="XCF369" s="15"/>
      <c r="XCG369" s="15"/>
      <c r="XCH369" s="15"/>
      <c r="XCI369" s="15"/>
      <c r="XCJ369" s="15"/>
      <c r="XCK369" s="15"/>
      <c r="XCL369" s="10"/>
      <c r="XCM369" s="10"/>
      <c r="XCN369" s="21"/>
      <c r="XCO369" s="21"/>
      <c r="XCR369" s="21"/>
      <c r="XCS369" s="15"/>
      <c r="XCT369" s="15"/>
      <c r="XCU369" s="15"/>
      <c r="XCV369" s="15"/>
      <c r="XCW369" s="15"/>
      <c r="XCX369" s="15"/>
      <c r="XCY369" s="15"/>
      <c r="XCZ369" s="15"/>
      <c r="XDA369" s="15"/>
      <c r="XDB369" s="15"/>
      <c r="XDC369" s="10"/>
      <c r="XDD369" s="10"/>
      <c r="XDE369" s="21"/>
      <c r="XDF369" s="21"/>
      <c r="XDI369" s="21"/>
      <c r="XDJ369" s="15"/>
      <c r="XDK369" s="15"/>
      <c r="XDL369" s="15"/>
      <c r="XDM369" s="15"/>
      <c r="XDN369" s="15"/>
      <c r="XDO369" s="15"/>
      <c r="XDP369" s="15"/>
      <c r="XDQ369" s="15"/>
      <c r="XDR369" s="15"/>
      <c r="XDS369" s="15"/>
      <c r="XDT369" s="10"/>
      <c r="XDU369" s="10"/>
      <c r="XDV369" s="21"/>
      <c r="XDW369" s="21"/>
      <c r="XDZ369" s="21"/>
      <c r="XEA369" s="15"/>
      <c r="XEB369" s="15"/>
      <c r="XEC369" s="15"/>
      <c r="XED369" s="15"/>
      <c r="XEE369" s="15"/>
      <c r="XEF369" s="15"/>
      <c r="XEG369" s="15"/>
      <c r="XEH369" s="15"/>
      <c r="XEI369" s="15"/>
      <c r="XEJ369" s="15"/>
      <c r="XEK369" s="10"/>
      <c r="XEL369" s="10"/>
      <c r="XEM369" s="21"/>
      <c r="XEN369" s="21"/>
      <c r="XEQ369" s="21"/>
      <c r="XER369" s="15"/>
      <c r="XES369" s="15"/>
      <c r="XET369" s="15"/>
      <c r="XEU369" s="15"/>
      <c r="XEV369" s="15"/>
      <c r="XEW369" s="15"/>
      <c r="XEX369" s="15"/>
      <c r="XEY369" s="15"/>
      <c r="XEZ369" s="15"/>
      <c r="XFA369" s="15"/>
      <c r="XFB369" s="10"/>
      <c r="XFC369" s="10"/>
      <c r="XFD369" s="21"/>
    </row>
    <row r="370" spans="1:4094 4097:8191 8194:12288 12291:16384" ht="14.25" customHeight="1" x14ac:dyDescent="0.25">
      <c r="A370" s="44">
        <v>1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1006</v>
      </c>
      <c r="G370" s="45" t="s">
        <v>190</v>
      </c>
      <c r="H370" s="45" t="s">
        <v>354</v>
      </c>
      <c r="I370" s="44" t="s">
        <v>1007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S370" s="1">
        <f t="shared" si="177"/>
        <v>0</v>
      </c>
      <c r="T370" s="1">
        <f t="shared" si="178"/>
        <v>0</v>
      </c>
      <c r="U370" s="1">
        <f t="shared" si="179"/>
        <v>0</v>
      </c>
      <c r="V370" s="1">
        <f t="shared" si="180"/>
        <v>0</v>
      </c>
      <c r="W370" s="1">
        <f t="shared" si="181"/>
        <v>0</v>
      </c>
      <c r="X370" s="1">
        <f t="shared" si="182"/>
        <v>0</v>
      </c>
      <c r="Y370" s="1">
        <f t="shared" si="183"/>
        <v>0</v>
      </c>
      <c r="Z370" s="1">
        <f t="shared" si="184"/>
        <v>0</v>
      </c>
      <c r="AA370" s="1">
        <f t="shared" si="185"/>
        <v>0</v>
      </c>
      <c r="AB370" s="1">
        <f t="shared" si="186"/>
        <v>0</v>
      </c>
      <c r="AD370" s="1">
        <f t="shared" si="187"/>
        <v>0</v>
      </c>
      <c r="AE370" s="1">
        <f t="shared" si="188"/>
        <v>0</v>
      </c>
      <c r="AF370" s="1">
        <f t="shared" si="173"/>
        <v>0</v>
      </c>
      <c r="AG370" s="1">
        <f t="shared" si="174"/>
        <v>0</v>
      </c>
      <c r="AH370" s="1">
        <f t="shared" si="175"/>
        <v>0</v>
      </c>
      <c r="AI370" s="1">
        <f t="shared" si="176"/>
        <v>0</v>
      </c>
    </row>
    <row r="371" spans="1:4094 4097:8191 8194:12288 12291:16384" ht="14.25" customHeight="1" x14ac:dyDescent="0.25">
      <c r="A371" s="15">
        <v>0</v>
      </c>
      <c r="B371" s="15">
        <v>2</v>
      </c>
      <c r="C371" s="15">
        <v>5</v>
      </c>
      <c r="D371" s="16" t="s">
        <v>916</v>
      </c>
      <c r="E371" s="16" t="s">
        <v>911</v>
      </c>
      <c r="F371" s="16" t="s">
        <v>929</v>
      </c>
      <c r="G371" s="16" t="s">
        <v>1350</v>
      </c>
      <c r="H371" s="16" t="s">
        <v>354</v>
      </c>
      <c r="I371" s="15" t="s">
        <v>770</v>
      </c>
      <c r="J371" s="15">
        <v>99</v>
      </c>
      <c r="K371" s="10" t="s">
        <v>703</v>
      </c>
      <c r="L371" s="10">
        <v>20</v>
      </c>
      <c r="M371" s="19" t="s">
        <v>1427</v>
      </c>
      <c r="N371" s="19"/>
      <c r="Q371" s="16"/>
      <c r="S371" s="1">
        <f t="shared" si="177"/>
        <v>0</v>
      </c>
      <c r="T371" s="1">
        <f t="shared" si="178"/>
        <v>0</v>
      </c>
      <c r="U371" s="1">
        <f t="shared" si="179"/>
        <v>0</v>
      </c>
      <c r="V371" s="1">
        <f t="shared" si="180"/>
        <v>0</v>
      </c>
      <c r="W371" s="1">
        <f t="shared" si="181"/>
        <v>0</v>
      </c>
      <c r="X371" s="1">
        <f t="shared" si="182"/>
        <v>0</v>
      </c>
      <c r="Y371" s="1">
        <f t="shared" si="183"/>
        <v>0</v>
      </c>
      <c r="Z371" s="1">
        <f t="shared" si="184"/>
        <v>0</v>
      </c>
      <c r="AA371" s="1">
        <f t="shared" si="185"/>
        <v>0</v>
      </c>
      <c r="AB371" s="1">
        <f t="shared" si="186"/>
        <v>0</v>
      </c>
      <c r="AD371" s="1">
        <f t="shared" si="187"/>
        <v>0</v>
      </c>
      <c r="AE371" s="1">
        <f t="shared" si="188"/>
        <v>0</v>
      </c>
      <c r="AF371" s="1">
        <f t="shared" si="173"/>
        <v>0</v>
      </c>
      <c r="AG371" s="1">
        <f t="shared" si="174"/>
        <v>0</v>
      </c>
      <c r="AH371" s="1">
        <f t="shared" si="175"/>
        <v>0</v>
      </c>
      <c r="AI371" s="1">
        <f t="shared" si="176"/>
        <v>1</v>
      </c>
    </row>
    <row r="372" spans="1:4094 4097:8191 8194:12288 12291:16384" ht="14.25" customHeight="1" x14ac:dyDescent="0.25">
      <c r="A372" s="49">
        <v>0</v>
      </c>
      <c r="B372" s="49">
        <v>2</v>
      </c>
      <c r="C372" s="49">
        <v>5</v>
      </c>
      <c r="D372" s="55" t="s">
        <v>1790</v>
      </c>
      <c r="E372" s="50" t="s">
        <v>167</v>
      </c>
      <c r="F372" s="50" t="s">
        <v>1768</v>
      </c>
      <c r="G372" s="50"/>
      <c r="H372" s="50" t="s">
        <v>354</v>
      </c>
      <c r="I372" s="49" t="s">
        <v>1769</v>
      </c>
      <c r="J372" s="49"/>
      <c r="K372" s="51" t="s">
        <v>703</v>
      </c>
      <c r="L372" s="51">
        <v>30</v>
      </c>
      <c r="M372" s="52" t="s">
        <v>1770</v>
      </c>
      <c r="N372" s="52" t="s">
        <v>1748</v>
      </c>
      <c r="O372" s="53">
        <v>1</v>
      </c>
      <c r="P372" s="53"/>
      <c r="Q372" s="50"/>
      <c r="S372" s="1">
        <f t="shared" si="177"/>
        <v>0</v>
      </c>
      <c r="T372" s="1">
        <f t="shared" si="178"/>
        <v>0</v>
      </c>
      <c r="U372" s="1">
        <f t="shared" si="179"/>
        <v>0</v>
      </c>
      <c r="V372" s="1">
        <f t="shared" si="180"/>
        <v>0</v>
      </c>
      <c r="W372" s="1">
        <f t="shared" si="181"/>
        <v>0</v>
      </c>
      <c r="X372" s="1">
        <f t="shared" si="182"/>
        <v>0</v>
      </c>
      <c r="Y372" s="1">
        <f t="shared" si="183"/>
        <v>0</v>
      </c>
      <c r="Z372" s="1">
        <f t="shared" si="184"/>
        <v>0</v>
      </c>
      <c r="AA372" s="1">
        <f t="shared" si="185"/>
        <v>0</v>
      </c>
      <c r="AB372" s="1">
        <f t="shared" si="186"/>
        <v>0</v>
      </c>
      <c r="AD372" s="1">
        <f t="shared" si="187"/>
        <v>0</v>
      </c>
      <c r="AE372" s="1">
        <f t="shared" si="188"/>
        <v>1</v>
      </c>
      <c r="AF372" s="1">
        <f t="shared" si="173"/>
        <v>0</v>
      </c>
      <c r="AG372" s="1">
        <f t="shared" si="174"/>
        <v>1</v>
      </c>
      <c r="AH372" s="1">
        <f t="shared" si="175"/>
        <v>0</v>
      </c>
      <c r="AI372" s="1">
        <f t="shared" si="176"/>
        <v>1</v>
      </c>
    </row>
    <row r="373" spans="1:4094 4097:8191 8194:12288 12291:16384" ht="14.25" customHeight="1" x14ac:dyDescent="0.25">
      <c r="A373" s="31"/>
      <c r="B373" s="31">
        <v>2</v>
      </c>
      <c r="C373" s="31">
        <v>5</v>
      </c>
      <c r="D373" s="32" t="s">
        <v>1921</v>
      </c>
      <c r="E373" s="32"/>
      <c r="F373" s="32" t="s">
        <v>1922</v>
      </c>
      <c r="G373" s="32" t="s">
        <v>208</v>
      </c>
      <c r="H373" s="32" t="s">
        <v>354</v>
      </c>
      <c r="I373" s="31" t="s">
        <v>1923</v>
      </c>
      <c r="J373" s="31">
        <v>3</v>
      </c>
      <c r="K373" s="33" t="s">
        <v>703</v>
      </c>
      <c r="L373" s="33"/>
      <c r="M373" s="34"/>
      <c r="N373" s="34" t="s">
        <v>1727</v>
      </c>
      <c r="O373" s="35">
        <v>1</v>
      </c>
      <c r="P373" s="35">
        <v>1</v>
      </c>
      <c r="Q373" s="32" t="s">
        <v>1924</v>
      </c>
      <c r="S373" s="1">
        <f t="shared" si="177"/>
        <v>0</v>
      </c>
      <c r="T373" s="1">
        <f t="shared" si="178"/>
        <v>0</v>
      </c>
      <c r="U373" s="1">
        <f t="shared" si="179"/>
        <v>1</v>
      </c>
      <c r="V373" s="1">
        <f t="shared" si="180"/>
        <v>0</v>
      </c>
      <c r="W373" s="1">
        <f t="shared" si="181"/>
        <v>0</v>
      </c>
      <c r="X373" s="1">
        <f t="shared" si="182"/>
        <v>0</v>
      </c>
      <c r="Y373" s="1">
        <f t="shared" si="183"/>
        <v>0</v>
      </c>
      <c r="Z373" s="1">
        <f t="shared" si="184"/>
        <v>0</v>
      </c>
      <c r="AA373" s="1">
        <f t="shared" si="185"/>
        <v>0</v>
      </c>
      <c r="AB373" s="1">
        <f t="shared" si="186"/>
        <v>0</v>
      </c>
      <c r="AD373" s="1">
        <f t="shared" si="187"/>
        <v>1</v>
      </c>
      <c r="AE373" s="1">
        <f t="shared" si="188"/>
        <v>0</v>
      </c>
      <c r="AF373" s="1">
        <f t="shared" si="173"/>
        <v>1</v>
      </c>
      <c r="AG373" s="1">
        <f t="shared" si="174"/>
        <v>0</v>
      </c>
      <c r="AH373" s="1">
        <f t="shared" si="175"/>
        <v>1</v>
      </c>
      <c r="AI373" s="1">
        <f t="shared" si="176"/>
        <v>0</v>
      </c>
    </row>
    <row r="374" spans="1:4094 4097:8191 8194:12288 12291:16384" ht="14.25" customHeight="1" x14ac:dyDescent="0.25">
      <c r="A374" s="31">
        <v>0</v>
      </c>
      <c r="B374" s="31">
        <v>2</v>
      </c>
      <c r="C374" s="31">
        <v>5</v>
      </c>
      <c r="D374" s="32" t="s">
        <v>1270</v>
      </c>
      <c r="E374" s="32" t="s">
        <v>1271</v>
      </c>
      <c r="F374" s="32" t="s">
        <v>1272</v>
      </c>
      <c r="G374" s="32" t="s">
        <v>220</v>
      </c>
      <c r="H374" s="32" t="s">
        <v>354</v>
      </c>
      <c r="I374" s="31" t="s">
        <v>1723</v>
      </c>
      <c r="J374" s="31">
        <v>8</v>
      </c>
      <c r="K374" s="33" t="s">
        <v>713</v>
      </c>
      <c r="L374" s="33" t="s">
        <v>39</v>
      </c>
      <c r="M374" s="34" t="s">
        <v>39</v>
      </c>
      <c r="N374" s="34" t="s">
        <v>1727</v>
      </c>
      <c r="O374" s="35">
        <v>1</v>
      </c>
      <c r="P374" s="35">
        <v>1</v>
      </c>
      <c r="Q374" s="32"/>
      <c r="S374" s="1">
        <f t="shared" si="177"/>
        <v>0</v>
      </c>
      <c r="T374" s="1">
        <f t="shared" si="178"/>
        <v>0</v>
      </c>
      <c r="U374" s="1">
        <f t="shared" si="179"/>
        <v>0</v>
      </c>
      <c r="V374" s="1">
        <f t="shared" si="180"/>
        <v>0</v>
      </c>
      <c r="W374" s="1">
        <f t="shared" si="181"/>
        <v>0</v>
      </c>
      <c r="X374" s="1">
        <f t="shared" si="182"/>
        <v>0</v>
      </c>
      <c r="Y374" s="1">
        <f t="shared" si="183"/>
        <v>0</v>
      </c>
      <c r="Z374" s="1">
        <f t="shared" si="184"/>
        <v>1</v>
      </c>
      <c r="AA374" s="1">
        <f t="shared" si="185"/>
        <v>0</v>
      </c>
      <c r="AB374" s="1">
        <f t="shared" si="186"/>
        <v>0</v>
      </c>
      <c r="AD374" s="1">
        <f t="shared" si="187"/>
        <v>1</v>
      </c>
      <c r="AE374" s="1">
        <f t="shared" si="188"/>
        <v>0</v>
      </c>
      <c r="AF374" s="1">
        <f t="shared" si="173"/>
        <v>1</v>
      </c>
      <c r="AG374" s="1">
        <f t="shared" si="174"/>
        <v>0</v>
      </c>
      <c r="AH374" s="1">
        <f t="shared" si="175"/>
        <v>1</v>
      </c>
      <c r="AI374" s="1">
        <f t="shared" si="176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1082</v>
      </c>
      <c r="E375" s="32" t="s">
        <v>155</v>
      </c>
      <c r="F375" s="32" t="s">
        <v>1066</v>
      </c>
      <c r="G375" s="32" t="s">
        <v>321</v>
      </c>
      <c r="H375" s="32" t="s">
        <v>354</v>
      </c>
      <c r="I375" s="31" t="s">
        <v>1067</v>
      </c>
      <c r="J375" s="31">
        <v>99</v>
      </c>
      <c r="K375" s="33" t="s">
        <v>713</v>
      </c>
      <c r="L375" s="33" t="s">
        <v>694</v>
      </c>
      <c r="M375" s="34" t="s">
        <v>1428</v>
      </c>
      <c r="N375" s="34" t="s">
        <v>1756</v>
      </c>
      <c r="O375" s="35">
        <v>1</v>
      </c>
      <c r="P375" s="35"/>
      <c r="Q375" s="32"/>
      <c r="S375" s="1">
        <f t="shared" si="177"/>
        <v>0</v>
      </c>
      <c r="T375" s="1">
        <f t="shared" si="178"/>
        <v>0</v>
      </c>
      <c r="U375" s="1">
        <f t="shared" si="179"/>
        <v>0</v>
      </c>
      <c r="V375" s="1">
        <f t="shared" si="180"/>
        <v>0</v>
      </c>
      <c r="W375" s="1">
        <f t="shared" si="181"/>
        <v>0</v>
      </c>
      <c r="X375" s="1">
        <f t="shared" si="182"/>
        <v>0</v>
      </c>
      <c r="Y375" s="1">
        <f t="shared" si="183"/>
        <v>0</v>
      </c>
      <c r="Z375" s="1">
        <f t="shared" si="184"/>
        <v>0</v>
      </c>
      <c r="AA375" s="1">
        <f t="shared" si="185"/>
        <v>0</v>
      </c>
      <c r="AB375" s="1">
        <f t="shared" si="186"/>
        <v>0</v>
      </c>
      <c r="AD375" s="1">
        <f t="shared" si="187"/>
        <v>0</v>
      </c>
      <c r="AE375" s="1">
        <f t="shared" si="188"/>
        <v>1</v>
      </c>
      <c r="AF375" s="1">
        <f t="shared" si="173"/>
        <v>0</v>
      </c>
      <c r="AG375" s="1">
        <f t="shared" si="174"/>
        <v>1</v>
      </c>
      <c r="AH375" s="1">
        <f t="shared" si="175"/>
        <v>0</v>
      </c>
      <c r="AI375" s="1">
        <f t="shared" si="176"/>
        <v>1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796</v>
      </c>
      <c r="E376" s="32" t="s">
        <v>772</v>
      </c>
      <c r="F376" s="32" t="s">
        <v>932</v>
      </c>
      <c r="G376" s="32" t="s">
        <v>220</v>
      </c>
      <c r="H376" s="32" t="s">
        <v>354</v>
      </c>
      <c r="I376" s="31" t="s">
        <v>797</v>
      </c>
      <c r="J376" s="31">
        <v>8</v>
      </c>
      <c r="K376" s="33" t="s">
        <v>703</v>
      </c>
      <c r="L376" s="33">
        <v>20</v>
      </c>
      <c r="M376" s="34" t="s">
        <v>1419</v>
      </c>
      <c r="N376" s="34" t="s">
        <v>1825</v>
      </c>
      <c r="O376" s="35">
        <v>1</v>
      </c>
      <c r="P376" s="35"/>
      <c r="Q376" s="32"/>
      <c r="S376" s="1">
        <f t="shared" ref="S376:S378" si="201">IF(J376=$S$7,1,0)</f>
        <v>0</v>
      </c>
      <c r="T376" s="1">
        <f t="shared" ref="T376:T378" si="202">IF(J376=$T$7,1,0)</f>
        <v>0</v>
      </c>
      <c r="U376" s="1">
        <f t="shared" ref="U376:U378" si="203">IF(J376=$U$7,1,0)</f>
        <v>0</v>
      </c>
      <c r="V376" s="1">
        <f t="shared" ref="V376:V378" si="204">IF(J376=$V$7,1,0)</f>
        <v>0</v>
      </c>
      <c r="W376" s="1">
        <f t="shared" ref="W376:W378" si="205">IF(J376=$W$7,1,0)</f>
        <v>0</v>
      </c>
      <c r="X376" s="1">
        <f t="shared" ref="X376:X378" si="206">IF(J376=$X$7,1,0)</f>
        <v>0</v>
      </c>
      <c r="Y376" s="1">
        <f t="shared" ref="Y376:Y378" si="207">IF(J376=$Y$7,1,0)</f>
        <v>0</v>
      </c>
      <c r="Z376" s="1">
        <f t="shared" ref="Z376:Z378" si="208">IF(J376=$Z$7,1,0)</f>
        <v>1</v>
      </c>
      <c r="AA376" s="1">
        <f t="shared" ref="AA376:AA378" si="209">IF(J376=$AA$7,1,0)</f>
        <v>0</v>
      </c>
      <c r="AB376" s="1">
        <f t="shared" ref="AB376:AB378" si="210">IF(J376=$AB$7,1,0)</f>
        <v>0</v>
      </c>
      <c r="AD376" s="1">
        <f t="shared" ref="AD376:AD378" si="211">+O376*P376</f>
        <v>0</v>
      </c>
      <c r="AE376" s="1">
        <f t="shared" ref="AE376:AE378" si="212">O376*(1-P376)</f>
        <v>1</v>
      </c>
      <c r="AF376" s="1">
        <f t="shared" si="173"/>
        <v>0</v>
      </c>
      <c r="AG376" s="1">
        <f t="shared" si="174"/>
        <v>1</v>
      </c>
      <c r="AH376" s="1">
        <f t="shared" si="175"/>
        <v>0</v>
      </c>
      <c r="AI376" s="1">
        <f t="shared" si="176"/>
        <v>1</v>
      </c>
    </row>
    <row r="377" spans="1:4094 4097:8191 8194:12288 12291:16384" ht="14.25" customHeight="1" x14ac:dyDescent="0.25">
      <c r="A377" s="49">
        <v>0</v>
      </c>
      <c r="B377" s="49">
        <v>2</v>
      </c>
      <c r="C377" s="49">
        <v>5</v>
      </c>
      <c r="D377" s="50" t="s">
        <v>79</v>
      </c>
      <c r="E377" s="50" t="s">
        <v>159</v>
      </c>
      <c r="F377" s="50" t="s">
        <v>268</v>
      </c>
      <c r="G377" s="50" t="s">
        <v>213</v>
      </c>
      <c r="H377" s="50" t="s">
        <v>354</v>
      </c>
      <c r="I377" s="49" t="s">
        <v>425</v>
      </c>
      <c r="J377" s="49">
        <v>1</v>
      </c>
      <c r="K377" s="51" t="s">
        <v>955</v>
      </c>
      <c r="L377" s="51" t="s">
        <v>704</v>
      </c>
      <c r="M377" s="52" t="s">
        <v>727</v>
      </c>
      <c r="N377" s="52" t="s">
        <v>1743</v>
      </c>
      <c r="O377" s="53">
        <v>1</v>
      </c>
      <c r="P377" s="53"/>
      <c r="Q377" s="50"/>
      <c r="S377" s="1">
        <f t="shared" si="201"/>
        <v>1</v>
      </c>
      <c r="T377" s="1">
        <f t="shared" si="202"/>
        <v>0</v>
      </c>
      <c r="U377" s="1">
        <f t="shared" si="203"/>
        <v>0</v>
      </c>
      <c r="V377" s="1">
        <f t="shared" si="204"/>
        <v>0</v>
      </c>
      <c r="W377" s="1">
        <f t="shared" si="205"/>
        <v>0</v>
      </c>
      <c r="X377" s="1">
        <f t="shared" si="206"/>
        <v>0</v>
      </c>
      <c r="Y377" s="1">
        <f t="shared" si="207"/>
        <v>0</v>
      </c>
      <c r="Z377" s="1">
        <f t="shared" si="208"/>
        <v>0</v>
      </c>
      <c r="AA377" s="1">
        <f t="shared" si="209"/>
        <v>0</v>
      </c>
      <c r="AB377" s="1">
        <f t="shared" si="210"/>
        <v>0</v>
      </c>
      <c r="AD377" s="1">
        <f t="shared" si="211"/>
        <v>0</v>
      </c>
      <c r="AE377" s="1">
        <f t="shared" si="212"/>
        <v>1</v>
      </c>
      <c r="AF377" s="1">
        <f t="shared" si="173"/>
        <v>0</v>
      </c>
      <c r="AG377" s="1">
        <f t="shared" si="174"/>
        <v>1</v>
      </c>
      <c r="AH377" s="1">
        <f t="shared" si="175"/>
        <v>0</v>
      </c>
      <c r="AI377" s="1">
        <f t="shared" si="176"/>
        <v>1</v>
      </c>
    </row>
    <row r="378" spans="1:4094 4097:8191 8194:12288 12291:16384" ht="14.25" customHeight="1" x14ac:dyDescent="0.25">
      <c r="A378" s="31">
        <v>0</v>
      </c>
      <c r="B378" s="31">
        <v>2</v>
      </c>
      <c r="C378" s="31">
        <v>5</v>
      </c>
      <c r="D378" s="32" t="s">
        <v>1642</v>
      </c>
      <c r="E378" s="32" t="s">
        <v>1654</v>
      </c>
      <c r="F378" s="32" t="s">
        <v>1551</v>
      </c>
      <c r="G378" s="32" t="s">
        <v>262</v>
      </c>
      <c r="H378" s="32" t="s">
        <v>354</v>
      </c>
      <c r="I378" s="31" t="s">
        <v>1552</v>
      </c>
      <c r="J378" s="31">
        <v>99</v>
      </c>
      <c r="K378" s="33" t="s">
        <v>955</v>
      </c>
      <c r="L378" s="33">
        <v>40</v>
      </c>
      <c r="M378" s="34" t="s">
        <v>39</v>
      </c>
      <c r="N378" s="34" t="s">
        <v>1825</v>
      </c>
      <c r="O378" s="35">
        <v>1</v>
      </c>
      <c r="P378" s="35"/>
      <c r="Q378" s="32"/>
      <c r="S378" s="1">
        <f t="shared" si="201"/>
        <v>0</v>
      </c>
      <c r="T378" s="1">
        <f t="shared" si="202"/>
        <v>0</v>
      </c>
      <c r="U378" s="1">
        <f t="shared" si="203"/>
        <v>0</v>
      </c>
      <c r="V378" s="1">
        <f t="shared" si="204"/>
        <v>0</v>
      </c>
      <c r="W378" s="1">
        <f t="shared" si="205"/>
        <v>0</v>
      </c>
      <c r="X378" s="1">
        <f t="shared" si="206"/>
        <v>0</v>
      </c>
      <c r="Y378" s="1">
        <f t="shared" si="207"/>
        <v>0</v>
      </c>
      <c r="Z378" s="1">
        <f t="shared" si="208"/>
        <v>0</v>
      </c>
      <c r="AA378" s="1">
        <f t="shared" si="209"/>
        <v>0</v>
      </c>
      <c r="AB378" s="1">
        <f t="shared" si="210"/>
        <v>0</v>
      </c>
      <c r="AD378" s="1">
        <f t="shared" si="211"/>
        <v>0</v>
      </c>
      <c r="AE378" s="1">
        <f t="shared" si="212"/>
        <v>1</v>
      </c>
      <c r="AF378" s="1">
        <f t="shared" si="173"/>
        <v>0</v>
      </c>
      <c r="AG378" s="1">
        <f t="shared" si="174"/>
        <v>1</v>
      </c>
      <c r="AH378" s="1">
        <f t="shared" si="175"/>
        <v>0</v>
      </c>
      <c r="AI378" s="1">
        <f t="shared" si="176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1297</v>
      </c>
      <c r="E379" s="32" t="s">
        <v>27</v>
      </c>
      <c r="F379" s="32" t="s">
        <v>1298</v>
      </c>
      <c r="G379" s="32" t="s">
        <v>1299</v>
      </c>
      <c r="H379" s="32" t="s">
        <v>354</v>
      </c>
      <c r="I379" s="31" t="s">
        <v>1300</v>
      </c>
      <c r="J379" s="31">
        <v>99</v>
      </c>
      <c r="K379" s="33" t="s">
        <v>955</v>
      </c>
      <c r="L379" s="33" t="s">
        <v>39</v>
      </c>
      <c r="M379" s="34" t="s">
        <v>39</v>
      </c>
      <c r="N379" s="34" t="s">
        <v>1727</v>
      </c>
      <c r="O379" s="35">
        <v>1</v>
      </c>
      <c r="P379" s="35">
        <v>1</v>
      </c>
      <c r="Q379" s="36"/>
      <c r="S379" s="1">
        <f t="shared" si="177"/>
        <v>0</v>
      </c>
      <c r="T379" s="1">
        <f t="shared" si="178"/>
        <v>0</v>
      </c>
      <c r="U379" s="1">
        <f t="shared" si="179"/>
        <v>0</v>
      </c>
      <c r="V379" s="1">
        <f t="shared" si="180"/>
        <v>0</v>
      </c>
      <c r="W379" s="1">
        <f t="shared" si="181"/>
        <v>0</v>
      </c>
      <c r="X379" s="1">
        <f t="shared" si="182"/>
        <v>0</v>
      </c>
      <c r="Y379" s="1">
        <f t="shared" si="183"/>
        <v>0</v>
      </c>
      <c r="Z379" s="1">
        <f t="shared" si="184"/>
        <v>0</v>
      </c>
      <c r="AA379" s="1">
        <f t="shared" si="185"/>
        <v>0</v>
      </c>
      <c r="AB379" s="1">
        <f t="shared" si="186"/>
        <v>0</v>
      </c>
      <c r="AD379" s="1">
        <f t="shared" si="187"/>
        <v>1</v>
      </c>
      <c r="AE379" s="1">
        <f t="shared" si="188"/>
        <v>0</v>
      </c>
      <c r="AF379" s="1">
        <f t="shared" si="173"/>
        <v>1</v>
      </c>
      <c r="AG379" s="1">
        <f t="shared" si="174"/>
        <v>0</v>
      </c>
      <c r="AH379" s="1">
        <f t="shared" si="175"/>
        <v>1</v>
      </c>
      <c r="AI379" s="1">
        <f t="shared" si="176"/>
        <v>0</v>
      </c>
    </row>
    <row r="380" spans="1:4094 4097:8191 8194:12288 12291:16384" ht="14.25" customHeight="1" x14ac:dyDescent="0.25">
      <c r="A380" s="44">
        <v>0</v>
      </c>
      <c r="B380" s="44">
        <v>2</v>
      </c>
      <c r="C380" s="44">
        <v>5</v>
      </c>
      <c r="D380" s="45" t="s">
        <v>1603</v>
      </c>
      <c r="E380" s="45" t="s">
        <v>159</v>
      </c>
      <c r="F380" s="45" t="s">
        <v>1675</v>
      </c>
      <c r="G380" s="45" t="s">
        <v>1468</v>
      </c>
      <c r="H380" s="45" t="s">
        <v>354</v>
      </c>
      <c r="I380" s="44" t="s">
        <v>1469</v>
      </c>
      <c r="J380" s="44">
        <v>99</v>
      </c>
      <c r="K380" s="46" t="s">
        <v>713</v>
      </c>
      <c r="L380" s="46" t="s">
        <v>696</v>
      </c>
      <c r="M380" s="47" t="s">
        <v>1470</v>
      </c>
      <c r="N380" s="47" t="s">
        <v>1747</v>
      </c>
      <c r="O380" s="48"/>
      <c r="P380" s="48"/>
      <c r="Q380" s="45"/>
      <c r="S380" s="1">
        <f t="shared" si="177"/>
        <v>0</v>
      </c>
      <c r="T380" s="1">
        <f t="shared" si="178"/>
        <v>0</v>
      </c>
      <c r="U380" s="1">
        <f t="shared" si="179"/>
        <v>0</v>
      </c>
      <c r="V380" s="1">
        <f t="shared" si="180"/>
        <v>0</v>
      </c>
      <c r="W380" s="1">
        <f t="shared" si="181"/>
        <v>0</v>
      </c>
      <c r="X380" s="1">
        <f t="shared" si="182"/>
        <v>0</v>
      </c>
      <c r="Y380" s="1">
        <f t="shared" si="183"/>
        <v>0</v>
      </c>
      <c r="Z380" s="1">
        <f t="shared" si="184"/>
        <v>0</v>
      </c>
      <c r="AA380" s="1">
        <f t="shared" si="185"/>
        <v>0</v>
      </c>
      <c r="AB380" s="1">
        <f t="shared" si="186"/>
        <v>0</v>
      </c>
      <c r="AD380" s="1">
        <f t="shared" si="187"/>
        <v>0</v>
      </c>
      <c r="AE380" s="1">
        <f t="shared" si="188"/>
        <v>0</v>
      </c>
      <c r="AF380" s="1">
        <f t="shared" si="173"/>
        <v>0</v>
      </c>
      <c r="AG380" s="1">
        <f t="shared" si="174"/>
        <v>0</v>
      </c>
      <c r="AH380" s="1">
        <f t="shared" si="175"/>
        <v>0</v>
      </c>
      <c r="AI380" s="1">
        <f t="shared" si="176"/>
        <v>1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1778</v>
      </c>
      <c r="E381" s="32" t="s">
        <v>155</v>
      </c>
      <c r="F381" s="32" t="s">
        <v>1779</v>
      </c>
      <c r="G381" s="32" t="s">
        <v>656</v>
      </c>
      <c r="H381" s="32" t="s">
        <v>354</v>
      </c>
      <c r="I381" s="31" t="s">
        <v>1780</v>
      </c>
      <c r="J381" s="31"/>
      <c r="K381" s="33" t="s">
        <v>703</v>
      </c>
      <c r="L381" s="33">
        <v>40</v>
      </c>
      <c r="M381" s="34" t="s">
        <v>1781</v>
      </c>
      <c r="N381" s="34" t="s">
        <v>1743</v>
      </c>
      <c r="O381" s="35">
        <v>1</v>
      </c>
      <c r="P381" s="35"/>
      <c r="Q381" s="32"/>
      <c r="S381" s="1">
        <f t="shared" si="177"/>
        <v>0</v>
      </c>
      <c r="T381" s="1">
        <f t="shared" si="178"/>
        <v>0</v>
      </c>
      <c r="U381" s="1">
        <f t="shared" si="179"/>
        <v>0</v>
      </c>
      <c r="V381" s="1">
        <f t="shared" si="180"/>
        <v>0</v>
      </c>
      <c r="W381" s="1">
        <f t="shared" si="181"/>
        <v>0</v>
      </c>
      <c r="X381" s="1">
        <f t="shared" si="182"/>
        <v>0</v>
      </c>
      <c r="Y381" s="1">
        <f t="shared" si="183"/>
        <v>0</v>
      </c>
      <c r="Z381" s="1">
        <f t="shared" si="184"/>
        <v>0</v>
      </c>
      <c r="AA381" s="1">
        <f t="shared" si="185"/>
        <v>0</v>
      </c>
      <c r="AB381" s="1">
        <f t="shared" si="186"/>
        <v>0</v>
      </c>
      <c r="AD381" s="1">
        <f t="shared" si="187"/>
        <v>0</v>
      </c>
      <c r="AE381" s="1">
        <f t="shared" si="188"/>
        <v>1</v>
      </c>
      <c r="AF381" s="1">
        <f t="shared" si="173"/>
        <v>0</v>
      </c>
      <c r="AG381" s="1">
        <f t="shared" si="174"/>
        <v>1</v>
      </c>
      <c r="AH381" s="1">
        <f t="shared" si="175"/>
        <v>0</v>
      </c>
      <c r="AI381" s="1">
        <f t="shared" si="176"/>
        <v>1</v>
      </c>
    </row>
    <row r="382" spans="1:4094 4097:8191 8194:12288 12291:16384" ht="14.25" customHeight="1" x14ac:dyDescent="0.25">
      <c r="A382" s="44">
        <v>0</v>
      </c>
      <c r="B382" s="44">
        <v>2</v>
      </c>
      <c r="C382" s="44">
        <v>5</v>
      </c>
      <c r="D382" s="45" t="s">
        <v>837</v>
      </c>
      <c r="E382" s="45" t="s">
        <v>831</v>
      </c>
      <c r="F382" s="45" t="s">
        <v>941</v>
      </c>
      <c r="G382" s="45" t="s">
        <v>180</v>
      </c>
      <c r="H382" s="45" t="s">
        <v>354</v>
      </c>
      <c r="I382" s="44" t="s">
        <v>1109</v>
      </c>
      <c r="J382" s="44">
        <v>10</v>
      </c>
      <c r="K382" s="46" t="s">
        <v>712</v>
      </c>
      <c r="L382" s="46" t="s">
        <v>693</v>
      </c>
      <c r="M382" s="47" t="s">
        <v>1429</v>
      </c>
      <c r="N382" s="47" t="s">
        <v>1741</v>
      </c>
      <c r="O382" s="48"/>
      <c r="P382" s="48"/>
      <c r="Q382" s="45"/>
      <c r="S382" s="1">
        <f t="shared" si="177"/>
        <v>0</v>
      </c>
      <c r="T382" s="1">
        <f t="shared" si="178"/>
        <v>0</v>
      </c>
      <c r="U382" s="1">
        <f t="shared" si="179"/>
        <v>0</v>
      </c>
      <c r="V382" s="1">
        <f t="shared" si="180"/>
        <v>0</v>
      </c>
      <c r="W382" s="1">
        <f t="shared" si="181"/>
        <v>0</v>
      </c>
      <c r="X382" s="1">
        <f t="shared" si="182"/>
        <v>0</v>
      </c>
      <c r="Y382" s="1">
        <f t="shared" si="183"/>
        <v>0</v>
      </c>
      <c r="Z382" s="1">
        <f t="shared" si="184"/>
        <v>0</v>
      </c>
      <c r="AA382" s="1">
        <f t="shared" si="185"/>
        <v>0</v>
      </c>
      <c r="AB382" s="1">
        <f t="shared" si="186"/>
        <v>1</v>
      </c>
      <c r="AD382" s="1">
        <f t="shared" si="187"/>
        <v>0</v>
      </c>
      <c r="AE382" s="1">
        <f t="shared" si="188"/>
        <v>0</v>
      </c>
      <c r="AF382" s="1">
        <f t="shared" si="173"/>
        <v>0</v>
      </c>
      <c r="AG382" s="1">
        <f t="shared" si="174"/>
        <v>0</v>
      </c>
      <c r="AH382" s="1">
        <f t="shared" si="175"/>
        <v>0</v>
      </c>
      <c r="AI382" s="1">
        <f t="shared" si="176"/>
        <v>1</v>
      </c>
    </row>
    <row r="383" spans="1:4094 4097:8191 8194:12288 12291:16384" ht="14.25" customHeight="1" x14ac:dyDescent="0.25">
      <c r="A383" s="57">
        <v>0</v>
      </c>
      <c r="B383" s="57">
        <v>2</v>
      </c>
      <c r="C383" s="57">
        <v>6</v>
      </c>
      <c r="D383" s="58" t="s">
        <v>1543</v>
      </c>
      <c r="E383" s="58" t="s">
        <v>27</v>
      </c>
      <c r="F383" s="58" t="s">
        <v>1545</v>
      </c>
      <c r="G383" s="58" t="s">
        <v>1534</v>
      </c>
      <c r="H383" s="58" t="s">
        <v>354</v>
      </c>
      <c r="I383" s="57" t="s">
        <v>1544</v>
      </c>
      <c r="J383" s="57">
        <v>5</v>
      </c>
      <c r="K383" s="59" t="s">
        <v>955</v>
      </c>
      <c r="L383" s="59" t="s">
        <v>39</v>
      </c>
      <c r="M383" s="60" t="s">
        <v>39</v>
      </c>
      <c r="N383" s="61"/>
      <c r="O383" s="62"/>
      <c r="P383" s="62"/>
      <c r="Q383" s="66" t="s">
        <v>1900</v>
      </c>
      <c r="S383" s="1">
        <f t="shared" si="177"/>
        <v>0</v>
      </c>
      <c r="T383" s="1">
        <f t="shared" si="178"/>
        <v>0</v>
      </c>
      <c r="U383" s="1">
        <f t="shared" si="179"/>
        <v>0</v>
      </c>
      <c r="V383" s="1">
        <f t="shared" si="180"/>
        <v>0</v>
      </c>
      <c r="W383" s="1">
        <f t="shared" si="181"/>
        <v>1</v>
      </c>
      <c r="X383" s="1">
        <f t="shared" si="182"/>
        <v>0</v>
      </c>
      <c r="Y383" s="1">
        <f t="shared" si="183"/>
        <v>0</v>
      </c>
      <c r="Z383" s="1">
        <f t="shared" si="184"/>
        <v>0</v>
      </c>
      <c r="AA383" s="1">
        <f t="shared" si="185"/>
        <v>0</v>
      </c>
      <c r="AB383" s="1">
        <f t="shared" si="186"/>
        <v>0</v>
      </c>
      <c r="AD383" s="1">
        <f t="shared" si="187"/>
        <v>0</v>
      </c>
      <c r="AE383" s="1">
        <f t="shared" si="188"/>
        <v>0</v>
      </c>
      <c r="AF383" s="1">
        <f t="shared" si="173"/>
        <v>0</v>
      </c>
      <c r="AG383" s="1">
        <f t="shared" si="174"/>
        <v>0</v>
      </c>
      <c r="AH383" s="1">
        <f t="shared" si="175"/>
        <v>0</v>
      </c>
      <c r="AI383" s="1">
        <f t="shared" si="176"/>
        <v>1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6</v>
      </c>
      <c r="D384" s="45" t="s">
        <v>519</v>
      </c>
      <c r="E384" s="45" t="s">
        <v>31</v>
      </c>
      <c r="F384" s="45" t="s">
        <v>672</v>
      </c>
      <c r="G384" s="45" t="s">
        <v>200</v>
      </c>
      <c r="H384" s="45" t="s">
        <v>354</v>
      </c>
      <c r="I384" s="44" t="s">
        <v>520</v>
      </c>
      <c r="J384" s="44">
        <v>2</v>
      </c>
      <c r="K384" s="46" t="s">
        <v>954</v>
      </c>
      <c r="L384" s="46" t="s">
        <v>694</v>
      </c>
      <c r="M384" s="47" t="s">
        <v>1430</v>
      </c>
      <c r="N384" s="47" t="s">
        <v>1735</v>
      </c>
      <c r="O384" s="48"/>
      <c r="P384" s="48"/>
      <c r="Q384" s="45"/>
      <c r="S384" s="1">
        <f t="shared" si="177"/>
        <v>0</v>
      </c>
      <c r="T384" s="1">
        <f t="shared" si="178"/>
        <v>1</v>
      </c>
      <c r="U384" s="1">
        <f t="shared" si="179"/>
        <v>0</v>
      </c>
      <c r="V384" s="1">
        <f t="shared" si="180"/>
        <v>0</v>
      </c>
      <c r="W384" s="1">
        <f t="shared" si="181"/>
        <v>0</v>
      </c>
      <c r="X384" s="1">
        <f t="shared" si="182"/>
        <v>0</v>
      </c>
      <c r="Y384" s="1">
        <f t="shared" si="183"/>
        <v>0</v>
      </c>
      <c r="Z384" s="1">
        <f t="shared" si="184"/>
        <v>0</v>
      </c>
      <c r="AA384" s="1">
        <f t="shared" si="185"/>
        <v>0</v>
      </c>
      <c r="AB384" s="1">
        <f t="shared" si="186"/>
        <v>0</v>
      </c>
      <c r="AD384" s="1">
        <f t="shared" si="187"/>
        <v>0</v>
      </c>
      <c r="AE384" s="1">
        <f t="shared" si="188"/>
        <v>0</v>
      </c>
      <c r="AF384" s="1">
        <f t="shared" si="173"/>
        <v>0</v>
      </c>
      <c r="AG384" s="1">
        <f t="shared" si="174"/>
        <v>0</v>
      </c>
      <c r="AH384" s="1">
        <f t="shared" si="175"/>
        <v>0</v>
      </c>
      <c r="AI384" s="1">
        <f t="shared" si="176"/>
        <v>1</v>
      </c>
    </row>
    <row r="385" spans="1:35" ht="14.25" customHeight="1" x14ac:dyDescent="0.25">
      <c r="A385" s="31">
        <v>0</v>
      </c>
      <c r="B385" s="31">
        <v>2</v>
      </c>
      <c r="C385" s="31">
        <v>6</v>
      </c>
      <c r="D385" s="32" t="s">
        <v>53</v>
      </c>
      <c r="E385" s="32" t="s">
        <v>31</v>
      </c>
      <c r="F385" s="32" t="s">
        <v>210</v>
      </c>
      <c r="G385" s="32" t="s">
        <v>211</v>
      </c>
      <c r="H385" s="32" t="s">
        <v>354</v>
      </c>
      <c r="I385" s="31" t="s">
        <v>392</v>
      </c>
      <c r="J385" s="31">
        <v>1</v>
      </c>
      <c r="K385" s="33" t="s">
        <v>712</v>
      </c>
      <c r="L385" s="33" t="s">
        <v>704</v>
      </c>
      <c r="M385" s="34" t="s">
        <v>728</v>
      </c>
      <c r="N385" s="34" t="s">
        <v>1743</v>
      </c>
      <c r="O385" s="35">
        <v>1</v>
      </c>
      <c r="P385" s="35"/>
      <c r="Q385" s="32"/>
      <c r="S385" s="1">
        <f t="shared" si="177"/>
        <v>1</v>
      </c>
      <c r="T385" s="1">
        <f t="shared" si="178"/>
        <v>0</v>
      </c>
      <c r="U385" s="1">
        <f t="shared" si="179"/>
        <v>0</v>
      </c>
      <c r="V385" s="1">
        <f t="shared" si="180"/>
        <v>0</v>
      </c>
      <c r="W385" s="1">
        <f t="shared" si="181"/>
        <v>0</v>
      </c>
      <c r="X385" s="1">
        <f t="shared" si="182"/>
        <v>0</v>
      </c>
      <c r="Y385" s="1">
        <f t="shared" si="183"/>
        <v>0</v>
      </c>
      <c r="Z385" s="1">
        <f t="shared" si="184"/>
        <v>0</v>
      </c>
      <c r="AA385" s="1">
        <f t="shared" si="185"/>
        <v>0</v>
      </c>
      <c r="AB385" s="1">
        <f t="shared" si="186"/>
        <v>0</v>
      </c>
      <c r="AD385" s="1">
        <f t="shared" si="187"/>
        <v>0</v>
      </c>
      <c r="AE385" s="1">
        <f t="shared" si="188"/>
        <v>1</v>
      </c>
      <c r="AF385" s="1">
        <f t="shared" si="173"/>
        <v>0</v>
      </c>
      <c r="AG385" s="1">
        <f t="shared" si="174"/>
        <v>1</v>
      </c>
      <c r="AH385" s="1">
        <f t="shared" si="175"/>
        <v>0</v>
      </c>
      <c r="AI385" s="1">
        <f t="shared" si="176"/>
        <v>1</v>
      </c>
    </row>
    <row r="386" spans="1:35" ht="14.25" customHeight="1" x14ac:dyDescent="0.25">
      <c r="A386" s="15">
        <v>0</v>
      </c>
      <c r="B386" s="15">
        <v>2</v>
      </c>
      <c r="C386" s="15">
        <v>6</v>
      </c>
      <c r="D386" s="16" t="s">
        <v>1862</v>
      </c>
      <c r="E386" s="16" t="s">
        <v>1863</v>
      </c>
      <c r="F386" s="20" t="s">
        <v>1864</v>
      </c>
      <c r="G386" s="16"/>
      <c r="H386" s="20" t="s">
        <v>354</v>
      </c>
      <c r="I386" s="21" t="s">
        <v>1865</v>
      </c>
      <c r="J386" s="15">
        <v>99</v>
      </c>
      <c r="K386" s="10" t="s">
        <v>703</v>
      </c>
      <c r="L386" s="10">
        <v>25</v>
      </c>
      <c r="M386" s="19" t="s">
        <v>1866</v>
      </c>
      <c r="N386" s="19"/>
      <c r="Q386" s="20"/>
      <c r="S386" s="1">
        <f t="shared" si="177"/>
        <v>0</v>
      </c>
      <c r="T386" s="1">
        <f t="shared" si="178"/>
        <v>0</v>
      </c>
      <c r="U386" s="1">
        <f t="shared" si="179"/>
        <v>0</v>
      </c>
      <c r="V386" s="1">
        <f t="shared" si="180"/>
        <v>0</v>
      </c>
      <c r="W386" s="1">
        <f t="shared" si="181"/>
        <v>0</v>
      </c>
      <c r="X386" s="1">
        <f t="shared" si="182"/>
        <v>0</v>
      </c>
      <c r="Y386" s="1">
        <f t="shared" si="183"/>
        <v>0</v>
      </c>
      <c r="Z386" s="1">
        <f t="shared" si="184"/>
        <v>0</v>
      </c>
      <c r="AA386" s="1">
        <f t="shared" si="185"/>
        <v>0</v>
      </c>
      <c r="AB386" s="1">
        <f t="shared" si="186"/>
        <v>0</v>
      </c>
      <c r="AD386" s="1">
        <f t="shared" si="187"/>
        <v>0</v>
      </c>
      <c r="AE386" s="1">
        <f t="shared" si="188"/>
        <v>0</v>
      </c>
      <c r="AF386" s="1">
        <f t="shared" si="173"/>
        <v>0</v>
      </c>
      <c r="AG386" s="1">
        <f t="shared" si="174"/>
        <v>0</v>
      </c>
      <c r="AH386" s="1">
        <f t="shared" si="175"/>
        <v>0</v>
      </c>
      <c r="AI386" s="1">
        <f t="shared" si="176"/>
        <v>1</v>
      </c>
    </row>
    <row r="387" spans="1:35" ht="14.25" customHeight="1" x14ac:dyDescent="0.25">
      <c r="A387" s="15">
        <v>0</v>
      </c>
      <c r="B387" s="15">
        <v>2</v>
      </c>
      <c r="C387" s="15">
        <v>6</v>
      </c>
      <c r="D387" s="16" t="s">
        <v>80</v>
      </c>
      <c r="E387" s="16" t="s">
        <v>31</v>
      </c>
      <c r="F387" s="16" t="s">
        <v>270</v>
      </c>
      <c r="G387" s="16" t="s">
        <v>224</v>
      </c>
      <c r="H387" s="16" t="s">
        <v>354</v>
      </c>
      <c r="I387" s="15" t="s">
        <v>678</v>
      </c>
      <c r="J387" s="15">
        <v>99</v>
      </c>
      <c r="K387" s="10" t="s">
        <v>955</v>
      </c>
      <c r="L387" s="10" t="s">
        <v>694</v>
      </c>
      <c r="M387" s="19" t="s">
        <v>1431</v>
      </c>
      <c r="N387" s="19"/>
      <c r="Q387" s="16"/>
      <c r="S387" s="1">
        <f t="shared" si="177"/>
        <v>0</v>
      </c>
      <c r="T387" s="1">
        <f t="shared" si="178"/>
        <v>0</v>
      </c>
      <c r="U387" s="1">
        <f t="shared" si="179"/>
        <v>0</v>
      </c>
      <c r="V387" s="1">
        <f t="shared" si="180"/>
        <v>0</v>
      </c>
      <c r="W387" s="1">
        <f t="shared" si="181"/>
        <v>0</v>
      </c>
      <c r="X387" s="1">
        <f t="shared" si="182"/>
        <v>0</v>
      </c>
      <c r="Y387" s="1">
        <f t="shared" si="183"/>
        <v>0</v>
      </c>
      <c r="Z387" s="1">
        <f t="shared" si="184"/>
        <v>0</v>
      </c>
      <c r="AA387" s="1">
        <f t="shared" si="185"/>
        <v>0</v>
      </c>
      <c r="AB387" s="1">
        <f t="shared" si="186"/>
        <v>0</v>
      </c>
      <c r="AD387" s="1">
        <f t="shared" si="187"/>
        <v>0</v>
      </c>
      <c r="AE387" s="1">
        <f t="shared" si="188"/>
        <v>0</v>
      </c>
      <c r="AF387" s="1">
        <f t="shared" si="173"/>
        <v>0</v>
      </c>
      <c r="AG387" s="1">
        <f t="shared" si="174"/>
        <v>0</v>
      </c>
      <c r="AH387" s="1">
        <f t="shared" si="175"/>
        <v>0</v>
      </c>
      <c r="AI387" s="1">
        <f t="shared" si="176"/>
        <v>1</v>
      </c>
    </row>
    <row r="388" spans="1:35" ht="14.25" customHeight="1" x14ac:dyDescent="0.25">
      <c r="A388" s="44">
        <v>0</v>
      </c>
      <c r="B388" s="44">
        <v>2</v>
      </c>
      <c r="C388" s="44">
        <v>6</v>
      </c>
      <c r="D388" s="45" t="s">
        <v>639</v>
      </c>
      <c r="E388" s="45" t="s">
        <v>31</v>
      </c>
      <c r="F388" s="45" t="s">
        <v>640</v>
      </c>
      <c r="G388" s="45" t="s">
        <v>240</v>
      </c>
      <c r="H388" s="45" t="s">
        <v>354</v>
      </c>
      <c r="I388" s="44" t="s">
        <v>641</v>
      </c>
      <c r="J388" s="44">
        <v>1</v>
      </c>
      <c r="K388" s="46" t="s">
        <v>713</v>
      </c>
      <c r="L388" s="46" t="s">
        <v>694</v>
      </c>
      <c r="M388" s="47" t="s">
        <v>1432</v>
      </c>
      <c r="N388" s="47" t="s">
        <v>1735</v>
      </c>
      <c r="O388" s="48"/>
      <c r="P388" s="48"/>
      <c r="Q388" s="45"/>
      <c r="S388" s="1">
        <f t="shared" si="177"/>
        <v>1</v>
      </c>
      <c r="T388" s="1">
        <f t="shared" si="178"/>
        <v>0</v>
      </c>
      <c r="U388" s="1">
        <f t="shared" si="179"/>
        <v>0</v>
      </c>
      <c r="V388" s="1">
        <f t="shared" si="180"/>
        <v>0</v>
      </c>
      <c r="W388" s="1">
        <f t="shared" si="181"/>
        <v>0</v>
      </c>
      <c r="X388" s="1">
        <f t="shared" si="182"/>
        <v>0</v>
      </c>
      <c r="Y388" s="1">
        <f t="shared" si="183"/>
        <v>0</v>
      </c>
      <c r="Z388" s="1">
        <f t="shared" si="184"/>
        <v>0</v>
      </c>
      <c r="AA388" s="1">
        <f t="shared" si="185"/>
        <v>0</v>
      </c>
      <c r="AB388" s="1">
        <f t="shared" si="186"/>
        <v>0</v>
      </c>
      <c r="AD388" s="1">
        <f t="shared" si="187"/>
        <v>0</v>
      </c>
      <c r="AE388" s="1">
        <f t="shared" si="188"/>
        <v>0</v>
      </c>
      <c r="AF388" s="1">
        <f t="shared" si="173"/>
        <v>0</v>
      </c>
      <c r="AG388" s="1">
        <f t="shared" si="174"/>
        <v>0</v>
      </c>
      <c r="AH388" s="1">
        <f t="shared" si="175"/>
        <v>0</v>
      </c>
      <c r="AI388" s="1">
        <f t="shared" si="176"/>
        <v>1</v>
      </c>
    </row>
    <row r="389" spans="1:35" ht="14.25" customHeight="1" x14ac:dyDescent="0.25">
      <c r="A389" s="44">
        <v>0</v>
      </c>
      <c r="B389" s="44">
        <v>2</v>
      </c>
      <c r="C389" s="44">
        <v>6</v>
      </c>
      <c r="D389" s="45" t="s">
        <v>1135</v>
      </c>
      <c r="E389" s="45" t="s">
        <v>31</v>
      </c>
      <c r="F389" s="45" t="s">
        <v>672</v>
      </c>
      <c r="G389" s="45" t="s">
        <v>200</v>
      </c>
      <c r="H389" s="45" t="s">
        <v>354</v>
      </c>
      <c r="I389" s="44" t="s">
        <v>520</v>
      </c>
      <c r="J389" s="44">
        <v>2</v>
      </c>
      <c r="K389" s="46" t="s">
        <v>712</v>
      </c>
      <c r="L389" s="46" t="s">
        <v>694</v>
      </c>
      <c r="M389" s="47" t="s">
        <v>728</v>
      </c>
      <c r="N389" s="47" t="s">
        <v>1735</v>
      </c>
      <c r="O389" s="48"/>
      <c r="P389" s="48"/>
      <c r="Q389" s="45"/>
      <c r="S389" s="1">
        <f t="shared" si="177"/>
        <v>0</v>
      </c>
      <c r="T389" s="1">
        <f t="shared" si="178"/>
        <v>1</v>
      </c>
      <c r="U389" s="1">
        <f t="shared" si="179"/>
        <v>0</v>
      </c>
      <c r="V389" s="1">
        <f t="shared" si="180"/>
        <v>0</v>
      </c>
      <c r="W389" s="1">
        <f t="shared" si="181"/>
        <v>0</v>
      </c>
      <c r="X389" s="1">
        <f t="shared" si="182"/>
        <v>0</v>
      </c>
      <c r="Y389" s="1">
        <f t="shared" si="183"/>
        <v>0</v>
      </c>
      <c r="Z389" s="1">
        <f t="shared" si="184"/>
        <v>0</v>
      </c>
      <c r="AA389" s="1">
        <f t="shared" si="185"/>
        <v>0</v>
      </c>
      <c r="AB389" s="1">
        <f t="shared" si="186"/>
        <v>0</v>
      </c>
      <c r="AD389" s="1">
        <f t="shared" si="187"/>
        <v>0</v>
      </c>
      <c r="AE389" s="1">
        <f t="shared" si="188"/>
        <v>0</v>
      </c>
      <c r="AF389" s="1">
        <f t="shared" si="173"/>
        <v>0</v>
      </c>
      <c r="AG389" s="1">
        <f t="shared" si="174"/>
        <v>0</v>
      </c>
      <c r="AH389" s="1">
        <f t="shared" si="175"/>
        <v>0</v>
      </c>
      <c r="AI389" s="1">
        <f t="shared" si="176"/>
        <v>1</v>
      </c>
    </row>
    <row r="390" spans="1:35" ht="14.25" customHeight="1" x14ac:dyDescent="0.25">
      <c r="A390" s="44">
        <v>0</v>
      </c>
      <c r="B390" s="44">
        <v>2</v>
      </c>
      <c r="C390" s="44">
        <v>6</v>
      </c>
      <c r="D390" s="45" t="s">
        <v>1083</v>
      </c>
      <c r="E390" s="45" t="s">
        <v>159</v>
      </c>
      <c r="F390" s="45" t="s">
        <v>198</v>
      </c>
      <c r="G390" s="45" t="s">
        <v>199</v>
      </c>
      <c r="H390" s="45" t="s">
        <v>354</v>
      </c>
      <c r="I390" s="44" t="s">
        <v>388</v>
      </c>
      <c r="J390" s="44">
        <v>99</v>
      </c>
      <c r="K390" s="46" t="s">
        <v>712</v>
      </c>
      <c r="L390" s="46" t="s">
        <v>716</v>
      </c>
      <c r="M390" s="47" t="s">
        <v>730</v>
      </c>
      <c r="N390" s="47" t="s">
        <v>1734</v>
      </c>
      <c r="O390" s="48"/>
      <c r="P390" s="48"/>
      <c r="Q390" s="45"/>
      <c r="S390" s="1">
        <f t="shared" si="177"/>
        <v>0</v>
      </c>
      <c r="T390" s="1">
        <f t="shared" si="178"/>
        <v>0</v>
      </c>
      <c r="U390" s="1">
        <f t="shared" si="179"/>
        <v>0</v>
      </c>
      <c r="V390" s="1">
        <f t="shared" si="180"/>
        <v>0</v>
      </c>
      <c r="W390" s="1">
        <f t="shared" si="181"/>
        <v>0</v>
      </c>
      <c r="X390" s="1">
        <f t="shared" si="182"/>
        <v>0</v>
      </c>
      <c r="Y390" s="1">
        <f t="shared" si="183"/>
        <v>0</v>
      </c>
      <c r="Z390" s="1">
        <f t="shared" si="184"/>
        <v>0</v>
      </c>
      <c r="AA390" s="1">
        <f t="shared" si="185"/>
        <v>0</v>
      </c>
      <c r="AB390" s="1">
        <f t="shared" si="186"/>
        <v>0</v>
      </c>
      <c r="AD390" s="1">
        <f t="shared" si="187"/>
        <v>0</v>
      </c>
      <c r="AE390" s="1">
        <f t="shared" si="188"/>
        <v>0</v>
      </c>
      <c r="AF390" s="1">
        <f t="shared" si="173"/>
        <v>0</v>
      </c>
      <c r="AG390" s="1">
        <f t="shared" si="174"/>
        <v>0</v>
      </c>
      <c r="AH390" s="1">
        <f t="shared" si="175"/>
        <v>0</v>
      </c>
      <c r="AI390" s="1">
        <f t="shared" si="176"/>
        <v>1</v>
      </c>
    </row>
    <row r="391" spans="1:35" ht="14.25" customHeight="1" x14ac:dyDescent="0.25">
      <c r="A391" s="31">
        <v>0</v>
      </c>
      <c r="B391" s="31">
        <v>2</v>
      </c>
      <c r="C391" s="31">
        <v>7</v>
      </c>
      <c r="D391" s="32" t="s">
        <v>509</v>
      </c>
      <c r="E391" s="32" t="s">
        <v>156</v>
      </c>
      <c r="F391" s="32" t="s">
        <v>510</v>
      </c>
      <c r="G391" s="32" t="s">
        <v>39</v>
      </c>
      <c r="H391" s="32" t="s">
        <v>354</v>
      </c>
      <c r="I391" s="31" t="s">
        <v>942</v>
      </c>
      <c r="J391" s="31">
        <v>7</v>
      </c>
      <c r="K391" s="33" t="s">
        <v>955</v>
      </c>
      <c r="L391" s="33" t="s">
        <v>39</v>
      </c>
      <c r="M391" s="34" t="s">
        <v>39</v>
      </c>
      <c r="N391" s="34" t="s">
        <v>1727</v>
      </c>
      <c r="O391" s="35">
        <v>1</v>
      </c>
      <c r="P391" s="35">
        <v>1</v>
      </c>
      <c r="Q391" s="32"/>
      <c r="S391" s="1">
        <f t="shared" si="177"/>
        <v>0</v>
      </c>
      <c r="T391" s="1">
        <f t="shared" si="178"/>
        <v>0</v>
      </c>
      <c r="U391" s="1">
        <f t="shared" si="179"/>
        <v>0</v>
      </c>
      <c r="V391" s="1">
        <f t="shared" si="180"/>
        <v>0</v>
      </c>
      <c r="W391" s="1">
        <f t="shared" si="181"/>
        <v>0</v>
      </c>
      <c r="X391" s="1">
        <f t="shared" si="182"/>
        <v>0</v>
      </c>
      <c r="Y391" s="1">
        <f t="shared" si="183"/>
        <v>1</v>
      </c>
      <c r="Z391" s="1">
        <f t="shared" si="184"/>
        <v>0</v>
      </c>
      <c r="AA391" s="1">
        <f t="shared" si="185"/>
        <v>0</v>
      </c>
      <c r="AB391" s="1">
        <f t="shared" si="186"/>
        <v>0</v>
      </c>
      <c r="AD391" s="1">
        <f t="shared" si="187"/>
        <v>1</v>
      </c>
      <c r="AE391" s="1">
        <f t="shared" si="188"/>
        <v>0</v>
      </c>
      <c r="AF391" s="1">
        <f t="shared" si="173"/>
        <v>1</v>
      </c>
      <c r="AG391" s="1">
        <f t="shared" si="174"/>
        <v>0</v>
      </c>
      <c r="AH391" s="1">
        <f t="shared" si="175"/>
        <v>1</v>
      </c>
      <c r="AI391" s="1">
        <f t="shared" si="176"/>
        <v>0</v>
      </c>
    </row>
    <row r="392" spans="1:35" ht="14.25" customHeight="1" x14ac:dyDescent="0.25">
      <c r="A392" s="31">
        <v>0</v>
      </c>
      <c r="B392" s="31">
        <v>2</v>
      </c>
      <c r="C392" s="31">
        <v>7</v>
      </c>
      <c r="D392" s="32" t="s">
        <v>70</v>
      </c>
      <c r="E392" s="32" t="s">
        <v>28</v>
      </c>
      <c r="F392" s="32" t="s">
        <v>673</v>
      </c>
      <c r="G392" s="32" t="s">
        <v>258</v>
      </c>
      <c r="H392" s="32" t="s">
        <v>354</v>
      </c>
      <c r="I392" s="31" t="s">
        <v>417</v>
      </c>
      <c r="J392" s="31">
        <v>8</v>
      </c>
      <c r="K392" s="33" t="s">
        <v>713</v>
      </c>
      <c r="L392" s="33" t="s">
        <v>713</v>
      </c>
      <c r="M392" s="34" t="s">
        <v>731</v>
      </c>
      <c r="N392" s="34" t="s">
        <v>1743</v>
      </c>
      <c r="O392" s="35">
        <v>1</v>
      </c>
      <c r="P392" s="35"/>
      <c r="Q392" s="32"/>
      <c r="S392" s="1">
        <f t="shared" si="177"/>
        <v>0</v>
      </c>
      <c r="T392" s="1">
        <f t="shared" si="178"/>
        <v>0</v>
      </c>
      <c r="U392" s="1">
        <f t="shared" si="179"/>
        <v>0</v>
      </c>
      <c r="V392" s="1">
        <f t="shared" si="180"/>
        <v>0</v>
      </c>
      <c r="W392" s="1">
        <f t="shared" si="181"/>
        <v>0</v>
      </c>
      <c r="X392" s="1">
        <f t="shared" si="182"/>
        <v>0</v>
      </c>
      <c r="Y392" s="1">
        <f t="shared" si="183"/>
        <v>0</v>
      </c>
      <c r="Z392" s="1">
        <f t="shared" si="184"/>
        <v>1</v>
      </c>
      <c r="AA392" s="1">
        <f t="shared" si="185"/>
        <v>0</v>
      </c>
      <c r="AB392" s="1">
        <f t="shared" si="186"/>
        <v>0</v>
      </c>
      <c r="AD392" s="1">
        <f t="shared" si="187"/>
        <v>0</v>
      </c>
      <c r="AE392" s="1">
        <f t="shared" si="188"/>
        <v>1</v>
      </c>
      <c r="AF392" s="1">
        <f t="shared" si="173"/>
        <v>0</v>
      </c>
      <c r="AG392" s="1">
        <f t="shared" si="174"/>
        <v>1</v>
      </c>
      <c r="AH392" s="1">
        <f t="shared" si="175"/>
        <v>0</v>
      </c>
      <c r="AI392" s="1">
        <f t="shared" si="176"/>
        <v>1</v>
      </c>
    </row>
    <row r="393" spans="1:35" ht="14.25" customHeight="1" x14ac:dyDescent="0.25">
      <c r="A393" s="31">
        <v>0</v>
      </c>
      <c r="B393" s="31">
        <v>2</v>
      </c>
      <c r="C393" s="31">
        <v>7</v>
      </c>
      <c r="D393" s="32" t="s">
        <v>654</v>
      </c>
      <c r="E393" s="32" t="s">
        <v>156</v>
      </c>
      <c r="F393" s="32" t="s">
        <v>585</v>
      </c>
      <c r="G393" s="32" t="s">
        <v>249</v>
      </c>
      <c r="H393" s="32" t="s">
        <v>354</v>
      </c>
      <c r="I393" s="31" t="s">
        <v>679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77"/>
        <v>0</v>
      </c>
      <c r="T393" s="1">
        <f t="shared" si="178"/>
        <v>0</v>
      </c>
      <c r="U393" s="1">
        <f t="shared" si="179"/>
        <v>0</v>
      </c>
      <c r="V393" s="1">
        <f t="shared" si="180"/>
        <v>0</v>
      </c>
      <c r="W393" s="1">
        <f t="shared" si="181"/>
        <v>0</v>
      </c>
      <c r="X393" s="1">
        <f t="shared" si="182"/>
        <v>0</v>
      </c>
      <c r="Y393" s="1">
        <f t="shared" si="183"/>
        <v>1</v>
      </c>
      <c r="Z393" s="1">
        <f t="shared" si="184"/>
        <v>0</v>
      </c>
      <c r="AA393" s="1">
        <f t="shared" si="185"/>
        <v>0</v>
      </c>
      <c r="AB393" s="1">
        <f t="shared" si="186"/>
        <v>0</v>
      </c>
      <c r="AD393" s="1">
        <f t="shared" si="187"/>
        <v>1</v>
      </c>
      <c r="AE393" s="1">
        <f t="shared" si="188"/>
        <v>0</v>
      </c>
      <c r="AF393" s="1">
        <f t="shared" si="173"/>
        <v>1</v>
      </c>
      <c r="AG393" s="1">
        <f t="shared" si="174"/>
        <v>0</v>
      </c>
      <c r="AH393" s="1">
        <f t="shared" si="175"/>
        <v>1</v>
      </c>
      <c r="AI393" s="1">
        <f t="shared" si="176"/>
        <v>0</v>
      </c>
    </row>
    <row r="394" spans="1:35" ht="14.25" customHeight="1" x14ac:dyDescent="0.25">
      <c r="A394" s="44">
        <v>0</v>
      </c>
      <c r="B394" s="44">
        <v>2</v>
      </c>
      <c r="C394" s="44">
        <v>7</v>
      </c>
      <c r="D394" s="45" t="s">
        <v>1634</v>
      </c>
      <c r="E394" s="45" t="s">
        <v>156</v>
      </c>
      <c r="F394" s="45" t="s">
        <v>1657</v>
      </c>
      <c r="G394" s="45" t="s">
        <v>213</v>
      </c>
      <c r="H394" s="45" t="s">
        <v>354</v>
      </c>
      <c r="I394" s="44" t="s">
        <v>594</v>
      </c>
      <c r="J394" s="44">
        <v>1</v>
      </c>
      <c r="K394" s="46" t="s">
        <v>712</v>
      </c>
      <c r="L394" s="46" t="s">
        <v>722</v>
      </c>
      <c r="M394" s="47" t="s">
        <v>1433</v>
      </c>
      <c r="N394" s="47" t="s">
        <v>1735</v>
      </c>
      <c r="O394" s="48"/>
      <c r="P394" s="48"/>
      <c r="Q394" s="45"/>
      <c r="S394" s="1">
        <f t="shared" si="177"/>
        <v>1</v>
      </c>
      <c r="T394" s="1">
        <f t="shared" si="178"/>
        <v>0</v>
      </c>
      <c r="U394" s="1">
        <f t="shared" si="179"/>
        <v>0</v>
      </c>
      <c r="V394" s="1">
        <f t="shared" si="180"/>
        <v>0</v>
      </c>
      <c r="W394" s="1">
        <f t="shared" si="181"/>
        <v>0</v>
      </c>
      <c r="X394" s="1">
        <f t="shared" si="182"/>
        <v>0</v>
      </c>
      <c r="Y394" s="1">
        <f t="shared" si="183"/>
        <v>0</v>
      </c>
      <c r="Z394" s="1">
        <f t="shared" si="184"/>
        <v>0</v>
      </c>
      <c r="AA394" s="1">
        <f t="shared" si="185"/>
        <v>0</v>
      </c>
      <c r="AB394" s="1">
        <f t="shared" si="186"/>
        <v>0</v>
      </c>
      <c r="AD394" s="1">
        <f t="shared" si="187"/>
        <v>0</v>
      </c>
      <c r="AE394" s="1">
        <f t="shared" si="188"/>
        <v>0</v>
      </c>
      <c r="AF394" s="1">
        <f t="shared" si="173"/>
        <v>0</v>
      </c>
      <c r="AG394" s="1">
        <f t="shared" si="174"/>
        <v>0</v>
      </c>
      <c r="AH394" s="1">
        <f t="shared" si="175"/>
        <v>0</v>
      </c>
      <c r="AI394" s="1">
        <f t="shared" si="176"/>
        <v>1</v>
      </c>
    </row>
    <row r="395" spans="1:35" ht="14.25" customHeight="1" x14ac:dyDescent="0.25">
      <c r="A395" s="44">
        <v>0</v>
      </c>
      <c r="B395" s="44">
        <v>2</v>
      </c>
      <c r="C395" s="44">
        <v>7</v>
      </c>
      <c r="D395" s="45" t="s">
        <v>1070</v>
      </c>
      <c r="E395" s="45" t="s">
        <v>1046</v>
      </c>
      <c r="F395" s="45" t="s">
        <v>1071</v>
      </c>
      <c r="G395" s="45" t="s">
        <v>213</v>
      </c>
      <c r="H395" s="45" t="s">
        <v>354</v>
      </c>
      <c r="I395" s="44" t="s">
        <v>1072</v>
      </c>
      <c r="J395" s="44">
        <v>1</v>
      </c>
      <c r="K395" s="46" t="s">
        <v>955</v>
      </c>
      <c r="L395" s="46" t="s">
        <v>722</v>
      </c>
      <c r="M395" s="47" t="s">
        <v>1434</v>
      </c>
      <c r="N395" s="47" t="s">
        <v>1735</v>
      </c>
      <c r="O395" s="48"/>
      <c r="P395" s="48"/>
      <c r="Q395" s="45" t="s">
        <v>1918</v>
      </c>
      <c r="S395" s="1">
        <f t="shared" si="177"/>
        <v>1</v>
      </c>
      <c r="T395" s="1">
        <f t="shared" si="178"/>
        <v>0</v>
      </c>
      <c r="U395" s="1">
        <f t="shared" si="179"/>
        <v>0</v>
      </c>
      <c r="V395" s="1">
        <f t="shared" si="180"/>
        <v>0</v>
      </c>
      <c r="W395" s="1">
        <f t="shared" si="181"/>
        <v>0</v>
      </c>
      <c r="X395" s="1">
        <f t="shared" si="182"/>
        <v>0</v>
      </c>
      <c r="Y395" s="1">
        <f t="shared" si="183"/>
        <v>0</v>
      </c>
      <c r="Z395" s="1">
        <f t="shared" si="184"/>
        <v>0</v>
      </c>
      <c r="AA395" s="1">
        <f t="shared" si="185"/>
        <v>0</v>
      </c>
      <c r="AB395" s="1">
        <f t="shared" si="186"/>
        <v>0</v>
      </c>
      <c r="AD395" s="1">
        <f t="shared" si="187"/>
        <v>0</v>
      </c>
      <c r="AE395" s="1">
        <f t="shared" si="188"/>
        <v>0</v>
      </c>
      <c r="AF395" s="1">
        <f t="shared" si="173"/>
        <v>0</v>
      </c>
      <c r="AG395" s="1">
        <f t="shared" si="174"/>
        <v>0</v>
      </c>
      <c r="AH395" s="1">
        <f t="shared" si="175"/>
        <v>0</v>
      </c>
      <c r="AI395" s="1">
        <f t="shared" si="176"/>
        <v>1</v>
      </c>
    </row>
    <row r="396" spans="1:35" ht="14.25" customHeight="1" x14ac:dyDescent="0.25">
      <c r="A396" s="31">
        <v>0</v>
      </c>
      <c r="B396" s="31">
        <v>2</v>
      </c>
      <c r="C396" s="31">
        <v>7</v>
      </c>
      <c r="D396" s="32" t="s">
        <v>1017</v>
      </c>
      <c r="E396" s="32" t="s">
        <v>156</v>
      </c>
      <c r="F396" s="32" t="s">
        <v>1088</v>
      </c>
      <c r="G396" s="32" t="s">
        <v>1098</v>
      </c>
      <c r="H396" s="32" t="s">
        <v>354</v>
      </c>
      <c r="I396" s="31" t="s">
        <v>1018</v>
      </c>
      <c r="J396" s="31">
        <v>99</v>
      </c>
      <c r="K396" s="33" t="s">
        <v>713</v>
      </c>
      <c r="L396" s="33" t="s">
        <v>722</v>
      </c>
      <c r="M396" s="34" t="s">
        <v>1434</v>
      </c>
      <c r="N396" s="34" t="s">
        <v>1748</v>
      </c>
      <c r="O396" s="35">
        <v>1</v>
      </c>
      <c r="P396" s="35"/>
      <c r="Q396" s="32"/>
      <c r="S396" s="1">
        <f t="shared" si="177"/>
        <v>0</v>
      </c>
      <c r="T396" s="1">
        <f t="shared" si="178"/>
        <v>0</v>
      </c>
      <c r="U396" s="1">
        <f t="shared" si="179"/>
        <v>0</v>
      </c>
      <c r="V396" s="1">
        <f t="shared" si="180"/>
        <v>0</v>
      </c>
      <c r="W396" s="1">
        <f t="shared" si="181"/>
        <v>0</v>
      </c>
      <c r="X396" s="1">
        <f t="shared" si="182"/>
        <v>0</v>
      </c>
      <c r="Y396" s="1">
        <f t="shared" si="183"/>
        <v>0</v>
      </c>
      <c r="Z396" s="1">
        <f t="shared" si="184"/>
        <v>0</v>
      </c>
      <c r="AA396" s="1">
        <f t="shared" si="185"/>
        <v>0</v>
      </c>
      <c r="AB396" s="1">
        <f t="shared" si="186"/>
        <v>0</v>
      </c>
      <c r="AD396" s="1">
        <f t="shared" si="187"/>
        <v>0</v>
      </c>
      <c r="AE396" s="1">
        <f t="shared" si="188"/>
        <v>1</v>
      </c>
      <c r="AF396" s="1">
        <f t="shared" si="173"/>
        <v>0</v>
      </c>
      <c r="AG396" s="1">
        <f t="shared" si="174"/>
        <v>1</v>
      </c>
      <c r="AH396" s="1">
        <f t="shared" si="175"/>
        <v>0</v>
      </c>
      <c r="AI396" s="1">
        <f t="shared" si="176"/>
        <v>1</v>
      </c>
    </row>
    <row r="397" spans="1:35" ht="14.25" customHeight="1" x14ac:dyDescent="0.25">
      <c r="A397" s="31">
        <v>0</v>
      </c>
      <c r="B397" s="31">
        <v>2</v>
      </c>
      <c r="C397" s="31">
        <v>7</v>
      </c>
      <c r="D397" s="32" t="s">
        <v>1205</v>
      </c>
      <c r="E397" s="32" t="s">
        <v>1332</v>
      </c>
      <c r="F397" s="32" t="s">
        <v>1206</v>
      </c>
      <c r="G397" s="32" t="s">
        <v>39</v>
      </c>
      <c r="H397" s="32" t="s">
        <v>354</v>
      </c>
      <c r="I397" s="31" t="s">
        <v>1685</v>
      </c>
      <c r="J397" s="31">
        <v>99</v>
      </c>
      <c r="K397" s="33" t="s">
        <v>955</v>
      </c>
      <c r="L397" s="33" t="s">
        <v>729</v>
      </c>
      <c r="M397" s="34" t="s">
        <v>1435</v>
      </c>
      <c r="N397" s="34" t="s">
        <v>1748</v>
      </c>
      <c r="O397" s="35">
        <v>1</v>
      </c>
      <c r="P397" s="35"/>
      <c r="Q397" s="32"/>
      <c r="S397" s="1">
        <f t="shared" si="177"/>
        <v>0</v>
      </c>
      <c r="T397" s="1">
        <f t="shared" si="178"/>
        <v>0</v>
      </c>
      <c r="U397" s="1">
        <f t="shared" si="179"/>
        <v>0</v>
      </c>
      <c r="V397" s="1">
        <f t="shared" si="180"/>
        <v>0</v>
      </c>
      <c r="W397" s="1">
        <f t="shared" si="181"/>
        <v>0</v>
      </c>
      <c r="X397" s="1">
        <f t="shared" si="182"/>
        <v>0</v>
      </c>
      <c r="Y397" s="1">
        <f t="shared" si="183"/>
        <v>0</v>
      </c>
      <c r="Z397" s="1">
        <f t="shared" si="184"/>
        <v>0</v>
      </c>
      <c r="AA397" s="1">
        <f t="shared" si="185"/>
        <v>0</v>
      </c>
      <c r="AB397" s="1">
        <f t="shared" si="186"/>
        <v>0</v>
      </c>
      <c r="AD397" s="1">
        <f t="shared" si="187"/>
        <v>0</v>
      </c>
      <c r="AE397" s="1">
        <f t="shared" si="188"/>
        <v>1</v>
      </c>
      <c r="AF397" s="1">
        <f t="shared" si="173"/>
        <v>0</v>
      </c>
      <c r="AG397" s="1">
        <f t="shared" si="174"/>
        <v>1</v>
      </c>
      <c r="AH397" s="1">
        <f t="shared" si="175"/>
        <v>0</v>
      </c>
      <c r="AI397" s="1">
        <f t="shared" si="176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55</v>
      </c>
      <c r="E398" s="32" t="s">
        <v>28</v>
      </c>
      <c r="F398" s="32" t="s">
        <v>644</v>
      </c>
      <c r="G398" s="32" t="s">
        <v>535</v>
      </c>
      <c r="H398" s="32" t="s">
        <v>354</v>
      </c>
      <c r="I398" s="31" t="s">
        <v>394</v>
      </c>
      <c r="J398" s="31">
        <v>6</v>
      </c>
      <c r="K398" s="33" t="s">
        <v>712</v>
      </c>
      <c r="L398" s="33" t="s">
        <v>713</v>
      </c>
      <c r="M398" s="34" t="s">
        <v>731</v>
      </c>
      <c r="N398" s="34" t="s">
        <v>1761</v>
      </c>
      <c r="O398" s="35">
        <v>1</v>
      </c>
      <c r="P398" s="35"/>
      <c r="Q398" s="32"/>
      <c r="S398" s="1">
        <f t="shared" si="177"/>
        <v>0</v>
      </c>
      <c r="T398" s="1">
        <f t="shared" si="178"/>
        <v>0</v>
      </c>
      <c r="U398" s="1">
        <f t="shared" si="179"/>
        <v>0</v>
      </c>
      <c r="V398" s="1">
        <f t="shared" si="180"/>
        <v>0</v>
      </c>
      <c r="W398" s="1">
        <f t="shared" si="181"/>
        <v>0</v>
      </c>
      <c r="X398" s="1">
        <f t="shared" si="182"/>
        <v>1</v>
      </c>
      <c r="Y398" s="1">
        <f t="shared" si="183"/>
        <v>0</v>
      </c>
      <c r="Z398" s="1">
        <f t="shared" si="184"/>
        <v>0</v>
      </c>
      <c r="AA398" s="1">
        <f t="shared" si="185"/>
        <v>0</v>
      </c>
      <c r="AB398" s="1">
        <f t="shared" si="186"/>
        <v>0</v>
      </c>
      <c r="AD398" s="1">
        <f t="shared" si="187"/>
        <v>0</v>
      </c>
      <c r="AE398" s="1">
        <f t="shared" si="188"/>
        <v>1</v>
      </c>
      <c r="AF398" s="1">
        <f t="shared" si="173"/>
        <v>0</v>
      </c>
      <c r="AG398" s="1">
        <f t="shared" si="174"/>
        <v>1</v>
      </c>
      <c r="AH398" s="1">
        <f t="shared" si="175"/>
        <v>0</v>
      </c>
      <c r="AI398" s="1">
        <f t="shared" si="176"/>
        <v>1</v>
      </c>
    </row>
    <row r="399" spans="1:35" ht="14.25" customHeight="1" x14ac:dyDescent="0.25">
      <c r="A399" s="31">
        <v>1</v>
      </c>
      <c r="B399" s="31">
        <v>2</v>
      </c>
      <c r="C399" s="31">
        <v>7</v>
      </c>
      <c r="D399" s="32" t="s">
        <v>55</v>
      </c>
      <c r="E399" s="32" t="s">
        <v>28</v>
      </c>
      <c r="F399" s="32" t="s">
        <v>216</v>
      </c>
      <c r="G399" s="32" t="s">
        <v>39</v>
      </c>
      <c r="H399" s="32" t="s">
        <v>354</v>
      </c>
      <c r="I399" s="31" t="s">
        <v>30</v>
      </c>
      <c r="J399" s="31">
        <v>99</v>
      </c>
      <c r="K399" s="33" t="s">
        <v>712</v>
      </c>
      <c r="L399" s="33" t="s">
        <v>713</v>
      </c>
      <c r="M399" s="34" t="s">
        <v>731</v>
      </c>
      <c r="N399" s="34" t="s">
        <v>1761</v>
      </c>
      <c r="O399" s="35">
        <v>1</v>
      </c>
      <c r="P399" s="35"/>
      <c r="Q399" s="32"/>
      <c r="S399" s="1">
        <f t="shared" si="177"/>
        <v>0</v>
      </c>
      <c r="T399" s="1">
        <f t="shared" si="178"/>
        <v>0</v>
      </c>
      <c r="U399" s="1">
        <f t="shared" si="179"/>
        <v>0</v>
      </c>
      <c r="V399" s="1">
        <f t="shared" si="180"/>
        <v>0</v>
      </c>
      <c r="W399" s="1">
        <f t="shared" si="181"/>
        <v>0</v>
      </c>
      <c r="X399" s="1">
        <f t="shared" si="182"/>
        <v>0</v>
      </c>
      <c r="Y399" s="1">
        <f t="shared" si="183"/>
        <v>0</v>
      </c>
      <c r="Z399" s="1">
        <f t="shared" si="184"/>
        <v>0</v>
      </c>
      <c r="AA399" s="1">
        <f t="shared" si="185"/>
        <v>0</v>
      </c>
      <c r="AB399" s="1">
        <f t="shared" si="186"/>
        <v>0</v>
      </c>
      <c r="AD399" s="1">
        <f t="shared" si="187"/>
        <v>0</v>
      </c>
      <c r="AE399" s="1">
        <f t="shared" si="188"/>
        <v>1</v>
      </c>
      <c r="AF399" s="1">
        <f t="shared" ref="AF399:AF463" si="213">+O399*P399*(1-A399)</f>
        <v>0</v>
      </c>
      <c r="AG399" s="1">
        <f t="shared" ref="AG399:AG463" si="214">O399*(1-P399)*(1-A399)</f>
        <v>0</v>
      </c>
      <c r="AH399" s="1">
        <f t="shared" ref="AH399:AH463" si="215">+P399*(1-A399)</f>
        <v>0</v>
      </c>
      <c r="AI399" s="1">
        <f t="shared" ref="AI399:AI463" si="216">+(1-A399)*(1-P399)</f>
        <v>0</v>
      </c>
    </row>
    <row r="400" spans="1:35" ht="14.25" customHeight="1" x14ac:dyDescent="0.25">
      <c r="A400" s="31">
        <v>1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215</v>
      </c>
      <c r="G400" s="32" t="s">
        <v>39</v>
      </c>
      <c r="H400" s="32" t="s">
        <v>354</v>
      </c>
      <c r="I400" s="31" t="s">
        <v>394</v>
      </c>
      <c r="J400" s="31">
        <v>99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77"/>
        <v>0</v>
      </c>
      <c r="T400" s="1">
        <f t="shared" si="178"/>
        <v>0</v>
      </c>
      <c r="U400" s="1">
        <f t="shared" si="179"/>
        <v>0</v>
      </c>
      <c r="V400" s="1">
        <f t="shared" si="180"/>
        <v>0</v>
      </c>
      <c r="W400" s="1">
        <f t="shared" si="181"/>
        <v>0</v>
      </c>
      <c r="X400" s="1">
        <f t="shared" si="182"/>
        <v>0</v>
      </c>
      <c r="Y400" s="1">
        <f t="shared" si="183"/>
        <v>0</v>
      </c>
      <c r="Z400" s="1">
        <f t="shared" si="184"/>
        <v>0</v>
      </c>
      <c r="AA400" s="1">
        <f t="shared" si="185"/>
        <v>0</v>
      </c>
      <c r="AB400" s="1">
        <f t="shared" si="186"/>
        <v>0</v>
      </c>
      <c r="AD400" s="1">
        <f t="shared" si="187"/>
        <v>0</v>
      </c>
      <c r="AE400" s="1">
        <f t="shared" si="188"/>
        <v>1</v>
      </c>
      <c r="AF400" s="1">
        <f t="shared" si="213"/>
        <v>0</v>
      </c>
      <c r="AG400" s="1">
        <f t="shared" si="214"/>
        <v>0</v>
      </c>
      <c r="AH400" s="1">
        <f t="shared" si="215"/>
        <v>0</v>
      </c>
      <c r="AI400" s="1">
        <f t="shared" si="216"/>
        <v>0</v>
      </c>
    </row>
    <row r="401" spans="1:35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217</v>
      </c>
      <c r="G401" s="32" t="s">
        <v>218</v>
      </c>
      <c r="H401" s="32" t="s">
        <v>354</v>
      </c>
      <c r="I401" s="31" t="s">
        <v>395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77"/>
        <v>0</v>
      </c>
      <c r="T401" s="1">
        <f t="shared" si="178"/>
        <v>0</v>
      </c>
      <c r="U401" s="1">
        <f t="shared" si="179"/>
        <v>0</v>
      </c>
      <c r="V401" s="1">
        <f t="shared" si="180"/>
        <v>0</v>
      </c>
      <c r="W401" s="1">
        <f t="shared" si="181"/>
        <v>0</v>
      </c>
      <c r="X401" s="1">
        <f t="shared" si="182"/>
        <v>0</v>
      </c>
      <c r="Y401" s="1">
        <f t="shared" si="183"/>
        <v>0</v>
      </c>
      <c r="Z401" s="1">
        <f t="shared" si="184"/>
        <v>0</v>
      </c>
      <c r="AA401" s="1">
        <f t="shared" si="185"/>
        <v>0</v>
      </c>
      <c r="AB401" s="1">
        <f t="shared" si="186"/>
        <v>0</v>
      </c>
      <c r="AD401" s="1">
        <f t="shared" si="187"/>
        <v>0</v>
      </c>
      <c r="AE401" s="1">
        <f t="shared" si="188"/>
        <v>1</v>
      </c>
      <c r="AF401" s="1">
        <f t="shared" si="213"/>
        <v>0</v>
      </c>
      <c r="AG401" s="1">
        <f t="shared" si="214"/>
        <v>0</v>
      </c>
      <c r="AH401" s="1">
        <f t="shared" si="215"/>
        <v>0</v>
      </c>
      <c r="AI401" s="1">
        <f t="shared" si="216"/>
        <v>0</v>
      </c>
    </row>
    <row r="402" spans="1:35" ht="14.25" customHeight="1" x14ac:dyDescent="0.25">
      <c r="A402" s="44">
        <v>0</v>
      </c>
      <c r="B402" s="44">
        <v>2</v>
      </c>
      <c r="C402" s="44">
        <v>7</v>
      </c>
      <c r="D402" s="45" t="s">
        <v>68</v>
      </c>
      <c r="E402" s="45" t="s">
        <v>28</v>
      </c>
      <c r="F402" s="45" t="s">
        <v>253</v>
      </c>
      <c r="G402" s="45" t="s">
        <v>254</v>
      </c>
      <c r="H402" s="45" t="s">
        <v>354</v>
      </c>
      <c r="I402" s="44" t="s">
        <v>414</v>
      </c>
      <c r="J402" s="44">
        <v>99</v>
      </c>
      <c r="K402" s="46" t="s">
        <v>713</v>
      </c>
      <c r="L402" s="46" t="s">
        <v>713</v>
      </c>
      <c r="M402" s="47" t="s">
        <v>731</v>
      </c>
      <c r="N402" s="47" t="s">
        <v>1802</v>
      </c>
      <c r="O402" s="48"/>
      <c r="P402" s="48"/>
      <c r="Q402" s="45"/>
      <c r="S402" s="1">
        <f t="shared" ref="S402:S408" si="217">IF(J402=$S$7,1,0)</f>
        <v>0</v>
      </c>
      <c r="T402" s="1">
        <f t="shared" ref="T402:T408" si="218">IF(J402=$T$7,1,0)</f>
        <v>0</v>
      </c>
      <c r="U402" s="1">
        <f t="shared" ref="U402:U408" si="219">IF(J402=$U$7,1,0)</f>
        <v>0</v>
      </c>
      <c r="V402" s="1">
        <f t="shared" ref="V402:V408" si="220">IF(J402=$V$7,1,0)</f>
        <v>0</v>
      </c>
      <c r="W402" s="1">
        <f t="shared" ref="W402:W408" si="221">IF(J402=$W$7,1,0)</f>
        <v>0</v>
      </c>
      <c r="X402" s="1">
        <f t="shared" ref="X402:X408" si="222">IF(J402=$X$7,1,0)</f>
        <v>0</v>
      </c>
      <c r="Y402" s="1">
        <f t="shared" ref="Y402:Y408" si="223">IF(J402=$Y$7,1,0)</f>
        <v>0</v>
      </c>
      <c r="Z402" s="1">
        <f t="shared" ref="Z402:Z408" si="224">IF(J402=$Z$7,1,0)</f>
        <v>0</v>
      </c>
      <c r="AA402" s="1">
        <f t="shared" ref="AA402:AA408" si="225">IF(J402=$AA$7,1,0)</f>
        <v>0</v>
      </c>
      <c r="AB402" s="1">
        <f t="shared" ref="AB402:AB408" si="226">IF(J402=$AB$7,1,0)</f>
        <v>0</v>
      </c>
      <c r="AD402" s="1">
        <f t="shared" ref="AD402:AD408" si="227">+O402*P402</f>
        <v>0</v>
      </c>
      <c r="AE402" s="1">
        <f t="shared" ref="AE402:AE408" si="228">O402*(1-P402)</f>
        <v>0</v>
      </c>
      <c r="AF402" s="1">
        <f t="shared" ref="AF402:AF408" si="229">+O402*P402*(1-A402)</f>
        <v>0</v>
      </c>
      <c r="AG402" s="1">
        <f t="shared" ref="AG402:AG408" si="230">O402*(1-P402)*(1-A402)</f>
        <v>0</v>
      </c>
      <c r="AH402" s="1">
        <f t="shared" ref="AH402:AH408" si="231">+P402*(1-A402)</f>
        <v>0</v>
      </c>
      <c r="AI402" s="1">
        <f t="shared" ref="AI402:AI408" si="232">+(1-A402)*(1-P402)</f>
        <v>1</v>
      </c>
    </row>
    <row r="403" spans="1:35" ht="14.25" customHeight="1" x14ac:dyDescent="0.25">
      <c r="A403" s="31">
        <v>0</v>
      </c>
      <c r="B403" s="31">
        <v>2</v>
      </c>
      <c r="C403" s="31">
        <v>7</v>
      </c>
      <c r="D403" s="32" t="s">
        <v>2018</v>
      </c>
      <c r="E403" s="32" t="s">
        <v>28</v>
      </c>
      <c r="F403" s="32" t="s">
        <v>2020</v>
      </c>
      <c r="G403" s="32" t="s">
        <v>1104</v>
      </c>
      <c r="H403" s="32" t="s">
        <v>354</v>
      </c>
      <c r="I403" s="31" t="s">
        <v>2021</v>
      </c>
      <c r="J403" s="31">
        <v>1</v>
      </c>
      <c r="K403" s="33" t="s">
        <v>703</v>
      </c>
      <c r="L403" s="33"/>
      <c r="M403" s="34"/>
      <c r="N403" s="34" t="s">
        <v>1727</v>
      </c>
      <c r="O403" s="35">
        <v>1</v>
      </c>
      <c r="P403" s="35">
        <v>1</v>
      </c>
      <c r="Q403" s="32" t="s">
        <v>2023</v>
      </c>
      <c r="S403" s="1">
        <f t="shared" si="217"/>
        <v>1</v>
      </c>
      <c r="T403" s="1">
        <f t="shared" si="218"/>
        <v>0</v>
      </c>
      <c r="U403" s="1">
        <f t="shared" si="219"/>
        <v>0</v>
      </c>
      <c r="V403" s="1">
        <f t="shared" si="220"/>
        <v>0</v>
      </c>
      <c r="W403" s="1">
        <f t="shared" si="221"/>
        <v>0</v>
      </c>
      <c r="X403" s="1">
        <f t="shared" si="222"/>
        <v>0</v>
      </c>
      <c r="Y403" s="1">
        <f t="shared" si="223"/>
        <v>0</v>
      </c>
      <c r="Z403" s="1">
        <f t="shared" si="224"/>
        <v>0</v>
      </c>
      <c r="AA403" s="1">
        <f t="shared" si="225"/>
        <v>0</v>
      </c>
      <c r="AB403" s="1">
        <f t="shared" si="226"/>
        <v>0</v>
      </c>
      <c r="AD403" s="1">
        <f t="shared" si="227"/>
        <v>1</v>
      </c>
      <c r="AE403" s="1">
        <f t="shared" si="228"/>
        <v>0</v>
      </c>
      <c r="AF403" s="1">
        <f t="shared" si="229"/>
        <v>1</v>
      </c>
      <c r="AG403" s="1">
        <f t="shared" si="230"/>
        <v>0</v>
      </c>
      <c r="AH403" s="1">
        <f t="shared" si="231"/>
        <v>1</v>
      </c>
      <c r="AI403" s="1">
        <f t="shared" si="232"/>
        <v>0</v>
      </c>
    </row>
    <row r="404" spans="1:35" ht="14.25" customHeight="1" x14ac:dyDescent="0.25">
      <c r="A404" s="31">
        <v>1</v>
      </c>
      <c r="B404" s="31">
        <v>2</v>
      </c>
      <c r="C404" s="31">
        <v>7</v>
      </c>
      <c r="D404" s="32" t="s">
        <v>2018</v>
      </c>
      <c r="E404" s="32" t="s">
        <v>28</v>
      </c>
      <c r="F404" s="32" t="s">
        <v>2019</v>
      </c>
      <c r="G404" s="36" t="s">
        <v>2025</v>
      </c>
      <c r="H404" s="32" t="s">
        <v>354</v>
      </c>
      <c r="I404" s="31" t="s">
        <v>2022</v>
      </c>
      <c r="J404" s="31">
        <v>8</v>
      </c>
      <c r="K404" s="33" t="s">
        <v>703</v>
      </c>
      <c r="L404" s="33"/>
      <c r="M404" s="34"/>
      <c r="N404" s="34" t="s">
        <v>1727</v>
      </c>
      <c r="O404" s="35">
        <v>1</v>
      </c>
      <c r="P404" s="35">
        <v>1</v>
      </c>
      <c r="Q404" s="32" t="s">
        <v>2024</v>
      </c>
      <c r="S404" s="1">
        <f t="shared" si="217"/>
        <v>0</v>
      </c>
      <c r="T404" s="1">
        <f t="shared" si="218"/>
        <v>0</v>
      </c>
      <c r="U404" s="1">
        <f t="shared" si="219"/>
        <v>0</v>
      </c>
      <c r="V404" s="1">
        <f t="shared" si="220"/>
        <v>0</v>
      </c>
      <c r="W404" s="1">
        <f t="shared" si="221"/>
        <v>0</v>
      </c>
      <c r="X404" s="1">
        <f t="shared" si="222"/>
        <v>0</v>
      </c>
      <c r="Y404" s="1">
        <f t="shared" si="223"/>
        <v>0</v>
      </c>
      <c r="Z404" s="1">
        <f t="shared" si="224"/>
        <v>1</v>
      </c>
      <c r="AA404" s="1">
        <f t="shared" si="225"/>
        <v>0</v>
      </c>
      <c r="AB404" s="1">
        <f t="shared" si="226"/>
        <v>0</v>
      </c>
      <c r="AD404" s="1">
        <f t="shared" si="227"/>
        <v>1</v>
      </c>
      <c r="AE404" s="1">
        <f t="shared" si="228"/>
        <v>0</v>
      </c>
      <c r="AF404" s="1">
        <f t="shared" si="229"/>
        <v>0</v>
      </c>
      <c r="AG404" s="1">
        <f t="shared" si="230"/>
        <v>0</v>
      </c>
      <c r="AH404" s="1">
        <f t="shared" si="231"/>
        <v>0</v>
      </c>
      <c r="AI404" s="1">
        <f t="shared" si="232"/>
        <v>0</v>
      </c>
    </row>
    <row r="405" spans="1:35" ht="14.25" customHeight="1" x14ac:dyDescent="0.25">
      <c r="A405" s="15">
        <v>0</v>
      </c>
      <c r="B405" s="15">
        <v>2</v>
      </c>
      <c r="C405" s="15">
        <v>7</v>
      </c>
      <c r="D405" s="16" t="s">
        <v>69</v>
      </c>
      <c r="E405" s="16" t="s">
        <v>28</v>
      </c>
      <c r="F405" s="16" t="s">
        <v>255</v>
      </c>
      <c r="G405" s="16" t="s">
        <v>207</v>
      </c>
      <c r="H405" s="16" t="s">
        <v>354</v>
      </c>
      <c r="I405" s="15" t="s">
        <v>415</v>
      </c>
      <c r="J405" s="15">
        <v>99</v>
      </c>
      <c r="K405" s="10" t="s">
        <v>955</v>
      </c>
      <c r="L405" s="10" t="s">
        <v>713</v>
      </c>
      <c r="M405" s="19" t="s">
        <v>731</v>
      </c>
      <c r="N405" s="17"/>
      <c r="Q405" s="16"/>
      <c r="S405" s="1">
        <f t="shared" si="217"/>
        <v>0</v>
      </c>
      <c r="T405" s="1">
        <f t="shared" si="218"/>
        <v>0</v>
      </c>
      <c r="U405" s="1">
        <f t="shared" si="219"/>
        <v>0</v>
      </c>
      <c r="V405" s="1">
        <f t="shared" si="220"/>
        <v>0</v>
      </c>
      <c r="W405" s="1">
        <f t="shared" si="221"/>
        <v>0</v>
      </c>
      <c r="X405" s="1">
        <f t="shared" si="222"/>
        <v>0</v>
      </c>
      <c r="Y405" s="1">
        <f t="shared" si="223"/>
        <v>0</v>
      </c>
      <c r="Z405" s="1">
        <f t="shared" si="224"/>
        <v>0</v>
      </c>
      <c r="AA405" s="1">
        <f t="shared" si="225"/>
        <v>0</v>
      </c>
      <c r="AB405" s="1">
        <f t="shared" si="226"/>
        <v>0</v>
      </c>
      <c r="AD405" s="1">
        <f t="shared" si="227"/>
        <v>0</v>
      </c>
      <c r="AE405" s="1">
        <f t="shared" si="228"/>
        <v>0</v>
      </c>
      <c r="AF405" s="1">
        <f t="shared" si="229"/>
        <v>0</v>
      </c>
      <c r="AG405" s="1">
        <f t="shared" si="230"/>
        <v>0</v>
      </c>
      <c r="AH405" s="1">
        <f t="shared" si="231"/>
        <v>0</v>
      </c>
      <c r="AI405" s="1">
        <f t="shared" si="232"/>
        <v>1</v>
      </c>
    </row>
    <row r="406" spans="1:35" ht="14.25" customHeight="1" x14ac:dyDescent="0.25">
      <c r="A406" s="15">
        <v>1</v>
      </c>
      <c r="B406" s="15">
        <v>2</v>
      </c>
      <c r="C406" s="15">
        <v>7</v>
      </c>
      <c r="D406" s="16" t="s">
        <v>69</v>
      </c>
      <c r="E406" s="16" t="s">
        <v>28</v>
      </c>
      <c r="F406" s="20" t="s">
        <v>1874</v>
      </c>
      <c r="G406" s="16" t="s">
        <v>256</v>
      </c>
      <c r="H406" s="16" t="s">
        <v>354</v>
      </c>
      <c r="I406" s="15" t="s">
        <v>416</v>
      </c>
      <c r="J406" s="15">
        <v>99</v>
      </c>
      <c r="K406" s="10" t="s">
        <v>955</v>
      </c>
      <c r="L406" s="10" t="s">
        <v>713</v>
      </c>
      <c r="M406" s="19" t="s">
        <v>731</v>
      </c>
      <c r="N406" s="17"/>
      <c r="Q406" s="16"/>
      <c r="S406" s="1">
        <f t="shared" si="217"/>
        <v>0</v>
      </c>
      <c r="T406" s="1">
        <f t="shared" si="218"/>
        <v>0</v>
      </c>
      <c r="U406" s="1">
        <f t="shared" si="219"/>
        <v>0</v>
      </c>
      <c r="V406" s="1">
        <f t="shared" si="220"/>
        <v>0</v>
      </c>
      <c r="W406" s="1">
        <f t="shared" si="221"/>
        <v>0</v>
      </c>
      <c r="X406" s="1">
        <f t="shared" si="222"/>
        <v>0</v>
      </c>
      <c r="Y406" s="1">
        <f t="shared" si="223"/>
        <v>0</v>
      </c>
      <c r="Z406" s="1">
        <f t="shared" si="224"/>
        <v>0</v>
      </c>
      <c r="AA406" s="1">
        <f t="shared" si="225"/>
        <v>0</v>
      </c>
      <c r="AB406" s="1">
        <f t="shared" si="226"/>
        <v>0</v>
      </c>
      <c r="AD406" s="1">
        <f t="shared" si="227"/>
        <v>0</v>
      </c>
      <c r="AE406" s="1">
        <f t="shared" si="228"/>
        <v>0</v>
      </c>
      <c r="AF406" s="1">
        <f t="shared" si="229"/>
        <v>0</v>
      </c>
      <c r="AG406" s="1">
        <f t="shared" si="230"/>
        <v>0</v>
      </c>
      <c r="AH406" s="1">
        <f t="shared" si="231"/>
        <v>0</v>
      </c>
      <c r="AI406" s="1">
        <f t="shared" si="232"/>
        <v>0</v>
      </c>
    </row>
    <row r="407" spans="1:35" ht="14.25" customHeight="1" x14ac:dyDescent="0.25">
      <c r="A407" s="15">
        <v>1</v>
      </c>
      <c r="B407" s="15">
        <v>2</v>
      </c>
      <c r="C407" s="15">
        <v>7</v>
      </c>
      <c r="D407" s="16" t="s">
        <v>69</v>
      </c>
      <c r="E407" s="16" t="s">
        <v>28</v>
      </c>
      <c r="F407" s="16" t="s">
        <v>570</v>
      </c>
      <c r="G407" s="16" t="s">
        <v>571</v>
      </c>
      <c r="H407" s="16" t="s">
        <v>354</v>
      </c>
      <c r="I407" s="15" t="s">
        <v>580</v>
      </c>
      <c r="J407" s="15">
        <v>99</v>
      </c>
      <c r="K407" s="10" t="s">
        <v>955</v>
      </c>
      <c r="L407" s="10" t="s">
        <v>713</v>
      </c>
      <c r="M407" s="19" t="s">
        <v>731</v>
      </c>
      <c r="N407" s="17"/>
      <c r="Q407" s="16"/>
      <c r="S407" s="1">
        <f t="shared" si="217"/>
        <v>0</v>
      </c>
      <c r="T407" s="1">
        <f t="shared" si="218"/>
        <v>0</v>
      </c>
      <c r="U407" s="1">
        <f t="shared" si="219"/>
        <v>0</v>
      </c>
      <c r="V407" s="1">
        <f t="shared" si="220"/>
        <v>0</v>
      </c>
      <c r="W407" s="1">
        <f t="shared" si="221"/>
        <v>0</v>
      </c>
      <c r="X407" s="1">
        <f t="shared" si="222"/>
        <v>0</v>
      </c>
      <c r="Y407" s="1">
        <f t="shared" si="223"/>
        <v>0</v>
      </c>
      <c r="Z407" s="1">
        <f t="shared" si="224"/>
        <v>0</v>
      </c>
      <c r="AA407" s="1">
        <f t="shared" si="225"/>
        <v>0</v>
      </c>
      <c r="AB407" s="1">
        <f t="shared" si="226"/>
        <v>0</v>
      </c>
      <c r="AD407" s="1">
        <f t="shared" si="227"/>
        <v>0</v>
      </c>
      <c r="AE407" s="1">
        <f t="shared" si="228"/>
        <v>0</v>
      </c>
      <c r="AF407" s="1">
        <f t="shared" si="229"/>
        <v>0</v>
      </c>
      <c r="AG407" s="1">
        <f t="shared" si="230"/>
        <v>0</v>
      </c>
      <c r="AH407" s="1">
        <f t="shared" si="231"/>
        <v>0</v>
      </c>
      <c r="AI407" s="1">
        <f t="shared" si="232"/>
        <v>0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71</v>
      </c>
      <c r="E408" s="45" t="s">
        <v>28</v>
      </c>
      <c r="F408" s="45" t="s">
        <v>1349</v>
      </c>
      <c r="G408" s="45" t="s">
        <v>259</v>
      </c>
      <c r="H408" s="45" t="s">
        <v>354</v>
      </c>
      <c r="I408" s="44" t="s">
        <v>418</v>
      </c>
      <c r="J408" s="44">
        <v>99</v>
      </c>
      <c r="K408" s="46" t="s">
        <v>713</v>
      </c>
      <c r="L408" s="46" t="s">
        <v>713</v>
      </c>
      <c r="M408" s="47" t="s">
        <v>731</v>
      </c>
      <c r="N408" s="47" t="s">
        <v>1802</v>
      </c>
      <c r="O408" s="48"/>
      <c r="P408" s="48"/>
      <c r="Q408" s="45"/>
      <c r="S408" s="1">
        <f t="shared" si="217"/>
        <v>0</v>
      </c>
      <c r="T408" s="1">
        <f t="shared" si="218"/>
        <v>0</v>
      </c>
      <c r="U408" s="1">
        <f t="shared" si="219"/>
        <v>0</v>
      </c>
      <c r="V408" s="1">
        <f t="shared" si="220"/>
        <v>0</v>
      </c>
      <c r="W408" s="1">
        <f t="shared" si="221"/>
        <v>0</v>
      </c>
      <c r="X408" s="1">
        <f t="shared" si="222"/>
        <v>0</v>
      </c>
      <c r="Y408" s="1">
        <f t="shared" si="223"/>
        <v>0</v>
      </c>
      <c r="Z408" s="1">
        <f t="shared" si="224"/>
        <v>0</v>
      </c>
      <c r="AA408" s="1">
        <f t="shared" si="225"/>
        <v>0</v>
      </c>
      <c r="AB408" s="1">
        <f t="shared" si="226"/>
        <v>0</v>
      </c>
      <c r="AD408" s="1">
        <f t="shared" si="227"/>
        <v>0</v>
      </c>
      <c r="AE408" s="1">
        <f t="shared" si="228"/>
        <v>0</v>
      </c>
      <c r="AF408" s="1">
        <f t="shared" si="229"/>
        <v>0</v>
      </c>
      <c r="AG408" s="1">
        <f t="shared" si="230"/>
        <v>0</v>
      </c>
      <c r="AH408" s="1">
        <f t="shared" si="231"/>
        <v>0</v>
      </c>
      <c r="AI408" s="1">
        <f t="shared" si="232"/>
        <v>1</v>
      </c>
    </row>
    <row r="409" spans="1:35" ht="14.25" customHeight="1" x14ac:dyDescent="0.25">
      <c r="A409" s="44">
        <v>0</v>
      </c>
      <c r="B409" s="44">
        <v>2</v>
      </c>
      <c r="C409" s="44">
        <v>7</v>
      </c>
      <c r="D409" s="45" t="s">
        <v>1062</v>
      </c>
      <c r="E409" s="45" t="s">
        <v>28</v>
      </c>
      <c r="F409" s="45" t="s">
        <v>1063</v>
      </c>
      <c r="G409" s="45" t="s">
        <v>1064</v>
      </c>
      <c r="H409" s="45" t="s">
        <v>354</v>
      </c>
      <c r="I409" s="44" t="s">
        <v>1065</v>
      </c>
      <c r="J409" s="44">
        <v>99</v>
      </c>
      <c r="K409" s="46" t="s">
        <v>713</v>
      </c>
      <c r="L409" s="46" t="s">
        <v>713</v>
      </c>
      <c r="M409" s="47" t="s">
        <v>731</v>
      </c>
      <c r="N409" s="47" t="s">
        <v>1802</v>
      </c>
      <c r="O409" s="48"/>
      <c r="P409" s="48"/>
      <c r="Q409" s="45"/>
      <c r="S409" s="1">
        <f t="shared" ref="S409:S474" si="233">IF(J409=$S$7,1,0)</f>
        <v>0</v>
      </c>
      <c r="T409" s="1">
        <f t="shared" ref="T409:T474" si="234">IF(J409=$T$7,1,0)</f>
        <v>0</v>
      </c>
      <c r="U409" s="1">
        <f t="shared" ref="U409:U474" si="235">IF(J409=$U$7,1,0)</f>
        <v>0</v>
      </c>
      <c r="V409" s="1">
        <f t="shared" ref="V409:V474" si="236">IF(J409=$V$7,1,0)</f>
        <v>0</v>
      </c>
      <c r="W409" s="1">
        <f t="shared" ref="W409:W474" si="237">IF(J409=$W$7,1,0)</f>
        <v>0</v>
      </c>
      <c r="X409" s="1">
        <f t="shared" ref="X409:X474" si="238">IF(J409=$X$7,1,0)</f>
        <v>0</v>
      </c>
      <c r="Y409" s="1">
        <f t="shared" ref="Y409:Y474" si="239">IF(J409=$Y$7,1,0)</f>
        <v>0</v>
      </c>
      <c r="Z409" s="1">
        <f t="shared" ref="Z409:Z474" si="240">IF(J409=$Z$7,1,0)</f>
        <v>0</v>
      </c>
      <c r="AA409" s="1">
        <f t="shared" ref="AA409:AA474" si="241">IF(J409=$AA$7,1,0)</f>
        <v>0</v>
      </c>
      <c r="AB409" s="1">
        <f t="shared" ref="AB409:AB474" si="242">IF(J409=$AB$7,1,0)</f>
        <v>0</v>
      </c>
      <c r="AD409" s="1">
        <f t="shared" ref="AD409:AD474" si="243">+O409*P409</f>
        <v>0</v>
      </c>
      <c r="AE409" s="1">
        <f t="shared" ref="AE409:AE474" si="244">O409*(1-P409)</f>
        <v>0</v>
      </c>
      <c r="AF409" s="1">
        <f t="shared" si="213"/>
        <v>0</v>
      </c>
      <c r="AG409" s="1">
        <f t="shared" si="214"/>
        <v>0</v>
      </c>
      <c r="AH409" s="1">
        <f t="shared" si="215"/>
        <v>0</v>
      </c>
      <c r="AI409" s="1">
        <f t="shared" si="216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1806</v>
      </c>
      <c r="E410" s="32" t="s">
        <v>156</v>
      </c>
      <c r="F410" s="32" t="s">
        <v>1807</v>
      </c>
      <c r="G410" s="32"/>
      <c r="H410" s="32" t="s">
        <v>354</v>
      </c>
      <c r="I410" s="31" t="s">
        <v>1808</v>
      </c>
      <c r="J410" s="31">
        <v>99</v>
      </c>
      <c r="K410" s="33" t="s">
        <v>703</v>
      </c>
      <c r="L410" s="33"/>
      <c r="M410" s="34"/>
      <c r="N410" s="34" t="s">
        <v>1727</v>
      </c>
      <c r="O410" s="35">
        <v>1</v>
      </c>
      <c r="P410" s="35">
        <v>1</v>
      </c>
      <c r="Q410" s="32"/>
      <c r="S410" s="1">
        <f t="shared" si="233"/>
        <v>0</v>
      </c>
      <c r="T410" s="1">
        <f t="shared" si="234"/>
        <v>0</v>
      </c>
      <c r="U410" s="1">
        <f t="shared" si="235"/>
        <v>0</v>
      </c>
      <c r="V410" s="1">
        <f t="shared" si="236"/>
        <v>0</v>
      </c>
      <c r="W410" s="1">
        <f t="shared" si="237"/>
        <v>0</v>
      </c>
      <c r="X410" s="1">
        <f t="shared" si="238"/>
        <v>0</v>
      </c>
      <c r="Y410" s="1">
        <f t="shared" si="239"/>
        <v>0</v>
      </c>
      <c r="Z410" s="1">
        <f t="shared" si="240"/>
        <v>0</v>
      </c>
      <c r="AA410" s="1">
        <f t="shared" si="241"/>
        <v>0</v>
      </c>
      <c r="AB410" s="1">
        <f t="shared" si="242"/>
        <v>0</v>
      </c>
      <c r="AD410" s="1">
        <f t="shared" si="243"/>
        <v>1</v>
      </c>
      <c r="AE410" s="1">
        <f t="shared" si="244"/>
        <v>0</v>
      </c>
      <c r="AF410" s="1">
        <f t="shared" si="213"/>
        <v>1</v>
      </c>
      <c r="AG410" s="1">
        <f t="shared" si="214"/>
        <v>0</v>
      </c>
      <c r="AH410" s="1">
        <f t="shared" si="215"/>
        <v>1</v>
      </c>
      <c r="AI410" s="1">
        <f t="shared" si="216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1178</v>
      </c>
      <c r="E411" s="32" t="s">
        <v>156</v>
      </c>
      <c r="F411" s="32" t="s">
        <v>1179</v>
      </c>
      <c r="G411" s="32" t="s">
        <v>293</v>
      </c>
      <c r="H411" s="32" t="s">
        <v>354</v>
      </c>
      <c r="I411" s="31" t="s">
        <v>1180</v>
      </c>
      <c r="J411" s="31">
        <v>99</v>
      </c>
      <c r="K411" s="33" t="s">
        <v>713</v>
      </c>
      <c r="L411" s="33" t="s">
        <v>722</v>
      </c>
      <c r="M411" s="34" t="s">
        <v>1434</v>
      </c>
      <c r="N411" s="34" t="s">
        <v>1748</v>
      </c>
      <c r="O411" s="35">
        <v>1</v>
      </c>
      <c r="P411" s="35"/>
      <c r="Q411" s="32"/>
      <c r="S411" s="1">
        <f t="shared" si="233"/>
        <v>0</v>
      </c>
      <c r="T411" s="1">
        <f t="shared" si="234"/>
        <v>0</v>
      </c>
      <c r="U411" s="1">
        <f t="shared" si="235"/>
        <v>0</v>
      </c>
      <c r="V411" s="1">
        <f t="shared" si="236"/>
        <v>0</v>
      </c>
      <c r="W411" s="1">
        <f t="shared" si="237"/>
        <v>0</v>
      </c>
      <c r="X411" s="1">
        <f t="shared" si="238"/>
        <v>0</v>
      </c>
      <c r="Y411" s="1">
        <f t="shared" si="239"/>
        <v>0</v>
      </c>
      <c r="Z411" s="1">
        <f t="shared" si="240"/>
        <v>0</v>
      </c>
      <c r="AA411" s="1">
        <f t="shared" si="241"/>
        <v>0</v>
      </c>
      <c r="AB411" s="1">
        <f t="shared" si="242"/>
        <v>0</v>
      </c>
      <c r="AD411" s="1">
        <f t="shared" si="243"/>
        <v>0</v>
      </c>
      <c r="AE411" s="1">
        <f t="shared" si="244"/>
        <v>1</v>
      </c>
      <c r="AF411" s="1">
        <f t="shared" si="213"/>
        <v>0</v>
      </c>
      <c r="AG411" s="1">
        <f t="shared" si="214"/>
        <v>1</v>
      </c>
      <c r="AH411" s="1">
        <f t="shared" si="215"/>
        <v>0</v>
      </c>
      <c r="AI411" s="1">
        <f t="shared" si="216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1153</v>
      </c>
      <c r="E412" s="32" t="s">
        <v>1154</v>
      </c>
      <c r="F412" s="36" t="s">
        <v>1878</v>
      </c>
      <c r="G412" s="32" t="s">
        <v>628</v>
      </c>
      <c r="H412" s="32" t="s">
        <v>354</v>
      </c>
      <c r="I412" s="31" t="s">
        <v>1155</v>
      </c>
      <c r="J412" s="31">
        <v>99</v>
      </c>
      <c r="K412" s="33" t="s">
        <v>713</v>
      </c>
      <c r="L412" s="33" t="s">
        <v>713</v>
      </c>
      <c r="M412" s="34" t="s">
        <v>731</v>
      </c>
      <c r="N412" s="34" t="s">
        <v>1743</v>
      </c>
      <c r="O412" s="35">
        <v>1</v>
      </c>
      <c r="P412" s="35"/>
      <c r="Q412" s="36" t="s">
        <v>1898</v>
      </c>
      <c r="S412" s="1">
        <f t="shared" si="233"/>
        <v>0</v>
      </c>
      <c r="T412" s="1">
        <f t="shared" si="234"/>
        <v>0</v>
      </c>
      <c r="U412" s="1">
        <f t="shared" si="235"/>
        <v>0</v>
      </c>
      <c r="V412" s="1">
        <f t="shared" si="236"/>
        <v>0</v>
      </c>
      <c r="W412" s="1">
        <f t="shared" si="237"/>
        <v>0</v>
      </c>
      <c r="X412" s="1">
        <f t="shared" si="238"/>
        <v>0</v>
      </c>
      <c r="Y412" s="1">
        <f t="shared" si="239"/>
        <v>0</v>
      </c>
      <c r="Z412" s="1">
        <f t="shared" si="240"/>
        <v>0</v>
      </c>
      <c r="AA412" s="1">
        <f t="shared" si="241"/>
        <v>0</v>
      </c>
      <c r="AB412" s="1">
        <f t="shared" si="242"/>
        <v>0</v>
      </c>
      <c r="AD412" s="1">
        <f t="shared" si="243"/>
        <v>0</v>
      </c>
      <c r="AE412" s="1">
        <f t="shared" si="244"/>
        <v>1</v>
      </c>
      <c r="AF412" s="1">
        <f t="shared" si="213"/>
        <v>0</v>
      </c>
      <c r="AG412" s="1">
        <f t="shared" si="214"/>
        <v>1</v>
      </c>
      <c r="AH412" s="1">
        <f t="shared" si="215"/>
        <v>0</v>
      </c>
      <c r="AI412" s="1">
        <f t="shared" si="216"/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542</v>
      </c>
      <c r="E413" s="32" t="s">
        <v>158</v>
      </c>
      <c r="F413" s="32" t="s">
        <v>195</v>
      </c>
      <c r="G413" s="32" t="s">
        <v>196</v>
      </c>
      <c r="H413" s="32" t="s">
        <v>354</v>
      </c>
      <c r="I413" s="31" t="s">
        <v>550</v>
      </c>
      <c r="J413" s="31">
        <v>99</v>
      </c>
      <c r="K413" s="33" t="s">
        <v>955</v>
      </c>
      <c r="L413" s="33" t="s">
        <v>696</v>
      </c>
      <c r="M413" s="34" t="s">
        <v>1436</v>
      </c>
      <c r="N413" s="34" t="s">
        <v>1748</v>
      </c>
      <c r="O413" s="35">
        <v>1</v>
      </c>
      <c r="P413" s="35"/>
      <c r="Q413" s="32"/>
      <c r="S413" s="1">
        <f t="shared" si="233"/>
        <v>0</v>
      </c>
      <c r="T413" s="1">
        <f t="shared" si="234"/>
        <v>0</v>
      </c>
      <c r="U413" s="1">
        <f t="shared" si="235"/>
        <v>0</v>
      </c>
      <c r="V413" s="1">
        <f t="shared" si="236"/>
        <v>0</v>
      </c>
      <c r="W413" s="1">
        <f t="shared" si="237"/>
        <v>0</v>
      </c>
      <c r="X413" s="1">
        <f t="shared" si="238"/>
        <v>0</v>
      </c>
      <c r="Y413" s="1">
        <f t="shared" si="239"/>
        <v>0</v>
      </c>
      <c r="Z413" s="1">
        <f t="shared" si="240"/>
        <v>0</v>
      </c>
      <c r="AA413" s="1">
        <f t="shared" si="241"/>
        <v>0</v>
      </c>
      <c r="AB413" s="1">
        <f t="shared" si="242"/>
        <v>0</v>
      </c>
      <c r="AD413" s="1">
        <f t="shared" si="243"/>
        <v>0</v>
      </c>
      <c r="AE413" s="1">
        <f t="shared" si="244"/>
        <v>1</v>
      </c>
      <c r="AF413" s="1">
        <f t="shared" si="213"/>
        <v>0</v>
      </c>
      <c r="AG413" s="1">
        <f t="shared" si="214"/>
        <v>1</v>
      </c>
      <c r="AH413" s="1">
        <f t="shared" si="215"/>
        <v>0</v>
      </c>
      <c r="AI413" s="1">
        <f t="shared" si="216"/>
        <v>1</v>
      </c>
    </row>
    <row r="414" spans="1:35" ht="14.25" customHeight="1" x14ac:dyDescent="0.25">
      <c r="A414" s="15">
        <v>0</v>
      </c>
      <c r="B414" s="15">
        <v>2</v>
      </c>
      <c r="C414" s="15">
        <v>7</v>
      </c>
      <c r="D414" s="16" t="s">
        <v>46</v>
      </c>
      <c r="E414" s="16" t="s">
        <v>156</v>
      </c>
      <c r="F414" s="16" t="s">
        <v>183</v>
      </c>
      <c r="G414" s="16" t="s">
        <v>179</v>
      </c>
      <c r="H414" s="16" t="s">
        <v>354</v>
      </c>
      <c r="I414" s="15" t="s">
        <v>382</v>
      </c>
      <c r="J414" s="15">
        <v>10</v>
      </c>
      <c r="K414" s="10" t="s">
        <v>955</v>
      </c>
      <c r="L414" s="10" t="s">
        <v>722</v>
      </c>
      <c r="M414" s="19" t="s">
        <v>1434</v>
      </c>
      <c r="N414" s="19"/>
      <c r="Q414" s="16"/>
      <c r="S414" s="1">
        <f t="shared" si="233"/>
        <v>0</v>
      </c>
      <c r="T414" s="1">
        <f t="shared" si="234"/>
        <v>0</v>
      </c>
      <c r="U414" s="1">
        <f t="shared" si="235"/>
        <v>0</v>
      </c>
      <c r="V414" s="1">
        <f t="shared" si="236"/>
        <v>0</v>
      </c>
      <c r="W414" s="1">
        <f t="shared" si="237"/>
        <v>0</v>
      </c>
      <c r="X414" s="1">
        <f t="shared" si="238"/>
        <v>0</v>
      </c>
      <c r="Y414" s="1">
        <f t="shared" si="239"/>
        <v>0</v>
      </c>
      <c r="Z414" s="1">
        <f t="shared" si="240"/>
        <v>0</v>
      </c>
      <c r="AA414" s="1">
        <f t="shared" si="241"/>
        <v>0</v>
      </c>
      <c r="AB414" s="1">
        <f t="shared" si="242"/>
        <v>1</v>
      </c>
      <c r="AD414" s="1">
        <f t="shared" si="243"/>
        <v>0</v>
      </c>
      <c r="AE414" s="1">
        <f t="shared" si="244"/>
        <v>0</v>
      </c>
      <c r="AF414" s="1">
        <f t="shared" si="213"/>
        <v>0</v>
      </c>
      <c r="AG414" s="1">
        <f t="shared" si="214"/>
        <v>0</v>
      </c>
      <c r="AH414" s="1">
        <f t="shared" si="215"/>
        <v>0</v>
      </c>
      <c r="AI414" s="1">
        <f t="shared" si="216"/>
        <v>1</v>
      </c>
    </row>
    <row r="415" spans="1:35" ht="14.25" customHeight="1" x14ac:dyDescent="0.25">
      <c r="A415" s="44">
        <v>0</v>
      </c>
      <c r="B415" s="44">
        <v>2</v>
      </c>
      <c r="C415" s="44">
        <v>7</v>
      </c>
      <c r="D415" s="45" t="s">
        <v>67</v>
      </c>
      <c r="E415" s="45" t="s">
        <v>28</v>
      </c>
      <c r="F415" s="45" t="s">
        <v>248</v>
      </c>
      <c r="G415" s="45" t="s">
        <v>249</v>
      </c>
      <c r="H415" s="45" t="s">
        <v>354</v>
      </c>
      <c r="I415" s="44" t="s">
        <v>411</v>
      </c>
      <c r="J415" s="44">
        <v>7</v>
      </c>
      <c r="K415" s="46" t="s">
        <v>713</v>
      </c>
      <c r="L415" s="46" t="s">
        <v>713</v>
      </c>
      <c r="M415" s="47" t="s">
        <v>731</v>
      </c>
      <c r="N415" s="47" t="s">
        <v>1734</v>
      </c>
      <c r="O415" s="48"/>
      <c r="P415" s="48"/>
      <c r="Q415" s="45"/>
      <c r="S415" s="1">
        <f t="shared" si="233"/>
        <v>0</v>
      </c>
      <c r="T415" s="1">
        <f t="shared" si="234"/>
        <v>0</v>
      </c>
      <c r="U415" s="1">
        <f t="shared" si="235"/>
        <v>0</v>
      </c>
      <c r="V415" s="1">
        <f t="shared" si="236"/>
        <v>0</v>
      </c>
      <c r="W415" s="1">
        <f t="shared" si="237"/>
        <v>0</v>
      </c>
      <c r="X415" s="1">
        <f t="shared" si="238"/>
        <v>0</v>
      </c>
      <c r="Y415" s="1">
        <f t="shared" si="239"/>
        <v>1</v>
      </c>
      <c r="Z415" s="1">
        <f t="shared" si="240"/>
        <v>0</v>
      </c>
      <c r="AA415" s="1">
        <f t="shared" si="241"/>
        <v>0</v>
      </c>
      <c r="AB415" s="1">
        <f t="shared" si="242"/>
        <v>0</v>
      </c>
      <c r="AD415" s="1">
        <f t="shared" si="243"/>
        <v>0</v>
      </c>
      <c r="AE415" s="1">
        <f t="shared" si="244"/>
        <v>0</v>
      </c>
      <c r="AF415" s="1">
        <f t="shared" si="213"/>
        <v>0</v>
      </c>
      <c r="AG415" s="1">
        <f t="shared" si="214"/>
        <v>0</v>
      </c>
      <c r="AH415" s="1">
        <f t="shared" si="215"/>
        <v>0</v>
      </c>
      <c r="AI415" s="1">
        <f t="shared" si="216"/>
        <v>1</v>
      </c>
    </row>
    <row r="416" spans="1:35" ht="14.25" customHeight="1" x14ac:dyDescent="0.25">
      <c r="A416" s="44">
        <v>1</v>
      </c>
      <c r="B416" s="44">
        <v>2</v>
      </c>
      <c r="C416" s="44">
        <v>7</v>
      </c>
      <c r="D416" s="45" t="s">
        <v>67</v>
      </c>
      <c r="E416" s="45" t="s">
        <v>28</v>
      </c>
      <c r="F416" s="45" t="s">
        <v>1039</v>
      </c>
      <c r="G416" s="45" t="s">
        <v>539</v>
      </c>
      <c r="H416" s="45" t="s">
        <v>354</v>
      </c>
      <c r="I416" s="44" t="s">
        <v>30</v>
      </c>
      <c r="J416" s="44">
        <v>1</v>
      </c>
      <c r="K416" s="46" t="s">
        <v>713</v>
      </c>
      <c r="L416" s="46" t="s">
        <v>713</v>
      </c>
      <c r="M416" s="47" t="s">
        <v>731</v>
      </c>
      <c r="N416" s="47" t="s">
        <v>1734</v>
      </c>
      <c r="O416" s="48"/>
      <c r="P416" s="48"/>
      <c r="Q416" s="45"/>
      <c r="S416" s="1">
        <f t="shared" si="233"/>
        <v>1</v>
      </c>
      <c r="T416" s="1">
        <f t="shared" si="234"/>
        <v>0</v>
      </c>
      <c r="U416" s="1">
        <f t="shared" si="235"/>
        <v>0</v>
      </c>
      <c r="V416" s="1">
        <f t="shared" si="236"/>
        <v>0</v>
      </c>
      <c r="W416" s="1">
        <f t="shared" si="237"/>
        <v>0</v>
      </c>
      <c r="X416" s="1">
        <f t="shared" si="238"/>
        <v>0</v>
      </c>
      <c r="Y416" s="1">
        <f t="shared" si="239"/>
        <v>0</v>
      </c>
      <c r="Z416" s="1">
        <f t="shared" si="240"/>
        <v>0</v>
      </c>
      <c r="AA416" s="1">
        <f t="shared" si="241"/>
        <v>0</v>
      </c>
      <c r="AB416" s="1">
        <f t="shared" si="242"/>
        <v>0</v>
      </c>
      <c r="AD416" s="1">
        <f t="shared" si="243"/>
        <v>0</v>
      </c>
      <c r="AE416" s="1">
        <f t="shared" si="244"/>
        <v>0</v>
      </c>
      <c r="AF416" s="1">
        <f t="shared" si="213"/>
        <v>0</v>
      </c>
      <c r="AG416" s="1">
        <f t="shared" si="214"/>
        <v>0</v>
      </c>
      <c r="AH416" s="1">
        <f t="shared" si="215"/>
        <v>0</v>
      </c>
      <c r="AI416" s="1">
        <f t="shared" si="216"/>
        <v>0</v>
      </c>
    </row>
    <row r="417" spans="1:35" ht="14.25" customHeight="1" x14ac:dyDescent="0.25">
      <c r="A417" s="44">
        <v>1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250</v>
      </c>
      <c r="G417" s="45" t="s">
        <v>200</v>
      </c>
      <c r="H417" s="45" t="s">
        <v>354</v>
      </c>
      <c r="I417" s="44" t="s">
        <v>412</v>
      </c>
      <c r="J417" s="44">
        <v>2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1">
        <f t="shared" si="233"/>
        <v>0</v>
      </c>
      <c r="T417" s="1">
        <f t="shared" si="234"/>
        <v>1</v>
      </c>
      <c r="U417" s="1">
        <f t="shared" si="235"/>
        <v>0</v>
      </c>
      <c r="V417" s="1">
        <f t="shared" si="236"/>
        <v>0</v>
      </c>
      <c r="W417" s="1">
        <f t="shared" si="237"/>
        <v>0</v>
      </c>
      <c r="X417" s="1">
        <f t="shared" si="238"/>
        <v>0</v>
      </c>
      <c r="Y417" s="1">
        <f t="shared" si="239"/>
        <v>0</v>
      </c>
      <c r="Z417" s="1">
        <f t="shared" si="240"/>
        <v>0</v>
      </c>
      <c r="AA417" s="1">
        <f t="shared" si="241"/>
        <v>0</v>
      </c>
      <c r="AB417" s="1">
        <f t="shared" si="242"/>
        <v>0</v>
      </c>
      <c r="AD417" s="1">
        <f t="shared" si="243"/>
        <v>0</v>
      </c>
      <c r="AE417" s="1">
        <f t="shared" si="244"/>
        <v>0</v>
      </c>
      <c r="AF417" s="1">
        <f t="shared" si="213"/>
        <v>0</v>
      </c>
      <c r="AG417" s="1">
        <f t="shared" si="214"/>
        <v>0</v>
      </c>
      <c r="AH417" s="1">
        <f t="shared" si="215"/>
        <v>0</v>
      </c>
      <c r="AI417" s="1">
        <f t="shared" si="216"/>
        <v>0</v>
      </c>
    </row>
    <row r="418" spans="1:35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247</v>
      </c>
      <c r="G418" s="45" t="s">
        <v>1351</v>
      </c>
      <c r="H418" s="45" t="s">
        <v>354</v>
      </c>
      <c r="I418" s="44" t="s">
        <v>30</v>
      </c>
      <c r="J418" s="44">
        <v>1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 t="s">
        <v>1917</v>
      </c>
      <c r="S418" s="1">
        <f t="shared" si="233"/>
        <v>1</v>
      </c>
      <c r="T418" s="1">
        <f t="shared" si="234"/>
        <v>0</v>
      </c>
      <c r="U418" s="1">
        <f t="shared" si="235"/>
        <v>0</v>
      </c>
      <c r="V418" s="1">
        <f t="shared" si="236"/>
        <v>0</v>
      </c>
      <c r="W418" s="1">
        <f t="shared" si="237"/>
        <v>0</v>
      </c>
      <c r="X418" s="1">
        <f t="shared" si="238"/>
        <v>0</v>
      </c>
      <c r="Y418" s="1">
        <f t="shared" si="239"/>
        <v>0</v>
      </c>
      <c r="Z418" s="1">
        <f t="shared" si="240"/>
        <v>0</v>
      </c>
      <c r="AA418" s="1">
        <f t="shared" si="241"/>
        <v>0</v>
      </c>
      <c r="AB418" s="1">
        <f t="shared" si="242"/>
        <v>0</v>
      </c>
      <c r="AD418" s="1">
        <f t="shared" si="243"/>
        <v>0</v>
      </c>
      <c r="AE418" s="1">
        <f t="shared" si="244"/>
        <v>0</v>
      </c>
      <c r="AF418" s="1">
        <f t="shared" si="213"/>
        <v>0</v>
      </c>
      <c r="AG418" s="1">
        <f t="shared" si="214"/>
        <v>0</v>
      </c>
      <c r="AH418" s="1">
        <f t="shared" si="215"/>
        <v>0</v>
      </c>
      <c r="AI418" s="1">
        <f t="shared" si="216"/>
        <v>0</v>
      </c>
    </row>
    <row r="419" spans="1:35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252</v>
      </c>
      <c r="G419" s="45" t="s">
        <v>194</v>
      </c>
      <c r="H419" s="45" t="s">
        <v>354</v>
      </c>
      <c r="I419" s="44" t="s">
        <v>413</v>
      </c>
      <c r="J419" s="44">
        <v>9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33"/>
        <v>0</v>
      </c>
      <c r="T419" s="1">
        <f t="shared" si="234"/>
        <v>0</v>
      </c>
      <c r="U419" s="1">
        <f t="shared" si="235"/>
        <v>0</v>
      </c>
      <c r="V419" s="1">
        <f t="shared" si="236"/>
        <v>0</v>
      </c>
      <c r="W419" s="1">
        <f t="shared" si="237"/>
        <v>0</v>
      </c>
      <c r="X419" s="1">
        <f t="shared" si="238"/>
        <v>0</v>
      </c>
      <c r="Y419" s="1">
        <f t="shared" si="239"/>
        <v>0</v>
      </c>
      <c r="Z419" s="1">
        <f t="shared" si="240"/>
        <v>0</v>
      </c>
      <c r="AA419" s="1">
        <f t="shared" si="241"/>
        <v>1</v>
      </c>
      <c r="AB419" s="1">
        <f t="shared" si="242"/>
        <v>0</v>
      </c>
      <c r="AD419" s="1">
        <f t="shared" si="243"/>
        <v>0</v>
      </c>
      <c r="AE419" s="1">
        <f t="shared" si="244"/>
        <v>0</v>
      </c>
      <c r="AF419" s="1">
        <f t="shared" si="213"/>
        <v>0</v>
      </c>
      <c r="AG419" s="1">
        <f t="shared" si="214"/>
        <v>0</v>
      </c>
      <c r="AH419" s="1">
        <f t="shared" si="215"/>
        <v>0</v>
      </c>
      <c r="AI419" s="1">
        <f t="shared" si="216"/>
        <v>0</v>
      </c>
    </row>
    <row r="420" spans="1:35" ht="14.25" customHeight="1" x14ac:dyDescent="0.25">
      <c r="A420" s="44">
        <v>0</v>
      </c>
      <c r="B420" s="44">
        <v>2</v>
      </c>
      <c r="C420" s="44">
        <v>7</v>
      </c>
      <c r="D420" s="45" t="s">
        <v>1023</v>
      </c>
      <c r="E420" s="45" t="s">
        <v>28</v>
      </c>
      <c r="F420" s="45" t="s">
        <v>1024</v>
      </c>
      <c r="G420" s="45" t="s">
        <v>194</v>
      </c>
      <c r="H420" s="45" t="s">
        <v>354</v>
      </c>
      <c r="I420" s="44" t="s">
        <v>1025</v>
      </c>
      <c r="J420" s="44">
        <v>9</v>
      </c>
      <c r="K420" s="46" t="s">
        <v>712</v>
      </c>
      <c r="L420" s="46" t="s">
        <v>713</v>
      </c>
      <c r="M420" s="47" t="s">
        <v>731</v>
      </c>
      <c r="N420" s="47" t="s">
        <v>1735</v>
      </c>
      <c r="O420" s="48"/>
      <c r="P420" s="48"/>
      <c r="Q420" s="45"/>
      <c r="S420" s="1">
        <f t="shared" si="233"/>
        <v>0</v>
      </c>
      <c r="T420" s="1">
        <f t="shared" si="234"/>
        <v>0</v>
      </c>
      <c r="U420" s="1">
        <f t="shared" si="235"/>
        <v>0</v>
      </c>
      <c r="V420" s="1">
        <f t="shared" si="236"/>
        <v>0</v>
      </c>
      <c r="W420" s="1">
        <f t="shared" si="237"/>
        <v>0</v>
      </c>
      <c r="X420" s="1">
        <f t="shared" si="238"/>
        <v>0</v>
      </c>
      <c r="Y420" s="1">
        <f t="shared" si="239"/>
        <v>0</v>
      </c>
      <c r="Z420" s="1">
        <f t="shared" si="240"/>
        <v>0</v>
      </c>
      <c r="AA420" s="1">
        <f t="shared" si="241"/>
        <v>1</v>
      </c>
      <c r="AB420" s="1">
        <f t="shared" si="242"/>
        <v>0</v>
      </c>
      <c r="AD420" s="1">
        <f t="shared" si="243"/>
        <v>0</v>
      </c>
      <c r="AE420" s="1">
        <f t="shared" si="244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1833</v>
      </c>
      <c r="E421" s="32" t="s">
        <v>1834</v>
      </c>
      <c r="F421" s="32" t="s">
        <v>1835</v>
      </c>
      <c r="G421" s="32" t="s">
        <v>207</v>
      </c>
      <c r="H421" s="32" t="s">
        <v>354</v>
      </c>
      <c r="I421" s="31" t="s">
        <v>30</v>
      </c>
      <c r="J421" s="31"/>
      <c r="K421" s="33" t="s">
        <v>703</v>
      </c>
      <c r="L421" s="33">
        <v>20</v>
      </c>
      <c r="M421" s="34" t="s">
        <v>1836</v>
      </c>
      <c r="N421" s="34" t="s">
        <v>1743</v>
      </c>
      <c r="O421" s="35">
        <v>1</v>
      </c>
      <c r="P421" s="35"/>
      <c r="Q421" s="32"/>
      <c r="S421" s="1">
        <f t="shared" si="233"/>
        <v>0</v>
      </c>
      <c r="T421" s="1">
        <f t="shared" si="234"/>
        <v>0</v>
      </c>
      <c r="U421" s="1">
        <f t="shared" si="235"/>
        <v>0</v>
      </c>
      <c r="V421" s="1">
        <f t="shared" si="236"/>
        <v>0</v>
      </c>
      <c r="W421" s="1">
        <f t="shared" si="237"/>
        <v>0</v>
      </c>
      <c r="X421" s="1">
        <f t="shared" si="238"/>
        <v>0</v>
      </c>
      <c r="Y421" s="1">
        <f t="shared" si="239"/>
        <v>0</v>
      </c>
      <c r="Z421" s="1">
        <f t="shared" si="240"/>
        <v>0</v>
      </c>
      <c r="AA421" s="1">
        <f t="shared" si="241"/>
        <v>0</v>
      </c>
      <c r="AB421" s="1">
        <f t="shared" si="242"/>
        <v>0</v>
      </c>
      <c r="AD421" s="1">
        <f t="shared" si="243"/>
        <v>0</v>
      </c>
      <c r="AE421" s="1">
        <f t="shared" si="244"/>
        <v>1</v>
      </c>
      <c r="AF421" s="1">
        <f t="shared" si="213"/>
        <v>0</v>
      </c>
      <c r="AG421" s="1">
        <f t="shared" si="214"/>
        <v>1</v>
      </c>
      <c r="AH421" s="1">
        <f t="shared" si="215"/>
        <v>0</v>
      </c>
      <c r="AI421" s="1">
        <f t="shared" si="216"/>
        <v>1</v>
      </c>
    </row>
    <row r="422" spans="1:35" ht="14.25" customHeight="1" x14ac:dyDescent="0.25">
      <c r="A422" s="49">
        <v>0</v>
      </c>
      <c r="B422" s="49">
        <v>2</v>
      </c>
      <c r="C422" s="49">
        <v>7</v>
      </c>
      <c r="D422" s="50" t="s">
        <v>1079</v>
      </c>
      <c r="E422" s="50" t="s">
        <v>544</v>
      </c>
      <c r="F422" s="50" t="s">
        <v>1060</v>
      </c>
      <c r="G422" s="50" t="s">
        <v>238</v>
      </c>
      <c r="H422" s="50" t="s">
        <v>354</v>
      </c>
      <c r="I422" s="49" t="s">
        <v>1061</v>
      </c>
      <c r="J422" s="49">
        <v>99</v>
      </c>
      <c r="K422" s="51" t="s">
        <v>955</v>
      </c>
      <c r="L422" s="51" t="s">
        <v>722</v>
      </c>
      <c r="M422" s="52" t="s">
        <v>1437</v>
      </c>
      <c r="N422" s="52" t="s">
        <v>1743</v>
      </c>
      <c r="O422" s="53">
        <v>1</v>
      </c>
      <c r="P422" s="53"/>
      <c r="Q422" s="50"/>
      <c r="S422" s="1">
        <f t="shared" ref="S422:S426" si="245">IF(J422=$S$7,1,0)</f>
        <v>0</v>
      </c>
      <c r="T422" s="1">
        <f t="shared" ref="T422:T426" si="246">IF(J422=$T$7,1,0)</f>
        <v>0</v>
      </c>
      <c r="U422" s="1">
        <f t="shared" ref="U422:U426" si="247">IF(J422=$U$7,1,0)</f>
        <v>0</v>
      </c>
      <c r="V422" s="1">
        <f t="shared" ref="V422:V426" si="248">IF(J422=$V$7,1,0)</f>
        <v>0</v>
      </c>
      <c r="W422" s="1">
        <f t="shared" ref="W422:W426" si="249">IF(J422=$W$7,1,0)</f>
        <v>0</v>
      </c>
      <c r="X422" s="1">
        <f t="shared" ref="X422:X426" si="250">IF(J422=$X$7,1,0)</f>
        <v>0</v>
      </c>
      <c r="Y422" s="1">
        <f t="shared" ref="Y422:Y426" si="251">IF(J422=$Y$7,1,0)</f>
        <v>0</v>
      </c>
      <c r="Z422" s="1">
        <f t="shared" ref="Z422:Z426" si="252">IF(J422=$Z$7,1,0)</f>
        <v>0</v>
      </c>
      <c r="AA422" s="1">
        <f t="shared" ref="AA422:AA426" si="253">IF(J422=$AA$7,1,0)</f>
        <v>0</v>
      </c>
      <c r="AB422" s="1">
        <f t="shared" ref="AB422:AB426" si="254">IF(J422=$AB$7,1,0)</f>
        <v>0</v>
      </c>
      <c r="AD422" s="1">
        <f t="shared" ref="AD422:AD426" si="255">+O422*P422</f>
        <v>0</v>
      </c>
      <c r="AE422" s="1">
        <f t="shared" ref="AE422:AE426" si="256">O422*(1-P422)</f>
        <v>1</v>
      </c>
      <c r="AF422" s="1">
        <f t="shared" ref="AF422:AF426" si="257">+O422*P422*(1-A422)</f>
        <v>0</v>
      </c>
      <c r="AG422" s="1">
        <f t="shared" ref="AG422:AG426" si="258">O422*(1-P422)*(1-A422)</f>
        <v>1</v>
      </c>
      <c r="AH422" s="1">
        <f t="shared" ref="AH422:AH426" si="259">+P422*(1-A422)</f>
        <v>0</v>
      </c>
      <c r="AI422" s="1">
        <f t="shared" ref="AI422:AI426" si="260">+(1-A422)*(1-P422)</f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1226</v>
      </c>
      <c r="E423" s="32" t="s">
        <v>156</v>
      </c>
      <c r="F423" s="32" t="s">
        <v>1227</v>
      </c>
      <c r="G423" s="32" t="s">
        <v>251</v>
      </c>
      <c r="H423" s="32" t="s">
        <v>354</v>
      </c>
      <c r="I423" s="31" t="s">
        <v>1228</v>
      </c>
      <c r="J423" s="31">
        <v>99</v>
      </c>
      <c r="K423" s="33" t="s">
        <v>713</v>
      </c>
      <c r="L423" s="33">
        <v>10</v>
      </c>
      <c r="M423" s="34" t="s">
        <v>1746</v>
      </c>
      <c r="N423" s="34" t="s">
        <v>1727</v>
      </c>
      <c r="O423" s="35">
        <v>1</v>
      </c>
      <c r="P423" s="35">
        <v>1</v>
      </c>
      <c r="Q423" s="32"/>
      <c r="S423" s="1">
        <f t="shared" si="245"/>
        <v>0</v>
      </c>
      <c r="T423" s="1">
        <f t="shared" si="246"/>
        <v>0</v>
      </c>
      <c r="U423" s="1">
        <f t="shared" si="247"/>
        <v>0</v>
      </c>
      <c r="V423" s="1">
        <f t="shared" si="248"/>
        <v>0</v>
      </c>
      <c r="W423" s="1">
        <f t="shared" si="249"/>
        <v>0</v>
      </c>
      <c r="X423" s="1">
        <f t="shared" si="250"/>
        <v>0</v>
      </c>
      <c r="Y423" s="1">
        <f t="shared" si="251"/>
        <v>0</v>
      </c>
      <c r="Z423" s="1">
        <f t="shared" si="252"/>
        <v>0</v>
      </c>
      <c r="AA423" s="1">
        <f t="shared" si="253"/>
        <v>0</v>
      </c>
      <c r="AB423" s="1">
        <f t="shared" si="254"/>
        <v>0</v>
      </c>
      <c r="AD423" s="1">
        <f t="shared" si="255"/>
        <v>1</v>
      </c>
      <c r="AE423" s="1">
        <f t="shared" si="256"/>
        <v>0</v>
      </c>
      <c r="AF423" s="1">
        <f t="shared" si="257"/>
        <v>1</v>
      </c>
      <c r="AG423" s="1">
        <f t="shared" si="258"/>
        <v>0</v>
      </c>
      <c r="AH423" s="1">
        <f t="shared" si="259"/>
        <v>1</v>
      </c>
      <c r="AI423" s="1">
        <f t="shared" si="260"/>
        <v>0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6" t="s">
        <v>1803</v>
      </c>
      <c r="E424" s="36" t="s">
        <v>28</v>
      </c>
      <c r="F424" s="36" t="s">
        <v>1804</v>
      </c>
      <c r="G424" s="36" t="s">
        <v>180</v>
      </c>
      <c r="H424" s="36" t="s">
        <v>354</v>
      </c>
      <c r="I424" s="37" t="s">
        <v>1805</v>
      </c>
      <c r="J424" s="31">
        <v>10</v>
      </c>
      <c r="K424" s="33" t="s">
        <v>703</v>
      </c>
      <c r="L424" s="33">
        <v>10</v>
      </c>
      <c r="M424" s="34"/>
      <c r="N424" s="34" t="s">
        <v>1727</v>
      </c>
      <c r="O424" s="35">
        <v>1</v>
      </c>
      <c r="P424" s="35">
        <v>1</v>
      </c>
      <c r="Q424" s="36"/>
      <c r="S424" s="1">
        <f t="shared" si="245"/>
        <v>0</v>
      </c>
      <c r="T424" s="1">
        <f t="shared" si="246"/>
        <v>0</v>
      </c>
      <c r="U424" s="1">
        <f t="shared" si="247"/>
        <v>0</v>
      </c>
      <c r="V424" s="1">
        <f t="shared" si="248"/>
        <v>0</v>
      </c>
      <c r="W424" s="1">
        <f t="shared" si="249"/>
        <v>0</v>
      </c>
      <c r="X424" s="1">
        <f t="shared" si="250"/>
        <v>0</v>
      </c>
      <c r="Y424" s="1">
        <f t="shared" si="251"/>
        <v>0</v>
      </c>
      <c r="Z424" s="1">
        <f t="shared" si="252"/>
        <v>0</v>
      </c>
      <c r="AA424" s="1">
        <f t="shared" si="253"/>
        <v>0</v>
      </c>
      <c r="AB424" s="1">
        <f t="shared" si="254"/>
        <v>1</v>
      </c>
      <c r="AD424" s="1">
        <f t="shared" si="255"/>
        <v>1</v>
      </c>
      <c r="AE424" s="1">
        <f t="shared" si="256"/>
        <v>0</v>
      </c>
      <c r="AF424" s="1">
        <f t="shared" si="257"/>
        <v>1</v>
      </c>
      <c r="AG424" s="1">
        <f t="shared" si="258"/>
        <v>0</v>
      </c>
      <c r="AH424" s="1">
        <f t="shared" si="259"/>
        <v>1</v>
      </c>
      <c r="AI424" s="1">
        <f t="shared" si="260"/>
        <v>0</v>
      </c>
    </row>
    <row r="425" spans="1:35" ht="14.25" customHeight="1" x14ac:dyDescent="0.25">
      <c r="A425" s="37">
        <v>0</v>
      </c>
      <c r="B425" s="37">
        <v>2</v>
      </c>
      <c r="C425" s="37">
        <v>7</v>
      </c>
      <c r="D425" s="36" t="s">
        <v>1585</v>
      </c>
      <c r="E425" s="36" t="s">
        <v>1651</v>
      </c>
      <c r="F425" s="36" t="s">
        <v>1586</v>
      </c>
      <c r="G425" s="36" t="s">
        <v>656</v>
      </c>
      <c r="H425" s="36" t="s">
        <v>354</v>
      </c>
      <c r="I425" s="37" t="s">
        <v>1587</v>
      </c>
      <c r="J425" s="37">
        <v>99</v>
      </c>
      <c r="K425" s="33" t="s">
        <v>713</v>
      </c>
      <c r="L425" s="33" t="s">
        <v>39</v>
      </c>
      <c r="M425" s="34" t="s">
        <v>39</v>
      </c>
      <c r="N425" s="34" t="s">
        <v>1727</v>
      </c>
      <c r="O425" s="35">
        <v>1</v>
      </c>
      <c r="P425" s="35">
        <v>1</v>
      </c>
      <c r="Q425" s="36"/>
      <c r="S425" s="1">
        <f t="shared" si="245"/>
        <v>0</v>
      </c>
      <c r="T425" s="1">
        <f t="shared" si="246"/>
        <v>0</v>
      </c>
      <c r="U425" s="1">
        <f t="shared" si="247"/>
        <v>0</v>
      </c>
      <c r="V425" s="1">
        <f t="shared" si="248"/>
        <v>0</v>
      </c>
      <c r="W425" s="1">
        <f t="shared" si="249"/>
        <v>0</v>
      </c>
      <c r="X425" s="1">
        <f t="shared" si="250"/>
        <v>0</v>
      </c>
      <c r="Y425" s="1">
        <f t="shared" si="251"/>
        <v>0</v>
      </c>
      <c r="Z425" s="1">
        <f t="shared" si="252"/>
        <v>0</v>
      </c>
      <c r="AA425" s="1">
        <f t="shared" si="253"/>
        <v>0</v>
      </c>
      <c r="AB425" s="1">
        <f t="shared" si="254"/>
        <v>0</v>
      </c>
      <c r="AD425" s="1">
        <f t="shared" si="255"/>
        <v>1</v>
      </c>
      <c r="AE425" s="1">
        <f t="shared" si="256"/>
        <v>0</v>
      </c>
      <c r="AF425" s="1">
        <f t="shared" si="257"/>
        <v>1</v>
      </c>
      <c r="AG425" s="1">
        <f t="shared" si="258"/>
        <v>0</v>
      </c>
      <c r="AH425" s="1">
        <f t="shared" si="259"/>
        <v>1</v>
      </c>
      <c r="AI425" s="1">
        <f t="shared" si="260"/>
        <v>0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1537</v>
      </c>
      <c r="E426" s="45" t="s">
        <v>28</v>
      </c>
      <c r="F426" s="45" t="s">
        <v>1662</v>
      </c>
      <c r="G426" s="45" t="s">
        <v>287</v>
      </c>
      <c r="H426" s="45" t="s">
        <v>354</v>
      </c>
      <c r="I426" s="44" t="s">
        <v>1688</v>
      </c>
      <c r="J426" s="44">
        <v>99</v>
      </c>
      <c r="K426" s="46" t="s">
        <v>713</v>
      </c>
      <c r="L426" s="46" t="s">
        <v>713</v>
      </c>
      <c r="M426" s="47" t="s">
        <v>731</v>
      </c>
      <c r="N426" s="47" t="s">
        <v>1735</v>
      </c>
      <c r="O426" s="48"/>
      <c r="P426" s="48"/>
      <c r="Q426" s="45"/>
      <c r="S426" s="1">
        <f t="shared" si="245"/>
        <v>0</v>
      </c>
      <c r="T426" s="1">
        <f t="shared" si="246"/>
        <v>0</v>
      </c>
      <c r="U426" s="1">
        <f t="shared" si="247"/>
        <v>0</v>
      </c>
      <c r="V426" s="1">
        <f t="shared" si="248"/>
        <v>0</v>
      </c>
      <c r="W426" s="1">
        <f t="shared" si="249"/>
        <v>0</v>
      </c>
      <c r="X426" s="1">
        <f t="shared" si="250"/>
        <v>0</v>
      </c>
      <c r="Y426" s="1">
        <f t="shared" si="251"/>
        <v>0</v>
      </c>
      <c r="Z426" s="1">
        <f t="shared" si="252"/>
        <v>0</v>
      </c>
      <c r="AA426" s="1">
        <f t="shared" si="253"/>
        <v>0</v>
      </c>
      <c r="AB426" s="1">
        <f t="shared" si="254"/>
        <v>0</v>
      </c>
      <c r="AD426" s="1">
        <f t="shared" si="255"/>
        <v>0</v>
      </c>
      <c r="AE426" s="1">
        <f t="shared" si="256"/>
        <v>0</v>
      </c>
      <c r="AF426" s="1">
        <f t="shared" si="257"/>
        <v>0</v>
      </c>
      <c r="AG426" s="1">
        <f t="shared" si="258"/>
        <v>0</v>
      </c>
      <c r="AH426" s="1">
        <f t="shared" si="259"/>
        <v>0</v>
      </c>
      <c r="AI426" s="1">
        <f t="shared" si="260"/>
        <v>1</v>
      </c>
    </row>
    <row r="427" spans="1:35" ht="14.25" customHeight="1" x14ac:dyDescent="0.25">
      <c r="A427" s="44">
        <v>0</v>
      </c>
      <c r="B427" s="44">
        <v>2</v>
      </c>
      <c r="C427" s="44">
        <v>7</v>
      </c>
      <c r="D427" s="45" t="s">
        <v>1328</v>
      </c>
      <c r="E427" s="45" t="s">
        <v>28</v>
      </c>
      <c r="F427" s="45" t="s">
        <v>572</v>
      </c>
      <c r="G427" s="45" t="s">
        <v>181</v>
      </c>
      <c r="H427" s="45" t="s">
        <v>354</v>
      </c>
      <c r="I427" s="44" t="s">
        <v>430</v>
      </c>
      <c r="J427" s="44">
        <v>7</v>
      </c>
      <c r="K427" s="46" t="s">
        <v>712</v>
      </c>
      <c r="L427" s="46" t="s">
        <v>713</v>
      </c>
      <c r="M427" s="47" t="s">
        <v>731</v>
      </c>
      <c r="N427" s="47" t="s">
        <v>1735</v>
      </c>
      <c r="O427" s="48"/>
      <c r="P427" s="48"/>
      <c r="Q427" s="45"/>
      <c r="S427" s="1">
        <f t="shared" si="233"/>
        <v>0</v>
      </c>
      <c r="T427" s="1">
        <f t="shared" si="234"/>
        <v>0</v>
      </c>
      <c r="U427" s="1">
        <f t="shared" si="235"/>
        <v>0</v>
      </c>
      <c r="V427" s="1">
        <f t="shared" si="236"/>
        <v>0</v>
      </c>
      <c r="W427" s="1">
        <f t="shared" si="237"/>
        <v>0</v>
      </c>
      <c r="X427" s="1">
        <f t="shared" si="238"/>
        <v>0</v>
      </c>
      <c r="Y427" s="1">
        <f t="shared" si="239"/>
        <v>1</v>
      </c>
      <c r="Z427" s="1">
        <f t="shared" si="240"/>
        <v>0</v>
      </c>
      <c r="AA427" s="1">
        <f t="shared" si="241"/>
        <v>0</v>
      </c>
      <c r="AB427" s="1">
        <f t="shared" si="242"/>
        <v>0</v>
      </c>
      <c r="AD427" s="1">
        <f t="shared" si="243"/>
        <v>0</v>
      </c>
      <c r="AE427" s="1">
        <f t="shared" si="244"/>
        <v>0</v>
      </c>
      <c r="AF427" s="1">
        <f t="shared" si="213"/>
        <v>0</v>
      </c>
      <c r="AG427" s="1">
        <f t="shared" si="214"/>
        <v>0</v>
      </c>
      <c r="AH427" s="1">
        <f t="shared" si="215"/>
        <v>0</v>
      </c>
      <c r="AI427" s="1">
        <f t="shared" si="216"/>
        <v>1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72</v>
      </c>
      <c r="E428" s="45" t="s">
        <v>28</v>
      </c>
      <c r="F428" s="65" t="s">
        <v>1875</v>
      </c>
      <c r="G428" s="45" t="s">
        <v>235</v>
      </c>
      <c r="H428" s="45" t="s">
        <v>354</v>
      </c>
      <c r="I428" s="44" t="s">
        <v>680</v>
      </c>
      <c r="J428" s="44">
        <v>99</v>
      </c>
      <c r="K428" s="46" t="s">
        <v>713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233"/>
        <v>0</v>
      </c>
      <c r="T428" s="1">
        <f t="shared" si="234"/>
        <v>0</v>
      </c>
      <c r="U428" s="1">
        <f t="shared" si="235"/>
        <v>0</v>
      </c>
      <c r="V428" s="1">
        <f t="shared" si="236"/>
        <v>0</v>
      </c>
      <c r="W428" s="1">
        <f t="shared" si="237"/>
        <v>0</v>
      </c>
      <c r="X428" s="1">
        <f t="shared" si="238"/>
        <v>0</v>
      </c>
      <c r="Y428" s="1">
        <f t="shared" si="239"/>
        <v>0</v>
      </c>
      <c r="Z428" s="1">
        <f t="shared" si="240"/>
        <v>0</v>
      </c>
      <c r="AA428" s="1">
        <f t="shared" si="241"/>
        <v>0</v>
      </c>
      <c r="AB428" s="1">
        <f t="shared" si="242"/>
        <v>0</v>
      </c>
      <c r="AD428" s="1">
        <f t="shared" si="243"/>
        <v>0</v>
      </c>
      <c r="AE428" s="1">
        <f t="shared" si="244"/>
        <v>0</v>
      </c>
      <c r="AF428" s="1">
        <f t="shared" si="213"/>
        <v>0</v>
      </c>
      <c r="AG428" s="1">
        <f t="shared" si="214"/>
        <v>0</v>
      </c>
      <c r="AH428" s="1">
        <f t="shared" si="215"/>
        <v>0</v>
      </c>
      <c r="AI428" s="1">
        <f t="shared" si="216"/>
        <v>1</v>
      </c>
    </row>
    <row r="429" spans="1:35" ht="14.25" customHeight="1" x14ac:dyDescent="0.25">
      <c r="A429" s="44">
        <v>1</v>
      </c>
      <c r="B429" s="44">
        <v>2</v>
      </c>
      <c r="C429" s="44">
        <v>7</v>
      </c>
      <c r="D429" s="45" t="s">
        <v>72</v>
      </c>
      <c r="E429" s="45" t="s">
        <v>28</v>
      </c>
      <c r="F429" s="45" t="s">
        <v>261</v>
      </c>
      <c r="G429" s="45" t="s">
        <v>220</v>
      </c>
      <c r="H429" s="45" t="s">
        <v>354</v>
      </c>
      <c r="I429" s="44" t="s">
        <v>420</v>
      </c>
      <c r="J429" s="44">
        <v>8</v>
      </c>
      <c r="K429" s="46" t="s">
        <v>713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33"/>
        <v>0</v>
      </c>
      <c r="T429" s="1">
        <f t="shared" si="234"/>
        <v>0</v>
      </c>
      <c r="U429" s="1">
        <f t="shared" si="235"/>
        <v>0</v>
      </c>
      <c r="V429" s="1">
        <f t="shared" si="236"/>
        <v>0</v>
      </c>
      <c r="W429" s="1">
        <f t="shared" si="237"/>
        <v>0</v>
      </c>
      <c r="X429" s="1">
        <f t="shared" si="238"/>
        <v>0</v>
      </c>
      <c r="Y429" s="1">
        <f t="shared" si="239"/>
        <v>0</v>
      </c>
      <c r="Z429" s="1">
        <f t="shared" si="240"/>
        <v>1</v>
      </c>
      <c r="AA429" s="1">
        <f t="shared" si="241"/>
        <v>0</v>
      </c>
      <c r="AB429" s="1">
        <f t="shared" si="242"/>
        <v>0</v>
      </c>
      <c r="AD429" s="1">
        <f t="shared" si="243"/>
        <v>0</v>
      </c>
      <c r="AE429" s="1">
        <f t="shared" si="244"/>
        <v>0</v>
      </c>
      <c r="AF429" s="1">
        <f t="shared" si="213"/>
        <v>0</v>
      </c>
      <c r="AG429" s="1">
        <f t="shared" si="214"/>
        <v>0</v>
      </c>
      <c r="AH429" s="1">
        <f t="shared" si="215"/>
        <v>0</v>
      </c>
      <c r="AI429" s="1">
        <f t="shared" si="216"/>
        <v>0</v>
      </c>
    </row>
    <row r="430" spans="1:35" ht="14.25" customHeight="1" x14ac:dyDescent="0.25">
      <c r="A430" s="44">
        <v>1</v>
      </c>
      <c r="B430" s="44">
        <v>2</v>
      </c>
      <c r="C430" s="44">
        <v>7</v>
      </c>
      <c r="D430" s="45" t="s">
        <v>72</v>
      </c>
      <c r="E430" s="45" t="s">
        <v>28</v>
      </c>
      <c r="F430" s="45" t="s">
        <v>260</v>
      </c>
      <c r="G430" s="45" t="s">
        <v>178</v>
      </c>
      <c r="H430" s="45" t="s">
        <v>354</v>
      </c>
      <c r="I430" s="44" t="s">
        <v>419</v>
      </c>
      <c r="J430" s="44">
        <v>1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33"/>
        <v>1</v>
      </c>
      <c r="T430" s="1">
        <f t="shared" si="234"/>
        <v>0</v>
      </c>
      <c r="U430" s="1">
        <f t="shared" si="235"/>
        <v>0</v>
      </c>
      <c r="V430" s="1">
        <f t="shared" si="236"/>
        <v>0</v>
      </c>
      <c r="W430" s="1">
        <f t="shared" si="237"/>
        <v>0</v>
      </c>
      <c r="X430" s="1">
        <f t="shared" si="238"/>
        <v>0</v>
      </c>
      <c r="Y430" s="1">
        <f t="shared" si="239"/>
        <v>0</v>
      </c>
      <c r="Z430" s="1">
        <f t="shared" si="240"/>
        <v>0</v>
      </c>
      <c r="AA430" s="1">
        <f t="shared" si="241"/>
        <v>0</v>
      </c>
      <c r="AB430" s="1">
        <f t="shared" si="242"/>
        <v>0</v>
      </c>
      <c r="AD430" s="1">
        <f t="shared" si="243"/>
        <v>0</v>
      </c>
      <c r="AE430" s="1">
        <f t="shared" si="244"/>
        <v>0</v>
      </c>
      <c r="AF430" s="1">
        <f t="shared" si="213"/>
        <v>0</v>
      </c>
      <c r="AG430" s="1">
        <f t="shared" si="214"/>
        <v>0</v>
      </c>
      <c r="AH430" s="1">
        <f t="shared" si="215"/>
        <v>0</v>
      </c>
      <c r="AI430" s="1">
        <f t="shared" si="216"/>
        <v>0</v>
      </c>
    </row>
    <row r="431" spans="1:35" ht="14.25" customHeight="1" x14ac:dyDescent="0.25">
      <c r="A431" s="15">
        <v>0</v>
      </c>
      <c r="B431" s="15">
        <v>2</v>
      </c>
      <c r="C431" s="15">
        <v>7</v>
      </c>
      <c r="D431" s="16" t="s">
        <v>778</v>
      </c>
      <c r="E431" s="16" t="s">
        <v>28</v>
      </c>
      <c r="F431" s="16" t="s">
        <v>779</v>
      </c>
      <c r="G431" s="16" t="s">
        <v>279</v>
      </c>
      <c r="H431" s="16" t="s">
        <v>354</v>
      </c>
      <c r="I431" s="15" t="s">
        <v>780</v>
      </c>
      <c r="J431" s="15">
        <v>99</v>
      </c>
      <c r="K431" s="10" t="s">
        <v>713</v>
      </c>
      <c r="L431" s="10" t="s">
        <v>713</v>
      </c>
      <c r="M431" s="19" t="s">
        <v>731</v>
      </c>
      <c r="N431" s="17"/>
      <c r="Q431" s="16"/>
      <c r="S431" s="1">
        <f t="shared" si="233"/>
        <v>0</v>
      </c>
      <c r="T431" s="1">
        <f t="shared" si="234"/>
        <v>0</v>
      </c>
      <c r="U431" s="1">
        <f t="shared" si="235"/>
        <v>0</v>
      </c>
      <c r="V431" s="1">
        <f t="shared" si="236"/>
        <v>0</v>
      </c>
      <c r="W431" s="1">
        <f t="shared" si="237"/>
        <v>0</v>
      </c>
      <c r="X431" s="1">
        <f t="shared" si="238"/>
        <v>0</v>
      </c>
      <c r="Y431" s="1">
        <f t="shared" si="239"/>
        <v>0</v>
      </c>
      <c r="Z431" s="1">
        <f t="shared" si="240"/>
        <v>0</v>
      </c>
      <c r="AA431" s="1">
        <f t="shared" si="241"/>
        <v>0</v>
      </c>
      <c r="AB431" s="1">
        <f t="shared" si="242"/>
        <v>0</v>
      </c>
      <c r="AD431" s="1">
        <f t="shared" si="243"/>
        <v>0</v>
      </c>
      <c r="AE431" s="1">
        <f t="shared" si="244"/>
        <v>0</v>
      </c>
      <c r="AF431" s="1">
        <f t="shared" si="213"/>
        <v>0</v>
      </c>
      <c r="AG431" s="1">
        <f t="shared" si="214"/>
        <v>0</v>
      </c>
      <c r="AH431" s="1">
        <f t="shared" si="215"/>
        <v>0</v>
      </c>
      <c r="AI431" s="1">
        <f t="shared" si="216"/>
        <v>1</v>
      </c>
    </row>
    <row r="432" spans="1:35" ht="14.25" customHeight="1" x14ac:dyDescent="0.25">
      <c r="A432" s="15">
        <v>0</v>
      </c>
      <c r="B432" s="15">
        <v>2</v>
      </c>
      <c r="C432" s="15">
        <v>7</v>
      </c>
      <c r="D432" s="16" t="s">
        <v>85</v>
      </c>
      <c r="E432" s="16" t="s">
        <v>28</v>
      </c>
      <c r="F432" s="16" t="s">
        <v>278</v>
      </c>
      <c r="G432" s="16" t="s">
        <v>279</v>
      </c>
      <c r="H432" s="16" t="s">
        <v>354</v>
      </c>
      <c r="I432" s="15" t="s">
        <v>434</v>
      </c>
      <c r="J432" s="15">
        <v>99</v>
      </c>
      <c r="K432" s="10" t="s">
        <v>713</v>
      </c>
      <c r="L432" s="10" t="s">
        <v>713</v>
      </c>
      <c r="M432" s="19" t="s">
        <v>731</v>
      </c>
      <c r="N432" s="17"/>
      <c r="Q432" s="16"/>
      <c r="S432" s="1">
        <f t="shared" si="233"/>
        <v>0</v>
      </c>
      <c r="T432" s="1">
        <f t="shared" si="234"/>
        <v>0</v>
      </c>
      <c r="U432" s="1">
        <f t="shared" si="235"/>
        <v>0</v>
      </c>
      <c r="V432" s="1">
        <f t="shared" si="236"/>
        <v>0</v>
      </c>
      <c r="W432" s="1">
        <f t="shared" si="237"/>
        <v>0</v>
      </c>
      <c r="X432" s="1">
        <f t="shared" si="238"/>
        <v>0</v>
      </c>
      <c r="Y432" s="1">
        <f t="shared" si="239"/>
        <v>0</v>
      </c>
      <c r="Z432" s="1">
        <f t="shared" si="240"/>
        <v>0</v>
      </c>
      <c r="AA432" s="1">
        <f t="shared" si="241"/>
        <v>0</v>
      </c>
      <c r="AB432" s="1">
        <f t="shared" si="242"/>
        <v>0</v>
      </c>
      <c r="AD432" s="1">
        <f t="shared" si="243"/>
        <v>0</v>
      </c>
      <c r="AE432" s="1">
        <f t="shared" si="244"/>
        <v>0</v>
      </c>
      <c r="AF432" s="1">
        <f t="shared" si="213"/>
        <v>0</v>
      </c>
      <c r="AG432" s="1">
        <f t="shared" si="214"/>
        <v>0</v>
      </c>
      <c r="AH432" s="1">
        <f t="shared" si="215"/>
        <v>0</v>
      </c>
      <c r="AI432" s="1">
        <f t="shared" si="216"/>
        <v>1</v>
      </c>
    </row>
    <row r="433" spans="1:35" ht="14.25" customHeight="1" x14ac:dyDescent="0.25">
      <c r="A433" s="37">
        <v>0</v>
      </c>
      <c r="B433" s="37">
        <v>2</v>
      </c>
      <c r="C433" s="37">
        <v>7</v>
      </c>
      <c r="D433" s="36" t="s">
        <v>1937</v>
      </c>
      <c r="E433" s="36" t="s">
        <v>28</v>
      </c>
      <c r="F433" s="36" t="s">
        <v>1938</v>
      </c>
      <c r="G433" s="36" t="s">
        <v>185</v>
      </c>
      <c r="H433" s="36" t="s">
        <v>354</v>
      </c>
      <c r="I433" s="37" t="s">
        <v>1939</v>
      </c>
      <c r="J433" s="37">
        <v>99</v>
      </c>
      <c r="K433" s="33" t="s">
        <v>703</v>
      </c>
      <c r="L433" s="33">
        <v>4</v>
      </c>
      <c r="M433" s="34" t="s">
        <v>731</v>
      </c>
      <c r="N433" s="34" t="s">
        <v>1743</v>
      </c>
      <c r="O433" s="35">
        <v>1</v>
      </c>
      <c r="P433" s="35"/>
      <c r="Q433" s="36" t="s">
        <v>1940</v>
      </c>
      <c r="S433" s="1">
        <f t="shared" si="233"/>
        <v>0</v>
      </c>
      <c r="T433" s="1">
        <f t="shared" si="234"/>
        <v>0</v>
      </c>
      <c r="U433" s="1">
        <f t="shared" si="235"/>
        <v>0</v>
      </c>
      <c r="V433" s="1">
        <f t="shared" si="236"/>
        <v>0</v>
      </c>
      <c r="W433" s="1">
        <f t="shared" si="237"/>
        <v>0</v>
      </c>
      <c r="X433" s="1">
        <f t="shared" si="238"/>
        <v>0</v>
      </c>
      <c r="Y433" s="1">
        <f t="shared" si="239"/>
        <v>0</v>
      </c>
      <c r="Z433" s="1">
        <f t="shared" si="240"/>
        <v>0</v>
      </c>
      <c r="AA433" s="1">
        <f t="shared" si="241"/>
        <v>0</v>
      </c>
      <c r="AB433" s="1">
        <f t="shared" si="242"/>
        <v>0</v>
      </c>
      <c r="AD433" s="1">
        <f t="shared" si="243"/>
        <v>0</v>
      </c>
      <c r="AE433" s="1">
        <f t="shared" si="244"/>
        <v>1</v>
      </c>
      <c r="AF433" s="1">
        <f t="shared" si="213"/>
        <v>0</v>
      </c>
      <c r="AG433" s="1">
        <f t="shared" si="214"/>
        <v>1</v>
      </c>
      <c r="AH433" s="1">
        <f t="shared" si="215"/>
        <v>0</v>
      </c>
      <c r="AI433" s="1">
        <f t="shared" si="216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553</v>
      </c>
      <c r="E434" s="45" t="s">
        <v>28</v>
      </c>
      <c r="F434" s="65" t="s">
        <v>1876</v>
      </c>
      <c r="G434" s="45" t="s">
        <v>556</v>
      </c>
      <c r="H434" s="45" t="s">
        <v>354</v>
      </c>
      <c r="I434" s="44" t="s">
        <v>557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1802</v>
      </c>
      <c r="O434" s="48"/>
      <c r="P434" s="48"/>
      <c r="Q434" s="45"/>
      <c r="S434" s="1">
        <f t="shared" si="233"/>
        <v>0</v>
      </c>
      <c r="T434" s="1">
        <f t="shared" si="234"/>
        <v>0</v>
      </c>
      <c r="U434" s="1">
        <f t="shared" si="235"/>
        <v>0</v>
      </c>
      <c r="V434" s="1">
        <f t="shared" si="236"/>
        <v>0</v>
      </c>
      <c r="W434" s="1">
        <f t="shared" si="237"/>
        <v>0</v>
      </c>
      <c r="X434" s="1">
        <f t="shared" si="238"/>
        <v>0</v>
      </c>
      <c r="Y434" s="1">
        <f t="shared" si="239"/>
        <v>0</v>
      </c>
      <c r="Z434" s="1">
        <f t="shared" si="240"/>
        <v>0</v>
      </c>
      <c r="AA434" s="1">
        <f t="shared" si="241"/>
        <v>0</v>
      </c>
      <c r="AB434" s="1">
        <f t="shared" si="242"/>
        <v>0</v>
      </c>
      <c r="AD434" s="1">
        <f t="shared" si="243"/>
        <v>0</v>
      </c>
      <c r="AE434" s="1">
        <f t="shared" si="244"/>
        <v>0</v>
      </c>
      <c r="AF434" s="1">
        <f t="shared" si="213"/>
        <v>0</v>
      </c>
      <c r="AG434" s="1">
        <f t="shared" si="214"/>
        <v>0</v>
      </c>
      <c r="AH434" s="1">
        <f t="shared" si="215"/>
        <v>0</v>
      </c>
      <c r="AI434" s="1">
        <f t="shared" si="216"/>
        <v>1</v>
      </c>
    </row>
    <row r="435" spans="1:35" ht="14.25" customHeight="1" x14ac:dyDescent="0.25">
      <c r="A435" s="44">
        <v>1</v>
      </c>
      <c r="B435" s="44">
        <v>2</v>
      </c>
      <c r="C435" s="44">
        <v>7</v>
      </c>
      <c r="D435" s="45" t="s">
        <v>553</v>
      </c>
      <c r="E435" s="45" t="s">
        <v>28</v>
      </c>
      <c r="F435" s="65" t="s">
        <v>1877</v>
      </c>
      <c r="G435" s="45" t="s">
        <v>554</v>
      </c>
      <c r="H435" s="45" t="s">
        <v>354</v>
      </c>
      <c r="I435" s="44" t="s">
        <v>555</v>
      </c>
      <c r="J435" s="44">
        <v>99</v>
      </c>
      <c r="K435" s="46" t="s">
        <v>713</v>
      </c>
      <c r="L435" s="46" t="s">
        <v>713</v>
      </c>
      <c r="M435" s="47" t="s">
        <v>731</v>
      </c>
      <c r="N435" s="47" t="s">
        <v>1802</v>
      </c>
      <c r="O435" s="48"/>
      <c r="P435" s="48"/>
      <c r="Q435" s="45"/>
      <c r="S435" s="1">
        <f t="shared" si="233"/>
        <v>0</v>
      </c>
      <c r="T435" s="1">
        <f t="shared" si="234"/>
        <v>0</v>
      </c>
      <c r="U435" s="1">
        <f t="shared" si="235"/>
        <v>0</v>
      </c>
      <c r="V435" s="1">
        <f t="shared" si="236"/>
        <v>0</v>
      </c>
      <c r="W435" s="1">
        <f t="shared" si="237"/>
        <v>0</v>
      </c>
      <c r="X435" s="1">
        <f t="shared" si="238"/>
        <v>0</v>
      </c>
      <c r="Y435" s="1">
        <f t="shared" si="239"/>
        <v>0</v>
      </c>
      <c r="Z435" s="1">
        <f t="shared" si="240"/>
        <v>0</v>
      </c>
      <c r="AA435" s="1">
        <f t="shared" si="241"/>
        <v>0</v>
      </c>
      <c r="AB435" s="1">
        <f t="shared" si="242"/>
        <v>0</v>
      </c>
      <c r="AD435" s="1">
        <f t="shared" si="243"/>
        <v>0</v>
      </c>
      <c r="AE435" s="1">
        <f t="shared" si="244"/>
        <v>0</v>
      </c>
      <c r="AF435" s="1">
        <f t="shared" si="213"/>
        <v>0</v>
      </c>
      <c r="AG435" s="1">
        <f t="shared" si="214"/>
        <v>0</v>
      </c>
      <c r="AH435" s="1">
        <f t="shared" si="215"/>
        <v>0</v>
      </c>
      <c r="AI435" s="1">
        <f t="shared" si="216"/>
        <v>0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1185</v>
      </c>
      <c r="E436" s="45" t="s">
        <v>28</v>
      </c>
      <c r="F436" s="45" t="s">
        <v>1678</v>
      </c>
      <c r="G436" s="45" t="s">
        <v>235</v>
      </c>
      <c r="H436" s="45" t="s">
        <v>354</v>
      </c>
      <c r="I436" s="44" t="s">
        <v>1366</v>
      </c>
      <c r="J436" s="44">
        <v>99</v>
      </c>
      <c r="K436" s="46" t="s">
        <v>712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233"/>
        <v>0</v>
      </c>
      <c r="T436" s="1">
        <f t="shared" si="234"/>
        <v>0</v>
      </c>
      <c r="U436" s="1">
        <f t="shared" si="235"/>
        <v>0</v>
      </c>
      <c r="V436" s="1">
        <f t="shared" si="236"/>
        <v>0</v>
      </c>
      <c r="W436" s="1">
        <f t="shared" si="237"/>
        <v>0</v>
      </c>
      <c r="X436" s="1">
        <f t="shared" si="238"/>
        <v>0</v>
      </c>
      <c r="Y436" s="1">
        <f t="shared" si="239"/>
        <v>0</v>
      </c>
      <c r="Z436" s="1">
        <f t="shared" si="240"/>
        <v>0</v>
      </c>
      <c r="AA436" s="1">
        <f t="shared" si="241"/>
        <v>0</v>
      </c>
      <c r="AB436" s="1">
        <f t="shared" si="242"/>
        <v>0</v>
      </c>
      <c r="AD436" s="1">
        <f t="shared" si="243"/>
        <v>0</v>
      </c>
      <c r="AE436" s="1">
        <f t="shared" si="244"/>
        <v>0</v>
      </c>
      <c r="AF436" s="1">
        <f t="shared" si="213"/>
        <v>0</v>
      </c>
      <c r="AG436" s="1">
        <f t="shared" si="214"/>
        <v>0</v>
      </c>
      <c r="AH436" s="1">
        <f t="shared" si="215"/>
        <v>0</v>
      </c>
      <c r="AI436" s="1">
        <f t="shared" si="216"/>
        <v>1</v>
      </c>
    </row>
    <row r="437" spans="1:35" ht="14.25" customHeight="1" x14ac:dyDescent="0.25">
      <c r="A437" s="44">
        <v>1</v>
      </c>
      <c r="B437" s="44">
        <v>2</v>
      </c>
      <c r="C437" s="44">
        <v>7</v>
      </c>
      <c r="D437" s="45" t="s">
        <v>1185</v>
      </c>
      <c r="E437" s="45" t="s">
        <v>28</v>
      </c>
      <c r="F437" s="45" t="s">
        <v>1679</v>
      </c>
      <c r="G437" s="45" t="s">
        <v>1352</v>
      </c>
      <c r="H437" s="45" t="s">
        <v>354</v>
      </c>
      <c r="I437" s="44" t="s">
        <v>1367</v>
      </c>
      <c r="J437" s="44">
        <v>99</v>
      </c>
      <c r="K437" s="46" t="s">
        <v>712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233"/>
        <v>0</v>
      </c>
      <c r="T437" s="1">
        <f t="shared" si="234"/>
        <v>0</v>
      </c>
      <c r="U437" s="1">
        <f t="shared" si="235"/>
        <v>0</v>
      </c>
      <c r="V437" s="1">
        <f t="shared" si="236"/>
        <v>0</v>
      </c>
      <c r="W437" s="1">
        <f t="shared" si="237"/>
        <v>0</v>
      </c>
      <c r="X437" s="1">
        <f t="shared" si="238"/>
        <v>0</v>
      </c>
      <c r="Y437" s="1">
        <f t="shared" si="239"/>
        <v>0</v>
      </c>
      <c r="Z437" s="1">
        <f t="shared" si="240"/>
        <v>0</v>
      </c>
      <c r="AA437" s="1">
        <f t="shared" si="241"/>
        <v>0</v>
      </c>
      <c r="AB437" s="1">
        <f t="shared" si="242"/>
        <v>0</v>
      </c>
      <c r="AD437" s="1">
        <f t="shared" si="243"/>
        <v>0</v>
      </c>
      <c r="AE437" s="1">
        <f t="shared" si="244"/>
        <v>0</v>
      </c>
      <c r="AF437" s="1">
        <f t="shared" si="213"/>
        <v>0</v>
      </c>
      <c r="AG437" s="1">
        <f t="shared" si="214"/>
        <v>0</v>
      </c>
      <c r="AH437" s="1">
        <f t="shared" si="215"/>
        <v>0</v>
      </c>
      <c r="AI437" s="1">
        <f t="shared" si="216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1253</v>
      </c>
      <c r="E438" s="32" t="s">
        <v>28</v>
      </c>
      <c r="F438" s="32" t="s">
        <v>1252</v>
      </c>
      <c r="G438" s="32" t="s">
        <v>1237</v>
      </c>
      <c r="H438" s="32" t="s">
        <v>354</v>
      </c>
      <c r="I438" s="31" t="s">
        <v>1254</v>
      </c>
      <c r="J438" s="31">
        <v>99</v>
      </c>
      <c r="K438" s="33" t="s">
        <v>703</v>
      </c>
      <c r="L438" s="33" t="s">
        <v>713</v>
      </c>
      <c r="M438" s="34" t="s">
        <v>731</v>
      </c>
      <c r="N438" s="34" t="s">
        <v>1743</v>
      </c>
      <c r="O438" s="35">
        <v>1</v>
      </c>
      <c r="P438" s="35"/>
      <c r="Q438" s="32"/>
      <c r="S438" s="1">
        <f t="shared" si="233"/>
        <v>0</v>
      </c>
      <c r="T438" s="1">
        <f t="shared" si="234"/>
        <v>0</v>
      </c>
      <c r="U438" s="1">
        <f t="shared" si="235"/>
        <v>0</v>
      </c>
      <c r="V438" s="1">
        <f t="shared" si="236"/>
        <v>0</v>
      </c>
      <c r="W438" s="1">
        <f t="shared" si="237"/>
        <v>0</v>
      </c>
      <c r="X438" s="1">
        <f t="shared" si="238"/>
        <v>0</v>
      </c>
      <c r="Y438" s="1">
        <f t="shared" si="239"/>
        <v>0</v>
      </c>
      <c r="Z438" s="1">
        <f t="shared" si="240"/>
        <v>0</v>
      </c>
      <c r="AA438" s="1">
        <f t="shared" si="241"/>
        <v>0</v>
      </c>
      <c r="AB438" s="1">
        <f t="shared" si="242"/>
        <v>0</v>
      </c>
      <c r="AD438" s="1">
        <f t="shared" si="243"/>
        <v>0</v>
      </c>
      <c r="AE438" s="1">
        <f t="shared" si="244"/>
        <v>1</v>
      </c>
      <c r="AF438" s="1">
        <f t="shared" si="213"/>
        <v>0</v>
      </c>
      <c r="AG438" s="1">
        <f t="shared" si="214"/>
        <v>1</v>
      </c>
      <c r="AH438" s="1">
        <f t="shared" si="215"/>
        <v>0</v>
      </c>
      <c r="AI438" s="1">
        <f t="shared" si="216"/>
        <v>1</v>
      </c>
    </row>
    <row r="439" spans="1:35" ht="14.25" customHeight="1" x14ac:dyDescent="0.25">
      <c r="A439" s="31">
        <v>1</v>
      </c>
      <c r="B439" s="31">
        <v>2</v>
      </c>
      <c r="C439" s="31">
        <v>7</v>
      </c>
      <c r="D439" s="32" t="s">
        <v>1253</v>
      </c>
      <c r="E439" s="32" t="s">
        <v>28</v>
      </c>
      <c r="F439" s="32" t="s">
        <v>1251</v>
      </c>
      <c r="G439" s="32" t="s">
        <v>39</v>
      </c>
      <c r="H439" s="32" t="s">
        <v>354</v>
      </c>
      <c r="I439" s="31" t="s">
        <v>1255</v>
      </c>
      <c r="J439" s="31">
        <v>9</v>
      </c>
      <c r="K439" s="33" t="s">
        <v>703</v>
      </c>
      <c r="L439" s="33" t="s">
        <v>713</v>
      </c>
      <c r="M439" s="34" t="s">
        <v>731</v>
      </c>
      <c r="N439" s="34" t="s">
        <v>1743</v>
      </c>
      <c r="O439" s="35">
        <v>1</v>
      </c>
      <c r="P439" s="35"/>
      <c r="Q439" s="32"/>
      <c r="S439" s="1">
        <f t="shared" si="233"/>
        <v>0</v>
      </c>
      <c r="T439" s="1">
        <f t="shared" si="234"/>
        <v>0</v>
      </c>
      <c r="U439" s="1">
        <f t="shared" si="235"/>
        <v>0</v>
      </c>
      <c r="V439" s="1">
        <f t="shared" si="236"/>
        <v>0</v>
      </c>
      <c r="W439" s="1">
        <f t="shared" si="237"/>
        <v>0</v>
      </c>
      <c r="X439" s="1">
        <f t="shared" si="238"/>
        <v>0</v>
      </c>
      <c r="Y439" s="1">
        <f t="shared" si="239"/>
        <v>0</v>
      </c>
      <c r="Z439" s="1">
        <f t="shared" si="240"/>
        <v>0</v>
      </c>
      <c r="AA439" s="1">
        <f t="shared" si="241"/>
        <v>1</v>
      </c>
      <c r="AB439" s="1">
        <f t="shared" si="242"/>
        <v>0</v>
      </c>
      <c r="AD439" s="1">
        <f t="shared" si="243"/>
        <v>0</v>
      </c>
      <c r="AE439" s="1">
        <f t="shared" si="244"/>
        <v>1</v>
      </c>
      <c r="AF439" s="1">
        <f t="shared" si="213"/>
        <v>0</v>
      </c>
      <c r="AG439" s="1">
        <f t="shared" si="214"/>
        <v>0</v>
      </c>
      <c r="AH439" s="1">
        <f t="shared" si="215"/>
        <v>0</v>
      </c>
      <c r="AI439" s="1">
        <f t="shared" si="216"/>
        <v>0</v>
      </c>
    </row>
    <row r="440" spans="1:35" ht="14.25" customHeight="1" x14ac:dyDescent="0.25">
      <c r="A440" s="31">
        <v>1</v>
      </c>
      <c r="B440" s="31">
        <v>2</v>
      </c>
      <c r="C440" s="31">
        <v>7</v>
      </c>
      <c r="D440" s="32" t="s">
        <v>1253</v>
      </c>
      <c r="E440" s="32" t="s">
        <v>28</v>
      </c>
      <c r="F440" s="36" t="s">
        <v>1824</v>
      </c>
      <c r="G440" s="36" t="s">
        <v>258</v>
      </c>
      <c r="H440" s="32" t="s">
        <v>354</v>
      </c>
      <c r="I440" s="37" t="s">
        <v>30</v>
      </c>
      <c r="J440" s="31">
        <v>8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1">
        <f t="shared" si="233"/>
        <v>0</v>
      </c>
      <c r="T440" s="1">
        <f t="shared" si="234"/>
        <v>0</v>
      </c>
      <c r="U440" s="1">
        <f t="shared" si="235"/>
        <v>0</v>
      </c>
      <c r="V440" s="1">
        <f t="shared" si="236"/>
        <v>0</v>
      </c>
      <c r="W440" s="1">
        <f t="shared" si="237"/>
        <v>0</v>
      </c>
      <c r="X440" s="1">
        <f t="shared" si="238"/>
        <v>0</v>
      </c>
      <c r="Y440" s="1">
        <f t="shared" si="239"/>
        <v>0</v>
      </c>
      <c r="Z440" s="1">
        <f t="shared" si="240"/>
        <v>1</v>
      </c>
      <c r="AA440" s="1">
        <f t="shared" si="241"/>
        <v>0</v>
      </c>
      <c r="AB440" s="1">
        <f t="shared" si="242"/>
        <v>0</v>
      </c>
      <c r="AD440" s="1">
        <f t="shared" si="243"/>
        <v>0</v>
      </c>
      <c r="AE440" s="1">
        <f t="shared" si="244"/>
        <v>1</v>
      </c>
      <c r="AF440" s="1">
        <f t="shared" si="213"/>
        <v>0</v>
      </c>
      <c r="AG440" s="1">
        <f t="shared" si="214"/>
        <v>0</v>
      </c>
      <c r="AH440" s="1">
        <f t="shared" si="215"/>
        <v>0</v>
      </c>
      <c r="AI440" s="1">
        <f t="shared" si="216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51</v>
      </c>
      <c r="E441" s="32" t="s">
        <v>28</v>
      </c>
      <c r="F441" s="32" t="s">
        <v>674</v>
      </c>
      <c r="G441" s="32" t="s">
        <v>185</v>
      </c>
      <c r="H441" s="32" t="s">
        <v>354</v>
      </c>
      <c r="I441" s="31" t="s">
        <v>390</v>
      </c>
      <c r="J441" s="31">
        <v>99</v>
      </c>
      <c r="K441" s="33" t="s">
        <v>712</v>
      </c>
      <c r="L441" s="33" t="s">
        <v>713</v>
      </c>
      <c r="M441" s="34" t="s">
        <v>731</v>
      </c>
      <c r="N441" s="34" t="s">
        <v>1749</v>
      </c>
      <c r="O441" s="35">
        <v>1</v>
      </c>
      <c r="P441" s="35"/>
      <c r="Q441" s="32"/>
      <c r="S441" s="1">
        <f t="shared" si="233"/>
        <v>0</v>
      </c>
      <c r="T441" s="1">
        <f t="shared" si="234"/>
        <v>0</v>
      </c>
      <c r="U441" s="1">
        <f t="shared" si="235"/>
        <v>0</v>
      </c>
      <c r="V441" s="1">
        <f t="shared" si="236"/>
        <v>0</v>
      </c>
      <c r="W441" s="1">
        <f t="shared" si="237"/>
        <v>0</v>
      </c>
      <c r="X441" s="1">
        <f t="shared" si="238"/>
        <v>0</v>
      </c>
      <c r="Y441" s="1">
        <f t="shared" si="239"/>
        <v>0</v>
      </c>
      <c r="Z441" s="1">
        <f t="shared" si="240"/>
        <v>0</v>
      </c>
      <c r="AA441" s="1">
        <f t="shared" si="241"/>
        <v>0</v>
      </c>
      <c r="AB441" s="1">
        <f t="shared" si="242"/>
        <v>0</v>
      </c>
      <c r="AD441" s="1">
        <f t="shared" si="243"/>
        <v>0</v>
      </c>
      <c r="AE441" s="1">
        <f t="shared" si="244"/>
        <v>1</v>
      </c>
      <c r="AF441" s="1">
        <f t="shared" si="213"/>
        <v>0</v>
      </c>
      <c r="AG441" s="1">
        <f t="shared" si="214"/>
        <v>1</v>
      </c>
      <c r="AH441" s="1">
        <f t="shared" si="215"/>
        <v>0</v>
      </c>
      <c r="AI441" s="1">
        <f t="shared" si="216"/>
        <v>1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1081</v>
      </c>
      <c r="E442" s="45" t="s">
        <v>28</v>
      </c>
      <c r="F442" s="45" t="s">
        <v>998</v>
      </c>
      <c r="G442" s="45" t="s">
        <v>240</v>
      </c>
      <c r="H442" s="45" t="s">
        <v>354</v>
      </c>
      <c r="I442" s="44" t="s">
        <v>1106</v>
      </c>
      <c r="J442" s="44">
        <v>1</v>
      </c>
      <c r="K442" s="46" t="s">
        <v>712</v>
      </c>
      <c r="L442" s="46" t="s">
        <v>713</v>
      </c>
      <c r="M442" s="47" t="s">
        <v>731</v>
      </c>
      <c r="N442" s="47" t="s">
        <v>1735</v>
      </c>
      <c r="O442" s="48"/>
      <c r="P442" s="48"/>
      <c r="Q442" s="45"/>
      <c r="S442" s="1">
        <f t="shared" si="233"/>
        <v>1</v>
      </c>
      <c r="T442" s="1">
        <f t="shared" si="234"/>
        <v>0</v>
      </c>
      <c r="U442" s="1">
        <f t="shared" si="235"/>
        <v>0</v>
      </c>
      <c r="V442" s="1">
        <f t="shared" si="236"/>
        <v>0</v>
      </c>
      <c r="W442" s="1">
        <f t="shared" si="237"/>
        <v>0</v>
      </c>
      <c r="X442" s="1">
        <f t="shared" si="238"/>
        <v>0</v>
      </c>
      <c r="Y442" s="1">
        <f t="shared" si="239"/>
        <v>0</v>
      </c>
      <c r="Z442" s="1">
        <f t="shared" si="240"/>
        <v>0</v>
      </c>
      <c r="AA442" s="1">
        <f t="shared" si="241"/>
        <v>0</v>
      </c>
      <c r="AB442" s="1">
        <f t="shared" si="242"/>
        <v>0</v>
      </c>
      <c r="AD442" s="1">
        <f t="shared" si="243"/>
        <v>0</v>
      </c>
      <c r="AE442" s="1">
        <f t="shared" si="244"/>
        <v>0</v>
      </c>
      <c r="AF442" s="1">
        <f t="shared" si="213"/>
        <v>0</v>
      </c>
      <c r="AG442" s="1">
        <f t="shared" si="214"/>
        <v>0</v>
      </c>
      <c r="AH442" s="1">
        <f t="shared" si="215"/>
        <v>0</v>
      </c>
      <c r="AI442" s="1">
        <f t="shared" si="216"/>
        <v>1</v>
      </c>
    </row>
    <row r="443" spans="1:35" ht="14.25" customHeight="1" x14ac:dyDescent="0.25">
      <c r="A443" s="44">
        <v>1</v>
      </c>
      <c r="B443" s="44">
        <v>2</v>
      </c>
      <c r="C443" s="44">
        <v>7</v>
      </c>
      <c r="D443" s="45" t="s">
        <v>1081</v>
      </c>
      <c r="E443" s="45" t="s">
        <v>28</v>
      </c>
      <c r="F443" s="45" t="s">
        <v>999</v>
      </c>
      <c r="G443" s="45" t="s">
        <v>1099</v>
      </c>
      <c r="H443" s="45" t="s">
        <v>354</v>
      </c>
      <c r="I443" s="44" t="s">
        <v>1107</v>
      </c>
      <c r="J443" s="44">
        <v>1</v>
      </c>
      <c r="K443" s="46" t="s">
        <v>712</v>
      </c>
      <c r="L443" s="46" t="s">
        <v>713</v>
      </c>
      <c r="M443" s="47" t="s">
        <v>731</v>
      </c>
      <c r="N443" s="47" t="s">
        <v>1735</v>
      </c>
      <c r="O443" s="48"/>
      <c r="P443" s="48"/>
      <c r="Q443" s="45"/>
      <c r="S443" s="1">
        <f t="shared" si="233"/>
        <v>1</v>
      </c>
      <c r="T443" s="1">
        <f t="shared" si="234"/>
        <v>0</v>
      </c>
      <c r="U443" s="1">
        <f t="shared" si="235"/>
        <v>0</v>
      </c>
      <c r="V443" s="1">
        <f t="shared" si="236"/>
        <v>0</v>
      </c>
      <c r="W443" s="1">
        <f t="shared" si="237"/>
        <v>0</v>
      </c>
      <c r="X443" s="1">
        <f t="shared" si="238"/>
        <v>0</v>
      </c>
      <c r="Y443" s="1">
        <f t="shared" si="239"/>
        <v>0</v>
      </c>
      <c r="Z443" s="1">
        <f t="shared" si="240"/>
        <v>0</v>
      </c>
      <c r="AA443" s="1">
        <f t="shared" si="241"/>
        <v>0</v>
      </c>
      <c r="AB443" s="1">
        <f t="shared" si="242"/>
        <v>0</v>
      </c>
      <c r="AD443" s="1">
        <f t="shared" si="243"/>
        <v>0</v>
      </c>
      <c r="AE443" s="1">
        <f t="shared" si="244"/>
        <v>0</v>
      </c>
      <c r="AF443" s="1">
        <f t="shared" si="213"/>
        <v>0</v>
      </c>
      <c r="AG443" s="1">
        <f t="shared" si="214"/>
        <v>0</v>
      </c>
      <c r="AH443" s="1">
        <f t="shared" si="215"/>
        <v>0</v>
      </c>
      <c r="AI443" s="1">
        <f t="shared" si="216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1638</v>
      </c>
      <c r="E444" s="32" t="s">
        <v>156</v>
      </c>
      <c r="F444" s="32" t="s">
        <v>1491</v>
      </c>
      <c r="G444" s="32" t="s">
        <v>1492</v>
      </c>
      <c r="H444" s="32" t="s">
        <v>354</v>
      </c>
      <c r="I444" s="31" t="s">
        <v>1493</v>
      </c>
      <c r="J444" s="31">
        <v>99</v>
      </c>
      <c r="K444" s="33" t="s">
        <v>955</v>
      </c>
      <c r="L444" s="33" t="s">
        <v>722</v>
      </c>
      <c r="M444" s="34" t="s">
        <v>732</v>
      </c>
      <c r="N444" s="34" t="s">
        <v>1748</v>
      </c>
      <c r="O444" s="35">
        <v>1</v>
      </c>
      <c r="P444" s="35"/>
      <c r="Q444" s="32"/>
      <c r="S444" s="1">
        <f t="shared" si="233"/>
        <v>0</v>
      </c>
      <c r="T444" s="1">
        <f t="shared" si="234"/>
        <v>0</v>
      </c>
      <c r="U444" s="1">
        <f t="shared" si="235"/>
        <v>0</v>
      </c>
      <c r="V444" s="1">
        <f t="shared" si="236"/>
        <v>0</v>
      </c>
      <c r="W444" s="1">
        <f t="shared" si="237"/>
        <v>0</v>
      </c>
      <c r="X444" s="1">
        <f t="shared" si="238"/>
        <v>0</v>
      </c>
      <c r="Y444" s="1">
        <f t="shared" si="239"/>
        <v>0</v>
      </c>
      <c r="Z444" s="1">
        <f t="shared" si="240"/>
        <v>0</v>
      </c>
      <c r="AA444" s="1">
        <f t="shared" si="241"/>
        <v>0</v>
      </c>
      <c r="AB444" s="1">
        <f t="shared" si="242"/>
        <v>0</v>
      </c>
      <c r="AD444" s="1">
        <f t="shared" si="243"/>
        <v>0</v>
      </c>
      <c r="AE444" s="1">
        <f t="shared" si="244"/>
        <v>1</v>
      </c>
      <c r="AF444" s="1">
        <f t="shared" si="213"/>
        <v>0</v>
      </c>
      <c r="AG444" s="1">
        <f t="shared" si="214"/>
        <v>1</v>
      </c>
      <c r="AH444" s="1">
        <f t="shared" si="215"/>
        <v>0</v>
      </c>
      <c r="AI444" s="1">
        <f t="shared" si="216"/>
        <v>1</v>
      </c>
    </row>
    <row r="445" spans="1:35" ht="14.25" customHeight="1" x14ac:dyDescent="0.25">
      <c r="A445" s="44">
        <v>0</v>
      </c>
      <c r="B445" s="44">
        <v>2</v>
      </c>
      <c r="C445" s="44">
        <v>7</v>
      </c>
      <c r="D445" s="45" t="s">
        <v>82</v>
      </c>
      <c r="E445" s="45" t="s">
        <v>28</v>
      </c>
      <c r="F445" s="45" t="s">
        <v>274</v>
      </c>
      <c r="G445" s="45" t="s">
        <v>275</v>
      </c>
      <c r="H445" s="45" t="s">
        <v>354</v>
      </c>
      <c r="I445" s="44" t="s">
        <v>429</v>
      </c>
      <c r="J445" s="44">
        <v>7</v>
      </c>
      <c r="K445" s="46" t="s">
        <v>955</v>
      </c>
      <c r="L445" s="46" t="s">
        <v>954</v>
      </c>
      <c r="M445" s="47" t="s">
        <v>968</v>
      </c>
      <c r="N445" s="47" t="s">
        <v>1809</v>
      </c>
      <c r="O445" s="48"/>
      <c r="P445" s="48"/>
      <c r="Q445" s="45"/>
      <c r="S445" s="1">
        <f t="shared" si="233"/>
        <v>0</v>
      </c>
      <c r="T445" s="1">
        <f t="shared" si="234"/>
        <v>0</v>
      </c>
      <c r="U445" s="1">
        <f t="shared" si="235"/>
        <v>0</v>
      </c>
      <c r="V445" s="1">
        <f t="shared" si="236"/>
        <v>0</v>
      </c>
      <c r="W445" s="1">
        <f t="shared" si="237"/>
        <v>0</v>
      </c>
      <c r="X445" s="1">
        <f t="shared" si="238"/>
        <v>0</v>
      </c>
      <c r="Y445" s="1">
        <f t="shared" si="239"/>
        <v>1</v>
      </c>
      <c r="Z445" s="1">
        <f t="shared" si="240"/>
        <v>0</v>
      </c>
      <c r="AA445" s="1">
        <f t="shared" si="241"/>
        <v>0</v>
      </c>
      <c r="AB445" s="1">
        <f t="shared" si="242"/>
        <v>0</v>
      </c>
      <c r="AD445" s="1">
        <f t="shared" si="243"/>
        <v>0</v>
      </c>
      <c r="AE445" s="1">
        <f t="shared" si="244"/>
        <v>0</v>
      </c>
      <c r="AF445" s="1">
        <f t="shared" si="213"/>
        <v>0</v>
      </c>
      <c r="AG445" s="1">
        <f t="shared" si="214"/>
        <v>0</v>
      </c>
      <c r="AH445" s="1">
        <f t="shared" si="215"/>
        <v>0</v>
      </c>
      <c r="AI445" s="1">
        <f t="shared" si="216"/>
        <v>1</v>
      </c>
    </row>
    <row r="446" spans="1:35" ht="14.25" customHeight="1" x14ac:dyDescent="0.25">
      <c r="A446" s="44">
        <v>0</v>
      </c>
      <c r="B446" s="44">
        <v>2</v>
      </c>
      <c r="C446" s="44">
        <v>7</v>
      </c>
      <c r="D446" s="45" t="s">
        <v>76</v>
      </c>
      <c r="E446" s="45" t="s">
        <v>28</v>
      </c>
      <c r="F446" s="45" t="s">
        <v>1681</v>
      </c>
      <c r="G446" s="45" t="s">
        <v>190</v>
      </c>
      <c r="H446" s="45" t="s">
        <v>354</v>
      </c>
      <c r="I446" s="44" t="s">
        <v>423</v>
      </c>
      <c r="J446" s="44">
        <v>99</v>
      </c>
      <c r="K446" s="46" t="s">
        <v>954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233"/>
        <v>0</v>
      </c>
      <c r="T446" s="1">
        <f t="shared" si="234"/>
        <v>0</v>
      </c>
      <c r="U446" s="1">
        <f t="shared" si="235"/>
        <v>0</v>
      </c>
      <c r="V446" s="1">
        <f t="shared" si="236"/>
        <v>0</v>
      </c>
      <c r="W446" s="1">
        <f t="shared" si="237"/>
        <v>0</v>
      </c>
      <c r="X446" s="1">
        <f t="shared" si="238"/>
        <v>0</v>
      </c>
      <c r="Y446" s="1">
        <f t="shared" si="239"/>
        <v>0</v>
      </c>
      <c r="Z446" s="1">
        <f t="shared" si="240"/>
        <v>0</v>
      </c>
      <c r="AA446" s="1">
        <f t="shared" si="241"/>
        <v>0</v>
      </c>
      <c r="AB446" s="1">
        <f t="shared" si="242"/>
        <v>0</v>
      </c>
      <c r="AD446" s="1">
        <f t="shared" si="243"/>
        <v>0</v>
      </c>
      <c r="AE446" s="1">
        <f t="shared" si="244"/>
        <v>0</v>
      </c>
      <c r="AF446" s="1">
        <f t="shared" si="213"/>
        <v>0</v>
      </c>
      <c r="AG446" s="1">
        <f t="shared" si="214"/>
        <v>0</v>
      </c>
      <c r="AH446" s="1">
        <f t="shared" si="215"/>
        <v>0</v>
      </c>
      <c r="AI446" s="1">
        <f t="shared" si="216"/>
        <v>1</v>
      </c>
    </row>
    <row r="447" spans="1:35" ht="14.25" customHeight="1" x14ac:dyDescent="0.25">
      <c r="A447" s="15">
        <v>0</v>
      </c>
      <c r="B447" s="15">
        <v>2</v>
      </c>
      <c r="C447" s="15">
        <v>7</v>
      </c>
      <c r="D447" s="20" t="s">
        <v>2034</v>
      </c>
      <c r="E447" s="16" t="s">
        <v>2038</v>
      </c>
      <c r="F447" s="20" t="s">
        <v>2035</v>
      </c>
      <c r="G447" s="20" t="s">
        <v>2036</v>
      </c>
      <c r="H447" s="20" t="s">
        <v>354</v>
      </c>
      <c r="I447" s="21" t="s">
        <v>2037</v>
      </c>
      <c r="J447" s="15">
        <v>99</v>
      </c>
      <c r="K447" s="10" t="s">
        <v>703</v>
      </c>
      <c r="L447" s="10">
        <v>20</v>
      </c>
      <c r="M447" s="19" t="s">
        <v>2040</v>
      </c>
      <c r="N447" s="19"/>
      <c r="Q447" s="20" t="s">
        <v>2039</v>
      </c>
      <c r="S447" s="1">
        <f t="shared" si="233"/>
        <v>0</v>
      </c>
      <c r="T447" s="1">
        <f t="shared" si="234"/>
        <v>0</v>
      </c>
      <c r="U447" s="1">
        <f t="shared" si="235"/>
        <v>0</v>
      </c>
      <c r="V447" s="1">
        <f t="shared" si="236"/>
        <v>0</v>
      </c>
      <c r="W447" s="1">
        <f t="shared" si="237"/>
        <v>0</v>
      </c>
      <c r="X447" s="1">
        <f t="shared" si="238"/>
        <v>0</v>
      </c>
      <c r="Y447" s="1">
        <f t="shared" si="239"/>
        <v>0</v>
      </c>
      <c r="Z447" s="1">
        <f t="shared" si="240"/>
        <v>0</v>
      </c>
      <c r="AA447" s="1">
        <f t="shared" si="241"/>
        <v>0</v>
      </c>
      <c r="AB447" s="1">
        <f t="shared" si="242"/>
        <v>0</v>
      </c>
      <c r="AD447" s="1">
        <f t="shared" ref="AD447:AD450" si="261">+O447*P447</f>
        <v>0</v>
      </c>
      <c r="AE447" s="1">
        <f t="shared" ref="AE447:AE450" si="262">O447*(1-P447)</f>
        <v>0</v>
      </c>
      <c r="AF447" s="1">
        <f t="shared" ref="AF447:AF450" si="263">+O447*P447*(1-A447)</f>
        <v>0</v>
      </c>
      <c r="AG447" s="1">
        <f t="shared" ref="AG447:AG450" si="264">O447*(1-P447)*(1-A447)</f>
        <v>0</v>
      </c>
      <c r="AH447" s="1">
        <f t="shared" ref="AH447:AH450" si="265">+P447*(1-A447)</f>
        <v>0</v>
      </c>
      <c r="AI447" s="1">
        <f t="shared" ref="AI447:AI450" si="266">+(1-A447)*(1-P447)</f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1640</v>
      </c>
      <c r="E448" s="32" t="s">
        <v>163</v>
      </c>
      <c r="F448" s="32" t="s">
        <v>244</v>
      </c>
      <c r="G448" s="32" t="s">
        <v>218</v>
      </c>
      <c r="H448" s="32" t="s">
        <v>354</v>
      </c>
      <c r="I448" s="31" t="s">
        <v>408</v>
      </c>
      <c r="J448" s="31">
        <v>99</v>
      </c>
      <c r="K448" s="33" t="s">
        <v>713</v>
      </c>
      <c r="L448" s="33" t="s">
        <v>722</v>
      </c>
      <c r="M448" s="34" t="s">
        <v>732</v>
      </c>
      <c r="N448" s="34" t="s">
        <v>1727</v>
      </c>
      <c r="O448" s="35">
        <v>1</v>
      </c>
      <c r="P448" s="35">
        <v>1</v>
      </c>
      <c r="Q448" s="32"/>
      <c r="S448" s="1">
        <f t="shared" si="233"/>
        <v>0</v>
      </c>
      <c r="T448" s="1">
        <f t="shared" si="234"/>
        <v>0</v>
      </c>
      <c r="U448" s="1">
        <f t="shared" si="235"/>
        <v>0</v>
      </c>
      <c r="V448" s="1">
        <f t="shared" si="236"/>
        <v>0</v>
      </c>
      <c r="W448" s="1">
        <f t="shared" si="237"/>
        <v>0</v>
      </c>
      <c r="X448" s="1">
        <f t="shared" si="238"/>
        <v>0</v>
      </c>
      <c r="Y448" s="1">
        <f t="shared" si="239"/>
        <v>0</v>
      </c>
      <c r="Z448" s="1">
        <f t="shared" si="240"/>
        <v>0</v>
      </c>
      <c r="AA448" s="1">
        <f t="shared" si="241"/>
        <v>0</v>
      </c>
      <c r="AB448" s="1">
        <f t="shared" si="242"/>
        <v>0</v>
      </c>
      <c r="AD448" s="1">
        <f t="shared" si="261"/>
        <v>1</v>
      </c>
      <c r="AE448" s="1">
        <f t="shared" si="262"/>
        <v>0</v>
      </c>
      <c r="AF448" s="1">
        <f t="shared" si="263"/>
        <v>1</v>
      </c>
      <c r="AG448" s="1">
        <f t="shared" si="264"/>
        <v>0</v>
      </c>
      <c r="AH448" s="1">
        <f t="shared" si="265"/>
        <v>1</v>
      </c>
      <c r="AI448" s="1">
        <f t="shared" si="266"/>
        <v>0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1538</v>
      </c>
      <c r="E449" s="32" t="s">
        <v>156</v>
      </c>
      <c r="F449" s="32" t="s">
        <v>1539</v>
      </c>
      <c r="G449" s="32" t="s">
        <v>39</v>
      </c>
      <c r="H449" s="32" t="s">
        <v>354</v>
      </c>
      <c r="I449" s="31" t="s">
        <v>1540</v>
      </c>
      <c r="J449" s="31">
        <v>99</v>
      </c>
      <c r="K449" s="33" t="s">
        <v>713</v>
      </c>
      <c r="L449" s="33" t="s">
        <v>722</v>
      </c>
      <c r="M449" s="34" t="s">
        <v>732</v>
      </c>
      <c r="N449" s="34" t="s">
        <v>1748</v>
      </c>
      <c r="O449" s="35">
        <v>1</v>
      </c>
      <c r="P449" s="35"/>
      <c r="Q449" s="32"/>
      <c r="S449" s="1">
        <f t="shared" si="233"/>
        <v>0</v>
      </c>
      <c r="T449" s="1">
        <f t="shared" si="234"/>
        <v>0</v>
      </c>
      <c r="U449" s="1">
        <f t="shared" si="235"/>
        <v>0</v>
      </c>
      <c r="V449" s="1">
        <f t="shared" si="236"/>
        <v>0</v>
      </c>
      <c r="W449" s="1">
        <f t="shared" si="237"/>
        <v>0</v>
      </c>
      <c r="X449" s="1">
        <f t="shared" si="238"/>
        <v>0</v>
      </c>
      <c r="Y449" s="1">
        <f t="shared" si="239"/>
        <v>0</v>
      </c>
      <c r="Z449" s="1">
        <f t="shared" si="240"/>
        <v>0</v>
      </c>
      <c r="AA449" s="1">
        <f t="shared" si="241"/>
        <v>0</v>
      </c>
      <c r="AB449" s="1">
        <f t="shared" si="242"/>
        <v>0</v>
      </c>
      <c r="AD449" s="1">
        <f t="shared" si="261"/>
        <v>0</v>
      </c>
      <c r="AE449" s="1">
        <f t="shared" si="262"/>
        <v>1</v>
      </c>
      <c r="AF449" s="1">
        <f t="shared" si="263"/>
        <v>0</v>
      </c>
      <c r="AG449" s="1">
        <f t="shared" si="264"/>
        <v>1</v>
      </c>
      <c r="AH449" s="1">
        <f t="shared" si="265"/>
        <v>0</v>
      </c>
      <c r="AI449" s="1">
        <f t="shared" si="266"/>
        <v>1</v>
      </c>
    </row>
    <row r="450" spans="1:35" ht="14.25" customHeight="1" x14ac:dyDescent="0.25">
      <c r="A450" s="44">
        <v>0</v>
      </c>
      <c r="B450" s="44">
        <v>2</v>
      </c>
      <c r="C450" s="44">
        <v>7</v>
      </c>
      <c r="D450" s="45" t="s">
        <v>1262</v>
      </c>
      <c r="E450" s="45" t="s">
        <v>1524</v>
      </c>
      <c r="F450" s="45" t="s">
        <v>1355</v>
      </c>
      <c r="G450" s="45" t="s">
        <v>186</v>
      </c>
      <c r="H450" s="45" t="s">
        <v>354</v>
      </c>
      <c r="I450" s="44" t="s">
        <v>1368</v>
      </c>
      <c r="J450" s="44">
        <v>1</v>
      </c>
      <c r="K450" s="46" t="s">
        <v>713</v>
      </c>
      <c r="L450" s="46" t="s">
        <v>716</v>
      </c>
      <c r="M450" s="47" t="s">
        <v>1438</v>
      </c>
      <c r="N450" s="47" t="s">
        <v>1735</v>
      </c>
      <c r="O450" s="48"/>
      <c r="P450" s="48"/>
      <c r="Q450" s="45"/>
      <c r="S450" s="1">
        <f t="shared" si="233"/>
        <v>1</v>
      </c>
      <c r="T450" s="1">
        <f t="shared" si="234"/>
        <v>0</v>
      </c>
      <c r="U450" s="1">
        <f t="shared" si="235"/>
        <v>0</v>
      </c>
      <c r="V450" s="1">
        <f t="shared" si="236"/>
        <v>0</v>
      </c>
      <c r="W450" s="1">
        <f t="shared" si="237"/>
        <v>0</v>
      </c>
      <c r="X450" s="1">
        <f t="shared" si="238"/>
        <v>0</v>
      </c>
      <c r="Y450" s="1">
        <f t="shared" si="239"/>
        <v>0</v>
      </c>
      <c r="Z450" s="1">
        <f t="shared" si="240"/>
        <v>0</v>
      </c>
      <c r="AA450" s="1">
        <f t="shared" si="241"/>
        <v>0</v>
      </c>
      <c r="AB450" s="1">
        <f t="shared" si="242"/>
        <v>0</v>
      </c>
      <c r="AD450" s="1">
        <f t="shared" si="261"/>
        <v>0</v>
      </c>
      <c r="AE450" s="1">
        <f t="shared" si="262"/>
        <v>0</v>
      </c>
      <c r="AF450" s="1">
        <f t="shared" si="263"/>
        <v>0</v>
      </c>
      <c r="AG450" s="1">
        <f t="shared" si="264"/>
        <v>0</v>
      </c>
      <c r="AH450" s="1">
        <f t="shared" si="265"/>
        <v>0</v>
      </c>
      <c r="AI450" s="1">
        <f t="shared" si="266"/>
        <v>1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66</v>
      </c>
      <c r="E451" s="32" t="s">
        <v>28</v>
      </c>
      <c r="F451" s="32" t="s">
        <v>974</v>
      </c>
      <c r="G451" s="32" t="s">
        <v>1101</v>
      </c>
      <c r="H451" s="32" t="s">
        <v>354</v>
      </c>
      <c r="I451" s="31" t="s">
        <v>1108</v>
      </c>
      <c r="J451" s="31">
        <v>99</v>
      </c>
      <c r="K451" s="33" t="s">
        <v>713</v>
      </c>
      <c r="L451" s="33" t="s">
        <v>713</v>
      </c>
      <c r="M451" s="34" t="s">
        <v>731</v>
      </c>
      <c r="N451" s="34" t="s">
        <v>1743</v>
      </c>
      <c r="O451" s="35">
        <v>1</v>
      </c>
      <c r="P451" s="35"/>
      <c r="Q451" s="32"/>
      <c r="S451" s="1">
        <f t="shared" si="233"/>
        <v>0</v>
      </c>
      <c r="T451" s="1">
        <f t="shared" si="234"/>
        <v>0</v>
      </c>
      <c r="U451" s="1">
        <f t="shared" si="235"/>
        <v>0</v>
      </c>
      <c r="V451" s="1">
        <f t="shared" si="236"/>
        <v>0</v>
      </c>
      <c r="W451" s="1">
        <f t="shared" si="237"/>
        <v>0</v>
      </c>
      <c r="X451" s="1">
        <f t="shared" si="238"/>
        <v>0</v>
      </c>
      <c r="Y451" s="1">
        <f t="shared" si="239"/>
        <v>0</v>
      </c>
      <c r="Z451" s="1">
        <f t="shared" si="240"/>
        <v>0</v>
      </c>
      <c r="AA451" s="1">
        <f t="shared" si="241"/>
        <v>0</v>
      </c>
      <c r="AB451" s="1">
        <f t="shared" si="242"/>
        <v>0</v>
      </c>
      <c r="AD451" s="1">
        <f t="shared" si="243"/>
        <v>0</v>
      </c>
      <c r="AE451" s="1">
        <f t="shared" si="244"/>
        <v>1</v>
      </c>
      <c r="AF451" s="1">
        <f t="shared" si="213"/>
        <v>0</v>
      </c>
      <c r="AG451" s="1">
        <f t="shared" si="214"/>
        <v>1</v>
      </c>
      <c r="AH451" s="1">
        <f t="shared" si="215"/>
        <v>0</v>
      </c>
      <c r="AI451" s="1">
        <f t="shared" si="216"/>
        <v>1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66</v>
      </c>
      <c r="E452" s="32" t="s">
        <v>28</v>
      </c>
      <c r="F452" s="32" t="s">
        <v>245</v>
      </c>
      <c r="G452" s="32" t="s">
        <v>224</v>
      </c>
      <c r="H452" s="32" t="s">
        <v>354</v>
      </c>
      <c r="I452" s="31" t="s">
        <v>409</v>
      </c>
      <c r="J452" s="31">
        <v>99</v>
      </c>
      <c r="K452" s="33" t="s">
        <v>713</v>
      </c>
      <c r="L452" s="33" t="s">
        <v>713</v>
      </c>
      <c r="M452" s="34" t="s">
        <v>731</v>
      </c>
      <c r="N452" s="34" t="s">
        <v>1743</v>
      </c>
      <c r="O452" s="35">
        <v>1</v>
      </c>
      <c r="P452" s="35"/>
      <c r="Q452" s="32"/>
      <c r="S452" s="1">
        <f t="shared" si="233"/>
        <v>0</v>
      </c>
      <c r="T452" s="1">
        <f t="shared" si="234"/>
        <v>0</v>
      </c>
      <c r="U452" s="1">
        <f t="shared" si="235"/>
        <v>0</v>
      </c>
      <c r="V452" s="1">
        <f t="shared" si="236"/>
        <v>0</v>
      </c>
      <c r="W452" s="1">
        <f t="shared" si="237"/>
        <v>0</v>
      </c>
      <c r="X452" s="1">
        <f t="shared" si="238"/>
        <v>0</v>
      </c>
      <c r="Y452" s="1">
        <f t="shared" si="239"/>
        <v>0</v>
      </c>
      <c r="Z452" s="1">
        <f t="shared" si="240"/>
        <v>0</v>
      </c>
      <c r="AA452" s="1">
        <f t="shared" si="241"/>
        <v>0</v>
      </c>
      <c r="AB452" s="1">
        <f t="shared" si="242"/>
        <v>0</v>
      </c>
      <c r="AD452" s="1">
        <f t="shared" si="243"/>
        <v>0</v>
      </c>
      <c r="AE452" s="1">
        <f t="shared" si="244"/>
        <v>1</v>
      </c>
      <c r="AF452" s="1">
        <f t="shared" si="213"/>
        <v>0</v>
      </c>
      <c r="AG452" s="1">
        <f t="shared" si="214"/>
        <v>0</v>
      </c>
      <c r="AH452" s="1">
        <f t="shared" si="215"/>
        <v>0</v>
      </c>
      <c r="AI452" s="1">
        <f t="shared" si="216"/>
        <v>0</v>
      </c>
    </row>
    <row r="453" spans="1:35" ht="14.25" customHeight="1" x14ac:dyDescent="0.25">
      <c r="A453" s="31">
        <v>1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246</v>
      </c>
      <c r="G453" s="32" t="s">
        <v>220</v>
      </c>
      <c r="H453" s="32" t="s">
        <v>354</v>
      </c>
      <c r="I453" s="31" t="s">
        <v>410</v>
      </c>
      <c r="J453" s="31">
        <v>8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 t="s">
        <v>2017</v>
      </c>
      <c r="S453" s="1">
        <f t="shared" si="233"/>
        <v>0</v>
      </c>
      <c r="T453" s="1">
        <f t="shared" si="234"/>
        <v>0</v>
      </c>
      <c r="U453" s="1">
        <f t="shared" si="235"/>
        <v>0</v>
      </c>
      <c r="V453" s="1">
        <f t="shared" si="236"/>
        <v>0</v>
      </c>
      <c r="W453" s="1">
        <f t="shared" si="237"/>
        <v>0</v>
      </c>
      <c r="X453" s="1">
        <f t="shared" si="238"/>
        <v>0</v>
      </c>
      <c r="Y453" s="1">
        <f t="shared" si="239"/>
        <v>0</v>
      </c>
      <c r="Z453" s="1">
        <f t="shared" si="240"/>
        <v>1</v>
      </c>
      <c r="AA453" s="1">
        <f t="shared" si="241"/>
        <v>0</v>
      </c>
      <c r="AB453" s="1">
        <f t="shared" si="242"/>
        <v>0</v>
      </c>
      <c r="AD453" s="1">
        <f t="shared" si="243"/>
        <v>0</v>
      </c>
      <c r="AE453" s="1">
        <f t="shared" si="244"/>
        <v>1</v>
      </c>
      <c r="AF453" s="1">
        <f t="shared" si="213"/>
        <v>0</v>
      </c>
      <c r="AG453" s="1">
        <f t="shared" si="214"/>
        <v>0</v>
      </c>
      <c r="AH453" s="1">
        <f t="shared" si="215"/>
        <v>0</v>
      </c>
      <c r="AI453" s="1">
        <f t="shared" si="216"/>
        <v>0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1034</v>
      </c>
      <c r="G454" s="32" t="s">
        <v>39</v>
      </c>
      <c r="H454" s="32" t="s">
        <v>354</v>
      </c>
      <c r="I454" s="31" t="s">
        <v>1035</v>
      </c>
      <c r="J454" s="31">
        <v>1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33"/>
        <v>1</v>
      </c>
      <c r="T454" s="1">
        <f t="shared" si="234"/>
        <v>0</v>
      </c>
      <c r="U454" s="1">
        <f t="shared" si="235"/>
        <v>0</v>
      </c>
      <c r="V454" s="1">
        <f t="shared" si="236"/>
        <v>0</v>
      </c>
      <c r="W454" s="1">
        <f t="shared" si="237"/>
        <v>0</v>
      </c>
      <c r="X454" s="1">
        <f t="shared" si="238"/>
        <v>0</v>
      </c>
      <c r="Y454" s="1">
        <f t="shared" si="239"/>
        <v>0</v>
      </c>
      <c r="Z454" s="1">
        <f t="shared" si="240"/>
        <v>0</v>
      </c>
      <c r="AA454" s="1">
        <f t="shared" si="241"/>
        <v>0</v>
      </c>
      <c r="AB454" s="1">
        <f t="shared" si="242"/>
        <v>0</v>
      </c>
      <c r="AD454" s="1">
        <f t="shared" si="243"/>
        <v>0</v>
      </c>
      <c r="AE454" s="1">
        <f t="shared" si="244"/>
        <v>1</v>
      </c>
      <c r="AF454" s="1">
        <f t="shared" si="213"/>
        <v>0</v>
      </c>
      <c r="AG454" s="1">
        <f t="shared" si="214"/>
        <v>0</v>
      </c>
      <c r="AH454" s="1">
        <f t="shared" si="215"/>
        <v>0</v>
      </c>
      <c r="AI454" s="1">
        <f t="shared" si="216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1036</v>
      </c>
      <c r="G455" s="32" t="s">
        <v>302</v>
      </c>
      <c r="H455" s="32" t="s">
        <v>354</v>
      </c>
      <c r="I455" s="31" t="s">
        <v>1037</v>
      </c>
      <c r="J455" s="31">
        <v>1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/>
      <c r="S455" s="1">
        <f t="shared" si="233"/>
        <v>1</v>
      </c>
      <c r="T455" s="1">
        <f t="shared" si="234"/>
        <v>0</v>
      </c>
      <c r="U455" s="1">
        <f t="shared" si="235"/>
        <v>0</v>
      </c>
      <c r="V455" s="1">
        <f t="shared" si="236"/>
        <v>0</v>
      </c>
      <c r="W455" s="1">
        <f t="shared" si="237"/>
        <v>0</v>
      </c>
      <c r="X455" s="1">
        <f t="shared" si="238"/>
        <v>0</v>
      </c>
      <c r="Y455" s="1">
        <f t="shared" si="239"/>
        <v>0</v>
      </c>
      <c r="Z455" s="1">
        <f t="shared" si="240"/>
        <v>0</v>
      </c>
      <c r="AA455" s="1">
        <f t="shared" si="241"/>
        <v>0</v>
      </c>
      <c r="AB455" s="1">
        <f t="shared" si="242"/>
        <v>0</v>
      </c>
      <c r="AD455" s="1">
        <f t="shared" ref="AD455:AD456" si="267">+O455*P455</f>
        <v>0</v>
      </c>
      <c r="AE455" s="1">
        <f t="shared" ref="AE455:AE456" si="268">O455*(1-P455)</f>
        <v>1</v>
      </c>
      <c r="AF455" s="1">
        <f t="shared" si="213"/>
        <v>0</v>
      </c>
      <c r="AG455" s="1">
        <f t="shared" si="214"/>
        <v>0</v>
      </c>
      <c r="AH455" s="1">
        <f t="shared" si="215"/>
        <v>0</v>
      </c>
      <c r="AI455" s="1">
        <f t="shared" si="216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1573</v>
      </c>
      <c r="E456" s="32" t="s">
        <v>156</v>
      </c>
      <c r="F456" s="32" t="s">
        <v>1574</v>
      </c>
      <c r="G456" s="32" t="s">
        <v>207</v>
      </c>
      <c r="H456" s="32" t="s">
        <v>354</v>
      </c>
      <c r="I456" s="31" t="s">
        <v>1575</v>
      </c>
      <c r="J456" s="31">
        <v>99</v>
      </c>
      <c r="K456" s="33" t="s">
        <v>712</v>
      </c>
      <c r="L456" s="33" t="s">
        <v>722</v>
      </c>
      <c r="M456" s="34" t="s">
        <v>732</v>
      </c>
      <c r="N456" s="34" t="s">
        <v>1946</v>
      </c>
      <c r="O456" s="35">
        <v>1</v>
      </c>
      <c r="P456" s="35"/>
      <c r="Q456" s="32"/>
      <c r="S456" s="1">
        <f t="shared" si="233"/>
        <v>0</v>
      </c>
      <c r="T456" s="1">
        <f t="shared" si="234"/>
        <v>0</v>
      </c>
      <c r="U456" s="1">
        <f t="shared" si="235"/>
        <v>0</v>
      </c>
      <c r="V456" s="1">
        <f t="shared" si="236"/>
        <v>0</v>
      </c>
      <c r="W456" s="1">
        <f t="shared" si="237"/>
        <v>0</v>
      </c>
      <c r="X456" s="1">
        <f t="shared" si="238"/>
        <v>0</v>
      </c>
      <c r="Y456" s="1">
        <f t="shared" si="239"/>
        <v>0</v>
      </c>
      <c r="Z456" s="1">
        <f t="shared" si="240"/>
        <v>0</v>
      </c>
      <c r="AA456" s="1">
        <f t="shared" si="241"/>
        <v>0</v>
      </c>
      <c r="AB456" s="1">
        <f t="shared" si="242"/>
        <v>0</v>
      </c>
      <c r="AD456" s="1">
        <f t="shared" si="267"/>
        <v>0</v>
      </c>
      <c r="AE456" s="1">
        <f t="shared" si="268"/>
        <v>1</v>
      </c>
      <c r="AF456" s="1">
        <f t="shared" si="213"/>
        <v>0</v>
      </c>
      <c r="AG456" s="1">
        <f t="shared" si="214"/>
        <v>1</v>
      </c>
      <c r="AH456" s="1">
        <f t="shared" si="215"/>
        <v>0</v>
      </c>
      <c r="AI456" s="1">
        <f t="shared" si="216"/>
        <v>1</v>
      </c>
    </row>
    <row r="457" spans="1:35" ht="14.25" customHeight="1" x14ac:dyDescent="0.25">
      <c r="A457" s="44">
        <v>0</v>
      </c>
      <c r="B457" s="44">
        <v>2</v>
      </c>
      <c r="C457" s="44">
        <v>7</v>
      </c>
      <c r="D457" s="45" t="s">
        <v>1132</v>
      </c>
      <c r="E457" s="45" t="s">
        <v>28</v>
      </c>
      <c r="F457" s="45" t="s">
        <v>1133</v>
      </c>
      <c r="G457" s="45" t="s">
        <v>220</v>
      </c>
      <c r="H457" s="45" t="s">
        <v>354</v>
      </c>
      <c r="I457" s="44" t="s">
        <v>1134</v>
      </c>
      <c r="J457" s="44">
        <v>8</v>
      </c>
      <c r="K457" s="46" t="s">
        <v>955</v>
      </c>
      <c r="L457" s="46" t="s">
        <v>713</v>
      </c>
      <c r="M457" s="47" t="s">
        <v>731</v>
      </c>
      <c r="N457" s="47" t="s">
        <v>1802</v>
      </c>
      <c r="O457" s="48"/>
      <c r="P457" s="48"/>
      <c r="Q457" s="45"/>
      <c r="S457" s="1">
        <f t="shared" si="233"/>
        <v>0</v>
      </c>
      <c r="T457" s="1">
        <f t="shared" si="234"/>
        <v>0</v>
      </c>
      <c r="U457" s="1">
        <f t="shared" si="235"/>
        <v>0</v>
      </c>
      <c r="V457" s="1">
        <f t="shared" si="236"/>
        <v>0</v>
      </c>
      <c r="W457" s="1">
        <f t="shared" si="237"/>
        <v>0</v>
      </c>
      <c r="X457" s="1">
        <f t="shared" si="238"/>
        <v>0</v>
      </c>
      <c r="Y457" s="1">
        <f t="shared" si="239"/>
        <v>0</v>
      </c>
      <c r="Z457" s="1">
        <f t="shared" si="240"/>
        <v>1</v>
      </c>
      <c r="AA457" s="1">
        <f t="shared" si="241"/>
        <v>0</v>
      </c>
      <c r="AB457" s="1">
        <f t="shared" si="242"/>
        <v>0</v>
      </c>
      <c r="AD457" s="1">
        <f t="shared" si="243"/>
        <v>0</v>
      </c>
      <c r="AE457" s="1">
        <f t="shared" si="244"/>
        <v>0</v>
      </c>
      <c r="AF457" s="1">
        <f t="shared" si="213"/>
        <v>0</v>
      </c>
      <c r="AG457" s="1">
        <f t="shared" si="214"/>
        <v>0</v>
      </c>
      <c r="AH457" s="1">
        <f t="shared" si="215"/>
        <v>0</v>
      </c>
      <c r="AI457" s="1">
        <f t="shared" si="216"/>
        <v>1</v>
      </c>
    </row>
    <row r="458" spans="1:35" ht="14.25" customHeight="1" x14ac:dyDescent="0.25">
      <c r="A458" s="44">
        <v>0</v>
      </c>
      <c r="B458" s="44">
        <v>2</v>
      </c>
      <c r="C458" s="44">
        <v>7</v>
      </c>
      <c r="D458" s="45" t="s">
        <v>73</v>
      </c>
      <c r="E458" s="45" t="s">
        <v>28</v>
      </c>
      <c r="F458" s="45" t="s">
        <v>264</v>
      </c>
      <c r="G458" s="45" t="s">
        <v>194</v>
      </c>
      <c r="H458" s="45" t="s">
        <v>354</v>
      </c>
      <c r="I458" s="44" t="s">
        <v>421</v>
      </c>
      <c r="J458" s="44">
        <v>9</v>
      </c>
      <c r="K458" s="46" t="s">
        <v>712</v>
      </c>
      <c r="L458" s="46" t="s">
        <v>713</v>
      </c>
      <c r="M458" s="47" t="s">
        <v>731</v>
      </c>
      <c r="N458" s="47" t="s">
        <v>1735</v>
      </c>
      <c r="O458" s="48"/>
      <c r="P458" s="48"/>
      <c r="Q458" s="45"/>
      <c r="S458" s="1">
        <f t="shared" si="233"/>
        <v>0</v>
      </c>
      <c r="T458" s="1">
        <f t="shared" si="234"/>
        <v>0</v>
      </c>
      <c r="U458" s="1">
        <f t="shared" si="235"/>
        <v>0</v>
      </c>
      <c r="V458" s="1">
        <f t="shared" si="236"/>
        <v>0</v>
      </c>
      <c r="W458" s="1">
        <f t="shared" si="237"/>
        <v>0</v>
      </c>
      <c r="X458" s="1">
        <f t="shared" si="238"/>
        <v>0</v>
      </c>
      <c r="Y458" s="1">
        <f t="shared" si="239"/>
        <v>0</v>
      </c>
      <c r="Z458" s="1">
        <f t="shared" si="240"/>
        <v>0</v>
      </c>
      <c r="AA458" s="1">
        <f t="shared" si="241"/>
        <v>1</v>
      </c>
      <c r="AB458" s="1">
        <f t="shared" si="242"/>
        <v>0</v>
      </c>
      <c r="AD458" s="1">
        <f t="shared" si="243"/>
        <v>0</v>
      </c>
      <c r="AE458" s="1">
        <f t="shared" si="244"/>
        <v>0</v>
      </c>
      <c r="AF458" s="1">
        <f t="shared" si="213"/>
        <v>0</v>
      </c>
      <c r="AG458" s="1">
        <f t="shared" si="214"/>
        <v>0</v>
      </c>
      <c r="AH458" s="1">
        <f t="shared" si="215"/>
        <v>0</v>
      </c>
      <c r="AI458" s="1">
        <f t="shared" si="216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59</v>
      </c>
      <c r="E459" s="32" t="s">
        <v>163</v>
      </c>
      <c r="F459" s="32" t="s">
        <v>225</v>
      </c>
      <c r="G459" s="32" t="s">
        <v>226</v>
      </c>
      <c r="H459" s="32" t="s">
        <v>354</v>
      </c>
      <c r="I459" s="31" t="s">
        <v>398</v>
      </c>
      <c r="J459" s="31">
        <v>99</v>
      </c>
      <c r="K459" s="33" t="s">
        <v>713</v>
      </c>
      <c r="L459" s="33" t="s">
        <v>722</v>
      </c>
      <c r="M459" s="34" t="s">
        <v>732</v>
      </c>
      <c r="N459" s="34" t="s">
        <v>1750</v>
      </c>
      <c r="O459" s="35">
        <v>1</v>
      </c>
      <c r="P459" s="35"/>
      <c r="Q459" s="32"/>
      <c r="S459" s="1">
        <f t="shared" si="233"/>
        <v>0</v>
      </c>
      <c r="T459" s="1">
        <f t="shared" si="234"/>
        <v>0</v>
      </c>
      <c r="U459" s="1">
        <f t="shared" si="235"/>
        <v>0</v>
      </c>
      <c r="V459" s="1">
        <f t="shared" si="236"/>
        <v>0</v>
      </c>
      <c r="W459" s="1">
        <f t="shared" si="237"/>
        <v>0</v>
      </c>
      <c r="X459" s="1">
        <f t="shared" si="238"/>
        <v>0</v>
      </c>
      <c r="Y459" s="1">
        <f t="shared" si="239"/>
        <v>0</v>
      </c>
      <c r="Z459" s="1">
        <f t="shared" si="240"/>
        <v>0</v>
      </c>
      <c r="AA459" s="1">
        <f t="shared" si="241"/>
        <v>0</v>
      </c>
      <c r="AB459" s="1">
        <f t="shared" si="242"/>
        <v>0</v>
      </c>
      <c r="AD459" s="1">
        <f t="shared" si="243"/>
        <v>0</v>
      </c>
      <c r="AE459" s="1">
        <f t="shared" si="244"/>
        <v>1</v>
      </c>
      <c r="AF459" s="1">
        <f t="shared" si="213"/>
        <v>0</v>
      </c>
      <c r="AG459" s="1">
        <f t="shared" si="214"/>
        <v>1</v>
      </c>
      <c r="AH459" s="1">
        <f t="shared" si="215"/>
        <v>0</v>
      </c>
      <c r="AI459" s="1">
        <f t="shared" si="216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1075</v>
      </c>
      <c r="E460" s="32" t="s">
        <v>156</v>
      </c>
      <c r="F460" s="32" t="s">
        <v>1076</v>
      </c>
      <c r="G460" s="32" t="s">
        <v>220</v>
      </c>
      <c r="H460" s="32" t="s">
        <v>354</v>
      </c>
      <c r="I460" s="31" t="s">
        <v>1077</v>
      </c>
      <c r="J460" s="31">
        <v>8</v>
      </c>
      <c r="K460" s="33" t="s">
        <v>712</v>
      </c>
      <c r="L460" s="33" t="s">
        <v>722</v>
      </c>
      <c r="M460" s="34" t="s">
        <v>732</v>
      </c>
      <c r="N460" s="34" t="s">
        <v>1748</v>
      </c>
      <c r="O460" s="35">
        <v>1</v>
      </c>
      <c r="P460" s="35"/>
      <c r="Q460" s="32"/>
      <c r="S460" s="1">
        <f t="shared" si="233"/>
        <v>0</v>
      </c>
      <c r="T460" s="1">
        <f t="shared" si="234"/>
        <v>0</v>
      </c>
      <c r="U460" s="1">
        <f t="shared" si="235"/>
        <v>0</v>
      </c>
      <c r="V460" s="1">
        <f t="shared" si="236"/>
        <v>0</v>
      </c>
      <c r="W460" s="1">
        <f t="shared" si="237"/>
        <v>0</v>
      </c>
      <c r="X460" s="1">
        <f t="shared" si="238"/>
        <v>0</v>
      </c>
      <c r="Y460" s="1">
        <f t="shared" si="239"/>
        <v>0</v>
      </c>
      <c r="Z460" s="1">
        <f t="shared" si="240"/>
        <v>1</v>
      </c>
      <c r="AA460" s="1">
        <f t="shared" si="241"/>
        <v>0</v>
      </c>
      <c r="AB460" s="1">
        <f t="shared" si="242"/>
        <v>0</v>
      </c>
      <c r="AD460" s="1">
        <f t="shared" si="243"/>
        <v>0</v>
      </c>
      <c r="AE460" s="1">
        <f t="shared" si="244"/>
        <v>1</v>
      </c>
      <c r="AF460" s="1">
        <f t="shared" si="213"/>
        <v>0</v>
      </c>
      <c r="AG460" s="1">
        <f t="shared" si="214"/>
        <v>1</v>
      </c>
      <c r="AH460" s="1">
        <f t="shared" si="215"/>
        <v>0</v>
      </c>
      <c r="AI460" s="1">
        <f t="shared" si="216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81</v>
      </c>
      <c r="E461" s="32" t="s">
        <v>156</v>
      </c>
      <c r="F461" s="32" t="s">
        <v>273</v>
      </c>
      <c r="G461" s="32" t="s">
        <v>254</v>
      </c>
      <c r="H461" s="32" t="s">
        <v>354</v>
      </c>
      <c r="I461" s="31" t="s">
        <v>428</v>
      </c>
      <c r="J461" s="31">
        <v>99</v>
      </c>
      <c r="K461" s="33" t="s">
        <v>713</v>
      </c>
      <c r="L461" s="33" t="s">
        <v>733</v>
      </c>
      <c r="M461" s="34" t="s">
        <v>734</v>
      </c>
      <c r="N461" s="34" t="s">
        <v>1756</v>
      </c>
      <c r="O461" s="35">
        <v>1</v>
      </c>
      <c r="P461" s="35"/>
      <c r="Q461" s="32"/>
      <c r="S461" s="1">
        <f t="shared" si="233"/>
        <v>0</v>
      </c>
      <c r="T461" s="1">
        <f t="shared" si="234"/>
        <v>0</v>
      </c>
      <c r="U461" s="1">
        <f t="shared" si="235"/>
        <v>0</v>
      </c>
      <c r="V461" s="1">
        <f t="shared" si="236"/>
        <v>0</v>
      </c>
      <c r="W461" s="1">
        <f t="shared" si="237"/>
        <v>0</v>
      </c>
      <c r="X461" s="1">
        <f t="shared" si="238"/>
        <v>0</v>
      </c>
      <c r="Y461" s="1">
        <f t="shared" si="239"/>
        <v>0</v>
      </c>
      <c r="Z461" s="1">
        <f t="shared" si="240"/>
        <v>0</v>
      </c>
      <c r="AA461" s="1">
        <f t="shared" si="241"/>
        <v>0</v>
      </c>
      <c r="AB461" s="1">
        <f t="shared" si="242"/>
        <v>0</v>
      </c>
      <c r="AD461" s="1">
        <f t="shared" si="243"/>
        <v>0</v>
      </c>
      <c r="AE461" s="1">
        <f t="shared" si="244"/>
        <v>1</v>
      </c>
      <c r="AF461" s="1">
        <f t="shared" si="213"/>
        <v>0</v>
      </c>
      <c r="AG461" s="1">
        <f t="shared" si="214"/>
        <v>1</v>
      </c>
      <c r="AH461" s="1">
        <f t="shared" si="215"/>
        <v>0</v>
      </c>
      <c r="AI461" s="1">
        <f t="shared" si="216"/>
        <v>1</v>
      </c>
    </row>
    <row r="462" spans="1:35" ht="14.25" customHeight="1" x14ac:dyDescent="0.25">
      <c r="A462" s="37">
        <v>0</v>
      </c>
      <c r="B462" s="37">
        <v>2</v>
      </c>
      <c r="C462" s="37">
        <v>7</v>
      </c>
      <c r="D462" s="36" t="s">
        <v>1775</v>
      </c>
      <c r="E462" s="36" t="s">
        <v>1776</v>
      </c>
      <c r="F462" s="36" t="s">
        <v>1777</v>
      </c>
      <c r="G462" s="36" t="s">
        <v>190</v>
      </c>
      <c r="H462" s="36" t="s">
        <v>354</v>
      </c>
      <c r="I462" s="37"/>
      <c r="J462" s="37"/>
      <c r="K462" s="33" t="s">
        <v>703</v>
      </c>
      <c r="L462" s="33"/>
      <c r="M462" s="34"/>
      <c r="N462" s="34" t="s">
        <v>1727</v>
      </c>
      <c r="O462" s="35">
        <v>1</v>
      </c>
      <c r="P462" s="35">
        <v>1</v>
      </c>
      <c r="Q462" s="36"/>
      <c r="S462" s="1">
        <f t="shared" si="233"/>
        <v>0</v>
      </c>
      <c r="T462" s="1">
        <f t="shared" si="234"/>
        <v>0</v>
      </c>
      <c r="U462" s="1">
        <f t="shared" si="235"/>
        <v>0</v>
      </c>
      <c r="V462" s="1">
        <f t="shared" si="236"/>
        <v>0</v>
      </c>
      <c r="W462" s="1">
        <f t="shared" si="237"/>
        <v>0</v>
      </c>
      <c r="X462" s="1">
        <f t="shared" si="238"/>
        <v>0</v>
      </c>
      <c r="Y462" s="1">
        <f t="shared" si="239"/>
        <v>0</v>
      </c>
      <c r="Z462" s="1">
        <f t="shared" si="240"/>
        <v>0</v>
      </c>
      <c r="AA462" s="1">
        <f t="shared" si="241"/>
        <v>0</v>
      </c>
      <c r="AB462" s="1">
        <f t="shared" si="242"/>
        <v>0</v>
      </c>
      <c r="AD462" s="1">
        <f t="shared" si="243"/>
        <v>1</v>
      </c>
      <c r="AE462" s="1">
        <f t="shared" si="244"/>
        <v>0</v>
      </c>
      <c r="AF462" s="1">
        <f t="shared" si="213"/>
        <v>1</v>
      </c>
      <c r="AG462" s="1">
        <f t="shared" si="214"/>
        <v>0</v>
      </c>
      <c r="AH462" s="1">
        <f t="shared" si="215"/>
        <v>1</v>
      </c>
      <c r="AI462" s="1">
        <f t="shared" si="216"/>
        <v>0</v>
      </c>
    </row>
    <row r="463" spans="1:35" ht="14.25" customHeight="1" x14ac:dyDescent="0.25">
      <c r="A463" s="44">
        <v>0</v>
      </c>
      <c r="B463" s="44">
        <v>2</v>
      </c>
      <c r="C463" s="44">
        <v>7</v>
      </c>
      <c r="D463" s="45" t="s">
        <v>514</v>
      </c>
      <c r="E463" s="45" t="s">
        <v>156</v>
      </c>
      <c r="F463" s="45" t="s">
        <v>574</v>
      </c>
      <c r="G463" s="45" t="s">
        <v>321</v>
      </c>
      <c r="H463" s="45" t="s">
        <v>354</v>
      </c>
      <c r="I463" s="44" t="s">
        <v>581</v>
      </c>
      <c r="J463" s="44">
        <v>99</v>
      </c>
      <c r="K463" s="46" t="s">
        <v>954</v>
      </c>
      <c r="L463" s="46" t="s">
        <v>722</v>
      </c>
      <c r="M463" s="47" t="s">
        <v>732</v>
      </c>
      <c r="N463" s="47" t="s">
        <v>1738</v>
      </c>
      <c r="O463" s="48"/>
      <c r="P463" s="48"/>
      <c r="Q463" s="45"/>
      <c r="S463" s="1">
        <f t="shared" si="233"/>
        <v>0</v>
      </c>
      <c r="T463" s="1">
        <f t="shared" si="234"/>
        <v>0</v>
      </c>
      <c r="U463" s="1">
        <f t="shared" si="235"/>
        <v>0</v>
      </c>
      <c r="V463" s="1">
        <f t="shared" si="236"/>
        <v>0</v>
      </c>
      <c r="W463" s="1">
        <f t="shared" si="237"/>
        <v>0</v>
      </c>
      <c r="X463" s="1">
        <f t="shared" si="238"/>
        <v>0</v>
      </c>
      <c r="Y463" s="1">
        <f t="shared" si="239"/>
        <v>0</v>
      </c>
      <c r="Z463" s="1">
        <f t="shared" si="240"/>
        <v>0</v>
      </c>
      <c r="AA463" s="1">
        <f t="shared" si="241"/>
        <v>0</v>
      </c>
      <c r="AB463" s="1">
        <f t="shared" si="242"/>
        <v>0</v>
      </c>
      <c r="AD463" s="1">
        <f t="shared" si="243"/>
        <v>0</v>
      </c>
      <c r="AE463" s="1">
        <f t="shared" si="244"/>
        <v>0</v>
      </c>
      <c r="AF463" s="1">
        <f t="shared" si="213"/>
        <v>0</v>
      </c>
      <c r="AG463" s="1">
        <f t="shared" si="214"/>
        <v>0</v>
      </c>
      <c r="AH463" s="1">
        <f t="shared" si="215"/>
        <v>0</v>
      </c>
      <c r="AI463" s="1">
        <f t="shared" si="216"/>
        <v>1</v>
      </c>
    </row>
    <row r="464" spans="1:35" ht="14.25" customHeight="1" x14ac:dyDescent="0.25">
      <c r="A464" s="44">
        <v>0</v>
      </c>
      <c r="B464" s="44">
        <v>2</v>
      </c>
      <c r="C464" s="44">
        <v>7</v>
      </c>
      <c r="D464" s="45" t="s">
        <v>74</v>
      </c>
      <c r="E464" s="45" t="s">
        <v>156</v>
      </c>
      <c r="F464" s="45" t="s">
        <v>675</v>
      </c>
      <c r="G464" s="45" t="s">
        <v>265</v>
      </c>
      <c r="H464" s="45" t="s">
        <v>354</v>
      </c>
      <c r="I464" s="44" t="s">
        <v>422</v>
      </c>
      <c r="J464" s="44">
        <v>99</v>
      </c>
      <c r="K464" s="46" t="s">
        <v>712</v>
      </c>
      <c r="L464" s="46" t="s">
        <v>729</v>
      </c>
      <c r="M464" s="47" t="s">
        <v>732</v>
      </c>
      <c r="N464" s="47" t="s">
        <v>1735</v>
      </c>
      <c r="O464" s="48"/>
      <c r="P464" s="48"/>
      <c r="Q464" s="45"/>
      <c r="S464" s="1">
        <f t="shared" ref="S464:S469" si="269">IF(J464=$S$7,1,0)</f>
        <v>0</v>
      </c>
      <c r="T464" s="1">
        <f t="shared" ref="T464:T469" si="270">IF(J464=$T$7,1,0)</f>
        <v>0</v>
      </c>
      <c r="U464" s="1">
        <f t="shared" ref="U464:U469" si="271">IF(J464=$U$7,1,0)</f>
        <v>0</v>
      </c>
      <c r="V464" s="1">
        <f t="shared" ref="V464:V469" si="272">IF(J464=$V$7,1,0)</f>
        <v>0</v>
      </c>
      <c r="W464" s="1">
        <f t="shared" ref="W464:W469" si="273">IF(J464=$W$7,1,0)</f>
        <v>0</v>
      </c>
      <c r="X464" s="1">
        <f t="shared" ref="X464:X469" si="274">IF(J464=$X$7,1,0)</f>
        <v>0</v>
      </c>
      <c r="Y464" s="1">
        <f t="shared" ref="Y464:Y469" si="275">IF(J464=$Y$7,1,0)</f>
        <v>0</v>
      </c>
      <c r="Z464" s="1">
        <f t="shared" ref="Z464:Z469" si="276">IF(J464=$Z$7,1,0)</f>
        <v>0</v>
      </c>
      <c r="AA464" s="1">
        <f t="shared" ref="AA464:AA469" si="277">IF(J464=$AA$7,1,0)</f>
        <v>0</v>
      </c>
      <c r="AB464" s="1">
        <f t="shared" ref="AB464:AB469" si="278">IF(J464=$AB$7,1,0)</f>
        <v>0</v>
      </c>
      <c r="AD464" s="1">
        <f t="shared" ref="AD464:AD469" si="279">+O464*P464</f>
        <v>0</v>
      </c>
      <c r="AE464" s="1">
        <f t="shared" ref="AE464:AE469" si="280">O464*(1-P464)</f>
        <v>0</v>
      </c>
      <c r="AF464" s="1">
        <f t="shared" ref="AF464:AF469" si="281">+O464*P464*(1-A464)</f>
        <v>0</v>
      </c>
      <c r="AG464" s="1">
        <f t="shared" ref="AG464:AG469" si="282">O464*(1-P464)*(1-A464)</f>
        <v>0</v>
      </c>
      <c r="AH464" s="1">
        <f t="shared" ref="AH464:AH469" si="283">+P464*(1-A464)</f>
        <v>0</v>
      </c>
      <c r="AI464" s="1">
        <f t="shared" ref="AI464:AI469" si="284">+(1-A464)*(1-P464)</f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2007</v>
      </c>
      <c r="E465" s="32" t="s">
        <v>156</v>
      </c>
      <c r="F465" s="32" t="s">
        <v>2008</v>
      </c>
      <c r="G465" s="32" t="s">
        <v>283</v>
      </c>
      <c r="H465" s="32" t="s">
        <v>354</v>
      </c>
      <c r="I465" s="31" t="s">
        <v>2009</v>
      </c>
      <c r="J465" s="31">
        <v>99</v>
      </c>
      <c r="K465" s="33" t="s">
        <v>703</v>
      </c>
      <c r="L465" s="33" t="s">
        <v>722</v>
      </c>
      <c r="M465" s="34" t="s">
        <v>732</v>
      </c>
      <c r="N465" s="34" t="s">
        <v>1727</v>
      </c>
      <c r="O465" s="35">
        <v>1</v>
      </c>
      <c r="P465" s="35">
        <v>1</v>
      </c>
      <c r="Q465" s="32"/>
      <c r="S465" s="1">
        <f t="shared" si="269"/>
        <v>0</v>
      </c>
      <c r="T465" s="1">
        <f t="shared" si="270"/>
        <v>0</v>
      </c>
      <c r="U465" s="1">
        <f t="shared" si="271"/>
        <v>0</v>
      </c>
      <c r="V465" s="1">
        <f t="shared" si="272"/>
        <v>0</v>
      </c>
      <c r="W465" s="1">
        <f t="shared" si="273"/>
        <v>0</v>
      </c>
      <c r="X465" s="1">
        <f t="shared" si="274"/>
        <v>0</v>
      </c>
      <c r="Y465" s="1">
        <f t="shared" si="275"/>
        <v>0</v>
      </c>
      <c r="Z465" s="1">
        <f t="shared" si="276"/>
        <v>0</v>
      </c>
      <c r="AA465" s="1">
        <f t="shared" si="277"/>
        <v>0</v>
      </c>
      <c r="AB465" s="1">
        <f t="shared" si="278"/>
        <v>0</v>
      </c>
      <c r="AD465" s="1">
        <f t="shared" si="279"/>
        <v>1</v>
      </c>
      <c r="AE465" s="1">
        <f t="shared" si="280"/>
        <v>0</v>
      </c>
      <c r="AF465" s="1">
        <f t="shared" si="281"/>
        <v>1</v>
      </c>
      <c r="AG465" s="1">
        <f t="shared" si="282"/>
        <v>0</v>
      </c>
      <c r="AH465" s="1">
        <f t="shared" si="283"/>
        <v>1</v>
      </c>
      <c r="AI465" s="1">
        <f t="shared" si="284"/>
        <v>0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2007</v>
      </c>
      <c r="E466" s="32" t="s">
        <v>156</v>
      </c>
      <c r="F466" s="32" t="s">
        <v>2010</v>
      </c>
      <c r="G466" s="32" t="s">
        <v>2011</v>
      </c>
      <c r="H466" s="32" t="s">
        <v>354</v>
      </c>
      <c r="I466" s="31" t="s">
        <v>2012</v>
      </c>
      <c r="J466" s="31">
        <v>99</v>
      </c>
      <c r="K466" s="33" t="s">
        <v>703</v>
      </c>
      <c r="L466" s="33" t="s">
        <v>722</v>
      </c>
      <c r="M466" s="34" t="s">
        <v>732</v>
      </c>
      <c r="N466" s="34" t="s">
        <v>1727</v>
      </c>
      <c r="O466" s="35">
        <v>1</v>
      </c>
      <c r="P466" s="35">
        <v>1</v>
      </c>
      <c r="Q466" s="32"/>
      <c r="S466" s="1">
        <f t="shared" si="269"/>
        <v>0</v>
      </c>
      <c r="T466" s="1">
        <f t="shared" si="270"/>
        <v>0</v>
      </c>
      <c r="U466" s="1">
        <f t="shared" si="271"/>
        <v>0</v>
      </c>
      <c r="V466" s="1">
        <f t="shared" si="272"/>
        <v>0</v>
      </c>
      <c r="W466" s="1">
        <f t="shared" si="273"/>
        <v>0</v>
      </c>
      <c r="X466" s="1">
        <f t="shared" si="274"/>
        <v>0</v>
      </c>
      <c r="Y466" s="1">
        <f t="shared" si="275"/>
        <v>0</v>
      </c>
      <c r="Z466" s="1">
        <f t="shared" si="276"/>
        <v>0</v>
      </c>
      <c r="AA466" s="1">
        <f t="shared" si="277"/>
        <v>0</v>
      </c>
      <c r="AB466" s="1">
        <f t="shared" si="278"/>
        <v>0</v>
      </c>
      <c r="AD466" s="1">
        <f t="shared" si="279"/>
        <v>1</v>
      </c>
      <c r="AE466" s="1">
        <f t="shared" si="280"/>
        <v>0</v>
      </c>
      <c r="AF466" s="1">
        <f t="shared" si="281"/>
        <v>0</v>
      </c>
      <c r="AG466" s="1">
        <f t="shared" si="282"/>
        <v>0</v>
      </c>
      <c r="AH466" s="1">
        <f t="shared" si="283"/>
        <v>0</v>
      </c>
      <c r="AI466" s="1">
        <f t="shared" si="284"/>
        <v>0</v>
      </c>
    </row>
    <row r="467" spans="1:35" ht="14.25" customHeight="1" x14ac:dyDescent="0.25">
      <c r="A467" s="15">
        <v>0</v>
      </c>
      <c r="B467" s="15">
        <v>2</v>
      </c>
      <c r="C467" s="15">
        <v>7</v>
      </c>
      <c r="D467" s="20" t="s">
        <v>1858</v>
      </c>
      <c r="E467" s="16" t="s">
        <v>156</v>
      </c>
      <c r="F467" s="20" t="s">
        <v>1859</v>
      </c>
      <c r="G467" s="20" t="s">
        <v>283</v>
      </c>
      <c r="H467" s="20" t="s">
        <v>354</v>
      </c>
      <c r="I467" s="21" t="s">
        <v>1860</v>
      </c>
      <c r="J467" s="15">
        <v>99</v>
      </c>
      <c r="K467" s="10" t="s">
        <v>703</v>
      </c>
      <c r="L467" s="10" t="s">
        <v>722</v>
      </c>
      <c r="M467" s="19" t="s">
        <v>732</v>
      </c>
      <c r="N467" s="19"/>
      <c r="Q467" s="20"/>
      <c r="S467" s="1">
        <f t="shared" si="269"/>
        <v>0</v>
      </c>
      <c r="T467" s="1">
        <f t="shared" si="270"/>
        <v>0</v>
      </c>
      <c r="U467" s="1">
        <f t="shared" si="271"/>
        <v>0</v>
      </c>
      <c r="V467" s="1">
        <f t="shared" si="272"/>
        <v>0</v>
      </c>
      <c r="W467" s="1">
        <f t="shared" si="273"/>
        <v>0</v>
      </c>
      <c r="X467" s="1">
        <f t="shared" si="274"/>
        <v>0</v>
      </c>
      <c r="Y467" s="1">
        <f t="shared" si="275"/>
        <v>0</v>
      </c>
      <c r="Z467" s="1">
        <f t="shared" si="276"/>
        <v>0</v>
      </c>
      <c r="AA467" s="1">
        <f t="shared" si="277"/>
        <v>0</v>
      </c>
      <c r="AB467" s="1">
        <f t="shared" si="278"/>
        <v>0</v>
      </c>
      <c r="AD467" s="1">
        <f t="shared" si="279"/>
        <v>0</v>
      </c>
      <c r="AE467" s="1">
        <f t="shared" si="280"/>
        <v>0</v>
      </c>
      <c r="AF467" s="1">
        <f t="shared" si="281"/>
        <v>0</v>
      </c>
      <c r="AG467" s="1">
        <f t="shared" si="282"/>
        <v>0</v>
      </c>
      <c r="AH467" s="1">
        <f t="shared" si="283"/>
        <v>0</v>
      </c>
      <c r="AI467" s="1">
        <f t="shared" si="284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60</v>
      </c>
      <c r="E468" s="32" t="s">
        <v>163</v>
      </c>
      <c r="F468" s="32" t="s">
        <v>227</v>
      </c>
      <c r="G468" s="32" t="s">
        <v>190</v>
      </c>
      <c r="H468" s="32" t="s">
        <v>354</v>
      </c>
      <c r="I468" s="31" t="s">
        <v>399</v>
      </c>
      <c r="J468" s="31">
        <v>99</v>
      </c>
      <c r="K468" s="33" t="s">
        <v>713</v>
      </c>
      <c r="L468" s="33" t="s">
        <v>722</v>
      </c>
      <c r="M468" s="34" t="s">
        <v>732</v>
      </c>
      <c r="N468" s="34" t="s">
        <v>1748</v>
      </c>
      <c r="O468" s="35">
        <v>1</v>
      </c>
      <c r="P468" s="35"/>
      <c r="Q468" s="32"/>
      <c r="S468" s="1">
        <f t="shared" si="269"/>
        <v>0</v>
      </c>
      <c r="T468" s="1">
        <f t="shared" si="270"/>
        <v>0</v>
      </c>
      <c r="U468" s="1">
        <f t="shared" si="271"/>
        <v>0</v>
      </c>
      <c r="V468" s="1">
        <f t="shared" si="272"/>
        <v>0</v>
      </c>
      <c r="W468" s="1">
        <f t="shared" si="273"/>
        <v>0</v>
      </c>
      <c r="X468" s="1">
        <f t="shared" si="274"/>
        <v>0</v>
      </c>
      <c r="Y468" s="1">
        <f t="shared" si="275"/>
        <v>0</v>
      </c>
      <c r="Z468" s="1">
        <f t="shared" si="276"/>
        <v>0</v>
      </c>
      <c r="AA468" s="1">
        <f t="shared" si="277"/>
        <v>0</v>
      </c>
      <c r="AB468" s="1">
        <f t="shared" si="278"/>
        <v>0</v>
      </c>
      <c r="AD468" s="1">
        <f t="shared" si="279"/>
        <v>0</v>
      </c>
      <c r="AE468" s="1">
        <f t="shared" si="280"/>
        <v>1</v>
      </c>
      <c r="AF468" s="1">
        <f t="shared" si="281"/>
        <v>0</v>
      </c>
      <c r="AG468" s="1">
        <f t="shared" si="282"/>
        <v>1</v>
      </c>
      <c r="AH468" s="1">
        <f t="shared" si="283"/>
        <v>0</v>
      </c>
      <c r="AI468" s="1">
        <f t="shared" si="284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1329</v>
      </c>
      <c r="E469" s="32" t="s">
        <v>156</v>
      </c>
      <c r="F469" s="32" t="s">
        <v>1143</v>
      </c>
      <c r="G469" s="32" t="s">
        <v>192</v>
      </c>
      <c r="H469" s="32" t="s">
        <v>354</v>
      </c>
      <c r="I469" s="31" t="s">
        <v>1369</v>
      </c>
      <c r="J469" s="31">
        <v>99</v>
      </c>
      <c r="K469" s="33" t="s">
        <v>712</v>
      </c>
      <c r="L469" s="33" t="s">
        <v>39</v>
      </c>
      <c r="M469" s="34" t="s">
        <v>39</v>
      </c>
      <c r="N469" s="34" t="s">
        <v>1727</v>
      </c>
      <c r="O469" s="35">
        <v>1</v>
      </c>
      <c r="P469" s="35">
        <v>1</v>
      </c>
      <c r="Q469" s="32"/>
      <c r="S469" s="1">
        <f t="shared" si="269"/>
        <v>0</v>
      </c>
      <c r="T469" s="1">
        <f t="shared" si="270"/>
        <v>0</v>
      </c>
      <c r="U469" s="1">
        <f t="shared" si="271"/>
        <v>0</v>
      </c>
      <c r="V469" s="1">
        <f t="shared" si="272"/>
        <v>0</v>
      </c>
      <c r="W469" s="1">
        <f t="shared" si="273"/>
        <v>0</v>
      </c>
      <c r="X469" s="1">
        <f t="shared" si="274"/>
        <v>0</v>
      </c>
      <c r="Y469" s="1">
        <f t="shared" si="275"/>
        <v>0</v>
      </c>
      <c r="Z469" s="1">
        <f t="shared" si="276"/>
        <v>0</v>
      </c>
      <c r="AA469" s="1">
        <f t="shared" si="277"/>
        <v>0</v>
      </c>
      <c r="AB469" s="1">
        <f t="shared" si="278"/>
        <v>0</v>
      </c>
      <c r="AD469" s="1">
        <f t="shared" si="279"/>
        <v>1</v>
      </c>
      <c r="AE469" s="1">
        <f t="shared" si="280"/>
        <v>0</v>
      </c>
      <c r="AF469" s="1">
        <f t="shared" si="281"/>
        <v>1</v>
      </c>
      <c r="AG469" s="1">
        <f t="shared" si="282"/>
        <v>0</v>
      </c>
      <c r="AH469" s="1">
        <f t="shared" si="283"/>
        <v>1</v>
      </c>
      <c r="AI469" s="1">
        <f t="shared" si="284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589</v>
      </c>
      <c r="E470" s="32" t="s">
        <v>1337</v>
      </c>
      <c r="F470" s="32" t="s">
        <v>676</v>
      </c>
      <c r="G470" s="32" t="s">
        <v>240</v>
      </c>
      <c r="H470" s="32" t="s">
        <v>354</v>
      </c>
      <c r="I470" s="31" t="s">
        <v>405</v>
      </c>
      <c r="J470" s="31">
        <v>1</v>
      </c>
      <c r="K470" s="33" t="s">
        <v>713</v>
      </c>
      <c r="L470" s="33" t="s">
        <v>1711</v>
      </c>
      <c r="M470" s="34" t="s">
        <v>1439</v>
      </c>
      <c r="N470" s="34" t="s">
        <v>1748</v>
      </c>
      <c r="O470" s="35">
        <v>1</v>
      </c>
      <c r="P470" s="35"/>
      <c r="Q470" s="32"/>
      <c r="S470" s="1">
        <f t="shared" si="233"/>
        <v>1</v>
      </c>
      <c r="T470" s="1">
        <f t="shared" si="234"/>
        <v>0</v>
      </c>
      <c r="U470" s="1">
        <f t="shared" si="235"/>
        <v>0</v>
      </c>
      <c r="V470" s="1">
        <f t="shared" si="236"/>
        <v>0</v>
      </c>
      <c r="W470" s="1">
        <f t="shared" si="237"/>
        <v>0</v>
      </c>
      <c r="X470" s="1">
        <f t="shared" si="238"/>
        <v>0</v>
      </c>
      <c r="Y470" s="1">
        <f t="shared" si="239"/>
        <v>0</v>
      </c>
      <c r="Z470" s="1">
        <f t="shared" si="240"/>
        <v>0</v>
      </c>
      <c r="AA470" s="1">
        <f t="shared" si="241"/>
        <v>0</v>
      </c>
      <c r="AB470" s="1">
        <f t="shared" si="242"/>
        <v>0</v>
      </c>
      <c r="AD470" s="1">
        <f t="shared" ref="AD470" si="285">+O470*P470</f>
        <v>0</v>
      </c>
      <c r="AE470" s="1">
        <f t="shared" ref="AE470" si="286">O470*(1-P470)</f>
        <v>1</v>
      </c>
      <c r="AF470" s="1">
        <f t="shared" ref="AF470:AF485" si="287">+O470*P470*(1-A470)</f>
        <v>0</v>
      </c>
      <c r="AG470" s="1">
        <f t="shared" ref="AG470:AG485" si="288">O470*(1-P470)*(1-A470)</f>
        <v>1</v>
      </c>
      <c r="AH470" s="1">
        <f t="shared" ref="AH470:AH485" si="289">+P470*(1-A470)</f>
        <v>0</v>
      </c>
      <c r="AI470" s="1">
        <f t="shared" ref="AI470:AI485" si="290">+(1-A470)*(1-P470)</f>
        <v>1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589</v>
      </c>
      <c r="E471" s="32" t="s">
        <v>1337</v>
      </c>
      <c r="F471" s="32" t="s">
        <v>239</v>
      </c>
      <c r="G471" s="32" t="s">
        <v>178</v>
      </c>
      <c r="H471" s="32" t="s">
        <v>354</v>
      </c>
      <c r="I471" s="31" t="s">
        <v>404</v>
      </c>
      <c r="J471" s="31">
        <v>1</v>
      </c>
      <c r="K471" s="33" t="s">
        <v>713</v>
      </c>
      <c r="L471" s="33" t="s">
        <v>1711</v>
      </c>
      <c r="M471" s="34" t="s">
        <v>1439</v>
      </c>
      <c r="N471" s="34" t="s">
        <v>1748</v>
      </c>
      <c r="O471" s="35">
        <v>1</v>
      </c>
      <c r="P471" s="35"/>
      <c r="Q471" s="36" t="s">
        <v>1911</v>
      </c>
      <c r="S471" s="1">
        <f t="shared" si="233"/>
        <v>1</v>
      </c>
      <c r="T471" s="1">
        <f t="shared" si="234"/>
        <v>0</v>
      </c>
      <c r="U471" s="1">
        <f t="shared" si="235"/>
        <v>0</v>
      </c>
      <c r="V471" s="1">
        <f t="shared" si="236"/>
        <v>0</v>
      </c>
      <c r="W471" s="1">
        <f t="shared" si="237"/>
        <v>0</v>
      </c>
      <c r="X471" s="1">
        <f t="shared" si="238"/>
        <v>0</v>
      </c>
      <c r="Y471" s="1">
        <f t="shared" si="239"/>
        <v>0</v>
      </c>
      <c r="Z471" s="1">
        <f t="shared" si="240"/>
        <v>0</v>
      </c>
      <c r="AA471" s="1">
        <f t="shared" si="241"/>
        <v>0</v>
      </c>
      <c r="AB471" s="1">
        <f t="shared" si="242"/>
        <v>0</v>
      </c>
      <c r="AD471" s="1">
        <f t="shared" si="243"/>
        <v>0</v>
      </c>
      <c r="AE471" s="1">
        <f t="shared" si="244"/>
        <v>1</v>
      </c>
      <c r="AF471" s="1">
        <f t="shared" si="287"/>
        <v>0</v>
      </c>
      <c r="AG471" s="1">
        <f t="shared" si="288"/>
        <v>0</v>
      </c>
      <c r="AH471" s="1">
        <f t="shared" si="289"/>
        <v>0</v>
      </c>
      <c r="AI471" s="1">
        <f t="shared" si="290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1330</v>
      </c>
      <c r="E472" s="32" t="s">
        <v>156</v>
      </c>
      <c r="F472" s="32" t="s">
        <v>1356</v>
      </c>
      <c r="G472" s="32" t="s">
        <v>258</v>
      </c>
      <c r="H472" s="32" t="s">
        <v>354</v>
      </c>
      <c r="I472" s="31" t="s">
        <v>1239</v>
      </c>
      <c r="J472" s="31">
        <v>8</v>
      </c>
      <c r="K472" s="33" t="s">
        <v>955</v>
      </c>
      <c r="L472" s="33" t="s">
        <v>722</v>
      </c>
      <c r="M472" s="34" t="s">
        <v>732</v>
      </c>
      <c r="N472" s="34" t="s">
        <v>1748</v>
      </c>
      <c r="O472" s="35">
        <v>1</v>
      </c>
      <c r="P472" s="35"/>
      <c r="Q472" s="32"/>
      <c r="S472" s="1">
        <f t="shared" si="233"/>
        <v>0</v>
      </c>
      <c r="T472" s="1">
        <f t="shared" si="234"/>
        <v>0</v>
      </c>
      <c r="U472" s="1">
        <f t="shared" si="235"/>
        <v>0</v>
      </c>
      <c r="V472" s="1">
        <f t="shared" si="236"/>
        <v>0</v>
      </c>
      <c r="W472" s="1">
        <f t="shared" si="237"/>
        <v>0</v>
      </c>
      <c r="X472" s="1">
        <f t="shared" si="238"/>
        <v>0</v>
      </c>
      <c r="Y472" s="1">
        <f t="shared" si="239"/>
        <v>0</v>
      </c>
      <c r="Z472" s="1">
        <f t="shared" si="240"/>
        <v>1</v>
      </c>
      <c r="AA472" s="1">
        <f t="shared" si="241"/>
        <v>0</v>
      </c>
      <c r="AB472" s="1">
        <f t="shared" si="242"/>
        <v>0</v>
      </c>
      <c r="AD472" s="1">
        <f t="shared" si="243"/>
        <v>0</v>
      </c>
      <c r="AE472" s="1">
        <f t="shared" si="244"/>
        <v>1</v>
      </c>
      <c r="AF472" s="1">
        <f t="shared" si="287"/>
        <v>0</v>
      </c>
      <c r="AG472" s="1">
        <f t="shared" si="288"/>
        <v>1</v>
      </c>
      <c r="AH472" s="1">
        <f t="shared" si="289"/>
        <v>0</v>
      </c>
      <c r="AI472" s="1">
        <f t="shared" si="290"/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1330</v>
      </c>
      <c r="E473" s="32" t="s">
        <v>156</v>
      </c>
      <c r="F473" s="32" t="s">
        <v>1218</v>
      </c>
      <c r="G473" s="32" t="s">
        <v>218</v>
      </c>
      <c r="H473" s="32" t="s">
        <v>354</v>
      </c>
      <c r="I473" s="31" t="s">
        <v>1239</v>
      </c>
      <c r="J473" s="31">
        <v>99</v>
      </c>
      <c r="K473" s="33" t="s">
        <v>955</v>
      </c>
      <c r="L473" s="33" t="s">
        <v>722</v>
      </c>
      <c r="M473" s="34" t="s">
        <v>732</v>
      </c>
      <c r="N473" s="34" t="s">
        <v>1748</v>
      </c>
      <c r="O473" s="35">
        <v>1</v>
      </c>
      <c r="P473" s="35"/>
      <c r="Q473" s="32"/>
      <c r="S473" s="1">
        <f t="shared" si="233"/>
        <v>0</v>
      </c>
      <c r="T473" s="1">
        <f t="shared" si="234"/>
        <v>0</v>
      </c>
      <c r="U473" s="1">
        <f t="shared" si="235"/>
        <v>0</v>
      </c>
      <c r="V473" s="1">
        <f t="shared" si="236"/>
        <v>0</v>
      </c>
      <c r="W473" s="1">
        <f t="shared" si="237"/>
        <v>0</v>
      </c>
      <c r="X473" s="1">
        <f t="shared" si="238"/>
        <v>0</v>
      </c>
      <c r="Y473" s="1">
        <f t="shared" si="239"/>
        <v>0</v>
      </c>
      <c r="Z473" s="1">
        <f t="shared" si="240"/>
        <v>0</v>
      </c>
      <c r="AA473" s="1">
        <f t="shared" si="241"/>
        <v>0</v>
      </c>
      <c r="AB473" s="1">
        <f t="shared" si="242"/>
        <v>0</v>
      </c>
      <c r="AD473" s="1">
        <f t="shared" si="243"/>
        <v>0</v>
      </c>
      <c r="AE473" s="1">
        <f t="shared" si="244"/>
        <v>1</v>
      </c>
      <c r="AF473" s="1">
        <f t="shared" si="287"/>
        <v>0</v>
      </c>
      <c r="AG473" s="1">
        <f t="shared" si="288"/>
        <v>0</v>
      </c>
      <c r="AH473" s="1">
        <f t="shared" si="289"/>
        <v>0</v>
      </c>
      <c r="AI473" s="1">
        <f t="shared" si="290"/>
        <v>0</v>
      </c>
    </row>
    <row r="474" spans="1:35" ht="14.25" customHeight="1" x14ac:dyDescent="0.25">
      <c r="A474" s="44">
        <v>0</v>
      </c>
      <c r="B474" s="44">
        <v>2</v>
      </c>
      <c r="C474" s="44">
        <v>7</v>
      </c>
      <c r="D474" s="45" t="s">
        <v>1248</v>
      </c>
      <c r="E474" s="45" t="s">
        <v>156</v>
      </c>
      <c r="F474" s="45" t="s">
        <v>1250</v>
      </c>
      <c r="G474" s="45" t="s">
        <v>220</v>
      </c>
      <c r="H474" s="45" t="s">
        <v>354</v>
      </c>
      <c r="I474" s="44" t="s">
        <v>1370</v>
      </c>
      <c r="J474" s="44">
        <v>8</v>
      </c>
      <c r="K474" s="46" t="s">
        <v>954</v>
      </c>
      <c r="L474" s="46" t="s">
        <v>722</v>
      </c>
      <c r="M474" s="47" t="s">
        <v>732</v>
      </c>
      <c r="N474" s="47" t="s">
        <v>1735</v>
      </c>
      <c r="O474" s="48"/>
      <c r="P474" s="48"/>
      <c r="Q474" s="45"/>
      <c r="S474" s="1">
        <f t="shared" si="233"/>
        <v>0</v>
      </c>
      <c r="T474" s="1">
        <f t="shared" si="234"/>
        <v>0</v>
      </c>
      <c r="U474" s="1">
        <f t="shared" si="235"/>
        <v>0</v>
      </c>
      <c r="V474" s="1">
        <f t="shared" si="236"/>
        <v>0</v>
      </c>
      <c r="W474" s="1">
        <f t="shared" si="237"/>
        <v>0</v>
      </c>
      <c r="X474" s="1">
        <f t="shared" si="238"/>
        <v>0</v>
      </c>
      <c r="Y474" s="1">
        <f t="shared" si="239"/>
        <v>0</v>
      </c>
      <c r="Z474" s="1">
        <f t="shared" si="240"/>
        <v>1</v>
      </c>
      <c r="AA474" s="1">
        <f t="shared" si="241"/>
        <v>0</v>
      </c>
      <c r="AB474" s="1">
        <f t="shared" si="242"/>
        <v>0</v>
      </c>
      <c r="AD474" s="1">
        <f t="shared" si="243"/>
        <v>0</v>
      </c>
      <c r="AE474" s="1">
        <f t="shared" si="244"/>
        <v>0</v>
      </c>
      <c r="AF474" s="1">
        <f t="shared" si="287"/>
        <v>0</v>
      </c>
      <c r="AG474" s="1">
        <f t="shared" si="288"/>
        <v>0</v>
      </c>
      <c r="AH474" s="1">
        <f t="shared" si="289"/>
        <v>0</v>
      </c>
      <c r="AI474" s="1">
        <f t="shared" si="290"/>
        <v>1</v>
      </c>
    </row>
    <row r="475" spans="1:35" ht="14.25" customHeight="1" x14ac:dyDescent="0.25">
      <c r="A475" s="44">
        <v>1</v>
      </c>
      <c r="B475" s="44">
        <v>2</v>
      </c>
      <c r="C475" s="44">
        <v>7</v>
      </c>
      <c r="D475" s="45" t="s">
        <v>1248</v>
      </c>
      <c r="E475" s="45" t="s">
        <v>156</v>
      </c>
      <c r="F475" s="45" t="s">
        <v>1357</v>
      </c>
      <c r="G475" s="45" t="s">
        <v>39</v>
      </c>
      <c r="H475" s="45" t="s">
        <v>355</v>
      </c>
      <c r="I475" s="44" t="s">
        <v>1249</v>
      </c>
      <c r="J475" s="44">
        <v>99</v>
      </c>
      <c r="K475" s="46" t="s">
        <v>954</v>
      </c>
      <c r="L475" s="46" t="s">
        <v>722</v>
      </c>
      <c r="M475" s="47" t="s">
        <v>732</v>
      </c>
      <c r="N475" s="47" t="s">
        <v>1735</v>
      </c>
      <c r="O475" s="48"/>
      <c r="P475" s="48"/>
      <c r="Q475" s="65" t="s">
        <v>1904</v>
      </c>
      <c r="S475" s="1">
        <f t="shared" ref="S475:S485" si="291">IF(J475=$S$7,1,0)</f>
        <v>0</v>
      </c>
      <c r="T475" s="1">
        <f t="shared" ref="T475:T485" si="292">IF(J475=$T$7,1,0)</f>
        <v>0</v>
      </c>
      <c r="U475" s="1">
        <f t="shared" ref="U475:U485" si="293">IF(J475=$U$7,1,0)</f>
        <v>0</v>
      </c>
      <c r="V475" s="1">
        <f t="shared" ref="V475:V485" si="294">IF(J475=$V$7,1,0)</f>
        <v>0</v>
      </c>
      <c r="W475" s="1">
        <f t="shared" ref="W475:W485" si="295">IF(J475=$W$7,1,0)</f>
        <v>0</v>
      </c>
      <c r="X475" s="1">
        <f t="shared" ref="X475:X485" si="296">IF(J475=$X$7,1,0)</f>
        <v>0</v>
      </c>
      <c r="Y475" s="1">
        <f t="shared" ref="Y475:Y485" si="297">IF(J475=$Y$7,1,0)</f>
        <v>0</v>
      </c>
      <c r="Z475" s="1">
        <f t="shared" ref="Z475:Z485" si="298">IF(J475=$Z$7,1,0)</f>
        <v>0</v>
      </c>
      <c r="AA475" s="1">
        <f t="shared" ref="AA475:AA485" si="299">IF(J475=$AA$7,1,0)</f>
        <v>0</v>
      </c>
      <c r="AB475" s="1">
        <f t="shared" ref="AB475:AB485" si="300">IF(J475=$AB$7,1,0)</f>
        <v>0</v>
      </c>
      <c r="AD475" s="1">
        <f>+O475*P475</f>
        <v>0</v>
      </c>
      <c r="AE475" s="1">
        <f>O475*(1-P475)</f>
        <v>0</v>
      </c>
      <c r="AF475" s="1">
        <f t="shared" si="287"/>
        <v>0</v>
      </c>
      <c r="AG475" s="1">
        <f t="shared" si="288"/>
        <v>0</v>
      </c>
      <c r="AH475" s="1">
        <f t="shared" si="289"/>
        <v>0</v>
      </c>
      <c r="AI475" s="1">
        <f t="shared" si="290"/>
        <v>0</v>
      </c>
    </row>
    <row r="476" spans="1:35" ht="14.25" customHeight="1" x14ac:dyDescent="0.25">
      <c r="A476" s="44">
        <v>1</v>
      </c>
      <c r="B476" s="44">
        <v>2</v>
      </c>
      <c r="C476" s="44">
        <v>7</v>
      </c>
      <c r="D476" s="45" t="s">
        <v>1248</v>
      </c>
      <c r="E476" s="45" t="s">
        <v>156</v>
      </c>
      <c r="F476" s="45" t="s">
        <v>1523</v>
      </c>
      <c r="G476" s="45" t="s">
        <v>235</v>
      </c>
      <c r="H476" s="45" t="s">
        <v>354</v>
      </c>
      <c r="I476" s="44" t="s">
        <v>1691</v>
      </c>
      <c r="J476" s="44">
        <v>99</v>
      </c>
      <c r="K476" s="46" t="s">
        <v>954</v>
      </c>
      <c r="L476" s="46" t="s">
        <v>722</v>
      </c>
      <c r="M476" s="47" t="s">
        <v>732</v>
      </c>
      <c r="N476" s="47" t="s">
        <v>1735</v>
      </c>
      <c r="O476" s="48"/>
      <c r="P476" s="48"/>
      <c r="Q476" s="45"/>
      <c r="S476" s="1">
        <f t="shared" si="291"/>
        <v>0</v>
      </c>
      <c r="T476" s="1">
        <f t="shared" si="292"/>
        <v>0</v>
      </c>
      <c r="U476" s="1">
        <f t="shared" si="293"/>
        <v>0</v>
      </c>
      <c r="V476" s="1">
        <f t="shared" si="294"/>
        <v>0</v>
      </c>
      <c r="W476" s="1">
        <f t="shared" si="295"/>
        <v>0</v>
      </c>
      <c r="X476" s="1">
        <f t="shared" si="296"/>
        <v>0</v>
      </c>
      <c r="Y476" s="1">
        <f t="shared" si="297"/>
        <v>0</v>
      </c>
      <c r="Z476" s="1">
        <f t="shared" si="298"/>
        <v>0</v>
      </c>
      <c r="AA476" s="1">
        <f t="shared" si="299"/>
        <v>0</v>
      </c>
      <c r="AB476" s="1">
        <f t="shared" si="300"/>
        <v>0</v>
      </c>
      <c r="AD476" s="1">
        <f>+O476*P476</f>
        <v>0</v>
      </c>
      <c r="AE476" s="1">
        <f>O476*(1-P476)</f>
        <v>0</v>
      </c>
      <c r="AF476" s="1">
        <f t="shared" si="287"/>
        <v>0</v>
      </c>
      <c r="AG476" s="1">
        <f t="shared" si="288"/>
        <v>0</v>
      </c>
      <c r="AH476" s="1">
        <f t="shared" si="289"/>
        <v>0</v>
      </c>
      <c r="AI476" s="1">
        <f t="shared" si="290"/>
        <v>0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1850</v>
      </c>
      <c r="E477" s="32" t="s">
        <v>1851</v>
      </c>
      <c r="F477" s="32" t="s">
        <v>1852</v>
      </c>
      <c r="G477" s="32" t="s">
        <v>265</v>
      </c>
      <c r="H477" s="32" t="s">
        <v>354</v>
      </c>
      <c r="I477" s="31" t="s">
        <v>1853</v>
      </c>
      <c r="J477" s="31">
        <v>99</v>
      </c>
      <c r="K477" s="33" t="s">
        <v>703</v>
      </c>
      <c r="L477" s="33"/>
      <c r="M477" s="34"/>
      <c r="N477" s="34" t="s">
        <v>1727</v>
      </c>
      <c r="O477" s="35">
        <v>1</v>
      </c>
      <c r="P477" s="35">
        <v>1</v>
      </c>
      <c r="Q477" s="32"/>
      <c r="S477" s="1">
        <f t="shared" si="291"/>
        <v>0</v>
      </c>
      <c r="T477" s="1">
        <f t="shared" si="292"/>
        <v>0</v>
      </c>
      <c r="U477" s="1">
        <f t="shared" si="293"/>
        <v>0</v>
      </c>
      <c r="V477" s="1">
        <f t="shared" si="294"/>
        <v>0</v>
      </c>
      <c r="W477" s="1">
        <f t="shared" si="295"/>
        <v>0</v>
      </c>
      <c r="X477" s="1">
        <f t="shared" si="296"/>
        <v>0</v>
      </c>
      <c r="Y477" s="1">
        <f t="shared" si="297"/>
        <v>0</v>
      </c>
      <c r="Z477" s="1">
        <f t="shared" si="298"/>
        <v>0</v>
      </c>
      <c r="AA477" s="1">
        <f t="shared" si="299"/>
        <v>0</v>
      </c>
      <c r="AB477" s="1">
        <f t="shared" si="300"/>
        <v>0</v>
      </c>
      <c r="AD477" s="1">
        <f>+O477*P477</f>
        <v>1</v>
      </c>
      <c r="AE477" s="1">
        <f>O477*(1-P477)</f>
        <v>0</v>
      </c>
      <c r="AF477" s="1">
        <f t="shared" si="287"/>
        <v>1</v>
      </c>
      <c r="AG477" s="1">
        <f t="shared" si="288"/>
        <v>0</v>
      </c>
      <c r="AH477" s="1">
        <f t="shared" si="289"/>
        <v>1</v>
      </c>
      <c r="AI477" s="1">
        <f t="shared" si="290"/>
        <v>0</v>
      </c>
    </row>
    <row r="478" spans="1:35" ht="14.25" customHeight="1" x14ac:dyDescent="0.25">
      <c r="A478" s="44">
        <v>0</v>
      </c>
      <c r="B478" s="44">
        <v>2</v>
      </c>
      <c r="C478" s="44">
        <v>7</v>
      </c>
      <c r="D478" s="45" t="s">
        <v>1243</v>
      </c>
      <c r="E478" s="45" t="s">
        <v>28</v>
      </c>
      <c r="F478" s="45" t="s">
        <v>1236</v>
      </c>
      <c r="G478" s="45" t="s">
        <v>1237</v>
      </c>
      <c r="H478" s="45" t="s">
        <v>354</v>
      </c>
      <c r="I478" s="44" t="s">
        <v>1238</v>
      </c>
      <c r="J478" s="44">
        <v>99</v>
      </c>
      <c r="K478" s="46" t="s">
        <v>712</v>
      </c>
      <c r="L478" s="46" t="s">
        <v>713</v>
      </c>
      <c r="M478" s="47" t="s">
        <v>731</v>
      </c>
      <c r="N478" s="47" t="s">
        <v>1735</v>
      </c>
      <c r="O478" s="48"/>
      <c r="P478" s="48"/>
      <c r="Q478" s="45"/>
      <c r="S478" s="1">
        <f t="shared" si="291"/>
        <v>0</v>
      </c>
      <c r="T478" s="1">
        <f t="shared" si="292"/>
        <v>0</v>
      </c>
      <c r="U478" s="1">
        <f t="shared" si="293"/>
        <v>0</v>
      </c>
      <c r="V478" s="1">
        <f t="shared" si="294"/>
        <v>0</v>
      </c>
      <c r="W478" s="1">
        <f t="shared" si="295"/>
        <v>0</v>
      </c>
      <c r="X478" s="1">
        <f t="shared" si="296"/>
        <v>0</v>
      </c>
      <c r="Y478" s="1">
        <f t="shared" si="297"/>
        <v>0</v>
      </c>
      <c r="Z478" s="1">
        <f t="shared" si="298"/>
        <v>0</v>
      </c>
      <c r="AA478" s="1">
        <f t="shared" si="299"/>
        <v>0</v>
      </c>
      <c r="AB478" s="1">
        <f t="shared" si="300"/>
        <v>0</v>
      </c>
      <c r="AD478" s="1">
        <f t="shared" ref="AD478:AD485" si="301">+O478*P478</f>
        <v>0</v>
      </c>
      <c r="AE478" s="1">
        <f t="shared" ref="AE478:AE485" si="302">O478*(1-P478)</f>
        <v>0</v>
      </c>
      <c r="AF478" s="1">
        <f t="shared" si="287"/>
        <v>0</v>
      </c>
      <c r="AG478" s="1">
        <f t="shared" si="288"/>
        <v>0</v>
      </c>
      <c r="AH478" s="1">
        <f t="shared" si="289"/>
        <v>0</v>
      </c>
      <c r="AI478" s="1">
        <f t="shared" si="290"/>
        <v>1</v>
      </c>
    </row>
    <row r="479" spans="1:35" ht="14.25" customHeight="1" x14ac:dyDescent="0.25">
      <c r="A479" s="44">
        <v>1</v>
      </c>
      <c r="B479" s="44">
        <v>2</v>
      </c>
      <c r="C479" s="44">
        <v>7</v>
      </c>
      <c r="D479" s="45" t="s">
        <v>1240</v>
      </c>
      <c r="E479" s="45" t="s">
        <v>28</v>
      </c>
      <c r="F479" s="45" t="s">
        <v>1241</v>
      </c>
      <c r="G479" s="45" t="s">
        <v>523</v>
      </c>
      <c r="H479" s="45" t="s">
        <v>354</v>
      </c>
      <c r="I479" s="44" t="s">
        <v>1242</v>
      </c>
      <c r="J479" s="44">
        <v>99</v>
      </c>
      <c r="K479" s="46" t="s">
        <v>712</v>
      </c>
      <c r="L479" s="46" t="s">
        <v>713</v>
      </c>
      <c r="M479" s="47" t="s">
        <v>731</v>
      </c>
      <c r="N479" s="47" t="s">
        <v>1735</v>
      </c>
      <c r="O479" s="48"/>
      <c r="P479" s="48"/>
      <c r="Q479" s="45"/>
      <c r="S479" s="1">
        <f t="shared" si="291"/>
        <v>0</v>
      </c>
      <c r="T479" s="1">
        <f t="shared" si="292"/>
        <v>0</v>
      </c>
      <c r="U479" s="1">
        <f t="shared" si="293"/>
        <v>0</v>
      </c>
      <c r="V479" s="1">
        <f t="shared" si="294"/>
        <v>0</v>
      </c>
      <c r="W479" s="1">
        <f t="shared" si="295"/>
        <v>0</v>
      </c>
      <c r="X479" s="1">
        <f t="shared" si="296"/>
        <v>0</v>
      </c>
      <c r="Y479" s="1">
        <f t="shared" si="297"/>
        <v>0</v>
      </c>
      <c r="Z479" s="1">
        <f t="shared" si="298"/>
        <v>0</v>
      </c>
      <c r="AA479" s="1">
        <f t="shared" si="299"/>
        <v>0</v>
      </c>
      <c r="AB479" s="1">
        <f t="shared" si="300"/>
        <v>0</v>
      </c>
      <c r="AD479" s="1">
        <f t="shared" si="301"/>
        <v>0</v>
      </c>
      <c r="AE479" s="1">
        <f t="shared" si="302"/>
        <v>0</v>
      </c>
      <c r="AF479" s="1">
        <f t="shared" si="287"/>
        <v>0</v>
      </c>
      <c r="AG479" s="1">
        <f t="shared" si="288"/>
        <v>0</v>
      </c>
      <c r="AH479" s="1">
        <f t="shared" si="289"/>
        <v>0</v>
      </c>
      <c r="AI479" s="1">
        <f t="shared" si="290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1846</v>
      </c>
      <c r="E480" s="32" t="s">
        <v>1168</v>
      </c>
      <c r="F480" s="32" t="s">
        <v>1847</v>
      </c>
      <c r="G480" s="32"/>
      <c r="H480" s="32" t="s">
        <v>354</v>
      </c>
      <c r="I480" s="31" t="s">
        <v>1848</v>
      </c>
      <c r="J480" s="31">
        <v>6</v>
      </c>
      <c r="K480" s="33" t="s">
        <v>703</v>
      </c>
      <c r="L480" s="33"/>
      <c r="M480" s="34"/>
      <c r="N480" s="34" t="s">
        <v>1748</v>
      </c>
      <c r="O480" s="35">
        <v>1</v>
      </c>
      <c r="P480" s="35"/>
      <c r="Q480" s="32"/>
      <c r="S480" s="1">
        <f t="shared" si="291"/>
        <v>0</v>
      </c>
      <c r="T480" s="1">
        <f t="shared" si="292"/>
        <v>0</v>
      </c>
      <c r="U480" s="1">
        <f t="shared" si="293"/>
        <v>0</v>
      </c>
      <c r="V480" s="1">
        <f t="shared" si="294"/>
        <v>0</v>
      </c>
      <c r="W480" s="1">
        <f t="shared" si="295"/>
        <v>0</v>
      </c>
      <c r="X480" s="1">
        <f t="shared" si="296"/>
        <v>1</v>
      </c>
      <c r="Y480" s="1">
        <f t="shared" si="297"/>
        <v>0</v>
      </c>
      <c r="Z480" s="1">
        <f t="shared" si="298"/>
        <v>0</v>
      </c>
      <c r="AA480" s="1">
        <f t="shared" si="299"/>
        <v>0</v>
      </c>
      <c r="AB480" s="1">
        <f t="shared" si="300"/>
        <v>0</v>
      </c>
      <c r="AD480" s="1">
        <f t="shared" si="301"/>
        <v>0</v>
      </c>
      <c r="AE480" s="1">
        <f t="shared" si="302"/>
        <v>1</v>
      </c>
      <c r="AF480" s="1">
        <f t="shared" si="287"/>
        <v>0</v>
      </c>
      <c r="AG480" s="1">
        <f t="shared" si="288"/>
        <v>1</v>
      </c>
      <c r="AH480" s="1">
        <f t="shared" si="289"/>
        <v>0</v>
      </c>
      <c r="AI480" s="1">
        <f t="shared" si="290"/>
        <v>1</v>
      </c>
    </row>
    <row r="481" spans="1:35" ht="14.25" customHeight="1" x14ac:dyDescent="0.25">
      <c r="A481" s="44">
        <v>0</v>
      </c>
      <c r="B481" s="44">
        <v>2</v>
      </c>
      <c r="C481" s="44">
        <v>7</v>
      </c>
      <c r="D481" s="45" t="s">
        <v>1458</v>
      </c>
      <c r="E481" s="45" t="s">
        <v>28</v>
      </c>
      <c r="F481" s="45" t="s">
        <v>1459</v>
      </c>
      <c r="G481" s="45" t="s">
        <v>1460</v>
      </c>
      <c r="H481" s="45" t="s">
        <v>354</v>
      </c>
      <c r="I481" s="44" t="s">
        <v>1461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 t="s">
        <v>1931</v>
      </c>
      <c r="S481" s="1">
        <f t="shared" si="291"/>
        <v>0</v>
      </c>
      <c r="T481" s="1">
        <f t="shared" si="292"/>
        <v>0</v>
      </c>
      <c r="U481" s="1">
        <f t="shared" si="293"/>
        <v>0</v>
      </c>
      <c r="V481" s="1">
        <f t="shared" si="294"/>
        <v>0</v>
      </c>
      <c r="W481" s="1">
        <f t="shared" si="295"/>
        <v>0</v>
      </c>
      <c r="X481" s="1">
        <f t="shared" si="296"/>
        <v>0</v>
      </c>
      <c r="Y481" s="1">
        <f t="shared" si="297"/>
        <v>0</v>
      </c>
      <c r="Z481" s="1">
        <f t="shared" si="298"/>
        <v>0</v>
      </c>
      <c r="AA481" s="1">
        <f t="shared" si="299"/>
        <v>0</v>
      </c>
      <c r="AB481" s="1">
        <f t="shared" si="300"/>
        <v>0</v>
      </c>
      <c r="AD481" s="1">
        <f t="shared" si="301"/>
        <v>0</v>
      </c>
      <c r="AE481" s="1">
        <f t="shared" si="302"/>
        <v>0</v>
      </c>
      <c r="AF481" s="1">
        <f t="shared" si="287"/>
        <v>0</v>
      </c>
      <c r="AG481" s="1">
        <f t="shared" si="288"/>
        <v>0</v>
      </c>
      <c r="AH481" s="1">
        <f t="shared" si="289"/>
        <v>0</v>
      </c>
      <c r="AI481" s="1">
        <f t="shared" si="29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43</v>
      </c>
      <c r="E482" s="32" t="s">
        <v>541</v>
      </c>
      <c r="F482" s="32" t="s">
        <v>575</v>
      </c>
      <c r="G482" s="32" t="s">
        <v>235</v>
      </c>
      <c r="H482" s="32" t="s">
        <v>354</v>
      </c>
      <c r="I482" s="31" t="s">
        <v>582</v>
      </c>
      <c r="J482" s="31">
        <v>99</v>
      </c>
      <c r="K482" s="33" t="s">
        <v>712</v>
      </c>
      <c r="L482" s="33" t="s">
        <v>729</v>
      </c>
      <c r="M482" s="34" t="s">
        <v>1440</v>
      </c>
      <c r="N482" s="34" t="s">
        <v>1748</v>
      </c>
      <c r="O482" s="35">
        <v>1</v>
      </c>
      <c r="P482" s="35"/>
      <c r="Q482" s="32"/>
      <c r="S482" s="1">
        <f t="shared" si="291"/>
        <v>0</v>
      </c>
      <c r="T482" s="1">
        <f t="shared" si="292"/>
        <v>0</v>
      </c>
      <c r="U482" s="1">
        <f t="shared" si="293"/>
        <v>0</v>
      </c>
      <c r="V482" s="1">
        <f t="shared" si="294"/>
        <v>0</v>
      </c>
      <c r="W482" s="1">
        <f t="shared" si="295"/>
        <v>0</v>
      </c>
      <c r="X482" s="1">
        <f t="shared" si="296"/>
        <v>0</v>
      </c>
      <c r="Y482" s="1">
        <f t="shared" si="297"/>
        <v>0</v>
      </c>
      <c r="Z482" s="1">
        <f t="shared" si="298"/>
        <v>0</v>
      </c>
      <c r="AA482" s="1">
        <f t="shared" si="299"/>
        <v>0</v>
      </c>
      <c r="AB482" s="1">
        <f t="shared" si="300"/>
        <v>0</v>
      </c>
      <c r="AD482" s="1">
        <f t="shared" si="301"/>
        <v>0</v>
      </c>
      <c r="AE482" s="1">
        <f t="shared" si="302"/>
        <v>1</v>
      </c>
      <c r="AF482" s="1">
        <f t="shared" si="287"/>
        <v>0</v>
      </c>
      <c r="AG482" s="1">
        <f t="shared" si="288"/>
        <v>1</v>
      </c>
      <c r="AH482" s="1">
        <f t="shared" si="289"/>
        <v>0</v>
      </c>
      <c r="AI482" s="1">
        <f t="shared" si="290"/>
        <v>1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43</v>
      </c>
      <c r="E483" s="32" t="s">
        <v>541</v>
      </c>
      <c r="F483" s="32" t="s">
        <v>271</v>
      </c>
      <c r="G483" s="32" t="s">
        <v>180</v>
      </c>
      <c r="H483" s="32" t="s">
        <v>354</v>
      </c>
      <c r="I483" s="31" t="s">
        <v>426</v>
      </c>
      <c r="J483" s="31">
        <v>10</v>
      </c>
      <c r="K483" s="33" t="s">
        <v>712</v>
      </c>
      <c r="L483" s="33" t="s">
        <v>729</v>
      </c>
      <c r="M483" s="34" t="s">
        <v>1440</v>
      </c>
      <c r="N483" s="34" t="s">
        <v>1748</v>
      </c>
      <c r="O483" s="35">
        <v>1</v>
      </c>
      <c r="P483" s="35"/>
      <c r="Q483" s="32"/>
      <c r="S483" s="1">
        <f t="shared" si="291"/>
        <v>0</v>
      </c>
      <c r="T483" s="1">
        <f t="shared" si="292"/>
        <v>0</v>
      </c>
      <c r="U483" s="1">
        <f t="shared" si="293"/>
        <v>0</v>
      </c>
      <c r="V483" s="1">
        <f t="shared" si="294"/>
        <v>0</v>
      </c>
      <c r="W483" s="1">
        <f t="shared" si="295"/>
        <v>0</v>
      </c>
      <c r="X483" s="1">
        <f t="shared" si="296"/>
        <v>0</v>
      </c>
      <c r="Y483" s="1">
        <f t="shared" si="297"/>
        <v>0</v>
      </c>
      <c r="Z483" s="1">
        <f t="shared" si="298"/>
        <v>0</v>
      </c>
      <c r="AA483" s="1">
        <f t="shared" si="299"/>
        <v>0</v>
      </c>
      <c r="AB483" s="1">
        <f t="shared" si="300"/>
        <v>1</v>
      </c>
      <c r="AD483" s="1">
        <f t="shared" si="301"/>
        <v>0</v>
      </c>
      <c r="AE483" s="1">
        <f t="shared" si="302"/>
        <v>1</v>
      </c>
      <c r="AF483" s="1">
        <f t="shared" si="287"/>
        <v>0</v>
      </c>
      <c r="AG483" s="1">
        <f t="shared" si="288"/>
        <v>0</v>
      </c>
      <c r="AH483" s="1">
        <f t="shared" si="289"/>
        <v>0</v>
      </c>
      <c r="AI483" s="1">
        <f t="shared" si="290"/>
        <v>0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272</v>
      </c>
      <c r="G484" s="32" t="s">
        <v>39</v>
      </c>
      <c r="H484" s="32" t="s">
        <v>354</v>
      </c>
      <c r="I484" s="31" t="s">
        <v>427</v>
      </c>
      <c r="J484" s="31">
        <v>5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1">
        <f t="shared" si="291"/>
        <v>0</v>
      </c>
      <c r="T484" s="1">
        <f t="shared" si="292"/>
        <v>0</v>
      </c>
      <c r="U484" s="1">
        <f t="shared" si="293"/>
        <v>0</v>
      </c>
      <c r="V484" s="1">
        <f t="shared" si="294"/>
        <v>0</v>
      </c>
      <c r="W484" s="1">
        <f t="shared" si="295"/>
        <v>1</v>
      </c>
      <c r="X484" s="1">
        <f t="shared" si="296"/>
        <v>0</v>
      </c>
      <c r="Y484" s="1">
        <f t="shared" si="297"/>
        <v>0</v>
      </c>
      <c r="Z484" s="1">
        <f t="shared" si="298"/>
        <v>0</v>
      </c>
      <c r="AA484" s="1">
        <f t="shared" si="299"/>
        <v>0</v>
      </c>
      <c r="AB484" s="1">
        <f t="shared" si="300"/>
        <v>0</v>
      </c>
      <c r="AD484" s="1">
        <f t="shared" si="301"/>
        <v>0</v>
      </c>
      <c r="AE484" s="1">
        <f t="shared" si="302"/>
        <v>1</v>
      </c>
      <c r="AF484" s="1">
        <f t="shared" si="287"/>
        <v>0</v>
      </c>
      <c r="AG484" s="1">
        <f t="shared" si="288"/>
        <v>0</v>
      </c>
      <c r="AH484" s="1">
        <f t="shared" si="289"/>
        <v>0</v>
      </c>
      <c r="AI484" s="1">
        <f t="shared" si="290"/>
        <v>0</v>
      </c>
    </row>
    <row r="485" spans="1:35" ht="14.25" customHeight="1" x14ac:dyDescent="0.25">
      <c r="A485" s="31">
        <v>1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276</v>
      </c>
      <c r="G485" s="32" t="s">
        <v>194</v>
      </c>
      <c r="H485" s="32" t="s">
        <v>354</v>
      </c>
      <c r="I485" s="31" t="s">
        <v>431</v>
      </c>
      <c r="J485" s="31">
        <v>9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291"/>
        <v>0</v>
      </c>
      <c r="T485" s="1">
        <f t="shared" si="292"/>
        <v>0</v>
      </c>
      <c r="U485" s="1">
        <f t="shared" si="293"/>
        <v>0</v>
      </c>
      <c r="V485" s="1">
        <f t="shared" si="294"/>
        <v>0</v>
      </c>
      <c r="W485" s="1">
        <f t="shared" si="295"/>
        <v>0</v>
      </c>
      <c r="X485" s="1">
        <f t="shared" si="296"/>
        <v>0</v>
      </c>
      <c r="Y485" s="1">
        <f t="shared" si="297"/>
        <v>0</v>
      </c>
      <c r="Z485" s="1">
        <f t="shared" si="298"/>
        <v>0</v>
      </c>
      <c r="AA485" s="1">
        <f t="shared" si="299"/>
        <v>1</v>
      </c>
      <c r="AB485" s="1">
        <f t="shared" si="300"/>
        <v>0</v>
      </c>
      <c r="AD485" s="1">
        <f t="shared" si="301"/>
        <v>0</v>
      </c>
      <c r="AE485" s="1">
        <f t="shared" si="302"/>
        <v>1</v>
      </c>
      <c r="AF485" s="1">
        <f t="shared" si="287"/>
        <v>0</v>
      </c>
      <c r="AG485" s="1">
        <f t="shared" si="288"/>
        <v>0</v>
      </c>
      <c r="AH485" s="1">
        <f t="shared" si="289"/>
        <v>0</v>
      </c>
      <c r="AI485" s="1">
        <f t="shared" si="290"/>
        <v>0</v>
      </c>
    </row>
    <row r="486" spans="1:35" ht="14.25" customHeight="1" x14ac:dyDescent="0.25">
      <c r="A486" s="44">
        <v>0</v>
      </c>
      <c r="B486" s="44">
        <v>2</v>
      </c>
      <c r="C486" s="44">
        <v>7</v>
      </c>
      <c r="D486" s="45" t="s">
        <v>1561</v>
      </c>
      <c r="E486" s="45" t="s">
        <v>28</v>
      </c>
      <c r="F486" s="45" t="s">
        <v>1562</v>
      </c>
      <c r="G486" s="45" t="s">
        <v>238</v>
      </c>
      <c r="H486" s="45" t="s">
        <v>354</v>
      </c>
      <c r="I486" s="44" t="s">
        <v>1695</v>
      </c>
      <c r="J486" s="44">
        <v>4</v>
      </c>
      <c r="K486" s="46" t="s">
        <v>713</v>
      </c>
      <c r="L486" s="46" t="s">
        <v>713</v>
      </c>
      <c r="M486" s="47" t="s">
        <v>731</v>
      </c>
      <c r="N486" s="47" t="s">
        <v>1735</v>
      </c>
      <c r="O486" s="48"/>
      <c r="P486" s="48"/>
      <c r="Q486" s="45"/>
      <c r="S486" s="1">
        <f t="shared" ref="S486:S487" si="303">IF(J486=$S$7,1,0)</f>
        <v>0</v>
      </c>
      <c r="T486" s="1">
        <f t="shared" ref="T486:T487" si="304">IF(J486=$T$7,1,0)</f>
        <v>0</v>
      </c>
      <c r="U486" s="1">
        <f t="shared" ref="U486:U487" si="305">IF(J486=$U$7,1,0)</f>
        <v>0</v>
      </c>
      <c r="V486" s="1">
        <f t="shared" ref="V486:V487" si="306">IF(J486=$V$7,1,0)</f>
        <v>1</v>
      </c>
      <c r="W486" s="1">
        <f t="shared" ref="W486:W487" si="307">IF(J486=$W$7,1,0)</f>
        <v>0</v>
      </c>
      <c r="X486" s="1">
        <f t="shared" ref="X486:X487" si="308">IF(J486=$X$7,1,0)</f>
        <v>0</v>
      </c>
      <c r="Y486" s="1">
        <f t="shared" ref="Y486:Y487" si="309">IF(J486=$Y$7,1,0)</f>
        <v>0</v>
      </c>
      <c r="Z486" s="1">
        <f t="shared" ref="Z486:Z487" si="310">IF(J486=$Z$7,1,0)</f>
        <v>0</v>
      </c>
      <c r="AA486" s="1">
        <f t="shared" ref="AA486:AA487" si="311">IF(J486=$AA$7,1,0)</f>
        <v>0</v>
      </c>
      <c r="AB486" s="1">
        <f t="shared" ref="AB486:AB487" si="312">IF(J486=$AB$7,1,0)</f>
        <v>0</v>
      </c>
      <c r="AD486" s="1">
        <f t="shared" ref="AD486:AD487" si="313">+O486*P486</f>
        <v>0</v>
      </c>
      <c r="AE486" s="1">
        <f t="shared" ref="AE486:AE487" si="314">O486*(1-P486)</f>
        <v>0</v>
      </c>
      <c r="AF486" s="1">
        <f t="shared" ref="AF486:AF487" si="315">+O486*P486*(1-A486)</f>
        <v>0</v>
      </c>
      <c r="AG486" s="1">
        <f t="shared" ref="AG486:AG487" si="316">O486*(1-P486)*(1-A486)</f>
        <v>0</v>
      </c>
      <c r="AH486" s="1">
        <f t="shared" ref="AH486:AH487" si="317">+P486*(1-A486)</f>
        <v>0</v>
      </c>
      <c r="AI486" s="1">
        <f t="shared" ref="AI486:AI487" si="318">+(1-A486)*(1-P486)</f>
        <v>1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63</v>
      </c>
      <c r="E487" s="45" t="s">
        <v>44</v>
      </c>
      <c r="F487" s="45" t="s">
        <v>236</v>
      </c>
      <c r="G487" s="45" t="s">
        <v>200</v>
      </c>
      <c r="H487" s="45" t="s">
        <v>354</v>
      </c>
      <c r="I487" s="44" t="s">
        <v>402</v>
      </c>
      <c r="J487" s="44">
        <v>2</v>
      </c>
      <c r="K487" s="46" t="s">
        <v>713</v>
      </c>
      <c r="L487" s="46" t="s">
        <v>722</v>
      </c>
      <c r="M487" s="47" t="s">
        <v>735</v>
      </c>
      <c r="N487" s="47" t="s">
        <v>1735</v>
      </c>
      <c r="O487" s="48"/>
      <c r="P487" s="48"/>
      <c r="Q487" s="45"/>
      <c r="S487" s="1">
        <f t="shared" si="303"/>
        <v>0</v>
      </c>
      <c r="T487" s="1">
        <f t="shared" si="304"/>
        <v>1</v>
      </c>
      <c r="U487" s="1">
        <f t="shared" si="305"/>
        <v>0</v>
      </c>
      <c r="V487" s="1">
        <f t="shared" si="306"/>
        <v>0</v>
      </c>
      <c r="W487" s="1">
        <f t="shared" si="307"/>
        <v>0</v>
      </c>
      <c r="X487" s="1">
        <f t="shared" si="308"/>
        <v>0</v>
      </c>
      <c r="Y487" s="1">
        <f t="shared" si="309"/>
        <v>0</v>
      </c>
      <c r="Z487" s="1">
        <f t="shared" si="310"/>
        <v>0</v>
      </c>
      <c r="AA487" s="1">
        <f t="shared" si="311"/>
        <v>0</v>
      </c>
      <c r="AB487" s="1">
        <f t="shared" si="312"/>
        <v>0</v>
      </c>
      <c r="AD487" s="1">
        <f t="shared" si="313"/>
        <v>0</v>
      </c>
      <c r="AE487" s="1">
        <f t="shared" si="314"/>
        <v>0</v>
      </c>
      <c r="AF487" s="1">
        <f t="shared" si="315"/>
        <v>0</v>
      </c>
      <c r="AG487" s="1">
        <f t="shared" si="316"/>
        <v>0</v>
      </c>
      <c r="AH487" s="1">
        <f t="shared" si="317"/>
        <v>0</v>
      </c>
      <c r="AI487" s="1">
        <f t="shared" si="318"/>
        <v>1</v>
      </c>
    </row>
    <row r="488" spans="1:35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35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3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3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M779" s="19"/>
      <c r="N779" s="17"/>
      <c r="Q779" s="16"/>
    </row>
    <row r="780" spans="1:17" ht="14.25" customHeight="1" x14ac:dyDescent="0.25">
      <c r="A780" s="15"/>
      <c r="B780" s="15"/>
      <c r="C780" s="15"/>
      <c r="D780" s="16"/>
      <c r="E780" s="16"/>
      <c r="F780" s="16"/>
      <c r="G780" s="16"/>
      <c r="H780" s="16"/>
      <c r="I780" s="15"/>
      <c r="J780" s="15"/>
      <c r="K780" s="10"/>
      <c r="M780" s="19"/>
      <c r="N780" s="17"/>
      <c r="Q780" s="16"/>
    </row>
    <row r="781" spans="1:17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M781" s="19"/>
      <c r="N781" s="17"/>
      <c r="Q781" s="16"/>
    </row>
    <row r="782" spans="1:17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M782" s="19"/>
      <c r="N782" s="17"/>
      <c r="Q782" s="16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7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7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7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7"/>
      <c r="N786" s="17"/>
      <c r="Q786" s="16"/>
    </row>
  </sheetData>
  <autoFilter ref="A7:Q487" xr:uid="{AEE30112-88BB-441D-AEFC-A7A733AB1798}">
    <sortState xmlns:xlrd2="http://schemas.microsoft.com/office/spreadsheetml/2017/richdata2" ref="A8:Q461">
      <sortCondition ref="B8:B461"/>
      <sortCondition ref="C8:C461"/>
      <sortCondition ref="D8:D461"/>
      <sortCondition ref="A8:A461"/>
    </sortState>
  </autoFilter>
  <sortState xmlns:xlrd2="http://schemas.microsoft.com/office/spreadsheetml/2017/richdata2" ref="A8:Q487">
    <sortCondition ref="B8:B487"/>
    <sortCondition ref="C8:C487"/>
    <sortCondition ref="D8:D487"/>
    <sortCondition ref="A8:A48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2026-06-22T08:29:01Z</dcterms:modified>
</cp:coreProperties>
</file>